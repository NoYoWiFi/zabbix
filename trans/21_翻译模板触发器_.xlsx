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85" activeTab="3"/>
  </bookViews>
  <sheets>
    <sheet name="5.0.42" sheetId="37" r:id="rId1"/>
    <sheet name="6.0.35" sheetId="44" r:id="rId2"/>
    <sheet name="7.0.17" sheetId="43" r:id="rId3"/>
    <sheet name="整理" sheetId="4" r:id="rId4"/>
    <sheet name="000" sheetId="7" r:id="rId5"/>
    <sheet name="6.4.14" sheetId="41" r:id="rId6"/>
  </sheets>
  <definedNames>
    <definedName name="_xlnm._FilterDatabase" localSheetId="2" hidden="1">'7.0.17'!$A$1:$S$3163</definedName>
    <definedName name="_xlnm._FilterDatabase" localSheetId="3" hidden="1">整理!$A$1:$BT$2</definedName>
    <definedName name="_xlnm._FilterDatabase" localSheetId="1" hidden="1">'6.0.35'!$A$1:$Q$2797</definedName>
    <definedName name="_xlnm._FilterDatabase" localSheetId="0" hidden="1">'5.0.42'!$A$1:$J$1734</definedName>
  </definedNames>
  <calcPr calcId="144525" calcMode="manual"/>
</workbook>
</file>

<file path=xl/sharedStrings.xml><?xml version="1.0" encoding="utf-8"?>
<sst xmlns="http://schemas.openxmlformats.org/spreadsheetml/2006/main" count="59296" uniqueCount="18960">
  <si>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</si>
  <si>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</si>
  <si>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</si>
  <si>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</si>
  <si>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</si>
  <si>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</si>
  <si>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</si>
  <si>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</si>
  <si>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(218/1)</t>
  </si>
  <si>
    <t>(8/1)</t>
  </si>
  <si>
    <t>10366</t>
  </si>
  <si>
    <t>18023</t>
  </si>
  <si>
    <t>Unavailable by ICMP ping</t>
  </si>
  <si>
    <t>ICMP ping不可用</t>
  </si>
  <si>
    <t>(8/2)</t>
  </si>
  <si>
    <t>18024</t>
  </si>
  <si>
    <t>High ICMP ping loss</t>
  </si>
  <si>
    <t>高ICMP ping丢失</t>
  </si>
  <si>
    <t/>
  </si>
  <si>
    <t>(8/3)</t>
  </si>
  <si>
    <t>18025</t>
  </si>
  <si>
    <t>High ICMP ping response time</t>
  </si>
  <si>
    <t>高ICMP ping响应时间</t>
  </si>
  <si>
    <t>(8/4)</t>
  </si>
  <si>
    <t>18026</t>
  </si>
  <si>
    <t>Device has been replaced (new serial number received)</t>
  </si>
  <si>
    <t>设备已更换(收到新序列号)</t>
  </si>
  <si>
    <t>(8/5)</t>
  </si>
  <si>
    <t>18027</t>
  </si>
  <si>
    <t>System name has changed (new name: {ITEM.VALUE})</t>
  </si>
  <si>
    <t>System name has changed (new name: ITEM.VALUE})</t>
  </si>
  <si>
    <t>(8/6)</t>
  </si>
  <si>
    <t>18028</t>
  </si>
  <si>
    <t>Operating system description has changed</t>
  </si>
  <si>
    <t>操作系统描述已变更</t>
  </si>
  <si>
    <t>(8/7)</t>
  </si>
  <si>
    <t>18029</t>
  </si>
  <si>
    <t>{HOST.NAME} has been restarted (uptime &lt; 10m)</t>
  </si>
  <si>
    <t>{HOST.NAME}已重新启动(正常运行时间＜10分钟)</t>
  </si>
  <si>
    <t>(8/8)</t>
  </si>
  <si>
    <t>18030</t>
  </si>
  <si>
    <t>No SNMP data collection</t>
  </si>
  <si>
    <t>无SNMP数据收集</t>
  </si>
  <si>
    <t>(218/2)</t>
  </si>
  <si>
    <t>10367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</si>
  <si>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</si>
  <si>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</si>
  <si>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</si>
  <si>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</si>
  <si>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</si>
  <si>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</si>
  <si>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</si>
  <si>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</si>
  <si>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(218/3)</t>
  </si>
  <si>
    <t>10368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</si>
  <si>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</si>
  <si>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</si>
  <si>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</si>
  <si>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</si>
  <si>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</si>
  <si>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</si>
  <si>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</si>
  <si>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</si>
  <si>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(218/4)</t>
  </si>
  <si>
    <t>10369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</si>
  <si>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</si>
  <si>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</si>
  <si>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</si>
  <si>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</si>
  <si>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</si>
  <si>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</si>
  <si>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</si>
  <si>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</si>
  <si>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(218/5)</t>
  </si>
  <si>
    <t>10370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</si>
  <si>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</si>
  <si>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</si>
  <si>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</si>
  <si>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</si>
  <si>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</si>
  <si>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</si>
  <si>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</si>
  <si>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</si>
  <si>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(218/6)</t>
  </si>
  <si>
    <t>(1/1)</t>
  </si>
  <si>
    <t>10360</t>
  </si>
  <si>
    <t>17984</t>
  </si>
  <si>
    <t>RabbitMQ: Failed to fetch overview data (or no data for 30m)</t>
  </si>
  <si>
    <t>RabbitMQ: 法获取概览数据(或没有数据达30分钟)</t>
  </si>
  <si>
    <t>(218/7)</t>
  </si>
  <si>
    <t>10358</t>
  </si>
  <si>
    <t>19927</t>
  </si>
  <si>
    <t>(218/8)</t>
  </si>
  <si>
    <t>(9/1)</t>
  </si>
  <si>
    <t>10361</t>
  </si>
  <si>
    <t>17987</t>
  </si>
  <si>
    <t>RabbitMQ: Failed to fetch nodes data (or no data for 30m)</t>
  </si>
  <si>
    <t>RabbitMQ: 法获取节点数据(或没有数据达30分钟)</t>
  </si>
  <si>
    <t>(9/2)</t>
  </si>
  <si>
    <t>17988</t>
  </si>
  <si>
    <t>RabbitMQ: Free disk space alarm (Free space threshold has been reached)</t>
  </si>
  <si>
    <t>RabbitMQ: 用磁盘空间告警(已达到可用空间阈值)</t>
  </si>
  <si>
    <t>(9/3)</t>
  </si>
  <si>
    <t>17989</t>
  </si>
  <si>
    <t>RabbitMQ: Memory alarm (Memory usage threshold has been reached)</t>
  </si>
  <si>
    <t>RabbitMQ: 存告警(已达到内存使用率阈值)</t>
  </si>
  <si>
    <t>(9/4)</t>
  </si>
  <si>
    <t>17990</t>
  </si>
  <si>
    <t>RabbitMQ: Version has changed (new version: {ITEM.VALUE})</t>
  </si>
  <si>
    <t>RabbitMQ: 本已变更(新版本:{ITEM.VALUE})</t>
  </si>
  <si>
    <t>(9/5)</t>
  </si>
  <si>
    <t>17991</t>
  </si>
  <si>
    <t>RabbitMQ: Number of network partitions is too high (more than 0 for 5m)</t>
  </si>
  <si>
    <t>RabbitMQ: 络分区数太高(大于0达5分钟)</t>
  </si>
  <si>
    <t>(9/6)</t>
  </si>
  <si>
    <t>17992</t>
  </si>
  <si>
    <t>RabbitMQ: Node is not running</t>
  </si>
  <si>
    <t>RabbitMQ: 节点未运行</t>
  </si>
  <si>
    <t>(9/7)</t>
  </si>
  <si>
    <t>17993</t>
  </si>
  <si>
    <t>RabbitMQ: has been restarted (uptime &lt; 10m)</t>
  </si>
  <si>
    <t>RabbitMQ: 重新启动(正常运行时间&lt;10分钟)</t>
  </si>
  <si>
    <t>(9/8)</t>
  </si>
  <si>
    <t>19945</t>
  </si>
  <si>
    <t>RabbitMQ: Service response time is too high (over {$RABBITMQ.RESPONSE_TIME.MAX.WARN}s for 5m)</t>
  </si>
  <si>
    <t>RabbitMQ: 务响应时间太长(超过{$RABBITMQ.RESPONSE_TIME.MAX.WARN}s达5分钟)</t>
  </si>
  <si>
    <t>(9/9)</t>
  </si>
  <si>
    <t>19946</t>
  </si>
  <si>
    <t>RabbitMQ: Service is down</t>
  </si>
  <si>
    <t>RabbitMQ: 服务已关闭</t>
  </si>
  <si>
    <t>(218/9)</t>
  </si>
  <si>
    <t>(10/1)</t>
  </si>
  <si>
    <t>10359</t>
  </si>
  <si>
    <t>17968</t>
  </si>
  <si>
    <t>RabbitMQ: Process is not running</t>
  </si>
  <si>
    <t>RabbitMQ: 进程未运行</t>
  </si>
  <si>
    <t>(10/2)</t>
  </si>
  <si>
    <t>19928</t>
  </si>
  <si>
    <t>(10/3)</t>
  </si>
  <si>
    <t>19929</t>
  </si>
  <si>
    <t>(10/4)</t>
  </si>
  <si>
    <t>19930</t>
  </si>
  <si>
    <t>(10/5)</t>
  </si>
  <si>
    <t>19931</t>
  </si>
  <si>
    <t>(10/6)</t>
  </si>
  <si>
    <t>19932</t>
  </si>
  <si>
    <t>(10/7)</t>
  </si>
  <si>
    <t>19933</t>
  </si>
  <si>
    <t>(10/8)</t>
  </si>
  <si>
    <t>19934</t>
  </si>
  <si>
    <t>(10/9)</t>
  </si>
  <si>
    <t>19935</t>
  </si>
  <si>
    <t>(10/10)</t>
  </si>
  <si>
    <t>19936</t>
  </si>
  <si>
    <t>(218/10)</t>
  </si>
  <si>
    <t>(11/1)</t>
  </si>
  <si>
    <t>10340</t>
  </si>
  <si>
    <t>17283</t>
  </si>
  <si>
    <t>Kafka: Unclean leader election detected</t>
  </si>
  <si>
    <t>Kafka: 检测到不明确的leader人选举</t>
  </si>
  <si>
    <t>(11/2)</t>
  </si>
  <si>
    <t>17284</t>
  </si>
  <si>
    <t>Kafka: One or more partitions have no leader</t>
  </si>
  <si>
    <t>Kafka: 一个或多个分区没有leader</t>
  </si>
  <si>
    <t>(11/3)</t>
  </si>
  <si>
    <t>17285</t>
  </si>
  <si>
    <t>Kafka: There are offline log directories</t>
  </si>
  <si>
    <t>Kafka: 有脱机日志目录</t>
  </si>
  <si>
    <t>(11/4)</t>
  </si>
  <si>
    <t>17286</t>
  </si>
  <si>
    <t>Kafka: Network processor average idle percent is too low (under {$KAFKA.NET_PROC_AVG_IDLE.MIN.WARN} for 15m)</t>
  </si>
  <si>
    <t>Kafka: 络处理器平均空闲百分比太低(低于{$KAFKA.NET_PROC_AVG_IDLE.MIN.WARN}达15分钟)</t>
  </si>
  <si>
    <t>(11/5)</t>
  </si>
  <si>
    <t>17287</t>
  </si>
  <si>
    <t>Kafka: Failed to fetch info data (or no data for 15m)</t>
  </si>
  <si>
    <t>Kafka: 法获取信息数据(或没有数据达15分钟)</t>
  </si>
  <si>
    <t>(11/6)</t>
  </si>
  <si>
    <t>17288</t>
  </si>
  <si>
    <t>Kafka: has been restarted (uptime &lt; 10m)</t>
  </si>
  <si>
    <t>Kafka: 重启(正常运行时间&lt;10分钟)</t>
  </si>
  <si>
    <t>(11/7)</t>
  </si>
  <si>
    <t>17289</t>
  </si>
  <si>
    <t>Kafka: Version has changed (new version: {ITEM.VALUE})</t>
  </si>
  <si>
    <t>Kafka: 本已变更(新版本:{ITEM.VALUE})</t>
  </si>
  <si>
    <t>(11/8)</t>
  </si>
  <si>
    <t>17290</t>
  </si>
  <si>
    <t>Kafka: Request handler average idle percent is too low (under {$KAFKA.REQUEST_HANDLER_AVG_IDLE.MIN.WARN} for 15m)</t>
  </si>
  <si>
    <t>Kafka: 求处理程序平均空闲百分比太低(低于{$KAFKA.REQUEST_HANDLER_AVG_IDLE.MIN.WARN}达15分钟)</t>
  </si>
  <si>
    <t>(11/9)</t>
  </si>
  <si>
    <t>17291</t>
  </si>
  <si>
    <t>Kafka: There are partitions under the min ISR</t>
  </si>
  <si>
    <t>Kafka: 最小ISR下有分区</t>
  </si>
  <si>
    <t>(11/10)</t>
  </si>
  <si>
    <t>17292</t>
  </si>
  <si>
    <t>Kafka: There are under replicated partitions</t>
  </si>
  <si>
    <t>Kafka: 存在复制不足的分区</t>
  </si>
  <si>
    <t>(11/11)</t>
  </si>
  <si>
    <t>17293</t>
  </si>
  <si>
    <t>Kafka: Broker is not connected to ZooKeeper</t>
  </si>
  <si>
    <t>Kafka: Broker 未连接到ZooKeeper</t>
  </si>
  <si>
    <t>(218/11)</t>
  </si>
  <si>
    <t>(2/1)</t>
  </si>
  <si>
    <t>10413</t>
  </si>
  <si>
    <t>18607</t>
  </si>
  <si>
    <t>WildFly: has been restarted (uptime &lt; 10m)</t>
  </si>
  <si>
    <t>WildFly: 重新启动(正常运行时间&lt;10分钟)</t>
  </si>
  <si>
    <t>(2/2)</t>
  </si>
  <si>
    <t>18608</t>
  </si>
  <si>
    <t>WildFly: Version has changed (new version: {ITEM.VALUE})</t>
  </si>
  <si>
    <t>WildFly: 本已变更(新版本:{ITEM.VALUE})</t>
  </si>
  <si>
    <t>(218/12)</t>
  </si>
  <si>
    <t>(5/1)</t>
  </si>
  <si>
    <t>10383</t>
  </si>
  <si>
    <t>18611</t>
  </si>
  <si>
    <t>(5/2)</t>
  </si>
  <si>
    <t>18612</t>
  </si>
  <si>
    <t>WildFly: Failed to fetch info data (or no data for 15m)</t>
  </si>
  <si>
    <t>WildFly: 法获取信息数据(或没有数据达15分钟)</t>
  </si>
  <si>
    <t>(5/3)</t>
  </si>
  <si>
    <t>18613</t>
  </si>
  <si>
    <t>(5/4)</t>
  </si>
  <si>
    <t>18614</t>
  </si>
  <si>
    <t>WildFly: Server needs to restart for configuration change.</t>
  </si>
  <si>
    <t>WildFly: 服务器需要重新启动以变更配置.</t>
  </si>
  <si>
    <t>(5/5)</t>
  </si>
  <si>
    <t>18615</t>
  </si>
  <si>
    <t>WildFly: Server controller is not in RUNNING state</t>
  </si>
  <si>
    <t>WildFly: 服务器控制器未处于运行状态</t>
  </si>
  <si>
    <t>(218/13)</t>
  </si>
  <si>
    <t>10384</t>
  </si>
  <si>
    <t>17294</t>
  </si>
  <si>
    <t>Tomcat: Version has been changed</t>
  </si>
  <si>
    <t>Tomcat: 版本已变更</t>
  </si>
  <si>
    <t>(218/14)</t>
  </si>
  <si>
    <t>10350</t>
  </si>
  <si>
    <t>15948</t>
  </si>
  <si>
    <t>Apache: Failed to fetch status page (or no data for 30m)</t>
  </si>
  <si>
    <t>Apache: 法获取状态页(或没有数据达30分钟)</t>
  </si>
  <si>
    <t>15949</t>
  </si>
  <si>
    <t>Apache: Service is down</t>
  </si>
  <si>
    <t>Apache: 服务已关闭</t>
  </si>
  <si>
    <t>15950</t>
  </si>
  <si>
    <t>Apache: Service response time is too high (over {$APACHE.RESPONSE_TIME.MAX.WARN}s for 5m)</t>
  </si>
  <si>
    <t>Apache: 务响应时间太长(超过{$APACHE.RESPONSE_TIME.MAX.WARN}s达5分钟)</t>
  </si>
  <si>
    <t>15951</t>
  </si>
  <si>
    <t>Apache: has been restarted (uptime &lt; 10m)</t>
  </si>
  <si>
    <t>Apache: 重新启动(正常运行时间&lt;10分钟)</t>
  </si>
  <si>
    <t>15952</t>
  </si>
  <si>
    <t>Apache: Version has changed (new version: {ITEM.VALUE})</t>
  </si>
  <si>
    <t>Apache: 本已变更(新版本:{ITEM.VALUE})</t>
  </si>
  <si>
    <t>(218/15)</t>
  </si>
  <si>
    <t>(6/1)</t>
  </si>
  <si>
    <t>10260</t>
  </si>
  <si>
    <t>15943</t>
  </si>
  <si>
    <t>(6/2)</t>
  </si>
  <si>
    <t>15944</t>
  </si>
  <si>
    <t>(6/3)</t>
  </si>
  <si>
    <t>15947</t>
  </si>
  <si>
    <t>Apache: Process is not running</t>
  </si>
  <si>
    <t>Apache: 进程未运行</t>
  </si>
  <si>
    <t>(6/4)</t>
  </si>
  <si>
    <t>16886</t>
  </si>
  <si>
    <t>(6/5)</t>
  </si>
  <si>
    <t>16887</t>
  </si>
  <si>
    <t>(6/6)</t>
  </si>
  <si>
    <t>16888</t>
  </si>
  <si>
    <t>(218/16)</t>
  </si>
  <si>
    <t>(4/1)</t>
  </si>
  <si>
    <t>10265</t>
  </si>
  <si>
    <t>17217</t>
  </si>
  <si>
    <t>Ceph: Minimum monitor release version has changed (new version: {ITEM.VALUE})</t>
  </si>
  <si>
    <t>Ceph: 低监视器版本已变更(新版本:{ITEM.VALUE})</t>
  </si>
  <si>
    <t>(4/2)</t>
  </si>
  <si>
    <t>17218</t>
  </si>
  <si>
    <t>Ceph: Cluster in ERROR state</t>
  </si>
  <si>
    <t>Ceph: 集群处于错误状态</t>
  </si>
  <si>
    <t>(4/3)</t>
  </si>
  <si>
    <t>17219</t>
  </si>
  <si>
    <t>Ceph: Cluster in WARNING state</t>
  </si>
  <si>
    <t>Ceph: 集群状态为告警</t>
  </si>
  <si>
    <t>(4/4)</t>
  </si>
  <si>
    <t>17220</t>
  </si>
  <si>
    <t>Ceph: Can not connect to cluster</t>
  </si>
  <si>
    <t>Ceph: 无法连接到集群</t>
  </si>
  <si>
    <t>(218/17)</t>
  </si>
  <si>
    <t>(3/1)</t>
  </si>
  <si>
    <t>10264</t>
  </si>
  <si>
    <t>16743</t>
  </si>
  <si>
    <t>Docker: Failed to fetch info data (or no data for 30m)</t>
  </si>
  <si>
    <t>Docker: 法获取信息数据(或没有数据达30分钟)</t>
  </si>
  <si>
    <t>(3/2)</t>
  </si>
  <si>
    <t>16744</t>
  </si>
  <si>
    <t>Docker: Service is down</t>
  </si>
  <si>
    <t>Docker: 服务已关闭</t>
  </si>
  <si>
    <t>(3/3)</t>
  </si>
  <si>
    <t>16745</t>
  </si>
  <si>
    <t>Docker: Version has changed (new version: {ITEM.VALUE})</t>
  </si>
  <si>
    <t>Docker: 本已变更(新版本:{ITEM.VALUE})</t>
  </si>
  <si>
    <t>(218/18)</t>
  </si>
  <si>
    <t>(12/1)</t>
  </si>
  <si>
    <t>10334</t>
  </si>
  <si>
    <t>16774</t>
  </si>
  <si>
    <t>ES: Cluster does not have enough space for resharding</t>
  </si>
  <si>
    <t>ES: 集群没有足够的空间进行重新分片</t>
  </si>
  <si>
    <t>(12/2)</t>
  </si>
  <si>
    <t>16775</t>
  </si>
  <si>
    <t>ES: Cluster has the initializing shards</t>
  </si>
  <si>
    <t>ES: 集群具有初始化碎片</t>
  </si>
  <si>
    <t>(12/3)</t>
  </si>
  <si>
    <t>16776</t>
  </si>
  <si>
    <t>ES: The number of nodes within the cluster has decreased</t>
  </si>
  <si>
    <t>ES: 集群内的节点数量已减少</t>
  </si>
  <si>
    <t>(12/4)</t>
  </si>
  <si>
    <t>16777</t>
  </si>
  <si>
    <t>ES: The number of nodes within the cluster has increased</t>
  </si>
  <si>
    <t>ES: 集群内的节点数量已增加</t>
  </si>
  <si>
    <t>(12/5)</t>
  </si>
  <si>
    <t>16778</t>
  </si>
  <si>
    <t>ES: Health is YELLOW</t>
  </si>
  <si>
    <t>ES: 健康状况是黄色的</t>
  </si>
  <si>
    <t>(12/6)</t>
  </si>
  <si>
    <t>16779</t>
  </si>
  <si>
    <t>ES: Health is RED</t>
  </si>
  <si>
    <t>ES: 健康状况是红色的</t>
  </si>
  <si>
    <t>(12/7)</t>
  </si>
  <si>
    <t>16780</t>
  </si>
  <si>
    <t>ES: Health is UNKNOWN</t>
  </si>
  <si>
    <t>ES: 健康状况是未知的</t>
  </si>
  <si>
    <t>(12/8)</t>
  </si>
  <si>
    <t>16781</t>
  </si>
  <si>
    <t>ES: Cluster has the unassigned shards</t>
  </si>
  <si>
    <t>ES: 集群具有未分配的碎片</t>
  </si>
  <si>
    <t>(12/9)</t>
  </si>
  <si>
    <t>16782</t>
  </si>
  <si>
    <t>ES: Cluster has only two master nodes</t>
  </si>
  <si>
    <t>ES: 集群只有两个主节点</t>
  </si>
  <si>
    <t>(12/10)</t>
  </si>
  <si>
    <t>16784</t>
  </si>
  <si>
    <t>ES: Service response time is too high (over {$ELASTICSEARCH.RESPONSE_TIME.MAX.WARN} for 5m)</t>
  </si>
  <si>
    <t>ES: 务响应时间太长(超过{$ELASTICSEARCH.RESPONSE_TIME.MAX.WARN}达5分钟)</t>
  </si>
  <si>
    <t>(12/11)</t>
  </si>
  <si>
    <t>16785</t>
  </si>
  <si>
    <t>ES: Service is down</t>
  </si>
  <si>
    <t>ES: 服务已关闭</t>
  </si>
  <si>
    <t>(12/12)</t>
  </si>
  <si>
    <t>19926</t>
  </si>
  <si>
    <t>ES: Cluster has been restarted (uptime &lt; 10m)</t>
  </si>
  <si>
    <t>ES: 集已重新启动(正常运行时间&lt;10分钟)</t>
  </si>
  <si>
    <t>(218/19)</t>
  </si>
  <si>
    <t>10318</t>
  </si>
  <si>
    <t>16889</t>
  </si>
  <si>
    <t>Etcd: Current number of open files is too high (over {$ETCD.OPEN.FDS.MAX.WARN}% for 5m)</t>
  </si>
  <si>
    <t>Etcd: 前打开的文件数太多(超过{$ETCD.OPEN.FDS.MAX.WARN}%达5分钟)</t>
  </si>
  <si>
    <t>16890</t>
  </si>
  <si>
    <t>Etcd: Cluster version has changed (new version: {ITEM.VALUE})</t>
  </si>
  <si>
    <t>Etcd: 集版本已变更(新版本:{ITEM.VALUE})</t>
  </si>
  <si>
    <t>16891</t>
  </si>
  <si>
    <t>Etcd: Member has no leader</t>
  </si>
  <si>
    <t>成员没有leader</t>
  </si>
  <si>
    <t>16892</t>
  </si>
  <si>
    <t>Etcd: Node healthcheck failed</t>
  </si>
  <si>
    <t>Etcd: 节点健康检查失败</t>
  </si>
  <si>
    <t>16893</t>
  </si>
  <si>
    <t>Etcd: Too many HTTP requests failures (over {$ETCD.HTTP.FAIL.MAX.WARN} for 5m)'</t>
  </si>
  <si>
    <t>Etcd: 多HTTP请求失败(超过{$ETCD.HTTP.FAIL.MAX.WARN}达5分钟)'</t>
  </si>
  <si>
    <t>16894</t>
  </si>
  <si>
    <t>Etcd: Failed to fetch info data (or no data for 30m)</t>
  </si>
  <si>
    <t>Etcd: 法获取信息数据(或没有数据达30分钟)</t>
  </si>
  <si>
    <t>16895</t>
  </si>
  <si>
    <t>Etcd: Instance has seen too many leader changes (over {$ETCD.LEADER.CHANGES.MAX.WARN} for 15m)'</t>
  </si>
  <si>
    <t>Etcd: 例已看到太多leader变更(超过{$ETCD.LEADER.CHANGES.MAX.WARN}达15分钟)'</t>
  </si>
  <si>
    <t>16896</t>
  </si>
  <si>
    <t>Etcd: Too many proposal failures (over {$ETCD.PROPOSAL.FAIL.MAX.WARN} for 5m)'</t>
  </si>
  <si>
    <t>Etcd: 多提案失败(超过{$ETCD.PROPOSAL.FAIL.MAX.WARN}达5分钟)'</t>
  </si>
  <si>
    <t>16897</t>
  </si>
  <si>
    <t>Etcd: Too many proposals are queued to commit (over {$ETCD.PROPOSAL.PENDING.MAX.WARN} for 5m)'</t>
  </si>
  <si>
    <t>Etcd: 多排队提交的提案(超过{$ETCD.PROPOSAL.PENDING.MAX.WARN}达5分钟)'</t>
  </si>
  <si>
    <t>16898</t>
  </si>
  <si>
    <t>Etcd: Server version has changed (new version: {ITEM.VALUE})</t>
  </si>
  <si>
    <t>Etcd: 务器版本已变更(新版本:{ITEM.VALUE})</t>
  </si>
  <si>
    <t>16899</t>
  </si>
  <si>
    <t>Etcd: has been restarted (uptime &lt; 10m)</t>
  </si>
  <si>
    <t>Etcd: 重新启动(正常运行时间&lt;10分钟)</t>
  </si>
  <si>
    <t>16900</t>
  </si>
  <si>
    <t>Etcd: Service is unavailable</t>
  </si>
  <si>
    <t>Etcd: 服务不可用</t>
  </si>
  <si>
    <t>(218/20)</t>
  </si>
  <si>
    <t>10322</t>
  </si>
  <si>
    <t>13544</t>
  </si>
  <si>
    <t>FTP service is down on {HOST.NAME}</t>
  </si>
  <si>
    <t>{HOST.NAME}上的FTP服务已关闭</t>
  </si>
  <si>
    <t>(218/21)</t>
  </si>
  <si>
    <t>(7/1)</t>
  </si>
  <si>
    <t>10324</t>
  </si>
  <si>
    <t>17075</t>
  </si>
  <si>
    <t>OperatingSystem: Opened file descriptor count more than {$JMX.FILE.DESCRIPTORS.MAX}% of maximum</t>
  </si>
  <si>
    <t>OperatingSystem: 开的文件描述符计数超过最大值的{$JMX.FILE.DESCRIPTORS.MAX}%</t>
  </si>
  <si>
    <t>(7/2)</t>
  </si>
  <si>
    <t>17076</t>
  </si>
  <si>
    <t>Compilation: {HOST.NAME} uses suboptimal JIT compiler</t>
  </si>
  <si>
    <t>Compilation: {HOST.NAME}使用率次优JIT编译器</t>
  </si>
  <si>
    <t>(7/3)</t>
  </si>
  <si>
    <t>17077</t>
  </si>
  <si>
    <t>OperatingSystem: Process CPU Load more than {$JMX.CPU.LOAD.MAX}% for {$JMX.CPU.LOAD.TIME}</t>
  </si>
  <si>
    <t>OperatingSystem: 程CPU负载超过{$JMX.CPU.LOAD.MAX}%,达{$JMX.CPU.LOAD.TIME}</t>
  </si>
  <si>
    <t>(7/4)</t>
  </si>
  <si>
    <t>17078</t>
  </si>
  <si>
    <t>Runtime: JVM is not reachable</t>
  </si>
  <si>
    <t>Runtime: JVM不可访问</t>
  </si>
  <si>
    <t>(7/5)</t>
  </si>
  <si>
    <t>17079</t>
  </si>
  <si>
    <t>Runtime: {HOST.NAME} runs suboptimal VM type</t>
  </si>
  <si>
    <t>Runtime: {HOST.NAME}运行次优VM类型</t>
  </si>
  <si>
    <t>(7/6)</t>
  </si>
  <si>
    <t>19960</t>
  </si>
  <si>
    <t>Memory: Heap memory usage more than {$JMX.HEAP.USAGE.MAX}% for {$JMX.HEAP.MEM.USAGE.TIME}</t>
  </si>
  <si>
    <t>Memory: 内存使用率超过{$JMX.HEAP.USAGE.MAX}%,达{$JMX.HEAP.MEM.USAGE.TIME}</t>
  </si>
  <si>
    <t>(7/7)</t>
  </si>
  <si>
    <t>19961</t>
  </si>
  <si>
    <t>Memory: Non-Heap memory usage more than {$JMX.NONHEAP.MEM.USAGE.MAX}% for {$JMX.NONHEAP.MEM.USAGE.TIME}</t>
  </si>
  <si>
    <t>Memory: 堆内存使用率超过{$JMX.NONHEAP.MEM.USAGE.MAX}%,达{$JMX.NONHEAP.MEM.USAGE.TIME}</t>
  </si>
  <si>
    <t>(218/22)</t>
  </si>
  <si>
    <t>10093</t>
  </si>
  <si>
    <t>16661</t>
  </si>
  <si>
    <t>HAProxy: has been restarted (uptime &lt; 10m)</t>
  </si>
  <si>
    <t>HAProxy: 重新启动(正常运行时间&lt;10分钟)</t>
  </si>
  <si>
    <t>16662</t>
  </si>
  <si>
    <t>HAProxy: Version has changed (new version: {ITEM.VALUE})</t>
  </si>
  <si>
    <t>HAProxy: 本已变更(新版本:{ITEM.VALUE})</t>
  </si>
  <si>
    <t>16809</t>
  </si>
  <si>
    <t>HAProxy: Service response time is too high (over {$HAPROXY.RESPONSE_TIME.MAX.WARN} for 5m)</t>
  </si>
  <si>
    <t>HAProxy: 务响应时间太长(超过{$HAPROXY.RESPONSE_TIME.MAX.WARN}达5分钟)</t>
  </si>
  <si>
    <t>16810</t>
  </si>
  <si>
    <t>HAProxy: Service is down</t>
  </si>
  <si>
    <t>HAProxy: 服务已关闭</t>
  </si>
  <si>
    <t>(218/23)</t>
  </si>
  <si>
    <t>10169</t>
  </si>
  <si>
    <t>16644</t>
  </si>
  <si>
    <t>16645</t>
  </si>
  <si>
    <t>16646</t>
  </si>
  <si>
    <t>16647</t>
  </si>
  <si>
    <t>(218/24)</t>
  </si>
  <si>
    <t>10309</t>
  </si>
  <si>
    <t>13545</t>
  </si>
  <si>
    <t>HTTP service is down on {HOST.NAME}</t>
  </si>
  <si>
    <t>{HOST.NAME}上的HTTP服务已关闭</t>
  </si>
  <si>
    <t>(218/25)</t>
  </si>
  <si>
    <t>10308</t>
  </si>
  <si>
    <t>13546</t>
  </si>
  <si>
    <t>HTTPS service is down on {HOST.NAME}</t>
  </si>
  <si>
    <t>{HOST.NAME}上的HTTPS服务已关闭</t>
  </si>
  <si>
    <t>(218/26)</t>
  </si>
  <si>
    <t>(14/1)</t>
  </si>
  <si>
    <t>10094</t>
  </si>
  <si>
    <t>17263</t>
  </si>
  <si>
    <t>NameNode: Cluster has missing blocks</t>
  </si>
  <si>
    <t>NameNode: 集群缺少块</t>
  </si>
  <si>
    <t>(14/2)</t>
  </si>
  <si>
    <t>17264</t>
  </si>
  <si>
    <t>NameNode: Cluster has DataNodes in Dead state</t>
  </si>
  <si>
    <t>NameNode: 集群的数据节点处于挂掉状态</t>
  </si>
  <si>
    <t>(14/3)</t>
  </si>
  <si>
    <t>17265</t>
  </si>
  <si>
    <t>NameNode: Cluster capacity remaining is low (below {$HADOOP.CAPACITY_REMAINING.MIN.WARN}% for 15m)</t>
  </si>
  <si>
    <t>NameNode: 集剩余容量低(低于{$HADOOP.CAPACITY_REMAINING.MIN.WARN}%达15分钟)</t>
  </si>
  <si>
    <t>(14/4)</t>
  </si>
  <si>
    <t>17266</t>
  </si>
  <si>
    <t>NameNode: Service has been restarted (uptime &lt; 10m)</t>
  </si>
  <si>
    <t>NameNode: 务已重新启动(正常运行时间&lt;10分钟)</t>
  </si>
  <si>
    <t>(14/5)</t>
  </si>
  <si>
    <t>17267</t>
  </si>
  <si>
    <t>NameNode: Failed to fetch NameNode API page (or no data for 30m)</t>
  </si>
  <si>
    <t>NameNode: 法获取节点名称API页面(或没有数据达30分钟)</t>
  </si>
  <si>
    <t>(14/6)</t>
  </si>
  <si>
    <t>17268</t>
  </si>
  <si>
    <t>NameNode: Cluster has volume failures</t>
  </si>
  <si>
    <t>NameNode: 集群出现卷故障</t>
  </si>
  <si>
    <t>(14/7)</t>
  </si>
  <si>
    <t>17269</t>
  </si>
  <si>
    <t>ResourceManager: Cluster has no active NodeManagers</t>
  </si>
  <si>
    <t>ResourceManager: 集群没有活动的NodeManager</t>
  </si>
  <si>
    <t>(14/8)</t>
  </si>
  <si>
    <t>17270</t>
  </si>
  <si>
    <t>ResourceManager: Cluster has unhealthy NodeManagers</t>
  </si>
  <si>
    <t>ResourceManager: 集群具有不正常的NodeManager</t>
  </si>
  <si>
    <t>(14/9)</t>
  </si>
  <si>
    <t>17271</t>
  </si>
  <si>
    <t>ResourceManager: Service has been restarted (uptime &lt; 10m)</t>
  </si>
  <si>
    <t>ResourceManager: 务已重新启动(正常运行时间&lt;10分钟)</t>
  </si>
  <si>
    <t>(14/10)</t>
  </si>
  <si>
    <t>17272</t>
  </si>
  <si>
    <t>ResourceManager: Failed to fetch ResourceManager API page (or no data for 30m)</t>
  </si>
  <si>
    <t>ResourceManager: 法获取资源管理器 API页面(或没有数据达30分钟)</t>
  </si>
  <si>
    <t>(14/11)</t>
  </si>
  <si>
    <t>17273</t>
  </si>
  <si>
    <t>NameNode: Service response time is too high (over {$HADOOP.NAMENODE.RESPONSE_TIME.MAX.WARN} for 5m)</t>
  </si>
  <si>
    <t>NameNode: 务响应时间太长(超过{$HADOOP.NAMENODE.RESPONSE_TIME.MAX.WARN}达5分钟)</t>
  </si>
  <si>
    <t>(14/12)</t>
  </si>
  <si>
    <t>17274</t>
  </si>
  <si>
    <t>ResourceManager: Service response time is too high (over {$HADOOP.RESOURCEMANAGER.RESPONSE_TIME.MAX.WARN} for 5m)</t>
  </si>
  <si>
    <t>ResourceManager: 务响应时间太长(超过{$HADOOP.RESOURCEMANAGER.RESPONSE_TIME.MAX.WARN}达5分钟)</t>
  </si>
  <si>
    <t>(14/13)</t>
  </si>
  <si>
    <t>17275</t>
  </si>
  <si>
    <t>NameNode: Service is unavailable</t>
  </si>
  <si>
    <t>NameNode: 服务不可用</t>
  </si>
  <si>
    <t>(14/14)</t>
  </si>
  <si>
    <t>17276</t>
  </si>
  <si>
    <t>ResourceManager: Service is unavailable</t>
  </si>
  <si>
    <t>ResourceManager: 服务不可用</t>
  </si>
  <si>
    <t>(218/27)</t>
  </si>
  <si>
    <t>10095</t>
  </si>
  <si>
    <t>16902</t>
  </si>
  <si>
    <t>IIS: Port {$IIS.PORT} is down</t>
  </si>
  <si>
    <t>IIS: 端口{$IIS.PORT}已关闭</t>
  </si>
  <si>
    <t>16903</t>
  </si>
  <si>
    <t>IIS: has been restarted (uptime &lt; 10m)</t>
  </si>
  <si>
    <t>IIS: 重新启动(正常运行时间&lt;10分钟)</t>
  </si>
  <si>
    <t>20022</t>
  </si>
  <si>
    <t>IIS: The World Wide Web Publishing Service (W3SVC) is not running</t>
  </si>
  <si>
    <t>IIS: 万维网发布服务(W3SVC)未运行</t>
  </si>
  <si>
    <t>20023</t>
  </si>
  <si>
    <t>IIS: Windows process Activation Service (WAS) is not running</t>
  </si>
  <si>
    <t>IIS: Windows进程激活服务(WAS)未运行</t>
  </si>
  <si>
    <t>(218/28)</t>
  </si>
  <si>
    <t>10339</t>
  </si>
  <si>
    <t>16910</t>
  </si>
  <si>
    <t>16911</t>
  </si>
  <si>
    <t>20024</t>
  </si>
  <si>
    <t>20025</t>
  </si>
  <si>
    <t>(218/29)</t>
  </si>
  <si>
    <t>10325</t>
  </si>
  <si>
    <t>13547</t>
  </si>
  <si>
    <t>IMAP service is down on {HOST.NAME}</t>
  </si>
  <si>
    <t>{HOST.NAME}上的IMAP服务已关闭</t>
  </si>
  <si>
    <t>(218/30)</t>
  </si>
  <si>
    <t>10326</t>
  </si>
  <si>
    <t>13548</t>
  </si>
  <si>
    <t>LDAP service is down on {HOST.NAME}</t>
  </si>
  <si>
    <t>{HOST.NAME}上的LDAP服务已关闭</t>
  </si>
  <si>
    <t>(218/31)</t>
  </si>
  <si>
    <t>10096</t>
  </si>
  <si>
    <t>16748</t>
  </si>
  <si>
    <t>Memcached: Memory usage is too high (over {$MEMCACHED.MEM.PUSED.MAX.WARN} in 5m)</t>
  </si>
  <si>
    <t>Memcached: 存使用率太高(5分钟内超过{$MEMCACHED.MEM.PUSED.MAX.WARN})</t>
  </si>
  <si>
    <t>16749</t>
  </si>
  <si>
    <t>Memcached: Total number of connected clients is too high (over {$MEMCACHED.CONN.PRC.MAX.WARN}% in 5m)</t>
  </si>
  <si>
    <t>Memcached: 接的客户端总数太多(5分钟内超过{$MEMCACHED.CONN.PRC.MAX.WARN}%)</t>
  </si>
  <si>
    <t>16750</t>
  </si>
  <si>
    <t>Memcached: Too many queued connections (over {$MEMCACHED.CONN.QUEUED.MAX.WARN} in 5m)</t>
  </si>
  <si>
    <t>Memcached: 队连接太多(5分钟内超过{$MEMCACHED.CONN.QUEUED.MAX.WARN})</t>
  </si>
  <si>
    <t>16751</t>
  </si>
  <si>
    <t>Memcached: Too many throttled connections (over {$MEMCACHED.CONN.THROTTLED.MAX.WARN} in 5m)</t>
  </si>
  <si>
    <t>Memcached: 流连接过多(5分钟内超过{$MEMCACHED.CONN.THROTTLED.MAX.WARN})</t>
  </si>
  <si>
    <t>16752</t>
  </si>
  <si>
    <t>Memcached: Failed to fetch info data (or no data for 30m)</t>
  </si>
  <si>
    <t>Memcached: 法获取信息数据(或没有数据达30分钟)</t>
  </si>
  <si>
    <t>16753</t>
  </si>
  <si>
    <t>Memcached: Service is down</t>
  </si>
  <si>
    <t>Memcached: 服务已关闭</t>
  </si>
  <si>
    <t>16754</t>
  </si>
  <si>
    <t>Memcached: has been restarted (uptime &lt; 10m)</t>
  </si>
  <si>
    <t>Memcached: 重新启动(正常运行时间&lt;10分钟)</t>
  </si>
  <si>
    <t>16755</t>
  </si>
  <si>
    <t>Memcached: Version has changed (new version: {ITEM.VALUE})</t>
  </si>
  <si>
    <t>Memcached: 本已变更(新版本:{ITEM.VALUE})</t>
  </si>
  <si>
    <t>(218/32)</t>
  </si>
  <si>
    <t>10097</t>
  </si>
  <si>
    <t>13549</t>
  </si>
  <si>
    <t>NNTP service is down on {HOST.NAME}</t>
  </si>
  <si>
    <t>{HOST.NAME}上的NNTP服务已关闭</t>
  </si>
  <si>
    <t>(218/33)</t>
  </si>
  <si>
    <t>10319</t>
  </si>
  <si>
    <t>13550</t>
  </si>
  <si>
    <t>NTP service is down on {HOST.NAME}</t>
  </si>
  <si>
    <t>{HOST.NAME}上的NTP服务已关闭</t>
  </si>
  <si>
    <t>(218/34)</t>
  </si>
  <si>
    <t>10351</t>
  </si>
  <si>
    <t>18955</t>
  </si>
  <si>
    <t>Nginx: High connections drop rate (more than {$NGINX.DROP_RATE.MAX.WARN} for 5m)</t>
  </si>
  <si>
    <t>Nginx: 接丢失率太高(超过{$NGINX.DROP_RATE.MAX.WARN}达5分钟)</t>
  </si>
  <si>
    <t>18956</t>
  </si>
  <si>
    <t>Nginx: Server response error (text: {ITEM.VALUE})</t>
  </si>
  <si>
    <t>Nginx: 务器响应错误(文本:{ITEM.VALUE})</t>
  </si>
  <si>
    <t>18957</t>
  </si>
  <si>
    <t>Nginx: has been restarted (uptime &lt; 10m)</t>
  </si>
  <si>
    <t>Nginx: 重新启动(正常运行时间&lt;10分钟)</t>
  </si>
  <si>
    <t>18958</t>
  </si>
  <si>
    <t>Nginx: Failed to fetch info data (or no data for 30m)</t>
  </si>
  <si>
    <t>Nginx: 法获取信息数据(或没有数据达30分钟)</t>
  </si>
  <si>
    <t>18959</t>
  </si>
  <si>
    <t>Nginx: Version has changed (new version: {ITEM.VALUE})</t>
  </si>
  <si>
    <t>Nginx: 本已变更(新版本:{ITEM.VALUE})</t>
  </si>
  <si>
    <t>(218/35)</t>
  </si>
  <si>
    <t>10352</t>
  </si>
  <si>
    <t>15960</t>
  </si>
  <si>
    <t>Nginx: Service is down</t>
  </si>
  <si>
    <t>Nginx: 服务已关闭</t>
  </si>
  <si>
    <t>15961</t>
  </si>
  <si>
    <t>Nginx: Service response time is too high (over {$NGINX.RESPONSE_TIME.MAX.WARN}s for 5m)</t>
  </si>
  <si>
    <t>Nginx: 务响应时间太长(超过{$NGINX.RESPONSE_TIME.MAX.WARN}s达5分钟)</t>
  </si>
  <si>
    <t>15962</t>
  </si>
  <si>
    <t>15963</t>
  </si>
  <si>
    <t>16679</t>
  </si>
  <si>
    <t>Nginx: Failed to fetch stub status page (or no data for 30m)</t>
  </si>
  <si>
    <t>Nginx: 法获取存根状态页(或没有数据达30分钟)</t>
  </si>
  <si>
    <t>(218/36)</t>
  </si>
  <si>
    <t>10098</t>
  </si>
  <si>
    <t>15954</t>
  </si>
  <si>
    <t>15955</t>
  </si>
  <si>
    <t>15956</t>
  </si>
  <si>
    <t>15957</t>
  </si>
  <si>
    <t>Nginx: Process is not running</t>
  </si>
  <si>
    <t>Nginx: 进程未运行</t>
  </si>
  <si>
    <t>15958</t>
  </si>
  <si>
    <t>16678</t>
  </si>
  <si>
    <t>(218/37)</t>
  </si>
  <si>
    <t>10099</t>
  </si>
  <si>
    <t>20034</t>
  </si>
  <si>
    <t>OPNsense: DHCP server is not running</t>
  </si>
  <si>
    <t>OPNsense: DHCP服务器未运行</t>
  </si>
  <si>
    <t>20035</t>
  </si>
  <si>
    <t>OPNsense: DNS server is not running</t>
  </si>
  <si>
    <t>OPNsense: DNS服务器未运行</t>
  </si>
  <si>
    <t>20036</t>
  </si>
  <si>
    <t>OPNsense: Web server is not running</t>
  </si>
  <si>
    <t>OPNsense: Web服务器未运行</t>
  </si>
  <si>
    <t>20037</t>
  </si>
  <si>
    <t>OPNsense: Packet filter is not running</t>
  </si>
  <si>
    <t>OPNsense: 数据包过滤规则未运行</t>
  </si>
  <si>
    <t>20038</t>
  </si>
  <si>
    <t>OPNsense: Source tracking table usage more than {$SOURCE.TRACKING.TABLE.UTIL.MAX}.</t>
  </si>
  <si>
    <t>OPNsense: 跟踪表使用率量超过 {$SOURCE.TRACKING.TABLE.UTIL.MAX}.</t>
  </si>
  <si>
    <t>20039</t>
  </si>
  <si>
    <t>OPNsense: State table usage more than {$STATE.TABLE.UTIL.MAX}.</t>
  </si>
  <si>
    <t>OPNsense: 态表使用率量超过 {$STATE.TABLE.UTIL.MAX}.</t>
  </si>
  <si>
    <t>20040</t>
  </si>
  <si>
    <t>OPNsense: No SNMP data collection</t>
  </si>
  <si>
    <t>OPNsense: 无SNMP数据收集</t>
  </si>
  <si>
    <t>(218/38)</t>
  </si>
  <si>
    <t>10399</t>
  </si>
  <si>
    <t>19750</t>
  </si>
  <si>
    <t>PFSense: DHCP server is not running</t>
  </si>
  <si>
    <t>PFSense: DHCP服务器未运行</t>
  </si>
  <si>
    <t>19751</t>
  </si>
  <si>
    <t>PFSense: DNS server is not running</t>
  </si>
  <si>
    <t>PFSense: DNS服务器未运行</t>
  </si>
  <si>
    <t>19752</t>
  </si>
  <si>
    <t>PFSense: Web server is not running</t>
  </si>
  <si>
    <t>PFSense: Web服务器未运行</t>
  </si>
  <si>
    <t>19753</t>
  </si>
  <si>
    <t>PFSense: Packet filter is not running</t>
  </si>
  <si>
    <t>PFSense: 数据包过滤规则未运行</t>
  </si>
  <si>
    <t>19754</t>
  </si>
  <si>
    <t>PFSense: Source tracking table usage more than {$SOURCE.TRACKING.TABLE.UTIL.MAX}.</t>
  </si>
  <si>
    <t>PFSense: 跟踪表使用率超过{$SOURCE.TRACKING.TABLE.UTIL.MAX}.</t>
  </si>
  <si>
    <t>19755</t>
  </si>
  <si>
    <t>PFSense: State table usage more than {$STATE.TABLE.UTIL.MAX}.</t>
  </si>
  <si>
    <t>PFSense: 态表用法超过{$STATE.TABLE.UTIL.MAX}.</t>
  </si>
  <si>
    <t>19759</t>
  </si>
  <si>
    <t>PFSense: No SNMP data collection</t>
  </si>
  <si>
    <t>PFSense: 无SNMP数据收集</t>
  </si>
  <si>
    <t>(218/39)</t>
  </si>
  <si>
    <t>10267</t>
  </si>
  <si>
    <t>17232</t>
  </si>
  <si>
    <t>PHP-FPM: Queue utilization is high (over {$PHP_FPM.QUEUE.WARN.MAX}% for 15m)</t>
  </si>
  <si>
    <t>PHP-FPM: 列利用率高了(超过{$PHP_FPM.QUEUE.WARN.MAX}%达15分钟)</t>
  </si>
  <si>
    <t>17233</t>
  </si>
  <si>
    <t>PHP-FPM: Service is down</t>
  </si>
  <si>
    <t>PHP-FPM: 服务已关闭</t>
  </si>
  <si>
    <t>17234</t>
  </si>
  <si>
    <t>PHP-FPM: Manager  changed (new value received: {ITEM.VALUE})</t>
  </si>
  <si>
    <t>PHP-FPM: 理器已变更(收到的新值:{ITEM.VALUE})</t>
  </si>
  <si>
    <t>17235</t>
  </si>
  <si>
    <t>PHP-FPM: Detected slow requests</t>
  </si>
  <si>
    <t>PHP-FPM: 检测到慢速请求</t>
  </si>
  <si>
    <t>17236</t>
  </si>
  <si>
    <t>PHP-FPM: Failed to fetch info data (or no data for 30m)</t>
  </si>
  <si>
    <t>PHP-FPM: 法获取信息数据(或没有数据达30分钟)</t>
  </si>
  <si>
    <t>17238</t>
  </si>
  <si>
    <t>PHP-FPM: Version has changed (new version: {ITEM.VALUE})</t>
  </si>
  <si>
    <t>PHP-FPM: 本已变更(新版本:{ITEM.VALUE})</t>
  </si>
  <si>
    <t>20049</t>
  </si>
  <si>
    <t>PHP-FPM: Pool has been restarted (uptime &lt; 10m)</t>
  </si>
  <si>
    <t>PHP-FPM: 已重新启动(正常运行时间 &lt; 10分钟)</t>
  </si>
  <si>
    <t>(218/40)</t>
  </si>
  <si>
    <t>10266</t>
  </si>
  <si>
    <t>17224</t>
  </si>
  <si>
    <t>17225</t>
  </si>
  <si>
    <t>17226</t>
  </si>
  <si>
    <t>17227</t>
  </si>
  <si>
    <t>17228</t>
  </si>
  <si>
    <t>17230</t>
  </si>
  <si>
    <t>17231</t>
  </si>
  <si>
    <t>PHP-FPM: Process is not running</t>
  </si>
  <si>
    <t>PHP-FPM: 进程未运行</t>
  </si>
  <si>
    <t>20048</t>
  </si>
  <si>
    <t>(218/41)</t>
  </si>
  <si>
    <t>10436</t>
  </si>
  <si>
    <t>13551</t>
  </si>
  <si>
    <t>POP service is down on {HOST.NAME}</t>
  </si>
  <si>
    <t>{HOST.NAME}上的POP服务已关闭</t>
  </si>
  <si>
    <t>(218/42)</t>
  </si>
  <si>
    <t>(27/1)</t>
  </si>
  <si>
    <t>10434</t>
  </si>
  <si>
    <t>19800</t>
  </si>
  <si>
    <t>Remote Zabbix proxy: Utilization of configuration syncer processes over {$ZABBIX.PROXY.UTIL.MAX:"configuration syncer"}%</t>
  </si>
  <si>
    <t>Remote Zabbix proxy: 汉化作者建议增大配置文件CacheUpdateFrequency参数</t>
  </si>
  <si>
    <t>(27/2)</t>
  </si>
  <si>
    <t>19801</t>
  </si>
  <si>
    <t>Remote Zabbix proxy: Utilization of data sender processes over {$ZABBIX.PROXY.UTIL.MAX:"data sender"}%</t>
  </si>
  <si>
    <t>Remote Zabbix proxy: 汉化作者建议增大配置文件DataSenderFrequency参数</t>
  </si>
  <si>
    <t>(27/3)</t>
  </si>
  <si>
    <t>19802</t>
  </si>
  <si>
    <t>Remote Zabbix proxy: Utilization of discoverer processes over {$ZABBIX.PROXY.UTIL.MAX:"discoverer"}%</t>
  </si>
  <si>
    <t>Remote Zabbix proxy: 汉化作者建议增大配置文件StartDiscoverers参数</t>
  </si>
  <si>
    <t>(27/4)</t>
  </si>
  <si>
    <t>19803</t>
  </si>
  <si>
    <t>Remote Zabbix proxy: Utilization of heartbeat sender processes over {$ZABBIX.PROXY.UTIL.MAX:"heartbeat sender"}%</t>
  </si>
  <si>
    <t>Remote Zabbix proxy: 汉化作者建议增大配置文件HeartbeatFrequency参数</t>
  </si>
  <si>
    <t>(27/5)</t>
  </si>
  <si>
    <t>19804</t>
  </si>
  <si>
    <t>Remote Zabbix proxy: Utilization of history syncer processes over {$ZABBIX.PROXY.UTIL.MAX:"history syncer"}%</t>
  </si>
  <si>
    <t>Remote Zabbix proxy: 汉化作者建议增大配置文件StartDBSyncers参数</t>
  </si>
  <si>
    <t>(27/6)</t>
  </si>
  <si>
    <t>19805</t>
  </si>
  <si>
    <t>Remote Zabbix proxy: Utilization of housekeeper processes over {$ZABBIX.PROXY.UTIL.MAX:"housekeeper"}%</t>
  </si>
  <si>
    <t>Remote Zabbix proxy: 汉化作者建议对mysql数据库分区或增大配置文件MaxHousekeeperDelete、HousekeepingFrequency参数</t>
  </si>
  <si>
    <t>(27/7)</t>
  </si>
  <si>
    <t>19806</t>
  </si>
  <si>
    <t>Remote Zabbix proxy: Utilization of http poller processes over {$ZABBIX.PROXY.UTIL.MAX:"http poller"}%</t>
  </si>
  <si>
    <t>Remote Zabbix proxy: 汉化作者建议增大配置文件StartHTTPPollers参数</t>
  </si>
  <si>
    <t>(27/8)</t>
  </si>
  <si>
    <t>19807</t>
  </si>
  <si>
    <t>Remote Zabbix proxy: Utilization of icmp pinger processes over {$ZABBIX.PROXY.UTIL.MAX:"icmp pinger"}%</t>
  </si>
  <si>
    <t>Remote Zabbix proxy: 汉化作者建议增大配置文件StartPingers参数</t>
  </si>
  <si>
    <t>(27/9)</t>
  </si>
  <si>
    <t>19808</t>
  </si>
  <si>
    <t>Remote Zabbix proxy: Utilization of ipmi manager processes over {$ZABBIX.PROXY.UTIL.MAX:"ipmi manager"}%</t>
  </si>
  <si>
    <t>Remote Zabbix proxy: 汉化作者建议增大配置文件StartIPMIPollers参数</t>
  </si>
  <si>
    <t>(27/10)</t>
  </si>
  <si>
    <t>19809</t>
  </si>
  <si>
    <t>Remote Zabbix proxy: Utilization of ipmi poller processes over {$ZABBIX.PROXY.UTIL.MAX:"ipmi poller"}%</t>
  </si>
  <si>
    <t>(27/11)</t>
  </si>
  <si>
    <t>19810</t>
  </si>
  <si>
    <t>Remote Zabbix proxy: Utilization of java poller processes over {$ZABBIX.PROXY.UTIL.MAX:"java poller"}%</t>
  </si>
  <si>
    <t>Remote Zabbix proxy: 汉化作者建议增大配置文件StartJavaPollers参数</t>
  </si>
  <si>
    <t>(27/12)</t>
  </si>
  <si>
    <t>19811</t>
  </si>
  <si>
    <t>Remote Zabbix proxy: Utilization of poller processes over {$ZABBIX.PROXY.UTIL.MAX:"poller"}%</t>
  </si>
  <si>
    <t>Remote Zabbix proxy: 汉化作者建议增大配置文件StartPollers参数</t>
  </si>
  <si>
    <t>(27/13)</t>
  </si>
  <si>
    <t>19812</t>
  </si>
  <si>
    <t>Remote Zabbix proxy: Utilization of preprocessing manager processes over {$ZABBIX.PROXY.UTIL.MAX:"preprocessing manager"}%</t>
  </si>
  <si>
    <t>Remote Zabbix proxy: 汉化作者建议增大配置文件StartPreprocessors参数</t>
  </si>
  <si>
    <t>(27/14)</t>
  </si>
  <si>
    <t>19813</t>
  </si>
  <si>
    <t>Remote Zabbix proxy: Utilization of preprocessing worker processes over {$ZABBIX.PROXY.UTIL.MAX:"preprocessing worker"}%</t>
  </si>
  <si>
    <t>(27/15)</t>
  </si>
  <si>
    <t>19814</t>
  </si>
  <si>
    <t>Remote Zabbix proxy: Utilization of self-monitoring processes over {$ZABBIX.PROXY.UTIL.MAX:"self-monitoring"}%</t>
  </si>
  <si>
    <t>Remote Zabbix proxy: 汉化作者建议增大物理服务器配置</t>
  </si>
  <si>
    <t>(27/16)</t>
  </si>
  <si>
    <t>19815</t>
  </si>
  <si>
    <t>Remote Zabbix proxy: Utilization of snmp trapper processes over {$ZABBIX.PROXY.UTIL.MAX:"snmp trapper"}%</t>
  </si>
  <si>
    <t>Remote Zabbix proxy: 汉化作者建议增大配置文件StartSNMPTrapper参数</t>
  </si>
  <si>
    <t>(27/17)</t>
  </si>
  <si>
    <t>19816</t>
  </si>
  <si>
    <t>Remote Zabbix proxy: Utilization of task manager processes over {$ZABBIX.PROXY.UTIL.MAX:"task manager"}%</t>
  </si>
  <si>
    <t>(27/18)</t>
  </si>
  <si>
    <t>19817</t>
  </si>
  <si>
    <t>Remote Zabbix proxy: Utilization of trapper processes over {$ZABBIX.PROXY.UTIL.MAX:"trapper"}%</t>
  </si>
  <si>
    <t>Remote Zabbix proxy: 汉化作者建议增大配置文件StartTrappers参数</t>
  </si>
  <si>
    <t>(27/19)</t>
  </si>
  <si>
    <t>19818</t>
  </si>
  <si>
    <t>Remote Zabbix proxy: Utilization of unreachable poller processes over {$ZABBIX.PROXY.UTIL.MAX:"unreachable poller"}%</t>
  </si>
  <si>
    <t>Remote Zabbix proxy: 汉化作者建议增大配置文件StartPollersUnreachable参数</t>
  </si>
  <si>
    <t>(27/20)</t>
  </si>
  <si>
    <t>19819</t>
  </si>
  <si>
    <t>Remote Zabbix proxy: Utilization of vmware collector processes over {$ZABBIX.PROXY.UTIL.MAX:"vmware collector"}%</t>
  </si>
  <si>
    <t>Remote Zabbix proxy: 汉化作者建议增大配置文件StartVMwareCollectors参数</t>
  </si>
  <si>
    <t>(27/21)</t>
  </si>
  <si>
    <t>19820</t>
  </si>
  <si>
    <t>Remote Zabbix proxy: More than {$ZABBIX.PROXY.UTIL.MAX}% used in the configuration cache</t>
  </si>
  <si>
    <t>Remote Zabbix proxy: 汉化作者建议增大配置文件CacheSize参数</t>
  </si>
  <si>
    <t>(27/22)</t>
  </si>
  <si>
    <t>19821</t>
  </si>
  <si>
    <t>Remote Zabbix proxy: has been restarted (uptime &lt; 10m)</t>
  </si>
  <si>
    <t>Remote Zabbix proxy: 重新启动(正常运行时间&lt;10分钟)</t>
  </si>
  <si>
    <t>(27/23)</t>
  </si>
  <si>
    <t>19822</t>
  </si>
  <si>
    <t>Remote Zabbix proxy: Version has changed (new version: {ITEM.VALUE})</t>
  </si>
  <si>
    <t>Remote Zabbix proxy: 本已变更(新版本:{ITEM.VALUE})</t>
  </si>
  <si>
    <t>(27/24)</t>
  </si>
  <si>
    <t>19823</t>
  </si>
  <si>
    <t>Remote Zabbix proxy: More than {$ZABBIX.PROXY.UTIL.MAX}% used in the vmware cache</t>
  </si>
  <si>
    <t>Remote Zabbix proxy: 汉化作者建议增大配置文件VMwareCacheSize参数</t>
  </si>
  <si>
    <t>(27/25)</t>
  </si>
  <si>
    <t>19824</t>
  </si>
  <si>
    <t>Remote Zabbix proxy: More than {$ZABBIX.PROXY.UTIL.MAX}% used in the history cache</t>
  </si>
  <si>
    <t>Remote Zabbix proxy: 汉化作者建议增大配置文件HistoryCacheSize参数</t>
  </si>
  <si>
    <t>(27/26)</t>
  </si>
  <si>
    <t>19825</t>
  </si>
  <si>
    <t>Remote Zabbix proxy: More than {$ZABBIX.PROXY.UTIL.MAX}% used in the history index cache</t>
  </si>
  <si>
    <t>Remote Zabbix proxy: 汉化作者建议增大配置文件HistoryIndexCacheSize参数</t>
  </si>
  <si>
    <t>(27/27)</t>
  </si>
  <si>
    <t>19826</t>
  </si>
  <si>
    <t>Remote Zabbix proxy: More than 100 items having missing data for more than 10 minutes</t>
  </si>
  <si>
    <t>Remote Zabbix proxy: 超过100个监控项丢失数据超过10分钟</t>
  </si>
  <si>
    <t>(218/43)</t>
  </si>
  <si>
    <t>(35/1)</t>
  </si>
  <si>
    <t>10336</t>
  </si>
  <si>
    <t>18715</t>
  </si>
  <si>
    <t>Remote Zabbix server: Utilization of alerter processes over 75%</t>
  </si>
  <si>
    <t>Remote Zabbix server: 汉化作者建议增大配置文件StartAlerters参数</t>
  </si>
  <si>
    <t>(35/2)</t>
  </si>
  <si>
    <t>18716</t>
  </si>
  <si>
    <t>Remote Zabbix server: Utilization of alert manager processes over 75%</t>
  </si>
  <si>
    <t>(35/3)</t>
  </si>
  <si>
    <t>18717</t>
  </si>
  <si>
    <t>Remote Zabbix server: Utilization of alert syncer processes over 75%</t>
  </si>
  <si>
    <t>Remote Zabbix server: 汉化作者建议增大配置文件StartDBSyncers参数</t>
  </si>
  <si>
    <t>(35/4)</t>
  </si>
  <si>
    <t>18719</t>
  </si>
  <si>
    <t>Remote Zabbix server: Utilization of configuration syncer processes over 75%</t>
  </si>
  <si>
    <t>Remote Zabbix server: 汉化作者建议增大配置文件CacheUpdateFrequency参数</t>
  </si>
  <si>
    <t>(35/5)</t>
  </si>
  <si>
    <t>18720</t>
  </si>
  <si>
    <t>Remote Zabbix server: Utilization of discoverer processes over 75%</t>
  </si>
  <si>
    <t>Remote Zabbix server: 汉化作者建议增大配置文件StartDiscoverers参数</t>
  </si>
  <si>
    <t>(35/6)</t>
  </si>
  <si>
    <t>18721</t>
  </si>
  <si>
    <t>Remote Zabbix server: Utilization of escalator processes over 75%</t>
  </si>
  <si>
    <t>Remote Zabbix server: 汉化作者建议增大配置文件StartEscalators参数</t>
  </si>
  <si>
    <t>(35/7)</t>
  </si>
  <si>
    <t>18723</t>
  </si>
  <si>
    <t>Remote Zabbix server: Utilization of history syncer processes over 75%</t>
  </si>
  <si>
    <t>(35/8)</t>
  </si>
  <si>
    <t>18724</t>
  </si>
  <si>
    <t>Remote Zabbix server: Utilization of housekeeper processes over 75%</t>
  </si>
  <si>
    <t>Remote Zabbix server: 汉化作者建议对mysql数据库分区或增大配置文件MaxHousekeeperDelete、HousekeepingFrequency参数</t>
  </si>
  <si>
    <t>(35/9)</t>
  </si>
  <si>
    <t>18725</t>
  </si>
  <si>
    <t>Remote Zabbix server: Utilization of http poller processes over 75%</t>
  </si>
  <si>
    <t>Remote Zabbix server: 汉化作者建议增大配置文件StartHTTPPollers参数</t>
  </si>
  <si>
    <t>(35/10)</t>
  </si>
  <si>
    <t>18726</t>
  </si>
  <si>
    <t>Remote Zabbix server: Utilization of icmp pinger processes over 75%</t>
  </si>
  <si>
    <t>Remote Zabbix server: 汉化作者建议增大配置文件StartPingers参数</t>
  </si>
  <si>
    <t>(35/11)</t>
  </si>
  <si>
    <t>18727</t>
  </si>
  <si>
    <t>Remote Zabbix server: Utilization of ipmi manager processes over 75%</t>
  </si>
  <si>
    <t>Remote Zabbix server: 汉化作者建议增大配置文件StartIPMIPollers参数</t>
  </si>
  <si>
    <t>(35/12)</t>
  </si>
  <si>
    <t>18728</t>
  </si>
  <si>
    <t>Remote Zabbix server: Utilization of ipmi poller processes over 75%</t>
  </si>
  <si>
    <t>(35/13)</t>
  </si>
  <si>
    <t>18729</t>
  </si>
  <si>
    <t>Remote Zabbix server: Utilization of java poller processes over 75%</t>
  </si>
  <si>
    <t>Remote Zabbix server: 汉化作者建议增大配置文件StartJavaPollers参数</t>
  </si>
  <si>
    <t>(35/14)</t>
  </si>
  <si>
    <t>18730</t>
  </si>
  <si>
    <t>Remote Zabbix server: Utilization of lld manager processes over 75%</t>
  </si>
  <si>
    <t>Remote Zabbix server: 汉化作者建议增大配置文件StartLLDProcessors参数</t>
  </si>
  <si>
    <t>(35/15)</t>
  </si>
  <si>
    <t>18731</t>
  </si>
  <si>
    <t>Remote Zabbix server: Utilization of lld worker processes over 75%</t>
  </si>
  <si>
    <t>(35/16)</t>
  </si>
  <si>
    <t>18732</t>
  </si>
  <si>
    <t>Remote Zabbix server: Utilization of poller processes over 75%</t>
  </si>
  <si>
    <t>Remote Zabbix server: 汉化作者建议增大配置文件StartPollers参数</t>
  </si>
  <si>
    <t>(35/17)</t>
  </si>
  <si>
    <t>18733</t>
  </si>
  <si>
    <t>Remote Zabbix server: Utilization of preprocessing manager processes over 75%</t>
  </si>
  <si>
    <t>Remote Zabbix server: 汉化作者建议增大配置文件StartPreprocessors参数</t>
  </si>
  <si>
    <t>(35/18)</t>
  </si>
  <si>
    <t>18734</t>
  </si>
  <si>
    <t>Remote Zabbix server: Utilization of preprocessing worker processes over 75%</t>
  </si>
  <si>
    <t>(35/19)</t>
  </si>
  <si>
    <t>18735</t>
  </si>
  <si>
    <t>Remote Zabbix server: Utilization of proxy poller processes over 75%</t>
  </si>
  <si>
    <t>Remote Zabbix server: 汉化作者建议增大配置文件StartProxyPollers参数</t>
  </si>
  <si>
    <t>(35/20)</t>
  </si>
  <si>
    <t>18738</t>
  </si>
  <si>
    <t>Remote Zabbix server: Utilization of self-monitoring processes over 75%</t>
  </si>
  <si>
    <t>Remote Zabbix server: 汉化作者建议增大物理服务器配置</t>
  </si>
  <si>
    <t>(35/21)</t>
  </si>
  <si>
    <t>18739</t>
  </si>
  <si>
    <t>Remote Zabbix server: Utilization of snmp trapper processes over 75%</t>
  </si>
  <si>
    <t>Remote Zabbix server: 汉化作者建议增大配置文件StartSNMPTrapper参数</t>
  </si>
  <si>
    <t>(35/22)</t>
  </si>
  <si>
    <t>18740</t>
  </si>
  <si>
    <t>Remote Zabbix server: Utilization of task manager processes over 75%</t>
  </si>
  <si>
    <t>(35/23)</t>
  </si>
  <si>
    <t>18741</t>
  </si>
  <si>
    <t>Remote Zabbix server: Utilization of timer processes over 75%</t>
  </si>
  <si>
    <t>Remote Zabbix server: 汉化作者建议增大配置文件StartTimers参数</t>
  </si>
  <si>
    <t>(35/24)</t>
  </si>
  <si>
    <t>18742</t>
  </si>
  <si>
    <t>Remote Zabbix server: Utilization of trapper processes over 75%</t>
  </si>
  <si>
    <t>Remote Zabbix server: 汉化作者建议增大配置文件StartTrappers参数</t>
  </si>
  <si>
    <t>(35/25)</t>
  </si>
  <si>
    <t>18743</t>
  </si>
  <si>
    <t>Remote Zabbix server: Utilization of unreachable poller processes over 75%</t>
  </si>
  <si>
    <t>Remote Zabbix server: 汉化作者建议增大配置文件StartPollersUnreachable参数</t>
  </si>
  <si>
    <t>(35/26)</t>
  </si>
  <si>
    <t>18744</t>
  </si>
  <si>
    <t>Remote Zabbix server: Utilization of vmware collector processes over 75%</t>
  </si>
  <si>
    <t>Remote Zabbix server: 汉化作者建议增大配置文件StartVMwareCollectors参数</t>
  </si>
  <si>
    <t>(35/27)</t>
  </si>
  <si>
    <t>18745</t>
  </si>
  <si>
    <t>Remote Zabbix server: More than 75% used in the configuration cache</t>
  </si>
  <si>
    <t>Remote Zabbix server: 汉化作者建议增大配置文件CacheSize参数</t>
  </si>
  <si>
    <t>(35/28)</t>
  </si>
  <si>
    <t>18746</t>
  </si>
  <si>
    <t>Remote Zabbix server: More than 95% used in the value cache</t>
  </si>
  <si>
    <t>Remote Zabbix server: 汉化作者建议增大配置文件ValueCacheSize参数</t>
  </si>
  <si>
    <t>(35/29)</t>
  </si>
  <si>
    <t>18747</t>
  </si>
  <si>
    <t>Remote Zabbix server: Zabbix value cache working in low memory mode</t>
  </si>
  <si>
    <t>(35/30)</t>
  </si>
  <si>
    <t>18748</t>
  </si>
  <si>
    <t>Remote Zabbix server: Version has changed (new version: {ITEM.VALUE})</t>
  </si>
  <si>
    <t>Remote Zabbix server: 本已变更(新版本:{ITEM.VALUE})</t>
  </si>
  <si>
    <t>(35/31)</t>
  </si>
  <si>
    <t>18749</t>
  </si>
  <si>
    <t>Remote Zabbix server: More than 75% used in the vmware cache</t>
  </si>
  <si>
    <t>Remote Zabbix server: 汉化作者建议增大配置文件VMwareCacheSize参数</t>
  </si>
  <si>
    <t>(35/32)</t>
  </si>
  <si>
    <t>18750</t>
  </si>
  <si>
    <t>Remote Zabbix server: More than 75% used in the history cache</t>
  </si>
  <si>
    <t>Remote Zabbix server: 汉化作者建议增大配置文件HistoryCacheSize参数</t>
  </si>
  <si>
    <t>(35/33)</t>
  </si>
  <si>
    <t>18751</t>
  </si>
  <si>
    <t>Remote Zabbix server: More than 75% used in the history index cache</t>
  </si>
  <si>
    <t>Remote Zabbix server: 汉化作者建议增大配置文件HistoryIndexCacheSize参数</t>
  </si>
  <si>
    <t>(35/34)</t>
  </si>
  <si>
    <t>18752</t>
  </si>
  <si>
    <t>Remote Zabbix server: More than 75% used in the trends cache</t>
  </si>
  <si>
    <t>Remote Zabbix server: 汉化作者建议增大配置文件TrendCacheSize、TrendFunctionCacheSize参数</t>
  </si>
  <si>
    <t>(35/35)</t>
  </si>
  <si>
    <t>18753</t>
  </si>
  <si>
    <t>Remote Zabbix server: More than 100 items having missing data for more than 10 minutes</t>
  </si>
  <si>
    <t>Remote Zabbix server: 超过100个监控项丢失数据超过10分钟</t>
  </si>
  <si>
    <t>(218/44)</t>
  </si>
  <si>
    <t>10335</t>
  </si>
  <si>
    <t>13552</t>
  </si>
  <si>
    <t>SMTP service is down on {HOST.NAME}</t>
  </si>
  <si>
    <t>{HOST.NAME}上的SMTP服务已关闭</t>
  </si>
  <si>
    <t>(218/45)</t>
  </si>
  <si>
    <t>10100</t>
  </si>
  <si>
    <t>13553</t>
  </si>
  <si>
    <t>SSH service is down on {HOST.NAME}</t>
  </si>
  <si>
    <t>{HOST.NAME}上的SSH服务已关闭</t>
  </si>
  <si>
    <t>(218/46)</t>
  </si>
  <si>
    <t>10262</t>
  </si>
  <si>
    <t>17240</t>
  </si>
  <si>
    <t>Squid: Swap usage is more than high watermark (&gt;{ITEM.VALUE2}%)</t>
  </si>
  <si>
    <t>Squid: 换使用率高于高水位线(&gt;{ITEM.VALUE2}%)</t>
  </si>
  <si>
    <t>17241</t>
  </si>
  <si>
    <t>Squid: Swap usage is more than low watermark (&gt;{ITEM.VALUE2}%)</t>
  </si>
  <si>
    <t>Squid: 换使用率高于低水位线(&gt;{ITEM.VALUE2}%)</t>
  </si>
  <si>
    <t>17242</t>
  </si>
  <si>
    <t>Squid: Port {$SQUID.HTTP.PORT} is down</t>
  </si>
  <si>
    <t>Squid: 端口{$SQUID.HTTP.PORT}已关闭</t>
  </si>
  <si>
    <t>17243</t>
  </si>
  <si>
    <t>Squid: Squid is running out of file descriptors (&lt;{$SQUID.FILE.DESC.WARN.MIN})</t>
  </si>
  <si>
    <t>Squid: quid文件描述符用完(&lt;{$SQUID.FILE.DESC.WARN.MIN})</t>
  </si>
  <si>
    <t>17244</t>
  </si>
  <si>
    <t>Squid: Squid has been restarted (uptime &lt; 10m)</t>
  </si>
  <si>
    <t>Squid: quid已重新启动(正常运行时间&lt;10分钟)</t>
  </si>
  <si>
    <t>17245</t>
  </si>
  <si>
    <t>Squid: Squid version has been changed</t>
  </si>
  <si>
    <t>Squid: Squid版本已变更</t>
  </si>
  <si>
    <t>18230</t>
  </si>
  <si>
    <t>Squid: High sys page faults rate (&gt;{$SQUID.PAGE.FAULT.WARN}% of received HTTP requests)</t>
  </si>
  <si>
    <t>Squid: ys页面错误率太高(接收到的HTTP请求中,大于{$SQUID.PAGE.FAULT.WARN}%)</t>
  </si>
  <si>
    <t>(218/47)</t>
  </si>
  <si>
    <t>10261</t>
  </si>
  <si>
    <t>13285</t>
  </si>
  <si>
    <t>Telnet service is down on {HOST.NAME}</t>
  </si>
  <si>
    <t>{HOST.NAME}上的Telnet服务已关闭</t>
  </si>
  <si>
    <t>(218/48)</t>
  </si>
  <si>
    <t>10101</t>
  </si>
  <si>
    <t>19426</t>
  </si>
  <si>
    <t>Cert: SSL certificate expires soon (less than {$CERT.EXPIRY.WARN} days)</t>
  </si>
  <si>
    <t>Cert: SL证书即将到期(少于{$CERT.EXPIRY.WARN}天)</t>
  </si>
  <si>
    <t>19427</t>
  </si>
  <si>
    <t>Cert: Fingerprint has changed (new version: {ITEM.VALUE})</t>
  </si>
  <si>
    <t>Cert: 纹已变更(新版本:{ITEM.VALUE})</t>
  </si>
  <si>
    <t>19428</t>
  </si>
  <si>
    <t>Cert: SSL certificate is invalid</t>
  </si>
  <si>
    <t>Cert: SSL证书无效</t>
  </si>
  <si>
    <t>(218/49)</t>
  </si>
  <si>
    <t>10102</t>
  </si>
  <si>
    <t>19773</t>
  </si>
  <si>
    <t>Zabbix proxy: Utilization of configuration syncer processes over {$ZABBIX.PROXY.UTIL.MAX:"configuration syncer"}%</t>
  </si>
  <si>
    <t>Zabbix proxy: 汉化作者建议增大配置文件CacheUpdateFrequency参数</t>
  </si>
  <si>
    <t>19774</t>
  </si>
  <si>
    <t>Zabbix proxy: Utilization of data sender processes over {$ZABBIX.PROXY.UTIL.MAX:"data sender"}%</t>
  </si>
  <si>
    <t>Zabbix proxy: 汉化作者建议增大配置文件DataSenderFrequency参数</t>
  </si>
  <si>
    <t>19775</t>
  </si>
  <si>
    <t>Zabbix proxy: Utilization of discoverer processes over {$ZABBIX.PROXY.UTIL.MAX:"discoverer"}%</t>
  </si>
  <si>
    <t>Zabbix proxy: 汉化作者建议增大配置文件StartDiscoverers参数</t>
  </si>
  <si>
    <t>19776</t>
  </si>
  <si>
    <t>Zabbix proxy: Utilization of heartbeat sender processes over {$ZABBIX.PROXY.UTIL.MAX:"heartbeat sender"}%</t>
  </si>
  <si>
    <t>Zabbix proxy: 汉化作者建议增大配置文件HeartbeatFrequency参数</t>
  </si>
  <si>
    <t>19777</t>
  </si>
  <si>
    <t>Zabbix proxy: Utilization of history syncer processes over {$ZABBIX.PROXY.UTIL.MAX:"history syncer"}%</t>
  </si>
  <si>
    <t>Zabbix proxy: 汉化作者建议增大配置文件StartDBSyncers参数</t>
  </si>
  <si>
    <t>19778</t>
  </si>
  <si>
    <t>Zabbix proxy: Utilization of housekeeper processes over {$ZABBIX.PROXY.UTIL.MAX:"housekeeper"}%</t>
  </si>
  <si>
    <t>Zabbix proxy: 汉化作者建议对mysql数据库分区或增大配置文件MaxHousekeeperDelete、HousekeepingFrequency参数</t>
  </si>
  <si>
    <t>19779</t>
  </si>
  <si>
    <t>Zabbix proxy: Utilization of http poller processes over {$ZABBIX.PROXY.UTIL.MAX:"http poller"}%</t>
  </si>
  <si>
    <t>Zabbix proxy: 汉化作者建议增大配置文件StartHTTPPollers参数</t>
  </si>
  <si>
    <t>19780</t>
  </si>
  <si>
    <t>Zabbix proxy: Utilization of icmp pinger processes over {$ZABBIX.PROXY.UTIL.MAX:"icmp pinger"}%</t>
  </si>
  <si>
    <t>Zabbix proxy: 汉化作者建议增大配置文件StartPingers参数</t>
  </si>
  <si>
    <t>19781</t>
  </si>
  <si>
    <t>Zabbix proxy: Utilization of ipmi manager processes over {$ZABBIX.PROXY.UTIL.MAX:"ipmi manager"}%</t>
  </si>
  <si>
    <t>Zabbix proxy: 汉化作者建议增大配置文件StartIPMIPollers参数</t>
  </si>
  <si>
    <t>19782</t>
  </si>
  <si>
    <t>Zabbix proxy: Utilization of ipmi poller processes over {$ZABBIX.PROXY.UTIL.MAX:"ipmi poller"}%</t>
  </si>
  <si>
    <t>19783</t>
  </si>
  <si>
    <t>Zabbix proxy: Utilization of java poller processes over {$ZABBIX.PROXY.UTIL.MAX:"java poller"}%</t>
  </si>
  <si>
    <t>Zabbix proxy: 汉化作者建议增大配置文件StartJavaPollers参数</t>
  </si>
  <si>
    <t>19784</t>
  </si>
  <si>
    <t>Zabbix proxy: Utilization of poller processes over {$ZABBIX.PROXY.UTIL.MAX:"poller"}%</t>
  </si>
  <si>
    <t>Zabbix proxy: 汉化作者建议增大配置文件StartPollers参数</t>
  </si>
  <si>
    <t>19785</t>
  </si>
  <si>
    <t>Zabbix proxy: Utilization of preprocessing manager processes over {$ZABBIX.PROXY.UTIL.MAX:"preprocessing manager"}%</t>
  </si>
  <si>
    <t>Zabbix proxy: 汉化作者建议增大配置文件StartPreprocessors参数</t>
  </si>
  <si>
    <t>19786</t>
  </si>
  <si>
    <t>Zabbix proxy: Utilization of preprocessing worker processes over {$ZABBIX.PROXY.UTIL.MAX:"preprocessing worker"}%</t>
  </si>
  <si>
    <t>19787</t>
  </si>
  <si>
    <t>Zabbix proxy: Utilization of self-monitoring processes over {$ZABBIX.PROXY.UTIL.MAX:"self-monitoring"}%</t>
  </si>
  <si>
    <t>Zabbix proxy: 汉化作者建议增大物理服务器配置</t>
  </si>
  <si>
    <t>19788</t>
  </si>
  <si>
    <t>Zabbix proxy: Utilization of snmp trapper processes over {$ZABBIX.PROXY.UTIL.MAX:"snmp trapper"}%</t>
  </si>
  <si>
    <t>Zabbix proxy: 汉化作者建议增大配置文件StartSNMPTrapper参数</t>
  </si>
  <si>
    <t>19789</t>
  </si>
  <si>
    <t>Zabbix proxy: Utilization of task manager processes over {$ZABBIX.PROXY.UTIL.MAX:"task manager"}%</t>
  </si>
  <si>
    <t>19790</t>
  </si>
  <si>
    <t>Zabbix proxy: Utilization of trapper processes over {$ZABBIX.PROXY.UTIL.MAX:"trapper"}%</t>
  </si>
  <si>
    <t>Zabbix proxy: 汉化作者建议增大配置文件StartTrappers参数</t>
  </si>
  <si>
    <t>19791</t>
  </si>
  <si>
    <t>Zabbix proxy: Utilization of unreachable poller processes over {$ZABBIX.PROXY.UTIL.MAX:"unreachable poller"}%</t>
  </si>
  <si>
    <t>Zabbix proxy: 汉化作者建议增大配置文件StartPollersUnreachable参数</t>
  </si>
  <si>
    <t>19792</t>
  </si>
  <si>
    <t>Zabbix proxy: Utilization of vmware collector processes over {$ZABBIX.PROXY.UTIL.MAX:"vmware collector"}%</t>
  </si>
  <si>
    <t>Zabbix proxy: 汉化作者建议增大配置文件StartVMwareCollectors参数</t>
  </si>
  <si>
    <t>19793</t>
  </si>
  <si>
    <t>Zabbix proxy: More than 100 items having missing data for more than 10 minutes</t>
  </si>
  <si>
    <t>Zabbix proxy: 超过100个监控项丢失数据超过10分钟</t>
  </si>
  <si>
    <t>19794</t>
  </si>
  <si>
    <t>Zabbix proxy: More than {$ZABBIX.PROXY.UTIL.MAX}% used in the configuration cache</t>
  </si>
  <si>
    <t>Zabbix proxy: 汉化作者建议增大配置文件CacheSize参数</t>
  </si>
  <si>
    <t>19795</t>
  </si>
  <si>
    <t>Zabbix proxy: has been restarted (uptime &lt; 10m)</t>
  </si>
  <si>
    <t>Zabbix proxy: 重新启动(正常运行时间&lt;10分钟)</t>
  </si>
  <si>
    <t>19796</t>
  </si>
  <si>
    <t>Zabbix proxy: Version has changed (new version: {ITEM.VALUE})</t>
  </si>
  <si>
    <t>Zabbix proxy: 本已变更(新版本:{ITEM.VALUE})</t>
  </si>
  <si>
    <t>19797</t>
  </si>
  <si>
    <t>Zabbix proxy: More than {$ZABBIX.PROXY.UTIL.MAX}% used in the vmware cache</t>
  </si>
  <si>
    <t>Zabbix proxy: 汉化作者建议增大配置文件VMwareCacheSize参数</t>
  </si>
  <si>
    <t>19798</t>
  </si>
  <si>
    <t>Zabbix proxy: More than {$ZABBIX.PROXY.UTIL.MAX}% used in the history cache</t>
  </si>
  <si>
    <t>Zabbix proxy: 汉化作者建议增大配置文件HistoryCacheSize参数</t>
  </si>
  <si>
    <t>19799</t>
  </si>
  <si>
    <t>Zabbix proxy: More than {$ZABBIX.PROXY.UTIL.MAX}% used in the history index cache</t>
  </si>
  <si>
    <t>Zabbix proxy: 汉化作者建议增大配置文件HistoryIndexCacheSize参数</t>
  </si>
  <si>
    <t>(218/50)</t>
  </si>
  <si>
    <t>10337</t>
  </si>
  <si>
    <t>18637</t>
  </si>
  <si>
    <t>Zabbix server: Utilization of alerter processes over 75%</t>
  </si>
  <si>
    <t>Zabbix server: 汉化作者建议增大配置文件StartAlerters参数</t>
  </si>
  <si>
    <t>18638</t>
  </si>
  <si>
    <t>Zabbix server: Utilization of alert manager processes over 75%</t>
  </si>
  <si>
    <t>18639</t>
  </si>
  <si>
    <t>Zabbix server: Utilization of alert syncer processes over 75%</t>
  </si>
  <si>
    <t>Zabbix server: 汉化作者建议增大配置文件StartDBSyncers参数</t>
  </si>
  <si>
    <t>18641</t>
  </si>
  <si>
    <t>Zabbix server: Utilization of configuration syncer processes over 75%</t>
  </si>
  <si>
    <t>Zabbix server: 汉化作者建议增大配置文件CacheUpdateFrequency参数</t>
  </si>
  <si>
    <t>18642</t>
  </si>
  <si>
    <t>Zabbix server: Utilization of discoverer processes over 75%</t>
  </si>
  <si>
    <t>Zabbix server: 汉化作者建议增大配置文件StartDiscoverers参数</t>
  </si>
  <si>
    <t>18643</t>
  </si>
  <si>
    <t>Zabbix server: Utilization of escalator processes over 75%</t>
  </si>
  <si>
    <t>Zabbix server: 汉化作者建议增大配置文件StartEscalators参数</t>
  </si>
  <si>
    <t>18645</t>
  </si>
  <si>
    <t>Zabbix server: Utilization of history syncer processes over 75%</t>
  </si>
  <si>
    <t>18646</t>
  </si>
  <si>
    <t>Zabbix server: Utilization of housekeeper processes over 75%</t>
  </si>
  <si>
    <t>Zabbix server: 汉化作者建议对mysql数据库分区或增大配置文件MaxHousekeeperDelete、HousekeepingFrequency参数</t>
  </si>
  <si>
    <t>18647</t>
  </si>
  <si>
    <t>Zabbix server: Utilization of http poller processes over 75%</t>
  </si>
  <si>
    <t>Zabbix server: 汉化作者建议增大配置文件StartHTTPPollers参数</t>
  </si>
  <si>
    <t>18648</t>
  </si>
  <si>
    <t>Zabbix server: Utilization of icmp pinger processes over 75%</t>
  </si>
  <si>
    <t>Zabbix server: 汉化作者建议增大配置文件StartPingers参数</t>
  </si>
  <si>
    <t>18649</t>
  </si>
  <si>
    <t>Zabbix server: Utilization of ipmi manager processes over 75%</t>
  </si>
  <si>
    <t>Zabbix server: 汉化作者建议增大配置文件StartIPMIPollers参数</t>
  </si>
  <si>
    <t>18650</t>
  </si>
  <si>
    <t>Zabbix server: Utilization of ipmi poller processes over 75%</t>
  </si>
  <si>
    <t>18651</t>
  </si>
  <si>
    <t>Zabbix server: Utilization of java poller processes over 75%</t>
  </si>
  <si>
    <t>Zabbix server: 汉化作者建议增大配置文件StartJavaPollers参数</t>
  </si>
  <si>
    <t>18652</t>
  </si>
  <si>
    <t>Zabbix server: Utilization of lld manager processes over 75%</t>
  </si>
  <si>
    <t>Zabbix server: 汉化作者建议增大配置文件StartLLDProcessors参数</t>
  </si>
  <si>
    <t>18653</t>
  </si>
  <si>
    <t>Zabbix server: Utilization of lld worker processes over 75%</t>
  </si>
  <si>
    <t>18654</t>
  </si>
  <si>
    <t>Zabbix server: Utilization of poller processes over 75%</t>
  </si>
  <si>
    <t>Zabbix server: 汉化作者建议增大配置文件StartPollers参数</t>
  </si>
  <si>
    <t>18655</t>
  </si>
  <si>
    <t>Zabbix server: Utilization of preprocessing manager processes over 75%</t>
  </si>
  <si>
    <t>Zabbix server: 汉化作者建议增大配置文件StartPreprocessors参数</t>
  </si>
  <si>
    <t>18656</t>
  </si>
  <si>
    <t>Zabbix server: Utilization of preprocessing worker processes over 75%</t>
  </si>
  <si>
    <t>18657</t>
  </si>
  <si>
    <t>Zabbix server: Utilization of proxy poller processes over 75%</t>
  </si>
  <si>
    <t>Zabbix server: 汉化作者建议增大配置文件StartProxyPollers参数</t>
  </si>
  <si>
    <t>18660</t>
  </si>
  <si>
    <t>Zabbix server: Utilization of self-monitoring processes over 75%</t>
  </si>
  <si>
    <t>Zabbix server: 汉化作者建议增大物理服务器配置</t>
  </si>
  <si>
    <t>18661</t>
  </si>
  <si>
    <t>Zabbix server: Utilization of snmp trapper processes over 75%</t>
  </si>
  <si>
    <t>Zabbix server: 汉化作者建议增大配置文件StartSNMPTrapper参数</t>
  </si>
  <si>
    <t>18662</t>
  </si>
  <si>
    <t>Zabbix server: Utilization of task manager processes over 75%</t>
  </si>
  <si>
    <t>18663</t>
  </si>
  <si>
    <t>Zabbix server: Utilization of timer processes over 75%</t>
  </si>
  <si>
    <t>Zabbix server: 汉化作者建议增大配置文件StartTimers参数</t>
  </si>
  <si>
    <t>18664</t>
  </si>
  <si>
    <t>Zabbix server: Utilization of trapper processes over 75%</t>
  </si>
  <si>
    <t>Zabbix server: 汉化作者建议增大配置文件StartTrappers参数</t>
  </si>
  <si>
    <t>18665</t>
  </si>
  <si>
    <t>Zabbix server: Utilization of unreachable poller processes over 75%</t>
  </si>
  <si>
    <t>Zabbix server: 汉化作者建议增大配置文件StartPollersUnreachable参数</t>
  </si>
  <si>
    <t>18666</t>
  </si>
  <si>
    <t>Zabbix server: Utilization of vmware collector processes over 75%</t>
  </si>
  <si>
    <t>Zabbix server: 汉化作者建议增大配置文件StartVMwareCollectors参数</t>
  </si>
  <si>
    <t>18667</t>
  </si>
  <si>
    <t>Zabbix server: More than 100 items having missing data for more than 10 minutes</t>
  </si>
  <si>
    <t>Zabbix server: 超过100个监控项丢失数据超过10分钟</t>
  </si>
  <si>
    <t>18668</t>
  </si>
  <si>
    <t>Zabbix server: More than 75% used in the configuration cache</t>
  </si>
  <si>
    <t>Zabbix server: 汉化作者建议增大配置文件CacheSize参数</t>
  </si>
  <si>
    <t>18669</t>
  </si>
  <si>
    <t>Zabbix server: More than 95% used in the value cache</t>
  </si>
  <si>
    <t>Zabbix server: 汉化作者建议增大配置文件ValueCacheSize参数</t>
  </si>
  <si>
    <t>18670</t>
  </si>
  <si>
    <t>Zabbix server: Zabbix value cache working in low memory mode</t>
  </si>
  <si>
    <t>18671</t>
  </si>
  <si>
    <t>Zabbix server: Version has changed (new version: {ITEM.VALUE})</t>
  </si>
  <si>
    <t>Zabbix server: 本已变更(新版本:{ITEM.VALUE})</t>
  </si>
  <si>
    <t>18672</t>
  </si>
  <si>
    <t>Zabbix server: More than 75% used in the vmware cache</t>
  </si>
  <si>
    <t>Zabbix server: 汉化作者建议增大配置文件VMwareCacheSize参数</t>
  </si>
  <si>
    <t>18673</t>
  </si>
  <si>
    <t>Zabbix server: More than 75% used in the history cache</t>
  </si>
  <si>
    <t>Zabbix server: 汉化作者建议增大配置文件HistoryCacheSize参数</t>
  </si>
  <si>
    <t>18674</t>
  </si>
  <si>
    <t>Zabbix server: More than 75% used in the history index cache</t>
  </si>
  <si>
    <t>Zabbix server: 汉化作者建议增大配置文件HistoryIndexCacheSize参数</t>
  </si>
  <si>
    <t>18675</t>
  </si>
  <si>
    <t>Zabbix server: More than 75% used in the trends cache</t>
  </si>
  <si>
    <t>Zabbix server: 汉化作者建议增大配置文件TrendCacheSize、TrendFunctionCacheSize参数</t>
  </si>
  <si>
    <t>(218/51)</t>
  </si>
  <si>
    <t>10103</t>
  </si>
  <si>
    <t>17297</t>
  </si>
  <si>
    <t>Zookeeper: Too many file descriptors used (over {$ZOOKEEPER.FILE_DESCRIPTORS.MAX.WARN}% for 5 min)</t>
  </si>
  <si>
    <t>Zookeeper: 用率的文件描述符太多(超过{$ZOOKEEPER.FILE_DESCRIPTORS.MAX.WARN}%持续5分钟)</t>
  </si>
  <si>
    <t>17298</t>
  </si>
  <si>
    <t>Zookeeper: Too many queued requests (over {$ZOOKEEPER.OUTSTANDING_REQ.MAX.WARN}% for 5 min)</t>
  </si>
  <si>
    <t>Zookeeper: 队的请求太多(超过{$ZOOKEEPER.OUTSTANDING_REQ.MAX.WARN}%,持续5分钟)</t>
  </si>
  <si>
    <t>17299</t>
  </si>
  <si>
    <t>Zookeeper: Server mode has changed (new mode: {ITEM.VALUE})</t>
  </si>
  <si>
    <t>Zookeeper: 务器模式已变更(新模式:{ITEM.VALUE})</t>
  </si>
  <si>
    <t>17301</t>
  </si>
  <si>
    <t>Zookeeper: Failed to fetch info data (or no data for 10m)</t>
  </si>
  <si>
    <t>Zookeeper: 法获取信息数据(或达10分钟没有数据)</t>
  </si>
  <si>
    <t>17302</t>
  </si>
  <si>
    <t>Zookeeper: Version has changed (new version: {ITEM.VALUE})</t>
  </si>
  <si>
    <t>Zookeeper: 本已变更(新版本:{ITEM.VALUE})</t>
  </si>
  <si>
    <t>(218/52)</t>
  </si>
  <si>
    <t>10416</t>
  </si>
  <si>
    <t>17305</t>
  </si>
  <si>
    <t>Version has changed (new version: {ITEM.VALUE})</t>
  </si>
  <si>
    <t>Version has changed (new version: ITEM.VALUE})</t>
  </si>
  <si>
    <t>17306</t>
  </si>
  <si>
    <t>Many pending tasks (over {$CASSANDRA.PENDING_TASKS.MAX.WARN} for 15m)</t>
  </si>
  <si>
    <t>许多挂起任务(超过{$CASSANDRA.PENDING_TASKS.MAX.WARN}达15分钟)</t>
  </si>
  <si>
    <t>17307</t>
  </si>
  <si>
    <t>Too many pending tasks (over {$CASSANDRA.PENDING_TASKS.MAX.HIGH} for 15m)</t>
  </si>
  <si>
    <t>挂起的任务太多(超过{$CASSANDRA.PENDING_TASKS.MAX.HIGH}达15分钟)</t>
  </si>
  <si>
    <t>17308</t>
  </si>
  <si>
    <t>Too many storage exceptions</t>
  </si>
  <si>
    <t>存储异常太多</t>
  </si>
  <si>
    <t>17309</t>
  </si>
  <si>
    <t>Failed to fetch info data (or no data for 15m)</t>
  </si>
  <si>
    <t>获取信息数据失败(或没有数据达15分钟)</t>
  </si>
  <si>
    <t>17310</t>
  </si>
  <si>
    <t>There are down nodes in cluster</t>
  </si>
  <si>
    <t>集群中有关闭的节点</t>
  </si>
  <si>
    <t>(218/53)</t>
  </si>
  <si>
    <t>(13/1)</t>
  </si>
  <si>
    <t>10048</t>
  </si>
  <si>
    <t>16824</t>
  </si>
  <si>
    <t>ClickHouse: Too many distributed files to insert (over {$CLICKHOUSE.DELAYED.FILES.DISTRIBUTED.COUNT.MAX.WARN} for 5 min)</t>
  </si>
  <si>
    <t>ClickHouse: 插入的分布式文件太多(超过{$CLICKHOUSE.DELAYED.FILES.DISTRIBUTED.COUNT.MAX.WARN}5分钟)</t>
  </si>
  <si>
    <t>(13/2)</t>
  </si>
  <si>
    <t>16825</t>
  </si>
  <si>
    <t>ClickHouse: Too many throttled insert queries (over {$CLICKHOUSE.DELAYED.INSERTS.MAX.WARN) for 5 min)</t>
  </si>
  <si>
    <t>ClickHouse: 限制的插入查询太多(超过{$CLICKHOUSE.DELAYED.INSERTS.MAX.WARN}持续5分钟)</t>
  </si>
  <si>
    <t>(13/3)</t>
  </si>
  <si>
    <t>16826</t>
  </si>
  <si>
    <t>ClickHouse: Too many MergeTree parts (over 90% of {$CLICKHOUSE.PARTS.PER.PARTITION.WARN})</t>
  </si>
  <si>
    <t>ClickHouse: ergeTree部件过多(超过{$CLICKHOUSE.PARTS.PER.PARTITION.WARN}的90%)</t>
  </si>
  <si>
    <t>(13/4)</t>
  </si>
  <si>
    <t>16827</t>
  </si>
  <si>
    <t>ClickHouse: Too many network errors (over {$CLICKHOUSE.NETWORK.ERRORS.MAX.WARN} in 5m)</t>
  </si>
  <si>
    <t>ClickHouse: 络错误太多(5分钟内超过{$CLICKHOUSE.NETWORK.ERRORS.MAX.WARN})</t>
  </si>
  <si>
    <t>(13/5)</t>
  </si>
  <si>
    <t>16829</t>
  </si>
  <si>
    <t>ClickHouse: There are queries running more than {$CLICKHOUSE.QUERY_TIME.MAX.WARN} seconds</t>
  </si>
  <si>
    <t>ClickHouse: 行的查询时间过长{$CLICKHOUSE.QUERY_TIME.MAX.WARN}秒</t>
  </si>
  <si>
    <t>(13/6)</t>
  </si>
  <si>
    <t>16830</t>
  </si>
  <si>
    <t>ClickHouse: Replication lag is too high (over {$CLICKHOUSE.REPLICA.MAX.WARN} sec for 5min)</t>
  </si>
  <si>
    <t>ClickHouse: 制延迟太高(超过{$CLICKHOUSE.REPLICA.MAX.WARN}秒,持续5分钟)</t>
  </si>
  <si>
    <t>(13/7)</t>
  </si>
  <si>
    <t>16831</t>
  </si>
  <si>
    <t>ClickHouse: Configuration has been changed</t>
  </si>
  <si>
    <t>ClickHouse: 配置已变更</t>
  </si>
  <si>
    <t>(13/8)</t>
  </si>
  <si>
    <t>16832</t>
  </si>
  <si>
    <t>ClickHouse: has been restarted (uptime &lt; 10m)</t>
  </si>
  <si>
    <t>ClickHouse: 重新启动(正常运行时间&lt;10分钟)</t>
  </si>
  <si>
    <t>(13/9)</t>
  </si>
  <si>
    <t>16833</t>
  </si>
  <si>
    <t>ClickHouse: Failed to fetch info data (or no data for 30m)</t>
  </si>
  <si>
    <t>ClickHouse: 取信息数据失败(或没有数据达30分钟)</t>
  </si>
  <si>
    <t>(13/10)</t>
  </si>
  <si>
    <t>16834</t>
  </si>
  <si>
    <t>ClickHouse: Version has changed (new version: {ITEM.VALUE})</t>
  </si>
  <si>
    <t>ClickHouse: 本已变更(新版本:{ITEM.VALUE})</t>
  </si>
  <si>
    <t>(13/11)</t>
  </si>
  <si>
    <t>16920</t>
  </si>
  <si>
    <t>ClickHouse: Service is down</t>
  </si>
  <si>
    <t>ClickHouse: 服务已关闭</t>
  </si>
  <si>
    <t>(13/12)</t>
  </si>
  <si>
    <t>19827</t>
  </si>
  <si>
    <t>ClickHouse: Port {$CLICKHOUSE.PORT} is unavailable</t>
  </si>
  <si>
    <t>ClickHouse: 端口{$CLICKHOUSE.PORT}不可用</t>
  </si>
  <si>
    <t>(13/13)</t>
  </si>
  <si>
    <t>20047</t>
  </si>
  <si>
    <t>ClickHouse: Too many ZooKeeper sessions opened</t>
  </si>
  <si>
    <t>ClickHouse: 打开的ZooKeeper会话太多</t>
  </si>
  <si>
    <t>(218/54)</t>
  </si>
  <si>
    <t>(24/1)</t>
  </si>
  <si>
    <t>10047</t>
  </si>
  <si>
    <t>16927</t>
  </si>
  <si>
    <t>MSSQL: Total average wait time for locks is high (over {$MSSQL.AVERAGE_WAIT_TIME.MAX}ms for 5m)</t>
  </si>
  <si>
    <t>MSSQL: 总平均等时间过长(超过{$MSSQL.AVERAGE_WAIT_TIME.MAX}毫秒达5分钟)</t>
  </si>
  <si>
    <t>(24/2)</t>
  </si>
  <si>
    <t>16928</t>
  </si>
  <si>
    <t>MSSQL: Percentage of the buffer cache efficiency is low (below {$MSSQL.BUFFER_CACHE_RATIO.MIN.CRIT}% for 5m)</t>
  </si>
  <si>
    <t>MSSQL: 冲区缓存效率的百分比低(低于{$MSSQL.BUFFER_CACHE_RATIO.MIN.CRIT}%达5分钟)</t>
  </si>
  <si>
    <t>(24/3)</t>
  </si>
  <si>
    <t>16929</t>
  </si>
  <si>
    <t>MSSQL: Percentage of the buffer cache efficiency is low (below {$MSSQL.BUFFER_CACHE_RATIO.MIN.WARN}% for 5m)</t>
  </si>
  <si>
    <t>MSSQL: 冲区缓存效率的百分比低(低于{$MSSQL.BUFFER_CACHE_RATIO.MIN.WARN}%达5分钟)</t>
  </si>
  <si>
    <t>(24/4)</t>
  </si>
  <si>
    <t>16930</t>
  </si>
  <si>
    <t>MSSQL: Number of rps waiting for a free page is high (over {$MSSQL.FREE_LIST_STALLS.MAX} for 5m)</t>
  </si>
  <si>
    <t>MSSQL: 待空闲页面的rp数高了(超过{$MSSQL.FREE_LIST_STALLS.MAX}达5分钟)</t>
  </si>
  <si>
    <t>(24/5)</t>
  </si>
  <si>
    <t>16931</t>
  </si>
  <si>
    <t>MSSQL: Number of buffers written per second by the lazy writer is high (over {$MSSQL.LAZY_WRITES.MAX} for 5m)</t>
  </si>
  <si>
    <t>MSSQL: azy写入程序每秒写入的缓冲区数高了(超过{$MSSQL.LAZY_WRITES.MAX}达5分钟)</t>
  </si>
  <si>
    <t>(24/6)</t>
  </si>
  <si>
    <t>16932</t>
  </si>
  <si>
    <t>MSSQL: Total number of locks per second is high (over {$MSSQL.LOCK_REQUESTS.MAX} for 5m)</t>
  </si>
  <si>
    <t>MSSQL: 秒锁的总数高了(超过{$MSSQL.LOCK_REQUESTS.MAX}达5分钟)</t>
  </si>
  <si>
    <t>(24/7)</t>
  </si>
  <si>
    <t>16933</t>
  </si>
  <si>
    <t>MSSQL: Total lock requests per second that timed out is high (over {$MSSQL.LOCK_TIMEOUTS.MAX} for 5m)</t>
  </si>
  <si>
    <t>MSSQL: 秒超时的锁请求总数高了(超过{$MSSQL.LOCK_TIMEOUTS.MAX}达5分钟)</t>
  </si>
  <si>
    <t>(24/8)</t>
  </si>
  <si>
    <t>16934</t>
  </si>
  <si>
    <t>MSSQL: Some blocking is occurring for 5m</t>
  </si>
  <si>
    <t>MSSQL: 发生一些堵塞达5分钟</t>
  </si>
  <si>
    <t>(24/9)</t>
  </si>
  <si>
    <t>16935</t>
  </si>
  <si>
    <t>MSSQL: Number of deadlock is high (over {$MSSQL.DEADLOCKS.MAX} for 5m)</t>
  </si>
  <si>
    <t>MSSQL: 锁数高了(超过{$MSSQL.DEADLOCKS.MAX}达5分钟)</t>
  </si>
  <si>
    <t>(24/10)</t>
  </si>
  <si>
    <t>16936</t>
  </si>
  <si>
    <t>MSSQL: Page life expectancy is low (less {$MSSQL.PAGE_LIFE_EXPECTANCY.MIN}min for 15m)</t>
  </si>
  <si>
    <t>MSSQL: 面预期寿命低(少于{$MSSQL.PAGE_LIFE_EXPECTANCY.MIN}分钟达15分钟)</t>
  </si>
  <si>
    <t>(24/11)</t>
  </si>
  <si>
    <t>16937</t>
  </si>
  <si>
    <t>MSSQL: Number of physical database page reads per second is high (over {$MSSQL.PAGE_READS.MAX} for 5m)</t>
  </si>
  <si>
    <t>MSSQL: 秒物理数据库页读取次数高了(超过{$MSSQL.PAGE_READS.MAX}达5分钟)</t>
  </si>
  <si>
    <t>(24/12)</t>
  </si>
  <si>
    <t>16938</t>
  </si>
  <si>
    <t>MSSQL: Number of physical database page writes per second is high (over {$MSSQL.PAGE_WRITES.MAX} for 5m)</t>
  </si>
  <si>
    <t>MSSQL: 秒物理数据库页写入次数高了(超过{$MSSQL.PAGE_WRITES.MAX}达5分钟)</t>
  </si>
  <si>
    <t>(24/13)</t>
  </si>
  <si>
    <t>16940</t>
  </si>
  <si>
    <t>MSSQL: Failed to fetch info data (or no data for 30m)</t>
  </si>
  <si>
    <t>MSSQL: 法获取信息数据(或没有数据达30分钟)</t>
  </si>
  <si>
    <t>(24/14)</t>
  </si>
  <si>
    <t>16941</t>
  </si>
  <si>
    <t>MSSQL: Version has changed (new version value received: {ITEM.VALUE})</t>
  </si>
  <si>
    <t>MSSQL: 本已变更(收到的新版本值:{ITEM.VALUE})</t>
  </si>
  <si>
    <t>(24/15)</t>
  </si>
  <si>
    <t>16944</t>
  </si>
  <si>
    <t>MSSQL: Percentage of work tables available from the work table cache is low (below {$MSSQL.WORKTABLES_FROM_CACHE_RATIO.MIN.CRIT}% for 5m)</t>
  </si>
  <si>
    <t>MSSQL: 作表缓存中可用的工作表百分比低(低于{$MSSQL.WORKTABLES_FROM_CACHE_RATIO.MIN.CRIT}%达5分钟)</t>
  </si>
  <si>
    <t>(24/16)</t>
  </si>
  <si>
    <t>17149</t>
  </si>
  <si>
    <t>MSSQL: Too many physical reads occurring</t>
  </si>
  <si>
    <t>MSSQL: 发生太多物理读取</t>
  </si>
  <si>
    <t>(24/17)</t>
  </si>
  <si>
    <t>17150</t>
  </si>
  <si>
    <t>MSSQL: Percent of adhoc queries running is over {$MSSQL.PERCENT_COMPILATIONS.MAX}% for 15m</t>
  </si>
  <si>
    <t>MSSQL: 在运行的临时查询百分比超过{$MSSQL.PERCENT_COMPILATIONS.MAX}%达15分钟</t>
  </si>
  <si>
    <t>(24/18)</t>
  </si>
  <si>
    <t>17151</t>
  </si>
  <si>
    <t>MSSQL: Percent of times statement recompiles is over {$MSSQL.PERCENT_RECOMPILATIONS.MAX}% for 15m</t>
  </si>
  <si>
    <t>MSSQL: 句重新编译次数的百分比超过{$MSSQL.PERCENT_RECOMPILATIONS.MAX}%达15分钟</t>
  </si>
  <si>
    <t>(24/19)</t>
  </si>
  <si>
    <t>17153</t>
  </si>
  <si>
    <t>MSSQL: Service is unavailable</t>
  </si>
  <si>
    <t>MSSQL: 服务不可用</t>
  </si>
  <si>
    <t>(24/20)</t>
  </si>
  <si>
    <t>18624</t>
  </si>
  <si>
    <t>MSSQL: Number of work files created per second is high (over {$MSSQL.WORK_FILES.MAX} for 5m)</t>
  </si>
  <si>
    <t>MSSQL: 秒创建的工作文件数高了(超过{$MSSQL.WORK_FILES.MAX}达5分钟)</t>
  </si>
  <si>
    <t>(24/21)</t>
  </si>
  <si>
    <t>18625</t>
  </si>
  <si>
    <t>MSSQL: Number of work tables created per second is high (over {$MSSQL.WORK_TABLES.MAX} for 5m)</t>
  </si>
  <si>
    <t>MSSQL: 秒创建的工作表数高了(超过{$MSSQL.WORK_TABLES.MAX}达5分钟)</t>
  </si>
  <si>
    <t>(24/22)</t>
  </si>
  <si>
    <t>19679</t>
  </si>
  <si>
    <t>MSSQL: Number of index and table scans exceeds index searches in the last 15m</t>
  </si>
  <si>
    <t>MSSQL: 在过去15分钟内,索引和表扫描的次数超过了索引搜索</t>
  </si>
  <si>
    <t>(24/23)</t>
  </si>
  <si>
    <t>19680</t>
  </si>
  <si>
    <t>MSSQL: Service has been restarted (uptime &lt; 10m)</t>
  </si>
  <si>
    <t>MSSQL: 务已重新启动(正常运行时间&lt;10分钟)</t>
  </si>
  <si>
    <t>(24/24)</t>
  </si>
  <si>
    <t>19834</t>
  </si>
  <si>
    <t>MSSQL: Too frequently using pointers</t>
  </si>
  <si>
    <t>MSSQL: 使用率指针太频繁</t>
  </si>
  <si>
    <t>(218/55)</t>
  </si>
  <si>
    <t>10341</t>
  </si>
  <si>
    <t>18014</t>
  </si>
  <si>
    <t>MongoDB cluster: Available connections less then {$MONGODB.CONNS.AVAILABLE.MIN.WARN}</t>
  </si>
  <si>
    <t>MongoDB cluster: 用连接小于{$MONGODB.CONNS.AVAILABLE.MIN.WARN}</t>
  </si>
  <si>
    <t>18015</t>
  </si>
  <si>
    <t>MongoDB cluster: Too many cursors opened by MongoDB for clients (over {$MONGODB.CURSOR.OPEN.MAX.WARN} in 5m)</t>
  </si>
  <si>
    <t>MongoDB cluster: ongoDB为客户端打开的游标太多(5分钟内超过{$MONGODB.CURSOR.OPEN.MAX.WARN})</t>
  </si>
  <si>
    <t>18016</t>
  </si>
  <si>
    <t>MongoDB cluster: Too many cursors are timing out (over {$MONGODB.CURSOR.TIMEOUT.MAX.WARN} per second in 5m)</t>
  </si>
  <si>
    <t>MongoDB cluster: 多游标超时(5分钟内每秒超过{$MONGODB.CURSOR.TIMEOUT.MAX.WARN})</t>
  </si>
  <si>
    <t>18017</t>
  </si>
  <si>
    <t>MongoDB cluster: Connection to mongos proxy is unavailable</t>
  </si>
  <si>
    <t>MongoDB cluster: 无法连接到mongos proxy</t>
  </si>
  <si>
    <t>18018</t>
  </si>
  <si>
    <t>MongoDB cluster: has been restarted (uptime &lt; 10m)</t>
  </si>
  <si>
    <t>MongoDB cluster: 重新启动(正常运行时间&lt;10分钟)</t>
  </si>
  <si>
    <t>18019</t>
  </si>
  <si>
    <t>MongoDB cluster: Failed to fetch info data (or no data for 10m)</t>
  </si>
  <si>
    <t>MongoDB cluster: 法获取信息数据(或没有数据达10分钟)</t>
  </si>
  <si>
    <t>18020</t>
  </si>
  <si>
    <t>MongoDB cluster: Version has changed (new version: {ITEM.VALUE})</t>
  </si>
  <si>
    <t>MongoDB cluster: 本已变更(新版本:{ITEM.VALUE})</t>
  </si>
  <si>
    <t>(218/56)</t>
  </si>
  <si>
    <t>10342</t>
  </si>
  <si>
    <t>18002</t>
  </si>
  <si>
    <t>MongoDB: Total number of open connections is too high (over {$MONGODB.CONNS.PCT.USED.MAX.WARN%} in 5m)</t>
  </si>
  <si>
    <t>MongoDB: 开的连接总数太高(5分钟内超过{$MONGODB.CONNS.PCT.USED.MAX.WARN%})</t>
  </si>
  <si>
    <t>18003</t>
  </si>
  <si>
    <t>MongoDB: Too many cursors opened by MongoDB for clients (over {$MONGODB.CURSOR.OPEN.MAX.WARN} in 5m)</t>
  </si>
  <si>
    <t>MongoDB: ongoDB为客户端打开的游标太多(5分钟内超过{$MONGODB.CURSOR.OPEN.MAX.WARN})</t>
  </si>
  <si>
    <t>18004</t>
  </si>
  <si>
    <t>MongoDB: Too many cursors are timing out (over {$MONGODB.CURSOR.TIMEOUT.MAX.WARN} per second in 5m)</t>
  </si>
  <si>
    <t>MongoDB: 多游标超时(5分钟内每秒超过{$MONGODB.CURSOR.TIMEOUT.MAX.WARN})</t>
  </si>
  <si>
    <t>18005</t>
  </si>
  <si>
    <t>MongoDB: Connection to MongoDB is unavailable</t>
  </si>
  <si>
    <t>MongoDB: 与MongoDB的连接不可用</t>
  </si>
  <si>
    <t>18006</t>
  </si>
  <si>
    <t>MongoDB: has been restarted (uptime &lt; 10m)</t>
  </si>
  <si>
    <t>MongoDB: 重新启动(正常运行时间&lt;10分钟)</t>
  </si>
  <si>
    <t>18007</t>
  </si>
  <si>
    <t>MongoDB: Failed to fetch info data (or no data for 10m)</t>
  </si>
  <si>
    <t>MongoDB: 法获取信息数据(或没有数据达10分钟)</t>
  </si>
  <si>
    <t>18008</t>
  </si>
  <si>
    <t>MongoDB: Version has changed (new version: {ITEM.VALUE})</t>
  </si>
  <si>
    <t>MongoDB: 本已变更(新版本:{ITEM.VALUE})</t>
  </si>
  <si>
    <t>(218/57)</t>
  </si>
  <si>
    <t>10323</t>
  </si>
  <si>
    <t>15978</t>
  </si>
  <si>
    <t>MySQL: Failed to get items (no data for 30m)</t>
  </si>
  <si>
    <t>MySQL: 取监控项失败(没有数据达30分钟)</t>
  </si>
  <si>
    <t>15979</t>
  </si>
  <si>
    <t>MySQL: Refused connections (max_connections limit reached)</t>
  </si>
  <si>
    <t>MySQL: 绝的连接(已达到最大连接数限制)</t>
  </si>
  <si>
    <t>15980</t>
  </si>
  <si>
    <t>MySQL: Server has aborted connections (over {$MYSQL.ABORTED_CONN.MAX.WARN} for 5m)</t>
  </si>
  <si>
    <t>MySQL: 务器已中断连接(超过{$MYSQL.ABORTED_CONN.MAX.WARN}达5分钟)</t>
  </si>
  <si>
    <t>15981</t>
  </si>
  <si>
    <t>MySQL: Server has slow queries (over {$MYSQL.SLOW_QUERIES.MAX.WARN} for 5m)</t>
  </si>
  <si>
    <t>MySQL: 务器查询速度慢(超过{$MYSQL.SLOW_QUERIES.MAX.WARN}达5分钟)</t>
  </si>
  <si>
    <t>15982</t>
  </si>
  <si>
    <t>MySQL: Service has been restarted (uptime &lt; 10m)</t>
  </si>
  <si>
    <t>MySQL: 务已重新启动(正常运行时间&lt;10分钟)</t>
  </si>
  <si>
    <t>15983</t>
  </si>
  <si>
    <t>MySQL: Service is down</t>
  </si>
  <si>
    <t>MySQL: 服务已关闭</t>
  </si>
  <si>
    <t>15984</t>
  </si>
  <si>
    <t>MySQL: Version has changed (new version value received: {ITEM.VALUE})</t>
  </si>
  <si>
    <t>MySQL: 本已变更(收到的新版本值:{ITEM.VALUE})</t>
  </si>
  <si>
    <t>(218/58)</t>
  </si>
  <si>
    <t>10414</t>
  </si>
  <si>
    <t>16732</t>
  </si>
  <si>
    <t>16733</t>
  </si>
  <si>
    <t>16734</t>
  </si>
  <si>
    <t>16736</t>
  </si>
  <si>
    <t>16737</t>
  </si>
  <si>
    <t>16738</t>
  </si>
  <si>
    <t>16980</t>
  </si>
  <si>
    <t>MySQL: Number of on-disk temporary tables created per second is high (over {$MYSQL.CREATED_TMP_DISK_TABLES.MAX.WARN} for 5m)</t>
  </si>
  <si>
    <t>MySQL: 秒磁盘上创建的临时表数高了(超过{$MYSQL.CREATED_TMP_DISK_TABLES.MAX.WARN}达5分钟)</t>
  </si>
  <si>
    <t>16981</t>
  </si>
  <si>
    <t>MySQL: Number of temporary files created per second is high (over {$MYSQL.CREATED_TMP_FILES.MAX.WARN} for 5m)</t>
  </si>
  <si>
    <t>MySQL: 秒创建的临时文件数高了(超过{$MYSQL.CREATED_TMP_FILES.MAX.WARN}达5分钟)</t>
  </si>
  <si>
    <t>16982</t>
  </si>
  <si>
    <t>MySQL: Number of internal temporary tables created per second is high (over {$MYSQL.CREATED_TMP_TABLES.MAX.WARN} for 5m)</t>
  </si>
  <si>
    <t>MySQL: 秒创建的内部临时表数高了(超过{$MYSQL.CREATED_TMP_TABLES.MAX.WARN}达5分钟)</t>
  </si>
  <si>
    <t>16983</t>
  </si>
  <si>
    <t>MySQL: Failed to fetch info data (or no data for 30m)</t>
  </si>
  <si>
    <t>MySQL: 取信息数据失败(或没有数据达30分钟)</t>
  </si>
  <si>
    <t>18636</t>
  </si>
  <si>
    <t>MySQL: Buffer pool utilization is too low (less than {$MYSQL.BUFF_UTIL.MIN.WARN}% for 5m)</t>
  </si>
  <si>
    <t>MySQL: 冲区池利用率太低(小于{$MYSQL.BUFF_UTIL.MIN.WARN}%达5分钟)</t>
  </si>
  <si>
    <t>(218/59)</t>
  </si>
  <si>
    <t>10354</t>
  </si>
  <si>
    <t>16719</t>
  </si>
  <si>
    <t>16721</t>
  </si>
  <si>
    <t>16723</t>
  </si>
  <si>
    <t>16724</t>
  </si>
  <si>
    <t>16725</t>
  </si>
  <si>
    <t>16726</t>
  </si>
  <si>
    <t>16972</t>
  </si>
  <si>
    <t>16973</t>
  </si>
  <si>
    <t>16974</t>
  </si>
  <si>
    <t>16975</t>
  </si>
  <si>
    <t>18634</t>
  </si>
  <si>
    <t>(218/60)</t>
  </si>
  <si>
    <t>10327</t>
  </si>
  <si>
    <t>16756</t>
  </si>
  <si>
    <t>16758</t>
  </si>
  <si>
    <t>16759</t>
  </si>
  <si>
    <t>16760</t>
  </si>
  <si>
    <t>16761</t>
  </si>
  <si>
    <t>16762</t>
  </si>
  <si>
    <t>16976</t>
  </si>
  <si>
    <t>16977</t>
  </si>
  <si>
    <t>16978</t>
  </si>
  <si>
    <t>16979</t>
  </si>
  <si>
    <t>18635</t>
  </si>
  <si>
    <t>(218/61)</t>
  </si>
  <si>
    <t>(16/1)</t>
  </si>
  <si>
    <t>10363</t>
  </si>
  <si>
    <t>17154</t>
  </si>
  <si>
    <t>Oracle: Too many active processes (over {$ORACLE.PROCESSES.MAX.WARN}% for 5 min)</t>
  </si>
  <si>
    <t>Oracle: 动进程太多(超过{$ORACLE.PROCESSES.MAX.WARN}%持续5分钟)</t>
  </si>
  <si>
    <t>(16/2)</t>
  </si>
  <si>
    <t>17155</t>
  </si>
  <si>
    <t>Oracle: Too many active sessions (over {$ORACLE.SESSIONS.MAX.WARN}% for 5 min)</t>
  </si>
  <si>
    <t>Oracle: 动会话太多(超过{$ORACLE.SESSIONS.MAX.WARN}%持续5分钟)</t>
  </si>
  <si>
    <t>(16/3)</t>
  </si>
  <si>
    <t>17156</t>
  </si>
  <si>
    <t>Oracle: Too many database files (over {$ORACLE.DB.FILE.MAX.WARN}% for 5 min)</t>
  </si>
  <si>
    <t>Oracle: 据库文件太多(超过{$ORACLE.DB.FILE.MAX.WARN}%持续5分钟)</t>
  </si>
  <si>
    <t>(16/4)</t>
  </si>
  <si>
    <t>17157</t>
  </si>
  <si>
    <t>Oracle: Total PGA inuse is too high (over {$ORACLE.PGA.USE.MAX.WARN}% for 5 min)</t>
  </si>
  <si>
    <t>Oracle: GA总使用率量太高(超过{$ORACLE.PGA.USE.MAX.WARN}%持续5分钟)</t>
  </si>
  <si>
    <t>(16/5)</t>
  </si>
  <si>
    <t>17158</t>
  </si>
  <si>
    <t>Oracle: Instance hostname has changed (new hostname received: {ITEM.VALUE})</t>
  </si>
  <si>
    <t>Oracle: 例主机名已变更(收到的新主机名:{ITEM.VALUE})</t>
  </si>
  <si>
    <t>(16/6)</t>
  </si>
  <si>
    <t>17159</t>
  </si>
  <si>
    <t>Oracle: Instance name has changed (new name received: {ITEM.VALUE})</t>
  </si>
  <si>
    <t>Oracle: 例名称已变更(收到的新名称:{ITEM.VALUE})</t>
  </si>
  <si>
    <t>(16/7)</t>
  </si>
  <si>
    <t>17160</t>
  </si>
  <si>
    <t>Oracle: Connection to database is unavailable</t>
  </si>
  <si>
    <t>Oracle: 与数据库的连接不可用</t>
  </si>
  <si>
    <t>(16/8)</t>
  </si>
  <si>
    <t>17161</t>
  </si>
  <si>
    <t>Oracle: Number of REDO logs available for switching is too low (less {$ORACLE.REDO.MIN.WARN} for 5 min)</t>
  </si>
  <si>
    <t>Oracle: 用于切换的REDO日志数太低(少于{$ORACLE.REDO.MIN.WARN}5分钟)</t>
  </si>
  <si>
    <t>(16/9)</t>
  </si>
  <si>
    <t>17163</t>
  </si>
  <si>
    <t>Oracle: Too many locked sessions (over {$ORACLE.SESSIONS.LOCK.MAX.WARN}% for 5 min)</t>
  </si>
  <si>
    <t>Oracle: 定的会话太多(超过{$ORACLE.SESSIONS.LOCK.MAX.WARN}%持续5分钟)</t>
  </si>
  <si>
    <t>(16/10)</t>
  </si>
  <si>
    <t>17164</t>
  </si>
  <si>
    <t>Oracle: Too many sessions locked over {$ORACLE.SESSION.LOCK.MAX.TIME}s (over {$ORACLE.SESSION.LONG.LOCK.MAX.WARN} for 5 min)</t>
  </si>
  <si>
    <t>Oracle: 定的会话太多{$ORACLE.SESSION.LOCK.MAX.TIME}s(超过{$ORACLE.SESSION.LONG.LOCK.MAX.WARN}达5分钟)</t>
  </si>
  <si>
    <t>(16/11)</t>
  </si>
  <si>
    <t>17165</t>
  </si>
  <si>
    <t>Oracle: Shared pool free is too low (less {$ORACLE.SHARED.FREE.MIN.WARN}% for 5m)</t>
  </si>
  <si>
    <t>Oracle: 用共享池空间太低(少于{$ORACLE.SHARED.FREE.MIN.WARN}%达5分钟)</t>
  </si>
  <si>
    <t>(16/12)</t>
  </si>
  <si>
    <t>17166</t>
  </si>
  <si>
    <t>Oracle: Failed to fetch info data (or no data for 30m)</t>
  </si>
  <si>
    <t>Oracle: 法获取信息数据(或没有数据达30分钟)</t>
  </si>
  <si>
    <t>(16/13)</t>
  </si>
  <si>
    <t>17167</t>
  </si>
  <si>
    <t>Oracle: has been restarted (uptime &lt; 10m)</t>
  </si>
  <si>
    <t>Oracle: 重新启动(正常运行时间&lt;10分钟)</t>
  </si>
  <si>
    <t>(16/14)</t>
  </si>
  <si>
    <t>17168</t>
  </si>
  <si>
    <t>Oracle: Zabbix account will expire soon (under {$ORACLE.EXPIRE.PASSWORD.MIN.WARN} days)</t>
  </si>
  <si>
    <t>Oracle: abbix帐户即将到期(在{$ORACLE.EXPIRE.PASSWORD.MIN.WARN}天内)</t>
  </si>
  <si>
    <t>(16/15)</t>
  </si>
  <si>
    <t>17169</t>
  </si>
  <si>
    <t>Oracle: Version has changed (new version value received: {ITEM.VALUE})</t>
  </si>
  <si>
    <t>Oracle: 本已变更(收到的新版本值:{ITEM.VALUE})</t>
  </si>
  <si>
    <t>(16/16)</t>
  </si>
  <si>
    <t>18231</t>
  </si>
  <si>
    <t>Oracle: Too high database concurrency (over {$ORACLE.CONCURRENCY.MAX.WARN}% for 5 min)</t>
  </si>
  <si>
    <t>Oracle: 据库并发性太高(超过{$ORACLE.CONCURRENCY.MAX.WARN}%持续5分钟)</t>
  </si>
  <si>
    <t>(218/62)</t>
  </si>
  <si>
    <t>10362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</si>
  <si>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</si>
  <si>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</si>
  <si>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</si>
  <si>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</si>
  <si>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</si>
  <si>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</si>
  <si>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</si>
  <si>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</si>
  <si>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</si>
  <si>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</si>
  <si>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</si>
  <si>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</si>
  <si>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</si>
  <si>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</si>
  <si>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</si>
  <si>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</si>
  <si>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(218/63)</t>
  </si>
  <si>
    <t>10170</t>
  </si>
  <si>
    <t>19732</t>
  </si>
  <si>
    <t>Connections sum: Total number of connections is too high (over {$PG.CONN_TOTAL_PCT.MAX.WARN} in 5m)</t>
  </si>
  <si>
    <t>Connections sum: 接总数太高(5分钟内超过{$PG.CONN_TOTAL_PCT.MAX.WARN})</t>
  </si>
  <si>
    <t>19733</t>
  </si>
  <si>
    <t>PostgreSQL: Oldest xid is too big</t>
  </si>
  <si>
    <t>PostgreSQL: 最旧的xid太大</t>
  </si>
  <si>
    <t>19734</t>
  </si>
  <si>
    <t>PostgreSQL: Service is down</t>
  </si>
  <si>
    <t>PostgreSQL: 服务已关闭</t>
  </si>
  <si>
    <t>19735</t>
  </si>
  <si>
    <t>PostgreSQL: Service has been restarted (uptime={ITEM.LASTVALUE})</t>
  </si>
  <si>
    <t>PostgreSQL: 务已重新启动(正常运行时间={ITEM.LASTVALUE})</t>
  </si>
  <si>
    <t>20032</t>
  </si>
  <si>
    <t>Dbstat: Checksum failures detected</t>
  </si>
  <si>
    <t>Dbstat: 检测到校验和故障</t>
  </si>
  <si>
    <t>(218/64)</t>
  </si>
  <si>
    <t>10317</t>
  </si>
  <si>
    <t>19836</t>
  </si>
  <si>
    <t>PostgreSQL: Required checkpoints occurs too frequently (over {$PG.CHECKPOINTS_REQ.MAX.WARN})</t>
  </si>
  <si>
    <t>PostgreSQL: 需检查点出现得太频繁(超过{$PG.CHECKPOINTS_REQ.MAX.WARN})</t>
  </si>
  <si>
    <t>19837</t>
  </si>
  <si>
    <t>PostgreSQL: Failed to get items (no data for 30m)</t>
  </si>
  <si>
    <t>PostgreSQL: 法获取监控项(没有数据达30分钟)</t>
  </si>
  <si>
    <t>19838</t>
  </si>
  <si>
    <t>PostgreSQL: Cache hit ratio too low (under {$PG.CACHE_HITRATIO.MIN.WARN} in 5m)</t>
  </si>
  <si>
    <t>PostgreSQL: 存命中率太低(5分钟内低于{$PG.CACHE_HITRATIO.MIN.WARN})</t>
  </si>
  <si>
    <t>19839</t>
  </si>
  <si>
    <t>PostgreSQL: Configuration has changed</t>
  </si>
  <si>
    <t>PostgreSQL: 配置已变更</t>
  </si>
  <si>
    <t>19840</t>
  </si>
  <si>
    <t>PostgreSQL: Total number of connections is too high (over {$PG.CONN_TOTAL_PCT.MAX.WARN} in 5m)</t>
  </si>
  <si>
    <t>PostgreSQL: 接总数太高(5分钟内超过{$PG.CONN_TOTAL_PCT.MAX.WARN})</t>
  </si>
  <si>
    <t>19841</t>
  </si>
  <si>
    <t>PostgreSQL: Response too long (over {$PG.PING_TIME.MAX.WARN})</t>
  </si>
  <si>
    <t>PostgreSQL: 应太长(超过{$PG.PING_TIME.MAX.WARN})</t>
  </si>
  <si>
    <t>19842</t>
  </si>
  <si>
    <t>19843</t>
  </si>
  <si>
    <t>PostgreSQL: Streaming lag with {#MASTER} is too high (over {$PG.REPL_LAG.MAX.WARN} in 5m)</t>
  </si>
  <si>
    <t>PostgreSQL: #MASTER}的流延迟太高(5分钟内超过{$PG.REPL_LAG.MAX.WARN})</t>
  </si>
  <si>
    <t>19844</t>
  </si>
  <si>
    <t>PostgreSQL: Replication is down</t>
  </si>
  <si>
    <t>PostgreSQL: 复制已关闭</t>
  </si>
  <si>
    <t>19845</t>
  </si>
  <si>
    <t>PostgreSQL: Service has been restarted (uptime &lt; 10m)</t>
  </si>
  <si>
    <t>PostgreSQL: 务已重新启动(正常运行时间&lt;10分钟)</t>
  </si>
  <si>
    <t>19846</t>
  </si>
  <si>
    <t>PostgreSQL: Version has changed (new version value received: {ITEM.VALUE})</t>
  </si>
  <si>
    <t>PostgreSQL: 本已变更(收到的新版本值:{ITEM.VALUE})</t>
  </si>
  <si>
    <t>(218/65)</t>
  </si>
  <si>
    <t>10316</t>
  </si>
  <si>
    <t>16681</t>
  </si>
  <si>
    <t>Redis: Total number of connected clients is too high (over {$REDIS.CLIENTS.PRC.MAX.WARN}% in 5m)</t>
  </si>
  <si>
    <t>Redis: 接的客户端总数太高(5分钟内超过{$REDIS.CLIENTS.PRC.MAX.WARN}%)</t>
  </si>
  <si>
    <t>16682</t>
  </si>
  <si>
    <t>Redis: Configuration has changed</t>
  </si>
  <si>
    <t>Redis: 配置已变更</t>
  </si>
  <si>
    <t>16683</t>
  </si>
  <si>
    <t>Redis: Failed to fetch info data (or no data for 30m)</t>
  </si>
  <si>
    <t>Redis: 取信息数据失败(或没有数据达30分钟)</t>
  </si>
  <si>
    <t>16684</t>
  </si>
  <si>
    <t>Redis: Memory fragmentation ratio is too high (over {$REDIS.MEM.FRAG_RATIO.MAX.WARN} in 15m)</t>
  </si>
  <si>
    <t>Redis: 存碎片率太高(15分钟内超过{$REDIS.MEM.FRAG_RATIO.MAX.WARN})</t>
  </si>
  <si>
    <t>16685</t>
  </si>
  <si>
    <t>Redis: Last AOF write operation failed</t>
  </si>
  <si>
    <t>Redis: 上次AOF写入操作失败</t>
  </si>
  <si>
    <t>16686</t>
  </si>
  <si>
    <t>Redis: Last RDB save operation failed</t>
  </si>
  <si>
    <t>Redis: 上次RDB保存操作失败</t>
  </si>
  <si>
    <t>16687</t>
  </si>
  <si>
    <t>Redis: Service is down</t>
  </si>
  <si>
    <t>Redis: 服务已关闭</t>
  </si>
  <si>
    <t>16688</t>
  </si>
  <si>
    <t>Redis: Number of slaves has changed</t>
  </si>
  <si>
    <t>Redis: 从属数量已变更</t>
  </si>
  <si>
    <t>16689</t>
  </si>
  <si>
    <t>Redis: Replication role has changed (new role: {ITEM.VALUE})</t>
  </si>
  <si>
    <t>Redis: 制角色已变更(新角色:{ITEM.VALUE})</t>
  </si>
  <si>
    <t>16690</t>
  </si>
  <si>
    <t>Redis: Version has changed (new version: {ITEM.VALUE})</t>
  </si>
  <si>
    <t>Redis: 本已变更(新版本:{ITEM.VALUE})</t>
  </si>
  <si>
    <t>16691</t>
  </si>
  <si>
    <t>Redis: has been restarted (uptime &lt; 10m)</t>
  </si>
  <si>
    <t>Redis: 重新启动(正常运行时间&lt;10分钟)</t>
  </si>
  <si>
    <t>16692</t>
  </si>
  <si>
    <t>Redis: Too many entries in the slowlog (over {$REDIS.SLOWLOG.COUNT.MAX.WARN} per second in 5m)</t>
  </si>
  <si>
    <t>Redis: 日志中的条目太多(5分钟内每秒超过{$REDIS.SLOWLOG.COUNT.MAX.WARN})</t>
  </si>
  <si>
    <t>16693</t>
  </si>
  <si>
    <t>Redis: Connections are rejected</t>
  </si>
  <si>
    <t>Redis: 连接被拒绝</t>
  </si>
  <si>
    <t>(218/66)</t>
  </si>
  <si>
    <t>10320</t>
  </si>
  <si>
    <t>19414</t>
  </si>
  <si>
    <t>F5 BIG-IP: Chassis has been replaced (new serial number received)</t>
  </si>
  <si>
    <t>F5 BIG-IP: 板已更换(收到新序列号)</t>
  </si>
  <si>
    <t>19415</t>
  </si>
  <si>
    <t>F5 BIG-IP: has been restarted (uptime &lt; 10m)</t>
  </si>
  <si>
    <t>F5 BIG-IP: 重启(正常运行时间&lt;10分钟)</t>
  </si>
  <si>
    <t>19416</t>
  </si>
  <si>
    <t>F5 BIG-IP: No SNMP data collection</t>
  </si>
  <si>
    <t>F5 BIG-IP: 无SNMP数据采集</t>
  </si>
  <si>
    <t>19686</t>
  </si>
  <si>
    <t>F5 BIG-IP: Cluster not in sync: {ITEM.VALUE}</t>
  </si>
  <si>
    <t>F5 BIG-IP: 集不同步:{ITEM.VALUE}</t>
  </si>
  <si>
    <t>19687</t>
  </si>
  <si>
    <t>F5 BIG-IP: Changes have been made on the device not sync to the device group: {ITEM.VALUE}</t>
  </si>
  <si>
    <t>F5 BIG-IP: 备上的变更未同步到设备组:{ITEM.VALUE}</t>
  </si>
  <si>
    <t>19688</t>
  </si>
  <si>
    <t>F5 BIG-IP: The device is inconsistent with the device group: {ITEM.VALUE}</t>
  </si>
  <si>
    <t>F5 BIG-IP: 备与设备组不一致:{ITEM.VALUE}</t>
  </si>
  <si>
    <t>(218/67)</t>
  </si>
  <si>
    <t>10333</t>
  </si>
  <si>
    <t>16498</t>
  </si>
  <si>
    <t>High CPU utilization (over {$CPU.UTIL.CRIT}% for 5m)</t>
  </si>
  <si>
    <t>高CPU利用率(超过{$CPU.UTIL.CRIT}%达5分钟)</t>
  </si>
  <si>
    <t>17868</t>
  </si>
  <si>
    <t>High memory utilization (&gt;{$MEMORY.UTIL.MAX}% for 5m)</t>
  </si>
  <si>
    <t>高内存利用率(超过{$MEMORY.UTIL.MAX}%达5分钟)</t>
  </si>
  <si>
    <t>(218/68)</t>
  </si>
  <si>
    <t>10437</t>
  </si>
  <si>
    <t>14409</t>
  </si>
  <si>
    <t>16507</t>
  </si>
  <si>
    <t>(218/69)</t>
  </si>
  <si>
    <t>10433</t>
  </si>
  <si>
    <t>16508</t>
  </si>
  <si>
    <t>(218/70)</t>
  </si>
  <si>
    <t>10432</t>
  </si>
  <si>
    <t>14293</t>
  </si>
  <si>
    <t>14294</t>
  </si>
  <si>
    <t>14295</t>
  </si>
  <si>
    <t>16287</t>
  </si>
  <si>
    <t>16289</t>
  </si>
  <si>
    <t>16593</t>
  </si>
  <si>
    <t>(218/71)</t>
  </si>
  <si>
    <t>10310</t>
  </si>
  <si>
    <t>16624</t>
  </si>
  <si>
    <t>(218/72)</t>
  </si>
  <si>
    <t>10415</t>
  </si>
  <si>
    <t>16625</t>
  </si>
  <si>
    <t>(218/73)</t>
  </si>
  <si>
    <t>10209</t>
  </si>
  <si>
    <t>14251</t>
  </si>
  <si>
    <t>14252</t>
  </si>
  <si>
    <t>14253</t>
  </si>
  <si>
    <t>(218/74)</t>
  </si>
  <si>
    <t>10217</t>
  </si>
  <si>
    <t>16575</t>
  </si>
  <si>
    <t>Load average is too high (per CPU load over {$LOAD_AVG_PER_CPU.MAX.WARN} for 5m)</t>
  </si>
  <si>
    <t>负载平均值太高(每CPU负载超过{$LOAD_AVG_PER_CPU.MAX.WARN}达5分钟)</t>
  </si>
  <si>
    <t>(218/75)</t>
  </si>
  <si>
    <t>10212</t>
  </si>
  <si>
    <t>16031</t>
  </si>
  <si>
    <t>16563</t>
  </si>
  <si>
    <t>(218/76)</t>
  </si>
  <si>
    <t>10252</t>
  </si>
  <si>
    <t>16097</t>
  </si>
  <si>
    <t>16569</t>
  </si>
  <si>
    <t>(218/77)</t>
  </si>
  <si>
    <t>10213</t>
  </si>
  <si>
    <t>16035</t>
  </si>
  <si>
    <t>16036</t>
  </si>
  <si>
    <t>System time is out of sync (diff with Zabbix server &gt; {$SYSTEM.FUZZYTIME.MAX}s)</t>
  </si>
  <si>
    <t>CPU在内核运行时间不同步(与Zabbix服务器的差异&gt;{$SYSTEM.FUZZYTIME.MAX}s)</t>
  </si>
  <si>
    <t>16038</t>
  </si>
  <si>
    <t>Configured max number of open filedescriptors is too low (&lt; {$KERNEL.MAXFILES.MIN})</t>
  </si>
  <si>
    <t>配置的最大打开文件描述符数太低(&lt;{$KERNEL.MAXFILES.MIN})</t>
  </si>
  <si>
    <t>16039</t>
  </si>
  <si>
    <t>Configured max number of processes is too low (&lt; {$KERNEL.MAXPROC.MIN})</t>
  </si>
  <si>
    <t>配置的最大进程数太低(&lt;{$KERNEL.MAXPROC.MIN})</t>
  </si>
  <si>
    <t>16040</t>
  </si>
  <si>
    <t>Getting closer to process limit (over 80% used)</t>
  </si>
  <si>
    <t>接近连接数上限(超过80%)</t>
  </si>
  <si>
    <t>16041</t>
  </si>
  <si>
    <t>/etc/passwd has been changed</t>
  </si>
  <si>
    <t>/etc/passwd已变更</t>
  </si>
  <si>
    <t>16042</t>
  </si>
  <si>
    <t>16579</t>
  </si>
  <si>
    <t>(218/78)</t>
  </si>
  <si>
    <t>10216</t>
  </si>
  <si>
    <t>16101</t>
  </si>
  <si>
    <t>16102</t>
  </si>
  <si>
    <t>16104</t>
  </si>
  <si>
    <t>16105</t>
  </si>
  <si>
    <t>16106</t>
  </si>
  <si>
    <t>16107</t>
  </si>
  <si>
    <t>16108</t>
  </si>
  <si>
    <t>16582</t>
  </si>
  <si>
    <t>(218/79)</t>
  </si>
  <si>
    <t>10215</t>
  </si>
  <si>
    <t>17915</t>
  </si>
  <si>
    <t>20062</t>
  </si>
  <si>
    <t>High swap space usage (less than {$SWAP.PFREE.MIN.WARN}% free)</t>
  </si>
  <si>
    <t>交换空间使用率高(可用空间小于{$SWAP.PFREE.MIN.WARN}%)</t>
  </si>
  <si>
    <t>20063</t>
  </si>
  <si>
    <t>Lack of available memory (&lt;{$MEMORY.AVAILABLE.MIN} of {ITEM.VALUE2})</t>
  </si>
  <si>
    <t>缺少可用内存({$MEMORY.AVAILABLE.MIN}&lt;{ITEM.VALUE2})</t>
  </si>
  <si>
    <t>(218/80)</t>
  </si>
  <si>
    <t>10183</t>
  </si>
  <si>
    <t>17890</t>
  </si>
  <si>
    <t>20050</t>
  </si>
  <si>
    <t>20051</t>
  </si>
  <si>
    <t>(218/81)</t>
  </si>
  <si>
    <t>10204</t>
  </si>
  <si>
    <t>17902</t>
  </si>
  <si>
    <t>20056</t>
  </si>
  <si>
    <t>20057</t>
  </si>
  <si>
    <t>(218/82)</t>
  </si>
  <si>
    <t>10305</t>
  </si>
  <si>
    <t>16160</t>
  </si>
  <si>
    <t>16161</t>
  </si>
  <si>
    <t>CPU interrupt time is too high (over {$CPU.INTERRUPT.CRIT.MAX}% for 5m)</t>
  </si>
  <si>
    <t>CPU中断时间太长(超过{$CPU.INTERRUPT.CRIT.MAX}%达5分钟)</t>
  </si>
  <si>
    <t>16162</t>
  </si>
  <si>
    <t>CPU privileged time is too high (over {$CPU.PRIV.CRIT.MAX}% for 5m)</t>
  </si>
  <si>
    <t>CPU特权时间太高(超过{$CPU.PRIV.CRIT.MAX}%达5分钟)</t>
  </si>
  <si>
    <t>17005</t>
  </si>
  <si>
    <t>CPU queue length is too high (over {$CPU.QUEUE.CRIT.MAX} for 5m)</t>
  </si>
  <si>
    <t>CPU队列长度太长(超过{$CPU.QUEUE.CRIT.MAX}5分钟)</t>
  </si>
  <si>
    <t>(218/83)</t>
  </si>
  <si>
    <t>10185</t>
  </si>
  <si>
    <t>16209</t>
  </si>
  <si>
    <t>16210</t>
  </si>
  <si>
    <t>16211</t>
  </si>
  <si>
    <t>17011</t>
  </si>
  <si>
    <t>(218/84)</t>
  </si>
  <si>
    <t>10306</t>
  </si>
  <si>
    <t>16168</t>
  </si>
  <si>
    <t>Host has been restarted (uptime &lt; 10m)</t>
  </si>
  <si>
    <t>主机已重新启动(正常运行时间&lt;10m)</t>
  </si>
  <si>
    <t>16169</t>
  </si>
  <si>
    <t>16585</t>
  </si>
  <si>
    <t>(218/85)</t>
  </si>
  <si>
    <t>10307</t>
  </si>
  <si>
    <t>16217</t>
  </si>
  <si>
    <t>16218</t>
  </si>
  <si>
    <t>16587</t>
  </si>
  <si>
    <t>(218/86)</t>
  </si>
  <si>
    <t>10186</t>
  </si>
  <si>
    <t>16166</t>
  </si>
  <si>
    <t>Number of free system page table entries is too low (less {$MEM.PAGE_TABLE_CRIT.MIN} for 5m)</t>
  </si>
  <si>
    <t>可用系统页表条目数太低(少于{$MEM.PAGE_TABLE_CRIT.MIN}5分钟)</t>
  </si>
  <si>
    <t>16167</t>
  </si>
  <si>
    <t>The Memory Pages/sec is too high (over {$MEM.PAGE_SEC.CRIT.MAX} for 5m)</t>
  </si>
  <si>
    <t>内存页/秒太高(超过{$MEM.PAGE_SEC.CRIT.MAX}5分钟)</t>
  </si>
  <si>
    <t>17920</t>
  </si>
  <si>
    <t>20066</t>
  </si>
  <si>
    <t>(218/87)</t>
  </si>
  <si>
    <t>10190</t>
  </si>
  <si>
    <t>16215</t>
  </si>
  <si>
    <t>16216</t>
  </si>
  <si>
    <t>17928</t>
  </si>
  <si>
    <t>20068</t>
  </si>
  <si>
    <t>(218/88)</t>
  </si>
  <si>
    <t>10188</t>
  </si>
  <si>
    <t>16196</t>
  </si>
  <si>
    <t>Zabbix agent is not available (for {$AGENT.TIMEOUT})</t>
  </si>
  <si>
    <t>Zabbix agent 不可用(对于{$AGENT.TIMEOUT})</t>
  </si>
  <si>
    <t>(218/89)</t>
  </si>
  <si>
    <t>10192</t>
  </si>
  <si>
    <t>16197</t>
  </si>
  <si>
    <t>Zabbix agent is not available (or nodata for {$AGENT.NODATA_TIMEOUT})</t>
  </si>
  <si>
    <t>Zabbix agent 不可用(或{$AGENT.NODATA_TIMEOUT}的nodata)</t>
  </si>
  <si>
    <t>(218/90)</t>
  </si>
  <si>
    <t>10270</t>
  </si>
  <si>
    <t>14311</t>
  </si>
  <si>
    <t>14312</t>
  </si>
  <si>
    <t>14313</t>
  </si>
  <si>
    <t>16290</t>
  </si>
  <si>
    <t>16348</t>
  </si>
  <si>
    <t>16491</t>
  </si>
  <si>
    <t>16492</t>
  </si>
  <si>
    <t>16594</t>
  </si>
  <si>
    <t>17866</t>
  </si>
  <si>
    <t>(218/91)</t>
  </si>
  <si>
    <t>10272</t>
  </si>
  <si>
    <t>15701</t>
  </si>
  <si>
    <t>15702</t>
  </si>
  <si>
    <t>15703</t>
  </si>
  <si>
    <t>16312</t>
  </si>
  <si>
    <t>16370</t>
  </si>
  <si>
    <t>16616</t>
  </si>
  <si>
    <t>16628</t>
  </si>
  <si>
    <t>(218/92)</t>
  </si>
  <si>
    <t>10278</t>
  </si>
  <si>
    <t>14327</t>
  </si>
  <si>
    <t>14328</t>
  </si>
  <si>
    <t>14329</t>
  </si>
  <si>
    <t>14336</t>
  </si>
  <si>
    <t>14337</t>
  </si>
  <si>
    <t>Firmware has changed</t>
  </si>
  <si>
    <t>固件已变更</t>
  </si>
  <si>
    <t>15720</t>
  </si>
  <si>
    <t>System status is in critical state</t>
  </si>
  <si>
    <t>系统状态处于临界状态</t>
  </si>
  <si>
    <t>15721</t>
  </si>
  <si>
    <t>System status is in warning state</t>
  </si>
  <si>
    <t>系统状态处于告警状态</t>
  </si>
  <si>
    <t>16291</t>
  </si>
  <si>
    <t>16349</t>
  </si>
  <si>
    <t>16496</t>
  </si>
  <si>
    <t>16595</t>
  </si>
  <si>
    <t>17867</t>
  </si>
  <si>
    <t>(218/93)</t>
  </si>
  <si>
    <t>10269</t>
  </si>
  <si>
    <t>14347</t>
  </si>
  <si>
    <t>14348</t>
  </si>
  <si>
    <t>14349</t>
  </si>
  <si>
    <t>14363</t>
  </si>
  <si>
    <t>14364</t>
  </si>
  <si>
    <t>16292</t>
  </si>
  <si>
    <t>16350</t>
  </si>
  <si>
    <t>16500</t>
  </si>
  <si>
    <t>16596</t>
  </si>
  <si>
    <t>17869</t>
  </si>
  <si>
    <t>(218/94)</t>
  </si>
  <si>
    <t>10275</t>
  </si>
  <si>
    <t>14356</t>
  </si>
  <si>
    <t>14357</t>
  </si>
  <si>
    <t>14358</t>
  </si>
  <si>
    <t>14365</t>
  </si>
  <si>
    <t>16293</t>
  </si>
  <si>
    <t>16351</t>
  </si>
  <si>
    <t>16501</t>
  </si>
  <si>
    <t>16597</t>
  </si>
  <si>
    <t>17870</t>
  </si>
  <si>
    <t>(218/95)</t>
  </si>
  <si>
    <t>10281</t>
  </si>
  <si>
    <t>19457</t>
  </si>
  <si>
    <t>Cisco ASAv: has been restarted (uptime &lt; 10m)</t>
  </si>
  <si>
    <t>Cisco ASAv: 重新启动(正常运行时间&lt;10分钟)</t>
  </si>
  <si>
    <t>19458</t>
  </si>
  <si>
    <t>Cisco ASAv: No SNMP data collection</t>
  </si>
  <si>
    <t>Cisco ASAv: 无SNMP数据收集</t>
  </si>
  <si>
    <t>(218/96)</t>
  </si>
  <si>
    <t>10271</t>
  </si>
  <si>
    <t>14389</t>
  </si>
  <si>
    <t>14390</t>
  </si>
  <si>
    <t>14391</t>
  </si>
  <si>
    <t>14411</t>
  </si>
  <si>
    <t>16294</t>
  </si>
  <si>
    <t>16352</t>
  </si>
  <si>
    <t>16509</t>
  </si>
  <si>
    <t>16598</t>
  </si>
  <si>
    <t>(218/97)</t>
  </si>
  <si>
    <t>10273</t>
  </si>
  <si>
    <t>14403</t>
  </si>
  <si>
    <t>14404</t>
  </si>
  <si>
    <t>14405</t>
  </si>
  <si>
    <t>14413</t>
  </si>
  <si>
    <t>16295</t>
  </si>
  <si>
    <t>16353</t>
  </si>
  <si>
    <t>16510</t>
  </si>
  <si>
    <t>16512</t>
  </si>
  <si>
    <t>16599</t>
  </si>
  <si>
    <t>(218/98)</t>
  </si>
  <si>
    <t>10279</t>
  </si>
  <si>
    <t>15208</t>
  </si>
  <si>
    <t>15220</t>
  </si>
  <si>
    <t>15221</t>
  </si>
  <si>
    <t>15222</t>
  </si>
  <si>
    <t>16311</t>
  </si>
  <si>
    <t>16369</t>
  </si>
  <si>
    <t>16511</t>
  </si>
  <si>
    <t>16615</t>
  </si>
  <si>
    <t>(218/99)</t>
  </si>
  <si>
    <t>10277</t>
  </si>
  <si>
    <t>14468</t>
  </si>
  <si>
    <t>14469</t>
  </si>
  <si>
    <t>14470</t>
  </si>
  <si>
    <t>14474</t>
  </si>
  <si>
    <t>16297</t>
  </si>
  <si>
    <t>16355</t>
  </si>
  <si>
    <t>16524</t>
  </si>
  <si>
    <t>16525</t>
  </si>
  <si>
    <t>16601</t>
  </si>
  <si>
    <t>(218/100)</t>
  </si>
  <si>
    <t>10283</t>
  </si>
  <si>
    <t>14486</t>
  </si>
  <si>
    <t>14487</t>
  </si>
  <si>
    <t>14488</t>
  </si>
  <si>
    <t>14492</t>
  </si>
  <si>
    <t>14493</t>
  </si>
  <si>
    <t>16298</t>
  </si>
  <si>
    <t>16356</t>
  </si>
  <si>
    <t>16527</t>
  </si>
  <si>
    <t>16602</t>
  </si>
  <si>
    <t>(218/101)</t>
  </si>
  <si>
    <t>10268</t>
  </si>
  <si>
    <t>14451</t>
  </si>
  <si>
    <t>14452</t>
  </si>
  <si>
    <t>14453</t>
  </si>
  <si>
    <t>16296</t>
  </si>
  <si>
    <t>16354</t>
  </si>
  <si>
    <t>16600</t>
  </si>
  <si>
    <t>(218/102)</t>
  </si>
  <si>
    <t>10274</t>
  </si>
  <si>
    <t>14505</t>
  </si>
  <si>
    <t>14506</t>
  </si>
  <si>
    <t>14507</t>
  </si>
  <si>
    <t>14511</t>
  </si>
  <si>
    <t>Device: Temperature is above warning threshold: &gt;{$TEMP_WARN:""}</t>
  </si>
  <si>
    <t>Device: 度高于警告阈值:&gt;{$TEMP_WARN:""}</t>
  </si>
  <si>
    <t>14513</t>
  </si>
  <si>
    <t>Device: Temperature is too low: &lt;{$TEMP_CRIT_LOW:""}</t>
  </si>
  <si>
    <t>Device: 度过低:&lt;{$TEMP_CRIT_LOW:""}</t>
  </si>
  <si>
    <t>14514</t>
  </si>
  <si>
    <t>14515</t>
  </si>
  <si>
    <t>16299</t>
  </si>
  <si>
    <t>16357</t>
  </si>
  <si>
    <t>16529</t>
  </si>
  <si>
    <t>16530</t>
  </si>
  <si>
    <t>16603</t>
  </si>
  <si>
    <t>17203</t>
  </si>
  <si>
    <t>Device: Temperature is above critical threshold: &gt;{$TEMP_CRIT:""}</t>
  </si>
  <si>
    <t>Device: 度高于临界阈值:&gt;{$TEMP_CRIT:""}</t>
  </si>
  <si>
    <t>(218/103)</t>
  </si>
  <si>
    <t>10280</t>
  </si>
  <si>
    <t>14544</t>
  </si>
  <si>
    <t>14545</t>
  </si>
  <si>
    <t>14546</t>
  </si>
  <si>
    <t>16301</t>
  </si>
  <si>
    <t>16359</t>
  </si>
  <si>
    <t>16605</t>
  </si>
  <si>
    <t>(218/104)</t>
  </si>
  <si>
    <t>10276</t>
  </si>
  <si>
    <t>14906</t>
  </si>
  <si>
    <t>14907</t>
  </si>
  <si>
    <t>14908</t>
  </si>
  <si>
    <t>14912</t>
  </si>
  <si>
    <t>14913</t>
  </si>
  <si>
    <t>16309</t>
  </si>
  <si>
    <t>16367</t>
  </si>
  <si>
    <t>16535</t>
  </si>
  <si>
    <t>16613</t>
  </si>
  <si>
    <t>(218/105)</t>
  </si>
  <si>
    <t>10282</t>
  </si>
  <si>
    <t>14582</t>
  </si>
  <si>
    <t>14583</t>
  </si>
  <si>
    <t>14584</t>
  </si>
  <si>
    <t>16302</t>
  </si>
  <si>
    <t>16360</t>
  </si>
  <si>
    <t>16606</t>
  </si>
  <si>
    <t>(218/106)</t>
  </si>
  <si>
    <t>10355</t>
  </si>
  <si>
    <t>14598</t>
  </si>
  <si>
    <t>14599</t>
  </si>
  <si>
    <t>14600</t>
  </si>
  <si>
    <t>14603</t>
  </si>
  <si>
    <t>16303</t>
  </si>
  <si>
    <t>16361</t>
  </si>
  <si>
    <t>16607</t>
  </si>
  <si>
    <t>(218/107)</t>
  </si>
  <si>
    <t>10435</t>
  </si>
  <si>
    <t>14615</t>
  </si>
  <si>
    <t>14616</t>
  </si>
  <si>
    <t>14617</t>
  </si>
  <si>
    <t>14621</t>
  </si>
  <si>
    <t>15722</t>
  </si>
  <si>
    <t>16304</t>
  </si>
  <si>
    <t>16362</t>
  </si>
  <si>
    <t>16540</t>
  </si>
  <si>
    <t>16608</t>
  </si>
  <si>
    <t>(218/108)</t>
  </si>
  <si>
    <t>10356</t>
  </si>
  <si>
    <t>18158</t>
  </si>
  <si>
    <t>18159</t>
  </si>
  <si>
    <t>18160</t>
  </si>
  <si>
    <t>18161</t>
  </si>
  <si>
    <t>18162</t>
  </si>
  <si>
    <t>18163</t>
  </si>
  <si>
    <t>18164</t>
  </si>
  <si>
    <t>(218/109)</t>
  </si>
  <si>
    <t>10286</t>
  </si>
  <si>
    <t>14652</t>
  </si>
  <si>
    <t>14653</t>
  </si>
  <si>
    <t>14654</t>
  </si>
  <si>
    <t>14661</t>
  </si>
  <si>
    <t>14662</t>
  </si>
  <si>
    <t>16305</t>
  </si>
  <si>
    <t>16363</t>
  </si>
  <si>
    <t>16543</t>
  </si>
  <si>
    <t>16609</t>
  </si>
  <si>
    <t>17883</t>
  </si>
  <si>
    <t>(218/110)</t>
  </si>
  <si>
    <t>(55/1)</t>
  </si>
  <si>
    <t>10293</t>
  </si>
  <si>
    <t>17323</t>
  </si>
  <si>
    <t>Battery: Device charge in warning state</t>
  </si>
  <si>
    <t>Battery: 设备充电状态为告警</t>
  </si>
  <si>
    <t>(55/2)</t>
  </si>
  <si>
    <t>17324</t>
  </si>
  <si>
    <t>Battery: Device charge in critical state</t>
  </si>
  <si>
    <t>Battery: 设备充电状态为严重告警</t>
  </si>
  <si>
    <t>(55/3)</t>
  </si>
  <si>
    <t>17325</t>
  </si>
  <si>
    <t>Load: Device load in warning state</t>
  </si>
  <si>
    <t>Load: 状态为告警的设备负载</t>
  </si>
  <si>
    <t>(55/4)</t>
  </si>
  <si>
    <t>17326</t>
  </si>
  <si>
    <t>Load: Device load in critical state</t>
  </si>
  <si>
    <t>Load: 状态为严重告警的设备负载</t>
  </si>
  <si>
    <t>(55/5)</t>
  </si>
  <si>
    <t>17327</t>
  </si>
  <si>
    <t>Status: Device has "rtsShorted" alarm flag</t>
  </si>
  <si>
    <t>Status: 设备具有"rtsShorted"报警标志</t>
  </si>
  <si>
    <t>(55/6)</t>
  </si>
  <si>
    <t>17328</t>
  </si>
  <si>
    <t>Status: Device has "rtsDisconnected" alarm flag</t>
  </si>
  <si>
    <t>Status: 设备具有"rtsDisconnected"报警标志</t>
  </si>
  <si>
    <t>(55/7)</t>
  </si>
  <si>
    <t>17329</t>
  </si>
  <si>
    <t>Status: Device has "heatsinkTempSensorOpen" alarm flag</t>
  </si>
  <si>
    <t>Status: 设备具有"heatsinkTempSensorOpen"报警标志</t>
  </si>
  <si>
    <t>(55/8)</t>
  </si>
  <si>
    <t>17330</t>
  </si>
  <si>
    <t>Status: Device has "heatsinkTempSensorShorted" alarm flag</t>
  </si>
  <si>
    <t>Status: 设备具有"散热温度传感器短路"报警标志</t>
  </si>
  <si>
    <t>(55/9)</t>
  </si>
  <si>
    <t>17331</t>
  </si>
  <si>
    <t>Status: Device has "heatsinkTempLimit" alarm flag</t>
  </si>
  <si>
    <t>Status: 设备具有"散热TempLimit"报警标志</t>
  </si>
  <si>
    <t>(55/10)</t>
  </si>
  <si>
    <t>17332</t>
  </si>
  <si>
    <t>Status: Device has "inductorTempSensorOpen" alarm flag</t>
  </si>
  <si>
    <t>Status: 设备具有"感应器TempSensorOpen"报警标志</t>
  </si>
  <si>
    <t>(55/11)</t>
  </si>
  <si>
    <t>17333</t>
  </si>
  <si>
    <t>Status: Device has "inductorTempSensorShorted" alarm flag</t>
  </si>
  <si>
    <t>Status: 设备具有"感应器温度传感器短路"报警标志</t>
  </si>
  <si>
    <t>(55/12)</t>
  </si>
  <si>
    <t>17334</t>
  </si>
  <si>
    <t>Status: Device has "inductorTempLimit" alarm flag</t>
  </si>
  <si>
    <t>Status: 设备具有"感应器TempLimit"报警标志</t>
  </si>
  <si>
    <t>(55/13)</t>
  </si>
  <si>
    <t>17335</t>
  </si>
  <si>
    <t>Status: Device has "currentLimit" alarm flag</t>
  </si>
  <si>
    <t>Status: 设备具有"currentLimit"报警标志</t>
  </si>
  <si>
    <t>(55/14)</t>
  </si>
  <si>
    <t>17336</t>
  </si>
  <si>
    <t>Status: Device has "currentMeasurementError" alarm flag</t>
  </si>
  <si>
    <t>Status: 设备具有"currentMeasurementError"报警标志</t>
  </si>
  <si>
    <t>(55/15)</t>
  </si>
  <si>
    <t>17337</t>
  </si>
  <si>
    <t>Status: Device has "batterySenseOutOfRange" alarm flag</t>
  </si>
  <si>
    <t>Status: 设备具有"batterySenseOutOfRange"报警标志</t>
  </si>
  <si>
    <t>(55/16)</t>
  </si>
  <si>
    <t>17338</t>
  </si>
  <si>
    <t>Status: Device has "batterySenseDisconnected" alarm flag</t>
  </si>
  <si>
    <t>Status: 设备具有"batterySenseDisconnected"报警标志</t>
  </si>
  <si>
    <t>(55/17)</t>
  </si>
  <si>
    <t>17339</t>
  </si>
  <si>
    <t>Status: Device has "uncalibrated" alarm flag</t>
  </si>
  <si>
    <t>Status: 设备具有"未校准"报警标志</t>
  </si>
  <si>
    <t>(55/18)</t>
  </si>
  <si>
    <t>17340</t>
  </si>
  <si>
    <t>Status: Device has "tb5v" alarm flag</t>
  </si>
  <si>
    <t>Status: 设备具有"tb5v"报警标志</t>
  </si>
  <si>
    <t>(55/19)</t>
  </si>
  <si>
    <t>17341</t>
  </si>
  <si>
    <t>Status: Device has "fp10SupplyOutOfRange" alarm flag</t>
  </si>
  <si>
    <t>Status: 设备具有"fp10SupplyOutOfRange"报警标志</t>
  </si>
  <si>
    <t>(55/20)</t>
  </si>
  <si>
    <t>17342</t>
  </si>
  <si>
    <t>Status: Device has "mosfetOpen" alarm flag</t>
  </si>
  <si>
    <t>Status: 设备具有"mosfetOpen"报警标志</t>
  </si>
  <si>
    <t>(55/21)</t>
  </si>
  <si>
    <t>17343</t>
  </si>
  <si>
    <t>Status: Device has "arrayCurrentOffset" alarm flag</t>
  </si>
  <si>
    <t>Status: 设备具有"arrayCurrentOffset"报警标志</t>
  </si>
  <si>
    <t>(55/22)</t>
  </si>
  <si>
    <t>17344</t>
  </si>
  <si>
    <t>Status: Device has "loadCurrentOffset" alarm flag</t>
  </si>
  <si>
    <t>Status: 设备具有"loadCurrentOffset"报警标志</t>
  </si>
  <si>
    <t>(55/23)</t>
  </si>
  <si>
    <t>17345</t>
  </si>
  <si>
    <t>Status: Device has "p33SupplyOutOfRange" alarm flag</t>
  </si>
  <si>
    <t>Status: 设备具有"p33SupplyOutOfRange"报警标志</t>
  </si>
  <si>
    <t>(55/24)</t>
  </si>
  <si>
    <t>17346</t>
  </si>
  <si>
    <t>Status: Device has "p12SupplyOutOfRange" alarm flag</t>
  </si>
  <si>
    <t>Status: 设备具有"p12SupplyOutOfRange"报警标志</t>
  </si>
  <si>
    <t>(55/25)</t>
  </si>
  <si>
    <t>17347</t>
  </si>
  <si>
    <t>Status: Device has "hightInputVoltageLimit" alarm flag</t>
  </si>
  <si>
    <t>Status: 设备具有"hightInputVoltageLimit"报警标志</t>
  </si>
  <si>
    <t>(55/26)</t>
  </si>
  <si>
    <t>17348</t>
  </si>
  <si>
    <t>Status: Device has "controllerReset" alarm flag</t>
  </si>
  <si>
    <t>Status: 设备具有"controllerReset"报警标志</t>
  </si>
  <si>
    <t>(55/27)</t>
  </si>
  <si>
    <t>17349</t>
  </si>
  <si>
    <t>Status: Device has "loadLvd" alarm flag</t>
  </si>
  <si>
    <t>Status: 设备具有"loadLvd"报警标志</t>
  </si>
  <si>
    <t>(55/28)</t>
  </si>
  <si>
    <t>17350</t>
  </si>
  <si>
    <t>Status: Device has "logTimeout" alarm flag</t>
  </si>
  <si>
    <t>Status: 设备具有"logTimeout"报警标志</t>
  </si>
  <si>
    <t>(55/29)</t>
  </si>
  <si>
    <t>17351</t>
  </si>
  <si>
    <t>Status: Device has "eepromAccessFailure" alarm flag</t>
  </si>
  <si>
    <t>Status: 设备具有"eepromAccessFailure"报警标志</t>
  </si>
  <si>
    <t>(55/30)</t>
  </si>
  <si>
    <t>17352</t>
  </si>
  <si>
    <t>Status: Device has "overcurrent" array faults flag</t>
  </si>
  <si>
    <t>Status: 设备具有"过电流"阵列故障标志</t>
  </si>
  <si>
    <t>(55/31)</t>
  </si>
  <si>
    <t>17353</t>
  </si>
  <si>
    <t>Status: Device has "mosfetSShorted" array faults flag</t>
  </si>
  <si>
    <t>Status: 设备具有"mosfetSShorted"阵列故障标志</t>
  </si>
  <si>
    <t>(55/32)</t>
  </si>
  <si>
    <t>17354</t>
  </si>
  <si>
    <t>Status: Device has "software" array faults flag</t>
  </si>
  <si>
    <t>Status: 设备具有"软件"阵列故障标志</t>
  </si>
  <si>
    <t>(55/33)</t>
  </si>
  <si>
    <t>17355</t>
  </si>
  <si>
    <t>Status: Device has "batteryHvd" array faults flag</t>
  </si>
  <si>
    <t>Status: 设备具有"batteryHvd"阵列故障标志</t>
  </si>
  <si>
    <t>(55/34)</t>
  </si>
  <si>
    <t>17356</t>
  </si>
  <si>
    <t>Status: Device has "arrayHvd" array faults flag</t>
  </si>
  <si>
    <t>Status: 设备具有"arrayHvd"阵列故障标志</t>
  </si>
  <si>
    <t>(55/35)</t>
  </si>
  <si>
    <t>17357</t>
  </si>
  <si>
    <t>Status: Device has "customSettingsEdit" array faults flag</t>
  </si>
  <si>
    <t>Status: 设备具有"customSettingsEdit"阵列故障标志</t>
  </si>
  <si>
    <t>(55/36)</t>
  </si>
  <si>
    <t>17358</t>
  </si>
  <si>
    <t>Status: Device has "rtsShorted" array faults flag</t>
  </si>
  <si>
    <t>Status: 设备具有"rtsShorted"阵列故障标志</t>
  </si>
  <si>
    <t>(55/37)</t>
  </si>
  <si>
    <t>17359</t>
  </si>
  <si>
    <t>Status: Device has "rtsNoLongerValid" array faults flag</t>
  </si>
  <si>
    <t>Status: 设备具有"rtsNoLongerValid"阵列故障标志</t>
  </si>
  <si>
    <t>(55/38)</t>
  </si>
  <si>
    <t>17360</t>
  </si>
  <si>
    <t>Status: Device has "localTempSensorDamaged" array faults flag</t>
  </si>
  <si>
    <t>Status: 设备具有"localTempSensorDamaged"阵列故障标志</t>
  </si>
  <si>
    <t>(55/39)</t>
  </si>
  <si>
    <t>17361</t>
  </si>
  <si>
    <t>Status: Device has "batteryLowVoltageDisconnect" array faults flag</t>
  </si>
  <si>
    <t>Status: 设备具有"电池低电压断开"阵列故障标志</t>
  </si>
  <si>
    <t>(55/40)</t>
  </si>
  <si>
    <t>17362</t>
  </si>
  <si>
    <t>Status: Device has "slaveTimeout" array faults flag</t>
  </si>
  <si>
    <t>Status: 设备具有"slaveTimeout"阵列故障标志</t>
  </si>
  <si>
    <t>(55/41)</t>
  </si>
  <si>
    <t>17363</t>
  </si>
  <si>
    <t>Status: Device has "dipSwitchChanged" array faults flag</t>
  </si>
  <si>
    <t>Status: 设备具有"dipSwitchChanged"阵列故障标志</t>
  </si>
  <si>
    <t>(55/42)</t>
  </si>
  <si>
    <t>17364</t>
  </si>
  <si>
    <t>Status: Device has "externalShortCircuit" load faults flag</t>
  </si>
  <si>
    <t>Status: 设备具有"外部短路"负载故障标志</t>
  </si>
  <si>
    <t>(55/43)</t>
  </si>
  <si>
    <t>17365</t>
  </si>
  <si>
    <t>Status: Device has "overcurrent" load faults flag</t>
  </si>
  <si>
    <t>Status: 设备具有"过电流"负载故障标志</t>
  </si>
  <si>
    <t>(55/44)</t>
  </si>
  <si>
    <t>17366</t>
  </si>
  <si>
    <t>Status: Device has "mosfetShorted" load faults flag</t>
  </si>
  <si>
    <t>Status: 设备具有"mosfetShorted"负载故障标志</t>
  </si>
  <si>
    <t>(55/45)</t>
  </si>
  <si>
    <t>17367</t>
  </si>
  <si>
    <t>Status: Device has "software" load faults flag</t>
  </si>
  <si>
    <t>Status: 设备具有"软件"加载故障标志</t>
  </si>
  <si>
    <t>(55/46)</t>
  </si>
  <si>
    <t>17368</t>
  </si>
  <si>
    <t>Status: Device has "loadHvd" load faults flag</t>
  </si>
  <si>
    <t>Status: 设备具有"loadHvd"负载故障标志</t>
  </si>
  <si>
    <t>(55/47)</t>
  </si>
  <si>
    <t>17369</t>
  </si>
  <si>
    <t>Status: Device has "highTempDisconnect" load faults flag</t>
  </si>
  <si>
    <t>Status: 设备具有"highTempDisconnect"负载故障标志</t>
  </si>
  <si>
    <t>(55/48)</t>
  </si>
  <si>
    <t>17370</t>
  </si>
  <si>
    <t>Status: Device has "dipSwitchChanged" load faults flag</t>
  </si>
  <si>
    <t>Status: 设备具有"dipSwitchChanged"负载故障标志</t>
  </si>
  <si>
    <t>(55/49)</t>
  </si>
  <si>
    <t>17371</t>
  </si>
  <si>
    <t>Status: Device has "customSettingsEdit" load faults flag</t>
  </si>
  <si>
    <t>Status: 设备具有"customSettingsEdit"加载故障标志</t>
  </si>
  <si>
    <t>(55/50)</t>
  </si>
  <si>
    <t>17372</t>
  </si>
  <si>
    <t>Status: Device has been restarted (uptime &lt; 10m)</t>
  </si>
  <si>
    <t>Status: 备已重新启动(正常运行时间&lt;10m)</t>
  </si>
  <si>
    <t>(55/51)</t>
  </si>
  <si>
    <t>17373</t>
  </si>
  <si>
    <t>Status: Failed to fetch data (or no data for 5m)</t>
  </si>
  <si>
    <t>Status: 法获取数据(或5m内无数据)</t>
  </si>
  <si>
    <t>(55/52)</t>
  </si>
  <si>
    <t>17374</t>
  </si>
  <si>
    <t>Temperature: Low battery temperature (below {$BATTERY.TEMP.MIN.WARN}C for 5m)</t>
  </si>
  <si>
    <t>Temperature: 池温度低(低于{$BATTERY.TEMP.MIN.WARN}C达5分钟)</t>
  </si>
  <si>
    <t>(55/53)</t>
  </si>
  <si>
    <t>17375</t>
  </si>
  <si>
    <t>Temperature: Critically low battery temperature (below {$BATTERY.TEMP.MIN.WARN}C for 5m)</t>
  </si>
  <si>
    <t>Temperature: 池温度极低(低于{$BATTERY.TEMP.MIN.WARN}C达5分钟)</t>
  </si>
  <si>
    <t>(55/54)</t>
  </si>
  <si>
    <t>17376</t>
  </si>
  <si>
    <t>Temperature: High battery temperature (over {$BATTERY.TEMP.MAX.WARN}C for 5m)</t>
  </si>
  <si>
    <t>Temperature: 池温度高(超过{$BATTERY.TEMP.MAX.WARN}C达5分钟)</t>
  </si>
  <si>
    <t>(55/55)</t>
  </si>
  <si>
    <t>17377</t>
  </si>
  <si>
    <t>Temperature: Critically high battery temperature (over {$BATTERY.TEMP.MAX.CRIT}C for 5m)</t>
  </si>
  <si>
    <t>Temperature: 池温度过高(超过{$BATTERY.TEMP.MAX.CRIT}C达5分钟)</t>
  </si>
  <si>
    <t>(218/111)</t>
  </si>
  <si>
    <t>(54/1)</t>
  </si>
  <si>
    <t>10288</t>
  </si>
  <si>
    <t>17382</t>
  </si>
  <si>
    <t>(54/2)</t>
  </si>
  <si>
    <t>17383</t>
  </si>
  <si>
    <t>(54/3)</t>
  </si>
  <si>
    <t>17384</t>
  </si>
  <si>
    <t>(54/4)</t>
  </si>
  <si>
    <t>17385</t>
  </si>
  <si>
    <t>(54/5)</t>
  </si>
  <si>
    <t>17386</t>
  </si>
  <si>
    <t>(54/6)</t>
  </si>
  <si>
    <t>17387</t>
  </si>
  <si>
    <t>(54/7)</t>
  </si>
  <si>
    <t>17388</t>
  </si>
  <si>
    <t>(54/8)</t>
  </si>
  <si>
    <t>17389</t>
  </si>
  <si>
    <t>(54/9)</t>
  </si>
  <si>
    <t>17390</t>
  </si>
  <si>
    <t>(54/10)</t>
  </si>
  <si>
    <t>17391</t>
  </si>
  <si>
    <t>(54/11)</t>
  </si>
  <si>
    <t>17392</t>
  </si>
  <si>
    <t>(54/12)</t>
  </si>
  <si>
    <t>17393</t>
  </si>
  <si>
    <t>(54/13)</t>
  </si>
  <si>
    <t>17394</t>
  </si>
  <si>
    <t>(54/14)</t>
  </si>
  <si>
    <t>17395</t>
  </si>
  <si>
    <t>(54/15)</t>
  </si>
  <si>
    <t>17396</t>
  </si>
  <si>
    <t>Status: Device has "batteryTempOutOfRange" alarm flag</t>
  </si>
  <si>
    <t>Status: 设备具有"batteryTempOutOfRange"报警标志</t>
  </si>
  <si>
    <t>(54/16)</t>
  </si>
  <si>
    <t>17397</t>
  </si>
  <si>
    <t>(54/17)</t>
  </si>
  <si>
    <t>17398</t>
  </si>
  <si>
    <t>(54/18)</t>
  </si>
  <si>
    <t>17399</t>
  </si>
  <si>
    <t>(54/19)</t>
  </si>
  <si>
    <t>17400</t>
  </si>
  <si>
    <t>(54/20)</t>
  </si>
  <si>
    <t>17401</t>
  </si>
  <si>
    <t>(54/21)</t>
  </si>
  <si>
    <t>17402</t>
  </si>
  <si>
    <t>(54/22)</t>
  </si>
  <si>
    <t>17403</t>
  </si>
  <si>
    <t>(54/23)</t>
  </si>
  <si>
    <t>17404</t>
  </si>
  <si>
    <t>(54/24)</t>
  </si>
  <si>
    <t>17405</t>
  </si>
  <si>
    <t>(54/25)</t>
  </si>
  <si>
    <t>17406</t>
  </si>
  <si>
    <t>(54/26)</t>
  </si>
  <si>
    <t>17407</t>
  </si>
  <si>
    <t>(54/27)</t>
  </si>
  <si>
    <t>17408</t>
  </si>
  <si>
    <t>(54/28)</t>
  </si>
  <si>
    <t>17409</t>
  </si>
  <si>
    <t>(54/29)</t>
  </si>
  <si>
    <t>17410</t>
  </si>
  <si>
    <t>(54/30)</t>
  </si>
  <si>
    <t>17411</t>
  </si>
  <si>
    <t>(54/31)</t>
  </si>
  <si>
    <t>17412</t>
  </si>
  <si>
    <t>(54/32)</t>
  </si>
  <si>
    <t>17413</t>
  </si>
  <si>
    <t>(54/33)</t>
  </si>
  <si>
    <t>17414</t>
  </si>
  <si>
    <t>(54/34)</t>
  </si>
  <si>
    <t>17415</t>
  </si>
  <si>
    <t>(54/35)</t>
  </si>
  <si>
    <t>17416</t>
  </si>
  <si>
    <t>(54/36)</t>
  </si>
  <si>
    <t>17417</t>
  </si>
  <si>
    <t>(54/37)</t>
  </si>
  <si>
    <t>17418</t>
  </si>
  <si>
    <t>(54/38)</t>
  </si>
  <si>
    <t>17419</t>
  </si>
  <si>
    <t>(54/39)</t>
  </si>
  <si>
    <t>17420</t>
  </si>
  <si>
    <t>Status: Device has "p3Fault" array faults flag</t>
  </si>
  <si>
    <t>Status: 设备具有"p3Fault"阵列故障标志</t>
  </si>
  <si>
    <t>(54/40)</t>
  </si>
  <si>
    <t>17421</t>
  </si>
  <si>
    <t>(54/41)</t>
  </si>
  <si>
    <t>17422</t>
  </si>
  <si>
    <t>(54/42)</t>
  </si>
  <si>
    <t>17423</t>
  </si>
  <si>
    <t>(54/43)</t>
  </si>
  <si>
    <t>17424</t>
  </si>
  <si>
    <t>(54/44)</t>
  </si>
  <si>
    <t>17425</t>
  </si>
  <si>
    <t>(54/45)</t>
  </si>
  <si>
    <t>17426</t>
  </si>
  <si>
    <t>(54/46)</t>
  </si>
  <si>
    <t>17427</t>
  </si>
  <si>
    <t>(54/47)</t>
  </si>
  <si>
    <t>17428</t>
  </si>
  <si>
    <t>(54/48)</t>
  </si>
  <si>
    <t>17429</t>
  </si>
  <si>
    <t>Status: Device has "p3Fault" load faults flag</t>
  </si>
  <si>
    <t>Status: 设备具有"p3Fault"负载故障标志</t>
  </si>
  <si>
    <t>(54/49)</t>
  </si>
  <si>
    <t>17430</t>
  </si>
  <si>
    <t>(54/50)</t>
  </si>
  <si>
    <t>17431</t>
  </si>
  <si>
    <t>(54/51)</t>
  </si>
  <si>
    <t>17432</t>
  </si>
  <si>
    <t>(54/52)</t>
  </si>
  <si>
    <t>17433</t>
  </si>
  <si>
    <t>(54/53)</t>
  </si>
  <si>
    <t>17434</t>
  </si>
  <si>
    <t>(54/54)</t>
  </si>
  <si>
    <t>17435</t>
  </si>
  <si>
    <t>(218/112)</t>
  </si>
  <si>
    <t>(40/1)</t>
  </si>
  <si>
    <t>10295</t>
  </si>
  <si>
    <t>17440</t>
  </si>
  <si>
    <t>(40/2)</t>
  </si>
  <si>
    <t>17441</t>
  </si>
  <si>
    <t>(40/3)</t>
  </si>
  <si>
    <t>17442</t>
  </si>
  <si>
    <t>(40/4)</t>
  </si>
  <si>
    <t>17443</t>
  </si>
  <si>
    <t>(40/5)</t>
  </si>
  <si>
    <t>17444</t>
  </si>
  <si>
    <t>(40/6)</t>
  </si>
  <si>
    <t>17445</t>
  </si>
  <si>
    <t>(40/7)</t>
  </si>
  <si>
    <t>17446</t>
  </si>
  <si>
    <t>(40/8)</t>
  </si>
  <si>
    <t>17447</t>
  </si>
  <si>
    <t>(40/9)</t>
  </si>
  <si>
    <t>17448</t>
  </si>
  <si>
    <t>Status: Device has "sspptHot" alarm flag</t>
  </si>
  <si>
    <t>Status: 设备具有"sspptHot"报警标志</t>
  </si>
  <si>
    <t>(40/10)</t>
  </si>
  <si>
    <t>17449</t>
  </si>
  <si>
    <t>(40/11)</t>
  </si>
  <si>
    <t>17450</t>
  </si>
  <si>
    <t>Status: Device has "currentOffset" alarm flag</t>
  </si>
  <si>
    <t>Status: 设备具有"currentOffset"报警标志</t>
  </si>
  <si>
    <t>(40/12)</t>
  </si>
  <si>
    <t>17451</t>
  </si>
  <si>
    <t>(40/13)</t>
  </si>
  <si>
    <t>17452</t>
  </si>
  <si>
    <t>Status: Device has "rtsMiswire" alarm flag</t>
  </si>
  <si>
    <t>Status: 设备具有"rtsMiswire"报警标志</t>
  </si>
  <si>
    <t>(40/14)</t>
  </si>
  <si>
    <t>17453</t>
  </si>
  <si>
    <t>Status: Device has "systemMiswire" alarm flag</t>
  </si>
  <si>
    <t>Status: 设备具有"systemMiswire"报警标志</t>
  </si>
  <si>
    <t>(40/15)</t>
  </si>
  <si>
    <t>17454</t>
  </si>
  <si>
    <t>Status: Device has "mosfetSOpen" alarm flag</t>
  </si>
  <si>
    <t>Status: 设备具有"mosfetSOpen"报警标志</t>
  </si>
  <si>
    <t>(40/16)</t>
  </si>
  <si>
    <t>17455</t>
  </si>
  <si>
    <t>Status: Device has "p12VoltageReferenceOff" alarm flag</t>
  </si>
  <si>
    <t>Status: 设备具有"p12VoltageReferenceOff"报警标志</t>
  </si>
  <si>
    <t>(40/17)</t>
  </si>
  <si>
    <t>17456</t>
  </si>
  <si>
    <t>Status: Device has "highVaCurrentLimit" alarm flag</t>
  </si>
  <si>
    <t>Status: 设备具有"高VaCurrentLimit"报警标志</t>
  </si>
  <si>
    <t>(40/18)</t>
  </si>
  <si>
    <t>17457</t>
  </si>
  <si>
    <t>(40/19)</t>
  </si>
  <si>
    <t>17458</t>
  </si>
  <si>
    <t>(40/20)</t>
  </si>
  <si>
    <t>17459</t>
  </si>
  <si>
    <t>Status: Device has "softwareFault" array faults flag</t>
  </si>
  <si>
    <t>Status: 设备具有"softwareFault"阵列故障标志</t>
  </si>
  <si>
    <t>(40/21)</t>
  </si>
  <si>
    <t>17460</t>
  </si>
  <si>
    <t>(40/22)</t>
  </si>
  <si>
    <t>17461</t>
  </si>
  <si>
    <t>(40/23)</t>
  </si>
  <si>
    <t>17462</t>
  </si>
  <si>
    <t>(40/24)</t>
  </si>
  <si>
    <t>17463</t>
  </si>
  <si>
    <t>(40/25)</t>
  </si>
  <si>
    <t>17464</t>
  </si>
  <si>
    <t>(40/26)</t>
  </si>
  <si>
    <t>17465</t>
  </si>
  <si>
    <t>(40/27)</t>
  </si>
  <si>
    <t>17466</t>
  </si>
  <si>
    <t>(40/28)</t>
  </si>
  <si>
    <t>17467</t>
  </si>
  <si>
    <t>(40/29)</t>
  </si>
  <si>
    <t>17468</t>
  </si>
  <si>
    <t>(40/30)</t>
  </si>
  <si>
    <t>17469</t>
  </si>
  <si>
    <t>(40/31)</t>
  </si>
  <si>
    <t>17470</t>
  </si>
  <si>
    <t>(40/32)</t>
  </si>
  <si>
    <t>17471</t>
  </si>
  <si>
    <t>(40/33)</t>
  </si>
  <si>
    <t>17472</t>
  </si>
  <si>
    <t>(40/34)</t>
  </si>
  <si>
    <t>17473</t>
  </si>
  <si>
    <t>Status: Device has "unknownLoadFault" load faults flag</t>
  </si>
  <si>
    <t>Status: 设备具有"unknownLoadFault"负载故障标志</t>
  </si>
  <si>
    <t>(40/35)</t>
  </si>
  <si>
    <t>17474</t>
  </si>
  <si>
    <t>(40/36)</t>
  </si>
  <si>
    <t>17475</t>
  </si>
  <si>
    <t>(40/37)</t>
  </si>
  <si>
    <t>17476</t>
  </si>
  <si>
    <t>(40/38)</t>
  </si>
  <si>
    <t>17477</t>
  </si>
  <si>
    <t>(40/39)</t>
  </si>
  <si>
    <t>17478</t>
  </si>
  <si>
    <t>(40/40)</t>
  </si>
  <si>
    <t>17479</t>
  </si>
  <si>
    <t>(218/113)</t>
  </si>
  <si>
    <t>10290</t>
  </si>
  <si>
    <t>17484</t>
  </si>
  <si>
    <t>17485</t>
  </si>
  <si>
    <t>17486</t>
  </si>
  <si>
    <t>17487</t>
  </si>
  <si>
    <t>Status: Device has "heatsinkTempSensorShort" alarm flag</t>
  </si>
  <si>
    <t>Status: 设备具有"heatsinkTempSensorShort"报警标志</t>
  </si>
  <si>
    <t>17488</t>
  </si>
  <si>
    <t>Status: Device has "unknownAlarm" alarm flag</t>
  </si>
  <si>
    <t>Status: 设备具有"unknownAlarm"报警标志</t>
  </si>
  <si>
    <t>17489</t>
  </si>
  <si>
    <t>Status: Device has "suresineHot" alarm flag</t>
  </si>
  <si>
    <t>Status: 设备具有"suresineHot"报警标志</t>
  </si>
  <si>
    <t>17490</t>
  </si>
  <si>
    <t>Status: Device has "reset" faults flag</t>
  </si>
  <si>
    <t>Status: 设备具有"重置"故障标志</t>
  </si>
  <si>
    <t>17491</t>
  </si>
  <si>
    <t>Status: Device has "overcurrent" faults flag</t>
  </si>
  <si>
    <t>Status: 设备具有"过电流"故障标志</t>
  </si>
  <si>
    <t>17492</t>
  </si>
  <si>
    <t>Status: Device has "unknownFault" faults flag</t>
  </si>
  <si>
    <t>Status: 设备具有"未知故障"故障标志</t>
  </si>
  <si>
    <t>17493</t>
  </si>
  <si>
    <t>Status: Device has "software" faults flag</t>
  </si>
  <si>
    <t>Status: 设备具有"软件"故障标志</t>
  </si>
  <si>
    <t>17494</t>
  </si>
  <si>
    <t>Status: Device has "highVoltageDisconnect" faults flag</t>
  </si>
  <si>
    <t>Status: 设备具有"highVoltageDisconnect"故障标志</t>
  </si>
  <si>
    <t>17495</t>
  </si>
  <si>
    <t>Status: Device has "suresineHot" faults flag</t>
  </si>
  <si>
    <t>Status: 设备具有"suresineHot"故障标志</t>
  </si>
  <si>
    <t>17496</t>
  </si>
  <si>
    <t>Status: Device has "dipSwitchChanged" faults flag</t>
  </si>
  <si>
    <t>Status: 设备具有"dipSwitchChanged"故障标志</t>
  </si>
  <si>
    <t>17497</t>
  </si>
  <si>
    <t>Status: Device has "customSettingsEdit" faults flag</t>
  </si>
  <si>
    <t>Status: 设备具有"customSettingsEdit"故障标志</t>
  </si>
  <si>
    <t>17498</t>
  </si>
  <si>
    <t>17499</t>
  </si>
  <si>
    <t>(218/114)</t>
  </si>
  <si>
    <t>(65/1)</t>
  </si>
  <si>
    <t>10297</t>
  </si>
  <si>
    <t>17504</t>
  </si>
  <si>
    <t>(65/2)</t>
  </si>
  <si>
    <t>17505</t>
  </si>
  <si>
    <t>(65/3)</t>
  </si>
  <si>
    <t>17506</t>
  </si>
  <si>
    <t>(65/4)</t>
  </si>
  <si>
    <t>17507</t>
  </si>
  <si>
    <t>(65/5)</t>
  </si>
  <si>
    <t>17508</t>
  </si>
  <si>
    <t>(65/6)</t>
  </si>
  <si>
    <t>17509</t>
  </si>
  <si>
    <t>(65/7)</t>
  </si>
  <si>
    <t>17510</t>
  </si>
  <si>
    <t>Status: Device has "highTemperatureCurrentLimit" alarm flag</t>
  </si>
  <si>
    <t>Status: 设备具有"高温电流极限"报警标志</t>
  </si>
  <si>
    <t>(65/8)</t>
  </si>
  <si>
    <t>17511</t>
  </si>
  <si>
    <t>(65/9)</t>
  </si>
  <si>
    <t>17512</t>
  </si>
  <si>
    <t>(65/10)</t>
  </si>
  <si>
    <t>17513</t>
  </si>
  <si>
    <t>Status: Device has "batterySense" alarm flag</t>
  </si>
  <si>
    <t>Status: 设备具有"batterySense"报警标志</t>
  </si>
  <si>
    <t>(65/11)</t>
  </si>
  <si>
    <t>17514</t>
  </si>
  <si>
    <t>(65/12)</t>
  </si>
  <si>
    <t>17515</t>
  </si>
  <si>
    <t>(65/13)</t>
  </si>
  <si>
    <t>17516</t>
  </si>
  <si>
    <t>(65/14)</t>
  </si>
  <si>
    <t>17517</t>
  </si>
  <si>
    <t>Status: Device has "highVoltageDisconnect" alarm flag</t>
  </si>
  <si>
    <t>Status: 设备具有"highVoltageDisconnect"报警标志</t>
  </si>
  <si>
    <t>(65/15)</t>
  </si>
  <si>
    <t>17518</t>
  </si>
  <si>
    <t>(65/16)</t>
  </si>
  <si>
    <t>17519</t>
  </si>
  <si>
    <t>(65/17)</t>
  </si>
  <si>
    <t>17520</t>
  </si>
  <si>
    <t>Status: Device has "p12VoltageOutOfRange" alarm flag</t>
  </si>
  <si>
    <t>Status: 设备具有"p12VoltageOutOfRange"报警标志</t>
  </si>
  <si>
    <t>(65/18)</t>
  </si>
  <si>
    <t>17521</t>
  </si>
  <si>
    <t>Status: Device has "highArrayVCurrentLimit" alarm flag</t>
  </si>
  <si>
    <t>Status: 设备具有"highArrayVCurrentLimit"报警标志</t>
  </si>
  <si>
    <t>(65/19)</t>
  </si>
  <si>
    <t>17522</t>
  </si>
  <si>
    <t>Status: Device has "maxAdcValueReached" alarm flag</t>
  </si>
  <si>
    <t>Status: 设备具有"maxAdcValueReached"报警标志</t>
  </si>
  <si>
    <t>(65/20)</t>
  </si>
  <si>
    <t>17523</t>
  </si>
  <si>
    <t>Status: Device has "controllerWasReset" alarm flag</t>
  </si>
  <si>
    <t>Status: 设备具有"controllerWasReset"报警标志</t>
  </si>
  <si>
    <t>(65/21)</t>
  </si>
  <si>
    <t>17524</t>
  </si>
  <si>
    <t>Status: Device has "alarm21Internal" alarm flag</t>
  </si>
  <si>
    <t>Status: 设备具有"alarm21Internal"报警标志</t>
  </si>
  <si>
    <t>(65/22)</t>
  </si>
  <si>
    <t>17525</t>
  </si>
  <si>
    <t>Status: Device has "p3VoltageOutOfRange" alarm flag</t>
  </si>
  <si>
    <t>Status: 设备具有"p3VoltageOutOfRange"报警标志</t>
  </si>
  <si>
    <t>(65/23)</t>
  </si>
  <si>
    <t>17526</t>
  </si>
  <si>
    <t>Status: Device has "derateLimit" alarm flag</t>
  </si>
  <si>
    <t>Status: 设备具有"减额限制"报警标志</t>
  </si>
  <si>
    <t>(65/24)</t>
  </si>
  <si>
    <t>17527</t>
  </si>
  <si>
    <t>(65/25)</t>
  </si>
  <si>
    <t>17528</t>
  </si>
  <si>
    <t>Status: Device has "ee-i2cRetryLimit" alarm flag</t>
  </si>
  <si>
    <t>Status: 设备具有"ee-i2cRetryLimit"报警标志</t>
  </si>
  <si>
    <t>(65/26)</t>
  </si>
  <si>
    <t>17529</t>
  </si>
  <si>
    <t>Status: Device has "ethernetAlarm" alarm flag</t>
  </si>
  <si>
    <t>Status: 设备具有"ethernetAlarm"报警标志</t>
  </si>
  <si>
    <t>(65/27)</t>
  </si>
  <si>
    <t>17530</t>
  </si>
  <si>
    <t>Status: Device has "lvd" alarm flag</t>
  </si>
  <si>
    <t>Status: 设备具有"lvd"报警标志</t>
  </si>
  <si>
    <t>(65/28)</t>
  </si>
  <si>
    <t>17531</t>
  </si>
  <si>
    <t>Status: Device has "software" alarm flag</t>
  </si>
  <si>
    <t>Status: 设备具有"软件"报警标志</t>
  </si>
  <si>
    <t>(65/29)</t>
  </si>
  <si>
    <t>17532</t>
  </si>
  <si>
    <t>Status: Device has "fp12VoltageOutOfRange" alarm flag</t>
  </si>
  <si>
    <t>Status: 设备具有"fp12VoltageOutOfRange"报警标志</t>
  </si>
  <si>
    <t>(65/30)</t>
  </si>
  <si>
    <t>17533</t>
  </si>
  <si>
    <t>Status: Device has "extflashFault" alarm flag</t>
  </si>
  <si>
    <t>Status: 设备具有"extflashFault"报警标志</t>
  </si>
  <si>
    <t>(65/31)</t>
  </si>
  <si>
    <t>17534</t>
  </si>
  <si>
    <t>Status: Device has "slaveControlFault" alarm flag</t>
  </si>
  <si>
    <t>Status: 设备具有"slaveControlFault"报警标志</t>
  </si>
  <si>
    <t>(65/32)</t>
  </si>
  <si>
    <t>17535</t>
  </si>
  <si>
    <t>(65/33)</t>
  </si>
  <si>
    <t>17536</t>
  </si>
  <si>
    <t>Status: Device has "fetShort" faults flag</t>
  </si>
  <si>
    <t>Status: 设备具有"fetShort"故障标志</t>
  </si>
  <si>
    <t>(65/34)</t>
  </si>
  <si>
    <t>17537</t>
  </si>
  <si>
    <t>Status: Device has "softwareFault" faults flag</t>
  </si>
  <si>
    <t>Status: 设备具有"softwareFault"故障标志</t>
  </si>
  <si>
    <t>(65/35)</t>
  </si>
  <si>
    <t>17538</t>
  </si>
  <si>
    <t>Status: Device has "batteryHvd" faults flag</t>
  </si>
  <si>
    <t>Status: 设备具有"batteryHvd"故障标志</t>
  </si>
  <si>
    <t>(65/36)</t>
  </si>
  <si>
    <t>17539</t>
  </si>
  <si>
    <t>Status: Device has "arrayHvd" faults flag</t>
  </si>
  <si>
    <t>Status: 设备具有"arrayHvd"故障标志</t>
  </si>
  <si>
    <t>(65/37)</t>
  </si>
  <si>
    <t>17540</t>
  </si>
  <si>
    <t>Status: Device has "dipSwitchChange" faults flag</t>
  </si>
  <si>
    <t>Status: 设备具有"dipSwitchChange"故障标志</t>
  </si>
  <si>
    <t>(65/38)</t>
  </si>
  <si>
    <t>17541</t>
  </si>
  <si>
    <t>(65/39)</t>
  </si>
  <si>
    <t>17542</t>
  </si>
  <si>
    <t>Status: Device has "rtsShorted" faults flag</t>
  </si>
  <si>
    <t>Status: 设备具有"rtsShorted"故障标志</t>
  </si>
  <si>
    <t>(65/40)</t>
  </si>
  <si>
    <t>17543</t>
  </si>
  <si>
    <t>Status: Device has "rtsDisconnected" faults flag</t>
  </si>
  <si>
    <t>Status: 设备具有"rtsDisconnected"故障标志</t>
  </si>
  <si>
    <t>(65/41)</t>
  </si>
  <si>
    <t>17544</t>
  </si>
  <si>
    <t>Status: Device has "eepromRetryLimit" faults flag</t>
  </si>
  <si>
    <t>Status: 设备具有"eepromRetryLimit"故障标志</t>
  </si>
  <si>
    <t>(65/42)</t>
  </si>
  <si>
    <t>17545</t>
  </si>
  <si>
    <t>Status: Device has "controllerWasReset" faults flag</t>
  </si>
  <si>
    <t>Status: 设备具有"controllerWasReset"故障标志</t>
  </si>
  <si>
    <t>(65/43)</t>
  </si>
  <si>
    <t>17546</t>
  </si>
  <si>
    <t>Status: Device has "chargeSlaveControlTimeout" faults flag</t>
  </si>
  <si>
    <t>Status: 设备具有"chargeSlaveControlTimeout"故障标志</t>
  </si>
  <si>
    <t>(65/44)</t>
  </si>
  <si>
    <t>17547</t>
  </si>
  <si>
    <t>Status: Device has "rs232SerialToMeterBridge" faults flag</t>
  </si>
  <si>
    <t>Status: 设备具有"rs232SerialToMeterBridge"故障标志</t>
  </si>
  <si>
    <t>(65/45)</t>
  </si>
  <si>
    <t>17548</t>
  </si>
  <si>
    <t>Status: Device has "batteryLvd" faults flag</t>
  </si>
  <si>
    <t>Status: 设备具有"batteryLvd"故障标志</t>
  </si>
  <si>
    <t>(65/46)</t>
  </si>
  <si>
    <t>17549</t>
  </si>
  <si>
    <t>Status: Device has "powerboardCommunicationFault" faults flag</t>
  </si>
  <si>
    <t>Status: 设备具有"powerboardCommunicationFault"故障标志</t>
  </si>
  <si>
    <t>(65/47)</t>
  </si>
  <si>
    <t>17550</t>
  </si>
  <si>
    <t>Status: Device has "fault16Software" faults flag</t>
  </si>
  <si>
    <t>Status: 设备具有"fault16Software"故障标志</t>
  </si>
  <si>
    <t>(65/48)</t>
  </si>
  <si>
    <t>17551</t>
  </si>
  <si>
    <t>Status: Device has "fault17Software" faults flag</t>
  </si>
  <si>
    <t>Status: 设备具有"fault17Software"故障标志</t>
  </si>
  <si>
    <t>(65/49)</t>
  </si>
  <si>
    <t>17552</t>
  </si>
  <si>
    <t>Status: Device has "fault18Software" faults flag</t>
  </si>
  <si>
    <t>Status: 设备具有"fault18Software"故障标志</t>
  </si>
  <si>
    <t>(65/50)</t>
  </si>
  <si>
    <t>17553</t>
  </si>
  <si>
    <t>Status: Device has "fault19Software" faults flag</t>
  </si>
  <si>
    <t>Status: 设备具有"fault19Software"故障标志</t>
  </si>
  <si>
    <t>(65/51)</t>
  </si>
  <si>
    <t>17554</t>
  </si>
  <si>
    <t>Status: Device has "fault20Software" faults flag</t>
  </si>
  <si>
    <t>Status: 设备具有"fault20Software"故障标志</t>
  </si>
  <si>
    <t>(65/52)</t>
  </si>
  <si>
    <t>17555</t>
  </si>
  <si>
    <t>Status: Device has "fault21Software" faults flag</t>
  </si>
  <si>
    <t>Status: 设备具有"fault21Software"故障标志</t>
  </si>
  <si>
    <t>(65/53)</t>
  </si>
  <si>
    <t>17556</t>
  </si>
  <si>
    <t>Status: Device has "fpgaVersion" faults flag</t>
  </si>
  <si>
    <t>Status: 设备具有"fpgaVersion"故障标志</t>
  </si>
  <si>
    <t>(65/54)</t>
  </si>
  <si>
    <t>17557</t>
  </si>
  <si>
    <t>Status: Device has "currentSensorReferenceOutOfRange" faults flag</t>
  </si>
  <si>
    <t>Status: 设备具有"currentSensorReferenceOutOfRange"故障标志</t>
  </si>
  <si>
    <t>(65/55)</t>
  </si>
  <si>
    <t>17558</t>
  </si>
  <si>
    <t>Status: Device has "ia-refSlaveModeTimeout" faults flag</t>
  </si>
  <si>
    <t>Status: 设备具有"iarefSlaveModeTimeout"故障标志</t>
  </si>
  <si>
    <t>(65/56)</t>
  </si>
  <si>
    <t>17559</t>
  </si>
  <si>
    <t>Status: Device has "blockbusBoot" faults flag</t>
  </si>
  <si>
    <t>Status: 设备具有"blockbusBoot"故障标志</t>
  </si>
  <si>
    <t>(65/57)</t>
  </si>
  <si>
    <t>17560</t>
  </si>
  <si>
    <t>Status: Device has "hscommMaster" faults flag</t>
  </si>
  <si>
    <t>Status: 设备具有"hscommMaster"故障标志</t>
  </si>
  <si>
    <t>(65/58)</t>
  </si>
  <si>
    <t>17561</t>
  </si>
  <si>
    <t>Status: Device has "hscomm" faults flag</t>
  </si>
  <si>
    <t>Status: 设备具有"hscomm"故障标志</t>
  </si>
  <si>
    <t>(65/59)</t>
  </si>
  <si>
    <t>17562</t>
  </si>
  <si>
    <t>Status: Device has "slave" faults flag</t>
  </si>
  <si>
    <t>Status: 设备具有"从属"故障标志</t>
  </si>
  <si>
    <t>(65/60)</t>
  </si>
  <si>
    <t>17563</t>
  </si>
  <si>
    <t>(65/61)</t>
  </si>
  <si>
    <t>17564</t>
  </si>
  <si>
    <t>(65/62)</t>
  </si>
  <si>
    <t>17565</t>
  </si>
  <si>
    <t>(65/63)</t>
  </si>
  <si>
    <t>17566</t>
  </si>
  <si>
    <t>(65/64)</t>
  </si>
  <si>
    <t>17567</t>
  </si>
  <si>
    <t>(65/65)</t>
  </si>
  <si>
    <t>17568</t>
  </si>
  <si>
    <t>(218/115)</t>
  </si>
  <si>
    <t>(37/1)</t>
  </si>
  <si>
    <t>10287</t>
  </si>
  <si>
    <t>17573</t>
  </si>
  <si>
    <t>(37/2)</t>
  </si>
  <si>
    <t>17574</t>
  </si>
  <si>
    <t>(37/3)</t>
  </si>
  <si>
    <t>17575</t>
  </si>
  <si>
    <t>(37/4)</t>
  </si>
  <si>
    <t>17576</t>
  </si>
  <si>
    <t>(37/5)</t>
  </si>
  <si>
    <t>17577</t>
  </si>
  <si>
    <t>(37/6)</t>
  </si>
  <si>
    <t>17578</t>
  </si>
  <si>
    <t>(37/7)</t>
  </si>
  <si>
    <t>17579</t>
  </si>
  <si>
    <t>(37/8)</t>
  </si>
  <si>
    <t>17580</t>
  </si>
  <si>
    <t>(37/9)</t>
  </si>
  <si>
    <t>17581</t>
  </si>
  <si>
    <t>(37/10)</t>
  </si>
  <si>
    <t>17582</t>
  </si>
  <si>
    <t>(37/11)</t>
  </si>
  <si>
    <t>17583</t>
  </si>
  <si>
    <t>(37/12)</t>
  </si>
  <si>
    <t>17584</t>
  </si>
  <si>
    <t>(37/13)</t>
  </si>
  <si>
    <t>17585</t>
  </si>
  <si>
    <t>(37/14)</t>
  </si>
  <si>
    <t>17586</t>
  </si>
  <si>
    <t>(37/15)</t>
  </si>
  <si>
    <t>17587</t>
  </si>
  <si>
    <t>(37/16)</t>
  </si>
  <si>
    <t>17588</t>
  </si>
  <si>
    <t>(37/17)</t>
  </si>
  <si>
    <t>17589</t>
  </si>
  <si>
    <t>(37/18)</t>
  </si>
  <si>
    <t>17590</t>
  </si>
  <si>
    <t>(37/19)</t>
  </si>
  <si>
    <t>17591</t>
  </si>
  <si>
    <t>(37/20)</t>
  </si>
  <si>
    <t>17592</t>
  </si>
  <si>
    <t>(37/21)</t>
  </si>
  <si>
    <t>17593</t>
  </si>
  <si>
    <t>(37/22)</t>
  </si>
  <si>
    <t>17594</t>
  </si>
  <si>
    <t>(37/23)</t>
  </si>
  <si>
    <t>17595</t>
  </si>
  <si>
    <t>(37/24)</t>
  </si>
  <si>
    <t>17596</t>
  </si>
  <si>
    <t>(37/25)</t>
  </si>
  <si>
    <t>17597</t>
  </si>
  <si>
    <t>(37/26)</t>
  </si>
  <si>
    <t>17598</t>
  </si>
  <si>
    <t>(37/27)</t>
  </si>
  <si>
    <t>17599</t>
  </si>
  <si>
    <t>(37/28)</t>
  </si>
  <si>
    <t>17600</t>
  </si>
  <si>
    <t>(37/29)</t>
  </si>
  <si>
    <t>17601</t>
  </si>
  <si>
    <t>(37/30)</t>
  </si>
  <si>
    <t>17602</t>
  </si>
  <si>
    <t>(37/31)</t>
  </si>
  <si>
    <t>17603</t>
  </si>
  <si>
    <t>Status: Device has "slaveControlTimeout" faults flag</t>
  </si>
  <si>
    <t>Status: 设备具有"slaveControlTimeout"故障标志</t>
  </si>
  <si>
    <t>(37/32)</t>
  </si>
  <si>
    <t>17604</t>
  </si>
  <si>
    <t>(37/33)</t>
  </si>
  <si>
    <t>17605</t>
  </si>
  <si>
    <t>(37/34)</t>
  </si>
  <si>
    <t>17606</t>
  </si>
  <si>
    <t>(37/35)</t>
  </si>
  <si>
    <t>17607</t>
  </si>
  <si>
    <t>(37/36)</t>
  </si>
  <si>
    <t>17608</t>
  </si>
  <si>
    <t>(37/37)</t>
  </si>
  <si>
    <t>17609</t>
  </si>
  <si>
    <t>(218/116)</t>
  </si>
  <si>
    <t>10294</t>
  </si>
  <si>
    <t>17614</t>
  </si>
  <si>
    <t>17615</t>
  </si>
  <si>
    <t>17616</t>
  </si>
  <si>
    <t>17617</t>
  </si>
  <si>
    <t>17618</t>
  </si>
  <si>
    <t>Status: Device has "tristarHot" alarm flag</t>
  </si>
  <si>
    <t>Status: 设备具有"tristarHot"报警标志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</si>
  <si>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</si>
  <si>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</si>
  <si>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</si>
  <si>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</si>
  <si>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</si>
  <si>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</si>
  <si>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</si>
  <si>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</si>
  <si>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Status: Device has "diversionLoadNearMax" alarm flag</t>
  </si>
  <si>
    <t>Status: 设备具有"diversionLoadNearMax"报警标志</t>
  </si>
  <si>
    <t>17627</t>
  </si>
  <si>
    <t>17628</t>
  </si>
  <si>
    <t>17629</t>
  </si>
  <si>
    <t>17630</t>
  </si>
  <si>
    <t>Status: Device has "loadDisconnectState" alarm flag</t>
  </si>
  <si>
    <t>Status: 设备具有"loadDisconnectState"报警标志</t>
  </si>
  <si>
    <t>17631</t>
  </si>
  <si>
    <t>Status: Device has "externalShort" faults flag</t>
  </si>
  <si>
    <t>Status: 设备具有"externalShort"故障标志</t>
  </si>
  <si>
    <t>17632</t>
  </si>
  <si>
    <t>17633</t>
  </si>
  <si>
    <t>Status: Device has "mosfetSShorted" faults flag</t>
  </si>
  <si>
    <t>Status: 设备具有"mosfetSShorted"故障标志</t>
  </si>
  <si>
    <t>17634</t>
  </si>
  <si>
    <t>17635</t>
  </si>
  <si>
    <t>17636</t>
  </si>
  <si>
    <t>Status: Device has "tristarHot" faults flag</t>
  </si>
  <si>
    <t>Status: 设备具有"tristarHot"故障标志</t>
  </si>
  <si>
    <t>17637</t>
  </si>
  <si>
    <t>17638</t>
  </si>
  <si>
    <t>17639</t>
  </si>
  <si>
    <t>17640</t>
  </si>
  <si>
    <t>Status: Device has "systemMiswire" faults flag</t>
  </si>
  <si>
    <t>Status: 设备具有"systemMiswire"故障标志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</si>
  <si>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</si>
  <si>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</si>
  <si>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</si>
  <si>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</si>
  <si>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</si>
  <si>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</si>
  <si>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</si>
  <si>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</si>
  <si>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(218/117)</t>
  </si>
  <si>
    <t>10291</t>
  </si>
  <si>
    <t>14673</t>
  </si>
  <si>
    <t>14674</t>
  </si>
  <si>
    <t>14675</t>
  </si>
  <si>
    <t>14680</t>
  </si>
  <si>
    <t>16306</t>
  </si>
  <si>
    <t>16364</t>
  </si>
  <si>
    <t>16548</t>
  </si>
  <si>
    <t>16549</t>
  </si>
  <si>
    <t>16610</t>
  </si>
  <si>
    <t>17884</t>
  </si>
  <si>
    <t>(218/118)</t>
  </si>
  <si>
    <t>10298</t>
  </si>
  <si>
    <t>14534</t>
  </si>
  <si>
    <t>14535</t>
  </si>
  <si>
    <t>14536</t>
  </si>
  <si>
    <t>16300</t>
  </si>
  <si>
    <t>16358</t>
  </si>
  <si>
    <t>16604</t>
  </si>
  <si>
    <t>(218/119)</t>
  </si>
  <si>
    <t>10289</t>
  </si>
  <si>
    <t>14691</t>
  </si>
  <si>
    <t>14692</t>
  </si>
  <si>
    <t>14693</t>
  </si>
  <si>
    <t>14698</t>
  </si>
  <si>
    <t>14699</t>
  </si>
  <si>
    <t>16307</t>
  </si>
  <si>
    <t>16365</t>
  </si>
  <si>
    <t>16551</t>
  </si>
  <si>
    <t>Temperature is above warning threshold: &gt;{$TEMP_WARN:""}</t>
  </si>
  <si>
    <t>Temperature is above warning threshold: {$TEMP_WARN:""}</t>
  </si>
  <si>
    <t>16552</t>
  </si>
  <si>
    <t>Temperature is above critical threshold: &gt;{$TEMP_CRIT:""}</t>
  </si>
  <si>
    <t>Temperature is above critical threshold: {$TEMP_CRIT:""}</t>
  </si>
  <si>
    <t>16553</t>
  </si>
  <si>
    <t>Temperature is too low: &lt;{$TEMP_CRIT_LOW:""}</t>
  </si>
  <si>
    <t>Temperature is too low: {$TEMP_CRIT_LOW:""}</t>
  </si>
  <si>
    <t>16554</t>
  </si>
  <si>
    <t>16555</t>
  </si>
  <si>
    <t>16611</t>
  </si>
  <si>
    <t>17885</t>
  </si>
  <si>
    <t>(218/120)</t>
  </si>
  <si>
    <t>10296</t>
  </si>
  <si>
    <t>14704</t>
  </si>
  <si>
    <t>14705</t>
  </si>
  <si>
    <t>14706</t>
  </si>
  <si>
    <t>14709</t>
  </si>
  <si>
    <t>14710</t>
  </si>
  <si>
    <t>16308</t>
  </si>
  <si>
    <t>16366</t>
  </si>
  <si>
    <t>16612</t>
  </si>
  <si>
    <t>(218/121)</t>
  </si>
  <si>
    <t>10314</t>
  </si>
  <si>
    <t>14717</t>
  </si>
  <si>
    <t>14718</t>
  </si>
  <si>
    <t>14719</t>
  </si>
  <si>
    <t>14724</t>
  </si>
  <si>
    <t>16279</t>
  </si>
  <si>
    <t>16285</t>
  </si>
  <si>
    <t>16561</t>
  </si>
  <si>
    <t>16591</t>
  </si>
  <si>
    <t>17887</t>
  </si>
  <si>
    <t>(218/122)</t>
  </si>
  <si>
    <t>10315</t>
  </si>
  <si>
    <t>19463</t>
  </si>
  <si>
    <t>ZYXEL AAM1212-51 / IES-612: No SNMP data collection</t>
  </si>
  <si>
    <t>ZYXEL AAM1212-51 / IES-612: 无SNMP数据采集</t>
  </si>
  <si>
    <t>19464</t>
  </si>
  <si>
    <t>ZYXEL AAM1212-51 / IES-612: Firmware has changed</t>
  </si>
  <si>
    <t>ZYXEL AAM1212-51 / IES-612: 固件已变更</t>
  </si>
  <si>
    <t>19465</t>
  </si>
  <si>
    <t>ZYXEL AAM1212-51 / IES-612: Template does not match hardware</t>
  </si>
  <si>
    <t>ZYXEL AAM1212-51 / IES-612: 模板与硬件不匹配</t>
  </si>
  <si>
    <t>19466</t>
  </si>
  <si>
    <t>ZYXEL AAM1212-51 / IES-612: Device has been replaced (new serial number received)</t>
  </si>
  <si>
    <t>ZYXEL AAM1212-51 / IES-612: 备已更换(收到新序列号)</t>
  </si>
  <si>
    <t>19467</t>
  </si>
  <si>
    <t>ZYXEL AAM1212-51 / IES-612: Port {#SNMPINDEX} alarm</t>
  </si>
  <si>
    <t>ZYXEL AAM1212-51 / IES-612: 端口{#SNMPINDEX}报警</t>
  </si>
  <si>
    <t>19468</t>
  </si>
  <si>
    <t>ZYXEL AAM1212-51 / IES-612: has been restarted (uptime &lt; 10m)</t>
  </si>
  <si>
    <t>ZYXEL AAM1212-51 / IES-612: 重新启动(正常运行时间&lt;10m)</t>
  </si>
  <si>
    <t>(218/123)</t>
  </si>
  <si>
    <t>10050</t>
  </si>
  <si>
    <t>19477</t>
  </si>
  <si>
    <t>ZYXEL ES3500-8PD: No SNMP data collection</t>
  </si>
  <si>
    <t>ZYXEL ES3500-8PD: 无SNMP数据采集</t>
  </si>
  <si>
    <t>19478</t>
  </si>
  <si>
    <t>ZYXEL ES3500-8PD: High CPU utilization (over {$CPU.UTIL.CRIT}% for 5m)</t>
  </si>
  <si>
    <t>ZYXEL ES3500-8PD: CPU利用率(超过{$CPU.UTIL.CRIT}%达5分钟)</t>
  </si>
  <si>
    <t>19479</t>
  </si>
  <si>
    <t>ZYXEL ES3500-8PD: Firmware has changed</t>
  </si>
  <si>
    <t>ZYXEL ES3500-8PD: 固件已变更</t>
  </si>
  <si>
    <t>19480</t>
  </si>
  <si>
    <t>ZYXEL ES3500-8PD: Template does not match hardware</t>
  </si>
  <si>
    <t>ZYXEL ES3500-8PD: 模板与硬件不匹配</t>
  </si>
  <si>
    <t>19481</t>
  </si>
  <si>
    <t>ZYXEL ES3500-8PD: Device has been replaced (new serial number received)</t>
  </si>
  <si>
    <t>ZYXEL ES3500-8PD: 备已更换(收到新序列号)</t>
  </si>
  <si>
    <t>19482</t>
  </si>
  <si>
    <t>ZYXEL ES3500-8PD: has been restarted (uptime &lt; 10m)</t>
  </si>
  <si>
    <t>ZYXEL ES3500-8PD: 重新启动(正常运行时间&lt;10m)</t>
  </si>
  <si>
    <t>(218/124)</t>
  </si>
  <si>
    <t>10292</t>
  </si>
  <si>
    <t>19490</t>
  </si>
  <si>
    <t>ZYXEL GS-4012F: No SNMP data collection</t>
  </si>
  <si>
    <t>ZYXEL GS-4012F: 无SNMP数据采集</t>
  </si>
  <si>
    <t>19491</t>
  </si>
  <si>
    <t>ZYXEL GS-4012F: High CPU utilization (over {$CPU.UTIL.CRIT}% for 5m)</t>
  </si>
  <si>
    <t>ZYXEL GS-4012F: CPU利用率(超过{$CPU.UTIL.CRIT}%达5分钟)</t>
  </si>
  <si>
    <t>19492</t>
  </si>
  <si>
    <t>ZYXEL GS-4012F: Firmware has changed</t>
  </si>
  <si>
    <t>ZYXEL GS-4012F: 固件已变更</t>
  </si>
  <si>
    <t>19493</t>
  </si>
  <si>
    <t>ZYXEL GS-4012F: Template does not match hardware</t>
  </si>
  <si>
    <t>ZYXEL GS-4012F: 模板与硬件不匹配</t>
  </si>
  <si>
    <t>19494</t>
  </si>
  <si>
    <t>ZYXEL GS-4012F: Device has been replaced (new serial number received)</t>
  </si>
  <si>
    <t>ZYXEL GS-4012F: 备已更换(收到新序列号)</t>
  </si>
  <si>
    <t>19495</t>
  </si>
  <si>
    <t>ZYXEL GS-4012F: has been restarted (uptime &lt; 10m)</t>
  </si>
  <si>
    <t>ZYXEL GS-4012F: 重新启动(正常运行时间&lt;10m)</t>
  </si>
  <si>
    <t>(218/125)</t>
  </si>
  <si>
    <t>10207</t>
  </si>
  <si>
    <t>19500</t>
  </si>
  <si>
    <t>ZYXEL IES-500x: No SNMP data collection</t>
  </si>
  <si>
    <t>ZYXEL IES-500x: 无SNMP数据采集</t>
  </si>
  <si>
    <t>19501</t>
  </si>
  <si>
    <t>ZYXEL IES-500x: Template does not match hardware</t>
  </si>
  <si>
    <t>ZYXEL IES-500x: 模板与硬件不匹配</t>
  </si>
  <si>
    <t>19502</t>
  </si>
  <si>
    <t>ZYXEL IES-500x: has been restarted (uptime &lt; 10m)</t>
  </si>
  <si>
    <t>ZYXEL IES-500x: 重新启动(正常运行时间&lt;10m)</t>
  </si>
  <si>
    <t>(218/126)</t>
  </si>
  <si>
    <t>10254</t>
  </si>
  <si>
    <t>19522</t>
  </si>
  <si>
    <t>ZYXEL IES-6000: No SNMP data collection</t>
  </si>
  <si>
    <t>ZYXEL IES-6000: 无SNMP数据采集</t>
  </si>
  <si>
    <t>19523</t>
  </si>
  <si>
    <t>ZYXEL IES-6000: Template does not match hardware</t>
  </si>
  <si>
    <t>ZYXEL IES-6000: 模板与硬件不匹配</t>
  </si>
  <si>
    <t>19524</t>
  </si>
  <si>
    <t>ZYXEL IES-6000: has been restarted (uptime &lt; 10m)</t>
  </si>
  <si>
    <t>ZYXEL IES-6000: 重新启动(正常运行时间&lt;10m)</t>
  </si>
  <si>
    <t>(218/127)</t>
  </si>
  <si>
    <t>10208</t>
  </si>
  <si>
    <t>19544</t>
  </si>
  <si>
    <t>ZYXEL IES1248-51: No SNMP data collection</t>
  </si>
  <si>
    <t>ZYXEL IES1248-51: 无SNMP数据采集</t>
  </si>
  <si>
    <t>19545</t>
  </si>
  <si>
    <t>ZYXEL IES1248-51: Firmware has changed</t>
  </si>
  <si>
    <t>ZYXEL IES1248-51: 固件已变更</t>
  </si>
  <si>
    <t>19546</t>
  </si>
  <si>
    <t>ZYXEL IES1248-51: Template does not match hardware</t>
  </si>
  <si>
    <t>ZYXEL IES1248-51: 模板与硬件不匹配</t>
  </si>
  <si>
    <t>19547</t>
  </si>
  <si>
    <t>ZYXEL IES1248-51: Device has been replaced (new serial number received)</t>
  </si>
  <si>
    <t>ZYXEL IES1248-51: 备已更换(收到新序列号)</t>
  </si>
  <si>
    <t>19548</t>
  </si>
  <si>
    <t>ZYXEL IES1248-51: Port {#SNMPINDEX} alarm</t>
  </si>
  <si>
    <t>ZYXEL IES1248-51: 端口{#SNMPINDEX}报警</t>
  </si>
  <si>
    <t>19549</t>
  </si>
  <si>
    <t>ZYXEL IES1248-51: has been restarted (uptime &lt; 10m)</t>
  </si>
  <si>
    <t>ZYXEL IES1248-51: 重新启动(正常运行时间&lt;10m)</t>
  </si>
  <si>
    <t>(218/128)</t>
  </si>
  <si>
    <t>10210</t>
  </si>
  <si>
    <t>19559</t>
  </si>
  <si>
    <t>ZYXEL MES-3528: No SNMP data collection</t>
  </si>
  <si>
    <t>ZYXEL MES-3528: 无SNMP数据采集</t>
  </si>
  <si>
    <t>19560</t>
  </si>
  <si>
    <t>ZYXEL MES-3528: High CPU utilization (over {$CPU.UTIL.CRIT}% for 5m)</t>
  </si>
  <si>
    <t>ZYXEL MES-3528: CPU利用率(超过{$CPU.UTIL.CRIT}%达5分钟)</t>
  </si>
  <si>
    <t>19561</t>
  </si>
  <si>
    <t>ZYXEL MES-3528: Firmware has changed</t>
  </si>
  <si>
    <t>ZYXEL MES-3528: 固件已变更</t>
  </si>
  <si>
    <t>19562</t>
  </si>
  <si>
    <t>ZYXEL MES-3528: Template does not match hardware</t>
  </si>
  <si>
    <t>ZYXEL MES-3528: 模板与硬件不匹配</t>
  </si>
  <si>
    <t>19563</t>
  </si>
  <si>
    <t>ZYXEL MES-3528: Device has been replaced (new serial number received)</t>
  </si>
  <si>
    <t>ZYXEL MES-3528: 备已更换(收到新序列号)</t>
  </si>
  <si>
    <t>19564</t>
  </si>
  <si>
    <t>ZYXEL MES-3528: has been restarted (uptime &lt; 10m)</t>
  </si>
  <si>
    <t>ZYXEL MES-3528: 重新启动(正常运行时间&lt;10m)</t>
  </si>
  <si>
    <t>(218/129)</t>
  </si>
  <si>
    <t>10211</t>
  </si>
  <si>
    <t>19569</t>
  </si>
  <si>
    <t>ZYXEL MES3500-10: No SNMP data collection</t>
  </si>
  <si>
    <t>ZYXEL MES3500-10: 无SNMP数据采集</t>
  </si>
  <si>
    <t>19570</t>
  </si>
  <si>
    <t>ZYXEL MES3500-10: High CPU utilization (over {$CPU.UTIL.CRIT}% for 5m)</t>
  </si>
  <si>
    <t>ZYXEL MES3500-10: CPU利用率(超过{$CPU.UTIL.CRIT}%达5分钟)</t>
  </si>
  <si>
    <t>19571</t>
  </si>
  <si>
    <t>ZYXEL MES3500-10: Firmware has changed</t>
  </si>
  <si>
    <t>ZYXEL MES3500-10: 固件已变更</t>
  </si>
  <si>
    <t>19572</t>
  </si>
  <si>
    <t>ZYXEL MES3500-10: Template does not match hardware</t>
  </si>
  <si>
    <t>ZYXEL MES3500-10: 模板与硬件不匹配</t>
  </si>
  <si>
    <t>19573</t>
  </si>
  <si>
    <t>ZYXEL MES3500-10: Device has been replaced (new serial number received)</t>
  </si>
  <si>
    <t>ZYXEL MES3500-10: 备已更换(收到新序列号)</t>
  </si>
  <si>
    <t>19574</t>
  </si>
  <si>
    <t>ZYXEL MES3500-10: has been restarted (uptime &lt; 10m)</t>
  </si>
  <si>
    <t>ZYXEL MES3500-10: 重新启动(正常运行时间&lt;10m)</t>
  </si>
  <si>
    <t>(218/130)</t>
  </si>
  <si>
    <t>10417</t>
  </si>
  <si>
    <t>19582</t>
  </si>
  <si>
    <t>ZYXEL MES3500-24: No SNMP data collection</t>
  </si>
  <si>
    <t>ZYXEL MES3500-24: 无SNMP数据采集</t>
  </si>
  <si>
    <t>19583</t>
  </si>
  <si>
    <t>ZYXEL MES3500-24: High CPU utilization (over {$CPU.UTIL.CRIT}% for 5m)</t>
  </si>
  <si>
    <t>ZYXEL MES3500-24: CPU利用率(超过{$CPU.UTIL.CRIT}%达5分钟)</t>
  </si>
  <si>
    <t>19584</t>
  </si>
  <si>
    <t>ZYXEL MES3500-24: Firmware has changed</t>
  </si>
  <si>
    <t>ZYXEL MES3500-24: 固件已变更</t>
  </si>
  <si>
    <t>19585</t>
  </si>
  <si>
    <t>ZYXEL MES3500-24: Template does not match hardware</t>
  </si>
  <si>
    <t>ZYXEL MES3500-24: 模板与硬件不匹配</t>
  </si>
  <si>
    <t>19586</t>
  </si>
  <si>
    <t>ZYXEL MES3500-24: Device has been replaced (new serial number received)</t>
  </si>
  <si>
    <t>ZYXEL MES3500-24: 备已更换(收到新序列号)</t>
  </si>
  <si>
    <t>19587</t>
  </si>
  <si>
    <t>ZYXEL MES3500-24: has been restarted (uptime &lt; 10m)</t>
  </si>
  <si>
    <t>ZYXEL MES3500-24: 重新启动(正常运行时间&lt;10m)</t>
  </si>
  <si>
    <t>(218/131)</t>
  </si>
  <si>
    <t>10218</t>
  </si>
  <si>
    <t>19621</t>
  </si>
  <si>
    <t>ZYXEL MES3500-24S: No SNMP data collection</t>
  </si>
  <si>
    <t>ZYXEL MES3500-24S: 无SNMP数据采集</t>
  </si>
  <si>
    <t>19622</t>
  </si>
  <si>
    <t>ZYXEL MES3500-24S: High CPU utilization (over {$CPU.UTIL.CRIT}% for 5m)</t>
  </si>
  <si>
    <t>ZYXEL MES3500-24S: CPU利用率(超过{$CPU.UTIL.CRIT}%达5分钟)</t>
  </si>
  <si>
    <t>19623</t>
  </si>
  <si>
    <t>ZYXEL MES3500-24S: Firmware has changed</t>
  </si>
  <si>
    <t>ZYXEL MES3500-24S: 固件已变更</t>
  </si>
  <si>
    <t>19624</t>
  </si>
  <si>
    <t>ZYXEL MES3500-24S: High memory utilization (&gt;{$MEMORY.UTIL.MAX}% for 5m)</t>
  </si>
  <si>
    <t>ZYXEL MES3500-24S: 内存利用率(&gt;{$MEMORY.UTIL.MAX}%达5m)</t>
  </si>
  <si>
    <t>19625</t>
  </si>
  <si>
    <t>ZYXEL MES3500-24S: Template does not match hardware</t>
  </si>
  <si>
    <t>ZYXEL MES3500-24S: 模板与硬件不匹配</t>
  </si>
  <si>
    <t>19626</t>
  </si>
  <si>
    <t>ZYXEL MES3500-24S: Device has been replaced (new serial number received)</t>
  </si>
  <si>
    <t>ZYXEL MES3500-24S: 备已更换(收到新序列号)</t>
  </si>
  <si>
    <t>19627</t>
  </si>
  <si>
    <t>ZYXEL MES3500-24S: has been restarted (uptime &lt; 10m)</t>
  </si>
  <si>
    <t>ZYXEL MES3500-24S: 重新启动(正常运行时间&lt;10m)</t>
  </si>
  <si>
    <t>(218/132)</t>
  </si>
  <si>
    <t>10220</t>
  </si>
  <si>
    <t>19595</t>
  </si>
  <si>
    <t>ZYXEL MGS-3712: No SNMP data collection</t>
  </si>
  <si>
    <t>ZYXEL MGS-3712: 无SNMP数据采集</t>
  </si>
  <si>
    <t>19596</t>
  </si>
  <si>
    <t>ZYXEL MGS-3712: High CPU utilization (over {$CPU.UTIL.CRIT}% for 5m)</t>
  </si>
  <si>
    <t>ZYXEL MGS-3712: CPU利用率(超过{$CPU.UTIL.CRIT}%达5分钟)</t>
  </si>
  <si>
    <t>19597</t>
  </si>
  <si>
    <t>ZYXEL MGS-3712: Firmware has changed</t>
  </si>
  <si>
    <t>ZYXEL MGS-3712: 固件已变更</t>
  </si>
  <si>
    <t>19598</t>
  </si>
  <si>
    <t>ZYXEL MGS-3712: Template does not match hardware</t>
  </si>
  <si>
    <t>ZYXEL MGS-3712: 模板与硬件不匹配</t>
  </si>
  <si>
    <t>19599</t>
  </si>
  <si>
    <t>ZYXEL MGS-3712: Device has been replaced (new serial number received)</t>
  </si>
  <si>
    <t>ZYXEL MGS-3712: 备已更换(收到新序列号)</t>
  </si>
  <si>
    <t>19600</t>
  </si>
  <si>
    <t>ZYXEL MGS-3712: has been restarted (uptime &lt; 10m)</t>
  </si>
  <si>
    <t>ZYXEL MGS-3712: 重新启动(正常运行时间&lt;10m)</t>
  </si>
  <si>
    <t>(218/133)</t>
  </si>
  <si>
    <t>10253</t>
  </si>
  <si>
    <t>19608</t>
  </si>
  <si>
    <t>ZYXEL MGS-3712F: No SNMP data collection</t>
  </si>
  <si>
    <t>ZYXEL MGS-3712F: 无SNMP数据采集</t>
  </si>
  <si>
    <t>19609</t>
  </si>
  <si>
    <t>ZYXEL MGS-3712F: High CPU utilization (over {$CPU.UTIL.CRIT}% for 5m)</t>
  </si>
  <si>
    <t>ZYXEL MGS-3712F: CPU利用率(超过{$CPU.UTIL.CRIT}%达5分钟)</t>
  </si>
  <si>
    <t>19610</t>
  </si>
  <si>
    <t>ZYXEL MGS-3712F: Firmware has changed</t>
  </si>
  <si>
    <t>ZYXEL MGS-3712F: 固件已变更</t>
  </si>
  <si>
    <t>19611</t>
  </si>
  <si>
    <t>ZYXEL MGS-3712F: Template does not match hardware</t>
  </si>
  <si>
    <t>ZYXEL MGS-3712F: 模板与硬件不匹配</t>
  </si>
  <si>
    <t>19612</t>
  </si>
  <si>
    <t>ZYXEL MGS-3712F: Device has been replaced (new serial number received)</t>
  </si>
  <si>
    <t>ZYXEL MGS-3712F: 备已更换(收到新序列号)</t>
  </si>
  <si>
    <t>19613</t>
  </si>
  <si>
    <t>ZYXEL MGS-3712F: has been restarted (uptime &lt; 10m)</t>
  </si>
  <si>
    <t>ZYXEL MGS-3712F: 重新启动(正常运行时间&lt;10m)</t>
  </si>
  <si>
    <t>(218/134)</t>
  </si>
  <si>
    <t>10222</t>
  </si>
  <si>
    <t>19635</t>
  </si>
  <si>
    <t>ZYXEL MGS3520-28x: No SNMP data collection</t>
  </si>
  <si>
    <t>ZYXEL MGS3520-28x: 无SNMP数据采集</t>
  </si>
  <si>
    <t>19636</t>
  </si>
  <si>
    <t>ZYXEL MGS3520-28x: High CPU utilization (over {$CPU.UTIL.CRIT}% for 5m)</t>
  </si>
  <si>
    <t>ZYXEL MGS3520-28x: CPU利用率(超过{$CPU.UTIL.CRIT}%达5分钟)</t>
  </si>
  <si>
    <t>19637</t>
  </si>
  <si>
    <t>ZYXEL MGS3520-28x: Firmware has changed</t>
  </si>
  <si>
    <t>ZYXEL MGS3520-28x: 固件已变更</t>
  </si>
  <si>
    <t>19638</t>
  </si>
  <si>
    <t>ZYXEL MGS3520-28x: High memory utilization (&gt;{$MEMORY.UTIL.MAX}% for 5m)</t>
  </si>
  <si>
    <t>ZYXEL MGS3520-28x: 内存利用率(大于{$MEMORY.UTIL.MAX}%达5分钟)</t>
  </si>
  <si>
    <t>19639</t>
  </si>
  <si>
    <t>ZYXEL MGS3520-28x: Template does not match hardware</t>
  </si>
  <si>
    <t>ZYXEL MGS3520-28x: 模板与硬件不匹配</t>
  </si>
  <si>
    <t>19640</t>
  </si>
  <si>
    <t>ZYXEL MGS3520-28x: Device has been replaced (new serial number received)</t>
  </si>
  <si>
    <t>ZYXEL MGS3520-28x: 备已更换(收到新序列号)</t>
  </si>
  <si>
    <t>19641</t>
  </si>
  <si>
    <t>ZYXEL MGS3520-28x: has been restarted (uptime &lt; 10m)</t>
  </si>
  <si>
    <t>ZYXEL MGS3520-28x: 重新启动(正常运行时间&lt;10m)</t>
  </si>
  <si>
    <t>(218/135)</t>
  </si>
  <si>
    <t>10223</t>
  </si>
  <si>
    <t>19649</t>
  </si>
  <si>
    <t>ZYXEL XGS-4728F: No SNMP data collection</t>
  </si>
  <si>
    <t>ZYXEL XGS-4728F: 无SNMP数据采集</t>
  </si>
  <si>
    <t>19650</t>
  </si>
  <si>
    <t>ZYXEL XGS-4728F: High CPU utilization (over {$CPU.UTIL.CRIT}% for 5m)</t>
  </si>
  <si>
    <t>ZYXEL XGS-4728F: CPU利用率(超过{$CPU.UTIL.CRIT}%达5分钟)</t>
  </si>
  <si>
    <t>19651</t>
  </si>
  <si>
    <t>ZYXEL XGS-4728F: Firmware has changed</t>
  </si>
  <si>
    <t>ZYXEL XGS-4728F: 固件已变更</t>
  </si>
  <si>
    <t>19652</t>
  </si>
  <si>
    <t>ZYXEL XGS-4728F: Template does not match hardware</t>
  </si>
  <si>
    <t>ZYXEL XGS-4728F: 模板与硬件不匹配</t>
  </si>
  <si>
    <t>19653</t>
  </si>
  <si>
    <t>ZYXEL XGS-4728F: Device has been replaced (new serial number received)</t>
  </si>
  <si>
    <t>ZYXEL XGS-4728F: 备已更换(收到新序列号)</t>
  </si>
  <si>
    <t>19654</t>
  </si>
  <si>
    <t>ZYXEL XGS-4728F: has been restarted (uptime &lt; 10m)</t>
  </si>
  <si>
    <t>ZYXEL XGS-4728F: 重新启动(正常运行时间&lt;10m)</t>
  </si>
  <si>
    <t>(218/136)</t>
  </si>
  <si>
    <t>10221</t>
  </si>
  <si>
    <t>13368</t>
  </si>
  <si>
    <t>Hostname was changed on {HOST.NAME}</t>
  </si>
  <si>
    <t>主机名已在{HOST.NAME}上变更</t>
  </si>
  <si>
    <t>13370</t>
  </si>
  <si>
    <t>Host information was changed on {HOST.NAME}</t>
  </si>
  <si>
    <t>{HOST.NAME}上的主机信息已变更</t>
  </si>
  <si>
    <t>13371</t>
  </si>
  <si>
    <t>{HOST.NAME} has just been restarted</t>
  </si>
  <si>
    <t>{HOST.NAME}刚刚重新启动</t>
  </si>
  <si>
    <t>13372</t>
  </si>
  <si>
    <t>/etc/passwd has been changed on {HOST.NAME}</t>
  </si>
  <si>
    <t>/etc/passwd已在{HOST.NAME}上变更</t>
  </si>
  <si>
    <t>13367</t>
  </si>
  <si>
    <t>Disk I/O is overloaded on {HOST.NAME}</t>
  </si>
  <si>
    <t>{HOST.NAME}上的磁盘I/O过载</t>
  </si>
  <si>
    <t>13366</t>
  </si>
  <si>
    <t>Processor load is too high on {HOST.NAME}</t>
  </si>
  <si>
    <t>{HOST.NAME}上的处理器负载太高</t>
  </si>
  <si>
    <t>13365</t>
  </si>
  <si>
    <t>Too many processes on {HOST.NAME}</t>
  </si>
  <si>
    <t>{HOST.NAME}上的进程太多</t>
  </si>
  <si>
    <t>13364</t>
  </si>
  <si>
    <t>Too many processes running on {HOST.NAME}</t>
  </si>
  <si>
    <t>{HOST.NAME}上运行的进程太多</t>
  </si>
  <si>
    <t>16202</t>
  </si>
  <si>
    <t>17089</t>
  </si>
  <si>
    <t>Lack of available memory on server {HOST.NAME}</t>
  </si>
  <si>
    <t>服务器{HOST.NAME}上缺少可用内存</t>
  </si>
  <si>
    <t>(218/137)</t>
  </si>
  <si>
    <t>10224</t>
  </si>
  <si>
    <t>13352</t>
  </si>
  <si>
    <t>13354</t>
  </si>
  <si>
    <t>13355</t>
  </si>
  <si>
    <t>13356</t>
  </si>
  <si>
    <t>13350</t>
  </si>
  <si>
    <t>13349</t>
  </si>
  <si>
    <t>13348</t>
  </si>
  <si>
    <t>16201</t>
  </si>
  <si>
    <t>17092</t>
  </si>
  <si>
    <t>Configured max number of opened files is too low on {HOST.NAME}</t>
  </si>
  <si>
    <t>{HOST.NAME}上配置的最大打开文件数太低</t>
  </si>
  <si>
    <t>17093</t>
  </si>
  <si>
    <t>Configured max number of processes is too low on {HOST.NAME}</t>
  </si>
  <si>
    <t>{HOST.NAME}上配置的最大进程数太低</t>
  </si>
  <si>
    <t>17094</t>
  </si>
  <si>
    <t>17095</t>
  </si>
  <si>
    <t>Lack of free swap space on {HOST.NAME}</t>
  </si>
  <si>
    <t>{HOST.NAME}上缺少swap分区剩余量</t>
  </si>
  <si>
    <t>(218/138)</t>
  </si>
  <si>
    <t>10227</t>
  </si>
  <si>
    <t>13384</t>
  </si>
  <si>
    <t>13386</t>
  </si>
  <si>
    <t>13388</t>
  </si>
  <si>
    <t>13382</t>
  </si>
  <si>
    <t>16203</t>
  </si>
  <si>
    <t>17098</t>
  </si>
  <si>
    <t>(218/139)</t>
  </si>
  <si>
    <t>10250</t>
  </si>
  <si>
    <t>15990</t>
  </si>
  <si>
    <t>15991</t>
  </si>
  <si>
    <t>15992</t>
  </si>
  <si>
    <t>16317</t>
  </si>
  <si>
    <t>16375</t>
  </si>
  <si>
    <t>16576</t>
  </si>
  <si>
    <t>16621</t>
  </si>
  <si>
    <t>17918</t>
  </si>
  <si>
    <t>20064</t>
  </si>
  <si>
    <t>20065</t>
  </si>
  <si>
    <t>(218/140)</t>
  </si>
  <si>
    <t>10229</t>
  </si>
  <si>
    <t>16138</t>
  </si>
  <si>
    <t>node_exporter is not available (or no data for 30m)</t>
  </si>
  <si>
    <t>node_exporter不可用(或30m内无数据)</t>
  </si>
  <si>
    <t>16139</t>
  </si>
  <si>
    <t>16141</t>
  </si>
  <si>
    <t>16142</t>
  </si>
  <si>
    <t>Running out of file descriptors (less than &lt; 20% free)</t>
  </si>
  <si>
    <t>文件描述符用完(可用空间小于20%)</t>
  </si>
  <si>
    <t>16143</t>
  </si>
  <si>
    <t>16144</t>
  </si>
  <si>
    <t>16146</t>
  </si>
  <si>
    <t>16573</t>
  </si>
  <si>
    <t>16584</t>
  </si>
  <si>
    <t>17910</t>
  </si>
  <si>
    <t>20060</t>
  </si>
  <si>
    <t>20061</t>
  </si>
  <si>
    <t>(218/141)</t>
  </si>
  <si>
    <t>10230</t>
  </si>
  <si>
    <t>16045</t>
  </si>
  <si>
    <t>16053</t>
  </si>
  <si>
    <t>16055</t>
  </si>
  <si>
    <t>16059</t>
  </si>
  <si>
    <t>16061</t>
  </si>
  <si>
    <t>16063</t>
  </si>
  <si>
    <t>16065</t>
  </si>
  <si>
    <t>16067</t>
  </si>
  <si>
    <t>16198</t>
  </si>
  <si>
    <t>16564</t>
  </si>
  <si>
    <t>16580</t>
  </si>
  <si>
    <t>17893</t>
  </si>
  <si>
    <t>20052</t>
  </si>
  <si>
    <t>20053</t>
  </si>
  <si>
    <t>(218/142)</t>
  </si>
  <si>
    <t>10231</t>
  </si>
  <si>
    <t>16110</t>
  </si>
  <si>
    <t>16114</t>
  </si>
  <si>
    <t>16115</t>
  </si>
  <si>
    <t>16117</t>
  </si>
  <si>
    <t>16118</t>
  </si>
  <si>
    <t>16119</t>
  </si>
  <si>
    <t>16120</t>
  </si>
  <si>
    <t>16121</t>
  </si>
  <si>
    <t>16441</t>
  </si>
  <si>
    <t>16570</t>
  </si>
  <si>
    <t>16583</t>
  </si>
  <si>
    <t>17905</t>
  </si>
  <si>
    <t>20058</t>
  </si>
  <si>
    <t>20059</t>
  </si>
  <si>
    <t>(218/143)</t>
  </si>
  <si>
    <t>10251</t>
  </si>
  <si>
    <t>13416</t>
  </si>
  <si>
    <t>13418</t>
  </si>
  <si>
    <t>13419</t>
  </si>
  <si>
    <t>13420</t>
  </si>
  <si>
    <t>13414</t>
  </si>
  <si>
    <t>16205</t>
  </si>
  <si>
    <t>17101</t>
  </si>
  <si>
    <t>17102</t>
  </si>
  <si>
    <t>17103</t>
  </si>
  <si>
    <t>(218/144)</t>
  </si>
  <si>
    <t>10233</t>
  </si>
  <si>
    <t>13336</t>
  </si>
  <si>
    <t>13338</t>
  </si>
  <si>
    <t>13339</t>
  </si>
  <si>
    <t>13340</t>
  </si>
  <si>
    <t>13334</t>
  </si>
  <si>
    <t>13333</t>
  </si>
  <si>
    <t>13332</t>
  </si>
  <si>
    <t>16200</t>
  </si>
  <si>
    <t>17106</t>
  </si>
  <si>
    <t>17107</t>
  </si>
  <si>
    <t>17108</t>
  </si>
  <si>
    <t>17109</t>
  </si>
  <si>
    <t>(218/145)</t>
  </si>
  <si>
    <t>10343</t>
  </si>
  <si>
    <t>13400</t>
  </si>
  <si>
    <t>13402</t>
  </si>
  <si>
    <t>13403</t>
  </si>
  <si>
    <t>13404</t>
  </si>
  <si>
    <t>13399</t>
  </si>
  <si>
    <t>13398</t>
  </si>
  <si>
    <t>13397</t>
  </si>
  <si>
    <t>13396</t>
  </si>
  <si>
    <t>16204</t>
  </si>
  <si>
    <t>17112</t>
  </si>
  <si>
    <t>17113</t>
  </si>
  <si>
    <t>17114</t>
  </si>
  <si>
    <t>(218/146)</t>
  </si>
  <si>
    <t>10344</t>
  </si>
  <si>
    <t>16017</t>
  </si>
  <si>
    <t>16018</t>
  </si>
  <si>
    <t>16019</t>
  </si>
  <si>
    <t>16318</t>
  </si>
  <si>
    <t>16376</t>
  </si>
  <si>
    <t>16622</t>
  </si>
  <si>
    <t>16627</t>
  </si>
  <si>
    <t>(218/147)</t>
  </si>
  <si>
    <t>10345</t>
  </si>
  <si>
    <t>16171</t>
  </si>
  <si>
    <t>16172</t>
  </si>
  <si>
    <t>16173</t>
  </si>
  <si>
    <t>16177</t>
  </si>
  <si>
    <t>16178</t>
  </si>
  <si>
    <t>16179</t>
  </si>
  <si>
    <t>16180</t>
  </si>
  <si>
    <t>16206</t>
  </si>
  <si>
    <t>16586</t>
  </si>
  <si>
    <t>17007</t>
  </si>
  <si>
    <t>17922</t>
  </si>
  <si>
    <t>20067</t>
  </si>
  <si>
    <t>(218/148)</t>
  </si>
  <si>
    <t>10346</t>
  </si>
  <si>
    <t>16208</t>
  </si>
  <si>
    <t>16220</t>
  </si>
  <si>
    <t>16221</t>
  </si>
  <si>
    <t>16222</t>
  </si>
  <si>
    <t>16226</t>
  </si>
  <si>
    <t>16227</t>
  </si>
  <si>
    <t>16228</t>
  </si>
  <si>
    <t>16229</t>
  </si>
  <si>
    <t>16588</t>
  </si>
  <si>
    <t>17013</t>
  </si>
  <si>
    <t>17930</t>
  </si>
  <si>
    <t>20069</t>
  </si>
  <si>
    <t>(218/149)</t>
  </si>
  <si>
    <t>(22/1)</t>
  </si>
  <si>
    <t>10347</t>
  </si>
  <si>
    <t>18269</t>
  </si>
  <si>
    <t>Battery has low capacity (below {$BATTERY.CAPACITY.MIN.WARN}%)</t>
  </si>
  <si>
    <t>电池容量低(低于{$BATTERY.CAPACITY.MIN.WARN}%)</t>
  </si>
  <si>
    <t>(22/2)</t>
  </si>
  <si>
    <t>18270</t>
  </si>
  <si>
    <t>Battery needs replacement</t>
  </si>
  <si>
    <t>电池需要更换</t>
  </si>
  <si>
    <t>(22/3)</t>
  </si>
  <si>
    <t>18271</t>
  </si>
  <si>
    <t>Battery has an internal error condition</t>
  </si>
  <si>
    <t>电池存在内部错误状况</t>
  </si>
  <si>
    <t>(22/4)</t>
  </si>
  <si>
    <t>18272</t>
  </si>
  <si>
    <t>Battery is Low</t>
  </si>
  <si>
    <t>电池电量不足</t>
  </si>
  <si>
    <t>(22/5)</t>
  </si>
  <si>
    <t>18273</t>
  </si>
  <si>
    <t>Battery has high temperature (over {$BATTERY.TEMP.MAX.WARN}℃ for {$TIME.PERIOD})</t>
  </si>
  <si>
    <t>电池温度高(超过{$BATTERY.TEMP.MAX.WARN}℃持续{$TIME.PERIOD})</t>
  </si>
  <si>
    <t>(22/6)</t>
  </si>
  <si>
    <t>18277</t>
  </si>
  <si>
    <t>Unacceptable input frequency (out of range {$UPS.INPUT_FREQ.MIN.WARN}-{$UPS.INPUT_FREQ.MAX.WARN}Hz for {$TIME.PERIOD})</t>
  </si>
  <si>
    <t>不可接受的输入频率(超出范围{$UPS.INPUT_FREQ.MIN.WARN}-{$UPS.INPUT_FREQ.MAX.WARN}Hz达{$TIME.PERIOD})</t>
  </si>
  <si>
    <t>(22/7)</t>
  </si>
  <si>
    <t>18278</t>
  </si>
  <si>
    <t>Unacceptable input voltage (out of range {$UPS.INPUT_VOLT.MIN.WARN}-{$UPS.INPUT_VOLT.MAX.WARN}V for {$TIME.PERIOD})</t>
  </si>
  <si>
    <t>不可接受的输入电压(超出范围{$UPS.INPUT_VOLT.MIN.WARN}-{$UPS.INPUT_VOLT.MAX.WARN}V达{$TIME.PERIOD})</t>
  </si>
  <si>
    <t>(22/8)</t>
  </si>
  <si>
    <t>18279</t>
  </si>
  <si>
    <t>Output load is high (over {$UPS.OUTPUT.MAX.WARN}% for {$TIME.PERIOD})</t>
  </si>
  <si>
    <t>输出负载高(超过{$UPS.OUTPUT.MAX.WARN}%,达{$TIME.PERIOD})</t>
  </si>
  <si>
    <t>(22/9)</t>
  </si>
  <si>
    <t>18280</t>
  </si>
  <si>
    <t>UPS is Timed Sleeping</t>
  </si>
  <si>
    <t>UPS处于定时睡眠状态</t>
  </si>
  <si>
    <t>(22/10)</t>
  </si>
  <si>
    <t>18281</t>
  </si>
  <si>
    <t>UPS is Switched Bypass</t>
  </si>
  <si>
    <t>UPS为切换旁路</t>
  </si>
  <si>
    <t>(22/11)</t>
  </si>
  <si>
    <t>18282</t>
  </si>
  <si>
    <t>UPS is Software Bypass</t>
  </si>
  <si>
    <t>UPS为软件旁路</t>
  </si>
  <si>
    <t>(22/12)</t>
  </si>
  <si>
    <t>18283</t>
  </si>
  <si>
    <t>UPS is Sleeping Until Power Return</t>
  </si>
  <si>
    <t>UPS正在休眠直到电源恢复</t>
  </si>
  <si>
    <t>(22/13)</t>
  </si>
  <si>
    <t>18284</t>
  </si>
  <si>
    <t>UPS is Rebooting</t>
  </si>
  <si>
    <t>UPS正在重新启动</t>
  </si>
  <si>
    <t>(22/14)</t>
  </si>
  <si>
    <t>18285</t>
  </si>
  <si>
    <t>UPS is On Smart Trim</t>
  </si>
  <si>
    <t>UPS处于智能微调状态</t>
  </si>
  <si>
    <t>(22/15)</t>
  </si>
  <si>
    <t>18286</t>
  </si>
  <si>
    <t>UPS is on Smart Boost</t>
  </si>
  <si>
    <t>UPS处于Smart Boost状态</t>
  </si>
  <si>
    <t>(22/16)</t>
  </si>
  <si>
    <t>18287</t>
  </si>
  <si>
    <t>UPS is on battery</t>
  </si>
  <si>
    <t>UPS处于使用电池状态</t>
  </si>
  <si>
    <t>(22/17)</t>
  </si>
  <si>
    <t>18288</t>
  </si>
  <si>
    <t>UPS is Off</t>
  </si>
  <si>
    <t>UPS关闭</t>
  </si>
  <si>
    <t>(22/18)</t>
  </si>
  <si>
    <t>18289</t>
  </si>
  <si>
    <t>UPS is Emergency Static Bypass</t>
  </si>
  <si>
    <t>UPS为紧急静态旁路</t>
  </si>
  <si>
    <t>(22/19)</t>
  </si>
  <si>
    <t>18290</t>
  </si>
  <si>
    <t>UPS is Hardware Failure Bypass</t>
  </si>
  <si>
    <t>UPS为硬件故障旁路</t>
  </si>
  <si>
    <t>(22/20)</t>
  </si>
  <si>
    <t>18292</t>
  </si>
  <si>
    <t>(22/21)</t>
  </si>
  <si>
    <t>18293</t>
  </si>
  <si>
    <t>(22/22)</t>
  </si>
  <si>
    <t>18597</t>
  </si>
  <si>
    <t>(218/150)</t>
  </si>
  <si>
    <t>10348</t>
  </si>
  <si>
    <t>18305</t>
  </si>
  <si>
    <t>18306</t>
  </si>
  <si>
    <t>18307</t>
  </si>
  <si>
    <t>18308</t>
  </si>
  <si>
    <t>18309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</si>
  <si>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</si>
  <si>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</si>
  <si>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</si>
  <si>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</si>
  <si>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</si>
  <si>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</si>
  <si>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</si>
  <si>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</si>
  <si>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</si>
  <si>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</si>
  <si>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</si>
  <si>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</si>
  <si>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</si>
  <si>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</si>
  <si>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18328</t>
  </si>
  <si>
    <t>18329</t>
  </si>
  <si>
    <t>18598</t>
  </si>
  <si>
    <t>(218/151)</t>
  </si>
  <si>
    <t>10349</t>
  </si>
  <si>
    <t>18341</t>
  </si>
  <si>
    <t>18342</t>
  </si>
  <si>
    <t>18343</t>
  </si>
  <si>
    <t>18344</t>
  </si>
  <si>
    <t>18345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</si>
  <si>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</si>
  <si>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</si>
  <si>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</si>
  <si>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</si>
  <si>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</si>
  <si>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</si>
  <si>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</si>
  <si>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</si>
  <si>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</si>
  <si>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</si>
  <si>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</si>
  <si>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</si>
  <si>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</si>
  <si>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</si>
  <si>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18364</t>
  </si>
  <si>
    <t>18365</t>
  </si>
  <si>
    <t>18599</t>
  </si>
  <si>
    <t>(218/152)</t>
  </si>
  <si>
    <t>10234</t>
  </si>
  <si>
    <t>18377</t>
  </si>
  <si>
    <t>18378</t>
  </si>
  <si>
    <t>18379</t>
  </si>
  <si>
    <t>18380</t>
  </si>
  <si>
    <t>18381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</si>
  <si>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</si>
  <si>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</si>
  <si>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</si>
  <si>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</si>
  <si>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</si>
  <si>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</si>
  <si>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</si>
  <si>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</si>
  <si>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</si>
  <si>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</si>
  <si>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</si>
  <si>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</si>
  <si>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</si>
  <si>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</si>
  <si>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18400</t>
  </si>
  <si>
    <t>18401</t>
  </si>
  <si>
    <t>18600</t>
  </si>
  <si>
    <t>(218/153)</t>
  </si>
  <si>
    <t>10226</t>
  </si>
  <si>
    <t>18413</t>
  </si>
  <si>
    <t>18414</t>
  </si>
  <si>
    <t>18415</t>
  </si>
  <si>
    <t>18416</t>
  </si>
  <si>
    <t>18417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</si>
  <si>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</si>
  <si>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</si>
  <si>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</si>
  <si>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</si>
  <si>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</si>
  <si>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</si>
  <si>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</si>
  <si>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</si>
  <si>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</si>
  <si>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</si>
  <si>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</si>
  <si>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</si>
  <si>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</si>
  <si>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</si>
  <si>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18436</t>
  </si>
  <si>
    <t>18437</t>
  </si>
  <si>
    <t>18601</t>
  </si>
  <si>
    <t>(218/154)</t>
  </si>
  <si>
    <t>10235</t>
  </si>
  <si>
    <t>18449</t>
  </si>
  <si>
    <t>18450</t>
  </si>
  <si>
    <t>18451</t>
  </si>
  <si>
    <t>18452</t>
  </si>
  <si>
    <t>18453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</si>
  <si>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</si>
  <si>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</si>
  <si>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</si>
  <si>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</si>
  <si>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</si>
  <si>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</si>
  <si>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</si>
  <si>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</si>
  <si>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</si>
  <si>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</si>
  <si>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</si>
  <si>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</si>
  <si>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</si>
  <si>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</si>
  <si>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18472</t>
  </si>
  <si>
    <t>18473</t>
  </si>
  <si>
    <t>18602</t>
  </si>
  <si>
    <t>(218/155)</t>
  </si>
  <si>
    <t>10236</t>
  </si>
  <si>
    <t>18233</t>
  </si>
  <si>
    <t>18234</t>
  </si>
  <si>
    <t>18235</t>
  </si>
  <si>
    <t>18236</t>
  </si>
  <si>
    <t>18237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</si>
  <si>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</si>
  <si>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</si>
  <si>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</si>
  <si>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</si>
  <si>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</si>
  <si>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</si>
  <si>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</si>
  <si>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</si>
  <si>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</si>
  <si>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</si>
  <si>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</si>
  <si>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</si>
  <si>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</si>
  <si>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</si>
  <si>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18256</t>
  </si>
  <si>
    <t>18257</t>
  </si>
  <si>
    <t>18596</t>
  </si>
  <si>
    <t>(218/156)</t>
  </si>
  <si>
    <t>10237</t>
  </si>
  <si>
    <t>18177</t>
  </si>
  <si>
    <t>18178</t>
  </si>
  <si>
    <t>18179</t>
  </si>
  <si>
    <t>18180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</si>
  <si>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</si>
  <si>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</si>
  <si>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</si>
  <si>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</si>
  <si>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</si>
  <si>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</si>
  <si>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</si>
  <si>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</si>
  <si>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</si>
  <si>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</si>
  <si>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</si>
  <si>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</si>
  <si>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</si>
  <si>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</si>
  <si>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18199</t>
  </si>
  <si>
    <t>18200</t>
  </si>
  <si>
    <t>18485</t>
  </si>
  <si>
    <t>18603</t>
  </si>
  <si>
    <t>(218/157)</t>
  </si>
  <si>
    <t>10418</t>
  </si>
  <si>
    <t>18488</t>
  </si>
  <si>
    <t>18489</t>
  </si>
  <si>
    <t>18490</t>
  </si>
  <si>
    <t>18491</t>
  </si>
  <si>
    <t>18492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</si>
  <si>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</si>
  <si>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</si>
  <si>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</si>
  <si>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</si>
  <si>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</si>
  <si>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</si>
  <si>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</si>
  <si>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</si>
  <si>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</si>
  <si>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</si>
  <si>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</si>
  <si>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</si>
  <si>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</si>
  <si>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</si>
  <si>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18511</t>
  </si>
  <si>
    <t>18512</t>
  </si>
  <si>
    <t>18604</t>
  </si>
  <si>
    <t>(218/158)</t>
  </si>
  <si>
    <t>10419</t>
  </si>
  <si>
    <t>18524</t>
  </si>
  <si>
    <t>18525</t>
  </si>
  <si>
    <t>18526</t>
  </si>
  <si>
    <t>18527</t>
  </si>
  <si>
    <t>18528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</si>
  <si>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</si>
  <si>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</si>
  <si>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</si>
  <si>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</si>
  <si>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</si>
  <si>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</si>
  <si>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</si>
  <si>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</si>
  <si>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</si>
  <si>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</si>
  <si>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</si>
  <si>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</si>
  <si>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</si>
  <si>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</si>
  <si>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18547</t>
  </si>
  <si>
    <t>18548</t>
  </si>
  <si>
    <t>18605</t>
  </si>
  <si>
    <t>(218/159)</t>
  </si>
  <si>
    <t>10420</t>
  </si>
  <si>
    <t>18560</t>
  </si>
  <si>
    <t>18561</t>
  </si>
  <si>
    <t>18562</t>
  </si>
  <si>
    <t>18563</t>
  </si>
  <si>
    <t>18564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</si>
  <si>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</si>
  <si>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</si>
  <si>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</si>
  <si>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</si>
  <si>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</si>
  <si>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</si>
  <si>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</si>
  <si>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</si>
  <si>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</si>
  <si>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</si>
  <si>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</si>
  <si>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</si>
  <si>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</si>
  <si>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</si>
  <si>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18583</t>
  </si>
  <si>
    <t>18584</t>
  </si>
  <si>
    <t>18606</t>
  </si>
  <si>
    <t>(218/160)</t>
  </si>
  <si>
    <t>10421</t>
  </si>
  <si>
    <t>17935</t>
  </si>
  <si>
    <t>17936</t>
  </si>
  <si>
    <t>17937</t>
  </si>
  <si>
    <t>17938</t>
  </si>
  <si>
    <t>17939</t>
  </si>
  <si>
    <t>17940</t>
  </si>
  <si>
    <t>17941</t>
  </si>
  <si>
    <t>OceanStor 5300 V5: Storage version has been changed</t>
  </si>
  <si>
    <t>OceanStor 5300 V5: 存储版本已变更</t>
  </si>
  <si>
    <t>(218/161)</t>
  </si>
  <si>
    <t>10422</t>
  </si>
  <si>
    <t>18211</t>
  </si>
  <si>
    <t>Cluster status is abnormal</t>
  </si>
  <si>
    <t>集群状态异常</t>
  </si>
  <si>
    <t>18212</t>
  </si>
  <si>
    <t>(218/162)</t>
  </si>
  <si>
    <t>10423</t>
  </si>
  <si>
    <t>17720</t>
  </si>
  <si>
    <t>17721</t>
  </si>
  <si>
    <t>17722</t>
  </si>
  <si>
    <t>17723</t>
  </si>
  <si>
    <t>17724</t>
  </si>
  <si>
    <t>17725</t>
  </si>
  <si>
    <t>17726</t>
  </si>
  <si>
    <t>NetApp FAS3220: Number of failed disks has changed</t>
  </si>
  <si>
    <t>NetApp FAS3220: 故障磁盘数已变更</t>
  </si>
  <si>
    <t>(218/163)</t>
  </si>
  <si>
    <t>10424</t>
  </si>
  <si>
    <t>18965</t>
  </si>
  <si>
    <t>18966</t>
  </si>
  <si>
    <t>18967</t>
  </si>
  <si>
    <t>(218/164)</t>
  </si>
  <si>
    <t>10425</t>
  </si>
  <si>
    <t>16453</t>
  </si>
  <si>
    <t>16454</t>
  </si>
  <si>
    <t>16455</t>
  </si>
  <si>
    <t>16457</t>
  </si>
  <si>
    <t>16458</t>
  </si>
  <si>
    <t>16623</t>
  </si>
  <si>
    <t>(218/165)</t>
  </si>
  <si>
    <t>10426</t>
  </si>
  <si>
    <t>19019</t>
  </si>
  <si>
    <t>Dell R720: Firmware has changed</t>
  </si>
  <si>
    <t>Dell R720: 固件已变更</t>
  </si>
  <si>
    <t>19020</t>
  </si>
  <si>
    <t>Dell R720: Device has been replaced (new serial number received)</t>
  </si>
  <si>
    <t>Dell R720: 备已更换(收到新序列号)</t>
  </si>
  <si>
    <t>19021</t>
  </si>
  <si>
    <t>Dell R720: System name has changed (new name: {ITEM.VALUE})</t>
  </si>
  <si>
    <t>Dell R720: 统名称已变更(新名称:{ITEM.VALUE})</t>
  </si>
  <si>
    <t>19022</t>
  </si>
  <si>
    <t>Dell R720: System is in unrecoverable state</t>
  </si>
  <si>
    <t>Dell R720: 系统处于不可恢复状态</t>
  </si>
  <si>
    <t>19023</t>
  </si>
  <si>
    <t>Dell R720: System status is in critical state</t>
  </si>
  <si>
    <t>Dell R720: 系统状态处于严重状态</t>
  </si>
  <si>
    <t>19024</t>
  </si>
  <si>
    <t>Dell R720: System status is in warning state</t>
  </si>
  <si>
    <t>Dell R720: 系统状态状态为告警</t>
  </si>
  <si>
    <t>19025</t>
  </si>
  <si>
    <t>Dell R720: Operating system description has changed</t>
  </si>
  <si>
    <t>Dell R720: 操作系统描述已变更</t>
  </si>
  <si>
    <t>19026</t>
  </si>
  <si>
    <t>Dell R720: {HOST.NAME} has been restarted (uptime &lt; 10m)</t>
  </si>
  <si>
    <t>Dell R720: HOST.NAME}已重新启动(正常运行时间&lt;10m)</t>
  </si>
  <si>
    <t>19027</t>
  </si>
  <si>
    <t>Dell R720: No SNMP data collection</t>
  </si>
  <si>
    <t>Dell R720: 无SNMP数据采集</t>
  </si>
  <si>
    <t>(218/166)</t>
  </si>
  <si>
    <t>10429</t>
  </si>
  <si>
    <t>19070</t>
  </si>
  <si>
    <t>Dell R740: Firmware has changed</t>
  </si>
  <si>
    <t>Dell R740: 固件已变更</t>
  </si>
  <si>
    <t>19071</t>
  </si>
  <si>
    <t>Dell R740: Device has been replaced (new serial number received)</t>
  </si>
  <si>
    <t>Dell R740: 备已更换(收到新序列号)</t>
  </si>
  <si>
    <t>19072</t>
  </si>
  <si>
    <t>Dell R740: System name has changed (new name: {ITEM.VALUE})</t>
  </si>
  <si>
    <t>Dell R740: 统名称已变更(新名称:{ITEM.VALUE})</t>
  </si>
  <si>
    <t>19073</t>
  </si>
  <si>
    <t>Dell R740: System is in unrecoverable state</t>
  </si>
  <si>
    <t>Dell R740: 系统处于不可恢复状态</t>
  </si>
  <si>
    <t>19074</t>
  </si>
  <si>
    <t>Dell R740: System status is in critical state</t>
  </si>
  <si>
    <t>Dell R740: 系统状态处于严重状态</t>
  </si>
  <si>
    <t>19075</t>
  </si>
  <si>
    <t>Dell R740: System status is in warning state</t>
  </si>
  <si>
    <t>Dell R740: 系统状态状态为告警</t>
  </si>
  <si>
    <t>19076</t>
  </si>
  <si>
    <t>Dell R740: Operating system description has changed</t>
  </si>
  <si>
    <t>Dell R740: 操作系统描述已变更</t>
  </si>
  <si>
    <t>19077</t>
  </si>
  <si>
    <t>Dell R740: {HOST.NAME} has been restarted (uptime &lt; 10m)</t>
  </si>
  <si>
    <t>Dell R740: HOST.NAME}已重新启动(正常运行时间&lt;10m)</t>
  </si>
  <si>
    <t>19078</t>
  </si>
  <si>
    <t>Dell R740: No SNMP data collection</t>
  </si>
  <si>
    <t>Dell R740: 无SNMP数据采集</t>
  </si>
  <si>
    <t>(218/167)</t>
  </si>
  <si>
    <t>10427</t>
  </si>
  <si>
    <t>19121</t>
  </si>
  <si>
    <t>Dell R820: Firmware has changed</t>
  </si>
  <si>
    <t>Dell R820: 固件已变更</t>
  </si>
  <si>
    <t>19122</t>
  </si>
  <si>
    <t>Dell R820: Device has been replaced (new serial number received)</t>
  </si>
  <si>
    <t>Dell R820: 备已更换(收到新序列号)</t>
  </si>
  <si>
    <t>19123</t>
  </si>
  <si>
    <t>Dell R820: System name has changed (new name: {ITEM.VALUE})</t>
  </si>
  <si>
    <t>Dell R820: 统名称已变更(新名称:{ITEM.VALUE})</t>
  </si>
  <si>
    <t>19124</t>
  </si>
  <si>
    <t>Dell R820: System is in unrecoverable state</t>
  </si>
  <si>
    <t>Dell R820: 系统处于不可恢复状态</t>
  </si>
  <si>
    <t>19125</t>
  </si>
  <si>
    <t>Dell R820: System status is in critical state</t>
  </si>
  <si>
    <t>Dell R820: 系统状态处于严重状态</t>
  </si>
  <si>
    <t>19126</t>
  </si>
  <si>
    <t>Dell R820: System status is in warning state</t>
  </si>
  <si>
    <t>Dell R820: 系统状态状态为告警</t>
  </si>
  <si>
    <t>19127</t>
  </si>
  <si>
    <t>Dell R820: Operating system description has changed</t>
  </si>
  <si>
    <t>Dell R820: 操作系统描述已变更</t>
  </si>
  <si>
    <t>19128</t>
  </si>
  <si>
    <t>Dell R820: {HOST.NAME} has been restarted (uptime &lt; 10m)</t>
  </si>
  <si>
    <t>Dell R820: HOST.NAME}已重新启动(正常运行时间&lt;10m)</t>
  </si>
  <si>
    <t>19129</t>
  </si>
  <si>
    <t>Dell R820: No SNMP data collection</t>
  </si>
  <si>
    <t>Dell R820: 无SNMP数据采集</t>
  </si>
  <si>
    <t>(218/168)</t>
  </si>
  <si>
    <t>10428</t>
  </si>
  <si>
    <t>19172</t>
  </si>
  <si>
    <t>Dell R840: Firmware has changed</t>
  </si>
  <si>
    <t>Dell R840: 固件已变更</t>
  </si>
  <si>
    <t>19173</t>
  </si>
  <si>
    <t>Dell R840: Device has been replaced (new serial number received)</t>
  </si>
  <si>
    <t>Dell R840: 备已更换(收到新序列号)</t>
  </si>
  <si>
    <t>19174</t>
  </si>
  <si>
    <t>Dell R840: System name has changed (new name: {ITEM.VALUE})</t>
  </si>
  <si>
    <t>Dell R840: 统名称已变更(新名称:{ITEM.VALUE})</t>
  </si>
  <si>
    <t>19175</t>
  </si>
  <si>
    <t>Dell R840: System is in unrecoverable state</t>
  </si>
  <si>
    <t>Dell R840: 系统处于不可恢复状态</t>
  </si>
  <si>
    <t>19176</t>
  </si>
  <si>
    <t>Dell R840: System status is in critical state</t>
  </si>
  <si>
    <t>Dell R840: 系统状态处于严重状态</t>
  </si>
  <si>
    <t>19177</t>
  </si>
  <si>
    <t>Dell R840: System status is in warning state</t>
  </si>
  <si>
    <t>Dell R840: 系统状态状态为告警</t>
  </si>
  <si>
    <t>19178</t>
  </si>
  <si>
    <t>Dell R840: Operating system description has changed</t>
  </si>
  <si>
    <t>Dell R840: 操作系统描述已变更</t>
  </si>
  <si>
    <t>19179</t>
  </si>
  <si>
    <t>Dell R840: {HOST.NAME} has been restarted (uptime &lt; 10m)</t>
  </si>
  <si>
    <t>Dell R840: HOST.NAME}已重新启动(正常运行时间&lt;10m)</t>
  </si>
  <si>
    <t>19180</t>
  </si>
  <si>
    <t>Dell R840: No SNMP data collection</t>
  </si>
  <si>
    <t>Dell R840: 无SNMP数据采集</t>
  </si>
  <si>
    <t>(218/169)</t>
  </si>
  <si>
    <t>10430</t>
  </si>
  <si>
    <t>15723</t>
  </si>
  <si>
    <t>15724</t>
  </si>
  <si>
    <t>15725</t>
  </si>
  <si>
    <t>15728</t>
  </si>
  <si>
    <t>System is in unrecoverable state!</t>
  </si>
  <si>
    <t>系统处于不可恢复状态!</t>
  </si>
  <si>
    <t>15729</t>
  </si>
  <si>
    <t>15730</t>
  </si>
  <si>
    <t>15731</t>
  </si>
  <si>
    <t>15732</t>
  </si>
  <si>
    <t>16313</t>
  </si>
  <si>
    <t>16371</t>
  </si>
  <si>
    <t>16577</t>
  </si>
  <si>
    <t>16617</t>
  </si>
  <si>
    <t>(218/170)</t>
  </si>
  <si>
    <t>10431</t>
  </si>
  <si>
    <t>15755</t>
  </si>
  <si>
    <t>15756</t>
  </si>
  <si>
    <t>15757</t>
  </si>
  <si>
    <t>15762</t>
  </si>
  <si>
    <t>16314</t>
  </si>
  <si>
    <t>16372</t>
  </si>
  <si>
    <t>16439</t>
  </si>
  <si>
    <t>16440</t>
  </si>
  <si>
    <t>16618</t>
  </si>
  <si>
    <t>(218/171)</t>
  </si>
  <si>
    <t>10076</t>
  </si>
  <si>
    <t>19200</t>
  </si>
  <si>
    <t>19201</t>
  </si>
  <si>
    <t>19202</t>
  </si>
  <si>
    <t>19203</t>
  </si>
  <si>
    <t>19204</t>
  </si>
  <si>
    <t>19205</t>
  </si>
  <si>
    <t>(218/172)</t>
  </si>
  <si>
    <t>10075</t>
  </si>
  <si>
    <t>19246</t>
  </si>
  <si>
    <t>19247</t>
  </si>
  <si>
    <t>19248</t>
  </si>
  <si>
    <t>19249</t>
  </si>
  <si>
    <t>19250</t>
  </si>
  <si>
    <t>19251</t>
  </si>
  <si>
    <t>(218/173)</t>
  </si>
  <si>
    <t>10077</t>
  </si>
  <si>
    <t>19292</t>
  </si>
  <si>
    <t>19293</t>
  </si>
  <si>
    <t>19294</t>
  </si>
  <si>
    <t>19295</t>
  </si>
  <si>
    <t>19296</t>
  </si>
  <si>
    <t>19297</t>
  </si>
  <si>
    <t>(218/174)</t>
  </si>
  <si>
    <t>10248</t>
  </si>
  <si>
    <t>19338</t>
  </si>
  <si>
    <t>19339</t>
  </si>
  <si>
    <t>19340</t>
  </si>
  <si>
    <t>19341</t>
  </si>
  <si>
    <t>19342</t>
  </si>
  <si>
    <t>19343</t>
  </si>
  <si>
    <t>(218/175)</t>
  </si>
  <si>
    <t>10285</t>
  </si>
  <si>
    <t>15819</t>
  </si>
  <si>
    <t>15820</t>
  </si>
  <si>
    <t>15821</t>
  </si>
  <si>
    <t>15824</t>
  </si>
  <si>
    <t>15825</t>
  </si>
  <si>
    <t>15826</t>
  </si>
  <si>
    <t>15827</t>
  </si>
  <si>
    <t>16315</t>
  </si>
  <si>
    <t>16373</t>
  </si>
  <si>
    <t>16619</t>
  </si>
  <si>
    <t>(218/176)</t>
  </si>
  <si>
    <t>10001</t>
  </si>
  <si>
    <t>17117</t>
  </si>
  <si>
    <t>BB +1.8V SM Critical [{ITEM.VALUE}]</t>
  </si>
  <si>
    <t>BB+1.8V SM临界[{ITEM.VALUE}]</t>
  </si>
  <si>
    <t>17118</t>
  </si>
  <si>
    <t>BB +1.8V SM Non-Critical [{ITEM.VALUE}]</t>
  </si>
  <si>
    <t>BB+1.8V SM非关键[{ITEM.VALUE}]</t>
  </si>
  <si>
    <t>17119</t>
  </si>
  <si>
    <t>BB +3.3V Critical [{ITEM.VALUE}]</t>
  </si>
  <si>
    <t>BB+3.3V临界[{ITEM.VALUE}]</t>
  </si>
  <si>
    <t>17120</t>
  </si>
  <si>
    <t>BB +3.3V Non-Critical [{ITEM.VALUE}]</t>
  </si>
  <si>
    <t>BB+3.3V非关键[{ITEM.VALUE}]</t>
  </si>
  <si>
    <t>17121</t>
  </si>
  <si>
    <t>BB +3.3V STBY Critical [{ITEM.VALUE}]</t>
  </si>
  <si>
    <t>BB+3.3V备用临界[{ITEM.VALUE}]</t>
  </si>
  <si>
    <t>17122</t>
  </si>
  <si>
    <t>BB +3.3V STBY Non-Critical [{ITEM.VALUE}]</t>
  </si>
  <si>
    <t>BB+3.3V备用非关键[{ITEM.VALUE}]</t>
  </si>
  <si>
    <t>17123</t>
  </si>
  <si>
    <t>BB +5.0V Critical [{ITEM.VALUE}]</t>
  </si>
  <si>
    <t>BB+5.0V临界[{ITEM.VALUE}]</t>
  </si>
  <si>
    <t>17124</t>
  </si>
  <si>
    <t>BB +5.0V Non-Critical [{ITEM.VALUE}]</t>
  </si>
  <si>
    <t>BB+5.0V非关键[{ITEM.VALUE}]</t>
  </si>
  <si>
    <t>17125</t>
  </si>
  <si>
    <t>BB Ambient Temp Critical [{ITEM.VALUE}]</t>
  </si>
  <si>
    <t>BB环境温度临界值[{ITEM.VALUE}]</t>
  </si>
  <si>
    <t>17126</t>
  </si>
  <si>
    <t>BB Ambient Temp Non-Critical [{ITEM.VALUE}]</t>
  </si>
  <si>
    <t>BB环境温度非关键[{ITEM.VALUE}]</t>
  </si>
  <si>
    <t>17127</t>
  </si>
  <si>
    <t>Power</t>
  </si>
  <si>
    <t>电源</t>
  </si>
  <si>
    <t>(218/177)</t>
  </si>
  <si>
    <t>(21/1)</t>
  </si>
  <si>
    <t>10284</t>
  </si>
  <si>
    <t>17128</t>
  </si>
  <si>
    <t>Baseboard Temp Critical [{ITEM.VALUE}]</t>
  </si>
  <si>
    <t>基板温度临界值[{ITEM.VALUE}]</t>
  </si>
  <si>
    <t>(21/2)</t>
  </si>
  <si>
    <t>17129</t>
  </si>
  <si>
    <t>Baseboard Temp Non-Critical [{ITEM.VALUE}]</t>
  </si>
  <si>
    <t>基板温度非关键[{ITEM.VALUE}]</t>
  </si>
  <si>
    <t>(21/3)</t>
  </si>
  <si>
    <t>17130</t>
  </si>
  <si>
    <t>BB +1.05V PCH Critical [{ITEM.VALUE}]</t>
  </si>
  <si>
    <t>BB+1.05V PCH临界[{ITEM.VALUE}]</t>
  </si>
  <si>
    <t>(21/4)</t>
  </si>
  <si>
    <t>17131</t>
  </si>
  <si>
    <t>BB +1.05V PCH Non-Critical [{ITEM.VALUE}]</t>
  </si>
  <si>
    <t>BB+1.05V PCH非关键[{ITEM.VALUE}]</t>
  </si>
  <si>
    <t>(21/5)</t>
  </si>
  <si>
    <t>17132</t>
  </si>
  <si>
    <t>BB +1.1V P1 Vccp Critical [{ITEM.VALUE}]</t>
  </si>
  <si>
    <t>BB+1.1V P1 Vccp临界[{ITEM.VALUE}]</t>
  </si>
  <si>
    <t>(21/6)</t>
  </si>
  <si>
    <t>17133</t>
  </si>
  <si>
    <t>BB +1.1V P1 Vccp Non-Critical [{ITEM.VALUE}]</t>
  </si>
  <si>
    <t>BB+1.1V P1 Vccp非关键[{ITEM.VALUE}]</t>
  </si>
  <si>
    <t>(21/7)</t>
  </si>
  <si>
    <t>17134</t>
  </si>
  <si>
    <t>BB +1.5V P1 DDR3 Critical [{ITEM.VALUE}]</t>
  </si>
  <si>
    <t>BB+1.5V P1 DDR3临界[{ITEM.VALUE}]</t>
  </si>
  <si>
    <t>(21/8)</t>
  </si>
  <si>
    <t>17135</t>
  </si>
  <si>
    <t>BB +1.5V P1 DDR3 Non-Critical [{ITEM.VALUE}]</t>
  </si>
  <si>
    <t>BB+1.5V P1 DDR3非关键[{ITEM.VALUE}]</t>
  </si>
  <si>
    <t>(21/9)</t>
  </si>
  <si>
    <t>17136</t>
  </si>
  <si>
    <t>(21/10)</t>
  </si>
  <si>
    <t>17137</t>
  </si>
  <si>
    <t>(21/11)</t>
  </si>
  <si>
    <t>17138</t>
  </si>
  <si>
    <t>(21/12)</t>
  </si>
  <si>
    <t>17139</t>
  </si>
  <si>
    <t>(21/13)</t>
  </si>
  <si>
    <t>17140</t>
  </si>
  <si>
    <t>(21/14)</t>
  </si>
  <si>
    <t>17141</t>
  </si>
  <si>
    <t>(21/15)</t>
  </si>
  <si>
    <t>17142</t>
  </si>
  <si>
    <t>Front Panel Temp Critical [{ITEM.VALUE}]</t>
  </si>
  <si>
    <t>前面板温度临界[{ITEM.VALUE}]</t>
  </si>
  <si>
    <t>(21/16)</t>
  </si>
  <si>
    <t>17143</t>
  </si>
  <si>
    <t>Front Panel Temp Non-Critical [{ITEM.VALUE}]</t>
  </si>
  <si>
    <t>前面板温度非关键[{ITEM.VALUE}]</t>
  </si>
  <si>
    <t>(21/17)</t>
  </si>
  <si>
    <t>17144</t>
  </si>
  <si>
    <t>(21/18)</t>
  </si>
  <si>
    <t>17145</t>
  </si>
  <si>
    <t>System Fan 2 Critical [{ITEM.VALUE}]</t>
  </si>
  <si>
    <t>系统风扇2严重[{ITEM.VALUE}]</t>
  </si>
  <si>
    <t>(21/19)</t>
  </si>
  <si>
    <t>17146</t>
  </si>
  <si>
    <t>System Fan 2 Non-Critical [{ITEM.VALUE}]</t>
  </si>
  <si>
    <t>系统风扇2非关键[{ITEM.VALUE}]</t>
  </si>
  <si>
    <t>(21/20)</t>
  </si>
  <si>
    <t>17147</t>
  </si>
  <si>
    <t>System Fan 3 Critical [{ITEM.VALUE}]</t>
  </si>
  <si>
    <t>系统风扇3严重[{ITEM.VALUE}]</t>
  </si>
  <si>
    <t>(21/21)</t>
  </si>
  <si>
    <t>17148</t>
  </si>
  <si>
    <t>System Fan 3 Non-Critical [{ITEM.VALUE}]</t>
  </si>
  <si>
    <t>系统风扇3非关键[{ITEM.VALUE}]</t>
  </si>
  <si>
    <t>(218/178)</t>
  </si>
  <si>
    <t>10079</t>
  </si>
  <si>
    <t>15840</t>
  </si>
  <si>
    <t>15841</t>
  </si>
  <si>
    <t>15842</t>
  </si>
  <si>
    <t>16316</t>
  </si>
  <si>
    <t>16374</t>
  </si>
  <si>
    <t>16620</t>
  </si>
  <si>
    <t>(218/179)</t>
  </si>
  <si>
    <t>10074</t>
  </si>
  <si>
    <t>17080</t>
  </si>
  <si>
    <t>VMware: {HOST.HOST} has been restarted (uptime &lt; 10m)</t>
  </si>
  <si>
    <t>VMware: HOST.HOST}已重新启动(正常运行时间＜1000分钟)</t>
  </si>
  <si>
    <t>(218/180)</t>
  </si>
  <si>
    <t>10078</t>
  </si>
  <si>
    <t>17083</t>
  </si>
  <si>
    <t>VMware: The {HOST.HOST} health is Red</t>
  </si>
  <si>
    <t>VMware: HOST.HOST}运行状况为红色</t>
  </si>
  <si>
    <t>17084</t>
  </si>
  <si>
    <t>VMware: The {HOST.HOST} health is Yellow</t>
  </si>
  <si>
    <t>VMware: HOST.HOST}运行状况为黄色</t>
  </si>
  <si>
    <t>19771</t>
  </si>
  <si>
    <t>VMware: Hypervisor is down</t>
  </si>
  <si>
    <t>VMware: 虚拟机监控程序已关闭</t>
  </si>
  <si>
    <t>19772</t>
  </si>
  <si>
    <t>VMware: Hypervisor has been restarted (uptime &lt; 10m)</t>
  </si>
  <si>
    <t>VMware: ypervisor已重新启动(正常运行时间&lt;10分钟)</t>
  </si>
  <si>
    <t>(2796/1)</t>
  </si>
  <si>
    <t>AIX by Zabbix agent</t>
  </si>
  <si>
    <t>AIX: Lack of available memory on server</t>
  </si>
  <si>
    <t>AIX: 服务器上缺少可用内存</t>
  </si>
  <si>
    <t>(2796/2)</t>
  </si>
  <si>
    <t>AIX: /etc/passwd has been changed</t>
  </si>
  <si>
    <t>AIX: /etc/passwd已变更</t>
  </si>
  <si>
    <t>(2796/3)</t>
  </si>
  <si>
    <t>AIX: Disk I/O is overloaded</t>
  </si>
  <si>
    <t>AIX: 磁盘I/O过载</t>
  </si>
  <si>
    <t>(2796/4)</t>
  </si>
  <si>
    <t>AIX: Hostname was changed</t>
  </si>
  <si>
    <t>AIX: 主机名已变更</t>
  </si>
  <si>
    <t>(2796/5)</t>
  </si>
  <si>
    <t>AIX: Too many processes</t>
  </si>
  <si>
    <t>AIX: 进程太多</t>
  </si>
  <si>
    <t>(2796/6)</t>
  </si>
  <si>
    <t>AIX: Too many processes running</t>
  </si>
  <si>
    <t>AIX: 运行的进程太多</t>
  </si>
  <si>
    <t>(2796/7)</t>
  </si>
  <si>
    <t>AIX: Processor load is too high</t>
  </si>
  <si>
    <t>AIX: 处理器负载太高</t>
  </si>
  <si>
    <t>(2796/8)</t>
  </si>
  <si>
    <t>AIX: Host information was changed</t>
  </si>
  <si>
    <t>AIX: 主机信息已变更</t>
  </si>
  <si>
    <t>(2796/9)</t>
  </si>
  <si>
    <t>AIX: Server has just been restarted</t>
  </si>
  <si>
    <t>AIX: 服务器刚刚重新启动</t>
  </si>
  <si>
    <t>(2796/10)</t>
  </si>
  <si>
    <t>22365</t>
  </si>
  <si>
    <t>AIX: Zabbix agent is not available</t>
  </si>
  <si>
    <t>AIX: Zabbix agent 不可用</t>
  </si>
  <si>
    <t>(2796/11)</t>
  </si>
  <si>
    <t>APC Smart-UPS 2200 RM by SNMP</t>
  </si>
  <si>
    <t>18609</t>
  </si>
  <si>
    <t>APC Smart-UPS 2200 RM: Battery has low capacity</t>
  </si>
  <si>
    <t>APC Smart-UPS 2200 RM: 电池容量低</t>
  </si>
  <si>
    <t>(2796/12)</t>
  </si>
  <si>
    <t>18610</t>
  </si>
  <si>
    <t>APC Smart-UPS 2200 RM: Battery needs replacement</t>
  </si>
  <si>
    <t>APC Smart-UPS 2200 RM: 电池需要更换</t>
  </si>
  <si>
    <t>(2796/13)</t>
  </si>
  <si>
    <t>APC Smart-UPS 2200 RM: Battery has an internal error condition</t>
  </si>
  <si>
    <t>APC Smart-UPS 2200 RM: 电池存在内部错误状况</t>
  </si>
  <si>
    <t>(2796/14)</t>
  </si>
  <si>
    <t>APC Smart-UPS 2200 RM: Battery is Low</t>
  </si>
  <si>
    <t>APC Smart-UPS 2200 RM: 电池电量不足</t>
  </si>
  <si>
    <t>(2796/15)</t>
  </si>
  <si>
    <t>APC Smart-UPS 2200 RM: Battery has high temperature</t>
  </si>
  <si>
    <t>APC Smart-UPS 2200 RM: 电池温度高</t>
  </si>
  <si>
    <t>(2796/16)</t>
  </si>
  <si>
    <t>APC Smart-UPS 2200 RM: Unacceptable input frequency</t>
  </si>
  <si>
    <t>APC Smart-UPS 2200 RM: 不可接受的输入频率</t>
  </si>
  <si>
    <t>(2796/17)</t>
  </si>
  <si>
    <t>APC Smart-UPS 2200 RM: Unacceptable input voltage</t>
  </si>
  <si>
    <t>APC Smart-UPS 2200 RM: 不可接受的输入电压</t>
  </si>
  <si>
    <t>(2796/18)</t>
  </si>
  <si>
    <t>18616</t>
  </si>
  <si>
    <t>APC Smart-UPS 2200 RM: Output load is high</t>
  </si>
  <si>
    <t>APC Smart-UPS 2200 RM: 输出负载高了</t>
  </si>
  <si>
    <t>(2796/19)</t>
  </si>
  <si>
    <t>18617</t>
  </si>
  <si>
    <t>APC Smart-UPS 2200 RM: UPS is Emergency Static Bypass</t>
  </si>
  <si>
    <t>APC Smart-UPS 2200 RM: UPS为紧急静态旁路</t>
  </si>
  <si>
    <t>(2796/20)</t>
  </si>
  <si>
    <t>18618</t>
  </si>
  <si>
    <t>APC Smart-UPS 2200 RM: UPS is Hardware Failure Bypass</t>
  </si>
  <si>
    <t>APC Smart-UPS 2200 RM: UPS为硬件故障旁路</t>
  </si>
  <si>
    <t>(2796/21)</t>
  </si>
  <si>
    <t>18619</t>
  </si>
  <si>
    <t>APC Smart-UPS 2200 RM: UPS is Off</t>
  </si>
  <si>
    <t>APC Smart-UPS 2200 RM: UPS关闭</t>
  </si>
  <si>
    <t>(2796/22)</t>
  </si>
  <si>
    <t>18620</t>
  </si>
  <si>
    <t>APC Smart-UPS 2200 RM: UPS is on battery</t>
  </si>
  <si>
    <t>APC Smart-UPS 2200 RM: UPS处于使用率电池状态</t>
  </si>
  <si>
    <t>(2796/23)</t>
  </si>
  <si>
    <t>18621</t>
  </si>
  <si>
    <t>APC Smart-UPS 2200 RM: UPS is on Smart Boost</t>
  </si>
  <si>
    <t>APC Smart-UPS 2200 RM: UPS处于SmartBoost状态</t>
  </si>
  <si>
    <t>(2796/24)</t>
  </si>
  <si>
    <t>18622</t>
  </si>
  <si>
    <t>APC Smart-UPS 2200 RM: UPS is On Smart Trim</t>
  </si>
  <si>
    <t>APC Smart-UPS 2200 RM: UPS处于智能微调状态</t>
  </si>
  <si>
    <t>(2796/25)</t>
  </si>
  <si>
    <t>18623</t>
  </si>
  <si>
    <t>APC Smart-UPS 2200 RM: UPS is Rebooting</t>
  </si>
  <si>
    <t>APC Smart-UPS 2200 RM: UPS正在重新启动</t>
  </si>
  <si>
    <t>(2796/26)</t>
  </si>
  <si>
    <t>APC Smart-UPS 2200 RM: UPS is Sleeping Until Power Return</t>
  </si>
  <si>
    <t>APC Smart-UPS 2200 RM: UPS正在休眠直到电源恢复</t>
  </si>
  <si>
    <t>(2796/27)</t>
  </si>
  <si>
    <t>APC Smart-UPS 2200 RM: UPS is Software Bypass</t>
  </si>
  <si>
    <t>APC Smart-UPS 2200 RM: UPS为软件旁路</t>
  </si>
  <si>
    <t>(2796/28)</t>
  </si>
  <si>
    <t>18626</t>
  </si>
  <si>
    <t>APC Smart-UPS 2200 RM: UPS is Switched Bypass</t>
  </si>
  <si>
    <t>APC Smart-UPS 2200 RM: UPS为切换旁路</t>
  </si>
  <si>
    <t>(2796/29)</t>
  </si>
  <si>
    <t>18627</t>
  </si>
  <si>
    <t>APC Smart-UPS 2200 RM: UPS is Timed Sleeping</t>
  </si>
  <si>
    <t>APC Smart-UPS 2200 RM: UPS处于定时睡眠状态</t>
  </si>
  <si>
    <t>(2796/30)</t>
  </si>
  <si>
    <t>18630</t>
  </si>
  <si>
    <t>APC Smart-UPS 2200 RM: No SNMP data collection</t>
  </si>
  <si>
    <t>APC Smart-UPS 2200 RM: 无SNMP数据收集</t>
  </si>
  <si>
    <t>(2796/31)</t>
  </si>
  <si>
    <t>18628</t>
  </si>
  <si>
    <t>APC Smart-UPS 2200 RM: System name has changed</t>
  </si>
  <si>
    <t>APC Smart-UPS 2200 RM: 系统名称已变更</t>
  </si>
  <si>
    <t>(2796/32)</t>
  </si>
  <si>
    <t>18629</t>
  </si>
  <si>
    <t>APC Smart-UPS 2200 RM: Host has been restarted</t>
  </si>
  <si>
    <t>APC Smart-UPS 2200 RM: 主机已重新启动</t>
  </si>
  <si>
    <t>(2796/33)</t>
  </si>
  <si>
    <t>APC Smart-UPS 3000 XLM by SNMP</t>
  </si>
  <si>
    <t>APC Smart-UPS 3000 XLM: Battery has low capacity</t>
  </si>
  <si>
    <t>APC Smart-UPS 3000 XLM: 电池容量低</t>
  </si>
  <si>
    <t>(2796/34)</t>
  </si>
  <si>
    <t>APC Smart-UPS 3000 XLM: Battery needs replacement</t>
  </si>
  <si>
    <t>APC Smart-UPS 3000 XLM: 电池需要更换</t>
  </si>
  <si>
    <t>(2796/35)</t>
  </si>
  <si>
    <t>18644</t>
  </si>
  <si>
    <t>APC Smart-UPS 3000 XLM: Battery has an internal error condition</t>
  </si>
  <si>
    <t>APC Smart-UPS 3000 XLM: 电池存在内部错误状况</t>
  </si>
  <si>
    <t>(2796/36)</t>
  </si>
  <si>
    <t>APC Smart-UPS 3000 XLM: Battery is Low</t>
  </si>
  <si>
    <t>APC Smart-UPS 3000 XLM: 电池电量不足</t>
  </si>
  <si>
    <t>(2796/37)</t>
  </si>
  <si>
    <t>APC Smart-UPS 3000 XLM: Battery has high temperature</t>
  </si>
  <si>
    <t>APC Smart-UPS 3000 XLM: 电池温度高</t>
  </si>
  <si>
    <t>(2796/38)</t>
  </si>
  <si>
    <t>APC Smart-UPS 3000 XLM: Unacceptable input frequency</t>
  </si>
  <si>
    <t>APC Smart-UPS 3000 XLM: 不可接受的输入频率</t>
  </si>
  <si>
    <t>(2796/39)</t>
  </si>
  <si>
    <t>APC Smart-UPS 3000 XLM: Unacceptable input voltage</t>
  </si>
  <si>
    <t>APC Smart-UPS 3000 XLM: 不可接受的输入电压</t>
  </si>
  <si>
    <t>(2796/40)</t>
  </si>
  <si>
    <t>APC Smart-UPS 3000 XLM: Output load is high</t>
  </si>
  <si>
    <t>APC Smart-UPS 3000 XLM: 输出负载高了</t>
  </si>
  <si>
    <t>(2796/41)</t>
  </si>
  <si>
    <t>APC Smart-UPS 3000 XLM: UPS is Emergency Static Bypass</t>
  </si>
  <si>
    <t>APC Smart-UPS 3000 XLM: UPS为紧急静态旁路</t>
  </si>
  <si>
    <t>(2796/42)</t>
  </si>
  <si>
    <t>APC Smart-UPS 3000 XLM: UPS is Hardware Failure Bypass</t>
  </si>
  <si>
    <t>APC Smart-UPS 3000 XLM: UPS为硬件故障旁路</t>
  </si>
  <si>
    <t>(2796/43)</t>
  </si>
  <si>
    <t>APC Smart-UPS 3000 XLM: UPS is Off</t>
  </si>
  <si>
    <t>APC Smart-UPS 3000 XLM: UPS关闭</t>
  </si>
  <si>
    <t>(2796/44)</t>
  </si>
  <si>
    <t>APC Smart-UPS 3000 XLM: UPS is on battery</t>
  </si>
  <si>
    <t>APC Smart-UPS 3000 XLM: UPS处于使用率电池状态</t>
  </si>
  <si>
    <t>(2796/45)</t>
  </si>
  <si>
    <t>APC Smart-UPS 3000 XLM: UPS is on Smart Boost</t>
  </si>
  <si>
    <t>APC Smart-UPS 3000 XLM: UPS处于SmartBoost状态</t>
  </si>
  <si>
    <t>(2796/46)</t>
  </si>
  <si>
    <t>APC Smart-UPS 3000 XLM: UPS is On Smart Trim</t>
  </si>
  <si>
    <t>APC Smart-UPS 3000 XLM: UPS处于智能微调状态</t>
  </si>
  <si>
    <t>(2796/47)</t>
  </si>
  <si>
    <t>APC Smart-UPS 3000 XLM: UPS is Rebooting</t>
  </si>
  <si>
    <t>APC Smart-UPS 3000 XLM: UPS正在重新启动</t>
  </si>
  <si>
    <t>(2796/48)</t>
  </si>
  <si>
    <t>APC Smart-UPS 3000 XLM: UPS is Sleeping Until Power Return</t>
  </si>
  <si>
    <t>APC Smart-UPS 3000 XLM: UPS正在休眠直到电源恢复</t>
  </si>
  <si>
    <t>(2796/49)</t>
  </si>
  <si>
    <t>18658</t>
  </si>
  <si>
    <t>APC Smart-UPS 3000 XLM: UPS is Software Bypass</t>
  </si>
  <si>
    <t>APC Smart-UPS 3000 XLM: UPS为软件旁路</t>
  </si>
  <si>
    <t>(2796/50)</t>
  </si>
  <si>
    <t>18659</t>
  </si>
  <si>
    <t>APC Smart-UPS 3000 XLM: UPS is Switched Bypass</t>
  </si>
  <si>
    <t>APC Smart-UPS 3000 XLM: UPS为切换旁路</t>
  </si>
  <si>
    <t>(2796/51)</t>
  </si>
  <si>
    <t>APC Smart-UPS 3000 XLM: UPS is Timed Sleeping</t>
  </si>
  <si>
    <t>APC Smart-UPS 3000 XLM: UPS处于定时睡眠状态</t>
  </si>
  <si>
    <t>(2796/52)</t>
  </si>
  <si>
    <t>APC Smart-UPS 3000 XLM: No SNMP data collection</t>
  </si>
  <si>
    <t>APC Smart-UPS 3000 XLM: 无SNMP数据收集</t>
  </si>
  <si>
    <t>(2796/53)</t>
  </si>
  <si>
    <t>APC Smart-UPS 3000 XLM: System name has changed</t>
  </si>
  <si>
    <t>APC Smart-UPS 3000 XLM: 系统名称已变更</t>
  </si>
  <si>
    <t>(2796/54)</t>
  </si>
  <si>
    <t>APC Smart-UPS 3000 XLM: Host has been restarted</t>
  </si>
  <si>
    <t>APC Smart-UPS 3000 XLM: 主机已重新启动</t>
  </si>
  <si>
    <t>(2796/55)</t>
  </si>
  <si>
    <t>APC Smart-UPS RT 1000 RM XL by SNMP</t>
  </si>
  <si>
    <t>APC Smart-UPS RT 1000 RM XL: Battery has low capacity</t>
  </si>
  <si>
    <t>APC Smart-UPS RT 1000 RM XL: 电池容量低</t>
  </si>
  <si>
    <t>(2796/56)</t>
  </si>
  <si>
    <t>18676</t>
  </si>
  <si>
    <t>APC Smart-UPS RT 1000 RM XL: Battery needs replacement</t>
  </si>
  <si>
    <t>APC Smart-UPS RT 1000 RM XL: 电池需要更换</t>
  </si>
  <si>
    <t>(2796/57)</t>
  </si>
  <si>
    <t>18677</t>
  </si>
  <si>
    <t>APC Smart-UPS RT 1000 RM XL: Battery has an internal error condition</t>
  </si>
  <si>
    <t>APC Smart-UPS RT 1000 RM XL: 电池存在内部错误状况</t>
  </si>
  <si>
    <t>(2796/58)</t>
  </si>
  <si>
    <t>18678</t>
  </si>
  <si>
    <t>APC Smart-UPS RT 1000 RM XL: Battery is Low</t>
  </si>
  <si>
    <t>APC Smart-UPS RT 1000 RM XL: 电池电量不足</t>
  </si>
  <si>
    <t>(2796/59)</t>
  </si>
  <si>
    <t>18679</t>
  </si>
  <si>
    <t>APC Smart-UPS RT 1000 RM XL: Battery has high temperature</t>
  </si>
  <si>
    <t>APC Smart-UPS RT 1000 RM XL: 电池温度高</t>
  </si>
  <si>
    <t>(2796/60)</t>
  </si>
  <si>
    <t>18680</t>
  </si>
  <si>
    <t>APC Smart-UPS RT 1000 RM XL: Unacceptable input frequency</t>
  </si>
  <si>
    <t>APC Smart-UPS RT 1000 RM XL: 不可接受的输入频率</t>
  </si>
  <si>
    <t>(2796/61)</t>
  </si>
  <si>
    <t>18681</t>
  </si>
  <si>
    <t>APC Smart-UPS RT 1000 RM XL: Unacceptable input voltage</t>
  </si>
  <si>
    <t>APC Smart-UPS RT 1000 RM XL: 不可接受的输入电压</t>
  </si>
  <si>
    <t>(2796/62)</t>
  </si>
  <si>
    <t>18682</t>
  </si>
  <si>
    <t>APC Smart-UPS RT 1000 RM XL: Output load is high</t>
  </si>
  <si>
    <t>APC Smart-UPS RT 1000 RM XL: 输出负载高了</t>
  </si>
  <si>
    <t>(2796/63)</t>
  </si>
  <si>
    <t>18683</t>
  </si>
  <si>
    <t>APC Smart-UPS RT 1000 RM XL: UPS is Emergency Static Bypass</t>
  </si>
  <si>
    <t>APC Smart-UPS RT 1000 RM XL: UPS为紧急静态旁路</t>
  </si>
  <si>
    <t>(2796/64)</t>
  </si>
  <si>
    <t>18684</t>
  </si>
  <si>
    <t>APC Smart-UPS RT 1000 RM XL: UPS is Hardware Failure Bypass</t>
  </si>
  <si>
    <t>APC Smart-UPS RT 1000 RM XL: UPS为硬件故障旁路</t>
  </si>
  <si>
    <t>(2796/65)</t>
  </si>
  <si>
    <t>18685</t>
  </si>
  <si>
    <t>APC Smart-UPS RT 1000 RM XL: UPS is Off</t>
  </si>
  <si>
    <t>APC Smart-UPS RT 1000 RM XL: UPS关闭</t>
  </si>
  <si>
    <t>(2796/66)</t>
  </si>
  <si>
    <t>18686</t>
  </si>
  <si>
    <t>APC Smart-UPS RT 1000 RM XL: UPS is on battery</t>
  </si>
  <si>
    <t>APC Smart-UPS RT 1000 RM XL: UPS处于使用率电池状态</t>
  </si>
  <si>
    <t>(2796/67)</t>
  </si>
  <si>
    <t>18687</t>
  </si>
  <si>
    <t>APC Smart-UPS RT 1000 RM XL: UPS is on Smart Boost</t>
  </si>
  <si>
    <t>APC Smart-UPS RT 1000 RM XL: UPS处于SmartBoost状态</t>
  </si>
  <si>
    <t>(2796/68)</t>
  </si>
  <si>
    <t>18688</t>
  </si>
  <si>
    <t>APC Smart-UPS RT 1000 RM XL: UPS is On Smart Trim</t>
  </si>
  <si>
    <t>APC Smart-UPS RT 1000 RM XL: UPS处于智能微调状态</t>
  </si>
  <si>
    <t>(2796/69)</t>
  </si>
  <si>
    <t>18689</t>
  </si>
  <si>
    <t>APC Smart-UPS RT 1000 RM XL: UPS is Rebooting</t>
  </si>
  <si>
    <t>APC Smart-UPS RT 1000 RM XL: UPS正在重新启动</t>
  </si>
  <si>
    <t>(2796/70)</t>
  </si>
  <si>
    <t>18690</t>
  </si>
  <si>
    <t>APC Smart-UPS RT 1000 RM XL: UPS is Sleeping Until Power Return</t>
  </si>
  <si>
    <t>APC Smart-UPS RT 1000 RM XL: UPS正在休眠直到电源恢复</t>
  </si>
  <si>
    <t>(2796/71)</t>
  </si>
  <si>
    <t>18691</t>
  </si>
  <si>
    <t>APC Smart-UPS RT 1000 RM XL: UPS is Software Bypass</t>
  </si>
  <si>
    <t>APC Smart-UPS RT 1000 RM XL: UPS为软件旁路</t>
  </si>
  <si>
    <t>(2796/72)</t>
  </si>
  <si>
    <t>18692</t>
  </si>
  <si>
    <t>APC Smart-UPS RT 1000 RM XL: UPS is Switched Bypass</t>
  </si>
  <si>
    <t>APC Smart-UPS RT 1000 RM XL: UPS为切换旁路</t>
  </si>
  <si>
    <t>(2796/73)</t>
  </si>
  <si>
    <t>18693</t>
  </si>
  <si>
    <t>APC Smart-UPS RT 1000 RM XL: UPS is Timed Sleeping</t>
  </si>
  <si>
    <t>APC Smart-UPS RT 1000 RM XL: UPS处于定时睡眠状态</t>
  </si>
  <si>
    <t>(2796/74)</t>
  </si>
  <si>
    <t>18696</t>
  </si>
  <si>
    <t>APC Smart-UPS RT 1000 RM XL: No SNMP data collection</t>
  </si>
  <si>
    <t>APC Smart-UPS RT 1000 RM XL: 无SNMP数据收集</t>
  </si>
  <si>
    <t>(2796/75)</t>
  </si>
  <si>
    <t>18694</t>
  </si>
  <si>
    <t>APC Smart-UPS RT 1000 RM XL: System name has changed</t>
  </si>
  <si>
    <t>APC Smart-UPS RT 1000 RM XL: 系统名称已变更</t>
  </si>
  <si>
    <t>(2796/76)</t>
  </si>
  <si>
    <t>18695</t>
  </si>
  <si>
    <t>APC Smart-UPS RT 1000 RM XL: Host has been restarted</t>
  </si>
  <si>
    <t>APC Smart-UPS RT 1000 RM XL: 主机已重新启动</t>
  </si>
  <si>
    <t>(2796/77)</t>
  </si>
  <si>
    <t>APC Smart-UPS RT 1000 XL by SNMP</t>
  </si>
  <si>
    <t>18708</t>
  </si>
  <si>
    <t>APC Smart-UPS RT 1000 XL: Battery has low capacity</t>
  </si>
  <si>
    <t>APC Smart-UPS RT 1000 XL: 电池容量低</t>
  </si>
  <si>
    <t>(2796/78)</t>
  </si>
  <si>
    <t>18709</t>
  </si>
  <si>
    <t>APC Smart-UPS RT 1000 XL: Battery needs replacement</t>
  </si>
  <si>
    <t>APC Smart-UPS RT 1000 XL: 电池需要更换</t>
  </si>
  <si>
    <t>(2796/79)</t>
  </si>
  <si>
    <t>18710</t>
  </si>
  <si>
    <t>APC Smart-UPS RT 1000 XL: Battery has an internal error condition</t>
  </si>
  <si>
    <t>APC Smart-UPS RT 1000 XL: 电池存在内部错误状况</t>
  </si>
  <si>
    <t>(2796/80)</t>
  </si>
  <si>
    <t>18711</t>
  </si>
  <si>
    <t>APC Smart-UPS RT 1000 XL: Battery is Low</t>
  </si>
  <si>
    <t>APC Smart-UPS RT 1000 XL: 电池电量不足</t>
  </si>
  <si>
    <t>(2796/81)</t>
  </si>
  <si>
    <t>18712</t>
  </si>
  <si>
    <t>APC Smart-UPS RT 1000 XL: Battery has high temperature</t>
  </si>
  <si>
    <t>APC Smart-UPS RT 1000 XL: 电池温度高</t>
  </si>
  <si>
    <t>(2796/82)</t>
  </si>
  <si>
    <t>18713</t>
  </si>
  <si>
    <t>APC Smart-UPS RT 1000 XL: Unacceptable input frequency</t>
  </si>
  <si>
    <t>APC Smart-UPS RT 1000 XL: 不可接受的输入频率</t>
  </si>
  <si>
    <t>(2796/83)</t>
  </si>
  <si>
    <t>18714</t>
  </si>
  <si>
    <t>APC Smart-UPS RT 1000 XL: Unacceptable input voltage</t>
  </si>
  <si>
    <t>APC Smart-UPS RT 1000 XL: 不可接受的输入电压</t>
  </si>
  <si>
    <t>(2796/84)</t>
  </si>
  <si>
    <t>APC Smart-UPS RT 1000 XL: Output load is high</t>
  </si>
  <si>
    <t>APC Smart-UPS RT 1000 XL: 输出负载高了</t>
  </si>
  <si>
    <t>(2796/85)</t>
  </si>
  <si>
    <t>APC Smart-UPS RT 1000 XL: UPS is Emergency Static Bypass</t>
  </si>
  <si>
    <t>APC Smart-UPS RT 1000 XL: UPS为紧急静态旁路</t>
  </si>
  <si>
    <t>(2796/86)</t>
  </si>
  <si>
    <t>APC Smart-UPS RT 1000 XL: UPS is Hardware Failure Bypass</t>
  </si>
  <si>
    <t>APC Smart-UPS RT 1000 XL: UPS为硬件故障旁路</t>
  </si>
  <si>
    <t>(2796/87)</t>
  </si>
  <si>
    <t>18718</t>
  </si>
  <si>
    <t>APC Smart-UPS RT 1000 XL: UPS is Off</t>
  </si>
  <si>
    <t>APC Smart-UPS RT 1000 XL: UPS关闭</t>
  </si>
  <si>
    <t>(2796/88)</t>
  </si>
  <si>
    <t>APC Smart-UPS RT 1000 XL: UPS is on battery</t>
  </si>
  <si>
    <t>APC Smart-UPS RT 1000 XL: UPS处于使用率电池状态</t>
  </si>
  <si>
    <t>(2796/89)</t>
  </si>
  <si>
    <t>APC Smart-UPS RT 1000 XL: UPS is on Smart Boost</t>
  </si>
  <si>
    <t>APC Smart-UPS RT 1000 XL: UPS处于SmartBoost状态</t>
  </si>
  <si>
    <t>(2796/90)</t>
  </si>
  <si>
    <t>APC Smart-UPS RT 1000 XL: UPS is On Smart Trim</t>
  </si>
  <si>
    <t>APC Smart-UPS RT 1000 XL: UPS处于智能微调状态</t>
  </si>
  <si>
    <t>(2796/91)</t>
  </si>
  <si>
    <t>18722</t>
  </si>
  <si>
    <t>APC Smart-UPS RT 1000 XL: UPS is Rebooting</t>
  </si>
  <si>
    <t>APC Smart-UPS RT 1000 XL: UPS正在重新启动</t>
  </si>
  <si>
    <t>(2796/92)</t>
  </si>
  <si>
    <t>APC Smart-UPS RT 1000 XL: UPS is Sleeping Until Power Return</t>
  </si>
  <si>
    <t>APC Smart-UPS RT 1000 XL: UPS正在休眠直到电源恢复</t>
  </si>
  <si>
    <t>(2796/93)</t>
  </si>
  <si>
    <t>APC Smart-UPS RT 1000 XL: UPS is Software Bypass</t>
  </si>
  <si>
    <t>APC Smart-UPS RT 1000 XL: UPS为软件旁路</t>
  </si>
  <si>
    <t>(2796/94)</t>
  </si>
  <si>
    <t>APC Smart-UPS RT 1000 XL: UPS is Switched Bypass</t>
  </si>
  <si>
    <t>APC Smart-UPS RT 1000 XL: UPS为切换旁路</t>
  </si>
  <si>
    <t>(2796/95)</t>
  </si>
  <si>
    <t>APC Smart-UPS RT 1000 XL: UPS is Timed Sleeping</t>
  </si>
  <si>
    <t>APC Smart-UPS RT 1000 XL: UPS处于定时睡眠状态</t>
  </si>
  <si>
    <t>(2796/96)</t>
  </si>
  <si>
    <t>APC Smart-UPS RT 1000 XL: No SNMP data collection</t>
  </si>
  <si>
    <t>APC Smart-UPS RT 1000 XL: 无SNMP数据收集</t>
  </si>
  <si>
    <t>(2796/97)</t>
  </si>
  <si>
    <t>APC Smart-UPS RT 1000 XL: System name has changed</t>
  </si>
  <si>
    <t>APC Smart-UPS RT 1000 XL: 系统名称已变更</t>
  </si>
  <si>
    <t>(2796/98)</t>
  </si>
  <si>
    <t>APC Smart-UPS RT 1000 XL: Host has been restarted</t>
  </si>
  <si>
    <t>APC Smart-UPS RT 1000 XL: 主机已重新启动</t>
  </si>
  <si>
    <t>(2796/99)</t>
  </si>
  <si>
    <t>APC Smart-UPS SRT 5000 by SNMP</t>
  </si>
  <si>
    <t>18927</t>
  </si>
  <si>
    <t>APC Smart-UPS SRT 5000: Battery has low capacity</t>
  </si>
  <si>
    <t>APC Smart-UPS SRT 5000: 电池容量低</t>
  </si>
  <si>
    <t>(2796/100)</t>
  </si>
  <si>
    <t>18928</t>
  </si>
  <si>
    <t>APC Smart-UPS SRT 5000: Battery needs replacement</t>
  </si>
  <si>
    <t>APC Smart-UPS SRT 5000: 电池需要更换</t>
  </si>
  <si>
    <t>(2796/101)</t>
  </si>
  <si>
    <t>18929</t>
  </si>
  <si>
    <t>APC Smart-UPS SRT 5000: Battery has an internal error condition</t>
  </si>
  <si>
    <t>APC Smart-UPS SRT 5000: 电池存在内部错误状况</t>
  </si>
  <si>
    <t>(2796/102)</t>
  </si>
  <si>
    <t>18930</t>
  </si>
  <si>
    <t>APC Smart-UPS SRT 5000: Battery is Low</t>
  </si>
  <si>
    <t>APC Smart-UPS SRT 5000: 电池电量不足</t>
  </si>
  <si>
    <t>(2796/103)</t>
  </si>
  <si>
    <t>18931</t>
  </si>
  <si>
    <t>APC Smart-UPS SRT 5000: Battery has high temperature</t>
  </si>
  <si>
    <t>APC Smart-UPS SRT 5000: 电池温度高</t>
  </si>
  <si>
    <t>(2796/104)</t>
  </si>
  <si>
    <t>18932</t>
  </si>
  <si>
    <t>APC Smart-UPS SRT 5000: Unacceptable input frequency</t>
  </si>
  <si>
    <t>APC Smart-UPS SRT 5000: 不可接受的输入频率</t>
  </si>
  <si>
    <t>(2796/105)</t>
  </si>
  <si>
    <t>18933</t>
  </si>
  <si>
    <t>APC Smart-UPS SRT 5000: Unacceptable input voltage</t>
  </si>
  <si>
    <t>APC Smart-UPS SRT 5000: 不可接受的输入电压</t>
  </si>
  <si>
    <t>(2796/106)</t>
  </si>
  <si>
    <t>18934</t>
  </si>
  <si>
    <t>APC Smart-UPS SRT 5000: Output load is high</t>
  </si>
  <si>
    <t>APC Smart-UPS SRT 5000: 输出负载高了</t>
  </si>
  <si>
    <t>(2796/107)</t>
  </si>
  <si>
    <t>18935</t>
  </si>
  <si>
    <t>APC Smart-UPS SRT 5000: UPS is Emergency Static Bypass</t>
  </si>
  <si>
    <t>APC Smart-UPS SRT 5000: UPS为紧急静态旁路</t>
  </si>
  <si>
    <t>(2796/108)</t>
  </si>
  <si>
    <t>18936</t>
  </si>
  <si>
    <t>APC Smart-UPS SRT 5000: UPS is Hardware Failure Bypass</t>
  </si>
  <si>
    <t>APC Smart-UPS SRT 5000: UPS为硬件故障旁路</t>
  </si>
  <si>
    <t>(2796/109)</t>
  </si>
  <si>
    <t>18937</t>
  </si>
  <si>
    <t>APC Smart-UPS SRT 5000: UPS is Off</t>
  </si>
  <si>
    <t>APC Smart-UPS SRT 5000: UPS关闭</t>
  </si>
  <si>
    <t>(2796/110)</t>
  </si>
  <si>
    <t>18938</t>
  </si>
  <si>
    <t>APC Smart-UPS SRT 5000: UPS is on battery</t>
  </si>
  <si>
    <t>APC Smart-UPS SRT 5000: UPS处于使用率电池状态</t>
  </si>
  <si>
    <t>(2796/111)</t>
  </si>
  <si>
    <t>18939</t>
  </si>
  <si>
    <t>APC Smart-UPS SRT 5000: UPS is on Smart Boost</t>
  </si>
  <si>
    <t>APC Smart-UPS SRT 5000: UPS处于SmartBoost状态</t>
  </si>
  <si>
    <t>(2796/112)</t>
  </si>
  <si>
    <t>18940</t>
  </si>
  <si>
    <t>APC Smart-UPS SRT 5000: UPS is On Smart Trim</t>
  </si>
  <si>
    <t>APC Smart-UPS SRT 5000: UPS处于智能微调状态</t>
  </si>
  <si>
    <t>(2796/113)</t>
  </si>
  <si>
    <t>18941</t>
  </si>
  <si>
    <t>APC Smart-UPS SRT 5000: UPS is Rebooting</t>
  </si>
  <si>
    <t>APC Smart-UPS SRT 5000: UPS正在重新启动</t>
  </si>
  <si>
    <t>(2796/114)</t>
  </si>
  <si>
    <t>18942</t>
  </si>
  <si>
    <t>APC Smart-UPS SRT 5000: UPS is Sleeping Until Power Return</t>
  </si>
  <si>
    <t>APC Smart-UPS SRT 5000: UPS正在休眠直到电源恢复</t>
  </si>
  <si>
    <t>(2796/115)</t>
  </si>
  <si>
    <t>18943</t>
  </si>
  <si>
    <t>APC Smart-UPS SRT 5000: UPS is Software Bypass</t>
  </si>
  <si>
    <t>APC Smart-UPS SRT 5000: UPS为软件旁路</t>
  </si>
  <si>
    <t>(2796/116)</t>
  </si>
  <si>
    <t>18944</t>
  </si>
  <si>
    <t>APC Smart-UPS SRT 5000: UPS is Switched Bypass</t>
  </si>
  <si>
    <t>APC Smart-UPS SRT 5000: UPS为切换旁路</t>
  </si>
  <si>
    <t>(2796/117)</t>
  </si>
  <si>
    <t>18945</t>
  </si>
  <si>
    <t>APC Smart-UPS SRT 5000: UPS is Timed Sleeping</t>
  </si>
  <si>
    <t>APC Smart-UPS SRT 5000: UPS处于定时睡眠状态</t>
  </si>
  <si>
    <t>(2796/118)</t>
  </si>
  <si>
    <t>18948</t>
  </si>
  <si>
    <t>APC Smart-UPS SRT 5000: No SNMP data collection</t>
  </si>
  <si>
    <t>APC Smart-UPS SRT 5000: 无SNMP数据收集</t>
  </si>
  <si>
    <t>(2796/119)</t>
  </si>
  <si>
    <t>18946</t>
  </si>
  <si>
    <t>APC Smart-UPS SRT 5000: System name has changed</t>
  </si>
  <si>
    <t>APC Smart-UPS SRT 5000: 系统名称已变更</t>
  </si>
  <si>
    <t>(2796/120)</t>
  </si>
  <si>
    <t>18947</t>
  </si>
  <si>
    <t>APC Smart-UPS SRT 5000: Host has been restarted</t>
  </si>
  <si>
    <t>APC Smart-UPS SRT 5000: 主机已重新启动</t>
  </si>
  <si>
    <t>(2796/121)</t>
  </si>
  <si>
    <t>APC Smart-UPS SRT 8000 by SNMP</t>
  </si>
  <si>
    <t>18774</t>
  </si>
  <si>
    <t>APC Smart-UPS SRT 8000: Battery has low capacity</t>
  </si>
  <si>
    <t>APC Smart-UPS SRT 8000: 电池容量低</t>
  </si>
  <si>
    <t>(2796/122)</t>
  </si>
  <si>
    <t>18775</t>
  </si>
  <si>
    <t>APC Smart-UPS SRT 8000: Battery needs replacement</t>
  </si>
  <si>
    <t>APC Smart-UPS SRT 8000: 电池需要更换</t>
  </si>
  <si>
    <t>(2796/123)</t>
  </si>
  <si>
    <t>18776</t>
  </si>
  <si>
    <t>APC Smart-UPS SRT 8000: Battery has an internal error condition</t>
  </si>
  <si>
    <t>APC Smart-UPS SRT 8000: 电池存在内部错误状况</t>
  </si>
  <si>
    <t>(2796/124)</t>
  </si>
  <si>
    <t>18777</t>
  </si>
  <si>
    <t>APC Smart-UPS SRT 8000: Battery is Low</t>
  </si>
  <si>
    <t>APC Smart-UPS SRT 8000: 电池电量不足</t>
  </si>
  <si>
    <t>(2796/125)</t>
  </si>
  <si>
    <t>18778</t>
  </si>
  <si>
    <t>APC Smart-UPS SRT 8000: Battery has high temperature</t>
  </si>
  <si>
    <t>APC Smart-UPS SRT 8000: 电池温度高</t>
  </si>
  <si>
    <t>(2796/126)</t>
  </si>
  <si>
    <t>18779</t>
  </si>
  <si>
    <t>APC Smart-UPS SRT 8000: Unacceptable input frequency</t>
  </si>
  <si>
    <t>APC Smart-UPS SRT 8000: 不可接受的输入频率</t>
  </si>
  <si>
    <t>(2796/127)</t>
  </si>
  <si>
    <t>18780</t>
  </si>
  <si>
    <t>APC Smart-UPS SRT 8000: Unacceptable input voltage</t>
  </si>
  <si>
    <t>APC Smart-UPS SRT 8000: 不可接受的输入电压</t>
  </si>
  <si>
    <t>(2796/128)</t>
  </si>
  <si>
    <t>18781</t>
  </si>
  <si>
    <t>APC Smart-UPS SRT 8000: Output load is high</t>
  </si>
  <si>
    <t>APC Smart-UPS SRT 8000: 输出负载高了</t>
  </si>
  <si>
    <t>(2796/129)</t>
  </si>
  <si>
    <t>18782</t>
  </si>
  <si>
    <t>APC Smart-UPS SRT 8000: UPS is Emergency Static Bypass</t>
  </si>
  <si>
    <t>APC Smart-UPS SRT 8000: UPS为紧急静态旁路</t>
  </si>
  <si>
    <t>(2796/130)</t>
  </si>
  <si>
    <t>18783</t>
  </si>
  <si>
    <t>APC Smart-UPS SRT 8000: UPS is Hardware Failure Bypass</t>
  </si>
  <si>
    <t>APC Smart-UPS SRT 8000: UPS为硬件故障旁路</t>
  </si>
  <si>
    <t>(2796/131)</t>
  </si>
  <si>
    <t>18784</t>
  </si>
  <si>
    <t>APC Smart-UPS SRT 8000: UPS is Off</t>
  </si>
  <si>
    <t>APC Smart-UPS SRT 8000: UPS关闭</t>
  </si>
  <si>
    <t>(2796/132)</t>
  </si>
  <si>
    <t>18785</t>
  </si>
  <si>
    <t>APC Smart-UPS SRT 8000: UPS is on battery</t>
  </si>
  <si>
    <t>APC Smart-UPS SRT 8000: UPS处于使用率电池状态</t>
  </si>
  <si>
    <t>(2796/133)</t>
  </si>
  <si>
    <t>18786</t>
  </si>
  <si>
    <t>APC Smart-UPS SRT 8000: UPS is on Smart Boost</t>
  </si>
  <si>
    <t>APC Smart-UPS SRT 8000: UPS处于SmartBoost状态</t>
  </si>
  <si>
    <t>(2796/134)</t>
  </si>
  <si>
    <t>18787</t>
  </si>
  <si>
    <t>APC Smart-UPS SRT 8000: UPS is On Smart Trim</t>
  </si>
  <si>
    <t>APC Smart-UPS SRT 8000: UPS处于智能微调状态</t>
  </si>
  <si>
    <t>(2796/135)</t>
  </si>
  <si>
    <t>18788</t>
  </si>
  <si>
    <t>APC Smart-UPS SRT 8000: UPS is Rebooting</t>
  </si>
  <si>
    <t>APC Smart-UPS SRT 8000: UPS正在重新启动</t>
  </si>
  <si>
    <t>(2796/136)</t>
  </si>
  <si>
    <t>18789</t>
  </si>
  <si>
    <t>APC Smart-UPS SRT 8000: UPS is Sleeping Until Power Return</t>
  </si>
  <si>
    <t>APC Smart-UPS SRT 8000: UPS正在休眠直到电源恢复</t>
  </si>
  <si>
    <t>(2796/137)</t>
  </si>
  <si>
    <t>18790</t>
  </si>
  <si>
    <t>APC Smart-UPS SRT 8000: UPS is Software Bypass</t>
  </si>
  <si>
    <t>APC Smart-UPS SRT 8000: UPS为软件旁路</t>
  </si>
  <si>
    <t>(2796/138)</t>
  </si>
  <si>
    <t>18791</t>
  </si>
  <si>
    <t>APC Smart-UPS SRT 8000: UPS is Switched Bypass</t>
  </si>
  <si>
    <t>APC Smart-UPS SRT 8000: UPS为切换旁路</t>
  </si>
  <si>
    <t>(2796/139)</t>
  </si>
  <si>
    <t>18792</t>
  </si>
  <si>
    <t>APC Smart-UPS SRT 8000: UPS is Timed Sleeping</t>
  </si>
  <si>
    <t>APC Smart-UPS SRT 8000: UPS处于定时睡眠状态</t>
  </si>
  <si>
    <t>(2796/140)</t>
  </si>
  <si>
    <t>18795</t>
  </si>
  <si>
    <t>APC Smart-UPS SRT 8000: No SNMP data collection</t>
  </si>
  <si>
    <t>APC Smart-UPS SRT 8000: 无SNMP数据收集</t>
  </si>
  <si>
    <t>(2796/141)</t>
  </si>
  <si>
    <t>18793</t>
  </si>
  <si>
    <t>APC Smart-UPS SRT 8000: System name has changed</t>
  </si>
  <si>
    <t>APC Smart-UPS SRT 8000: 系统名称已变更</t>
  </si>
  <si>
    <t>(2796/142)</t>
  </si>
  <si>
    <t>18794</t>
  </si>
  <si>
    <t>APC Smart-UPS SRT 8000: Host has been restarted</t>
  </si>
  <si>
    <t>APC Smart-UPS SRT 8000: 主机已重新启动</t>
  </si>
  <si>
    <t>(2796/143)</t>
  </si>
  <si>
    <t>APC UPS Galaxy 3500 by SNMP</t>
  </si>
  <si>
    <t>APC UPS Galaxy 3500: Battery has low capacity</t>
  </si>
  <si>
    <t>APC UPS Galaxy 3500: 电池容量低</t>
  </si>
  <si>
    <t>(2796/144)</t>
  </si>
  <si>
    <t>APC UPS Galaxy 3500: Battery needs replacement</t>
  </si>
  <si>
    <t>APC UPS Galaxy 3500: 电池需要更换</t>
  </si>
  <si>
    <t>(2796/145)</t>
  </si>
  <si>
    <t>APC UPS Galaxy 3500: Battery has an internal error condition</t>
  </si>
  <si>
    <t>APC UPS Galaxy 3500: 电池存在内部错误状况</t>
  </si>
  <si>
    <t>(2796/146)</t>
  </si>
  <si>
    <t>APC UPS Galaxy 3500: Battery is Low</t>
  </si>
  <si>
    <t>APC UPS Galaxy 3500: 电池电量不足</t>
  </si>
  <si>
    <t>(2796/147)</t>
  </si>
  <si>
    <t>APC UPS Galaxy 3500: Battery has high temperature</t>
  </si>
  <si>
    <t>APC UPS Galaxy 3500: 电池温度高</t>
  </si>
  <si>
    <t>(2796/148)</t>
  </si>
  <si>
    <t>APC UPS Galaxy 3500: Unacceptable input frequency</t>
  </si>
  <si>
    <t>APC UPS Galaxy 3500: 不可接受的输入频率</t>
  </si>
  <si>
    <t>(2796/149)</t>
  </si>
  <si>
    <t>18582</t>
  </si>
  <si>
    <t>APC UPS Galaxy 3500: Unacceptable input voltage</t>
  </si>
  <si>
    <t>APC UPS Galaxy 3500: 不可接受的输入电压</t>
  </si>
  <si>
    <t>(2796/150)</t>
  </si>
  <si>
    <t>APC UPS Galaxy 3500: Output load is high</t>
  </si>
  <si>
    <t>APC UPS Galaxy 3500: 输出负载高了</t>
  </si>
  <si>
    <t>(2796/151)</t>
  </si>
  <si>
    <t>APC UPS Galaxy 3500: UPS is Emergency Static Bypass</t>
  </si>
  <si>
    <t>APC UPS Galaxy 3500: UPS为紧急静态旁路</t>
  </si>
  <si>
    <t>(2796/152)</t>
  </si>
  <si>
    <t>18585</t>
  </si>
  <si>
    <t>APC UPS Galaxy 3500: UPS is Hardware Failure Bypass</t>
  </si>
  <si>
    <t>APC UPS Galaxy 3500: UPS为硬件故障旁路</t>
  </si>
  <si>
    <t>(2796/153)</t>
  </si>
  <si>
    <t>18586</t>
  </si>
  <si>
    <t>APC UPS Galaxy 3500: UPS is Off</t>
  </si>
  <si>
    <t>APC UPS Galaxy 3500: UPS关闭</t>
  </si>
  <si>
    <t>(2796/154)</t>
  </si>
  <si>
    <t>18587</t>
  </si>
  <si>
    <t>APC UPS Galaxy 3500: UPS is on battery</t>
  </si>
  <si>
    <t>APC UPS Galaxy 3500: UPS处于使用率电池状态</t>
  </si>
  <si>
    <t>(2796/155)</t>
  </si>
  <si>
    <t>18588</t>
  </si>
  <si>
    <t>APC UPS Galaxy 3500: UPS is on Smart Boost</t>
  </si>
  <si>
    <t>APC UPS Galaxy 3500: UPS处于SmartBoost状态</t>
  </si>
  <si>
    <t>(2796/156)</t>
  </si>
  <si>
    <t>18589</t>
  </si>
  <si>
    <t>APC UPS Galaxy 3500: UPS is On Smart Trim</t>
  </si>
  <si>
    <t>APC UPS Galaxy 3500: UPS处于智能微调状态</t>
  </si>
  <si>
    <t>(2796/157)</t>
  </si>
  <si>
    <t>18590</t>
  </si>
  <si>
    <t>APC UPS Galaxy 3500: UPS is Rebooting</t>
  </si>
  <si>
    <t>APC UPS Galaxy 3500: UPS正在重新启动</t>
  </si>
  <si>
    <t>(2796/158)</t>
  </si>
  <si>
    <t>18591</t>
  </si>
  <si>
    <t>APC UPS Galaxy 3500: UPS is Sleeping Until Power Return</t>
  </si>
  <si>
    <t>APC UPS Galaxy 3500: UPS正在休眠直到电源恢复</t>
  </si>
  <si>
    <t>(2796/159)</t>
  </si>
  <si>
    <t>18592</t>
  </si>
  <si>
    <t>APC UPS Galaxy 3500: UPS is Software Bypass</t>
  </si>
  <si>
    <t>APC UPS Galaxy 3500: UPS为软件旁路</t>
  </si>
  <si>
    <t>(2796/160)</t>
  </si>
  <si>
    <t>18593</t>
  </si>
  <si>
    <t>APC UPS Galaxy 3500: UPS is Switched Bypass</t>
  </si>
  <si>
    <t>APC UPS Galaxy 3500: UPS为切换旁路</t>
  </si>
  <si>
    <t>(2796/161)</t>
  </si>
  <si>
    <t>18594</t>
  </si>
  <si>
    <t>APC UPS Galaxy 3500: UPS is Timed Sleeping</t>
  </si>
  <si>
    <t>APC UPS Galaxy 3500: UPS处于定时睡眠状态</t>
  </si>
  <si>
    <t>(2796/162)</t>
  </si>
  <si>
    <t>APC UPS Galaxy 3500: No SNMP data collection</t>
  </si>
  <si>
    <t>APC UPS Galaxy 3500: 无SNMP数据收集</t>
  </si>
  <si>
    <t>(2796/163)</t>
  </si>
  <si>
    <t>18595</t>
  </si>
  <si>
    <t>APC UPS Galaxy 3500: System name has changed</t>
  </si>
  <si>
    <t>APC UPS Galaxy 3500: 系统名称已变更</t>
  </si>
  <si>
    <t>(2796/164)</t>
  </si>
  <si>
    <t>APC UPS Galaxy 3500: Host has been restarted</t>
  </si>
  <si>
    <t>APC UPS Galaxy 3500: 主机已重新启动</t>
  </si>
  <si>
    <t>(2796/165)</t>
  </si>
  <si>
    <t>APC UPS Symmetra LX by SNMP</t>
  </si>
  <si>
    <t>18811</t>
  </si>
  <si>
    <t>APC UPS Symmetra LX: Battery has low capacity</t>
  </si>
  <si>
    <t>APC UPS Symmetra LX: 电池容量低</t>
  </si>
  <si>
    <t>(2796/166)</t>
  </si>
  <si>
    <t>18812</t>
  </si>
  <si>
    <t>APC UPS Symmetra LX: Battery needs replacement</t>
  </si>
  <si>
    <t>APC UPS Symmetra LX: 电池需要更换</t>
  </si>
  <si>
    <t>(2796/167)</t>
  </si>
  <si>
    <t>18813</t>
  </si>
  <si>
    <t>APC UPS Symmetra LX: Battery has an internal error condition</t>
  </si>
  <si>
    <t>APC UPS Symmetra LX: 电池存在内部错误状况</t>
  </si>
  <si>
    <t>(2796/168)</t>
  </si>
  <si>
    <t>18814</t>
  </si>
  <si>
    <t>APC UPS Symmetra LX: Battery is Low</t>
  </si>
  <si>
    <t>APC UPS Symmetra LX: 电池电量不足</t>
  </si>
  <si>
    <t>(2796/169)</t>
  </si>
  <si>
    <t>18815</t>
  </si>
  <si>
    <t>APC UPS Symmetra LX: Battery has high temperature</t>
  </si>
  <si>
    <t>APC UPS Symmetra LX: 电池温度高</t>
  </si>
  <si>
    <t>(2796/170)</t>
  </si>
  <si>
    <t>18816</t>
  </si>
  <si>
    <t>APC UPS Symmetra LX: Unacceptable input frequency</t>
  </si>
  <si>
    <t>APC UPS Symmetra LX: 不可接受的输入频率</t>
  </si>
  <si>
    <t>(2796/171)</t>
  </si>
  <si>
    <t>18817</t>
  </si>
  <si>
    <t>APC UPS Symmetra LX: Unacceptable input voltage</t>
  </si>
  <si>
    <t>APC UPS Symmetra LX: 不可接受的输入电压</t>
  </si>
  <si>
    <t>(2796/172)</t>
  </si>
  <si>
    <t>18818</t>
  </si>
  <si>
    <t>APC UPS Symmetra LX: Output load is high</t>
  </si>
  <si>
    <t>APC UPS Symmetra LX: 输出负载高了</t>
  </si>
  <si>
    <t>(2796/173)</t>
  </si>
  <si>
    <t>18819</t>
  </si>
  <si>
    <t>APC UPS Symmetra LX: UPS is Emergency Static Bypass</t>
  </si>
  <si>
    <t>APC UPS Symmetra LX: UPS为紧急静态旁路</t>
  </si>
  <si>
    <t>(2796/174)</t>
  </si>
  <si>
    <t>18820</t>
  </si>
  <si>
    <t>APC UPS Symmetra LX: UPS is Hardware Failure Bypass</t>
  </si>
  <si>
    <t>APC UPS Symmetra LX: UPS为硬件故障旁路</t>
  </si>
  <si>
    <t>(2796/175)</t>
  </si>
  <si>
    <t>18821</t>
  </si>
  <si>
    <t>APC UPS Symmetra LX: UPS is Off</t>
  </si>
  <si>
    <t>APC UPS Symmetra LX: UPS关闭</t>
  </si>
  <si>
    <t>(2796/176)</t>
  </si>
  <si>
    <t>18822</t>
  </si>
  <si>
    <t>APC UPS Symmetra LX: UPS is on battery</t>
  </si>
  <si>
    <t>APC UPS Symmetra LX: UPS处于使用率电池状态</t>
  </si>
  <si>
    <t>(2796/177)</t>
  </si>
  <si>
    <t>18823</t>
  </si>
  <si>
    <t>APC UPS Symmetra LX: UPS is on Smart Boost</t>
  </si>
  <si>
    <t>APC UPS Symmetra LX: UPS处于SmartBoost状态</t>
  </si>
  <si>
    <t>(2796/178)</t>
  </si>
  <si>
    <t>18824</t>
  </si>
  <si>
    <t>APC UPS Symmetra LX: UPS is On Smart Trim</t>
  </si>
  <si>
    <t>APC UPS Symmetra LX: UPS处于智能微调状态</t>
  </si>
  <si>
    <t>(2796/179)</t>
  </si>
  <si>
    <t>18825</t>
  </si>
  <si>
    <t>APC UPS Symmetra LX: UPS is Rebooting</t>
  </si>
  <si>
    <t>APC UPS Symmetra LX: UPS正在重新启动</t>
  </si>
  <si>
    <t>(2796/180)</t>
  </si>
  <si>
    <t>18826</t>
  </si>
  <si>
    <t>APC UPS Symmetra LX: UPS is Sleeping Until Power Return</t>
  </si>
  <si>
    <t>APC UPS Symmetra LX: UPS正在休眠直到电源恢复</t>
  </si>
  <si>
    <t>(2796/181)</t>
  </si>
  <si>
    <t>18827</t>
  </si>
  <si>
    <t>APC UPS Symmetra LX: UPS is Software Bypass</t>
  </si>
  <si>
    <t>APC UPS Symmetra LX: UPS为软件旁路</t>
  </si>
  <si>
    <t>(2796/182)</t>
  </si>
  <si>
    <t>18828</t>
  </si>
  <si>
    <t>APC UPS Symmetra LX: UPS is Switched Bypass</t>
  </si>
  <si>
    <t>APC UPS Symmetra LX: UPS为切换旁路</t>
  </si>
  <si>
    <t>(2796/183)</t>
  </si>
  <si>
    <t>18829</t>
  </si>
  <si>
    <t>APC UPS Symmetra LX: UPS is Timed Sleeping</t>
  </si>
  <si>
    <t>APC UPS Symmetra LX: UPS处于定时睡眠状态</t>
  </si>
  <si>
    <t>(2796/184)</t>
  </si>
  <si>
    <t>18832</t>
  </si>
  <si>
    <t>APC UPS Symmetra LX: No SNMP data collection</t>
  </si>
  <si>
    <t>APC UPS Symmetra LX: 无SNMP数据收集</t>
  </si>
  <si>
    <t>(2796/185)</t>
  </si>
  <si>
    <t>18830</t>
  </si>
  <si>
    <t>APC UPS Symmetra LX: System name has changed</t>
  </si>
  <si>
    <t>APC UPS Symmetra LX: 系统名称已变更</t>
  </si>
  <si>
    <t>(2796/186)</t>
  </si>
  <si>
    <t>18831</t>
  </si>
  <si>
    <t>APC UPS Symmetra LX: Host has been restarted</t>
  </si>
  <si>
    <t>APC UPS Symmetra LX: 主机已重新启动</t>
  </si>
  <si>
    <t>(2796/187)</t>
  </si>
  <si>
    <t>APC UPS Symmetra RM by SNMP</t>
  </si>
  <si>
    <t>18844</t>
  </si>
  <si>
    <t>APC UPS Symmetra RM: Battery has low capacity</t>
  </si>
  <si>
    <t>APC UPS Symmetra RM: 电池容量低</t>
  </si>
  <si>
    <t>(2796/188)</t>
  </si>
  <si>
    <t>18845</t>
  </si>
  <si>
    <t>APC UPS Symmetra RM: Battery needs replacement</t>
  </si>
  <si>
    <t>APC UPS Symmetra RM: 电池需要更换</t>
  </si>
  <si>
    <t>(2796/189)</t>
  </si>
  <si>
    <t>18846</t>
  </si>
  <si>
    <t>APC UPS Symmetra RM: Battery has an internal error condition</t>
  </si>
  <si>
    <t>APC UPS Symmetra RM: 电池存在内部错误状况</t>
  </si>
  <si>
    <t>(2796/190)</t>
  </si>
  <si>
    <t>18847</t>
  </si>
  <si>
    <t>APC UPS Symmetra RM: Battery is Low</t>
  </si>
  <si>
    <t>APC UPS Symmetra RM: 电池电量不足</t>
  </si>
  <si>
    <t>(2796/191)</t>
  </si>
  <si>
    <t>18848</t>
  </si>
  <si>
    <t>APC UPS Symmetra RM: Battery has high temperature</t>
  </si>
  <si>
    <t>APC UPS Symmetra RM: 电池温度高</t>
  </si>
  <si>
    <t>(2796/192)</t>
  </si>
  <si>
    <t>18849</t>
  </si>
  <si>
    <t>APC UPS Symmetra RM: Unacceptable input frequency</t>
  </si>
  <si>
    <t>APC UPS Symmetra RM: 不可接受的输入频率</t>
  </si>
  <si>
    <t>(2796/193)</t>
  </si>
  <si>
    <t>18850</t>
  </si>
  <si>
    <t>APC UPS Symmetra RM: Unacceptable input voltage</t>
  </si>
  <si>
    <t>APC UPS Symmetra RM: 不可接受的输入电压</t>
  </si>
  <si>
    <t>(2796/194)</t>
  </si>
  <si>
    <t>18851</t>
  </si>
  <si>
    <t>APC UPS Symmetra RM: Output load is high</t>
  </si>
  <si>
    <t>APC UPS Symmetra RM: 输出负载高了</t>
  </si>
  <si>
    <t>(2796/195)</t>
  </si>
  <si>
    <t>18852</t>
  </si>
  <si>
    <t>APC UPS Symmetra RM: UPS is Emergency Static Bypass</t>
  </si>
  <si>
    <t>APC UPS Symmetra RM: UPS为紧急静态旁路</t>
  </si>
  <si>
    <t>(2796/196)</t>
  </si>
  <si>
    <t>18853</t>
  </si>
  <si>
    <t>APC UPS Symmetra RM: UPS is Hardware Failure Bypass</t>
  </si>
  <si>
    <t>APC UPS Symmetra RM: UPS为硬件故障旁路</t>
  </si>
  <si>
    <t>(2796/197)</t>
  </si>
  <si>
    <t>18854</t>
  </si>
  <si>
    <t>APC UPS Symmetra RM: UPS is Off</t>
  </si>
  <si>
    <t>APC UPS Symmetra RM: UPS关闭</t>
  </si>
  <si>
    <t>(2796/198)</t>
  </si>
  <si>
    <t>18855</t>
  </si>
  <si>
    <t>APC UPS Symmetra RM: UPS is on battery</t>
  </si>
  <si>
    <t>APC UPS Symmetra RM: UPS处于使用率电池状态</t>
  </si>
  <si>
    <t>(2796/199)</t>
  </si>
  <si>
    <t>18856</t>
  </si>
  <si>
    <t>APC UPS Symmetra RM: UPS is on Smart Boost</t>
  </si>
  <si>
    <t>APC UPS Symmetra RM: UPS处于SmartBoost状态</t>
  </si>
  <si>
    <t>(2796/200)</t>
  </si>
  <si>
    <t>18857</t>
  </si>
  <si>
    <t>APC UPS Symmetra RM: UPS is On Smart Trim</t>
  </si>
  <si>
    <t>APC UPS Symmetra RM: UPS处于智能微调状态</t>
  </si>
  <si>
    <t>(2796/201)</t>
  </si>
  <si>
    <t>18858</t>
  </si>
  <si>
    <t>APC UPS Symmetra RM: UPS is Rebooting</t>
  </si>
  <si>
    <t>APC UPS Symmetra RM: UPS正在重新启动</t>
  </si>
  <si>
    <t>(2796/202)</t>
  </si>
  <si>
    <t>18859</t>
  </si>
  <si>
    <t>APC UPS Symmetra RM: UPS is Sleeping Until Power Return</t>
  </si>
  <si>
    <t>APC UPS Symmetra RM: UPS正在休眠直到电源恢复</t>
  </si>
  <si>
    <t>(2796/203)</t>
  </si>
  <si>
    <t>18860</t>
  </si>
  <si>
    <t>APC UPS Symmetra RM: UPS is Software Bypass</t>
  </si>
  <si>
    <t>APC UPS Symmetra RM: UPS为软件旁路</t>
  </si>
  <si>
    <t>(2796/204)</t>
  </si>
  <si>
    <t>18861</t>
  </si>
  <si>
    <t>APC UPS Symmetra RM: UPS is Switched Bypass</t>
  </si>
  <si>
    <t>APC UPS Symmetra RM: UPS为切换旁路</t>
  </si>
  <si>
    <t>(2796/205)</t>
  </si>
  <si>
    <t>18862</t>
  </si>
  <si>
    <t>APC UPS Symmetra RM: UPS is Timed Sleeping</t>
  </si>
  <si>
    <t>APC UPS Symmetra RM: UPS处于定时睡眠状态</t>
  </si>
  <si>
    <t>(2796/206)</t>
  </si>
  <si>
    <t>18865</t>
  </si>
  <si>
    <t>APC UPS Symmetra RM: No SNMP data collection</t>
  </si>
  <si>
    <t>APC UPS Symmetra RM: 无SNMP数据收集</t>
  </si>
  <si>
    <t>(2796/207)</t>
  </si>
  <si>
    <t>18863</t>
  </si>
  <si>
    <t>APC UPS Symmetra RM: System name has changed</t>
  </si>
  <si>
    <t>APC UPS Symmetra RM: 系统名称已变更</t>
  </si>
  <si>
    <t>(2796/208)</t>
  </si>
  <si>
    <t>18864</t>
  </si>
  <si>
    <t>APC UPS Symmetra RM: Host has been restarted</t>
  </si>
  <si>
    <t>APC UPS Symmetra RM: 主机已重新启动</t>
  </si>
  <si>
    <t>(2796/209)</t>
  </si>
  <si>
    <t>APC UPS Symmetra RX by SNMP</t>
  </si>
  <si>
    <t>18877</t>
  </si>
  <si>
    <t>APC UPS Symmetra RX: Battery has low capacity</t>
  </si>
  <si>
    <t>APC UPS Symmetra RX: 电池容量低</t>
  </si>
  <si>
    <t>(2796/210)</t>
  </si>
  <si>
    <t>18878</t>
  </si>
  <si>
    <t>APC UPS Symmetra RX: Battery needs replacement</t>
  </si>
  <si>
    <t>APC UPS Symmetra RX: 电池需要更换</t>
  </si>
  <si>
    <t>(2796/211)</t>
  </si>
  <si>
    <t>18879</t>
  </si>
  <si>
    <t>APC UPS Symmetra RX: Battery has an internal error condition</t>
  </si>
  <si>
    <t>APC UPS Symmetra RX: 电池存在内部错误状况</t>
  </si>
  <si>
    <t>(2796/212)</t>
  </si>
  <si>
    <t>18880</t>
  </si>
  <si>
    <t>APC UPS Symmetra RX: Battery is Low</t>
  </si>
  <si>
    <t>APC UPS Symmetra RX: 电池电量不足</t>
  </si>
  <si>
    <t>(2796/213)</t>
  </si>
  <si>
    <t>18881</t>
  </si>
  <si>
    <t>APC UPS Symmetra RX: Battery has high temperature</t>
  </si>
  <si>
    <t>APC UPS Symmetra RX: 电池温度高</t>
  </si>
  <si>
    <t>(2796/214)</t>
  </si>
  <si>
    <t>18882</t>
  </si>
  <si>
    <t>APC UPS Symmetra RX: Unacceptable input frequency</t>
  </si>
  <si>
    <t>APC UPS Symmetra RX: 不可接受的输入频率</t>
  </si>
  <si>
    <t>(2796/215)</t>
  </si>
  <si>
    <t>18883</t>
  </si>
  <si>
    <t>APC UPS Symmetra RX: Unacceptable input voltage</t>
  </si>
  <si>
    <t>APC UPS Symmetra RX: 不可接受的输入电压</t>
  </si>
  <si>
    <t>(2796/216)</t>
  </si>
  <si>
    <t>18884</t>
  </si>
  <si>
    <t>APC UPS Symmetra RX: Output load is high</t>
  </si>
  <si>
    <t>APC UPS Symmetra RX: 输出负载高了</t>
  </si>
  <si>
    <t>(2796/217)</t>
  </si>
  <si>
    <t>18885</t>
  </si>
  <si>
    <t>APC UPS Symmetra RX: UPS is Emergency Static Bypass</t>
  </si>
  <si>
    <t>APC UPS Symmetra RX: UPS为紧急静态旁路</t>
  </si>
  <si>
    <t>(2796/218)</t>
  </si>
  <si>
    <t>18886</t>
  </si>
  <si>
    <t>APC UPS Symmetra RX: UPS is Hardware Failure Bypass</t>
  </si>
  <si>
    <t>APC UPS Symmetra RX: UPS为硬件故障旁路</t>
  </si>
  <si>
    <t>(2796/219)</t>
  </si>
  <si>
    <t>18887</t>
  </si>
  <si>
    <t>APC UPS Symmetra RX: UPS is Off</t>
  </si>
  <si>
    <t>APC UPS Symmetra RX: UPS关闭</t>
  </si>
  <si>
    <t>(2796/220)</t>
  </si>
  <si>
    <t>18888</t>
  </si>
  <si>
    <t>APC UPS Symmetra RX: UPS is on battery</t>
  </si>
  <si>
    <t>APC UPS Symmetra RX: UPS处于使用率电池状态</t>
  </si>
  <si>
    <t>(2796/221)</t>
  </si>
  <si>
    <t>18889</t>
  </si>
  <si>
    <t>APC UPS Symmetra RX: UPS is on Smart Boost</t>
  </si>
  <si>
    <t>APC UPS Symmetra RX: UPS处于SmartBoost状态</t>
  </si>
  <si>
    <t>(2796/222)</t>
  </si>
  <si>
    <t>18890</t>
  </si>
  <si>
    <t>APC UPS Symmetra RX: UPS is On Smart Trim</t>
  </si>
  <si>
    <t>APC UPS Symmetra RX: UPS处于智能微调状态</t>
  </si>
  <si>
    <t>(2796/223)</t>
  </si>
  <si>
    <t>18891</t>
  </si>
  <si>
    <t>APC UPS Symmetra RX: UPS is Rebooting</t>
  </si>
  <si>
    <t>APC UPS Symmetra RX: UPS正在重新启动</t>
  </si>
  <si>
    <t>(2796/224)</t>
  </si>
  <si>
    <t>18892</t>
  </si>
  <si>
    <t>APC UPS Symmetra RX: UPS is Sleeping Until Power Return</t>
  </si>
  <si>
    <t>APC UPS Symmetra RX: UPS正在休眠直到电源恢复</t>
  </si>
  <si>
    <t>(2796/225)</t>
  </si>
  <si>
    <t>18893</t>
  </si>
  <si>
    <t>APC UPS Symmetra RX: UPS is Software Bypass</t>
  </si>
  <si>
    <t>APC UPS Symmetra RX: UPS为软件旁路</t>
  </si>
  <si>
    <t>(2796/226)</t>
  </si>
  <si>
    <t>18894</t>
  </si>
  <si>
    <t>APC UPS Symmetra RX: UPS is Switched Bypass</t>
  </si>
  <si>
    <t>APC UPS Symmetra RX: UPS为切换旁路</t>
  </si>
  <si>
    <t>(2796/227)</t>
  </si>
  <si>
    <t>18895</t>
  </si>
  <si>
    <t>APC UPS Symmetra RX: UPS is Timed Sleeping</t>
  </si>
  <si>
    <t>APC UPS Symmetra RX: UPS处于定时睡眠状态</t>
  </si>
  <si>
    <t>(2796/228)</t>
  </si>
  <si>
    <t>18898</t>
  </si>
  <si>
    <t>APC UPS Symmetra RX: No SNMP data collection</t>
  </si>
  <si>
    <t>APC UPS Symmetra RX: 无SNMP数据收集</t>
  </si>
  <si>
    <t>(2796/229)</t>
  </si>
  <si>
    <t>18896</t>
  </si>
  <si>
    <t>APC UPS Symmetra RX: System name has changed</t>
  </si>
  <si>
    <t>APC UPS Symmetra RX: 系统名称已变更</t>
  </si>
  <si>
    <t>(2796/230)</t>
  </si>
  <si>
    <t>18897</t>
  </si>
  <si>
    <t>APC UPS Symmetra RX: Host has been restarted</t>
  </si>
  <si>
    <t>APC UPS Symmetra RX: 主机已重新启动</t>
  </si>
  <si>
    <t>(2796/231)</t>
  </si>
  <si>
    <t>APC UPS by SNMP</t>
  </si>
  <si>
    <t>18807</t>
  </si>
  <si>
    <t>APC UPS: Battery has low capacity</t>
  </si>
  <si>
    <t>APC UPS: 电池容量低</t>
  </si>
  <si>
    <t>(2796/232)</t>
  </si>
  <si>
    <t>APC UPS: Battery needs replacement</t>
  </si>
  <si>
    <t>APC UPS: 电池需要更换</t>
  </si>
  <si>
    <t>(2796/233)</t>
  </si>
  <si>
    <t>18474</t>
  </si>
  <si>
    <t>APC UPS: Battery has an internal error condition</t>
  </si>
  <si>
    <t>APC UPS: 电池存在内部错误状况</t>
  </si>
  <si>
    <t>(2796/234)</t>
  </si>
  <si>
    <t>18475</t>
  </si>
  <si>
    <t>APC UPS: Battery is Low</t>
  </si>
  <si>
    <t>APC UPS: 电池电量不足</t>
  </si>
  <si>
    <t>(2796/235)</t>
  </si>
  <si>
    <t>18476</t>
  </si>
  <si>
    <t>APC UPS: Battery has high temperature</t>
  </si>
  <si>
    <t>APC UPS: 电池温度高</t>
  </si>
  <si>
    <t>(2796/236)</t>
  </si>
  <si>
    <t>18480</t>
  </si>
  <si>
    <t>APC UPS: Unacceptable input frequency</t>
  </si>
  <si>
    <t>APC UPS: 不可接受的输入频率</t>
  </si>
  <si>
    <t>(2796/237)</t>
  </si>
  <si>
    <t>18481</t>
  </si>
  <si>
    <t>APC UPS: Unacceptable input voltage</t>
  </si>
  <si>
    <t>APC UPS: 不可接受的输入电压</t>
  </si>
  <si>
    <t>(2796/238)</t>
  </si>
  <si>
    <t>18482</t>
  </si>
  <si>
    <t>APC UPS: Output load is high</t>
  </si>
  <si>
    <t>APC UPS: 输出负载高了</t>
  </si>
  <si>
    <t>(2796/239)</t>
  </si>
  <si>
    <t>18483</t>
  </si>
  <si>
    <t>APC UPS: UPS is Emergency Static Bypass</t>
  </si>
  <si>
    <t>APC UPS: UPS为紧急静态旁路</t>
  </si>
  <si>
    <t>(2796/240)</t>
  </si>
  <si>
    <t>18484</t>
  </si>
  <si>
    <t>APC UPS: UPS is Hardware Failure Bypass</t>
  </si>
  <si>
    <t>APC UPS: UPS为硬件故障旁路</t>
  </si>
  <si>
    <t>(2796/241)</t>
  </si>
  <si>
    <t>APC UPS: UPS is Off</t>
  </si>
  <si>
    <t>APC UPS: UPS关闭</t>
  </si>
  <si>
    <t>(2796/242)</t>
  </si>
  <si>
    <t>18486</t>
  </si>
  <si>
    <t>APC UPS: UPS is on battery</t>
  </si>
  <si>
    <t>APC UPS: UPS处于使用率电池状态</t>
  </si>
  <si>
    <t>(2796/243)</t>
  </si>
  <si>
    <t>18487</t>
  </si>
  <si>
    <t>APC UPS: UPS is on Smart Boost</t>
  </si>
  <si>
    <t>APC UPS: UPS处于SmartBoost状态</t>
  </si>
  <si>
    <t>(2796/244)</t>
  </si>
  <si>
    <t>APC UPS: UPS is On Smart Trim</t>
  </si>
  <si>
    <t>APC UPS: UPS处于智能微调状态</t>
  </si>
  <si>
    <t>(2796/245)</t>
  </si>
  <si>
    <t>APC UPS: UPS is Rebooting</t>
  </si>
  <si>
    <t>APC UPS: UPS正在重新启动</t>
  </si>
  <si>
    <t>(2796/246)</t>
  </si>
  <si>
    <t>APC UPS: UPS is Sleeping Until Power Return</t>
  </si>
  <si>
    <t>APC UPS: UPS正在休眠直到电源恢复</t>
  </si>
  <si>
    <t>(2796/247)</t>
  </si>
  <si>
    <t>APC UPS: UPS is Software Bypass</t>
  </si>
  <si>
    <t>APC UPS: UPS为软件旁路</t>
  </si>
  <si>
    <t>(2796/248)</t>
  </si>
  <si>
    <t>APC UPS: UPS is Switched Bypass</t>
  </si>
  <si>
    <t>APC UPS: UPS为切换旁路</t>
  </si>
  <si>
    <t>(2796/249)</t>
  </si>
  <si>
    <t>18493</t>
  </si>
  <si>
    <t>APC UPS: UPS is Timed Sleeping</t>
  </si>
  <si>
    <t>APC UPS: UPS处于定时睡眠状态</t>
  </si>
  <si>
    <t>(2796/250)</t>
  </si>
  <si>
    <t>APC UPS: No SNMP data collection</t>
  </si>
  <si>
    <t>APC UPS: 无SNMP数据收集</t>
  </si>
  <si>
    <t>(2796/251)</t>
  </si>
  <si>
    <t>18808</t>
  </si>
  <si>
    <t>APC UPS: System name has changed</t>
  </si>
  <si>
    <t>APC UPS: 系统名称已变更</t>
  </si>
  <si>
    <t>(2796/252)</t>
  </si>
  <si>
    <t>18495</t>
  </si>
  <si>
    <t>APC UPS: Host has been restarted</t>
  </si>
  <si>
    <t>APC UPS: 主机已重新启动</t>
  </si>
  <si>
    <t>(2796/253)</t>
  </si>
  <si>
    <t>AWS EC2 by HTTP</t>
  </si>
  <si>
    <t>22976</t>
  </si>
  <si>
    <t>AWS EC2: High CPU utilization</t>
  </si>
  <si>
    <t>AWS EC2: 高CPU利用率</t>
  </si>
  <si>
    <t>(2796/254)</t>
  </si>
  <si>
    <t>22974</t>
  </si>
  <si>
    <t>AWS EC2: Instance CPU Credit balance is too low</t>
  </si>
  <si>
    <t>AWS EC2: 实例CPU信贷余额太低</t>
  </si>
  <si>
    <t>(2796/255)</t>
  </si>
  <si>
    <t>22975</t>
  </si>
  <si>
    <t>AWS EC2: Instance has spent too many CPU surplus credits</t>
  </si>
  <si>
    <t>AWS EC2: 实例花费了太多CPU剩余积分</t>
  </si>
  <si>
    <t>(2796/256)</t>
  </si>
  <si>
    <t>22977</t>
  </si>
  <si>
    <t>AWS EC2: Byte Credit balance is too low</t>
  </si>
  <si>
    <t>AWS EC2: 字节信贷余额过低</t>
  </si>
  <si>
    <t>(2796/257)</t>
  </si>
  <si>
    <t>22978</t>
  </si>
  <si>
    <t>AWS EC2: I/O Credit balance is too low</t>
  </si>
  <si>
    <t>AWS EC2: I/O信贷余额过低</t>
  </si>
  <si>
    <t>(2796/258)</t>
  </si>
  <si>
    <t>22973</t>
  </si>
  <si>
    <t>AWS EC2: Failed to get alarms data</t>
  </si>
  <si>
    <t>AWS EC2: 无法获取报警数据</t>
  </si>
  <si>
    <t>(2796/259)</t>
  </si>
  <si>
    <t>22979</t>
  </si>
  <si>
    <t>AWS EC2: Failed to get metrics data</t>
  </si>
  <si>
    <t>AWS EC2: 无法获取指标数据</t>
  </si>
  <si>
    <t>(2796/260)</t>
  </si>
  <si>
    <t>22982</t>
  </si>
  <si>
    <t>AWS EC2: Failed to get volumes info</t>
  </si>
  <si>
    <t>AWS EC2: 无法获取卷信息</t>
  </si>
  <si>
    <t>(2796/261)</t>
  </si>
  <si>
    <t>22980</t>
  </si>
  <si>
    <t>AWS EC2: Instance status check failed</t>
  </si>
  <si>
    <t>AWS EC2: 实例状态检查失败</t>
  </si>
  <si>
    <t>(2796/262)</t>
  </si>
  <si>
    <t>22981</t>
  </si>
  <si>
    <t>AWS EC2: System status check failed</t>
  </si>
  <si>
    <t>AWS EC2: 系统状态检查失败</t>
  </si>
  <si>
    <t>(2796/263)</t>
  </si>
  <si>
    <t>AWS ECS Cluster by HTTP</t>
  </si>
  <si>
    <t>23204</t>
  </si>
  <si>
    <t>AWS ECS Cluster: High CPU utilization</t>
  </si>
  <si>
    <t>AWS ECS Cluster: CPU利用率高</t>
  </si>
  <si>
    <t>(2796/264)</t>
  </si>
  <si>
    <t>23203</t>
  </si>
  <si>
    <t>AWS ECS Cluster: Failed to get alarms data</t>
  </si>
  <si>
    <t>AWS ECS Cluster: 无法获取告警数据</t>
  </si>
  <si>
    <t>(2796/265)</t>
  </si>
  <si>
    <t>23206</t>
  </si>
  <si>
    <t>AWS ECS Cluster: Failed to get metrics data</t>
  </si>
  <si>
    <t>AWS ECS Cluster: 无法获取指标数据</t>
  </si>
  <si>
    <t>(2796/266)</t>
  </si>
  <si>
    <t>23205</t>
  </si>
  <si>
    <t>AWS ECS Cluster: High memory utilization</t>
  </si>
  <si>
    <t>AWS ECS Cluster: 内存利用率高</t>
  </si>
  <si>
    <t>(2796/267)</t>
  </si>
  <si>
    <t>AWS ECS Serverless Cluster by HTTP</t>
  </si>
  <si>
    <t>23212</t>
  </si>
  <si>
    <t>(2796/268)</t>
  </si>
  <si>
    <t>23211</t>
  </si>
  <si>
    <t>(2796/269)</t>
  </si>
  <si>
    <t>23214</t>
  </si>
  <si>
    <t>(2796/270)</t>
  </si>
  <si>
    <t>23213</t>
  </si>
  <si>
    <t>(2796/271)</t>
  </si>
  <si>
    <t>AWS ELB Application Load Balancer by HTTP</t>
  </si>
  <si>
    <t>23436</t>
  </si>
  <si>
    <t>AWS ELB ALB: Too many HTTP 4XX error codes</t>
  </si>
  <si>
    <t>AWS ELB ALB: HTTP 4XX错误代码过多</t>
  </si>
  <si>
    <t>(2796/272)</t>
  </si>
  <si>
    <t>23437</t>
  </si>
  <si>
    <t>AWS ELB ALB: Too many HTTP 5XX error codes</t>
  </si>
  <si>
    <t>AWS ELB ALB: HTTP 5XX错误代码过多</t>
  </si>
  <si>
    <t>(2796/273)</t>
  </si>
  <si>
    <t>23435</t>
  </si>
  <si>
    <t>AWS ELB ALB: Failed to get alarms data</t>
  </si>
  <si>
    <t>AWS ELB ALB: 获取警报数据失败</t>
  </si>
  <si>
    <t>(2796/274)</t>
  </si>
  <si>
    <t>23438</t>
  </si>
  <si>
    <t>AWS ELB ALB: Failed to get metrics data</t>
  </si>
  <si>
    <t>AWS ELB ALB: 获取指标数据失败</t>
  </si>
  <si>
    <t>(2796/275)</t>
  </si>
  <si>
    <t>AWS ELB Network Load Balancer by HTTP</t>
  </si>
  <si>
    <t>23567</t>
  </si>
  <si>
    <t>AWS ELB NLB: Failed to get alarms data</t>
  </si>
  <si>
    <t>AWS ELB NLB: 获取警报数据失败</t>
  </si>
  <si>
    <t>(2796/276)</t>
  </si>
  <si>
    <t>23568</t>
  </si>
  <si>
    <t>AWS ELB NLB: Failed to get metrics data</t>
  </si>
  <si>
    <t>AWS ELB NLB: 获取指标数据失败</t>
  </si>
  <si>
    <t>(2796/277)</t>
  </si>
  <si>
    <t>AWS Lambda by HTTP</t>
  </si>
  <si>
    <t>23606</t>
  </si>
  <si>
    <t>AWS Lambda: Failed to get alarms data</t>
  </si>
  <si>
    <t>AWS Lambda: 获取警报数据失败</t>
  </si>
  <si>
    <t>(2796/278)</t>
  </si>
  <si>
    <t>23607</t>
  </si>
  <si>
    <t>AWS Lambda: Failed to get metrics data</t>
  </si>
  <si>
    <t>AWS Lambda: 获取指标数据失败</t>
  </si>
  <si>
    <t>(2796/279)</t>
  </si>
  <si>
    <t>AWS RDS instance by HTTP</t>
  </si>
  <si>
    <t>22988</t>
  </si>
  <si>
    <t>AWS RDS: Burst balance is too low</t>
  </si>
  <si>
    <t>AWS RDS: 突发平衡过低</t>
  </si>
  <si>
    <t>(2796/280)</t>
  </si>
  <si>
    <t>22990</t>
  </si>
  <si>
    <t>AWS RDS: High CPU utilization</t>
  </si>
  <si>
    <t>AWS RDS: 高CPU利用率</t>
  </si>
  <si>
    <t>(2796/281)</t>
  </si>
  <si>
    <t>22989</t>
  </si>
  <si>
    <t>AWS RDS: Instance CPU Credit balance is too low</t>
  </si>
  <si>
    <t>AWS RDS: 实例CPU信贷余额过低</t>
  </si>
  <si>
    <t>(2796/282)</t>
  </si>
  <si>
    <t>22991</t>
  </si>
  <si>
    <t>AWS RDS: Byte Credit balance is too low</t>
  </si>
  <si>
    <t>AWS RDS: 字节信贷余额过低</t>
  </si>
  <si>
    <t>(2796/283)</t>
  </si>
  <si>
    <t>22992</t>
  </si>
  <si>
    <t>AWS RDS: I/O Credit balance is too low</t>
  </si>
  <si>
    <t>AWS RDS: I/O信贷余额过低</t>
  </si>
  <si>
    <t>(2796/284)</t>
  </si>
  <si>
    <t>22987</t>
  </si>
  <si>
    <t>AWS RDS: Failed to get alarms data</t>
  </si>
  <si>
    <t>AWS RDS: 无法获取报警数据</t>
  </si>
  <si>
    <t>(2796/285)</t>
  </si>
  <si>
    <t>22993</t>
  </si>
  <si>
    <t>AWS RDS: Failed to get events data</t>
  </si>
  <si>
    <t>AWS RDS: 无法获取事件数据</t>
  </si>
  <si>
    <t>(2796/286)</t>
  </si>
  <si>
    <t>22994</t>
  </si>
  <si>
    <t>AWS RDS: Failed to get instance data</t>
  </si>
  <si>
    <t>AWS RDS: 获取实例数据失败</t>
  </si>
  <si>
    <t>(2796/287)</t>
  </si>
  <si>
    <t>22995</t>
  </si>
  <si>
    <t>AWS RDS: Failed to get metrics data</t>
  </si>
  <si>
    <t>AWS RDS: 无法获取指标数据</t>
  </si>
  <si>
    <t>(2796/288)</t>
  </si>
  <si>
    <t>22996</t>
  </si>
  <si>
    <t>AWS RDS: Read replica in error state</t>
  </si>
  <si>
    <t>AWS RDS: 读取错误状态的副本</t>
  </si>
  <si>
    <t>(2796/289)</t>
  </si>
  <si>
    <t>AWS S3 bucket by HTTP</t>
  </si>
  <si>
    <t>22999</t>
  </si>
  <si>
    <t>AWS S3: Failed to get alarms data</t>
  </si>
  <si>
    <t>AWS S3: 无法获取报警数据</t>
  </si>
  <si>
    <t>(2796/290)</t>
  </si>
  <si>
    <t>23000</t>
  </si>
  <si>
    <t>AWS S3: Failed to get metrics data</t>
  </si>
  <si>
    <t>AWS S3: 无法获取指标数据</t>
  </si>
  <si>
    <t>(2796/291)</t>
  </si>
  <si>
    <t>Alcatel Timetra TiMOS by SNMP</t>
  </si>
  <si>
    <t>Alcatel Timetra TiMOS: High CPU utilization</t>
  </si>
  <si>
    <t>Alcatel Timetra TiMOS: 高CPU利用率</t>
  </si>
  <si>
    <t>(2796/292)</t>
  </si>
  <si>
    <t>21544</t>
  </si>
  <si>
    <t>Alcatel Timetra TiMOS: High ICMP ping loss</t>
  </si>
  <si>
    <t>Alcatel Timetra TiMOS: 高ICMPping丢失</t>
  </si>
  <si>
    <t>(2796/293)</t>
  </si>
  <si>
    <t>21543</t>
  </si>
  <si>
    <t>Alcatel Timetra TiMOS: Unavailable by ICMP ping</t>
  </si>
  <si>
    <t>Alcatel Timetra TiMOS: ICMPping不可用</t>
  </si>
  <si>
    <t>(2796/294)</t>
  </si>
  <si>
    <t>21545</t>
  </si>
  <si>
    <t>Alcatel Timetra TiMOS: High ICMP ping response time</t>
  </si>
  <si>
    <t>Alcatel Timetra TiMOS: 高ICMPping响应时间</t>
  </si>
  <si>
    <t>(2796/295)</t>
  </si>
  <si>
    <t>Alcatel Timetra TiMOS: High memory utilization</t>
  </si>
  <si>
    <t>Alcatel Timetra TiMOS: 高内存利用率</t>
  </si>
  <si>
    <t>(2796/296)</t>
  </si>
  <si>
    <t>Alcatel Timetra TiMOS: Operating system description has changed</t>
  </si>
  <si>
    <t>Alcatel Timetra TiMOS: 操作系统描述已变更</t>
  </si>
  <si>
    <t>(2796/297)</t>
  </si>
  <si>
    <t>21548</t>
  </si>
  <si>
    <t>Alcatel Timetra TiMOS: No SNMP data collection</t>
  </si>
  <si>
    <t>Alcatel Timetra TiMOS: 无SNMP数据收集</t>
  </si>
  <si>
    <t>(2796/298)</t>
  </si>
  <si>
    <t>21546</t>
  </si>
  <si>
    <t>Alcatel Timetra TiMOS: System name has changed</t>
  </si>
  <si>
    <t>Alcatel Timetra TiMOS: 系统名称已变更</t>
  </si>
  <si>
    <t>(2796/299)</t>
  </si>
  <si>
    <t>21547</t>
  </si>
  <si>
    <t>Alcatel Timetra TiMOS: Host has been restarted</t>
  </si>
  <si>
    <t>Alcatel Timetra TiMOS: 主机已重新启动</t>
  </si>
  <si>
    <t>(2796/300)</t>
  </si>
  <si>
    <t>Apache Cassandra by JMX</t>
  </si>
  <si>
    <t>Apache Cassandra: There are down nodes in cluster</t>
  </si>
  <si>
    <t>Apache Cassandra: 集群中有关闭的节点</t>
  </si>
  <si>
    <t>(2796/301)</t>
  </si>
  <si>
    <t>Apache Cassandra: Many pending tasks</t>
  </si>
  <si>
    <t>Apache Cassandra: 许多挂起任务</t>
  </si>
  <si>
    <t>(2796/302)</t>
  </si>
  <si>
    <t>Apache Cassandra: Too many pending tasks</t>
  </si>
  <si>
    <t>Apache Cassandra: 挂起的任务太多</t>
  </si>
  <si>
    <t>(2796/303)</t>
  </si>
  <si>
    <t>Apache Cassandra: Too many storage exceptions</t>
  </si>
  <si>
    <t>Apache Cassandra: 存储异常太多</t>
  </si>
  <si>
    <t>(2796/304)</t>
  </si>
  <si>
    <t>Apache Cassandra: Failed to fetch info data</t>
  </si>
  <si>
    <t>Apache Cassandra: 无法获取信息数据</t>
  </si>
  <si>
    <t>(2796/305)</t>
  </si>
  <si>
    <t>Apache Cassandra: Version has changed</t>
  </si>
  <si>
    <t>Apache Cassandra: 版本已变更</t>
  </si>
  <si>
    <t>(2796/306)</t>
  </si>
  <si>
    <t>Apache Kafka by JMX</t>
  </si>
  <si>
    <t>Kafka: Network processor average idle percent is too low</t>
  </si>
  <si>
    <t>Kafka: 网络处理器平均空闲百分比太低</t>
  </si>
  <si>
    <t>(2796/307)</t>
  </si>
  <si>
    <t>Kafka: Failed to fetch info data</t>
  </si>
  <si>
    <t>Kafka: 无法获取信息数据</t>
  </si>
  <si>
    <t>(2796/308)</t>
  </si>
  <si>
    <t>(2796/309)</t>
  </si>
  <si>
    <t>(2796/310)</t>
  </si>
  <si>
    <t>Kafka: Request handler average idle percent is too low</t>
  </si>
  <si>
    <t>Kafka: 请求处理程序平均空闲百分比太低</t>
  </si>
  <si>
    <t>(2796/311)</t>
  </si>
  <si>
    <t>(2796/312)</t>
  </si>
  <si>
    <t>(2796/313)</t>
  </si>
  <si>
    <t>(2796/314)</t>
  </si>
  <si>
    <t>Kafka: has been restarted</t>
  </si>
  <si>
    <t>Kafka: 已重新启动</t>
  </si>
  <si>
    <t>(2796/315)</t>
  </si>
  <si>
    <t>Kafka: Version has changed</t>
  </si>
  <si>
    <t>Kafka: 版本已变更</t>
  </si>
  <si>
    <t>(2796/316)</t>
  </si>
  <si>
    <t>(2796/317)</t>
  </si>
  <si>
    <t>Apache Tomcat by JMX</t>
  </si>
  <si>
    <t>(2796/318)</t>
  </si>
  <si>
    <t>Apache by HTTP</t>
  </si>
  <si>
    <t>Apache: Failed to fetch status page</t>
  </si>
  <si>
    <t>Apache: 无法获取状态页</t>
  </si>
  <si>
    <t>(2796/319)</t>
  </si>
  <si>
    <t>(2796/320)</t>
  </si>
  <si>
    <t>Apache: Service response time is too high</t>
  </si>
  <si>
    <t>Apache: 服务响应时间太长</t>
  </si>
  <si>
    <t>(2796/321)</t>
  </si>
  <si>
    <t>Apache: Host has been restarted</t>
  </si>
  <si>
    <t>Apache: 主机已重新启动</t>
  </si>
  <si>
    <t>(2796/322)</t>
  </si>
  <si>
    <t>Apache: Version has changed</t>
  </si>
  <si>
    <t>Apache: 版本已变更</t>
  </si>
  <si>
    <t>(2796/323)</t>
  </si>
  <si>
    <t>Apache by Zabbix agent</t>
  </si>
  <si>
    <t>(2796/324)</t>
  </si>
  <si>
    <t>(2796/325)</t>
  </si>
  <si>
    <t>(2796/326)</t>
  </si>
  <si>
    <t>(2796/327)</t>
  </si>
  <si>
    <t>(2796/328)</t>
  </si>
  <si>
    <t>(2796/329)</t>
  </si>
  <si>
    <t>Arista by SNMP</t>
  </si>
  <si>
    <t>21557</t>
  </si>
  <si>
    <t>Arista: High CPU utilization</t>
  </si>
  <si>
    <t>Arista: 高CPU利用率</t>
  </si>
  <si>
    <t>(2796/330)</t>
  </si>
  <si>
    <t>21555</t>
  </si>
  <si>
    <t>Arista: High ICMP ping loss</t>
  </si>
  <si>
    <t>Arista: 高ICMPping丢失</t>
  </si>
  <si>
    <t>(2796/331)</t>
  </si>
  <si>
    <t>21554</t>
  </si>
  <si>
    <t>Arista: Unavailable by ICMP ping</t>
  </si>
  <si>
    <t>Arista: ICMPping不可用</t>
  </si>
  <si>
    <t>(2796/332)</t>
  </si>
  <si>
    <t>21556</t>
  </si>
  <si>
    <t>Arista: High ICMP ping response time</t>
  </si>
  <si>
    <t>Arista: 高ICMPping响应时间</t>
  </si>
  <si>
    <t>(2796/333)</t>
  </si>
  <si>
    <t>21560</t>
  </si>
  <si>
    <t>Arista: No SNMP data collection</t>
  </si>
  <si>
    <t>Arista: 无SNMP数据收集</t>
  </si>
  <si>
    <t>(2796/334)</t>
  </si>
  <si>
    <t>21558</t>
  </si>
  <si>
    <t>Arista: System name has changed</t>
  </si>
  <si>
    <t>Arista: 系统名称已变更</t>
  </si>
  <si>
    <t>(2796/335)</t>
  </si>
  <si>
    <t>21559</t>
  </si>
  <si>
    <t>Arista: Host has been restarted</t>
  </si>
  <si>
    <t>Arista: 主机已重新启动</t>
  </si>
  <si>
    <t>(2796/336)</t>
  </si>
  <si>
    <t>Asterisk by HTTP</t>
  </si>
  <si>
    <t>19648</t>
  </si>
  <si>
    <t>Asterisk: Total number of active channels of IAX trunks is too high</t>
  </si>
  <si>
    <t>Asterisk: IAX干线的活动通道总数太高</t>
  </si>
  <si>
    <t>(2796/337)</t>
  </si>
  <si>
    <t>Asterisk: Total number of active channels of PJSIP trunks is too high</t>
  </si>
  <si>
    <t>Asterisk: PJSIP中继线的活动信道总数太高</t>
  </si>
  <si>
    <t>(2796/338)</t>
  </si>
  <si>
    <t>Asterisk: Service response time is too high</t>
  </si>
  <si>
    <t>Asterisk: 服务响应时间太长</t>
  </si>
  <si>
    <t>(2796/339)</t>
  </si>
  <si>
    <t>Asterisk: Service is down</t>
  </si>
  <si>
    <t>Asterisk: 服务已关闭</t>
  </si>
  <si>
    <t>(2796/340)</t>
  </si>
  <si>
    <t>Asterisk: Total number of active channels of SIP trunks is too high</t>
  </si>
  <si>
    <t>Asterisk: SIP中继的活动信道总数太高</t>
  </si>
  <si>
    <t>(2796/341)</t>
  </si>
  <si>
    <t>17222</t>
  </si>
  <si>
    <t>Asterisk: Host has been restarted</t>
  </si>
  <si>
    <t>Asterisk: 主机已重新启动</t>
  </si>
  <si>
    <t>(2796/342)</t>
  </si>
  <si>
    <t>17223</t>
  </si>
  <si>
    <t>Asterisk: Failed to fetch AMI page</t>
  </si>
  <si>
    <t>Asterisk: 无法获取AMI页面</t>
  </si>
  <si>
    <t>(2796/343)</t>
  </si>
  <si>
    <t>Asterisk: has been reloaded</t>
  </si>
  <si>
    <t>Asterisk: 已重新加载</t>
  </si>
  <si>
    <t>(2796/344)</t>
  </si>
  <si>
    <t>Asterisk: Version has changed</t>
  </si>
  <si>
    <t>Asterisk: 版本已变更</t>
  </si>
  <si>
    <t>(2796/345)</t>
  </si>
  <si>
    <t>Azure Cosmos DB for MongoDB by HTTP</t>
  </si>
  <si>
    <t>23156</t>
  </si>
  <si>
    <t>Azure MongoDB: There are errors in requests to API</t>
  </si>
  <si>
    <t>Azure MongoDB: API请求有错误</t>
  </si>
  <si>
    <t>(2796/346)</t>
  </si>
  <si>
    <t>23157</t>
  </si>
  <si>
    <t>Azure MongoDB: Cosmos DB for MongoDB account: Availability is low</t>
  </si>
  <si>
    <t>Azure MongoDB: 用于MongoDB帐户的CosmosDB: 可用性低</t>
  </si>
  <si>
    <t>(2796/347)</t>
  </si>
  <si>
    <t>Azure Microsoft SQL Database by HTTP</t>
  </si>
  <si>
    <t>23004</t>
  </si>
  <si>
    <t>Azure Microsoft SQL: Microsoft SQL database is degraded</t>
  </si>
  <si>
    <t>Azure Microsoft SQL: MicrosoftSQL数据库已降级</t>
  </si>
  <si>
    <t>(2796/348)</t>
  </si>
  <si>
    <t>23005</t>
  </si>
  <si>
    <t>Azure Microsoft SQL: Microsoft SQL database is in unknown state</t>
  </si>
  <si>
    <t>Azure Microsoft SQL: MicrosoftSQL数据库处于未知状态</t>
  </si>
  <si>
    <t>(2796/349)</t>
  </si>
  <si>
    <t>23006</t>
  </si>
  <si>
    <t>Azure Microsoft SQL: Microsoft SQL database is unavailable</t>
  </si>
  <si>
    <t>Azure Microsoft SQL: MicrosoftSQL数据库不可用</t>
  </si>
  <si>
    <t>(2796/350)</t>
  </si>
  <si>
    <t>23009</t>
  </si>
  <si>
    <t>Azure Microsoft SQL: Storage space is critically low</t>
  </si>
  <si>
    <t>Azure Microsoft SQL: 存储空间严重不足</t>
  </si>
  <si>
    <t>(2796/351)</t>
  </si>
  <si>
    <t>23010</t>
  </si>
  <si>
    <t>Azure Microsoft SQL: Storage space is low</t>
  </si>
  <si>
    <t>Azure Microsoft SQL: 存储空间不足</t>
  </si>
  <si>
    <t>(2796/352)</t>
  </si>
  <si>
    <t>23008</t>
  </si>
  <si>
    <t>Azure Microsoft SQL: There are errors in requests to API</t>
  </si>
  <si>
    <t>Azure Microsoft SQL: 对API的请求中存在错误</t>
  </si>
  <si>
    <t>(2796/353)</t>
  </si>
  <si>
    <t>23007</t>
  </si>
  <si>
    <t>Azure Microsoft SQL: High CPU utilization</t>
  </si>
  <si>
    <t>Azure Microsoft SQL: CPU利用率高</t>
  </si>
  <si>
    <t>(2796/354)</t>
  </si>
  <si>
    <t>Azure Microsoft SQL Serverless Database by HTTP</t>
  </si>
  <si>
    <t>23011</t>
  </si>
  <si>
    <t>(2796/355)</t>
  </si>
  <si>
    <t>23012</t>
  </si>
  <si>
    <t>(2796/356)</t>
  </si>
  <si>
    <t>23013</t>
  </si>
  <si>
    <t>(2796/357)</t>
  </si>
  <si>
    <t>23016</t>
  </si>
  <si>
    <t>(2796/358)</t>
  </si>
  <si>
    <t>23017</t>
  </si>
  <si>
    <t>(2796/359)</t>
  </si>
  <si>
    <t>23015</t>
  </si>
  <si>
    <t>(2796/360)</t>
  </si>
  <si>
    <t>23014</t>
  </si>
  <si>
    <t>(2796/361)</t>
  </si>
  <si>
    <t>Azure MySQL Flexible Server by HTTP</t>
  </si>
  <si>
    <t>23018</t>
  </si>
  <si>
    <t>Azure MySQL: MySQL server is degraded</t>
  </si>
  <si>
    <t>Azure MySQL: MySQL服务器已降级</t>
  </si>
  <si>
    <t>(2796/362)</t>
  </si>
  <si>
    <t>23019</t>
  </si>
  <si>
    <t>Azure MySQL: MySQL server is in unknown state</t>
  </si>
  <si>
    <t>Azure MySQL: MySQL服务器处于未知状态</t>
  </si>
  <si>
    <t>(2796/363)</t>
  </si>
  <si>
    <t>23020</t>
  </si>
  <si>
    <t>Azure MySQL: MySQL server is unavailable</t>
  </si>
  <si>
    <t>Azure MySQL: MySQL服务器不可用</t>
  </si>
  <si>
    <t>(2796/364)</t>
  </si>
  <si>
    <t>23021</t>
  </si>
  <si>
    <t>Azure MySQL: Server has aborted connections</t>
  </si>
  <si>
    <t>Azure MySQL: 服务器已已关闭连接</t>
  </si>
  <si>
    <t>(2796/365)</t>
  </si>
  <si>
    <t>23023</t>
  </si>
  <si>
    <t>Azure MySQL: There are errors in requests to API</t>
  </si>
  <si>
    <t>Azure MySQL: 对API的请求中存在错误</t>
  </si>
  <si>
    <t>(2796/366)</t>
  </si>
  <si>
    <t>23022</t>
  </si>
  <si>
    <t>Azure MySQL: High CPU utilization</t>
  </si>
  <si>
    <t>Azure MySQL: 高CPU利用率</t>
  </si>
  <si>
    <t>(2796/367)</t>
  </si>
  <si>
    <t>23024</t>
  </si>
  <si>
    <t>Azure MySQL: Storage space is critically low</t>
  </si>
  <si>
    <t>Azure MySQL: 存储空间严重不足</t>
  </si>
  <si>
    <t>(2796/368)</t>
  </si>
  <si>
    <t>23025</t>
  </si>
  <si>
    <t>Azure MySQL: Storage space is low</t>
  </si>
  <si>
    <t>Azure MySQL: 存储空间不足</t>
  </si>
  <si>
    <t>(2796/369)</t>
  </si>
  <si>
    <t>Azure MySQL Single Server by HTTP</t>
  </si>
  <si>
    <t>23026</t>
  </si>
  <si>
    <t>(2796/370)</t>
  </si>
  <si>
    <t>23027</t>
  </si>
  <si>
    <t>(2796/371)</t>
  </si>
  <si>
    <t>23028</t>
  </si>
  <si>
    <t>(2796/372)</t>
  </si>
  <si>
    <t>23029</t>
  </si>
  <si>
    <t>Azure MySQL: Server has failed connections</t>
  </si>
  <si>
    <t>Azure MySQL: 服务器连接失败</t>
  </si>
  <si>
    <t>(2796/373)</t>
  </si>
  <si>
    <t>23031</t>
  </si>
  <si>
    <t>(2796/374)</t>
  </si>
  <si>
    <t>23032</t>
  </si>
  <si>
    <t>Azure MySQL: High memory utilization</t>
  </si>
  <si>
    <t>Azure MySQL: 高内存利用率</t>
  </si>
  <si>
    <t>(2796/375)</t>
  </si>
  <si>
    <t>23030</t>
  </si>
  <si>
    <t>(2796/376)</t>
  </si>
  <si>
    <t>23033</t>
  </si>
  <si>
    <t>(2796/377)</t>
  </si>
  <si>
    <t>23034</t>
  </si>
  <si>
    <t>(2796/378)</t>
  </si>
  <si>
    <t>Azure PostgreSQL Flexible Server by HTTP</t>
  </si>
  <si>
    <t>23035</t>
  </si>
  <si>
    <t>Azure PostgreSQL: PostgreSQL server is degraded</t>
  </si>
  <si>
    <t>Azure PostgreSQL: PostgreSQL服务器已降级</t>
  </si>
  <si>
    <t>(2796/379)</t>
  </si>
  <si>
    <t>23036</t>
  </si>
  <si>
    <t>Azure PostgreSQL: PostgreSQL server is in unknown state</t>
  </si>
  <si>
    <t>Azure PostgreSQL: PostgreSQL服务器处于未知状态</t>
  </si>
  <si>
    <t>(2796/380)</t>
  </si>
  <si>
    <t>23037</t>
  </si>
  <si>
    <t>Azure PostgreSQL: PostgreSQL server is unavailable</t>
  </si>
  <si>
    <t>Azure PostgreSQL: PostgreSQL服务器不可用</t>
  </si>
  <si>
    <t>(2796/381)</t>
  </si>
  <si>
    <t>23039</t>
  </si>
  <si>
    <t>Azure PostgreSQL: There are errors in requests to API</t>
  </si>
  <si>
    <t>Azure PostgreSQL: 对API的请求中存在错误</t>
  </si>
  <si>
    <t>(2796/382)</t>
  </si>
  <si>
    <t>23040</t>
  </si>
  <si>
    <t>Azure PostgreSQL: High memory utilization</t>
  </si>
  <si>
    <t>Azure PostgreSQL: 内存利用率高</t>
  </si>
  <si>
    <t>(2796/383)</t>
  </si>
  <si>
    <t>23038</t>
  </si>
  <si>
    <t>Azure PostgreSQL: High CPU utilization</t>
  </si>
  <si>
    <t>Azure PostgreSQL: CPU利用率高</t>
  </si>
  <si>
    <t>(2796/384)</t>
  </si>
  <si>
    <t>23041</t>
  </si>
  <si>
    <t>Azure PostgreSQL: Storage space is critically low</t>
  </si>
  <si>
    <t>Azure PostgreSQL: 存储空间严重不足</t>
  </si>
  <si>
    <t>(2796/385)</t>
  </si>
  <si>
    <t>23042</t>
  </si>
  <si>
    <t>Azure PostgreSQL: Storage space is low</t>
  </si>
  <si>
    <t>Azure PostgreSQL: 存储空间不足</t>
  </si>
  <si>
    <t>(2796/386)</t>
  </si>
  <si>
    <t>Azure PostgreSQL Single Server by HTTP</t>
  </si>
  <si>
    <t>23043</t>
  </si>
  <si>
    <t>(2796/387)</t>
  </si>
  <si>
    <t>23044</t>
  </si>
  <si>
    <t>(2796/388)</t>
  </si>
  <si>
    <t>23045</t>
  </si>
  <si>
    <t>(2796/389)</t>
  </si>
  <si>
    <t>23047</t>
  </si>
  <si>
    <t>(2796/390)</t>
  </si>
  <si>
    <t>23048</t>
  </si>
  <si>
    <t>(2796/391)</t>
  </si>
  <si>
    <t>23046</t>
  </si>
  <si>
    <t>(2796/392)</t>
  </si>
  <si>
    <t>23049</t>
  </si>
  <si>
    <t>(2796/393)</t>
  </si>
  <si>
    <t>23050</t>
  </si>
  <si>
    <t>(2796/394)</t>
  </si>
  <si>
    <t>Azure VM Scale Set by HTTP</t>
  </si>
  <si>
    <t>23599</t>
  </si>
  <si>
    <t>Azure VMSS: Virtual machine scale set is degraded</t>
  </si>
  <si>
    <t>Azure VMSS: 虚拟机规模集已降级</t>
  </si>
  <si>
    <t>(2796/395)</t>
  </si>
  <si>
    <t>23600</t>
  </si>
  <si>
    <t>Azure VMSS: Virtual machine scale set is in unknown state</t>
  </si>
  <si>
    <t>Azure VMSS: 虚拟机规模集处于未知状态</t>
  </si>
  <si>
    <t>(2796/396)</t>
  </si>
  <si>
    <t>23601</t>
  </si>
  <si>
    <t>Azure VMSS: Virtual machine scale set is unavailable</t>
  </si>
  <si>
    <t>Azure VMSS: 虚拟机规模集不可用</t>
  </si>
  <si>
    <t>(2796/397)</t>
  </si>
  <si>
    <t>23602</t>
  </si>
  <si>
    <t>Azure VMSS: High CPU utilization</t>
  </si>
  <si>
    <t>Azure VMSS: 高CPU利用率</t>
  </si>
  <si>
    <t>(2796/398)</t>
  </si>
  <si>
    <t>23603</t>
  </si>
  <si>
    <t>Azure VMSS: There are errors in requests to API</t>
  </si>
  <si>
    <t>Azure VMSS: API请求有错误</t>
  </si>
  <si>
    <t>(2796/399)</t>
  </si>
  <si>
    <t>23604</t>
  </si>
  <si>
    <t>Azure VMSS: High amount of VMs in the scale set</t>
  </si>
  <si>
    <t>Azure VMSS: 规模集中的虚拟机数量过多</t>
  </si>
  <si>
    <t>(2796/400)</t>
  </si>
  <si>
    <t>Azure Virtual Machine by HTTP</t>
  </si>
  <si>
    <t>23051</t>
  </si>
  <si>
    <t>Azure: Virtual machine is degraded</t>
  </si>
  <si>
    <t>Azure: 虚拟机已降级</t>
  </si>
  <si>
    <t>(2796/401)</t>
  </si>
  <si>
    <t>23052</t>
  </si>
  <si>
    <t>Azure: Virtual machine is in unknown state</t>
  </si>
  <si>
    <t>Azure: 虚拟机处于未知状态</t>
  </si>
  <si>
    <t>(2796/402)</t>
  </si>
  <si>
    <t>23053</t>
  </si>
  <si>
    <t>Azure: Virtual machine is unavailable</t>
  </si>
  <si>
    <t>Azure: 虚拟机不可用</t>
  </si>
  <si>
    <t>(2796/403)</t>
  </si>
  <si>
    <t>23054</t>
  </si>
  <si>
    <t>Azure: High CPU utilization</t>
  </si>
  <si>
    <t>Azure: 高CPU利用率</t>
  </si>
  <si>
    <t>(2796/404)</t>
  </si>
  <si>
    <t>23055</t>
  </si>
  <si>
    <t>Azure: There are errors in requests to API</t>
  </si>
  <si>
    <t>Azure: 对API的请求中存在错误</t>
  </si>
  <si>
    <t>(2796/405)</t>
  </si>
  <si>
    <t>Azure by HTTP</t>
  </si>
  <si>
    <t>23003</t>
  </si>
  <si>
    <t>(2796/406)</t>
  </si>
  <si>
    <t>23135</t>
  </si>
  <si>
    <t>Azure: There are errors in storages requests to API</t>
  </si>
  <si>
    <t>Azure: 对API的存储请求中存在错误</t>
  </si>
  <si>
    <t>(2796/407)</t>
  </si>
  <si>
    <t>Brocade FC by SNMP</t>
  </si>
  <si>
    <t>Brocade FC: High CPU utilization</t>
  </si>
  <si>
    <t>Brocade FC: 高CPU利用率</t>
  </si>
  <si>
    <t>(2796/408)</t>
  </si>
  <si>
    <t>Brocade FC: Firmware has changed</t>
  </si>
  <si>
    <t>Brocade FC: 固件已变更</t>
  </si>
  <si>
    <t>(2796/409)</t>
  </si>
  <si>
    <t>Brocade FC: Device has been replaced</t>
  </si>
  <si>
    <t>Brocade FC: 设备已更换</t>
  </si>
  <si>
    <t>(2796/410)</t>
  </si>
  <si>
    <t>21570</t>
  </si>
  <si>
    <t>Brocade FC: High ICMP ping loss</t>
  </si>
  <si>
    <t>Brocade FC: 高ICMPping丢失</t>
  </si>
  <si>
    <t>(2796/411)</t>
  </si>
  <si>
    <t>21569</t>
  </si>
  <si>
    <t>Brocade FC: Unavailable by ICMP ping</t>
  </si>
  <si>
    <t>Brocade FC: ICMPping不可用</t>
  </si>
  <si>
    <t>(2796/412)</t>
  </si>
  <si>
    <t>21571</t>
  </si>
  <si>
    <t>Brocade FC: High ICMP ping response time</t>
  </si>
  <si>
    <t>Brocade FC: 高ICMPping响应时间</t>
  </si>
  <si>
    <t>(2796/413)</t>
  </si>
  <si>
    <t>Brocade FC: High memory utilization</t>
  </si>
  <si>
    <t>Brocade FC: 高内存利用率</t>
  </si>
  <si>
    <t>(2796/414)</t>
  </si>
  <si>
    <t>Brocade FC: System status is in critical state</t>
  </si>
  <si>
    <t>Brocade FC: 系统状态状态为严重告警</t>
  </si>
  <si>
    <t>(2796/415)</t>
  </si>
  <si>
    <t>Brocade FC: System status is in warning state</t>
  </si>
  <si>
    <t>Brocade FC: 系统状态状态为告警</t>
  </si>
  <si>
    <t>(2796/416)</t>
  </si>
  <si>
    <t>21574</t>
  </si>
  <si>
    <t>Brocade FC: No SNMP data collection</t>
  </si>
  <si>
    <t>Brocade FC: 无SNMP数据收集</t>
  </si>
  <si>
    <t>(2796/417)</t>
  </si>
  <si>
    <t>21572</t>
  </si>
  <si>
    <t>Brocade FC: System name has changed</t>
  </si>
  <si>
    <t>Brocade FC: 系统名称已变更</t>
  </si>
  <si>
    <t>(2796/418)</t>
  </si>
  <si>
    <t>21573</t>
  </si>
  <si>
    <t>Brocade FC: Host has been restarted</t>
  </si>
  <si>
    <t>Brocade FC: 主机已重新启动</t>
  </si>
  <si>
    <t>(2796/419)</t>
  </si>
  <si>
    <t>Brocade_Foundry Nonstackable by SNMP</t>
  </si>
  <si>
    <t>21582</t>
  </si>
  <si>
    <t>Brocade: High CPU utilization</t>
  </si>
  <si>
    <t>Brocade: 高CPU利用率</t>
  </si>
  <si>
    <t>(2796/420)</t>
  </si>
  <si>
    <t>Brocade: Firmware has changed</t>
  </si>
  <si>
    <t>Brocade: 固件已变更</t>
  </si>
  <si>
    <t>(2796/421)</t>
  </si>
  <si>
    <t>Brocade: Device has been replaced</t>
  </si>
  <si>
    <t>Brocade: 设备已更换</t>
  </si>
  <si>
    <t>(2796/422)</t>
  </si>
  <si>
    <t>21580</t>
  </si>
  <si>
    <t>Brocade: High ICMP ping loss</t>
  </si>
  <si>
    <t>Brocade: 高ICMPping丢失</t>
  </si>
  <si>
    <t>(2796/423)</t>
  </si>
  <si>
    <t>21579</t>
  </si>
  <si>
    <t>Brocade: Unavailable by ICMP ping</t>
  </si>
  <si>
    <t>Brocade: ICMPping不可用</t>
  </si>
  <si>
    <t>(2796/424)</t>
  </si>
  <si>
    <t>21581</t>
  </si>
  <si>
    <t>Brocade: High ICMP ping response time</t>
  </si>
  <si>
    <t>Brocade: 高ICMPping响应时间</t>
  </si>
  <si>
    <t>(2796/425)</t>
  </si>
  <si>
    <t>21585</t>
  </si>
  <si>
    <t>Brocade: High memory utilization</t>
  </si>
  <si>
    <t>Brocade: 高内存利用率</t>
  </si>
  <si>
    <t>(2796/426)</t>
  </si>
  <si>
    <t>21586</t>
  </si>
  <si>
    <t>Brocade: No SNMP data collection</t>
  </si>
  <si>
    <t>Brocade: 无SNMP数据收集</t>
  </si>
  <si>
    <t>(2796/427)</t>
  </si>
  <si>
    <t>21583</t>
  </si>
  <si>
    <t>Brocade: System name has changed</t>
  </si>
  <si>
    <t>Brocade: 系统名称已变更</t>
  </si>
  <si>
    <t>(2796/428)</t>
  </si>
  <si>
    <t>21584</t>
  </si>
  <si>
    <t>Brocade: Host has been restarted</t>
  </si>
  <si>
    <t>Brocade: 主机已重新启动</t>
  </si>
  <si>
    <t>(2796/429)</t>
  </si>
  <si>
    <t>Brocade_Foundry Performance by SNMP</t>
  </si>
  <si>
    <t>Brocade Foundry Performance: High CPU utilization</t>
  </si>
  <si>
    <t>Brocade Foundry Performance: 高CPU利用率</t>
  </si>
  <si>
    <t>(2796/430)</t>
  </si>
  <si>
    <t>Brocade Foundry Performance: High memory utilization</t>
  </si>
  <si>
    <t>Brocade Foundry Performance: 高内存利用率</t>
  </si>
  <si>
    <t>(2796/431)</t>
  </si>
  <si>
    <t>Brocade_Foundry Stackable by SNMP</t>
  </si>
  <si>
    <t>21590</t>
  </si>
  <si>
    <t>(2796/432)</t>
  </si>
  <si>
    <t>(2796/433)</t>
  </si>
  <si>
    <t>21588</t>
  </si>
  <si>
    <t>(2796/434)</t>
  </si>
  <si>
    <t>21587</t>
  </si>
  <si>
    <t>(2796/435)</t>
  </si>
  <si>
    <t>21589</t>
  </si>
  <si>
    <t>(2796/436)</t>
  </si>
  <si>
    <t>21593</t>
  </si>
  <si>
    <t>(2796/437)</t>
  </si>
  <si>
    <t>21594</t>
  </si>
  <si>
    <t>(2796/438)</t>
  </si>
  <si>
    <t>21591</t>
  </si>
  <si>
    <t>(2796/439)</t>
  </si>
  <si>
    <t>21592</t>
  </si>
  <si>
    <t>(2796/440)</t>
  </si>
  <si>
    <t>Ceph by Zabbix agent 2</t>
  </si>
  <si>
    <t>Ceph: Minimum monitor release version has changed</t>
  </si>
  <si>
    <t>Ceph: 最低监视器版本已变更</t>
  </si>
  <si>
    <t>(2796/441)</t>
  </si>
  <si>
    <t>(2796/442)</t>
  </si>
  <si>
    <t>(2796/443)</t>
  </si>
  <si>
    <t>(2796/444)</t>
  </si>
  <si>
    <t>Check Point Next Generation Firewall by SNMP</t>
  </si>
  <si>
    <t>23501</t>
  </si>
  <si>
    <t>Check Point: Device has been replaced</t>
  </si>
  <si>
    <t>Check Point: 设备已被替换</t>
  </si>
  <si>
    <t>(2796/445)</t>
  </si>
  <si>
    <t>23500</t>
  </si>
  <si>
    <t>Check Point: High CPU utilization</t>
  </si>
  <si>
    <t>Check Point: CPU利用率过高</t>
  </si>
  <si>
    <t>(2796/446)</t>
  </si>
  <si>
    <t>23498</t>
  </si>
  <si>
    <t>Check Point: High ICMP ping loss</t>
  </si>
  <si>
    <t>Check Point: ICMP丢包率过高</t>
  </si>
  <si>
    <t>(2796/447)</t>
  </si>
  <si>
    <t>23497</t>
  </si>
  <si>
    <t>Check Point: Unavailable by ICMP ping</t>
  </si>
  <si>
    <t>Check Point: ICMP ping无响应</t>
  </si>
  <si>
    <t>(2796/448)</t>
  </si>
  <si>
    <t>23499</t>
  </si>
  <si>
    <t>Check Point: High ICMP ping response time</t>
  </si>
  <si>
    <t>Check Point: ICMP ping响应时间过高</t>
  </si>
  <si>
    <t>(2796/449)</t>
  </si>
  <si>
    <t>23506</t>
  </si>
  <si>
    <t>Check Point: Load average is too high</t>
  </si>
  <si>
    <t>Check Point: 平均负载过高</t>
  </si>
  <si>
    <t>(2796/450)</t>
  </si>
  <si>
    <t>23504</t>
  </si>
  <si>
    <t>Check Point: High memory utilization</t>
  </si>
  <si>
    <t>Check Point: 内存利用率过高</t>
  </si>
  <si>
    <t>(2796/451)</t>
  </si>
  <si>
    <t>23505</t>
  </si>
  <si>
    <t>Check Point: No SNMP data collection</t>
  </si>
  <si>
    <t>Check Point: 无SNMP数据采集</t>
  </si>
  <si>
    <t>(2796/452)</t>
  </si>
  <si>
    <t>23502</t>
  </si>
  <si>
    <t>Check Point: System name has changed</t>
  </si>
  <si>
    <t>Check Point: 系统名称已更改</t>
  </si>
  <si>
    <t>(2796/453)</t>
  </si>
  <si>
    <t>23503</t>
  </si>
  <si>
    <t>Check Point: Device has been restarted</t>
  </si>
  <si>
    <t>Check Point: 设备已重新启动</t>
  </si>
  <si>
    <t>(2796/454)</t>
  </si>
  <si>
    <t>Cisco ASAv by SNMP</t>
  </si>
  <si>
    <t>19013</t>
  </si>
  <si>
    <t>(2796/455)</t>
  </si>
  <si>
    <t>19012</t>
  </si>
  <si>
    <t>Cisco ASAv: Host has been restarted</t>
  </si>
  <si>
    <t>Cisco ASAv: 主机已重新启动</t>
  </si>
  <si>
    <t>(2796/456)</t>
  </si>
  <si>
    <t>Cisco Catalyst 3750V2-24FS by SNMP</t>
  </si>
  <si>
    <t>18301</t>
  </si>
  <si>
    <t>Cisco Catalyst 3750V2-24FS: Device has been replaced</t>
  </si>
  <si>
    <t>Cisco Catalyst 3750V2-24FS: 设备已更换</t>
  </si>
  <si>
    <t>(2796/457)</t>
  </si>
  <si>
    <t>18299</t>
  </si>
  <si>
    <t>Cisco Catalyst 3750V2-24FS: High ICMP ping loss</t>
  </si>
  <si>
    <t>Cisco Catalyst 3750V2-24FS: 高ICMPping丢失</t>
  </si>
  <si>
    <t>(2796/458)</t>
  </si>
  <si>
    <t>18298</t>
  </si>
  <si>
    <t>Cisco Catalyst 3750V2-24FS: Unavailable by ICMP ping</t>
  </si>
  <si>
    <t>Cisco Catalyst 3750V2-24FS: ICMPping不可用</t>
  </si>
  <si>
    <t>(2796/459)</t>
  </si>
  <si>
    <t>18300</t>
  </si>
  <si>
    <t>Cisco Catalyst 3750V2-24FS: High ICMP ping response time</t>
  </si>
  <si>
    <t>Cisco Catalyst 3750V2-24FS: 高ICMPping响应时间</t>
  </si>
  <si>
    <t>(2796/460)</t>
  </si>
  <si>
    <t>18303</t>
  </si>
  <si>
    <t>Cisco Catalyst 3750V2-24FS: Operating system description has changed</t>
  </si>
  <si>
    <t>Cisco Catalyst 3750V2-24FS: 操作系统描述已变更</t>
  </si>
  <si>
    <t>(2796/461)</t>
  </si>
  <si>
    <t>Cisco Catalyst 3750V2-24FS: No SNMP data collection</t>
  </si>
  <si>
    <t>Cisco Catalyst 3750V2-24FS: 无SNMP数据收集</t>
  </si>
  <si>
    <t>(2796/462)</t>
  </si>
  <si>
    <t>18302</t>
  </si>
  <si>
    <t>Cisco Catalyst 3750V2-24FS: System name has changed</t>
  </si>
  <si>
    <t>Cisco Catalyst 3750V2-24FS: 系统名称已变更</t>
  </si>
  <si>
    <t>(2796/463)</t>
  </si>
  <si>
    <t>18304</t>
  </si>
  <si>
    <t>Cisco Catalyst 3750V2-24FS: Host has been restarted</t>
  </si>
  <si>
    <t>Cisco Catalyst 3750V2-24FS: 主机已重新启动</t>
  </si>
  <si>
    <t>(2796/464)</t>
  </si>
  <si>
    <t>Cisco Catalyst 3750V2-24PS by SNMP</t>
  </si>
  <si>
    <t>Cisco Catalyst 3750V2-24PS: Device has been replaced</t>
  </si>
  <si>
    <t>Cisco Catalyst 3750V2-24PS: 设备已更换</t>
  </si>
  <si>
    <t>(2796/465)</t>
  </si>
  <si>
    <t>Cisco Catalyst 3750V2-24PS: High ICMP ping loss</t>
  </si>
  <si>
    <t>Cisco Catalyst 3750V2-24PS: 高ICMPping丢失</t>
  </si>
  <si>
    <t>(2796/466)</t>
  </si>
  <si>
    <t>Cisco Catalyst 3750V2-24PS: Unavailable by ICMP ping</t>
  </si>
  <si>
    <t>Cisco Catalyst 3750V2-24PS: ICMPping不可用</t>
  </si>
  <si>
    <t>(2796/467)</t>
  </si>
  <si>
    <t>18327</t>
  </si>
  <si>
    <t>Cisco Catalyst 3750V2-24PS: High ICMP ping response time</t>
  </si>
  <si>
    <t>Cisco Catalyst 3750V2-24PS: 高ICMPping响应时间</t>
  </si>
  <si>
    <t>(2796/468)</t>
  </si>
  <si>
    <t>18330</t>
  </si>
  <si>
    <t>Cisco Catalyst 3750V2-24PS: Operating system description has changed</t>
  </si>
  <si>
    <t>Cisco Catalyst 3750V2-24PS: 操作系统描述已变更</t>
  </si>
  <si>
    <t>(2796/469)</t>
  </si>
  <si>
    <t>18332</t>
  </si>
  <si>
    <t>Cisco Catalyst 3750V2-24PS: No SNMP data collection</t>
  </si>
  <si>
    <t>Cisco Catalyst 3750V2-24PS: 无SNMP数据收集</t>
  </si>
  <si>
    <t>(2796/470)</t>
  </si>
  <si>
    <t>Cisco Catalyst 3750V2-24PS: System name has changed</t>
  </si>
  <si>
    <t>Cisco Catalyst 3750V2-24PS: 系统名称已变更</t>
  </si>
  <si>
    <t>(2796/471)</t>
  </si>
  <si>
    <t>18331</t>
  </si>
  <si>
    <t>Cisco Catalyst 3750V2-24PS: Host has been restarted</t>
  </si>
  <si>
    <t>Cisco Catalyst 3750V2-24PS: 主机已重新启动</t>
  </si>
  <si>
    <t>(2796/472)</t>
  </si>
  <si>
    <t>Cisco Catalyst 3750V2-24TS by SNMP</t>
  </si>
  <si>
    <t>Cisco Catalyst 3750V2-24TS: Device has been replaced</t>
  </si>
  <si>
    <t>Cisco Catalyst 3750V2-24TS: 设备已更换</t>
  </si>
  <si>
    <t>(2796/473)</t>
  </si>
  <si>
    <t>Cisco Catalyst 3750V2-24TS: High ICMP ping loss</t>
  </si>
  <si>
    <t>Cisco Catalyst 3750V2-24TS: 高ICMPping丢失</t>
  </si>
  <si>
    <t>(2796/474)</t>
  </si>
  <si>
    <t>Cisco Catalyst 3750V2-24TS: Unavailable by ICMP ping</t>
  </si>
  <si>
    <t>Cisco Catalyst 3750V2-24TS: ICMPping不可用</t>
  </si>
  <si>
    <t>(2796/475)</t>
  </si>
  <si>
    <t>Cisco Catalyst 3750V2-24TS: High ICMP ping response time</t>
  </si>
  <si>
    <t>Cisco Catalyst 3750V2-24TS: 高ICMPping响应时间</t>
  </si>
  <si>
    <t>(2796/476)</t>
  </si>
  <si>
    <t>Cisco Catalyst 3750V2-24TS: Operating system description has changed</t>
  </si>
  <si>
    <t>Cisco Catalyst 3750V2-24TS: 操作系统描述已变更</t>
  </si>
  <si>
    <t>(2796/477)</t>
  </si>
  <si>
    <t>Cisco Catalyst 3750V2-24TS: No SNMP data collection</t>
  </si>
  <si>
    <t>Cisco Catalyst 3750V2-24TS: 无SNMP数据收集</t>
  </si>
  <si>
    <t>(2796/478)</t>
  </si>
  <si>
    <t>Cisco Catalyst 3750V2-24TS: System name has changed</t>
  </si>
  <si>
    <t>Cisco Catalyst 3750V2-24TS: 系统名称已变更</t>
  </si>
  <si>
    <t>(2796/479)</t>
  </si>
  <si>
    <t>Cisco Catalyst 3750V2-24TS: Host has been restarted</t>
  </si>
  <si>
    <t>Cisco Catalyst 3750V2-24TS: 主机已重新启动</t>
  </si>
  <si>
    <t>(2796/480)</t>
  </si>
  <si>
    <t>Cisco Catalyst 3750V2-48PS by SNMP</t>
  </si>
  <si>
    <t>18382</t>
  </si>
  <si>
    <t>Cisco Catalyst 3750V2-48PS: Device has been replaced</t>
  </si>
  <si>
    <t>Cisco Catalyst 3750V2-48PS: 设备已更换</t>
  </si>
  <si>
    <t>(2796/481)</t>
  </si>
  <si>
    <t>Cisco Catalyst 3750V2-48PS: High ICMP ping loss</t>
  </si>
  <si>
    <t>Cisco Catalyst 3750V2-48PS: 高ICMPping丢失</t>
  </si>
  <si>
    <t>(2796/482)</t>
  </si>
  <si>
    <t>Cisco Catalyst 3750V2-48PS: Unavailable by ICMP ping</t>
  </si>
  <si>
    <t>Cisco Catalyst 3750V2-48PS: ICMPping不可用</t>
  </si>
  <si>
    <t>(2796/483)</t>
  </si>
  <si>
    <t>Cisco Catalyst 3750V2-48PS: High ICMP ping response time</t>
  </si>
  <si>
    <t>Cisco Catalyst 3750V2-48PS: 高ICMPping响应时间</t>
  </si>
  <si>
    <t>(2796/484)</t>
  </si>
  <si>
    <t>18384</t>
  </si>
  <si>
    <t>Cisco Catalyst 3750V2-48PS: Operating system description has changed</t>
  </si>
  <si>
    <t>Cisco Catalyst 3750V2-48PS: 操作系统描述已变更</t>
  </si>
  <si>
    <t>(2796/485)</t>
  </si>
  <si>
    <t>Cisco Catalyst 3750V2-48PS: No SNMP data collection</t>
  </si>
  <si>
    <t>Cisco Catalyst 3750V2-48PS: 无SNMP数据收集</t>
  </si>
  <si>
    <t>(2796/486)</t>
  </si>
  <si>
    <t>18383</t>
  </si>
  <si>
    <t>Cisco Catalyst 3750V2-48PS: System name has changed</t>
  </si>
  <si>
    <t>Cisco Catalyst 3750V2-48PS: 系统名称已变更</t>
  </si>
  <si>
    <t>(2796/487)</t>
  </si>
  <si>
    <t>Cisco Catalyst 3750V2-48PS: Host has been restarted</t>
  </si>
  <si>
    <t>Cisco Catalyst 3750V2-48PS: 主机已重新启动</t>
  </si>
  <si>
    <t>(2796/488)</t>
  </si>
  <si>
    <t>Cisco Catalyst 3750V2-48TS by SNMP</t>
  </si>
  <si>
    <t>18409</t>
  </si>
  <si>
    <t>Cisco Catalyst 3750V2-48TS: Device has been replaced</t>
  </si>
  <si>
    <t>Cisco Catalyst 3750V2-48TS: 设备已更换</t>
  </si>
  <si>
    <t>(2796/489)</t>
  </si>
  <si>
    <t>18407</t>
  </si>
  <si>
    <t>Cisco Catalyst 3750V2-48TS: High ICMP ping loss</t>
  </si>
  <si>
    <t>Cisco Catalyst 3750V2-48TS: 高ICMPping丢失</t>
  </si>
  <si>
    <t>(2796/490)</t>
  </si>
  <si>
    <t>18406</t>
  </si>
  <si>
    <t>Cisco Catalyst 3750V2-48TS: Unavailable by ICMP ping</t>
  </si>
  <si>
    <t>Cisco Catalyst 3750V2-48TS: ICMPping不可用</t>
  </si>
  <si>
    <t>(2796/491)</t>
  </si>
  <si>
    <t>18408</t>
  </si>
  <si>
    <t>Cisco Catalyst 3750V2-48TS: High ICMP ping response time</t>
  </si>
  <si>
    <t>Cisco Catalyst 3750V2-48TS: 高ICMPping响应时间</t>
  </si>
  <si>
    <t>(2796/492)</t>
  </si>
  <si>
    <t>18411</t>
  </si>
  <si>
    <t>Cisco Catalyst 3750V2-48TS: Operating system description has changed</t>
  </si>
  <si>
    <t>Cisco Catalyst 3750V2-48TS: 操作系统描述已变更</t>
  </si>
  <si>
    <t>(2796/493)</t>
  </si>
  <si>
    <t>Cisco Catalyst 3750V2-48TS: No SNMP data collection</t>
  </si>
  <si>
    <t>Cisco Catalyst 3750V2-48TS: 无SNMP数据收集</t>
  </si>
  <si>
    <t>(2796/494)</t>
  </si>
  <si>
    <t>18410</t>
  </si>
  <si>
    <t>Cisco Catalyst 3750V2-48TS: System name has changed</t>
  </si>
  <si>
    <t>Cisco Catalyst 3750V2-48TS: 系统名称已变更</t>
  </si>
  <si>
    <t>(2796/495)</t>
  </si>
  <si>
    <t>18412</t>
  </si>
  <si>
    <t>Cisco Catalyst 3750V2-48TS: Host has been restarted</t>
  </si>
  <si>
    <t>Cisco Catalyst 3750V2-48TS: 主机已重新启动</t>
  </si>
  <si>
    <t>(2796/496)</t>
  </si>
  <si>
    <t>Cisco IOS by SNMP</t>
  </si>
  <si>
    <t>21615</t>
  </si>
  <si>
    <t>Cisco IOS: Device has been replaced</t>
  </si>
  <si>
    <t>Cisco IOS: 设备已更换</t>
  </si>
  <si>
    <t>(2796/497)</t>
  </si>
  <si>
    <t>21613</t>
  </si>
  <si>
    <t>Cisco IOS: High ICMP ping loss</t>
  </si>
  <si>
    <t>Cisco IOS: 高ICMPping丢失</t>
  </si>
  <si>
    <t>(2796/498)</t>
  </si>
  <si>
    <t>21612</t>
  </si>
  <si>
    <t>Cisco IOS: Unavailable by ICMP ping</t>
  </si>
  <si>
    <t>Cisco IOS: ICMPping不可用</t>
  </si>
  <si>
    <t>(2796/499)</t>
  </si>
  <si>
    <t>21614</t>
  </si>
  <si>
    <t>Cisco IOS: High ICMP ping response time</t>
  </si>
  <si>
    <t>Cisco IOS: 高ICMPping响应时间</t>
  </si>
  <si>
    <t>(2796/500)</t>
  </si>
  <si>
    <t>21617</t>
  </si>
  <si>
    <t>Cisco IOS: Operating system description has changed</t>
  </si>
  <si>
    <t>Cisco IOS: 操作系统描述已变更</t>
  </si>
  <si>
    <t>(2796/501)</t>
  </si>
  <si>
    <t>21619</t>
  </si>
  <si>
    <t>Cisco IOS: No SNMP data collection</t>
  </si>
  <si>
    <t>Cisco IOS: 无SNMP数据收集</t>
  </si>
  <si>
    <t>(2796/502)</t>
  </si>
  <si>
    <t>21616</t>
  </si>
  <si>
    <t>Cisco IOS: System name has changed</t>
  </si>
  <si>
    <t>Cisco IOS: 系统名称已变更</t>
  </si>
  <si>
    <t>(2796/503)</t>
  </si>
  <si>
    <t>21618</t>
  </si>
  <si>
    <t>Cisco IOS: Host has been restarted</t>
  </si>
  <si>
    <t>Cisco IOS: 主机已重新启动</t>
  </si>
  <si>
    <t>(2796/504)</t>
  </si>
  <si>
    <t>Cisco IOS prior to 12.0_3_T by SNMP</t>
  </si>
  <si>
    <t>21606</t>
  </si>
  <si>
    <t>Cisco IOS: High CPU utilization</t>
  </si>
  <si>
    <t>Cisco IOS: 高CPU利用率</t>
  </si>
  <si>
    <t>(2796/505)</t>
  </si>
  <si>
    <t>21607</t>
  </si>
  <si>
    <t>(2796/506)</t>
  </si>
  <si>
    <t>21604</t>
  </si>
  <si>
    <t>(2796/507)</t>
  </si>
  <si>
    <t>21603</t>
  </si>
  <si>
    <t>(2796/508)</t>
  </si>
  <si>
    <t>21605</t>
  </si>
  <si>
    <t>(2796/509)</t>
  </si>
  <si>
    <t>21609</t>
  </si>
  <si>
    <t>(2796/510)</t>
  </si>
  <si>
    <t>21611</t>
  </si>
  <si>
    <t>(2796/511)</t>
  </si>
  <si>
    <t>21608</t>
  </si>
  <si>
    <t>(2796/512)</t>
  </si>
  <si>
    <t>21610</t>
  </si>
  <si>
    <t>(2796/513)</t>
  </si>
  <si>
    <t>Cisco IOS versions 12.0_3_T-12.2_3.5 by SNMP</t>
  </si>
  <si>
    <t>21623</t>
  </si>
  <si>
    <t>(2796/514)</t>
  </si>
  <si>
    <t>21621</t>
  </si>
  <si>
    <t>(2796/515)</t>
  </si>
  <si>
    <t>21620</t>
  </si>
  <si>
    <t>(2796/516)</t>
  </si>
  <si>
    <t>21622</t>
  </si>
  <si>
    <t>(2796/517)</t>
  </si>
  <si>
    <t>21625</t>
  </si>
  <si>
    <t>(2796/518)</t>
  </si>
  <si>
    <t>21627</t>
  </si>
  <si>
    <t>(2796/519)</t>
  </si>
  <si>
    <t>21624</t>
  </si>
  <si>
    <t>(2796/520)</t>
  </si>
  <si>
    <t>21626</t>
  </si>
  <si>
    <t>(2796/521)</t>
  </si>
  <si>
    <t>Cisco Inventory by SNMP</t>
  </si>
  <si>
    <t>Cisco Inventory: Device has been replaced</t>
  </si>
  <si>
    <t>Cisco Inventory: 设备已更换</t>
  </si>
  <si>
    <t>(2796/522)</t>
  </si>
  <si>
    <t>Cisco Inventory: Operating system description has changed</t>
  </si>
  <si>
    <t>Cisco Inventory: 操作系统描述已变更</t>
  </si>
  <si>
    <t>(2796/523)</t>
  </si>
  <si>
    <t>Cisco Meraki dashboard by HTTP</t>
  </si>
  <si>
    <t>22962</t>
  </si>
  <si>
    <t>Meraki: There are errors in 'Get data' metric</t>
  </si>
  <si>
    <t>Meraki: "获取数据"指标中存在错误</t>
  </si>
  <si>
    <t>(2796/524)</t>
  </si>
  <si>
    <t>Cisco Meraki device by HTTP</t>
  </si>
  <si>
    <t>22964</t>
  </si>
  <si>
    <t>Meraki: There are errors in 'Get device data' metric</t>
  </si>
  <si>
    <t>Meraki: "获取设备数据"指标中存在错误</t>
  </si>
  <si>
    <t>(2796/525)</t>
  </si>
  <si>
    <t>22963</t>
  </si>
  <si>
    <t>Meraki: Status is not online</t>
  </si>
  <si>
    <t>Meraki: 未联机状态</t>
  </si>
  <si>
    <t>(2796/526)</t>
  </si>
  <si>
    <t>Cisco Meraki organization by HTTP</t>
  </si>
  <si>
    <t>22965</t>
  </si>
  <si>
    <t>Meraki: Configuration has been changed</t>
  </si>
  <si>
    <t>Meraki: 配置已变更</t>
  </si>
  <si>
    <t>(2796/527)</t>
  </si>
  <si>
    <t>22968</t>
  </si>
  <si>
    <t>Meraki: License expires in less than {$MERAKI.LICENSE.EXPIRE} seconds</t>
  </si>
  <si>
    <t>Meraki: 许可证在{$MERAKI.LICENSE.EXPIRE}秒内过期</t>
  </si>
  <si>
    <t>(2796/528)</t>
  </si>
  <si>
    <t>22969</t>
  </si>
  <si>
    <t>Meraki: License status is not OK</t>
  </si>
  <si>
    <t>Meraki: 许可证状态不正常</t>
  </si>
  <si>
    <t>(2796/529)</t>
  </si>
  <si>
    <t>22966</t>
  </si>
  <si>
    <t>Meraki: There are errors in 'Get networks' metric</t>
  </si>
  <si>
    <t>Meraki: "获取网络"指标中存在错误</t>
  </si>
  <si>
    <t>(2796/530)</t>
  </si>
  <si>
    <t>22967</t>
  </si>
  <si>
    <t>Meraki: There are errors in 'Get VPNs' metric</t>
  </si>
  <si>
    <t>Meraki: "获取VPN"指标中存在错误</t>
  </si>
  <si>
    <t>(2796/531)</t>
  </si>
  <si>
    <t>Cisco Nexus 9000 Series by SNMP</t>
  </si>
  <si>
    <t>23107</t>
  </si>
  <si>
    <t>Cisco Nexus 9000 Series: Device has been replaced</t>
  </si>
  <si>
    <t>Cisco Nexus 9000 Series: 设备已更换</t>
  </si>
  <si>
    <t>(2796/532)</t>
  </si>
  <si>
    <t>23105</t>
  </si>
  <si>
    <t>Cisco Nexus 9000 Series: High ICMP ping loss</t>
  </si>
  <si>
    <t>Cisco Nexus 9000 Series: 高ICMPping丢失</t>
  </si>
  <si>
    <t>(2796/533)</t>
  </si>
  <si>
    <t>23104</t>
  </si>
  <si>
    <t>Cisco Nexus 9000 Series: Unavailable by ICMP ping</t>
  </si>
  <si>
    <t>Cisco Nexus 9000 Series: ICMPping不可用</t>
  </si>
  <si>
    <t>(2796/534)</t>
  </si>
  <si>
    <t>23106</t>
  </si>
  <si>
    <t>Cisco Nexus 9000 Series: High ICMP ping response time</t>
  </si>
  <si>
    <t>Cisco Nexus 9000 Series: 高ICMPping响应时间</t>
  </si>
  <si>
    <t>(2796/535)</t>
  </si>
  <si>
    <t>23109</t>
  </si>
  <si>
    <t>Cisco Nexus 9000 Series: Operating system description has changed</t>
  </si>
  <si>
    <t>Cisco Nexus 9000 Series: 操作系统描述已变更</t>
  </si>
  <si>
    <t>(2796/536)</t>
  </si>
  <si>
    <t>23111</t>
  </si>
  <si>
    <t>Cisco Nexus 9000 Series: No SNMP data collection</t>
  </si>
  <si>
    <t>Cisco Nexus 9000 Series: 无SNMP数据收集</t>
  </si>
  <si>
    <t>(2796/537)</t>
  </si>
  <si>
    <t>23108</t>
  </si>
  <si>
    <t>Cisco Nexus 9000 Series: System name has changed</t>
  </si>
  <si>
    <t>Cisco Nexus 9000 Series: 系统名称已变更</t>
  </si>
  <si>
    <t>(2796/538)</t>
  </si>
  <si>
    <t>23110</t>
  </si>
  <si>
    <t>Cisco Nexus 9000 Series: Device has been restarted or reinitialized</t>
  </si>
  <si>
    <t>Cisco Nexus 9000 Series: 设备已重新启动或重新初始化</t>
  </si>
  <si>
    <t>(2796/539)</t>
  </si>
  <si>
    <t>Cisco OLD-CISCO-CPU-MIB by SNMP</t>
  </si>
  <si>
    <t>Cisco OLD-CISCO-CPU-MIB: High CPU utilization</t>
  </si>
  <si>
    <t>Cisco OLD-CISCO-CPU-MIB: 高CPU利用率</t>
  </si>
  <si>
    <t>(2796/540)</t>
  </si>
  <si>
    <t>Cisco SD-WAN by HTTP</t>
  </si>
  <si>
    <t>23240</t>
  </si>
  <si>
    <t>SD-WAN: Authentication has failed</t>
  </si>
  <si>
    <t>SD-WAN: 身份验证失败</t>
  </si>
  <si>
    <t>(2796/541)</t>
  </si>
  <si>
    <t>23241</t>
  </si>
  <si>
    <t>SD-WAN: There are errors in the 'Get devices' metric</t>
  </si>
  <si>
    <t>SD-WAN: "获取设备"指标存在错误</t>
  </si>
  <si>
    <t>(2796/542)</t>
  </si>
  <si>
    <t>Cisco SD-WAN device by HTTP</t>
  </si>
  <si>
    <t>23254</t>
  </si>
  <si>
    <t>SD-WAN: Lack of available memory</t>
  </si>
  <si>
    <t>SD-WAN: 可用内存不足</t>
  </si>
  <si>
    <t>(2796/543)</t>
  </si>
  <si>
    <t>23242</t>
  </si>
  <si>
    <t>SD-WAN: Device certificate is invalid</t>
  </si>
  <si>
    <t>SD-WAN: 设备证书无效</t>
  </si>
  <si>
    <t>(2796/544)</t>
  </si>
  <si>
    <t>23243</t>
  </si>
  <si>
    <t>SD-WAN: High CPU utilization</t>
  </si>
  <si>
    <t>SD-WAN: CPU利用率高</t>
  </si>
  <si>
    <t>(2796/545)</t>
  </si>
  <si>
    <t>23250</t>
  </si>
  <si>
    <t>SD-WAN: There are errors in the 'Get device data' metric</t>
  </si>
  <si>
    <t>SD-WAN: "获取设备数据"指标存在错误</t>
  </si>
  <si>
    <t>(2796/546)</t>
  </si>
  <si>
    <t>23251</t>
  </si>
  <si>
    <t>SD-WAN: There are errors in the 'Get interfaces data' metric</t>
  </si>
  <si>
    <t>SD-WAN: "获取接口数据"指标存在错误</t>
  </si>
  <si>
    <t>(2796/547)</t>
  </si>
  <si>
    <t>23247</t>
  </si>
  <si>
    <t>SD-WAN: Device is not reachable</t>
  </si>
  <si>
    <t>SD-WAN: 设备无法访问</t>
  </si>
  <si>
    <t>(2796/548)</t>
  </si>
  <si>
    <t>23252</t>
  </si>
  <si>
    <t>SD-WAN: There are errors in the 'Get routes data' metric</t>
  </si>
  <si>
    <t>SD-WAN: "获取路由数据"指标存在错误</t>
  </si>
  <si>
    <t>(2796/549)</t>
  </si>
  <si>
    <t>23253</t>
  </si>
  <si>
    <t>SD-WAN: Device state is not green</t>
  </si>
  <si>
    <t>SD-WAN: 设备状态不是绿色</t>
  </si>
  <si>
    <t>(2796/550)</t>
  </si>
  <si>
    <t>23255</t>
  </si>
  <si>
    <t>SD-WAN: Load average is too high</t>
  </si>
  <si>
    <t>SD-WAN: 平均负载太高</t>
  </si>
  <si>
    <t>(2796/551)</t>
  </si>
  <si>
    <t>23245</t>
  </si>
  <si>
    <t>SD-WAN: High memory utilization</t>
  </si>
  <si>
    <t>SD-WAN: 内存利用率高</t>
  </si>
  <si>
    <t>(2796/552)</t>
  </si>
  <si>
    <t>23246</t>
  </si>
  <si>
    <t>SD-WAN: Operating system description has changed</t>
  </si>
  <si>
    <t>SD-WAN: 操作系统描述已变更</t>
  </si>
  <si>
    <t>(2796/553)</t>
  </si>
  <si>
    <t>23248</t>
  </si>
  <si>
    <t>SD-WAN: Device has been replaced</t>
  </si>
  <si>
    <t>SD-WAN: 设备已更换</t>
  </si>
  <si>
    <t>(2796/554)</t>
  </si>
  <si>
    <t>23244</t>
  </si>
  <si>
    <t>SD-WAN: System name has changed</t>
  </si>
  <si>
    <t>SD-WAN: 系统名称已变更</t>
  </si>
  <si>
    <t>(2796/555)</t>
  </si>
  <si>
    <t>23249</t>
  </si>
  <si>
    <t>SD-WAN: Device has been restarted</t>
  </si>
  <si>
    <t>SD-WAN: 设备已重新启动</t>
  </si>
  <si>
    <t>(2796/556)</t>
  </si>
  <si>
    <t>Cisco UCS Manager by SNMP</t>
  </si>
  <si>
    <t>19231</t>
  </si>
  <si>
    <t>Cisco UCS Manager: No SNMP data collection</t>
  </si>
  <si>
    <t>Cisco UCS Manager: 无SNMP数据收集</t>
  </si>
  <si>
    <t>(2796/557)</t>
  </si>
  <si>
    <t>19229</t>
  </si>
  <si>
    <t>Cisco UCS Manager: System name has changed</t>
  </si>
  <si>
    <t>Cisco UCS Manager: 系统名称已变更</t>
  </si>
  <si>
    <t>(2796/558)</t>
  </si>
  <si>
    <t>19230</t>
  </si>
  <si>
    <t>Cisco UCS Manager: Host has been restarted</t>
  </si>
  <si>
    <t>Cisco UCS Manager: 主机已重新启动</t>
  </si>
  <si>
    <t>(2796/559)</t>
  </si>
  <si>
    <t>Cisco UCS by SNMP</t>
  </si>
  <si>
    <t>22528</t>
  </si>
  <si>
    <t>Cisco UCS: High ICMP ping loss</t>
  </si>
  <si>
    <t>Cisco UCS: 高ICMPping丢失</t>
  </si>
  <si>
    <t>(2796/560)</t>
  </si>
  <si>
    <t>22527</t>
  </si>
  <si>
    <t>Cisco UCS: Unavailable by ICMP ping</t>
  </si>
  <si>
    <t>Cisco UCS: ICMPping不可用</t>
  </si>
  <si>
    <t>(2796/561)</t>
  </si>
  <si>
    <t>22529</t>
  </si>
  <si>
    <t>Cisco UCS: High ICMP ping response time</t>
  </si>
  <si>
    <t>Cisco UCS: 高ICMPping响应时间</t>
  </si>
  <si>
    <t>(2796/562)</t>
  </si>
  <si>
    <t>22532</t>
  </si>
  <si>
    <t>Cisco UCS: No SNMP data collection</t>
  </si>
  <si>
    <t>Cisco UCS: 无SNMP数据收集</t>
  </si>
  <si>
    <t>(2796/563)</t>
  </si>
  <si>
    <t>22530</t>
  </si>
  <si>
    <t>Cisco UCS: System name has changed</t>
  </si>
  <si>
    <t>Cisco UCS: 系统名称已变更</t>
  </si>
  <si>
    <t>(2796/564)</t>
  </si>
  <si>
    <t>22531</t>
  </si>
  <si>
    <t>Cisco UCS: Host has been restarted</t>
  </si>
  <si>
    <t>Cisco UCS: 主机已重新启动</t>
  </si>
  <si>
    <t>(2796/565)</t>
  </si>
  <si>
    <t>ClickHouse by HTTP</t>
  </si>
  <si>
    <t>(2796/566)</t>
  </si>
  <si>
    <t>16921</t>
  </si>
  <si>
    <t>(2796/567)</t>
  </si>
  <si>
    <t>ClickHouse: Too many distributed files to insert</t>
  </si>
  <si>
    <t>ClickHouse: 要插入的分布式文件太多</t>
  </si>
  <si>
    <t>(2796/568)</t>
  </si>
  <si>
    <t>ClickHouse: Too many throttled insert queries</t>
  </si>
  <si>
    <t>ClickHouse: 受限制的插入查询太多</t>
  </si>
  <si>
    <t>(2796/569)</t>
  </si>
  <si>
    <t>(2796/570)</t>
  </si>
  <si>
    <t>ClickHouse: There are queries running is long</t>
  </si>
  <si>
    <t>ClickHouse: 正在运行的查询很长</t>
  </si>
  <si>
    <t>(2796/571)</t>
  </si>
  <si>
    <t>ClickHouse: Too many MergeTree parts</t>
  </si>
  <si>
    <t>ClickHouse: MergeTree部件太多</t>
  </si>
  <si>
    <t>(2796/572)</t>
  </si>
  <si>
    <t>ClickHouse: Too many network errors</t>
  </si>
  <si>
    <t>ClickHouse: 网络错误太多</t>
  </si>
  <si>
    <t>(2796/573)</t>
  </si>
  <si>
    <t>ClickHouse: Replication lag is too high</t>
  </si>
  <si>
    <t>ClickHouse: 复制延迟太高</t>
  </si>
  <si>
    <t>(2796/574)</t>
  </si>
  <si>
    <t>ClickHouse: Host has been restarted</t>
  </si>
  <si>
    <t>ClickHouse: 主机已重启</t>
  </si>
  <si>
    <t>(2796/575)</t>
  </si>
  <si>
    <t>ClickHouse: Failed to fetch info data</t>
  </si>
  <si>
    <t>ClickHouse: 获取信息数据失败</t>
  </si>
  <si>
    <t>(2796/576)</t>
  </si>
  <si>
    <t>ClickHouse: Version has changed</t>
  </si>
  <si>
    <t>ClickHouse: 版本已变更</t>
  </si>
  <si>
    <t>(2796/577)</t>
  </si>
  <si>
    <t>16835</t>
  </si>
  <si>
    <t>(2796/578)</t>
  </si>
  <si>
    <t>Cloudflare by HTTP</t>
  </si>
  <si>
    <t>18963</t>
  </si>
  <si>
    <t>Cloudflare: Cached bandwidth is too low</t>
  </si>
  <si>
    <t>Cloudflare: 缓存带宽太低</t>
  </si>
  <si>
    <t>(2796/579)</t>
  </si>
  <si>
    <t>18964</t>
  </si>
  <si>
    <t>Cloudflare: Ratio of non-2xx responses is too high</t>
  </si>
  <si>
    <t>Cloudflare: 非2xx响应的速率太高</t>
  </si>
  <si>
    <t>(2796/580)</t>
  </si>
  <si>
    <t>CockroachDB by HTTP</t>
  </si>
  <si>
    <t>22676</t>
  </si>
  <si>
    <t>CockroachDB: CA certificate expires soon</t>
  </si>
  <si>
    <t>CockroachDB: CA证书即将到期</t>
  </si>
  <si>
    <t>(2796/581)</t>
  </si>
  <si>
    <t>22678</t>
  </si>
  <si>
    <t>CockroachDB: Clock offset is too high</t>
  </si>
  <si>
    <t>CockroachDB: 时钟偏移太高</t>
  </si>
  <si>
    <t>(2796/582)</t>
  </si>
  <si>
    <t>22685</t>
  </si>
  <si>
    <t>CockroachDB: Current number of open files is too high</t>
  </si>
  <si>
    <t>CockroachDB: 当前打开的文件数太高</t>
  </si>
  <si>
    <t>(2796/583)</t>
  </si>
  <si>
    <t>22679</t>
  </si>
  <si>
    <t>CockroachDB: Node is unhealthy</t>
  </si>
  <si>
    <t>CockroachDB: 节点不健康</t>
  </si>
  <si>
    <t>(2796/584)</t>
  </si>
  <si>
    <t>22687</t>
  </si>
  <si>
    <t>CockroachDB: Node is not ready</t>
  </si>
  <si>
    <t>CockroachDB: 节点未就绪</t>
  </si>
  <si>
    <t>(2796/585)</t>
  </si>
  <si>
    <t>22677</t>
  </si>
  <si>
    <t>CockroachDB: Node certificate expires soon</t>
  </si>
  <si>
    <t>CockroachDB: 节点证书即将到期</t>
  </si>
  <si>
    <t>(2796/586)</t>
  </si>
  <si>
    <t>22684</t>
  </si>
  <si>
    <t>CockroachDB: Service is down</t>
  </si>
  <si>
    <t>CockroachDB: 服务已关闭</t>
  </si>
  <si>
    <t>(2796/587)</t>
  </si>
  <si>
    <t>22686</t>
  </si>
  <si>
    <t>CockroachDB: Node is not executing SQL</t>
  </si>
  <si>
    <t>CockroachDB: 节点未执行SQL</t>
  </si>
  <si>
    <t>(2796/588)</t>
  </si>
  <si>
    <t>22680</t>
  </si>
  <si>
    <t>CockroachDB: SQL statements errors rate is too high</t>
  </si>
  <si>
    <t>CockroachDB: SQL语句错误率太高</t>
  </si>
  <si>
    <t>(2796/589)</t>
  </si>
  <si>
    <t>22682</t>
  </si>
  <si>
    <t>CockroachDB: Node has been restarted</t>
  </si>
  <si>
    <t>CockroachDB: 节点已重新启动</t>
  </si>
  <si>
    <t>(2796/590)</t>
  </si>
  <si>
    <t>22681</t>
  </si>
  <si>
    <t>CockroachDB: Failed to fetch node data</t>
  </si>
  <si>
    <t>CockroachDB: 无法获取节点数据</t>
  </si>
  <si>
    <t>(2796/591)</t>
  </si>
  <si>
    <t>22683</t>
  </si>
  <si>
    <t>CockroachDB: Version has changed</t>
  </si>
  <si>
    <t>CockroachDB: 版本已变更</t>
  </si>
  <si>
    <t>(2796/592)</t>
  </si>
  <si>
    <t>Control-M server by HTTP</t>
  </si>
  <si>
    <t>23056</t>
  </si>
  <si>
    <t>Control-M: Server disconnected</t>
  </si>
  <si>
    <t>Control-M: 服务器已断开连接</t>
  </si>
  <si>
    <t>(2796/593)</t>
  </si>
  <si>
    <t>23057</t>
  </si>
  <si>
    <t>Control-M: Server error</t>
  </si>
  <si>
    <t>Control-M: 服务器错误</t>
  </si>
  <si>
    <t>(2796/594)</t>
  </si>
  <si>
    <t>23058</t>
  </si>
  <si>
    <t>Control-M: Server is down</t>
  </si>
  <si>
    <t>Control-M: 服务器已关闭</t>
  </si>
  <si>
    <t>(2796/595)</t>
  </si>
  <si>
    <t>23059</t>
  </si>
  <si>
    <t>Control-M: Server version has changed</t>
  </si>
  <si>
    <t>Control-M: 服务器版本已变更</t>
  </si>
  <si>
    <t>(2796/596)</t>
  </si>
  <si>
    <t>D-Link DES 7200 by SNMP</t>
  </si>
  <si>
    <t>D-Link DES 7200: High CPU utilization</t>
  </si>
  <si>
    <t>D-Link DES 7200: 高CPU利用率</t>
  </si>
  <si>
    <t>(2796/597)</t>
  </si>
  <si>
    <t>D-Link DES 7200: Firmware has changed</t>
  </si>
  <si>
    <t>D-Link DES 7200: 固件已变更</t>
  </si>
  <si>
    <t>(2796/598)</t>
  </si>
  <si>
    <t>21678</t>
  </si>
  <si>
    <t>D-Link DES 7200: High ICMP ping loss</t>
  </si>
  <si>
    <t>D-Link DES 7200: 高ICMPping丢失</t>
  </si>
  <si>
    <t>(2796/599)</t>
  </si>
  <si>
    <t>21677</t>
  </si>
  <si>
    <t>D-Link DES 7200: Unavailable by ICMP ping</t>
  </si>
  <si>
    <t>D-Link DES 7200: ICMPping不可用</t>
  </si>
  <si>
    <t>(2796/600)</t>
  </si>
  <si>
    <t>21679</t>
  </si>
  <si>
    <t>D-Link DES 7200: High ICMP ping response time</t>
  </si>
  <si>
    <t>D-Link DES 7200: 高ICMPping响应时间</t>
  </si>
  <si>
    <t>(2796/601)</t>
  </si>
  <si>
    <t>D-Link DES 7200: Operating system description has changed</t>
  </si>
  <si>
    <t>D-Link DES 7200: 操作系统描述已变更</t>
  </si>
  <si>
    <t>(2796/602)</t>
  </si>
  <si>
    <t>21682</t>
  </si>
  <si>
    <t>D-Link DES 7200: No SNMP data collection</t>
  </si>
  <si>
    <t>D-Link DES 7200: 无SNMP数据收集</t>
  </si>
  <si>
    <t>(2796/603)</t>
  </si>
  <si>
    <t>21680</t>
  </si>
  <si>
    <t>D-Link DES 7200: System name has changed</t>
  </si>
  <si>
    <t>D-Link DES 7200: 系统名称已变更</t>
  </si>
  <si>
    <t>(2796/604)</t>
  </si>
  <si>
    <t>21681</t>
  </si>
  <si>
    <t>D-Link DES 7200: Host has been restarted</t>
  </si>
  <si>
    <t>D-Link DES 7200: 主机已重新启动</t>
  </si>
  <si>
    <t>(2796/605)</t>
  </si>
  <si>
    <t>D-Link DES_DGS Switch by SNMP</t>
  </si>
  <si>
    <t>D-Link DES_DGS Switch: High CPU utilization</t>
  </si>
  <si>
    <t>D-Link DES_DGS Switch: 高CPU利用率</t>
  </si>
  <si>
    <t>(2796/606)</t>
  </si>
  <si>
    <t>D-Link DES_DGS Switch: Firmware has changed</t>
  </si>
  <si>
    <t>D-Link DES_DGS Switch: 固件已变更</t>
  </si>
  <si>
    <t>(2796/607)</t>
  </si>
  <si>
    <t>D-Link DES_DGS Switch: Device has been replaced</t>
  </si>
  <si>
    <t>D-Link DES_DGS Switch: 设备已更换</t>
  </si>
  <si>
    <t>(2796/608)</t>
  </si>
  <si>
    <t>21688</t>
  </si>
  <si>
    <t>D-Link DES_DGS Switch: High ICMP ping loss</t>
  </si>
  <si>
    <t>D-Link DES_DGS Switch: 高ICMPping丢失</t>
  </si>
  <si>
    <t>(2796/609)</t>
  </si>
  <si>
    <t>21687</t>
  </si>
  <si>
    <t>D-Link DES_DGS Switch: Unavailable by ICMP ping</t>
  </si>
  <si>
    <t>D-Link DES_DGS Switch: ICMPping不可用</t>
  </si>
  <si>
    <t>(2796/610)</t>
  </si>
  <si>
    <t>21689</t>
  </si>
  <si>
    <t>D-Link DES_DGS Switch: High ICMP ping response time</t>
  </si>
  <si>
    <t>D-Link DES_DGS Switch: 高ICMPping响应时间</t>
  </si>
  <si>
    <t>(2796/611)</t>
  </si>
  <si>
    <t>21692</t>
  </si>
  <si>
    <t>D-Link DES_DGS Switch: No SNMP data collection</t>
  </si>
  <si>
    <t>D-Link DES_DGS Switch: 无SNMP数据收集</t>
  </si>
  <si>
    <t>(2796/612)</t>
  </si>
  <si>
    <t>21690</t>
  </si>
  <si>
    <t>D-Link DES_DGS Switch: System name has changed</t>
  </si>
  <si>
    <t>D-Link DES_DGS Switch: 系统名称已变更</t>
  </si>
  <si>
    <t>(2796/613)</t>
  </si>
  <si>
    <t>21691</t>
  </si>
  <si>
    <t>D-Link DES_DGS Switch: Host has been restarted</t>
  </si>
  <si>
    <t>D-Link DES_DGS Switch: 主机已重新启动</t>
  </si>
  <si>
    <t>(2796/614)</t>
  </si>
  <si>
    <t>DELL PowerEdge R720 by HTTP</t>
  </si>
  <si>
    <t>19260</t>
  </si>
  <si>
    <t>(2796/615)</t>
  </si>
  <si>
    <t>19261</t>
  </si>
  <si>
    <t>Dell R720: Device has been replaced</t>
  </si>
  <si>
    <t>Dell R720: 设备已更换</t>
  </si>
  <si>
    <t>(2796/616)</t>
  </si>
  <si>
    <t>19262</t>
  </si>
  <si>
    <t>Dell R720: Server is in a critical state</t>
  </si>
  <si>
    <t>Dell R720: 服务器处于严重状态</t>
  </si>
  <si>
    <t>(2796/617)</t>
  </si>
  <si>
    <t>19263</t>
  </si>
  <si>
    <t>Dell R720: Server is in warning state</t>
  </si>
  <si>
    <t>Dell R720: 服务器状态为告警</t>
  </si>
  <si>
    <t>(2796/618)</t>
  </si>
  <si>
    <t>19264</t>
  </si>
  <si>
    <t>Dell R720: Redfish API service is unavailable</t>
  </si>
  <si>
    <t>Dell R720: RedfishAPI服务不可用</t>
  </si>
  <si>
    <t>(2796/619)</t>
  </si>
  <si>
    <t>DELL PowerEdge R720 by SNMP</t>
  </si>
  <si>
    <t>19283</t>
  </si>
  <si>
    <t>(2796/620)</t>
  </si>
  <si>
    <t>19284</t>
  </si>
  <si>
    <t>(2796/621)</t>
  </si>
  <si>
    <t>19289</t>
  </si>
  <si>
    <t>(2796/622)</t>
  </si>
  <si>
    <t>19286</t>
  </si>
  <si>
    <t>(2796/623)</t>
  </si>
  <si>
    <t>19287</t>
  </si>
  <si>
    <t>(2796/624)</t>
  </si>
  <si>
    <t>19288</t>
  </si>
  <si>
    <t>(2796/625)</t>
  </si>
  <si>
    <t>19291</t>
  </si>
  <si>
    <t>(2796/626)</t>
  </si>
  <si>
    <t>19285</t>
  </si>
  <si>
    <t>Dell R720: System name has changed</t>
  </si>
  <si>
    <t>Dell R720: 系统名称已变更</t>
  </si>
  <si>
    <t>(2796/627)</t>
  </si>
  <si>
    <t>19290</t>
  </si>
  <si>
    <t>Dell R720: Host has been restarted</t>
  </si>
  <si>
    <t>Dell R720: 主机已重新启动</t>
  </si>
  <si>
    <t>(2796/628)</t>
  </si>
  <si>
    <t>DELL PowerEdge R740 by HTTP</t>
  </si>
  <si>
    <t>19311</t>
  </si>
  <si>
    <t>(2796/629)</t>
  </si>
  <si>
    <t>19312</t>
  </si>
  <si>
    <t>Dell R740: Device has been replaced</t>
  </si>
  <si>
    <t>Dell R740: 设备已更换</t>
  </si>
  <si>
    <t>(2796/630)</t>
  </si>
  <si>
    <t>19313</t>
  </si>
  <si>
    <t>Dell R740: Server is in a critical state</t>
  </si>
  <si>
    <t>Dell R740: 服务器处于严重状态</t>
  </si>
  <si>
    <t>(2796/631)</t>
  </si>
  <si>
    <t>19314</t>
  </si>
  <si>
    <t>Dell R740: Server is in warning state</t>
  </si>
  <si>
    <t>Dell R740: 服务器状态为告警</t>
  </si>
  <si>
    <t>(2796/632)</t>
  </si>
  <si>
    <t>19315</t>
  </si>
  <si>
    <t>Dell R740: Redfish API service is unavailable</t>
  </si>
  <si>
    <t>Dell R740: RedfishAPI服务不可用</t>
  </si>
  <si>
    <t>(2796/633)</t>
  </si>
  <si>
    <t>DELL PowerEdge R740 by SNMP</t>
  </si>
  <si>
    <t>19334</t>
  </si>
  <si>
    <t>(2796/634)</t>
  </si>
  <si>
    <t>19335</t>
  </si>
  <si>
    <t>(2796/635)</t>
  </si>
  <si>
    <t>(2796/636)</t>
  </si>
  <si>
    <t>19337</t>
  </si>
  <si>
    <t>(2796/637)</t>
  </si>
  <si>
    <t>(2796/638)</t>
  </si>
  <si>
    <t>(2796/639)</t>
  </si>
  <si>
    <t>(2796/640)</t>
  </si>
  <si>
    <t>19336</t>
  </si>
  <si>
    <t>Dell R740: System name has changed</t>
  </si>
  <si>
    <t>Dell R740: 系统名称已变更</t>
  </si>
  <si>
    <t>(2796/641)</t>
  </si>
  <si>
    <t>Dell R740: Host has been restarted</t>
  </si>
  <si>
    <t>Dell R740: 主机已重新启动</t>
  </si>
  <si>
    <t>(2796/642)</t>
  </si>
  <si>
    <t>DELL PowerEdge R820 by HTTP</t>
  </si>
  <si>
    <t>19362</t>
  </si>
  <si>
    <t>(2796/643)</t>
  </si>
  <si>
    <t>19363</t>
  </si>
  <si>
    <t>Dell R820: Device has been replaced</t>
  </si>
  <si>
    <t>Dell R820: 设备已更换</t>
  </si>
  <si>
    <t>(2796/644)</t>
  </si>
  <si>
    <t>19364</t>
  </si>
  <si>
    <t>Dell R820: Server is in a critical state</t>
  </si>
  <si>
    <t>Dell R820: 服务器处于严重状态</t>
  </si>
  <si>
    <t>(2796/645)</t>
  </si>
  <si>
    <t>19365</t>
  </si>
  <si>
    <t>Dell R820: Server is in warning state</t>
  </si>
  <si>
    <t>Dell R820: 服务器状态为告警</t>
  </si>
  <si>
    <t>(2796/646)</t>
  </si>
  <si>
    <t>19366</t>
  </si>
  <si>
    <t>Dell R820: Redfish API service is unavailable</t>
  </si>
  <si>
    <t>Dell R820: RedfishAPI服务不可用</t>
  </si>
  <si>
    <t>(2796/647)</t>
  </si>
  <si>
    <t>DELL PowerEdge R820 by SNMP</t>
  </si>
  <si>
    <t>19385</t>
  </si>
  <si>
    <t>(2796/648)</t>
  </si>
  <si>
    <t>19386</t>
  </si>
  <si>
    <t>(2796/649)</t>
  </si>
  <si>
    <t>19391</t>
  </si>
  <si>
    <t>(2796/650)</t>
  </si>
  <si>
    <t>19388</t>
  </si>
  <si>
    <t>(2796/651)</t>
  </si>
  <si>
    <t>19389</t>
  </si>
  <si>
    <t>(2796/652)</t>
  </si>
  <si>
    <t>19390</t>
  </si>
  <si>
    <t>(2796/653)</t>
  </si>
  <si>
    <t>19393</t>
  </si>
  <si>
    <t>(2796/654)</t>
  </si>
  <si>
    <t>19387</t>
  </si>
  <si>
    <t>Dell R820: System name has changed</t>
  </si>
  <si>
    <t>Dell R820: 系统名称已变更</t>
  </si>
  <si>
    <t>(2796/655)</t>
  </si>
  <si>
    <t>19392</t>
  </si>
  <si>
    <t>Dell R820: Host has been restarted</t>
  </si>
  <si>
    <t>Dell R820: 主机已重新启动</t>
  </si>
  <si>
    <t>(2796/656)</t>
  </si>
  <si>
    <t>DELL PowerEdge R840 by HTTP</t>
  </si>
  <si>
    <t>19413</t>
  </si>
  <si>
    <t>(2796/657)</t>
  </si>
  <si>
    <t>Dell R840: Device has been replaced</t>
  </si>
  <si>
    <t>Dell R840: 设备已更换</t>
  </si>
  <si>
    <t>(2796/658)</t>
  </si>
  <si>
    <t>Dell R840: Server is in a critical state</t>
  </si>
  <si>
    <t>Dell R840: 服务器处于严重状态</t>
  </si>
  <si>
    <t>(2796/659)</t>
  </si>
  <si>
    <t>Dell R840: Server is in warning state</t>
  </si>
  <si>
    <t>Dell R840: 服务器状态为告警</t>
  </si>
  <si>
    <t>(2796/660)</t>
  </si>
  <si>
    <t>19417</t>
  </si>
  <si>
    <t>Dell R840: Redfish API service is unavailable</t>
  </si>
  <si>
    <t>Dell R840: RedfishAPI服务不可用</t>
  </si>
  <si>
    <t>(2796/661)</t>
  </si>
  <si>
    <t>DELL PowerEdge R840 by SNMP</t>
  </si>
  <si>
    <t>19436</t>
  </si>
  <si>
    <t>(2796/662)</t>
  </si>
  <si>
    <t>19437</t>
  </si>
  <si>
    <t>(2796/663)</t>
  </si>
  <si>
    <t>19442</t>
  </si>
  <si>
    <t>(2796/664)</t>
  </si>
  <si>
    <t>19439</t>
  </si>
  <si>
    <t>(2796/665)</t>
  </si>
  <si>
    <t>19440</t>
  </si>
  <si>
    <t>(2796/666)</t>
  </si>
  <si>
    <t>19441</t>
  </si>
  <si>
    <t>(2796/667)</t>
  </si>
  <si>
    <t>19444</t>
  </si>
  <si>
    <t>(2796/668)</t>
  </si>
  <si>
    <t>19438</t>
  </si>
  <si>
    <t>Dell R840: System name has changed</t>
  </si>
  <si>
    <t>Dell R840: 系统名称已变更</t>
  </si>
  <si>
    <t>(2796/669)</t>
  </si>
  <si>
    <t>19443</t>
  </si>
  <si>
    <t>Dell R840: Host has been restarted</t>
  </si>
  <si>
    <t>Dell R840: 主机已重新启动</t>
  </si>
  <si>
    <t>(2796/670)</t>
  </si>
  <si>
    <t>Dell Force S-Series by SNMP</t>
  </si>
  <si>
    <t>21667</t>
  </si>
  <si>
    <t>Dell Force S-Series: High ICMP ping loss</t>
  </si>
  <si>
    <t>Dell Force S-Series: 高ICMPping丢失</t>
  </si>
  <si>
    <t>(2796/671)</t>
  </si>
  <si>
    <t>21666</t>
  </si>
  <si>
    <t>Dell Force S-Series: Unavailable by ICMP ping</t>
  </si>
  <si>
    <t>Dell Force S-Series: ICMPping不可用</t>
  </si>
  <si>
    <t>(2796/672)</t>
  </si>
  <si>
    <t>21668</t>
  </si>
  <si>
    <t>Dell Force S-Series: High ICMP ping response time</t>
  </si>
  <si>
    <t>Dell Force S-Series: 高ICMPping响应时间</t>
  </si>
  <si>
    <t>(2796/673)</t>
  </si>
  <si>
    <t>21671</t>
  </si>
  <si>
    <t>Dell Force S-Series: No SNMP data collection</t>
  </si>
  <si>
    <t>Dell Force S-Series: 无SNMP数据收集</t>
  </si>
  <si>
    <t>(2796/674)</t>
  </si>
  <si>
    <t>21669</t>
  </si>
  <si>
    <t>Dell Force S-Series: System name has changed</t>
  </si>
  <si>
    <t>Dell Force S-Series: 系统名称已变更</t>
  </si>
  <si>
    <t>(2796/675)</t>
  </si>
  <si>
    <t>21670</t>
  </si>
  <si>
    <t>Dell Force S-Series: Host has been restarted</t>
  </si>
  <si>
    <t>Dell Force S-Series: 主机已重新启动</t>
  </si>
  <si>
    <t>(2796/676)</t>
  </si>
  <si>
    <t>Dell iDRAC by SNMP</t>
  </si>
  <si>
    <t>Dell iDRAC: Firmware has changed</t>
  </si>
  <si>
    <t>Dell iDRAC: 固件已变更</t>
  </si>
  <si>
    <t>(2796/677)</t>
  </si>
  <si>
    <t>Dell iDRAC: Device has been replaced</t>
  </si>
  <si>
    <t>Dell iDRAC: 设备已更换</t>
  </si>
  <si>
    <t>(2796/678)</t>
  </si>
  <si>
    <t>22534</t>
  </si>
  <si>
    <t>Dell iDRAC: High ICMP ping loss</t>
  </si>
  <si>
    <t>Dell iDRAC: 高ICMPping丢失</t>
  </si>
  <si>
    <t>(2796/679)</t>
  </si>
  <si>
    <t>22533</t>
  </si>
  <si>
    <t>Dell iDRAC: Unavailable by ICMP ping</t>
  </si>
  <si>
    <t>Dell iDRAC: ICMPping不可用</t>
  </si>
  <si>
    <t>(2796/680)</t>
  </si>
  <si>
    <t>22535</t>
  </si>
  <si>
    <t>Dell iDRAC: High ICMP ping response time</t>
  </si>
  <si>
    <t>Dell iDRAC: 高ICMPping响应时间</t>
  </si>
  <si>
    <t>(2796/681)</t>
  </si>
  <si>
    <t>Dell iDRAC: Operating system description has changed</t>
  </si>
  <si>
    <t>Dell iDRAC: 操作系统描述已变更</t>
  </si>
  <si>
    <t>(2796/682)</t>
  </si>
  <si>
    <t>Dell iDRAC: System status is in critical state</t>
  </si>
  <si>
    <t>Dell iDRAC: 系统状态状态为严重告警</t>
  </si>
  <si>
    <t>(2796/683)</t>
  </si>
  <si>
    <t>Dell iDRAC: System is in unrecoverable state!</t>
  </si>
  <si>
    <t>Dell iDRAC: 系统处于不可恢复状态!</t>
  </si>
  <si>
    <t>(2796/684)</t>
  </si>
  <si>
    <t>Dell iDRAC: System status is in warning state</t>
  </si>
  <si>
    <t>Dell iDRAC: 系统状态状态为告警</t>
  </si>
  <si>
    <t>(2796/685)</t>
  </si>
  <si>
    <t>22538</t>
  </si>
  <si>
    <t>Dell iDRAC: No SNMP data collection</t>
  </si>
  <si>
    <t>Dell iDRAC: 无SNMP数据收集</t>
  </si>
  <si>
    <t>(2796/686)</t>
  </si>
  <si>
    <t>22536</t>
  </si>
  <si>
    <t>Dell iDRAC: System name has changed</t>
  </si>
  <si>
    <t>Dell iDRAC: 系统名称已变更</t>
  </si>
  <si>
    <t>(2796/687)</t>
  </si>
  <si>
    <t>22537</t>
  </si>
  <si>
    <t>Dell iDRAC: Host has been restarted</t>
  </si>
  <si>
    <t>Dell iDRAC: 主机已重新启动</t>
  </si>
  <si>
    <t>(2796/688)</t>
  </si>
  <si>
    <t>Docker by Zabbix agent 2</t>
  </si>
  <si>
    <t>Docker: Failed to fetch info data</t>
  </si>
  <si>
    <t>Docker: 无法获取信息数据</t>
  </si>
  <si>
    <t>(2796/689)</t>
  </si>
  <si>
    <t>(2796/690)</t>
  </si>
  <si>
    <t>Docker: Version has changed</t>
  </si>
  <si>
    <t>Docker: 版本已变更</t>
  </si>
  <si>
    <t>(2796/691)</t>
  </si>
  <si>
    <t>Elasticsearch Cluster by HTTP</t>
  </si>
  <si>
    <t>(2796/692)</t>
  </si>
  <si>
    <t>(2796/693)</t>
  </si>
  <si>
    <t>(2796/694)</t>
  </si>
  <si>
    <t>16783</t>
  </si>
  <si>
    <t>ES: Cluster has been restarted</t>
  </si>
  <si>
    <t>ES: 集群已重新启动</t>
  </si>
  <si>
    <t>(2796/695)</t>
  </si>
  <si>
    <t>(2796/696)</t>
  </si>
  <si>
    <t>(2796/697)</t>
  </si>
  <si>
    <t>(2796/698)</t>
  </si>
  <si>
    <t>(2796/699)</t>
  </si>
  <si>
    <t>(2796/700)</t>
  </si>
  <si>
    <t>(2796/701)</t>
  </si>
  <si>
    <t>ES: Service response time is too high</t>
  </si>
  <si>
    <t>ES: 服务响应时间太长</t>
  </si>
  <si>
    <t>(2796/702)</t>
  </si>
  <si>
    <t>(2796/703)</t>
  </si>
  <si>
    <t>Envoy Proxy by HTTP</t>
  </si>
  <si>
    <t>22670</t>
  </si>
  <si>
    <t>Envoy Proxy: SSL certificate expires soon</t>
  </si>
  <si>
    <t>Envoy Proxy: SSL证书即将到期</t>
  </si>
  <si>
    <t>(2796/704)</t>
  </si>
  <si>
    <t>22671</t>
  </si>
  <si>
    <t>Envoy Proxy: Server state is not live</t>
  </si>
  <si>
    <t>Envoy Proxy: 服务器状态未激活</t>
  </si>
  <si>
    <t>(2796/705)</t>
  </si>
  <si>
    <t>22673</t>
  </si>
  <si>
    <t>Envoy Proxy: Service has been restarted</t>
  </si>
  <si>
    <t>Envoy Proxy: 服务已重新启动</t>
  </si>
  <si>
    <t>(2796/706)</t>
  </si>
  <si>
    <t>22672</t>
  </si>
  <si>
    <t>Envoy Proxy: Failed to fetch metrics data</t>
  </si>
  <si>
    <t>Envoy Proxy: 无法获取指标数据</t>
  </si>
  <si>
    <t>(2796/707)</t>
  </si>
  <si>
    <t>Etcd by HTTP</t>
  </si>
  <si>
    <t>Etcd: Cluster version has changed</t>
  </si>
  <si>
    <t>Etcd: 集群版本已变更</t>
  </si>
  <si>
    <t>(2796/708)</t>
  </si>
  <si>
    <t>Etcd: Too many HTTP requests failures</t>
  </si>
  <si>
    <t>Etcd: 太多HTTP请求失败</t>
  </si>
  <si>
    <t>(2796/709)</t>
  </si>
  <si>
    <t>Etcd: Instance has seen too many leader changes</t>
  </si>
  <si>
    <t>Etcd: 实例已看到太多leader变更</t>
  </si>
  <si>
    <t>(2796/710)</t>
  </si>
  <si>
    <t>Etcd: Current number of open files is too high</t>
  </si>
  <si>
    <t>Etcd: 当前打开的文件数太多</t>
  </si>
  <si>
    <t>(2796/711)</t>
  </si>
  <si>
    <t>(2796/712)</t>
  </si>
  <si>
    <t>Etcd: Too many proposal failures</t>
  </si>
  <si>
    <t>Etcd: 太多提案失败</t>
  </si>
  <si>
    <t>(2796/713)</t>
  </si>
  <si>
    <t>Etcd: Too many proposals are queued to commit</t>
  </si>
  <si>
    <t>Etcd: 太多排队提交的提案</t>
  </si>
  <si>
    <t>(2796/714)</t>
  </si>
  <si>
    <t>Etcd: 成员没有leader</t>
  </si>
  <si>
    <t>(2796/715)</t>
  </si>
  <si>
    <t>Etcd: Failed to fetch info data</t>
  </si>
  <si>
    <t>Etcd: 无法获取信息数据</t>
  </si>
  <si>
    <t>(2796/716)</t>
  </si>
  <si>
    <t>Etcd: Server version has changed</t>
  </si>
  <si>
    <t>Etcd: 服务器版本已变更</t>
  </si>
  <si>
    <t>(2796/717)</t>
  </si>
  <si>
    <t>(2796/718)</t>
  </si>
  <si>
    <t>Etcd: Host has been restarted</t>
  </si>
  <si>
    <t>Etcd: 主机已重新启动</t>
  </si>
  <si>
    <t>(2796/719)</t>
  </si>
  <si>
    <t>Extreme EXOS by SNMP</t>
  </si>
  <si>
    <t>Device: Temperature is above warning threshold</t>
  </si>
  <si>
    <t>Device: 温度高于告警阈值</t>
  </si>
  <si>
    <t>(2796/720)</t>
  </si>
  <si>
    <t>Device: Temperature is too low</t>
  </si>
  <si>
    <t>Device: 温度过低</t>
  </si>
  <si>
    <t>(2796/721)</t>
  </si>
  <si>
    <t>Device: Temperature is above critical threshold</t>
  </si>
  <si>
    <t>Device: 温度高于临界阈值</t>
  </si>
  <si>
    <t>(2796/722)</t>
  </si>
  <si>
    <t>Extreme EXOS: High CPU utilization</t>
  </si>
  <si>
    <t>Extreme EXOS: 高CPU利用率</t>
  </si>
  <si>
    <t>(2796/723)</t>
  </si>
  <si>
    <t>Extreme EXOS: Firmware has changed</t>
  </si>
  <si>
    <t>Extreme EXOS: 固件已变更</t>
  </si>
  <si>
    <t>(2796/724)</t>
  </si>
  <si>
    <t>Extreme EXOS: Device has been replaced</t>
  </si>
  <si>
    <t>Extreme EXOS: 设备已更换</t>
  </si>
  <si>
    <t>(2796/725)</t>
  </si>
  <si>
    <t>21699</t>
  </si>
  <si>
    <t>Extreme EXOS: High ICMP ping loss</t>
  </si>
  <si>
    <t>Extreme EXOS: 高ICMPping丢失</t>
  </si>
  <si>
    <t>(2796/726)</t>
  </si>
  <si>
    <t>21698</t>
  </si>
  <si>
    <t>Extreme EXOS: Unavailable by ICMP ping</t>
  </si>
  <si>
    <t>Extreme EXOS: ICMPping不可用</t>
  </si>
  <si>
    <t>(2796/727)</t>
  </si>
  <si>
    <t>21700</t>
  </si>
  <si>
    <t>Extreme EXOS: High ICMP ping response time</t>
  </si>
  <si>
    <t>Extreme EXOS: 高ICMPping响应时间</t>
  </si>
  <si>
    <t>(2796/728)</t>
  </si>
  <si>
    <t>Extreme EXOS: Operating system description has changed</t>
  </si>
  <si>
    <t>Extreme EXOS: 操作系统描述已变更</t>
  </si>
  <si>
    <t>(2796/729)</t>
  </si>
  <si>
    <t>21703</t>
  </si>
  <si>
    <t>Extreme EXOS: No SNMP data collection</t>
  </si>
  <si>
    <t>Extreme EXOS: 无SNMP数据收集</t>
  </si>
  <si>
    <t>(2796/730)</t>
  </si>
  <si>
    <t>21701</t>
  </si>
  <si>
    <t>Extreme EXOS: System name has changed</t>
  </si>
  <si>
    <t>Extreme EXOS: 系统名称已变更</t>
  </si>
  <si>
    <t>(2796/731)</t>
  </si>
  <si>
    <t>21702</t>
  </si>
  <si>
    <t>Extreme EXOS: Host has been restarted</t>
  </si>
  <si>
    <t>Extreme EXOS: 主机已重新启动</t>
  </si>
  <si>
    <t>(2796/732)</t>
  </si>
  <si>
    <t>F5 Big-IP by SNMP</t>
  </si>
  <si>
    <t>19018</t>
  </si>
  <si>
    <t>F5 BIG-IP: Chassis has been replaced</t>
  </si>
  <si>
    <t>F5 BIG-IP: 主板已更换</t>
  </si>
  <si>
    <t>(2796/733)</t>
  </si>
  <si>
    <t>19660</t>
  </si>
  <si>
    <t>F5 BIG-IP: Cluster not in sync</t>
  </si>
  <si>
    <t>F5 BIG-IP: 集群不同步</t>
  </si>
  <si>
    <t>(2796/734)</t>
  </si>
  <si>
    <t>(2796/735)</t>
  </si>
  <si>
    <t>19661</t>
  </si>
  <si>
    <t>F5 BIG-IP: Changes have been made on the device not sync</t>
  </si>
  <si>
    <t>F5 BIG-IP: 设备上的变更不同步</t>
  </si>
  <si>
    <t>(2796/736)</t>
  </si>
  <si>
    <t>19662</t>
  </si>
  <si>
    <t>F5 BIG-IP: The device is inconsistent with the device group</t>
  </si>
  <si>
    <t>F5 BIG-IP: 设备与设备组不一致</t>
  </si>
  <si>
    <t>(2796/737)</t>
  </si>
  <si>
    <t>F5 BIG-IP: Host has been restarted</t>
  </si>
  <si>
    <t>F5 BIG-IP: 主机被重启了</t>
  </si>
  <si>
    <t>(2796/738)</t>
  </si>
  <si>
    <t>FTP Service</t>
  </si>
  <si>
    <t>22675</t>
  </si>
  <si>
    <t>(2796/739)</t>
  </si>
  <si>
    <t>FortiGate by HTTP</t>
  </si>
  <si>
    <t>23323</t>
  </si>
  <si>
    <t>FortiGate: Unexpected response from API</t>
  </si>
  <si>
    <t>FortiGate: API返回了意外的响应</t>
  </si>
  <si>
    <t>(2796/740)</t>
  </si>
  <si>
    <t>23326</t>
  </si>
  <si>
    <t>FortiGate: New available firmware found</t>
  </si>
  <si>
    <t>FortiGate: 现新的可用固件</t>
  </si>
  <si>
    <t>(2796/741)</t>
  </si>
  <si>
    <t>23341</t>
  </si>
  <si>
    <t>FortiGate: Port {$FGATE.API.PORT} is unavailable</t>
  </si>
  <si>
    <t>FortiGate: 端口{$FGATE.API.PORT}不可用</t>
  </si>
  <si>
    <t>(2796/742)</t>
  </si>
  <si>
    <t>23324</t>
  </si>
  <si>
    <t>FortiGate: CPU utilization is high</t>
  </si>
  <si>
    <t>FortiGate: CPU利用率过高</t>
  </si>
  <si>
    <t>(2796/743)</t>
  </si>
  <si>
    <t>23325</t>
  </si>
  <si>
    <t>FortiGate: CPU utilization is too high</t>
  </si>
  <si>
    <t>FortiGate: CPU利用率太高</t>
  </si>
  <si>
    <t>(2796/744)</t>
  </si>
  <si>
    <t>23328</t>
  </si>
  <si>
    <t>FortiGate: There are errors in the 'Get firmware info' metric</t>
  </si>
  <si>
    <t>FortiGate: '获取固件信息'度量中存在错误</t>
  </si>
  <si>
    <t>(2796/745)</t>
  </si>
  <si>
    <t>23335</t>
  </si>
  <si>
    <t>FortiGate: There are errors in the 'Get interfaces data' metric</t>
  </si>
  <si>
    <t>FortiGate: '获取接口数据'度量中存在错误</t>
  </si>
  <si>
    <t>(2796/746)</t>
  </si>
  <si>
    <t>23336</t>
  </si>
  <si>
    <t>FortiGate: There are errors in the 'Get resources data' metric</t>
  </si>
  <si>
    <t>FortiGate: '获取资源数据'度量中存在错误</t>
  </si>
  <si>
    <t>(2796/747)</t>
  </si>
  <si>
    <t>23327</t>
  </si>
  <si>
    <t>FortiGate: Device has been replaced</t>
  </si>
  <si>
    <t>FortiGate: 设备已被替换</t>
  </si>
  <si>
    <t>(2796/748)</t>
  </si>
  <si>
    <t>23339</t>
  </si>
  <si>
    <t>FortiGate: There are errors in the 'Get system info' metric</t>
  </si>
  <si>
    <t>FortiGate: '获取系统信息'度量中存在错误</t>
  </si>
  <si>
    <t>(2796/749)</t>
  </si>
  <si>
    <t>23329</t>
  </si>
  <si>
    <t>FortiGate: Free disk space is low</t>
  </si>
  <si>
    <t>FortiGate: 剩余磁盘空间过低</t>
  </si>
  <si>
    <t>(2796/750)</t>
  </si>
  <si>
    <t>23330</t>
  </si>
  <si>
    <t>FortiGate: Free disk space is too low</t>
  </si>
  <si>
    <t>FortiGate: 剩余磁盘空间太低</t>
  </si>
  <si>
    <t>(2796/751)</t>
  </si>
  <si>
    <t>23331</t>
  </si>
  <si>
    <t>FortiGate: There are errors in the 'Get firewall policies data' metric</t>
  </si>
  <si>
    <t>FortiGate: '获取防火墙策略数据'度量中存在错误</t>
  </si>
  <si>
    <t>(2796/752)</t>
  </si>
  <si>
    <t>23337</t>
  </si>
  <si>
    <t>FortiGate: There are errors in the 'Get SD-WAN data' metric</t>
  </si>
  <si>
    <t>FortiGate: '获取SD-WAN数据'度量中存在错误</t>
  </si>
  <si>
    <t>(2796/753)</t>
  </si>
  <si>
    <t>23332</t>
  </si>
  <si>
    <t>FortiGate: Memory utilization is high</t>
  </si>
  <si>
    <t>FortiGate: 内存利用率过高</t>
  </si>
  <si>
    <t>(2796/754)</t>
  </si>
  <si>
    <t>23333</t>
  </si>
  <si>
    <t>FortiGate: Memory utilization is too high</t>
  </si>
  <si>
    <t>FortiGate: 内存利用率太高</t>
  </si>
  <si>
    <t>(2796/755)</t>
  </si>
  <si>
    <t>23338</t>
  </si>
  <si>
    <t>FortiGate: There are errors in the 'Get service licenses' metric</t>
  </si>
  <si>
    <t>FortiGate: '获取服务许可证'度量中存在错误</t>
  </si>
  <si>
    <t>(2796/756)</t>
  </si>
  <si>
    <t>23334</t>
  </si>
  <si>
    <t>FortiGate: System name has changed</t>
  </si>
  <si>
    <t>FortiGate: 系统名称已更改</t>
  </si>
  <si>
    <t>(2796/757)</t>
  </si>
  <si>
    <t>23340</t>
  </si>
  <si>
    <t>FortiGate: Device has been restarted</t>
  </si>
  <si>
    <t>FortiGate: 设备已重新启动</t>
  </si>
  <si>
    <t>(2796/758)</t>
  </si>
  <si>
    <t>FortiGate by SNMP</t>
  </si>
  <si>
    <t>23355</t>
  </si>
  <si>
    <t>FortiGate: High CPU utilization</t>
  </si>
  <si>
    <t>(2796/759)</t>
  </si>
  <si>
    <t>23359</t>
  </si>
  <si>
    <t>(2796/760)</t>
  </si>
  <si>
    <t>23555</t>
  </si>
  <si>
    <t>(2796/761)</t>
  </si>
  <si>
    <t>23356</t>
  </si>
  <si>
    <t>(2796/762)</t>
  </si>
  <si>
    <t>23353</t>
  </si>
  <si>
    <t>FortiGate: High ICMP ping loss</t>
  </si>
  <si>
    <t>FortiGate: ICMP Ping丢包率过高</t>
  </si>
  <si>
    <t>(2796/763)</t>
  </si>
  <si>
    <t>23352</t>
  </si>
  <si>
    <t>FortiGate: Unavailable by ICMP ping</t>
  </si>
  <si>
    <t>FortiGate: 无法通过ICMP Ping进行访问</t>
  </si>
  <si>
    <t>(2796/764)</t>
  </si>
  <si>
    <t>23354</t>
  </si>
  <si>
    <t>FortiGate: High ICMP ping response time</t>
  </si>
  <si>
    <t>FortiGate: ICMP Ping响应时间过长</t>
  </si>
  <si>
    <t>(2796/765)</t>
  </si>
  <si>
    <t>23360</t>
  </si>
  <si>
    <t>FortiGate: High memory utilization</t>
  </si>
  <si>
    <t>(2796/766)</t>
  </si>
  <si>
    <t>23361</t>
  </si>
  <si>
    <t>FortiGate: No SNMP data collection</t>
  </si>
  <si>
    <t>FortiGate: 无法收集SNMP数据</t>
  </si>
  <si>
    <t>(2796/767)</t>
  </si>
  <si>
    <t>23357</t>
  </si>
  <si>
    <t>(2796/768)</t>
  </si>
  <si>
    <t>23358</t>
  </si>
  <si>
    <t>(2796/769)</t>
  </si>
  <si>
    <t>FreeBSD by Zabbix agent</t>
  </si>
  <si>
    <t>FreeBSD: Lack of available memory on server {HOST.NAME}</t>
  </si>
  <si>
    <t>FreeBSD: 服务器{HOST.NAME}上缺少可用内存</t>
  </si>
  <si>
    <t>(2796/770)</t>
  </si>
  <si>
    <t>FreeBSD: /etc/passwd has been changed on {HOST.NAME}</t>
  </si>
  <si>
    <t>FreeBSD: /etc/passwd已在{HOST.NAME}上变更</t>
  </si>
  <si>
    <t>(2796/771)</t>
  </si>
  <si>
    <t>FreeBSD: Lack of free swap space on {HOST.NAME}</t>
  </si>
  <si>
    <t>FreeBSD: {HOST.NAME}上缺少swap分区剩余量</t>
  </si>
  <si>
    <t>(2796/772)</t>
  </si>
  <si>
    <t>FreeBSD: Hostname was changed on {HOST.NAME}</t>
  </si>
  <si>
    <t>FreeBSD: 主机名已在{HOST.NAME}上变更</t>
  </si>
  <si>
    <t>(2796/773)</t>
  </si>
  <si>
    <t>17116</t>
  </si>
  <si>
    <t>FreeBSD: Configured max number of opened files is too low on {HOST.NAME}</t>
  </si>
  <si>
    <t>FreeBSD: {HOST.NAME}上配置的最大打开文件数太低</t>
  </si>
  <si>
    <t>(2796/774)</t>
  </si>
  <si>
    <t>FreeBSD: Configured max number of processes is too low on {HOST.NAME}</t>
  </si>
  <si>
    <t>FreeBSD: {HOST.NAME}上配置的最大进程数太低</t>
  </si>
  <si>
    <t>(2796/775)</t>
  </si>
  <si>
    <t>FreeBSD: Too many processes on {HOST.NAME}</t>
  </si>
  <si>
    <t>FreeBSD: {HOST.NAME}上的进程太多</t>
  </si>
  <si>
    <t>(2796/776)</t>
  </si>
  <si>
    <t>FreeBSD: Too many processes running on {HOST.NAME}</t>
  </si>
  <si>
    <t>FreeBSD: {HOST.NAME}上运行的进程太多</t>
  </si>
  <si>
    <t>(2796/777)</t>
  </si>
  <si>
    <t>FreeBSD: Processor load is too high on {HOST.NAME}</t>
  </si>
  <si>
    <t>FreeBSD: {HOST.NAME}上的处理器负载太高</t>
  </si>
  <si>
    <t>(2796/778)</t>
  </si>
  <si>
    <t>FreeBSD: Host information was changed on {HOST.NAME}</t>
  </si>
  <si>
    <t>FreeBSD: {HOST.NAME}上的主机信息已变更</t>
  </si>
  <si>
    <t>(2796/779)</t>
  </si>
  <si>
    <t>FreeBSD: {HOST.NAME} has just been restarted</t>
  </si>
  <si>
    <t>FreeBSD: {HOST.NAME}刚刚重新启动</t>
  </si>
  <si>
    <t>(2796/780)</t>
  </si>
  <si>
    <t>22366</t>
  </si>
  <si>
    <t>FreeBSD: Zabbix agent is not available</t>
  </si>
  <si>
    <t>FreeBSD: Zabbix agent 不可用</t>
  </si>
  <si>
    <t>(2796/781)</t>
  </si>
  <si>
    <t>GCP Cloud SQL MSSQL by HTTP</t>
  </si>
  <si>
    <t>23159</t>
  </si>
  <si>
    <t>GCP Cloud SQL MSSQL: High CPU utilization</t>
  </si>
  <si>
    <t>GCP Cloud SQL MSSQL: 高CPU使用率</t>
  </si>
  <si>
    <t>(2796/782)</t>
  </si>
  <si>
    <t>23160</t>
  </si>
  <si>
    <t>GCP Cloud SQL MSSQL: Database engine is down</t>
  </si>
  <si>
    <t>GCP Cloud SQL MSSQL: 数据库引擎已关闭</t>
  </si>
  <si>
    <t>(2796/783)</t>
  </si>
  <si>
    <t>23161</t>
  </si>
  <si>
    <t>GCP Cloud SQL MSSQL: Disk space is critically low</t>
  </si>
  <si>
    <t>GCP Cloud SQL MSSQL: 磁盘空间严重不足</t>
  </si>
  <si>
    <t>(2796/784)</t>
  </si>
  <si>
    <t>23162</t>
  </si>
  <si>
    <t>GCP Cloud SQL MSSQL: Disk space is low</t>
  </si>
  <si>
    <t>GCP Cloud SQL MSSQL: 磁盘空间不足</t>
  </si>
  <si>
    <t>(2796/785)</t>
  </si>
  <si>
    <t>23163</t>
  </si>
  <si>
    <t>GCP Cloud SQL MSSQL: Failed to get the instance state</t>
  </si>
  <si>
    <t>GCP Cloud SQL MSSQL: 获取实例状态失败</t>
  </si>
  <si>
    <t>(2796/786)</t>
  </si>
  <si>
    <t>23164</t>
  </si>
  <si>
    <t>GCP Cloud SQL MSSQL: Instance is in failed state</t>
  </si>
  <si>
    <t>GCP Cloud SQL MSSQL: 实例处于失败状态</t>
  </si>
  <si>
    <t>(2796/787)</t>
  </si>
  <si>
    <t>23165</t>
  </si>
  <si>
    <t>GCP Cloud SQL MSSQL: Instance is in maintenance</t>
  </si>
  <si>
    <t>GCP Cloud SQL MSSQL: 实例维护中</t>
  </si>
  <si>
    <t>(2796/788)</t>
  </si>
  <si>
    <t>23166</t>
  </si>
  <si>
    <t>GCP Cloud SQL MSSQL: Instance is in suspended state</t>
  </si>
  <si>
    <t>GCP Cloud SQL MSSQL: 实例处于挂起状态</t>
  </si>
  <si>
    <t>(2796/789)</t>
  </si>
  <si>
    <t>23167</t>
  </si>
  <si>
    <t>GCP Cloud SQL MSSQL: Instance is in unknown state</t>
  </si>
  <si>
    <t>GCP Cloud SQL MSSQL: 实例处于未知状态</t>
  </si>
  <si>
    <t>(2796/790)</t>
  </si>
  <si>
    <t>23168</t>
  </si>
  <si>
    <t>GCP Cloud SQL MSSQL: Instance is stopped by the owner</t>
  </si>
  <si>
    <t>GCP Cloud SQL MSSQL: 实例已被所有者停止</t>
  </si>
  <si>
    <t>(2796/791)</t>
  </si>
  <si>
    <t>23169</t>
  </si>
  <si>
    <t>GCP Cloud SQL MSSQL: High memory utilization</t>
  </si>
  <si>
    <t>GCP Cloud SQL MSSQL: 内存利用率高</t>
  </si>
  <si>
    <t>(2796/792)</t>
  </si>
  <si>
    <t>GCP Cloud SQL MySQL by HTTP</t>
  </si>
  <si>
    <t>23170</t>
  </si>
  <si>
    <t>GCP Cloud SQL MySQL: High CPU utilization</t>
  </si>
  <si>
    <t>GCP Cloud SQL MySQL: 高CPU使用率</t>
  </si>
  <si>
    <t>(2796/793)</t>
  </si>
  <si>
    <t>23171</t>
  </si>
  <si>
    <t>GCP Cloud SQL MySQL: Database engine is down</t>
  </si>
  <si>
    <t>GCP Cloud SQL MySQL: 数据库引擎已关闭</t>
  </si>
  <si>
    <t>(2796/794)</t>
  </si>
  <si>
    <t>23172</t>
  </si>
  <si>
    <t>GCP Cloud SQL MySQL: Disk space is critically low</t>
  </si>
  <si>
    <t>GCP Cloud SQL MySQL: 磁盘空间严重不足</t>
  </si>
  <si>
    <t>(2796/795)</t>
  </si>
  <si>
    <t>23173</t>
  </si>
  <si>
    <t>GCP Cloud SQL MySQL: Disk space is low</t>
  </si>
  <si>
    <t>GCP Cloud SQL MySQL: 磁盘空间不足</t>
  </si>
  <si>
    <t>(2796/796)</t>
  </si>
  <si>
    <t>23174</t>
  </si>
  <si>
    <t>GCP Cloud SQL MySQL: Failed to get the instance state</t>
  </si>
  <si>
    <t>GCP Cloud SQL MySQL: 获取实例状态失败</t>
  </si>
  <si>
    <t>(2796/797)</t>
  </si>
  <si>
    <t>23175</t>
  </si>
  <si>
    <t>GCP Cloud SQL MySQL: Instance is in failed state</t>
  </si>
  <si>
    <t>GCP Cloud SQL MySQL: 实例处于失败状态</t>
  </si>
  <si>
    <t>(2796/798)</t>
  </si>
  <si>
    <t>23176</t>
  </si>
  <si>
    <t>GCP Cloud SQL MySQL: Instance is in maintenance</t>
  </si>
  <si>
    <t>GCP Cloud SQL MySQL: 实例维护中</t>
  </si>
  <si>
    <t>(2796/799)</t>
  </si>
  <si>
    <t>23177</t>
  </si>
  <si>
    <t>GCP Cloud SQL MySQL: Instance is in suspended state</t>
  </si>
  <si>
    <t>GCP Cloud SQL MySQL: 实例处于挂起状态</t>
  </si>
  <si>
    <t>(2796/800)</t>
  </si>
  <si>
    <t>23178</t>
  </si>
  <si>
    <t>GCP Cloud SQL MySQL: Instance is in unknown state</t>
  </si>
  <si>
    <t>GCP Cloud SQL MySQL: 实例处于未知状态</t>
  </si>
  <si>
    <t>(2796/801)</t>
  </si>
  <si>
    <t>23179</t>
  </si>
  <si>
    <t>GCP Cloud SQL MySQL: Instance is stopped by the owner</t>
  </si>
  <si>
    <t>GCP Cloud SQL MySQL: 实例已被所有者停止</t>
  </si>
  <si>
    <t>(2796/802)</t>
  </si>
  <si>
    <t>23180</t>
  </si>
  <si>
    <t>GCP Cloud SQL MySQL: High memory utilization</t>
  </si>
  <si>
    <t>GCP Cloud SQL MySQL: 内存利用率高</t>
  </si>
  <si>
    <t>(2796/803)</t>
  </si>
  <si>
    <t>GCP Cloud SQL PostgreSQL by HTTP</t>
  </si>
  <si>
    <t>23181</t>
  </si>
  <si>
    <t>GCP Cloud SQL PostgreSQL: High CPU utilization</t>
  </si>
  <si>
    <t>GCP Cloud SQL PostgreSQL: 高CPU使用率</t>
  </si>
  <si>
    <t>(2796/804)</t>
  </si>
  <si>
    <t>23182</t>
  </si>
  <si>
    <t>GCP Cloud SQL PostgreSQL: Database engine is down</t>
  </si>
  <si>
    <t>GCP Cloud SQL PostgreSQL: 数据库引擎已关闭</t>
  </si>
  <si>
    <t>(2796/805)</t>
  </si>
  <si>
    <t>23183</t>
  </si>
  <si>
    <t>GCP Cloud SQL PostgreSQL: Disk space is critically low</t>
  </si>
  <si>
    <t>GCP Cloud SQL PostgreSQL: 磁盘空间严重不足</t>
  </si>
  <si>
    <t>(2796/806)</t>
  </si>
  <si>
    <t>23184</t>
  </si>
  <si>
    <t>GCP Cloud SQL PostgreSQL: Disk space is low</t>
  </si>
  <si>
    <t>GCP Cloud SQL PostgreSQL: 磁盘空间不足</t>
  </si>
  <si>
    <t>(2796/807)</t>
  </si>
  <si>
    <t>23185</t>
  </si>
  <si>
    <t>GCP Cloud SQL PostgreSQL: Failed to get the instance state</t>
  </si>
  <si>
    <t>GCP Cloud SQL PostgreSQL: 获取实例状态失败</t>
  </si>
  <si>
    <t>(2796/808)</t>
  </si>
  <si>
    <t>23186</t>
  </si>
  <si>
    <t>GCP Cloud SQL PostgreSQL: Instance is in failed state</t>
  </si>
  <si>
    <t>GCP Cloud SQL PostgreSQL: 实例处于失败状态</t>
  </si>
  <si>
    <t>(2796/809)</t>
  </si>
  <si>
    <t>23187</t>
  </si>
  <si>
    <t>GCP Cloud SQL PostgreSQL: Instance is in maintenance</t>
  </si>
  <si>
    <t>GCP Cloud SQL PostgreSQL: 实例维护中</t>
  </si>
  <si>
    <t>(2796/810)</t>
  </si>
  <si>
    <t>23188</t>
  </si>
  <si>
    <t>GCP Cloud SQL PostgreSQL: Instance is in suspended state</t>
  </si>
  <si>
    <t>GCP Cloud SQL PostgreSQL: 实例处于挂起状态</t>
  </si>
  <si>
    <t>(2796/811)</t>
  </si>
  <si>
    <t>23189</t>
  </si>
  <si>
    <t>GCP Cloud SQL PostgreSQL: Instance is in unknown state</t>
  </si>
  <si>
    <t>GCP Cloud SQL PostgreSQL: 实例处于未知状态</t>
  </si>
  <si>
    <t>(2796/812)</t>
  </si>
  <si>
    <t>23190</t>
  </si>
  <si>
    <t>GCP Cloud SQL PostgreSQL: Instance is stopped by the owner</t>
  </si>
  <si>
    <t>GCP Cloud SQL PostgreSQL: 实例已被所有者停止</t>
  </si>
  <si>
    <t>(2796/813)</t>
  </si>
  <si>
    <t>23191</t>
  </si>
  <si>
    <t>GCP Cloud SQL PostgreSQL: High memory utilization</t>
  </si>
  <si>
    <t>GCP Cloud SQL PostgreSQL: 内存利用率高</t>
  </si>
  <si>
    <t>(2796/814)</t>
  </si>
  <si>
    <t>GCP Compute Engine Instance by HTTP</t>
  </si>
  <si>
    <t>23192</t>
  </si>
  <si>
    <t>GCP Compute Engine: High CPU utilization</t>
  </si>
  <si>
    <t>GCP Compute Engine: 高CPU使用率</t>
  </si>
  <si>
    <t>(2796/815)</t>
  </si>
  <si>
    <t>23193</t>
  </si>
  <si>
    <t>GCP Compute Engine: Failed to get the instance state</t>
  </si>
  <si>
    <t>GCP Compute Engine: 获取实例状态失败</t>
  </si>
  <si>
    <t>(2796/816)</t>
  </si>
  <si>
    <t>23194</t>
  </si>
  <si>
    <t>GCP Compute Engine: Instance is in suspended state</t>
  </si>
  <si>
    <t>GCP Compute Engine: 实例处于失败状态</t>
  </si>
  <si>
    <t>(2796/817)</t>
  </si>
  <si>
    <t>23195</t>
  </si>
  <si>
    <t>GCP Compute Engine: The instance is in repairing state</t>
  </si>
  <si>
    <t>GCP Compute Engine: 实例维护中</t>
  </si>
  <si>
    <t>(2796/818)</t>
  </si>
  <si>
    <t>23196</t>
  </si>
  <si>
    <t>GCP Compute Engine: The instance is in terminated state</t>
  </si>
  <si>
    <t>GCP Compute Engine: 实例处于挂起状态</t>
  </si>
  <si>
    <t>(2796/819)</t>
  </si>
  <si>
    <t>23197</t>
  </si>
  <si>
    <t>GCP Compute Engine: High memory utilization</t>
  </si>
  <si>
    <t>GCP Compute Engine: 实例处于未知状态</t>
  </si>
  <si>
    <t>(2796/820)</t>
  </si>
  <si>
    <t>GCP by HTTP</t>
  </si>
  <si>
    <t>23158</t>
  </si>
  <si>
    <t>GCP: Authorization has failed</t>
  </si>
  <si>
    <t>GCP: 授权失败</t>
  </si>
  <si>
    <t>(2796/821)</t>
  </si>
  <si>
    <t>Generic Java JMX</t>
  </si>
  <si>
    <t>(2796/822)</t>
  </si>
  <si>
    <t>17066</t>
  </si>
  <si>
    <t>Memory: Heap memory usage is high</t>
  </si>
  <si>
    <t>Memory: 堆内存使用率高了</t>
  </si>
  <si>
    <t>(2796/823)</t>
  </si>
  <si>
    <t>17067</t>
  </si>
  <si>
    <t>Memory: Non-Heap memory usage is high</t>
  </si>
  <si>
    <t>Memory: 非堆内存使用率高了</t>
  </si>
  <si>
    <t>(2796/824)</t>
  </si>
  <si>
    <t>OperatingSystem: Opened file descriptor count is high</t>
  </si>
  <si>
    <t>OperatingSystem: 打开的文件描述符计数很高了</t>
  </si>
  <si>
    <t>(2796/825)</t>
  </si>
  <si>
    <t>OperatingSystem: Process CPU Load is high</t>
  </si>
  <si>
    <t>OperatingSystem: 进程CPU负载高</t>
  </si>
  <si>
    <t>(2796/826)</t>
  </si>
  <si>
    <t>(2796/827)</t>
  </si>
  <si>
    <t>(2796/828)</t>
  </si>
  <si>
    <t>Generic by SNMP</t>
  </si>
  <si>
    <t>21270</t>
  </si>
  <si>
    <t>Generic SNMP: Unavailable by ICMP ping</t>
  </si>
  <si>
    <t>Generic SNMP: ICMPping不可用</t>
  </si>
  <si>
    <t>(2796/829)</t>
  </si>
  <si>
    <t>21271</t>
  </si>
  <si>
    <t>Generic SNMP: High ICMP ping loss</t>
  </si>
  <si>
    <t>Generic SNMP: 高ICMPping丢失</t>
  </si>
  <si>
    <t>(2796/830)</t>
  </si>
  <si>
    <t>21272</t>
  </si>
  <si>
    <t>Generic SNMP: High ICMP ping response time</t>
  </si>
  <si>
    <t>Generic SNMP: 高ICMPping响应时间</t>
  </si>
  <si>
    <t>(2796/831)</t>
  </si>
  <si>
    <t>Generic SNMP: Host has been restarted</t>
  </si>
  <si>
    <t>Generic SNMP: 主机已重新启动</t>
  </si>
  <si>
    <t>(2796/832)</t>
  </si>
  <si>
    <t>Generic SNMP: System name has changed</t>
  </si>
  <si>
    <t>Generic SNMP: 系统名称已变更</t>
  </si>
  <si>
    <t>(2796/833)</t>
  </si>
  <si>
    <t>Generic SNMP: No SNMP data collection</t>
  </si>
  <si>
    <t>Generic SNMP: 无SNMP数据收集</t>
  </si>
  <si>
    <t>(2796/834)</t>
  </si>
  <si>
    <t>GitHub repository by HTTP</t>
  </si>
  <si>
    <t>23612</t>
  </si>
  <si>
    <t>GitHub: There are errors in requests to API</t>
  </si>
  <si>
    <t>GitHub: 对 API 的请求中有错误。</t>
  </si>
  <si>
    <t>(2796/835)</t>
  </si>
  <si>
    <t>23615</t>
  </si>
  <si>
    <t>GitHub: No access to repository self-hosted runners</t>
  </si>
  <si>
    <t>GitHub: 无法访问仓库自托管运行器。</t>
  </si>
  <si>
    <t>(2796/836)</t>
  </si>
  <si>
    <t>23610</t>
  </si>
  <si>
    <t>GitHub: The total number of issues has increased</t>
  </si>
  <si>
    <t>GitHub: 问题总数增加了。</t>
  </si>
  <si>
    <t>(2796/837)</t>
  </si>
  <si>
    <t>23611</t>
  </si>
  <si>
    <t>GitHub: The total number of PRs has increased</t>
  </si>
  <si>
    <t>GitHub: 拉取请求总数增加了。</t>
  </si>
  <si>
    <t>(2796/838)</t>
  </si>
  <si>
    <t>23613</t>
  </si>
  <si>
    <t>GitHub: API request limit utilization is high</t>
  </si>
  <si>
    <t>GitHub: API 请求限制利用率高。</t>
  </si>
  <si>
    <t>(2796/839)</t>
  </si>
  <si>
    <t>23614</t>
  </si>
  <si>
    <t>GitHub: API request limit utilization is very high</t>
  </si>
  <si>
    <t>GitHub: API 请求限制利用率非常高。</t>
  </si>
  <si>
    <t>(2796/840)</t>
  </si>
  <si>
    <t>GitLab by HTTP</t>
  </si>
  <si>
    <t>GitLab: Liveness check was failed</t>
  </si>
  <si>
    <t>GitLab: 活力检查失败</t>
  </si>
  <si>
    <t>(2796/841)</t>
  </si>
  <si>
    <t>GitLab: Too many HTTP requests failures</t>
  </si>
  <si>
    <t>GitLab: 太多HTTP请求失败</t>
  </si>
  <si>
    <t>(2796/842)</t>
  </si>
  <si>
    <t>GitLab: Gitlab instance is not able to accept traffic</t>
  </si>
  <si>
    <t>GitLab: GitLab实例无法接受流量</t>
  </si>
  <si>
    <t>(2796/843)</t>
  </si>
  <si>
    <t>GitLab: Too many Redis cache client exceptions</t>
  </si>
  <si>
    <t>GitLab: Redis缓存客户端异常太多</t>
  </si>
  <si>
    <t>(2796/844)</t>
  </si>
  <si>
    <t>GitLab: Too many Redis queues client exceptions</t>
  </si>
  <si>
    <t>GitLab: Redis队列客户端异常太多</t>
  </si>
  <si>
    <t>(2796/845)</t>
  </si>
  <si>
    <t>GitLab: Too many Redis shared_state client exceptions</t>
  </si>
  <si>
    <t>GitLab: Redisshared_state客户端异常太多</t>
  </si>
  <si>
    <t>(2796/846)</t>
  </si>
  <si>
    <t>GitLab: Current number of open files is too high</t>
  </si>
  <si>
    <t>GitLab: 当前打开的文件数太高</t>
  </si>
  <si>
    <t>(2796/847)</t>
  </si>
  <si>
    <t>GitLab: Failed to fetch info data</t>
  </si>
  <si>
    <t>GitLab: 无法获取信息数据</t>
  </si>
  <si>
    <t>(2796/848)</t>
  </si>
  <si>
    <t>GitLab: Version has changed</t>
  </si>
  <si>
    <t>GitLab: 版本已变更</t>
  </si>
  <si>
    <t>(2796/849)</t>
  </si>
  <si>
    <t>HAProxy by HTTP</t>
  </si>
  <si>
    <t>HAProxy: Service response time is too high</t>
  </si>
  <si>
    <t>HAProxy: 服务响应时间太长</t>
  </si>
  <si>
    <t>(2796/850)</t>
  </si>
  <si>
    <t>(2796/851)</t>
  </si>
  <si>
    <t>HAProxy: has been restarted</t>
  </si>
  <si>
    <t>HAProxy: 已重新启动</t>
  </si>
  <si>
    <t>(2796/852)</t>
  </si>
  <si>
    <t>HAProxy: Version has changed</t>
  </si>
  <si>
    <t>HAProxy: 版本已变更</t>
  </si>
  <si>
    <t>(2796/853)</t>
  </si>
  <si>
    <t>HAProxy by Zabbix agent</t>
  </si>
  <si>
    <t>(2796/854)</t>
  </si>
  <si>
    <t>(2796/855)</t>
  </si>
  <si>
    <t>(2796/856)</t>
  </si>
  <si>
    <t>(2796/857)</t>
  </si>
  <si>
    <t>HOST-RESOURCES-MIB CPU by SNMP</t>
  </si>
  <si>
    <t>CPU: High CPU utilization</t>
  </si>
  <si>
    <t>CPU: 高CPU利用率</t>
  </si>
  <si>
    <t>(2796/858)</t>
  </si>
  <si>
    <t>HOST-RESOURCES-MIB by SNMP</t>
  </si>
  <si>
    <t>21531</t>
  </si>
  <si>
    <t>(2796/859)</t>
  </si>
  <si>
    <t>HP Comware HH3C by SNMP</t>
  </si>
  <si>
    <t>21721</t>
  </si>
  <si>
    <t>HP Comware HH3C: High ICMP ping loss</t>
  </si>
  <si>
    <t>HP Comware HH3C: 高ICMPping丢失</t>
  </si>
  <si>
    <t>(2796/860)</t>
  </si>
  <si>
    <t>21720</t>
  </si>
  <si>
    <t>HP Comware HH3C: Unavailable by ICMP ping</t>
  </si>
  <si>
    <t>HP Comware HH3C: ICMPping不可用</t>
  </si>
  <si>
    <t>(2796/861)</t>
  </si>
  <si>
    <t>21722</t>
  </si>
  <si>
    <t>HP Comware HH3C: High ICMP ping response time</t>
  </si>
  <si>
    <t>HP Comware HH3C: 高ICMPping响应时间</t>
  </si>
  <si>
    <t>(2796/862)</t>
  </si>
  <si>
    <t>21725</t>
  </si>
  <si>
    <t>HP Comware HH3C: No SNMP data collection</t>
  </si>
  <si>
    <t>HP Comware HH3C: 无SNMP数据收集</t>
  </si>
  <si>
    <t>(2796/863)</t>
  </si>
  <si>
    <t>21723</t>
  </si>
  <si>
    <t>HP Comware HH3C: System name has changed</t>
  </si>
  <si>
    <t>HP Comware HH3C: 系统名称已变更</t>
  </si>
  <si>
    <t>(2796/864)</t>
  </si>
  <si>
    <t>21724</t>
  </si>
  <si>
    <t>HP Comware HH3C: Host has been restarted</t>
  </si>
  <si>
    <t>HP Comware HH3C: 主机已重新启动</t>
  </si>
  <si>
    <t>(2796/865)</t>
  </si>
  <si>
    <t>HP Enterprise Switch by SNMP</t>
  </si>
  <si>
    <t>HP Enterprise Switch: High CPU utilization</t>
  </si>
  <si>
    <t>HP Enterprise Switch: 高CPU利用率</t>
  </si>
  <si>
    <t>(2796/866)</t>
  </si>
  <si>
    <t>HP Enterprise Switch: Firmware has changed</t>
  </si>
  <si>
    <t>HP Enterprise Switch: 固件已变更</t>
  </si>
  <si>
    <t>(2796/867)</t>
  </si>
  <si>
    <t>HP Enterprise Switch: Device has been replaced</t>
  </si>
  <si>
    <t>HP Enterprise Switch: 设备已更换</t>
  </si>
  <si>
    <t>(2796/868)</t>
  </si>
  <si>
    <t>21732</t>
  </si>
  <si>
    <t>HP Enterprise Switch: High ICMP ping loss</t>
  </si>
  <si>
    <t>HP Enterprise Switch: 高ICMPping丢失</t>
  </si>
  <si>
    <t>(2796/869)</t>
  </si>
  <si>
    <t>21731</t>
  </si>
  <si>
    <t>HP Enterprise Switch: Unavailable by ICMP ping</t>
  </si>
  <si>
    <t>HP Enterprise Switch: ICMPping不可用</t>
  </si>
  <si>
    <t>(2796/870)</t>
  </si>
  <si>
    <t>21733</t>
  </si>
  <si>
    <t>HP Enterprise Switch: High ICMP ping response time</t>
  </si>
  <si>
    <t>HP Enterprise Switch: 高ICMPping响应时间</t>
  </si>
  <si>
    <t>(2796/871)</t>
  </si>
  <si>
    <t>21736</t>
  </si>
  <si>
    <t>HP Enterprise Switch: No SNMP data collection</t>
  </si>
  <si>
    <t>HP Enterprise Switch: 无SNMP数据收集</t>
  </si>
  <si>
    <t>(2796/872)</t>
  </si>
  <si>
    <t>21734</t>
  </si>
  <si>
    <t>HP Enterprise Switch: System name has changed</t>
  </si>
  <si>
    <t>HP Enterprise Switch: 系统名称已变更</t>
  </si>
  <si>
    <t>(2796/873)</t>
  </si>
  <si>
    <t>21735</t>
  </si>
  <si>
    <t>HP Enterprise Switch: Host has been restarted</t>
  </si>
  <si>
    <t>HP Enterprise Switch: 主机已重新启动</t>
  </si>
  <si>
    <t>(2796/874)</t>
  </si>
  <si>
    <t>HP iLO by SNMP</t>
  </si>
  <si>
    <t>HP iLO: Device has been replaced</t>
  </si>
  <si>
    <t>HP iLO: 设备已更换</t>
  </si>
  <si>
    <t>(2796/875)</t>
  </si>
  <si>
    <t>22540</t>
  </si>
  <si>
    <t>HP iLO: High ICMP ping loss</t>
  </si>
  <si>
    <t>HP iLO: 高ICMPping丢失</t>
  </si>
  <si>
    <t>(2796/876)</t>
  </si>
  <si>
    <t>22539</t>
  </si>
  <si>
    <t>HP iLO: Unavailable by ICMP ping</t>
  </si>
  <si>
    <t>HP iLO: ICMPping不可用</t>
  </si>
  <si>
    <t>(2796/877)</t>
  </si>
  <si>
    <t>22541</t>
  </si>
  <si>
    <t>HP iLO: High ICMP ping response time</t>
  </si>
  <si>
    <t>HP iLO: 高ICMPping响应时间</t>
  </si>
  <si>
    <t>(2796/878)</t>
  </si>
  <si>
    <t>HP iLO: System status is in critical state</t>
  </si>
  <si>
    <t>HP iLO: 系统状态状态为严重告警</t>
  </si>
  <si>
    <t>(2796/879)</t>
  </si>
  <si>
    <t>HP iLO: System status is in warning state</t>
  </si>
  <si>
    <t>HP iLO: 系统状态状态为告警</t>
  </si>
  <si>
    <t>(2796/880)</t>
  </si>
  <si>
    <t>22544</t>
  </si>
  <si>
    <t>HP iLO: No SNMP data collection</t>
  </si>
  <si>
    <t>HP iLO: 无SNMP数据收集</t>
  </si>
  <si>
    <t>(2796/881)</t>
  </si>
  <si>
    <t>22542</t>
  </si>
  <si>
    <t>HP iLO: System name has changed</t>
  </si>
  <si>
    <t>HP iLO: 系统名称已变更</t>
  </si>
  <si>
    <t>(2796/882)</t>
  </si>
  <si>
    <t>22543</t>
  </si>
  <si>
    <t>HP iLO: Host has been restarted</t>
  </si>
  <si>
    <t>HP iLO: 主机已重新启动</t>
  </si>
  <si>
    <t>(2796/883)</t>
  </si>
  <si>
    <t>HP-UX by Zabbix agent</t>
  </si>
  <si>
    <t>HP-UX: Lack of available memory on server</t>
  </si>
  <si>
    <t>HP-UX: 服务器上缺少可用内存</t>
  </si>
  <si>
    <t>(2796/884)</t>
  </si>
  <si>
    <t>HP-UX: /etc/passwd has been changed</t>
  </si>
  <si>
    <t>HP-UX: /etc/passwd已变更</t>
  </si>
  <si>
    <t>(2796/885)</t>
  </si>
  <si>
    <t>HP-UX: Hostname was changed</t>
  </si>
  <si>
    <t>HP-UX: 主机名已变更</t>
  </si>
  <si>
    <t>(2796/886)</t>
  </si>
  <si>
    <t>HP-UX: Processor load is too high</t>
  </si>
  <si>
    <t>HP-UX: 处理器负载太高</t>
  </si>
  <si>
    <t>(2796/887)</t>
  </si>
  <si>
    <t>HP-UX: Host information was changed</t>
  </si>
  <si>
    <t>HP-UX: 主机信息已变更</t>
  </si>
  <si>
    <t>(2796/888)</t>
  </si>
  <si>
    <t>22367</t>
  </si>
  <si>
    <t>HP-UX: Zabbix agent is not available</t>
  </si>
  <si>
    <t>HP-UX: Zabbix agent 不可用</t>
  </si>
  <si>
    <t>(2796/889)</t>
  </si>
  <si>
    <t>HPE MSA 2040 Storage by HTTP</t>
  </si>
  <si>
    <t>22690</t>
  </si>
  <si>
    <t>There are errors in method requests to API</t>
  </si>
  <si>
    <t>API的方法请求中存在错误</t>
  </si>
  <si>
    <t>(2796/890)</t>
  </si>
  <si>
    <t>22694</t>
  </si>
  <si>
    <t>Service is down or unavailable</t>
  </si>
  <si>
    <t>服务已关闭或不可用</t>
  </si>
  <si>
    <t>(2796/891)</t>
  </si>
  <si>
    <t>22691</t>
  </si>
  <si>
    <t>System health is in degraded state</t>
  </si>
  <si>
    <t>系统健康状况处于降级状态</t>
  </si>
  <si>
    <t>(2796/892)</t>
  </si>
  <si>
    <t>22692</t>
  </si>
  <si>
    <t>System health is in fault state</t>
  </si>
  <si>
    <t>系统健康状况处于故障状态</t>
  </si>
  <si>
    <t>(2796/893)</t>
  </si>
  <si>
    <t>22693</t>
  </si>
  <si>
    <t>System health is in unknown state</t>
  </si>
  <si>
    <t>系统健康状况处于未知状态</t>
  </si>
  <si>
    <t>(2796/894)</t>
  </si>
  <si>
    <t>HPE MSA 2060 Storage by HTTP</t>
  </si>
  <si>
    <t>22755</t>
  </si>
  <si>
    <t>(2796/895)</t>
  </si>
  <si>
    <t>22759</t>
  </si>
  <si>
    <t>(2796/896)</t>
  </si>
  <si>
    <t>22756</t>
  </si>
  <si>
    <t>(2796/897)</t>
  </si>
  <si>
    <t>22757</t>
  </si>
  <si>
    <t>(2796/898)</t>
  </si>
  <si>
    <t>22758</t>
  </si>
  <si>
    <t>(2796/899)</t>
  </si>
  <si>
    <t>HPE Primera by HTTP</t>
  </si>
  <si>
    <t>22820</t>
  </si>
  <si>
    <t>HPE Primera: There are errors in requests to WSAPI</t>
  </si>
  <si>
    <t>HPE Primera: 请求WSAPI时出错</t>
  </si>
  <si>
    <t>(2796/900)</t>
  </si>
  <si>
    <t>22821</t>
  </si>
  <si>
    <t>HPE Primera: Service is unavailable</t>
  </si>
  <si>
    <t>HPE Primera: 服务不可用</t>
  </si>
  <si>
    <t>(2796/901)</t>
  </si>
  <si>
    <t>HPE ProLiant BL460 by SNMP</t>
  </si>
  <si>
    <t>HPE ProLiant BL460: Device has been replaced</t>
  </si>
  <si>
    <t>HPE ProLiant BL460: 设备已更换</t>
  </si>
  <si>
    <t>(2796/902)</t>
  </si>
  <si>
    <t>HPE ProLiant BL460: System status is in critical state</t>
  </si>
  <si>
    <t>HPE ProLiant BL460: 系统状态状态为严重告警</t>
  </si>
  <si>
    <t>(2796/903)</t>
  </si>
  <si>
    <t>HPE ProLiant BL460: System status is in warning state</t>
  </si>
  <si>
    <t>HPE ProLiant BL460: 系统状态状态为告警</t>
  </si>
  <si>
    <t>(2796/904)</t>
  </si>
  <si>
    <t>19469</t>
  </si>
  <si>
    <t>HPE ProLiant BL460: No SNMP data collection</t>
  </si>
  <si>
    <t>HPE ProLiant BL460: 无SNMP数据收集</t>
  </si>
  <si>
    <t>(2796/905)</t>
  </si>
  <si>
    <t>HPE ProLiant BL460: System name has changed</t>
  </si>
  <si>
    <t>HPE ProLiant BL460: 系统名称已变更</t>
  </si>
  <si>
    <t>(2796/906)</t>
  </si>
  <si>
    <t>HPE ProLiant BL460: Host has been restarted</t>
  </si>
  <si>
    <t>HPE ProLiant BL460: 主机已重新启动</t>
  </si>
  <si>
    <t>(2796/907)</t>
  </si>
  <si>
    <t>HPE ProLiant BL920 by SNMP</t>
  </si>
  <si>
    <t>19510</t>
  </si>
  <si>
    <t>HPE ProLiant BL920: Device has been replaced</t>
  </si>
  <si>
    <t>HPE ProLiant BL920: 设备已更换</t>
  </si>
  <si>
    <t>(2796/908)</t>
  </si>
  <si>
    <t>19512</t>
  </si>
  <si>
    <t>HPE ProLiant BL920: System status is in critical state</t>
  </si>
  <si>
    <t>HPE ProLiant BL920: 系统状态状态为严重告警</t>
  </si>
  <si>
    <t>(2796/909)</t>
  </si>
  <si>
    <t>19513</t>
  </si>
  <si>
    <t>HPE ProLiant BL920: System status is in warning state</t>
  </si>
  <si>
    <t>HPE ProLiant BL920: 系统状态状态为告警</t>
  </si>
  <si>
    <t>(2796/910)</t>
  </si>
  <si>
    <t>19515</t>
  </si>
  <si>
    <t>HPE ProLiant BL920: No SNMP data collection</t>
  </si>
  <si>
    <t>HPE ProLiant BL920: 无SNMP数据收集</t>
  </si>
  <si>
    <t>(2796/911)</t>
  </si>
  <si>
    <t>19511</t>
  </si>
  <si>
    <t>HPE ProLiant BL920: System name has changed</t>
  </si>
  <si>
    <t>HPE ProLiant BL920: 系统名称已变更</t>
  </si>
  <si>
    <t>(2796/912)</t>
  </si>
  <si>
    <t>19514</t>
  </si>
  <si>
    <t>HPE ProLiant BL920: Host has been restarted</t>
  </si>
  <si>
    <t>HPE ProLiant BL920: 主机已重新启动</t>
  </si>
  <si>
    <t>(2796/913)</t>
  </si>
  <si>
    <t>HPE ProLiant DL360 by SNMP</t>
  </si>
  <si>
    <t>19556</t>
  </si>
  <si>
    <t>HPE ProLiant DL360: Device has been replaced</t>
  </si>
  <si>
    <t>HPE ProLiant DL360: 设备已更换</t>
  </si>
  <si>
    <t>(2796/914)</t>
  </si>
  <si>
    <t>19558</t>
  </si>
  <si>
    <t>HPE ProLiant DL360: System status is in critical state</t>
  </si>
  <si>
    <t>HPE ProLiant DL360: 系统状态状态为严重告警</t>
  </si>
  <si>
    <t>(2796/915)</t>
  </si>
  <si>
    <t>HPE ProLiant DL360: System status is in warning state</t>
  </si>
  <si>
    <t>HPE ProLiant DL360: 系统状态状态为告警</t>
  </si>
  <si>
    <t>(2796/916)</t>
  </si>
  <si>
    <t>HPE ProLiant DL360: No SNMP data collection</t>
  </si>
  <si>
    <t>HPE ProLiant DL360: 无SNMP数据收集</t>
  </si>
  <si>
    <t>(2796/917)</t>
  </si>
  <si>
    <t>19557</t>
  </si>
  <si>
    <t>HPE ProLiant DL360: System name has changed</t>
  </si>
  <si>
    <t>HPE ProLiant DL360: 系统名称已变更</t>
  </si>
  <si>
    <t>(2796/918)</t>
  </si>
  <si>
    <t>HPE ProLiant DL360: Host has been restarted</t>
  </si>
  <si>
    <t>HPE ProLiant DL360: 主机已重新启动</t>
  </si>
  <si>
    <t>(2796/919)</t>
  </si>
  <si>
    <t>HPE ProLiant DL380 by SNMP</t>
  </si>
  <si>
    <t>19602</t>
  </si>
  <si>
    <t>HPE ProLiant DL380: Device has been replaced</t>
  </si>
  <si>
    <t>HPE ProLiant DL380: 设备已更换</t>
  </si>
  <si>
    <t>(2796/920)</t>
  </si>
  <si>
    <t>19604</t>
  </si>
  <si>
    <t>HPE ProLiant DL380: System status is in critical state</t>
  </si>
  <si>
    <t>HPE ProLiant DL380: 系统状态状态为严重告警</t>
  </si>
  <si>
    <t>(2796/921)</t>
  </si>
  <si>
    <t>19605</t>
  </si>
  <si>
    <t>HPE ProLiant DL380: System status is in warning state</t>
  </si>
  <si>
    <t>HPE ProLiant DL380: 系统状态状态为告警</t>
  </si>
  <si>
    <t>(2796/922)</t>
  </si>
  <si>
    <t>19607</t>
  </si>
  <si>
    <t>HPE ProLiant DL380: No SNMP data collection</t>
  </si>
  <si>
    <t>HPE ProLiant DL380: 无SNMP数据收集</t>
  </si>
  <si>
    <t>(2796/923)</t>
  </si>
  <si>
    <t>19603</t>
  </si>
  <si>
    <t>HPE ProLiant DL380: System name has changed</t>
  </si>
  <si>
    <t>HPE ProLiant DL380: 系统名称已变更</t>
  </si>
  <si>
    <t>(2796/924)</t>
  </si>
  <si>
    <t>19606</t>
  </si>
  <si>
    <t>HPE ProLiant DL380: Host has been restarted</t>
  </si>
  <si>
    <t>HPE ProLiant DL380: 主机已重新启动</t>
  </si>
  <si>
    <t>(2796/925)</t>
  </si>
  <si>
    <t>HPE Synergy by HTTP</t>
  </si>
  <si>
    <t>22840</t>
  </si>
  <si>
    <t>HPE Synergy: There are errors in requests to API</t>
  </si>
  <si>
    <t>HPE Synergy: API请求中存在错误</t>
  </si>
  <si>
    <t>(2796/926)</t>
  </si>
  <si>
    <t>22841</t>
  </si>
  <si>
    <t>HPE Synergy: Service is unavailable</t>
  </si>
  <si>
    <t>HPE Synergy: 服务不可用</t>
  </si>
  <si>
    <t>(2796/927)</t>
  </si>
  <si>
    <t>HPE iLO by HTTP</t>
  </si>
  <si>
    <t>23373</t>
  </si>
  <si>
    <t>HPE iLO: Failed to get data from API</t>
  </si>
  <si>
    <t>HPE iLO: 法从API获取数据</t>
  </si>
  <si>
    <t>(2796/928)</t>
  </si>
  <si>
    <t>HTTP Service</t>
  </si>
  <si>
    <t>(2796/929)</t>
  </si>
  <si>
    <t>HTTPS Service</t>
  </si>
  <si>
    <t>(2796/930)</t>
  </si>
  <si>
    <t>Hadoop by HTTP</t>
  </si>
  <si>
    <t>(2796/931)</t>
  </si>
  <si>
    <t>(2796/932)</t>
  </si>
  <si>
    <t>(2796/933)</t>
  </si>
  <si>
    <t>NameNode: Cluster capacity remaining is low</t>
  </si>
  <si>
    <t>NameNode: 集群剩余容量低</t>
  </si>
  <si>
    <t>(2796/934)</t>
  </si>
  <si>
    <t>NameNode: Service response time is too high</t>
  </si>
  <si>
    <t>NameNode: 服务响应时间太长</t>
  </si>
  <si>
    <t>(2796/935)</t>
  </si>
  <si>
    <t>17480</t>
  </si>
  <si>
    <t>(2796/936)</t>
  </si>
  <si>
    <t>NameNode: Service has been restarted</t>
  </si>
  <si>
    <t>NameNode: 服务已重新启动</t>
  </si>
  <si>
    <t>(2796/937)</t>
  </si>
  <si>
    <t>NameNode: Failed to fetch NameNode API page</t>
  </si>
  <si>
    <t>NameNode: 无法获取节点名称API页</t>
  </si>
  <si>
    <t>(2796/938)</t>
  </si>
  <si>
    <t>(2796/939)</t>
  </si>
  <si>
    <t>ResourceManager: Service response time is too high</t>
  </si>
  <si>
    <t>ResourceManager: 服务响应时间太长</t>
  </si>
  <si>
    <t>(2796/940)</t>
  </si>
  <si>
    <t>17481</t>
  </si>
  <si>
    <t>(2796/941)</t>
  </si>
  <si>
    <t>(2796/942)</t>
  </si>
  <si>
    <t>ResourceManager: Service has been restarted</t>
  </si>
  <si>
    <t>ResourceManager: 服务已重新启动</t>
  </si>
  <si>
    <t>(2796/943)</t>
  </si>
  <si>
    <t>ResourceManager: Failed to fetch ResourceManager API page</t>
  </si>
  <si>
    <t>ResourceManager: 无法获取资源管理器API页</t>
  </si>
  <si>
    <t>(2796/944)</t>
  </si>
  <si>
    <t>HashiCorp Consul Cluster by HTTP</t>
  </si>
  <si>
    <t>22666</t>
  </si>
  <si>
    <t>Consul cluster: Leader has been changed</t>
  </si>
  <si>
    <t>Consul cluster: leader已变更</t>
  </si>
  <si>
    <t>(2796/945)</t>
  </si>
  <si>
    <t>22667</t>
  </si>
  <si>
    <t>Consul: One or more nodes in cluster in 'critical' state</t>
  </si>
  <si>
    <t>Consul: 集群中的一个或多个节点处于"关键"状态</t>
  </si>
  <si>
    <t>(2796/946)</t>
  </si>
  <si>
    <t>22668</t>
  </si>
  <si>
    <t>Consul: One or more nodes in cluster in 'warning' state</t>
  </si>
  <si>
    <t>Consul: 集群中的一个或多个节点处于"告警"状态</t>
  </si>
  <si>
    <t>(2796/947)</t>
  </si>
  <si>
    <t>HashiCorp Consul Node by HTTP</t>
  </si>
  <si>
    <t>22659</t>
  </si>
  <si>
    <t>Consul: Failed to get local services</t>
  </si>
  <si>
    <t>Consul: 无法获取本地服务</t>
  </si>
  <si>
    <t>(2796/948)</t>
  </si>
  <si>
    <t>22660</t>
  </si>
  <si>
    <t>Consul: Node's health score is critical</t>
  </si>
  <si>
    <t>Consul: Node的健康分数至关重要</t>
  </si>
  <si>
    <t>(2796/949)</t>
  </si>
  <si>
    <t>22661</t>
  </si>
  <si>
    <t>Consul: Node's health score is warning</t>
  </si>
  <si>
    <t>Consul: Node的健康分数是告警</t>
  </si>
  <si>
    <t>(2796/950)</t>
  </si>
  <si>
    <t>22663</t>
  </si>
  <si>
    <t>Consul: Current number of open files is too high</t>
  </si>
  <si>
    <t>Consul: 当前打开的文件数太高</t>
  </si>
  <si>
    <t>(2796/951)</t>
  </si>
  <si>
    <t>22662</t>
  </si>
  <si>
    <t>Consul: Version has been changed</t>
  </si>
  <si>
    <t>Consul: 版本已变更</t>
  </si>
  <si>
    <t>(2796/952)</t>
  </si>
  <si>
    <t>HashiCorp Nomad Client by HTTP</t>
  </si>
  <si>
    <t>23285</t>
  </si>
  <si>
    <t>HashiCorp Nomad Client: Allocations API connection has failed</t>
  </si>
  <si>
    <t>HashiCorp Nomad Client: 分配API连接失败</t>
  </si>
  <si>
    <t>(2796/953)</t>
  </si>
  <si>
    <t>23282</t>
  </si>
  <si>
    <t>HashiCorp Nomad Client: OOM killed allocations found</t>
  </si>
  <si>
    <t>HashiCorp Nomad Client: 找到挂掉的OOM分配</t>
  </si>
  <si>
    <t>(2796/954)</t>
  </si>
  <si>
    <t>23283</t>
  </si>
  <si>
    <t>HashiCorp Nomad Client: High CPU utilization</t>
  </si>
  <si>
    <t>HashiCorp Nomad Client: CPU利用率高</t>
  </si>
  <si>
    <t>(2796/955)</t>
  </si>
  <si>
    <t>23299</t>
  </si>
  <si>
    <t>HashiCorp Nomad Client: High memory utilization</t>
  </si>
  <si>
    <t>HashiCorp Nomad Client: 内存利用率高</t>
  </si>
  <si>
    <t>(2796/956)</t>
  </si>
  <si>
    <t>23284</t>
  </si>
  <si>
    <t>HashiCorp Nomad Client: Monitoring API connection has failed</t>
  </si>
  <si>
    <t>HashiCorp Nomad Client: 监控API连接失败</t>
  </si>
  <si>
    <t>(2796/957)</t>
  </si>
  <si>
    <t>23286</t>
  </si>
  <si>
    <t>HashiCorp Nomad Client: Nodes API connection has failed</t>
  </si>
  <si>
    <t>HashiCorp Nomad Client: 节点API连接失败</t>
  </si>
  <si>
    <t>(2796/958)</t>
  </si>
  <si>
    <t>23288</t>
  </si>
  <si>
    <t>HashiCorp Nomad Client: Nomad client version has changed</t>
  </si>
  <si>
    <t>HashiCorp Nomad Client: Nomad客户端版本已更改</t>
  </si>
  <si>
    <t>(2796/959)</t>
  </si>
  <si>
    <t>23280</t>
  </si>
  <si>
    <t>HashiCorp Nomad Client: Service [rpc] is down</t>
  </si>
  <si>
    <t>HashiCorp Nomad Client: 服务[rpc]已停止</t>
  </si>
  <si>
    <t>(2796/960)</t>
  </si>
  <si>
    <t>23281</t>
  </si>
  <si>
    <t>HashiCorp Nomad Client: Service [serf] is down</t>
  </si>
  <si>
    <t>HashiCorp Nomad Client: 服务[serf]已停止</t>
  </si>
  <si>
    <t>(2796/961)</t>
  </si>
  <si>
    <t>23287</t>
  </si>
  <si>
    <t>HashiCorp Nomad Client: The host has been restarted</t>
  </si>
  <si>
    <t>HashiCorp Nomad Client: 主机已重新启动</t>
  </si>
  <si>
    <t>(2796/962)</t>
  </si>
  <si>
    <t>HashiCorp Nomad Server by HTTP</t>
  </si>
  <si>
    <t>23291</t>
  </si>
  <si>
    <t>HashiCorp Nomad Server: Autopilot redundancy is low</t>
  </si>
  <si>
    <t>HashiCorp Nomad Server: Autopilot冗余低</t>
  </si>
  <si>
    <t>(2796/963)</t>
  </si>
  <si>
    <t>23292</t>
  </si>
  <si>
    <t>HashiCorp Nomad Server: Autopilot is unhealthy</t>
  </si>
  <si>
    <t>HashiCorp Nomad Server: Autopilot不健康</t>
  </si>
  <si>
    <t>(2796/964)</t>
  </si>
  <si>
    <t>23295</t>
  </si>
  <si>
    <t>HashiCorp Nomad Server: Cluster role has changed</t>
  </si>
  <si>
    <t>HashiCorp Nomad Server: 集群角色已更改</t>
  </si>
  <si>
    <t>(2796/965)</t>
  </si>
  <si>
    <t>23297</t>
  </si>
  <si>
    <t>HashiCorp Nomad Server: Internal stats API connection has failed</t>
  </si>
  <si>
    <t>HashiCorp Nomad Server: 内部统计API连接失败</t>
  </si>
  <si>
    <t>(2796/966)</t>
  </si>
  <si>
    <t>23294</t>
  </si>
  <si>
    <t>HashiCorp Nomad Server: Dead jobs found</t>
  </si>
  <si>
    <t>HashiCorp Nomad Server: 发现挂掉的任务</t>
  </si>
  <si>
    <t>(2796/967)</t>
  </si>
  <si>
    <t>23296</t>
  </si>
  <si>
    <t>HashiCorp Nomad Server: Leader last contact timeout exceeded</t>
  </si>
  <si>
    <t>HashiCorp Nomad Server: Leader最后接触超时</t>
  </si>
  <si>
    <t>(2796/968)</t>
  </si>
  <si>
    <t>23293</t>
  </si>
  <si>
    <t>HashiCorp Nomad Server: Monitoring API connection has failed</t>
  </si>
  <si>
    <t>HashiCorp Nomad Server: Monitoring API连接失败</t>
  </si>
  <si>
    <t>(2796/969)</t>
  </si>
  <si>
    <t>23298</t>
  </si>
  <si>
    <t>HashiCorp Nomad Server: Nomad server version has changed</t>
  </si>
  <si>
    <t>HashiCorp Nomad Server: Nomad服务器版本已变更</t>
  </si>
  <si>
    <t>(2796/970)</t>
  </si>
  <si>
    <t>23300</t>
  </si>
  <si>
    <t>HashiCorp Nomad Server: Current number of open files is too high</t>
  </si>
  <si>
    <t>HashiCorp Nomad Server: 当前打开的文件数过高</t>
  </si>
  <si>
    <t>(2796/971)</t>
  </si>
  <si>
    <t>23289</t>
  </si>
  <si>
    <t>HashiCorp Nomad Server: Service [rpc] is down</t>
  </si>
  <si>
    <t>HashiCorp Nomad Server: 服务[rpc]已停止</t>
  </si>
  <si>
    <t>(2796/972)</t>
  </si>
  <si>
    <t>23290</t>
  </si>
  <si>
    <t>HashiCorp Nomad Server: Service [serf] is down</t>
  </si>
  <si>
    <t>HashiCorp Nomad Server: 服务[serf]已停止</t>
  </si>
  <si>
    <t>(2796/973)</t>
  </si>
  <si>
    <t>HashiCorp Nomad by HTTP</t>
  </si>
  <si>
    <t>23278</t>
  </si>
  <si>
    <t>HashiCorp Nomad: Client nodes API connection has failed</t>
  </si>
  <si>
    <t>HashiCorp Nomad: 客户端节点API连接失败</t>
  </si>
  <si>
    <t>(2796/974)</t>
  </si>
  <si>
    <t>23279</t>
  </si>
  <si>
    <t>HashiCorp Nomad: Server-related API connection has failed</t>
  </si>
  <si>
    <t>HashiCorp Nomad: 与服务器相关的API连接失败</t>
  </si>
  <si>
    <t>(2796/975)</t>
  </si>
  <si>
    <t>HashiCorp Vault by HTTP</t>
  </si>
  <si>
    <t>17503</t>
  </si>
  <si>
    <t>Vault: Failed to get metrics</t>
  </si>
  <si>
    <t>Vault: 无法获取指标</t>
  </si>
  <si>
    <t>(2796/976)</t>
  </si>
  <si>
    <t>Vault: Vault server is not responding</t>
  </si>
  <si>
    <t>Vault: Vault服务器没有响应</t>
  </si>
  <si>
    <t>(2796/977)</t>
  </si>
  <si>
    <t>Vault: High frequency of leadership setup failures</t>
  </si>
  <si>
    <t>Vault: leader力设置失败的频率很高</t>
  </si>
  <si>
    <t>(2796/978)</t>
  </si>
  <si>
    <t>Vault: High frequency of leadership losses</t>
  </si>
  <si>
    <t>Vault: leader力流失频率高</t>
  </si>
  <si>
    <t>(2796/979)</t>
  </si>
  <si>
    <t>Vault: High frequency of leadership step downs</t>
  </si>
  <si>
    <t>Vault: leader层频繁下台</t>
  </si>
  <si>
    <t>(2796/980)</t>
  </si>
  <si>
    <t>17502</t>
  </si>
  <si>
    <t>Vault: Current number of open files is too high</t>
  </si>
  <si>
    <t>Vault: 当前打开的文件数太高</t>
  </si>
  <si>
    <t>(2796/981)</t>
  </si>
  <si>
    <t>Vault: Vault server is sealed</t>
  </si>
  <si>
    <t>Vault: Vault服务器已密封</t>
  </si>
  <si>
    <t>(2796/982)</t>
  </si>
  <si>
    <t>Vault: has been restarted</t>
  </si>
  <si>
    <t>Vault: 已重新启动</t>
  </si>
  <si>
    <t>(2796/983)</t>
  </si>
  <si>
    <t>Vault: Version has changed</t>
  </si>
  <si>
    <t>Vault: 版本已变更</t>
  </si>
  <si>
    <t>(2796/984)</t>
  </si>
  <si>
    <t>Hikvision camera by HTTP</t>
  </si>
  <si>
    <t>17967</t>
  </si>
  <si>
    <t>Hikvision camera: High CPU utilization</t>
  </si>
  <si>
    <t>Hikvision camera: 高CPU利用率</t>
  </si>
  <si>
    <t>(2796/985)</t>
  </si>
  <si>
    <t>Hikvision camera: Version has changed</t>
  </si>
  <si>
    <t>Hikvision camera: 版本已变更</t>
  </si>
  <si>
    <t>(2796/986)</t>
  </si>
  <si>
    <t>17965</t>
  </si>
  <si>
    <t>Hikvision camera: Authorisation error</t>
  </si>
  <si>
    <t>Hikvision camera: 授权错误</t>
  </si>
  <si>
    <t>(2796/987)</t>
  </si>
  <si>
    <t>17966</t>
  </si>
  <si>
    <t>Hikvision camera: Error receiving data</t>
  </si>
  <si>
    <t>Hikvision camera: 接收数据时出错</t>
  </si>
  <si>
    <t>(2796/988)</t>
  </si>
  <si>
    <t>18033</t>
  </si>
  <si>
    <t>Hikvision camera: High memory utilization</t>
  </si>
  <si>
    <t>Hikvision camera: 高内存利用率</t>
  </si>
  <si>
    <t>(2796/989)</t>
  </si>
  <si>
    <t>17970</t>
  </si>
  <si>
    <t>Hikvision camera: Camera has been replaced</t>
  </si>
  <si>
    <t>Hikvision camera: 摄像机已更换</t>
  </si>
  <si>
    <t>(2796/990)</t>
  </si>
  <si>
    <t>17971</t>
  </si>
  <si>
    <t>Hikvision camera: has been restarted</t>
  </si>
  <si>
    <t>Hikvision camera: 已重新启动</t>
  </si>
  <si>
    <t>(2796/991)</t>
  </si>
  <si>
    <t>Huawei OceanStor 5300 V5 by SNMP</t>
  </si>
  <si>
    <t>22516</t>
  </si>
  <si>
    <t>OceanStor 5300 V5: High ICMP ping loss</t>
  </si>
  <si>
    <t>OceanStor 5300 V5: 高ICMPping丢失</t>
  </si>
  <si>
    <t>(2796/992)</t>
  </si>
  <si>
    <t>22515</t>
  </si>
  <si>
    <t>OceanStor 5300 V5: Unavailable by ICMP ping</t>
  </si>
  <si>
    <t>OceanStor 5300 V5: ICMPping不可用</t>
  </si>
  <si>
    <t>(2796/993)</t>
  </si>
  <si>
    <t>22517</t>
  </si>
  <si>
    <t>OceanStor 5300 V5: High ICMP ping response time</t>
  </si>
  <si>
    <t>OceanStor 5300 V5: 高ICMPping响应时间</t>
  </si>
  <si>
    <t>(2796/994)</t>
  </si>
  <si>
    <t>22520</t>
  </si>
  <si>
    <t>OceanStor 5300 V5: No SNMP data collection</t>
  </si>
  <si>
    <t>OceanStor 5300 V5: 无SNMP数据收集</t>
  </si>
  <si>
    <t>(2796/995)</t>
  </si>
  <si>
    <t>22518</t>
  </si>
  <si>
    <t>OceanStor 5300 V5: System name has changed</t>
  </si>
  <si>
    <t>OceanStor 5300 V5: 系统名称已变更</t>
  </si>
  <si>
    <t>(2796/996)</t>
  </si>
  <si>
    <t>22519</t>
  </si>
  <si>
    <t>OceanStor 5300 V5: Host has been restarted</t>
  </si>
  <si>
    <t>OceanStor 5300 V5: 主机已重新启动</t>
  </si>
  <si>
    <t>(2796/997)</t>
  </si>
  <si>
    <t>18183</t>
  </si>
  <si>
    <t>(2796/998)</t>
  </si>
  <si>
    <t>Huawei OceanStor V6 by SNMP</t>
  </si>
  <si>
    <t>23630</t>
  </si>
  <si>
    <t>Huawei OceanStor V6: High ICMP ping loss</t>
  </si>
  <si>
    <t>华为 OceanStor V6: ICMP ping 丢包率高</t>
  </si>
  <si>
    <t>(2796/999)</t>
  </si>
  <si>
    <t>23629</t>
  </si>
  <si>
    <t>Huawei OceanStor V6: Unavailable by ICMP ping</t>
  </si>
  <si>
    <t>华为 OceanStor V6: ICMP ping 不可达</t>
  </si>
  <si>
    <t>(2796/1000)</t>
  </si>
  <si>
    <t>23631</t>
  </si>
  <si>
    <t>Huawei OceanStor V6: High ICMP ping response time</t>
  </si>
  <si>
    <t>华为 OceanStor V6: ICMP ping 响应时间高</t>
  </si>
  <si>
    <t>(2796/1001)</t>
  </si>
  <si>
    <t>23633</t>
  </si>
  <si>
    <t>Huawei OceanStor V6: No SNMP data collection</t>
  </si>
  <si>
    <t>华为 OceanStor V6: 无 SNMP 数据采集</t>
  </si>
  <si>
    <t>(2796/1002)</t>
  </si>
  <si>
    <t>23632</t>
  </si>
  <si>
    <t>Huawei OceanStor V6: System name has changed</t>
  </si>
  <si>
    <t>华为 OceanStor V6: 系统名称已更改</t>
  </si>
  <si>
    <t>(2796/1003)</t>
  </si>
  <si>
    <t>23634</t>
  </si>
  <si>
    <t>Huawei OceanStor V6: Host has been restarted</t>
  </si>
  <si>
    <t>华为 OceanStor V6: 主机已重启</t>
  </si>
  <si>
    <t>(2796/1004)</t>
  </si>
  <si>
    <t>23628</t>
  </si>
  <si>
    <t>Huawei OceanStor V6: Storage version has changed</t>
  </si>
  <si>
    <t>华为 OceanStor V6: 存储版本已更改</t>
  </si>
  <si>
    <t>(2796/1005)</t>
  </si>
  <si>
    <t>Huawei VRP by SNMP</t>
  </si>
  <si>
    <t>21743</t>
  </si>
  <si>
    <t>Huawei VRP: High ICMP ping loss</t>
  </si>
  <si>
    <t>Huawei VRP: 高ICMPping丢失</t>
  </si>
  <si>
    <t>(2796/1006)</t>
  </si>
  <si>
    <t>21742</t>
  </si>
  <si>
    <t>Huawei VRP: Unavailable by ICMP ping</t>
  </si>
  <si>
    <t>Huawei VRP: ICMPping不可用</t>
  </si>
  <si>
    <t>(2796/1007)</t>
  </si>
  <si>
    <t>21744</t>
  </si>
  <si>
    <t>Huawei VRP: High ICMP ping response time</t>
  </si>
  <si>
    <t>Huawei VRP: 高ICMPping响应时间</t>
  </si>
  <si>
    <t>(2796/1008)</t>
  </si>
  <si>
    <t>21747</t>
  </si>
  <si>
    <t>Huawei VRP: No SNMP data collection</t>
  </si>
  <si>
    <t>Huawei VRP: 无SNMP数据收集</t>
  </si>
  <si>
    <t>(2796/1009)</t>
  </si>
  <si>
    <t>21745</t>
  </si>
  <si>
    <t>Huawei VRP: System name has changed</t>
  </si>
  <si>
    <t>Huawei VRP: 系统名称已变更</t>
  </si>
  <si>
    <t>(2796/1010)</t>
  </si>
  <si>
    <t>21746</t>
  </si>
  <si>
    <t>Huawei VRP: Host has been restarted</t>
  </si>
  <si>
    <t>Huawei VRP: 主机已重新启动</t>
  </si>
  <si>
    <t>(2796/1011)</t>
  </si>
  <si>
    <t>IBM IMM by SNMP</t>
  </si>
  <si>
    <t>IBM IMM: Device has been replaced</t>
  </si>
  <si>
    <t>IBM IMM: 设备已更换</t>
  </si>
  <si>
    <t>(2796/1012)</t>
  </si>
  <si>
    <t>22546</t>
  </si>
  <si>
    <t>IBM IMM: High ICMP ping loss</t>
  </si>
  <si>
    <t>IBM IMM: 高ICMPping丢失</t>
  </si>
  <si>
    <t>(2796/1013)</t>
  </si>
  <si>
    <t>22545</t>
  </si>
  <si>
    <t>IBM IMM: Unavailable by ICMP ping</t>
  </si>
  <si>
    <t>IBM IMM: ICMPping不可用</t>
  </si>
  <si>
    <t>(2796/1014)</t>
  </si>
  <si>
    <t>22547</t>
  </si>
  <si>
    <t>IBM IMM: High ICMP ping response time</t>
  </si>
  <si>
    <t>IBM IMM: 高ICMPping响应时间</t>
  </si>
  <si>
    <t>(2796/1015)</t>
  </si>
  <si>
    <t>IBM IMM: System status is in critical state</t>
  </si>
  <si>
    <t>IBM IMM: 系统状态状态为严重告警</t>
  </si>
  <si>
    <t>(2796/1016)</t>
  </si>
  <si>
    <t>IBM IMM: System is in unrecoverable state!</t>
  </si>
  <si>
    <t>IBM IMM: 系统处于不可恢复状态!</t>
  </si>
  <si>
    <t>(2796/1017)</t>
  </si>
  <si>
    <t>IBM IMM: System status is in warning state</t>
  </si>
  <si>
    <t>IBM IMM: 系统状态状态为告警</t>
  </si>
  <si>
    <t>(2796/1018)</t>
  </si>
  <si>
    <t>22550</t>
  </si>
  <si>
    <t>IBM IMM: No SNMP data collection</t>
  </si>
  <si>
    <t>IBM IMM: 无SNMP数据收集</t>
  </si>
  <si>
    <t>(2796/1019)</t>
  </si>
  <si>
    <t>22548</t>
  </si>
  <si>
    <t>IBM IMM: System name has changed</t>
  </si>
  <si>
    <t>IBM IMM: 系统名称已变更</t>
  </si>
  <si>
    <t>(2796/1020)</t>
  </si>
  <si>
    <t>22549</t>
  </si>
  <si>
    <t>IBM IMM: Host has been restarted</t>
  </si>
  <si>
    <t>IBM IMM: 主机已重新启动</t>
  </si>
  <si>
    <t>(2796/1021)</t>
  </si>
  <si>
    <t>ICMP Ping</t>
  </si>
  <si>
    <t>ICMP: High ICMP ping loss</t>
  </si>
  <si>
    <t>ICMP: 高ICMPping丢失</t>
  </si>
  <si>
    <t>(2796/1022)</t>
  </si>
  <si>
    <t>ICMP: Unavailable by ICMP ping</t>
  </si>
  <si>
    <t>ICMP: ICMPping不可用</t>
  </si>
  <si>
    <t>(2796/1023)</t>
  </si>
  <si>
    <t>ICMP: High ICMP ping response time</t>
  </si>
  <si>
    <t>ICMP: 高ICMPping响应时间</t>
  </si>
  <si>
    <t>(2796/1024)</t>
  </si>
  <si>
    <t>IIS by Zabbix agent</t>
  </si>
  <si>
    <t>IIS: has been restarted</t>
  </si>
  <si>
    <t>IIS: 已重新启动</t>
  </si>
  <si>
    <t>(2796/1025)</t>
  </si>
  <si>
    <t>16905</t>
  </si>
  <si>
    <t>(2796/1026)</t>
  </si>
  <si>
    <t>16904</t>
  </si>
  <si>
    <t>(2796/1027)</t>
  </si>
  <si>
    <t>(2796/1028)</t>
  </si>
  <si>
    <t>IIS by Zabbix agent active</t>
  </si>
  <si>
    <t>(2796/1029)</t>
  </si>
  <si>
    <t>16913</t>
  </si>
  <si>
    <t>(2796/1030)</t>
  </si>
  <si>
    <t>16912</t>
  </si>
  <si>
    <t>(2796/1031)</t>
  </si>
  <si>
    <t>(2796/1032)</t>
  </si>
  <si>
    <t>IMAP Service</t>
  </si>
  <si>
    <t>(2796/1033)</t>
  </si>
  <si>
    <t>InfluxDB by HTTP</t>
  </si>
  <si>
    <t>19655</t>
  </si>
  <si>
    <t>InfluxDB: Health check was failed</t>
  </si>
  <si>
    <t>InfluxDB: 健康状况检查失败</t>
  </si>
  <si>
    <t>(2796/1034)</t>
  </si>
  <si>
    <t>19656</t>
  </si>
  <si>
    <t>InfluxDB: Too many tasks failure runs</t>
  </si>
  <si>
    <t>InfluxDB: 失败运行的任务太多</t>
  </si>
  <si>
    <t>(2796/1035)</t>
  </si>
  <si>
    <t>19657</t>
  </si>
  <si>
    <t>InfluxDB: has been restarted</t>
  </si>
  <si>
    <t>InfluxDB: 已重新启动</t>
  </si>
  <si>
    <t>(2796/1036)</t>
  </si>
  <si>
    <t>19658</t>
  </si>
  <si>
    <t>InfluxDB: Version has changed</t>
  </si>
  <si>
    <t>InfluxDB: 版本已变更</t>
  </si>
  <si>
    <t>(2796/1037)</t>
  </si>
  <si>
    <t>Intel SR1530 IPMI</t>
  </si>
  <si>
    <t>Intel SR1530 IPMI: BB +1.8V SM Critical [{ITEM.VALUE}]</t>
  </si>
  <si>
    <t>Intel SR1530 IPMI: BB+1.8VSM临界[{ITEM.VALUE}]</t>
  </si>
  <si>
    <t>(2796/1038)</t>
  </si>
  <si>
    <t>Intel SR1530 IPMI: BB +1.8V SM Non-Critical [{ITEM.VALUE}]</t>
  </si>
  <si>
    <t>Intel SR1530 IPMI: BB+1.8VSM非关键[{ITEM.VALUE}]</t>
  </si>
  <si>
    <t>(2796/1039)</t>
  </si>
  <si>
    <t>Intel SR1530 IPMI: BB +3.3V Critical [{ITEM.VALUE}]</t>
  </si>
  <si>
    <t>Intel SR1530 IPMI: BB+3.3V临界[{ITEM.VALUE}]</t>
  </si>
  <si>
    <t>(2796/1040)</t>
  </si>
  <si>
    <t>Intel SR1530 IPMI: BB +3.3V Non-Critical [{ITEM.VALUE}]</t>
  </si>
  <si>
    <t>Intel SR1530 IPMI: BB+3.3V非关键[{ITEM.VALUE}]</t>
  </si>
  <si>
    <t>(2796/1041)</t>
  </si>
  <si>
    <t>Intel SR1530 IPMI: BB +3.3V STBY Critical [{ITEM.VALUE}]</t>
  </si>
  <si>
    <t>Intel SR1530 IPMI: BB+3.3V备用临界[{ITEM.VALUE}]</t>
  </si>
  <si>
    <t>(2796/1042)</t>
  </si>
  <si>
    <t>Intel SR1530 IPMI: BB +3.3V STBY Non-Critical [{ITEM.VALUE}]</t>
  </si>
  <si>
    <t>Intel SR1530 IPMI: BB+3.3V备用非关键[{ITEM.VALUE}]</t>
  </si>
  <si>
    <t>(2796/1043)</t>
  </si>
  <si>
    <t>Intel SR1530 IPMI: BB +5.0V Critical [{ITEM.VALUE}]</t>
  </si>
  <si>
    <t>Intel SR1530 IPMI: BB+5.0V临界[{ITEM.VALUE}]</t>
  </si>
  <si>
    <t>(2796/1044)</t>
  </si>
  <si>
    <t>Intel SR1530 IPMI: BB +5.0V Non-Critical [{ITEM.VALUE}]</t>
  </si>
  <si>
    <t>Intel SR1530 IPMI: BB+5.0V非关键[{ITEM.VALUE}]</t>
  </si>
  <si>
    <t>(2796/1045)</t>
  </si>
  <si>
    <t>Intel SR1530 IPMI: BB Ambient Temp Critical [{ITEM.VALUE}]</t>
  </si>
  <si>
    <t>Intel SR1530 IPMI: BB环境温度临界值[{ITEM.VALUE}]</t>
  </si>
  <si>
    <t>(2796/1046)</t>
  </si>
  <si>
    <t>Intel SR1530 IPMI: BB Ambient Temp Non-Critical [{ITEM.VALUE}]</t>
  </si>
  <si>
    <t>Intel SR1530 IPMI: BB环境温度非关键[{ITEM.VALUE}]</t>
  </si>
  <si>
    <t>(2796/1047)</t>
  </si>
  <si>
    <t>Intel SR1530 IPMI: Power</t>
  </si>
  <si>
    <t>Intel SR1530 IPMI: 电源</t>
  </si>
  <si>
    <t>(2796/1048)</t>
  </si>
  <si>
    <t>Intel SR1630 IPMI</t>
  </si>
  <si>
    <t>17152</t>
  </si>
  <si>
    <t>Intel SR1630 IPMI: Baseboard Temp Critical [{ITEM.VALUE}]</t>
  </si>
  <si>
    <t>Intel SR1630 IPMI: 基板温度临界值[{ITEM.VALUE}]</t>
  </si>
  <si>
    <t>(2796/1049)</t>
  </si>
  <si>
    <t>Intel SR1630 IPMI: Baseboard Temp Non-Critical [{ITEM.VALUE}]</t>
  </si>
  <si>
    <t>Intel SR1630 IPMI: 基板温度非关键[{ITEM.VALUE}]</t>
  </si>
  <si>
    <t>(2796/1050)</t>
  </si>
  <si>
    <t>Intel SR1630 IPMI: BB +1.05V PCH Critical [{ITEM.VALUE}]</t>
  </si>
  <si>
    <t>Intel SR1630 IPMI: BB+1.05VPCH临界[{ITEM.VALUE}]</t>
  </si>
  <si>
    <t>(2796/1051)</t>
  </si>
  <si>
    <t>Intel SR1630 IPMI: BB +1.05V PCH Non-Critical [{ITEM.VALUE}]</t>
  </si>
  <si>
    <t>Intel SR1630 IPMI: BB+1.05VPCH非关键[{ITEM.VALUE}]</t>
  </si>
  <si>
    <t>(2796/1052)</t>
  </si>
  <si>
    <t>Intel SR1630 IPMI: BB +1.1V P1 Vccp Critical [{ITEM.VALUE}]</t>
  </si>
  <si>
    <t>Intel SR1630 IPMI: BB+1.1VP1Vccp临界[{ITEM.VALUE}]</t>
  </si>
  <si>
    <t>(2796/1053)</t>
  </si>
  <si>
    <t>Intel SR1630 IPMI: BB +1.1V P1 Vccp Non-Critical [{ITEM.VALUE}]</t>
  </si>
  <si>
    <t>Intel SR1630 IPMI: BB+1.1VP1Vccp非关键[{ITEM.VALUE}]</t>
  </si>
  <si>
    <t>(2796/1054)</t>
  </si>
  <si>
    <t>Intel SR1630 IPMI: BB +1.5V P1 DDR3 Critical [{ITEM.VALUE}]</t>
  </si>
  <si>
    <t>Intel SR1630 IPMI: BB+1.5VP1DDR3临界[{ITEM.VALUE}]</t>
  </si>
  <si>
    <t>(2796/1055)</t>
  </si>
  <si>
    <t>Intel SR1630 IPMI: BB +1.5V P1 DDR3 Non-Critical [{ITEM.VALUE}]</t>
  </si>
  <si>
    <t>Intel SR1630 IPMI: BB+1.5VP1DDR3非关键[{ITEM.VALUE}]</t>
  </si>
  <si>
    <t>(2796/1056)</t>
  </si>
  <si>
    <t>Intel SR1630 IPMI: BB +3.3V Critical [{ITEM.VALUE}]</t>
  </si>
  <si>
    <t>Intel SR1630 IPMI: BB+3.3V临界[{ITEM.VALUE}]</t>
  </si>
  <si>
    <t>(2796/1057)</t>
  </si>
  <si>
    <t>Intel SR1630 IPMI: BB +3.3V Non-Critical [{ITEM.VALUE}]</t>
  </si>
  <si>
    <t>Intel SR1630 IPMI: BB+3.3V非关键[{ITEM.VALUE}]</t>
  </si>
  <si>
    <t>(2796/1058)</t>
  </si>
  <si>
    <t>17162</t>
  </si>
  <si>
    <t>Intel SR1630 IPMI: BB +3.3V STBY Critical [{ITEM.VALUE}]</t>
  </si>
  <si>
    <t>Intel SR1630 IPMI: BB+3.3V备用临界[{ITEM.VALUE}]</t>
  </si>
  <si>
    <t>(2796/1059)</t>
  </si>
  <si>
    <t>Intel SR1630 IPMI: BB +3.3V STBY Non-Critical [{ITEM.VALUE}]</t>
  </si>
  <si>
    <t>Intel SR1630 IPMI: BB+3.3V备用非关键[{ITEM.VALUE}]</t>
  </si>
  <si>
    <t>(2796/1060)</t>
  </si>
  <si>
    <t>Intel SR1630 IPMI: BB +5.0V Critical [{ITEM.VALUE}]</t>
  </si>
  <si>
    <t>Intel SR1630 IPMI: BB+5.0V临界[{ITEM.VALUE}]</t>
  </si>
  <si>
    <t>(2796/1061)</t>
  </si>
  <si>
    <t>Intel SR1630 IPMI: BB +5.0V Non-Critical [{ITEM.VALUE}]</t>
  </si>
  <si>
    <t>Intel SR1630 IPMI: BB+5.0V非关键[{ITEM.VALUE}]</t>
  </si>
  <si>
    <t>(2796/1062)</t>
  </si>
  <si>
    <t>Intel SR1630 IPMI: Front Panel Temp Critical [{ITEM.VALUE}]</t>
  </si>
  <si>
    <t>Intel SR1630 IPMI: 前面板温度临界[{ITEM.VALUE}]</t>
  </si>
  <si>
    <t>(2796/1063)</t>
  </si>
  <si>
    <t>Intel SR1630 IPMI: Front Panel Temp Non-Critical [{ITEM.VALUE}]</t>
  </si>
  <si>
    <t>Intel SR1630 IPMI: 前面板温度非关键[{ITEM.VALUE}]</t>
  </si>
  <si>
    <t>(2796/1064)</t>
  </si>
  <si>
    <t>Intel SR1630 IPMI: Power</t>
  </si>
  <si>
    <t>Intel SR1630 IPMI: 电源</t>
  </si>
  <si>
    <t>(2796/1065)</t>
  </si>
  <si>
    <t>Intel SR1630 IPMI: System Fan 2 Critical [{ITEM.VALUE}]</t>
  </si>
  <si>
    <t>Intel SR1630 IPMI: 系统风扇2严重[{ITEM.VALUE}]</t>
  </si>
  <si>
    <t>(2796/1066)</t>
  </si>
  <si>
    <t>17170</t>
  </si>
  <si>
    <t>Intel SR1630 IPMI: System Fan 2 Non-Critical [{ITEM.VALUE}]</t>
  </si>
  <si>
    <t>Intel SR1630 IPMI: 系统风扇2非关键[{ITEM.VALUE}]</t>
  </si>
  <si>
    <t>(2796/1067)</t>
  </si>
  <si>
    <t>17171</t>
  </si>
  <si>
    <t>Intel SR1630 IPMI: System Fan 3 Critical [{ITEM.VALUE}]</t>
  </si>
  <si>
    <t>Intel SR1630 IPMI: 系统风扇3严重[{ITEM.VALUE}]</t>
  </si>
  <si>
    <t>(2796/1068)</t>
  </si>
  <si>
    <t>17172</t>
  </si>
  <si>
    <t>Intel SR1630 IPMI: System Fan 3 Non-Critical [{ITEM.VALUE}]</t>
  </si>
  <si>
    <t>Intel SR1630 IPMI: 系统风扇3非关键[{ITEM.VALUE}]</t>
  </si>
  <si>
    <t>(2796/1069)</t>
  </si>
  <si>
    <t>Intel_Qlogic Infiniband by SNMP</t>
  </si>
  <si>
    <t>Intel_Qlogic Infiniband: Firmware has changed</t>
  </si>
  <si>
    <t>Intel_Qlogic Infiniband: 固件已变更</t>
  </si>
  <si>
    <t>(2796/1070)</t>
  </si>
  <si>
    <t>21754</t>
  </si>
  <si>
    <t>Intel_Qlogic Infiniband: High ICMP ping loss</t>
  </si>
  <si>
    <t>Intel_Qlogic Infiniband: 高ICMPping丢失</t>
  </si>
  <si>
    <t>(2796/1071)</t>
  </si>
  <si>
    <t>21753</t>
  </si>
  <si>
    <t>Intel_Qlogic Infiniband: Unavailable by ICMP ping</t>
  </si>
  <si>
    <t>Intel_Qlogic Infiniband: ICMPping不可用</t>
  </si>
  <si>
    <t>(2796/1072)</t>
  </si>
  <si>
    <t>21755</t>
  </si>
  <si>
    <t>Intel_Qlogic Infiniband: High ICMP ping response time</t>
  </si>
  <si>
    <t>Intel_Qlogic Infiniband: 高ICMPping响应时间</t>
  </si>
  <si>
    <t>(2796/1073)</t>
  </si>
  <si>
    <t>21758</t>
  </si>
  <si>
    <t>Intel_Qlogic Infiniband: No SNMP data collection</t>
  </si>
  <si>
    <t>Intel_Qlogic Infiniband: 无SNMP数据收集</t>
  </si>
  <si>
    <t>(2796/1074)</t>
  </si>
  <si>
    <t>21756</t>
  </si>
  <si>
    <t>Intel_Qlogic Infiniband: System name has changed</t>
  </si>
  <si>
    <t>Intel_Qlogic Infiniband: 系统名称已变更</t>
  </si>
  <si>
    <t>(2796/1075)</t>
  </si>
  <si>
    <t>21757</t>
  </si>
  <si>
    <t>Intel_Qlogic Infiniband: Host has been restarted</t>
  </si>
  <si>
    <t>Intel_Qlogic Infiniband: 主机已重新启动</t>
  </si>
  <si>
    <t>(2796/1076)</t>
  </si>
  <si>
    <t>Jenkins by HTTP</t>
  </si>
  <si>
    <t>17953</t>
  </si>
  <si>
    <t>Jenkins: Disk space is too low</t>
  </si>
  <si>
    <t>Jenkins: 磁盘空间太小</t>
  </si>
  <si>
    <t>(2796/1077)</t>
  </si>
  <si>
    <t>17957</t>
  </si>
  <si>
    <t>Jenkins: Current number of used files is too high</t>
  </si>
  <si>
    <t>Jenkins: 当前使用率的文件数量太高</t>
  </si>
  <si>
    <t>(2796/1078)</t>
  </si>
  <si>
    <t>17958</t>
  </si>
  <si>
    <t>Jenkins: Service has no online nodes</t>
  </si>
  <si>
    <t>Jenkins: 服务没有在线节点</t>
  </si>
  <si>
    <t>(2796/1079)</t>
  </si>
  <si>
    <t>17954</t>
  </si>
  <si>
    <t>Jenkins: One or more Jenkins plugins failed to start</t>
  </si>
  <si>
    <t>Jenkins: 一个或多个Jenkins插件无法启动</t>
  </si>
  <si>
    <t>(2796/1080)</t>
  </si>
  <si>
    <t>17959</t>
  </si>
  <si>
    <t>Jenkins: Service is down</t>
  </si>
  <si>
    <t>Jenkins: 服务已关闭了</t>
  </si>
  <si>
    <t>(2796/1081)</t>
  </si>
  <si>
    <t>17955</t>
  </si>
  <si>
    <t>Jenkins: Temporary space is too low</t>
  </si>
  <si>
    <t>Jenkins: 临时空间太小了</t>
  </si>
  <si>
    <t>(2796/1082)</t>
  </si>
  <si>
    <t>17956</t>
  </si>
  <si>
    <t>Jenkins: There are deadlocked threads in Jenkins master JVM</t>
  </si>
  <si>
    <t>Jenkins: Jenkins主JVM中存在死锁线程</t>
  </si>
  <si>
    <t>(2796/1083)</t>
  </si>
  <si>
    <t>17960</t>
  </si>
  <si>
    <t>Jenkins: Host has been restarted</t>
  </si>
  <si>
    <t>Jenkins: 主机已重新启动</t>
  </si>
  <si>
    <t>(2796/1084)</t>
  </si>
  <si>
    <t>17961</t>
  </si>
  <si>
    <t>Jenkins: Version has changed</t>
  </si>
  <si>
    <t>Jenkins: 版本已变更</t>
  </si>
  <si>
    <t>(2796/1085)</t>
  </si>
  <si>
    <t>Jira Data Center by JMX</t>
  </si>
  <si>
    <t>23584</t>
  </si>
  <si>
    <t>DB: Connection limit reached</t>
  </si>
  <si>
    <t>数据库: 连接数已达上限</t>
  </si>
  <si>
    <t>(2796/1086)</t>
  </si>
  <si>
    <t>23585</t>
  </si>
  <si>
    <t>DB: Connection usage is near the limit</t>
  </si>
  <si>
    <t>数据库: 连接使用接近上限</t>
  </si>
  <si>
    <t>(2796/1087)</t>
  </si>
  <si>
    <t>23580</t>
  </si>
  <si>
    <t>DB: Connection lost</t>
  </si>
  <si>
    <t>数据库: 连接丢失</t>
  </si>
  <si>
    <t>(2796/1088)</t>
  </si>
  <si>
    <t>23579</t>
  </si>
  <si>
    <t>DB: Pool: Out of idle connections</t>
  </si>
  <si>
    <t>数据库: 连接池: 池中没有空闲连接</t>
  </si>
  <si>
    <t>(2796/1089)</t>
  </si>
  <si>
    <t>23581</t>
  </si>
  <si>
    <t>HTTP: Pool: Out of idle connections</t>
  </si>
  <si>
    <t>HTTP: 连接池: 池中没有空闲连接</t>
  </si>
  <si>
    <t>(2796/1090)</t>
  </si>
  <si>
    <t>23586</t>
  </si>
  <si>
    <t>Mail: Queue job is not running</t>
  </si>
  <si>
    <t>邮件: 队列作业未运行</t>
  </si>
  <si>
    <t>(2796/1091)</t>
  </si>
  <si>
    <t>23583</t>
  </si>
  <si>
    <t>Mail: Queue: Doesn’t empty over an extended period</t>
  </si>
  <si>
    <t>邮件: 队列: 长时间未清空</t>
  </si>
  <si>
    <t>(2796/1092)</t>
  </si>
  <si>
    <t>23582</t>
  </si>
  <si>
    <t>Mail: Error queue contains one or more items</t>
  </si>
  <si>
    <t>邮件: 错误队列包含一个或多个监控项</t>
  </si>
  <si>
    <t>(2796/1093)</t>
  </si>
  <si>
    <t>Juniper by SNMP</t>
  </si>
  <si>
    <t>Juniper: Device has been replaced</t>
  </si>
  <si>
    <t>Juniper: 设备已更换</t>
  </si>
  <si>
    <t>(2796/1094)</t>
  </si>
  <si>
    <t>21764</t>
  </si>
  <si>
    <t>Juniper: High ICMP ping loss</t>
  </si>
  <si>
    <t>Juniper: 高ICMPping丢失</t>
  </si>
  <si>
    <t>(2796/1095)</t>
  </si>
  <si>
    <t>21763</t>
  </si>
  <si>
    <t>Juniper: Unavailable by ICMP ping</t>
  </si>
  <si>
    <t>Juniper: ICMPping不可用</t>
  </si>
  <si>
    <t>(2796/1096)</t>
  </si>
  <si>
    <t>21765</t>
  </si>
  <si>
    <t>Juniper: High ICMP ping response time</t>
  </si>
  <si>
    <t>Juniper: 高ICMPping响应时间</t>
  </si>
  <si>
    <t>(2796/1097)</t>
  </si>
  <si>
    <t>Juniper: Operating system description has changed</t>
  </si>
  <si>
    <t>Juniper: 操作系统描述已变更</t>
  </si>
  <si>
    <t>(2796/1098)</t>
  </si>
  <si>
    <t>Juniper: System status is in critical state</t>
  </si>
  <si>
    <t>Juniper: 系统状态状态为严重告警</t>
  </si>
  <si>
    <t>(2796/1099)</t>
  </si>
  <si>
    <t>21768</t>
  </si>
  <si>
    <t>Juniper: No SNMP data collection</t>
  </si>
  <si>
    <t>Juniper: 无SNMP数据收集</t>
  </si>
  <si>
    <t>(2796/1100)</t>
  </si>
  <si>
    <t>21766</t>
  </si>
  <si>
    <t>Juniper: System name has changed</t>
  </si>
  <si>
    <t>Juniper: 系统名称已变更</t>
  </si>
  <si>
    <t>(2796/1101)</t>
  </si>
  <si>
    <t>21767</t>
  </si>
  <si>
    <t>Juniper: Host has been restarted</t>
  </si>
  <si>
    <t>Juniper: 主机已重新启动</t>
  </si>
  <si>
    <t>(2796/1102)</t>
  </si>
  <si>
    <t>Kubernetes API server by HTTP</t>
  </si>
  <si>
    <t>21202</t>
  </si>
  <si>
    <t>Kubernetes API: Too many server errors</t>
  </si>
  <si>
    <t>Kubernetes API: 服务器错误太多</t>
  </si>
  <si>
    <t>(2796/1103)</t>
  </si>
  <si>
    <t>21205</t>
  </si>
  <si>
    <t>Kubernetes API: Too many client errors</t>
  </si>
  <si>
    <t>Kubernetes API: 客户端错误太多</t>
  </si>
  <si>
    <t>(2796/1104)</t>
  </si>
  <si>
    <t>Kubernetes Controller manager by HTTP</t>
  </si>
  <si>
    <t>21206</t>
  </si>
  <si>
    <t>Kubernetes Controller Manager: Too many HTTP client errors</t>
  </si>
  <si>
    <t>Kubernetes Controller Manager: HTTP客户端错误太多</t>
  </si>
  <si>
    <t>(2796/1105)</t>
  </si>
  <si>
    <t>Kubernetes Scheduler by HTTP</t>
  </si>
  <si>
    <t>21225</t>
  </si>
  <si>
    <t>Kubernetes Scheduler: Too many REST Client errors</t>
  </si>
  <si>
    <t>Kubernetes Scheduler: REST客户端错误太多</t>
  </si>
  <si>
    <t>(2796/1106)</t>
  </si>
  <si>
    <t>21226</t>
  </si>
  <si>
    <t>Kubernetes Scheduler: Too many schedule attempts with errors</t>
  </si>
  <si>
    <t>Kubernetes Scheduler: 计划尝试次数太多,出现错误</t>
  </si>
  <si>
    <t>(2796/1107)</t>
  </si>
  <si>
    <t>21227</t>
  </si>
  <si>
    <t>Kubernetes Scheduler: Too many unschedulable pods</t>
  </si>
  <si>
    <t>Kubernetes Scheduler: 太多无法调度的pod</t>
  </si>
  <si>
    <t>(2796/1108)</t>
  </si>
  <si>
    <t>Kubernetes nodes by HTTP</t>
  </si>
  <si>
    <t>21207</t>
  </si>
  <si>
    <t>Kubernetes: Failed to get nodes</t>
  </si>
  <si>
    <t>Kubernetes: 无法获取节点</t>
  </si>
  <si>
    <t>(2796/1109)</t>
  </si>
  <si>
    <t>LDAP Service</t>
  </si>
  <si>
    <t>(2796/1110)</t>
  </si>
  <si>
    <t>Linux CPU by SNMP</t>
  </si>
  <si>
    <t>Linux: Load average is too high</t>
  </si>
  <si>
    <t>Linux: 负载平均值太高</t>
  </si>
  <si>
    <t>(2796/1111)</t>
  </si>
  <si>
    <t>Linux CPU by Zabbix agent</t>
  </si>
  <si>
    <t>Linux: High CPU utilization</t>
  </si>
  <si>
    <t>Linux: 高CPU利用率</t>
  </si>
  <si>
    <t>(2796/1112)</t>
  </si>
  <si>
    <t>(2796/1113)</t>
  </si>
  <si>
    <t>Linux CPU by Zabbix agent active</t>
  </si>
  <si>
    <t>(2796/1114)</t>
  </si>
  <si>
    <t>(2796/1115)</t>
  </si>
  <si>
    <t>Linux by Prom</t>
  </si>
  <si>
    <t>Linux: Lack of available memory</t>
  </si>
  <si>
    <t>Linux: 可用内存不足</t>
  </si>
  <si>
    <t>(2796/1116)</t>
  </si>
  <si>
    <t>(2796/1117)</t>
  </si>
  <si>
    <t>18150</t>
  </si>
  <si>
    <t>Linux: High swap space usage</t>
  </si>
  <si>
    <t>Linux: 高交换空间使用率</t>
  </si>
  <si>
    <t>(2796/1118)</t>
  </si>
  <si>
    <t>Linux: node_exporter is not available</t>
  </si>
  <si>
    <t>Linux: node_exporter不可用</t>
  </si>
  <si>
    <t>(2796/1119)</t>
  </si>
  <si>
    <t>(2796/1120)</t>
  </si>
  <si>
    <t>Linux: Configured max number of open filedescriptors is too low</t>
  </si>
  <si>
    <t>Linux: 配置的最大打开文件描述符数太低</t>
  </si>
  <si>
    <t>(2796/1121)</t>
  </si>
  <si>
    <t>Linux: Running out of file descriptors</t>
  </si>
  <si>
    <t>Linux: 文件描述符用完</t>
  </si>
  <si>
    <t>(2796/1122)</t>
  </si>
  <si>
    <t>18152</t>
  </si>
  <si>
    <t>Linux: High memory utilization</t>
  </si>
  <si>
    <t>Linux: 高内存利用率</t>
  </si>
  <si>
    <t>(2796/1123)</t>
  </si>
  <si>
    <t>Linux: Operating system description has changed</t>
  </si>
  <si>
    <t>Linux: 操作系统描述已变更</t>
  </si>
  <si>
    <t>(2796/1124)</t>
  </si>
  <si>
    <t>Linux: System time is out of sync</t>
  </si>
  <si>
    <t>Linux: CPU在内核运行时间不同步</t>
  </si>
  <si>
    <t>(2796/1125)</t>
  </si>
  <si>
    <t>Linux: System name has changed</t>
  </si>
  <si>
    <t>Linux: 系统名称已变更</t>
  </si>
  <si>
    <t>(2796/1126)</t>
  </si>
  <si>
    <t>Linux: {HOST.NAME} has been restarted</t>
  </si>
  <si>
    <t>Linux: {HOST.NAME}已经重启</t>
  </si>
  <si>
    <t>(2796/1127)</t>
  </si>
  <si>
    <t>Linux by SNMP</t>
  </si>
  <si>
    <t>22442</t>
  </si>
  <si>
    <t>(2796/1128)</t>
  </si>
  <si>
    <t>22441</t>
  </si>
  <si>
    <t>(2796/1129)</t>
  </si>
  <si>
    <t>22435</t>
  </si>
  <si>
    <t>Linux: High ICMP ping loss</t>
  </si>
  <si>
    <t>Linux: 高ICMPping丢失</t>
  </si>
  <si>
    <t>(2796/1130)</t>
  </si>
  <si>
    <t>22434</t>
  </si>
  <si>
    <t>Linux: Unavailable by ICMP ping</t>
  </si>
  <si>
    <t>Linux: ICMPping不可用</t>
  </si>
  <si>
    <t>(2796/1131)</t>
  </si>
  <si>
    <t>22436</t>
  </si>
  <si>
    <t>Linux: High ICMP ping response time</t>
  </si>
  <si>
    <t>Linux: 高ICMPping响应时间</t>
  </si>
  <si>
    <t>(2796/1132)</t>
  </si>
  <si>
    <t>22443</t>
  </si>
  <si>
    <t>(2796/1133)</t>
  </si>
  <si>
    <t>22439</t>
  </si>
  <si>
    <t>(2796/1134)</t>
  </si>
  <si>
    <t>22440</t>
  </si>
  <si>
    <t>Linux: No SNMP data collection</t>
  </si>
  <si>
    <t>Linux: 无SNMP数据收集</t>
  </si>
  <si>
    <t>(2796/1135)</t>
  </si>
  <si>
    <t>22437</t>
  </si>
  <si>
    <t>(2796/1136)</t>
  </si>
  <si>
    <t>22438</t>
  </si>
  <si>
    <t>Linux: Host has been restarted</t>
  </si>
  <si>
    <t>Linux: 主机已重新启动</t>
  </si>
  <si>
    <t>(2796/1137)</t>
  </si>
  <si>
    <t>Linux by Zabbix agent</t>
  </si>
  <si>
    <t>22380</t>
  </si>
  <si>
    <t>(2796/1138)</t>
  </si>
  <si>
    <t>22375</t>
  </si>
  <si>
    <t>Linux: /etc/passwd has been changed</t>
  </si>
  <si>
    <t>Linux: /etc/passwd已变更</t>
  </si>
  <si>
    <t>(2796/1139)</t>
  </si>
  <si>
    <t>22370</t>
  </si>
  <si>
    <t>(2796/1140)</t>
  </si>
  <si>
    <t>22379</t>
  </si>
  <si>
    <t>(2796/1141)</t>
  </si>
  <si>
    <t>22381</t>
  </si>
  <si>
    <t>(2796/1142)</t>
  </si>
  <si>
    <t>22368</t>
  </si>
  <si>
    <t>(2796/1143)</t>
  </si>
  <si>
    <t>22369</t>
  </si>
  <si>
    <t>Linux: Configured max number of processes is too low</t>
  </si>
  <si>
    <t>Linux: 配置的最大进程数太低</t>
  </si>
  <si>
    <t>(2796/1144)</t>
  </si>
  <si>
    <t>22378</t>
  </si>
  <si>
    <t>Linux: Getting closer to process limit</t>
  </si>
  <si>
    <t>Linux: 接近进程极限</t>
  </si>
  <si>
    <t>(2796/1145)</t>
  </si>
  <si>
    <t>22376</t>
  </si>
  <si>
    <t>(2796/1146)</t>
  </si>
  <si>
    <t>22373</t>
  </si>
  <si>
    <t>(2796/1147)</t>
  </si>
  <si>
    <t>22372</t>
  </si>
  <si>
    <t>(2796/1148)</t>
  </si>
  <si>
    <t>22371</t>
  </si>
  <si>
    <t>(2796/1149)</t>
  </si>
  <si>
    <t>22374</t>
  </si>
  <si>
    <t>(2796/1150)</t>
  </si>
  <si>
    <t>22377</t>
  </si>
  <si>
    <t>Linux: Zabbix agent is not available</t>
  </si>
  <si>
    <t>Linux: Zabbix agent 不可用</t>
  </si>
  <si>
    <t>(2796/1151)</t>
  </si>
  <si>
    <t>Linux by Zabbix agent active</t>
  </si>
  <si>
    <t>22424</t>
  </si>
  <si>
    <t>(2796/1152)</t>
  </si>
  <si>
    <t>22420</t>
  </si>
  <si>
    <t>(2796/1153)</t>
  </si>
  <si>
    <t>22415</t>
  </si>
  <si>
    <t>(2796/1154)</t>
  </si>
  <si>
    <t>22423</t>
  </si>
  <si>
    <t>(2796/1155)</t>
  </si>
  <si>
    <t>22425</t>
  </si>
  <si>
    <t>(2796/1156)</t>
  </si>
  <si>
    <t>22413</t>
  </si>
  <si>
    <t>(2796/1157)</t>
  </si>
  <si>
    <t>22414</t>
  </si>
  <si>
    <t>(2796/1158)</t>
  </si>
  <si>
    <t>22422</t>
  </si>
  <si>
    <t>(2796/1159)</t>
  </si>
  <si>
    <t>22421</t>
  </si>
  <si>
    <t>(2796/1160)</t>
  </si>
  <si>
    <t>22418</t>
  </si>
  <si>
    <t>(2796/1161)</t>
  </si>
  <si>
    <t>22416</t>
  </si>
  <si>
    <t>(2796/1162)</t>
  </si>
  <si>
    <t>22419</t>
  </si>
  <si>
    <t>(2796/1163)</t>
  </si>
  <si>
    <t>22412</t>
  </si>
  <si>
    <t>(2796/1164)</t>
  </si>
  <si>
    <t>Linux generic by Zabbix agent</t>
  </si>
  <si>
    <t>(2796/1165)</t>
  </si>
  <si>
    <t>(2796/1166)</t>
  </si>
  <si>
    <t>(2796/1167)</t>
  </si>
  <si>
    <t>(2796/1168)</t>
  </si>
  <si>
    <t>(2796/1169)</t>
  </si>
  <si>
    <t>(2796/1170)</t>
  </si>
  <si>
    <t>(2796/1171)</t>
  </si>
  <si>
    <t>(2796/1172)</t>
  </si>
  <si>
    <t>Linux generic by Zabbix agent active</t>
  </si>
  <si>
    <t>(2796/1173)</t>
  </si>
  <si>
    <t>(2796/1174)</t>
  </si>
  <si>
    <t>17246</t>
  </si>
  <si>
    <t>(2796/1175)</t>
  </si>
  <si>
    <t>17247</t>
  </si>
  <si>
    <t>(2796/1176)</t>
  </si>
  <si>
    <t>17249</t>
  </si>
  <si>
    <t>(2796/1177)</t>
  </si>
  <si>
    <t>17250</t>
  </si>
  <si>
    <t>(2796/1178)</t>
  </si>
  <si>
    <t>17251</t>
  </si>
  <si>
    <t>(2796/1179)</t>
  </si>
  <si>
    <t>Linux memory by SNMP</t>
  </si>
  <si>
    <t>18155</t>
  </si>
  <si>
    <t>(2796/1180)</t>
  </si>
  <si>
    <t>18156</t>
  </si>
  <si>
    <t>(2796/1181)</t>
  </si>
  <si>
    <t>18157</t>
  </si>
  <si>
    <t>(2796/1182)</t>
  </si>
  <si>
    <t>Linux memory by Zabbix agent</t>
  </si>
  <si>
    <t>(2796/1183)</t>
  </si>
  <si>
    <t>18130</t>
  </si>
  <si>
    <t>(2796/1184)</t>
  </si>
  <si>
    <t>(2796/1185)</t>
  </si>
  <si>
    <t>Linux memory by Zabbix agent active</t>
  </si>
  <si>
    <t>(2796/1186)</t>
  </si>
  <si>
    <t>18142</t>
  </si>
  <si>
    <t>(2796/1187)</t>
  </si>
  <si>
    <t>18144</t>
  </si>
  <si>
    <t>(2796/1188)</t>
  </si>
  <si>
    <t>MSSQL by ODBC</t>
  </si>
  <si>
    <t>16925</t>
  </si>
  <si>
    <t>(2796/1189)</t>
  </si>
  <si>
    <t>MSSQL: Percentage of the buffer cache efficiency is low</t>
  </si>
  <si>
    <t>MSSQL: 缓冲区缓存效率的百分比低</t>
  </si>
  <si>
    <t>(2796/1190)</t>
  </si>
  <si>
    <t>(2796/1191)</t>
  </si>
  <si>
    <t>MSSQL: Number of rps waiting for a free page is high</t>
  </si>
  <si>
    <t>MSSQL: 等待空闲页面的rp数很高了</t>
  </si>
  <si>
    <t>(2796/1192)</t>
  </si>
  <si>
    <t>(2796/1193)</t>
  </si>
  <si>
    <t>MSSQL: Number of buffers written per second by the lazy writer is high</t>
  </si>
  <si>
    <t>MSSQL: 惰性写入程序每秒写入的缓冲区数很高了</t>
  </si>
  <si>
    <t>(2796/1194)</t>
  </si>
  <si>
    <t>MSSQL: Page life expectancy is low</t>
  </si>
  <si>
    <t>MSSQL: 页面预期寿命低</t>
  </si>
  <si>
    <t>(2796/1195)</t>
  </si>
  <si>
    <t>(2796/1196)</t>
  </si>
  <si>
    <t>MSSQL: Number of physical database page reads per second is high</t>
  </si>
  <si>
    <t>MSSQL: 每秒物理数据库页读取次数很高了</t>
  </si>
  <si>
    <t>(2796/1197)</t>
  </si>
  <si>
    <t>MSSQL: Number of physical database page writes per second is high</t>
  </si>
  <si>
    <t>MSSQL: 每秒物理数据库页写入次数很高了</t>
  </si>
  <si>
    <t>(2796/1198)</t>
  </si>
  <si>
    <t>17081</t>
  </si>
  <si>
    <t>MSSQL: Percent of ad hoc queries running is high</t>
  </si>
  <si>
    <t>MSSQL: 运行中海量实时计算百分比高了</t>
  </si>
  <si>
    <t>(2796/1199)</t>
  </si>
  <si>
    <t>17082</t>
  </si>
  <si>
    <t>MSSQL: Percent of times statement recompiles is high</t>
  </si>
  <si>
    <t>MSSQL: 语句重新编译的百分比高了</t>
  </si>
  <si>
    <t>(2796/1200)</t>
  </si>
  <si>
    <t>(2796/1201)</t>
  </si>
  <si>
    <t>MSSQL: Total average wait time for locks is high</t>
  </si>
  <si>
    <t>MSSQL: 锁总平均等待时间高了</t>
  </si>
  <si>
    <t>(2796/1202)</t>
  </si>
  <si>
    <t>MSSQL: Total number of locks per second is high</t>
  </si>
  <si>
    <t>MSSQL: 每秒锁的总数很高了</t>
  </si>
  <si>
    <t>(2796/1203)</t>
  </si>
  <si>
    <t>MSSQL: Number of deadlocks is high</t>
  </si>
  <si>
    <t>MSSQL: 死锁的数量很高</t>
  </si>
  <si>
    <t>(2796/1204)</t>
  </si>
  <si>
    <t>(2796/1205)</t>
  </si>
  <si>
    <t>MSSQL: Total lock requests per second that timed out is high</t>
  </si>
  <si>
    <t>MSSQL: 每秒超时的锁请求总数很高了</t>
  </si>
  <si>
    <t>(2796/1206)</t>
  </si>
  <si>
    <t>16939</t>
  </si>
  <si>
    <t>MSSQL: Service has been restarted</t>
  </si>
  <si>
    <t>MSSQL: 服务已重新启动</t>
  </si>
  <si>
    <t>(2796/1207)</t>
  </si>
  <si>
    <t>MSSQL: Failed to fetch info data</t>
  </si>
  <si>
    <t>MSSQL: 无法获取信息数据</t>
  </si>
  <si>
    <t>(2796/1208)</t>
  </si>
  <si>
    <t>MSSQL: Version has changed</t>
  </si>
  <si>
    <t>MSSQL: 版本已变更</t>
  </si>
  <si>
    <t>(2796/1209)</t>
  </si>
  <si>
    <t>MSSQL: Number of work files created per second is high</t>
  </si>
  <si>
    <t>MSSQL: 每秒创建的工作文件数很高了</t>
  </si>
  <si>
    <t>(2796/1210)</t>
  </si>
  <si>
    <t>MSSQL: Number of work tables created per second is high</t>
  </si>
  <si>
    <t>MSSQL: 每秒创建的工作表数很高了</t>
  </si>
  <si>
    <t>(2796/1211)</t>
  </si>
  <si>
    <t>MSSQL: Percentage of work tables available from the work table cache is low</t>
  </si>
  <si>
    <t>MSSQL: 工作表缓存中可用的工作表百分比低</t>
  </si>
  <si>
    <t>(2796/1212)</t>
  </si>
  <si>
    <t>MSSQL by Zabbix agent 2</t>
  </si>
  <si>
    <t>23463</t>
  </si>
  <si>
    <t>(2796/1213)</t>
  </si>
  <si>
    <t>23442</t>
  </si>
  <si>
    <t>(2796/1214)</t>
  </si>
  <si>
    <t>23443</t>
  </si>
  <si>
    <t>(2796/1215)</t>
  </si>
  <si>
    <t>23444</t>
  </si>
  <si>
    <t>(2796/1216)</t>
  </si>
  <si>
    <t>23455</t>
  </si>
  <si>
    <t>(2796/1217)</t>
  </si>
  <si>
    <t>23445</t>
  </si>
  <si>
    <t>(2796/1218)</t>
  </si>
  <si>
    <t>23450</t>
  </si>
  <si>
    <t>(2796/1219)</t>
  </si>
  <si>
    <t>23464</t>
  </si>
  <si>
    <t>(2796/1220)</t>
  </si>
  <si>
    <t>23451</t>
  </si>
  <si>
    <t>(2796/1221)</t>
  </si>
  <si>
    <t>23452</t>
  </si>
  <si>
    <t>(2796/1222)</t>
  </si>
  <si>
    <t>23453</t>
  </si>
  <si>
    <t>(2796/1223)</t>
  </si>
  <si>
    <t>23454</t>
  </si>
  <si>
    <t>(2796/1224)</t>
  </si>
  <si>
    <t>23462</t>
  </si>
  <si>
    <t>(2796/1225)</t>
  </si>
  <si>
    <t>23441</t>
  </si>
  <si>
    <t>(2796/1226)</t>
  </si>
  <si>
    <t>23446</t>
  </si>
  <si>
    <t>(2796/1227)</t>
  </si>
  <si>
    <t>23449</t>
  </si>
  <si>
    <t>(2796/1228)</t>
  </si>
  <si>
    <t>23448</t>
  </si>
  <si>
    <t>(2796/1229)</t>
  </si>
  <si>
    <t>23447</t>
  </si>
  <si>
    <t>(2796/1230)</t>
  </si>
  <si>
    <t>23457</t>
  </si>
  <si>
    <t>(2796/1231)</t>
  </si>
  <si>
    <t>23456</t>
  </si>
  <si>
    <t>(2796/1232)</t>
  </si>
  <si>
    <t>23458</t>
  </si>
  <si>
    <t>(2796/1233)</t>
  </si>
  <si>
    <t>23459</t>
  </si>
  <si>
    <t>(2796/1234)</t>
  </si>
  <si>
    <t>23460</t>
  </si>
  <si>
    <t>(2796/1235)</t>
  </si>
  <si>
    <t>23461</t>
  </si>
  <si>
    <t>(2796/1236)</t>
  </si>
  <si>
    <t>Mellanox by SNMP</t>
  </si>
  <si>
    <t>Mellanox: High CPU utilization</t>
  </si>
  <si>
    <t>Mellanox: 高CPU利用率</t>
  </si>
  <si>
    <t>(2796/1237)</t>
  </si>
  <si>
    <t>Mellanox: High ICMP ping loss</t>
  </si>
  <si>
    <t>Mellanox: 高ICMPping丢失</t>
  </si>
  <si>
    <t>(2796/1238)</t>
  </si>
  <si>
    <t>Mellanox: Unavailable by ICMP ping</t>
  </si>
  <si>
    <t>Mellanox: ICMPping不可用</t>
  </si>
  <si>
    <t>(2796/1239)</t>
  </si>
  <si>
    <t>18435</t>
  </si>
  <si>
    <t>Mellanox: High ICMP ping response time</t>
  </si>
  <si>
    <t>Mellanox: 高ICMPping响应时间</t>
  </si>
  <si>
    <t>(2796/1240)</t>
  </si>
  <si>
    <t>18439</t>
  </si>
  <si>
    <t>Mellanox: No SNMP data collection</t>
  </si>
  <si>
    <t>Mellanox: 无SNMP数据收集</t>
  </si>
  <si>
    <t>(2796/1241)</t>
  </si>
  <si>
    <t>Mellanox: System name has changed</t>
  </si>
  <si>
    <t>Mellanox: 系统名称已变更</t>
  </si>
  <si>
    <t>(2796/1242)</t>
  </si>
  <si>
    <t>18438</t>
  </si>
  <si>
    <t>Mellanox: Host has been restarted</t>
  </si>
  <si>
    <t>Mellanox: 主机已重新启动</t>
  </si>
  <si>
    <t>(2796/1243)</t>
  </si>
  <si>
    <t>Memcached by Zabbix agent 2</t>
  </si>
  <si>
    <t>Memcached: Memory usage is too high</t>
  </si>
  <si>
    <t>Memcached: 内存使用率太高</t>
  </si>
  <si>
    <t>(2796/1244)</t>
  </si>
  <si>
    <t>Memcached: Failed to fetch info data</t>
  </si>
  <si>
    <t>Memcached: 无法获取信息数据</t>
  </si>
  <si>
    <t>(2796/1245)</t>
  </si>
  <si>
    <t>Memcached: Total number of connected clients is too high</t>
  </si>
  <si>
    <t>Memcached: 连接的客户端总数太高</t>
  </si>
  <si>
    <t>(2796/1246)</t>
  </si>
  <si>
    <t>Memcached: Version has changed</t>
  </si>
  <si>
    <t>Memcached: 版本已变更</t>
  </si>
  <si>
    <t>(2796/1247)</t>
  </si>
  <si>
    <t>(2796/1248)</t>
  </si>
  <si>
    <t>Memcached: Too many queued connections</t>
  </si>
  <si>
    <t>Memcached: 排队的连接太多</t>
  </si>
  <si>
    <t>(2796/1249)</t>
  </si>
  <si>
    <t>Memcached: Too many throttled connections</t>
  </si>
  <si>
    <t>Memcached: 限制的连接太多</t>
  </si>
  <si>
    <t>(2796/1250)</t>
  </si>
  <si>
    <t>Memcached: has been restarted</t>
  </si>
  <si>
    <t>Memcached: 已重新启动</t>
  </si>
  <si>
    <t>(2796/1251)</t>
  </si>
  <si>
    <t>Microsoft 365 reports by HTTP</t>
  </si>
  <si>
    <t>23620</t>
  </si>
  <si>
    <t>Apps: There are errors in requests to API</t>
  </si>
  <si>
    <t>应用: 对 API 的请求中有错误。</t>
  </si>
  <si>
    <t>(2796/1252)</t>
  </si>
  <si>
    <t>23621</t>
  </si>
  <si>
    <t>OneDrive: There are errors in requests to API</t>
  </si>
  <si>
    <t>OneDrive: 对 API 的请求中有错误。</t>
  </si>
  <si>
    <t>(2796/1253)</t>
  </si>
  <si>
    <t>23622</t>
  </si>
  <si>
    <t>Outlook: There are errors in requests to API</t>
  </si>
  <si>
    <t>Outlook: 对 API 的请求中有错误。</t>
  </si>
  <si>
    <t>(2796/1254)</t>
  </si>
  <si>
    <t>23623</t>
  </si>
  <si>
    <t>Services: There are errors in requests to API</t>
  </si>
  <si>
    <t>服务: 对 API 的请求中有错误。</t>
  </si>
  <si>
    <t>(2796/1255)</t>
  </si>
  <si>
    <t>23624</t>
  </si>
  <si>
    <t>SharePoint: There are errors in requests to API</t>
  </si>
  <si>
    <t>SharePoint: 对 API 的请求中有错误。</t>
  </si>
  <si>
    <t>(2796/1256)</t>
  </si>
  <si>
    <t>23625</t>
  </si>
  <si>
    <t>Teams: There are errors in requests to API</t>
  </si>
  <si>
    <t>Teams: 对 API 的请求中有错误。</t>
  </si>
  <si>
    <t>(2796/1257)</t>
  </si>
  <si>
    <t>Microsoft SharePoint by HTTP</t>
  </si>
  <si>
    <t>Sharepoint: Server responds slowly to API request</t>
  </si>
  <si>
    <t>Sharepoint: 服务器对API请求响应缓慢</t>
  </si>
  <si>
    <t>(2796/1258)</t>
  </si>
  <si>
    <t>Sharepoint: Error getting directory structure.</t>
  </si>
  <si>
    <t>Sharepoint: 获取目录结构时出错.</t>
  </si>
  <si>
    <t>(2796/1259)</t>
  </si>
  <si>
    <t>Sharepoint: Bad health score</t>
  </si>
  <si>
    <t>Sharepoint: 健康状况得分不好</t>
  </si>
  <si>
    <t>(2796/1260)</t>
  </si>
  <si>
    <t>MikroTik CCR1009-7G-1C-1S by SNMP</t>
  </si>
  <si>
    <t>19707</t>
  </si>
  <si>
    <t>Mikrotik: Firmware has changed</t>
  </si>
  <si>
    <t>Mikrotik: 固件已变更</t>
  </si>
  <si>
    <t>(2796/1261)</t>
  </si>
  <si>
    <t>19708</t>
  </si>
  <si>
    <t>Mikrotik: Device has been replaced</t>
  </si>
  <si>
    <t>Mikrotik: 设备已更换</t>
  </si>
  <si>
    <t>(2796/1262)</t>
  </si>
  <si>
    <t>21785</t>
  </si>
  <si>
    <t>Mikrotik: High ICMP ping loss</t>
  </si>
  <si>
    <t>Mikrotik: 高ICMPping丢失</t>
  </si>
  <si>
    <t>(2796/1263)</t>
  </si>
  <si>
    <t>21784</t>
  </si>
  <si>
    <t>Mikrotik: Unavailable by ICMP ping</t>
  </si>
  <si>
    <t>Mikrotik: ICMPping不可用</t>
  </si>
  <si>
    <t>(2796/1264)</t>
  </si>
  <si>
    <t>21786</t>
  </si>
  <si>
    <t>Mikrotik: High ICMP ping response time</t>
  </si>
  <si>
    <t>Mikrotik: 高ICMPping响应时间</t>
  </si>
  <si>
    <t>(2796/1265)</t>
  </si>
  <si>
    <t>19710</t>
  </si>
  <si>
    <t>Mikrotik: High memory utilization</t>
  </si>
  <si>
    <t>Mikrotik: 高内存利用率</t>
  </si>
  <si>
    <t>(2796/1266)</t>
  </si>
  <si>
    <t>19709</t>
  </si>
  <si>
    <t>Mikrotik: Operating system description has changed</t>
  </si>
  <si>
    <t>Mikrotik: 操作系统描述已变更</t>
  </si>
  <si>
    <t>(2796/1267)</t>
  </si>
  <si>
    <t>21789</t>
  </si>
  <si>
    <t>Mikrotik: No SNMP data collection</t>
  </si>
  <si>
    <t>Mikrotik: 无SNMP数据收集</t>
  </si>
  <si>
    <t>(2796/1268)</t>
  </si>
  <si>
    <t>21787</t>
  </si>
  <si>
    <t>Mikrotik: System name has changed</t>
  </si>
  <si>
    <t>Mikrotik: 系统名称已变更</t>
  </si>
  <si>
    <t>(2796/1269)</t>
  </si>
  <si>
    <t>21788</t>
  </si>
  <si>
    <t>Mikrotik: Host has been restarted</t>
  </si>
  <si>
    <t>Mikrotik: 主机已重新启动</t>
  </si>
  <si>
    <t>(2796/1270)</t>
  </si>
  <si>
    <t>MikroTik CCR1009-7G-1C-1SPC by SNMP</t>
  </si>
  <si>
    <t>(2796/1271)</t>
  </si>
  <si>
    <t>(2796/1272)</t>
  </si>
  <si>
    <t>21775</t>
  </si>
  <si>
    <t>(2796/1273)</t>
  </si>
  <si>
    <t>21774</t>
  </si>
  <si>
    <t>(2796/1274)</t>
  </si>
  <si>
    <t>21776</t>
  </si>
  <si>
    <t>(2796/1275)</t>
  </si>
  <si>
    <t>19682</t>
  </si>
  <si>
    <t>(2796/1276)</t>
  </si>
  <si>
    <t>19681</t>
  </si>
  <si>
    <t>(2796/1277)</t>
  </si>
  <si>
    <t>21779</t>
  </si>
  <si>
    <t>(2796/1278)</t>
  </si>
  <si>
    <t>21777</t>
  </si>
  <si>
    <t>(2796/1279)</t>
  </si>
  <si>
    <t>21778</t>
  </si>
  <si>
    <t>(2796/1280)</t>
  </si>
  <si>
    <t>MikroTik CCR1009-7G-1C-PC by SNMP</t>
  </si>
  <si>
    <t>(2796/1281)</t>
  </si>
  <si>
    <t>19736</t>
  </si>
  <si>
    <t>(2796/1282)</t>
  </si>
  <si>
    <t>21795</t>
  </si>
  <si>
    <t>(2796/1283)</t>
  </si>
  <si>
    <t>21794</t>
  </si>
  <si>
    <t>(2796/1284)</t>
  </si>
  <si>
    <t>21796</t>
  </si>
  <si>
    <t>(2796/1285)</t>
  </si>
  <si>
    <t>19738</t>
  </si>
  <si>
    <t>(2796/1286)</t>
  </si>
  <si>
    <t>19737</t>
  </si>
  <si>
    <t>(2796/1287)</t>
  </si>
  <si>
    <t>21799</t>
  </si>
  <si>
    <t>(2796/1288)</t>
  </si>
  <si>
    <t>21797</t>
  </si>
  <si>
    <t>(2796/1289)</t>
  </si>
  <si>
    <t>21798</t>
  </si>
  <si>
    <t>(2796/1290)</t>
  </si>
  <si>
    <t>MikroTik CCR1016-12G by SNMP</t>
  </si>
  <si>
    <t>19763</t>
  </si>
  <si>
    <t>(2796/1291)</t>
  </si>
  <si>
    <t>19764</t>
  </si>
  <si>
    <t>(2796/1292)</t>
  </si>
  <si>
    <t>21805</t>
  </si>
  <si>
    <t>(2796/1293)</t>
  </si>
  <si>
    <t>21804</t>
  </si>
  <si>
    <t>(2796/1294)</t>
  </si>
  <si>
    <t>21806</t>
  </si>
  <si>
    <t>(2796/1295)</t>
  </si>
  <si>
    <t>19766</t>
  </si>
  <si>
    <t>(2796/1296)</t>
  </si>
  <si>
    <t>19765</t>
  </si>
  <si>
    <t>(2796/1297)</t>
  </si>
  <si>
    <t>21809</t>
  </si>
  <si>
    <t>(2796/1298)</t>
  </si>
  <si>
    <t>21807</t>
  </si>
  <si>
    <t>(2796/1299)</t>
  </si>
  <si>
    <t>21808</t>
  </si>
  <si>
    <t>(2796/1300)</t>
  </si>
  <si>
    <t>MikroTik CCR1016-12S-1S by SNMP</t>
  </si>
  <si>
    <t>(2796/1301)</t>
  </si>
  <si>
    <t>(2796/1302)</t>
  </si>
  <si>
    <t>21815</t>
  </si>
  <si>
    <t>(2796/1303)</t>
  </si>
  <si>
    <t>21814</t>
  </si>
  <si>
    <t>(2796/1304)</t>
  </si>
  <si>
    <t>21816</t>
  </si>
  <si>
    <t>(2796/1305)</t>
  </si>
  <si>
    <t>(2796/1306)</t>
  </si>
  <si>
    <t>(2796/1307)</t>
  </si>
  <si>
    <t>21819</t>
  </si>
  <si>
    <t>(2796/1308)</t>
  </si>
  <si>
    <t>21817</t>
  </si>
  <si>
    <t>(2796/1309)</t>
  </si>
  <si>
    <t>21818</t>
  </si>
  <si>
    <t>(2796/1310)</t>
  </si>
  <si>
    <t>MikroTik CCR1036-12G-4S by SNMP</t>
  </si>
  <si>
    <t>19847</t>
  </si>
  <si>
    <t>(2796/1311)</t>
  </si>
  <si>
    <t>19848</t>
  </si>
  <si>
    <t>(2796/1312)</t>
  </si>
  <si>
    <t>21835</t>
  </si>
  <si>
    <t>(2796/1313)</t>
  </si>
  <si>
    <t>21834</t>
  </si>
  <si>
    <t>(2796/1314)</t>
  </si>
  <si>
    <t>21836</t>
  </si>
  <si>
    <t>(2796/1315)</t>
  </si>
  <si>
    <t>19850</t>
  </si>
  <si>
    <t>(2796/1316)</t>
  </si>
  <si>
    <t>19849</t>
  </si>
  <si>
    <t>(2796/1317)</t>
  </si>
  <si>
    <t>21839</t>
  </si>
  <si>
    <t>(2796/1318)</t>
  </si>
  <si>
    <t>21837</t>
  </si>
  <si>
    <t>(2796/1319)</t>
  </si>
  <si>
    <t>21838</t>
  </si>
  <si>
    <t>(2796/1320)</t>
  </si>
  <si>
    <t>MikroTik CCR1036-12G-4S-EM by SNMP</t>
  </si>
  <si>
    <t>(2796/1321)</t>
  </si>
  <si>
    <t>(2796/1322)</t>
  </si>
  <si>
    <t>21825</t>
  </si>
  <si>
    <t>(2796/1323)</t>
  </si>
  <si>
    <t>21824</t>
  </si>
  <si>
    <t>(2796/1324)</t>
  </si>
  <si>
    <t>21826</t>
  </si>
  <si>
    <t>(2796/1325)</t>
  </si>
  <si>
    <t>(2796/1326)</t>
  </si>
  <si>
    <t>(2796/1327)</t>
  </si>
  <si>
    <t>21829</t>
  </si>
  <si>
    <t>(2796/1328)</t>
  </si>
  <si>
    <t>21827</t>
  </si>
  <si>
    <t>(2796/1329)</t>
  </si>
  <si>
    <t>21828</t>
  </si>
  <si>
    <t>(2796/1330)</t>
  </si>
  <si>
    <t>MikroTik CCR1036-8G-2S by SNMP</t>
  </si>
  <si>
    <t>19903</t>
  </si>
  <si>
    <t>(2796/1331)</t>
  </si>
  <si>
    <t>19904</t>
  </si>
  <si>
    <t>(2796/1332)</t>
  </si>
  <si>
    <t>21855</t>
  </si>
  <si>
    <t>(2796/1333)</t>
  </si>
  <si>
    <t>21854</t>
  </si>
  <si>
    <t>(2796/1334)</t>
  </si>
  <si>
    <t>21856</t>
  </si>
  <si>
    <t>(2796/1335)</t>
  </si>
  <si>
    <t>19906</t>
  </si>
  <si>
    <t>(2796/1336)</t>
  </si>
  <si>
    <t>19905</t>
  </si>
  <si>
    <t>(2796/1337)</t>
  </si>
  <si>
    <t>21859</t>
  </si>
  <si>
    <t>(2796/1338)</t>
  </si>
  <si>
    <t>21857</t>
  </si>
  <si>
    <t>(2796/1339)</t>
  </si>
  <si>
    <t>21858</t>
  </si>
  <si>
    <t>(2796/1340)</t>
  </si>
  <si>
    <t>MikroTik CCR1036-8G-2SEM by SNMP</t>
  </si>
  <si>
    <t>19875</t>
  </si>
  <si>
    <t>(2796/1341)</t>
  </si>
  <si>
    <t>19876</t>
  </si>
  <si>
    <t>(2796/1342)</t>
  </si>
  <si>
    <t>21845</t>
  </si>
  <si>
    <t>(2796/1343)</t>
  </si>
  <si>
    <t>21844</t>
  </si>
  <si>
    <t>(2796/1344)</t>
  </si>
  <si>
    <t>21846</t>
  </si>
  <si>
    <t>(2796/1345)</t>
  </si>
  <si>
    <t>19878</t>
  </si>
  <si>
    <t>(2796/1346)</t>
  </si>
  <si>
    <t>19877</t>
  </si>
  <si>
    <t>(2796/1347)</t>
  </si>
  <si>
    <t>21849</t>
  </si>
  <si>
    <t>(2796/1348)</t>
  </si>
  <si>
    <t>21847</t>
  </si>
  <si>
    <t>(2796/1349)</t>
  </si>
  <si>
    <t>21848</t>
  </si>
  <si>
    <t>(2796/1350)</t>
  </si>
  <si>
    <t>MikroTik CCR1072-1G-8S by SNMP</t>
  </si>
  <si>
    <t>(2796/1351)</t>
  </si>
  <si>
    <t>(2796/1352)</t>
  </si>
  <si>
    <t>21865</t>
  </si>
  <si>
    <t>(2796/1353)</t>
  </si>
  <si>
    <t>21864</t>
  </si>
  <si>
    <t>(2796/1354)</t>
  </si>
  <si>
    <t>21866</t>
  </si>
  <si>
    <t>(2796/1355)</t>
  </si>
  <si>
    <t>(2796/1356)</t>
  </si>
  <si>
    <t>(2796/1357)</t>
  </si>
  <si>
    <t>21869</t>
  </si>
  <si>
    <t>(2796/1358)</t>
  </si>
  <si>
    <t>21867</t>
  </si>
  <si>
    <t>(2796/1359)</t>
  </si>
  <si>
    <t>21868</t>
  </si>
  <si>
    <t>(2796/1360)</t>
  </si>
  <si>
    <t>MikroTik CCR2004-16G-2S by SNMP</t>
  </si>
  <si>
    <t>19959</t>
  </si>
  <si>
    <t>(2796/1361)</t>
  </si>
  <si>
    <t>(2796/1362)</t>
  </si>
  <si>
    <t>21875</t>
  </si>
  <si>
    <t>(2796/1363)</t>
  </si>
  <si>
    <t>21874</t>
  </si>
  <si>
    <t>(2796/1364)</t>
  </si>
  <si>
    <t>21876</t>
  </si>
  <si>
    <t>(2796/1365)</t>
  </si>
  <si>
    <t>19962</t>
  </si>
  <si>
    <t>(2796/1366)</t>
  </si>
  <si>
    <t>(2796/1367)</t>
  </si>
  <si>
    <t>21879</t>
  </si>
  <si>
    <t>(2796/1368)</t>
  </si>
  <si>
    <t>21877</t>
  </si>
  <si>
    <t>(2796/1369)</t>
  </si>
  <si>
    <t>21878</t>
  </si>
  <si>
    <t>(2796/1370)</t>
  </si>
  <si>
    <t>MikroTik CCR2004-1G-12S2XS by SNMP</t>
  </si>
  <si>
    <t>19987</t>
  </si>
  <si>
    <t>(2796/1371)</t>
  </si>
  <si>
    <t>19988</t>
  </si>
  <si>
    <t>(2796/1372)</t>
  </si>
  <si>
    <t>21885</t>
  </si>
  <si>
    <t>(2796/1373)</t>
  </si>
  <si>
    <t>21884</t>
  </si>
  <si>
    <t>(2796/1374)</t>
  </si>
  <si>
    <t>21886</t>
  </si>
  <si>
    <t>(2796/1375)</t>
  </si>
  <si>
    <t>19990</t>
  </si>
  <si>
    <t>(2796/1376)</t>
  </si>
  <si>
    <t>19989</t>
  </si>
  <si>
    <t>(2796/1377)</t>
  </si>
  <si>
    <t>21889</t>
  </si>
  <si>
    <t>(2796/1378)</t>
  </si>
  <si>
    <t>21887</t>
  </si>
  <si>
    <t>(2796/1379)</t>
  </si>
  <si>
    <t>21888</t>
  </si>
  <si>
    <t>(2796/1380)</t>
  </si>
  <si>
    <t>MikroTik CRS106-1C-5S by SNMP</t>
  </si>
  <si>
    <t>20015</t>
  </si>
  <si>
    <t>(2796/1381)</t>
  </si>
  <si>
    <t>20016</t>
  </si>
  <si>
    <t>(2796/1382)</t>
  </si>
  <si>
    <t>21895</t>
  </si>
  <si>
    <t>(2796/1383)</t>
  </si>
  <si>
    <t>21894</t>
  </si>
  <si>
    <t>(2796/1384)</t>
  </si>
  <si>
    <t>21896</t>
  </si>
  <si>
    <t>(2796/1385)</t>
  </si>
  <si>
    <t>20018</t>
  </si>
  <si>
    <t>(2796/1386)</t>
  </si>
  <si>
    <t>20017</t>
  </si>
  <si>
    <t>(2796/1387)</t>
  </si>
  <si>
    <t>21899</t>
  </si>
  <si>
    <t>(2796/1388)</t>
  </si>
  <si>
    <t>21897</t>
  </si>
  <si>
    <t>(2796/1389)</t>
  </si>
  <si>
    <t>21898</t>
  </si>
  <si>
    <t>(2796/1390)</t>
  </si>
  <si>
    <t>MikroTik CRS109-8G-1S-2HnD-IN by SNMP</t>
  </si>
  <si>
    <t>20043</t>
  </si>
  <si>
    <t>(2796/1391)</t>
  </si>
  <si>
    <t>20044</t>
  </si>
  <si>
    <t>(2796/1392)</t>
  </si>
  <si>
    <t>21905</t>
  </si>
  <si>
    <t>(2796/1393)</t>
  </si>
  <si>
    <t>21904</t>
  </si>
  <si>
    <t>(2796/1394)</t>
  </si>
  <si>
    <t>21906</t>
  </si>
  <si>
    <t>(2796/1395)</t>
  </si>
  <si>
    <t>20046</t>
  </si>
  <si>
    <t>(2796/1396)</t>
  </si>
  <si>
    <t>20045</t>
  </si>
  <si>
    <t>(2796/1397)</t>
  </si>
  <si>
    <t>21909</t>
  </si>
  <si>
    <t>(2796/1398)</t>
  </si>
  <si>
    <t>21907</t>
  </si>
  <si>
    <t>(2796/1399)</t>
  </si>
  <si>
    <t>21908</t>
  </si>
  <si>
    <t>(2796/1400)</t>
  </si>
  <si>
    <t>MikroTik CRS112-8G-4S-IN by SNMP</t>
  </si>
  <si>
    <t>(2796/1401)</t>
  </si>
  <si>
    <t>(2796/1402)</t>
  </si>
  <si>
    <t>21915</t>
  </si>
  <si>
    <t>(2796/1403)</t>
  </si>
  <si>
    <t>21914</t>
  </si>
  <si>
    <t>(2796/1404)</t>
  </si>
  <si>
    <t>21916</t>
  </si>
  <si>
    <t>(2796/1405)</t>
  </si>
  <si>
    <t>(2796/1406)</t>
  </si>
  <si>
    <t>(2796/1407)</t>
  </si>
  <si>
    <t>21919</t>
  </si>
  <si>
    <t>(2796/1408)</t>
  </si>
  <si>
    <t>21917</t>
  </si>
  <si>
    <t>(2796/1409)</t>
  </si>
  <si>
    <t>21918</t>
  </si>
  <si>
    <t>(2796/1410)</t>
  </si>
  <si>
    <t>MikroTik CRS112-8P-4S-IN by SNMP</t>
  </si>
  <si>
    <t>20099</t>
  </si>
  <si>
    <t>(2796/1411)</t>
  </si>
  <si>
    <t>20100</t>
  </si>
  <si>
    <t>(2796/1412)</t>
  </si>
  <si>
    <t>21925</t>
  </si>
  <si>
    <t>(2796/1413)</t>
  </si>
  <si>
    <t>21924</t>
  </si>
  <si>
    <t>(2796/1414)</t>
  </si>
  <si>
    <t>21926</t>
  </si>
  <si>
    <t>(2796/1415)</t>
  </si>
  <si>
    <t>20102</t>
  </si>
  <si>
    <t>(2796/1416)</t>
  </si>
  <si>
    <t>20101</t>
  </si>
  <si>
    <t>(2796/1417)</t>
  </si>
  <si>
    <t>21929</t>
  </si>
  <si>
    <t>(2796/1418)</t>
  </si>
  <si>
    <t>21927</t>
  </si>
  <si>
    <t>(2796/1419)</t>
  </si>
  <si>
    <t>21928</t>
  </si>
  <si>
    <t>(2796/1420)</t>
  </si>
  <si>
    <t>MikroTik CRS125-24G-1S-2HnD-IN by SNMP</t>
  </si>
  <si>
    <t>20127</t>
  </si>
  <si>
    <t>(2796/1421)</t>
  </si>
  <si>
    <t>20128</t>
  </si>
  <si>
    <t>(2796/1422)</t>
  </si>
  <si>
    <t>21935</t>
  </si>
  <si>
    <t>(2796/1423)</t>
  </si>
  <si>
    <t>21934</t>
  </si>
  <si>
    <t>(2796/1424)</t>
  </si>
  <si>
    <t>21936</t>
  </si>
  <si>
    <t>(2796/1425)</t>
  </si>
  <si>
    <t>20130</t>
  </si>
  <si>
    <t>(2796/1426)</t>
  </si>
  <si>
    <t>20129</t>
  </si>
  <si>
    <t>(2796/1427)</t>
  </si>
  <si>
    <t>21939</t>
  </si>
  <si>
    <t>(2796/1428)</t>
  </si>
  <si>
    <t>21937</t>
  </si>
  <si>
    <t>(2796/1429)</t>
  </si>
  <si>
    <t>21938</t>
  </si>
  <si>
    <t>(2796/1430)</t>
  </si>
  <si>
    <t>MikroTik CRS212-1G-10S-1SIN by SNMP</t>
  </si>
  <si>
    <t>20155</t>
  </si>
  <si>
    <t>(2796/1431)</t>
  </si>
  <si>
    <t>20156</t>
  </si>
  <si>
    <t>(2796/1432)</t>
  </si>
  <si>
    <t>21945</t>
  </si>
  <si>
    <t>(2796/1433)</t>
  </si>
  <si>
    <t>21944</t>
  </si>
  <si>
    <t>(2796/1434)</t>
  </si>
  <si>
    <t>21946</t>
  </si>
  <si>
    <t>(2796/1435)</t>
  </si>
  <si>
    <t>20158</t>
  </si>
  <si>
    <t>(2796/1436)</t>
  </si>
  <si>
    <t>20157</t>
  </si>
  <si>
    <t>(2796/1437)</t>
  </si>
  <si>
    <t>21949</t>
  </si>
  <si>
    <t>(2796/1438)</t>
  </si>
  <si>
    <t>21947</t>
  </si>
  <si>
    <t>(2796/1439)</t>
  </si>
  <si>
    <t>21948</t>
  </si>
  <si>
    <t>(2796/1440)</t>
  </si>
  <si>
    <t>MikroTik CRS305-1G-4SIN by SNMP</t>
  </si>
  <si>
    <t>20183</t>
  </si>
  <si>
    <t>(2796/1441)</t>
  </si>
  <si>
    <t>20184</t>
  </si>
  <si>
    <t>(2796/1442)</t>
  </si>
  <si>
    <t>21955</t>
  </si>
  <si>
    <t>(2796/1443)</t>
  </si>
  <si>
    <t>21954</t>
  </si>
  <si>
    <t>(2796/1444)</t>
  </si>
  <si>
    <t>21956</t>
  </si>
  <si>
    <t>(2796/1445)</t>
  </si>
  <si>
    <t>20186</t>
  </si>
  <si>
    <t>(2796/1446)</t>
  </si>
  <si>
    <t>20185</t>
  </si>
  <si>
    <t>(2796/1447)</t>
  </si>
  <si>
    <t>21959</t>
  </si>
  <si>
    <t>(2796/1448)</t>
  </si>
  <si>
    <t>21957</t>
  </si>
  <si>
    <t>(2796/1449)</t>
  </si>
  <si>
    <t>21958</t>
  </si>
  <si>
    <t>(2796/1450)</t>
  </si>
  <si>
    <t>MikroTik CRS309-1G-8SIN by SNMP</t>
  </si>
  <si>
    <t>20211</t>
  </si>
  <si>
    <t>(2796/1451)</t>
  </si>
  <si>
    <t>20212</t>
  </si>
  <si>
    <t>(2796/1452)</t>
  </si>
  <si>
    <t>21965</t>
  </si>
  <si>
    <t>(2796/1453)</t>
  </si>
  <si>
    <t>21964</t>
  </si>
  <si>
    <t>(2796/1454)</t>
  </si>
  <si>
    <t>21966</t>
  </si>
  <si>
    <t>(2796/1455)</t>
  </si>
  <si>
    <t>20214</t>
  </si>
  <si>
    <t>(2796/1456)</t>
  </si>
  <si>
    <t>20213</t>
  </si>
  <si>
    <t>(2796/1457)</t>
  </si>
  <si>
    <t>21969</t>
  </si>
  <si>
    <t>(2796/1458)</t>
  </si>
  <si>
    <t>21967</t>
  </si>
  <si>
    <t>(2796/1459)</t>
  </si>
  <si>
    <t>21968</t>
  </si>
  <si>
    <t>(2796/1460)</t>
  </si>
  <si>
    <t>MikroTik CRS312-4C8XG-RM by SNMP</t>
  </si>
  <si>
    <t>20239</t>
  </si>
  <si>
    <t>(2796/1461)</t>
  </si>
  <si>
    <t>20240</t>
  </si>
  <si>
    <t>(2796/1462)</t>
  </si>
  <si>
    <t>21975</t>
  </si>
  <si>
    <t>(2796/1463)</t>
  </si>
  <si>
    <t>21974</t>
  </si>
  <si>
    <t>(2796/1464)</t>
  </si>
  <si>
    <t>21976</t>
  </si>
  <si>
    <t>(2796/1465)</t>
  </si>
  <si>
    <t>20242</t>
  </si>
  <si>
    <t>(2796/1466)</t>
  </si>
  <si>
    <t>20241</t>
  </si>
  <si>
    <t>(2796/1467)</t>
  </si>
  <si>
    <t>21979</t>
  </si>
  <si>
    <t>(2796/1468)</t>
  </si>
  <si>
    <t>21977</t>
  </si>
  <si>
    <t>(2796/1469)</t>
  </si>
  <si>
    <t>21978</t>
  </si>
  <si>
    <t>(2796/1470)</t>
  </si>
  <si>
    <t>MikroTik CRS317-1G-16SRM by SNMP</t>
  </si>
  <si>
    <t>20267</t>
  </si>
  <si>
    <t>(2796/1471)</t>
  </si>
  <si>
    <t>20268</t>
  </si>
  <si>
    <t>(2796/1472)</t>
  </si>
  <si>
    <t>21985</t>
  </si>
  <si>
    <t>(2796/1473)</t>
  </si>
  <si>
    <t>21984</t>
  </si>
  <si>
    <t>(2796/1474)</t>
  </si>
  <si>
    <t>21986</t>
  </si>
  <si>
    <t>(2796/1475)</t>
  </si>
  <si>
    <t>20270</t>
  </si>
  <si>
    <t>(2796/1476)</t>
  </si>
  <si>
    <t>20269</t>
  </si>
  <si>
    <t>(2796/1477)</t>
  </si>
  <si>
    <t>21989</t>
  </si>
  <si>
    <t>(2796/1478)</t>
  </si>
  <si>
    <t>21987</t>
  </si>
  <si>
    <t>(2796/1479)</t>
  </si>
  <si>
    <t>21988</t>
  </si>
  <si>
    <t>(2796/1480)</t>
  </si>
  <si>
    <t>MikroTik CRS326-24G-2SIN by SNMP</t>
  </si>
  <si>
    <t>20295</t>
  </si>
  <si>
    <t>(2796/1481)</t>
  </si>
  <si>
    <t>20296</t>
  </si>
  <si>
    <t>(2796/1482)</t>
  </si>
  <si>
    <t>21995</t>
  </si>
  <si>
    <t>(2796/1483)</t>
  </si>
  <si>
    <t>21994</t>
  </si>
  <si>
    <t>(2796/1484)</t>
  </si>
  <si>
    <t>21996</t>
  </si>
  <si>
    <t>(2796/1485)</t>
  </si>
  <si>
    <t>20298</t>
  </si>
  <si>
    <t>(2796/1486)</t>
  </si>
  <si>
    <t>20297</t>
  </si>
  <si>
    <t>(2796/1487)</t>
  </si>
  <si>
    <t>21999</t>
  </si>
  <si>
    <t>(2796/1488)</t>
  </si>
  <si>
    <t>21997</t>
  </si>
  <si>
    <t>(2796/1489)</t>
  </si>
  <si>
    <t>21998</t>
  </si>
  <si>
    <t>(2796/1490)</t>
  </si>
  <si>
    <t>MikroTik CRS326-24G-2SRM by SNMP</t>
  </si>
  <si>
    <t>20323</t>
  </si>
  <si>
    <t>(2796/1491)</t>
  </si>
  <si>
    <t>20324</t>
  </si>
  <si>
    <t>(2796/1492)</t>
  </si>
  <si>
    <t>22005</t>
  </si>
  <si>
    <t>(2796/1493)</t>
  </si>
  <si>
    <t>22004</t>
  </si>
  <si>
    <t>(2796/1494)</t>
  </si>
  <si>
    <t>22006</t>
  </si>
  <si>
    <t>(2796/1495)</t>
  </si>
  <si>
    <t>20326</t>
  </si>
  <si>
    <t>(2796/1496)</t>
  </si>
  <si>
    <t>20325</t>
  </si>
  <si>
    <t>(2796/1497)</t>
  </si>
  <si>
    <t>22009</t>
  </si>
  <si>
    <t>(2796/1498)</t>
  </si>
  <si>
    <t>22007</t>
  </si>
  <si>
    <t>(2796/1499)</t>
  </si>
  <si>
    <t>22008</t>
  </si>
  <si>
    <t>(2796/1500)</t>
  </si>
  <si>
    <t>MikroTik CRS326-24S2QRM by SNMP</t>
  </si>
  <si>
    <t>20351</t>
  </si>
  <si>
    <t>(2796/1501)</t>
  </si>
  <si>
    <t>20352</t>
  </si>
  <si>
    <t>(2796/1502)</t>
  </si>
  <si>
    <t>22015</t>
  </si>
  <si>
    <t>(2796/1503)</t>
  </si>
  <si>
    <t>22014</t>
  </si>
  <si>
    <t>(2796/1504)</t>
  </si>
  <si>
    <t>22016</t>
  </si>
  <si>
    <t>(2796/1505)</t>
  </si>
  <si>
    <t>20354</t>
  </si>
  <si>
    <t>(2796/1506)</t>
  </si>
  <si>
    <t>20353</t>
  </si>
  <si>
    <t>(2796/1507)</t>
  </si>
  <si>
    <t>22019</t>
  </si>
  <si>
    <t>(2796/1508)</t>
  </si>
  <si>
    <t>22017</t>
  </si>
  <si>
    <t>(2796/1509)</t>
  </si>
  <si>
    <t>22018</t>
  </si>
  <si>
    <t>(2796/1510)</t>
  </si>
  <si>
    <t>MikroTik CRS328-24P-4SRM by SNMP</t>
  </si>
  <si>
    <t>20379</t>
  </si>
  <si>
    <t>(2796/1511)</t>
  </si>
  <si>
    <t>20380</t>
  </si>
  <si>
    <t>(2796/1512)</t>
  </si>
  <si>
    <t>22025</t>
  </si>
  <si>
    <t>(2796/1513)</t>
  </si>
  <si>
    <t>22024</t>
  </si>
  <si>
    <t>(2796/1514)</t>
  </si>
  <si>
    <t>22026</t>
  </si>
  <si>
    <t>(2796/1515)</t>
  </si>
  <si>
    <t>20382</t>
  </si>
  <si>
    <t>(2796/1516)</t>
  </si>
  <si>
    <t>20381</t>
  </si>
  <si>
    <t>(2796/1517)</t>
  </si>
  <si>
    <t>22029</t>
  </si>
  <si>
    <t>(2796/1518)</t>
  </si>
  <si>
    <t>22027</t>
  </si>
  <si>
    <t>(2796/1519)</t>
  </si>
  <si>
    <t>22028</t>
  </si>
  <si>
    <t>(2796/1520)</t>
  </si>
  <si>
    <t>MikroTik CRS328-4C-20S-4SRM by SNMP</t>
  </si>
  <si>
    <t>20407</t>
  </si>
  <si>
    <t>(2796/1521)</t>
  </si>
  <si>
    <t>20408</t>
  </si>
  <si>
    <t>(2796/1522)</t>
  </si>
  <si>
    <t>22035</t>
  </si>
  <si>
    <t>(2796/1523)</t>
  </si>
  <si>
    <t>22034</t>
  </si>
  <si>
    <t>(2796/1524)</t>
  </si>
  <si>
    <t>22036</t>
  </si>
  <si>
    <t>(2796/1525)</t>
  </si>
  <si>
    <t>20410</t>
  </si>
  <si>
    <t>(2796/1526)</t>
  </si>
  <si>
    <t>20409</t>
  </si>
  <si>
    <t>(2796/1527)</t>
  </si>
  <si>
    <t>22039</t>
  </si>
  <si>
    <t>(2796/1528)</t>
  </si>
  <si>
    <t>22037</t>
  </si>
  <si>
    <t>(2796/1529)</t>
  </si>
  <si>
    <t>22038</t>
  </si>
  <si>
    <t>(2796/1530)</t>
  </si>
  <si>
    <t>MikroTik CRS354-48G-4S2QRM by SNMP</t>
  </si>
  <si>
    <t>20435</t>
  </si>
  <si>
    <t>(2796/1531)</t>
  </si>
  <si>
    <t>20436</t>
  </si>
  <si>
    <t>(2796/1532)</t>
  </si>
  <si>
    <t>22045</t>
  </si>
  <si>
    <t>(2796/1533)</t>
  </si>
  <si>
    <t>22044</t>
  </si>
  <si>
    <t>(2796/1534)</t>
  </si>
  <si>
    <t>22046</t>
  </si>
  <si>
    <t>(2796/1535)</t>
  </si>
  <si>
    <t>20438</t>
  </si>
  <si>
    <t>(2796/1536)</t>
  </si>
  <si>
    <t>20437</t>
  </si>
  <si>
    <t>(2796/1537)</t>
  </si>
  <si>
    <t>22049</t>
  </si>
  <si>
    <t>(2796/1538)</t>
  </si>
  <si>
    <t>22047</t>
  </si>
  <si>
    <t>(2796/1539)</t>
  </si>
  <si>
    <t>22048</t>
  </si>
  <si>
    <t>(2796/1540)</t>
  </si>
  <si>
    <t>MikroTik CRS354-48P-4S2QRM by SNMP</t>
  </si>
  <si>
    <t>20463</t>
  </si>
  <si>
    <t>(2796/1541)</t>
  </si>
  <si>
    <t>20464</t>
  </si>
  <si>
    <t>(2796/1542)</t>
  </si>
  <si>
    <t>22055</t>
  </si>
  <si>
    <t>(2796/1543)</t>
  </si>
  <si>
    <t>22054</t>
  </si>
  <si>
    <t>(2796/1544)</t>
  </si>
  <si>
    <t>22056</t>
  </si>
  <si>
    <t>(2796/1545)</t>
  </si>
  <si>
    <t>20466</t>
  </si>
  <si>
    <t>(2796/1546)</t>
  </si>
  <si>
    <t>20465</t>
  </si>
  <si>
    <t>(2796/1547)</t>
  </si>
  <si>
    <t>22059</t>
  </si>
  <si>
    <t>(2796/1548)</t>
  </si>
  <si>
    <t>22057</t>
  </si>
  <si>
    <t>(2796/1549)</t>
  </si>
  <si>
    <t>22058</t>
  </si>
  <si>
    <t>(2796/1550)</t>
  </si>
  <si>
    <t>MikroTik CSS326-24G-2SRM by SNMP</t>
  </si>
  <si>
    <t>20491</t>
  </si>
  <si>
    <t>(2796/1551)</t>
  </si>
  <si>
    <t>20492</t>
  </si>
  <si>
    <t>(2796/1552)</t>
  </si>
  <si>
    <t>22065</t>
  </si>
  <si>
    <t>(2796/1553)</t>
  </si>
  <si>
    <t>22064</t>
  </si>
  <si>
    <t>(2796/1554)</t>
  </si>
  <si>
    <t>22066</t>
  </si>
  <si>
    <t>(2796/1555)</t>
  </si>
  <si>
    <t>20494</t>
  </si>
  <si>
    <t>(2796/1556)</t>
  </si>
  <si>
    <t>20493</t>
  </si>
  <si>
    <t>(2796/1557)</t>
  </si>
  <si>
    <t>22069</t>
  </si>
  <si>
    <t>(2796/1558)</t>
  </si>
  <si>
    <t>22067</t>
  </si>
  <si>
    <t>(2796/1559)</t>
  </si>
  <si>
    <t>22068</t>
  </si>
  <si>
    <t>(2796/1560)</t>
  </si>
  <si>
    <t>MikroTik CSS610-8G-2SIN by SNMP</t>
  </si>
  <si>
    <t>20519</t>
  </si>
  <si>
    <t>(2796/1561)</t>
  </si>
  <si>
    <t>20520</t>
  </si>
  <si>
    <t>(2796/1562)</t>
  </si>
  <si>
    <t>22075</t>
  </si>
  <si>
    <t>(2796/1563)</t>
  </si>
  <si>
    <t>22074</t>
  </si>
  <si>
    <t>(2796/1564)</t>
  </si>
  <si>
    <t>22076</t>
  </si>
  <si>
    <t>(2796/1565)</t>
  </si>
  <si>
    <t>20522</t>
  </si>
  <si>
    <t>(2796/1566)</t>
  </si>
  <si>
    <t>20521</t>
  </si>
  <si>
    <t>(2796/1567)</t>
  </si>
  <si>
    <t>22079</t>
  </si>
  <si>
    <t>(2796/1568)</t>
  </si>
  <si>
    <t>22077</t>
  </si>
  <si>
    <t>(2796/1569)</t>
  </si>
  <si>
    <t>22078</t>
  </si>
  <si>
    <t>(2796/1570)</t>
  </si>
  <si>
    <t>MikroTik FiberBox by SNMP</t>
  </si>
  <si>
    <t>20547</t>
  </si>
  <si>
    <t>(2796/1571)</t>
  </si>
  <si>
    <t>20548</t>
  </si>
  <si>
    <t>(2796/1572)</t>
  </si>
  <si>
    <t>22085</t>
  </si>
  <si>
    <t>(2796/1573)</t>
  </si>
  <si>
    <t>22084</t>
  </si>
  <si>
    <t>(2796/1574)</t>
  </si>
  <si>
    <t>22086</t>
  </si>
  <si>
    <t>(2796/1575)</t>
  </si>
  <si>
    <t>20550</t>
  </si>
  <si>
    <t>(2796/1576)</t>
  </si>
  <si>
    <t>20549</t>
  </si>
  <si>
    <t>(2796/1577)</t>
  </si>
  <si>
    <t>22089</t>
  </si>
  <si>
    <t>(2796/1578)</t>
  </si>
  <si>
    <t>22087</t>
  </si>
  <si>
    <t>(2796/1579)</t>
  </si>
  <si>
    <t>22088</t>
  </si>
  <si>
    <t>(2796/1580)</t>
  </si>
  <si>
    <t>MikroTik PowerBox Pro by SNMP</t>
  </si>
  <si>
    <t>20575</t>
  </si>
  <si>
    <t>(2796/1581)</t>
  </si>
  <si>
    <t>20576</t>
  </si>
  <si>
    <t>(2796/1582)</t>
  </si>
  <si>
    <t>22095</t>
  </si>
  <si>
    <t>(2796/1583)</t>
  </si>
  <si>
    <t>22094</t>
  </si>
  <si>
    <t>(2796/1584)</t>
  </si>
  <si>
    <t>22096</t>
  </si>
  <si>
    <t>(2796/1585)</t>
  </si>
  <si>
    <t>20578</t>
  </si>
  <si>
    <t>(2796/1586)</t>
  </si>
  <si>
    <t>20577</t>
  </si>
  <si>
    <t>(2796/1587)</t>
  </si>
  <si>
    <t>22099</t>
  </si>
  <si>
    <t>(2796/1588)</t>
  </si>
  <si>
    <t>22097</t>
  </si>
  <si>
    <t>(2796/1589)</t>
  </si>
  <si>
    <t>22098</t>
  </si>
  <si>
    <t>(2796/1590)</t>
  </si>
  <si>
    <t>MikroTik PowerBox by SNMP</t>
  </si>
  <si>
    <t>20603</t>
  </si>
  <si>
    <t>(2796/1591)</t>
  </si>
  <si>
    <t>20604</t>
  </si>
  <si>
    <t>(2796/1592)</t>
  </si>
  <si>
    <t>22105</t>
  </si>
  <si>
    <t>(2796/1593)</t>
  </si>
  <si>
    <t>22104</t>
  </si>
  <si>
    <t>(2796/1594)</t>
  </si>
  <si>
    <t>22106</t>
  </si>
  <si>
    <t>(2796/1595)</t>
  </si>
  <si>
    <t>20606</t>
  </si>
  <si>
    <t>(2796/1596)</t>
  </si>
  <si>
    <t>20605</t>
  </si>
  <si>
    <t>(2796/1597)</t>
  </si>
  <si>
    <t>22109</t>
  </si>
  <si>
    <t>(2796/1598)</t>
  </si>
  <si>
    <t>22107</t>
  </si>
  <si>
    <t>(2796/1599)</t>
  </si>
  <si>
    <t>22108</t>
  </si>
  <si>
    <t>(2796/1600)</t>
  </si>
  <si>
    <t>MikroTik RB1100AHx4 Dude Edition by SNMP</t>
  </si>
  <si>
    <t>20631</t>
  </si>
  <si>
    <t>(2796/1601)</t>
  </si>
  <si>
    <t>20632</t>
  </si>
  <si>
    <t>(2796/1602)</t>
  </si>
  <si>
    <t>22115</t>
  </si>
  <si>
    <t>(2796/1603)</t>
  </si>
  <si>
    <t>22114</t>
  </si>
  <si>
    <t>(2796/1604)</t>
  </si>
  <si>
    <t>22116</t>
  </si>
  <si>
    <t>(2796/1605)</t>
  </si>
  <si>
    <t>20634</t>
  </si>
  <si>
    <t>(2796/1606)</t>
  </si>
  <si>
    <t>20633</t>
  </si>
  <si>
    <t>(2796/1607)</t>
  </si>
  <si>
    <t>22119</t>
  </si>
  <si>
    <t>(2796/1608)</t>
  </si>
  <si>
    <t>22117</t>
  </si>
  <si>
    <t>(2796/1609)</t>
  </si>
  <si>
    <t>22118</t>
  </si>
  <si>
    <t>(2796/1610)</t>
  </si>
  <si>
    <t>MikroTik RB1100AHx4 by SNMP</t>
  </si>
  <si>
    <t>20659</t>
  </si>
  <si>
    <t>(2796/1611)</t>
  </si>
  <si>
    <t>20660</t>
  </si>
  <si>
    <t>(2796/1612)</t>
  </si>
  <si>
    <t>22125</t>
  </si>
  <si>
    <t>(2796/1613)</t>
  </si>
  <si>
    <t>22124</t>
  </si>
  <si>
    <t>(2796/1614)</t>
  </si>
  <si>
    <t>22126</t>
  </si>
  <si>
    <t>(2796/1615)</t>
  </si>
  <si>
    <t>20662</t>
  </si>
  <si>
    <t>(2796/1616)</t>
  </si>
  <si>
    <t>20661</t>
  </si>
  <si>
    <t>(2796/1617)</t>
  </si>
  <si>
    <t>22129</t>
  </si>
  <si>
    <t>(2796/1618)</t>
  </si>
  <si>
    <t>22127</t>
  </si>
  <si>
    <t>(2796/1619)</t>
  </si>
  <si>
    <t>22128</t>
  </si>
  <si>
    <t>(2796/1620)</t>
  </si>
  <si>
    <t>MikroTik RB2011UiAS-IN by SNMP</t>
  </si>
  <si>
    <t>20687</t>
  </si>
  <si>
    <t>(2796/1621)</t>
  </si>
  <si>
    <t>20688</t>
  </si>
  <si>
    <t>(2796/1622)</t>
  </si>
  <si>
    <t>22135</t>
  </si>
  <si>
    <t>(2796/1623)</t>
  </si>
  <si>
    <t>22134</t>
  </si>
  <si>
    <t>(2796/1624)</t>
  </si>
  <si>
    <t>22136</t>
  </si>
  <si>
    <t>(2796/1625)</t>
  </si>
  <si>
    <t>20690</t>
  </si>
  <si>
    <t>(2796/1626)</t>
  </si>
  <si>
    <t>20689</t>
  </si>
  <si>
    <t>(2796/1627)</t>
  </si>
  <si>
    <t>22139</t>
  </si>
  <si>
    <t>(2796/1628)</t>
  </si>
  <si>
    <t>22137</t>
  </si>
  <si>
    <t>(2796/1629)</t>
  </si>
  <si>
    <t>22138</t>
  </si>
  <si>
    <t>(2796/1630)</t>
  </si>
  <si>
    <t>MikroTik RB2011UiAS-RM by SNMP</t>
  </si>
  <si>
    <t>20715</t>
  </si>
  <si>
    <t>(2796/1631)</t>
  </si>
  <si>
    <t>20716</t>
  </si>
  <si>
    <t>(2796/1632)</t>
  </si>
  <si>
    <t>22145</t>
  </si>
  <si>
    <t>(2796/1633)</t>
  </si>
  <si>
    <t>22144</t>
  </si>
  <si>
    <t>(2796/1634)</t>
  </si>
  <si>
    <t>22146</t>
  </si>
  <si>
    <t>(2796/1635)</t>
  </si>
  <si>
    <t>20718</t>
  </si>
  <si>
    <t>(2796/1636)</t>
  </si>
  <si>
    <t>20717</t>
  </si>
  <si>
    <t>(2796/1637)</t>
  </si>
  <si>
    <t>22149</t>
  </si>
  <si>
    <t>(2796/1638)</t>
  </si>
  <si>
    <t>22147</t>
  </si>
  <si>
    <t>(2796/1639)</t>
  </si>
  <si>
    <t>22148</t>
  </si>
  <si>
    <t>(2796/1640)</t>
  </si>
  <si>
    <t>MikroTik RB2011iL-IN by SNMP</t>
  </si>
  <si>
    <t>20743</t>
  </si>
  <si>
    <t>(2796/1641)</t>
  </si>
  <si>
    <t>20744</t>
  </si>
  <si>
    <t>(2796/1642)</t>
  </si>
  <si>
    <t>22155</t>
  </si>
  <si>
    <t>(2796/1643)</t>
  </si>
  <si>
    <t>22154</t>
  </si>
  <si>
    <t>(2796/1644)</t>
  </si>
  <si>
    <t>22156</t>
  </si>
  <si>
    <t>(2796/1645)</t>
  </si>
  <si>
    <t>20746</t>
  </si>
  <si>
    <t>(2796/1646)</t>
  </si>
  <si>
    <t>20745</t>
  </si>
  <si>
    <t>(2796/1647)</t>
  </si>
  <si>
    <t>22159</t>
  </si>
  <si>
    <t>(2796/1648)</t>
  </si>
  <si>
    <t>22157</t>
  </si>
  <si>
    <t>(2796/1649)</t>
  </si>
  <si>
    <t>22158</t>
  </si>
  <si>
    <t>(2796/1650)</t>
  </si>
  <si>
    <t>MikroTik RB2011iL-RM by SNMP</t>
  </si>
  <si>
    <t>20771</t>
  </si>
  <si>
    <t>(2796/1651)</t>
  </si>
  <si>
    <t>20772</t>
  </si>
  <si>
    <t>(2796/1652)</t>
  </si>
  <si>
    <t>22165</t>
  </si>
  <si>
    <t>(2796/1653)</t>
  </si>
  <si>
    <t>22164</t>
  </si>
  <si>
    <t>(2796/1654)</t>
  </si>
  <si>
    <t>22166</t>
  </si>
  <si>
    <t>(2796/1655)</t>
  </si>
  <si>
    <t>20774</t>
  </si>
  <si>
    <t>(2796/1656)</t>
  </si>
  <si>
    <t>20773</t>
  </si>
  <si>
    <t>(2796/1657)</t>
  </si>
  <si>
    <t>22169</t>
  </si>
  <si>
    <t>(2796/1658)</t>
  </si>
  <si>
    <t>22167</t>
  </si>
  <si>
    <t>(2796/1659)</t>
  </si>
  <si>
    <t>22168</t>
  </si>
  <si>
    <t>(2796/1660)</t>
  </si>
  <si>
    <t>MikroTik RB2011iLS-IN by SNMP</t>
  </si>
  <si>
    <t>20799</t>
  </si>
  <si>
    <t>(2796/1661)</t>
  </si>
  <si>
    <t>20800</t>
  </si>
  <si>
    <t>(2796/1662)</t>
  </si>
  <si>
    <t>22175</t>
  </si>
  <si>
    <t>(2796/1663)</t>
  </si>
  <si>
    <t>22174</t>
  </si>
  <si>
    <t>(2796/1664)</t>
  </si>
  <si>
    <t>22176</t>
  </si>
  <si>
    <t>(2796/1665)</t>
  </si>
  <si>
    <t>20802</t>
  </si>
  <si>
    <t>(2796/1666)</t>
  </si>
  <si>
    <t>20801</t>
  </si>
  <si>
    <t>(2796/1667)</t>
  </si>
  <si>
    <t>22179</t>
  </si>
  <si>
    <t>(2796/1668)</t>
  </si>
  <si>
    <t>22177</t>
  </si>
  <si>
    <t>(2796/1669)</t>
  </si>
  <si>
    <t>22178</t>
  </si>
  <si>
    <t>(2796/1670)</t>
  </si>
  <si>
    <t>MikroTik RB260GS by SNMP</t>
  </si>
  <si>
    <t>20855</t>
  </si>
  <si>
    <t>(2796/1671)</t>
  </si>
  <si>
    <t>20856</t>
  </si>
  <si>
    <t>(2796/1672)</t>
  </si>
  <si>
    <t>22195</t>
  </si>
  <si>
    <t>(2796/1673)</t>
  </si>
  <si>
    <t>22194</t>
  </si>
  <si>
    <t>(2796/1674)</t>
  </si>
  <si>
    <t>22196</t>
  </si>
  <si>
    <t>(2796/1675)</t>
  </si>
  <si>
    <t>20858</t>
  </si>
  <si>
    <t>(2796/1676)</t>
  </si>
  <si>
    <t>20857</t>
  </si>
  <si>
    <t>(2796/1677)</t>
  </si>
  <si>
    <t>22199</t>
  </si>
  <si>
    <t>(2796/1678)</t>
  </si>
  <si>
    <t>22197</t>
  </si>
  <si>
    <t>(2796/1679)</t>
  </si>
  <si>
    <t>22198</t>
  </si>
  <si>
    <t>(2796/1680)</t>
  </si>
  <si>
    <t>MikroTik RB260GSP by SNMP</t>
  </si>
  <si>
    <t>20827</t>
  </si>
  <si>
    <t>(2796/1681)</t>
  </si>
  <si>
    <t>20828</t>
  </si>
  <si>
    <t>(2796/1682)</t>
  </si>
  <si>
    <t>22185</t>
  </si>
  <si>
    <t>(2796/1683)</t>
  </si>
  <si>
    <t>22184</t>
  </si>
  <si>
    <t>(2796/1684)</t>
  </si>
  <si>
    <t>22186</t>
  </si>
  <si>
    <t>(2796/1685)</t>
  </si>
  <si>
    <t>20830</t>
  </si>
  <si>
    <t>(2796/1686)</t>
  </si>
  <si>
    <t>20829</t>
  </si>
  <si>
    <t>(2796/1687)</t>
  </si>
  <si>
    <t>22189</t>
  </si>
  <si>
    <t>(2796/1688)</t>
  </si>
  <si>
    <t>22187</t>
  </si>
  <si>
    <t>(2796/1689)</t>
  </si>
  <si>
    <t>22188</t>
  </si>
  <si>
    <t>(2796/1690)</t>
  </si>
  <si>
    <t>MikroTik RB3011UiAS-RM by SNMP</t>
  </si>
  <si>
    <t>20883</t>
  </si>
  <si>
    <t>(2796/1691)</t>
  </si>
  <si>
    <t>20884</t>
  </si>
  <si>
    <t>(2796/1692)</t>
  </si>
  <si>
    <t>22205</t>
  </si>
  <si>
    <t>(2796/1693)</t>
  </si>
  <si>
    <t>22204</t>
  </si>
  <si>
    <t>(2796/1694)</t>
  </si>
  <si>
    <t>22206</t>
  </si>
  <si>
    <t>(2796/1695)</t>
  </si>
  <si>
    <t>20886</t>
  </si>
  <si>
    <t>(2796/1696)</t>
  </si>
  <si>
    <t>20885</t>
  </si>
  <si>
    <t>(2796/1697)</t>
  </si>
  <si>
    <t>22209</t>
  </si>
  <si>
    <t>(2796/1698)</t>
  </si>
  <si>
    <t>22207</t>
  </si>
  <si>
    <t>(2796/1699)</t>
  </si>
  <si>
    <t>22208</t>
  </si>
  <si>
    <t>(2796/1700)</t>
  </si>
  <si>
    <t>MikroTik RB4011iGSRM by SNMP</t>
  </si>
  <si>
    <t>20911</t>
  </si>
  <si>
    <t>(2796/1701)</t>
  </si>
  <si>
    <t>20912</t>
  </si>
  <si>
    <t>(2796/1702)</t>
  </si>
  <si>
    <t>22215</t>
  </si>
  <si>
    <t>(2796/1703)</t>
  </si>
  <si>
    <t>22214</t>
  </si>
  <si>
    <t>(2796/1704)</t>
  </si>
  <si>
    <t>22216</t>
  </si>
  <si>
    <t>(2796/1705)</t>
  </si>
  <si>
    <t>20914</t>
  </si>
  <si>
    <t>(2796/1706)</t>
  </si>
  <si>
    <t>20913</t>
  </si>
  <si>
    <t>(2796/1707)</t>
  </si>
  <si>
    <t>22219</t>
  </si>
  <si>
    <t>(2796/1708)</t>
  </si>
  <si>
    <t>22217</t>
  </si>
  <si>
    <t>(2796/1709)</t>
  </si>
  <si>
    <t>22218</t>
  </si>
  <si>
    <t>(2796/1710)</t>
  </si>
  <si>
    <t>MikroTik RB5009UGSIN by SNMP</t>
  </si>
  <si>
    <t>20939</t>
  </si>
  <si>
    <t>(2796/1711)</t>
  </si>
  <si>
    <t>20940</t>
  </si>
  <si>
    <t>(2796/1712)</t>
  </si>
  <si>
    <t>22225</t>
  </si>
  <si>
    <t>(2796/1713)</t>
  </si>
  <si>
    <t>22224</t>
  </si>
  <si>
    <t>(2796/1714)</t>
  </si>
  <si>
    <t>22226</t>
  </si>
  <si>
    <t>(2796/1715)</t>
  </si>
  <si>
    <t>20942</t>
  </si>
  <si>
    <t>(2796/1716)</t>
  </si>
  <si>
    <t>20941</t>
  </si>
  <si>
    <t>(2796/1717)</t>
  </si>
  <si>
    <t>22229</t>
  </si>
  <si>
    <t>(2796/1718)</t>
  </si>
  <si>
    <t>22227</t>
  </si>
  <si>
    <t>(2796/1719)</t>
  </si>
  <si>
    <t>22228</t>
  </si>
  <si>
    <t>(2796/1720)</t>
  </si>
  <si>
    <t>MikroTik hEX PoE by SNMP</t>
  </si>
  <si>
    <t>20995</t>
  </si>
  <si>
    <t>(2796/1721)</t>
  </si>
  <si>
    <t>20996</t>
  </si>
  <si>
    <t>(2796/1722)</t>
  </si>
  <si>
    <t>22245</t>
  </si>
  <si>
    <t>(2796/1723)</t>
  </si>
  <si>
    <t>22244</t>
  </si>
  <si>
    <t>(2796/1724)</t>
  </si>
  <si>
    <t>22246</t>
  </si>
  <si>
    <t>(2796/1725)</t>
  </si>
  <si>
    <t>20998</t>
  </si>
  <si>
    <t>(2796/1726)</t>
  </si>
  <si>
    <t>20997</t>
  </si>
  <si>
    <t>(2796/1727)</t>
  </si>
  <si>
    <t>22249</t>
  </si>
  <si>
    <t>(2796/1728)</t>
  </si>
  <si>
    <t>22247</t>
  </si>
  <si>
    <t>(2796/1729)</t>
  </si>
  <si>
    <t>22248</t>
  </si>
  <si>
    <t>(2796/1730)</t>
  </si>
  <si>
    <t>MikroTik hEX PoE lite by SNMP</t>
  </si>
  <si>
    <t>20967</t>
  </si>
  <si>
    <t>(2796/1731)</t>
  </si>
  <si>
    <t>20968</t>
  </si>
  <si>
    <t>(2796/1732)</t>
  </si>
  <si>
    <t>22235</t>
  </si>
  <si>
    <t>(2796/1733)</t>
  </si>
  <si>
    <t>22234</t>
  </si>
  <si>
    <t>(2796/1734)</t>
  </si>
  <si>
    <t>22236</t>
  </si>
  <si>
    <t>(2796/1735)</t>
  </si>
  <si>
    <t>20970</t>
  </si>
  <si>
    <t>(2796/1736)</t>
  </si>
  <si>
    <t>20969</t>
  </si>
  <si>
    <t>(2796/1737)</t>
  </si>
  <si>
    <t>22239</t>
  </si>
  <si>
    <t>(2796/1738)</t>
  </si>
  <si>
    <t>22237</t>
  </si>
  <si>
    <t>(2796/1739)</t>
  </si>
  <si>
    <t>22238</t>
  </si>
  <si>
    <t>(2796/1740)</t>
  </si>
  <si>
    <t>MikroTik hEX S by SNMP</t>
  </si>
  <si>
    <t>21023</t>
  </si>
  <si>
    <t>(2796/1741)</t>
  </si>
  <si>
    <t>21024</t>
  </si>
  <si>
    <t>(2796/1742)</t>
  </si>
  <si>
    <t>22255</t>
  </si>
  <si>
    <t>(2796/1743)</t>
  </si>
  <si>
    <t>22254</t>
  </si>
  <si>
    <t>(2796/1744)</t>
  </si>
  <si>
    <t>22256</t>
  </si>
  <si>
    <t>(2796/1745)</t>
  </si>
  <si>
    <t>21026</t>
  </si>
  <si>
    <t>(2796/1746)</t>
  </si>
  <si>
    <t>21025</t>
  </si>
  <si>
    <t>(2796/1747)</t>
  </si>
  <si>
    <t>22259</t>
  </si>
  <si>
    <t>(2796/1748)</t>
  </si>
  <si>
    <t>22257</t>
  </si>
  <si>
    <t>(2796/1749)</t>
  </si>
  <si>
    <t>22258</t>
  </si>
  <si>
    <t>(2796/1750)</t>
  </si>
  <si>
    <t>MikroTik hEX by SNMP</t>
  </si>
  <si>
    <t>21079</t>
  </si>
  <si>
    <t>(2796/1751)</t>
  </si>
  <si>
    <t>21080</t>
  </si>
  <si>
    <t>(2796/1752)</t>
  </si>
  <si>
    <t>22275</t>
  </si>
  <si>
    <t>(2796/1753)</t>
  </si>
  <si>
    <t>22274</t>
  </si>
  <si>
    <t>(2796/1754)</t>
  </si>
  <si>
    <t>22276</t>
  </si>
  <si>
    <t>(2796/1755)</t>
  </si>
  <si>
    <t>21082</t>
  </si>
  <si>
    <t>(2796/1756)</t>
  </si>
  <si>
    <t>21081</t>
  </si>
  <si>
    <t>(2796/1757)</t>
  </si>
  <si>
    <t>22279</t>
  </si>
  <si>
    <t>(2796/1758)</t>
  </si>
  <si>
    <t>22277</t>
  </si>
  <si>
    <t>(2796/1759)</t>
  </si>
  <si>
    <t>22278</t>
  </si>
  <si>
    <t>(2796/1760)</t>
  </si>
  <si>
    <t>MikroTik hEX lite by SNMP</t>
  </si>
  <si>
    <t>21051</t>
  </si>
  <si>
    <t>(2796/1761)</t>
  </si>
  <si>
    <t>21052</t>
  </si>
  <si>
    <t>(2796/1762)</t>
  </si>
  <si>
    <t>22265</t>
  </si>
  <si>
    <t>(2796/1763)</t>
  </si>
  <si>
    <t>22264</t>
  </si>
  <si>
    <t>(2796/1764)</t>
  </si>
  <si>
    <t>22266</t>
  </si>
  <si>
    <t>(2796/1765)</t>
  </si>
  <si>
    <t>21054</t>
  </si>
  <si>
    <t>(2796/1766)</t>
  </si>
  <si>
    <t>21053</t>
  </si>
  <si>
    <t>(2796/1767)</t>
  </si>
  <si>
    <t>22269</t>
  </si>
  <si>
    <t>(2796/1768)</t>
  </si>
  <si>
    <t>22267</t>
  </si>
  <si>
    <t>(2796/1769)</t>
  </si>
  <si>
    <t>22268</t>
  </si>
  <si>
    <t>(2796/1770)</t>
  </si>
  <si>
    <t>MikroTik netPower 15FR by SNMP</t>
  </si>
  <si>
    <t>21107</t>
  </si>
  <si>
    <t>(2796/1771)</t>
  </si>
  <si>
    <t>21108</t>
  </si>
  <si>
    <t>(2796/1772)</t>
  </si>
  <si>
    <t>22285</t>
  </si>
  <si>
    <t>(2796/1773)</t>
  </si>
  <si>
    <t>22284</t>
  </si>
  <si>
    <t>(2796/1774)</t>
  </si>
  <si>
    <t>22286</t>
  </si>
  <si>
    <t>(2796/1775)</t>
  </si>
  <si>
    <t>21110</t>
  </si>
  <si>
    <t>(2796/1776)</t>
  </si>
  <si>
    <t>21109</t>
  </si>
  <si>
    <t>(2796/1777)</t>
  </si>
  <si>
    <t>22289</t>
  </si>
  <si>
    <t>(2796/1778)</t>
  </si>
  <si>
    <t>22287</t>
  </si>
  <si>
    <t>(2796/1779)</t>
  </si>
  <si>
    <t>22288</t>
  </si>
  <si>
    <t>(2796/1780)</t>
  </si>
  <si>
    <t>MikroTik netPower 16P by SNMP</t>
  </si>
  <si>
    <t>21135</t>
  </si>
  <si>
    <t>(2796/1781)</t>
  </si>
  <si>
    <t>21136</t>
  </si>
  <si>
    <t>(2796/1782)</t>
  </si>
  <si>
    <t>22295</t>
  </si>
  <si>
    <t>(2796/1783)</t>
  </si>
  <si>
    <t>22294</t>
  </si>
  <si>
    <t>(2796/1784)</t>
  </si>
  <si>
    <t>22296</t>
  </si>
  <si>
    <t>(2796/1785)</t>
  </si>
  <si>
    <t>21138</t>
  </si>
  <si>
    <t>(2796/1786)</t>
  </si>
  <si>
    <t>21137</t>
  </si>
  <si>
    <t>(2796/1787)</t>
  </si>
  <si>
    <t>22299</t>
  </si>
  <si>
    <t>(2796/1788)</t>
  </si>
  <si>
    <t>22297</t>
  </si>
  <si>
    <t>(2796/1789)</t>
  </si>
  <si>
    <t>22298</t>
  </si>
  <si>
    <t>(2796/1790)</t>
  </si>
  <si>
    <t>MikroTik netPower Lite 7R by SNMP</t>
  </si>
  <si>
    <t>21163</t>
  </si>
  <si>
    <t>(2796/1791)</t>
  </si>
  <si>
    <t>21164</t>
  </si>
  <si>
    <t>(2796/1792)</t>
  </si>
  <si>
    <t>22305</t>
  </si>
  <si>
    <t>(2796/1793)</t>
  </si>
  <si>
    <t>22304</t>
  </si>
  <si>
    <t>(2796/1794)</t>
  </si>
  <si>
    <t>22306</t>
  </si>
  <si>
    <t>(2796/1795)</t>
  </si>
  <si>
    <t>21166</t>
  </si>
  <si>
    <t>(2796/1796)</t>
  </si>
  <si>
    <t>21165</t>
  </si>
  <si>
    <t>(2796/1797)</t>
  </si>
  <si>
    <t>22309</t>
  </si>
  <si>
    <t>(2796/1798)</t>
  </si>
  <si>
    <t>22307</t>
  </si>
  <si>
    <t>(2796/1799)</t>
  </si>
  <si>
    <t>22308</t>
  </si>
  <si>
    <t>(2796/1800)</t>
  </si>
  <si>
    <t>Mikrotik by SNMP</t>
  </si>
  <si>
    <t>(2796/1801)</t>
  </si>
  <si>
    <t>(2796/1802)</t>
  </si>
  <si>
    <t>22315</t>
  </si>
  <si>
    <t>(2796/1803)</t>
  </si>
  <si>
    <t>22314</t>
  </si>
  <si>
    <t>(2796/1804)</t>
  </si>
  <si>
    <t>22316</t>
  </si>
  <si>
    <t>(2796/1805)</t>
  </si>
  <si>
    <t>18125</t>
  </si>
  <si>
    <t>(2796/1806)</t>
  </si>
  <si>
    <t>(2796/1807)</t>
  </si>
  <si>
    <t>22319</t>
  </si>
  <si>
    <t>(2796/1808)</t>
  </si>
  <si>
    <t>22317</t>
  </si>
  <si>
    <t>(2796/1809)</t>
  </si>
  <si>
    <t>22318</t>
  </si>
  <si>
    <t>(2796/1810)</t>
  </si>
  <si>
    <t>MongoDB cluster by Zabbix agent 2</t>
  </si>
  <si>
    <t>MongoDB cluster: Available connections is low</t>
  </si>
  <si>
    <t>MongoDB cluster: 可用连接不足</t>
  </si>
  <si>
    <t>(2796/1811)</t>
  </si>
  <si>
    <t>MongoDB cluster: Too many cursors opened by MongoDB for clients</t>
  </si>
  <si>
    <t>MongoDB cluster: MongoDB为客户端打开的游标太多</t>
  </si>
  <si>
    <t>(2796/1812)</t>
  </si>
  <si>
    <t>MongoDB cluster: Too many cursors are timing out</t>
  </si>
  <si>
    <t>MongoDB cluster: 太多游标超时</t>
  </si>
  <si>
    <t>(2796/1813)</t>
  </si>
  <si>
    <t>18239</t>
  </si>
  <si>
    <t>MongoDB cluster: Version has changed</t>
  </si>
  <si>
    <t>MongoDB cluster: 版本已变更</t>
  </si>
  <si>
    <t>(2796/1814)</t>
  </si>
  <si>
    <t>(2796/1815)</t>
  </si>
  <si>
    <t>18238</t>
  </si>
  <si>
    <t>MongoDB cluster: Mongos server has been restarted</t>
  </si>
  <si>
    <t>MongoDB cluster: Mongos服务器已重启</t>
  </si>
  <si>
    <t>(2796/1816)</t>
  </si>
  <si>
    <t>MongoDB cluster: Failed to fetch info data</t>
  </si>
  <si>
    <t>MongoDB cluster: 无法获取信息数据</t>
  </si>
  <si>
    <t>(2796/1817)</t>
  </si>
  <si>
    <t>MongoDB node by Zabbix agent 2</t>
  </si>
  <si>
    <t>18221</t>
  </si>
  <si>
    <t>MongoDB: Total number of open connections is too high</t>
  </si>
  <si>
    <t>MongoDB: 打开的连接总数太高</t>
  </si>
  <si>
    <t>(2796/1818)</t>
  </si>
  <si>
    <t>18222</t>
  </si>
  <si>
    <t>MongoDB: Too many cursors opened by MongoDB for clients</t>
  </si>
  <si>
    <t>MongoDB: MongoDB为客户端打开的游标太多</t>
  </si>
  <si>
    <t>(2796/1819)</t>
  </si>
  <si>
    <t>18223</t>
  </si>
  <si>
    <t>MongoDB: Too many cursors are timing out</t>
  </si>
  <si>
    <t>MongoDB: 太多游标超时</t>
  </si>
  <si>
    <t>(2796/1820)</t>
  </si>
  <si>
    <t>18227</t>
  </si>
  <si>
    <t>MongoDB: Version has changed</t>
  </si>
  <si>
    <t>MongoDB: 版本已变更</t>
  </si>
  <si>
    <t>(2796/1821)</t>
  </si>
  <si>
    <t>18224</t>
  </si>
  <si>
    <t>(2796/1822)</t>
  </si>
  <si>
    <t>18226</t>
  </si>
  <si>
    <t>MongoDB: mongod process has been restarted</t>
  </si>
  <si>
    <t>MongoDB: mongod进程已经重启</t>
  </si>
  <si>
    <t>(2796/1823)</t>
  </si>
  <si>
    <t>18225</t>
  </si>
  <si>
    <t>MongoDB: Failed to fetch info data</t>
  </si>
  <si>
    <t>MongoDB: 无法获取信息数据</t>
  </si>
  <si>
    <t>(2796/1824)</t>
  </si>
  <si>
    <t>Morningstar ProStar MPPT by SNMP</t>
  </si>
  <si>
    <t>(2796/1825)</t>
  </si>
  <si>
    <t>(2796/1826)</t>
  </si>
  <si>
    <t>(2796/1827)</t>
  </si>
  <si>
    <t>(2796/1828)</t>
  </si>
  <si>
    <t>(2796/1829)</t>
  </si>
  <si>
    <t>(2796/1830)</t>
  </si>
  <si>
    <t>(2796/1831)</t>
  </si>
  <si>
    <t>(2796/1832)</t>
  </si>
  <si>
    <t>(2796/1833)</t>
  </si>
  <si>
    <t>(2796/1834)</t>
  </si>
  <si>
    <t>(2796/1835)</t>
  </si>
  <si>
    <t>(2796/1836)</t>
  </si>
  <si>
    <t>(2796/1837)</t>
  </si>
  <si>
    <t>(2796/1838)</t>
  </si>
  <si>
    <t>(2796/1839)</t>
  </si>
  <si>
    <t>(2796/1840)</t>
  </si>
  <si>
    <t>(2796/1841)</t>
  </si>
  <si>
    <t>(2796/1842)</t>
  </si>
  <si>
    <t>(2796/1843)</t>
  </si>
  <si>
    <t>(2796/1844)</t>
  </si>
  <si>
    <t>(2796/1845)</t>
  </si>
  <si>
    <t>(2796/1846)</t>
  </si>
  <si>
    <t>(2796/1847)</t>
  </si>
  <si>
    <t>(2796/1848)</t>
  </si>
  <si>
    <t>(2796/1849)</t>
  </si>
  <si>
    <t>(2796/1850)</t>
  </si>
  <si>
    <t>(2796/1851)</t>
  </si>
  <si>
    <t>(2796/1852)</t>
  </si>
  <si>
    <t>(2796/1853)</t>
  </si>
  <si>
    <t>(2796/1854)</t>
  </si>
  <si>
    <t>(2796/1855)</t>
  </si>
  <si>
    <t>(2796/1856)</t>
  </si>
  <si>
    <t>(2796/1857)</t>
  </si>
  <si>
    <t>(2796/1858)</t>
  </si>
  <si>
    <t>(2796/1859)</t>
  </si>
  <si>
    <t>17610</t>
  </si>
  <si>
    <t>(2796/1860)</t>
  </si>
  <si>
    <t>17611</t>
  </si>
  <si>
    <t>(2796/1861)</t>
  </si>
  <si>
    <t>17612</t>
  </si>
  <si>
    <t>(2796/1862)</t>
  </si>
  <si>
    <t>17613</t>
  </si>
  <si>
    <t>(2796/1863)</t>
  </si>
  <si>
    <t>(2796/1864)</t>
  </si>
  <si>
    <t>(2796/1865)</t>
  </si>
  <si>
    <t>(2796/1866)</t>
  </si>
  <si>
    <t>(2796/1867)</t>
  </si>
  <si>
    <t>(2796/1868)</t>
  </si>
  <si>
    <t>(2796/1869)</t>
  </si>
  <si>
    <t>(2796/1870)</t>
  </si>
  <si>
    <t>(2796/1871)</t>
  </si>
  <si>
    <t>(2796/1872)</t>
  </si>
  <si>
    <t>(2796/1873)</t>
  </si>
  <si>
    <t>Status: Device has been restarted</t>
  </si>
  <si>
    <t>Status: 设备已重新启动</t>
  </si>
  <si>
    <t>(2796/1874)</t>
  </si>
  <si>
    <t>Status: Failed to fetch data</t>
  </si>
  <si>
    <t>Status: 无法获取数据</t>
  </si>
  <si>
    <t>(2796/1875)</t>
  </si>
  <si>
    <t>Temperature: Critically low battery temperature</t>
  </si>
  <si>
    <t>Temperature: 电池温度过低</t>
  </si>
  <si>
    <t>(2796/1876)</t>
  </si>
  <si>
    <t>Temperature: Low battery temperature</t>
  </si>
  <si>
    <t>Temperature: 电池温度低</t>
  </si>
  <si>
    <t>(2796/1877)</t>
  </si>
  <si>
    <t>Temperature: Critically high battery temperature</t>
  </si>
  <si>
    <t>Temperature: 电池温度太高</t>
  </si>
  <si>
    <t>(2796/1878)</t>
  </si>
  <si>
    <t>Temperature: High battery temperature</t>
  </si>
  <si>
    <t>Temperature: 电池温度高</t>
  </si>
  <si>
    <t>(2796/1879)</t>
  </si>
  <si>
    <t>Morningstar ProStar PWM by SNMP</t>
  </si>
  <si>
    <t>(2796/1880)</t>
  </si>
  <si>
    <t>(2796/1881)</t>
  </si>
  <si>
    <t>(2796/1882)</t>
  </si>
  <si>
    <t>(2796/1883)</t>
  </si>
  <si>
    <t>(2796/1884)</t>
  </si>
  <si>
    <t>(2796/1885)</t>
  </si>
  <si>
    <t>(2796/1886)</t>
  </si>
  <si>
    <t>(2796/1887)</t>
  </si>
  <si>
    <t>(2796/1888)</t>
  </si>
  <si>
    <t>(2796/1889)</t>
  </si>
  <si>
    <t>(2796/1890)</t>
  </si>
  <si>
    <t>(2796/1891)</t>
  </si>
  <si>
    <t>(2796/1892)</t>
  </si>
  <si>
    <t>(2796/1893)</t>
  </si>
  <si>
    <t>(2796/1894)</t>
  </si>
  <si>
    <t>17649</t>
  </si>
  <si>
    <t>(2796/1895)</t>
  </si>
  <si>
    <t>17650</t>
  </si>
  <si>
    <t>(2796/1896)</t>
  </si>
  <si>
    <t>17651</t>
  </si>
  <si>
    <t>(2796/1897)</t>
  </si>
  <si>
    <t>17652</t>
  </si>
  <si>
    <t>(2796/1898)</t>
  </si>
  <si>
    <t>17653</t>
  </si>
  <si>
    <t>(2796/1899)</t>
  </si>
  <si>
    <t>17654</t>
  </si>
  <si>
    <t>(2796/1900)</t>
  </si>
  <si>
    <t>17655</t>
  </si>
  <si>
    <t>(2796/1901)</t>
  </si>
  <si>
    <t>17656</t>
  </si>
  <si>
    <t>(2796/1902)</t>
  </si>
  <si>
    <t>17657</t>
  </si>
  <si>
    <t>(2796/1903)</t>
  </si>
  <si>
    <t>17658</t>
  </si>
  <si>
    <t>(2796/1904)</t>
  </si>
  <si>
    <t>17659</t>
  </si>
  <si>
    <t>(2796/1905)</t>
  </si>
  <si>
    <t>17660</t>
  </si>
  <si>
    <t>(2796/1906)</t>
  </si>
  <si>
    <t>17661</t>
  </si>
  <si>
    <t>(2796/1907)</t>
  </si>
  <si>
    <t>17662</t>
  </si>
  <si>
    <t>(2796/1908)</t>
  </si>
  <si>
    <t>17663</t>
  </si>
  <si>
    <t>(2796/1909)</t>
  </si>
  <si>
    <t>17664</t>
  </si>
  <si>
    <t>(2796/1910)</t>
  </si>
  <si>
    <t>17665</t>
  </si>
  <si>
    <t>(2796/1911)</t>
  </si>
  <si>
    <t>17666</t>
  </si>
  <si>
    <t>(2796/1912)</t>
  </si>
  <si>
    <t>17667</t>
  </si>
  <si>
    <t>(2796/1913)</t>
  </si>
  <si>
    <t>17668</t>
  </si>
  <si>
    <t>(2796/1914)</t>
  </si>
  <si>
    <t>17669</t>
  </si>
  <si>
    <t>(2796/1915)</t>
  </si>
  <si>
    <t>17670</t>
  </si>
  <si>
    <t>(2796/1916)</t>
  </si>
  <si>
    <t>17671</t>
  </si>
  <si>
    <t>(2796/1917)</t>
  </si>
  <si>
    <t>17672</t>
  </si>
  <si>
    <t>(2796/1918)</t>
  </si>
  <si>
    <t>17673</t>
  </si>
  <si>
    <t>(2796/1919)</t>
  </si>
  <si>
    <t>17674</t>
  </si>
  <si>
    <t>(2796/1920)</t>
  </si>
  <si>
    <t>17675</t>
  </si>
  <si>
    <t>(2796/1921)</t>
  </si>
  <si>
    <t>17676</t>
  </si>
  <si>
    <t>(2796/1922)</t>
  </si>
  <si>
    <t>17677</t>
  </si>
  <si>
    <t>(2796/1923)</t>
  </si>
  <si>
    <t>17678</t>
  </si>
  <si>
    <t>(2796/1924)</t>
  </si>
  <si>
    <t>17679</t>
  </si>
  <si>
    <t>(2796/1925)</t>
  </si>
  <si>
    <t>17680</t>
  </si>
  <si>
    <t>(2796/1926)</t>
  </si>
  <si>
    <t>17681</t>
  </si>
  <si>
    <t>(2796/1927)</t>
  </si>
  <si>
    <t>17682</t>
  </si>
  <si>
    <t>(2796/1928)</t>
  </si>
  <si>
    <t>17683</t>
  </si>
  <si>
    <t>(2796/1929)</t>
  </si>
  <si>
    <t>17685</t>
  </si>
  <si>
    <t>(2796/1930)</t>
  </si>
  <si>
    <t>17687</t>
  </si>
  <si>
    <t>(2796/1931)</t>
  </si>
  <si>
    <t>17684</t>
  </si>
  <si>
    <t>(2796/1932)</t>
  </si>
  <si>
    <t>17686</t>
  </si>
  <si>
    <t>(2796/1933)</t>
  </si>
  <si>
    <t>Morningstar SunSaver MPPT by SNMP</t>
  </si>
  <si>
    <t>17692</t>
  </si>
  <si>
    <t>(2796/1934)</t>
  </si>
  <si>
    <t>17693</t>
  </si>
  <si>
    <t>(2796/1935)</t>
  </si>
  <si>
    <t>17694</t>
  </si>
  <si>
    <t>(2796/1936)</t>
  </si>
  <si>
    <t>17695</t>
  </si>
  <si>
    <t>(2796/1937)</t>
  </si>
  <si>
    <t>17696</t>
  </si>
  <si>
    <t>(2796/1938)</t>
  </si>
  <si>
    <t>17697</t>
  </si>
  <si>
    <t>(2796/1939)</t>
  </si>
  <si>
    <t>17698</t>
  </si>
  <si>
    <t>(2796/1940)</t>
  </si>
  <si>
    <t>17699</t>
  </si>
  <si>
    <t>(2796/1941)</t>
  </si>
  <si>
    <t>17700</t>
  </si>
  <si>
    <t>(2796/1942)</t>
  </si>
  <si>
    <t>17701</t>
  </si>
  <si>
    <t>(2796/1943)</t>
  </si>
  <si>
    <t>17702</t>
  </si>
  <si>
    <t>(2796/1944)</t>
  </si>
  <si>
    <t>17703</t>
  </si>
  <si>
    <t>(2796/1945)</t>
  </si>
  <si>
    <t>17704</t>
  </si>
  <si>
    <t>(2796/1946)</t>
  </si>
  <si>
    <t>17705</t>
  </si>
  <si>
    <t>(2796/1947)</t>
  </si>
  <si>
    <t>17706</t>
  </si>
  <si>
    <t>(2796/1948)</t>
  </si>
  <si>
    <t>17707</t>
  </si>
  <si>
    <t>(2796/1949)</t>
  </si>
  <si>
    <t>17708</t>
  </si>
  <si>
    <t>(2796/1950)</t>
  </si>
  <si>
    <t>17709</t>
  </si>
  <si>
    <t>(2796/1951)</t>
  </si>
  <si>
    <t>17710</t>
  </si>
  <si>
    <t>(2796/1952)</t>
  </si>
  <si>
    <t>17711</t>
  </si>
  <si>
    <t>(2796/1953)</t>
  </si>
  <si>
    <t>17712</t>
  </si>
  <si>
    <t>(2796/1954)</t>
  </si>
  <si>
    <t>17713</t>
  </si>
  <si>
    <t>(2796/1955)</t>
  </si>
  <si>
    <t>17714</t>
  </si>
  <si>
    <t>(2796/1956)</t>
  </si>
  <si>
    <t>17715</t>
  </si>
  <si>
    <t>(2796/1957)</t>
  </si>
  <si>
    <t>17716</t>
  </si>
  <si>
    <t>(2796/1958)</t>
  </si>
  <si>
    <t>17717</t>
  </si>
  <si>
    <t>(2796/1959)</t>
  </si>
  <si>
    <t>17718</t>
  </si>
  <si>
    <t>(2796/1960)</t>
  </si>
  <si>
    <t>17719</t>
  </si>
  <si>
    <t>(2796/1961)</t>
  </si>
  <si>
    <t>(2796/1962)</t>
  </si>
  <si>
    <t>(2796/1963)</t>
  </si>
  <si>
    <t>(2796/1964)</t>
  </si>
  <si>
    <t>(2796/1965)</t>
  </si>
  <si>
    <t>(2796/1966)</t>
  </si>
  <si>
    <t>(2796/1967)</t>
  </si>
  <si>
    <t>(2796/1968)</t>
  </si>
  <si>
    <t>17727</t>
  </si>
  <si>
    <t>(2796/1969)</t>
  </si>
  <si>
    <t>17729</t>
  </si>
  <si>
    <t>(2796/1970)</t>
  </si>
  <si>
    <t>17731</t>
  </si>
  <si>
    <t>(2796/1971)</t>
  </si>
  <si>
    <t>17728</t>
  </si>
  <si>
    <t>(2796/1972)</t>
  </si>
  <si>
    <t>17730</t>
  </si>
  <si>
    <t>(2796/1973)</t>
  </si>
  <si>
    <t>Morningstar SureSine by SNMP</t>
  </si>
  <si>
    <t>17736</t>
  </si>
  <si>
    <t>(2796/1974)</t>
  </si>
  <si>
    <t>17737</t>
  </si>
  <si>
    <t>(2796/1975)</t>
  </si>
  <si>
    <t>17738</t>
  </si>
  <si>
    <t>(2796/1976)</t>
  </si>
  <si>
    <t>17739</t>
  </si>
  <si>
    <t>(2796/1977)</t>
  </si>
  <si>
    <t>17740</t>
  </si>
  <si>
    <t>(2796/1978)</t>
  </si>
  <si>
    <t>17741</t>
  </si>
  <si>
    <t>(2796/1979)</t>
  </si>
  <si>
    <t>17742</t>
  </si>
  <si>
    <t>(2796/1980)</t>
  </si>
  <si>
    <t>17743</t>
  </si>
  <si>
    <t>(2796/1981)</t>
  </si>
  <si>
    <t>17744</t>
  </si>
  <si>
    <t>(2796/1982)</t>
  </si>
  <si>
    <t>17745</t>
  </si>
  <si>
    <t>(2796/1983)</t>
  </si>
  <si>
    <t>17746</t>
  </si>
  <si>
    <t>(2796/1984)</t>
  </si>
  <si>
    <t>17747</t>
  </si>
  <si>
    <t>(2796/1985)</t>
  </si>
  <si>
    <t>17748</t>
  </si>
  <si>
    <t>(2796/1986)</t>
  </si>
  <si>
    <t>17749</t>
  </si>
  <si>
    <t>(2796/1987)</t>
  </si>
  <si>
    <t>17750</t>
  </si>
  <si>
    <t>(2796/1988)</t>
  </si>
  <si>
    <t>17751</t>
  </si>
  <si>
    <t>(2796/1989)</t>
  </si>
  <si>
    <t>Morningstar TriStar MPPT 600V by SNMP</t>
  </si>
  <si>
    <t>17756</t>
  </si>
  <si>
    <t>(2796/1990)</t>
  </si>
  <si>
    <t>17757</t>
  </si>
  <si>
    <t>(2796/1991)</t>
  </si>
  <si>
    <t>17758</t>
  </si>
  <si>
    <t>(2796/1992)</t>
  </si>
  <si>
    <t>17759</t>
  </si>
  <si>
    <t>(2796/1993)</t>
  </si>
  <si>
    <t>17760</t>
  </si>
  <si>
    <t>(2796/1994)</t>
  </si>
  <si>
    <t>17761</t>
  </si>
  <si>
    <t>(2796/1995)</t>
  </si>
  <si>
    <t>17762</t>
  </si>
  <si>
    <t>(2796/1996)</t>
  </si>
  <si>
    <t>17763</t>
  </si>
  <si>
    <t>(2796/1997)</t>
  </si>
  <si>
    <t>17764</t>
  </si>
  <si>
    <t>(2796/1998)</t>
  </si>
  <si>
    <t>17765</t>
  </si>
  <si>
    <t>(2796/1999)</t>
  </si>
  <si>
    <t>17766</t>
  </si>
  <si>
    <t>(2796/2000)</t>
  </si>
  <si>
    <t>17767</t>
  </si>
  <si>
    <t>(2796/2001)</t>
  </si>
  <si>
    <t>17768</t>
  </si>
  <si>
    <t>(2796/2002)</t>
  </si>
  <si>
    <t>17769</t>
  </si>
  <si>
    <t>(2796/2003)</t>
  </si>
  <si>
    <t>17770</t>
  </si>
  <si>
    <t>(2796/2004)</t>
  </si>
  <si>
    <t>17771</t>
  </si>
  <si>
    <t>(2796/2005)</t>
  </si>
  <si>
    <t>17772</t>
  </si>
  <si>
    <t>(2796/2006)</t>
  </si>
  <si>
    <t>17773</t>
  </si>
  <si>
    <t>(2796/2007)</t>
  </si>
  <si>
    <t>17774</t>
  </si>
  <si>
    <t>(2796/2008)</t>
  </si>
  <si>
    <t>17775</t>
  </si>
  <si>
    <t>(2796/2009)</t>
  </si>
  <si>
    <t>17776</t>
  </si>
  <si>
    <t>(2796/2010)</t>
  </si>
  <si>
    <t>17777</t>
  </si>
  <si>
    <t>(2796/2011)</t>
  </si>
  <si>
    <t>17779</t>
  </si>
  <si>
    <t>(2796/2012)</t>
  </si>
  <si>
    <t>17778</t>
  </si>
  <si>
    <t>(2796/2013)</t>
  </si>
  <si>
    <t>17780</t>
  </si>
  <si>
    <t>(2796/2014)</t>
  </si>
  <si>
    <t>17781</t>
  </si>
  <si>
    <t>(2796/2015)</t>
  </si>
  <si>
    <t>17782</t>
  </si>
  <si>
    <t>(2796/2016)</t>
  </si>
  <si>
    <t>17783</t>
  </si>
  <si>
    <t>(2796/2017)</t>
  </si>
  <si>
    <t>17784</t>
  </si>
  <si>
    <t>(2796/2018)</t>
  </si>
  <si>
    <t>17785</t>
  </si>
  <si>
    <t>(2796/2019)</t>
  </si>
  <si>
    <t>17786</t>
  </si>
  <si>
    <t>(2796/2020)</t>
  </si>
  <si>
    <t>17787</t>
  </si>
  <si>
    <t>(2796/2021)</t>
  </si>
  <si>
    <t>17788</t>
  </si>
  <si>
    <t>(2796/2022)</t>
  </si>
  <si>
    <t>17789</t>
  </si>
  <si>
    <t>(2796/2023)</t>
  </si>
  <si>
    <t>17790</t>
  </si>
  <si>
    <t>(2796/2024)</t>
  </si>
  <si>
    <t>17791</t>
  </si>
  <si>
    <t>(2796/2025)</t>
  </si>
  <si>
    <t>17792</t>
  </si>
  <si>
    <t>(2796/2026)</t>
  </si>
  <si>
    <t>17793</t>
  </si>
  <si>
    <t>(2796/2027)</t>
  </si>
  <si>
    <t>17794</t>
  </si>
  <si>
    <t>(2796/2028)</t>
  </si>
  <si>
    <t>17795</t>
  </si>
  <si>
    <t>(2796/2029)</t>
  </si>
  <si>
    <t>17796</t>
  </si>
  <si>
    <t>(2796/2030)</t>
  </si>
  <si>
    <t>17797</t>
  </si>
  <si>
    <t>(2796/2031)</t>
  </si>
  <si>
    <t>17798</t>
  </si>
  <si>
    <t>(2796/2032)</t>
  </si>
  <si>
    <t>17799</t>
  </si>
  <si>
    <t>(2796/2033)</t>
  </si>
  <si>
    <t>17800</t>
  </si>
  <si>
    <t>(2796/2034)</t>
  </si>
  <si>
    <t>17801</t>
  </si>
  <si>
    <t>(2796/2035)</t>
  </si>
  <si>
    <t>17802</t>
  </si>
  <si>
    <t>(2796/2036)</t>
  </si>
  <si>
    <t>17803</t>
  </si>
  <si>
    <t>(2796/2037)</t>
  </si>
  <si>
    <t>17804</t>
  </si>
  <si>
    <t>(2796/2038)</t>
  </si>
  <si>
    <t>17805</t>
  </si>
  <si>
    <t>(2796/2039)</t>
  </si>
  <si>
    <t>17806</t>
  </si>
  <si>
    <t>(2796/2040)</t>
  </si>
  <si>
    <t>17807</t>
  </si>
  <si>
    <t>(2796/2041)</t>
  </si>
  <si>
    <t>17808</t>
  </si>
  <si>
    <t>(2796/2042)</t>
  </si>
  <si>
    <t>17809</t>
  </si>
  <si>
    <t>(2796/2043)</t>
  </si>
  <si>
    <t>17810</t>
  </si>
  <si>
    <t>(2796/2044)</t>
  </si>
  <si>
    <t>17811</t>
  </si>
  <si>
    <t>(2796/2045)</t>
  </si>
  <si>
    <t>17812</t>
  </si>
  <si>
    <t>(2796/2046)</t>
  </si>
  <si>
    <t>17813</t>
  </si>
  <si>
    <t>(2796/2047)</t>
  </si>
  <si>
    <t>17814</t>
  </si>
  <si>
    <t>(2796/2048)</t>
  </si>
  <si>
    <t>17815</t>
  </si>
  <si>
    <t>(2796/2049)</t>
  </si>
  <si>
    <t>17816</t>
  </si>
  <si>
    <t>(2796/2050)</t>
  </si>
  <si>
    <t>17818</t>
  </si>
  <si>
    <t>(2796/2051)</t>
  </si>
  <si>
    <t>17820</t>
  </si>
  <si>
    <t>(2796/2052)</t>
  </si>
  <si>
    <t>17817</t>
  </si>
  <si>
    <t>(2796/2053)</t>
  </si>
  <si>
    <t>17819</t>
  </si>
  <si>
    <t>(2796/2054)</t>
  </si>
  <si>
    <t>Morningstar TriStar MPPT by SNMP</t>
  </si>
  <si>
    <t>17825</t>
  </si>
  <si>
    <t>(2796/2055)</t>
  </si>
  <si>
    <t>17826</t>
  </si>
  <si>
    <t>(2796/2056)</t>
  </si>
  <si>
    <t>17827</t>
  </si>
  <si>
    <t>(2796/2057)</t>
  </si>
  <si>
    <t>17828</t>
  </si>
  <si>
    <t>(2796/2058)</t>
  </si>
  <si>
    <t>17829</t>
  </si>
  <si>
    <t>(2796/2059)</t>
  </si>
  <si>
    <t>17830</t>
  </si>
  <si>
    <t>(2796/2060)</t>
  </si>
  <si>
    <t>17831</t>
  </si>
  <si>
    <t>(2796/2061)</t>
  </si>
  <si>
    <t>17832</t>
  </si>
  <si>
    <t>(2796/2062)</t>
  </si>
  <si>
    <t>17833</t>
  </si>
  <si>
    <t>(2796/2063)</t>
  </si>
  <si>
    <t>17834</t>
  </si>
  <si>
    <t>(2796/2064)</t>
  </si>
  <si>
    <t>17835</t>
  </si>
  <si>
    <t>(2796/2065)</t>
  </si>
  <si>
    <t>17836</t>
  </si>
  <si>
    <t>(2796/2066)</t>
  </si>
  <si>
    <t>17837</t>
  </si>
  <si>
    <t>(2796/2067)</t>
  </si>
  <si>
    <t>17838</t>
  </si>
  <si>
    <t>(2796/2068)</t>
  </si>
  <si>
    <t>17839</t>
  </si>
  <si>
    <t>(2796/2069)</t>
  </si>
  <si>
    <t>17840</t>
  </si>
  <si>
    <t>(2796/2070)</t>
  </si>
  <si>
    <t>17841</t>
  </si>
  <si>
    <t>(2796/2071)</t>
  </si>
  <si>
    <t>17842</t>
  </si>
  <si>
    <t>(2796/2072)</t>
  </si>
  <si>
    <t>17843</t>
  </si>
  <si>
    <t>(2796/2073)</t>
  </si>
  <si>
    <t>17844</t>
  </si>
  <si>
    <t>(2796/2074)</t>
  </si>
  <si>
    <t>17845</t>
  </si>
  <si>
    <t>(2796/2075)</t>
  </si>
  <si>
    <t>17846</t>
  </si>
  <si>
    <t>(2796/2076)</t>
  </si>
  <si>
    <t>17847</t>
  </si>
  <si>
    <t>(2796/2077)</t>
  </si>
  <si>
    <t>17848</t>
  </si>
  <si>
    <t>(2796/2078)</t>
  </si>
  <si>
    <t>17849</t>
  </si>
  <si>
    <t>(2796/2079)</t>
  </si>
  <si>
    <t>17850</t>
  </si>
  <si>
    <t>(2796/2080)</t>
  </si>
  <si>
    <t>17851</t>
  </si>
  <si>
    <t>(2796/2081)</t>
  </si>
  <si>
    <t>17852</t>
  </si>
  <si>
    <t>(2796/2082)</t>
  </si>
  <si>
    <t>17853</t>
  </si>
  <si>
    <t>(2796/2083)</t>
  </si>
  <si>
    <t>17854</t>
  </si>
  <si>
    <t>(2796/2084)</t>
  </si>
  <si>
    <t>17855</t>
  </si>
  <si>
    <t>(2796/2085)</t>
  </si>
  <si>
    <t>17856</t>
  </si>
  <si>
    <t>(2796/2086)</t>
  </si>
  <si>
    <t>17857</t>
  </si>
  <si>
    <t>(2796/2087)</t>
  </si>
  <si>
    <t>17859</t>
  </si>
  <si>
    <t>(2796/2088)</t>
  </si>
  <si>
    <t>17861</t>
  </si>
  <si>
    <t>(2796/2089)</t>
  </si>
  <si>
    <t>17858</t>
  </si>
  <si>
    <t>(2796/2090)</t>
  </si>
  <si>
    <t>17860</t>
  </si>
  <si>
    <t>(2796/2091)</t>
  </si>
  <si>
    <t>Morningstar TriStar PWM by SNMP</t>
  </si>
  <si>
    <t>(2796/2092)</t>
  </si>
  <si>
    <t>(2796/2093)</t>
  </si>
  <si>
    <t>(2796/2094)</t>
  </si>
  <si>
    <t>(2796/2095)</t>
  </si>
  <si>
    <t>(2796/2096)</t>
  </si>
  <si>
    <t>17871</t>
  </si>
  <si>
    <t>(2796/2097)</t>
  </si>
  <si>
    <t>17872</t>
  </si>
  <si>
    <t>(2796/2098)</t>
  </si>
  <si>
    <t>17873</t>
  </si>
  <si>
    <t>(2796/2099)</t>
  </si>
  <si>
    <t>17874</t>
  </si>
  <si>
    <t>(2796/2100)</t>
  </si>
  <si>
    <t>17875</t>
  </si>
  <si>
    <t>(2796/2101)</t>
  </si>
  <si>
    <t>17876</t>
  </si>
  <si>
    <t>(2796/2102)</t>
  </si>
  <si>
    <t>17877</t>
  </si>
  <si>
    <t>(2796/2103)</t>
  </si>
  <si>
    <t>17878</t>
  </si>
  <si>
    <t>(2796/2104)</t>
  </si>
  <si>
    <t>17879</t>
  </si>
  <si>
    <t>(2796/2105)</t>
  </si>
  <si>
    <t>17880</t>
  </si>
  <si>
    <t>(2796/2106)</t>
  </si>
  <si>
    <t>17881</t>
  </si>
  <si>
    <t>(2796/2107)</t>
  </si>
  <si>
    <t>17882</t>
  </si>
  <si>
    <t>(2796/2108)</t>
  </si>
  <si>
    <t>(2796/2109)</t>
  </si>
  <si>
    <t>(2796/2110)</t>
  </si>
  <si>
    <t>(2796/2111)</t>
  </si>
  <si>
    <t>17886</t>
  </si>
  <si>
    <t>(2796/2112)</t>
  </si>
  <si>
    <t>(2796/2113)</t>
  </si>
  <si>
    <t>17888</t>
  </si>
  <si>
    <t>(2796/2114)</t>
  </si>
  <si>
    <t>17889</t>
  </si>
  <si>
    <t>(2796/2115)</t>
  </si>
  <si>
    <t>(2796/2116)</t>
  </si>
  <si>
    <t>17891</t>
  </si>
  <si>
    <t>(2796/2117)</t>
  </si>
  <si>
    <t>17892</t>
  </si>
  <si>
    <t>(2796/2118)</t>
  </si>
  <si>
    <t>(2796/2119)</t>
  </si>
  <si>
    <t>17894</t>
  </si>
  <si>
    <t>(2796/2120)</t>
  </si>
  <si>
    <t>17895</t>
  </si>
  <si>
    <t>(2796/2121)</t>
  </si>
  <si>
    <t>17896</t>
  </si>
  <si>
    <t>(2796/2122)</t>
  </si>
  <si>
    <t>17898</t>
  </si>
  <si>
    <t>(2796/2123)</t>
  </si>
  <si>
    <t>17900</t>
  </si>
  <si>
    <t>(2796/2124)</t>
  </si>
  <si>
    <t>17897</t>
  </si>
  <si>
    <t>(2796/2125)</t>
  </si>
  <si>
    <t>17899</t>
  </si>
  <si>
    <t>(2796/2126)</t>
  </si>
  <si>
    <t>MySQL by ODBC</t>
  </si>
  <si>
    <t>MySQL: Server has aborted connections</t>
  </si>
  <si>
    <t>MySQL: 服务器已已关闭连接</t>
  </si>
  <si>
    <t>(2796/2127)</t>
  </si>
  <si>
    <t>18546</t>
  </si>
  <si>
    <t>MySQL: Buffer pool utilization is too low</t>
  </si>
  <si>
    <t>MySQL: 缓冲池利用率太低</t>
  </si>
  <si>
    <t>(2796/2128)</t>
  </si>
  <si>
    <t>MySQL: Refused connections</t>
  </si>
  <si>
    <t>MySQL: 拒绝的连接</t>
  </si>
  <si>
    <t>(2796/2129)</t>
  </si>
  <si>
    <t>MySQL: Number of temporary files created per second is high</t>
  </si>
  <si>
    <t>MySQL: 每秒创建的临时文件数很高了</t>
  </si>
  <si>
    <t>(2796/2130)</t>
  </si>
  <si>
    <t>MySQL: Number of on-disk temporary tables created per second is high</t>
  </si>
  <si>
    <t>MySQL: 每秒磁盘上创建的临时表数很高了</t>
  </si>
  <si>
    <t>(2796/2131)</t>
  </si>
  <si>
    <t>MySQL: Number of internal temporary tables created per second is high</t>
  </si>
  <si>
    <t>MySQL: 每秒创建的内部临时表数很高了</t>
  </si>
  <si>
    <t>(2796/2132)</t>
  </si>
  <si>
    <t>MySQL: Server has slow queries</t>
  </si>
  <si>
    <t>MySQL: 服务器查询速度慢</t>
  </si>
  <si>
    <t>(2796/2133)</t>
  </si>
  <si>
    <t>(2796/2134)</t>
  </si>
  <si>
    <t>MySQL: Service has been restarted</t>
  </si>
  <si>
    <t>MySQL: 服务已重新启动</t>
  </si>
  <si>
    <t>(2796/2135)</t>
  </si>
  <si>
    <t>MySQL: Failed to fetch info data</t>
  </si>
  <si>
    <t>MySQL: 获取信息数据失败</t>
  </si>
  <si>
    <t>(2796/2136)</t>
  </si>
  <si>
    <t>MySQL: Version has changed</t>
  </si>
  <si>
    <t>MySQL: 版本已变更</t>
  </si>
  <si>
    <t>(2796/2137)</t>
  </si>
  <si>
    <t>MySQL by Zabbix agent</t>
  </si>
  <si>
    <t>(2796/2138)</t>
  </si>
  <si>
    <t>(2796/2139)</t>
  </si>
  <si>
    <t>(2796/2140)</t>
  </si>
  <si>
    <t>(2796/2141)</t>
  </si>
  <si>
    <t>(2796/2142)</t>
  </si>
  <si>
    <t>(2796/2143)</t>
  </si>
  <si>
    <t>(2796/2144)</t>
  </si>
  <si>
    <t>(2796/2145)</t>
  </si>
  <si>
    <t>(2796/2146)</t>
  </si>
  <si>
    <t>(2796/2147)</t>
  </si>
  <si>
    <t>(2796/2148)</t>
  </si>
  <si>
    <t>MySQL by Zabbix agent 2</t>
  </si>
  <si>
    <t>(2796/2149)</t>
  </si>
  <si>
    <t>(2796/2150)</t>
  </si>
  <si>
    <t>(2796/2151)</t>
  </si>
  <si>
    <t>(2796/2152)</t>
  </si>
  <si>
    <t>(2796/2153)</t>
  </si>
  <si>
    <t>(2796/2154)</t>
  </si>
  <si>
    <t>(2796/2155)</t>
  </si>
  <si>
    <t>(2796/2156)</t>
  </si>
  <si>
    <t>(2796/2157)</t>
  </si>
  <si>
    <t>(2796/2158)</t>
  </si>
  <si>
    <t>(2796/2159)</t>
  </si>
  <si>
    <t>NGINX Plus by HTTP</t>
  </si>
  <si>
    <t>Nginx: High connections drop rate</t>
  </si>
  <si>
    <t>Nginx: 连接丢失率太高</t>
  </si>
  <si>
    <t>(2796/2160)</t>
  </si>
  <si>
    <t>18968</t>
  </si>
  <si>
    <t>Nginx: Server response error</t>
  </si>
  <si>
    <t>Nginx: 服务器响应错误</t>
  </si>
  <si>
    <t>(2796/2161)</t>
  </si>
  <si>
    <t>18970</t>
  </si>
  <si>
    <t>Nginx: Host has been restarted</t>
  </si>
  <si>
    <t>Nginx: 主机已重新启动</t>
  </si>
  <si>
    <t>(2796/2162)</t>
  </si>
  <si>
    <t>18969</t>
  </si>
  <si>
    <t>Nginx: Failed to fetch info data</t>
  </si>
  <si>
    <t>Nginx: 无法获取信息数据</t>
  </si>
  <si>
    <t>(2796/2163)</t>
  </si>
  <si>
    <t>18971</t>
  </si>
  <si>
    <t>Nginx: Version has changed</t>
  </si>
  <si>
    <t>Nginx: 版本已变更</t>
  </si>
  <si>
    <t>(2796/2164)</t>
  </si>
  <si>
    <t>NNTP Service</t>
  </si>
  <si>
    <t>(2796/2165)</t>
  </si>
  <si>
    <t>NTP Service</t>
  </si>
  <si>
    <t>(2796/2166)</t>
  </si>
  <si>
    <t>NetApp AFF A700 by HTTP</t>
  </si>
  <si>
    <t>NetApp AFF A700: Version has changed</t>
  </si>
  <si>
    <t>NetApp AFF A700: 版本已变更</t>
  </si>
  <si>
    <t>(2796/2167)</t>
  </si>
  <si>
    <t>NetApp AFF A700: Cluster status is abnormal</t>
  </si>
  <si>
    <t>NetApp AFF A700: 集群状态异常</t>
  </si>
  <si>
    <t>(2796/2168)</t>
  </si>
  <si>
    <t>NetApp FAS3220 by SNMP</t>
  </si>
  <si>
    <t>17929</t>
  </si>
  <si>
    <t>(2796/2169)</t>
  </si>
  <si>
    <t>22522</t>
  </si>
  <si>
    <t>NetApp FAS3220: High ICMP ping loss</t>
  </si>
  <si>
    <t>NetApp FAS3220: 高ICMPping丢失</t>
  </si>
  <si>
    <t>(2796/2170)</t>
  </si>
  <si>
    <t>22521</t>
  </si>
  <si>
    <t>NetApp FAS3220: Unavailable by ICMP ping</t>
  </si>
  <si>
    <t>NetApp FAS3220: ICMPping不可用</t>
  </si>
  <si>
    <t>(2796/2171)</t>
  </si>
  <si>
    <t>22523</t>
  </si>
  <si>
    <t>NetApp FAS3220: High ICMP ping response time</t>
  </si>
  <si>
    <t>NetApp FAS3220: 高ICMPping响应时间</t>
  </si>
  <si>
    <t>(2796/2172)</t>
  </si>
  <si>
    <t>22526</t>
  </si>
  <si>
    <t>NetApp FAS3220: No SNMP data collection</t>
  </si>
  <si>
    <t>NetApp FAS3220: 无SNMP数据收集</t>
  </si>
  <si>
    <t>(2796/2173)</t>
  </si>
  <si>
    <t>22524</t>
  </si>
  <si>
    <t>NetApp FAS3220: System name has changed</t>
  </si>
  <si>
    <t>NetApp FAS3220: 系统名称已变更</t>
  </si>
  <si>
    <t>(2796/2174)</t>
  </si>
  <si>
    <t>22525</t>
  </si>
  <si>
    <t>NetApp FAS3220: Host has been restarted</t>
  </si>
  <si>
    <t>NetApp FAS3220: 主机已重新启动</t>
  </si>
  <si>
    <t>(2796/2175)</t>
  </si>
  <si>
    <t>Netgear Fastpath by SNMP</t>
  </si>
  <si>
    <t>Netgear Fastpath: High CPU utilization</t>
  </si>
  <si>
    <t>Netgear Fastpath: 高CPU利用率</t>
  </si>
  <si>
    <t>(2796/2176)</t>
  </si>
  <si>
    <t>Netgear Fastpath: Device has been replaced</t>
  </si>
  <si>
    <t>Netgear Fastpath: 设备已更换</t>
  </si>
  <si>
    <t>(2796/2177)</t>
  </si>
  <si>
    <t>22325</t>
  </si>
  <si>
    <t>Netgear Fastpath: High ICMP ping loss</t>
  </si>
  <si>
    <t>Netgear Fastpath: 高ICMPping丢失</t>
  </si>
  <si>
    <t>(2796/2178)</t>
  </si>
  <si>
    <t>22324</t>
  </si>
  <si>
    <t>Netgear Fastpath: Unavailable by ICMP ping</t>
  </si>
  <si>
    <t>Netgear Fastpath: ICMPping不可用</t>
  </si>
  <si>
    <t>(2796/2179)</t>
  </si>
  <si>
    <t>22326</t>
  </si>
  <si>
    <t>Netgear Fastpath: High ICMP ping response time</t>
  </si>
  <si>
    <t>Netgear Fastpath: 高ICMPping响应时间</t>
  </si>
  <si>
    <t>(2796/2180)</t>
  </si>
  <si>
    <t>18126</t>
  </si>
  <si>
    <t>Netgear Fastpath: High memory utilization</t>
  </si>
  <si>
    <t>Netgear Fastpath: 高内存利用率</t>
  </si>
  <si>
    <t>(2796/2181)</t>
  </si>
  <si>
    <t>Netgear Fastpath: Operating system description has changed</t>
  </si>
  <si>
    <t>Netgear Fastpath: 操作系统描述已变更</t>
  </si>
  <si>
    <t>(2796/2182)</t>
  </si>
  <si>
    <t>22329</t>
  </si>
  <si>
    <t>Netgear Fastpath: No SNMP data collection</t>
  </si>
  <si>
    <t>Netgear Fastpath: 无SNMP数据收集</t>
  </si>
  <si>
    <t>(2796/2183)</t>
  </si>
  <si>
    <t>22327</t>
  </si>
  <si>
    <t>Netgear Fastpath: System name has changed</t>
  </si>
  <si>
    <t>Netgear Fastpath: 系统名称已变更</t>
  </si>
  <si>
    <t>(2796/2184)</t>
  </si>
  <si>
    <t>22328</t>
  </si>
  <si>
    <t>Netgear Fastpath: Host has been restarted</t>
  </si>
  <si>
    <t>Netgear Fastpath: 主机已重新启动</t>
  </si>
  <si>
    <t>(2796/2185)</t>
  </si>
  <si>
    <t>Network Generic Device by SNMP</t>
  </si>
  <si>
    <t>21710</t>
  </si>
  <si>
    <t>(2796/2186)</t>
  </si>
  <si>
    <t>21709</t>
  </si>
  <si>
    <t>(2796/2187)</t>
  </si>
  <si>
    <t>21711</t>
  </si>
  <si>
    <t>(2796/2188)</t>
  </si>
  <si>
    <t>21714</t>
  </si>
  <si>
    <t>(2796/2189)</t>
  </si>
  <si>
    <t>21712</t>
  </si>
  <si>
    <t>(2796/2190)</t>
  </si>
  <si>
    <t>21713</t>
  </si>
  <si>
    <t>(2796/2191)</t>
  </si>
  <si>
    <t>Nextcloud by HTTP</t>
  </si>
  <si>
    <t>23307</t>
  </si>
  <si>
    <t>Nextcloud: Number of installed apps has been changed</t>
  </si>
  <si>
    <t>Nextcloud: 已安装应用数量发生变化</t>
  </si>
  <si>
    <t>(2796/2192)</t>
  </si>
  <si>
    <t>23308</t>
  </si>
  <si>
    <t>Nextcloud: Application updates are available</t>
  </si>
  <si>
    <t>Nextcloud: 有应用更新可用</t>
  </si>
  <si>
    <t>(2796/2193)</t>
  </si>
  <si>
    <t>23309</t>
  </si>
  <si>
    <t>Nextcloud: CPU load is too high</t>
  </si>
  <si>
    <t>Nextcloud: CPU负载过高</t>
  </si>
  <si>
    <t>(2796/2194)</t>
  </si>
  <si>
    <t>23310</t>
  </si>
  <si>
    <t>Nextcloud: Database version has changed</t>
  </si>
  <si>
    <t>Nextcloud: 数据库版本发生变化</t>
  </si>
  <si>
    <t>(2796/2195)</t>
  </si>
  <si>
    <t>23311</t>
  </si>
  <si>
    <t>Nextcloud: Disk space is low</t>
  </si>
  <si>
    <t>Nextcloud: 磁盘空间低</t>
  </si>
  <si>
    <t>(2796/2196)</t>
  </si>
  <si>
    <t>23312</t>
  </si>
  <si>
    <t>Nextcloud: High memory utilization</t>
  </si>
  <si>
    <t>Nextcloud: 内存利用率高</t>
  </si>
  <si>
    <t>(2796/2197)</t>
  </si>
  <si>
    <t>23313</t>
  </si>
  <si>
    <t>Nextcloud: High PHP memory utilization</t>
  </si>
  <si>
    <t>Nextcloud: PHP内存利用率高</t>
  </si>
  <si>
    <t>(2796/2198)</t>
  </si>
  <si>
    <t>23314</t>
  </si>
  <si>
    <t>Nextcloud: PHP version has changed</t>
  </si>
  <si>
    <t>Nextcloud: PHP版本发生变化</t>
  </si>
  <si>
    <t>(2796/2199)</t>
  </si>
  <si>
    <t>23315</t>
  </si>
  <si>
    <t>Nextcloud: Server information unavailable</t>
  </si>
  <si>
    <t>Nextcloud: 服务器信息不可用</t>
  </si>
  <si>
    <t>(2796/2200)</t>
  </si>
  <si>
    <t>23316</t>
  </si>
  <si>
    <t>Nextcloud: High swap utilization</t>
  </si>
  <si>
    <t>Nextcloud: 交换空间利用率高</t>
  </si>
  <si>
    <t>(2796/2201)</t>
  </si>
  <si>
    <t>23317</t>
  </si>
  <si>
    <t>Nextcloud: Version has changed</t>
  </si>
  <si>
    <t>Nextcloud: 版本发生变化</t>
  </si>
  <si>
    <t>(2796/2202)</t>
  </si>
  <si>
    <t>Nginx by HTTP</t>
  </si>
  <si>
    <t>Nginx: Service response time is too high</t>
  </si>
  <si>
    <t>Nginx: 服务响应时间太长</t>
  </si>
  <si>
    <t>(2796/2203)</t>
  </si>
  <si>
    <t>(2796/2204)</t>
  </si>
  <si>
    <t>(2796/2205)</t>
  </si>
  <si>
    <t>Nginx: Failed to fetch stub status page</t>
  </si>
  <si>
    <t>Nginx: 无法获取存根状态页</t>
  </si>
  <si>
    <t>(2796/2206)</t>
  </si>
  <si>
    <t>(2796/2207)</t>
  </si>
  <si>
    <t>Nginx by Zabbix agent</t>
  </si>
  <si>
    <t>(2796/2208)</t>
  </si>
  <si>
    <t>(2796/2209)</t>
  </si>
  <si>
    <t>(2796/2210)</t>
  </si>
  <si>
    <t>(2796/2211)</t>
  </si>
  <si>
    <t>(2796/2212)</t>
  </si>
  <si>
    <t>(2796/2213)</t>
  </si>
  <si>
    <t>OPNsense by SNMP</t>
  </si>
  <si>
    <t>22949</t>
  </si>
  <si>
    <t>(2796/2214)</t>
  </si>
  <si>
    <t>22950</t>
  </si>
  <si>
    <t>(2796/2215)</t>
  </si>
  <si>
    <t>22952</t>
  </si>
  <si>
    <t>(2796/2216)</t>
  </si>
  <si>
    <t>22955</t>
  </si>
  <si>
    <t>(2796/2217)</t>
  </si>
  <si>
    <t>22953</t>
  </si>
  <si>
    <t>OPNsense: Source tracking table usage is high</t>
  </si>
  <si>
    <t>OPNsense: 源跟踪表使用率高了</t>
  </si>
  <si>
    <t>(2796/2218)</t>
  </si>
  <si>
    <t>22954</t>
  </si>
  <si>
    <t>OPNsense: State table usage is high</t>
  </si>
  <si>
    <t>OPNsense: 状态表使用率高了</t>
  </si>
  <si>
    <t>(2796/2219)</t>
  </si>
  <si>
    <t>22951</t>
  </si>
  <si>
    <t>(2796/2220)</t>
  </si>
  <si>
    <t>OpenBSD by Zabbix agent</t>
  </si>
  <si>
    <t>OpenBSD: Lack of available memory on server {HOST.NAME}</t>
  </si>
  <si>
    <t>OpenBSD: 服务器{HOST.NAME}上缺少可用内存</t>
  </si>
  <si>
    <t>(2796/2221)</t>
  </si>
  <si>
    <t>OpenBSD: /etc/passwd has been changed on {HOST.NAME}</t>
  </si>
  <si>
    <t>OpenBSD: /etc/passwd已在{HOST.NAME}上变更</t>
  </si>
  <si>
    <t>(2796/2222)</t>
  </si>
  <si>
    <t>OpenBSD: Lack of free swap space on {HOST.NAME}</t>
  </si>
  <si>
    <t>OpenBSD: {HOST.NAME}上缺少swap分区剩余量</t>
  </si>
  <si>
    <t>(2796/2223)</t>
  </si>
  <si>
    <t>OpenBSD: Hostname was changed on {HOST.NAME}</t>
  </si>
  <si>
    <t>OpenBSD: 主机名已在{HOST.NAME}上变更</t>
  </si>
  <si>
    <t>(2796/2224)</t>
  </si>
  <si>
    <t>OpenBSD: Configured max number of opened files is too low on {HOST.NAME}</t>
  </si>
  <si>
    <t>OpenBSD: {HOST.NAME}上配置的最大打开文件数太低</t>
  </si>
  <si>
    <t>(2796/2225)</t>
  </si>
  <si>
    <t>OpenBSD: Configured max number of processes is too low on {HOST.NAME}</t>
  </si>
  <si>
    <t>OpenBSD: {HOST.NAME}上配置的最大进程数太低</t>
  </si>
  <si>
    <t>(2796/2226)</t>
  </si>
  <si>
    <t>OpenBSD: Too many processes on {HOST.NAME}</t>
  </si>
  <si>
    <t>OpenBSD: {HOST.NAME}上的进程太多</t>
  </si>
  <si>
    <t>(2796/2227)</t>
  </si>
  <si>
    <t>OpenBSD: Too many processes running on {HOST.NAME}</t>
  </si>
  <si>
    <t>OpenBSD: {HOST.NAME}上运行的进程太多</t>
  </si>
  <si>
    <t>(2796/2228)</t>
  </si>
  <si>
    <t>OpenBSD: Processor load is too high on {HOST.NAME}</t>
  </si>
  <si>
    <t>OpenBSD: {HOST.NAME}上的处理器负载太高</t>
  </si>
  <si>
    <t>(2796/2229)</t>
  </si>
  <si>
    <t>OpenBSD: Host information was changed on {HOST.NAME}</t>
  </si>
  <si>
    <t>OpenBSD: {HOST.NAME}上的主机信息已变更</t>
  </si>
  <si>
    <t>(2796/2230)</t>
  </si>
  <si>
    <t>OpenBSD: {HOST.NAME} has just been restarted</t>
  </si>
  <si>
    <t>OpenBSD: {HOST.NAME}刚刚重新启动</t>
  </si>
  <si>
    <t>(2796/2231)</t>
  </si>
  <si>
    <t>22455</t>
  </si>
  <si>
    <t>OpenBSD: Zabbix agent is not available</t>
  </si>
  <si>
    <t>OpenBSD: Zabbix agent 不可用</t>
  </si>
  <si>
    <t>(2796/2232)</t>
  </si>
  <si>
    <t>OpenStack Nova by HTTP</t>
  </si>
  <si>
    <t>23219</t>
  </si>
  <si>
    <t>Nova: Current instances count is high</t>
  </si>
  <si>
    <t>Nova: 当前实例计数很高</t>
  </si>
  <si>
    <t>(2796/2233)</t>
  </si>
  <si>
    <t>23220</t>
  </si>
  <si>
    <t>Nova: Current instances count is too high</t>
  </si>
  <si>
    <t>Nova: 当前实例计数太高</t>
  </si>
  <si>
    <t>(2796/2234)</t>
  </si>
  <si>
    <t>23221</t>
  </si>
  <si>
    <t>Nova: Current RAM usage is high</t>
  </si>
  <si>
    <t>Nova: 当前RAM使用率很高</t>
  </si>
  <si>
    <t>(2796/2235)</t>
  </si>
  <si>
    <t>23222</t>
  </si>
  <si>
    <t>Nova: Current RAM usage is too high</t>
  </si>
  <si>
    <t>Nova: 当前RAM使用率太高</t>
  </si>
  <si>
    <t>(2796/2236)</t>
  </si>
  <si>
    <t>23223</t>
  </si>
  <si>
    <t>Nova: Current vCPU usage is high</t>
  </si>
  <si>
    <t>Nova: 当前vCPU使用率较高</t>
  </si>
  <si>
    <t>(2796/2237)</t>
  </si>
  <si>
    <t>23224</t>
  </si>
  <si>
    <t>Nova: Current vCPU usage is too high</t>
  </si>
  <si>
    <t>Nova: 当前vCPU使用率太高</t>
  </si>
  <si>
    <t>(2796/2238)</t>
  </si>
  <si>
    <t>OpenWeatherMap by HTTP</t>
  </si>
  <si>
    <t>22586</t>
  </si>
  <si>
    <t>Openweathermap: There are errors in requests to OpenWeatherMap API</t>
  </si>
  <si>
    <t>Openweathermap: 请求OpenweathermapAPI时出错</t>
  </si>
  <si>
    <t>(2796/2239)</t>
  </si>
  <si>
    <t>Oracle Cloud Autonomous Database by HTTP</t>
  </si>
  <si>
    <t>23527</t>
  </si>
  <si>
    <t>OCI Autonomous DB: Current CPU utilization is high</t>
  </si>
  <si>
    <t>OCI Autonomous DB: 当前CPU利用率高了</t>
  </si>
  <si>
    <t>(2796/2240)</t>
  </si>
  <si>
    <t>23528</t>
  </si>
  <si>
    <t>OCI Autonomous DB: Current CPU utilization is too high</t>
  </si>
  <si>
    <t>OCI Autonomous DB: 当前CPU利用率太高</t>
  </si>
  <si>
    <t>(2796/2241)</t>
  </si>
  <si>
    <t>23526</t>
  </si>
  <si>
    <t>OCI Autonomous DB: Database is not available</t>
  </si>
  <si>
    <t>OCI Autonomous DB: 数据库不可用</t>
  </si>
  <si>
    <t>(2796/2242)</t>
  </si>
  <si>
    <t>23529</t>
  </si>
  <si>
    <t>OCI Autonomous DB: Available, needs attention</t>
  </si>
  <si>
    <t>OCI Autonomous DB: 可用,但需要注意</t>
  </si>
  <si>
    <t>(2796/2243)</t>
  </si>
  <si>
    <t>23530</t>
  </si>
  <si>
    <t>OCI Autonomous DB: Database is not available or accessible</t>
  </si>
  <si>
    <t>OCI Autonomous DB: 数据库不可用或无法访问</t>
  </si>
  <si>
    <t>(2796/2244)</t>
  </si>
  <si>
    <t>23531</t>
  </si>
  <si>
    <t>OCI Autonomous DB: Restore has failed</t>
  </si>
  <si>
    <t>OCI Autonomous DB: 恢复失败</t>
  </si>
  <si>
    <t>(2796/2245)</t>
  </si>
  <si>
    <t>23533</t>
  </si>
  <si>
    <t>OCI Autonomous DB: State unknown</t>
  </si>
  <si>
    <t>OCI Autonomous DB: 状态未知</t>
  </si>
  <si>
    <t>(2796/2246)</t>
  </si>
  <si>
    <t>23532</t>
  </si>
  <si>
    <t>OCI Autonomous DB: State has changed</t>
  </si>
  <si>
    <t>OCI Autonomous DB: 状态已更改</t>
  </si>
  <si>
    <t>(2796/2247)</t>
  </si>
  <si>
    <t>23534</t>
  </si>
  <si>
    <t>OCI Autonomous DB: Current storage utilization is high</t>
  </si>
  <si>
    <t>OCI Autonomous DB: 当前存储利用率高了</t>
  </si>
  <si>
    <t>(2796/2248)</t>
  </si>
  <si>
    <t>23535</t>
  </si>
  <si>
    <t>OCI Autonomous DB: Current storage utilization is too high</t>
  </si>
  <si>
    <t>OCI Autonomous DB: 当前存储利用率太高</t>
  </si>
  <si>
    <t>(2796/2249)</t>
  </si>
  <si>
    <t>Oracle Cloud Block Volume by HTTP</t>
  </si>
  <si>
    <t>23536</t>
  </si>
  <si>
    <t>OCI Block Volume: Block volume state unknown</t>
  </si>
  <si>
    <t>OCI Block Volume: 块卷状态未知</t>
  </si>
  <si>
    <t>(2796/2250)</t>
  </si>
  <si>
    <t>23537</t>
  </si>
  <si>
    <t>OCI Block Volume: Block volume terminated or faulty</t>
  </si>
  <si>
    <t>OCI Block Volume: 块卷已终止或出现故障</t>
  </si>
  <si>
    <t>(2796/2251)</t>
  </si>
  <si>
    <t>Oracle Cloud Boot Volume by HTTP</t>
  </si>
  <si>
    <t>23538</t>
  </si>
  <si>
    <t>OCI Boot Volume: Boot volume state unknown</t>
  </si>
  <si>
    <t>OCI Boot Volume: 引导卷状态未知</t>
  </si>
  <si>
    <t>(2796/2252)</t>
  </si>
  <si>
    <t>23539</t>
  </si>
  <si>
    <t>OCI Boot Volume: Boot volume terminated or faulty</t>
  </si>
  <si>
    <t>OCI Boot Volume: 引导卷已终止或出现故障</t>
  </si>
  <si>
    <t>(2796/2253)</t>
  </si>
  <si>
    <t>Oracle Cloud Compute by HTTP</t>
  </si>
  <si>
    <t>23541</t>
  </si>
  <si>
    <t>OCI Compute: Current CPU utilization is high</t>
  </si>
  <si>
    <t>OCI Compute: 当前CPU利用率高了</t>
  </si>
  <si>
    <t>(2796/2254)</t>
  </si>
  <si>
    <t>23542</t>
  </si>
  <si>
    <t>OCI Compute: Current CPU utilization is too high</t>
  </si>
  <si>
    <t>OCI Compute: 当前CPU利用率太高</t>
  </si>
  <si>
    <t>(2796/2255)</t>
  </si>
  <si>
    <t>23540</t>
  </si>
  <si>
    <t>OCI Compute: Compute instance is not available</t>
  </si>
  <si>
    <t>OCI Compute: 计算实例不可用</t>
  </si>
  <si>
    <t>(2796/2256)</t>
  </si>
  <si>
    <t>23543</t>
  </si>
  <si>
    <t>OCI Compute: Current memory utilization is high</t>
  </si>
  <si>
    <t>OCI Compute: 当前内存利用率高了</t>
  </si>
  <si>
    <t>(2796/2257)</t>
  </si>
  <si>
    <t>23544</t>
  </si>
  <si>
    <t>OCI Compute: Current memory utilization is too high</t>
  </si>
  <si>
    <t>OCI Compute: 当前内存利用率太高</t>
  </si>
  <si>
    <t>(2796/2258)</t>
  </si>
  <si>
    <t>23545</t>
  </si>
  <si>
    <t>OCI Compute: State has changed</t>
  </si>
  <si>
    <t>OCI Compute: 状态已更改</t>
  </si>
  <si>
    <t>(2796/2259)</t>
  </si>
  <si>
    <t>Oracle Cloud Networking by HTTP</t>
  </si>
  <si>
    <t>23546</t>
  </si>
  <si>
    <t>OCI VCN: VCN state terminated</t>
  </si>
  <si>
    <t>OCI VCN: VCN状态已终止</t>
  </si>
  <si>
    <t>(2796/2260)</t>
  </si>
  <si>
    <t>23547</t>
  </si>
  <si>
    <t>OCI VCN: VCN state unknown</t>
  </si>
  <si>
    <t>OCI VCN: VCN状态未知</t>
  </si>
  <si>
    <t>(2796/2261)</t>
  </si>
  <si>
    <t>Oracle Cloud Object Storage by HTTP</t>
  </si>
  <si>
    <t>23548</t>
  </si>
  <si>
    <t>OCI Object Storage: Object lifecycle management policy has changed</t>
  </si>
  <si>
    <t>OCI Object Storage: 对象生命周期管理策略已更改</t>
  </si>
  <si>
    <t>(2796/2262)</t>
  </si>
  <si>
    <t>Oracle by ODBC</t>
  </si>
  <si>
    <t>16987</t>
  </si>
  <si>
    <t>Oracle: Too many database files</t>
  </si>
  <si>
    <t>Oracle: 数据库文件太多</t>
  </si>
  <si>
    <t>(2796/2263)</t>
  </si>
  <si>
    <t>16989</t>
  </si>
  <si>
    <t>Oracle: Instance hostname has changed</t>
  </si>
  <si>
    <t>Oracle: 实例主机名已变更</t>
  </si>
  <si>
    <t>(2796/2264)</t>
  </si>
  <si>
    <t>16990</t>
  </si>
  <si>
    <t>Oracle: Instance name has changed</t>
  </si>
  <si>
    <t>Oracle: 实例名称已变更</t>
  </si>
  <si>
    <t>(2796/2265)</t>
  </si>
  <si>
    <t>16984</t>
  </si>
  <si>
    <t>Oracle: Port {$ORACLE.PORT} is unavailable</t>
  </si>
  <si>
    <t>Oracle: 端口{$ORACLE.PORT}不可用</t>
  </si>
  <si>
    <t>(2796/2266)</t>
  </si>
  <si>
    <t>17000</t>
  </si>
  <si>
    <t>Oracle: LISTENER process is not running</t>
  </si>
  <si>
    <t>Oracle: LISTENER进程未运行</t>
  </si>
  <si>
    <t>(2796/2267)</t>
  </si>
  <si>
    <t>16985</t>
  </si>
  <si>
    <t>Oracle: Too many active processes</t>
  </si>
  <si>
    <t>Oracle: 活动进程太多</t>
  </si>
  <si>
    <t>(2796/2268)</t>
  </si>
  <si>
    <t>16988</t>
  </si>
  <si>
    <t>Oracle: Total PGA inuse is too high</t>
  </si>
  <si>
    <t>Oracle: PGA总使用率量太高</t>
  </si>
  <si>
    <t>(2796/2269)</t>
  </si>
  <si>
    <t>16991</t>
  </si>
  <si>
    <t>Oracle: Number of REDO logs available for switching is too low</t>
  </si>
  <si>
    <t>Oracle: 可用于切换的REDO日志数太低</t>
  </si>
  <si>
    <t>(2796/2270)</t>
  </si>
  <si>
    <t>16986</t>
  </si>
  <si>
    <t>Oracle: Too many active sessions</t>
  </si>
  <si>
    <t>Oracle: 活动会话太多</t>
  </si>
  <si>
    <t>(2796/2271)</t>
  </si>
  <si>
    <t>Oracle: Too high database concurrency</t>
  </si>
  <si>
    <t>Oracle: 数据库并发性太高</t>
  </si>
  <si>
    <t>(2796/2272)</t>
  </si>
  <si>
    <t>16993</t>
  </si>
  <si>
    <t>Oracle: Too many locked sessions</t>
  </si>
  <si>
    <t>Oracle: 锁定的会话太多</t>
  </si>
  <si>
    <t>(2796/2273)</t>
  </si>
  <si>
    <t>16994</t>
  </si>
  <si>
    <t>Oracle: Too many sessions locked</t>
  </si>
  <si>
    <t>(2796/2274)</t>
  </si>
  <si>
    <t>16995</t>
  </si>
  <si>
    <t>Oracle: Shared pool free is too low</t>
  </si>
  <si>
    <t>Oracle: 可用共享池空间太低</t>
  </si>
  <si>
    <t>(2796/2275)</t>
  </si>
  <si>
    <t>16996</t>
  </si>
  <si>
    <t>Oracle: Host has been restarted</t>
  </si>
  <si>
    <t>Oracle: 主机已重新启动</t>
  </si>
  <si>
    <t>(2796/2276)</t>
  </si>
  <si>
    <t>16997</t>
  </si>
  <si>
    <t>Oracle: Failed to fetch info data</t>
  </si>
  <si>
    <t>Oracle: 无法获取信息数据</t>
  </si>
  <si>
    <t>(2796/2277)</t>
  </si>
  <si>
    <t>16998</t>
  </si>
  <si>
    <t>Oracle: Zabbix account will expire soon</t>
  </si>
  <si>
    <t>Oracle: Zabbix帐户即将到期</t>
  </si>
  <si>
    <t>(2796/2278)</t>
  </si>
  <si>
    <t>16999</t>
  </si>
  <si>
    <t>Oracle: Version has changed</t>
  </si>
  <si>
    <t>Oracle: 版本已变更</t>
  </si>
  <si>
    <t>(2796/2279)</t>
  </si>
  <si>
    <t>Oracle by Zabbix agent 2</t>
  </si>
  <si>
    <t>17175</t>
  </si>
  <si>
    <t>(2796/2280)</t>
  </si>
  <si>
    <t>17177</t>
  </si>
  <si>
    <t>(2796/2281)</t>
  </si>
  <si>
    <t>17178</t>
  </si>
  <si>
    <t>(2796/2282)</t>
  </si>
  <si>
    <t>17173</t>
  </si>
  <si>
    <t>(2796/2283)</t>
  </si>
  <si>
    <t>17176</t>
  </si>
  <si>
    <t>(2796/2284)</t>
  </si>
  <si>
    <t>17179</t>
  </si>
  <si>
    <t>(2796/2285)</t>
  </si>
  <si>
    <t>17180</t>
  </si>
  <si>
    <t>(2796/2286)</t>
  </si>
  <si>
    <t>17174</t>
  </si>
  <si>
    <t>(2796/2287)</t>
  </si>
  <si>
    <t>(2796/2288)</t>
  </si>
  <si>
    <t>17182</t>
  </si>
  <si>
    <t>(2796/2289)</t>
  </si>
  <si>
    <t>17183</t>
  </si>
  <si>
    <t>(2796/2290)</t>
  </si>
  <si>
    <t>17184</t>
  </si>
  <si>
    <t>(2796/2291)</t>
  </si>
  <si>
    <t>17186</t>
  </si>
  <si>
    <t>(2796/2292)</t>
  </si>
  <si>
    <t>17185</t>
  </si>
  <si>
    <t>(2796/2293)</t>
  </si>
  <si>
    <t>17187</t>
  </si>
  <si>
    <t>(2796/2294)</t>
  </si>
  <si>
    <t>17188</t>
  </si>
  <si>
    <t>(2796/2295)</t>
  </si>
  <si>
    <t>PFSense by SNMP</t>
  </si>
  <si>
    <t>21241</t>
  </si>
  <si>
    <t>(2796/2296)</t>
  </si>
  <si>
    <t>21242</t>
  </si>
  <si>
    <t>(2796/2297)</t>
  </si>
  <si>
    <t>21244</t>
  </si>
  <si>
    <t>(2796/2298)</t>
  </si>
  <si>
    <t>21250</t>
  </si>
  <si>
    <t>(2796/2299)</t>
  </si>
  <si>
    <t>21245</t>
  </si>
  <si>
    <t>PFSense: Source tracking table usage is high</t>
  </si>
  <si>
    <t>PFSense: 源跟踪表使用率高了</t>
  </si>
  <si>
    <t>(2796/2300)</t>
  </si>
  <si>
    <t>21243</t>
  </si>
  <si>
    <t>(2796/2301)</t>
  </si>
  <si>
    <t>21246</t>
  </si>
  <si>
    <t>PFSense: State table usage is high</t>
  </si>
  <si>
    <t>PFSense: 状态表使用率高了</t>
  </si>
  <si>
    <t>(2796/2302)</t>
  </si>
  <si>
    <t>PHP-FPM by HTTP</t>
  </si>
  <si>
    <t>(2796/2303)</t>
  </si>
  <si>
    <t>17099</t>
  </si>
  <si>
    <t>PHP-FPM: Manager changed</t>
  </si>
  <si>
    <t>PHP-FPM: 管理器换了</t>
  </si>
  <si>
    <t>(2796/2304)</t>
  </si>
  <si>
    <t>17097</t>
  </si>
  <si>
    <t>PHP-FPM: Queue utilization is high</t>
  </si>
  <si>
    <t>PHP-FPM: 队列利用率高了</t>
  </si>
  <si>
    <t>(2796/2305)</t>
  </si>
  <si>
    <t>17100</t>
  </si>
  <si>
    <t>(2796/2306)</t>
  </si>
  <si>
    <t>PHP-FPM: Pool has been restarted</t>
  </si>
  <si>
    <t>PHP-FPM: 池已重新启动</t>
  </si>
  <si>
    <t>(2796/2307)</t>
  </si>
  <si>
    <t>PHP-FPM: Failed to fetch info data</t>
  </si>
  <si>
    <t>PHP-FPM: 无法获取信息数据</t>
  </si>
  <si>
    <t>(2796/2308)</t>
  </si>
  <si>
    <t>PHP-FPM: Version has changed</t>
  </si>
  <si>
    <t>PHP-FPM: 版本已变更</t>
  </si>
  <si>
    <t>(2796/2309)</t>
  </si>
  <si>
    <t>PHP-FPM by Zabbix agent</t>
  </si>
  <si>
    <t>17096</t>
  </si>
  <si>
    <t>(2796/2310)</t>
  </si>
  <si>
    <t>17090</t>
  </si>
  <si>
    <t>(2796/2311)</t>
  </si>
  <si>
    <t>17091</t>
  </si>
  <si>
    <t>(2796/2312)</t>
  </si>
  <si>
    <t>(2796/2313)</t>
  </si>
  <si>
    <t>(2796/2314)</t>
  </si>
  <si>
    <t>(2796/2315)</t>
  </si>
  <si>
    <t>(2796/2316)</t>
  </si>
  <si>
    <t>(2796/2317)</t>
  </si>
  <si>
    <t>POP Service</t>
  </si>
  <si>
    <t>(2796/2318)</t>
  </si>
  <si>
    <t>PostgreSQL by ODBC</t>
  </si>
  <si>
    <t>23236</t>
  </si>
  <si>
    <t>PostgreSQL: Total number of connections is too high</t>
  </si>
  <si>
    <t>PostgreSQL: 连接总数太高</t>
  </si>
  <si>
    <t>(2796/2319)</t>
  </si>
  <si>
    <t>23233</t>
  </si>
  <si>
    <t>(2796/2320)</t>
  </si>
  <si>
    <t>23234</t>
  </si>
  <si>
    <t>(2796/2321)</t>
  </si>
  <si>
    <t>23235</t>
  </si>
  <si>
    <t>PostgreSQL: Service has been restarted</t>
  </si>
  <si>
    <t>PostgreSQL: 服务已重新启动</t>
  </si>
  <si>
    <t>(2796/2322)</t>
  </si>
  <si>
    <t>23322</t>
  </si>
  <si>
    <t>PostgreSQL: Version has changed</t>
  </si>
  <si>
    <t>PostgreSQL: 版本已变更</t>
  </si>
  <si>
    <t>(2796/2323)</t>
  </si>
  <si>
    <t>PostgreSQL by Zabbix agent</t>
  </si>
  <si>
    <t>PostgreSQL: Required checkpoints occur too frequently</t>
  </si>
  <si>
    <t>PostgreSQL: 所需的检查点出现得太频繁</t>
  </si>
  <si>
    <t>(2796/2324)</t>
  </si>
  <si>
    <t>(2796/2325)</t>
  </si>
  <si>
    <t>PostgreSQL: Cache hit ratio too low</t>
  </si>
  <si>
    <t>PostgreSQL: 缓存命中率太低</t>
  </si>
  <si>
    <t>(2796/2326)</t>
  </si>
  <si>
    <t>(2796/2327)</t>
  </si>
  <si>
    <t>PostgreSQL: Failed to get items</t>
  </si>
  <si>
    <t>PostgreSQL: 无法获取监控项</t>
  </si>
  <si>
    <t>(2796/2328)</t>
  </si>
  <si>
    <t>(2796/2329)</t>
  </si>
  <si>
    <t>PostgreSQL: Response too long</t>
  </si>
  <si>
    <t>PostgreSQL: 响应太长</t>
  </si>
  <si>
    <t>(2796/2330)</t>
  </si>
  <si>
    <t>PostgreSQL: Streaming lag with master is too high</t>
  </si>
  <si>
    <t>PostgreSQL: 与主节点的流式传输延迟过高</t>
  </si>
  <si>
    <t>(2796/2331)</t>
  </si>
  <si>
    <t>(2796/2332)</t>
  </si>
  <si>
    <t>(2796/2333)</t>
  </si>
  <si>
    <t>(2796/2334)</t>
  </si>
  <si>
    <t>PostgreSQL by Zabbix agent 2</t>
  </si>
  <si>
    <t>17014</t>
  </si>
  <si>
    <t>(2796/2335)</t>
  </si>
  <si>
    <t>22838</t>
  </si>
  <si>
    <t>(2796/2336)</t>
  </si>
  <si>
    <t>(2796/2337)</t>
  </si>
  <si>
    <t>17016</t>
  </si>
  <si>
    <t>(2796/2338)</t>
  </si>
  <si>
    <t>17017</t>
  </si>
  <si>
    <t>(2796/2339)</t>
  </si>
  <si>
    <t>23321</t>
  </si>
  <si>
    <t>(2796/2340)</t>
  </si>
  <si>
    <t>Proxmox VE by HTTP</t>
  </si>
  <si>
    <t>22590</t>
  </si>
  <si>
    <t>Proxmox: API service not available</t>
  </si>
  <si>
    <t>Proxmox: API服务不可用</t>
  </si>
  <si>
    <t>(2796/2341)</t>
  </si>
  <si>
    <t>QTech QSW by SNMP</t>
  </si>
  <si>
    <t>QTech QSW: High CPU utilization</t>
  </si>
  <si>
    <t>QTech QSW: 高CPU利用率</t>
  </si>
  <si>
    <t>(2796/2342)</t>
  </si>
  <si>
    <t>QTech QSW: Firmware has changed</t>
  </si>
  <si>
    <t>QTech QSW: 固件已变更</t>
  </si>
  <si>
    <t>(2796/2343)</t>
  </si>
  <si>
    <t>QTech QSW: Device has been replaced</t>
  </si>
  <si>
    <t>QTech QSW: 设备已更换</t>
  </si>
  <si>
    <t>(2796/2344)</t>
  </si>
  <si>
    <t>22335</t>
  </si>
  <si>
    <t>QTech QSW: High ICMP ping loss</t>
  </si>
  <si>
    <t>QTech QSW: 高ICMPping丢失</t>
  </si>
  <si>
    <t>(2796/2345)</t>
  </si>
  <si>
    <t>22334</t>
  </si>
  <si>
    <t>QTech QSW: Unavailable by ICMP ping</t>
  </si>
  <si>
    <t>QTech QSW: ICMPping不可用</t>
  </si>
  <si>
    <t>(2796/2346)</t>
  </si>
  <si>
    <t>22336</t>
  </si>
  <si>
    <t>QTech QSW: High ICMP ping response time</t>
  </si>
  <si>
    <t>QTech QSW: 高ICMPping响应时间</t>
  </si>
  <si>
    <t>(2796/2347)</t>
  </si>
  <si>
    <t>18127</t>
  </si>
  <si>
    <t>QTech QSW: High memory utilization</t>
  </si>
  <si>
    <t>QTech QSW: 高内存利用率</t>
  </si>
  <si>
    <t>(2796/2348)</t>
  </si>
  <si>
    <t>QTech QSW: Operating system description has changed</t>
  </si>
  <si>
    <t>QTech QSW: 操作系统描述已变更</t>
  </si>
  <si>
    <t>(2796/2349)</t>
  </si>
  <si>
    <t>22339</t>
  </si>
  <si>
    <t>QTech QSW: No SNMP data collection</t>
  </si>
  <si>
    <t>QTech QSW: 无SNMP数据收集</t>
  </si>
  <si>
    <t>(2796/2350)</t>
  </si>
  <si>
    <t>22337</t>
  </si>
  <si>
    <t>QTech QSW: System name has changed</t>
  </si>
  <si>
    <t>QTech QSW: 系统名称已变更</t>
  </si>
  <si>
    <t>(2796/2351)</t>
  </si>
  <si>
    <t>QTech QSW: Temperature is above critical threshold</t>
  </si>
  <si>
    <t>QTech QSW: 温度高于临界阈值</t>
  </si>
  <si>
    <t>(2796/2352)</t>
  </si>
  <si>
    <t>QTech QSW: Temperature is above warning threshold</t>
  </si>
  <si>
    <t>QTech QSW: 温度高于告警阈值</t>
  </si>
  <si>
    <t>(2796/2353)</t>
  </si>
  <si>
    <t>QTech QSW: Temperature is too low</t>
  </si>
  <si>
    <t>QTech QSW: 温度过低</t>
  </si>
  <si>
    <t>(2796/2354)</t>
  </si>
  <si>
    <t>22338</t>
  </si>
  <si>
    <t>QTech QSW: Host has been restarted</t>
  </si>
  <si>
    <t>QTech QSW: 主机已重新启动</t>
  </si>
  <si>
    <t>(2796/2355)</t>
  </si>
  <si>
    <t>RabbitMQ cluster by HTTP</t>
  </si>
  <si>
    <t>16259</t>
  </si>
  <si>
    <t>RabbitMQ: Failed to fetch overview data</t>
  </si>
  <si>
    <t>RabbitMQ: 无法获取概览数据</t>
  </si>
  <si>
    <t>(2796/2356)</t>
  </si>
  <si>
    <t>RabbitMQ cluster by Zabbix agent</t>
  </si>
  <si>
    <t>16442</t>
  </si>
  <si>
    <t>(2796/2357)</t>
  </si>
  <si>
    <t>RabbitMQ node by HTTP</t>
  </si>
  <si>
    <t>16452</t>
  </si>
  <si>
    <t>RabbitMQ: Free disk space alarm</t>
  </si>
  <si>
    <t>RabbitMQ: 空闲磁盘空间告警</t>
  </si>
  <si>
    <t>(2796/2358)</t>
  </si>
  <si>
    <t>16448</t>
  </si>
  <si>
    <t>RabbitMQ: Failed to fetch nodes data</t>
  </si>
  <si>
    <t>RabbitMQ: 无法获取节点数据</t>
  </si>
  <si>
    <t>(2796/2359)</t>
  </si>
  <si>
    <t>16265</t>
  </si>
  <si>
    <t>(2796/2360)</t>
  </si>
  <si>
    <t>16451</t>
  </si>
  <si>
    <t>RabbitMQ: Memory alarm</t>
  </si>
  <si>
    <t>RabbitMQ: 内存告警</t>
  </si>
  <si>
    <t>(2796/2361)</t>
  </si>
  <si>
    <t>16264</t>
  </si>
  <si>
    <t>RabbitMQ: Number of network partitions is too high</t>
  </si>
  <si>
    <t>RabbitMQ: 网络分区数太高</t>
  </si>
  <si>
    <t>(2796/2362)</t>
  </si>
  <si>
    <t>16450</t>
  </si>
  <si>
    <t>RabbitMQ: Version has changed</t>
  </si>
  <si>
    <t>RabbitMQ: 版本已变更</t>
  </si>
  <si>
    <t>(2796/2363)</t>
  </si>
  <si>
    <t>16269</t>
  </si>
  <si>
    <t>(2796/2364)</t>
  </si>
  <si>
    <t>16270</t>
  </si>
  <si>
    <t>RabbitMQ: Service response time is too high</t>
  </si>
  <si>
    <t>RabbitMQ: 服务响应时间太长</t>
  </si>
  <si>
    <t>(2796/2365)</t>
  </si>
  <si>
    <t>16268</t>
  </si>
  <si>
    <t>RabbitMQ: Host has been restarted</t>
  </si>
  <si>
    <t>RabbitMQ: 主机已重新启动</t>
  </si>
  <si>
    <t>(2796/2366)</t>
  </si>
  <si>
    <t>RabbitMQ node by Zabbix agent</t>
  </si>
  <si>
    <t>16447</t>
  </si>
  <si>
    <t>(2796/2367)</t>
  </si>
  <si>
    <t>16443</t>
  </si>
  <si>
    <t>(2796/2368)</t>
  </si>
  <si>
    <t>16251</t>
  </si>
  <si>
    <t>(2796/2369)</t>
  </si>
  <si>
    <t>16446</t>
  </si>
  <si>
    <t>(2796/2370)</t>
  </si>
  <si>
    <t>16250</t>
  </si>
  <si>
    <t>(2796/2371)</t>
  </si>
  <si>
    <t>16255</t>
  </si>
  <si>
    <t>(2796/2372)</t>
  </si>
  <si>
    <t>16445</t>
  </si>
  <si>
    <t>(2796/2373)</t>
  </si>
  <si>
    <t>16256</t>
  </si>
  <si>
    <t>(2796/2374)</t>
  </si>
  <si>
    <t>16257</t>
  </si>
  <si>
    <t>(2796/2375)</t>
  </si>
  <si>
    <t>16254</t>
  </si>
  <si>
    <t>(2796/2376)</t>
  </si>
  <si>
    <t>Redis by Zabbix agent 2</t>
  </si>
  <si>
    <t>(2796/2377)</t>
  </si>
  <si>
    <t>Redis: Total number of connected clients is too high</t>
  </si>
  <si>
    <t>Redis: 连接的客户端总数太高</t>
  </si>
  <si>
    <t>(2796/2378)</t>
  </si>
  <si>
    <t>(2796/2379)</t>
  </si>
  <si>
    <t>(2796/2380)</t>
  </si>
  <si>
    <t>Redis: Failed to fetch info data</t>
  </si>
  <si>
    <t>Redis: 获取信息数据失败</t>
  </si>
  <si>
    <t>(2796/2381)</t>
  </si>
  <si>
    <t>Redis: Memory fragmentation ratio is too high</t>
  </si>
  <si>
    <t>Redis: 内存碎片率太高</t>
  </si>
  <si>
    <t>(2796/2382)</t>
  </si>
  <si>
    <t>(2796/2383)</t>
  </si>
  <si>
    <t>(2796/2384)</t>
  </si>
  <si>
    <t>Redis: Version has changed</t>
  </si>
  <si>
    <t>Redis: 版本已变更</t>
  </si>
  <si>
    <t>(2796/2385)</t>
  </si>
  <si>
    <t>(2796/2386)</t>
  </si>
  <si>
    <t>Redis: Replication role has changed</t>
  </si>
  <si>
    <t>Redis: 复制角色已变更</t>
  </si>
  <si>
    <t>(2796/2387)</t>
  </si>
  <si>
    <t>Redis: Too many entries in the slowlog</t>
  </si>
  <si>
    <t>Redis: slowlog中的条目太多</t>
  </si>
  <si>
    <t>(2796/2388)</t>
  </si>
  <si>
    <t>Redis: Host has been restarted</t>
  </si>
  <si>
    <t>Redis: 主机已重启</t>
  </si>
  <si>
    <t>(2796/2389)</t>
  </si>
  <si>
    <t>Remote Zabbix proxy health</t>
  </si>
  <si>
    <t>15890</t>
  </si>
  <si>
    <t>Remote Zabbix proxy: More than {$ZABBIX.PROXY.UTIL.MAX:"configuration cache"}% used in the configuration cache</t>
  </si>
  <si>
    <t>Remote Zabbix proxy: 汉化作者建议增大配置文件 CacheSize 参数</t>
  </si>
  <si>
    <t>(2796/2390)</t>
  </si>
  <si>
    <t>23201</t>
  </si>
  <si>
    <t>Remote Zabbix proxy: Failed to fetch stats data</t>
  </si>
  <si>
    <t>Remote Zabbix proxy: 无法获取统计数据</t>
  </si>
  <si>
    <t>(2796/2391)</t>
  </si>
  <si>
    <t>15892</t>
  </si>
  <si>
    <t>Remote Zabbix proxy: More than {$ZABBIX.PROXY.UTIL.MAX:"index cache"}% used in the history index cache</t>
  </si>
  <si>
    <t>Remote Zabbix proxy: 汉化作者建议增大配置文件 HistoryIndexCacheSize 参数</t>
  </si>
  <si>
    <t>(2796/2392)</t>
  </si>
  <si>
    <t>15891</t>
  </si>
  <si>
    <t>Remote Zabbix proxy: More than {$ZABBIX.PROXY.UTIL.MAX:"history cache"}% used in the history cache</t>
  </si>
  <si>
    <t>Remote Zabbix proxy: 汉化作者建议增大配置文件 HistoryCacheSize 参数</t>
  </si>
  <si>
    <t>(2796/2393)</t>
  </si>
  <si>
    <t>15894</t>
  </si>
  <si>
    <t>(2796/2394)</t>
  </si>
  <si>
    <t>21269</t>
  </si>
  <si>
    <t>Remote Zabbix proxy: {HOST.NAME} has been restarted</t>
  </si>
  <si>
    <t>Remote Zabbix proxy: {HOST.NAME}已重新启动</t>
  </si>
  <si>
    <t>(2796/2395)</t>
  </si>
  <si>
    <t>Remote Zabbix proxy: Utilization of availability manager processes is high</t>
  </si>
  <si>
    <t>Remote Zabbix proxy: 汉化作者建议增大配置文件UnavailableDelay,UnreachableDelay,UnreachablePeriod参数,注意倍率是3</t>
  </si>
  <si>
    <t>(2796/2396)</t>
  </si>
  <si>
    <t>15895</t>
  </si>
  <si>
    <t>Remote Zabbix proxy: Utilization of configuration syncer processes is high</t>
  </si>
  <si>
    <t>(2796/2397)</t>
  </si>
  <si>
    <t>15896</t>
  </si>
  <si>
    <t>Remote Zabbix proxy: Utilization of data sender processes is high</t>
  </si>
  <si>
    <t>(2796/2398)</t>
  </si>
  <si>
    <t>15897</t>
  </si>
  <si>
    <t>Remote Zabbix proxy: Utilization of discoverer processes is high</t>
  </si>
  <si>
    <t>(2796/2399)</t>
  </si>
  <si>
    <t>15898</t>
  </si>
  <si>
    <t>Remote Zabbix proxy: Utilization of heartbeat sender processes is high</t>
  </si>
  <si>
    <t>(2796/2400)</t>
  </si>
  <si>
    <t>Remote Zabbix proxy: Utilization of history poller processes is high</t>
  </si>
  <si>
    <t>Remote Zabbix proxy: 汉化作者建议增大配置文件StartHistoryPollers参数</t>
  </si>
  <si>
    <t>(2796/2401)</t>
  </si>
  <si>
    <t>15899</t>
  </si>
  <si>
    <t>Remote Zabbix proxy: Utilization of history syncer processes is high</t>
  </si>
  <si>
    <t>(2796/2402)</t>
  </si>
  <si>
    <t>15900</t>
  </si>
  <si>
    <t>Remote Zabbix proxy: Utilization of housekeeper processes is high</t>
  </si>
  <si>
    <t>Remote Zabbix proxy: 汉化作者建议对mysql数据库分区或增大配置文件MaxHousekeeperDelete,HousekeepingFrequency参数</t>
  </si>
  <si>
    <t>(2796/2403)</t>
  </si>
  <si>
    <t>15901</t>
  </si>
  <si>
    <t>Remote Zabbix proxy: Utilization of http poller processes is high</t>
  </si>
  <si>
    <t>(2796/2404)</t>
  </si>
  <si>
    <t>15902</t>
  </si>
  <si>
    <t>Remote Zabbix proxy: Utilization of icmp pinger processes is high</t>
  </si>
  <si>
    <t>(2796/2405)</t>
  </si>
  <si>
    <t>15903</t>
  </si>
  <si>
    <t>Remote Zabbix proxy: Utilization of ipmi manager processes is high</t>
  </si>
  <si>
    <t>(2796/2406)</t>
  </si>
  <si>
    <t>15904</t>
  </si>
  <si>
    <t>Remote Zabbix proxy: Utilization of ipmi poller processes is high</t>
  </si>
  <si>
    <t>(2796/2407)</t>
  </si>
  <si>
    <t>15905</t>
  </si>
  <si>
    <t>Remote Zabbix proxy: Utilization of java poller processes is high</t>
  </si>
  <si>
    <t>(2796/2408)</t>
  </si>
  <si>
    <t>21200</t>
  </si>
  <si>
    <t>Remote Zabbix proxy: Utilization of ODBC poller processes is high</t>
  </si>
  <si>
    <t>Remote Zabbix proxy: 汉化作者建议增大配置文件StartODBCPollers参数</t>
  </si>
  <si>
    <t>(2796/2409)</t>
  </si>
  <si>
    <t>15906</t>
  </si>
  <si>
    <t>Remote Zabbix proxy: Utilization of poller processes is high</t>
  </si>
  <si>
    <t>(2796/2410)</t>
  </si>
  <si>
    <t>21267</t>
  </si>
  <si>
    <t>Remote Zabbix proxy: Utilization of preprocessing manager processes is high</t>
  </si>
  <si>
    <t>(2796/2411)</t>
  </si>
  <si>
    <t>21268</t>
  </si>
  <si>
    <t>Remote Zabbix proxy: Utilization of preprocessing worker processes is high</t>
  </si>
  <si>
    <t>(2796/2412)</t>
  </si>
  <si>
    <t>15907</t>
  </si>
  <si>
    <t>Remote Zabbix proxy: Utilization of self-monitoring processes is high</t>
  </si>
  <si>
    <t>(2796/2413)</t>
  </si>
  <si>
    <t>15908</t>
  </si>
  <si>
    <t>Remote Zabbix proxy: Utilization of snmp trapper processes is high</t>
  </si>
  <si>
    <t>(2796/2414)</t>
  </si>
  <si>
    <t>15909</t>
  </si>
  <si>
    <t>Remote Zabbix proxy: Utilization of task manager processes is high</t>
  </si>
  <si>
    <t>(2796/2415)</t>
  </si>
  <si>
    <t>15910</t>
  </si>
  <si>
    <t>Remote Zabbix proxy: Utilization of trapper processes is high</t>
  </si>
  <si>
    <t>(2796/2416)</t>
  </si>
  <si>
    <t>15911</t>
  </si>
  <si>
    <t>Remote Zabbix proxy: Utilization of unreachable poller processes is high</t>
  </si>
  <si>
    <t>(2796/2417)</t>
  </si>
  <si>
    <t>15912</t>
  </si>
  <si>
    <t>Remote Zabbix proxy: Utilization of vmware collector processes is high</t>
  </si>
  <si>
    <t>(2796/2418)</t>
  </si>
  <si>
    <t>16918</t>
  </si>
  <si>
    <t>Remote Zabbix proxy: Version has changed</t>
  </si>
  <si>
    <t>Remote Zabbix proxy: 版本已变更</t>
  </si>
  <si>
    <t>(2796/2419)</t>
  </si>
  <si>
    <t>15893</t>
  </si>
  <si>
    <t>Remote Zabbix proxy: More than {$ZABBIX.PROXY.UTIL.MAX:"vmware cache"}% used in the vmware cache</t>
  </si>
  <si>
    <t>Remote Zabbix proxy: 汉化作者建议增大配置文件 VMwareCacheSize 参数</t>
  </si>
  <si>
    <t>(2796/2420)</t>
  </si>
  <si>
    <t>Remote Zabbix server health</t>
  </si>
  <si>
    <t>15857</t>
  </si>
  <si>
    <t>Remote Zabbix server: More than {$ZABBIX.SERVER.UTIL.MAX:"configuration cache"}% used in the configuration cache</t>
  </si>
  <si>
    <t>Remote Zabbix server: 汉化作者建议增大配置文件 CacheSize 参数</t>
  </si>
  <si>
    <t>(2796/2421)</t>
  </si>
  <si>
    <t>23202</t>
  </si>
  <si>
    <t>Remote Zabbix server: Failed to fetch stats data</t>
  </si>
  <si>
    <t>Remote Zabbix server: 无法获取统计数据</t>
  </si>
  <si>
    <t>(2796/2422)</t>
  </si>
  <si>
    <t>15859</t>
  </si>
  <si>
    <t>Remote Zabbix server: More than {$ZABBIX.SERVER.UTIL.MAX:"index cache"}% used in the history index cache</t>
  </si>
  <si>
    <t>Remote Zabbix server: 汉化作者建议增大配置文件 HistoryIndexCacheSize 参数</t>
  </si>
  <si>
    <t>(2796/2423)</t>
  </si>
  <si>
    <t>15858</t>
  </si>
  <si>
    <t>Remote Zabbix server: More than {$ZABBIX.SERVER.UTIL.MAX:"history cache"}% used in the history cache</t>
  </si>
  <si>
    <t>Remote Zabbix server: 汉化作者建议增大配置文件 HistoryCacheSize 参数</t>
  </si>
  <si>
    <t>(2796/2424)</t>
  </si>
  <si>
    <t>15863</t>
  </si>
  <si>
    <t>(2796/2425)</t>
  </si>
  <si>
    <t>15860</t>
  </si>
  <si>
    <t>Remote Zabbix server: More than {$ZABBIX.SERVER.UTIL.MAX:"trend cache"}% used in the trends cache</t>
  </si>
  <si>
    <t>Remote Zabbix server: 汉化作者建议增大配置文件 TrendCacheSize 参数</t>
  </si>
  <si>
    <t>(2796/2426)</t>
  </si>
  <si>
    <t>15865</t>
  </si>
  <si>
    <t>Remote Zabbix server: Utilization of alert manager processes is high</t>
  </si>
  <si>
    <t>(2796/2427)</t>
  </si>
  <si>
    <t>16272</t>
  </si>
  <si>
    <t>Remote Zabbix server: Utilization of alert syncer processes is high</t>
  </si>
  <si>
    <t>(2796/2428)</t>
  </si>
  <si>
    <t>15864</t>
  </si>
  <si>
    <t>Remote Zabbix server: Utilization of alerter processes is high</t>
  </si>
  <si>
    <t>(2796/2429)</t>
  </si>
  <si>
    <t>Remote Zabbix server: Utilization of availability manager processes is high</t>
  </si>
  <si>
    <t>Remote Zabbix server: 汉化作者建议增大配置文件UnavailableDelay,UnreachableDelay,UnreachablePeriod参数,注意倍率是3</t>
  </si>
  <si>
    <t>(2796/2430)</t>
  </si>
  <si>
    <t>15866</t>
  </si>
  <si>
    <t>Remote Zabbix server: Utilization of configuration syncer processes is high</t>
  </si>
  <si>
    <t>(2796/2431)</t>
  </si>
  <si>
    <t>15867</t>
  </si>
  <si>
    <t>Remote Zabbix server: Utilization of discoverer processes is high</t>
  </si>
  <si>
    <t>(2796/2432)</t>
  </si>
  <si>
    <t>15868</t>
  </si>
  <si>
    <t>Remote Zabbix server: Utilization of escalator processes is high</t>
  </si>
  <si>
    <t>(2796/2433)</t>
  </si>
  <si>
    <t>Remote Zabbix server: Utilization of history poller processes is high</t>
  </si>
  <si>
    <t>Remote Zabbix server: 汉化作者建议增大配置文件StartHistoryPollers参数</t>
  </si>
  <si>
    <t>(2796/2434)</t>
  </si>
  <si>
    <t>15869</t>
  </si>
  <si>
    <t>Remote Zabbix server: Utilization of history syncer processes is high</t>
  </si>
  <si>
    <t>(2796/2435)</t>
  </si>
  <si>
    <t>15870</t>
  </si>
  <si>
    <t>Remote Zabbix server: Utilization of housekeeper processes is high</t>
  </si>
  <si>
    <t>Remote Zabbix server: 汉化作者建议对mysql数据库分区或增大配置文件MaxHousekeeperDelete,HousekeepingFrequency参数</t>
  </si>
  <si>
    <t>(2796/2436)</t>
  </si>
  <si>
    <t>15871</t>
  </si>
  <si>
    <t>Remote Zabbix server: Utilization of http poller processes is high</t>
  </si>
  <si>
    <t>(2796/2437)</t>
  </si>
  <si>
    <t>15872</t>
  </si>
  <si>
    <t>Remote Zabbix server: Utilization of icmp pinger processes is high</t>
  </si>
  <si>
    <t>(2796/2438)</t>
  </si>
  <si>
    <t>15873</t>
  </si>
  <si>
    <t>Remote Zabbix server: Utilization of ipmi manager processes is high</t>
  </si>
  <si>
    <t>(2796/2439)</t>
  </si>
  <si>
    <t>15874</t>
  </si>
  <si>
    <t>Remote Zabbix server: Utilization of ipmi poller processes is high</t>
  </si>
  <si>
    <t>(2796/2440)</t>
  </si>
  <si>
    <t>15875</t>
  </si>
  <si>
    <t>Remote Zabbix server: Utilization of java poller processes is high</t>
  </si>
  <si>
    <t>(2796/2441)</t>
  </si>
  <si>
    <t>15888</t>
  </si>
  <si>
    <t>Remote Zabbix server: Utilization of LLD manager processes is high</t>
  </si>
  <si>
    <t>(2796/2442)</t>
  </si>
  <si>
    <t>15889</t>
  </si>
  <si>
    <t>Remote Zabbix server: Utilization of LLD worker processes is high</t>
  </si>
  <si>
    <t>(2796/2443)</t>
  </si>
  <si>
    <t>21199</t>
  </si>
  <si>
    <t>Remote Zabbix server: Utilization of ODBC poller processes is high</t>
  </si>
  <si>
    <t>Remote Zabbix server: 汉化作者建议增大配置文件StartODBCPollers参数</t>
  </si>
  <si>
    <t>(2796/2444)</t>
  </si>
  <si>
    <t>15876</t>
  </si>
  <si>
    <t>Remote Zabbix server: Utilization of poller processes is high</t>
  </si>
  <si>
    <t>(2796/2445)</t>
  </si>
  <si>
    <t>15877</t>
  </si>
  <si>
    <t>Remote Zabbix server: Utilization of preprocessing manager processes is high</t>
  </si>
  <si>
    <t>(2796/2446)</t>
  </si>
  <si>
    <t>15878</t>
  </si>
  <si>
    <t>Remote Zabbix server: Utilization of preprocessing worker processes is high</t>
  </si>
  <si>
    <t>(2796/2447)</t>
  </si>
  <si>
    <t>15879</t>
  </si>
  <si>
    <t>Remote Zabbix server: Utilization of proxy poller processes is high</t>
  </si>
  <si>
    <t>(2796/2448)</t>
  </si>
  <si>
    <t>Remote Zabbix server: Utilization of report manager processes is high</t>
  </si>
  <si>
    <t>Remote Zabbix server: 汉化作者建议增大配置文件StartReportWriters参数</t>
  </si>
  <si>
    <t>(2796/2449)</t>
  </si>
  <si>
    <t>18529</t>
  </si>
  <si>
    <t>Remote Zabbix server: Utilization of report writer processes is high</t>
  </si>
  <si>
    <t>(2796/2450)</t>
  </si>
  <si>
    <t>15880</t>
  </si>
  <si>
    <t>Remote Zabbix server: Utilization of self-monitoring processes is high</t>
  </si>
  <si>
    <t>(2796/2451)</t>
  </si>
  <si>
    <t>18984</t>
  </si>
  <si>
    <t>Remote Zabbix server: Utilization of service manager processes is high</t>
  </si>
  <si>
    <t>(2796/2452)</t>
  </si>
  <si>
    <t>15881</t>
  </si>
  <si>
    <t>Remote Zabbix server: Utilization of snmp trapper processes is high</t>
  </si>
  <si>
    <t>(2796/2453)</t>
  </si>
  <si>
    <t>15882</t>
  </si>
  <si>
    <t>Remote Zabbix server: Utilization of task manager processes is high</t>
  </si>
  <si>
    <t>(2796/2454)</t>
  </si>
  <si>
    <t>15883</t>
  </si>
  <si>
    <t>Remote Zabbix server: Utilization of timer processes is high</t>
  </si>
  <si>
    <t>(2796/2455)</t>
  </si>
  <si>
    <t>15884</t>
  </si>
  <si>
    <t>Remote Zabbix server: Utilization of trapper processes is high</t>
  </si>
  <si>
    <t>(2796/2456)</t>
  </si>
  <si>
    <t>18985</t>
  </si>
  <si>
    <t>Remote Zabbix server: Utilization of trigger housekeeper processes is high</t>
  </si>
  <si>
    <t>(2796/2457)</t>
  </si>
  <si>
    <t>15885</t>
  </si>
  <si>
    <t>Remote Zabbix server: Utilization of unreachable poller processes is high</t>
  </si>
  <si>
    <t>(2796/2458)</t>
  </si>
  <si>
    <t>15887</t>
  </si>
  <si>
    <t>Remote Zabbix server: Utilization of vmware collector processes is high</t>
  </si>
  <si>
    <t>(2796/2459)</t>
  </si>
  <si>
    <t>15886</t>
  </si>
  <si>
    <t>(2796/2460)</t>
  </si>
  <si>
    <t>15862</t>
  </si>
  <si>
    <t>Remote Zabbix server: More than {$ZABBIX.SERVER.UTIL.MAX:"value cache"}% used in the value cache</t>
  </si>
  <si>
    <t>Remote Zabbix server: 汉化作者建议增大配置文件 ValueCacheSize 参数</t>
  </si>
  <si>
    <t>(2796/2461)</t>
  </si>
  <si>
    <t>16919</t>
  </si>
  <si>
    <t>Remote Zabbix server: Version has changed</t>
  </si>
  <si>
    <t>Remote Zabbix server: 版本已变更</t>
  </si>
  <si>
    <t>(2796/2462)</t>
  </si>
  <si>
    <t>15861</t>
  </si>
  <si>
    <t>Remote Zabbix server: More than {$ZABBIX.SERVER.UTIL.MAX:"vmware cache"}% used in the vmware cache</t>
  </si>
  <si>
    <t>Remote Zabbix server: 汉化作者建议增大配置文件 VMwareCacheSize 参数</t>
  </si>
  <si>
    <t>(2796/2463)</t>
  </si>
  <si>
    <t>SMTP Service</t>
  </si>
  <si>
    <t>(2796/2464)</t>
  </si>
  <si>
    <t>SSH Service</t>
  </si>
  <si>
    <t>(2796/2465)</t>
  </si>
  <si>
    <t>Solaris by Zabbix agent</t>
  </si>
  <si>
    <t>Solaris: Lack of available memory on server</t>
  </si>
  <si>
    <t>Solaris: 服务器上缺少可用内存</t>
  </si>
  <si>
    <t>(2796/2466)</t>
  </si>
  <si>
    <t>Solaris: /etc/passwd has been changed</t>
  </si>
  <si>
    <t>Solaris: /etc/passwd已变更</t>
  </si>
  <si>
    <t>(2796/2467)</t>
  </si>
  <si>
    <t>Solaris: Disk I/O is overloaded</t>
  </si>
  <si>
    <t>Solaris: 磁盘I/O过载</t>
  </si>
  <si>
    <t>(2796/2468)</t>
  </si>
  <si>
    <t>Solaris: Lack of free swap space</t>
  </si>
  <si>
    <t>Solaris: 缺少swap分区剩余量</t>
  </si>
  <si>
    <t>(2796/2469)</t>
  </si>
  <si>
    <t>Solaris: Hostname was changed</t>
  </si>
  <si>
    <t>Solaris: 主机名已变更</t>
  </si>
  <si>
    <t>(2796/2470)</t>
  </si>
  <si>
    <t>Solaris: Configured max number of processes is too low</t>
  </si>
  <si>
    <t>Solaris: 配置的最大进程数太低</t>
  </si>
  <si>
    <t>(2796/2471)</t>
  </si>
  <si>
    <t>Solaris: Too many processes</t>
  </si>
  <si>
    <t>Solaris: 进程太多</t>
  </si>
  <si>
    <t>(2796/2472)</t>
  </si>
  <si>
    <t>Solaris: Too many processes running</t>
  </si>
  <si>
    <t>Solaris: 运行的进程太多</t>
  </si>
  <si>
    <t>(2796/2473)</t>
  </si>
  <si>
    <t>Solaris: Processor load is too high</t>
  </si>
  <si>
    <t>Solaris: 处理器负载太高</t>
  </si>
  <si>
    <t>(2796/2474)</t>
  </si>
  <si>
    <t>Solaris: Host information was changed</t>
  </si>
  <si>
    <t>Solaris: 主机信息已变更</t>
  </si>
  <si>
    <t>(2796/2475)</t>
  </si>
  <si>
    <t>Solaris: Server has just been restarted</t>
  </si>
  <si>
    <t>Solaris: 服务器刚刚重新启动</t>
  </si>
  <si>
    <t>(2796/2476)</t>
  </si>
  <si>
    <t>22456</t>
  </si>
  <si>
    <t>Solaris: Zabbix agent is not available</t>
  </si>
  <si>
    <t>Solaris: Zabbix agent 不可用</t>
  </si>
  <si>
    <t>(2796/2477)</t>
  </si>
  <si>
    <t>Squid by SNMP</t>
  </si>
  <si>
    <t>Squid: Swap usage is more than high watermark</t>
  </si>
  <si>
    <t>Squid: 交换使用率量超太高水印</t>
  </si>
  <si>
    <t>(2796/2478)</t>
  </si>
  <si>
    <t>Squid: Swap usage is more than low watermark</t>
  </si>
  <si>
    <t>Squid: 交换使用率不仅仅是低水印</t>
  </si>
  <si>
    <t>(2796/2479)</t>
  </si>
  <si>
    <t>Squid: Squid is running out of file descriptors</t>
  </si>
  <si>
    <t>Squid: Squid的文件描述符用完了</t>
  </si>
  <si>
    <t>(2796/2480)</t>
  </si>
  <si>
    <t>Squid: High sys page faults rate</t>
  </si>
  <si>
    <t>Squid: 系统页面错误率高</t>
  </si>
  <si>
    <t>(2796/2481)</t>
  </si>
  <si>
    <t>(2796/2482)</t>
  </si>
  <si>
    <t>Squid: Squid has been restarted</t>
  </si>
  <si>
    <t>Squid: Squid已重新启动</t>
  </si>
  <si>
    <t>(2796/2483)</t>
  </si>
  <si>
    <t>(2796/2484)</t>
  </si>
  <si>
    <t>Supermicro Aten by SNMP</t>
  </si>
  <si>
    <t>22551</t>
  </si>
  <si>
    <t>Supermicro Aten: Unavailable by ICMP ping</t>
  </si>
  <si>
    <t>Supermicro Aten: ICMPping不可用</t>
  </si>
  <si>
    <t>(2796/2485)</t>
  </si>
  <si>
    <t>22552</t>
  </si>
  <si>
    <t>Supermicro Aten: High ICMP ping loss</t>
  </si>
  <si>
    <t>Supermicro Aten: 高ICMPping丢失</t>
  </si>
  <si>
    <t>(2796/2486)</t>
  </si>
  <si>
    <t>22553</t>
  </si>
  <si>
    <t>Supermicro Aten: High ICMP ping response time</t>
  </si>
  <si>
    <t>Supermicro Aten: 高ICMPping响应时间</t>
  </si>
  <si>
    <t>(2796/2487)</t>
  </si>
  <si>
    <t>22555</t>
  </si>
  <si>
    <t>Supermicro Aten: Host has been restarted</t>
  </si>
  <si>
    <t>Supermicro Aten: 主机已重新启动</t>
  </si>
  <si>
    <t>(2796/2488)</t>
  </si>
  <si>
    <t>22554</t>
  </si>
  <si>
    <t>Supermicro Aten: System name has changed</t>
  </si>
  <si>
    <t>Supermicro Aten: 系统名称已变更</t>
  </si>
  <si>
    <t>(2796/2489)</t>
  </si>
  <si>
    <t>22556</t>
  </si>
  <si>
    <t>Supermicro Aten: No SNMP data collection</t>
  </si>
  <si>
    <t>Supermicro Aten: 无SNMP数据收集</t>
  </si>
  <si>
    <t>(2796/2490)</t>
  </si>
  <si>
    <t>TP-LINK by SNMP</t>
  </si>
  <si>
    <t>TP-LINK: Firmware has changed</t>
  </si>
  <si>
    <t>TP-LINK: 固件已变更</t>
  </si>
  <si>
    <t>(2796/2491)</t>
  </si>
  <si>
    <t>TP-LINK: Device has been replaced</t>
  </si>
  <si>
    <t>TP-LINK: 设备已更换</t>
  </si>
  <si>
    <t>(2796/2492)</t>
  </si>
  <si>
    <t>22346</t>
  </si>
  <si>
    <t>TP-LINK: High ICMP ping loss</t>
  </si>
  <si>
    <t>TP-LINK: 高ICMPping丢失</t>
  </si>
  <si>
    <t>(2796/2493)</t>
  </si>
  <si>
    <t>22345</t>
  </si>
  <si>
    <t>TP-LINK: Unavailable by ICMP ping</t>
  </si>
  <si>
    <t>TP-LINK: ICMPping不可用</t>
  </si>
  <si>
    <t>(2796/2494)</t>
  </si>
  <si>
    <t>22347</t>
  </si>
  <si>
    <t>TP-LINK: High ICMP ping response time</t>
  </si>
  <si>
    <t>TP-LINK: 高ICMPping响应时间</t>
  </si>
  <si>
    <t>(2796/2495)</t>
  </si>
  <si>
    <t>22350</t>
  </si>
  <si>
    <t>TP-LINK: No SNMP data collection</t>
  </si>
  <si>
    <t>TP-LINK: 无SNMP数据收集</t>
  </si>
  <si>
    <t>(2796/2496)</t>
  </si>
  <si>
    <t>22348</t>
  </si>
  <si>
    <t>TP-LINK: System name has changed</t>
  </si>
  <si>
    <t>TP-LINK: 系统名称已变更</t>
  </si>
  <si>
    <t>(2796/2497)</t>
  </si>
  <si>
    <t>22349</t>
  </si>
  <si>
    <t>TP-LINK: Host has been restarted</t>
  </si>
  <si>
    <t>TP-LINK: 主机已重新启动</t>
  </si>
  <si>
    <t>(2796/2498)</t>
  </si>
  <si>
    <t>Telnet Service</t>
  </si>
  <si>
    <t>(2796/2499)</t>
  </si>
  <si>
    <t>TiDB PD by HTTP</t>
  </si>
  <si>
    <t>18549</t>
  </si>
  <si>
    <t>PD: Instance is not responding</t>
  </si>
  <si>
    <t>PD: 实例没有响应</t>
  </si>
  <si>
    <t>(2796/2500)</t>
  </si>
  <si>
    <t>18550</t>
  </si>
  <si>
    <t>PD: has been restarted</t>
  </si>
  <si>
    <t>PD: 已重新启动</t>
  </si>
  <si>
    <t>(2796/2501)</t>
  </si>
  <si>
    <t>18551</t>
  </si>
  <si>
    <t>PD: Version has changed</t>
  </si>
  <si>
    <t>PD: 版本已变更</t>
  </si>
  <si>
    <t>(2796/2502)</t>
  </si>
  <si>
    <t>TiDB TiKV by HTTP</t>
  </si>
  <si>
    <t>TiKV: Too many coprocessor request error</t>
  </si>
  <si>
    <t>TiKV: 协处理器请求错误太多</t>
  </si>
  <si>
    <t>(2796/2503)</t>
  </si>
  <si>
    <t>22557</t>
  </si>
  <si>
    <t>TiKV: Too many pending commands</t>
  </si>
  <si>
    <t>TiKV: 挂起的命令太多</t>
  </si>
  <si>
    <t>(2796/2504)</t>
  </si>
  <si>
    <t>TiKV: Too many pending tasks</t>
  </si>
  <si>
    <t>TiKV: 挂起任务太多</t>
  </si>
  <si>
    <t>(2796/2505)</t>
  </si>
  <si>
    <t>TiKV: has been restarted</t>
  </si>
  <si>
    <t>TiKV: 已重新启动</t>
  </si>
  <si>
    <t>(2796/2506)</t>
  </si>
  <si>
    <t>TiDB by HTTP</t>
  </si>
  <si>
    <t>18559</t>
  </si>
  <si>
    <t>TiDB: Too many DDL waiting jobs</t>
  </si>
  <si>
    <t>TiDB: DDL等待任务太多</t>
  </si>
  <si>
    <t>(2796/2507)</t>
  </si>
  <si>
    <t>TiDB: Heap memory usage is too high</t>
  </si>
  <si>
    <t>TiDB: 堆内存使用率太高</t>
  </si>
  <si>
    <t>(2796/2508)</t>
  </si>
  <si>
    <t>TiDB: Too few keep alive operations</t>
  </si>
  <si>
    <t>TiDB: 保活操作太少</t>
  </si>
  <si>
    <t>(2796/2509)</t>
  </si>
  <si>
    <t>TiDB: Too many schema lease errors</t>
  </si>
  <si>
    <t>TiDB: 架构租用错误太多</t>
  </si>
  <si>
    <t>(2796/2510)</t>
  </si>
  <si>
    <t>18558</t>
  </si>
  <si>
    <t>TiDB: Current number of open files is too high</t>
  </si>
  <si>
    <t>TiDB: 当前打开的文件数太高</t>
  </si>
  <si>
    <t>(2796/2511)</t>
  </si>
  <si>
    <t>(2796/2512)</t>
  </si>
  <si>
    <t>18566</t>
  </si>
  <si>
    <t>TiDB: There are panicked TiDB threads</t>
  </si>
  <si>
    <t>TiDB: 有恐慌的TiDB线程</t>
  </si>
  <si>
    <t>(2796/2513)</t>
  </si>
  <si>
    <t>18565</t>
  </si>
  <si>
    <t>TiDB: Instance is not responding</t>
  </si>
  <si>
    <t>TiDB: 实例没有响应</t>
  </si>
  <si>
    <t>(2796/2514)</t>
  </si>
  <si>
    <t>18567</t>
  </si>
  <si>
    <t>TiDB: Too many region related errors</t>
  </si>
  <si>
    <t>TiDB: 与区域相关的错误太多</t>
  </si>
  <si>
    <t>(2796/2515)</t>
  </si>
  <si>
    <t>TiDB: Too many time jump backs</t>
  </si>
  <si>
    <t>TiDB: 时间倒退太多</t>
  </si>
  <si>
    <t>(2796/2516)</t>
  </si>
  <si>
    <t>TiDB: has been restarted</t>
  </si>
  <si>
    <t>TiDB: 已重新启动</t>
  </si>
  <si>
    <t>(2796/2517)</t>
  </si>
  <si>
    <t>TiDB: Version has changed</t>
  </si>
  <si>
    <t>TiDB: 版本已变更</t>
  </si>
  <si>
    <t>(2796/2518)</t>
  </si>
  <si>
    <t>Travis CI by HTTP</t>
  </si>
  <si>
    <t>Travis: Service is unavailable</t>
  </si>
  <si>
    <t>Travis: 服务不可用</t>
  </si>
  <si>
    <t>(2796/2519)</t>
  </si>
  <si>
    <t>Travis: Failed to fetch home page</t>
  </si>
  <si>
    <t>Travis: 无法获取主页</t>
  </si>
  <si>
    <t>(2796/2520)</t>
  </si>
  <si>
    <t>TrueNAS CORE by SNMP</t>
  </si>
  <si>
    <t>22617</t>
  </si>
  <si>
    <t>TrueNAS CORE: Lack of available memory</t>
  </si>
  <si>
    <t>TrueNAS CORE: 可用内存不足</t>
  </si>
  <si>
    <t>(2796/2521)</t>
  </si>
  <si>
    <t>22616</t>
  </si>
  <si>
    <t>TrueNAS CORE: High swap space usage</t>
  </si>
  <si>
    <t>TrueNAS CORE: 交换空间使用率高</t>
  </si>
  <si>
    <t>(2796/2522)</t>
  </si>
  <si>
    <t>22610</t>
  </si>
  <si>
    <t>TrueNAS CORE: High ICMP ping loss</t>
  </si>
  <si>
    <t>TrueNAS CORE: ICMP ping丢包率高</t>
  </si>
  <si>
    <t>(2796/2523)</t>
  </si>
  <si>
    <t>22609</t>
  </si>
  <si>
    <t>TrueNAS CORE: Unavailable by ICMP ping</t>
  </si>
  <si>
    <t>TrueNAS CORE: 无法通过ICMP ping访问</t>
  </si>
  <si>
    <t>(2796/2524)</t>
  </si>
  <si>
    <t>22611</t>
  </si>
  <si>
    <t>TrueNAS CORE: High ICMP ping response time</t>
  </si>
  <si>
    <t>TrueNAS CORE: ICMP ping响应时间长</t>
  </si>
  <si>
    <t>(2796/2525)</t>
  </si>
  <si>
    <t>22618</t>
  </si>
  <si>
    <t>TrueNAS CORE: Load average is too high</t>
  </si>
  <si>
    <t>TrueNAS CORE: 负载平均值过高</t>
  </si>
  <si>
    <t>(2796/2526)</t>
  </si>
  <si>
    <t>22614</t>
  </si>
  <si>
    <t>TrueNAS CORE: High memory utilization</t>
  </si>
  <si>
    <t>TrueNAS CORE: 内存利用率高</t>
  </si>
  <si>
    <t>(2796/2527)</t>
  </si>
  <si>
    <t>22615</t>
  </si>
  <si>
    <t>TrueNAS CORE: No SNMP data collection</t>
  </si>
  <si>
    <t>TrueNAS CORE: 未收集SNMP数据</t>
  </si>
  <si>
    <t>(2796/2528)</t>
  </si>
  <si>
    <t>22612</t>
  </si>
  <si>
    <t>TrueNAS CORE: System name has changed</t>
  </si>
  <si>
    <t>TrueNAS CORE: 系统名称已更改</t>
  </si>
  <si>
    <t>(2796/2529)</t>
  </si>
  <si>
    <t>22613</t>
  </si>
  <si>
    <t>TrueNAS CORE: Host has been restarted</t>
  </si>
  <si>
    <t>TrueNAS CORE: 主机已重新启动</t>
  </si>
  <si>
    <t>(2796/2530)</t>
  </si>
  <si>
    <t>Ubiquiti AirOS by SNMP</t>
  </si>
  <si>
    <t>Ubiquiti AirOS: High CPU utilization</t>
  </si>
  <si>
    <t>Ubiquiti AirOS: 高CPU利用率</t>
  </si>
  <si>
    <t>(2796/2531)</t>
  </si>
  <si>
    <t>Ubiquiti AirOS: Firmware has changed</t>
  </si>
  <si>
    <t>Ubiquiti AirOS: 固件已变更</t>
  </si>
  <si>
    <t>(2796/2532)</t>
  </si>
  <si>
    <t>22356</t>
  </si>
  <si>
    <t>Ubiquiti AirOS: High ICMP ping loss</t>
  </si>
  <si>
    <t>Ubiquiti AirOS: 高ICMPping丢失</t>
  </si>
  <si>
    <t>(2796/2533)</t>
  </si>
  <si>
    <t>22355</t>
  </si>
  <si>
    <t>Ubiquiti AirOS: Unavailable by ICMP ping</t>
  </si>
  <si>
    <t>Ubiquiti AirOS: ICMPping不可用</t>
  </si>
  <si>
    <t>(2796/2534)</t>
  </si>
  <si>
    <t>22357</t>
  </si>
  <si>
    <t>Ubiquiti AirOS: High ICMP ping response time</t>
  </si>
  <si>
    <t>Ubiquiti AirOS: 高ICMPping响应时间</t>
  </si>
  <si>
    <t>(2796/2535)</t>
  </si>
  <si>
    <t>18129</t>
  </si>
  <si>
    <t>Ubiquiti AirOS: High memory utilization</t>
  </si>
  <si>
    <t>Ubiquiti AirOS: 高内存利用率</t>
  </si>
  <si>
    <t>(2796/2536)</t>
  </si>
  <si>
    <t>22360</t>
  </si>
  <si>
    <t>Ubiquiti AirOS: No SNMP data collection</t>
  </si>
  <si>
    <t>Ubiquiti AirOS: 无SNMP数据收集</t>
  </si>
  <si>
    <t>(2796/2537)</t>
  </si>
  <si>
    <t>22358</t>
  </si>
  <si>
    <t>Ubiquiti AirOS: System name has changed</t>
  </si>
  <si>
    <t>Ubiquiti AirOS: 系统名称已变更</t>
  </si>
  <si>
    <t>(2796/2538)</t>
  </si>
  <si>
    <t>22359</t>
  </si>
  <si>
    <t>Ubiquiti AirOS: Host has been restarted</t>
  </si>
  <si>
    <t>Ubiquiti AirOS: 主机已重新启动</t>
  </si>
  <si>
    <t>(2796/2539)</t>
  </si>
  <si>
    <t>VMWare SD-WAN VeloCloud by HTTP</t>
  </si>
  <si>
    <t>21181</t>
  </si>
  <si>
    <t>Velocloud: There are errors in aggregate script item</t>
  </si>
  <si>
    <t>Velocloud: 聚合脚本项中有错误</t>
  </si>
  <si>
    <t>(2796/2540)</t>
  </si>
  <si>
    <t>23605</t>
  </si>
  <si>
    <t>Velocloud: There are errors in edges item preprocessing script</t>
  </si>
  <si>
    <t>Velocloud: 边项预处理脚本存在错误</t>
  </si>
  <si>
    <t>(2796/2541)</t>
  </si>
  <si>
    <t>21182</t>
  </si>
  <si>
    <t>Velocloud: Failed to fetch aggregate data</t>
  </si>
  <si>
    <t>Velocloud: 无法获取聚合数据</t>
  </si>
  <si>
    <t>(2796/2542)</t>
  </si>
  <si>
    <t>21183</t>
  </si>
  <si>
    <t>Velocloud: Orchestrator build has been changed</t>
  </si>
  <si>
    <t>Velocloud: Orchestrator构建已变更</t>
  </si>
  <si>
    <t>(2796/2543)</t>
  </si>
  <si>
    <t>21184</t>
  </si>
  <si>
    <t>Velocloud: Orchestrator version has been changed</t>
  </si>
  <si>
    <t>Velocloud: Orchestrator版本已变更</t>
  </si>
  <si>
    <t>(2796/2544)</t>
  </si>
  <si>
    <t>21185</t>
  </si>
  <si>
    <t>Velocloud: System properties have changed</t>
  </si>
  <si>
    <t>Velocloud: 系统属性已变更</t>
  </si>
  <si>
    <t>(2796/2545)</t>
  </si>
  <si>
    <t>VMware Guest</t>
  </si>
  <si>
    <t>18031</t>
  </si>
  <si>
    <t>VMware: VM has been restarted</t>
  </si>
  <si>
    <t>VMware: VM已重新启动</t>
  </si>
  <si>
    <t>(2796/2546)</t>
  </si>
  <si>
    <t>VMware Hypervisor</t>
  </si>
  <si>
    <t>(2796/2547)</t>
  </si>
  <si>
    <t>VMware: The {$VMWARE.HV.UUID} health is Red</t>
  </si>
  <si>
    <t>VMware: {$VMWARE.HV.UUID}健康状况为红色</t>
  </si>
  <si>
    <t>(2796/2548)</t>
  </si>
  <si>
    <t>VMware: The {$VMWARE.HV.UUID} health is Yellow</t>
  </si>
  <si>
    <t>VMware: {$VMWARE.HV.UUID}健康状况为黄色</t>
  </si>
  <si>
    <t>(2796/2549)</t>
  </si>
  <si>
    <t>VMware: Hypervisor has been restarted</t>
  </si>
  <si>
    <t>VMware: 虚拟机监控程序已重新启动</t>
  </si>
  <si>
    <t>(2796/2550)</t>
  </si>
  <si>
    <t>Veeam Backup Enterprise Manager by HTTP</t>
  </si>
  <si>
    <t>23071</t>
  </si>
  <si>
    <t>Veeam Manager: Failed job runs is too high</t>
  </si>
  <si>
    <t>Veeam Manager: 失败的任务运行次数太多</t>
  </si>
  <si>
    <t>(2796/2551)</t>
  </si>
  <si>
    <t>23072</t>
  </si>
  <si>
    <t>Veeam Manager: There are errors in requests to API</t>
  </si>
  <si>
    <t>Veeam Manager: 对API的请求中存在错误</t>
  </si>
  <si>
    <t>(2796/2552)</t>
  </si>
  <si>
    <t>23073</t>
  </si>
  <si>
    <t>Veeam Manager: Warning job runs is too high</t>
  </si>
  <si>
    <t>Veeam Manager: 告警任务运行量太高</t>
  </si>
  <si>
    <t>(2796/2553)</t>
  </si>
  <si>
    <t>Veeam Backup and Replication by HTTP</t>
  </si>
  <si>
    <t>23068</t>
  </si>
  <si>
    <t>Veeam: There are errors in requests to API</t>
  </si>
  <si>
    <t>Veeam: 对API的请求中存在错误</t>
  </si>
  <si>
    <t>(2796/2554)</t>
  </si>
  <si>
    <t>Website certificate by Zabbix agent 2</t>
  </si>
  <si>
    <t>18960</t>
  </si>
  <si>
    <t>Cert: SSL certificate expires soon</t>
  </si>
  <si>
    <t>Cert: SSL证书即将到期</t>
  </si>
  <si>
    <t>(2796/2555)</t>
  </si>
  <si>
    <t>18961</t>
  </si>
  <si>
    <t>Cert: Fingerprint has changed</t>
  </si>
  <si>
    <t>Cert: 指纹已变更</t>
  </si>
  <si>
    <t>(2796/2556)</t>
  </si>
  <si>
    <t>18962</t>
  </si>
  <si>
    <t>(2796/2557)</t>
  </si>
  <si>
    <t>WildFly Domain by JMX</t>
  </si>
  <si>
    <t>18910</t>
  </si>
  <si>
    <t>WildFly: Host has been restarted</t>
  </si>
  <si>
    <t>WildFly: 主机已重新启动</t>
  </si>
  <si>
    <t>(2796/2558)</t>
  </si>
  <si>
    <t>18911</t>
  </si>
  <si>
    <t>WildFly: Version has changed</t>
  </si>
  <si>
    <t>WildFly: 版本已变更</t>
  </si>
  <si>
    <t>(2796/2559)</t>
  </si>
  <si>
    <t>WildFly Server by JMX</t>
  </si>
  <si>
    <t>18917</t>
  </si>
  <si>
    <t>(2796/2560)</t>
  </si>
  <si>
    <t>18918</t>
  </si>
  <si>
    <t>(2796/2561)</t>
  </si>
  <si>
    <t>18915</t>
  </si>
  <si>
    <t>(2796/2562)</t>
  </si>
  <si>
    <t>18914</t>
  </si>
  <si>
    <t>WildFly: Failed to fetch info data</t>
  </si>
  <si>
    <t>WildFly: 无法获取信息数据</t>
  </si>
  <si>
    <t>(2796/2563)</t>
  </si>
  <si>
    <t>18916</t>
  </si>
  <si>
    <t>(2796/2564)</t>
  </si>
  <si>
    <t>Windows CPU by Zabbix agent</t>
  </si>
  <si>
    <t>Windows: CPU interrupt time is too high</t>
  </si>
  <si>
    <t>Windows: CPU已关闭时间太长</t>
  </si>
  <si>
    <t>(2796/2565)</t>
  </si>
  <si>
    <t>Windows: CPU privileged time is too high</t>
  </si>
  <si>
    <t>Windows: CPU特权时间太长</t>
  </si>
  <si>
    <t>(2796/2566)</t>
  </si>
  <si>
    <t>17035</t>
  </si>
  <si>
    <t>Windows: CPU queue length is too high</t>
  </si>
  <si>
    <t>Windows: CPU队列长度太长</t>
  </si>
  <si>
    <t>(2796/2567)</t>
  </si>
  <si>
    <t>Windows: High CPU utilization</t>
  </si>
  <si>
    <t>Windows: 高CPU利用率</t>
  </si>
  <si>
    <t>(2796/2568)</t>
  </si>
  <si>
    <t>Windows CPU by Zabbix agent active</t>
  </si>
  <si>
    <t>(2796/2569)</t>
  </si>
  <si>
    <t>(2796/2570)</t>
  </si>
  <si>
    <t>(2796/2571)</t>
  </si>
  <si>
    <t>(2796/2572)</t>
  </si>
  <si>
    <t>Windows by SNMP</t>
  </si>
  <si>
    <t>22504</t>
  </si>
  <si>
    <t>(2796/2573)</t>
  </si>
  <si>
    <t>22502</t>
  </si>
  <si>
    <t>Windows: High ICMP ping loss</t>
  </si>
  <si>
    <t>Windows: 高ICMPping丢失</t>
  </si>
  <si>
    <t>(2796/2574)</t>
  </si>
  <si>
    <t>22501</t>
  </si>
  <si>
    <t>Windows: Unavailable by ICMP ping</t>
  </si>
  <si>
    <t>Windows: ICMPping不可用</t>
  </si>
  <si>
    <t>(2796/2575)</t>
  </si>
  <si>
    <t>22503</t>
  </si>
  <si>
    <t>Windows: High ICMP ping response time</t>
  </si>
  <si>
    <t>Windows: 高ICMPping响应时间</t>
  </si>
  <si>
    <t>(2796/2576)</t>
  </si>
  <si>
    <t>22507</t>
  </si>
  <si>
    <t>Windows: No SNMP data collection</t>
  </si>
  <si>
    <t>Windows: 无SNMP数据收集</t>
  </si>
  <si>
    <t>(2796/2577)</t>
  </si>
  <si>
    <t>22505</t>
  </si>
  <si>
    <t>Windows: System name has changed</t>
  </si>
  <si>
    <t>Windows: 系统名称已变更</t>
  </si>
  <si>
    <t>(2796/2578)</t>
  </si>
  <si>
    <t>22506</t>
  </si>
  <si>
    <t>Windows: Host has been restarted</t>
  </si>
  <si>
    <t>Windows: 主机已重新启动</t>
  </si>
  <si>
    <t>(2796/2579)</t>
  </si>
  <si>
    <t>Windows by Zabbix agent</t>
  </si>
  <si>
    <t>22459</t>
  </si>
  <si>
    <t>(2796/2580)</t>
  </si>
  <si>
    <t>22460</t>
  </si>
  <si>
    <t>(2796/2581)</t>
  </si>
  <si>
    <t>22467</t>
  </si>
  <si>
    <t>(2796/2582)</t>
  </si>
  <si>
    <t>22461</t>
  </si>
  <si>
    <t>(2796/2583)</t>
  </si>
  <si>
    <t>22468</t>
  </si>
  <si>
    <t>Windows: High swap space usage</t>
  </si>
  <si>
    <t>Windows: 高交换空间使用率</t>
  </si>
  <si>
    <t>(2796/2584)</t>
  </si>
  <si>
    <t>22457</t>
  </si>
  <si>
    <t>Windows: Number of free system page table entries is too low</t>
  </si>
  <si>
    <t>Windows: 可用系统页表条目数太低</t>
  </si>
  <si>
    <t>(2796/2585)</t>
  </si>
  <si>
    <t>22458</t>
  </si>
  <si>
    <t>Windows: The Memory Pages/sec is too high</t>
  </si>
  <si>
    <t>Windows: 内存页/秒太高</t>
  </si>
  <si>
    <t>(2796/2586)</t>
  </si>
  <si>
    <t>22465</t>
  </si>
  <si>
    <t>Windows: High memory utilization</t>
  </si>
  <si>
    <t>Windows: 高内存利用率</t>
  </si>
  <si>
    <t>(2796/2587)</t>
  </si>
  <si>
    <t>22463</t>
  </si>
  <si>
    <t>Windows: System time is out of sync</t>
  </si>
  <si>
    <t>Windows: CPU在内核运行时间不同步</t>
  </si>
  <si>
    <t>(2796/2588)</t>
  </si>
  <si>
    <t>22462</t>
  </si>
  <si>
    <t>(2796/2589)</t>
  </si>
  <si>
    <t>22464</t>
  </si>
  <si>
    <t>(2796/2590)</t>
  </si>
  <si>
    <t>22466</t>
  </si>
  <si>
    <t>Windows: Zabbix agent is not available</t>
  </si>
  <si>
    <t>Windows: Zabbix agent 不可用</t>
  </si>
  <si>
    <t>(2796/2591)</t>
  </si>
  <si>
    <t>Windows by Zabbix agent active</t>
  </si>
  <si>
    <t>22482</t>
  </si>
  <si>
    <t>(2796/2592)</t>
  </si>
  <si>
    <t>22483</t>
  </si>
  <si>
    <t>(2796/2593)</t>
  </si>
  <si>
    <t>22489</t>
  </si>
  <si>
    <t>(2796/2594)</t>
  </si>
  <si>
    <t>22484</t>
  </si>
  <si>
    <t>(2796/2595)</t>
  </si>
  <si>
    <t>22490</t>
  </si>
  <si>
    <t>(2796/2596)</t>
  </si>
  <si>
    <t>22480</t>
  </si>
  <si>
    <t>(2796/2597)</t>
  </si>
  <si>
    <t>22481</t>
  </si>
  <si>
    <t>(2796/2598)</t>
  </si>
  <si>
    <t>22488</t>
  </si>
  <si>
    <t>(2796/2599)</t>
  </si>
  <si>
    <t>22485</t>
  </si>
  <si>
    <t>(2796/2600)</t>
  </si>
  <si>
    <t>22487</t>
  </si>
  <si>
    <t>(2796/2601)</t>
  </si>
  <si>
    <t>22479</t>
  </si>
  <si>
    <t>(2796/2602)</t>
  </si>
  <si>
    <t>Windows generic by Zabbix agent</t>
  </si>
  <si>
    <t>(2796/2603)</t>
  </si>
  <si>
    <t>(2796/2604)</t>
  </si>
  <si>
    <t>(2796/2605)</t>
  </si>
  <si>
    <t>Windows generic by Zabbix agent active</t>
  </si>
  <si>
    <t>(2796/2606)</t>
  </si>
  <si>
    <t>(2796/2607)</t>
  </si>
  <si>
    <t>Windows memory by Zabbix agent</t>
  </si>
  <si>
    <t>(2796/2608)</t>
  </si>
  <si>
    <t>(2796/2609)</t>
  </si>
  <si>
    <t>(2796/2610)</t>
  </si>
  <si>
    <t>(2796/2611)</t>
  </si>
  <si>
    <t>Windows memory by Zabbix agent active</t>
  </si>
  <si>
    <t>(2796/2612)</t>
  </si>
  <si>
    <t>(2796/2613)</t>
  </si>
  <si>
    <t>18169</t>
  </si>
  <si>
    <t>(2796/2614)</t>
  </si>
  <si>
    <t>18170</t>
  </si>
  <si>
    <t>(2796/2615)</t>
  </si>
  <si>
    <t>YugabyteDB Cluster by HTTP</t>
  </si>
  <si>
    <t>23421</t>
  </si>
  <si>
    <t>YugabyteDB Cluster: CPU utilization is high</t>
  </si>
  <si>
    <t>YugabyteDB集群: CPU利用率高</t>
  </si>
  <si>
    <t>(2796/2616)</t>
  </si>
  <si>
    <t>23422</t>
  </si>
  <si>
    <t>YugabyteDB Cluster: CPU utilization is too high</t>
  </si>
  <si>
    <t>YugabyteDB集群: CPU利用率过高</t>
  </si>
  <si>
    <t>(2796/2617)</t>
  </si>
  <si>
    <t>23423</t>
  </si>
  <si>
    <t>YugabyteDB Cluster: Storage space is critically low</t>
  </si>
  <si>
    <t>YugabyteDB集群: 存储空间严重不足</t>
  </si>
  <si>
    <t>(2796/2618)</t>
  </si>
  <si>
    <t>23424</t>
  </si>
  <si>
    <t>YugabyteDB Cluster: Storage space is low</t>
  </si>
  <si>
    <t>YugabyteDB集群: 存储空间不足</t>
  </si>
  <si>
    <t>(2796/2619)</t>
  </si>
  <si>
    <t>23430</t>
  </si>
  <si>
    <t>YugabyteDB Cluster: Failed to fetch data</t>
  </si>
  <si>
    <t>YugabyteDB集群: 无法获取数据</t>
  </si>
  <si>
    <t>(2796/2620)</t>
  </si>
  <si>
    <t>23431</t>
  </si>
  <si>
    <t>YugabyteDB Cluster: Failed to fetch metric data</t>
  </si>
  <si>
    <t>YugabyteDB集群: 无法获取指标数据</t>
  </si>
  <si>
    <t>(2796/2621)</t>
  </si>
  <si>
    <t>23425</t>
  </si>
  <si>
    <t>YugabyteDB Cluster: Cluster is not healthy</t>
  </si>
  <si>
    <t>YugabyteDB集群: 集群不健康</t>
  </si>
  <si>
    <t>(2796/2622)</t>
  </si>
  <si>
    <t>23426</t>
  </si>
  <si>
    <t>YugabyteDB Cluster: Memory utilization is high</t>
  </si>
  <si>
    <t>YugabyteDB集群: 内存利用率高</t>
  </si>
  <si>
    <t>(2796/2623)</t>
  </si>
  <si>
    <t>23427</t>
  </si>
  <si>
    <t>YugabyteDB Cluster: Memory utilization is too high</t>
  </si>
  <si>
    <t>YugabyteDB集群: 内存利用率过高</t>
  </si>
  <si>
    <t>(2796/2624)</t>
  </si>
  <si>
    <t>23428</t>
  </si>
  <si>
    <t>YugabyteDB Cluster: Cluster software version has changed</t>
  </si>
  <si>
    <t>YugabyteDB集群: 集群软件版本已更改</t>
  </si>
  <si>
    <t>(2796/2625)</t>
  </si>
  <si>
    <t>23429</t>
  </si>
  <si>
    <t>YugabyteDB Cluster: YB controller version has changed</t>
  </si>
  <si>
    <t>YugabyteDB集群: YB控制器版本已更改</t>
  </si>
  <si>
    <t>(2796/2626)</t>
  </si>
  <si>
    <t>23419</t>
  </si>
  <si>
    <t>YugabyteDB Cluster: Average utilization of connections is high</t>
  </si>
  <si>
    <t>YugabyteDB集群: 连接平均利用率高</t>
  </si>
  <si>
    <t>(2796/2627)</t>
  </si>
  <si>
    <t>23420</t>
  </si>
  <si>
    <t>YugabyteDB Cluster: Average utilization of connections is too high</t>
  </si>
  <si>
    <t>YugabyteDB集群: 连接平均利用率过高</t>
  </si>
  <si>
    <t>(2796/2628)</t>
  </si>
  <si>
    <t>YugabyteDB by HTTP</t>
  </si>
  <si>
    <t>23418</t>
  </si>
  <si>
    <t>YugabyteDB: Failed to fetch data</t>
  </si>
  <si>
    <t>YugabyteDB: 无法获取数据</t>
  </si>
  <si>
    <t>(2796/2629)</t>
  </si>
  <si>
    <t>ZYXEL AAM1212-51 IES-612 by SNMP</t>
  </si>
  <si>
    <t>19033</t>
  </si>
  <si>
    <t>(2796/2630)</t>
  </si>
  <si>
    <t>19031</t>
  </si>
  <si>
    <t>(2796/2631)</t>
  </si>
  <si>
    <t>19032</t>
  </si>
  <si>
    <t>ZYXEL AAM1212-51 / IES-612: Device has been replaced</t>
  </si>
  <si>
    <t>ZYXEL AAM1212-51 / IES-612: 设备已更换</t>
  </si>
  <si>
    <t>(2796/2632)</t>
  </si>
  <si>
    <t>19029</t>
  </si>
  <si>
    <t>(2796/2633)</t>
  </si>
  <si>
    <t>19034</t>
  </si>
  <si>
    <t>ZYXEL AAM1212-51 / IES-612: Host has been restarted</t>
  </si>
  <si>
    <t>ZYXEL AAM1212-51 / IES-612: 主机已重新启动</t>
  </si>
  <si>
    <t>(2796/2634)</t>
  </si>
  <si>
    <t>19030</t>
  </si>
  <si>
    <t>(2796/2635)</t>
  </si>
  <si>
    <t>ZYXEL ES3500-8PD by SNMP</t>
  </si>
  <si>
    <t>19044</t>
  </si>
  <si>
    <t>ZYXEL ES3500-8PD: High CPU utilization</t>
  </si>
  <si>
    <t>ZYXEL ES3500-8PD: 高CPU利用率</t>
  </si>
  <si>
    <t>(2796/2636)</t>
  </si>
  <si>
    <t>19046</t>
  </si>
  <si>
    <t>(2796/2637)</t>
  </si>
  <si>
    <t>19047</t>
  </si>
  <si>
    <t>ZYXEL ES3500-8PD: Device has been replaced</t>
  </si>
  <si>
    <t>ZYXEL ES3500-8PD: 设备已更换</t>
  </si>
  <si>
    <t>(2796/2638)</t>
  </si>
  <si>
    <t>19043</t>
  </si>
  <si>
    <t>(2796/2639)</t>
  </si>
  <si>
    <t>19048</t>
  </si>
  <si>
    <t>ZYXEL ES3500-8PD: Host has been restarted</t>
  </si>
  <si>
    <t>ZYXEL ES3500-8PD: 主机已重新启动</t>
  </si>
  <si>
    <t>(2796/2640)</t>
  </si>
  <si>
    <t>19045</t>
  </si>
  <si>
    <t>(2796/2641)</t>
  </si>
  <si>
    <t>ZYXEL GS-4012F by SNMP</t>
  </si>
  <si>
    <t>19057</t>
  </si>
  <si>
    <t>ZYXEL GS-4012F: High CPU utilization</t>
  </si>
  <si>
    <t>ZYXEL GS-4012F: 高CPU利用率</t>
  </si>
  <si>
    <t>(2796/2642)</t>
  </si>
  <si>
    <t>19059</t>
  </si>
  <si>
    <t>(2796/2643)</t>
  </si>
  <si>
    <t>19060</t>
  </si>
  <si>
    <t>ZYXEL GS-4012F: Device has been replaced</t>
  </si>
  <si>
    <t>ZYXEL GS-4012F: 设备已更换</t>
  </si>
  <si>
    <t>(2796/2644)</t>
  </si>
  <si>
    <t>19056</t>
  </si>
  <si>
    <t>(2796/2645)</t>
  </si>
  <si>
    <t>19061</t>
  </si>
  <si>
    <t>ZYXEL GS-4012F: Host has been restarted</t>
  </si>
  <si>
    <t>ZYXEL GS-4012F: 主机已重新启动</t>
  </si>
  <si>
    <t>(2796/2646)</t>
  </si>
  <si>
    <t>19058</t>
  </si>
  <si>
    <t>(2796/2647)</t>
  </si>
  <si>
    <t>ZYXEL IES-500x by SNMP</t>
  </si>
  <si>
    <t>19067</t>
  </si>
  <si>
    <t>(2796/2648)</t>
  </si>
  <si>
    <t>19066</t>
  </si>
  <si>
    <t>(2796/2649)</t>
  </si>
  <si>
    <t>19068</t>
  </si>
  <si>
    <t>ZYXEL IES-500x: Host has been restarted</t>
  </si>
  <si>
    <t>ZYXEL IES-500x: 主机已重新启动</t>
  </si>
  <si>
    <t>(2796/2650)</t>
  </si>
  <si>
    <t>ZYXEL IES-6000 by SNMP</t>
  </si>
  <si>
    <t>19089</t>
  </si>
  <si>
    <t>(2796/2651)</t>
  </si>
  <si>
    <t>19088</t>
  </si>
  <si>
    <t>(2796/2652)</t>
  </si>
  <si>
    <t>19090</t>
  </si>
  <si>
    <t>ZYXEL IES-6000: Host has been restarted</t>
  </si>
  <si>
    <t>ZYXEL IES-6000: 主机已重新启动</t>
  </si>
  <si>
    <t>(2796/2653)</t>
  </si>
  <si>
    <t>ZYXEL IES1248-51 by SNMP</t>
  </si>
  <si>
    <t>19114</t>
  </si>
  <si>
    <t>(2796/2654)</t>
  </si>
  <si>
    <t>19112</t>
  </si>
  <si>
    <t>(2796/2655)</t>
  </si>
  <si>
    <t>19113</t>
  </si>
  <si>
    <t>ZYXEL IES1248-51: Device has been replaced</t>
  </si>
  <si>
    <t>ZYXEL IES1248-51: 设备已更换</t>
  </si>
  <si>
    <t>(2796/2656)</t>
  </si>
  <si>
    <t>19110</t>
  </si>
  <si>
    <t>(2796/2657)</t>
  </si>
  <si>
    <t>19115</t>
  </si>
  <si>
    <t>ZYXEL IES1248-51: Host has been restarted</t>
  </si>
  <si>
    <t>ZYXEL IES1248-51: 主机已重新启动</t>
  </si>
  <si>
    <t>(2796/2658)</t>
  </si>
  <si>
    <t>19111</t>
  </si>
  <si>
    <t>(2796/2659)</t>
  </si>
  <si>
    <t>ZYXEL MES-3528 by SNMP</t>
  </si>
  <si>
    <t>ZYXEL MES-3528: High CPU utilization</t>
  </si>
  <si>
    <t>ZYXEL MES-3528: 高CPU利用率</t>
  </si>
  <si>
    <t>(2796/2660)</t>
  </si>
  <si>
    <t>(2796/2661)</t>
  </si>
  <si>
    <t>ZYXEL MES-3528: Device has been replaced</t>
  </si>
  <si>
    <t>ZYXEL MES-3528: 设备已更换</t>
  </si>
  <si>
    <t>(2796/2662)</t>
  </si>
  <si>
    <t>(2796/2663)</t>
  </si>
  <si>
    <t>19130</t>
  </si>
  <si>
    <t>ZYXEL MES-3528: Host has been restarted</t>
  </si>
  <si>
    <t>ZYXEL MES-3528: 主机已重新启动</t>
  </si>
  <si>
    <t>(2796/2664)</t>
  </si>
  <si>
    <t>(2796/2665)</t>
  </si>
  <si>
    <t>ZYXEL MES3500-10 by SNMP</t>
  </si>
  <si>
    <t>19136</t>
  </si>
  <si>
    <t>ZYXEL MES3500-10: High CPU utilization</t>
  </si>
  <si>
    <t>ZYXEL MES3500-10: 高CPU利用率</t>
  </si>
  <si>
    <t>(2796/2666)</t>
  </si>
  <si>
    <t>19138</t>
  </si>
  <si>
    <t>(2796/2667)</t>
  </si>
  <si>
    <t>19139</t>
  </si>
  <si>
    <t>ZYXEL MES3500-10: Device has been replaced</t>
  </si>
  <si>
    <t>ZYXEL MES3500-10: 设备已更换</t>
  </si>
  <si>
    <t>(2796/2668)</t>
  </si>
  <si>
    <t>19135</t>
  </si>
  <si>
    <t>(2796/2669)</t>
  </si>
  <si>
    <t>19140</t>
  </si>
  <si>
    <t>ZYXEL MES3500-10: Host has been restarted</t>
  </si>
  <si>
    <t>ZYXEL MES3500-10: 主机已重新启动</t>
  </si>
  <si>
    <t>(2796/2670)</t>
  </si>
  <si>
    <t>19137</t>
  </si>
  <si>
    <t>(2796/2671)</t>
  </si>
  <si>
    <t>ZYXEL MES3500-24 by SNMP</t>
  </si>
  <si>
    <t>19149</t>
  </si>
  <si>
    <t>ZYXEL MES3500-24: High CPU utilization</t>
  </si>
  <si>
    <t>ZYXEL MES3500-24: 高CPU利用率</t>
  </si>
  <si>
    <t>(2796/2672)</t>
  </si>
  <si>
    <t>19151</t>
  </si>
  <si>
    <t>(2796/2673)</t>
  </si>
  <si>
    <t>19152</t>
  </si>
  <si>
    <t>ZYXEL MES3500-24: Device has been replaced</t>
  </si>
  <si>
    <t>ZYXEL MES3500-24: 设备已更换</t>
  </si>
  <si>
    <t>(2796/2674)</t>
  </si>
  <si>
    <t>19148</t>
  </si>
  <si>
    <t>(2796/2675)</t>
  </si>
  <si>
    <t>19153</t>
  </si>
  <si>
    <t>ZYXEL MES3500-24: Host has been restarted</t>
  </si>
  <si>
    <t>ZYXEL MES3500-24: 主机已重新启动</t>
  </si>
  <si>
    <t>(2796/2676)</t>
  </si>
  <si>
    <t>19150</t>
  </si>
  <si>
    <t>(2796/2677)</t>
  </si>
  <si>
    <t>ZYXEL MES3500-24S by SNMP</t>
  </si>
  <si>
    <t>19193</t>
  </si>
  <si>
    <t>(2796/2678)</t>
  </si>
  <si>
    <t>19188</t>
  </si>
  <si>
    <t>ZYXEL MES3500-24S: High CPU utilization</t>
  </si>
  <si>
    <t>ZYXEL MES3500-24S: 高CPU利用率</t>
  </si>
  <si>
    <t>(2796/2679)</t>
  </si>
  <si>
    <t>19191</t>
  </si>
  <si>
    <t>(2796/2680)</t>
  </si>
  <si>
    <t>19192</t>
  </si>
  <si>
    <t>ZYXEL MES3500-24S: Device has been replaced</t>
  </si>
  <si>
    <t>ZYXEL MES3500-24S: 设备已更换</t>
  </si>
  <si>
    <t>(2796/2681)</t>
  </si>
  <si>
    <t>19190</t>
  </si>
  <si>
    <t>ZYXEL MES3500-24S: High memory utilization</t>
  </si>
  <si>
    <t>ZYXEL MES3500-24S: 高内存利用率</t>
  </si>
  <si>
    <t>(2796/2682)</t>
  </si>
  <si>
    <t>19187</t>
  </si>
  <si>
    <t>(2796/2683)</t>
  </si>
  <si>
    <t>19189</t>
  </si>
  <si>
    <t>(2796/2684)</t>
  </si>
  <si>
    <t>ZYXEL MGS-3712 by SNMP</t>
  </si>
  <si>
    <t>19162</t>
  </si>
  <si>
    <t>ZYXEL MGS-3712: High CPU utilization</t>
  </si>
  <si>
    <t>ZYXEL MGS-3712: 高CPU利用率</t>
  </si>
  <si>
    <t>(2796/2685)</t>
  </si>
  <si>
    <t>19164</t>
  </si>
  <si>
    <t>(2796/2686)</t>
  </si>
  <si>
    <t>19165</t>
  </si>
  <si>
    <t>ZYXEL MGS-3712: Device has been replaced</t>
  </si>
  <si>
    <t>ZYXEL MGS-3712: 设备已更换</t>
  </si>
  <si>
    <t>(2796/2687)</t>
  </si>
  <si>
    <t>19161</t>
  </si>
  <si>
    <t>(2796/2688)</t>
  </si>
  <si>
    <t>19166</t>
  </si>
  <si>
    <t>ZYXEL MGS-3712: Host has been restarted</t>
  </si>
  <si>
    <t>ZYXEL MGS-3712: 主机已重新启动</t>
  </si>
  <si>
    <t>(2796/2689)</t>
  </si>
  <si>
    <t>19163</t>
  </si>
  <si>
    <t>(2796/2690)</t>
  </si>
  <si>
    <t>ZYXEL MGS-3712F by SNMP</t>
  </si>
  <si>
    <t>ZYXEL MGS-3712F: High CPU utilization</t>
  </si>
  <si>
    <t>ZYXEL MGS-3712F: 高CPU利用率</t>
  </si>
  <si>
    <t>(2796/2691)</t>
  </si>
  <si>
    <t>(2796/2692)</t>
  </si>
  <si>
    <t>ZYXEL MGS-3712F: Device has been replaced</t>
  </si>
  <si>
    <t>ZYXEL MGS-3712F: 设备已更换</t>
  </si>
  <si>
    <t>(2796/2693)</t>
  </si>
  <si>
    <t>(2796/2694)</t>
  </si>
  <si>
    <t>ZYXEL MGS-3712F: Host has been restarted</t>
  </si>
  <si>
    <t>ZYXEL MGS-3712F: 主机已重新启动</t>
  </si>
  <si>
    <t>(2796/2695)</t>
  </si>
  <si>
    <t>(2796/2696)</t>
  </si>
  <si>
    <t>ZYXEL MGS3520-28x by SNMP</t>
  </si>
  <si>
    <t>ZYXEL MGS3520-28x: High CPU utilization</t>
  </si>
  <si>
    <t>ZYXEL MGS3520-28x: 高CPU利用率</t>
  </si>
  <si>
    <t>(2796/2697)</t>
  </si>
  <si>
    <t>(2796/2698)</t>
  </si>
  <si>
    <t>19206</t>
  </si>
  <si>
    <t>ZYXEL MGS3520-28x: Device has been replaced</t>
  </si>
  <si>
    <t>ZYXEL MGS3520-28x: 设备已更换</t>
  </si>
  <si>
    <t>(2796/2699)</t>
  </si>
  <si>
    <t>ZYXEL MGS3520-28x: High memory utilization</t>
  </si>
  <si>
    <t>ZYXEL MGS3520-28x: 高内存利用率</t>
  </si>
  <si>
    <t>(2796/2700)</t>
  </si>
  <si>
    <t>(2796/2701)</t>
  </si>
  <si>
    <t>19207</t>
  </si>
  <si>
    <t>ZYXEL MGS3520-28x: Host has been restarted</t>
  </si>
  <si>
    <t>ZYXEL MGS3520-28x: 主机已重新启动</t>
  </si>
  <si>
    <t>(2796/2702)</t>
  </si>
  <si>
    <t>(2796/2703)</t>
  </si>
  <si>
    <t>ZYXEL XGS-4728F by SNMP</t>
  </si>
  <si>
    <t>19216</t>
  </si>
  <si>
    <t>ZYXEL XGS-4728F: High CPU utilization</t>
  </si>
  <si>
    <t>ZYXEL XGS-4728F: 高CPU利用率</t>
  </si>
  <si>
    <t>(2796/2704)</t>
  </si>
  <si>
    <t>19218</t>
  </si>
  <si>
    <t>(2796/2705)</t>
  </si>
  <si>
    <t>19219</t>
  </si>
  <si>
    <t>ZYXEL XGS-4728F: Device has been replaced</t>
  </si>
  <si>
    <t>ZYXEL XGS-4728F: 设备已更换</t>
  </si>
  <si>
    <t>(2796/2706)</t>
  </si>
  <si>
    <t>19215</t>
  </si>
  <si>
    <t>(2796/2707)</t>
  </si>
  <si>
    <t>19220</t>
  </si>
  <si>
    <t>ZYXEL XGS-4728F: Host has been restarted</t>
  </si>
  <si>
    <t>ZYXEL XGS-4728F: 主机已重新启动</t>
  </si>
  <si>
    <t>(2796/2708)</t>
  </si>
  <si>
    <t>19217</t>
  </si>
  <si>
    <t>(2796/2709)</t>
  </si>
  <si>
    <t>Zabbix agent</t>
  </si>
  <si>
    <t>Zabbix agent: Zabbix agent is not available</t>
  </si>
  <si>
    <t>Zabbix agent: Zabbix agent 不可用</t>
  </si>
  <si>
    <t>(2796/2710)</t>
  </si>
  <si>
    <t>Zabbix agent active</t>
  </si>
  <si>
    <t>Zabbix agent active: Zabbix agent is not available</t>
  </si>
  <si>
    <t>Zabbix agent active: Zabbix agent 不可用</t>
  </si>
  <si>
    <t>(2796/2711)</t>
  </si>
  <si>
    <t>Zabbix proxy health</t>
  </si>
  <si>
    <t>13517</t>
  </si>
  <si>
    <t>Zabbix proxy: More than {$ZABBIX.PROXY.UTIL.MAX:"configuration cache"}% used in the configuration cache</t>
  </si>
  <si>
    <t>Zabbix proxy: 汉化作者建议增大配置文件 CacheSize 参数</t>
  </si>
  <si>
    <t>(2796/2712)</t>
  </si>
  <si>
    <t>13519</t>
  </si>
  <si>
    <t>Zabbix proxy: More than {$ZABBIX.PROXY.UTIL.MAX:"index cache"}% used in the history index cache</t>
  </si>
  <si>
    <t>Zabbix proxy: 汉化作者建议增大配置文件 HistoryIndexCacheSize 参数</t>
  </si>
  <si>
    <t>(2796/2713)</t>
  </si>
  <si>
    <t>13518</t>
  </si>
  <si>
    <t>Zabbix proxy: More than {$ZABBIX.PROXY.UTIL.MAX:"history cache"}% used in the history cache</t>
  </si>
  <si>
    <t>Zabbix proxy: 汉化作者建议增大配置文件 HistoryCacheSize 参数</t>
  </si>
  <si>
    <t>(2796/2714)</t>
  </si>
  <si>
    <t>13520</t>
  </si>
  <si>
    <t>(2796/2715)</t>
  </si>
  <si>
    <t>21265</t>
  </si>
  <si>
    <t>Zabbix proxy: {HOST.NAME} has been restarted</t>
  </si>
  <si>
    <t>Zabbix proxy: {HOST.NAME}已重新启动</t>
  </si>
  <si>
    <t>(2796/2716)</t>
  </si>
  <si>
    <t>Zabbix proxy: Utilization of availability manager processes is high</t>
  </si>
  <si>
    <t>Zabbix proxy: 汉化作者建议增大配置文件UnavailableDelay,UnreachableDelay,UnreachablePeriod参数,注意倍率是3</t>
  </si>
  <si>
    <t>(2796/2717)</t>
  </si>
  <si>
    <t>13521</t>
  </si>
  <si>
    <t>Zabbix proxy: Utilization of configuration syncer processes is high</t>
  </si>
  <si>
    <t>(2796/2718)</t>
  </si>
  <si>
    <t>13534</t>
  </si>
  <si>
    <t>Zabbix proxy: Utilization of data sender processes is high</t>
  </si>
  <si>
    <t>(2796/2719)</t>
  </si>
  <si>
    <t>13522</t>
  </si>
  <si>
    <t>Zabbix proxy: Utilization of discoverer processes is high</t>
  </si>
  <si>
    <t>(2796/2720)</t>
  </si>
  <si>
    <t>13535</t>
  </si>
  <si>
    <t>Zabbix proxy: Utilization of heartbeat sender processes is high</t>
  </si>
  <si>
    <t>(2796/2721)</t>
  </si>
  <si>
    <t>Zabbix proxy: Utilization of history poller processes is high</t>
  </si>
  <si>
    <t>Zabbix proxy: 汉化作者建议增大配置文件StartHistoryPollers参数</t>
  </si>
  <si>
    <t>(2796/2722)</t>
  </si>
  <si>
    <t>13523</t>
  </si>
  <si>
    <t>Zabbix proxy: Utilization of history syncer processes is high</t>
  </si>
  <si>
    <t>(2796/2723)</t>
  </si>
  <si>
    <t>13524</t>
  </si>
  <si>
    <t>Zabbix proxy: Utilization of housekeeper processes is high</t>
  </si>
  <si>
    <t>Zabbix proxy: 汉化作者建议对mysql数据库分区或增大配置文件MaxHousekeeperDelete,HousekeepingFrequency参数</t>
  </si>
  <si>
    <t>(2796/2724)</t>
  </si>
  <si>
    <t>13525</t>
  </si>
  <si>
    <t>Zabbix proxy: Utilization of http poller processes is high</t>
  </si>
  <si>
    <t>(2796/2725)</t>
  </si>
  <si>
    <t>13526</t>
  </si>
  <si>
    <t>Zabbix proxy: Utilization of icmp pinger processes is high</t>
  </si>
  <si>
    <t>(2796/2726)</t>
  </si>
  <si>
    <t>13564</t>
  </si>
  <si>
    <t>Zabbix proxy: Utilization of ipmi manager processes is high</t>
  </si>
  <si>
    <t>(2796/2727)</t>
  </si>
  <si>
    <t>13527</t>
  </si>
  <si>
    <t>Zabbix proxy: Utilization of ipmi poller processes is high</t>
  </si>
  <si>
    <t>(2796/2728)</t>
  </si>
  <si>
    <t>13528</t>
  </si>
  <si>
    <t>Zabbix proxy: Utilization of java poller processes is high</t>
  </si>
  <si>
    <t>(2796/2729)</t>
  </si>
  <si>
    <t>21201</t>
  </si>
  <si>
    <t>Zabbix proxy: Utilization of ODBC poller processes is high</t>
  </si>
  <si>
    <t>Zabbix proxy: 汉化作者建议增大配置文件StartODBCPollers参数</t>
  </si>
  <si>
    <t>(2796/2730)</t>
  </si>
  <si>
    <t>13529</t>
  </si>
  <si>
    <t>Zabbix proxy: Utilization of poller processes is high</t>
  </si>
  <si>
    <t>(2796/2731)</t>
  </si>
  <si>
    <t>15913</t>
  </si>
  <si>
    <t>Zabbix proxy: Utilization of preprocessing manager processes is high</t>
  </si>
  <si>
    <t>(2796/2732)</t>
  </si>
  <si>
    <t>15914</t>
  </si>
  <si>
    <t>Zabbix proxy: Utilization of preprocessing worker processes is high</t>
  </si>
  <si>
    <t>(2796/2733)</t>
  </si>
  <si>
    <t>13530</t>
  </si>
  <si>
    <t>Zabbix proxy: Utilization of self-monitoring processes is high</t>
  </si>
  <si>
    <t>(2796/2734)</t>
  </si>
  <si>
    <t>13531</t>
  </si>
  <si>
    <t>Zabbix proxy: Utilization of snmp trapper processes is high</t>
  </si>
  <si>
    <t>(2796/2735)</t>
  </si>
  <si>
    <t>13565</t>
  </si>
  <si>
    <t>Zabbix proxy: Utilization of task manager processes is high</t>
  </si>
  <si>
    <t>(2796/2736)</t>
  </si>
  <si>
    <t>13532</t>
  </si>
  <si>
    <t>Zabbix proxy: Utilization of trapper processes is high</t>
  </si>
  <si>
    <t>(2796/2737)</t>
  </si>
  <si>
    <t>13533</t>
  </si>
  <si>
    <t>Zabbix proxy: Utilization of unreachable poller processes is high</t>
  </si>
  <si>
    <t>(2796/2738)</t>
  </si>
  <si>
    <t>15641</t>
  </si>
  <si>
    <t>Zabbix proxy: Utilization of vmware collector processes is high</t>
  </si>
  <si>
    <t>(2796/2739)</t>
  </si>
  <si>
    <t>21266</t>
  </si>
  <si>
    <t>Zabbix proxy: Version has changed</t>
  </si>
  <si>
    <t>Zabbix proxy: 版本已变更</t>
  </si>
  <si>
    <t>(2796/2740)</t>
  </si>
  <si>
    <t>15640</t>
  </si>
  <si>
    <t>Zabbix proxy: More than {$ZABBIX.PROXY.UTIL.MAX:"vmware cache"}% used in the vmware cache</t>
  </si>
  <si>
    <t>Zabbix proxy: 汉化作者建议增大配置文件 VMwareCacheSize 参数</t>
  </si>
  <si>
    <t>(2796/2741)</t>
  </si>
  <si>
    <t>Zabbix server health</t>
  </si>
  <si>
    <t>13015</t>
  </si>
  <si>
    <t>Zabbix server: More than {$ZABBIX.SERVER.UTIL.MAX:"configuration cache"}% used in the configuration cache</t>
  </si>
  <si>
    <t>Zabbix server: 汉化作者建议增大配置文件 CacheSize 参数</t>
  </si>
  <si>
    <t>(2796/2742)</t>
  </si>
  <si>
    <t>13017</t>
  </si>
  <si>
    <t>Zabbix server: More than {$ZABBIX.SERVER.UTIL.MAX:"index cache"}% used in the history index cache</t>
  </si>
  <si>
    <t>Zabbix server: 汉化作者建议增大配置文件 HistoryIndexCacheSize 参数</t>
  </si>
  <si>
    <t>(2796/2743)</t>
  </si>
  <si>
    <t>13073</t>
  </si>
  <si>
    <t>Zabbix server: More than {$ZABBIX.SERVER.UTIL.MAX:"history cache"}% used in the history cache</t>
  </si>
  <si>
    <t>Zabbix server: 汉化作者建议增大配置文件 HistoryCacheSize 参数</t>
  </si>
  <si>
    <t>(2796/2744)</t>
  </si>
  <si>
    <t>13023</t>
  </si>
  <si>
    <t>(2796/2745)</t>
  </si>
  <si>
    <t>13019</t>
  </si>
  <si>
    <t>Zabbix server: More than {$ZABBIX.SERVER.UTIL.MAX:"trend cache"}% used in the trends cache</t>
  </si>
  <si>
    <t>Zabbix server: 汉化作者建议增大配置文件 TrendCacheSize 参数</t>
  </si>
  <si>
    <t>(2796/2746)</t>
  </si>
  <si>
    <t>13566</t>
  </si>
  <si>
    <t>Zabbix server: Utilization of alert manager processes is high</t>
  </si>
  <si>
    <t>(2796/2747)</t>
  </si>
  <si>
    <t>16273</t>
  </si>
  <si>
    <t>Zabbix server: Utilization of alert syncer processes is high</t>
  </si>
  <si>
    <t>(2796/2748)</t>
  </si>
  <si>
    <t>13080</t>
  </si>
  <si>
    <t>Zabbix server: Utilization of alerter processes is high</t>
  </si>
  <si>
    <t>(2796/2749)</t>
  </si>
  <si>
    <t>Zabbix server: Utilization of availability manager processes is high</t>
  </si>
  <si>
    <t>Zabbix server: 汉化作者建议增大配置文件UnavailableDelay,UnreachableDelay,UnreachablePeriod参数,注意倍率是3</t>
  </si>
  <si>
    <t>(2796/2750)</t>
  </si>
  <si>
    <t>13081</t>
  </si>
  <si>
    <t>Zabbix server: Utilization of configuration syncer processes is high</t>
  </si>
  <si>
    <t>(2796/2751)</t>
  </si>
  <si>
    <t>13083</t>
  </si>
  <si>
    <t>Zabbix server: Utilization of discoverer processes is high</t>
  </si>
  <si>
    <t>(2796/2752)</t>
  </si>
  <si>
    <t>13084</t>
  </si>
  <si>
    <t>Zabbix server: Utilization of escalator processes is high</t>
  </si>
  <si>
    <t>(2796/2753)</t>
  </si>
  <si>
    <t>Zabbix server: Utilization of history poller processes is high</t>
  </si>
  <si>
    <t>Zabbix server: 汉化作者建议增大配置文件StartHistoryPollers参数</t>
  </si>
  <si>
    <t>(2796/2754)</t>
  </si>
  <si>
    <t>13085</t>
  </si>
  <si>
    <t>Zabbix server: Utilization of history syncer processes is high</t>
  </si>
  <si>
    <t>(2796/2755)</t>
  </si>
  <si>
    <t>13086</t>
  </si>
  <si>
    <t>Zabbix server: Utilization of housekeeper processes is high</t>
  </si>
  <si>
    <t>Zabbix server: 汉化作者建议对mysql数据库分区或增大配置文件MaxHousekeeperDelete,HousekeepingFrequency参数</t>
  </si>
  <si>
    <t>(2796/2756)</t>
  </si>
  <si>
    <t>13087</t>
  </si>
  <si>
    <t>Zabbix server: Utilization of http poller processes is high</t>
  </si>
  <si>
    <t>(2796/2757)</t>
  </si>
  <si>
    <t>13088</t>
  </si>
  <si>
    <t>Zabbix server: Utilization of icmp pinger processes is high</t>
  </si>
  <si>
    <t>(2796/2758)</t>
  </si>
  <si>
    <t>13562</t>
  </si>
  <si>
    <t>Zabbix server: Utilization of ipmi manager processes is high</t>
  </si>
  <si>
    <t>(2796/2759)</t>
  </si>
  <si>
    <t>13089</t>
  </si>
  <si>
    <t>Zabbix server: Utilization of ipmi poller processes is high</t>
  </si>
  <si>
    <t>(2796/2760)</t>
  </si>
  <si>
    <t>13275</t>
  </si>
  <si>
    <t>Zabbix server: Utilization of java poller processes is high</t>
  </si>
  <si>
    <t>(2796/2761)</t>
  </si>
  <si>
    <t>15853</t>
  </si>
  <si>
    <t>Zabbix server: Utilization of LLD manager processes is high</t>
  </si>
  <si>
    <t>(2796/2762)</t>
  </si>
  <si>
    <t>15855</t>
  </si>
  <si>
    <t>Zabbix server: Utilization of LLD worker processes is high</t>
  </si>
  <si>
    <t>(2796/2763)</t>
  </si>
  <si>
    <t>21197</t>
  </si>
  <si>
    <t>Zabbix server: Utilization of ODBC poller processes is high</t>
  </si>
  <si>
    <t>Zabbix server: 汉化作者建议增大配置文件StartODBCPollers参数</t>
  </si>
  <si>
    <t>(2796/2764)</t>
  </si>
  <si>
    <t>13091</t>
  </si>
  <si>
    <t>Zabbix server: Utilization of poller processes is high</t>
  </si>
  <si>
    <t>(2796/2765)</t>
  </si>
  <si>
    <t>13568</t>
  </si>
  <si>
    <t>Zabbix server: Utilization of preprocessing manager processes is high</t>
  </si>
  <si>
    <t>(2796/2766)</t>
  </si>
  <si>
    <t>13569</t>
  </si>
  <si>
    <t>Zabbix server: Utilization of preprocessing worker processes is high</t>
  </si>
  <si>
    <t>(2796/2767)</t>
  </si>
  <si>
    <t>13092</t>
  </si>
  <si>
    <t>Zabbix server: Utilization of proxy poller processes is high</t>
  </si>
  <si>
    <t>(2796/2768)</t>
  </si>
  <si>
    <t>18530</t>
  </si>
  <si>
    <t>Zabbix server: Utilization of report manager processes is high</t>
  </si>
  <si>
    <t>Zabbix server: 汉化作者建议增大配置文件StartReportWriters参数</t>
  </si>
  <si>
    <t>(2796/2769)</t>
  </si>
  <si>
    <t>18531</t>
  </si>
  <si>
    <t>Zabbix server: Utilization of report writer processes is high</t>
  </si>
  <si>
    <t>(2796/2770)</t>
  </si>
  <si>
    <t>13093</t>
  </si>
  <si>
    <t>Zabbix server: Utilization of self-monitoring processes is high</t>
  </si>
  <si>
    <t>(2796/2771)</t>
  </si>
  <si>
    <t>18978</t>
  </si>
  <si>
    <t>Zabbix server: Utilization of service manager processes is high</t>
  </si>
  <si>
    <t>(2796/2772)</t>
  </si>
  <si>
    <t>13441</t>
  </si>
  <si>
    <t>Zabbix server: Utilization of snmp trapper processes is high</t>
  </si>
  <si>
    <t>(2796/2773)</t>
  </si>
  <si>
    <t>13559</t>
  </si>
  <si>
    <t>Zabbix server: Utilization of task manager processes is high</t>
  </si>
  <si>
    <t>(2796/2774)</t>
  </si>
  <si>
    <t>13094</t>
  </si>
  <si>
    <t>Zabbix server: Utilization of timer processes is high</t>
  </si>
  <si>
    <t>(2796/2775)</t>
  </si>
  <si>
    <t>13095</t>
  </si>
  <si>
    <t>Zabbix server: Utilization of trapper processes is high</t>
  </si>
  <si>
    <t>(2796/2776)</t>
  </si>
  <si>
    <t>18979</t>
  </si>
  <si>
    <t>Zabbix server: Utilization of trigger housekeeper processes is high</t>
  </si>
  <si>
    <t>(2796/2777)</t>
  </si>
  <si>
    <t>13096</t>
  </si>
  <si>
    <t>Zabbix server: Utilization of unreachable poller processes is high</t>
  </si>
  <si>
    <t>(2796/2778)</t>
  </si>
  <si>
    <t>13097</t>
  </si>
  <si>
    <t>Zabbix server: Utilization of vmware collector processes is high</t>
  </si>
  <si>
    <t>(2796/2779)</t>
  </si>
  <si>
    <t>13557</t>
  </si>
  <si>
    <t>(2796/2780)</t>
  </si>
  <si>
    <t>13074</t>
  </si>
  <si>
    <t>Zabbix server: More than {$ZABBIX.SERVER.UTIL.MAX:"value cache"}% used in the value cache</t>
  </si>
  <si>
    <t>Zabbix server: 汉化作者建议增大配置文件 ValueCacheSize 参数</t>
  </si>
  <si>
    <t>(2796/2781)</t>
  </si>
  <si>
    <t>18980</t>
  </si>
  <si>
    <t>Zabbix server: Version has changed</t>
  </si>
  <si>
    <t>Zabbix server: 版本已变更</t>
  </si>
  <si>
    <t>(2796/2782)</t>
  </si>
  <si>
    <t>13536</t>
  </si>
  <si>
    <t>Zabbix server: More than {$ZABBIX.SERVER.UTIL.MAX:"vmware cache"}% used in the vmware cache</t>
  </si>
  <si>
    <t>Zabbix server: 汉化作者建议增大配置文件 VMwareCacheSize 参数</t>
  </si>
  <si>
    <t>(2796/2783)</t>
  </si>
  <si>
    <t>Zookeeper by HTTP</t>
  </si>
  <si>
    <t>Zookeeper: Too many file descriptors used</t>
  </si>
  <si>
    <t>Zookeeper: 使用率的文件描述符太多</t>
  </si>
  <si>
    <t>(2796/2784)</t>
  </si>
  <si>
    <t>Zookeeper: Too many queued requests</t>
  </si>
  <si>
    <t>Zookeeper: 排队的请求太多</t>
  </si>
  <si>
    <t>(2796/2785)</t>
  </si>
  <si>
    <t>Zookeeper: Server mode has changed</t>
  </si>
  <si>
    <t>Zookeeper: 服务器模式已变更</t>
  </si>
  <si>
    <t>(2796/2786)</t>
  </si>
  <si>
    <t>Zookeeper: Failed to fetch info data</t>
  </si>
  <si>
    <t>Zookeeper: 无法获取信息数据</t>
  </si>
  <si>
    <t>(2796/2787)</t>
  </si>
  <si>
    <t>Zookeeper: Version has changed</t>
  </si>
  <si>
    <t>Zookeeper: 版本已变更</t>
  </si>
  <si>
    <t>(2796/2788)</t>
  </si>
  <si>
    <t>macOS by Zabbix agent</t>
  </si>
  <si>
    <t>macOS: Lack of available memory on server</t>
  </si>
  <si>
    <t>macOS: 服务器上缺少可用内存</t>
  </si>
  <si>
    <t>(2796/2789)</t>
  </si>
  <si>
    <t>macOS: /etc/passwd has been changed</t>
  </si>
  <si>
    <t>macOS: /etc/passwd已变更</t>
  </si>
  <si>
    <t>(2796/2790)</t>
  </si>
  <si>
    <t>macOS: Hostname was changed</t>
  </si>
  <si>
    <t>macOS: 主机名已变更</t>
  </si>
  <si>
    <t>(2796/2791)</t>
  </si>
  <si>
    <t>macOS: Configured max number of opened files is too low</t>
  </si>
  <si>
    <t>macOS: 配置的最大打开文件数太低</t>
  </si>
  <si>
    <t>(2796/2792)</t>
  </si>
  <si>
    <t>macOS: Configured max number of processes is too low</t>
  </si>
  <si>
    <t>macOS: 配置的最大进程数太低</t>
  </si>
  <si>
    <t>(2796/2793)</t>
  </si>
  <si>
    <t>macOS: Processor load is too high</t>
  </si>
  <si>
    <t>macOS: 处理器负载太高</t>
  </si>
  <si>
    <t>(2796/2794)</t>
  </si>
  <si>
    <t>macOS: Host information was changed</t>
  </si>
  <si>
    <t>macOS: 主机信息已变更</t>
  </si>
  <si>
    <t>(2796/2795)</t>
  </si>
  <si>
    <t>macOS: Server has just been restarted</t>
  </si>
  <si>
    <t>macOS: 服务器刚刚重新启动</t>
  </si>
  <si>
    <t>(2796/2796)</t>
  </si>
  <si>
    <t>22454</t>
  </si>
  <si>
    <t>macOS: Zabbix agent is not available</t>
  </si>
  <si>
    <t>macOS: Zabbix agent 不可用</t>
  </si>
  <si>
    <t>(3162/1)</t>
  </si>
  <si>
    <t>(3162/2)</t>
  </si>
  <si>
    <t>(3162/3)</t>
  </si>
  <si>
    <t>(3162/4)</t>
  </si>
  <si>
    <t>(3162/5)</t>
  </si>
  <si>
    <t>(3162/6)</t>
  </si>
  <si>
    <t>(3162/7)</t>
  </si>
  <si>
    <t>(3162/8)</t>
  </si>
  <si>
    <t>(3162/9)</t>
  </si>
  <si>
    <t>(3162/10)</t>
  </si>
  <si>
    <t>(3162/11)</t>
  </si>
  <si>
    <t>APC Smart-UPS: Battery has low capacity</t>
  </si>
  <si>
    <t>APC Smart-UPS: 电池容量低</t>
  </si>
  <si>
    <t>(3162/12)</t>
  </si>
  <si>
    <t>APC Smart-UPS: Battery needs replacement</t>
  </si>
  <si>
    <t>APC Smart-UPS: 电池需要更换</t>
  </si>
  <si>
    <t>(3162/13)</t>
  </si>
  <si>
    <t>APC Smart-UPS: Battery has an internal error condition</t>
  </si>
  <si>
    <t>APC Smart-UPS: 电池存在内部错误状况</t>
  </si>
  <si>
    <t>(3162/14)</t>
  </si>
  <si>
    <t>APC Smart-UPS: Battery is Low</t>
  </si>
  <si>
    <t>APC Smart-UPS: 电池电量不足</t>
  </si>
  <si>
    <t>(3162/15)</t>
  </si>
  <si>
    <t>APC Smart-UPS: Battery has high temperature</t>
  </si>
  <si>
    <t>APC Smart-UPS: 电池温度高</t>
  </si>
  <si>
    <t>(3162/16)</t>
  </si>
  <si>
    <t>APC Smart-UPS: Unacceptable input frequency</t>
  </si>
  <si>
    <t>APC Smart-UPS: 不可接受的输入频率</t>
  </si>
  <si>
    <t>(3162/17)</t>
  </si>
  <si>
    <t>APC Smart-UPS: Unacceptable input voltage</t>
  </si>
  <si>
    <t>APC Smart-UPS: 不可接受的输入电压</t>
  </si>
  <si>
    <t>(3162/18)</t>
  </si>
  <si>
    <t>APC Smart-UPS: Output load is high</t>
  </si>
  <si>
    <t>APC Smart-UPS: 输出负载高了</t>
  </si>
  <si>
    <t>(3162/19)</t>
  </si>
  <si>
    <t>APC Smart-UPS: UPS is Emergency Static Bypass</t>
  </si>
  <si>
    <t>APC Smart-UPS: UPS为紧急静态旁路</t>
  </si>
  <si>
    <t>(3162/20)</t>
  </si>
  <si>
    <t>APC Smart-UPS: UPS is Hardware Failure Bypass</t>
  </si>
  <si>
    <t>APC Smart-UPS: UPS为硬件故障旁路</t>
  </si>
  <si>
    <t>(3162/21)</t>
  </si>
  <si>
    <t>APC Smart-UPS: UPS is Off</t>
  </si>
  <si>
    <t>APC Smart-UPS: UPS关闭</t>
  </si>
  <si>
    <t>(3162/22)</t>
  </si>
  <si>
    <t>APC Smart-UPS: UPS is on battery</t>
  </si>
  <si>
    <t>APC Smart-UPS: UPS处于使用电池状态</t>
  </si>
  <si>
    <t>(3162/23)</t>
  </si>
  <si>
    <t>APC Smart-UPS: UPS is on Smart Boost</t>
  </si>
  <si>
    <t>APC Smart-UPS: UPS处于Smart Boost状态</t>
  </si>
  <si>
    <t>(3162/24)</t>
  </si>
  <si>
    <t>APC Smart-UPS: UPS is On Smart Trim</t>
  </si>
  <si>
    <t>APC Smart-UPS: UPS处于智能微调状态</t>
  </si>
  <si>
    <t>(3162/25)</t>
  </si>
  <si>
    <t>APC Smart-UPS: UPS is Rebooting</t>
  </si>
  <si>
    <t>APC Smart-UPS: UPS正在重新启动</t>
  </si>
  <si>
    <t>(3162/26)</t>
  </si>
  <si>
    <t>APC Smart-UPS: UPS is Sleeping Until Power Return</t>
  </si>
  <si>
    <t>APC Smart-UPS: UPS正在休眠直到电源恢复</t>
  </si>
  <si>
    <t>(3162/27)</t>
  </si>
  <si>
    <t>APC Smart-UPS: UPS is Software Bypass</t>
  </si>
  <si>
    <t>APC Smart-UPS: UPS为软件旁路</t>
  </si>
  <si>
    <t>(3162/28)</t>
  </si>
  <si>
    <t>APC Smart-UPS: UPS is Switched Bypass</t>
  </si>
  <si>
    <t>APC Smart-UPS: UPS为切换旁路</t>
  </si>
  <si>
    <t>(3162/29)</t>
  </si>
  <si>
    <t>APC Smart-UPS: UPS is Timed Sleeping</t>
  </si>
  <si>
    <t>APC Smart-UPS: UPS处于定时睡眠状态</t>
  </si>
  <si>
    <t>(3162/30)</t>
  </si>
  <si>
    <t>APC Smart-UPS: Host has been restarted</t>
  </si>
  <si>
    <t>APC Smart-UPS: 主机已重新启动</t>
  </si>
  <si>
    <t>(3162/31)</t>
  </si>
  <si>
    <t>APC Smart-UPS: System name has changed</t>
  </si>
  <si>
    <t>APC Smart-UPS: 系统名称已变更</t>
  </si>
  <si>
    <t>(3162/32)</t>
  </si>
  <si>
    <t>APC Smart-UPS: No SNMP data collection</t>
  </si>
  <si>
    <t>APC Smart-UPS: 无SNMP数据收集</t>
  </si>
  <si>
    <t>(3162/33)</t>
  </si>
  <si>
    <t>(3162/34)</t>
  </si>
  <si>
    <t>(3162/35)</t>
  </si>
  <si>
    <t>(3162/36)</t>
  </si>
  <si>
    <t>(3162/37)</t>
  </si>
  <si>
    <t>(3162/38)</t>
  </si>
  <si>
    <t>(3162/39)</t>
  </si>
  <si>
    <t>(3162/40)</t>
  </si>
  <si>
    <t>(3162/41)</t>
  </si>
  <si>
    <t>(3162/42)</t>
  </si>
  <si>
    <t>(3162/43)</t>
  </si>
  <si>
    <t>(3162/44)</t>
  </si>
  <si>
    <t>(3162/45)</t>
  </si>
  <si>
    <t>(3162/46)</t>
  </si>
  <si>
    <t>(3162/47)</t>
  </si>
  <si>
    <t>(3162/48)</t>
  </si>
  <si>
    <t>(3162/49)</t>
  </si>
  <si>
    <t>(3162/50)</t>
  </si>
  <si>
    <t>(3162/51)</t>
  </si>
  <si>
    <t>(3162/52)</t>
  </si>
  <si>
    <t>(3162/53)</t>
  </si>
  <si>
    <t>(3162/54)</t>
  </si>
  <si>
    <t>(3162/55)</t>
  </si>
  <si>
    <t>(3162/56)</t>
  </si>
  <si>
    <t>(3162/57)</t>
  </si>
  <si>
    <t>(3162/58)</t>
  </si>
  <si>
    <t>(3162/59)</t>
  </si>
  <si>
    <t>(3162/60)</t>
  </si>
  <si>
    <t>(3162/61)</t>
  </si>
  <si>
    <t>(3162/62)</t>
  </si>
  <si>
    <t>(3162/63)</t>
  </si>
  <si>
    <t>(3162/64)</t>
  </si>
  <si>
    <t>(3162/65)</t>
  </si>
  <si>
    <t>(3162/66)</t>
  </si>
  <si>
    <t>(3162/67)</t>
  </si>
  <si>
    <t>(3162/68)</t>
  </si>
  <si>
    <t>(3162/69)</t>
  </si>
  <si>
    <t>(3162/70)</t>
  </si>
  <si>
    <t>(3162/71)</t>
  </si>
  <si>
    <t>(3162/72)</t>
  </si>
  <si>
    <t>(3162/73)</t>
  </si>
  <si>
    <t>(3162/74)</t>
  </si>
  <si>
    <t>(3162/75)</t>
  </si>
  <si>
    <t>(3162/76)</t>
  </si>
  <si>
    <t>(3162/77)</t>
  </si>
  <si>
    <t>(3162/78)</t>
  </si>
  <si>
    <t>(3162/79)</t>
  </si>
  <si>
    <t>(3162/80)</t>
  </si>
  <si>
    <t>(3162/81)</t>
  </si>
  <si>
    <t>(3162/82)</t>
  </si>
  <si>
    <t>(3162/83)</t>
  </si>
  <si>
    <t>(3162/84)</t>
  </si>
  <si>
    <t>(3162/85)</t>
  </si>
  <si>
    <t>(3162/86)</t>
  </si>
  <si>
    <t>(3162/87)</t>
  </si>
  <si>
    <t>(3162/88)</t>
  </si>
  <si>
    <t>(3162/89)</t>
  </si>
  <si>
    <t>(3162/90)</t>
  </si>
  <si>
    <t>(3162/91)</t>
  </si>
  <si>
    <t>(3162/92)</t>
  </si>
  <si>
    <t>(3162/93)</t>
  </si>
  <si>
    <t>(3162/94)</t>
  </si>
  <si>
    <t>(3162/95)</t>
  </si>
  <si>
    <t>(3162/96)</t>
  </si>
  <si>
    <t>(3162/97)</t>
  </si>
  <si>
    <t>(3162/98)</t>
  </si>
  <si>
    <t>(3162/99)</t>
  </si>
  <si>
    <t>(3162/100)</t>
  </si>
  <si>
    <t>(3162/101)</t>
  </si>
  <si>
    <t>(3162/102)</t>
  </si>
  <si>
    <t>(3162/103)</t>
  </si>
  <si>
    <t>(3162/104)</t>
  </si>
  <si>
    <t>(3162/105)</t>
  </si>
  <si>
    <t>(3162/106)</t>
  </si>
  <si>
    <t>(3162/107)</t>
  </si>
  <si>
    <t>(3162/108)</t>
  </si>
  <si>
    <t>(3162/109)</t>
  </si>
  <si>
    <t>(3162/110)</t>
  </si>
  <si>
    <t>(3162/111)</t>
  </si>
  <si>
    <t>(3162/112)</t>
  </si>
  <si>
    <t>(3162/113)</t>
  </si>
  <si>
    <t>(3162/114)</t>
  </si>
  <si>
    <t>(3162/115)</t>
  </si>
  <si>
    <t>(3162/116)</t>
  </si>
  <si>
    <t>(3162/117)</t>
  </si>
  <si>
    <t>(3162/118)</t>
  </si>
  <si>
    <t>(3162/119)</t>
  </si>
  <si>
    <t>(3162/120)</t>
  </si>
  <si>
    <t>(3162/121)</t>
  </si>
  <si>
    <t>(3162/122)</t>
  </si>
  <si>
    <t>(3162/123)</t>
  </si>
  <si>
    <t>(3162/124)</t>
  </si>
  <si>
    <t>(3162/125)</t>
  </si>
  <si>
    <t>(3162/126)</t>
  </si>
  <si>
    <t>(3162/127)</t>
  </si>
  <si>
    <t>(3162/128)</t>
  </si>
  <si>
    <t>(3162/129)</t>
  </si>
  <si>
    <t>(3162/130)</t>
  </si>
  <si>
    <t>(3162/131)</t>
  </si>
  <si>
    <t>(3162/132)</t>
  </si>
  <si>
    <t>(3162/133)</t>
  </si>
  <si>
    <t>(3162/134)</t>
  </si>
  <si>
    <t>(3162/135)</t>
  </si>
  <si>
    <t>(3162/136)</t>
  </si>
  <si>
    <t>(3162/137)</t>
  </si>
  <si>
    <t>(3162/138)</t>
  </si>
  <si>
    <t>(3162/139)</t>
  </si>
  <si>
    <t>(3162/140)</t>
  </si>
  <si>
    <t>(3162/141)</t>
  </si>
  <si>
    <t>(3162/142)</t>
  </si>
  <si>
    <t>(3162/143)</t>
  </si>
  <si>
    <t>APC UPS Galaxy: Battery has low capacity</t>
  </si>
  <si>
    <t>APC UPS Galaxy: 电池容量低</t>
  </si>
  <si>
    <t>(3162/144)</t>
  </si>
  <si>
    <t>APC UPS Galaxy: Battery needs replacement</t>
  </si>
  <si>
    <t>APC UPS Galaxy: 电池需要更换</t>
  </si>
  <si>
    <t>(3162/145)</t>
  </si>
  <si>
    <t>APC UPS Galaxy: Battery has an internal error condition</t>
  </si>
  <si>
    <t>APC UPS Galaxy: 电池存在内部错误状况</t>
  </si>
  <si>
    <t>(3162/146)</t>
  </si>
  <si>
    <t>APC UPS Galaxy: Battery is Low</t>
  </si>
  <si>
    <t>APC UPS Galaxy: 电池电量不足</t>
  </si>
  <si>
    <t>(3162/147)</t>
  </si>
  <si>
    <t>APC UPS Galaxy: Battery has high temperature</t>
  </si>
  <si>
    <t>APC UPS Galaxy: 电池温度高</t>
  </si>
  <si>
    <t>(3162/148)</t>
  </si>
  <si>
    <t>APC UPS Galaxy: Unacceptable input frequency</t>
  </si>
  <si>
    <t>APC UPS Galaxy: 不可接受的输入频率</t>
  </si>
  <si>
    <t>(3162/149)</t>
  </si>
  <si>
    <t>APC UPS Galaxy: Unacceptable input voltage</t>
  </si>
  <si>
    <t>APC UPS Galaxy: 不可接受的输入电压</t>
  </si>
  <si>
    <t>(3162/150)</t>
  </si>
  <si>
    <t>APC UPS Galaxy: Output load is high</t>
  </si>
  <si>
    <t>APC UPS Galaxy: 输出负载高了</t>
  </si>
  <si>
    <t>(3162/151)</t>
  </si>
  <si>
    <t>APC UPS Galaxy: UPS is Emergency Static Bypass</t>
  </si>
  <si>
    <t>APC UPS Galaxy: UPS为紧急静态旁路</t>
  </si>
  <si>
    <t>(3162/152)</t>
  </si>
  <si>
    <t>APC UPS Galaxy: UPS is Hardware Failure Bypass</t>
  </si>
  <si>
    <t>APC UPS Galaxy: UPS为硬件故障旁路</t>
  </si>
  <si>
    <t>(3162/153)</t>
  </si>
  <si>
    <t>APC UPS Galaxy: UPS is Off</t>
  </si>
  <si>
    <t>APC UPS Galaxy: UPS关闭</t>
  </si>
  <si>
    <t>(3162/154)</t>
  </si>
  <si>
    <t>APC UPS Galaxy: UPS is on battery</t>
  </si>
  <si>
    <t>APC UPS Galaxy: UPS处于使用电池状态</t>
  </si>
  <si>
    <t>(3162/155)</t>
  </si>
  <si>
    <t>APC UPS Galaxy: UPS is on Smart Boost</t>
  </si>
  <si>
    <t>APC UPS Galaxy: UPS处于Smart Boost状态</t>
  </si>
  <si>
    <t>(3162/156)</t>
  </si>
  <si>
    <t>APC UPS Galaxy: UPS is On Smart Trim</t>
  </si>
  <si>
    <t>APC UPS Galaxy: UPS处于智能微调状态</t>
  </si>
  <si>
    <t>(3162/157)</t>
  </si>
  <si>
    <t>APC UPS Galaxy: UPS is Rebooting</t>
  </si>
  <si>
    <t>APC UPS Galaxy: UPS正在重新启动</t>
  </si>
  <si>
    <t>(3162/158)</t>
  </si>
  <si>
    <t>APC UPS Galaxy: UPS is Sleeping Until Power Return</t>
  </si>
  <si>
    <t>APC UPS Galaxy: UPS正在休眠直到电源恢复</t>
  </si>
  <si>
    <t>(3162/159)</t>
  </si>
  <si>
    <t>APC UPS Galaxy: UPS is Software Bypass</t>
  </si>
  <si>
    <t>APC UPS Galaxy: UPS为软件旁路</t>
  </si>
  <si>
    <t>(3162/160)</t>
  </si>
  <si>
    <t>APC UPS Galaxy: UPS is Switched Bypass</t>
  </si>
  <si>
    <t>APC UPS Galaxy: UPS为切换旁路</t>
  </si>
  <si>
    <t>(3162/161)</t>
  </si>
  <si>
    <t>APC UPS Galaxy: UPS is Timed Sleeping</t>
  </si>
  <si>
    <t>APC UPS Galaxy: UPS处于定时睡眠状态</t>
  </si>
  <si>
    <t>(3162/162)</t>
  </si>
  <si>
    <t>APC UPS Galaxy: Host has been restarted</t>
  </si>
  <si>
    <t>APC UPS Galaxy: 主机已重新启动</t>
  </si>
  <si>
    <t>(3162/163)</t>
  </si>
  <si>
    <t>APC UPS Galaxy: System name has changed</t>
  </si>
  <si>
    <t>APC UPS Galaxy: 系统名称已变更</t>
  </si>
  <si>
    <t>(3162/164)</t>
  </si>
  <si>
    <t>APC UPS Galaxy: No SNMP data collection</t>
  </si>
  <si>
    <t>APC UPS Galaxy: 无SNMP数据收集</t>
  </si>
  <si>
    <t>(3162/165)</t>
  </si>
  <si>
    <t>APC UPS Symmetra: Battery has low capacity</t>
  </si>
  <si>
    <t>APC UPS Symmetra: 电池容量低</t>
  </si>
  <si>
    <t>(3162/166)</t>
  </si>
  <si>
    <t>APC UPS Symmetra: Battery needs replacement</t>
  </si>
  <si>
    <t>APC UPS Symmetra: 电池需要更换</t>
  </si>
  <si>
    <t>(3162/167)</t>
  </si>
  <si>
    <t>APC UPS Symmetra: Battery has an internal error condition</t>
  </si>
  <si>
    <t>APC UPS Symmetra: 电池存在内部错误状况</t>
  </si>
  <si>
    <t>(3162/168)</t>
  </si>
  <si>
    <t>APC UPS Symmetra: Battery is Low</t>
  </si>
  <si>
    <t>APC UPS Symmetra: 电池电量不足</t>
  </si>
  <si>
    <t>(3162/169)</t>
  </si>
  <si>
    <t>APC UPS Symmetra: Battery has high temperature</t>
  </si>
  <si>
    <t>APC UPS Symmetra: 电池温度高</t>
  </si>
  <si>
    <t>(3162/170)</t>
  </si>
  <si>
    <t>APC UPS Symmetra: Unacceptable input frequency</t>
  </si>
  <si>
    <t>APC UPS Symmetra: 不可接受的输入频率</t>
  </si>
  <si>
    <t>(3162/171)</t>
  </si>
  <si>
    <t>APC UPS Symmetra: Unacceptable input voltage</t>
  </si>
  <si>
    <t>APC UPS Symmetra: 不可接受的输入电压</t>
  </si>
  <si>
    <t>(3162/172)</t>
  </si>
  <si>
    <t>APC UPS Symmetra: Output load is high</t>
  </si>
  <si>
    <t>APC UPS Symmetra: 输出负载高了</t>
  </si>
  <si>
    <t>(3162/173)</t>
  </si>
  <si>
    <t>APC UPS Symmetra: UPS is Emergency Static Bypass</t>
  </si>
  <si>
    <t>APC UPS Symmetra: UPS为紧急静态旁路</t>
  </si>
  <si>
    <t>(3162/174)</t>
  </si>
  <si>
    <t>APC UPS Symmetra: UPS is Hardware Failure Bypass</t>
  </si>
  <si>
    <t>APC UPS Symmetra: UPS为硬件故障旁路</t>
  </si>
  <si>
    <t>(3162/175)</t>
  </si>
  <si>
    <t>APC UPS Symmetra: UPS is Off</t>
  </si>
  <si>
    <t>APC UPS Symmetra: UPS关闭</t>
  </si>
  <si>
    <t>(3162/176)</t>
  </si>
  <si>
    <t>APC UPS Symmetra: UPS is on battery</t>
  </si>
  <si>
    <t>APC UPS Symmetra: UPS处于使用电池状态</t>
  </si>
  <si>
    <t>(3162/177)</t>
  </si>
  <si>
    <t>APC UPS Symmetra: UPS is on Smart Boost</t>
  </si>
  <si>
    <t>APC UPS Symmetra: UPS处于Smart Boost状态</t>
  </si>
  <si>
    <t>(3162/178)</t>
  </si>
  <si>
    <t>APC UPS Symmetra: UPS is On Smart Trim</t>
  </si>
  <si>
    <t>APC UPS Symmetra: UPS处于智能微调状态</t>
  </si>
  <si>
    <t>(3162/179)</t>
  </si>
  <si>
    <t>APC UPS Symmetra: UPS is Rebooting</t>
  </si>
  <si>
    <t>APC UPS Symmetra: UPS正在重新启动</t>
  </si>
  <si>
    <t>(3162/180)</t>
  </si>
  <si>
    <t>APC UPS Symmetra: UPS is Sleeping Until Power Return</t>
  </si>
  <si>
    <t>APC UPS Symmetra: UPS正在休眠直到电源恢复</t>
  </si>
  <si>
    <t>(3162/181)</t>
  </si>
  <si>
    <t>APC UPS Symmetra: UPS is Software Bypass</t>
  </si>
  <si>
    <t>APC UPS Symmetra: UPS为软件旁路</t>
  </si>
  <si>
    <t>(3162/182)</t>
  </si>
  <si>
    <t>APC UPS Symmetra: UPS is Switched Bypass</t>
  </si>
  <si>
    <t>APC UPS Symmetra: UPS为切换旁路</t>
  </si>
  <si>
    <t>(3162/183)</t>
  </si>
  <si>
    <t>APC UPS Symmetra: UPS is Timed Sleeping</t>
  </si>
  <si>
    <t>APC UPS Symmetra: UPS处于定时睡眠状态</t>
  </si>
  <si>
    <t>(3162/184)</t>
  </si>
  <si>
    <t>APC UPS Symmetra: Host has been restarted</t>
  </si>
  <si>
    <t>APC UPS Symmetra: 主机已重新启动</t>
  </si>
  <si>
    <t>(3162/185)</t>
  </si>
  <si>
    <t>APC UPS Symmetra: System name has changed</t>
  </si>
  <si>
    <t>APC UPS Symmetra: 系统名称已变更</t>
  </si>
  <si>
    <t>(3162/186)</t>
  </si>
  <si>
    <t>APC UPS Symmetra: No SNMP data collection</t>
  </si>
  <si>
    <t>APC UPS Symmetra: 无SNMP数据收集</t>
  </si>
  <si>
    <t>(3162/187)</t>
  </si>
  <si>
    <t>(3162/188)</t>
  </si>
  <si>
    <t>(3162/189)</t>
  </si>
  <si>
    <t>(3162/190)</t>
  </si>
  <si>
    <t>(3162/191)</t>
  </si>
  <si>
    <t>(3162/192)</t>
  </si>
  <si>
    <t>(3162/193)</t>
  </si>
  <si>
    <t>(3162/194)</t>
  </si>
  <si>
    <t>(3162/195)</t>
  </si>
  <si>
    <t>(3162/196)</t>
  </si>
  <si>
    <t>(3162/197)</t>
  </si>
  <si>
    <t>(3162/198)</t>
  </si>
  <si>
    <t>(3162/199)</t>
  </si>
  <si>
    <t>(3162/200)</t>
  </si>
  <si>
    <t>(3162/201)</t>
  </si>
  <si>
    <t>(3162/202)</t>
  </si>
  <si>
    <t>(3162/203)</t>
  </si>
  <si>
    <t>(3162/204)</t>
  </si>
  <si>
    <t>(3162/205)</t>
  </si>
  <si>
    <t>(3162/206)</t>
  </si>
  <si>
    <t>(3162/207)</t>
  </si>
  <si>
    <t>(3162/208)</t>
  </si>
  <si>
    <t>(3162/209)</t>
  </si>
  <si>
    <t>(3162/210)</t>
  </si>
  <si>
    <t>(3162/211)</t>
  </si>
  <si>
    <t>(3162/212)</t>
  </si>
  <si>
    <t>(3162/213)</t>
  </si>
  <si>
    <t>(3162/214)</t>
  </si>
  <si>
    <t>(3162/215)</t>
  </si>
  <si>
    <t>(3162/216)</t>
  </si>
  <si>
    <t>(3162/217)</t>
  </si>
  <si>
    <t>(3162/218)</t>
  </si>
  <si>
    <t>(3162/219)</t>
  </si>
  <si>
    <t>(3162/220)</t>
  </si>
  <si>
    <t>(3162/221)</t>
  </si>
  <si>
    <t>(3162/222)</t>
  </si>
  <si>
    <t>(3162/223)</t>
  </si>
  <si>
    <t>(3162/224)</t>
  </si>
  <si>
    <t>(3162/225)</t>
  </si>
  <si>
    <t>(3162/226)</t>
  </si>
  <si>
    <t>(3162/227)</t>
  </si>
  <si>
    <t>(3162/228)</t>
  </si>
  <si>
    <t>(3162/229)</t>
  </si>
  <si>
    <t>(3162/230)</t>
  </si>
  <si>
    <t>(3162/231)</t>
  </si>
  <si>
    <t>(3162/232)</t>
  </si>
  <si>
    <t>(3162/233)</t>
  </si>
  <si>
    <t>(3162/234)</t>
  </si>
  <si>
    <t>(3162/235)</t>
  </si>
  <si>
    <t>(3162/236)</t>
  </si>
  <si>
    <t>(3162/237)</t>
  </si>
  <si>
    <t>(3162/238)</t>
  </si>
  <si>
    <t>(3162/239)</t>
  </si>
  <si>
    <t>(3162/240)</t>
  </si>
  <si>
    <t>(3162/241)</t>
  </si>
  <si>
    <t>(3162/242)</t>
  </si>
  <si>
    <t>(3162/243)</t>
  </si>
  <si>
    <t>(3162/244)</t>
  </si>
  <si>
    <t>(3162/245)</t>
  </si>
  <si>
    <t>(3162/246)</t>
  </si>
  <si>
    <t>(3162/247)</t>
  </si>
  <si>
    <t>(3162/248)</t>
  </si>
  <si>
    <t>(3162/249)</t>
  </si>
  <si>
    <t>(3162/250)</t>
  </si>
  <si>
    <t>(3162/251)</t>
  </si>
  <si>
    <t>(3162/252)</t>
  </si>
  <si>
    <t>(3162/253)</t>
  </si>
  <si>
    <t>22825</t>
  </si>
  <si>
    <t>(3162/254)</t>
  </si>
  <si>
    <t>22826</t>
  </si>
  <si>
    <t>(3162/255)</t>
  </si>
  <si>
    <t>22827</t>
  </si>
  <si>
    <t>(3162/256)</t>
  </si>
  <si>
    <t>22828</t>
  </si>
  <si>
    <t>(3162/257)</t>
  </si>
  <si>
    <t>22829</t>
  </si>
  <si>
    <t>(3162/258)</t>
  </si>
  <si>
    <t>22830</t>
  </si>
  <si>
    <t>(3162/259)</t>
  </si>
  <si>
    <t>22831</t>
  </si>
  <si>
    <t>(3162/260)</t>
  </si>
  <si>
    <t>22832</t>
  </si>
  <si>
    <t>(3162/261)</t>
  </si>
  <si>
    <t>22833</t>
  </si>
  <si>
    <t>(3162/262)</t>
  </si>
  <si>
    <t>22834</t>
  </si>
  <si>
    <t>(3162/263)</t>
  </si>
  <si>
    <t>23304</t>
  </si>
  <si>
    <t>(3162/264)</t>
  </si>
  <si>
    <t>23305</t>
  </si>
  <si>
    <t>(3162/265)</t>
  </si>
  <si>
    <t>23306</t>
  </si>
  <si>
    <t>(3162/266)</t>
  </si>
  <si>
    <t>(3162/267)</t>
  </si>
  <si>
    <t>AWS ECS Serverless: Failed to get alarms data</t>
  </si>
  <si>
    <t>AWS ECS Serverless: 无法获取报警数据</t>
  </si>
  <si>
    <t>(3162/268)</t>
  </si>
  <si>
    <t>AWS ECS Serverless: High CPU utilization</t>
  </si>
  <si>
    <t>AWS ECS Serverless: 高CPU利用率</t>
  </si>
  <si>
    <t>(3162/269)</t>
  </si>
  <si>
    <t>AWS ECS Serverless: High memory utilization</t>
  </si>
  <si>
    <t>AWS ECS Serverless: 内存利用率高</t>
  </si>
  <si>
    <t>(3162/270)</t>
  </si>
  <si>
    <t>AWS ECS Serverless: Failed to get metrics data</t>
  </si>
  <si>
    <t>AWS ECS Serverless: 无法获取指标数据</t>
  </si>
  <si>
    <t>(3162/271)</t>
  </si>
  <si>
    <t>(3162/272)</t>
  </si>
  <si>
    <t>(3162/273)</t>
  </si>
  <si>
    <t>(3162/274)</t>
  </si>
  <si>
    <t>(3162/275)</t>
  </si>
  <si>
    <t>23676</t>
  </si>
  <si>
    <t>(3162/276)</t>
  </si>
  <si>
    <t>23677</t>
  </si>
  <si>
    <t>(3162/277)</t>
  </si>
  <si>
    <t>23747</t>
  </si>
  <si>
    <t>(3162/278)</t>
  </si>
  <si>
    <t>23748</t>
  </si>
  <si>
    <t>(3162/279)</t>
  </si>
  <si>
    <t>22852</t>
  </si>
  <si>
    <t>(3162/280)</t>
  </si>
  <si>
    <t>22853</t>
  </si>
  <si>
    <t>(3162/281)</t>
  </si>
  <si>
    <t>22854</t>
  </si>
  <si>
    <t>(3162/282)</t>
  </si>
  <si>
    <t>22855</t>
  </si>
  <si>
    <t>(3162/283)</t>
  </si>
  <si>
    <t>22856</t>
  </si>
  <si>
    <t>(3162/284)</t>
  </si>
  <si>
    <t>22857</t>
  </si>
  <si>
    <t>(3162/285)</t>
  </si>
  <si>
    <t>22858</t>
  </si>
  <si>
    <t>(3162/286)</t>
  </si>
  <si>
    <t>22859</t>
  </si>
  <si>
    <t>(3162/287)</t>
  </si>
  <si>
    <t>22860</t>
  </si>
  <si>
    <t>(3162/288)</t>
  </si>
  <si>
    <t>22861</t>
  </si>
  <si>
    <t>(3162/289)</t>
  </si>
  <si>
    <t>22864</t>
  </si>
  <si>
    <t>(3162/290)</t>
  </si>
  <si>
    <t>22865</t>
  </si>
  <si>
    <t>(3162/291)</t>
  </si>
  <si>
    <t>Alcatel TiMOS: Unavailable by ICMP ping</t>
  </si>
  <si>
    <t>Alcatel TiMOS: ICMP ping不可用</t>
  </si>
  <si>
    <t>(3162/292)</t>
  </si>
  <si>
    <t>Alcatel TiMOS: High ICMP ping loss</t>
  </si>
  <si>
    <t>Alcatel TiMOS: 高ICMP ping丢失</t>
  </si>
  <si>
    <t>(3162/293)</t>
  </si>
  <si>
    <t>Alcatel TiMOS: High ICMP ping response time</t>
  </si>
  <si>
    <t>Alcatel TiMOS: 高ICMP ping响应时间</t>
  </si>
  <si>
    <t>(3162/294)</t>
  </si>
  <si>
    <t>Alcatel TiMOS: High CPU utilization</t>
  </si>
  <si>
    <t>Alcatel TiMOS: 高CPU利用率</t>
  </si>
  <si>
    <t>(3162/295)</t>
  </si>
  <si>
    <t>Alcatel TiMOS: Host has been restarted</t>
  </si>
  <si>
    <t>Alcatel TiMOS: 主机已重新启动</t>
  </si>
  <si>
    <t>(3162/296)</t>
  </si>
  <si>
    <t>Alcatel TiMOS: System name has changed</t>
  </si>
  <si>
    <t>Alcatel TiMOS: 系统名称已变更</t>
  </si>
  <si>
    <t>(3162/297)</t>
  </si>
  <si>
    <t>Alcatel TiMOS: Operating system description has changed</t>
  </si>
  <si>
    <t>Alcatel TiMOS: 操作系统描述已变更</t>
  </si>
  <si>
    <t>(3162/298)</t>
  </si>
  <si>
    <t>Alcatel TiMOS: High memory utilization</t>
  </si>
  <si>
    <t>Alcatel TiMOS: 内存利用率高</t>
  </si>
  <si>
    <t>(3162/299)</t>
  </si>
  <si>
    <t>Alcatel TiMOS: No SNMP data collection</t>
  </si>
  <si>
    <t>Alcatel TiMOS: 无SNMP数据收集</t>
  </si>
  <si>
    <t>(3162/300)</t>
  </si>
  <si>
    <t>(3162/301)</t>
  </si>
  <si>
    <t>(3162/302)</t>
  </si>
  <si>
    <t>(3162/303)</t>
  </si>
  <si>
    <t>(3162/304)</t>
  </si>
  <si>
    <t>(3162/305)</t>
  </si>
  <si>
    <t>(3162/306)</t>
  </si>
  <si>
    <t>Apache Kafka: Unclean leader election detected</t>
  </si>
  <si>
    <t>Apache Kafka: 检测到不明确的leader人选举</t>
  </si>
  <si>
    <t>(3162/307)</t>
  </si>
  <si>
    <t>Apache Kafka: One or more partitions have no leader</t>
  </si>
  <si>
    <t>Apache Kafka: 一个或多个分区没有leader</t>
  </si>
  <si>
    <t>(3162/308)</t>
  </si>
  <si>
    <t>Apache Kafka: There are offline log directories</t>
  </si>
  <si>
    <t>Apache Kafka: 有脱机日志目录</t>
  </si>
  <si>
    <t>(3162/309)</t>
  </si>
  <si>
    <t>Apache Kafka: Network processor average idle percent is too low</t>
  </si>
  <si>
    <t>Apache Kafka: 网络处理器平均空闲百分比太低</t>
  </si>
  <si>
    <t>(3162/310)</t>
  </si>
  <si>
    <t>Apache Kafka: Failed to fetch info data</t>
  </si>
  <si>
    <t>Apache Kafka: 无法获取信息数据</t>
  </si>
  <si>
    <t>(3162/311)</t>
  </si>
  <si>
    <t>Apache Kafka: Request handler average idle percent is too low</t>
  </si>
  <si>
    <t>Apache Kafka: 请求处理程序平均空闲百分比太低</t>
  </si>
  <si>
    <t>(3162/312)</t>
  </si>
  <si>
    <t>Apache Kafka: There are partitions under the min ISR</t>
  </si>
  <si>
    <t>Apache Kafka: 最小ISR下有分区</t>
  </si>
  <si>
    <t>(3162/313)</t>
  </si>
  <si>
    <t>Apache Kafka: There are under replicated partitions</t>
  </si>
  <si>
    <t>Apache Kafka: 存在复制不足的分区</t>
  </si>
  <si>
    <t>(3162/314)</t>
  </si>
  <si>
    <t>Apache Kafka: Broker is not connected to ZooKeeper</t>
  </si>
  <si>
    <t>Apache Kafka: Broker 未连接到ZooKeeper</t>
  </si>
  <si>
    <t>(3162/315)</t>
  </si>
  <si>
    <t>Apache Kafka: Kafka service has been restarted</t>
  </si>
  <si>
    <t>Apache Kafka: 已重新启动</t>
  </si>
  <si>
    <t>(3162/316)</t>
  </si>
  <si>
    <t>Apache Kafka: Version has changed</t>
  </si>
  <si>
    <t>Apache Kafka: 版本已变更</t>
  </si>
  <si>
    <t>(3162/317)</t>
  </si>
  <si>
    <t>Apache Tomcat: Version has been changed</t>
  </si>
  <si>
    <t>Apache Tomcat: 版本已变更</t>
  </si>
  <si>
    <t>(3162/318)</t>
  </si>
  <si>
    <t>(3162/319)</t>
  </si>
  <si>
    <t>Apache: Service has been restarted</t>
  </si>
  <si>
    <t>Apache: 服务已重新启动</t>
  </si>
  <si>
    <t>(3162/320)</t>
  </si>
  <si>
    <t>(3162/321)</t>
  </si>
  <si>
    <t>(3162/322)</t>
  </si>
  <si>
    <t>(3162/323)</t>
  </si>
  <si>
    <t>(3162/324)</t>
  </si>
  <si>
    <t>(3162/325)</t>
  </si>
  <si>
    <t>Apache by Zabbix agent active</t>
  </si>
  <si>
    <t>23819</t>
  </si>
  <si>
    <t>(3162/326)</t>
  </si>
  <si>
    <t>23820</t>
  </si>
  <si>
    <t>(3162/327)</t>
  </si>
  <si>
    <t>(3162/328)</t>
  </si>
  <si>
    <t>(3162/329)</t>
  </si>
  <si>
    <t>(3162/330)</t>
  </si>
  <si>
    <t>(3162/331)</t>
  </si>
  <si>
    <t>(3162/332)</t>
  </si>
  <si>
    <t>(3162/333)</t>
  </si>
  <si>
    <t>(3162/334)</t>
  </si>
  <si>
    <t>(3162/335)</t>
  </si>
  <si>
    <t>(3162/336)</t>
  </si>
  <si>
    <t>(3162/337)</t>
  </si>
  <si>
    <t>Asterisk: Service has been restarted</t>
  </si>
  <si>
    <t>Asterisk：服务已重新启动</t>
  </si>
  <si>
    <t>(3162/338)</t>
  </si>
  <si>
    <t>(3162/339)</t>
  </si>
  <si>
    <t>Asterisk: Configuration has been reloaded</t>
  </si>
  <si>
    <t>Asterisk：配置已重新加载</t>
  </si>
  <si>
    <t>(3162/340)</t>
  </si>
  <si>
    <t>(3162/341)</t>
  </si>
  <si>
    <t>(3162/342)</t>
  </si>
  <si>
    <t>(3162/343)</t>
  </si>
  <si>
    <t>Azure Backup Jobs by HTTP</t>
  </si>
  <si>
    <t>25027</t>
  </si>
  <si>
    <t>Azure backup jobs: Azure vault is degraded</t>
  </si>
  <si>
    <t>Azure备份作业：Azure保管库状态降级</t>
  </si>
  <si>
    <t>(3162/344)</t>
  </si>
  <si>
    <t>25028</t>
  </si>
  <si>
    <t>Azure backup jobs: Azure vault is in unknown state</t>
  </si>
  <si>
    <t>Azure备份作业：Azure保管库处于未知状态</t>
  </si>
  <si>
    <t>(3162/345)</t>
  </si>
  <si>
    <t>25029</t>
  </si>
  <si>
    <t>Azure backup jobs: Azure vault is unavailable</t>
  </si>
  <si>
    <t>Azure备份作业：Azure保管库不可用</t>
  </si>
  <si>
    <t>(3162/346)</t>
  </si>
  <si>
    <t>25030</t>
  </si>
  <si>
    <t>Azure backup jobs: There are errors in requests to API</t>
  </si>
  <si>
    <t>Azure备份作业：对API的请求中存在错误</t>
  </si>
  <si>
    <t>(3162/347)</t>
  </si>
  <si>
    <t>25031</t>
  </si>
  <si>
    <t>Azure backup jobs: Backup configuration job has appeared</t>
  </si>
  <si>
    <t>Azure备份作业：备份配置作业已出现</t>
  </si>
  <si>
    <t>(3162/348)</t>
  </si>
  <si>
    <t>25032</t>
  </si>
  <si>
    <t>Azure backup jobs: Backup data deletion job has appeared</t>
  </si>
  <si>
    <t>Azure备份作业：备份数据删除作业已出现</t>
  </si>
  <si>
    <t>(3162/349)</t>
  </si>
  <si>
    <t>25033</t>
  </si>
  <si>
    <t>Azure backup jobs: Restore job has appeared</t>
  </si>
  <si>
    <t>Azure备份作业：还原作业已出现</t>
  </si>
  <si>
    <t>(3162/350)</t>
  </si>
  <si>
    <t>Azure Cosmos DB: There are errors in requests to API</t>
  </si>
  <si>
    <t>Azure Cosmos DB: API请求有错误</t>
  </si>
  <si>
    <t>(3162/351)</t>
  </si>
  <si>
    <t>Azure Cosmos DB: Cosmos DB for MongoDB account: Availability is low</t>
  </si>
  <si>
    <t>Azure Cosmos DB: 用于MongoDB帐户的CosmosDB: 可用性低</t>
  </si>
  <si>
    <t>(3162/352)</t>
  </si>
  <si>
    <t>Azure Cost Management by HTTP</t>
  </si>
  <si>
    <t>24645</t>
  </si>
  <si>
    <t>Azure Cost: There are errors in requests to API</t>
  </si>
  <si>
    <t>Azure成本：对API的请求中存在错误</t>
  </si>
  <si>
    <t>(3162/353)</t>
  </si>
  <si>
    <t>24646</t>
  </si>
  <si>
    <t>(3162/354)</t>
  </si>
  <si>
    <t>Azure Microsoft SQL DTU Database by HTTP</t>
  </si>
  <si>
    <t>24647</t>
  </si>
  <si>
    <t>Azure MSSQL DTU: Microsoft SQL database is degraded</t>
  </si>
  <si>
    <t>Azure MSSQL DTU：Microsoft SQL数据库性能降级</t>
  </si>
  <si>
    <t>(3162/355)</t>
  </si>
  <si>
    <t>24648</t>
  </si>
  <si>
    <t>Azure MSSQL DTU: Microsoft SQL database is in unknown state</t>
  </si>
  <si>
    <t>Azure MSSQL DTU：Microsoft SQL数据库处于未知状态</t>
  </si>
  <si>
    <t>(3162/356)</t>
  </si>
  <si>
    <t>24649</t>
  </si>
  <si>
    <t>Azure MSSQL DTU: Microsoft SQL database is unavailable</t>
  </si>
  <si>
    <t>Azure MSSQL DTU：Microsoft SQL数据库不可用</t>
  </si>
  <si>
    <t>(3162/357)</t>
  </si>
  <si>
    <t>24650</t>
  </si>
  <si>
    <t>Azure MSSQL DTU: High CPU utilization</t>
  </si>
  <si>
    <t>Azure MSSQL DTU：CPU利用率过高</t>
  </si>
  <si>
    <t>(3162/358)</t>
  </si>
  <si>
    <t>24651</t>
  </si>
  <si>
    <t>Azure MSSQL DTU: There are errors in requests to API</t>
  </si>
  <si>
    <t>Azure MSSQL DTU：对API的请求中存在错误</t>
  </si>
  <si>
    <t>(3162/359)</t>
  </si>
  <si>
    <t>24652</t>
  </si>
  <si>
    <t>Azure MSSQL DTU: High DTU utilization</t>
  </si>
  <si>
    <t>Azure MSSQL DTU：高DTU利用率</t>
  </si>
  <si>
    <t>(3162/360)</t>
  </si>
  <si>
    <t>24653</t>
  </si>
  <si>
    <t>Azure MSSQL DTU: Storage space is critically low</t>
  </si>
  <si>
    <t>Azure MSSQL DTU：存储空间严重不足</t>
  </si>
  <si>
    <t>(3162/361)</t>
  </si>
  <si>
    <t>24654</t>
  </si>
  <si>
    <t>Azure MSSQL DTU: Storage space is low</t>
  </si>
  <si>
    <t>Azure MSSQL DTU：存储空间不足</t>
  </si>
  <si>
    <t>(3162/362)</t>
  </si>
  <si>
    <t>23113</t>
  </si>
  <si>
    <t>Azure MSSQL: Microsoft SQL database is degraded</t>
  </si>
  <si>
    <t>Azure MSSQL: MicrosoftSQL数据库已降级</t>
  </si>
  <si>
    <t>(3162/363)</t>
  </si>
  <si>
    <t>23114</t>
  </si>
  <si>
    <t>Azure MSSQL: Microsoft SQL database is in unknown state</t>
  </si>
  <si>
    <t>Azure MSSQL: MicrosoftSQL数据库处于未知状态</t>
  </si>
  <si>
    <t>(3162/364)</t>
  </si>
  <si>
    <t>23115</t>
  </si>
  <si>
    <t>Azure MSSQL: Microsoft SQL database is unavailable</t>
  </si>
  <si>
    <t>Azure MSSQL: MicrosoftSQL数据库不可用</t>
  </si>
  <si>
    <t>(3162/365)</t>
  </si>
  <si>
    <t>23116</t>
  </si>
  <si>
    <t>Azure MSSQL: High CPU utilization</t>
  </si>
  <si>
    <t>Azure MSSQL: 高CPU利用率</t>
  </si>
  <si>
    <t>(3162/366)</t>
  </si>
  <si>
    <t>23117</t>
  </si>
  <si>
    <t>Azure MSSQL: There are errors in requests to API</t>
  </si>
  <si>
    <t>Azure MSSQL: API请求有错误</t>
  </si>
  <si>
    <t>(3162/367)</t>
  </si>
  <si>
    <t>23118</t>
  </si>
  <si>
    <t>Azure MSSQL: Storage space is critically low</t>
  </si>
  <si>
    <t>Azure MSSQL: 存储空间严重不足</t>
  </si>
  <si>
    <t>(3162/368)</t>
  </si>
  <si>
    <t>23119</t>
  </si>
  <si>
    <t>Azure MSSQL: Storage space is low</t>
  </si>
  <si>
    <t>Azure MSSQL: 存储空间不足</t>
  </si>
  <si>
    <t>(3162/369)</t>
  </si>
  <si>
    <t>23120</t>
  </si>
  <si>
    <t>Azure MSSQL Serverless: Microsoft SQL database is degraded</t>
  </si>
  <si>
    <t>Azure MSSQL Serverless: MicrosoftSQL数据库已降级</t>
  </si>
  <si>
    <t>(3162/370)</t>
  </si>
  <si>
    <t>23121</t>
  </si>
  <si>
    <t>Azure MSSQL Serverless: Microsoft SQL database is in unknown state</t>
  </si>
  <si>
    <t>Azure MSSQL Serverless: MicrosoftSQL数据库处于未知状态</t>
  </si>
  <si>
    <t>(3162/371)</t>
  </si>
  <si>
    <t>23122</t>
  </si>
  <si>
    <t>Azure MSSQL Serverless: Microsoft SQL database is unavailable</t>
  </si>
  <si>
    <t>Azure MSSQL Serverless: MicrosoftSQL数据库不可用</t>
  </si>
  <si>
    <t>(3162/372)</t>
  </si>
  <si>
    <t>23123</t>
  </si>
  <si>
    <t>Azure MSSQL Serverless: High CPU utilization</t>
  </si>
  <si>
    <t>Azure MSSQL Serverless: 高CPU利用率</t>
  </si>
  <si>
    <t>(3162/373)</t>
  </si>
  <si>
    <t>23124</t>
  </si>
  <si>
    <t>Azure MSSQL Serverless: There are errors in requests to API</t>
  </si>
  <si>
    <t>Azure MSSQL Serverless: API请求有错误</t>
  </si>
  <si>
    <t>(3162/374)</t>
  </si>
  <si>
    <t>23125</t>
  </si>
  <si>
    <t>Azure MSSQL Serverless: Storage space is critically low</t>
  </si>
  <si>
    <t>Azure MSSQL Serverless: 存储空间严重不足</t>
  </si>
  <si>
    <t>(3162/375)</t>
  </si>
  <si>
    <t>23126</t>
  </si>
  <si>
    <t>Azure MSSQL Serverless: Storage space is low</t>
  </si>
  <si>
    <t>Azure MSSQL Serverless: 存储空间不足</t>
  </si>
  <si>
    <t>(3162/376)</t>
  </si>
  <si>
    <t>Azure MySQL Flexible: MySQL server is degraded</t>
  </si>
  <si>
    <t>Azure MySQL Flexible: MySQL服务器已降级</t>
  </si>
  <si>
    <t>(3162/377)</t>
  </si>
  <si>
    <t>Azure MySQL Flexible: MySQL server is in unknown state</t>
  </si>
  <si>
    <t>Azure MySQL Flexible: MySQL服务器处于未知状态</t>
  </si>
  <si>
    <t>(3162/378)</t>
  </si>
  <si>
    <t>Azure MySQL Flexible: MySQL server is unavailable</t>
  </si>
  <si>
    <t>Azure MySQL Flexible: MySQL服务器不可用</t>
  </si>
  <si>
    <t>(3162/379)</t>
  </si>
  <si>
    <t>22997</t>
  </si>
  <si>
    <t>Azure MySQL Flexible: Server has aborted connections</t>
  </si>
  <si>
    <t>Azure MySQL Flexible: 服务器已已关闭连接</t>
  </si>
  <si>
    <t>(3162/380)</t>
  </si>
  <si>
    <t>22998</t>
  </si>
  <si>
    <t>Azure MySQL Flexible: High CPU utilization</t>
  </si>
  <si>
    <t>Azure MySQL Flexible: 高CPU利用率</t>
  </si>
  <si>
    <t>(3162/381)</t>
  </si>
  <si>
    <t>Azure MySQL Flexible: There are errors in requests to API</t>
  </si>
  <si>
    <t>Azure MySQL Flexible: API请求有错误</t>
  </si>
  <si>
    <t>(3162/382)</t>
  </si>
  <si>
    <t>Azure MySQL Flexible: Storage space is critically low</t>
  </si>
  <si>
    <t>Azure MySQL Flexible: 存储空间严重不足</t>
  </si>
  <si>
    <t>(3162/383)</t>
  </si>
  <si>
    <t>23001</t>
  </si>
  <si>
    <t>Azure MySQL Flexible: Storage space is low</t>
  </si>
  <si>
    <t>Azure MySQL Flexible: 存储空间不足</t>
  </si>
  <si>
    <t>(3162/384)</t>
  </si>
  <si>
    <t>23002</t>
  </si>
  <si>
    <t>Azure MySQL Single: MySQL server is degraded</t>
  </si>
  <si>
    <t>Azure MySQL Single: MySQL服务器已降级</t>
  </si>
  <si>
    <t>(3162/385)</t>
  </si>
  <si>
    <t>Azure MySQL Single: MySQL server is in unknown state</t>
  </si>
  <si>
    <t>Azure MySQL Single: MySQL服务器处于未知状态</t>
  </si>
  <si>
    <t>(3162/386)</t>
  </si>
  <si>
    <t>Azure MySQL Single: MySQL server is unavailable</t>
  </si>
  <si>
    <t>Azure MySQL Single: MySQL服务器不可用</t>
  </si>
  <si>
    <t>(3162/387)</t>
  </si>
  <si>
    <t>Azure MySQL Single: Server has failed connections</t>
  </si>
  <si>
    <t>Azure MySQL Single: 服务器连接失败</t>
  </si>
  <si>
    <t>(3162/388)</t>
  </si>
  <si>
    <t>Azure MySQL Single: High CPU utilization</t>
  </si>
  <si>
    <t>Azure MySQL Single: 高CPU利用率</t>
  </si>
  <si>
    <t>(3162/389)</t>
  </si>
  <si>
    <t>Azure MySQL Single: There are errors in requests to API</t>
  </si>
  <si>
    <t>Azure MySQL Single: API请求有错误</t>
  </si>
  <si>
    <t>(3162/390)</t>
  </si>
  <si>
    <t>Azure MySQL Single: High memory utilization</t>
  </si>
  <si>
    <t>Azure MySQL Single: 内存利用率高</t>
  </si>
  <si>
    <t>(3162/391)</t>
  </si>
  <si>
    <t>Azure MySQL Single: Storage space is critically low</t>
  </si>
  <si>
    <t>Azure MySQL Single: 存储空间严重不足</t>
  </si>
  <si>
    <t>(3162/392)</t>
  </si>
  <si>
    <t>Azure MySQL Single: Storage space is low</t>
  </si>
  <si>
    <t>Azure MySQL Single: 存储空间不足</t>
  </si>
  <si>
    <t>(3162/393)</t>
  </si>
  <si>
    <t>Azure PostgreSQL Flexible: PostgreSQL server is degraded</t>
  </si>
  <si>
    <t>Azure PostgreSQL Flexible: PostgreSQL服务器已降级</t>
  </si>
  <si>
    <t>(3162/394)</t>
  </si>
  <si>
    <t>Azure PostgreSQL Flexible: PostgreSQL server is in unknown state</t>
  </si>
  <si>
    <t>Azure PostgreSQL Flexible: PostgreSQL服务器处于未知状态</t>
  </si>
  <si>
    <t>(3162/395)</t>
  </si>
  <si>
    <t>Azure PostgreSQL Flexible: PostgreSQL server is unavailable</t>
  </si>
  <si>
    <t>Azure PostgreSQL Flexible: PostgreSQL服务器不可用</t>
  </si>
  <si>
    <t>(3162/396)</t>
  </si>
  <si>
    <t>Azure PostgreSQL Flexible: High CPU utilization</t>
  </si>
  <si>
    <t>Azure PostgreSQL Flexible: 高CPU利用率</t>
  </si>
  <si>
    <t>(3162/397)</t>
  </si>
  <si>
    <t>Azure PostgreSQL Flexible: There are errors in requests to API</t>
  </si>
  <si>
    <t>Azure PostgreSQL Flexible: API请求有错误</t>
  </si>
  <si>
    <t>(3162/398)</t>
  </si>
  <si>
    <t>Azure PostgreSQL Flexible: High memory utilization</t>
  </si>
  <si>
    <t>Azure PostgreSQL Flexible: 内存利用率高</t>
  </si>
  <si>
    <t>(3162/399)</t>
  </si>
  <si>
    <t>Azure PostgreSQL Flexible: Storage space is critically low</t>
  </si>
  <si>
    <t>Azure PostgreSQL Flexible: 存储空间严重不足</t>
  </si>
  <si>
    <t>(3162/400)</t>
  </si>
  <si>
    <t>Azure PostgreSQL Flexible: Storage space is low</t>
  </si>
  <si>
    <t>Azure PostgreSQL Flexible: 存储空间不足</t>
  </si>
  <si>
    <t>(3162/401)</t>
  </si>
  <si>
    <t>Azure PostgreSQL Single: PostgreSQL server is degraded</t>
  </si>
  <si>
    <t>Azure PostgreSQL Single: PostgreSQL服务器已降级</t>
  </si>
  <si>
    <t>(3162/402)</t>
  </si>
  <si>
    <t>Azure PostgreSQL Single: PostgreSQL server is in unknown state</t>
  </si>
  <si>
    <t>Azure PostgreSQL Single: PostgreSQL服务器处于未知状态</t>
  </si>
  <si>
    <t>(3162/403)</t>
  </si>
  <si>
    <t>Azure PostgreSQL Single: PostgreSQL server is unavailable</t>
  </si>
  <si>
    <t>Azure PostgreSQL Single: PostgreSQL服务器不可用</t>
  </si>
  <si>
    <t>(3162/404)</t>
  </si>
  <si>
    <t>Azure PostgreSQL Single: High CPU utilization</t>
  </si>
  <si>
    <t>Azure PostgreSQL Single: 高CPU利用率</t>
  </si>
  <si>
    <t>(3162/405)</t>
  </si>
  <si>
    <t>Azure PostgreSQL Single: There are errors in requests to API</t>
  </si>
  <si>
    <t>Azure PostgreSQL Single: API请求有错误</t>
  </si>
  <si>
    <t>(3162/406)</t>
  </si>
  <si>
    <t>Azure PostgreSQL Single: High memory utilization</t>
  </si>
  <si>
    <t>Azure PostgreSQL Single: 内存利用率高</t>
  </si>
  <si>
    <t>(3162/407)</t>
  </si>
  <si>
    <t>Azure PostgreSQL Single: Storage space is critically low</t>
  </si>
  <si>
    <t>Azure PostgreSQL Single: 存储空间严重不足</t>
  </si>
  <si>
    <t>(3162/408)</t>
  </si>
  <si>
    <t>Azure PostgreSQL Single: Storage space is low</t>
  </si>
  <si>
    <t>Azure PostgreSQL Single: 存储空间不足</t>
  </si>
  <si>
    <t>(3162/409)</t>
  </si>
  <si>
    <t>Azure SQL Managed Instance by HTTP</t>
  </si>
  <si>
    <t>23944</t>
  </si>
  <si>
    <t>Azure SQL instance: Azure SQL managed instance is degraded</t>
  </si>
  <si>
    <t>Azure SQL 实例:Azure SQL 托管实例性能下降</t>
  </si>
  <si>
    <t>(3162/410)</t>
  </si>
  <si>
    <t>23945</t>
  </si>
  <si>
    <t>Azure SQL instance: Azure SQL managed instance is in unknown state</t>
  </si>
  <si>
    <t>Azure SQL 实例:Azure SQL 托管实例处于未知状态</t>
  </si>
  <si>
    <t>(3162/411)</t>
  </si>
  <si>
    <t>23946</t>
  </si>
  <si>
    <t>Azure SQL instance: Azure SQL managed instance is unavailable</t>
  </si>
  <si>
    <t>Azure SQL 实例:Azure SQL 托管实例不可用</t>
  </si>
  <si>
    <t>(3162/412)</t>
  </si>
  <si>
    <t>23947</t>
  </si>
  <si>
    <t>Azure SQL instance: Instance collation has changed</t>
  </si>
  <si>
    <t>Azure SQL 实例:实例排序规则已更改</t>
  </si>
  <si>
    <t>(3162/413)</t>
  </si>
  <si>
    <t>23948</t>
  </si>
  <si>
    <t>Azure SQL instance: Critically high CPU utilization</t>
  </si>
  <si>
    <t>Azure SQL 实例:CPU 利用率极高</t>
  </si>
  <si>
    <t>(3162/414)</t>
  </si>
  <si>
    <t>23949</t>
  </si>
  <si>
    <t>Azure SQL instance: High CPU utilization</t>
  </si>
  <si>
    <t>Azure SQL 实例:CPU 利用率高</t>
  </si>
  <si>
    <t>(3162/415)</t>
  </si>
  <si>
    <t>23950</t>
  </si>
  <si>
    <t>Azure SQL instance: There are errors in requests to API</t>
  </si>
  <si>
    <t>Azure SQL 实例:API 请求中存在错误</t>
  </si>
  <si>
    <t>(3162/416)</t>
  </si>
  <si>
    <t>23951</t>
  </si>
  <si>
    <t>Azure SQL instance: Instance provisioning state has changed</t>
  </si>
  <si>
    <t>Azure SQL 实例:实例配置状态已更改</t>
  </si>
  <si>
    <t>(3162/417)</t>
  </si>
  <si>
    <t>23952</t>
  </si>
  <si>
    <t>Azure SQL instance: Instance state has changed</t>
  </si>
  <si>
    <t>Azure SQL 实例:实例状态已更改</t>
  </si>
  <si>
    <t>(3162/418)</t>
  </si>
  <si>
    <t>23953</t>
  </si>
  <si>
    <t>Azure SQL instance: Storage free space is critically low</t>
  </si>
  <si>
    <t>Azure SQL 实例:存储可用空间严重不足</t>
  </si>
  <si>
    <t>(3162/419)</t>
  </si>
  <si>
    <t>23954</t>
  </si>
  <si>
    <t>Azure SQL instance: Storage free space is low</t>
  </si>
  <si>
    <t>Azure SQL 实例:存储可用空间不足</t>
  </si>
  <si>
    <t>(3162/420)</t>
  </si>
  <si>
    <t>23740</t>
  </si>
  <si>
    <t>Azure VM Scale: Virtual machine scale set is degraded</t>
  </si>
  <si>
    <t>Azure VM Scale: 虚拟机规模集已降级</t>
  </si>
  <si>
    <t>(3162/421)</t>
  </si>
  <si>
    <t>23741</t>
  </si>
  <si>
    <t>Azure VM Scale: Virtual machine scale set is in unknown state</t>
  </si>
  <si>
    <t>Azure VM Scale: 虚拟机规模集处于未知状态</t>
  </si>
  <si>
    <t>(3162/422)</t>
  </si>
  <si>
    <t>23742</t>
  </si>
  <si>
    <t>Azure VM Scale: Virtual machine scale set is unavailable</t>
  </si>
  <si>
    <t>Azure VM Scale: 虚拟机规模集不可用</t>
  </si>
  <si>
    <t>(3162/423)</t>
  </si>
  <si>
    <t>23743</t>
  </si>
  <si>
    <t>Azure VM Scale: High CPU utilization</t>
  </si>
  <si>
    <t>Azure VM Scale: 高CPU利用率</t>
  </si>
  <si>
    <t>(3162/424)</t>
  </si>
  <si>
    <t>23744</t>
  </si>
  <si>
    <t>Azure VM Scale: There are errors in requests to API</t>
  </si>
  <si>
    <t>Azure VM Scale: API请求有错误</t>
  </si>
  <si>
    <t>(3162/425)</t>
  </si>
  <si>
    <t>23745</t>
  </si>
  <si>
    <t>Azure VM Scale: High amount of VMs in the scale set</t>
  </si>
  <si>
    <t>Azure VM Scale: 规模集中的虚拟机数量过多</t>
  </si>
  <si>
    <t>(3162/426)</t>
  </si>
  <si>
    <t>22869</t>
  </si>
  <si>
    <t>Azure VM: Virtual machine is degraded</t>
  </si>
  <si>
    <t>Azure VM: 虚拟机已降级</t>
  </si>
  <si>
    <t>(3162/427)</t>
  </si>
  <si>
    <t>22870</t>
  </si>
  <si>
    <t>Azure VM: Virtual machine is in unknown state</t>
  </si>
  <si>
    <t>Azure VM: 虚拟机处于未知状态</t>
  </si>
  <si>
    <t>(3162/428)</t>
  </si>
  <si>
    <t>22871</t>
  </si>
  <si>
    <t>Azure VM: Virtual machine is unavailable</t>
  </si>
  <si>
    <t>Azure VM: 虚拟机不可用</t>
  </si>
  <si>
    <t>(3162/429)</t>
  </si>
  <si>
    <t>22872</t>
  </si>
  <si>
    <t>Azure VM: High CPU utilization</t>
  </si>
  <si>
    <t>Azure VM: 高CPU利用率</t>
  </si>
  <si>
    <t>(3162/430)</t>
  </si>
  <si>
    <t>22873</t>
  </si>
  <si>
    <t>Azure VM: There are errors in requests to API</t>
  </si>
  <si>
    <t>Azure VM: API请求有错误</t>
  </si>
  <si>
    <t>(3162/431)</t>
  </si>
  <si>
    <t>22868</t>
  </si>
  <si>
    <t>(3162/432)</t>
  </si>
  <si>
    <t>23232</t>
  </si>
  <si>
    <t>(3162/433)</t>
  </si>
  <si>
    <t>(3162/434)</t>
  </si>
  <si>
    <t>(3162/435)</t>
  </si>
  <si>
    <t>(3162/436)</t>
  </si>
  <si>
    <t>(3162/437)</t>
  </si>
  <si>
    <t>(3162/438)</t>
  </si>
  <si>
    <t>(3162/439)</t>
  </si>
  <si>
    <t>(3162/440)</t>
  </si>
  <si>
    <t>(3162/441)</t>
  </si>
  <si>
    <t>(3162/442)</t>
  </si>
  <si>
    <t>(3162/443)</t>
  </si>
  <si>
    <t>(3162/444)</t>
  </si>
  <si>
    <t>(3162/445)</t>
  </si>
  <si>
    <t>Brocade Nonstackable: Unavailable by ICMP ping</t>
  </si>
  <si>
    <t>Brocade Nonstackable: ICMP ping不可用</t>
  </si>
  <si>
    <t>(3162/446)</t>
  </si>
  <si>
    <t>Brocade Nonstackable: High ICMP ping loss</t>
  </si>
  <si>
    <t>Brocade Nonstackable: 高ICMP ping丢失</t>
  </si>
  <si>
    <t>(3162/447)</t>
  </si>
  <si>
    <t>Brocade Nonstackable: High ICMP ping response time</t>
  </si>
  <si>
    <t>Brocade Nonstackable: 高ICMP ping响应时间</t>
  </si>
  <si>
    <t>(3162/448)</t>
  </si>
  <si>
    <t>Brocade Nonstackable: High CPU utilization</t>
  </si>
  <si>
    <t>Brocade Nonstackable: 高CPU利用率</t>
  </si>
  <si>
    <t>(3162/449)</t>
  </si>
  <si>
    <t>Brocade Nonstackable: Firmware has changed</t>
  </si>
  <si>
    <t>Brocade Nonstackable: 固件已变更</t>
  </si>
  <si>
    <t>(3162/450)</t>
  </si>
  <si>
    <t>Brocade Nonstackable: Device has been replaced</t>
  </si>
  <si>
    <t>Brocade Nonstackable: 设备已更换</t>
  </si>
  <si>
    <t>(3162/451)</t>
  </si>
  <si>
    <t>Brocade Nonstackable: Host has been restarted</t>
  </si>
  <si>
    <t>Brocade Nonstackable: 主机已重新启动</t>
  </si>
  <si>
    <t>(3162/452)</t>
  </si>
  <si>
    <t>Brocade Nonstackable: System name has changed</t>
  </si>
  <si>
    <t>Brocade Nonstackable: 系统名称已变更</t>
  </si>
  <si>
    <t>(3162/453)</t>
  </si>
  <si>
    <t>Brocade Nonstackable: High memory utilization</t>
  </si>
  <si>
    <t>Brocade Nonstackable: 内存利用率高</t>
  </si>
  <si>
    <t>(3162/454)</t>
  </si>
  <si>
    <t>Brocade Nonstackable: No SNMP data collection</t>
  </si>
  <si>
    <t>Brocade Nonstackable: 无SNMP数据收集</t>
  </si>
  <si>
    <t>(3162/455)</t>
  </si>
  <si>
    <t>Brocade Stackable: Unavailable by ICMP ping</t>
  </si>
  <si>
    <t>Brocade Stackable: ICMP ping不可用</t>
  </si>
  <si>
    <t>(3162/456)</t>
  </si>
  <si>
    <t>Brocade Stackable: High ICMP ping loss</t>
  </si>
  <si>
    <t>Brocade Stackable: 高ICMP ping丢失</t>
  </si>
  <si>
    <t>(3162/457)</t>
  </si>
  <si>
    <t>Brocade Stackable: High ICMP ping response time</t>
  </si>
  <si>
    <t>Brocade Stackable: 高ICMP ping响应时间</t>
  </si>
  <si>
    <t>(3162/458)</t>
  </si>
  <si>
    <t>Brocade Stackable: High CPU utilization</t>
  </si>
  <si>
    <t>Brocade Stackable: 高CPU利用率</t>
  </si>
  <si>
    <t>(3162/459)</t>
  </si>
  <si>
    <t>Brocade Stackable: Firmware has changed</t>
  </si>
  <si>
    <t>Brocade Stackable: 固件已变更</t>
  </si>
  <si>
    <t>(3162/460)</t>
  </si>
  <si>
    <t>Brocade Stackable: Host has been restarted</t>
  </si>
  <si>
    <t>Brocade Stackable: 主机已重新启动</t>
  </si>
  <si>
    <t>(3162/461)</t>
  </si>
  <si>
    <t>Brocade Stackable: System name has changed</t>
  </si>
  <si>
    <t>Brocade Stackable: 系统名称已变更</t>
  </si>
  <si>
    <t>(3162/462)</t>
  </si>
  <si>
    <t>Brocade Stackable: High memory utilization</t>
  </si>
  <si>
    <t>Brocade Stackable: 内存利用率高</t>
  </si>
  <si>
    <t>(3162/463)</t>
  </si>
  <si>
    <t>Brocade Stackable: No SNMP data collection</t>
  </si>
  <si>
    <t>Brocade Stackable: 无SNMP数据收集</t>
  </si>
  <si>
    <t>(3162/464)</t>
  </si>
  <si>
    <t>(3162/465)</t>
  </si>
  <si>
    <t>(3162/466)</t>
  </si>
  <si>
    <t>(3162/467)</t>
  </si>
  <si>
    <t>(3162/468)</t>
  </si>
  <si>
    <t>(3162/469)</t>
  </si>
  <si>
    <t>(3162/470)</t>
  </si>
  <si>
    <t>23608</t>
  </si>
  <si>
    <t>(3162/471)</t>
  </si>
  <si>
    <t>(3162/472)</t>
  </si>
  <si>
    <t>23609</t>
  </si>
  <si>
    <t>(3162/473)</t>
  </si>
  <si>
    <t>(3162/474)</t>
  </si>
  <si>
    <t>(3162/475)</t>
  </si>
  <si>
    <t>(3162/476)</t>
  </si>
  <si>
    <t>(3162/477)</t>
  </si>
  <si>
    <t>(3162/478)</t>
  </si>
  <si>
    <t>(3162/479)</t>
  </si>
  <si>
    <t>(3162/480)</t>
  </si>
  <si>
    <t>(3162/481)</t>
  </si>
  <si>
    <t>(3162/482)</t>
  </si>
  <si>
    <t>(3162/483)</t>
  </si>
  <si>
    <t>(3162/484)</t>
  </si>
  <si>
    <t>(3162/485)</t>
  </si>
  <si>
    <t>(3162/486)</t>
  </si>
  <si>
    <t>(3162/487)</t>
  </si>
  <si>
    <t>(3162/488)</t>
  </si>
  <si>
    <t>(3162/489)</t>
  </si>
  <si>
    <t>(3162/490)</t>
  </si>
  <si>
    <t>(3162/491)</t>
  </si>
  <si>
    <t>(3162/492)</t>
  </si>
  <si>
    <t>(3162/493)</t>
  </si>
  <si>
    <t>(3162/494)</t>
  </si>
  <si>
    <t>(3162/495)</t>
  </si>
  <si>
    <t>(3162/496)</t>
  </si>
  <si>
    <t>(3162/497)</t>
  </si>
  <si>
    <t>(3162/498)</t>
  </si>
  <si>
    <t>(3162/499)</t>
  </si>
  <si>
    <t>(3162/500)</t>
  </si>
  <si>
    <t>(3162/501)</t>
  </si>
  <si>
    <t>(3162/502)</t>
  </si>
  <si>
    <t>(3162/503)</t>
  </si>
  <si>
    <t>(3162/504)</t>
  </si>
  <si>
    <t>(3162/505)</t>
  </si>
  <si>
    <t>(3162/506)</t>
  </si>
  <si>
    <t>(3162/507)</t>
  </si>
  <si>
    <t>(3162/508)</t>
  </si>
  <si>
    <t>(3162/509)</t>
  </si>
  <si>
    <t>(3162/510)</t>
  </si>
  <si>
    <t>(3162/511)</t>
  </si>
  <si>
    <t>(3162/512)</t>
  </si>
  <si>
    <t>(3162/513)</t>
  </si>
  <si>
    <t>(3162/514)</t>
  </si>
  <si>
    <t>(3162/515)</t>
  </si>
  <si>
    <t>(3162/516)</t>
  </si>
  <si>
    <t>(3162/517)</t>
  </si>
  <si>
    <t>(3162/518)</t>
  </si>
  <si>
    <t>(3162/519)</t>
  </si>
  <si>
    <t>(3162/520)</t>
  </si>
  <si>
    <t>(3162/521)</t>
  </si>
  <si>
    <t>(3162/522)</t>
  </si>
  <si>
    <t>(3162/523)</t>
  </si>
  <si>
    <t>(3162/524)</t>
  </si>
  <si>
    <t>(3162/525)</t>
  </si>
  <si>
    <t>(3162/526)</t>
  </si>
  <si>
    <t>(3162/527)</t>
  </si>
  <si>
    <t>(3162/528)</t>
  </si>
  <si>
    <t>(3162/529)</t>
  </si>
  <si>
    <t>(3162/530)</t>
  </si>
  <si>
    <t>(3162/531)</t>
  </si>
  <si>
    <t>(3162/532)</t>
  </si>
  <si>
    <t>(3162/533)</t>
  </si>
  <si>
    <t>(3162/534)</t>
  </si>
  <si>
    <t>(3162/535)</t>
  </si>
  <si>
    <t>(3162/536)</t>
  </si>
  <si>
    <t>(3162/537)</t>
  </si>
  <si>
    <t>(3162/538)</t>
  </si>
  <si>
    <t>(3162/539)</t>
  </si>
  <si>
    <t>(3162/540)</t>
  </si>
  <si>
    <t>(3162/541)</t>
  </si>
  <si>
    <t>(3162/542)</t>
  </si>
  <si>
    <t>(3162/543)</t>
  </si>
  <si>
    <t>(3162/544)</t>
  </si>
  <si>
    <t>(3162/545)</t>
  </si>
  <si>
    <t>(3162/546)</t>
  </si>
  <si>
    <t>(3162/547)</t>
  </si>
  <si>
    <t>(3162/548)</t>
  </si>
  <si>
    <t>25065</t>
  </si>
  <si>
    <t>Meraki: There are errors in 'Get inventory data' metric</t>
  </si>
  <si>
    <t>Meraki: '获取库存数据'指标中存在错误</t>
  </si>
  <si>
    <t>(3162/549)</t>
  </si>
  <si>
    <t>(3162/550)</t>
  </si>
  <si>
    <t>(3162/551)</t>
  </si>
  <si>
    <t>(3162/552)</t>
  </si>
  <si>
    <t>(3162/553)</t>
  </si>
  <si>
    <t>(3162/554)</t>
  </si>
  <si>
    <t>Cisco Nexus 9000: Unavailable by ICMP ping</t>
  </si>
  <si>
    <t>Cisco Nexus 9000: ICMP ping不可用</t>
  </si>
  <si>
    <t>(3162/555)</t>
  </si>
  <si>
    <t>Cisco Nexus 9000: High ICMP ping loss</t>
  </si>
  <si>
    <t>Cisco Nexus 9000: 高ICMP ping丢失</t>
  </si>
  <si>
    <t>(3162/556)</t>
  </si>
  <si>
    <t>23060</t>
  </si>
  <si>
    <t>Cisco Nexus 9000: High ICMP ping response time</t>
  </si>
  <si>
    <t>Cisco Nexus 9000: 高ICMP ping响应时间</t>
  </si>
  <si>
    <t>(3162/557)</t>
  </si>
  <si>
    <t>23061</t>
  </si>
  <si>
    <t>Cisco Nexus 9000: Device has been replaced</t>
  </si>
  <si>
    <t>Cisco Nexus 9000: 设备已更换</t>
  </si>
  <si>
    <t>(3162/558)</t>
  </si>
  <si>
    <t>23062</t>
  </si>
  <si>
    <t>Cisco Nexus 9000: System name has changed</t>
  </si>
  <si>
    <t>Cisco Nexus 9000: 系统名称已变更</t>
  </si>
  <si>
    <t>(3162/559)</t>
  </si>
  <si>
    <t>23063</t>
  </si>
  <si>
    <t>Cisco Nexus 9000: Operating system description has changed</t>
  </si>
  <si>
    <t>Cisco Nexus 9000: 操作系统描述已变更</t>
  </si>
  <si>
    <t>(3162/560)</t>
  </si>
  <si>
    <t>23064</t>
  </si>
  <si>
    <t>Cisco Nexus 9000: Device has been restarted or reinitialized</t>
  </si>
  <si>
    <t>Cisco Nexus 9000: 设备已重新启动或重新初始化</t>
  </si>
  <si>
    <t>(3162/561)</t>
  </si>
  <si>
    <t>23065</t>
  </si>
  <si>
    <t>Cisco Nexus 9000: No SNMP data collection</t>
  </si>
  <si>
    <t>Cisco Nexus 9000: 无SNMP数据收集</t>
  </si>
  <si>
    <t>(3162/562)</t>
  </si>
  <si>
    <t>23342</t>
  </si>
  <si>
    <t>Cisco SD-WAN: Authentication has failed</t>
  </si>
  <si>
    <t>Cisco SD-WAN: 身份验证失败</t>
  </si>
  <si>
    <t>(3162/563)</t>
  </si>
  <si>
    <t>23343</t>
  </si>
  <si>
    <t>Cisco SD-WAN: There are errors in the 'Get devices' metric</t>
  </si>
  <si>
    <t>Cisco SD-WAN: "获取设备"指标存在错误</t>
  </si>
  <si>
    <t>(3162/564)</t>
  </si>
  <si>
    <t>23344</t>
  </si>
  <si>
    <t>Cisco SD-WAN: Device certificate is invalid</t>
  </si>
  <si>
    <t>Cisco SD-WAN: 设备证书无效</t>
  </si>
  <si>
    <t>(3162/565)</t>
  </si>
  <si>
    <t>Cisco SD-WAN: Load average is too high</t>
  </si>
  <si>
    <t>Cisco SD-WAN: 平均负载过高</t>
  </si>
  <si>
    <t>(3162/566)</t>
  </si>
  <si>
    <t>23345</t>
  </si>
  <si>
    <t>Cisco SD-WAN: High CPU utilization</t>
  </si>
  <si>
    <t>Cisco SD-WAN: 高CPU利用率</t>
  </si>
  <si>
    <t>(3162/567)</t>
  </si>
  <si>
    <t>23346</t>
  </si>
  <si>
    <t>Cisco SD-WAN: System name has changed</t>
  </si>
  <si>
    <t>Cisco SD-WAN: 系统名称已变更</t>
  </si>
  <si>
    <t>(3162/568)</t>
  </si>
  <si>
    <t>Cisco SD-WAN: Lack of available memory</t>
  </si>
  <si>
    <t>Cisco SD-WAN: 可用内存不足</t>
  </si>
  <si>
    <t>(3162/569)</t>
  </si>
  <si>
    <t>23347</t>
  </si>
  <si>
    <t>Cisco SD-WAN: High memory utilization</t>
  </si>
  <si>
    <t>Cisco SD-WAN: 内存利用率高</t>
  </si>
  <si>
    <t>(3162/570)</t>
  </si>
  <si>
    <t>23348</t>
  </si>
  <si>
    <t>Cisco SD-WAN: Operating system description has changed</t>
  </si>
  <si>
    <t>Cisco SD-WAN: 操作系统描述已变更</t>
  </si>
  <si>
    <t>(3162/571)</t>
  </si>
  <si>
    <t>23349</t>
  </si>
  <si>
    <t>Cisco SD-WAN: Device is not reachable</t>
  </si>
  <si>
    <t>Cisco SD-WAN: 设备无法访问</t>
  </si>
  <si>
    <t>(3162/572)</t>
  </si>
  <si>
    <t>23350</t>
  </si>
  <si>
    <t>Cisco SD-WAN: Device has been replaced</t>
  </si>
  <si>
    <t>Cisco SD-WAN: 设备已更换</t>
  </si>
  <si>
    <t>(3162/573)</t>
  </si>
  <si>
    <t>Cisco SD-WAN: Device state is not green</t>
  </si>
  <si>
    <t>Cisco SD-WAN: 设备状态不是绿色</t>
  </si>
  <si>
    <t>(3162/574)</t>
  </si>
  <si>
    <t>23351</t>
  </si>
  <si>
    <t>Cisco SD-WAN: Device has been restarted</t>
  </si>
  <si>
    <t>Cisco SD-WAN: 设备已重新启动</t>
  </si>
  <si>
    <t>(3162/575)</t>
  </si>
  <si>
    <t>Cisco SD-WAN: There are errors in the 'Get device data' metric</t>
  </si>
  <si>
    <t>Cisco SD-WAN: "获取设备数据"指标存在错误</t>
  </si>
  <si>
    <t>(3162/576)</t>
  </si>
  <si>
    <t>Cisco SD-WAN: There are errors in the 'Get interfaces data' metric</t>
  </si>
  <si>
    <t>Cisco SD-WAN: "获取接口数据"指标存在错误</t>
  </si>
  <si>
    <t>(3162/577)</t>
  </si>
  <si>
    <t>Cisco SD-WAN: There are errors in the 'Get routes data' metric</t>
  </si>
  <si>
    <t>Cisco SD-WAN: "获取路由数据"指标存在错误</t>
  </si>
  <si>
    <t>(3162/578)</t>
  </si>
  <si>
    <t>Cisco Secure Firewall Threat Defense by HTTP</t>
  </si>
  <si>
    <t>25049</t>
  </si>
  <si>
    <t>Cisco Secure FTD: High CPU utilization</t>
  </si>
  <si>
    <t>思科安全FTD：CPU使用率过高</t>
  </si>
  <si>
    <t>(3162/579)</t>
  </si>
  <si>
    <t>25050</t>
  </si>
  <si>
    <t>Cisco Secure FTD: There are errors in the 'Get device metrics' metric</t>
  </si>
  <si>
    <t>思科安全FTD：'获取设备指标'指标中存在错误</t>
  </si>
  <si>
    <t>(3162/580)</t>
  </si>
  <si>
    <t>25051</t>
  </si>
  <si>
    <t>Cisco Secure FTD: High memory utilization</t>
  </si>
  <si>
    <t>思科安全FTD：内存利用率过高</t>
  </si>
  <si>
    <t>(3162/581)</t>
  </si>
  <si>
    <t>25052</t>
  </si>
  <si>
    <t>Cisco Secure FTD: There are errors in the 'Get operational metrics' metric</t>
  </si>
  <si>
    <t>思科安全FTD：'获取运行指标'指标中存在错误</t>
  </si>
  <si>
    <t>(3162/582)</t>
  </si>
  <si>
    <t>25053</t>
  </si>
  <si>
    <t>Cisco Secure FTD: Device has been replaced</t>
  </si>
  <si>
    <t>思科安全FTD：设备已被替换</t>
  </si>
  <si>
    <t>(3162/583)</t>
  </si>
  <si>
    <t>25054</t>
  </si>
  <si>
    <t>Cisco Secure FTD: Device has been restarted</t>
  </si>
  <si>
    <t>思科安全FTD：设备已重新启动</t>
  </si>
  <si>
    <t>(3162/584)</t>
  </si>
  <si>
    <t>(3162/585)</t>
  </si>
  <si>
    <t>(3162/586)</t>
  </si>
  <si>
    <t>(3162/587)</t>
  </si>
  <si>
    <t>(3162/588)</t>
  </si>
  <si>
    <t>(3162/589)</t>
  </si>
  <si>
    <t>(3162/590)</t>
  </si>
  <si>
    <t>(3162/591)</t>
  </si>
  <si>
    <t>(3162/592)</t>
  </si>
  <si>
    <t>(3162/593)</t>
  </si>
  <si>
    <t>(3162/594)</t>
  </si>
  <si>
    <t>(3162/595)</t>
  </si>
  <si>
    <t>(3162/596)</t>
  </si>
  <si>
    <t>(3162/597)</t>
  </si>
  <si>
    <t>(3162/598)</t>
  </si>
  <si>
    <t>(3162/599)</t>
  </si>
  <si>
    <t>(3162/600)</t>
  </si>
  <si>
    <t>(3162/601)</t>
  </si>
  <si>
    <t>(3162/602)</t>
  </si>
  <si>
    <t>(3162/603)</t>
  </si>
  <si>
    <t>(3162/604)</t>
  </si>
  <si>
    <t>(3162/605)</t>
  </si>
  <si>
    <t>(3162/606)</t>
  </si>
  <si>
    <t>(3162/607)</t>
  </si>
  <si>
    <t>(3162/608)</t>
  </si>
  <si>
    <t>22641</t>
  </si>
  <si>
    <t>(3162/609)</t>
  </si>
  <si>
    <t>22642</t>
  </si>
  <si>
    <t>(3162/610)</t>
  </si>
  <si>
    <t>22643</t>
  </si>
  <si>
    <t>(3162/611)</t>
  </si>
  <si>
    <t>22650</t>
  </si>
  <si>
    <t>(3162/612)</t>
  </si>
  <si>
    <t>22644</t>
  </si>
  <si>
    <t>(3162/613)</t>
  </si>
  <si>
    <t>22652</t>
  </si>
  <si>
    <t>(3162/614)</t>
  </si>
  <si>
    <t>22651</t>
  </si>
  <si>
    <t>(3162/615)</t>
  </si>
  <si>
    <t>22645</t>
  </si>
  <si>
    <t>(3162/616)</t>
  </si>
  <si>
    <t>22647</t>
  </si>
  <si>
    <t>(3162/617)</t>
  </si>
  <si>
    <t>22646</t>
  </si>
  <si>
    <t>(3162/618)</t>
  </si>
  <si>
    <t>22648</t>
  </si>
  <si>
    <t>(3162/619)</t>
  </si>
  <si>
    <t>22649</t>
  </si>
  <si>
    <t>(3162/620)</t>
  </si>
  <si>
    <t>23095</t>
  </si>
  <si>
    <t>(3162/621)</t>
  </si>
  <si>
    <t>23096</t>
  </si>
  <si>
    <t>(3162/622)</t>
  </si>
  <si>
    <t>23097</t>
  </si>
  <si>
    <t>(3162/623)</t>
  </si>
  <si>
    <t>23098</t>
  </si>
  <si>
    <t>(3162/624)</t>
  </si>
  <si>
    <t>(3162/625)</t>
  </si>
  <si>
    <t>(3162/626)</t>
  </si>
  <si>
    <t>(3162/627)</t>
  </si>
  <si>
    <t>(3162/628)</t>
  </si>
  <si>
    <t>(3162/629)</t>
  </si>
  <si>
    <t>(3162/630)</t>
  </si>
  <si>
    <t>(3162/631)</t>
  </si>
  <si>
    <t>(3162/632)</t>
  </si>
  <si>
    <t>(3162/633)</t>
  </si>
  <si>
    <t>(3162/634)</t>
  </si>
  <si>
    <t>(3162/635)</t>
  </si>
  <si>
    <t>(3162/636)</t>
  </si>
  <si>
    <t>(3162/637)</t>
  </si>
  <si>
    <t>(3162/638)</t>
  </si>
  <si>
    <t>(3162/639)</t>
  </si>
  <si>
    <t>(3162/640)</t>
  </si>
  <si>
    <t>(3162/641)</t>
  </si>
  <si>
    <t>(3162/642)</t>
  </si>
  <si>
    <t>DELL PowerEdge R660 by HTTP</t>
  </si>
  <si>
    <t>23986</t>
  </si>
  <si>
    <t>Dell R660: Firmware has changed</t>
  </si>
  <si>
    <t>Dell R660:固件已更改</t>
  </si>
  <si>
    <t>(3162/643)</t>
  </si>
  <si>
    <t>23987</t>
  </si>
  <si>
    <t>Dell R660: Device has been replaced</t>
  </si>
  <si>
    <t>Dell R660:设备已更换</t>
  </si>
  <si>
    <t>(3162/644)</t>
  </si>
  <si>
    <t>23988</t>
  </si>
  <si>
    <t>Dell R660: Server is in a critical state</t>
  </si>
  <si>
    <t>Dell R660:服务器处于严重状态</t>
  </si>
  <si>
    <t>(3162/645)</t>
  </si>
  <si>
    <t>23989</t>
  </si>
  <si>
    <t>Dell R660: Server is in a warning state</t>
  </si>
  <si>
    <t>Dell R660:服务器处于警告状态</t>
  </si>
  <si>
    <t>(3162/646)</t>
  </si>
  <si>
    <t>23990</t>
  </si>
  <si>
    <t>Dell R660: CPU utilization is high</t>
  </si>
  <si>
    <t>Dell R660:CPU 利用率高</t>
  </si>
  <si>
    <t>(3162/647)</t>
  </si>
  <si>
    <t>23991</t>
  </si>
  <si>
    <t>Dell R660: CPU utilization is too high</t>
  </si>
  <si>
    <t>Dell R660:CPU 利用率过高</t>
  </si>
  <si>
    <t>(3162/648)</t>
  </si>
  <si>
    <t>23992</t>
  </si>
  <si>
    <t>Dell R660: IO utilization is high</t>
  </si>
  <si>
    <t>Dell R660:IO 利用率高</t>
  </si>
  <si>
    <t>(3162/649)</t>
  </si>
  <si>
    <t>23993</t>
  </si>
  <si>
    <t>Dell R660: IO utilization is too high</t>
  </si>
  <si>
    <t>Dell R660:IO 利用率过高</t>
  </si>
  <si>
    <t>(3162/650)</t>
  </si>
  <si>
    <t>23994</t>
  </si>
  <si>
    <t>Dell R660: Memory utilization is high</t>
  </si>
  <si>
    <t>Dell R660:内存利用率高</t>
  </si>
  <si>
    <t>(3162/651)</t>
  </si>
  <si>
    <t>23995</t>
  </si>
  <si>
    <t>Dell R660: Memory utilization is too high</t>
  </si>
  <si>
    <t>Dell R660:内存利用率过高</t>
  </si>
  <si>
    <t>(3162/652)</t>
  </si>
  <si>
    <t>23996</t>
  </si>
  <si>
    <t>Dell R660: SYS utilization is high</t>
  </si>
  <si>
    <t>Dell R660:系统利用率高</t>
  </si>
  <si>
    <t>(3162/653)</t>
  </si>
  <si>
    <t>23997</t>
  </si>
  <si>
    <t>Dell R660: SYS utilization is too high</t>
  </si>
  <si>
    <t>Dell R660:系统利用率过高</t>
  </si>
  <si>
    <t>(3162/654)</t>
  </si>
  <si>
    <t>23998</t>
  </si>
  <si>
    <t>Dell R660: Redfish API service is unavailable</t>
  </si>
  <si>
    <t>Dell R660:Redfish API 服务不可用</t>
  </si>
  <si>
    <t>(3162/655)</t>
  </si>
  <si>
    <t>DELL PowerEdge R660 by SNMP</t>
  </si>
  <si>
    <t>24021</t>
  </si>
  <si>
    <t>(3162/656)</t>
  </si>
  <si>
    <t>24022</t>
  </si>
  <si>
    <t>(3162/657)</t>
  </si>
  <si>
    <t>24030</t>
  </si>
  <si>
    <t>Dell R660: Host has been restarted</t>
  </si>
  <si>
    <t>Dell R660:主机已重启</t>
  </si>
  <si>
    <t>(3162/658)</t>
  </si>
  <si>
    <t>24023</t>
  </si>
  <si>
    <t>Dell R660: Memory amount has changed</t>
  </si>
  <si>
    <t>Dell R660:内存容量已更改</t>
  </si>
  <si>
    <t>(3162/659)</t>
  </si>
  <si>
    <t>24024</t>
  </si>
  <si>
    <t>Dell R660: System name has changed</t>
  </si>
  <si>
    <t>Dell R660:系统名称已更改</t>
  </si>
  <si>
    <t>(3162/660)</t>
  </si>
  <si>
    <t>24025</t>
  </si>
  <si>
    <t>Dell R660: System is in unrecoverable state</t>
  </si>
  <si>
    <t>Dell R660:系统处于不可恢复状态</t>
  </si>
  <si>
    <t>(3162/661)</t>
  </si>
  <si>
    <t>24026</t>
  </si>
  <si>
    <t>Dell R660: System status is in critical state</t>
  </si>
  <si>
    <t>Dell R660:系统状态为严重</t>
  </si>
  <si>
    <t>(3162/662)</t>
  </si>
  <si>
    <t>24027</t>
  </si>
  <si>
    <t>Dell R660: System status is in warning state</t>
  </si>
  <si>
    <t>Dell R660:系统状态为警告</t>
  </si>
  <si>
    <t>(3162/663)</t>
  </si>
  <si>
    <t>24028</t>
  </si>
  <si>
    <t>Dell R660: Operating system description has changed</t>
  </si>
  <si>
    <t>Dell R660:操作系统描述已更改</t>
  </si>
  <si>
    <t>(3162/664)</t>
  </si>
  <si>
    <t>24029</t>
  </si>
  <si>
    <t>Dell R660: No SNMP data collection</t>
  </si>
  <si>
    <t>Dell R660:无 SNMP 数据收集</t>
  </si>
  <si>
    <t>(3162/665)</t>
  </si>
  <si>
    <t>24057</t>
  </si>
  <si>
    <t>(3162/666)</t>
  </si>
  <si>
    <t>24058</t>
  </si>
  <si>
    <t>(3162/667)</t>
  </si>
  <si>
    <t>24059</t>
  </si>
  <si>
    <t>(3162/668)</t>
  </si>
  <si>
    <t>24060</t>
  </si>
  <si>
    <t>Dell R720: Server is in a warning state</t>
  </si>
  <si>
    <t>Dell R720:服务器处于警告状态</t>
  </si>
  <si>
    <t>(3162/669)</t>
  </si>
  <si>
    <t>24061</t>
  </si>
  <si>
    <t>Dell R720: CPU utilization is high</t>
  </si>
  <si>
    <t>Dell R720:CPU 利用率高</t>
  </si>
  <si>
    <t>(3162/670)</t>
  </si>
  <si>
    <t>24062</t>
  </si>
  <si>
    <t>Dell R720: CPU utilization is too high</t>
  </si>
  <si>
    <t>Dell R720:CPU 利用率过高</t>
  </si>
  <si>
    <t>(3162/671)</t>
  </si>
  <si>
    <t>24063</t>
  </si>
  <si>
    <t>Dell R720: IO utilization is high</t>
  </si>
  <si>
    <t>Dell R720:IO 利用率高</t>
  </si>
  <si>
    <t>(3162/672)</t>
  </si>
  <si>
    <t>24064</t>
  </si>
  <si>
    <t>Dell R720: IO utilization is too high</t>
  </si>
  <si>
    <t>Dell R720:IO 利用率过高</t>
  </si>
  <si>
    <t>(3162/673)</t>
  </si>
  <si>
    <t>24065</t>
  </si>
  <si>
    <t>Dell R720: Memory utilization is high</t>
  </si>
  <si>
    <t>Dell R720:内存利用率高</t>
  </si>
  <si>
    <t>(3162/674)</t>
  </si>
  <si>
    <t>24066</t>
  </si>
  <si>
    <t>Dell R720: Memory utilization is too high</t>
  </si>
  <si>
    <t>Dell R720:内存利用率过高</t>
  </si>
  <si>
    <t>(3162/675)</t>
  </si>
  <si>
    <t>24067</t>
  </si>
  <si>
    <t>Dell R720: SYS utilization is high</t>
  </si>
  <si>
    <t>Dell R720:系统利用率高</t>
  </si>
  <si>
    <t>(3162/676)</t>
  </si>
  <si>
    <t>24068</t>
  </si>
  <si>
    <t>Dell R720: SYS utilization is too high</t>
  </si>
  <si>
    <t>Dell R720:系统利用率过高</t>
  </si>
  <si>
    <t>(3162/677)</t>
  </si>
  <si>
    <t>24069</t>
  </si>
  <si>
    <t>(3162/678)</t>
  </si>
  <si>
    <t>24092</t>
  </si>
  <si>
    <t>(3162/679)</t>
  </si>
  <si>
    <t>24093</t>
  </si>
  <si>
    <t>(3162/680)</t>
  </si>
  <si>
    <t>24101</t>
  </si>
  <si>
    <t>(3162/681)</t>
  </si>
  <si>
    <t>24094</t>
  </si>
  <si>
    <t>Dell R720: Memory amount has changed</t>
  </si>
  <si>
    <t>Dell R720:内存容量已更改</t>
  </si>
  <si>
    <t>(3162/682)</t>
  </si>
  <si>
    <t>24095</t>
  </si>
  <si>
    <t>(3162/683)</t>
  </si>
  <si>
    <t>24096</t>
  </si>
  <si>
    <t>(3162/684)</t>
  </si>
  <si>
    <t>24097</t>
  </si>
  <si>
    <t>(3162/685)</t>
  </si>
  <si>
    <t>24098</t>
  </si>
  <si>
    <t>(3162/686)</t>
  </si>
  <si>
    <t>24099</t>
  </si>
  <si>
    <t>(3162/687)</t>
  </si>
  <si>
    <t>24100</t>
  </si>
  <si>
    <t>(3162/688)</t>
  </si>
  <si>
    <t>24128</t>
  </si>
  <si>
    <t>(3162/689)</t>
  </si>
  <si>
    <t>24129</t>
  </si>
  <si>
    <t>(3162/690)</t>
  </si>
  <si>
    <t>24130</t>
  </si>
  <si>
    <t>(3162/691)</t>
  </si>
  <si>
    <t>24131</t>
  </si>
  <si>
    <t>Dell R740: Server is in a warning state</t>
  </si>
  <si>
    <t>Dell R740:服务器处于警告状态</t>
  </si>
  <si>
    <t>(3162/692)</t>
  </si>
  <si>
    <t>24132</t>
  </si>
  <si>
    <t>Dell R740: CPU utilization is high</t>
  </si>
  <si>
    <t>Dell R740:CPU 利用率高</t>
  </si>
  <si>
    <t>(3162/693)</t>
  </si>
  <si>
    <t>24133</t>
  </si>
  <si>
    <t>Dell R740: CPU utilization is too high</t>
  </si>
  <si>
    <t>Dell R740:CPU 利用率过高</t>
  </si>
  <si>
    <t>(3162/694)</t>
  </si>
  <si>
    <t>24134</t>
  </si>
  <si>
    <t>Dell R740: IO utilization is high</t>
  </si>
  <si>
    <t>Dell R740:IO 利用率高</t>
  </si>
  <si>
    <t>(3162/695)</t>
  </si>
  <si>
    <t>24135</t>
  </si>
  <si>
    <t>Dell R740: IO utilization is too high</t>
  </si>
  <si>
    <t>Dell R740:IO 利用率过高</t>
  </si>
  <si>
    <t>(3162/696)</t>
  </si>
  <si>
    <t>24136</t>
  </si>
  <si>
    <t>Dell R740: Memory utilization is high</t>
  </si>
  <si>
    <t>Dell R740:内存利用率高</t>
  </si>
  <si>
    <t>(3162/697)</t>
  </si>
  <si>
    <t>24137</t>
  </si>
  <si>
    <t>Dell R740: Memory utilization is too high</t>
  </si>
  <si>
    <t>Dell R740:内存利用率过高</t>
  </si>
  <si>
    <t>(3162/698)</t>
  </si>
  <si>
    <t>24138</t>
  </si>
  <si>
    <t>Dell R740: SYS utilization is high</t>
  </si>
  <si>
    <t>Dell R740:系统利用率高</t>
  </si>
  <si>
    <t>(3162/699)</t>
  </si>
  <si>
    <t>24139</t>
  </si>
  <si>
    <t>Dell R740: SYS utilization is too high</t>
  </si>
  <si>
    <t>Dell R740:系统利用率过高</t>
  </si>
  <si>
    <t>(3162/700)</t>
  </si>
  <si>
    <t>24140</t>
  </si>
  <si>
    <t>(3162/701)</t>
  </si>
  <si>
    <t>24163</t>
  </si>
  <si>
    <t>(3162/702)</t>
  </si>
  <si>
    <t>24164</t>
  </si>
  <si>
    <t>(3162/703)</t>
  </si>
  <si>
    <t>24172</t>
  </si>
  <si>
    <t>(3162/704)</t>
  </si>
  <si>
    <t>24165</t>
  </si>
  <si>
    <t>Dell R740: Memory amount has changed</t>
  </si>
  <si>
    <t>Dell R740:内存容量已更改</t>
  </si>
  <si>
    <t>(3162/705)</t>
  </si>
  <si>
    <t>24166</t>
  </si>
  <si>
    <t>(3162/706)</t>
  </si>
  <si>
    <t>24167</t>
  </si>
  <si>
    <t>(3162/707)</t>
  </si>
  <si>
    <t>24168</t>
  </si>
  <si>
    <t>(3162/708)</t>
  </si>
  <si>
    <t>24169</t>
  </si>
  <si>
    <t>(3162/709)</t>
  </si>
  <si>
    <t>24170</t>
  </si>
  <si>
    <t>(3162/710)</t>
  </si>
  <si>
    <t>24171</t>
  </si>
  <si>
    <t>(3162/711)</t>
  </si>
  <si>
    <t>DELL PowerEdge R750 by HTTP</t>
  </si>
  <si>
    <t>24199</t>
  </si>
  <si>
    <t>Dell R750: Firmware has changed</t>
  </si>
  <si>
    <t>Dell R750:固件已更改</t>
  </si>
  <si>
    <t>(3162/712)</t>
  </si>
  <si>
    <t>24200</t>
  </si>
  <si>
    <t>Dell R750: Device has been replaced</t>
  </si>
  <si>
    <t>Dell R750:设备已更换</t>
  </si>
  <si>
    <t>(3162/713)</t>
  </si>
  <si>
    <t>24201</t>
  </si>
  <si>
    <t>Dell R750: Server is in a critical state</t>
  </si>
  <si>
    <t>Dell R750:服务器处于严重状态</t>
  </si>
  <si>
    <t>(3162/714)</t>
  </si>
  <si>
    <t>24202</t>
  </si>
  <si>
    <t>Dell R750: Server is in a warning state</t>
  </si>
  <si>
    <t>Dell R750:服务器处于警告状态</t>
  </si>
  <si>
    <t>(3162/715)</t>
  </si>
  <si>
    <t>24203</t>
  </si>
  <si>
    <t>Dell R750: CPU utilization is high</t>
  </si>
  <si>
    <t>Dell R750:CPU 利用率高</t>
  </si>
  <si>
    <t>(3162/716)</t>
  </si>
  <si>
    <t>24204</t>
  </si>
  <si>
    <t>Dell R750: CPU utilization is too high</t>
  </si>
  <si>
    <t>Dell R750:CPU 利用率过高</t>
  </si>
  <si>
    <t>(3162/717)</t>
  </si>
  <si>
    <t>24205</t>
  </si>
  <si>
    <t>Dell R750: IO utilization is high</t>
  </si>
  <si>
    <t>Dell R750:IO 利用率高</t>
  </si>
  <si>
    <t>(3162/718)</t>
  </si>
  <si>
    <t>24206</t>
  </si>
  <si>
    <t>Dell R750: IO utilization is too high</t>
  </si>
  <si>
    <t>Dell R750:IO 利用率过高</t>
  </si>
  <si>
    <t>(3162/719)</t>
  </si>
  <si>
    <t>24207</t>
  </si>
  <si>
    <t>Dell R750: Memory utilization is high</t>
  </si>
  <si>
    <t>Dell R750:内存利用率高</t>
  </si>
  <si>
    <t>(3162/720)</t>
  </si>
  <si>
    <t>24208</t>
  </si>
  <si>
    <t>Dell R750: Memory utilization is too high</t>
  </si>
  <si>
    <t>Dell R750:内存利用率过高</t>
  </si>
  <si>
    <t>(3162/721)</t>
  </si>
  <si>
    <t>24209</t>
  </si>
  <si>
    <t>Dell R750: SYS utilization is high</t>
  </si>
  <si>
    <t>Dell R750:系统利用率高</t>
  </si>
  <si>
    <t>(3162/722)</t>
  </si>
  <si>
    <t>24210</t>
  </si>
  <si>
    <t>Dell R750: SYS utilization is too high</t>
  </si>
  <si>
    <t>Dell R750:系统利用率过高</t>
  </si>
  <si>
    <t>(3162/723)</t>
  </si>
  <si>
    <t>24211</t>
  </si>
  <si>
    <t>Dell R750: Redfish API service is unavailable</t>
  </si>
  <si>
    <t>Dell R750:Redfish API 服务不可用</t>
  </si>
  <si>
    <t>(3162/724)</t>
  </si>
  <si>
    <t>DELL PowerEdge R750 by SNMP</t>
  </si>
  <si>
    <t>24234</t>
  </si>
  <si>
    <t>(3162/725)</t>
  </si>
  <si>
    <t>24235</t>
  </si>
  <si>
    <t>(3162/726)</t>
  </si>
  <si>
    <t>24243</t>
  </si>
  <si>
    <t>Dell R750: Host has been restarted</t>
  </si>
  <si>
    <t>Dell R750:主机已重启</t>
  </si>
  <si>
    <t>(3162/727)</t>
  </si>
  <si>
    <t>24236</t>
  </si>
  <si>
    <t>Dell R750: Memory amount has changed</t>
  </si>
  <si>
    <t>Dell R750:内存容量已更改</t>
  </si>
  <si>
    <t>(3162/728)</t>
  </si>
  <si>
    <t>24237</t>
  </si>
  <si>
    <t>Dell R750: System name has changed</t>
  </si>
  <si>
    <t>Dell R750:系统名称已更改</t>
  </si>
  <si>
    <t>(3162/729)</t>
  </si>
  <si>
    <t>24238</t>
  </si>
  <si>
    <t>Dell R750: System is in unrecoverable state</t>
  </si>
  <si>
    <t>Dell R750:系统处于不可恢复状态</t>
  </si>
  <si>
    <t>(3162/730)</t>
  </si>
  <si>
    <t>24239</t>
  </si>
  <si>
    <t>Dell R750: System status is in critical state</t>
  </si>
  <si>
    <t>Dell R750:系统状态为严重</t>
  </si>
  <si>
    <t>(3162/731)</t>
  </si>
  <si>
    <t>24240</t>
  </si>
  <si>
    <t>Dell R750: System status is in warning state</t>
  </si>
  <si>
    <t>Dell R750:系统状态为警告</t>
  </si>
  <si>
    <t>(3162/732)</t>
  </si>
  <si>
    <t>24241</t>
  </si>
  <si>
    <t>Dell R750: Operating system description has changed</t>
  </si>
  <si>
    <t>Dell R750:操作系统描述已更改</t>
  </si>
  <si>
    <t>(3162/733)</t>
  </si>
  <si>
    <t>24242</t>
  </si>
  <si>
    <t>Dell R750: No SNMP data collection</t>
  </si>
  <si>
    <t>Dell R750:无 SNMP 数据收集</t>
  </si>
  <si>
    <t>(3162/734)</t>
  </si>
  <si>
    <t>24270</t>
  </si>
  <si>
    <t>(3162/735)</t>
  </si>
  <si>
    <t>24271</t>
  </si>
  <si>
    <t>(3162/736)</t>
  </si>
  <si>
    <t>24272</t>
  </si>
  <si>
    <t>(3162/737)</t>
  </si>
  <si>
    <t>24273</t>
  </si>
  <si>
    <t>Dell R820: Server is in a warning state</t>
  </si>
  <si>
    <t>Dell R820:服务器处于警告状态</t>
  </si>
  <si>
    <t>(3162/738)</t>
  </si>
  <si>
    <t>24274</t>
  </si>
  <si>
    <t>Dell R820: CPU utilization is high</t>
  </si>
  <si>
    <t>Dell R820:CPU 利用率高</t>
  </si>
  <si>
    <t>(3162/739)</t>
  </si>
  <si>
    <t>24275</t>
  </si>
  <si>
    <t>Dell R820: CPU utilization is too high</t>
  </si>
  <si>
    <t>Dell R820:CPU 利用率过高</t>
  </si>
  <si>
    <t>(3162/740)</t>
  </si>
  <si>
    <t>24276</t>
  </si>
  <si>
    <t>Dell R820: IO utilization is high</t>
  </si>
  <si>
    <t>Dell R820:IO 利用率高</t>
  </si>
  <si>
    <t>(3162/741)</t>
  </si>
  <si>
    <t>24277</t>
  </si>
  <si>
    <t>Dell R820: IO utilization is too high</t>
  </si>
  <si>
    <t>Dell R820:IO 利用率过高</t>
  </si>
  <si>
    <t>(3162/742)</t>
  </si>
  <si>
    <t>24278</t>
  </si>
  <si>
    <t>Dell R820: Memory utilization is high</t>
  </si>
  <si>
    <t>Dell R820:内存利用率高</t>
  </si>
  <si>
    <t>(3162/743)</t>
  </si>
  <si>
    <t>24279</t>
  </si>
  <si>
    <t>Dell R820: Memory utilization is too high</t>
  </si>
  <si>
    <t>Dell R820:内存利用率过高</t>
  </si>
  <si>
    <t>(3162/744)</t>
  </si>
  <si>
    <t>24280</t>
  </si>
  <si>
    <t>Dell R820: SYS utilization is high</t>
  </si>
  <si>
    <t>Dell R820:系统利用率高</t>
  </si>
  <si>
    <t>(3162/745)</t>
  </si>
  <si>
    <t>24281</t>
  </si>
  <si>
    <t>Dell R820: SYS utilization is too high</t>
  </si>
  <si>
    <t>Dell R820:系统利用率过高</t>
  </si>
  <si>
    <t>(3162/746)</t>
  </si>
  <si>
    <t>24282</t>
  </si>
  <si>
    <t>(3162/747)</t>
  </si>
  <si>
    <t>24305</t>
  </si>
  <si>
    <t>(3162/748)</t>
  </si>
  <si>
    <t>24306</t>
  </si>
  <si>
    <t>(3162/749)</t>
  </si>
  <si>
    <t>24314</t>
  </si>
  <si>
    <t>(3162/750)</t>
  </si>
  <si>
    <t>24307</t>
  </si>
  <si>
    <t>Dell R820: Memory amount has changed</t>
  </si>
  <si>
    <t>Dell R820:内存容量已更改</t>
  </si>
  <si>
    <t>(3162/751)</t>
  </si>
  <si>
    <t>24308</t>
  </si>
  <si>
    <t>(3162/752)</t>
  </si>
  <si>
    <t>24309</t>
  </si>
  <si>
    <t>(3162/753)</t>
  </si>
  <si>
    <t>24310</t>
  </si>
  <si>
    <t>(3162/754)</t>
  </si>
  <si>
    <t>24311</t>
  </si>
  <si>
    <t>(3162/755)</t>
  </si>
  <si>
    <t>24312</t>
  </si>
  <si>
    <t>(3162/756)</t>
  </si>
  <si>
    <t>24313</t>
  </si>
  <si>
    <t>(3162/757)</t>
  </si>
  <si>
    <t>24341</t>
  </si>
  <si>
    <t>(3162/758)</t>
  </si>
  <si>
    <t>24342</t>
  </si>
  <si>
    <t>(3162/759)</t>
  </si>
  <si>
    <t>24343</t>
  </si>
  <si>
    <t>(3162/760)</t>
  </si>
  <si>
    <t>24344</t>
  </si>
  <si>
    <t>Dell R840: Server is in a warning state</t>
  </si>
  <si>
    <t>Dell R840:服务器处于警告状态</t>
  </si>
  <si>
    <t>(3162/761)</t>
  </si>
  <si>
    <t>24345</t>
  </si>
  <si>
    <t>Dell R840: CPU utilization is high</t>
  </si>
  <si>
    <t>Dell R840:CPU 利用率高</t>
  </si>
  <si>
    <t>(3162/762)</t>
  </si>
  <si>
    <t>24346</t>
  </si>
  <si>
    <t>Dell R840: CPU utilization is too high</t>
  </si>
  <si>
    <t>Dell R840:CPU 利用率过高</t>
  </si>
  <si>
    <t>(3162/763)</t>
  </si>
  <si>
    <t>24347</t>
  </si>
  <si>
    <t>Dell R840: IO utilization is high</t>
  </si>
  <si>
    <t>Dell R840:IO 利用率高</t>
  </si>
  <si>
    <t>(3162/764)</t>
  </si>
  <si>
    <t>24348</t>
  </si>
  <si>
    <t>Dell R840: IO utilization is too high</t>
  </si>
  <si>
    <t>Dell R840:IO 利用率过高</t>
  </si>
  <si>
    <t>(3162/765)</t>
  </si>
  <si>
    <t>24349</t>
  </si>
  <si>
    <t>Dell R840: Memory utilization is high</t>
  </si>
  <si>
    <t>Dell R840:内存利用率高</t>
  </si>
  <si>
    <t>(3162/766)</t>
  </si>
  <si>
    <t>24350</t>
  </si>
  <si>
    <t>Dell R840: Memory utilization is too high</t>
  </si>
  <si>
    <t>Dell R840:内存利用率过高</t>
  </si>
  <si>
    <t>(3162/767)</t>
  </si>
  <si>
    <t>24351</t>
  </si>
  <si>
    <t>Dell R840: SYS utilization is high</t>
  </si>
  <si>
    <t>Dell R840:系统利用率高</t>
  </si>
  <si>
    <t>(3162/768)</t>
  </si>
  <si>
    <t>24352</t>
  </si>
  <si>
    <t>Dell R840: SYS utilization is too high</t>
  </si>
  <si>
    <t>Dell R840:系统利用率过高</t>
  </si>
  <si>
    <t>(3162/769)</t>
  </si>
  <si>
    <t>24353</t>
  </si>
  <si>
    <t>(3162/770)</t>
  </si>
  <si>
    <t>24376</t>
  </si>
  <si>
    <t>(3162/771)</t>
  </si>
  <si>
    <t>24377</t>
  </si>
  <si>
    <t>(3162/772)</t>
  </si>
  <si>
    <t>24385</t>
  </si>
  <si>
    <t>(3162/773)</t>
  </si>
  <si>
    <t>24378</t>
  </si>
  <si>
    <t>Dell R840: Memory amount has changed</t>
  </si>
  <si>
    <t>Dell R840:内存容量已更改</t>
  </si>
  <si>
    <t>(3162/774)</t>
  </si>
  <si>
    <t>24379</t>
  </si>
  <si>
    <t>(3162/775)</t>
  </si>
  <si>
    <t>24380</t>
  </si>
  <si>
    <t>(3162/776)</t>
  </si>
  <si>
    <t>24381</t>
  </si>
  <si>
    <t>(3162/777)</t>
  </si>
  <si>
    <t>24382</t>
  </si>
  <si>
    <t>(3162/778)</t>
  </si>
  <si>
    <t>24383</t>
  </si>
  <si>
    <t>(3162/779)</t>
  </si>
  <si>
    <t>24384</t>
  </si>
  <si>
    <t>(3162/780)</t>
  </si>
  <si>
    <t>(3162/781)</t>
  </si>
  <si>
    <t>(3162/782)</t>
  </si>
  <si>
    <t>(3162/783)</t>
  </si>
  <si>
    <t>(3162/784)</t>
  </si>
  <si>
    <t>(3162/785)</t>
  </si>
  <si>
    <t>(3162/786)</t>
  </si>
  <si>
    <t>24412</t>
  </si>
  <si>
    <t>(3162/787)</t>
  </si>
  <si>
    <t>24413</t>
  </si>
  <si>
    <t>(3162/788)</t>
  </si>
  <si>
    <t>24421</t>
  </si>
  <si>
    <t>(3162/789)</t>
  </si>
  <si>
    <t>24414</t>
  </si>
  <si>
    <t>Dell iDRAC: Memory amount has changed</t>
  </si>
  <si>
    <t>Dell iDRAC:内存容量已更改</t>
  </si>
  <si>
    <t>(3162/790)</t>
  </si>
  <si>
    <t>24415</t>
  </si>
  <si>
    <t>(3162/791)</t>
  </si>
  <si>
    <t>24416</t>
  </si>
  <si>
    <t>Dell iDRAC: System is in unrecoverable state</t>
  </si>
  <si>
    <t>Dell iDRAC:系统处于不可恢复状态</t>
  </si>
  <si>
    <t>(3162/792)</t>
  </si>
  <si>
    <t>24417</t>
  </si>
  <si>
    <t>(3162/793)</t>
  </si>
  <si>
    <t>24418</t>
  </si>
  <si>
    <t>(3162/794)</t>
  </si>
  <si>
    <t>24419</t>
  </si>
  <si>
    <t>(3162/795)</t>
  </si>
  <si>
    <t>24420</t>
  </si>
  <si>
    <t>(3162/796)</t>
  </si>
  <si>
    <t>(3162/797)</t>
  </si>
  <si>
    <t>(3162/798)</t>
  </si>
  <si>
    <t>(3162/799)</t>
  </si>
  <si>
    <t>Elasticsearch: Cluster has the initializing shards</t>
  </si>
  <si>
    <t>Elasticsearch: 集群具有初始化碎片</t>
  </si>
  <si>
    <t>(3162/800)</t>
  </si>
  <si>
    <t>Elasticsearch: Cluster does not have enough space for resharding</t>
  </si>
  <si>
    <t>Elasticsearch: 集群没有足够的空间进行重新分片</t>
  </si>
  <si>
    <t>(3162/801)</t>
  </si>
  <si>
    <t>Elasticsearch: The number of nodes within the cluster has decreased</t>
  </si>
  <si>
    <t>Elasticsearch: 集群内的节点数量已减少</t>
  </si>
  <si>
    <t>(3162/802)</t>
  </si>
  <si>
    <t>Elasticsearch: The number of nodes within the cluster has increased</t>
  </si>
  <si>
    <t>Elasticsearch: 集群内的节点数量已增加</t>
  </si>
  <si>
    <t>(3162/803)</t>
  </si>
  <si>
    <t>Elasticsearch: Health is YELLOW</t>
  </si>
  <si>
    <t>Elasticsearch: 健康状况是黄色的</t>
  </si>
  <si>
    <t>(3162/804)</t>
  </si>
  <si>
    <t>Elasticsearch: Health is RED</t>
  </si>
  <si>
    <t>Elasticsearch: 健康状况是红色的</t>
  </si>
  <si>
    <t>(3162/805)</t>
  </si>
  <si>
    <t>Elasticsearch: Health is UNKNOWN</t>
  </si>
  <si>
    <t>Elasticsearch: 健康状况是未知的</t>
  </si>
  <si>
    <t>(3162/806)</t>
  </si>
  <si>
    <t>Elasticsearch: Cluster has the unassigned shards</t>
  </si>
  <si>
    <t>Elasticsearch: 集群具有未分配的碎片</t>
  </si>
  <si>
    <t>(3162/807)</t>
  </si>
  <si>
    <t>Elasticsearch: Cluster has only two master nodes</t>
  </si>
  <si>
    <t>Elasticsearch: 集群只有两个主节点</t>
  </si>
  <si>
    <t>(3162/808)</t>
  </si>
  <si>
    <t>Elasticsearch: Cluster has been restarted</t>
  </si>
  <si>
    <t>Elasticsearch: 集群已重新启动</t>
  </si>
  <si>
    <t>(3162/809)</t>
  </si>
  <si>
    <t>Elasticsearch: Service response time is too high</t>
  </si>
  <si>
    <t>Elasticsearch: 服务响应时间太长</t>
  </si>
  <si>
    <t>(3162/810)</t>
  </si>
  <si>
    <t>Elasticsearch: Service is down</t>
  </si>
  <si>
    <t>Elasticsearch: 服务已关闭</t>
  </si>
  <si>
    <t>(3162/811)</t>
  </si>
  <si>
    <t>22655</t>
  </si>
  <si>
    <t>(3162/812)</t>
  </si>
  <si>
    <t>22656</t>
  </si>
  <si>
    <t>(3162/813)</t>
  </si>
  <si>
    <t>22658</t>
  </si>
  <si>
    <t>(3162/814)</t>
  </si>
  <si>
    <t>22657</t>
  </si>
  <si>
    <t>(3162/815)</t>
  </si>
  <si>
    <t>(3162/816)</t>
  </si>
  <si>
    <t>(3162/817)</t>
  </si>
  <si>
    <t>(3162/818)</t>
  </si>
  <si>
    <t>(3162/819)</t>
  </si>
  <si>
    <t>(3162/820)</t>
  </si>
  <si>
    <t>(3162/821)</t>
  </si>
  <si>
    <t>(3162/822)</t>
  </si>
  <si>
    <t>(3162/823)</t>
  </si>
  <si>
    <t>(3162/824)</t>
  </si>
  <si>
    <t>(3162/825)</t>
  </si>
  <si>
    <t>(3162/826)</t>
  </si>
  <si>
    <t>(3162/827)</t>
  </si>
  <si>
    <t>(3162/828)</t>
  </si>
  <si>
    <t>(3162/829)</t>
  </si>
  <si>
    <t>(3162/830)</t>
  </si>
  <si>
    <t>Extreme EXOS: Temperature is above critical threshold</t>
  </si>
  <si>
    <t>Extreme EXOS: 温度高于临界阈值</t>
  </si>
  <si>
    <t>(3162/831)</t>
  </si>
  <si>
    <t>Extreme EXOS: Temperature is above warning threshold</t>
  </si>
  <si>
    <t>Extreme EXOS: 温度高于告警阈值</t>
  </si>
  <si>
    <t>(3162/832)</t>
  </si>
  <si>
    <t>Extreme EXOS: Temperature is too low</t>
  </si>
  <si>
    <t>Extreme EXOS: 温度过低</t>
  </si>
  <si>
    <t>(3162/833)</t>
  </si>
  <si>
    <t>(3162/834)</t>
  </si>
  <si>
    <t>(3162/835)</t>
  </si>
  <si>
    <t>(3162/836)</t>
  </si>
  <si>
    <t>(3162/837)</t>
  </si>
  <si>
    <t>(3162/838)</t>
  </si>
  <si>
    <t>(3162/839)</t>
  </si>
  <si>
    <t>(3162/840)</t>
  </si>
  <si>
    <t>F5 Big-IP: Cluster not in sync</t>
  </si>
  <si>
    <t>(3162/841)</t>
  </si>
  <si>
    <t>F5 Big-IP: Chassis has been replaced</t>
  </si>
  <si>
    <t>(3162/842)</t>
  </si>
  <si>
    <t>F5 Big-IP: Changes have been made on the device not sync</t>
  </si>
  <si>
    <t>(3162/843)</t>
  </si>
  <si>
    <t>F5 Big-IP: The device is inconsistent with the device group</t>
  </si>
  <si>
    <t>(3162/844)</t>
  </si>
  <si>
    <t>F5 Big-IP: Host has been restarted</t>
  </si>
  <si>
    <t>(3162/845)</t>
  </si>
  <si>
    <t>F5 Big-IP: No SNMP data collection</t>
  </si>
  <si>
    <t>(3162/846)</t>
  </si>
  <si>
    <t>(3162/847)</t>
  </si>
  <si>
    <t>23432</t>
  </si>
  <si>
    <t>(3162/848)</t>
  </si>
  <si>
    <t>23433</t>
  </si>
  <si>
    <t>(3162/849)</t>
  </si>
  <si>
    <t>23434</t>
  </si>
  <si>
    <t>(3162/850)</t>
  </si>
  <si>
    <t>(3162/851)</t>
  </si>
  <si>
    <t>(3162/852)</t>
  </si>
  <si>
    <t>(3162/853)</t>
  </si>
  <si>
    <t>(3162/854)</t>
  </si>
  <si>
    <t>23439</t>
  </si>
  <si>
    <t>(3162/855)</t>
  </si>
  <si>
    <t>23440</t>
  </si>
  <si>
    <t>(3162/856)</t>
  </si>
  <si>
    <t>(3162/857)</t>
  </si>
  <si>
    <t>(3162/858)</t>
  </si>
  <si>
    <t>(3162/859)</t>
  </si>
  <si>
    <t>(3162/860)</t>
  </si>
  <si>
    <t>(3162/861)</t>
  </si>
  <si>
    <t>(3162/862)</t>
  </si>
  <si>
    <t>(3162/863)</t>
  </si>
  <si>
    <t>(3162/864)</t>
  </si>
  <si>
    <t>(3162/865)</t>
  </si>
  <si>
    <t>(3162/866)</t>
  </si>
  <si>
    <t>(3162/867)</t>
  </si>
  <si>
    <t>(3162/868)</t>
  </si>
  <si>
    <t>(3162/869)</t>
  </si>
  <si>
    <t>(3162/870)</t>
  </si>
  <si>
    <t>23465</t>
  </si>
  <si>
    <t>(3162/871)</t>
  </si>
  <si>
    <t>23466</t>
  </si>
  <si>
    <t>(3162/872)</t>
  </si>
  <si>
    <t>23467</t>
  </si>
  <si>
    <t>(3162/873)</t>
  </si>
  <si>
    <t>23664</t>
  </si>
  <si>
    <t>(3162/874)</t>
  </si>
  <si>
    <t>23468</t>
  </si>
  <si>
    <t>(3162/875)</t>
  </si>
  <si>
    <t>23469</t>
  </si>
  <si>
    <t>(3162/876)</t>
  </si>
  <si>
    <t>(3162/877)</t>
  </si>
  <si>
    <t>(3162/878)</t>
  </si>
  <si>
    <t>(3162/879)</t>
  </si>
  <si>
    <t>(3162/880)</t>
  </si>
  <si>
    <t>(3162/881)</t>
  </si>
  <si>
    <t>(3162/882)</t>
  </si>
  <si>
    <t>(3162/883)</t>
  </si>
  <si>
    <t>(3162/884)</t>
  </si>
  <si>
    <t>(3162/885)</t>
  </si>
  <si>
    <t>(3162/886)</t>
  </si>
  <si>
    <t>(3162/887)</t>
  </si>
  <si>
    <t>(3162/888)</t>
  </si>
  <si>
    <t>23239</t>
  </si>
  <si>
    <t>GCP MSSQL: High CPU utilization</t>
  </si>
  <si>
    <t>GCP MSSQL: 高CPU利用率</t>
  </si>
  <si>
    <t>(3162/889)</t>
  </si>
  <si>
    <t>GCP MSSQL: Database engine is down</t>
  </si>
  <si>
    <t>GCP MSSQL: 数据库引擎已关闭</t>
  </si>
  <si>
    <t>(3162/890)</t>
  </si>
  <si>
    <t>GCP MSSQL: Disk space is critically low</t>
  </si>
  <si>
    <t>GCP MSSQL: 磁盘空间严重不足</t>
  </si>
  <si>
    <t>(3162/891)</t>
  </si>
  <si>
    <t>GCP MSSQL: Disk space is low</t>
  </si>
  <si>
    <t>GCP MSSQL: 磁盘空间不足</t>
  </si>
  <si>
    <t>(3162/892)</t>
  </si>
  <si>
    <t>GCP MSSQL: Failed to get the instance state</t>
  </si>
  <si>
    <t>GCP MSSQL: 获取实例状态失败</t>
  </si>
  <si>
    <t>(3162/893)</t>
  </si>
  <si>
    <t>GCP MSSQL: Instance is in failed state</t>
  </si>
  <si>
    <t>GCP MSSQL: 实例处于失败状态</t>
  </si>
  <si>
    <t>(3162/894)</t>
  </si>
  <si>
    <t>GCP MSSQL: Instance is in maintenance</t>
  </si>
  <si>
    <t>GCP MSSQL: 实例维护中</t>
  </si>
  <si>
    <t>(3162/895)</t>
  </si>
  <si>
    <t>GCP MSSQL: Instance is in suspended state</t>
  </si>
  <si>
    <t>GCP MSSQL: 实例处于挂起状态</t>
  </si>
  <si>
    <t>(3162/896)</t>
  </si>
  <si>
    <t>GCP MSSQL: Instance is in unknown state</t>
  </si>
  <si>
    <t>GCP MSSQL: 实例处于未知状态</t>
  </si>
  <si>
    <t>(3162/897)</t>
  </si>
  <si>
    <t>GCP MSSQL: Instance is stopped by the owner</t>
  </si>
  <si>
    <t>GCP MSSQL: 实例已被所有者停止</t>
  </si>
  <si>
    <t>(3162/898)</t>
  </si>
  <si>
    <t>GCP MSSQL: High memory utilization</t>
  </si>
  <si>
    <t>GCP MSSQL: 内存利用率高</t>
  </si>
  <si>
    <t>(3162/899)</t>
  </si>
  <si>
    <t>GCP MySQL: High CPU utilization</t>
  </si>
  <si>
    <t>GCP MySQL: 高CPU利用率</t>
  </si>
  <si>
    <t>(3162/900)</t>
  </si>
  <si>
    <t>GCP MySQL: Database engine is down</t>
  </si>
  <si>
    <t>GCP MySQL: 数据库引擎已关闭</t>
  </si>
  <si>
    <t>(3162/901)</t>
  </si>
  <si>
    <t>GCP MySQL: Disk space is critically low</t>
  </si>
  <si>
    <t>GCP MySQL: 磁盘空间严重不足</t>
  </si>
  <si>
    <t>(3162/902)</t>
  </si>
  <si>
    <t>GCP MySQL: Disk space is low</t>
  </si>
  <si>
    <t>GCP MySQL: 磁盘空间不足</t>
  </si>
  <si>
    <t>(3162/903)</t>
  </si>
  <si>
    <t>GCP MySQL: Failed to get the instance state</t>
  </si>
  <si>
    <t>GCP MySQL: 获取实例状态失败</t>
  </si>
  <si>
    <t>(3162/904)</t>
  </si>
  <si>
    <t>GCP MySQL: Instance is in failed state</t>
  </si>
  <si>
    <t>GCP MySQL: 实例处于失败状态</t>
  </si>
  <si>
    <t>(3162/905)</t>
  </si>
  <si>
    <t>23256</t>
  </si>
  <si>
    <t>GCP MySQL: Instance is in maintenance</t>
  </si>
  <si>
    <t>GCP MySQL: 实例维护中</t>
  </si>
  <si>
    <t>(3162/906)</t>
  </si>
  <si>
    <t>23257</t>
  </si>
  <si>
    <t>GCP MySQL: Instance is in suspended state</t>
  </si>
  <si>
    <t>GCP MySQL: 实例处于挂起状态</t>
  </si>
  <si>
    <t>(3162/907)</t>
  </si>
  <si>
    <t>23258</t>
  </si>
  <si>
    <t>GCP MySQL: Instance is in unknown state</t>
  </si>
  <si>
    <t>GCP MySQL: 实例处于未知状态</t>
  </si>
  <si>
    <t>(3162/908)</t>
  </si>
  <si>
    <t>23259</t>
  </si>
  <si>
    <t>GCP MySQL: Instance is stopped by the owner</t>
  </si>
  <si>
    <t>GCP MySQL: 实例已被所有者停止</t>
  </si>
  <si>
    <t>(3162/909)</t>
  </si>
  <si>
    <t>23260</t>
  </si>
  <si>
    <t>GCP MySQL: High memory utilization</t>
  </si>
  <si>
    <t>GCP MySQL: 内存利用率高</t>
  </si>
  <si>
    <t>(3162/910)</t>
  </si>
  <si>
    <t>23261</t>
  </si>
  <si>
    <t>GCP PostgreSQL: High CPU utilization</t>
  </si>
  <si>
    <t>GCP PostgreSQL: 高CPU利用率</t>
  </si>
  <si>
    <t>(3162/911)</t>
  </si>
  <si>
    <t>23262</t>
  </si>
  <si>
    <t>GCP PostgreSQL: Database engine is down</t>
  </si>
  <si>
    <t>GCP PostgreSQL: 数据库引擎已关闭</t>
  </si>
  <si>
    <t>(3162/912)</t>
  </si>
  <si>
    <t>23263</t>
  </si>
  <si>
    <t>GCP PostgreSQL: Disk space is critically low</t>
  </si>
  <si>
    <t>GCP PostgreSQL: 磁盘空间严重不足</t>
  </si>
  <si>
    <t>(3162/913)</t>
  </si>
  <si>
    <t>23264</t>
  </si>
  <si>
    <t>GCP PostgreSQL: Disk space is low</t>
  </si>
  <si>
    <t>GCP PostgreSQL: 磁盘空间不足</t>
  </si>
  <si>
    <t>(3162/914)</t>
  </si>
  <si>
    <t>23265</t>
  </si>
  <si>
    <t>GCP PostgreSQL: Failed to get the instance state</t>
  </si>
  <si>
    <t>GCP PostgreSQL: 获取实例状态失败</t>
  </si>
  <si>
    <t>(3162/915)</t>
  </si>
  <si>
    <t>23266</t>
  </si>
  <si>
    <t>GCP PostgreSQL: Instance is in failed state</t>
  </si>
  <si>
    <t>GCP PostgreSQL: 实例处于失败状态</t>
  </si>
  <si>
    <t>(3162/916)</t>
  </si>
  <si>
    <t>23267</t>
  </si>
  <si>
    <t>GCP PostgreSQL: Instance is in maintenance</t>
  </si>
  <si>
    <t>GCP PostgreSQL: 实例维护中</t>
  </si>
  <si>
    <t>(3162/917)</t>
  </si>
  <si>
    <t>23268</t>
  </si>
  <si>
    <t>GCP PostgreSQL: Instance is in suspended state</t>
  </si>
  <si>
    <t>GCP PostgreSQL: 实例处于挂起状态</t>
  </si>
  <si>
    <t>(3162/918)</t>
  </si>
  <si>
    <t>23269</t>
  </si>
  <si>
    <t>GCP PostgreSQL: Instance is in unknown state</t>
  </si>
  <si>
    <t>GCP PostgreSQL: 实例处于未知状态</t>
  </si>
  <si>
    <t>(3162/919)</t>
  </si>
  <si>
    <t>23270</t>
  </si>
  <si>
    <t>GCP PostgreSQL: Instance is stopped by the owner</t>
  </si>
  <si>
    <t>GCP PostgreSQL: 实例已被所有者停止</t>
  </si>
  <si>
    <t>(3162/920)</t>
  </si>
  <si>
    <t>23271</t>
  </si>
  <si>
    <t>GCP PostgreSQL: High memory utilization</t>
  </si>
  <si>
    <t>GCP PostgreSQL: 内存利用率高</t>
  </si>
  <si>
    <t>(3162/921)</t>
  </si>
  <si>
    <t>23272</t>
  </si>
  <si>
    <t>GCP Compute Engine Instance: High CPU utilization</t>
  </si>
  <si>
    <t>GCP Compute Engine Instance: 高CPU利用率</t>
  </si>
  <si>
    <t>(3162/922)</t>
  </si>
  <si>
    <t>23273</t>
  </si>
  <si>
    <t>GCP Compute Engine Instance: Failed to get the instance state</t>
  </si>
  <si>
    <t>GCP Compute Engine Instance: 获取实例状态失败</t>
  </si>
  <si>
    <t>(3162/923)</t>
  </si>
  <si>
    <t>23274</t>
  </si>
  <si>
    <t>GCP Compute Engine Instance: Instance is in suspended state</t>
  </si>
  <si>
    <t>GCP Compute Engine Instance: 实例处于挂起状态</t>
  </si>
  <si>
    <t>(3162/924)</t>
  </si>
  <si>
    <t>23275</t>
  </si>
  <si>
    <t>GCP Compute Engine Instance: The instance is in repairing state</t>
  </si>
  <si>
    <t>GCP Compute Engine Instance: 实例维护中</t>
  </si>
  <si>
    <t>(3162/925)</t>
  </si>
  <si>
    <t>23276</t>
  </si>
  <si>
    <t>GCP Compute Engine Instance: The instance is in terminated state</t>
  </si>
  <si>
    <t>(3162/926)</t>
  </si>
  <si>
    <t>23320</t>
  </si>
  <si>
    <t>GCP Compute Engine Instance: High memory utilization</t>
  </si>
  <si>
    <t>GCP Compute Engine Instance: 内存利用率高</t>
  </si>
  <si>
    <t>(3162/927)</t>
  </si>
  <si>
    <t>23238</t>
  </si>
  <si>
    <t>(3162/928)</t>
  </si>
  <si>
    <t>Generic Java JMX: Compilation: {HOST.NAME} uses suboptimal JIT compiler</t>
  </si>
  <si>
    <t>Generic Java JMX: Compilation: {HOST.NAME}使用率次优JIT编译器</t>
  </si>
  <si>
    <t>(3162/929)</t>
  </si>
  <si>
    <t>Generic Java JMX: Memory: Heap memory usage is high</t>
  </si>
  <si>
    <t>Generic Java JMX: Memory: 堆内存使用率高了</t>
  </si>
  <si>
    <t>(3162/930)</t>
  </si>
  <si>
    <t>Generic Java JMX: Memory: Non-Heap memory usage is high</t>
  </si>
  <si>
    <t>Generic Java JMX: Memory: 非堆内存使用率高了</t>
  </si>
  <si>
    <t>(3162/931)</t>
  </si>
  <si>
    <t>Generic Java JMX: OperatingSystem: Opened file descriptor count is high</t>
  </si>
  <si>
    <t>Generic Java JMX: OperatingSystem: 打开的文件描述符计数很高了</t>
  </si>
  <si>
    <t>(3162/932)</t>
  </si>
  <si>
    <t>Generic Java JMX: OperatingSystem: Process CPU Load is high</t>
  </si>
  <si>
    <t>Generic Java JMX: OperatingSystem: 进程CPU负载高</t>
  </si>
  <si>
    <t>(3162/933)</t>
  </si>
  <si>
    <t>Generic Java JMX: Runtime: JVM is not reachable</t>
  </si>
  <si>
    <t>Generic Java JMX: Runtime: JVM不可访问</t>
  </si>
  <si>
    <t>(3162/934)</t>
  </si>
  <si>
    <t>Generic Java JMX: Runtime: {HOST.NAME} runs suboptimal VM type</t>
  </si>
  <si>
    <t>Generic Java JMX: Runtime: {HOST.NAME}运行次优VM类型</t>
  </si>
  <si>
    <t>(3162/935)</t>
  </si>
  <si>
    <t>Generic by SNMP: Unavailable by ICMP ping</t>
  </si>
  <si>
    <t>Generic by SNMP: ICMP ping不可用</t>
  </si>
  <si>
    <t>(3162/936)</t>
  </si>
  <si>
    <t>Generic by SNMP: High ICMP ping loss</t>
  </si>
  <si>
    <t>Generic by SNMP: 高ICMP ping丢失</t>
  </si>
  <si>
    <t>(3162/937)</t>
  </si>
  <si>
    <t>Generic by SNMP: High ICMP ping response time</t>
  </si>
  <si>
    <t>Generic by SNMP: 高ICMP ping响应时间</t>
  </si>
  <si>
    <t>(3162/938)</t>
  </si>
  <si>
    <t>Generic by SNMP: Host has been restarted</t>
  </si>
  <si>
    <t>Generic by SNMP: 主机已重新启动</t>
  </si>
  <si>
    <t>(3162/939)</t>
  </si>
  <si>
    <t>Generic by SNMP: System name has changed</t>
  </si>
  <si>
    <t>Generic by SNMP: 系统名称已变更</t>
  </si>
  <si>
    <t>(3162/940)</t>
  </si>
  <si>
    <t>Generic by SNMP: No SNMP data collection</t>
  </si>
  <si>
    <t>Generic by SNMP: 无SNMP数据收集</t>
  </si>
  <si>
    <t>(3162/941)</t>
  </si>
  <si>
    <t>23751</t>
  </si>
  <si>
    <t>(3162/942)</t>
  </si>
  <si>
    <t>23752</t>
  </si>
  <si>
    <t>(3162/943)</t>
  </si>
  <si>
    <t>23753</t>
  </si>
  <si>
    <t>(3162/944)</t>
  </si>
  <si>
    <t>23754</t>
  </si>
  <si>
    <t>(3162/945)</t>
  </si>
  <si>
    <t>23755</t>
  </si>
  <si>
    <t>(3162/946)</t>
  </si>
  <si>
    <t>23756</t>
  </si>
  <si>
    <t>(3162/947)</t>
  </si>
  <si>
    <t>(3162/948)</t>
  </si>
  <si>
    <t>(3162/949)</t>
  </si>
  <si>
    <t>(3162/950)</t>
  </si>
  <si>
    <t>(3162/951)</t>
  </si>
  <si>
    <t>(3162/952)</t>
  </si>
  <si>
    <t>(3162/953)</t>
  </si>
  <si>
    <t>(3162/954)</t>
  </si>
  <si>
    <t>(3162/955)</t>
  </si>
  <si>
    <t>(3162/956)</t>
  </si>
  <si>
    <t>HAProxy: Service has been restarted</t>
  </si>
  <si>
    <t>HAProxy：服务已重新启动</t>
  </si>
  <si>
    <t>(3162/957)</t>
  </si>
  <si>
    <t>(3162/958)</t>
  </si>
  <si>
    <t>(3162/959)</t>
  </si>
  <si>
    <t>(3162/960)</t>
  </si>
  <si>
    <t>HAProxy: 服务已重启</t>
  </si>
  <si>
    <t>(3162/961)</t>
  </si>
  <si>
    <t>(3162/962)</t>
  </si>
  <si>
    <t>(3162/963)</t>
  </si>
  <si>
    <t>(3162/964)</t>
  </si>
  <si>
    <t>(3162/965)</t>
  </si>
  <si>
    <t>(3162/966)</t>
  </si>
  <si>
    <t>(3162/967)</t>
  </si>
  <si>
    <t>(3162/968)</t>
  </si>
  <si>
    <t>(3162/969)</t>
  </si>
  <si>
    <t>(3162/970)</t>
  </si>
  <si>
    <t>(3162/971)</t>
  </si>
  <si>
    <t>(3162/972)</t>
  </si>
  <si>
    <t>(3162/973)</t>
  </si>
  <si>
    <t>(3162/974)</t>
  </si>
  <si>
    <t>(3162/975)</t>
  </si>
  <si>
    <t>(3162/976)</t>
  </si>
  <si>
    <t>(3162/977)</t>
  </si>
  <si>
    <t>(3162/978)</t>
  </si>
  <si>
    <t>(3162/979)</t>
  </si>
  <si>
    <t>(3162/980)</t>
  </si>
  <si>
    <t>(3162/981)</t>
  </si>
  <si>
    <t>(3162/982)</t>
  </si>
  <si>
    <t>(3162/983)</t>
  </si>
  <si>
    <t>(3162/984)</t>
  </si>
  <si>
    <t>(3162/985)</t>
  </si>
  <si>
    <t>(3162/986)</t>
  </si>
  <si>
    <t>(3162/987)</t>
  </si>
  <si>
    <t>(3162/988)</t>
  </si>
  <si>
    <t>(3162/989)</t>
  </si>
  <si>
    <t>(3162/990)</t>
  </si>
  <si>
    <t>(3162/991)</t>
  </si>
  <si>
    <t>(3162/992)</t>
  </si>
  <si>
    <t>(3162/993)</t>
  </si>
  <si>
    <t>(3162/994)</t>
  </si>
  <si>
    <t>HPE MSA 2040 Storage: There are errors in method requests to API</t>
  </si>
  <si>
    <t>HPE MSA 2040 Storage: API的方法请求中存在错误</t>
  </si>
  <si>
    <t>(3162/995)</t>
  </si>
  <si>
    <t>HPE MSA 2040 Storage: System health is in degraded state</t>
  </si>
  <si>
    <t>HPE MSA 2040 Storage: 系统健康状况处于降级状态</t>
  </si>
  <si>
    <t>(3162/996)</t>
  </si>
  <si>
    <t>HPE MSA 2040 Storage: System health is in fault state</t>
  </si>
  <si>
    <t>HPE MSA 2040 Storage: 系统健康状况处于故障状态</t>
  </si>
  <si>
    <t>(3162/997)</t>
  </si>
  <si>
    <t>HPE MSA 2040 Storage: System health is in unknown state</t>
  </si>
  <si>
    <t>HPE MSA 2040 Storage: 系统健康状况处于未知状态</t>
  </si>
  <si>
    <t>(3162/998)</t>
  </si>
  <si>
    <t>HPE MSA 2040 Storage: Service is down or unavailable</t>
  </si>
  <si>
    <t>HPE MSA 2040 Storage: 服务已关闭或不可用</t>
  </si>
  <si>
    <t>(3162/999)</t>
  </si>
  <si>
    <t>22742</t>
  </si>
  <si>
    <t>HPE MSA 2060 Storage: There are errors in method requests to API</t>
  </si>
  <si>
    <t>HPE MSA 2060 Storage: API的方法请求中存在错误</t>
  </si>
  <si>
    <t>(3162/1000)</t>
  </si>
  <si>
    <t>22743</t>
  </si>
  <si>
    <t>HPE MSA 2060 Storage: System health is in degraded state</t>
  </si>
  <si>
    <t>HPE MSA 2060 Storage: 系统健康状况处于降级状态</t>
  </si>
  <si>
    <t>(3162/1001)</t>
  </si>
  <si>
    <t>22744</t>
  </si>
  <si>
    <t>HPE MSA 2060 Storage: System health is in fault state</t>
  </si>
  <si>
    <t>HPE MSA 2060 Storage: 系统健康状况处于故障状态</t>
  </si>
  <si>
    <t>(3162/1002)</t>
  </si>
  <si>
    <t>22745</t>
  </si>
  <si>
    <t>HPE MSA 2060 Storage: System health is in unknown state</t>
  </si>
  <si>
    <t>HPE MSA 2060 Storage: 系统健康状况处于未知状态</t>
  </si>
  <si>
    <t>(3162/1003)</t>
  </si>
  <si>
    <t>22746</t>
  </si>
  <si>
    <t>HPE MSA 2060 Storage: Service is down or unavailable</t>
  </si>
  <si>
    <t>HPE MSA 2060 Storage: 服务已关闭或不可用</t>
  </si>
  <si>
    <t>(3162/1004)</t>
  </si>
  <si>
    <t>22807</t>
  </si>
  <si>
    <t>(3162/1005)</t>
  </si>
  <si>
    <t>22808</t>
  </si>
  <si>
    <t>(3162/1006)</t>
  </si>
  <si>
    <t>(3162/1007)</t>
  </si>
  <si>
    <t>(3162/1008)</t>
  </si>
  <si>
    <t>(3162/1009)</t>
  </si>
  <si>
    <t>(3162/1010)</t>
  </si>
  <si>
    <t>(3162/1011)</t>
  </si>
  <si>
    <t>(3162/1012)</t>
  </si>
  <si>
    <t>(3162/1013)</t>
  </si>
  <si>
    <t>(3162/1014)</t>
  </si>
  <si>
    <t>(3162/1015)</t>
  </si>
  <si>
    <t>(3162/1016)</t>
  </si>
  <si>
    <t>(3162/1017)</t>
  </si>
  <si>
    <t>(3162/1018)</t>
  </si>
  <si>
    <t>(3162/1019)</t>
  </si>
  <si>
    <t>(3162/1020)</t>
  </si>
  <si>
    <t>(3162/1021)</t>
  </si>
  <si>
    <t>(3162/1022)</t>
  </si>
  <si>
    <t>(3162/1023)</t>
  </si>
  <si>
    <t>(3162/1024)</t>
  </si>
  <si>
    <t>(3162/1025)</t>
  </si>
  <si>
    <t>(3162/1026)</t>
  </si>
  <si>
    <t>(3162/1027)</t>
  </si>
  <si>
    <t>(3162/1028)</t>
  </si>
  <si>
    <t>(3162/1029)</t>
  </si>
  <si>
    <t>(3162/1030)</t>
  </si>
  <si>
    <t>22876</t>
  </si>
  <si>
    <t>(3162/1031)</t>
  </si>
  <si>
    <t>22877</t>
  </si>
  <si>
    <t>(3162/1032)</t>
  </si>
  <si>
    <t>23482</t>
  </si>
  <si>
    <t>(3162/1033)</t>
  </si>
  <si>
    <t>Hadoop: NameNode: Cluster has missing blocks</t>
  </si>
  <si>
    <t>Hadoop: NameNode: 集群缺少块</t>
  </si>
  <si>
    <t>(3162/1034)</t>
  </si>
  <si>
    <t>Hadoop: NameNode: Cluster has DataNodes in Dead state</t>
  </si>
  <si>
    <t>Hadoop: NameNode: 集群的数据节点处于挂掉状态</t>
  </si>
  <si>
    <t>(3162/1035)</t>
  </si>
  <si>
    <t>Hadoop: NameNode: Cluster capacity remaining is low</t>
  </si>
  <si>
    <t>Hadoop: NameNode: 集群剩余容量低</t>
  </si>
  <si>
    <t>(3162/1036)</t>
  </si>
  <si>
    <t>Hadoop: NameNode: Service has been restarted</t>
  </si>
  <si>
    <t>Hadoop: NameNode: 服务已重新启动</t>
  </si>
  <si>
    <t>(3162/1037)</t>
  </si>
  <si>
    <t>Hadoop: NameNode: Failed to fetch NameNode API page</t>
  </si>
  <si>
    <t>Hadoop: NameNode: 无法获取节点名称API页</t>
  </si>
  <si>
    <t>(3162/1038)</t>
  </si>
  <si>
    <t>Hadoop: NameNode: Cluster has volume failures</t>
  </si>
  <si>
    <t>Hadoop: NameNode: 集群出现卷故障</t>
  </si>
  <si>
    <t>(3162/1039)</t>
  </si>
  <si>
    <t>Hadoop: ResourceManager: Cluster has no active NodeManagers</t>
  </si>
  <si>
    <t>Hadoop: ResourceManager: 集群没有活动的NodeManager</t>
  </si>
  <si>
    <t>(3162/1040)</t>
  </si>
  <si>
    <t>Hadoop: ResourceManager: Cluster has unhealthy NodeManagers</t>
  </si>
  <si>
    <t>Hadoop: ResourceManager: 集群具有不正常的NodeManager</t>
  </si>
  <si>
    <t>(3162/1041)</t>
  </si>
  <si>
    <t>Hadoop: ResourceManager: Service has been restarted</t>
  </si>
  <si>
    <t>Hadoop: ResourceManager: 服务已重新启动</t>
  </si>
  <si>
    <t>(3162/1042)</t>
  </si>
  <si>
    <t>Hadoop: ResourceManager: Failed to fetch ResourceManager API page</t>
  </si>
  <si>
    <t>Hadoop: ResourceManager: 无法获取资源管理器API页</t>
  </si>
  <si>
    <t>(3162/1043)</t>
  </si>
  <si>
    <t>Hadoop: NameNode: Service response time is too high</t>
  </si>
  <si>
    <t>Hadoop: NameNode: 服务响应时间太长</t>
  </si>
  <si>
    <t>(3162/1044)</t>
  </si>
  <si>
    <t>Hadoop: ResourceManager: Service response time is too high</t>
  </si>
  <si>
    <t>Hadoop: ResourceManager: 服务响应时间太长</t>
  </si>
  <si>
    <t>(3162/1045)</t>
  </si>
  <si>
    <t>Hadoop: NameNode: Service is unavailable</t>
  </si>
  <si>
    <t>Hadoop: NameNode: 服务不可用</t>
  </si>
  <si>
    <t>(3162/1046)</t>
  </si>
  <si>
    <t>Hadoop: ResourceManager: Service is unavailable</t>
  </si>
  <si>
    <t>Hadoop: ResourceManager: 服务不可用</t>
  </si>
  <si>
    <t>(3162/1047)</t>
  </si>
  <si>
    <t>HashiCorp Consul Cluster: Leader has been changed</t>
  </si>
  <si>
    <t>HashiCorp Consul Cluster: leader已变更</t>
  </si>
  <si>
    <t>(3162/1048)</t>
  </si>
  <si>
    <t>HashiCorp Consul Cluster: One or more nodes in cluster in 'critical' state</t>
  </si>
  <si>
    <t>HashiCorp Consul Cluster: 集群中的一个或多个节点处于"关键"状态</t>
  </si>
  <si>
    <t>(3162/1049)</t>
  </si>
  <si>
    <t>HashiCorp Consul Cluster: One or more nodes in cluster in 'warning' state</t>
  </si>
  <si>
    <t>HashiCorp Consul Cluster: 集群中的一个或多个节点处于"告警"状态</t>
  </si>
  <si>
    <t>(3162/1050)</t>
  </si>
  <si>
    <t>22664</t>
  </si>
  <si>
    <t>HashiCorp Consul Node: Failed to get local services</t>
  </si>
  <si>
    <t>HashiCorp Consul Node: 无法获取本地服务</t>
  </si>
  <si>
    <t>(3162/1051)</t>
  </si>
  <si>
    <t>22665</t>
  </si>
  <si>
    <t>HashiCorp Consul Node: Node's health score is critical</t>
  </si>
  <si>
    <t>HashiCorp Consul Node: Node的健康分数至关重要</t>
  </si>
  <si>
    <t>(3162/1052)</t>
  </si>
  <si>
    <t>HashiCorp Consul Node: Node's health score is warning</t>
  </si>
  <si>
    <t>HashiCorp Consul Node: Node的健康分数是告警</t>
  </si>
  <si>
    <t>(3162/1053)</t>
  </si>
  <si>
    <t>HashiCorp Consul Node: Current number of open files is too high</t>
  </si>
  <si>
    <t>HashiCorp Consul Node: 当前打开的文件数太高</t>
  </si>
  <si>
    <t>(3162/1054)</t>
  </si>
  <si>
    <t>HashiCorp Consul Node: Version has been changed</t>
  </si>
  <si>
    <t>HashiCorp Consul Node: 版本已变更</t>
  </si>
  <si>
    <t>(3162/1055)</t>
  </si>
  <si>
    <t>23366</t>
  </si>
  <si>
    <t>(3162/1056)</t>
  </si>
  <si>
    <t>23367</t>
  </si>
  <si>
    <t>(3162/1057)</t>
  </si>
  <si>
    <t>23368</t>
  </si>
  <si>
    <t>(3162/1058)</t>
  </si>
  <si>
    <t>23369</t>
  </si>
  <si>
    <t>(3162/1059)</t>
  </si>
  <si>
    <t>23370</t>
  </si>
  <si>
    <t>(3162/1060)</t>
  </si>
  <si>
    <t>23371</t>
  </si>
  <si>
    <t>(3162/1061)</t>
  </si>
  <si>
    <t>23385</t>
  </si>
  <si>
    <t>(3162/1062)</t>
  </si>
  <si>
    <t>23372</t>
  </si>
  <si>
    <t>(3162/1063)</t>
  </si>
  <si>
    <t>(3162/1064)</t>
  </si>
  <si>
    <t>23374</t>
  </si>
  <si>
    <t>(3162/1065)</t>
  </si>
  <si>
    <t>23375</t>
  </si>
  <si>
    <t>(3162/1066)</t>
  </si>
  <si>
    <t>23376</t>
  </si>
  <si>
    <t>(3162/1067)</t>
  </si>
  <si>
    <t>23377</t>
  </si>
  <si>
    <t>(3162/1068)</t>
  </si>
  <si>
    <t>23378</t>
  </si>
  <si>
    <t>(3162/1069)</t>
  </si>
  <si>
    <t>23379</t>
  </si>
  <si>
    <t>(3162/1070)</t>
  </si>
  <si>
    <t>23380</t>
  </si>
  <si>
    <t>(3162/1071)</t>
  </si>
  <si>
    <t>23386</t>
  </si>
  <si>
    <t>(3162/1072)</t>
  </si>
  <si>
    <t>23381</t>
  </si>
  <si>
    <t>(3162/1073)</t>
  </si>
  <si>
    <t>23382</t>
  </si>
  <si>
    <t>(3162/1074)</t>
  </si>
  <si>
    <t>23383</t>
  </si>
  <si>
    <t>(3162/1075)</t>
  </si>
  <si>
    <t>23384</t>
  </si>
  <si>
    <t>(3162/1076)</t>
  </si>
  <si>
    <t>23364</t>
  </si>
  <si>
    <t>(3162/1077)</t>
  </si>
  <si>
    <t>23365</t>
  </si>
  <si>
    <t>(3162/1078)</t>
  </si>
  <si>
    <t>HashiCorp Vault: Failed to get metrics</t>
  </si>
  <si>
    <t>HashiCorp Vault: 无法获取指标</t>
  </si>
  <si>
    <t>(3162/1079)</t>
  </si>
  <si>
    <t>HashiCorp Vault: Vault server is not responding</t>
  </si>
  <si>
    <t>HashiCorp Vault: Vault服务器没有响应</t>
  </si>
  <si>
    <t>(3162/1080)</t>
  </si>
  <si>
    <t>HashiCorp Vault: Vault server is sealed</t>
  </si>
  <si>
    <t>HashiCorp Vault: Vault服务器已密封</t>
  </si>
  <si>
    <t>(3162/1081)</t>
  </si>
  <si>
    <t>HashiCorp Vault: Version has changed</t>
  </si>
  <si>
    <t>HashiCorp Vault: 版本已变更</t>
  </si>
  <si>
    <t>(3162/1082)</t>
  </si>
  <si>
    <t>HashiCorp Vault: High frequency of leadership setup failures</t>
  </si>
  <si>
    <t>HashiCorp Vault: leader力设置失败的频率很高</t>
  </si>
  <si>
    <t>(3162/1083)</t>
  </si>
  <si>
    <t>HashiCorp Vault: High frequency of leadership losses</t>
  </si>
  <si>
    <t>HashiCorp Vault: leader力流失频率高</t>
  </si>
  <si>
    <t>(3162/1084)</t>
  </si>
  <si>
    <t>HashiCorp Vault: High frequency of leadership step downs</t>
  </si>
  <si>
    <t>HashiCorp Vault: leader层频繁下台</t>
  </si>
  <si>
    <t>(3162/1085)</t>
  </si>
  <si>
    <t>HashiCorp Vault: Current number of open files is too high</t>
  </si>
  <si>
    <t>HashiCorp Vault: 当前打开的文件数太高</t>
  </si>
  <si>
    <t>(3162/1086)</t>
  </si>
  <si>
    <t>HashiCorp Vault: Service has been restarted</t>
  </si>
  <si>
    <t>HashiCorp Vault：服务已重启</t>
  </si>
  <si>
    <t>(3162/1087)</t>
  </si>
  <si>
    <t>Hikvision: High CPU utilization</t>
  </si>
  <si>
    <t>Hikvision: 高CPU利用率</t>
  </si>
  <si>
    <t>(3162/1088)</t>
  </si>
  <si>
    <t>Hikvision: Version has changed</t>
  </si>
  <si>
    <t>Hikvision: 版本已变更</t>
  </si>
  <si>
    <t>(3162/1089)</t>
  </si>
  <si>
    <t>Hikvision: Authorisation error</t>
  </si>
  <si>
    <t>Hikvision: 授权错误</t>
  </si>
  <si>
    <t>(3162/1090)</t>
  </si>
  <si>
    <t>Hikvision: Error receiving data</t>
  </si>
  <si>
    <t>Hikvision: 接收数据时出错</t>
  </si>
  <si>
    <t>(3162/1091)</t>
  </si>
  <si>
    <t>Hikvision: High memory utilization</t>
  </si>
  <si>
    <t>Hikvision: 内存利用率高</t>
  </si>
  <si>
    <t>(3162/1092)</t>
  </si>
  <si>
    <t>Hikvision: Camera has been replaced</t>
  </si>
  <si>
    <t>Hikvision: 摄像机已更换</t>
  </si>
  <si>
    <t>(3162/1093)</t>
  </si>
  <si>
    <t>Hikvision: Camera has been restarted</t>
  </si>
  <si>
    <t>Hikvision: 已重新启动</t>
  </si>
  <si>
    <t>(3162/1094)</t>
  </si>
  <si>
    <t>Huawei OceanStor 5300 V5: Storage version has been changed</t>
  </si>
  <si>
    <t>Huawei OceanStor 5300 V5: 存储版本已变更</t>
  </si>
  <si>
    <t>(3162/1095)</t>
  </si>
  <si>
    <t>Huawei OceanStor 5300 V5: Unavailable by ICMP ping</t>
  </si>
  <si>
    <t>Huawei OceanStor 5300 V5: ICMP ping不可用</t>
  </si>
  <si>
    <t>(3162/1096)</t>
  </si>
  <si>
    <t>Huawei OceanStor 5300 V5: High ICMP ping loss</t>
  </si>
  <si>
    <t>Huawei OceanStor 5300 V5: 高ICMP ping丢失</t>
  </si>
  <si>
    <t>(3162/1097)</t>
  </si>
  <si>
    <t>Huawei OceanStor 5300 V5: High ICMP ping response time</t>
  </si>
  <si>
    <t>Huawei OceanStor 5300 V5: 高ICMP ping响应时间</t>
  </si>
  <si>
    <t>(3162/1098)</t>
  </si>
  <si>
    <t>Huawei OceanStor 5300 V5: Host has been restarted</t>
  </si>
  <si>
    <t>Huawei OceanStor 5300 V5: 主机已重新启动</t>
  </si>
  <si>
    <t>(3162/1099)</t>
  </si>
  <si>
    <t>Huawei OceanStor 5300 V5: System name has changed</t>
  </si>
  <si>
    <t>Huawei OceanStor 5300 V5: 系统名称已变更</t>
  </si>
  <si>
    <t>(3162/1100)</t>
  </si>
  <si>
    <t>Huawei OceanStor 5300 V5: No SNMP data collection</t>
  </si>
  <si>
    <t>Huawei OceanStor 5300 V5: 无SNMP数据收集</t>
  </si>
  <si>
    <t>(3162/1101)</t>
  </si>
  <si>
    <t>23792</t>
  </si>
  <si>
    <t>(3162/1102)</t>
  </si>
  <si>
    <t>23793</t>
  </si>
  <si>
    <t>(3162/1103)</t>
  </si>
  <si>
    <t>23794</t>
  </si>
  <si>
    <t>(3162/1104)</t>
  </si>
  <si>
    <t>23795</t>
  </si>
  <si>
    <t>(3162/1105)</t>
  </si>
  <si>
    <t>23798</t>
  </si>
  <si>
    <t>(3162/1106)</t>
  </si>
  <si>
    <t>23796</t>
  </si>
  <si>
    <t>(3162/1107)</t>
  </si>
  <si>
    <t>23797</t>
  </si>
  <si>
    <t>(3162/1108)</t>
  </si>
  <si>
    <t>(3162/1109)</t>
  </si>
  <si>
    <t>(3162/1110)</t>
  </si>
  <si>
    <t>(3162/1111)</t>
  </si>
  <si>
    <t>(3162/1112)</t>
  </si>
  <si>
    <t>(3162/1113)</t>
  </si>
  <si>
    <t>(3162/1114)</t>
  </si>
  <si>
    <t>(3162/1115)</t>
  </si>
  <si>
    <t>(3162/1116)</t>
  </si>
  <si>
    <t>(3162/1117)</t>
  </si>
  <si>
    <t>(3162/1118)</t>
  </si>
  <si>
    <t>(3162/1119)</t>
  </si>
  <si>
    <t>(3162/1120)</t>
  </si>
  <si>
    <t>(3162/1121)</t>
  </si>
  <si>
    <t>(3162/1122)</t>
  </si>
  <si>
    <t>(3162/1123)</t>
  </si>
  <si>
    <t>(3162/1124)</t>
  </si>
  <si>
    <t>ICMP Ping: Unavailable by ICMP ping</t>
  </si>
  <si>
    <t>ICMP Ping: ICMP ping不可用</t>
  </si>
  <si>
    <t>(3162/1125)</t>
  </si>
  <si>
    <t>ICMP Ping: High ICMP ping loss</t>
  </si>
  <si>
    <t>ICMP Ping: 高ICMP ping丢失</t>
  </si>
  <si>
    <t>(3162/1126)</t>
  </si>
  <si>
    <t>ICMP Ping: High ICMP ping response time</t>
  </si>
  <si>
    <t>ICMP Ping: 高ICMP ping响应时间</t>
  </si>
  <si>
    <t>(3162/1127)</t>
  </si>
  <si>
    <t>(3162/1128)</t>
  </si>
  <si>
    <t>IIS: Service has been restarted</t>
  </si>
  <si>
    <t>IIS：服务已重新启动</t>
  </si>
  <si>
    <t>(3162/1129)</t>
  </si>
  <si>
    <t>(3162/1130)</t>
  </si>
  <si>
    <t>(3162/1131)</t>
  </si>
  <si>
    <t>(3162/1132)</t>
  </si>
  <si>
    <t>(3162/1133)</t>
  </si>
  <si>
    <t>(3162/1134)</t>
  </si>
  <si>
    <t>(3162/1135)</t>
  </si>
  <si>
    <t>IIS: Active checks are not available</t>
  </si>
  <si>
    <t>IIS: Node的健康分数是告警</t>
  </si>
  <si>
    <t>(3162/1136)</t>
  </si>
  <si>
    <t>(3162/1137)</t>
  </si>
  <si>
    <t>(3162/1138)</t>
  </si>
  <si>
    <t>InfluxDB: Service has been restarted</t>
  </si>
  <si>
    <t>InfluxDB：服务已重新启动</t>
  </si>
  <si>
    <t>(3162/1139)</t>
  </si>
  <si>
    <t>(3162/1140)</t>
  </si>
  <si>
    <t>Intel SR1530: BB +1.8V SM Critical [{ITEM.VALUE}]</t>
  </si>
  <si>
    <t>Intel SR1530: BB+1.8V SM临界[{ITEM.VALUE}]</t>
  </si>
  <si>
    <t>(3162/1141)</t>
  </si>
  <si>
    <t>Intel SR1530: BB +1.8V SM Non-Critical [{ITEM.VALUE}]</t>
  </si>
  <si>
    <t>Intel SR1530: BB+1.8V SM非关键[{ITEM.VALUE}]</t>
  </si>
  <si>
    <t>(3162/1142)</t>
  </si>
  <si>
    <t>Intel SR1530: BB +3.3V Critical [{ITEM.VALUE}]</t>
  </si>
  <si>
    <t>Intel SR1530: BB+3.3V临界[{ITEM.VALUE}]</t>
  </si>
  <si>
    <t>(3162/1143)</t>
  </si>
  <si>
    <t>Intel SR1530: BB +3.3V Non-Critical [{ITEM.VALUE}]</t>
  </si>
  <si>
    <t>Intel SR1530: BB+3.3V非关键[{ITEM.VALUE}]</t>
  </si>
  <si>
    <t>(3162/1144)</t>
  </si>
  <si>
    <t>Intel SR1530: BB +3.3V STBY Critical [{ITEM.VALUE}]</t>
  </si>
  <si>
    <t>Intel SR1530: BB+3.3V备用临界[{ITEM.VALUE}]</t>
  </si>
  <si>
    <t>(3162/1145)</t>
  </si>
  <si>
    <t>Intel SR1530: BB +3.3V STBY Non-Critical [{ITEM.VALUE}]</t>
  </si>
  <si>
    <t>Intel SR1530: BB+3.3V备用非关键[{ITEM.VALUE}]</t>
  </si>
  <si>
    <t>(3162/1146)</t>
  </si>
  <si>
    <t>Intel SR1530: BB +5.0V Critical [{ITEM.VALUE}]</t>
  </si>
  <si>
    <t>Intel SR1530: BB+5.0V临界[{ITEM.VALUE}]</t>
  </si>
  <si>
    <t>(3162/1147)</t>
  </si>
  <si>
    <t>Intel SR1530: BB +5.0V Non-Critical [{ITEM.VALUE}]</t>
  </si>
  <si>
    <t>Intel SR1530: BB+5.0V非关键[{ITEM.VALUE}]</t>
  </si>
  <si>
    <t>(3162/1148)</t>
  </si>
  <si>
    <t>Intel SR1530: BB Ambient Temp Critical [{ITEM.VALUE}]</t>
  </si>
  <si>
    <t>Intel SR1530: BB环境温度临界值[{ITEM.VALUE}]</t>
  </si>
  <si>
    <t>(3162/1149)</t>
  </si>
  <si>
    <t>Intel SR1530: BB Ambient Temp Non-Critical [{ITEM.VALUE}]</t>
  </si>
  <si>
    <t>Intel SR1530: BB环境温度非关键[{ITEM.VALUE}]</t>
  </si>
  <si>
    <t>(3162/1150)</t>
  </si>
  <si>
    <t>Intel SR1530: Power</t>
  </si>
  <si>
    <t>Intel SR1530: 电源</t>
  </si>
  <si>
    <t>(3162/1151)</t>
  </si>
  <si>
    <t>Intel SR1630: Baseboard Temp Critical [{ITEM.VALUE}]</t>
  </si>
  <si>
    <t>Intel SR1630: 基板温度临界值[{ITEM.VALUE}]</t>
  </si>
  <si>
    <t>(3162/1152)</t>
  </si>
  <si>
    <t>Intel SR1630: Baseboard Temp Non-Critical [{ITEM.VALUE}]</t>
  </si>
  <si>
    <t>Intel SR1630: 基板温度非关键[{ITEM.VALUE}]</t>
  </si>
  <si>
    <t>(3162/1153)</t>
  </si>
  <si>
    <t>Intel SR1630: BB +1.05V PCH Critical [{ITEM.VALUE}]</t>
  </si>
  <si>
    <t>Intel SR1630: BB+1.05V PCH临界[{ITEM.VALUE}]</t>
  </si>
  <si>
    <t>(3162/1154)</t>
  </si>
  <si>
    <t>Intel SR1630: BB +1.05V PCH Non-Critical [{ITEM.VALUE}]</t>
  </si>
  <si>
    <t>Intel SR1630: BB+1.05V PCH非关键[{ITEM.VALUE}]</t>
  </si>
  <si>
    <t>(3162/1155)</t>
  </si>
  <si>
    <t>Intel SR1630: BB +1.1V P1 Vccp Critical [{ITEM.VALUE}]</t>
  </si>
  <si>
    <t>Intel SR1630: BB+1.1V P1 Vccp临界[{ITEM.VALUE}]</t>
  </si>
  <si>
    <t>(3162/1156)</t>
  </si>
  <si>
    <t>Intel SR1630: BB +1.1V P1 Vccp Non-Critical [{ITEM.VALUE}]</t>
  </si>
  <si>
    <t>Intel SR1630: BB+1.1V P1 Vccp非关键[{ITEM.VALUE}]</t>
  </si>
  <si>
    <t>(3162/1157)</t>
  </si>
  <si>
    <t>Intel SR1630: BB +1.5V P1 DDR3 Critical [{ITEM.VALUE}]</t>
  </si>
  <si>
    <t>Intel SR1630: BB+1.5V P1 DDR3临界[{ITEM.VALUE}]</t>
  </si>
  <si>
    <t>(3162/1158)</t>
  </si>
  <si>
    <t>Intel SR1630: BB +1.5V P1 DDR3 Non-Critical [{ITEM.VALUE}]</t>
  </si>
  <si>
    <t>Intel SR1630: BB+1.5V P1 DDR3非关键[{ITEM.VALUE}]</t>
  </si>
  <si>
    <t>(3162/1159)</t>
  </si>
  <si>
    <t>Intel SR1630: BB +3.3V Critical [{ITEM.VALUE}]</t>
  </si>
  <si>
    <t>Intel SR1630: BB+3.3V临界[{ITEM.VALUE}]</t>
  </si>
  <si>
    <t>(3162/1160)</t>
  </si>
  <si>
    <t>Intel SR1630: BB +3.3V Non-Critical [{ITEM.VALUE}]</t>
  </si>
  <si>
    <t>Intel SR1630: BB+3.3V非关键[{ITEM.VALUE}]</t>
  </si>
  <si>
    <t>(3162/1161)</t>
  </si>
  <si>
    <t>Intel SR1630: BB +3.3V STBY Critical [{ITEM.VALUE}]</t>
  </si>
  <si>
    <t>Intel SR1630: BB+3.3V备用临界[{ITEM.VALUE}]</t>
  </si>
  <si>
    <t>(3162/1162)</t>
  </si>
  <si>
    <t>Intel SR1630: BB +3.3V STBY Non-Critical [{ITEM.VALUE}]</t>
  </si>
  <si>
    <t>Intel SR1630: BB+3.3V备用非关键[{ITEM.VALUE}]</t>
  </si>
  <si>
    <t>(3162/1163)</t>
  </si>
  <si>
    <t>Intel SR1630: BB +5.0V Critical [{ITEM.VALUE}]</t>
  </si>
  <si>
    <t>Intel SR1630: BB+5.0V临界[{ITEM.VALUE}]</t>
  </si>
  <si>
    <t>(3162/1164)</t>
  </si>
  <si>
    <t>Intel SR1630: BB +5.0V Non-Critical [{ITEM.VALUE}]</t>
  </si>
  <si>
    <t>Intel SR1630: BB+5.0V非关键[{ITEM.VALUE}]</t>
  </si>
  <si>
    <t>(3162/1165)</t>
  </si>
  <si>
    <t>Intel SR1630: Front Panel Temp Critical [{ITEM.VALUE}]</t>
  </si>
  <si>
    <t>Intel SR1630: 前面板温度临界[{ITEM.VALUE}]</t>
  </si>
  <si>
    <t>(3162/1166)</t>
  </si>
  <si>
    <t>Intel SR1630: Front Panel Temp Non-Critical [{ITEM.VALUE}]</t>
  </si>
  <si>
    <t>Intel SR1630: 前面板温度非关键[{ITEM.VALUE}]</t>
  </si>
  <si>
    <t>(3162/1167)</t>
  </si>
  <si>
    <t>Intel SR1630: Power</t>
  </si>
  <si>
    <t>Intel SR1630: 电源</t>
  </si>
  <si>
    <t>(3162/1168)</t>
  </si>
  <si>
    <t>Intel SR1630: System Fan 2 Critical [{ITEM.VALUE}]</t>
  </si>
  <si>
    <t>Intel SR1630: 系统风扇2严重[{ITEM.VALUE}]</t>
  </si>
  <si>
    <t>(3162/1169)</t>
  </si>
  <si>
    <t>Intel SR1630: System Fan 2 Non-Critical [{ITEM.VALUE}]</t>
  </si>
  <si>
    <t>Intel SR1630: 系统风扇2非关键[{ITEM.VALUE}]</t>
  </si>
  <si>
    <t>(3162/1170)</t>
  </si>
  <si>
    <t>Intel SR1630: System Fan 3 Critical [{ITEM.VALUE}]</t>
  </si>
  <si>
    <t>Intel SR1630: 系统风扇3严重[{ITEM.VALUE}]</t>
  </si>
  <si>
    <t>(3162/1171)</t>
  </si>
  <si>
    <t>Intel SR1630: System Fan 3 Non-Critical [{ITEM.VALUE}]</t>
  </si>
  <si>
    <t>Intel SR1630: 系统风扇3非关键[{ITEM.VALUE}]</t>
  </si>
  <si>
    <t>(3162/1172)</t>
  </si>
  <si>
    <t>Intel Qlogic: Unavailable by ICMP ping</t>
  </si>
  <si>
    <t>Intel Qlogic: ICMP ping不可用</t>
  </si>
  <si>
    <t>(3162/1173)</t>
  </si>
  <si>
    <t>Intel Qlogic: High ICMP ping loss</t>
  </si>
  <si>
    <t>Intel Qlogic: 高ICMP ping丢失</t>
  </si>
  <si>
    <t>(3162/1174)</t>
  </si>
  <si>
    <t>Intel Qlogic: High ICMP ping response time</t>
  </si>
  <si>
    <t>Intel Qlogic: 高ICMP ping响应时间</t>
  </si>
  <si>
    <t>(3162/1175)</t>
  </si>
  <si>
    <t>Intel Qlogic: Firmware has changed</t>
  </si>
  <si>
    <t>Intel Qlogic: 固件已变更</t>
  </si>
  <si>
    <t>(3162/1176)</t>
  </si>
  <si>
    <t>Intel Qlogic: Host has been restarted</t>
  </si>
  <si>
    <t>Intel Qlogic: 主机已重新启动</t>
  </si>
  <si>
    <t>(3162/1177)</t>
  </si>
  <si>
    <t>Intel Qlogic: System name has changed</t>
  </si>
  <si>
    <t>Intel Qlogic: 系统名称已变更</t>
  </si>
  <si>
    <t>(3162/1178)</t>
  </si>
  <si>
    <t>Intel Qlogic: No SNMP data collection</t>
  </si>
  <si>
    <t>Intel Qlogic: 无SNMP数据收集</t>
  </si>
  <si>
    <t>(3162/1179)</t>
  </si>
  <si>
    <t>(3162/1180)</t>
  </si>
  <si>
    <t>(3162/1181)</t>
  </si>
  <si>
    <t>(3162/1182)</t>
  </si>
  <si>
    <t>(3162/1183)</t>
  </si>
  <si>
    <t>(3162/1184)</t>
  </si>
  <si>
    <t>(3162/1185)</t>
  </si>
  <si>
    <t>(3162/1186)</t>
  </si>
  <si>
    <t>(3162/1187)</t>
  </si>
  <si>
    <t>(3162/1188)</t>
  </si>
  <si>
    <t>23709</t>
  </si>
  <si>
    <t>Jira Data Center: DB: Connection limit reached</t>
  </si>
  <si>
    <t>Jira Data Center: 数据库: 连接数已达上限</t>
  </si>
  <si>
    <t>(3162/1189)</t>
  </si>
  <si>
    <t>23710</t>
  </si>
  <si>
    <t>Jira Data Center: DB: Connection usage is near the limit</t>
  </si>
  <si>
    <t>Jira Data Center: 数据库: 连接使用接近上限</t>
  </si>
  <si>
    <t>(3162/1190)</t>
  </si>
  <si>
    <t>23704</t>
  </si>
  <si>
    <t>Jira Data Center: DB: Pool: Out of idle connections</t>
  </si>
  <si>
    <t>Jira Data Center: 数据库: 连接池: 池中没有空闲连接</t>
  </si>
  <si>
    <t>(3162/1191)</t>
  </si>
  <si>
    <t>23705</t>
  </si>
  <si>
    <t>Jira Data Center: DB: Connection lost</t>
  </si>
  <si>
    <t>Jira Data Center: 数据库: 连接丢失</t>
  </si>
  <si>
    <t>(3162/1192)</t>
  </si>
  <si>
    <t>23706</t>
  </si>
  <si>
    <t>Jira Data Center: HTTP: Pool: Out of idle connections</t>
  </si>
  <si>
    <t>Jira Data Center: HTTP: 连接池: 池中没有空闲连接</t>
  </si>
  <si>
    <t>(3162/1193)</t>
  </si>
  <si>
    <t>23711</t>
  </si>
  <si>
    <t>Jira Data Center: Mail: Queue job is not running</t>
  </si>
  <si>
    <t>Jira Data Center: 邮件: 队列作业未运行</t>
  </si>
  <si>
    <t>(3162/1194)</t>
  </si>
  <si>
    <t>23707</t>
  </si>
  <si>
    <t>Jira Data Center: Mail: Error queue contains one or more items</t>
  </si>
  <si>
    <t>Jira Data Center: 邮件: 错误队列包含一个或多个监控项</t>
  </si>
  <si>
    <t>(3162/1195)</t>
  </si>
  <si>
    <t>23708</t>
  </si>
  <si>
    <t>Jira Data Center: Mail: Queue: Doesn’t empty over an extended period</t>
  </si>
  <si>
    <t>Jira Data Center: 邮件: 队列: 长时间未清空</t>
  </si>
  <si>
    <t>(3162/1196)</t>
  </si>
  <si>
    <t>Juniper MX by SNMP</t>
  </si>
  <si>
    <t>23909</t>
  </si>
  <si>
    <t>Juniper MX: Unavailable by ICMP ping</t>
  </si>
  <si>
    <t>Juniper MX: ICMP ping不可用</t>
  </si>
  <si>
    <t>(3162/1197)</t>
  </si>
  <si>
    <t>23910</t>
  </si>
  <si>
    <t>Juniper MX: High ICMP ping loss</t>
  </si>
  <si>
    <t>Juniper MX: 高ICMP ping丢失</t>
  </si>
  <si>
    <t>(3162/1198)</t>
  </si>
  <si>
    <t>23911</t>
  </si>
  <si>
    <t>Juniper MX: High ICMP ping response time</t>
  </si>
  <si>
    <t>Juniper MX: 高ICMP ping响应时间</t>
  </si>
  <si>
    <t>(3162/1199)</t>
  </si>
  <si>
    <t>23912</t>
  </si>
  <si>
    <t>Juniper MX: Device has been replaced</t>
  </si>
  <si>
    <t>Juniper MX: 设备已更换</t>
  </si>
  <si>
    <t>(3162/1200)</t>
  </si>
  <si>
    <t>23916</t>
  </si>
  <si>
    <t>Juniper MX: Host has been restarted</t>
  </si>
  <si>
    <t>Juniper MX: 主机已重新启动</t>
  </si>
  <si>
    <t>(3162/1201)</t>
  </si>
  <si>
    <t>23913</t>
  </si>
  <si>
    <t>Juniper MX: System name has changed</t>
  </si>
  <si>
    <t>Juniper MX: 系统名称已变更</t>
  </si>
  <si>
    <t>(3162/1202)</t>
  </si>
  <si>
    <t>23914</t>
  </si>
  <si>
    <t>Juniper MX: Operating system description has changed</t>
  </si>
  <si>
    <t>Juniper MX: 操作系统描述已变更</t>
  </si>
  <si>
    <t>(3162/1203)</t>
  </si>
  <si>
    <t>23915</t>
  </si>
  <si>
    <t>Juniper MX: No SNMP data collection</t>
  </si>
  <si>
    <t>Juniper MX: 无SNMP数据收集</t>
  </si>
  <si>
    <t>(3162/1204)</t>
  </si>
  <si>
    <t>(3162/1205)</t>
  </si>
  <si>
    <t>(3162/1206)</t>
  </si>
  <si>
    <t>(3162/1207)</t>
  </si>
  <si>
    <t>(3162/1208)</t>
  </si>
  <si>
    <t>(3162/1209)</t>
  </si>
  <si>
    <t>(3162/1210)</t>
  </si>
  <si>
    <t>(3162/1211)</t>
  </si>
  <si>
    <t>(3162/1212)</t>
  </si>
  <si>
    <t>(3162/1213)</t>
  </si>
  <si>
    <t>Kubernetes API server: Too many server errors</t>
  </si>
  <si>
    <t>Kubernetes API server: 服务器错误太多</t>
  </si>
  <si>
    <t>(3162/1214)</t>
  </si>
  <si>
    <t>Kubernetes API server: Too many client errors</t>
  </si>
  <si>
    <t>Kubernetes API server: 客户端错误太多</t>
  </si>
  <si>
    <t>(3162/1215)</t>
  </si>
  <si>
    <t>Kubernetes Controller manager: Too many HTTP client errors</t>
  </si>
  <si>
    <t>(3162/1216)</t>
  </si>
  <si>
    <t>(3162/1217)</t>
  </si>
  <si>
    <t>(3162/1218)</t>
  </si>
  <si>
    <t>(3162/1219)</t>
  </si>
  <si>
    <t>Kubernetes nodes: Failed to get nodes</t>
  </si>
  <si>
    <t>Kubernetes nodes: 获取节点失败.</t>
  </si>
  <si>
    <t>(3162/1220)</t>
  </si>
  <si>
    <t>(3162/1221)</t>
  </si>
  <si>
    <t>(3162/1222)</t>
  </si>
  <si>
    <t>(3162/1223)</t>
  </si>
  <si>
    <t>(3162/1224)</t>
  </si>
  <si>
    <t>(3162/1225)</t>
  </si>
  <si>
    <t>(3162/1226)</t>
  </si>
  <si>
    <t>(3162/1227)</t>
  </si>
  <si>
    <t>(3162/1228)</t>
  </si>
  <si>
    <t>(3162/1229)</t>
  </si>
  <si>
    <t>(3162/1230)</t>
  </si>
  <si>
    <t>(3162/1231)</t>
  </si>
  <si>
    <t>(3162/1232)</t>
  </si>
  <si>
    <t>(3162/1233)</t>
  </si>
  <si>
    <t>(3162/1234)</t>
  </si>
  <si>
    <t>(3162/1235)</t>
  </si>
  <si>
    <t>(3162/1236)</t>
  </si>
  <si>
    <t>(3162/1237)</t>
  </si>
  <si>
    <t>(3162/1238)</t>
  </si>
  <si>
    <t>(3162/1239)</t>
  </si>
  <si>
    <t>(3162/1240)</t>
  </si>
  <si>
    <t>(3162/1241)</t>
  </si>
  <si>
    <t>(3162/1242)</t>
  </si>
  <si>
    <t>(3162/1243)</t>
  </si>
  <si>
    <t>(3162/1244)</t>
  </si>
  <si>
    <t>(3162/1245)</t>
  </si>
  <si>
    <t>(3162/1246)</t>
  </si>
  <si>
    <t>(3162/1247)</t>
  </si>
  <si>
    <t>(3162/1248)</t>
  </si>
  <si>
    <t>(3162/1249)</t>
  </si>
  <si>
    <t>(3162/1250)</t>
  </si>
  <si>
    <t>Linux: Number of installed packages has been changed</t>
  </si>
  <si>
    <t>Linux: 已安装的软件包数量已更改</t>
  </si>
  <si>
    <t>(3162/1251)</t>
  </si>
  <si>
    <t>(3162/1252)</t>
  </si>
  <si>
    <t>(3162/1253)</t>
  </si>
  <si>
    <t>(3162/1254)</t>
  </si>
  <si>
    <t>(3162/1255)</t>
  </si>
  <si>
    <t>(3162/1256)</t>
  </si>
  <si>
    <t>(3162/1257)</t>
  </si>
  <si>
    <t>(3162/1258)</t>
  </si>
  <si>
    <t>(3162/1259)</t>
  </si>
  <si>
    <t>(3162/1260)</t>
  </si>
  <si>
    <t>(3162/1261)</t>
  </si>
  <si>
    <t>(3162/1262)</t>
  </si>
  <si>
    <t>(3162/1263)</t>
  </si>
  <si>
    <t>(3162/1264)</t>
  </si>
  <si>
    <t>(3162/1265)</t>
  </si>
  <si>
    <t>(3162/1266)</t>
  </si>
  <si>
    <t>(3162/1267)</t>
  </si>
  <si>
    <t>(3162/1268)</t>
  </si>
  <si>
    <t>(3162/1269)</t>
  </si>
  <si>
    <t>(3162/1270)</t>
  </si>
  <si>
    <t>(3162/1271)</t>
  </si>
  <si>
    <t>Linux: Active checks are not available</t>
  </si>
  <si>
    <t>Linux: Node的健康分数是告警</t>
  </si>
  <si>
    <t>(3162/1272)</t>
  </si>
  <si>
    <t>(3162/1273)</t>
  </si>
  <si>
    <t>(3162/1274)</t>
  </si>
  <si>
    <t>(3162/1275)</t>
  </si>
  <si>
    <t>(3162/1276)</t>
  </si>
  <si>
    <t>(3162/1277)</t>
  </si>
  <si>
    <t>(3162/1278)</t>
  </si>
  <si>
    <t>(3162/1279)</t>
  </si>
  <si>
    <t>(3162/1280)</t>
  </si>
  <si>
    <t>(3162/1281)</t>
  </si>
  <si>
    <t>(3162/1282)</t>
  </si>
  <si>
    <t>(3162/1283)</t>
  </si>
  <si>
    <t>(3162/1284)</t>
  </si>
  <si>
    <t>(3162/1285)</t>
  </si>
  <si>
    <t>(3162/1286)</t>
  </si>
  <si>
    <t>(3162/1287)</t>
  </si>
  <si>
    <t>(3162/1288)</t>
  </si>
  <si>
    <t>(3162/1289)</t>
  </si>
  <si>
    <t>(3162/1290)</t>
  </si>
  <si>
    <t>(3162/1291)</t>
  </si>
  <si>
    <t>(3162/1292)</t>
  </si>
  <si>
    <t>(3162/1293)</t>
  </si>
  <si>
    <t>(3162/1294)</t>
  </si>
  <si>
    <t>(3162/1295)</t>
  </si>
  <si>
    <t>(3162/1296)</t>
  </si>
  <si>
    <t>(3162/1297)</t>
  </si>
  <si>
    <t>(3162/1298)</t>
  </si>
  <si>
    <t>(3162/1299)</t>
  </si>
  <si>
    <t>(3162/1300)</t>
  </si>
  <si>
    <t>(3162/1301)</t>
  </si>
  <si>
    <t>(3162/1302)</t>
  </si>
  <si>
    <t>(3162/1303)</t>
  </si>
  <si>
    <t>(3162/1304)</t>
  </si>
  <si>
    <t>(3162/1305)</t>
  </si>
  <si>
    <t>(3162/1306)</t>
  </si>
  <si>
    <t>(3162/1307)</t>
  </si>
  <si>
    <t>23556</t>
  </si>
  <si>
    <t>(3162/1308)</t>
  </si>
  <si>
    <t>(3162/1309)</t>
  </si>
  <si>
    <t>(3162/1310)</t>
  </si>
  <si>
    <t>(3162/1311)</t>
  </si>
  <si>
    <t>(3162/1312)</t>
  </si>
  <si>
    <t>(3162/1313)</t>
  </si>
  <si>
    <t>23549</t>
  </si>
  <si>
    <t>(3162/1314)</t>
  </si>
  <si>
    <t>(3162/1315)</t>
  </si>
  <si>
    <t>23550</t>
  </si>
  <si>
    <t>(3162/1316)</t>
  </si>
  <si>
    <t>23551</t>
  </si>
  <si>
    <t>(3162/1317)</t>
  </si>
  <si>
    <t>23552</t>
  </si>
  <si>
    <t>(3162/1318)</t>
  </si>
  <si>
    <t>23553</t>
  </si>
  <si>
    <t>(3162/1319)</t>
  </si>
  <si>
    <t>23554</t>
  </si>
  <si>
    <t>(3162/1320)</t>
  </si>
  <si>
    <t>(3162/1321)</t>
  </si>
  <si>
    <t>(3162/1322)</t>
  </si>
  <si>
    <t>(3162/1323)</t>
  </si>
  <si>
    <t>(3162/1324)</t>
  </si>
  <si>
    <t>(3162/1325)</t>
  </si>
  <si>
    <t>(3162/1326)</t>
  </si>
  <si>
    <t>(3162/1327)</t>
  </si>
  <si>
    <t>(3162/1328)</t>
  </si>
  <si>
    <t>(3162/1329)</t>
  </si>
  <si>
    <t>(3162/1330)</t>
  </si>
  <si>
    <t>(3162/1331)</t>
  </si>
  <si>
    <t>(3162/1332)</t>
  </si>
  <si>
    <t>(3162/1333)</t>
  </si>
  <si>
    <t>Memcached: Service has been restarted</t>
  </si>
  <si>
    <t>Memcached：服务已重新启动</t>
  </si>
  <si>
    <t>(3162/1334)</t>
  </si>
  <si>
    <t>(3162/1335)</t>
  </si>
  <si>
    <t>23761</t>
  </si>
  <si>
    <t>Microsoft 365: Apps: There are errors in requests to API</t>
  </si>
  <si>
    <t>Microsoft 365: 应用: 对 API 的请求中有错误.</t>
  </si>
  <si>
    <t>(3162/1336)</t>
  </si>
  <si>
    <t>23762</t>
  </si>
  <si>
    <t>Microsoft 365: OneDrive: There are errors in requests to API</t>
  </si>
  <si>
    <t>Microsoft 365: OneDrive: 对 API 的请求中有错误.</t>
  </si>
  <si>
    <t>(3162/1337)</t>
  </si>
  <si>
    <t>23763</t>
  </si>
  <si>
    <t>Microsoft 365: Outlook: There are errors in requests to API</t>
  </si>
  <si>
    <t>Microsoft 365: Outlook: 对 API 的请求中有错误.</t>
  </si>
  <si>
    <t>(3162/1338)</t>
  </si>
  <si>
    <t>23764</t>
  </si>
  <si>
    <t>Microsoft 365: Services: There are errors in requests to API</t>
  </si>
  <si>
    <t>Microsoft 365: 服务: 对 API 的请求中有错误.</t>
  </si>
  <si>
    <t>(3162/1339)</t>
  </si>
  <si>
    <t>23765</t>
  </si>
  <si>
    <t>Microsoft 365: SharePoint: There are errors in requests to API</t>
  </si>
  <si>
    <t>Microsoft 365: SharePoint: 对 API 的请求中有错误.</t>
  </si>
  <si>
    <t>(3162/1340)</t>
  </si>
  <si>
    <t>23766</t>
  </si>
  <si>
    <t>Microsoft 365: Teams: There are errors in requests to API</t>
  </si>
  <si>
    <t>Microsoft 365: Teams: 对 API 的请求中有错误.</t>
  </si>
  <si>
    <t>(3162/1341)</t>
  </si>
  <si>
    <t>Microsoft Exchange Server 2016 by Zabbix agent active</t>
  </si>
  <si>
    <t>MS Exchange 2016: Active checks are not available</t>
  </si>
  <si>
    <t>MS Exchange 2016: Node的健康分数是告警</t>
  </si>
  <si>
    <t>(3162/1342)</t>
  </si>
  <si>
    <t>MS SharePoint: Error getting directory structure.</t>
  </si>
  <si>
    <t>MS SharePoint: 获取目录结构时出错.</t>
  </si>
  <si>
    <t>(3162/1343)</t>
  </si>
  <si>
    <t>MS SharePoint: Server responds slowly to API request</t>
  </si>
  <si>
    <t>MS SharePoint: 服务器对API请求响应缓慢</t>
  </si>
  <si>
    <t>(3162/1344)</t>
  </si>
  <si>
    <t>MS SharePoint: Bad health score</t>
  </si>
  <si>
    <t>MS SharePoint: 健康状况得分不好</t>
  </si>
  <si>
    <t>(3162/1345)</t>
  </si>
  <si>
    <t>MikroTik: Unavailable by ICMP ping</t>
  </si>
  <si>
    <t>(3162/1346)</t>
  </si>
  <si>
    <t>MikroTik: High ICMP ping loss</t>
  </si>
  <si>
    <t>(3162/1347)</t>
  </si>
  <si>
    <t>MikroTik: High ICMP ping response time</t>
  </si>
  <si>
    <t>(3162/1348)</t>
  </si>
  <si>
    <t>MikroTik: Firmware has changed</t>
  </si>
  <si>
    <t>(3162/1349)</t>
  </si>
  <si>
    <t>MikroTik: Device has been replaced</t>
  </si>
  <si>
    <t>(3162/1350)</t>
  </si>
  <si>
    <t>MikroTik: Host has been restarted</t>
  </si>
  <si>
    <t>(3162/1351)</t>
  </si>
  <si>
    <t>MikroTik: System name has changed</t>
  </si>
  <si>
    <t>(3162/1352)</t>
  </si>
  <si>
    <t>MikroTik: Operating system description has changed</t>
  </si>
  <si>
    <t>(3162/1353)</t>
  </si>
  <si>
    <t>MikroTik: High memory utilization</t>
  </si>
  <si>
    <t>(3162/1354)</t>
  </si>
  <si>
    <t>MikroTik: No SNMP data collection</t>
  </si>
  <si>
    <t>(3162/1355)</t>
  </si>
  <si>
    <t>(3162/1356)</t>
  </si>
  <si>
    <t>(3162/1357)</t>
  </si>
  <si>
    <t>(3162/1358)</t>
  </si>
  <si>
    <t>(3162/1359)</t>
  </si>
  <si>
    <t>(3162/1360)</t>
  </si>
  <si>
    <t>(3162/1361)</t>
  </si>
  <si>
    <t>(3162/1362)</t>
  </si>
  <si>
    <t>(3162/1363)</t>
  </si>
  <si>
    <t>(3162/1364)</t>
  </si>
  <si>
    <t>(3162/1365)</t>
  </si>
  <si>
    <t>(3162/1366)</t>
  </si>
  <si>
    <t>(3162/1367)</t>
  </si>
  <si>
    <t>(3162/1368)</t>
  </si>
  <si>
    <t>(3162/1369)</t>
  </si>
  <si>
    <t>(3162/1370)</t>
  </si>
  <si>
    <t>(3162/1371)</t>
  </si>
  <si>
    <t>(3162/1372)</t>
  </si>
  <si>
    <t>(3162/1373)</t>
  </si>
  <si>
    <t>(3162/1374)</t>
  </si>
  <si>
    <t>(3162/1375)</t>
  </si>
  <si>
    <t>(3162/1376)</t>
  </si>
  <si>
    <t>(3162/1377)</t>
  </si>
  <si>
    <t>(3162/1378)</t>
  </si>
  <si>
    <t>(3162/1379)</t>
  </si>
  <si>
    <t>(3162/1380)</t>
  </si>
  <si>
    <t>(3162/1381)</t>
  </si>
  <si>
    <t>(3162/1382)</t>
  </si>
  <si>
    <t>(3162/1383)</t>
  </si>
  <si>
    <t>(3162/1384)</t>
  </si>
  <si>
    <t>(3162/1385)</t>
  </si>
  <si>
    <t>(3162/1386)</t>
  </si>
  <si>
    <t>(3162/1387)</t>
  </si>
  <si>
    <t>(3162/1388)</t>
  </si>
  <si>
    <t>(3162/1389)</t>
  </si>
  <si>
    <t>(3162/1390)</t>
  </si>
  <si>
    <t>(3162/1391)</t>
  </si>
  <si>
    <t>(3162/1392)</t>
  </si>
  <si>
    <t>(3162/1393)</t>
  </si>
  <si>
    <t>(3162/1394)</t>
  </si>
  <si>
    <t>(3162/1395)</t>
  </si>
  <si>
    <t>(3162/1396)</t>
  </si>
  <si>
    <t>(3162/1397)</t>
  </si>
  <si>
    <t>(3162/1398)</t>
  </si>
  <si>
    <t>(3162/1399)</t>
  </si>
  <si>
    <t>(3162/1400)</t>
  </si>
  <si>
    <t>(3162/1401)</t>
  </si>
  <si>
    <t>(3162/1402)</t>
  </si>
  <si>
    <t>(3162/1403)</t>
  </si>
  <si>
    <t>(3162/1404)</t>
  </si>
  <si>
    <t>(3162/1405)</t>
  </si>
  <si>
    <t>(3162/1406)</t>
  </si>
  <si>
    <t>(3162/1407)</t>
  </si>
  <si>
    <t>(3162/1408)</t>
  </si>
  <si>
    <t>(3162/1409)</t>
  </si>
  <si>
    <t>(3162/1410)</t>
  </si>
  <si>
    <t>(3162/1411)</t>
  </si>
  <si>
    <t>(3162/1412)</t>
  </si>
  <si>
    <t>(3162/1413)</t>
  </si>
  <si>
    <t>(3162/1414)</t>
  </si>
  <si>
    <t>(3162/1415)</t>
  </si>
  <si>
    <t>(3162/1416)</t>
  </si>
  <si>
    <t>(3162/1417)</t>
  </si>
  <si>
    <t>(3162/1418)</t>
  </si>
  <si>
    <t>(3162/1419)</t>
  </si>
  <si>
    <t>(3162/1420)</t>
  </si>
  <si>
    <t>(3162/1421)</t>
  </si>
  <si>
    <t>(3162/1422)</t>
  </si>
  <si>
    <t>(3162/1423)</t>
  </si>
  <si>
    <t>(3162/1424)</t>
  </si>
  <si>
    <t>(3162/1425)</t>
  </si>
  <si>
    <t>(3162/1426)</t>
  </si>
  <si>
    <t>(3162/1427)</t>
  </si>
  <si>
    <t>(3162/1428)</t>
  </si>
  <si>
    <t>(3162/1429)</t>
  </si>
  <si>
    <t>(3162/1430)</t>
  </si>
  <si>
    <t>(3162/1431)</t>
  </si>
  <si>
    <t>(3162/1432)</t>
  </si>
  <si>
    <t>(3162/1433)</t>
  </si>
  <si>
    <t>(3162/1434)</t>
  </si>
  <si>
    <t>(3162/1435)</t>
  </si>
  <si>
    <t>(3162/1436)</t>
  </si>
  <si>
    <t>(3162/1437)</t>
  </si>
  <si>
    <t>(3162/1438)</t>
  </si>
  <si>
    <t>(3162/1439)</t>
  </si>
  <si>
    <t>(3162/1440)</t>
  </si>
  <si>
    <t>(3162/1441)</t>
  </si>
  <si>
    <t>(3162/1442)</t>
  </si>
  <si>
    <t>(3162/1443)</t>
  </si>
  <si>
    <t>(3162/1444)</t>
  </si>
  <si>
    <t>(3162/1445)</t>
  </si>
  <si>
    <t>(3162/1446)</t>
  </si>
  <si>
    <t>(3162/1447)</t>
  </si>
  <si>
    <t>(3162/1448)</t>
  </si>
  <si>
    <t>(3162/1449)</t>
  </si>
  <si>
    <t>(3162/1450)</t>
  </si>
  <si>
    <t>(3162/1451)</t>
  </si>
  <si>
    <t>(3162/1452)</t>
  </si>
  <si>
    <t>(3162/1453)</t>
  </si>
  <si>
    <t>(3162/1454)</t>
  </si>
  <si>
    <t>(3162/1455)</t>
  </si>
  <si>
    <t>(3162/1456)</t>
  </si>
  <si>
    <t>(3162/1457)</t>
  </si>
  <si>
    <t>(3162/1458)</t>
  </si>
  <si>
    <t>(3162/1459)</t>
  </si>
  <si>
    <t>(3162/1460)</t>
  </si>
  <si>
    <t>(3162/1461)</t>
  </si>
  <si>
    <t>(3162/1462)</t>
  </si>
  <si>
    <t>(3162/1463)</t>
  </si>
  <si>
    <t>(3162/1464)</t>
  </si>
  <si>
    <t>(3162/1465)</t>
  </si>
  <si>
    <t>(3162/1466)</t>
  </si>
  <si>
    <t>(3162/1467)</t>
  </si>
  <si>
    <t>(3162/1468)</t>
  </si>
  <si>
    <t>(3162/1469)</t>
  </si>
  <si>
    <t>(3162/1470)</t>
  </si>
  <si>
    <t>(3162/1471)</t>
  </si>
  <si>
    <t>(3162/1472)</t>
  </si>
  <si>
    <t>(3162/1473)</t>
  </si>
  <si>
    <t>(3162/1474)</t>
  </si>
  <si>
    <t>(3162/1475)</t>
  </si>
  <si>
    <t>(3162/1476)</t>
  </si>
  <si>
    <t>(3162/1477)</t>
  </si>
  <si>
    <t>(3162/1478)</t>
  </si>
  <si>
    <t>(3162/1479)</t>
  </si>
  <si>
    <t>(3162/1480)</t>
  </si>
  <si>
    <t>(3162/1481)</t>
  </si>
  <si>
    <t>(3162/1482)</t>
  </si>
  <si>
    <t>(3162/1483)</t>
  </si>
  <si>
    <t>(3162/1484)</t>
  </si>
  <si>
    <t>(3162/1485)</t>
  </si>
  <si>
    <t>(3162/1486)</t>
  </si>
  <si>
    <t>(3162/1487)</t>
  </si>
  <si>
    <t>(3162/1488)</t>
  </si>
  <si>
    <t>(3162/1489)</t>
  </si>
  <si>
    <t>(3162/1490)</t>
  </si>
  <si>
    <t>(3162/1491)</t>
  </si>
  <si>
    <t>(3162/1492)</t>
  </si>
  <si>
    <t>(3162/1493)</t>
  </si>
  <si>
    <t>(3162/1494)</t>
  </si>
  <si>
    <t>(3162/1495)</t>
  </si>
  <si>
    <t>(3162/1496)</t>
  </si>
  <si>
    <t>(3162/1497)</t>
  </si>
  <si>
    <t>(3162/1498)</t>
  </si>
  <si>
    <t>(3162/1499)</t>
  </si>
  <si>
    <t>(3162/1500)</t>
  </si>
  <si>
    <t>(3162/1501)</t>
  </si>
  <si>
    <t>(3162/1502)</t>
  </si>
  <si>
    <t>(3162/1503)</t>
  </si>
  <si>
    <t>(3162/1504)</t>
  </si>
  <si>
    <t>(3162/1505)</t>
  </si>
  <si>
    <t>(3162/1506)</t>
  </si>
  <si>
    <t>(3162/1507)</t>
  </si>
  <si>
    <t>(3162/1508)</t>
  </si>
  <si>
    <t>(3162/1509)</t>
  </si>
  <si>
    <t>(3162/1510)</t>
  </si>
  <si>
    <t>(3162/1511)</t>
  </si>
  <si>
    <t>(3162/1512)</t>
  </si>
  <si>
    <t>(3162/1513)</t>
  </si>
  <si>
    <t>(3162/1514)</t>
  </si>
  <si>
    <t>(3162/1515)</t>
  </si>
  <si>
    <t>(3162/1516)</t>
  </si>
  <si>
    <t>(3162/1517)</t>
  </si>
  <si>
    <t>(3162/1518)</t>
  </si>
  <si>
    <t>(3162/1519)</t>
  </si>
  <si>
    <t>(3162/1520)</t>
  </si>
  <si>
    <t>(3162/1521)</t>
  </si>
  <si>
    <t>(3162/1522)</t>
  </si>
  <si>
    <t>(3162/1523)</t>
  </si>
  <si>
    <t>(3162/1524)</t>
  </si>
  <si>
    <t>(3162/1525)</t>
  </si>
  <si>
    <t>(3162/1526)</t>
  </si>
  <si>
    <t>(3162/1527)</t>
  </si>
  <si>
    <t>(3162/1528)</t>
  </si>
  <si>
    <t>(3162/1529)</t>
  </si>
  <si>
    <t>(3162/1530)</t>
  </si>
  <si>
    <t>(3162/1531)</t>
  </si>
  <si>
    <t>(3162/1532)</t>
  </si>
  <si>
    <t>(3162/1533)</t>
  </si>
  <si>
    <t>(3162/1534)</t>
  </si>
  <si>
    <t>(3162/1535)</t>
  </si>
  <si>
    <t>(3162/1536)</t>
  </si>
  <si>
    <t>(3162/1537)</t>
  </si>
  <si>
    <t>(3162/1538)</t>
  </si>
  <si>
    <t>(3162/1539)</t>
  </si>
  <si>
    <t>(3162/1540)</t>
  </si>
  <si>
    <t>(3162/1541)</t>
  </si>
  <si>
    <t>(3162/1542)</t>
  </si>
  <si>
    <t>(3162/1543)</t>
  </si>
  <si>
    <t>(3162/1544)</t>
  </si>
  <si>
    <t>(3162/1545)</t>
  </si>
  <si>
    <t>(3162/1546)</t>
  </si>
  <si>
    <t>(3162/1547)</t>
  </si>
  <si>
    <t>(3162/1548)</t>
  </si>
  <si>
    <t>(3162/1549)</t>
  </si>
  <si>
    <t>(3162/1550)</t>
  </si>
  <si>
    <t>(3162/1551)</t>
  </si>
  <si>
    <t>(3162/1552)</t>
  </si>
  <si>
    <t>(3162/1553)</t>
  </si>
  <si>
    <t>(3162/1554)</t>
  </si>
  <si>
    <t>(3162/1555)</t>
  </si>
  <si>
    <t>(3162/1556)</t>
  </si>
  <si>
    <t>(3162/1557)</t>
  </si>
  <si>
    <t>(3162/1558)</t>
  </si>
  <si>
    <t>(3162/1559)</t>
  </si>
  <si>
    <t>(3162/1560)</t>
  </si>
  <si>
    <t>(3162/1561)</t>
  </si>
  <si>
    <t>(3162/1562)</t>
  </si>
  <si>
    <t>(3162/1563)</t>
  </si>
  <si>
    <t>(3162/1564)</t>
  </si>
  <si>
    <t>(3162/1565)</t>
  </si>
  <si>
    <t>(3162/1566)</t>
  </si>
  <si>
    <t>(3162/1567)</t>
  </si>
  <si>
    <t>(3162/1568)</t>
  </si>
  <si>
    <t>(3162/1569)</t>
  </si>
  <si>
    <t>(3162/1570)</t>
  </si>
  <si>
    <t>(3162/1571)</t>
  </si>
  <si>
    <t>(3162/1572)</t>
  </si>
  <si>
    <t>(3162/1573)</t>
  </si>
  <si>
    <t>(3162/1574)</t>
  </si>
  <si>
    <t>(3162/1575)</t>
  </si>
  <si>
    <t>(3162/1576)</t>
  </si>
  <si>
    <t>(3162/1577)</t>
  </si>
  <si>
    <t>(3162/1578)</t>
  </si>
  <si>
    <t>(3162/1579)</t>
  </si>
  <si>
    <t>(3162/1580)</t>
  </si>
  <si>
    <t>(3162/1581)</t>
  </si>
  <si>
    <t>(3162/1582)</t>
  </si>
  <si>
    <t>(3162/1583)</t>
  </si>
  <si>
    <t>(3162/1584)</t>
  </si>
  <si>
    <t>(3162/1585)</t>
  </si>
  <si>
    <t>(3162/1586)</t>
  </si>
  <si>
    <t>(3162/1587)</t>
  </si>
  <si>
    <t>(3162/1588)</t>
  </si>
  <si>
    <t>(3162/1589)</t>
  </si>
  <si>
    <t>(3162/1590)</t>
  </si>
  <si>
    <t>(3162/1591)</t>
  </si>
  <si>
    <t>(3162/1592)</t>
  </si>
  <si>
    <t>(3162/1593)</t>
  </si>
  <si>
    <t>(3162/1594)</t>
  </si>
  <si>
    <t>(3162/1595)</t>
  </si>
  <si>
    <t>(3162/1596)</t>
  </si>
  <si>
    <t>(3162/1597)</t>
  </si>
  <si>
    <t>(3162/1598)</t>
  </si>
  <si>
    <t>(3162/1599)</t>
  </si>
  <si>
    <t>(3162/1600)</t>
  </si>
  <si>
    <t>(3162/1601)</t>
  </si>
  <si>
    <t>(3162/1602)</t>
  </si>
  <si>
    <t>(3162/1603)</t>
  </si>
  <si>
    <t>(3162/1604)</t>
  </si>
  <si>
    <t>(3162/1605)</t>
  </si>
  <si>
    <t>(3162/1606)</t>
  </si>
  <si>
    <t>(3162/1607)</t>
  </si>
  <si>
    <t>(3162/1608)</t>
  </si>
  <si>
    <t>(3162/1609)</t>
  </si>
  <si>
    <t>(3162/1610)</t>
  </si>
  <si>
    <t>(3162/1611)</t>
  </si>
  <si>
    <t>(3162/1612)</t>
  </si>
  <si>
    <t>(3162/1613)</t>
  </si>
  <si>
    <t>(3162/1614)</t>
  </si>
  <si>
    <t>(3162/1615)</t>
  </si>
  <si>
    <t>(3162/1616)</t>
  </si>
  <si>
    <t>(3162/1617)</t>
  </si>
  <si>
    <t>(3162/1618)</t>
  </si>
  <si>
    <t>(3162/1619)</t>
  </si>
  <si>
    <t>(3162/1620)</t>
  </si>
  <si>
    <t>(3162/1621)</t>
  </si>
  <si>
    <t>(3162/1622)</t>
  </si>
  <si>
    <t>(3162/1623)</t>
  </si>
  <si>
    <t>(3162/1624)</t>
  </si>
  <si>
    <t>(3162/1625)</t>
  </si>
  <si>
    <t>(3162/1626)</t>
  </si>
  <si>
    <t>(3162/1627)</t>
  </si>
  <si>
    <t>(3162/1628)</t>
  </si>
  <si>
    <t>(3162/1629)</t>
  </si>
  <si>
    <t>(3162/1630)</t>
  </si>
  <si>
    <t>(3162/1631)</t>
  </si>
  <si>
    <t>(3162/1632)</t>
  </si>
  <si>
    <t>(3162/1633)</t>
  </si>
  <si>
    <t>(3162/1634)</t>
  </si>
  <si>
    <t>(3162/1635)</t>
  </si>
  <si>
    <t>(3162/1636)</t>
  </si>
  <si>
    <t>(3162/1637)</t>
  </si>
  <si>
    <t>(3162/1638)</t>
  </si>
  <si>
    <t>(3162/1639)</t>
  </si>
  <si>
    <t>(3162/1640)</t>
  </si>
  <si>
    <t>(3162/1641)</t>
  </si>
  <si>
    <t>(3162/1642)</t>
  </si>
  <si>
    <t>(3162/1643)</t>
  </si>
  <si>
    <t>(3162/1644)</t>
  </si>
  <si>
    <t>(3162/1645)</t>
  </si>
  <si>
    <t>(3162/1646)</t>
  </si>
  <si>
    <t>(3162/1647)</t>
  </si>
  <si>
    <t>(3162/1648)</t>
  </si>
  <si>
    <t>(3162/1649)</t>
  </si>
  <si>
    <t>(3162/1650)</t>
  </si>
  <si>
    <t>(3162/1651)</t>
  </si>
  <si>
    <t>(3162/1652)</t>
  </si>
  <si>
    <t>(3162/1653)</t>
  </si>
  <si>
    <t>(3162/1654)</t>
  </si>
  <si>
    <t>(3162/1655)</t>
  </si>
  <si>
    <t>(3162/1656)</t>
  </si>
  <si>
    <t>(3162/1657)</t>
  </si>
  <si>
    <t>(3162/1658)</t>
  </si>
  <si>
    <t>(3162/1659)</t>
  </si>
  <si>
    <t>(3162/1660)</t>
  </si>
  <si>
    <t>(3162/1661)</t>
  </si>
  <si>
    <t>(3162/1662)</t>
  </si>
  <si>
    <t>(3162/1663)</t>
  </si>
  <si>
    <t>(3162/1664)</t>
  </si>
  <si>
    <t>(3162/1665)</t>
  </si>
  <si>
    <t>(3162/1666)</t>
  </si>
  <si>
    <t>(3162/1667)</t>
  </si>
  <si>
    <t>(3162/1668)</t>
  </si>
  <si>
    <t>(3162/1669)</t>
  </si>
  <si>
    <t>(3162/1670)</t>
  </si>
  <si>
    <t>(3162/1671)</t>
  </si>
  <si>
    <t>(3162/1672)</t>
  </si>
  <si>
    <t>(3162/1673)</t>
  </si>
  <si>
    <t>(3162/1674)</t>
  </si>
  <si>
    <t>(3162/1675)</t>
  </si>
  <si>
    <t>(3162/1676)</t>
  </si>
  <si>
    <t>(3162/1677)</t>
  </si>
  <si>
    <t>(3162/1678)</t>
  </si>
  <si>
    <t>(3162/1679)</t>
  </si>
  <si>
    <t>(3162/1680)</t>
  </si>
  <si>
    <t>(3162/1681)</t>
  </si>
  <si>
    <t>(3162/1682)</t>
  </si>
  <si>
    <t>(3162/1683)</t>
  </si>
  <si>
    <t>(3162/1684)</t>
  </si>
  <si>
    <t>(3162/1685)</t>
  </si>
  <si>
    <t>(3162/1686)</t>
  </si>
  <si>
    <t>(3162/1687)</t>
  </si>
  <si>
    <t>(3162/1688)</t>
  </si>
  <si>
    <t>(3162/1689)</t>
  </si>
  <si>
    <t>(3162/1690)</t>
  </si>
  <si>
    <t>(3162/1691)</t>
  </si>
  <si>
    <t>(3162/1692)</t>
  </si>
  <si>
    <t>(3162/1693)</t>
  </si>
  <si>
    <t>(3162/1694)</t>
  </si>
  <si>
    <t>(3162/1695)</t>
  </si>
  <si>
    <t>(3162/1696)</t>
  </si>
  <si>
    <t>(3162/1697)</t>
  </si>
  <si>
    <t>(3162/1698)</t>
  </si>
  <si>
    <t>(3162/1699)</t>
  </si>
  <si>
    <t>(3162/1700)</t>
  </si>
  <si>
    <t>(3162/1701)</t>
  </si>
  <si>
    <t>(3162/1702)</t>
  </si>
  <si>
    <t>(3162/1703)</t>
  </si>
  <si>
    <t>(3162/1704)</t>
  </si>
  <si>
    <t>(3162/1705)</t>
  </si>
  <si>
    <t>(3162/1706)</t>
  </si>
  <si>
    <t>(3162/1707)</t>
  </si>
  <si>
    <t>(3162/1708)</t>
  </si>
  <si>
    <t>(3162/1709)</t>
  </si>
  <si>
    <t>(3162/1710)</t>
  </si>
  <si>
    <t>(3162/1711)</t>
  </si>
  <si>
    <t>(3162/1712)</t>
  </si>
  <si>
    <t>(3162/1713)</t>
  </si>
  <si>
    <t>(3162/1714)</t>
  </si>
  <si>
    <t>(3162/1715)</t>
  </si>
  <si>
    <t>(3162/1716)</t>
  </si>
  <si>
    <t>(3162/1717)</t>
  </si>
  <si>
    <t>(3162/1718)</t>
  </si>
  <si>
    <t>(3162/1719)</t>
  </si>
  <si>
    <t>(3162/1720)</t>
  </si>
  <si>
    <t>(3162/1721)</t>
  </si>
  <si>
    <t>(3162/1722)</t>
  </si>
  <si>
    <t>(3162/1723)</t>
  </si>
  <si>
    <t>(3162/1724)</t>
  </si>
  <si>
    <t>(3162/1725)</t>
  </si>
  <si>
    <t>(3162/1726)</t>
  </si>
  <si>
    <t>(3162/1727)</t>
  </si>
  <si>
    <t>(3162/1728)</t>
  </si>
  <si>
    <t>(3162/1729)</t>
  </si>
  <si>
    <t>(3162/1730)</t>
  </si>
  <si>
    <t>(3162/1731)</t>
  </si>
  <si>
    <t>(3162/1732)</t>
  </si>
  <si>
    <t>(3162/1733)</t>
  </si>
  <si>
    <t>(3162/1734)</t>
  </si>
  <si>
    <t>(3162/1735)</t>
  </si>
  <si>
    <t>(3162/1736)</t>
  </si>
  <si>
    <t>(3162/1737)</t>
  </si>
  <si>
    <t>(3162/1738)</t>
  </si>
  <si>
    <t>(3162/1739)</t>
  </si>
  <si>
    <t>(3162/1740)</t>
  </si>
  <si>
    <t>(3162/1741)</t>
  </si>
  <si>
    <t>(3162/1742)</t>
  </si>
  <si>
    <t>(3162/1743)</t>
  </si>
  <si>
    <t>(3162/1744)</t>
  </si>
  <si>
    <t>(3162/1745)</t>
  </si>
  <si>
    <t>(3162/1746)</t>
  </si>
  <si>
    <t>(3162/1747)</t>
  </si>
  <si>
    <t>(3162/1748)</t>
  </si>
  <si>
    <t>(3162/1749)</t>
  </si>
  <si>
    <t>(3162/1750)</t>
  </si>
  <si>
    <t>(3162/1751)</t>
  </si>
  <si>
    <t>(3162/1752)</t>
  </si>
  <si>
    <t>(3162/1753)</t>
  </si>
  <si>
    <t>(3162/1754)</t>
  </si>
  <si>
    <t>(3162/1755)</t>
  </si>
  <si>
    <t>(3162/1756)</t>
  </si>
  <si>
    <t>(3162/1757)</t>
  </si>
  <si>
    <t>(3162/1758)</t>
  </si>
  <si>
    <t>(3162/1759)</t>
  </si>
  <si>
    <t>(3162/1760)</t>
  </si>
  <si>
    <t>(3162/1761)</t>
  </si>
  <si>
    <t>(3162/1762)</t>
  </si>
  <si>
    <t>(3162/1763)</t>
  </si>
  <si>
    <t>(3162/1764)</t>
  </si>
  <si>
    <t>(3162/1765)</t>
  </si>
  <si>
    <t>(3162/1766)</t>
  </si>
  <si>
    <t>(3162/1767)</t>
  </si>
  <si>
    <t>(3162/1768)</t>
  </si>
  <si>
    <t>(3162/1769)</t>
  </si>
  <si>
    <t>(3162/1770)</t>
  </si>
  <si>
    <t>(3162/1771)</t>
  </si>
  <si>
    <t>(3162/1772)</t>
  </si>
  <si>
    <t>(3162/1773)</t>
  </si>
  <si>
    <t>(3162/1774)</t>
  </si>
  <si>
    <t>(3162/1775)</t>
  </si>
  <si>
    <t>(3162/1776)</t>
  </si>
  <si>
    <t>(3162/1777)</t>
  </si>
  <si>
    <t>(3162/1778)</t>
  </si>
  <si>
    <t>(3162/1779)</t>
  </si>
  <si>
    <t>(3162/1780)</t>
  </si>
  <si>
    <t>(3162/1781)</t>
  </si>
  <si>
    <t>(3162/1782)</t>
  </si>
  <si>
    <t>(3162/1783)</t>
  </si>
  <si>
    <t>(3162/1784)</t>
  </si>
  <si>
    <t>(3162/1785)</t>
  </si>
  <si>
    <t>(3162/1786)</t>
  </si>
  <si>
    <t>(3162/1787)</t>
  </si>
  <si>
    <t>(3162/1788)</t>
  </si>
  <si>
    <t>(3162/1789)</t>
  </si>
  <si>
    <t>(3162/1790)</t>
  </si>
  <si>
    <t>(3162/1791)</t>
  </si>
  <si>
    <t>(3162/1792)</t>
  </si>
  <si>
    <t>(3162/1793)</t>
  </si>
  <si>
    <t>(3162/1794)</t>
  </si>
  <si>
    <t>(3162/1795)</t>
  </si>
  <si>
    <t>(3162/1796)</t>
  </si>
  <si>
    <t>(3162/1797)</t>
  </si>
  <si>
    <t>(3162/1798)</t>
  </si>
  <si>
    <t>(3162/1799)</t>
  </si>
  <si>
    <t>(3162/1800)</t>
  </si>
  <si>
    <t>(3162/1801)</t>
  </si>
  <si>
    <t>(3162/1802)</t>
  </si>
  <si>
    <t>(3162/1803)</t>
  </si>
  <si>
    <t>(3162/1804)</t>
  </si>
  <si>
    <t>(3162/1805)</t>
  </si>
  <si>
    <t>(3162/1806)</t>
  </si>
  <si>
    <t>(3162/1807)</t>
  </si>
  <si>
    <t>(3162/1808)</t>
  </si>
  <si>
    <t>(3162/1809)</t>
  </si>
  <si>
    <t>(3162/1810)</t>
  </si>
  <si>
    <t>(3162/1811)</t>
  </si>
  <si>
    <t>(3162/1812)</t>
  </si>
  <si>
    <t>(3162/1813)</t>
  </si>
  <si>
    <t>(3162/1814)</t>
  </si>
  <si>
    <t>(3162/1815)</t>
  </si>
  <si>
    <t>(3162/1816)</t>
  </si>
  <si>
    <t>(3162/1817)</t>
  </si>
  <si>
    <t>(3162/1818)</t>
  </si>
  <si>
    <t>(3162/1819)</t>
  </si>
  <si>
    <t>(3162/1820)</t>
  </si>
  <si>
    <t>(3162/1821)</t>
  </si>
  <si>
    <t>(3162/1822)</t>
  </si>
  <si>
    <t>(3162/1823)</t>
  </si>
  <si>
    <t>(3162/1824)</t>
  </si>
  <si>
    <t>(3162/1825)</t>
  </si>
  <si>
    <t>(3162/1826)</t>
  </si>
  <si>
    <t>(3162/1827)</t>
  </si>
  <si>
    <t>(3162/1828)</t>
  </si>
  <si>
    <t>(3162/1829)</t>
  </si>
  <si>
    <t>(3162/1830)</t>
  </si>
  <si>
    <t>(3162/1831)</t>
  </si>
  <si>
    <t>(3162/1832)</t>
  </si>
  <si>
    <t>(3162/1833)</t>
  </si>
  <si>
    <t>(3162/1834)</t>
  </si>
  <si>
    <t>(3162/1835)</t>
  </si>
  <si>
    <t>(3162/1836)</t>
  </si>
  <si>
    <t>(3162/1837)</t>
  </si>
  <si>
    <t>(3162/1838)</t>
  </si>
  <si>
    <t>(3162/1839)</t>
  </si>
  <si>
    <t>(3162/1840)</t>
  </si>
  <si>
    <t>(3162/1841)</t>
  </si>
  <si>
    <t>(3162/1842)</t>
  </si>
  <si>
    <t>(3162/1843)</t>
  </si>
  <si>
    <t>(3162/1844)</t>
  </si>
  <si>
    <t>(3162/1845)</t>
  </si>
  <si>
    <t>(3162/1846)</t>
  </si>
  <si>
    <t>(3162/1847)</t>
  </si>
  <si>
    <t>(3162/1848)</t>
  </si>
  <si>
    <t>(3162/1849)</t>
  </si>
  <si>
    <t>(3162/1850)</t>
  </si>
  <si>
    <t>(3162/1851)</t>
  </si>
  <si>
    <t>(3162/1852)</t>
  </si>
  <si>
    <t>(3162/1853)</t>
  </si>
  <si>
    <t>(3162/1854)</t>
  </si>
  <si>
    <t>(3162/1855)</t>
  </si>
  <si>
    <t>(3162/1856)</t>
  </si>
  <si>
    <t>(3162/1857)</t>
  </si>
  <si>
    <t>(3162/1858)</t>
  </si>
  <si>
    <t>(3162/1859)</t>
  </si>
  <si>
    <t>(3162/1860)</t>
  </si>
  <si>
    <t>(3162/1861)</t>
  </si>
  <si>
    <t>(3162/1862)</t>
  </si>
  <si>
    <t>(3162/1863)</t>
  </si>
  <si>
    <t>(3162/1864)</t>
  </si>
  <si>
    <t>(3162/1865)</t>
  </si>
  <si>
    <t>(3162/1866)</t>
  </si>
  <si>
    <t>(3162/1867)</t>
  </si>
  <si>
    <t>(3162/1868)</t>
  </si>
  <si>
    <t>(3162/1869)</t>
  </si>
  <si>
    <t>(3162/1870)</t>
  </si>
  <si>
    <t>(3162/1871)</t>
  </si>
  <si>
    <t>(3162/1872)</t>
  </si>
  <si>
    <t>(3162/1873)</t>
  </si>
  <si>
    <t>(3162/1874)</t>
  </si>
  <si>
    <t>(3162/1875)</t>
  </si>
  <si>
    <t>(3162/1876)</t>
  </si>
  <si>
    <t>(3162/1877)</t>
  </si>
  <si>
    <t>(3162/1878)</t>
  </si>
  <si>
    <t>(3162/1879)</t>
  </si>
  <si>
    <t>(3162/1880)</t>
  </si>
  <si>
    <t>(3162/1881)</t>
  </si>
  <si>
    <t>(3162/1882)</t>
  </si>
  <si>
    <t>(3162/1883)</t>
  </si>
  <si>
    <t>(3162/1884)</t>
  </si>
  <si>
    <t>(3162/1885)</t>
  </si>
  <si>
    <t>(3162/1886)</t>
  </si>
  <si>
    <t>(3162/1887)</t>
  </si>
  <si>
    <t>(3162/1888)</t>
  </si>
  <si>
    <t>(3162/1889)</t>
  </si>
  <si>
    <t>(3162/1890)</t>
  </si>
  <si>
    <t>(3162/1891)</t>
  </si>
  <si>
    <t>(3162/1892)</t>
  </si>
  <si>
    <t>(3162/1893)</t>
  </si>
  <si>
    <t>(3162/1894)</t>
  </si>
  <si>
    <t>(3162/1895)</t>
  </si>
  <si>
    <t>(3162/1896)</t>
  </si>
  <si>
    <t>(3162/1897)</t>
  </si>
  <si>
    <t>(3162/1898)</t>
  </si>
  <si>
    <t>(3162/1899)</t>
  </si>
  <si>
    <t>(3162/1900)</t>
  </si>
  <si>
    <t>(3162/1901)</t>
  </si>
  <si>
    <t>(3162/1902)</t>
  </si>
  <si>
    <t>MongoDB node: Total number of open connections is too high</t>
  </si>
  <si>
    <t>MongoDB node: 打开的连接总数太高</t>
  </si>
  <si>
    <t>(3162/1903)</t>
  </si>
  <si>
    <t>MongoDB node: Too many cursors opened by MongoDB for clients</t>
  </si>
  <si>
    <t>MongoDB node: MongoDB为客户端打开的游标太多</t>
  </si>
  <si>
    <t>(3162/1904)</t>
  </si>
  <si>
    <t>MongoDB node: Too many cursors are timing out</t>
  </si>
  <si>
    <t>MongoDB node: 太多游标超时</t>
  </si>
  <si>
    <t>(3162/1905)</t>
  </si>
  <si>
    <t>MongoDB node: Connection to MongoDB is unavailable</t>
  </si>
  <si>
    <t>MongoDB node: 与MongoDB的连接不可用</t>
  </si>
  <si>
    <t>(3162/1906)</t>
  </si>
  <si>
    <t>MongoDB node: mongod process has been restarted</t>
  </si>
  <si>
    <t>MongoDB node: mongod进程已经重启</t>
  </si>
  <si>
    <t>(3162/1907)</t>
  </si>
  <si>
    <t>MongoDB node: Failed to fetch info data</t>
  </si>
  <si>
    <t>MongoDB node: 无法获取信息数据</t>
  </si>
  <si>
    <t>(3162/1908)</t>
  </si>
  <si>
    <t>MongoDB node: Version has changed</t>
  </si>
  <si>
    <t>MongoDB node: 版本已变更</t>
  </si>
  <si>
    <t>(3162/1909)</t>
  </si>
  <si>
    <t>Morningstar ProStar MPPT: Battery: Device charge in critical state</t>
  </si>
  <si>
    <t>Morningstar ProStar MPPT: Battery: 设备充电状态为严重告警</t>
  </si>
  <si>
    <t>(3162/1910)</t>
  </si>
  <si>
    <t>Morningstar ProStar MPPT: Battery: Device charge in warning state</t>
  </si>
  <si>
    <t>Morningstar ProStar MPPT: Battery: 设备充电状态为告警</t>
  </si>
  <si>
    <t>(3162/1911)</t>
  </si>
  <si>
    <t>Morningstar ProStar MPPT: Load: Device load in critical state</t>
  </si>
  <si>
    <t>Morningstar ProStar MPPT: Load: 状态为严重告警的设备负载</t>
  </si>
  <si>
    <t>(3162/1912)</t>
  </si>
  <si>
    <t>Morningstar ProStar MPPT: Load: Device load in warning state</t>
  </si>
  <si>
    <t>Morningstar ProStar MPPT: Load: 状态为告警的设备负载</t>
  </si>
  <si>
    <t>(3162/1913)</t>
  </si>
  <si>
    <t>Morningstar ProStar MPPT: Status: Device has "arrayCurrentOffset" alarm flag</t>
  </si>
  <si>
    <t>Morningstar ProStar MPPT: Status: 设备具有"arrayCurrentOffset"报警标志</t>
  </si>
  <si>
    <t>(3162/1914)</t>
  </si>
  <si>
    <t>Morningstar ProStar MPPT: Status: Device has "batterySenseDisconnected" alarm flag</t>
  </si>
  <si>
    <t>Morningstar ProStar MPPT: Status: 设备具有"batterySenseDisconnected"报警标志</t>
  </si>
  <si>
    <t>(3162/1915)</t>
  </si>
  <si>
    <t>Morningstar ProStar MPPT: Status: Device has "batterySenseOutOfRange" alarm flag</t>
  </si>
  <si>
    <t>Morningstar ProStar MPPT: Status: 设备具有"batterySenseOutOfRange"报警标志</t>
  </si>
  <si>
    <t>(3162/1916)</t>
  </si>
  <si>
    <t>Morningstar ProStar MPPT: Status: Device has "controllerReset" alarm flag</t>
  </si>
  <si>
    <t>Morningstar ProStar MPPT: Status: 设备具有"controllerReset"报警标志</t>
  </si>
  <si>
    <t>(3162/1917)</t>
  </si>
  <si>
    <t>Morningstar ProStar MPPT: Status: Device has "currentLimit" alarm flag</t>
  </si>
  <si>
    <t>Morningstar ProStar MPPT: Status: 设备具有"currentLimit"报警标志</t>
  </si>
  <si>
    <t>(3162/1918)</t>
  </si>
  <si>
    <t>Morningstar ProStar MPPT: Status: Device has "currentMeasurementError" alarm flag</t>
  </si>
  <si>
    <t>Morningstar ProStar MPPT: Status: 设备具有"currentMeasurementError"报警标志</t>
  </si>
  <si>
    <t>(3162/1919)</t>
  </si>
  <si>
    <t>Morningstar ProStar MPPT: Status: Device has "eepromAccessFailure" alarm flag</t>
  </si>
  <si>
    <t>Morningstar ProStar MPPT: Status: 设备具有"eepromAccessFailure"报警标志</t>
  </si>
  <si>
    <t>(3162/1920)</t>
  </si>
  <si>
    <t>Morningstar ProStar MPPT: Status: Device has "fp10SupplyOutOfRange" alarm flag</t>
  </si>
  <si>
    <t>Morningstar ProStar MPPT: Status: 设备具有"fp10SupplyOutOfRange"报警标志</t>
  </si>
  <si>
    <t>(3162/1921)</t>
  </si>
  <si>
    <t>Morningstar ProStar MPPT: Status: Device has "heatsinkTempLimit" alarm flag</t>
  </si>
  <si>
    <t>Morningstar ProStar MPPT: Status: 设备具有"散热TempLimit"报警标志</t>
  </si>
  <si>
    <t>(3162/1922)</t>
  </si>
  <si>
    <t>Morningstar ProStar MPPT: Status: Device has "heatsinkTempSensorOpen" alarm flag</t>
  </si>
  <si>
    <t>Morningstar ProStar MPPT: Status: 设备具有"heatsinkTempSensorOpen"报警标志</t>
  </si>
  <si>
    <t>(3162/1923)</t>
  </si>
  <si>
    <t>Morningstar ProStar MPPT: Status: Device has "heatsinkTempSensorShorted" alarm flag</t>
  </si>
  <si>
    <t>Morningstar ProStar MPPT: Status: 设备具有"散热温度传感器短路"报警标志</t>
  </si>
  <si>
    <t>(3162/1924)</t>
  </si>
  <si>
    <t>Morningstar ProStar MPPT: Status: Device has "hightInputVoltageLimit" alarm flag</t>
  </si>
  <si>
    <t>Morningstar ProStar MPPT: Status: 设备具有"hightInputVoltageLimit"报警标志</t>
  </si>
  <si>
    <t>(3162/1925)</t>
  </si>
  <si>
    <t>Morningstar ProStar MPPT: Status: Device has "inductorTempLimit" alarm flag</t>
  </si>
  <si>
    <t>Morningstar ProStar MPPT: Status: 设备具有"感应器TempLimit"报警标志</t>
  </si>
  <si>
    <t>(3162/1926)</t>
  </si>
  <si>
    <t>Morningstar ProStar MPPT: Status: Device has "inductorTempSensorOpen" alarm flag</t>
  </si>
  <si>
    <t>Morningstar ProStar MPPT: Status: 设备具有"感应器TempSensorOpen"报警标志</t>
  </si>
  <si>
    <t>(3162/1927)</t>
  </si>
  <si>
    <t>Morningstar ProStar MPPT: Status: Device has "inductorTempSensorShorted" alarm flag</t>
  </si>
  <si>
    <t>Morningstar ProStar MPPT: Status: 设备具有"感应器温度传感器短路"报警标志</t>
  </si>
  <si>
    <t>(3162/1928)</t>
  </si>
  <si>
    <t>Morningstar ProStar MPPT: Status: Device has "loadCurrentOffset" alarm flag</t>
  </si>
  <si>
    <t>Morningstar ProStar MPPT: Status: 设备具有"loadCurrentOffset"报警标志</t>
  </si>
  <si>
    <t>(3162/1929)</t>
  </si>
  <si>
    <t>Morningstar ProStar MPPT: Status: Device has "loadLvd" alarm flag</t>
  </si>
  <si>
    <t>Morningstar ProStar MPPT: Status: 设备具有"loadLvd"报警标志</t>
  </si>
  <si>
    <t>(3162/1930)</t>
  </si>
  <si>
    <t>Morningstar ProStar MPPT: Status: Device has "logTimeout" alarm flag</t>
  </si>
  <si>
    <t>Morningstar ProStar MPPT: Status: 设备具有"logTimeout"报警标志</t>
  </si>
  <si>
    <t>(3162/1931)</t>
  </si>
  <si>
    <t>Morningstar ProStar MPPT: Status: Device has "mosfetOpen" alarm flag</t>
  </si>
  <si>
    <t>Morningstar ProStar MPPT: Status: 设备具有"mosfetOpen"报警标志</t>
  </si>
  <si>
    <t>(3162/1932)</t>
  </si>
  <si>
    <t>Morningstar ProStar MPPT: Status: Device has "p12SupplyOutOfRange" alarm flag</t>
  </si>
  <si>
    <t>Morningstar ProStar MPPT: Status: 设备具有"p12SupplyOutOfRange"报警标志</t>
  </si>
  <si>
    <t>(3162/1933)</t>
  </si>
  <si>
    <t>Morningstar ProStar MPPT: Status: Device has "p33SupplyOutOfRange" alarm flag</t>
  </si>
  <si>
    <t>Morningstar ProStar MPPT: Status: 设备具有"p33SupplyOutOfRange"报警标志</t>
  </si>
  <si>
    <t>(3162/1934)</t>
  </si>
  <si>
    <t>Morningstar ProStar MPPT: Status: Device has "rtsDisconnected" alarm flag</t>
  </si>
  <si>
    <t>Morningstar ProStar MPPT: Status: 设备具有"rtsDisconnected"报警标志</t>
  </si>
  <si>
    <t>(3162/1935)</t>
  </si>
  <si>
    <t>Morningstar ProStar MPPT: Status: Device has "rtsShorted" alarm flag</t>
  </si>
  <si>
    <t>Morningstar ProStar MPPT: Status: 设备具有"rtsShorted"报警标志</t>
  </si>
  <si>
    <t>(3162/1936)</t>
  </si>
  <si>
    <t>Morningstar ProStar MPPT: Status: Device has "tb5v" alarm flag</t>
  </si>
  <si>
    <t>Morningstar ProStar MPPT: Status: 设备具有"tb5v"报警标志</t>
  </si>
  <si>
    <t>(3162/1937)</t>
  </si>
  <si>
    <t>Morningstar ProStar MPPT: Status: Device has "uncalibrated" alarm flag</t>
  </si>
  <si>
    <t>Morningstar ProStar MPPT: Status: 设备具有"未校准"报警标志</t>
  </si>
  <si>
    <t>(3162/1938)</t>
  </si>
  <si>
    <t>Morningstar ProStar MPPT: Status: Device has "arrayHvd" array faults flag</t>
  </si>
  <si>
    <t>Morningstar ProStar MPPT: Status: 设备具有"arrayHvd"阵列故障标志</t>
  </si>
  <si>
    <t>(3162/1939)</t>
  </si>
  <si>
    <t>Morningstar ProStar MPPT: Status: Device has "batteryHvd" array faults flag</t>
  </si>
  <si>
    <t>Morningstar ProStar MPPT: Status: 设备具有"batteryHvd"阵列故障标志</t>
  </si>
  <si>
    <t>(3162/1940)</t>
  </si>
  <si>
    <t>Morningstar ProStar MPPT: Status: Device has "batteryLowVoltageDisconnect" array faults flag</t>
  </si>
  <si>
    <t>Morningstar ProStar MPPT: Status: 设备具有"电池低电压断开"阵列故障标志</t>
  </si>
  <si>
    <t>(3162/1941)</t>
  </si>
  <si>
    <t>Morningstar ProStar MPPT: Status: Device has "customSettingsEdit" array faults flag</t>
  </si>
  <si>
    <t>Morningstar ProStar MPPT: Status: 设备具有"customSettingsEdit"阵列故障标志</t>
  </si>
  <si>
    <t>(3162/1942)</t>
  </si>
  <si>
    <t>Morningstar ProStar MPPT: Status: Device has "dipSwitchChanged" array faults flag</t>
  </si>
  <si>
    <t>Morningstar ProStar MPPT: Status: 设备具有"dipSwitchChanged"阵列故障标志</t>
  </si>
  <si>
    <t>(3162/1943)</t>
  </si>
  <si>
    <t>Morningstar ProStar MPPT: Status: Device has "localTempSensorDamaged" array faults flag</t>
  </si>
  <si>
    <t>Morningstar ProStar MPPT: Status: 设备具有"localTempSensorDamaged"阵列故障标志</t>
  </si>
  <si>
    <t>(3162/1944)</t>
  </si>
  <si>
    <t>Morningstar ProStar MPPT: Status: Device has "mosfetSShorted" array faults flag</t>
  </si>
  <si>
    <t>Morningstar ProStar MPPT: Status: 设备具有"mosfetSShorted"阵列故障标志</t>
  </si>
  <si>
    <t>(3162/1945)</t>
  </si>
  <si>
    <t>Morningstar ProStar MPPT: Status: Device has "overcurrent" array faults flag</t>
  </si>
  <si>
    <t>Morningstar ProStar MPPT: Status: 设备具有"过电流"阵列故障标志</t>
  </si>
  <si>
    <t>(3162/1946)</t>
  </si>
  <si>
    <t>Morningstar ProStar MPPT: Status: Device has "rtsNoLongerValid" array faults flag</t>
  </si>
  <si>
    <t>Morningstar ProStar MPPT: Status: 设备具有"rtsNoLongerValid"阵列故障标志</t>
  </si>
  <si>
    <t>(3162/1947)</t>
  </si>
  <si>
    <t>Morningstar ProStar MPPT: Status: Device has "rtsShorted" array faults flag</t>
  </si>
  <si>
    <t>Morningstar ProStar MPPT: Status: 设备具有"rtsShorted"阵列故障标志</t>
  </si>
  <si>
    <t>(3162/1948)</t>
  </si>
  <si>
    <t>Morningstar ProStar MPPT: Status: Device has "slaveTimeout" array faults flag</t>
  </si>
  <si>
    <t>Morningstar ProStar MPPT: Status: 设备具有"slaveTimeout"阵列故障标志</t>
  </si>
  <si>
    <t>(3162/1949)</t>
  </si>
  <si>
    <t>Morningstar ProStar MPPT: Status: Device has "software" array faults flag</t>
  </si>
  <si>
    <t>Morningstar ProStar MPPT: Status: 设备具有"软件"阵列故障标志</t>
  </si>
  <si>
    <t>(3162/1950)</t>
  </si>
  <si>
    <t>Morningstar ProStar MPPT: Status: Device has been restarted</t>
  </si>
  <si>
    <t>Morningstar ProStar MPPT: Status: 设备已重新启动</t>
  </si>
  <si>
    <t>(3162/1951)</t>
  </si>
  <si>
    <t>Morningstar ProStar MPPT: Status: Device has "customSettingsEdit" load faults flag</t>
  </si>
  <si>
    <t>Morningstar ProStar MPPT: Status: 设备具有"customSettingsEdit"加载故障标志</t>
  </si>
  <si>
    <t>(3162/1952)</t>
  </si>
  <si>
    <t>Morningstar ProStar MPPT: Status: Device has "dipSwitchChanged" load faults flag</t>
  </si>
  <si>
    <t>Morningstar ProStar MPPT: Status: 设备具有"dipSwitchChanged"负载故障标志</t>
  </si>
  <si>
    <t>(3162/1953)</t>
  </si>
  <si>
    <t>Morningstar ProStar MPPT: Status: Device has "externalShortCircuit" load faults flag</t>
  </si>
  <si>
    <t>Morningstar ProStar MPPT: Status: 设备具有"外部短路"负载故障标志</t>
  </si>
  <si>
    <t>(3162/1954)</t>
  </si>
  <si>
    <t>Morningstar ProStar MPPT: Status: Device has "highTempDisconnect" load faults flag</t>
  </si>
  <si>
    <t>Morningstar ProStar MPPT: Status: 设备具有"highTempDisconnect"负载故障标志</t>
  </si>
  <si>
    <t>(3162/1955)</t>
  </si>
  <si>
    <t>Morningstar ProStar MPPT: Status: Device has "loadHvd" load faults flag</t>
  </si>
  <si>
    <t>Morningstar ProStar MPPT: Status: 设备具有"loadHvd"负载故障标志</t>
  </si>
  <si>
    <t>(3162/1956)</t>
  </si>
  <si>
    <t>Morningstar ProStar MPPT: Status: Device has "mosfetShorted" load faults flag</t>
  </si>
  <si>
    <t>Morningstar ProStar MPPT: Status: 设备具有"mosfetShorted"负载故障标志</t>
  </si>
  <si>
    <t>(3162/1957)</t>
  </si>
  <si>
    <t>Morningstar ProStar MPPT: Status: Device has "overcurrent" load faults flag</t>
  </si>
  <si>
    <t>Morningstar ProStar MPPT: Status: 设备具有"过电流"负载故障标志</t>
  </si>
  <si>
    <t>(3162/1958)</t>
  </si>
  <si>
    <t>Morningstar ProStar MPPT: Status: Device has "software" load faults flag</t>
  </si>
  <si>
    <t>Morningstar ProStar MPPT: Status: 设备具有"软件"加载故障标志</t>
  </si>
  <si>
    <t>(3162/1959)</t>
  </si>
  <si>
    <t>Morningstar ProStar MPPT: Status: Failed to fetch data</t>
  </si>
  <si>
    <t>Morningstar ProStar MPPT: Status: 无法获取数据</t>
  </si>
  <si>
    <t>(3162/1960)</t>
  </si>
  <si>
    <t>Morningstar ProStar MPPT: Temperature: Critically low battery temperature</t>
  </si>
  <si>
    <t>Morningstar ProStar MPPT: Temperature: 电池温度过低</t>
  </si>
  <si>
    <t>(3162/1961)</t>
  </si>
  <si>
    <t>Morningstar ProStar MPPT: Temperature: Low battery temperature</t>
  </si>
  <si>
    <t>Morningstar ProStar MPPT: Temperature: 电池温度低</t>
  </si>
  <si>
    <t>(3162/1962)</t>
  </si>
  <si>
    <t>Morningstar ProStar MPPT: Temperature: Critically high battery temperature</t>
  </si>
  <si>
    <t>Morningstar ProStar MPPT: Temperature: 电池温度太高</t>
  </si>
  <si>
    <t>(3162/1963)</t>
  </si>
  <si>
    <t>Morningstar ProStar MPPT: Temperature: High battery temperature</t>
  </si>
  <si>
    <t>Morningstar ProStar MPPT: Temperature: 电池温度高</t>
  </si>
  <si>
    <t>(3162/1964)</t>
  </si>
  <si>
    <t>Morningstar ProStar PWM: Battery: Device charge in critical state</t>
  </si>
  <si>
    <t>Morningstar ProStar PWM: Battery: 设备充电状态为严重告警</t>
  </si>
  <si>
    <t>(3162/1965)</t>
  </si>
  <si>
    <t>Morningstar ProStar PWM: Battery: Device charge in warning state</t>
  </si>
  <si>
    <t>Morningstar ProStar PWM: Battery: 设备充电状态为告警</t>
  </si>
  <si>
    <t>(3162/1966)</t>
  </si>
  <si>
    <t>Morningstar ProStar PWM: Load: Device load in critical state</t>
  </si>
  <si>
    <t>Morningstar ProStar PWM: Load: 状态为严重告警的设备负载</t>
  </si>
  <si>
    <t>(3162/1967)</t>
  </si>
  <si>
    <t>Morningstar ProStar PWM: Load: Device load in warning state</t>
  </si>
  <si>
    <t>Morningstar ProStar PWM: Load: 状态为告警的设备负载</t>
  </si>
  <si>
    <t>(3162/1968)</t>
  </si>
  <si>
    <t>Morningstar ProStar PWM: Status: Device has "arrayCurrentOffset" alarm flag</t>
  </si>
  <si>
    <t>Morningstar ProStar PWM: Status: 设备具有"arrayCurrentOffset"报警标志</t>
  </si>
  <si>
    <t>(3162/1969)</t>
  </si>
  <si>
    <t>Morningstar ProStar PWM: Status: Device has "batterySenseDisconnected" alarm flag</t>
  </si>
  <si>
    <t>Morningstar ProStar PWM: Status: 设备具有"batterySenseDisconnected"报警标志</t>
  </si>
  <si>
    <t>(3162/1970)</t>
  </si>
  <si>
    <t>Morningstar ProStar PWM: Status: Device has "batterySenseOutOfRange" alarm flag</t>
  </si>
  <si>
    <t>Morningstar ProStar PWM: Status: 设备具有"batterySenseOutOfRange"报警标志</t>
  </si>
  <si>
    <t>(3162/1971)</t>
  </si>
  <si>
    <t>Morningstar ProStar PWM: Status: Device has "batteryTempOutOfRange" alarm flag</t>
  </si>
  <si>
    <t>Morningstar ProStar PWM: Status: 设备具有"batteryTempOutOfRange"报警标志</t>
  </si>
  <si>
    <t>(3162/1972)</t>
  </si>
  <si>
    <t>Morningstar ProStar PWM: Status: Device has "controllerReset" alarm flag</t>
  </si>
  <si>
    <t>Morningstar ProStar PWM: Status: 设备具有"controllerReset"报警标志</t>
  </si>
  <si>
    <t>(3162/1973)</t>
  </si>
  <si>
    <t>Morningstar ProStar PWM: Status: Device has "currentLimit" alarm flag</t>
  </si>
  <si>
    <t>Morningstar ProStar PWM: Status: 设备具有"currentLimit"报警标志</t>
  </si>
  <si>
    <t>(3162/1974)</t>
  </si>
  <si>
    <t>Morningstar ProStar PWM: Status: Device has "currentMeasurementError" alarm flag</t>
  </si>
  <si>
    <t>Morningstar ProStar PWM: Status: 设备具有"currentMeasurementError"报警标志</t>
  </si>
  <si>
    <t>(3162/1975)</t>
  </si>
  <si>
    <t>Morningstar ProStar PWM: Status: Device has "eepromAccessFailure" alarm flag</t>
  </si>
  <si>
    <t>Morningstar ProStar PWM: Status: 设备具有"eepromAccessFailure"报警标志</t>
  </si>
  <si>
    <t>(3162/1976)</t>
  </si>
  <si>
    <t>Morningstar ProStar PWM: Status: Device has "fp10SupplyOutOfRange" alarm flag</t>
  </si>
  <si>
    <t>Morningstar ProStar PWM: Status: 设备具有"fp10SupplyOutOfRange"报警标志</t>
  </si>
  <si>
    <t>(3162/1977)</t>
  </si>
  <si>
    <t>Morningstar ProStar PWM: Status: Device has "heatsinkTempLimit" alarm flag</t>
  </si>
  <si>
    <t>Morningstar ProStar PWM: Status: 设备具有"散热TempLimit"报警标志</t>
  </si>
  <si>
    <t>(3162/1978)</t>
  </si>
  <si>
    <t>Morningstar ProStar PWM: Status: Device has "heatsinkTempSensorOpen" alarm flag</t>
  </si>
  <si>
    <t>Morningstar ProStar PWM: Status: 设备具有"heatsinkTempSensorOpen"报警标志</t>
  </si>
  <si>
    <t>(3162/1979)</t>
  </si>
  <si>
    <t>Morningstar ProStar PWM: Status: Device has "heatsinkTempSensorShorted" alarm flag</t>
  </si>
  <si>
    <t>Morningstar ProStar PWM: Status: 设备具有"散热温度传感器短路"报警标志</t>
  </si>
  <si>
    <t>(3162/1980)</t>
  </si>
  <si>
    <t>Morningstar ProStar PWM: Status: Device has "hightInputVoltageLimit" alarm flag</t>
  </si>
  <si>
    <t>Morningstar ProStar PWM: Status: 设备具有"hightInputVoltageLimit"报警标志</t>
  </si>
  <si>
    <t>(3162/1981)</t>
  </si>
  <si>
    <t>Morningstar ProStar PWM: Status: Device has "loadCurrentOffset" alarm flag</t>
  </si>
  <si>
    <t>Morningstar ProStar PWM: Status: 设备具有"loadCurrentOffset"报警标志</t>
  </si>
  <si>
    <t>(3162/1982)</t>
  </si>
  <si>
    <t>Morningstar ProStar PWM: Status: Device has "loadLvd" alarm flag</t>
  </si>
  <si>
    <t>Morningstar ProStar PWM: Status: 设备具有"loadLvd"报警标志</t>
  </si>
  <si>
    <t>(3162/1983)</t>
  </si>
  <si>
    <t>Morningstar ProStar PWM: Status: Device has "logTimeout" alarm flag</t>
  </si>
  <si>
    <t>Morningstar ProStar PWM: Status: 设备具有"logTimeout"报警标志</t>
  </si>
  <si>
    <t>(3162/1984)</t>
  </si>
  <si>
    <t>Morningstar ProStar PWM: Status: Device has "mosfetOpen" alarm flag</t>
  </si>
  <si>
    <t>Morningstar ProStar PWM: Status: 设备具有"mosfetOpen"报警标志</t>
  </si>
  <si>
    <t>(3162/1985)</t>
  </si>
  <si>
    <t>Morningstar ProStar PWM: Status: Device has "p12SupplyOutOfRange" alarm flag</t>
  </si>
  <si>
    <t>Morningstar ProStar PWM: Status: 设备具有"p12SupplyOutOfRange"报警标志</t>
  </si>
  <si>
    <t>(3162/1986)</t>
  </si>
  <si>
    <t>Morningstar ProStar PWM: Status: Device has "p33SupplyOutOfRange" alarm flag</t>
  </si>
  <si>
    <t>Morningstar ProStar PWM: Status: 设备具有"p33SupplyOutOfRange"报警标志</t>
  </si>
  <si>
    <t>(3162/1987)</t>
  </si>
  <si>
    <t>Morningstar ProStar PWM: Status: Device has "rtsDisconnected" alarm flag</t>
  </si>
  <si>
    <t>Morningstar ProStar PWM: Status: 设备具有"rtsDisconnected"报警标志</t>
  </si>
  <si>
    <t>(3162/1988)</t>
  </si>
  <si>
    <t>Morningstar ProStar PWM: Status: Device has "rtsShorted" alarm flag</t>
  </si>
  <si>
    <t>Morningstar ProStar PWM: Status: 设备具有"rtsShorted"报警标志</t>
  </si>
  <si>
    <t>(3162/1989)</t>
  </si>
  <si>
    <t>Morningstar ProStar PWM: Status: Device has "uncalibrated" alarm flag</t>
  </si>
  <si>
    <t>Morningstar ProStar PWM: Status: 设备具有"未校准"报警标志</t>
  </si>
  <si>
    <t>(3162/1990)</t>
  </si>
  <si>
    <t>Morningstar ProStar PWM: Status: Device has "arrayHvd" array faults flag</t>
  </si>
  <si>
    <t>Morningstar ProStar PWM: Status: 设备具有"arrayHvd"阵列故障标志</t>
  </si>
  <si>
    <t>(3162/1991)</t>
  </si>
  <si>
    <t>Morningstar ProStar PWM: Status: Device has "batteryHvd" array faults flag</t>
  </si>
  <si>
    <t>Morningstar ProStar PWM: Status: 设备具有"batteryHvd"阵列故障标志</t>
  </si>
  <si>
    <t>(3162/1992)</t>
  </si>
  <si>
    <t>Morningstar ProStar PWM: Status: Device has "batteryLowVoltageDisconnect" array faults flag</t>
  </si>
  <si>
    <t>Morningstar ProStar PWM: Status: 设备具有"电池低电压断开"阵列故障标志</t>
  </si>
  <si>
    <t>(3162/1993)</t>
  </si>
  <si>
    <t>Morningstar ProStar PWM: Status: Device has "customSettingsEdit" array faults flag</t>
  </si>
  <si>
    <t>Morningstar ProStar PWM: Status: 设备具有"customSettingsEdit"阵列故障标志</t>
  </si>
  <si>
    <t>(3162/1994)</t>
  </si>
  <si>
    <t>Morningstar ProStar PWM: Status: Device has "dipSwitchChanged" array faults flag</t>
  </si>
  <si>
    <t>Morningstar ProStar PWM: Status: 设备具有"dipSwitchChanged"阵列故障标志</t>
  </si>
  <si>
    <t>(3162/1995)</t>
  </si>
  <si>
    <t>Morningstar ProStar PWM: Status: Device has "localTempSensorDamaged" array faults flag</t>
  </si>
  <si>
    <t>Morningstar ProStar PWM: Status: 设备具有"localTempSensorDamaged"阵列故障标志</t>
  </si>
  <si>
    <t>(3162/1996)</t>
  </si>
  <si>
    <t>Morningstar ProStar PWM: Status: Device has "mosfetSShorted" array faults flag</t>
  </si>
  <si>
    <t>Morningstar ProStar PWM: Status: 设备具有"mosfetSShorted"阵列故障标志</t>
  </si>
  <si>
    <t>(3162/1997)</t>
  </si>
  <si>
    <t>Morningstar ProStar PWM: Status: Device has "overcurrent" array faults flag</t>
  </si>
  <si>
    <t>Morningstar ProStar PWM: Status: 设备具有"过电流"阵列故障标志</t>
  </si>
  <si>
    <t>(3162/1998)</t>
  </si>
  <si>
    <t>Morningstar ProStar PWM: Status: Device has "p3Fault" array faults flag</t>
  </si>
  <si>
    <t>Morningstar ProStar PWM: Status: 设备具有"p3Fault"阵列故障标志</t>
  </si>
  <si>
    <t>(3162/1999)</t>
  </si>
  <si>
    <t>Morningstar ProStar PWM: Status: Device has "rtsNoLongerValid" array faults flag</t>
  </si>
  <si>
    <t>Morningstar ProStar PWM: Status: 设备具有"rtsNoLongerValid"阵列故障标志</t>
  </si>
  <si>
    <t>(3162/2000)</t>
  </si>
  <si>
    <t>Morningstar ProStar PWM: Status: Device has "rtsShorted" array faults flag</t>
  </si>
  <si>
    <t>Morningstar ProStar PWM: Status: 设备具有"rtsShorted"阵列故障标志</t>
  </si>
  <si>
    <t>(3162/2001)</t>
  </si>
  <si>
    <t>Morningstar ProStar PWM: Status: Device has "slaveTimeout" array faults flag</t>
  </si>
  <si>
    <t>Morningstar ProStar PWM: Status: 设备具有"slaveTimeout"阵列故障标志</t>
  </si>
  <si>
    <t>(3162/2002)</t>
  </si>
  <si>
    <t>Morningstar ProStar PWM: Status: Device has "software" array faults flag</t>
  </si>
  <si>
    <t>Morningstar ProStar PWM: Status: 设备具有"软件"阵列故障标志</t>
  </si>
  <si>
    <t>(3162/2003)</t>
  </si>
  <si>
    <t>Morningstar ProStar PWM: Status: Device has been restarted</t>
  </si>
  <si>
    <t>Morningstar ProStar PWM: Status: 设备已重新启动</t>
  </si>
  <si>
    <t>(3162/2004)</t>
  </si>
  <si>
    <t>Morningstar ProStar PWM: Status: Device has "customSettingsEdit" load faults flag</t>
  </si>
  <si>
    <t>Morningstar ProStar PWM: Status: 设备具有"customSettingsEdit"加载故障标志</t>
  </si>
  <si>
    <t>(3162/2005)</t>
  </si>
  <si>
    <t>Morningstar ProStar PWM: Status: Device has "dipSwitchChanged" load faults flag</t>
  </si>
  <si>
    <t>Morningstar ProStar PWM: Status: 设备具有"dipSwitchChanged"负载故障标志</t>
  </si>
  <si>
    <t>(3162/2006)</t>
  </si>
  <si>
    <t>Morningstar ProStar PWM: Status: Device has "externalShortCircuit" load faults flag</t>
  </si>
  <si>
    <t>Morningstar ProStar PWM: Status: 设备具有"外部短路"负载故障标志</t>
  </si>
  <si>
    <t>(3162/2007)</t>
  </si>
  <si>
    <t>Morningstar ProStar PWM: Status: Device has "highTempDisconnect" load faults flag</t>
  </si>
  <si>
    <t>Morningstar ProStar PWM: Status: 设备具有"highTempDisconnect"负载故障标志</t>
  </si>
  <si>
    <t>(3162/2008)</t>
  </si>
  <si>
    <t>Morningstar ProStar PWM: Status: Device has "loadHvd" load faults flag</t>
  </si>
  <si>
    <t>Morningstar ProStar PWM: Status: 设备具有"loadHvd"负载故障标志</t>
  </si>
  <si>
    <t>(3162/2009)</t>
  </si>
  <si>
    <t>Morningstar ProStar PWM: Status: Device has "mosfetShorted" load faults flag</t>
  </si>
  <si>
    <t>Morningstar ProStar PWM: Status: 设备具有"mosfetShorted"负载故障标志</t>
  </si>
  <si>
    <t>(3162/2010)</t>
  </si>
  <si>
    <t>Morningstar ProStar PWM: Status: Device has "overcurrent" load faults flag</t>
  </si>
  <si>
    <t>Morningstar ProStar PWM: Status: 设备具有"过电流"负载故障标志</t>
  </si>
  <si>
    <t>(3162/2011)</t>
  </si>
  <si>
    <t>Morningstar ProStar PWM: Status: Device has "p3Fault" load faults flag</t>
  </si>
  <si>
    <t>Morningstar ProStar PWM: Status: 设备具有"p3Fault"负载故障标志</t>
  </si>
  <si>
    <t>(3162/2012)</t>
  </si>
  <si>
    <t>Morningstar ProStar PWM: Status: Device has "software" load faults flag</t>
  </si>
  <si>
    <t>Morningstar ProStar PWM: Status: 设备具有"软件"加载故障标志</t>
  </si>
  <si>
    <t>(3162/2013)</t>
  </si>
  <si>
    <t>Morningstar ProStar PWM: Status: Failed to fetch data</t>
  </si>
  <si>
    <t>Morningstar ProStar PWM: Status: 无法获取数据</t>
  </si>
  <si>
    <t>(3162/2014)</t>
  </si>
  <si>
    <t>Morningstar ProStar PWM: Temperature: Critically low battery temperature</t>
  </si>
  <si>
    <t>Morningstar ProStar PWM: Temperature: 电池温度过低</t>
  </si>
  <si>
    <t>(3162/2015)</t>
  </si>
  <si>
    <t>Morningstar ProStar PWM: Temperature: Low battery temperature</t>
  </si>
  <si>
    <t>Morningstar ProStar PWM: Temperature: 电池温度低</t>
  </si>
  <si>
    <t>(3162/2016)</t>
  </si>
  <si>
    <t>Morningstar ProStar PWM: Temperature: Critically high battery temperature</t>
  </si>
  <si>
    <t>Morningstar ProStar PWM: Temperature: 电池温度太高</t>
  </si>
  <si>
    <t>(3162/2017)</t>
  </si>
  <si>
    <t>Morningstar ProStar PWM: Temperature: High battery temperature</t>
  </si>
  <si>
    <t>Morningstar ProStar PWM: Temperature: 电池温度高</t>
  </si>
  <si>
    <t>(3162/2018)</t>
  </si>
  <si>
    <t>Morningstar SunSaver MPPT: Battery: Device charge in critical state</t>
  </si>
  <si>
    <t>Morningstar SunSaver MPPT: Battery: 设备充电状态为严重告警</t>
  </si>
  <si>
    <t>(3162/2019)</t>
  </si>
  <si>
    <t>Morningstar SunSaver MPPT: Battery: Device charge in warning state</t>
  </si>
  <si>
    <t>Morningstar SunSaver MPPT: Battery: 设备充电状态为告警</t>
  </si>
  <si>
    <t>(3162/2020)</t>
  </si>
  <si>
    <t>Morningstar SunSaver MPPT: Load: Device load in critical state</t>
  </si>
  <si>
    <t>Morningstar SunSaver MPPT: Load: 状态为严重告警的设备负载</t>
  </si>
  <si>
    <t>(3162/2021)</t>
  </si>
  <si>
    <t>Morningstar SunSaver MPPT: Load: Device load in warning state</t>
  </si>
  <si>
    <t>Morningstar SunSaver MPPT: Load: 状态为告警的设备负载</t>
  </si>
  <si>
    <t>(3162/2022)</t>
  </si>
  <si>
    <t>Morningstar SunSaver MPPT: Status: Device has "currentLimit" alarm flag</t>
  </si>
  <si>
    <t>Morningstar SunSaver MPPT: Status: 设备具有"currentLimit"报警标志</t>
  </si>
  <si>
    <t>(3162/2023)</t>
  </si>
  <si>
    <t>Morningstar SunSaver MPPT: Status: Device has "currentOffset" alarm flag</t>
  </si>
  <si>
    <t>Morningstar SunSaver MPPT: Status: 设备具有"currentOffset"报警标志</t>
  </si>
  <si>
    <t>(3162/2024)</t>
  </si>
  <si>
    <t>Morningstar SunSaver MPPT: Status: Device has "heatsinkTempSensorOpen" alarm flag</t>
  </si>
  <si>
    <t>Morningstar SunSaver MPPT: Status: 设备具有"heatsinkTempSensorOpen"报警标志</t>
  </si>
  <si>
    <t>(3162/2025)</t>
  </si>
  <si>
    <t>Morningstar SunSaver MPPT: Status: Device has "heatsinkTempSensorShorted" alarm flag</t>
  </si>
  <si>
    <t>Morningstar SunSaver MPPT: Status: 设备具有"散热温度传感器短路"报警标志</t>
  </si>
  <si>
    <t>(3162/2026)</t>
  </si>
  <si>
    <t>Morningstar SunSaver MPPT: Status: Device has "highVaCurrentLimit" alarm flag</t>
  </si>
  <si>
    <t>Morningstar SunSaver MPPT: Status: 设备具有"高VaCurrentLimit"报警标志</t>
  </si>
  <si>
    <t>(3162/2027)</t>
  </si>
  <si>
    <t>Morningstar SunSaver MPPT: Status: Device has "mosfetSOpen" alarm flag</t>
  </si>
  <si>
    <t>Morningstar SunSaver MPPT: Status: 设备具有"mosfetSOpen"报警标志</t>
  </si>
  <si>
    <t>(3162/2028)</t>
  </si>
  <si>
    <t>Morningstar SunSaver MPPT: Status: Device has "p12VoltageReferenceOff" alarm flag</t>
  </si>
  <si>
    <t>Morningstar SunSaver MPPT: Status: 设备具有"p12VoltageReferenceOff"报警标志</t>
  </si>
  <si>
    <t>(3162/2029)</t>
  </si>
  <si>
    <t>Morningstar SunSaver MPPT: Status: Device has "rtsDisconnected" alarm flag</t>
  </si>
  <si>
    <t>Morningstar SunSaver MPPT: Status: 设备具有"rtsDisconnected"报警标志</t>
  </si>
  <si>
    <t>(3162/2030)</t>
  </si>
  <si>
    <t>Morningstar SunSaver MPPT: Status: Device has "rtsMiswire" alarm flag</t>
  </si>
  <si>
    <t>Morningstar SunSaver MPPT: Status: 设备具有"rtsMiswire"报警标志</t>
  </si>
  <si>
    <t>(3162/2031)</t>
  </si>
  <si>
    <t>Morningstar SunSaver MPPT: Status: Device has "rtsShorted" alarm flag</t>
  </si>
  <si>
    <t>Morningstar SunSaver MPPT: Status: 设备具有"rtsShorted"报警标志</t>
  </si>
  <si>
    <t>(3162/2032)</t>
  </si>
  <si>
    <t>Morningstar SunSaver MPPT: Status: Device has "sspptHot" alarm flag</t>
  </si>
  <si>
    <t>Morningstar SunSaver MPPT: Status: 设备具有"sspptHot"报警标志</t>
  </si>
  <si>
    <t>(3162/2033)</t>
  </si>
  <si>
    <t>Morningstar SunSaver MPPT: Status: Device has "systemMiswire" alarm flag</t>
  </si>
  <si>
    <t>Morningstar SunSaver MPPT: Status: 设备具有"systemMiswire"报警标志</t>
  </si>
  <si>
    <t>(3162/2034)</t>
  </si>
  <si>
    <t>Morningstar SunSaver MPPT: Status: Device has "uncalibrated" alarm flag</t>
  </si>
  <si>
    <t>Morningstar SunSaver MPPT: Status: 设备具有"未校准"报警标志</t>
  </si>
  <si>
    <t>(3162/2035)</t>
  </si>
  <si>
    <t>Morningstar SunSaver MPPT: Status: Device has "arrayHvd" array faults flag</t>
  </si>
  <si>
    <t>Morningstar SunSaver MPPT: Status: 设备具有"arrayHvd"阵列故障标志</t>
  </si>
  <si>
    <t>(3162/2036)</t>
  </si>
  <si>
    <t>Morningstar SunSaver MPPT: Status: Device has "batteryHvd" array faults flag</t>
  </si>
  <si>
    <t>Morningstar SunSaver MPPT: Status: 设备具有"batteryHvd"阵列故障标志</t>
  </si>
  <si>
    <t>(3162/2037)</t>
  </si>
  <si>
    <t>Morningstar SunSaver MPPT: Status: Device has "customSettingsEdit" array faults flag</t>
  </si>
  <si>
    <t>Morningstar SunSaver MPPT: Status: 设备具有"customSettingsEdit"阵列故障标志</t>
  </si>
  <si>
    <t>(3162/2038)</t>
  </si>
  <si>
    <t>Morningstar SunSaver MPPT: Status: Device has "localTempSensorDamaged" array faults flag</t>
  </si>
  <si>
    <t>Morningstar SunSaver MPPT: Status: 设备具有"localTempSensorDamaged"阵列故障标志</t>
  </si>
  <si>
    <t>(3162/2039)</t>
  </si>
  <si>
    <t>Morningstar SunSaver MPPT: Status: Device has "mosfetSShorted" array faults flag</t>
  </si>
  <si>
    <t>Morningstar SunSaver MPPT: Status: 设备具有"mosfetSShorted"阵列故障标志</t>
  </si>
  <si>
    <t>(3162/2040)</t>
  </si>
  <si>
    <t>Morningstar SunSaver MPPT: Status: Device has "overcurrent" array faults flag</t>
  </si>
  <si>
    <t>Morningstar SunSaver MPPT: Status: 设备具有"过电流"阵列故障标志</t>
  </si>
  <si>
    <t>(3162/2041)</t>
  </si>
  <si>
    <t>Morningstar SunSaver MPPT: Status: Device has "rtsNoLongerValid" array faults flag</t>
  </si>
  <si>
    <t>Morningstar SunSaver MPPT: Status: 设备具有"rtsNoLongerValid"阵列故障标志</t>
  </si>
  <si>
    <t>(3162/2042)</t>
  </si>
  <si>
    <t>Morningstar SunSaver MPPT: Status: Device has "rtsShorted" array faults flag</t>
  </si>
  <si>
    <t>Morningstar SunSaver MPPT: Status: 设备具有"rtsShorted"阵列故障标志</t>
  </si>
  <si>
    <t>(3162/2043)</t>
  </si>
  <si>
    <t>Morningstar SunSaver MPPT: Status: Device has "softwareFault" array faults flag</t>
  </si>
  <si>
    <t>Morningstar SunSaver MPPT: Status: 设备具有"softwareFault"阵列故障标志</t>
  </si>
  <si>
    <t>(3162/2044)</t>
  </si>
  <si>
    <t>Morningstar SunSaver MPPT: Status: Device has been restarted</t>
  </si>
  <si>
    <t>Morningstar SunSaver MPPT: Status: 设备已重新启动</t>
  </si>
  <si>
    <t>(3162/2045)</t>
  </si>
  <si>
    <t>Morningstar SunSaver MPPT: Status: Device has "customSettingsEdit" load faults flag</t>
  </si>
  <si>
    <t>Morningstar SunSaver MPPT: Status: 设备具有"customSettingsEdit"加载故障标志</t>
  </si>
  <si>
    <t>(3162/2046)</t>
  </si>
  <si>
    <t>Morningstar SunSaver MPPT: Status: Device has "externalShortCircuit" load faults flag</t>
  </si>
  <si>
    <t>Morningstar SunSaver MPPT: Status: 设备具有"外部短路"负载故障标志</t>
  </si>
  <si>
    <t>(3162/2047)</t>
  </si>
  <si>
    <t>Morningstar SunSaver MPPT: Status: Device has "highTempDisconnect" load faults flag</t>
  </si>
  <si>
    <t>Morningstar SunSaver MPPT: Status: 设备具有"highTempDisconnect"负载故障标志</t>
  </si>
  <si>
    <t>(3162/2048)</t>
  </si>
  <si>
    <t>Morningstar SunSaver MPPT: Status: Device has "loadHvd" load faults flag</t>
  </si>
  <si>
    <t>Morningstar SunSaver MPPT: Status: 设备具有"loadHvd"负载故障标志</t>
  </si>
  <si>
    <t>(3162/2049)</t>
  </si>
  <si>
    <t>Morningstar SunSaver MPPT: Status: Device has "mosfetShorted" load faults flag</t>
  </si>
  <si>
    <t>Morningstar SunSaver MPPT: Status: 设备具有"mosfetShorted"负载故障标志</t>
  </si>
  <si>
    <t>(3162/2050)</t>
  </si>
  <si>
    <t>Morningstar SunSaver MPPT: Status: Device has "overcurrent" load faults flag</t>
  </si>
  <si>
    <t>Morningstar SunSaver MPPT: Status: 设备具有"过电流"负载故障标志</t>
  </si>
  <si>
    <t>(3162/2051)</t>
  </si>
  <si>
    <t>Morningstar SunSaver MPPT: Status: Device has "software" load faults flag</t>
  </si>
  <si>
    <t>Morningstar SunSaver MPPT: Status: 设备具有"软件"加载故障标志</t>
  </si>
  <si>
    <t>(3162/2052)</t>
  </si>
  <si>
    <t>Morningstar SunSaver MPPT: Status: Device has "unknownLoadFault" load faults flag</t>
  </si>
  <si>
    <t>Morningstar SunSaver MPPT: Status: 设备具有"unknownLoadFault"负载故障标志</t>
  </si>
  <si>
    <t>(3162/2053)</t>
  </si>
  <si>
    <t>Morningstar SunSaver MPPT: Status: Failed to fetch data</t>
  </si>
  <si>
    <t>Morningstar SunSaver MPPT: Status: 无法获取数据</t>
  </si>
  <si>
    <t>(3162/2054)</t>
  </si>
  <si>
    <t>Morningstar SunSaver MPPT: Temperature: Critically low battery temperature</t>
  </si>
  <si>
    <t>Morningstar SunSaver MPPT: Temperature: 电池温度过低</t>
  </si>
  <si>
    <t>(3162/2055)</t>
  </si>
  <si>
    <t>Morningstar SunSaver MPPT: Temperature: Low battery temperature</t>
  </si>
  <si>
    <t>Morningstar SunSaver MPPT: Temperature: 电池温度低</t>
  </si>
  <si>
    <t>(3162/2056)</t>
  </si>
  <si>
    <t>Morningstar SunSaver MPPT: Temperature: Critically high battery temperature</t>
  </si>
  <si>
    <t>Morningstar SunSaver MPPT: Temperature: 电池温度太高</t>
  </si>
  <si>
    <t>(3162/2057)</t>
  </si>
  <si>
    <t>Morningstar SunSaver MPPT: Temperature: High battery temperature</t>
  </si>
  <si>
    <t>Morningstar SunSaver MPPT: Temperature: 电池温度高</t>
  </si>
  <si>
    <t>(3162/2058)</t>
  </si>
  <si>
    <t>Morningstar SureSine: Load: Device load in critical state</t>
  </si>
  <si>
    <t>Morningstar SureSine: Load: 状态为严重告警的设备负载</t>
  </si>
  <si>
    <t>(3162/2059)</t>
  </si>
  <si>
    <t>Morningstar SureSine: Load: Device load in warning state</t>
  </si>
  <si>
    <t>Morningstar SureSine: Load: 状态为告警的设备负载</t>
  </si>
  <si>
    <t>(3162/2060)</t>
  </si>
  <si>
    <t>Morningstar SureSine: Status: Device has "heatsinkTempSensorOpen" alarm flag</t>
  </si>
  <si>
    <t>Morningstar SureSine: Status: 设备具有"heatsinkTempSensorOpen"报警标志</t>
  </si>
  <si>
    <t>(3162/2061)</t>
  </si>
  <si>
    <t>Morningstar SureSine: Status: Device has "heatsinkTempSensorShort" alarm flag</t>
  </si>
  <si>
    <t>Morningstar SureSine: Status: 设备具有"heatsinkTempSensorShort"报警标志</t>
  </si>
  <si>
    <t>(3162/2062)</t>
  </si>
  <si>
    <t>Morningstar SureSine: Status: Device has "suresineHot" alarm flag</t>
  </si>
  <si>
    <t>Morningstar SureSine: Status: 设备具有"suresineHot"报警标志</t>
  </si>
  <si>
    <t>(3162/2063)</t>
  </si>
  <si>
    <t>Morningstar SureSine: Status: Device has "unknownAlarm" alarm flag</t>
  </si>
  <si>
    <t>Morningstar SureSine: Status: 设备具有"unknownAlarm"报警标志</t>
  </si>
  <si>
    <t>(3162/2064)</t>
  </si>
  <si>
    <t>Morningstar SureSine: Status: Device has "customSettingsEdit" faults flag</t>
  </si>
  <si>
    <t>Morningstar SureSine: Status: 设备具有"customSettingsEdit"故障标志</t>
  </si>
  <si>
    <t>(3162/2065)</t>
  </si>
  <si>
    <t>Morningstar SureSine: Status: Device has "dipSwitchChanged" faults flag</t>
  </si>
  <si>
    <t>Morningstar SureSine: Status: 设备具有"dipSwitchChanged"故障标志</t>
  </si>
  <si>
    <t>(3162/2066)</t>
  </si>
  <si>
    <t>Morningstar SureSine: Status: Device has "highVoltageDisconnect" faults flag</t>
  </si>
  <si>
    <t>Morningstar SureSine: Status: 设备具有"highVoltageDisconnect"故障标志</t>
  </si>
  <si>
    <t>(3162/2067)</t>
  </si>
  <si>
    <t>Morningstar SureSine: Status: Device has "overcurrent" faults flag</t>
  </si>
  <si>
    <t>Morningstar SureSine: Status: 设备具有"过电流"故障标志</t>
  </si>
  <si>
    <t>(3162/2068)</t>
  </si>
  <si>
    <t>Morningstar SureSine: Status: Device has "reset" faults flag</t>
  </si>
  <si>
    <t>Morningstar SureSine: Status: 设备具有"重置"故障标志</t>
  </si>
  <si>
    <t>(3162/2069)</t>
  </si>
  <si>
    <t>Morningstar SureSine: Status: Device has "software" faults flag</t>
  </si>
  <si>
    <t>Morningstar SureSine: Status: 设备具有"软件"故障标志</t>
  </si>
  <si>
    <t>(3162/2070)</t>
  </si>
  <si>
    <t>Morningstar SureSine: Status: Device has "suresineHot" faults flag</t>
  </si>
  <si>
    <t>Morningstar SureSine: Status: 设备具有"suresineHot"故障标志</t>
  </si>
  <si>
    <t>(3162/2071)</t>
  </si>
  <si>
    <t>Morningstar SureSine: Status: Device has "unknownFault" faults flag</t>
  </si>
  <si>
    <t>Morningstar SureSine: Status: 设备具有"未知故障"故障标志</t>
  </si>
  <si>
    <t>(3162/2072)</t>
  </si>
  <si>
    <t>Morningstar SureSine: Status: Device has been restarted</t>
  </si>
  <si>
    <t>Morningstar SureSine: Status: 设备已重新启动</t>
  </si>
  <si>
    <t>(3162/2073)</t>
  </si>
  <si>
    <t>Morningstar SureSine: Status: Failed to fetch data</t>
  </si>
  <si>
    <t>Morningstar SureSine: Status: 无法获取数据</t>
  </si>
  <si>
    <t>(3162/2074)</t>
  </si>
  <si>
    <t>Morningstar TriStar MPPT 600V: Battery: Device charge in critical state</t>
  </si>
  <si>
    <t>Morningstar TriStar MPPT 600V: Battery: 设备充电状态为严重告警</t>
  </si>
  <si>
    <t>(3162/2075)</t>
  </si>
  <si>
    <t>Morningstar TriStar MPPT 600V: Battery: Device charge in warning state</t>
  </si>
  <si>
    <t>Morningstar TriStar MPPT 600V: Battery: 设备充电状态为告警</t>
  </si>
  <si>
    <t>(3162/2076)</t>
  </si>
  <si>
    <t>Morningstar TriStar MPPT 600V: Status: Device has "alarm21Internal" alarm flag</t>
  </si>
  <si>
    <t>Morningstar TriStar MPPT 600V: Status: 设备具有"alarm21Internal"报警标志</t>
  </si>
  <si>
    <t>(3162/2077)</t>
  </si>
  <si>
    <t>Morningstar TriStar MPPT 600V: Status: Device has "arrayCurrentOffset" alarm flag</t>
  </si>
  <si>
    <t>Morningstar TriStar MPPT 600V: Status: 设备具有"arrayCurrentOffset"报警标志</t>
  </si>
  <si>
    <t>(3162/2078)</t>
  </si>
  <si>
    <t>Morningstar TriStar MPPT 600V: Status: Device has "batterySense" alarm flag</t>
  </si>
  <si>
    <t>Morningstar TriStar MPPT 600V: Status: 设备具有"batterySense"报警标志</t>
  </si>
  <si>
    <t>(3162/2079)</t>
  </si>
  <si>
    <t>Morningstar TriStar MPPT 600V: Status: Device has "batterySenseDisconnected" alarm flag</t>
  </si>
  <si>
    <t>Morningstar TriStar MPPT 600V: Status: 设备具有"batterySenseDisconnected"报警标志</t>
  </si>
  <si>
    <t>(3162/2080)</t>
  </si>
  <si>
    <t>Morningstar TriStar MPPT 600V: Status: Device has "controllerWasReset" alarm flag</t>
  </si>
  <si>
    <t>Morningstar TriStar MPPT 600V: Status: 设备具有"controllerWasReset"报警标志</t>
  </si>
  <si>
    <t>(3162/2081)</t>
  </si>
  <si>
    <t>Morningstar TriStar MPPT 600V: Status: Device has "currentLimit" alarm flag</t>
  </si>
  <si>
    <t>Morningstar TriStar MPPT 600V: Status: 设备具有"currentLimit"报警标志</t>
  </si>
  <si>
    <t>(3162/2082)</t>
  </si>
  <si>
    <t>Morningstar TriStar MPPT 600V: Status: Device has "currentOffset" alarm flag</t>
  </si>
  <si>
    <t>Morningstar TriStar MPPT 600V: Status: 设备具有"currentOffset"报警标志</t>
  </si>
  <si>
    <t>(3162/2083)</t>
  </si>
  <si>
    <t>Morningstar TriStar MPPT 600V: Status: Device has "derateLimit" alarm flag</t>
  </si>
  <si>
    <t>Morningstar TriStar MPPT 600V: Status: 设备具有"减额限制"报警标志</t>
  </si>
  <si>
    <t>(3162/2084)</t>
  </si>
  <si>
    <t>Morningstar TriStar MPPT 600V: Status: Device has "ee-i2cRetryLimit" alarm flag</t>
  </si>
  <si>
    <t>Morningstar TriStar MPPT 600V: Status: 设备具有"ee-i2cRetryLimit"报警标志</t>
  </si>
  <si>
    <t>(3162/2085)</t>
  </si>
  <si>
    <t>Morningstar TriStar MPPT 600V: Status: Device has "ethernetAlarm" alarm flag</t>
  </si>
  <si>
    <t>Morningstar TriStar MPPT 600V: Status: 设备具有"ethernetAlarm"报警标志</t>
  </si>
  <si>
    <t>(3162/2086)</t>
  </si>
  <si>
    <t>Morningstar TriStar MPPT 600V: Status: Device has "extflashFault" alarm flag</t>
  </si>
  <si>
    <t>Morningstar TriStar MPPT 600V: Status: 设备具有"extflashFault"报警标志</t>
  </si>
  <si>
    <t>(3162/2087)</t>
  </si>
  <si>
    <t>Morningstar TriStar MPPT 600V: Status: Device has "fp12VoltageOutOfRange" alarm flag</t>
  </si>
  <si>
    <t>Morningstar TriStar MPPT 600V: Status: 设备具有"fp12VoltageOutOfRange"报警标志</t>
  </si>
  <si>
    <t>(3162/2088)</t>
  </si>
  <si>
    <t>Morningstar TriStar MPPT 600V: Status: Device has "heatsinkTempSensorOpen" alarm flag</t>
  </si>
  <si>
    <t>Morningstar TriStar MPPT 600V: Status: 设备具有"heatsinkTempSensorOpen"报警标志</t>
  </si>
  <si>
    <t>(3162/2089)</t>
  </si>
  <si>
    <t>Morningstar TriStar MPPT 600V: Status: Device has "heatsinkTempSensorShorted" alarm flag</t>
  </si>
  <si>
    <t>Morningstar TriStar MPPT 600V: Status: 设备具有"散热温度传感器短路"报警标志</t>
  </si>
  <si>
    <t>(3162/2090)</t>
  </si>
  <si>
    <t>Morningstar TriStar MPPT 600V: Status: Device has "highArrayVCurrentLimit" alarm flag</t>
  </si>
  <si>
    <t>Morningstar TriStar MPPT 600V: Status: 设备具有"highArrayVCurrentLimit"报警标志</t>
  </si>
  <si>
    <t>(3162/2091)</t>
  </si>
  <si>
    <t>Morningstar TriStar MPPT 600V: Status: Device has "highTemperatureCurrentLimit" alarm flag</t>
  </si>
  <si>
    <t>Morningstar TriStar MPPT 600V: Status: 设备具有"高温电流极限"报警标志</t>
  </si>
  <si>
    <t>(3162/2092)</t>
  </si>
  <si>
    <t>Morningstar TriStar MPPT 600V: Status: Device has "highVoltageDisconnect" alarm flag</t>
  </si>
  <si>
    <t>Morningstar TriStar MPPT 600V: Status: 设备具有"highVoltageDisconnect"报警标志</t>
  </si>
  <si>
    <t>(3162/2093)</t>
  </si>
  <si>
    <t>Morningstar TriStar MPPT 600V: Status: Device has "lvd" alarm flag</t>
  </si>
  <si>
    <t>Morningstar TriStar MPPT 600V: Status: 设备具有"lvd"报警标志</t>
  </si>
  <si>
    <t>(3162/2094)</t>
  </si>
  <si>
    <t>Morningstar TriStar MPPT 600V: Status: Device has "maxAdcValueReached" alarm flag</t>
  </si>
  <si>
    <t>Morningstar TriStar MPPT 600V: Status: 设备具有"maxAdcValueReached"报警标志</t>
  </si>
  <si>
    <t>(3162/2095)</t>
  </si>
  <si>
    <t>Morningstar TriStar MPPT 600V: Status: Device has "mosfetSOpen" alarm flag</t>
  </si>
  <si>
    <t>Morningstar TriStar MPPT 600V: Status: 设备具有"mosfetSOpen"报警标志</t>
  </si>
  <si>
    <t>(3162/2096)</t>
  </si>
  <si>
    <t>Morningstar TriStar MPPT 600V: Status: Device has "p12VoltageOutOfRange" alarm flag</t>
  </si>
  <si>
    <t>Morningstar TriStar MPPT 600V: Status: 设备具有"p12VoltageOutOfRange"报警标志</t>
  </si>
  <si>
    <t>(3162/2097)</t>
  </si>
  <si>
    <t>Morningstar TriStar MPPT 600V: Status: Device has "p3VoltageOutOfRange" alarm flag</t>
  </si>
  <si>
    <t>Morningstar TriStar MPPT 600V: Status: 设备具有"p3VoltageOutOfRange"报警标志</t>
  </si>
  <si>
    <t>(3162/2098)</t>
  </si>
  <si>
    <t>Morningstar TriStar MPPT 600V: Status: Device has "rtsDisconnected" alarm flag</t>
  </si>
  <si>
    <t>Morningstar TriStar MPPT 600V: Status: 设备具有"rtsDisconnected"报警标志</t>
  </si>
  <si>
    <t>(3162/2099)</t>
  </si>
  <si>
    <t>Morningstar TriStar MPPT 600V: Status: Device has "rtsMiswire" alarm flag</t>
  </si>
  <si>
    <t>Morningstar TriStar MPPT 600V: Status: 设备具有"rtsMiswire"报警标志</t>
  </si>
  <si>
    <t>(3162/2100)</t>
  </si>
  <si>
    <t>Morningstar TriStar MPPT 600V: Status: Device has "rtsShorted" alarm flag</t>
  </si>
  <si>
    <t>Morningstar TriStar MPPT 600V: Status: 设备具有"rtsShorted"报警标志</t>
  </si>
  <si>
    <t>(3162/2101)</t>
  </si>
  <si>
    <t>Morningstar TriStar MPPT 600V: Status: Device has "slaveControlFault" alarm flag</t>
  </si>
  <si>
    <t>Morningstar TriStar MPPT 600V: Status: 设备具有"slaveControlFault"报警标志</t>
  </si>
  <si>
    <t>(3162/2102)</t>
  </si>
  <si>
    <t>Morningstar TriStar MPPT 600V: Status: Device has "software" alarm flag</t>
  </si>
  <si>
    <t>Morningstar TriStar MPPT 600V: Status: 设备具有"软件"报警标志</t>
  </si>
  <si>
    <t>(3162/2103)</t>
  </si>
  <si>
    <t>Morningstar TriStar MPPT 600V: Status: Device has "systemMiswire" alarm flag</t>
  </si>
  <si>
    <t>Morningstar TriStar MPPT 600V: Status: 设备具有"systemMiswire"报警标志</t>
  </si>
  <si>
    <t>(3162/2104)</t>
  </si>
  <si>
    <t>Morningstar TriStar MPPT 600V: Status: Device has "uncalibrated" alarm flag</t>
  </si>
  <si>
    <t>Morningstar TriStar MPPT 600V: Status: 设备具有"未校准"报警标志</t>
  </si>
  <si>
    <t>(3162/2105)</t>
  </si>
  <si>
    <t>Morningstar TriStar MPPT 600V: Status: Device has "arrayHvd" faults flag</t>
  </si>
  <si>
    <t>Morningstar TriStar MPPT 600V: Status: 设备具有"arrayHvd"故障标志</t>
  </si>
  <si>
    <t>(3162/2106)</t>
  </si>
  <si>
    <t>Morningstar TriStar MPPT 600V: Status: Device has "batteryHvd" faults flag</t>
  </si>
  <si>
    <t>Morningstar TriStar MPPT 600V: Status: 设备具有"batteryHvd"故障标志</t>
  </si>
  <si>
    <t>(3162/2107)</t>
  </si>
  <si>
    <t>Morningstar TriStar MPPT 600V: Status: Device has "batteryLvd" faults flag</t>
  </si>
  <si>
    <t>Morningstar TriStar MPPT 600V: Status: 设备具有"batteryLvd"故障标志</t>
  </si>
  <si>
    <t>(3162/2108)</t>
  </si>
  <si>
    <t>Morningstar TriStar MPPT 600V: Status: Device has "blockbusBoot" faults flag</t>
  </si>
  <si>
    <t>Morningstar TriStar MPPT 600V: Status: 设备具有"blockbusBoot"故障标志</t>
  </si>
  <si>
    <t>(3162/2109)</t>
  </si>
  <si>
    <t>Morningstar TriStar MPPT 600V: Status: Device has "chargeSlaveControlTimeout" faults flag</t>
  </si>
  <si>
    <t>Morningstar TriStar MPPT 600V: Status: 设备具有"chargeSlaveControlTimeout"故障标志</t>
  </si>
  <si>
    <t>(3162/2110)</t>
  </si>
  <si>
    <t>Morningstar TriStar MPPT 600V: Status: Device has "controllerWasReset" faults flag</t>
  </si>
  <si>
    <t>Morningstar TriStar MPPT 600V: Status: 设备具有"controllerWasReset"故障标志</t>
  </si>
  <si>
    <t>(3162/2111)</t>
  </si>
  <si>
    <t>Morningstar TriStar MPPT 600V: Status: Device has "currentSensorReferenceOutOfRange" faults flag</t>
  </si>
  <si>
    <t>Morningstar TriStar MPPT 600V: Status: 设备具有"currentSensorReferenceOutOfRange"故障标志</t>
  </si>
  <si>
    <t>(3162/2112)</t>
  </si>
  <si>
    <t>Morningstar TriStar MPPT 600V: Status: Device has "customSettingsEdit" faults flag</t>
  </si>
  <si>
    <t>Morningstar TriStar MPPT 600V: Status: 设备具有"customSettingsEdit"故障标志</t>
  </si>
  <si>
    <t>(3162/2113)</t>
  </si>
  <si>
    <t>Morningstar TriStar MPPT 600V: Status: Device has "dipSwitchChange" faults flag</t>
  </si>
  <si>
    <t>Morningstar TriStar MPPT 600V: Status: 设备具有"dipSwitchChange"故障标志</t>
  </si>
  <si>
    <t>(3162/2114)</t>
  </si>
  <si>
    <t>Morningstar TriStar MPPT 600V: Status: Device has "eepromRetryLimit" faults flag</t>
  </si>
  <si>
    <t>Morningstar TriStar MPPT 600V: Status: 设备具有"eepromRetryLimit"故障标志</t>
  </si>
  <si>
    <t>(3162/2115)</t>
  </si>
  <si>
    <t>Morningstar TriStar MPPT 600V: Status: Device has "fault16Software" faults flag</t>
  </si>
  <si>
    <t>Morningstar TriStar MPPT 600V: Status: 设备具有"fault16Software"故障标志</t>
  </si>
  <si>
    <t>(3162/2116)</t>
  </si>
  <si>
    <t>Morningstar TriStar MPPT 600V: Status: Device has "fault17Software" faults flag</t>
  </si>
  <si>
    <t>Morningstar TriStar MPPT 600V: Status: 设备具有"fault17Software"故障标志</t>
  </si>
  <si>
    <t>(3162/2117)</t>
  </si>
  <si>
    <t>Morningstar TriStar MPPT 600V: Status: Device has "fault18Software" faults flag</t>
  </si>
  <si>
    <t>Morningstar TriStar MPPT 600V: Status: 设备具有"fault18Software"故障标志</t>
  </si>
  <si>
    <t>(3162/2118)</t>
  </si>
  <si>
    <t>Morningstar TriStar MPPT 600V: Status: Device has "fault19Software" faults flag</t>
  </si>
  <si>
    <t>Morningstar TriStar MPPT 600V: Status: 设备具有"fault19Software"故障标志</t>
  </si>
  <si>
    <t>(3162/2119)</t>
  </si>
  <si>
    <t>Morningstar TriStar MPPT 600V: Status: Device has "fault20Software" faults flag</t>
  </si>
  <si>
    <t>Morningstar TriStar MPPT 600V: Status: 设备具有"fault20Software"故障标志</t>
  </si>
  <si>
    <t>(3162/2120)</t>
  </si>
  <si>
    <t>Morningstar TriStar MPPT 600V: Status: Device has "fault21Software" faults flag</t>
  </si>
  <si>
    <t>Morningstar TriStar MPPT 600V: Status: 设备具有"fault21Software"故障标志</t>
  </si>
  <si>
    <t>(3162/2121)</t>
  </si>
  <si>
    <t>Morningstar TriStar MPPT 600V: Status: Device has "fetShort" faults flag</t>
  </si>
  <si>
    <t>Morningstar TriStar MPPT 600V: Status: 设备具有"fetShort"故障标志</t>
  </si>
  <si>
    <t>(3162/2122)</t>
  </si>
  <si>
    <t>Morningstar TriStar MPPT 600V: Status: Device has "fpgaVersion" faults flag</t>
  </si>
  <si>
    <t>Morningstar TriStar MPPT 600V: Status: 设备具有"fpgaVersion"故障标志</t>
  </si>
  <si>
    <t>(3162/2123)</t>
  </si>
  <si>
    <t>Morningstar TriStar MPPT 600V: Status: Device has "hscomm" faults flag</t>
  </si>
  <si>
    <t>Morningstar TriStar MPPT 600V: Status: 设备具有"hscomm"故障标志</t>
  </si>
  <si>
    <t>(3162/2124)</t>
  </si>
  <si>
    <t>Morningstar TriStar MPPT 600V: Status: Device has "hscommMaster" faults flag</t>
  </si>
  <si>
    <t>Morningstar TriStar MPPT 600V: Status: 设备具有"hscommMaster"故障标志</t>
  </si>
  <si>
    <t>(3162/2125)</t>
  </si>
  <si>
    <t>Morningstar TriStar MPPT 600V: Status: Device has "ia-refSlaveModeTimeout" faults flag</t>
  </si>
  <si>
    <t>Morningstar TriStar MPPT 600V: Status: 设备具有"iarefSlaveModeTimeout"故障标志</t>
  </si>
  <si>
    <t>(3162/2126)</t>
  </si>
  <si>
    <t>Morningstar TriStar MPPT 600V: Status: Device has "overcurrent" faults flag</t>
  </si>
  <si>
    <t>Morningstar TriStar MPPT 600V: Status: 设备具有"过电流"故障标志</t>
  </si>
  <si>
    <t>(3162/2127)</t>
  </si>
  <si>
    <t>Morningstar TriStar MPPT 600V: Status: Device has "powerboardCommunicationFault" faults flag</t>
  </si>
  <si>
    <t>Morningstar TriStar MPPT 600V: Status: 设备具有"powerboardCommunicationFault"故障标志</t>
  </si>
  <si>
    <t>(3162/2128)</t>
  </si>
  <si>
    <t>Morningstar TriStar MPPT 600V: Status: Device has "rs232SerialToMeterBridge" faults flag</t>
  </si>
  <si>
    <t>Morningstar TriStar MPPT 600V: Status: 设备具有"rs232SerialToMeterBridge"故障标志</t>
  </si>
  <si>
    <t>(3162/2129)</t>
  </si>
  <si>
    <t>Morningstar TriStar MPPT 600V: Status: Device has "rtsDisconnected" faults flag</t>
  </si>
  <si>
    <t>Morningstar TriStar MPPT 600V: Status: 设备具有"rtsDisconnected"故障标志</t>
  </si>
  <si>
    <t>(3162/2130)</t>
  </si>
  <si>
    <t>Morningstar TriStar MPPT 600V: Status: Device has "rtsShorted" faults flag</t>
  </si>
  <si>
    <t>Morningstar TriStar MPPT 600V: Status: 设备具有"rtsShorted"故障标志</t>
  </si>
  <si>
    <t>(3162/2131)</t>
  </si>
  <si>
    <t>Morningstar TriStar MPPT 600V: Status: Device has "slave" faults flag</t>
  </si>
  <si>
    <t>Morningstar TriStar MPPT 600V: Status: 设备具有"从属"故障标志</t>
  </si>
  <si>
    <t>(3162/2132)</t>
  </si>
  <si>
    <t>Morningstar TriStar MPPT 600V: Status: Device has "softwareFault" faults flag</t>
  </si>
  <si>
    <t>Morningstar TriStar MPPT 600V: Status: 设备具有"softwareFault"故障标志</t>
  </si>
  <si>
    <t>(3162/2133)</t>
  </si>
  <si>
    <t>Morningstar TriStar MPPT 600V: Status: Device has been restarted</t>
  </si>
  <si>
    <t>Morningstar TriStar MPPT 600V: Status: 设备已重新启动</t>
  </si>
  <si>
    <t>(3162/2134)</t>
  </si>
  <si>
    <t>Morningstar TriStar MPPT 600V: Status: Failed to fetch data</t>
  </si>
  <si>
    <t>Morningstar TriStar MPPT 600V: Status: 无法获取数据</t>
  </si>
  <si>
    <t>(3162/2135)</t>
  </si>
  <si>
    <t>Morningstar TriStar MPPT 600V: Temperature: Critically low battery temperature</t>
  </si>
  <si>
    <t>Morningstar TriStar MPPT 600V: Temperature: 电池温度过低</t>
  </si>
  <si>
    <t>(3162/2136)</t>
  </si>
  <si>
    <t>Morningstar TriStar MPPT 600V: Temperature: Low battery temperature</t>
  </si>
  <si>
    <t>Morningstar TriStar MPPT 600V: Temperature: 电池温度低</t>
  </si>
  <si>
    <t>(3162/2137)</t>
  </si>
  <si>
    <t>Morningstar TriStar MPPT 600V: Temperature: Critically high battery temperature</t>
  </si>
  <si>
    <t>Morningstar TriStar MPPT 600V: Temperature: 电池温度太高</t>
  </si>
  <si>
    <t>(3162/2138)</t>
  </si>
  <si>
    <t>Morningstar TriStar MPPT 600V: Temperature: High battery temperature</t>
  </si>
  <si>
    <t>Morningstar TriStar MPPT 600V: Temperature: 电池温度高</t>
  </si>
  <si>
    <t>(3162/2139)</t>
  </si>
  <si>
    <t>Morningstar TriStar MPPT: Battery: Device charge in critical state</t>
  </si>
  <si>
    <t>Morningstar TriStar MPPT: Battery: 设备充电状态为严重告警</t>
  </si>
  <si>
    <t>(3162/2140)</t>
  </si>
  <si>
    <t>Morningstar TriStar MPPT: Battery: Device charge in warning state</t>
  </si>
  <si>
    <t>Morningstar TriStar MPPT: Battery: 设备充电状态为告警</t>
  </si>
  <si>
    <t>(3162/2141)</t>
  </si>
  <si>
    <t>Morningstar TriStar MPPT: Status: Device has "batterySense" alarm flag</t>
  </si>
  <si>
    <t>Morningstar TriStar MPPT: Status: 设备具有"batterySense"报警标志</t>
  </si>
  <si>
    <t>(3162/2142)</t>
  </si>
  <si>
    <t>Morningstar TriStar MPPT: Status: Device has "batterySenseDisconnected" alarm flag</t>
  </si>
  <si>
    <t>Morningstar TriStar MPPT: Status: 设备具有"batterySenseDisconnected"报警标志</t>
  </si>
  <si>
    <t>(3162/2143)</t>
  </si>
  <si>
    <t>Morningstar TriStar MPPT: Status: Device has "controllerWasReset" alarm flag</t>
  </si>
  <si>
    <t>Morningstar TriStar MPPT: Status: 设备具有"controllerWasReset"报警标志</t>
  </si>
  <si>
    <t>(3162/2144)</t>
  </si>
  <si>
    <t>Morningstar TriStar MPPT: Status: Device has "currentLimit" alarm flag</t>
  </si>
  <si>
    <t>Morningstar TriStar MPPT: Status: 设备具有"currentLimit"报警标志</t>
  </si>
  <si>
    <t>(3162/2145)</t>
  </si>
  <si>
    <t>Morningstar TriStar MPPT: Status: Device has "currentOffset" alarm flag</t>
  </si>
  <si>
    <t>Morningstar TriStar MPPT: Status: 设备具有"currentOffset"报警标志</t>
  </si>
  <si>
    <t>(3162/2146)</t>
  </si>
  <si>
    <t>Morningstar TriStar MPPT: Status: Device has "heatsinkTempSensorOpen" alarm flag</t>
  </si>
  <si>
    <t>Morningstar TriStar MPPT: Status: 设备具有"heatsinkTempSensorOpen"报警标志</t>
  </si>
  <si>
    <t>(3162/2147)</t>
  </si>
  <si>
    <t>Morningstar TriStar MPPT: Status: Device has "heatsinkTempSensorShorted" alarm flag</t>
  </si>
  <si>
    <t>Morningstar TriStar MPPT: Status: 设备具有"散热温度传感器短路"报警标志</t>
  </si>
  <si>
    <t>(3162/2148)</t>
  </si>
  <si>
    <t>Morningstar TriStar MPPT: Status: Device has "highArrayVCurrentLimit" alarm flag</t>
  </si>
  <si>
    <t>Morningstar TriStar MPPT: Status: 设备具有"highArrayVCurrentLimit"报警标志</t>
  </si>
  <si>
    <t>(3162/2149)</t>
  </si>
  <si>
    <t>Morningstar TriStar MPPT: Status: Device has "highTemperatureCurrentLimit" alarm flag</t>
  </si>
  <si>
    <t>Morningstar TriStar MPPT: Status: 设备具有"高温电流极限"报警标志</t>
  </si>
  <si>
    <t>(3162/2150)</t>
  </si>
  <si>
    <t>Morningstar TriStar MPPT: Status: Device has "highVoltageDisconnect" alarm flag</t>
  </si>
  <si>
    <t>Morningstar TriStar MPPT: Status: 设备具有"highVoltageDisconnect"报警标志</t>
  </si>
  <si>
    <t>(3162/2151)</t>
  </si>
  <si>
    <t>Morningstar TriStar MPPT: Status: Device has "maxAdcValueReached" alarm flag</t>
  </si>
  <si>
    <t>Morningstar TriStar MPPT: Status: 设备具有"maxAdcValueReached"报警标志</t>
  </si>
  <si>
    <t>(3162/2152)</t>
  </si>
  <si>
    <t>Morningstar TriStar MPPT: Status: Device has "mosfetSOpen" alarm flag</t>
  </si>
  <si>
    <t>Morningstar TriStar MPPT: Status: 设备具有"mosfetSOpen"报警标志</t>
  </si>
  <si>
    <t>(3162/2153)</t>
  </si>
  <si>
    <t>Morningstar TriStar MPPT: Status: Device has "p12VoltageReferenceOff" alarm flag</t>
  </si>
  <si>
    <t>Morningstar TriStar MPPT: Status: 设备具有"p12VoltageReferenceOff"报警标志</t>
  </si>
  <si>
    <t>(3162/2154)</t>
  </si>
  <si>
    <t>Morningstar TriStar MPPT: Status: Device has "rtsDisconnected" alarm flag</t>
  </si>
  <si>
    <t>Morningstar TriStar MPPT: Status: 设备具有"rtsDisconnected"报警标志</t>
  </si>
  <si>
    <t>(3162/2155)</t>
  </si>
  <si>
    <t>Morningstar TriStar MPPT: Status: Device has "rtsMiswire" alarm flag</t>
  </si>
  <si>
    <t>Morningstar TriStar MPPT: Status: 设备具有"rtsMiswire"报警标志</t>
  </si>
  <si>
    <t>(3162/2156)</t>
  </si>
  <si>
    <t>Morningstar TriStar MPPT: Status: Device has "rtsShorted" alarm flag</t>
  </si>
  <si>
    <t>Morningstar TriStar MPPT: Status: 设备具有"rtsShorted"报警标志</t>
  </si>
  <si>
    <t>(3162/2157)</t>
  </si>
  <si>
    <t>Morningstar TriStar MPPT: Status: Device has "systemMiswire" alarm flag</t>
  </si>
  <si>
    <t>Morningstar TriStar MPPT: Status: 设备具有"systemMiswire"报警标志</t>
  </si>
  <si>
    <t>(3162/2158)</t>
  </si>
  <si>
    <t>Morningstar TriStar MPPT: Status: Device has "uncalibrated" alarm flag</t>
  </si>
  <si>
    <t>Morningstar TriStar MPPT: Status: 设备具有"未校准"报警标志</t>
  </si>
  <si>
    <t>(3162/2159)</t>
  </si>
  <si>
    <t>Morningstar TriStar MPPT: Status: Device has "arrayHvd" faults flag</t>
  </si>
  <si>
    <t>Morningstar TriStar MPPT: Status: 设备具有"arrayHvd"故障标志</t>
  </si>
  <si>
    <t>(3162/2160)</t>
  </si>
  <si>
    <t>Morningstar TriStar MPPT: Status: Device has "batteryHvd" faults flag</t>
  </si>
  <si>
    <t>Morningstar TriStar MPPT: Status: 设备具有"batteryHvd"故障标志</t>
  </si>
  <si>
    <t>(3162/2161)</t>
  </si>
  <si>
    <t>Morningstar TriStar MPPT: Status: Device has "customSettingsEdit" faults flag</t>
  </si>
  <si>
    <t>Morningstar TriStar MPPT: Status: 设备具有"customSettingsEdit"故障标志</t>
  </si>
  <si>
    <t>(3162/2162)</t>
  </si>
  <si>
    <t>Morningstar TriStar MPPT: Status: Device has "dipSwitchChange" faults flag</t>
  </si>
  <si>
    <t>Morningstar TriStar MPPT: Status: 设备具有"dipSwitchChange"故障标志</t>
  </si>
  <si>
    <t>(3162/2163)</t>
  </si>
  <si>
    <t>Morningstar TriStar MPPT: Status: Device has "eepromRetryLimit" faults flag</t>
  </si>
  <si>
    <t>Morningstar TriStar MPPT: Status: 设备具有"eepromRetryLimit"故障标志</t>
  </si>
  <si>
    <t>(3162/2164)</t>
  </si>
  <si>
    <t>Morningstar TriStar MPPT: Status: Device has "fetShort" faults flag</t>
  </si>
  <si>
    <t>Morningstar TriStar MPPT: Status: 设备具有"fetShort"故障标志</t>
  </si>
  <si>
    <t>(3162/2165)</t>
  </si>
  <si>
    <t>Morningstar TriStar MPPT: Status: Device has "overcurrent" faults flag</t>
  </si>
  <si>
    <t>Morningstar TriStar MPPT: Status: 设备具有"过电流"故障标志</t>
  </si>
  <si>
    <t>(3162/2166)</t>
  </si>
  <si>
    <t>Morningstar TriStar MPPT: Status: Device has "rtsDisconnected" faults flag</t>
  </si>
  <si>
    <t>Morningstar TriStar MPPT: Status: 设备具有"rtsDisconnected"故障标志</t>
  </si>
  <si>
    <t>(3162/2167)</t>
  </si>
  <si>
    <t>Morningstar TriStar MPPT: Status: Device has "rtsShorted" faults flag</t>
  </si>
  <si>
    <t>Morningstar TriStar MPPT: Status: 设备具有"rtsShorted"故障标志</t>
  </si>
  <si>
    <t>(3162/2168)</t>
  </si>
  <si>
    <t>Morningstar TriStar MPPT: Status: Device has "slaveControlTimeout" faults flag</t>
  </si>
  <si>
    <t>Morningstar TriStar MPPT: Status: 设备具有"slaveControlTimeout"故障标志</t>
  </si>
  <si>
    <t>(3162/2169)</t>
  </si>
  <si>
    <t>Morningstar TriStar MPPT: Status: Device has "softwareFault" faults flag</t>
  </si>
  <si>
    <t>Morningstar TriStar MPPT: Status: 设备具有"softwareFault"故障标志</t>
  </si>
  <si>
    <t>(3162/2170)</t>
  </si>
  <si>
    <t>Morningstar TriStar MPPT: Status: Device has been restarted</t>
  </si>
  <si>
    <t>Morningstar TriStar MPPT: Status: 设备已重新启动</t>
  </si>
  <si>
    <t>(3162/2171)</t>
  </si>
  <si>
    <t>Morningstar TriStar MPPT: Status: Failed to fetch data</t>
  </si>
  <si>
    <t>Morningstar TriStar MPPT: Status: 无法获取数据</t>
  </si>
  <si>
    <t>(3162/2172)</t>
  </si>
  <si>
    <t>Morningstar TriStar MPPT: Temperature: Critically low battery temperature</t>
  </si>
  <si>
    <t>Morningstar TriStar MPPT: Temperature: 电池温度过低</t>
  </si>
  <si>
    <t>(3162/2173)</t>
  </si>
  <si>
    <t>Morningstar TriStar MPPT: Temperature: Low battery temperature</t>
  </si>
  <si>
    <t>Morningstar TriStar MPPT: Temperature: 电池温度低</t>
  </si>
  <si>
    <t>(3162/2174)</t>
  </si>
  <si>
    <t>Morningstar TriStar MPPT: Temperature: Critically high battery temperature</t>
  </si>
  <si>
    <t>Morningstar TriStar MPPT: Temperature: 电池温度太高</t>
  </si>
  <si>
    <t>(3162/2175)</t>
  </si>
  <si>
    <t>Morningstar TriStar MPPT: Temperature: High battery temperature</t>
  </si>
  <si>
    <t>Morningstar TriStar MPPT: Temperature: 电池温度高</t>
  </si>
  <si>
    <t>(3162/2176)</t>
  </si>
  <si>
    <t>Morningstar TriStar PWM: Status: Device has "batterySense" alarm flag</t>
  </si>
  <si>
    <t>Morningstar TriStar PWM: Status: 设备具有"batterySense"报警标志</t>
  </si>
  <si>
    <t>(3162/2177)</t>
  </si>
  <si>
    <t>Morningstar TriStar PWM: Status: Device has "batterySenseDisconnected" alarm flag</t>
  </si>
  <si>
    <t>Morningstar TriStar PWM: Status: 设备具有"batterySenseDisconnected"报警标志</t>
  </si>
  <si>
    <t>(3162/2178)</t>
  </si>
  <si>
    <t>Morningstar TriStar PWM: Status: Device has "currentLimit" alarm flag</t>
  </si>
  <si>
    <t>Morningstar TriStar PWM: Status: 设备具有"currentLimit"报警标志</t>
  </si>
  <si>
    <t>(3162/2179)</t>
  </si>
  <si>
    <t>Morningstar TriStar PWM: Status: Device has "currentOffset" alarm flag</t>
  </si>
  <si>
    <t>Morningstar TriStar PWM: Status: 设备具有"currentOffset"报警标志</t>
  </si>
  <si>
    <t>(3162/2180)</t>
  </si>
  <si>
    <t>Morningstar TriStar PWM: Status: Device has "diversionLoadNearMax" alarm flag</t>
  </si>
  <si>
    <t>Morningstar TriStar PWM: Status: 设备具有"diversionLoadNearMax"报警标志</t>
  </si>
  <si>
    <t>(3162/2181)</t>
  </si>
  <si>
    <t>Morningstar TriStar PWM: Status: Device has "heatsinkTempSensorOpen" alarm flag</t>
  </si>
  <si>
    <t>Morningstar TriStar PWM: Status: 设备具有"heatsinkTempSensorOpen"报警标志</t>
  </si>
  <si>
    <t>(3162/2182)</t>
  </si>
  <si>
    <t>Morningstar TriStar PWM: Status: Device has "heatsinkTempSensorShorted" alarm flag</t>
  </si>
  <si>
    <t>Morningstar TriStar PWM: Status: 设备具有"散热温度传感器短路"报警标志</t>
  </si>
  <si>
    <t>(3162/2183)</t>
  </si>
  <si>
    <t>Morningstar TriStar PWM: Status: Device has "highVoltageDisconnect" alarm flag</t>
  </si>
  <si>
    <t>Morningstar TriStar PWM: Status: 设备具有"highVoltageDisconnect"报警标志</t>
  </si>
  <si>
    <t>(3162/2184)</t>
  </si>
  <si>
    <t>Morningstar TriStar PWM: Status: Device has "loadDisconnectState" alarm flag</t>
  </si>
  <si>
    <t>Morningstar TriStar PWM: Status: 设备具有"loadDisconnectState"报警标志</t>
  </si>
  <si>
    <t>(3162/2185)</t>
  </si>
  <si>
    <t>Morningstar TriStar PWM: Status: Device has "mosfetSOpen" alarm flag</t>
  </si>
  <si>
    <t>Morningstar TriStar PWM: Status: 设备具有"mosfetSOpen"报警标志</t>
  </si>
  <si>
    <t>(3162/2186)</t>
  </si>
  <si>
    <t>Morningstar TriStar PWM: Status: Device has "p12VoltageReferenceOff" alarm flag</t>
  </si>
  <si>
    <t>Morningstar TriStar PWM: Status: 设备具有"p12VoltageReferenceOff"报警标志</t>
  </si>
  <si>
    <t>(3162/2187)</t>
  </si>
  <si>
    <t>Morningstar TriStar PWM: Status: Device has "rtsDisconnected" alarm flag</t>
  </si>
  <si>
    <t>Morningstar TriStar PWM: Status: 设备具有"rtsDisconnected"报警标志</t>
  </si>
  <si>
    <t>(3162/2188)</t>
  </si>
  <si>
    <t>Morningstar TriStar PWM: Status: Device has "rtsMiswire" alarm flag</t>
  </si>
  <si>
    <t>Morningstar TriStar PWM: Status: 设备具有"rtsMiswire"报警标志</t>
  </si>
  <si>
    <t>(3162/2189)</t>
  </si>
  <si>
    <t>Morningstar TriStar PWM: Status: Device has "rtsShorted" alarm flag</t>
  </si>
  <si>
    <t>Morningstar TriStar PWM: Status: 设备具有"rtsShorted"报警标志</t>
  </si>
  <si>
    <t>(3162/2190)</t>
  </si>
  <si>
    <t>Morningstar TriStar PWM: Status: Device has "systemMiswire" alarm flag</t>
  </si>
  <si>
    <t>Morningstar TriStar PWM: Status: 设备具有"systemMiswire"报警标志</t>
  </si>
  <si>
    <t>(3162/2191)</t>
  </si>
  <si>
    <t>Morningstar TriStar PWM: Status: Device has "tristarHot" alarm flag</t>
  </si>
  <si>
    <t>Morningstar TriStar PWM: Status: 设备具有"tristarHot"报警标志</t>
  </si>
  <si>
    <t>(3162/2192)</t>
  </si>
  <si>
    <t>Morningstar TriStar PWM: Status: Device has "uncalibrated" alarm flag</t>
  </si>
  <si>
    <t>Morningstar TriStar PWM: Status: 设备具有"未校准"报警标志</t>
  </si>
  <si>
    <t>(3162/2193)</t>
  </si>
  <si>
    <t>Morningstar TriStar PWM: Status: Device has "customSettingsEdit" faults flag</t>
  </si>
  <si>
    <t>Morningstar TriStar PWM: Status: 设备具有"customSettingsEdit"故障标志</t>
  </si>
  <si>
    <t>(3162/2194)</t>
  </si>
  <si>
    <t>Morningstar TriStar PWM: Status: Device has "dipSwitchChange" faults flag</t>
  </si>
  <si>
    <t>Morningstar TriStar PWM: Status: 设备具有"dipSwitchChange"故障标志</t>
  </si>
  <si>
    <t>(3162/2195)</t>
  </si>
  <si>
    <t>Morningstar TriStar PWM: Status: Device has "externalShort" faults flag</t>
  </si>
  <si>
    <t>Morningstar TriStar PWM: Status: 设备具有"externalShort"故障标志</t>
  </si>
  <si>
    <t>(3162/2196)</t>
  </si>
  <si>
    <t>Morningstar TriStar PWM: Status: Device has "highVoltageDisconnect" faults flag</t>
  </si>
  <si>
    <t>Morningstar TriStar PWM: Status: 设备具有"highVoltageDisconnect"故障标志</t>
  </si>
  <si>
    <t>(3162/2197)</t>
  </si>
  <si>
    <t>Morningstar TriStar PWM: Status: Device has "mosfetSShorted" faults flag</t>
  </si>
  <si>
    <t>Morningstar TriStar PWM: Status: 设备具有"mosfetSShorted"故障标志</t>
  </si>
  <si>
    <t>(3162/2198)</t>
  </si>
  <si>
    <t>Morningstar TriStar PWM: Status: Device has "overcurrent" faults flag</t>
  </si>
  <si>
    <t>Morningstar TriStar PWM: Status: 设备具有"过电流"故障标志</t>
  </si>
  <si>
    <t>(3162/2199)</t>
  </si>
  <si>
    <t>Morningstar TriStar PWM: Status: Device has "reset" faults flag</t>
  </si>
  <si>
    <t>Morningstar TriStar PWM: Status: 设备具有"重置"故障标志</t>
  </si>
  <si>
    <t>(3162/2200)</t>
  </si>
  <si>
    <t>Morningstar TriStar PWM: Status: Device has "rtsDisconnected" faults flag</t>
  </si>
  <si>
    <t>Morningstar TriStar PWM: Status: 设备具有"rtsDisconnected"故障标志</t>
  </si>
  <si>
    <t>(3162/2201)</t>
  </si>
  <si>
    <t>Morningstar TriStar PWM: Status: Device has "rtsShorted" faults flag</t>
  </si>
  <si>
    <t>Morningstar TriStar PWM: Status: 设备具有"rtsShorted"故障标志</t>
  </si>
  <si>
    <t>(3162/2202)</t>
  </si>
  <si>
    <t>Morningstar TriStar PWM: Status: Device has "softwareFault" faults flag</t>
  </si>
  <si>
    <t>Morningstar TriStar PWM: Status: 设备具有"softwareFault"故障标志</t>
  </si>
  <si>
    <t>(3162/2203)</t>
  </si>
  <si>
    <t>Morningstar TriStar PWM: Status: Device has "systemMiswire" faults flag</t>
  </si>
  <si>
    <t>Morningstar TriStar PWM: Status: 设备具有"systemMiswire"故障标志</t>
  </si>
  <si>
    <t>(3162/2204)</t>
  </si>
  <si>
    <t>Morningstar TriStar PWM: Status: Device has "tristarHot" faults flag</t>
  </si>
  <si>
    <t>Morningstar TriStar PWM: Status: 设备具有"tristarHot"故障标志</t>
  </si>
  <si>
    <t>(3162/2205)</t>
  </si>
  <si>
    <t>Morningstar TriStar PWM: Status: Device has been restarted</t>
  </si>
  <si>
    <t>Morningstar TriStar PWM: Status: 设备已重新启动</t>
  </si>
  <si>
    <t>(3162/2206)</t>
  </si>
  <si>
    <t>Morningstar TriStar PWM: Status: Failed to fetch data</t>
  </si>
  <si>
    <t>Morningstar TriStar PWM: Status: 无法获取数据</t>
  </si>
  <si>
    <t>(3162/2207)</t>
  </si>
  <si>
    <t>Morningstar TriStar PWM: Temperature: Critically low battery temperature</t>
  </si>
  <si>
    <t>Morningstar TriStar PWM: Temperature: 电池温度过低</t>
  </si>
  <si>
    <t>(3162/2208)</t>
  </si>
  <si>
    <t>Morningstar TriStar PWM: Temperature: Low battery temperature</t>
  </si>
  <si>
    <t>Morningstar TriStar PWM: Temperature: 电池温度低</t>
  </si>
  <si>
    <t>(3162/2209)</t>
  </si>
  <si>
    <t>Morningstar TriStar PWM: Temperature: Critically high battery temperature</t>
  </si>
  <si>
    <t>Morningstar TriStar PWM: Temperature: 电池温度太高</t>
  </si>
  <si>
    <t>(3162/2210)</t>
  </si>
  <si>
    <t>Morningstar TriStar PWM: Temperature: High battery temperature</t>
  </si>
  <si>
    <t>Morningstar TriStar PWM: Temperature: 电池温度高</t>
  </si>
  <si>
    <t>(3162/2211)</t>
  </si>
  <si>
    <t>(3162/2212)</t>
  </si>
  <si>
    <t>(3162/2213)</t>
  </si>
  <si>
    <t>(3162/2214)</t>
  </si>
  <si>
    <t>(3162/2215)</t>
  </si>
  <si>
    <t>(3162/2216)</t>
  </si>
  <si>
    <t>(3162/2217)</t>
  </si>
  <si>
    <t>(3162/2218)</t>
  </si>
  <si>
    <t>(3162/2219)</t>
  </si>
  <si>
    <t>(3162/2220)</t>
  </si>
  <si>
    <t>(3162/2221)</t>
  </si>
  <si>
    <t>(3162/2222)</t>
  </si>
  <si>
    <t>(3162/2223)</t>
  </si>
  <si>
    <t>(3162/2224)</t>
  </si>
  <si>
    <t>(3162/2225)</t>
  </si>
  <si>
    <t>(3162/2226)</t>
  </si>
  <si>
    <t>(3162/2227)</t>
  </si>
  <si>
    <t>(3162/2228)</t>
  </si>
  <si>
    <t>(3162/2229)</t>
  </si>
  <si>
    <t>(3162/2230)</t>
  </si>
  <si>
    <t>(3162/2231)</t>
  </si>
  <si>
    <t>(3162/2232)</t>
  </si>
  <si>
    <t>(3162/2233)</t>
  </si>
  <si>
    <t>(3162/2234)</t>
  </si>
  <si>
    <t>(3162/2235)</t>
  </si>
  <si>
    <t>(3162/2236)</t>
  </si>
  <si>
    <t>(3162/2237)</t>
  </si>
  <si>
    <t>(3162/2238)</t>
  </si>
  <si>
    <t>(3162/2239)</t>
  </si>
  <si>
    <t>(3162/2240)</t>
  </si>
  <si>
    <t>(3162/2241)</t>
  </si>
  <si>
    <t>(3162/2242)</t>
  </si>
  <si>
    <t>(3162/2243)</t>
  </si>
  <si>
    <t>(3162/2244)</t>
  </si>
  <si>
    <t>MySQL by Zabbix agent 2 active</t>
  </si>
  <si>
    <t>23853</t>
  </si>
  <si>
    <t>(3162/2245)</t>
  </si>
  <si>
    <t>23854</t>
  </si>
  <si>
    <t>(3162/2246)</t>
  </si>
  <si>
    <t>23855</t>
  </si>
  <si>
    <t>(3162/2247)</t>
  </si>
  <si>
    <t>23856</t>
  </si>
  <si>
    <t>(3162/2248)</t>
  </si>
  <si>
    <t>23857</t>
  </si>
  <si>
    <t>(3162/2249)</t>
  </si>
  <si>
    <t>23858</t>
  </si>
  <si>
    <t>(3162/2250)</t>
  </si>
  <si>
    <t>23859</t>
  </si>
  <si>
    <t>(3162/2251)</t>
  </si>
  <si>
    <t>23860</t>
  </si>
  <si>
    <t>(3162/2252)</t>
  </si>
  <si>
    <t>23862</t>
  </si>
  <si>
    <t>(3162/2253)</t>
  </si>
  <si>
    <t>23861</t>
  </si>
  <si>
    <t>(3162/2254)</t>
  </si>
  <si>
    <t>23863</t>
  </si>
  <si>
    <t>(3162/2255)</t>
  </si>
  <si>
    <t>MySQL by Zabbix agent active</t>
  </si>
  <si>
    <t>23868</t>
  </si>
  <si>
    <t>(3162/2256)</t>
  </si>
  <si>
    <t>23869</t>
  </si>
  <si>
    <t>(3162/2257)</t>
  </si>
  <si>
    <t>23870</t>
  </si>
  <si>
    <t>(3162/2258)</t>
  </si>
  <si>
    <t>23871</t>
  </si>
  <si>
    <t>(3162/2259)</t>
  </si>
  <si>
    <t>23872</t>
  </si>
  <si>
    <t>(3162/2260)</t>
  </si>
  <si>
    <t>23873</t>
  </si>
  <si>
    <t>(3162/2261)</t>
  </si>
  <si>
    <t>23874</t>
  </si>
  <si>
    <t>(3162/2262)</t>
  </si>
  <si>
    <t>23875</t>
  </si>
  <si>
    <t>(3162/2263)</t>
  </si>
  <si>
    <t>23877</t>
  </si>
  <si>
    <t>(3162/2264)</t>
  </si>
  <si>
    <t>23876</t>
  </si>
  <si>
    <t>(3162/2265)</t>
  </si>
  <si>
    <t>23878</t>
  </si>
  <si>
    <t>(3162/2266)</t>
  </si>
  <si>
    <t>NGINX Plus: High connections drop rate</t>
  </si>
  <si>
    <t>NGINX Plus: 连接丢失率太高</t>
  </si>
  <si>
    <t>(3162/2267)</t>
  </si>
  <si>
    <t>NGINX Plus: Server response error</t>
  </si>
  <si>
    <t>NGINX Plus: 服务器响应错误</t>
  </si>
  <si>
    <t>(3162/2268)</t>
  </si>
  <si>
    <t>NGINX Plus: Host has been restarted</t>
  </si>
  <si>
    <t>NGINX Plus: 主机已重新启动</t>
  </si>
  <si>
    <t>(3162/2269)</t>
  </si>
  <si>
    <t>NGINX Plus: Failed to fetch info data</t>
  </si>
  <si>
    <t>NGINX Plus: 无法获取信息数据</t>
  </si>
  <si>
    <t>(3162/2270)</t>
  </si>
  <si>
    <t>NGINX Plus: Version has changed</t>
  </si>
  <si>
    <t>NGINX Plus: 版本已变更</t>
  </si>
  <si>
    <t>(3162/2271)</t>
  </si>
  <si>
    <t>(3162/2272)</t>
  </si>
  <si>
    <t>(3162/2273)</t>
  </si>
  <si>
    <t>(3162/2274)</t>
  </si>
  <si>
    <t>(3162/2275)</t>
  </si>
  <si>
    <t>(3162/2276)</t>
  </si>
  <si>
    <t>(3162/2277)</t>
  </si>
  <si>
    <t>(3162/2278)</t>
  </si>
  <si>
    <t>(3162/2279)</t>
  </si>
  <si>
    <t>(3162/2280)</t>
  </si>
  <si>
    <t>(3162/2281)</t>
  </si>
  <si>
    <t>(3162/2282)</t>
  </si>
  <si>
    <t>(3162/2283)</t>
  </si>
  <si>
    <t>(3162/2284)</t>
  </si>
  <si>
    <t>(3162/2285)</t>
  </si>
  <si>
    <t>(3162/2286)</t>
  </si>
  <si>
    <t>(3162/2287)</t>
  </si>
  <si>
    <t>(3162/2288)</t>
  </si>
  <si>
    <t>(3162/2289)</t>
  </si>
  <si>
    <t>(3162/2290)</t>
  </si>
  <si>
    <t>Network Generic Device: Unavailable by ICMP ping</t>
  </si>
  <si>
    <t>Network Generic Device: ICMP ping不可用</t>
  </si>
  <si>
    <t>(3162/2291)</t>
  </si>
  <si>
    <t>Network Generic Device: High ICMP ping loss</t>
  </si>
  <si>
    <t>Network Generic Device: 高ICMP ping丢失</t>
  </si>
  <si>
    <t>(3162/2292)</t>
  </si>
  <si>
    <t>Network Generic Device: High ICMP ping response time</t>
  </si>
  <si>
    <t>Network Generic Device: 高ICMP ping响应时间</t>
  </si>
  <si>
    <t>(3162/2293)</t>
  </si>
  <si>
    <t>Network Generic Device: Host has been restarted</t>
  </si>
  <si>
    <t>Network Generic Device: 主机已重新启动</t>
  </si>
  <si>
    <t>(3162/2294)</t>
  </si>
  <si>
    <t>Network Generic Device: System name has changed</t>
  </si>
  <si>
    <t>Network Generic Device: 系统名称已变更</t>
  </si>
  <si>
    <t>(3162/2295)</t>
  </si>
  <si>
    <t>Network Generic Device: No SNMP data collection</t>
  </si>
  <si>
    <t>Network Generic Device: 无SNMP数据收集</t>
  </si>
  <si>
    <t>(3162/2296)</t>
  </si>
  <si>
    <t>23414</t>
  </si>
  <si>
    <t>(3162/2297)</t>
  </si>
  <si>
    <t>23415</t>
  </si>
  <si>
    <t>(3162/2298)</t>
  </si>
  <si>
    <t>23416</t>
  </si>
  <si>
    <t>(3162/2299)</t>
  </si>
  <si>
    <t>23417</t>
  </si>
  <si>
    <t>(3162/2300)</t>
  </si>
  <si>
    <t>(3162/2301)</t>
  </si>
  <si>
    <t>(3162/2302)</t>
  </si>
  <si>
    <t>(3162/2303)</t>
  </si>
  <si>
    <t>(3162/2304)</t>
  </si>
  <si>
    <t>(3162/2305)</t>
  </si>
  <si>
    <t>(3162/2306)</t>
  </si>
  <si>
    <t>(3162/2307)</t>
  </si>
  <si>
    <t>(3162/2308)</t>
  </si>
  <si>
    <t>(3162/2309)</t>
  </si>
  <si>
    <t>(3162/2310)</t>
  </si>
  <si>
    <t>(3162/2311)</t>
  </si>
  <si>
    <t>(3162/2312)</t>
  </si>
  <si>
    <t>(3162/2313)</t>
  </si>
  <si>
    <t>Nginx by Zabbix agent active</t>
  </si>
  <si>
    <t>23828</t>
  </si>
  <si>
    <t>(3162/2314)</t>
  </si>
  <si>
    <t>Nutanix Cluster Prism Element by HTTP</t>
  </si>
  <si>
    <t>23834</t>
  </si>
  <si>
    <t>Nutanix: Failed to get alert data from the API</t>
  </si>
  <si>
    <t>Nutanix: 无法从应用程序编程接口获取告警数据</t>
  </si>
  <si>
    <t>(3162/2315)</t>
  </si>
  <si>
    <t>23835</t>
  </si>
  <si>
    <t>Nutanix: Failed to get metric data from the API</t>
  </si>
  <si>
    <t>Nutanix: 无法从应用程序编程接口获取指标数据</t>
  </si>
  <si>
    <t>(3162/2316)</t>
  </si>
  <si>
    <t>23843</t>
  </si>
  <si>
    <t>Nutanix: Redundancy factor mismatched</t>
  </si>
  <si>
    <t>Nutanix: 冗余系数不匹配</t>
  </si>
  <si>
    <t>(3162/2317)</t>
  </si>
  <si>
    <t>Nutanix Host Prism Element by HTTP</t>
  </si>
  <si>
    <t>23836</t>
  </si>
  <si>
    <t>(3162/2318)</t>
  </si>
  <si>
    <t>23837</t>
  </si>
  <si>
    <t>Nutanix: Failed to get disk data from the API</t>
  </si>
  <si>
    <t>Nutanix: 无法从应用程序编程接口获取磁盘数据</t>
  </si>
  <si>
    <t>(3162/2319)</t>
  </si>
  <si>
    <t>23838</t>
  </si>
  <si>
    <t>Nutanix: Host is in degraded status</t>
  </si>
  <si>
    <t>Nutanix: 主机处于降级状态</t>
  </si>
  <si>
    <t>(3162/2320)</t>
  </si>
  <si>
    <t>23839</t>
  </si>
  <si>
    <t>(3162/2321)</t>
  </si>
  <si>
    <t>Nutanix Prism Element by HTTP</t>
  </si>
  <si>
    <t>23840</t>
  </si>
  <si>
    <t>Nutanix: Failed to get cluster data from the API</t>
  </si>
  <si>
    <t>Nutanix: 无法从应用程序编程接口获取集群数据</t>
  </si>
  <si>
    <t>(3162/2322)</t>
  </si>
  <si>
    <t>23841</t>
  </si>
  <si>
    <t>Nutanix: Failed to get host data from the API</t>
  </si>
  <si>
    <t>Nutanix: 无法从应用程序编程接口获取主机数据</t>
  </si>
  <si>
    <t>(3162/2323)</t>
  </si>
  <si>
    <t>23842</t>
  </si>
  <si>
    <t>Nutanix: Failed to get storage container data from the API</t>
  </si>
  <si>
    <t>Nutanix: 无法从应用程序编程接口获取存储容器数据</t>
  </si>
  <si>
    <t>(3162/2324)</t>
  </si>
  <si>
    <t>22839</t>
  </si>
  <si>
    <t>(3162/2325)</t>
  </si>
  <si>
    <t>(3162/2326)</t>
  </si>
  <si>
    <t>(3162/2327)</t>
  </si>
  <si>
    <t>22842</t>
  </si>
  <si>
    <t>(3162/2328)</t>
  </si>
  <si>
    <t>22843</t>
  </si>
  <si>
    <t>(3162/2329)</t>
  </si>
  <si>
    <t>22844</t>
  </si>
  <si>
    <t>(3162/2330)</t>
  </si>
  <si>
    <t>22845</t>
  </si>
  <si>
    <t>(3162/2331)</t>
  </si>
  <si>
    <t>(3162/2332)</t>
  </si>
  <si>
    <t>(3162/2333)</t>
  </si>
  <si>
    <t>(3162/2334)</t>
  </si>
  <si>
    <t>(3162/2335)</t>
  </si>
  <si>
    <t>(3162/2336)</t>
  </si>
  <si>
    <t>(3162/2337)</t>
  </si>
  <si>
    <t>(3162/2338)</t>
  </si>
  <si>
    <t>(3162/2339)</t>
  </si>
  <si>
    <t>(3162/2340)</t>
  </si>
  <si>
    <t>(3162/2341)</t>
  </si>
  <si>
    <t>(3162/2342)</t>
  </si>
  <si>
    <t>(3162/2343)</t>
  </si>
  <si>
    <t>OpenStack Nova: Current instances count is high</t>
  </si>
  <si>
    <t>OpenStack Nova: 当前实例计数很高</t>
  </si>
  <si>
    <t>(3162/2344)</t>
  </si>
  <si>
    <t>OpenStack Nova: Current instances count is too high</t>
  </si>
  <si>
    <t>OpenStack Nova: 当前实例计数太高</t>
  </si>
  <si>
    <t>(3162/2345)</t>
  </si>
  <si>
    <t>OpenStack Nova: Current RAM usage is high</t>
  </si>
  <si>
    <t>OpenStack Nova: 当前RAM使用率很高</t>
  </si>
  <si>
    <t>(3162/2346)</t>
  </si>
  <si>
    <t>OpenStack Nova: Current RAM usage is too high</t>
  </si>
  <si>
    <t>OpenStack Nova: 当前RAM使用率太高</t>
  </si>
  <si>
    <t>(3162/2347)</t>
  </si>
  <si>
    <t>OpenStack Nova: Current vCPU usage is high</t>
  </si>
  <si>
    <t>OpenStack Nova: 当前vCPU使用率较高</t>
  </si>
  <si>
    <t>(3162/2348)</t>
  </si>
  <si>
    <t>OpenStack Nova: Current vCPU usage is too high</t>
  </si>
  <si>
    <t>OpenStack Nova: 当前vCPU使用率太高</t>
  </si>
  <si>
    <t>(3162/2349)</t>
  </si>
  <si>
    <t>22566</t>
  </si>
  <si>
    <t>OpenWeatherMap: There are errors in requests to OpenWeatherMap API</t>
  </si>
  <si>
    <t>(3162/2350)</t>
  </si>
  <si>
    <t>23635</t>
  </si>
  <si>
    <t>(3162/2351)</t>
  </si>
  <si>
    <t>23636</t>
  </si>
  <si>
    <t>(3162/2352)</t>
  </si>
  <si>
    <t>23637</t>
  </si>
  <si>
    <t>(3162/2353)</t>
  </si>
  <si>
    <t>23638</t>
  </si>
  <si>
    <t>(3162/2354)</t>
  </si>
  <si>
    <t>23639</t>
  </si>
  <si>
    <t>(3162/2355)</t>
  </si>
  <si>
    <t>23640</t>
  </si>
  <si>
    <t>(3162/2356)</t>
  </si>
  <si>
    <t>23642</t>
  </si>
  <si>
    <t>(3162/2357)</t>
  </si>
  <si>
    <t>23641</t>
  </si>
  <si>
    <t>(3162/2358)</t>
  </si>
  <si>
    <t>23643</t>
  </si>
  <si>
    <t>(3162/2359)</t>
  </si>
  <si>
    <t>23644</t>
  </si>
  <si>
    <t>(3162/2360)</t>
  </si>
  <si>
    <t>23645</t>
  </si>
  <si>
    <t>(3162/2361)</t>
  </si>
  <si>
    <t>23646</t>
  </si>
  <si>
    <t>(3162/2362)</t>
  </si>
  <si>
    <t>23647</t>
  </si>
  <si>
    <t>(3162/2363)</t>
  </si>
  <si>
    <t>23648</t>
  </si>
  <si>
    <t>(3162/2364)</t>
  </si>
  <si>
    <t>23649</t>
  </si>
  <si>
    <t>(3162/2365)</t>
  </si>
  <si>
    <t>23650</t>
  </si>
  <si>
    <t>(3162/2366)</t>
  </si>
  <si>
    <t>23651</t>
  </si>
  <si>
    <t>(3162/2367)</t>
  </si>
  <si>
    <t>23652</t>
  </si>
  <si>
    <t>(3162/2368)</t>
  </si>
  <si>
    <t>23653</t>
  </si>
  <si>
    <t>(3162/2369)</t>
  </si>
  <si>
    <t>23654</t>
  </si>
  <si>
    <t>(3162/2370)</t>
  </si>
  <si>
    <t>23655</t>
  </si>
  <si>
    <t>(3162/2371)</t>
  </si>
  <si>
    <t>23656</t>
  </si>
  <si>
    <t>(3162/2372)</t>
  </si>
  <si>
    <t>23657</t>
  </si>
  <si>
    <t>(3162/2373)</t>
  </si>
  <si>
    <t>(3162/2374)</t>
  </si>
  <si>
    <t>(3162/2375)</t>
  </si>
  <si>
    <t>(3162/2376)</t>
  </si>
  <si>
    <t>(3162/2377)</t>
  </si>
  <si>
    <t>(3162/2378)</t>
  </si>
  <si>
    <t>(3162/2379)</t>
  </si>
  <si>
    <t>(3162/2380)</t>
  </si>
  <si>
    <t>(3162/2381)</t>
  </si>
  <si>
    <t>(3162/2382)</t>
  </si>
  <si>
    <t>(3162/2383)</t>
  </si>
  <si>
    <t>(3162/2384)</t>
  </si>
  <si>
    <t>(3162/2385)</t>
  </si>
  <si>
    <t>(3162/2386)</t>
  </si>
  <si>
    <t>(3162/2387)</t>
  </si>
  <si>
    <t>(3162/2388)</t>
  </si>
  <si>
    <t>(3162/2389)</t>
  </si>
  <si>
    <t>(3162/2390)</t>
  </si>
  <si>
    <t>(3162/2391)</t>
  </si>
  <si>
    <t>(3162/2392)</t>
  </si>
  <si>
    <t>(3162/2393)</t>
  </si>
  <si>
    <t>(3162/2394)</t>
  </si>
  <si>
    <t>(3162/2395)</t>
  </si>
  <si>
    <t>(3162/2396)</t>
  </si>
  <si>
    <t>(3162/2397)</t>
  </si>
  <si>
    <t>(3162/2398)</t>
  </si>
  <si>
    <t>(3162/2399)</t>
  </si>
  <si>
    <t>(3162/2400)</t>
  </si>
  <si>
    <t>(3162/2401)</t>
  </si>
  <si>
    <t>(3162/2402)</t>
  </si>
  <si>
    <t>(3162/2403)</t>
  </si>
  <si>
    <t>(3162/2404)</t>
  </si>
  <si>
    <t>(3162/2405)</t>
  </si>
  <si>
    <t>(3162/2406)</t>
  </si>
  <si>
    <t>(3162/2407)</t>
  </si>
  <si>
    <t>(3162/2408)</t>
  </si>
  <si>
    <t>(3162/2409)</t>
  </si>
  <si>
    <t>(3162/2410)</t>
  </si>
  <si>
    <t>(3162/2411)</t>
  </si>
  <si>
    <t>(3162/2412)</t>
  </si>
  <si>
    <t>(3162/2413)</t>
  </si>
  <si>
    <t>(3162/2414)</t>
  </si>
  <si>
    <t>(3162/2415)</t>
  </si>
  <si>
    <t>(3162/2416)</t>
  </si>
  <si>
    <t>(3162/2417)</t>
  </si>
  <si>
    <t>(3162/2418)</t>
  </si>
  <si>
    <t>(3162/2419)</t>
  </si>
  <si>
    <t>(3162/2420)</t>
  </si>
  <si>
    <t>(3162/2421)</t>
  </si>
  <si>
    <t>(3162/2422)</t>
  </si>
  <si>
    <t>(3162/2423)</t>
  </si>
  <si>
    <t>(3162/2424)</t>
  </si>
  <si>
    <t>(3162/2425)</t>
  </si>
  <si>
    <t>PHP-FPM by Zabbix agent active</t>
  </si>
  <si>
    <t>23844</t>
  </si>
  <si>
    <t>(3162/2426)</t>
  </si>
  <si>
    <t>23845</t>
  </si>
  <si>
    <t>(3162/2427)</t>
  </si>
  <si>
    <t>23846</t>
  </si>
  <si>
    <t>(3162/2428)</t>
  </si>
  <si>
    <t>23847</t>
  </si>
  <si>
    <t>(3162/2429)</t>
  </si>
  <si>
    <t>23848</t>
  </si>
  <si>
    <t>(3162/2430)</t>
  </si>
  <si>
    <t>Palo Alto PA-440 by HTTP</t>
  </si>
  <si>
    <t>23955</t>
  </si>
  <si>
    <t>PA-440: Failed to get device certificate data from the API</t>
  </si>
  <si>
    <t>PA-440:无法从 API 获取设备证书数据</t>
  </si>
  <si>
    <t>(3162/2431)</t>
  </si>
  <si>
    <t>23956</t>
  </si>
  <si>
    <t>PA-440: Failed to get certificate data from the API</t>
  </si>
  <si>
    <t>PA-440:无法从 API 获取证书数据</t>
  </si>
  <si>
    <t>(3162/2432)</t>
  </si>
  <si>
    <t>23957</t>
  </si>
  <si>
    <t>PA-440: Failed to get environmental data from the API</t>
  </si>
  <si>
    <t>PA-440:无法从 API 获取环境数据</t>
  </si>
  <si>
    <t>(3162/2433)</t>
  </si>
  <si>
    <t>23958</t>
  </si>
  <si>
    <t>PA-440: Failed to get HA data from the API</t>
  </si>
  <si>
    <t>PA-440:无法从 API 获取 HA 数据</t>
  </si>
  <si>
    <t>(3162/2434)</t>
  </si>
  <si>
    <t>23959</t>
  </si>
  <si>
    <t>PA-440: Failed to get license data from the API</t>
  </si>
  <si>
    <t>PA-440:无法从 API 获取许可证数据</t>
  </si>
  <si>
    <t>(3162/2435)</t>
  </si>
  <si>
    <t>23960</t>
  </si>
  <si>
    <t>PA-440: Failed to get OSPF neighbor data from the API</t>
  </si>
  <si>
    <t>PA-440:无法从 API 获取 OSPF 邻居数据</t>
  </si>
  <si>
    <t>(3162/2436)</t>
  </si>
  <si>
    <t>23961</t>
  </si>
  <si>
    <t>PA-440: Failed to get OSPFv3 neighbor data from the API</t>
  </si>
  <si>
    <t>PA-440:无法从 API 获取 OSPFv3 邻居数据</t>
  </si>
  <si>
    <t>(3162/2437)</t>
  </si>
  <si>
    <t>23962</t>
  </si>
  <si>
    <t>PA-440: Failed to get session info data from the API</t>
  </si>
  <si>
    <t>PA-440:无法从 API 获取会话信息数据</t>
  </si>
  <si>
    <t>(3162/2438)</t>
  </si>
  <si>
    <t>23963</t>
  </si>
  <si>
    <t>PA-440: Failed to get system info data from the API</t>
  </si>
  <si>
    <t>PA-440:无法从 API 获取系统信息数据</t>
  </si>
  <si>
    <t>(3162/2439)</t>
  </si>
  <si>
    <t>23964</t>
  </si>
  <si>
    <t>PA-440: Failed to get system state data from the API</t>
  </si>
  <si>
    <t>PA-440:无法从 API 获取系统状态数据</t>
  </si>
  <si>
    <t>(3162/2440)</t>
  </si>
  <si>
    <t>(3162/2441)</t>
  </si>
  <si>
    <t>(3162/2442)</t>
  </si>
  <si>
    <t>(3162/2443)</t>
  </si>
  <si>
    <t>(3162/2444)</t>
  </si>
  <si>
    <t>(3162/2445)</t>
  </si>
  <si>
    <t>(3162/2446)</t>
  </si>
  <si>
    <t>(3162/2447)</t>
  </si>
  <si>
    <t>(3162/2448)</t>
  </si>
  <si>
    <t>(3162/2449)</t>
  </si>
  <si>
    <t>(3162/2450)</t>
  </si>
  <si>
    <t>(3162/2451)</t>
  </si>
  <si>
    <t>(3162/2452)</t>
  </si>
  <si>
    <t>(3162/2453)</t>
  </si>
  <si>
    <t>(3162/2454)</t>
  </si>
  <si>
    <t>(3162/2455)</t>
  </si>
  <si>
    <t>(3162/2456)</t>
  </si>
  <si>
    <t>(3162/2457)</t>
  </si>
  <si>
    <t>22874</t>
  </si>
  <si>
    <t>PostgreSQL: Dbstat: Checksum failures detected</t>
  </si>
  <si>
    <t>PostgreSQL: Dbstat: 检测到校验和故障</t>
  </si>
  <si>
    <t>(3162/2458)</t>
  </si>
  <si>
    <t>(3162/2459)</t>
  </si>
  <si>
    <t>(3162/2460)</t>
  </si>
  <si>
    <t>(3162/2461)</t>
  </si>
  <si>
    <t>(3162/2462)</t>
  </si>
  <si>
    <t>PostgreSQL by Zabbix agent 2 active</t>
  </si>
  <si>
    <t>23883</t>
  </si>
  <si>
    <t>(3162/2463)</t>
  </si>
  <si>
    <t>23884</t>
  </si>
  <si>
    <t>(3162/2464)</t>
  </si>
  <si>
    <t>23885</t>
  </si>
  <si>
    <t>(3162/2465)</t>
  </si>
  <si>
    <t>23886</t>
  </si>
  <si>
    <t>(3162/2466)</t>
  </si>
  <si>
    <t>23887</t>
  </si>
  <si>
    <t>(3162/2467)</t>
  </si>
  <si>
    <t>23888</t>
  </si>
  <si>
    <t>(3162/2468)</t>
  </si>
  <si>
    <t>PostgreSQL by Zabbix agent active</t>
  </si>
  <si>
    <t>23893</t>
  </si>
  <si>
    <t>(3162/2469)</t>
  </si>
  <si>
    <t>23894</t>
  </si>
  <si>
    <t>(3162/2470)</t>
  </si>
  <si>
    <t>23895</t>
  </si>
  <si>
    <t>(3162/2471)</t>
  </si>
  <si>
    <t>23896</t>
  </si>
  <si>
    <t>(3162/2472)</t>
  </si>
  <si>
    <t>23897</t>
  </si>
  <si>
    <t>(3162/2473)</t>
  </si>
  <si>
    <t>23898</t>
  </si>
  <si>
    <t>(3162/2474)</t>
  </si>
  <si>
    <t>23899</t>
  </si>
  <si>
    <t>(3162/2475)</t>
  </si>
  <si>
    <t>23900</t>
  </si>
  <si>
    <t>(3162/2476)</t>
  </si>
  <si>
    <t>23901</t>
  </si>
  <si>
    <t>(3162/2477)</t>
  </si>
  <si>
    <t>23902</t>
  </si>
  <si>
    <t>(3162/2478)</t>
  </si>
  <si>
    <t>23903</t>
  </si>
  <si>
    <t>(3162/2479)</t>
  </si>
  <si>
    <t>22569</t>
  </si>
  <si>
    <t>Proxmox VE: API service not available</t>
  </si>
  <si>
    <t>Proxmox VE: API服务不可用</t>
  </si>
  <si>
    <t>(3162/2480)</t>
  </si>
  <si>
    <t>Pure Storage FlashArray v1 by HTTP</t>
  </si>
  <si>
    <t>24985</t>
  </si>
  <si>
    <t>Pure Storage FlashArray: There are errors in the 'Get storage array data' metric</t>
  </si>
  <si>
    <t>Pure Storage FlashArray：'获取存储array数据'指标中存在错误</t>
  </si>
  <si>
    <t>(3162/2481)</t>
  </si>
  <si>
    <t>24986</t>
  </si>
  <si>
    <t>Pure Storage FlashArray: Authentication has failed</t>
  </si>
  <si>
    <t>Pure Storage FlashArray：认证失败</t>
  </si>
  <si>
    <t>(3162/2482)</t>
  </si>
  <si>
    <t>24987</t>
  </si>
  <si>
    <t>Pure Storage FlashArray: There are errors in the 'Get certificates' metric</t>
  </si>
  <si>
    <t>Pure Storage FlashArray：'获取证书'指标中存在错误</t>
  </si>
  <si>
    <t>(3162/2483)</t>
  </si>
  <si>
    <t>24988</t>
  </si>
  <si>
    <t>Pure Storage FlashArray: There are errors in the 'Get hardware data' metric</t>
  </si>
  <si>
    <t>Pure Storage FlashArray：'获取硬件数据'指标中存在错误</t>
  </si>
  <si>
    <t>(3162/2484)</t>
  </si>
  <si>
    <t>24989</t>
  </si>
  <si>
    <t>Pure Storage FlashArray: There are errors in the 'Get hosts' metric</t>
  </si>
  <si>
    <t>Pure Storage FlashArray: '获取主机'指标中存在错误</t>
  </si>
  <si>
    <t>(3162/2485)</t>
  </si>
  <si>
    <t>24990</t>
  </si>
  <si>
    <t>Pure Storage FlashArray: There are errors in the 'Get network interfaces' metric</t>
  </si>
  <si>
    <t>Pure Storage FlashArray: '获取网络接口'指标中存在错误</t>
  </si>
  <si>
    <t>(3162/2486)</t>
  </si>
  <si>
    <t>24991</t>
  </si>
  <si>
    <t>Pure Storage FlashArray: Phone Home has been disabled</t>
  </si>
  <si>
    <t>Pure Storage FlashArray：电话回传功能已禁用</t>
  </si>
  <si>
    <t>(3162/2487)</t>
  </si>
  <si>
    <t>24992</t>
  </si>
  <si>
    <t>Pure Storage FlashArray: There are errors in the 'Get pods' metric</t>
  </si>
  <si>
    <t>Pure Storage FlashArray: 'Get pods'指标中存在错误</t>
  </si>
  <si>
    <t>(3162/2488)</t>
  </si>
  <si>
    <t>24993</t>
  </si>
  <si>
    <t>Pure Storage FlashArray: RemoteAssist has been enabled</t>
  </si>
  <si>
    <t>Pure Storage FlashArray：RemoteAssist 已启用</t>
  </si>
  <si>
    <t>(3162/2489)</t>
  </si>
  <si>
    <t>24994</t>
  </si>
  <si>
    <t>Pure Storage FlashArray: There are errors in the 'Get volumes' metric</t>
  </si>
  <si>
    <t>Pure Storage FlashArray: '获取卷'指标中存在错误</t>
  </si>
  <si>
    <t>(3162/2490)</t>
  </si>
  <si>
    <t>Pure Storage FlashArray v2 by HTTP</t>
  </si>
  <si>
    <t>24995</t>
  </si>
  <si>
    <t>Pure Storage FlashArray: Critical alerts have been detected</t>
  </si>
  <si>
    <t>Pure Storage FlashArray：检测到关键告警</t>
  </si>
  <si>
    <t>(3162/2491)</t>
  </si>
  <si>
    <t>24996</t>
  </si>
  <si>
    <t>Pure Storage FlashArray: There are errors in the 'Get alerts data' metric</t>
  </si>
  <si>
    <t>Pure Storage FlashArray：'获取警报数据'指标中存在错误</t>
  </si>
  <si>
    <t>(3162/2492)</t>
  </si>
  <si>
    <t>24997</t>
  </si>
  <si>
    <t>Pure Storage FlashArray: Warning alerts have been detected</t>
  </si>
  <si>
    <t>Pure Storage FlashArray：检测到警告警报</t>
  </si>
  <si>
    <t>(3162/2493)</t>
  </si>
  <si>
    <t>24998</t>
  </si>
  <si>
    <t>(3162/2494)</t>
  </si>
  <si>
    <t>24999</t>
  </si>
  <si>
    <t>(3162/2495)</t>
  </si>
  <si>
    <t>25000</t>
  </si>
  <si>
    <t>Pure Storage FlashArray: '获取证书'指标中存在错误</t>
  </si>
  <si>
    <t>(3162/2496)</t>
  </si>
  <si>
    <t>25001</t>
  </si>
  <si>
    <t>(3162/2497)</t>
  </si>
  <si>
    <t>25002</t>
  </si>
  <si>
    <t>Pure Storage FlashArray: 'Get 主机'指标中存在错误</t>
  </si>
  <si>
    <t>(3162/2498)</t>
  </si>
  <si>
    <t>25003</t>
  </si>
  <si>
    <t>(3162/2499)</t>
  </si>
  <si>
    <t>25004</t>
  </si>
  <si>
    <t>(3162/2500)</t>
  </si>
  <si>
    <t>25005</t>
  </si>
  <si>
    <t>(3162/2501)</t>
  </si>
  <si>
    <t>25006</t>
  </si>
  <si>
    <t>(3162/2502)</t>
  </si>
  <si>
    <t>25007</t>
  </si>
  <si>
    <t>Pure Storage FlashArray: There are errors in the 'Get support information' metric</t>
  </si>
  <si>
    <t>Pure Storage FlashArray: '获取支持信息'指标中存在错误</t>
  </si>
  <si>
    <t>(3162/2503)</t>
  </si>
  <si>
    <t>25008</t>
  </si>
  <si>
    <t>(3162/2504)</t>
  </si>
  <si>
    <t>(3162/2505)</t>
  </si>
  <si>
    <t>(3162/2506)</t>
  </si>
  <si>
    <t>(3162/2507)</t>
  </si>
  <si>
    <t>(3162/2508)</t>
  </si>
  <si>
    <t>(3162/2509)</t>
  </si>
  <si>
    <t>(3162/2510)</t>
  </si>
  <si>
    <t>(3162/2511)</t>
  </si>
  <si>
    <t>(3162/2512)</t>
  </si>
  <si>
    <t>(3162/2513)</t>
  </si>
  <si>
    <t>(3162/2514)</t>
  </si>
  <si>
    <t>(3162/2515)</t>
  </si>
  <si>
    <t>(3162/2516)</t>
  </si>
  <si>
    <t>(3162/2517)</t>
  </si>
  <si>
    <t>(3162/2518)</t>
  </si>
  <si>
    <t>RabbitMQ cluster: Failed to fetch overview data</t>
  </si>
  <si>
    <t>RabbitMQ cluster: 无法获取概览数据</t>
  </si>
  <si>
    <t>(3162/2519)</t>
  </si>
  <si>
    <t>(3162/2520)</t>
  </si>
  <si>
    <t>RabbitMQ node: Service response time is too high</t>
  </si>
  <si>
    <t>RabbitMQ node: 服务响应时间太长</t>
  </si>
  <si>
    <t>(3162/2521)</t>
  </si>
  <si>
    <t>RabbitMQ node: Service is down</t>
  </si>
  <si>
    <t>RabbitMQ node: 服务已关闭</t>
  </si>
  <si>
    <t>(3162/2522)</t>
  </si>
  <si>
    <t>RabbitMQ node: Failed to fetch nodes data</t>
  </si>
  <si>
    <t>RabbitMQ node: 无法获取节点数据</t>
  </si>
  <si>
    <t>(3162/2523)</t>
  </si>
  <si>
    <t>RabbitMQ node: Free disk space alarm</t>
  </si>
  <si>
    <t>RabbitMQ node: 空闲磁盘空间告警</t>
  </si>
  <si>
    <t>(3162/2524)</t>
  </si>
  <si>
    <t>RabbitMQ node: Memory alarm</t>
  </si>
  <si>
    <t>RabbitMQ node: 内存告警</t>
  </si>
  <si>
    <t>(3162/2525)</t>
  </si>
  <si>
    <t>RabbitMQ node: Version has changed</t>
  </si>
  <si>
    <t>RabbitMQ node: 版本已变更</t>
  </si>
  <si>
    <t>(3162/2526)</t>
  </si>
  <si>
    <t>RabbitMQ node: Number of network partitions is too high</t>
  </si>
  <si>
    <t>RabbitMQ node: 网络分区数太高</t>
  </si>
  <si>
    <t>(3162/2527)</t>
  </si>
  <si>
    <t>RabbitMQ node: Node is not running</t>
  </si>
  <si>
    <t>RabbitMQ node: 节点未运行</t>
  </si>
  <si>
    <t>(3162/2528)</t>
  </si>
  <si>
    <t>RabbitMQ node: Host has been restarted</t>
  </si>
  <si>
    <t>RabbitMQ node: 主机已重新启动</t>
  </si>
  <si>
    <t>(3162/2529)</t>
  </si>
  <si>
    <t>(3162/2530)</t>
  </si>
  <si>
    <t>(3162/2531)</t>
  </si>
  <si>
    <t>(3162/2532)</t>
  </si>
  <si>
    <t>(3162/2533)</t>
  </si>
  <si>
    <t>(3162/2534)</t>
  </si>
  <si>
    <t>(3162/2535)</t>
  </si>
  <si>
    <t>(3162/2536)</t>
  </si>
  <si>
    <t>(3162/2537)</t>
  </si>
  <si>
    <t>(3162/2538)</t>
  </si>
  <si>
    <t>(3162/2539)</t>
  </si>
  <si>
    <t>(3162/2540)</t>
  </si>
  <si>
    <t>(3162/2541)</t>
  </si>
  <si>
    <t>(3162/2542)</t>
  </si>
  <si>
    <t>(3162/2543)</t>
  </si>
  <si>
    <t>(3162/2544)</t>
  </si>
  <si>
    <t>(3162/2545)</t>
  </si>
  <si>
    <t>(3162/2546)</t>
  </si>
  <si>
    <t>(3162/2547)</t>
  </si>
  <si>
    <t>Zabbix proxy: Utilization of agent poller processes is high</t>
  </si>
  <si>
    <t>Zabbix proxy: 汉化作者建议增大配置文件agent poller参数</t>
  </si>
  <si>
    <t>(3162/2548)</t>
  </si>
  <si>
    <t>(3162/2549)</t>
  </si>
  <si>
    <t>23726</t>
  </si>
  <si>
    <t>Zabbix proxy: Utilization of browser poller processes is high</t>
  </si>
  <si>
    <t>Zabbix proxy: 汉化作者建议增大配置文件 StartBrowserPollers 参数</t>
  </si>
  <si>
    <t>(3162/2550)</t>
  </si>
  <si>
    <t>(3162/2551)</t>
  </si>
  <si>
    <t>(3162/2552)</t>
  </si>
  <si>
    <t>Zabbix proxy: Utilization of discovery manager processes is high</t>
  </si>
  <si>
    <t>Zabbix proxy: 汉化作者建议增大配置文件discovery manager参数</t>
  </si>
  <si>
    <t>(3162/2553)</t>
  </si>
  <si>
    <t>Zabbix proxy: Utilization of discovery worker processes is high</t>
  </si>
  <si>
    <t>Zabbix proxy: 汉化作者建议增大配置文件discovery worker参数</t>
  </si>
  <si>
    <t>(3162/2554)</t>
  </si>
  <si>
    <t>(3162/2555)</t>
  </si>
  <si>
    <t>(3162/2556)</t>
  </si>
  <si>
    <t>Zabbix proxy: Utilization of http agent poller processes is high</t>
  </si>
  <si>
    <t>Zabbix proxy: 汉化作者建议增大配置文件http agent poller参数</t>
  </si>
  <si>
    <t>(3162/2557)</t>
  </si>
  <si>
    <t>(3162/2558)</t>
  </si>
  <si>
    <t>(3162/2559)</t>
  </si>
  <si>
    <t>23727</t>
  </si>
  <si>
    <t>Zabbix proxy: Utilization of internal poller processes is high</t>
  </si>
  <si>
    <t>Zabbix proxy: internal poller 进程的利用率过高</t>
  </si>
  <si>
    <t>(3162/2560)</t>
  </si>
  <si>
    <t>(3162/2561)</t>
  </si>
  <si>
    <t>(3162/2562)</t>
  </si>
  <si>
    <t>(3162/2563)</t>
  </si>
  <si>
    <t>(3162/2564)</t>
  </si>
  <si>
    <t>(3162/2565)</t>
  </si>
  <si>
    <t>(3162/2566)</t>
  </si>
  <si>
    <t>(3162/2567)</t>
  </si>
  <si>
    <t>(3162/2568)</t>
  </si>
  <si>
    <t>23394</t>
  </si>
  <si>
    <t>Zabbix proxy: Utilization of snmp poller processes is high</t>
  </si>
  <si>
    <t>Zabbix proxy: 汉化作者建议增大配置文件snmp poller参数</t>
  </si>
  <si>
    <t>(3162/2569)</t>
  </si>
  <si>
    <t>(3162/2570)</t>
  </si>
  <si>
    <t>(3162/2571)</t>
  </si>
  <si>
    <t>(3162/2572)</t>
  </si>
  <si>
    <t>(3162/2573)</t>
  </si>
  <si>
    <t>(3162/2574)</t>
  </si>
  <si>
    <t>23477</t>
  </si>
  <si>
    <t>Zabbix proxy: Excessive proxy memory buffer usage</t>
  </si>
  <si>
    <t>Zabbix proxy：proxy内存缓冲区使用率过高</t>
  </si>
  <si>
    <t>(3162/2575)</t>
  </si>
  <si>
    <t>24448</t>
  </si>
  <si>
    <t>Zabbix proxy: Wrong template assigned</t>
  </si>
  <si>
    <t>Zabbix proxy: 分配的模板错误</t>
  </si>
  <si>
    <t>(3162/2576)</t>
  </si>
  <si>
    <t>Zabbix proxy: Excessive configuration cache usage</t>
  </si>
  <si>
    <t>Zabbix proxy：配置缓存使用过度</t>
  </si>
  <si>
    <t>(3162/2577)</t>
  </si>
  <si>
    <t>Zabbix proxy: Failed to fetch stats data</t>
  </si>
  <si>
    <t>Zabbix proxy: 无法获取统计数据</t>
  </si>
  <si>
    <t>(3162/2578)</t>
  </si>
  <si>
    <t>(3162/2579)</t>
  </si>
  <si>
    <t>(3162/2580)</t>
  </si>
  <si>
    <t>Zabbix proxy: Excessive vmware cache usage</t>
  </si>
  <si>
    <t>Zabbix proxy：VMware缓存使用过高</t>
  </si>
  <si>
    <t>(3162/2581)</t>
  </si>
  <si>
    <t>Zabbix proxy: Excessive history cache usage</t>
  </si>
  <si>
    <t>Zabbix proxy：历史缓存使用过高</t>
  </si>
  <si>
    <t>(3162/2582)</t>
  </si>
  <si>
    <t>Zabbix proxy: Excessive history index cache usage</t>
  </si>
  <si>
    <t>Zabbix proxy：历史索引缓存使用过高</t>
  </si>
  <si>
    <t>(3162/2583)</t>
  </si>
  <si>
    <t>Zabbix proxy: More than 100 items have been missing data for over 10 minutes</t>
  </si>
  <si>
    <t>Zabbix proxy：超过100个监控项已丢失数据超过10分钟</t>
  </si>
  <si>
    <t>(3162/2584)</t>
  </si>
  <si>
    <t>23301</t>
  </si>
  <si>
    <t>Zabbix server: Utilization of agent poller processes is high</t>
  </si>
  <si>
    <t>Zabbix server: 汉化作者建议增大配置文件agent poller参数</t>
  </si>
  <si>
    <t>(3162/2585)</t>
  </si>
  <si>
    <t>(3162/2586)</t>
  </si>
  <si>
    <t>(3162/2587)</t>
  </si>
  <si>
    <t>(3162/2588)</t>
  </si>
  <si>
    <t>(3162/2589)</t>
  </si>
  <si>
    <t>23736</t>
  </si>
  <si>
    <t>Zabbix server: Utilization of browser poller processes is high</t>
  </si>
  <si>
    <t>Zabbix server: 汉化作者建议增大配置文件 StartBrowserPollers 参数</t>
  </si>
  <si>
    <t>(3162/2590)</t>
  </si>
  <si>
    <t>(3162/2591)</t>
  </si>
  <si>
    <t>23737</t>
  </si>
  <si>
    <t>Zabbix server: Utilization of configuration syncer worker processes is high</t>
  </si>
  <si>
    <t>Zabbix server: 汉化作者建议增大配置文件 StartDBSyncers 参数</t>
  </si>
  <si>
    <t>(3162/2592)</t>
  </si>
  <si>
    <t>23229</t>
  </si>
  <si>
    <t>Zabbix server: Utilization of connector manager processes is high</t>
  </si>
  <si>
    <t>Zabbix server: 汉化作者建议增大配置文件StartConnectors参数</t>
  </si>
  <si>
    <t>(3162/2593)</t>
  </si>
  <si>
    <t>23230</t>
  </si>
  <si>
    <t>Zabbix server: Utilization of connector worker processes is high</t>
  </si>
  <si>
    <t>(3162/2594)</t>
  </si>
  <si>
    <t>Zabbix server: Utilization of discovery manager processes is high</t>
  </si>
  <si>
    <t>Zabbix server: 汉化作者建议增大配置文件discovery manager参数</t>
  </si>
  <si>
    <t>(3162/2595)</t>
  </si>
  <si>
    <t>Zabbix server: Utilization of discovery worker processes is high</t>
  </si>
  <si>
    <t>Zabbix server: 汉化作者建议增大配置文件discovery worker参数</t>
  </si>
  <si>
    <t>(3162/2596)</t>
  </si>
  <si>
    <t>(3162/2597)</t>
  </si>
  <si>
    <t>(3162/2598)</t>
  </si>
  <si>
    <t>(3162/2599)</t>
  </si>
  <si>
    <t>(3162/2600)</t>
  </si>
  <si>
    <t>23302</t>
  </si>
  <si>
    <t>Zabbix server: Utilization of http agent poller processes is high</t>
  </si>
  <si>
    <t>Zabbix server: 汉化作者建议增大配置文件http agent poller参数</t>
  </si>
  <si>
    <t>(3162/2601)</t>
  </si>
  <si>
    <t>(3162/2602)</t>
  </si>
  <si>
    <t>(3162/2603)</t>
  </si>
  <si>
    <t>23738</t>
  </si>
  <si>
    <t>Zabbix server: Utilization of internal poller processes is high</t>
  </si>
  <si>
    <t>Zabbix server: internal poller 进程的利用率过高</t>
  </si>
  <si>
    <t>(3162/2604)</t>
  </si>
  <si>
    <t>(3162/2605)</t>
  </si>
  <si>
    <t>(3162/2606)</t>
  </si>
  <si>
    <t>(3162/2607)</t>
  </si>
  <si>
    <t>(3162/2608)</t>
  </si>
  <si>
    <t>(3162/2609)</t>
  </si>
  <si>
    <t>(3162/2610)</t>
  </si>
  <si>
    <t>(3162/2611)</t>
  </si>
  <si>
    <t>(3162/2612)</t>
  </si>
  <si>
    <t>(3162/2613)</t>
  </si>
  <si>
    <t>23739</t>
  </si>
  <si>
    <t>Zabbix server: Utilization of proxy group manager processes is high</t>
  </si>
  <si>
    <t>Zabbix server: proxy group manager 进程的利用率过高</t>
  </si>
  <si>
    <t>(3162/2614)</t>
  </si>
  <si>
    <t>(3162/2615)</t>
  </si>
  <si>
    <t>(3162/2616)</t>
  </si>
  <si>
    <t>(3162/2617)</t>
  </si>
  <si>
    <t>(3162/2618)</t>
  </si>
  <si>
    <t>(3162/2619)</t>
  </si>
  <si>
    <t>23397</t>
  </si>
  <si>
    <t>Zabbix server: Utilization of snmp poller processes is high</t>
  </si>
  <si>
    <t>Zabbix server: 汉化作者建议增大配置文件snmp poller参数</t>
  </si>
  <si>
    <t>(3162/2620)</t>
  </si>
  <si>
    <t>(3162/2621)</t>
  </si>
  <si>
    <t>(3162/2622)</t>
  </si>
  <si>
    <t>(3162/2623)</t>
  </si>
  <si>
    <t>(3162/2624)</t>
  </si>
  <si>
    <t>(3162/2625)</t>
  </si>
  <si>
    <t>(3162/2626)</t>
  </si>
  <si>
    <t>(3162/2627)</t>
  </si>
  <si>
    <t>Zabbix server: Excessive configuration cache usage</t>
  </si>
  <si>
    <t>Zabbix server：配置缓存使用过度</t>
  </si>
  <si>
    <t>(3162/2628)</t>
  </si>
  <si>
    <t>23303</t>
  </si>
  <si>
    <t>Zabbix server: Failed to fetch stats data</t>
  </si>
  <si>
    <t>Zabbix server: 无法获取统计数据</t>
  </si>
  <si>
    <t>(3162/2629)</t>
  </si>
  <si>
    <t>24524</t>
  </si>
  <si>
    <t>Zabbix server: Wrong template assigned</t>
  </si>
  <si>
    <t>Zabbix server：分配的模板错误</t>
  </si>
  <si>
    <t>(3162/2630)</t>
  </si>
  <si>
    <t>Zabbix server: Excessive value cache usage</t>
  </si>
  <si>
    <t>Zabbix server: 值缓存使用过量</t>
  </si>
  <si>
    <t>(3162/2631)</t>
  </si>
  <si>
    <t>Zabbix server: Zabbix value cache working in low-memory mode</t>
  </si>
  <si>
    <t>Zabbix server: Zabbix值缓存工作在低内存模式下</t>
  </si>
  <si>
    <t>(3162/2632)</t>
  </si>
  <si>
    <t>(3162/2633)</t>
  </si>
  <si>
    <t>Zabbix server: Excessive vmware cache usage</t>
  </si>
  <si>
    <t>Zabbix server: VMware缓存使用过高</t>
  </si>
  <si>
    <t>(3162/2634)</t>
  </si>
  <si>
    <t>Zabbix server: Excessive history cache usage</t>
  </si>
  <si>
    <t>Zabbix server: 历史缓存使用过高</t>
  </si>
  <si>
    <t>(3162/2635)</t>
  </si>
  <si>
    <t>Zabbix server: Excessive history index cache usage</t>
  </si>
  <si>
    <t>Zabbix server：历史索引缓存使用过高</t>
  </si>
  <si>
    <t>(3162/2636)</t>
  </si>
  <si>
    <t>Zabbix server: Excessive trends cache usage</t>
  </si>
  <si>
    <t>Zabbix server：趋势缓存使用过量</t>
  </si>
  <si>
    <t>(3162/2637)</t>
  </si>
  <si>
    <t>Zabbix server: More than 100 items have been missing data for over 10 minutes</t>
  </si>
  <si>
    <t>Zabbix server: 超过100个监控项已持续丢失数据超过10分钟</t>
  </si>
  <si>
    <t>(3162/2638)</t>
  </si>
  <si>
    <t>(3162/2639)</t>
  </si>
  <si>
    <t>(3162/2640)</t>
  </si>
  <si>
    <t>(3162/2641)</t>
  </si>
  <si>
    <t>(3162/2642)</t>
  </si>
  <si>
    <t>(3162/2643)</t>
  </si>
  <si>
    <t>(3162/2644)</t>
  </si>
  <si>
    <t>(3162/2645)</t>
  </si>
  <si>
    <t>(3162/2646)</t>
  </si>
  <si>
    <t>(3162/2647)</t>
  </si>
  <si>
    <t>(3162/2648)</t>
  </si>
  <si>
    <t>(3162/2649)</t>
  </si>
  <si>
    <t>(3162/2650)</t>
  </si>
  <si>
    <t>(3162/2651)</t>
  </si>
  <si>
    <t>(3162/2652)</t>
  </si>
  <si>
    <t>(3162/2653)</t>
  </si>
  <si>
    <t>(3162/2654)</t>
  </si>
  <si>
    <t>(3162/2655)</t>
  </si>
  <si>
    <t>(3162/2656)</t>
  </si>
  <si>
    <t>(3162/2657)</t>
  </si>
  <si>
    <t>(3162/2658)</t>
  </si>
  <si>
    <t>(3162/2659)</t>
  </si>
  <si>
    <t>(3162/2660)</t>
  </si>
  <si>
    <t>(3162/2661)</t>
  </si>
  <si>
    <t>(3162/2662)</t>
  </si>
  <si>
    <t>(3162/2663)</t>
  </si>
  <si>
    <t>(3162/2664)</t>
  </si>
  <si>
    <t>(3162/2665)</t>
  </si>
  <si>
    <t>(3162/2666)</t>
  </si>
  <si>
    <t>(3162/2667)</t>
  </si>
  <si>
    <t>(3162/2668)</t>
  </si>
  <si>
    <t>(3162/2669)</t>
  </si>
  <si>
    <t>(3162/2670)</t>
  </si>
  <si>
    <t>(3162/2671)</t>
  </si>
  <si>
    <t>TiDB PD: Instance is not responding</t>
  </si>
  <si>
    <t>TiDB PD: 实例没有响应</t>
  </si>
  <si>
    <t>(3162/2672)</t>
  </si>
  <si>
    <t>TiDB PD: Instance has been restarted</t>
  </si>
  <si>
    <t>TiDB PD: 实例已重启</t>
  </si>
  <si>
    <t>(3162/2673)</t>
  </si>
  <si>
    <t>TiDB PD: Version has changed</t>
  </si>
  <si>
    <t>TiDB PD: 版本已变更</t>
  </si>
  <si>
    <t>(3162/2674)</t>
  </si>
  <si>
    <t>TiDB TiKV: Too many coprocessor request error</t>
  </si>
  <si>
    <t>TiDB TiKV: 协处理器请求错误太多</t>
  </si>
  <si>
    <t>(3162/2675)</t>
  </si>
  <si>
    <t>TiDB TiKV: Too many pending commands</t>
  </si>
  <si>
    <t>TiDB TiKV: 挂起的命令太多</t>
  </si>
  <si>
    <t>(3162/2676)</t>
  </si>
  <si>
    <t>TiDB TiKV: Instance has been restarted</t>
  </si>
  <si>
    <t>TiDB TiKV: 实例已重启</t>
  </si>
  <si>
    <t>(3162/2677)</t>
  </si>
  <si>
    <t>TiDB TiKV: Too many pending tasks</t>
  </si>
  <si>
    <t>TiDB TiKV: 挂起的任务太多</t>
  </si>
  <si>
    <t>(3162/2678)</t>
  </si>
  <si>
    <t>(3162/2679)</t>
  </si>
  <si>
    <t>(3162/2680)</t>
  </si>
  <si>
    <t>(3162/2681)</t>
  </si>
  <si>
    <t>(3162/2682)</t>
  </si>
  <si>
    <t>(3162/2683)</t>
  </si>
  <si>
    <t>(3162/2684)</t>
  </si>
  <si>
    <t>(3162/2685)</t>
  </si>
  <si>
    <t>(3162/2686)</t>
  </si>
  <si>
    <t>(3162/2687)</t>
  </si>
  <si>
    <t>(3162/2688)</t>
  </si>
  <si>
    <t>TiDB: Instance has been restarted</t>
  </si>
  <si>
    <t>TiDB：实例已重启</t>
  </si>
  <si>
    <t>(3162/2689)</t>
  </si>
  <si>
    <t>(3162/2690)</t>
  </si>
  <si>
    <t>Travis CI: Service is unavailable</t>
  </si>
  <si>
    <t>Travis CI: 服务不可用</t>
  </si>
  <si>
    <t>(3162/2691)</t>
  </si>
  <si>
    <t>Travis CI: Failed to fetch home page</t>
  </si>
  <si>
    <t>Travis CI: 无法获取主页</t>
  </si>
  <si>
    <t>(3162/2692)</t>
  </si>
  <si>
    <t>25039</t>
  </si>
  <si>
    <t>(3162/2693)</t>
  </si>
  <si>
    <t>25040</t>
  </si>
  <si>
    <t>(3162/2694)</t>
  </si>
  <si>
    <t>25041</t>
  </si>
  <si>
    <t>(3162/2695)</t>
  </si>
  <si>
    <t>22597</t>
  </si>
  <si>
    <t>(3162/2696)</t>
  </si>
  <si>
    <t>25044</t>
  </si>
  <si>
    <t>(3162/2697)</t>
  </si>
  <si>
    <t>25042</t>
  </si>
  <si>
    <t>(3162/2698)</t>
  </si>
  <si>
    <t>22595</t>
  </si>
  <si>
    <t>(3162/2699)</t>
  </si>
  <si>
    <t>22596</t>
  </si>
  <si>
    <t>(3162/2700)</t>
  </si>
  <si>
    <t>22593</t>
  </si>
  <si>
    <t>(3162/2701)</t>
  </si>
  <si>
    <t>25043</t>
  </si>
  <si>
    <t>(3162/2702)</t>
  </si>
  <si>
    <t>(3162/2703)</t>
  </si>
  <si>
    <t>(3162/2704)</t>
  </si>
  <si>
    <t>(3162/2705)</t>
  </si>
  <si>
    <t>(3162/2706)</t>
  </si>
  <si>
    <t>(3162/2707)</t>
  </si>
  <si>
    <t>(3162/2708)</t>
  </si>
  <si>
    <t>(3162/2709)</t>
  </si>
  <si>
    <t>(3162/2710)</t>
  </si>
  <si>
    <t>23746</t>
  </si>
  <si>
    <t>VeloCloud: There are errors in edges item preprocessing script</t>
  </si>
  <si>
    <t>(3162/2711)</t>
  </si>
  <si>
    <t>VeloCloud: There are errors in aggregate script item</t>
  </si>
  <si>
    <t>(3162/2712)</t>
  </si>
  <si>
    <t>VeloCloud: Failed to fetch aggregate data</t>
  </si>
  <si>
    <t>(3162/2713)</t>
  </si>
  <si>
    <t>VeloCloud: Orchestrator build has been changed</t>
  </si>
  <si>
    <t>(3162/2714)</t>
  </si>
  <si>
    <t>VeloCloud: Orchestrator version has been changed</t>
  </si>
  <si>
    <t>(3162/2715)</t>
  </si>
  <si>
    <t>VeloCloud: System properties have changed</t>
  </si>
  <si>
    <t>(3162/2716)</t>
  </si>
  <si>
    <t>VMware</t>
  </si>
  <si>
    <t>23769</t>
  </si>
  <si>
    <t>VMware: Failed to get Overall Health VC State</t>
  </si>
  <si>
    <t>VMware: 获取整体运行状况 VC 状态失败.</t>
  </si>
  <si>
    <t>(3162/2717)</t>
  </si>
  <si>
    <t>23770</t>
  </si>
  <si>
    <t>VMware: Overall Health VC State is not Green</t>
  </si>
  <si>
    <t>VMware: 整体运行状况 VC 状态不是绿色.</t>
  </si>
  <si>
    <t>(3162/2718)</t>
  </si>
  <si>
    <t>VMware FQDN</t>
  </si>
  <si>
    <t>23777</t>
  </si>
  <si>
    <t>VMware FQDN: Failed to get Overall Health VC State</t>
  </si>
  <si>
    <t>VMware FQDN: 获取整体运行状况 VC 状态失败.</t>
  </si>
  <si>
    <t>(3162/2719)</t>
  </si>
  <si>
    <t>23778</t>
  </si>
  <si>
    <t>VMware FQDN: Overall Health VC State is not Green</t>
  </si>
  <si>
    <t>VMware FQDN: 整体运行状况 VC 状态不是绿色.</t>
  </si>
  <si>
    <t>(3162/2720)</t>
  </si>
  <si>
    <t>23771</t>
  </si>
  <si>
    <t>VMware Guest: Snapshot consolidation needed</t>
  </si>
  <si>
    <t>VMware Guest: 需要整合快照.</t>
  </si>
  <si>
    <t>(3162/2721)</t>
  </si>
  <si>
    <t>VMware Guest: VM has been restarted</t>
  </si>
  <si>
    <t>VMware Guest: VM已重新启动</t>
  </si>
  <si>
    <t>(3162/2722)</t>
  </si>
  <si>
    <t>23772</t>
  </si>
  <si>
    <t>VMware Guest: VM is not running</t>
  </si>
  <si>
    <t>VMware Guest: 虚拟机未运行.</t>
  </si>
  <si>
    <t>(3162/2723)</t>
  </si>
  <si>
    <t>23773</t>
  </si>
  <si>
    <t>VMware Guest: VMware Tools is not running</t>
  </si>
  <si>
    <t>VMware Guest: VMware Tools 未运行.</t>
  </si>
  <si>
    <t>(3162/2724)</t>
  </si>
  <si>
    <t>VMware Hypervisor: Hypervisor is down</t>
  </si>
  <si>
    <t>VMware Hypervisor: 虚拟机监控程序已关闭</t>
  </si>
  <si>
    <t>(3162/2725)</t>
  </si>
  <si>
    <t>VMware Hypervisor: The {$VMWARE.HV.UUID} health is Red</t>
  </si>
  <si>
    <t>VMware Hypervisor: {$VMWARE.HV.UUID}健康状况为红色</t>
  </si>
  <si>
    <t>(3162/2726)</t>
  </si>
  <si>
    <t>VMware Hypervisor: The {$VMWARE.HV.UUID} health is Yellow</t>
  </si>
  <si>
    <t>VMware Hypervisor: {$VMWARE.HV.UUID}健康状况为黄色</t>
  </si>
  <si>
    <t>(3162/2727)</t>
  </si>
  <si>
    <t>VMware Hypervisor: Hypervisor has been restarted</t>
  </si>
  <si>
    <t>VMware Hypervisor: 虚拟机监控程序已重新启动</t>
  </si>
  <si>
    <t>(3162/2728)</t>
  </si>
  <si>
    <t>Veeam Backup: Failed job runs is too high</t>
  </si>
  <si>
    <t>Veeam Backup: 失败的任务运行次数太多</t>
  </si>
  <si>
    <t>(3162/2729)</t>
  </si>
  <si>
    <t>Veeam Backup: There are errors in requests to API</t>
  </si>
  <si>
    <t>Veeam Backup: API请求有错误</t>
  </si>
  <si>
    <t>(3162/2730)</t>
  </si>
  <si>
    <t>23112</t>
  </si>
  <si>
    <t>Veeam Backup: Warning job runs is too high</t>
  </si>
  <si>
    <t>Veeam Backup: 告警任务运行量太高</t>
  </si>
  <si>
    <t>(3162/2731)</t>
  </si>
  <si>
    <t>(3162/2732)</t>
  </si>
  <si>
    <t>Website by Browser</t>
  </si>
  <si>
    <t>23701</t>
  </si>
  <si>
    <t>Website by Browser: Failed to get metrics data</t>
  </si>
  <si>
    <t>Website by Browser: 无法获取指标数据</t>
  </si>
  <si>
    <t>(3162/2733)</t>
  </si>
  <si>
    <t>23702</t>
  </si>
  <si>
    <t>Website by Browser: Website navigation load event time is too slow</t>
  </si>
  <si>
    <t>Website by Browser: 网站导航加载事件时间太慢</t>
  </si>
  <si>
    <t>(3162/2734)</t>
  </si>
  <si>
    <t>23703</t>
  </si>
  <si>
    <t>Website by Browser: Website resource load event time is too slow</t>
  </si>
  <si>
    <t>Website by Browser: 网站资源加载事件时间太慢</t>
  </si>
  <si>
    <t>(3162/2735)</t>
  </si>
  <si>
    <t>Certificate: SSL certificate expires soon</t>
  </si>
  <si>
    <t>Certificate: SSL证书即将到期</t>
  </si>
  <si>
    <t>(3162/2736)</t>
  </si>
  <si>
    <t>Certificate: Fingerprint has changed</t>
  </si>
  <si>
    <t>Certificate: 指纹已变更</t>
  </si>
  <si>
    <t>(3162/2737)</t>
  </si>
  <si>
    <t>Certificate: SSL certificate is invalid</t>
  </si>
  <si>
    <t>Certificate: SSL证书无效</t>
  </si>
  <si>
    <t>(3162/2738)</t>
  </si>
  <si>
    <t>Website certificate by Zabbix agent 2 active</t>
  </si>
  <si>
    <t>23825</t>
  </si>
  <si>
    <t>(3162/2739)</t>
  </si>
  <si>
    <t>23826</t>
  </si>
  <si>
    <t>(3162/2740)</t>
  </si>
  <si>
    <t>23827</t>
  </si>
  <si>
    <t>(3162/2741)</t>
  </si>
  <si>
    <t>WildFly Domain: WildFly: Host has been restarted</t>
  </si>
  <si>
    <t>WildFly Domain: WildFly: 主机已重新启动</t>
  </si>
  <si>
    <t>(3162/2742)</t>
  </si>
  <si>
    <t>WildFly Domain: WildFly: Version has changed</t>
  </si>
  <si>
    <t>WildFly Domain: WildFly: 版本已变更</t>
  </si>
  <si>
    <t>(3162/2743)</t>
  </si>
  <si>
    <t>WildFly Server: Host has been restarted</t>
  </si>
  <si>
    <t>WildFly Server: 主机已重新启动</t>
  </si>
  <si>
    <t>(3162/2744)</t>
  </si>
  <si>
    <t>WildFly Server: Failed to fetch info data</t>
  </si>
  <si>
    <t>WildFly Server: 无法获取信息数据</t>
  </si>
  <si>
    <t>(3162/2745)</t>
  </si>
  <si>
    <t>WildFly Server: Version has changed</t>
  </si>
  <si>
    <t>WildFly Server: 版本已变更</t>
  </si>
  <si>
    <t>(3162/2746)</t>
  </si>
  <si>
    <t>WildFly Server: Server needs to restart for configuration change.</t>
  </si>
  <si>
    <t>WildFly Server: 服务器需要重新启动以变更配置.</t>
  </si>
  <si>
    <t>(3162/2747)</t>
  </si>
  <si>
    <t>WildFly Server: Server controller is not in RUNNING state</t>
  </si>
  <si>
    <t>WildFly Server: 服务器控制器未处于运行状态</t>
  </si>
  <si>
    <t>(3162/2748)</t>
  </si>
  <si>
    <t>(3162/2749)</t>
  </si>
  <si>
    <t>(3162/2750)</t>
  </si>
  <si>
    <t>(3162/2751)</t>
  </si>
  <si>
    <t>(3162/2752)</t>
  </si>
  <si>
    <t>(3162/2753)</t>
  </si>
  <si>
    <t>(3162/2754)</t>
  </si>
  <si>
    <t>(3162/2755)</t>
  </si>
  <si>
    <t>(3162/2756)</t>
  </si>
  <si>
    <t>(3162/2757)</t>
  </si>
  <si>
    <t>(3162/2758)</t>
  </si>
  <si>
    <t>(3162/2759)</t>
  </si>
  <si>
    <t>(3162/2760)</t>
  </si>
  <si>
    <t>(3162/2761)</t>
  </si>
  <si>
    <t>(3162/2762)</t>
  </si>
  <si>
    <t>(3162/2763)</t>
  </si>
  <si>
    <t>Windows: Operating system description has changed</t>
  </si>
  <si>
    <t>Windows: 操作系统描述已变更</t>
  </si>
  <si>
    <t>(3162/2764)</t>
  </si>
  <si>
    <t>(3162/2765)</t>
  </si>
  <si>
    <t>(3162/2766)</t>
  </si>
  <si>
    <t>(3162/2767)</t>
  </si>
  <si>
    <t>(3162/2768)</t>
  </si>
  <si>
    <t>(3162/2769)</t>
  </si>
  <si>
    <t>(3162/2770)</t>
  </si>
  <si>
    <t>(3162/2771)</t>
  </si>
  <si>
    <t>(3162/2772)</t>
  </si>
  <si>
    <t>(3162/2773)</t>
  </si>
  <si>
    <t>(3162/2774)</t>
  </si>
  <si>
    <t>(3162/2775)</t>
  </si>
  <si>
    <t>(3162/2776)</t>
  </si>
  <si>
    <t>(3162/2777)</t>
  </si>
  <si>
    <t>(3162/2778)</t>
  </si>
  <si>
    <t>(3162/2779)</t>
  </si>
  <si>
    <t>(3162/2780)</t>
  </si>
  <si>
    <t>Windows: Active checks are not available</t>
  </si>
  <si>
    <t>Windows: Node的健康分数是告警</t>
  </si>
  <si>
    <t>(3162/2781)</t>
  </si>
  <si>
    <t>23590</t>
  </si>
  <si>
    <t>(3162/2782)</t>
  </si>
  <si>
    <t>23591</t>
  </si>
  <si>
    <t>(3162/2783)</t>
  </si>
  <si>
    <t>23592</t>
  </si>
  <si>
    <t>(3162/2784)</t>
  </si>
  <si>
    <t>23593</t>
  </si>
  <si>
    <t>(3162/2785)</t>
  </si>
  <si>
    <t>23594</t>
  </si>
  <si>
    <t>(3162/2786)</t>
  </si>
  <si>
    <t>23595</t>
  </si>
  <si>
    <t>(3162/2787)</t>
  </si>
  <si>
    <t>(3162/2788)</t>
  </si>
  <si>
    <t>23596</t>
  </si>
  <si>
    <t>(3162/2789)</t>
  </si>
  <si>
    <t>23597</t>
  </si>
  <si>
    <t>(3162/2790)</t>
  </si>
  <si>
    <t>23598</t>
  </si>
  <si>
    <t>(3162/2791)</t>
  </si>
  <si>
    <t>(3162/2792)</t>
  </si>
  <si>
    <t>(3162/2793)</t>
  </si>
  <si>
    <t>(3162/2794)</t>
  </si>
  <si>
    <t>23589</t>
  </si>
  <si>
    <t>(3162/2795)</t>
  </si>
  <si>
    <t>ZYXEL: No SNMP data collection</t>
  </si>
  <si>
    <t>ZYXEL: 无SNMP数据收集</t>
  </si>
  <si>
    <t>(3162/2796)</t>
  </si>
  <si>
    <t>ZYXEL: Firmware has changed</t>
  </si>
  <si>
    <t>ZYXEL: 固件已变更</t>
  </si>
  <si>
    <t>(3162/2797)</t>
  </si>
  <si>
    <t>ZYXEL: Host has been restarted</t>
  </si>
  <si>
    <t>ZYXEL: 主机已重新启动</t>
  </si>
  <si>
    <t>(3162/2798)</t>
  </si>
  <si>
    <t>ZYXEL: Template does not match hardware</t>
  </si>
  <si>
    <t>ZYXEL: 模板与硬件不匹配</t>
  </si>
  <si>
    <t>(3162/2799)</t>
  </si>
  <si>
    <t>ZYXEL: Device has been replaced</t>
  </si>
  <si>
    <t>ZYXEL: 设备已更换</t>
  </si>
  <si>
    <t>(3162/2800)</t>
  </si>
  <si>
    <t>ZYXEL: Port {#SNMPINDEX} alarm</t>
  </si>
  <si>
    <t>ZYXEL: 端口{#SNMPINDEX}报警</t>
  </si>
  <si>
    <t>(3162/2801)</t>
  </si>
  <si>
    <t>(3162/2802)</t>
  </si>
  <si>
    <t>ZYXEL: High CPU utilization</t>
  </si>
  <si>
    <t>ZYXEL: 高CPU利用率</t>
  </si>
  <si>
    <t>(3162/2803)</t>
  </si>
  <si>
    <t>(3162/2804)</t>
  </si>
  <si>
    <t>(3162/2805)</t>
  </si>
  <si>
    <t>(3162/2806)</t>
  </si>
  <si>
    <t>(3162/2807)</t>
  </si>
  <si>
    <t>(3162/2808)</t>
  </si>
  <si>
    <t>(3162/2809)</t>
  </si>
  <si>
    <t>(3162/2810)</t>
  </si>
  <si>
    <t>(3162/2811)</t>
  </si>
  <si>
    <t>(3162/2812)</t>
  </si>
  <si>
    <t>(3162/2813)</t>
  </si>
  <si>
    <t>(3162/2814)</t>
  </si>
  <si>
    <t>(3162/2815)</t>
  </si>
  <si>
    <t>(3162/2816)</t>
  </si>
  <si>
    <t>(3162/2817)</t>
  </si>
  <si>
    <t>(3162/2818)</t>
  </si>
  <si>
    <t>(3162/2819)</t>
  </si>
  <si>
    <t>(3162/2820)</t>
  </si>
  <si>
    <t>(3162/2821)</t>
  </si>
  <si>
    <t>(3162/2822)</t>
  </si>
  <si>
    <t>(3162/2823)</t>
  </si>
  <si>
    <t>(3162/2824)</t>
  </si>
  <si>
    <t>(3162/2825)</t>
  </si>
  <si>
    <t>(3162/2826)</t>
  </si>
  <si>
    <t>(3162/2827)</t>
  </si>
  <si>
    <t>(3162/2828)</t>
  </si>
  <si>
    <t>(3162/2829)</t>
  </si>
  <si>
    <t>(3162/2830)</t>
  </si>
  <si>
    <t>(3162/2831)</t>
  </si>
  <si>
    <t>(3162/2832)</t>
  </si>
  <si>
    <t>(3162/2833)</t>
  </si>
  <si>
    <t>(3162/2834)</t>
  </si>
  <si>
    <t>(3162/2835)</t>
  </si>
  <si>
    <t>(3162/2836)</t>
  </si>
  <si>
    <t>(3162/2837)</t>
  </si>
  <si>
    <t>(3162/2838)</t>
  </si>
  <si>
    <t>(3162/2839)</t>
  </si>
  <si>
    <t>(3162/2840)</t>
  </si>
  <si>
    <t>(3162/2841)</t>
  </si>
  <si>
    <t>(3162/2842)</t>
  </si>
  <si>
    <t>(3162/2843)</t>
  </si>
  <si>
    <t>(3162/2844)</t>
  </si>
  <si>
    <t>(3162/2845)</t>
  </si>
  <si>
    <t>(3162/2846)</t>
  </si>
  <si>
    <t>(3162/2847)</t>
  </si>
  <si>
    <t>ZYXEL: High memory utilization</t>
  </si>
  <si>
    <t>ZYXEL: 内存利用率高</t>
  </si>
  <si>
    <t>(3162/2848)</t>
  </si>
  <si>
    <t>(3162/2849)</t>
  </si>
  <si>
    <t>(3162/2850)</t>
  </si>
  <si>
    <t>(3162/2851)</t>
  </si>
  <si>
    <t>(3162/2852)</t>
  </si>
  <si>
    <t>(3162/2853)</t>
  </si>
  <si>
    <t>(3162/2854)</t>
  </si>
  <si>
    <t>(3162/2855)</t>
  </si>
  <si>
    <t>(3162/2856)</t>
  </si>
  <si>
    <t>(3162/2857)</t>
  </si>
  <si>
    <t>(3162/2858)</t>
  </si>
  <si>
    <t>(3162/2859)</t>
  </si>
  <si>
    <t>(3162/2860)</t>
  </si>
  <si>
    <t>(3162/2861)</t>
  </si>
  <si>
    <t>(3162/2862)</t>
  </si>
  <si>
    <t>(3162/2863)</t>
  </si>
  <si>
    <t>(3162/2864)</t>
  </si>
  <si>
    <t>(3162/2865)</t>
  </si>
  <si>
    <t>(3162/2866)</t>
  </si>
  <si>
    <t>(3162/2867)</t>
  </si>
  <si>
    <t>(3162/2868)</t>
  </si>
  <si>
    <t>(3162/2869)</t>
  </si>
  <si>
    <t>(3162/2870)</t>
  </si>
  <si>
    <t>(3162/2871)</t>
  </si>
  <si>
    <t>(3162/2872)</t>
  </si>
  <si>
    <t>(3162/2873)</t>
  </si>
  <si>
    <t>(3162/2874)</t>
  </si>
  <si>
    <t>(3162/2875)</t>
  </si>
  <si>
    <t>Zabbix agent is not available</t>
  </si>
  <si>
    <t>Zabbix agent 不可用</t>
  </si>
  <si>
    <t>(3162/2876)</t>
  </si>
  <si>
    <t>(3162/2877)</t>
  </si>
  <si>
    <t>Active checks are not available</t>
  </si>
  <si>
    <t>Node的健康分数是告警</t>
  </si>
  <si>
    <t>(3162/2878)</t>
  </si>
  <si>
    <t>(3162/2879)</t>
  </si>
  <si>
    <t>(3162/2880)</t>
  </si>
  <si>
    <t>23724</t>
  </si>
  <si>
    <t>(3162/2881)</t>
  </si>
  <si>
    <t>(3162/2882)</t>
  </si>
  <si>
    <t>(3162/2883)</t>
  </si>
  <si>
    <t>(3162/2884)</t>
  </si>
  <si>
    <t>(3162/2885)</t>
  </si>
  <si>
    <t>(3162/2886)</t>
  </si>
  <si>
    <t>(3162/2887)</t>
  </si>
  <si>
    <t>(3162/2888)</t>
  </si>
  <si>
    <t>(3162/2889)</t>
  </si>
  <si>
    <t>(3162/2890)</t>
  </si>
  <si>
    <t>23725</t>
  </si>
  <si>
    <t>(3162/2891)</t>
  </si>
  <si>
    <t>(3162/2892)</t>
  </si>
  <si>
    <t>(3162/2893)</t>
  </si>
  <si>
    <t>(3162/2894)</t>
  </si>
  <si>
    <t>(3162/2895)</t>
  </si>
  <si>
    <t>(3162/2896)</t>
  </si>
  <si>
    <t>(3162/2897)</t>
  </si>
  <si>
    <t>(3162/2898)</t>
  </si>
  <si>
    <t>(3162/2899)</t>
  </si>
  <si>
    <t>23393</t>
  </si>
  <si>
    <t>(3162/2900)</t>
  </si>
  <si>
    <t>(3162/2901)</t>
  </si>
  <si>
    <t>(3162/2902)</t>
  </si>
  <si>
    <t>(3162/2903)</t>
  </si>
  <si>
    <t>(3162/2904)</t>
  </si>
  <si>
    <t>(3162/2905)</t>
  </si>
  <si>
    <t>23476</t>
  </si>
  <si>
    <t>Zabbix proxy: 过度的proxy内存缓冲区使用</t>
  </si>
  <si>
    <t>(3162/2906)</t>
  </si>
  <si>
    <t>Zabbix proxy: 超过100个监控项已丢失数据超过10分钟</t>
  </si>
  <si>
    <t>(3162/2907)</t>
  </si>
  <si>
    <t>Zabbix proxy：配置缓存使用过量</t>
  </si>
  <si>
    <t>(3162/2908)</t>
  </si>
  <si>
    <t>24449</t>
  </si>
  <si>
    <t>Zabbix proxy：分配了错误的模板</t>
  </si>
  <si>
    <t>(3162/2909)</t>
  </si>
  <si>
    <t>(3162/2910)</t>
  </si>
  <si>
    <t>(3162/2911)</t>
  </si>
  <si>
    <t>(3162/2912)</t>
  </si>
  <si>
    <t>Zabbix proxy: 历史缓存使用过高</t>
  </si>
  <si>
    <t>(3162/2913)</t>
  </si>
  <si>
    <t>(3162/2914)</t>
  </si>
  <si>
    <t>Zabbix proxy health by Zabbix agent</t>
  </si>
  <si>
    <t>24450</t>
  </si>
  <si>
    <t>(3162/2915)</t>
  </si>
  <si>
    <t>24451</t>
  </si>
  <si>
    <t>(3162/2916)</t>
  </si>
  <si>
    <t>24452</t>
  </si>
  <si>
    <t>(3162/2917)</t>
  </si>
  <si>
    <t>24453</t>
  </si>
  <si>
    <t>(3162/2918)</t>
  </si>
  <si>
    <t>24454</t>
  </si>
  <si>
    <t>(3162/2919)</t>
  </si>
  <si>
    <t>24455</t>
  </si>
  <si>
    <t>(3162/2920)</t>
  </si>
  <si>
    <t>24456</t>
  </si>
  <si>
    <t>(3162/2921)</t>
  </si>
  <si>
    <t>24457</t>
  </si>
  <si>
    <t>(3162/2922)</t>
  </si>
  <si>
    <t>24458</t>
  </si>
  <si>
    <t>(3162/2923)</t>
  </si>
  <si>
    <t>24459</t>
  </si>
  <si>
    <t>(3162/2924)</t>
  </si>
  <si>
    <t>24460</t>
  </si>
  <si>
    <t>(3162/2925)</t>
  </si>
  <si>
    <t>24461</t>
  </si>
  <si>
    <t>(3162/2926)</t>
  </si>
  <si>
    <t>24462</t>
  </si>
  <si>
    <t>(3162/2927)</t>
  </si>
  <si>
    <t>24463</t>
  </si>
  <si>
    <t>(3162/2928)</t>
  </si>
  <si>
    <t>24464</t>
  </si>
  <si>
    <t>(3162/2929)</t>
  </si>
  <si>
    <t>24465</t>
  </si>
  <si>
    <t>(3162/2930)</t>
  </si>
  <si>
    <t>24466</t>
  </si>
  <si>
    <t>(3162/2931)</t>
  </si>
  <si>
    <t>24467</t>
  </si>
  <si>
    <t>(3162/2932)</t>
  </si>
  <si>
    <t>24468</t>
  </si>
  <si>
    <t>(3162/2933)</t>
  </si>
  <si>
    <t>24469</t>
  </si>
  <si>
    <t>(3162/2934)</t>
  </si>
  <si>
    <t>24470</t>
  </si>
  <si>
    <t>(3162/2935)</t>
  </si>
  <si>
    <t>24471</t>
  </si>
  <si>
    <t>(3162/2936)</t>
  </si>
  <si>
    <t>24472</t>
  </si>
  <si>
    <t>(3162/2937)</t>
  </si>
  <si>
    <t>24473</t>
  </si>
  <si>
    <t>(3162/2938)</t>
  </si>
  <si>
    <t>24474</t>
  </si>
  <si>
    <t>(3162/2939)</t>
  </si>
  <si>
    <t>24475</t>
  </si>
  <si>
    <t>(3162/2940)</t>
  </si>
  <si>
    <t>24476</t>
  </si>
  <si>
    <t>(3162/2941)</t>
  </si>
  <si>
    <t>24477</t>
  </si>
  <si>
    <t>Zabbix proxy：proxy内存缓冲区使用过量</t>
  </si>
  <si>
    <t>(3162/2942)</t>
  </si>
  <si>
    <t>24478</t>
  </si>
  <si>
    <t>Zabbix proxy：分配的模板错误</t>
  </si>
  <si>
    <t>(3162/2943)</t>
  </si>
  <si>
    <t>24479</t>
  </si>
  <si>
    <t>(3162/2944)</t>
  </si>
  <si>
    <t>24480</t>
  </si>
  <si>
    <t>(3162/2945)</t>
  </si>
  <si>
    <t>24481</t>
  </si>
  <si>
    <t>(3162/2946)</t>
  </si>
  <si>
    <t>24482</t>
  </si>
  <si>
    <t>(3162/2947)</t>
  </si>
  <si>
    <t>24483</t>
  </si>
  <si>
    <t>Zabbix proxy: VMware缓存使用过高</t>
  </si>
  <si>
    <t>(3162/2948)</t>
  </si>
  <si>
    <t>24484</t>
  </si>
  <si>
    <t>Zabbix proxy：历史缓存使用过量</t>
  </si>
  <si>
    <t>(3162/2949)</t>
  </si>
  <si>
    <t>24485</t>
  </si>
  <si>
    <t>(3162/2950)</t>
  </si>
  <si>
    <t>24486</t>
  </si>
  <si>
    <t>(3162/2951)</t>
  </si>
  <si>
    <t>Zabbix proxy health by Zabbix agent active</t>
  </si>
  <si>
    <t>24487</t>
  </si>
  <si>
    <t>(3162/2952)</t>
  </si>
  <si>
    <t>24488</t>
  </si>
  <si>
    <t>(3162/2953)</t>
  </si>
  <si>
    <t>24489</t>
  </si>
  <si>
    <t>(3162/2954)</t>
  </si>
  <si>
    <t>24490</t>
  </si>
  <si>
    <t>(3162/2955)</t>
  </si>
  <si>
    <t>24491</t>
  </si>
  <si>
    <t>(3162/2956)</t>
  </si>
  <si>
    <t>24492</t>
  </si>
  <si>
    <t>(3162/2957)</t>
  </si>
  <si>
    <t>24493</t>
  </si>
  <si>
    <t>(3162/2958)</t>
  </si>
  <si>
    <t>24494</t>
  </si>
  <si>
    <t>(3162/2959)</t>
  </si>
  <si>
    <t>24495</t>
  </si>
  <si>
    <t>(3162/2960)</t>
  </si>
  <si>
    <t>24496</t>
  </si>
  <si>
    <t>(3162/2961)</t>
  </si>
  <si>
    <t>24497</t>
  </si>
  <si>
    <t>(3162/2962)</t>
  </si>
  <si>
    <t>24498</t>
  </si>
  <si>
    <t>(3162/2963)</t>
  </si>
  <si>
    <t>24499</t>
  </si>
  <si>
    <t>(3162/2964)</t>
  </si>
  <si>
    <t>24500</t>
  </si>
  <si>
    <t>(3162/2965)</t>
  </si>
  <si>
    <t>24501</t>
  </si>
  <si>
    <t>(3162/2966)</t>
  </si>
  <si>
    <t>24502</t>
  </si>
  <si>
    <t>(3162/2967)</t>
  </si>
  <si>
    <t>24503</t>
  </si>
  <si>
    <t>(3162/2968)</t>
  </si>
  <si>
    <t>24504</t>
  </si>
  <si>
    <t>(3162/2969)</t>
  </si>
  <si>
    <t>24505</t>
  </si>
  <si>
    <t>(3162/2970)</t>
  </si>
  <si>
    <t>24506</t>
  </si>
  <si>
    <t>(3162/2971)</t>
  </si>
  <si>
    <t>24507</t>
  </si>
  <si>
    <t>(3162/2972)</t>
  </si>
  <si>
    <t>24508</t>
  </si>
  <si>
    <t>(3162/2973)</t>
  </si>
  <si>
    <t>24509</t>
  </si>
  <si>
    <t>(3162/2974)</t>
  </si>
  <si>
    <t>24510</t>
  </si>
  <si>
    <t>(3162/2975)</t>
  </si>
  <si>
    <t>24511</t>
  </si>
  <si>
    <t>(3162/2976)</t>
  </si>
  <si>
    <t>24512</t>
  </si>
  <si>
    <t>(3162/2977)</t>
  </si>
  <si>
    <t>24513</t>
  </si>
  <si>
    <t>(3162/2978)</t>
  </si>
  <si>
    <t>24514</t>
  </si>
  <si>
    <t>Zabbix proxy：proxy内存缓冲区使用过高</t>
  </si>
  <si>
    <t>(3162/2979)</t>
  </si>
  <si>
    <t>24515</t>
  </si>
  <si>
    <t>(3162/2980)</t>
  </si>
  <si>
    <t>24516</t>
  </si>
  <si>
    <t>(3162/2981)</t>
  </si>
  <si>
    <t>24517</t>
  </si>
  <si>
    <t>(3162/2982)</t>
  </si>
  <si>
    <t>24518</t>
  </si>
  <si>
    <t>(3162/2983)</t>
  </si>
  <si>
    <t>24519</t>
  </si>
  <si>
    <t>(3162/2984)</t>
  </si>
  <si>
    <t>24520</t>
  </si>
  <si>
    <t>(3162/2985)</t>
  </si>
  <si>
    <t>24521</t>
  </si>
  <si>
    <t>(3162/2986)</t>
  </si>
  <si>
    <t>24522</t>
  </si>
  <si>
    <t>Zabbix proxy：历史索引缓存使用过量</t>
  </si>
  <si>
    <t>(3162/2987)</t>
  </si>
  <si>
    <t>24523</t>
  </si>
  <si>
    <t>Zabbix proxy：超过100个监控项已持续丢失数据超过10分钟</t>
  </si>
  <si>
    <t>(3162/2988)</t>
  </si>
  <si>
    <t>(3162/2989)</t>
  </si>
  <si>
    <t>(3162/2990)</t>
  </si>
  <si>
    <t>(3162/2991)</t>
  </si>
  <si>
    <t>(3162/2992)</t>
  </si>
  <si>
    <t>(3162/2993)</t>
  </si>
  <si>
    <t>23728</t>
  </si>
  <si>
    <t>(3162/2994)</t>
  </si>
  <si>
    <t>23729</t>
  </si>
  <si>
    <t>(3162/2995)</t>
  </si>
  <si>
    <t>(3162/2996)</t>
  </si>
  <si>
    <t>(3162/2997)</t>
  </si>
  <si>
    <t>(3162/2998)</t>
  </si>
  <si>
    <t>(3162/2999)</t>
  </si>
  <si>
    <t>(3162/3000)</t>
  </si>
  <si>
    <t>(3162/3001)</t>
  </si>
  <si>
    <t>(3162/3002)</t>
  </si>
  <si>
    <t>(3162/3003)</t>
  </si>
  <si>
    <t>(3162/3004)</t>
  </si>
  <si>
    <t>(3162/3005)</t>
  </si>
  <si>
    <t>(3162/3006)</t>
  </si>
  <si>
    <t>(3162/3007)</t>
  </si>
  <si>
    <t>23730</t>
  </si>
  <si>
    <t>(3162/3008)</t>
  </si>
  <si>
    <t>(3162/3009)</t>
  </si>
  <si>
    <t>(3162/3010)</t>
  </si>
  <si>
    <t>(3162/3011)</t>
  </si>
  <si>
    <t>(3162/3012)</t>
  </si>
  <si>
    <t>(3162/3013)</t>
  </si>
  <si>
    <t>(3162/3014)</t>
  </si>
  <si>
    <t>(3162/3015)</t>
  </si>
  <si>
    <t>(3162/3016)</t>
  </si>
  <si>
    <t>(3162/3017)</t>
  </si>
  <si>
    <t>23731</t>
  </si>
  <si>
    <t>(3162/3018)</t>
  </si>
  <si>
    <t>(3162/3019)</t>
  </si>
  <si>
    <t>(3162/3020)</t>
  </si>
  <si>
    <t>(3162/3021)</t>
  </si>
  <si>
    <t>(3162/3022)</t>
  </si>
  <si>
    <t>(3162/3023)</t>
  </si>
  <si>
    <t>23395</t>
  </si>
  <si>
    <t>(3162/3024)</t>
  </si>
  <si>
    <t>(3162/3025)</t>
  </si>
  <si>
    <t>(3162/3026)</t>
  </si>
  <si>
    <t>(3162/3027)</t>
  </si>
  <si>
    <t>(3162/3028)</t>
  </si>
  <si>
    <t>(3162/3029)</t>
  </si>
  <si>
    <t>(3162/3030)</t>
  </si>
  <si>
    <t>(3162/3031)</t>
  </si>
  <si>
    <t>Zabbix server: 超过100个监控项已持续缺失数据超过10分钟</t>
  </si>
  <si>
    <t>(3162/3032)</t>
  </si>
  <si>
    <t>Zabbix server: 配置缓存使用过量</t>
  </si>
  <si>
    <t>(3162/3033)</t>
  </si>
  <si>
    <t>24525</t>
  </si>
  <si>
    <t>Zabbix server：模板分配错误</t>
  </si>
  <si>
    <t>(3162/3034)</t>
  </si>
  <si>
    <t>(3162/3035)</t>
  </si>
  <si>
    <t>(3162/3036)</t>
  </si>
  <si>
    <t>(3162/3037)</t>
  </si>
  <si>
    <t>(3162/3038)</t>
  </si>
  <si>
    <t>Zabbix server：历史缓存使用过量</t>
  </si>
  <si>
    <t>(3162/3039)</t>
  </si>
  <si>
    <t>Zabbix server: 历史索引缓存使用过高</t>
  </si>
  <si>
    <t>(3162/3040)</t>
  </si>
  <si>
    <t>(3162/3041)</t>
  </si>
  <si>
    <t>Zabbix server health by Zabbix agent</t>
  </si>
  <si>
    <t>24526</t>
  </si>
  <si>
    <t>(3162/3042)</t>
  </si>
  <si>
    <t>24528</t>
  </si>
  <si>
    <t>(3162/3043)</t>
  </si>
  <si>
    <t>24529</t>
  </si>
  <si>
    <t>(3162/3044)</t>
  </si>
  <si>
    <t>24527</t>
  </si>
  <si>
    <t>(3162/3045)</t>
  </si>
  <si>
    <t>24530</t>
  </si>
  <si>
    <t>(3162/3046)</t>
  </si>
  <si>
    <t>24531</t>
  </si>
  <si>
    <t>(3162/3047)</t>
  </si>
  <si>
    <t>24532</t>
  </si>
  <si>
    <t>(3162/3048)</t>
  </si>
  <si>
    <t>24533</t>
  </si>
  <si>
    <t>(3162/3049)</t>
  </si>
  <si>
    <t>24534</t>
  </si>
  <si>
    <t>(3162/3050)</t>
  </si>
  <si>
    <t>24535</t>
  </si>
  <si>
    <t>(3162/3051)</t>
  </si>
  <si>
    <t>24536</t>
  </si>
  <si>
    <t>(3162/3052)</t>
  </si>
  <si>
    <t>24537</t>
  </si>
  <si>
    <t>(3162/3053)</t>
  </si>
  <si>
    <t>24538</t>
  </si>
  <si>
    <t>(3162/3054)</t>
  </si>
  <si>
    <t>24539</t>
  </si>
  <si>
    <t>(3162/3055)</t>
  </si>
  <si>
    <t>24540</t>
  </si>
  <si>
    <t>(3162/3056)</t>
  </si>
  <si>
    <t>24541</t>
  </si>
  <si>
    <t>(3162/3057)</t>
  </si>
  <si>
    <t>24542</t>
  </si>
  <si>
    <t>(3162/3058)</t>
  </si>
  <si>
    <t>24543</t>
  </si>
  <si>
    <t>(3162/3059)</t>
  </si>
  <si>
    <t>24544</t>
  </si>
  <si>
    <t>(3162/3060)</t>
  </si>
  <si>
    <t>24545</t>
  </si>
  <si>
    <t>(3162/3061)</t>
  </si>
  <si>
    <t>24546</t>
  </si>
  <si>
    <t>(3162/3062)</t>
  </si>
  <si>
    <t>24547</t>
  </si>
  <si>
    <t>(3162/3063)</t>
  </si>
  <si>
    <t>24548</t>
  </si>
  <si>
    <t>(3162/3064)</t>
  </si>
  <si>
    <t>24549</t>
  </si>
  <si>
    <t>(3162/3065)</t>
  </si>
  <si>
    <t>24550</t>
  </si>
  <si>
    <t>(3162/3066)</t>
  </si>
  <si>
    <t>24551</t>
  </si>
  <si>
    <t>(3162/3067)</t>
  </si>
  <si>
    <t>24552</t>
  </si>
  <si>
    <t>(3162/3068)</t>
  </si>
  <si>
    <t>24553</t>
  </si>
  <si>
    <t>(3162/3069)</t>
  </si>
  <si>
    <t>24554</t>
  </si>
  <si>
    <t>(3162/3070)</t>
  </si>
  <si>
    <t>24555</t>
  </si>
  <si>
    <t>(3162/3071)</t>
  </si>
  <si>
    <t>24556</t>
  </si>
  <si>
    <t>(3162/3072)</t>
  </si>
  <si>
    <t>24557</t>
  </si>
  <si>
    <t>(3162/3073)</t>
  </si>
  <si>
    <t>24558</t>
  </si>
  <si>
    <t>(3162/3074)</t>
  </si>
  <si>
    <t>24559</t>
  </si>
  <si>
    <t>(3162/3075)</t>
  </si>
  <si>
    <t>24560</t>
  </si>
  <si>
    <t>(3162/3076)</t>
  </si>
  <si>
    <t>24561</t>
  </si>
  <si>
    <t>(3162/3077)</t>
  </si>
  <si>
    <t>24562</t>
  </si>
  <si>
    <t>(3162/3078)</t>
  </si>
  <si>
    <t>24563</t>
  </si>
  <si>
    <t>(3162/3079)</t>
  </si>
  <si>
    <t>24564</t>
  </si>
  <si>
    <t>(3162/3080)</t>
  </si>
  <si>
    <t>24565</t>
  </si>
  <si>
    <t>(3162/3081)</t>
  </si>
  <si>
    <t>24566</t>
  </si>
  <si>
    <t>(3162/3082)</t>
  </si>
  <si>
    <t>24567</t>
  </si>
  <si>
    <t>(3162/3083)</t>
  </si>
  <si>
    <t>24568</t>
  </si>
  <si>
    <t>(3162/3084)</t>
  </si>
  <si>
    <t>24569</t>
  </si>
  <si>
    <t>Zabbix server：配置缓存使用过量</t>
  </si>
  <si>
    <t>(3162/3085)</t>
  </si>
  <si>
    <t>24570</t>
  </si>
  <si>
    <t>(3162/3086)</t>
  </si>
  <si>
    <t>24571</t>
  </si>
  <si>
    <t>(3162/3087)</t>
  </si>
  <si>
    <t>24572</t>
  </si>
  <si>
    <t>Zabbix server：值缓存使用过量</t>
  </si>
  <si>
    <t>(3162/3088)</t>
  </si>
  <si>
    <t>24573</t>
  </si>
  <si>
    <t>Zabbix server：Zabbix值缓存工作在低内存模式下</t>
  </si>
  <si>
    <t>(3162/3089)</t>
  </si>
  <si>
    <t>24574</t>
  </si>
  <si>
    <t>(3162/3090)</t>
  </si>
  <si>
    <t>24575</t>
  </si>
  <si>
    <t>Zabbix server：VMware缓存使用过高</t>
  </si>
  <si>
    <t>(3162/3091)</t>
  </si>
  <si>
    <t>24576</t>
  </si>
  <si>
    <t>(3162/3092)</t>
  </si>
  <si>
    <t>24577</t>
  </si>
  <si>
    <t>(3162/3093)</t>
  </si>
  <si>
    <t>24578</t>
  </si>
  <si>
    <t>(3162/3094)</t>
  </si>
  <si>
    <t>24579</t>
  </si>
  <si>
    <t>Zabbix server：超过100个监控项已持续丢失数据超过10分钟</t>
  </si>
  <si>
    <t>(3162/3095)</t>
  </si>
  <si>
    <t>Zabbix server health by Zabbix agent active</t>
  </si>
  <si>
    <t>24580</t>
  </si>
  <si>
    <t>(3162/3096)</t>
  </si>
  <si>
    <t>24582</t>
  </si>
  <si>
    <t>(3162/3097)</t>
  </si>
  <si>
    <t>24583</t>
  </si>
  <si>
    <t>(3162/3098)</t>
  </si>
  <si>
    <t>24581</t>
  </si>
  <si>
    <t>(3162/3099)</t>
  </si>
  <si>
    <t>24584</t>
  </si>
  <si>
    <t>(3162/3100)</t>
  </si>
  <si>
    <t>24585</t>
  </si>
  <si>
    <t>(3162/3101)</t>
  </si>
  <si>
    <t>24586</t>
  </si>
  <si>
    <t>(3162/3102)</t>
  </si>
  <si>
    <t>24587</t>
  </si>
  <si>
    <t>(3162/3103)</t>
  </si>
  <si>
    <t>24588</t>
  </si>
  <si>
    <t>(3162/3104)</t>
  </si>
  <si>
    <t>24589</t>
  </si>
  <si>
    <t>(3162/3105)</t>
  </si>
  <si>
    <t>24590</t>
  </si>
  <si>
    <t>(3162/3106)</t>
  </si>
  <si>
    <t>24591</t>
  </si>
  <si>
    <t>(3162/3107)</t>
  </si>
  <si>
    <t>24592</t>
  </si>
  <si>
    <t>(3162/3108)</t>
  </si>
  <si>
    <t>24593</t>
  </si>
  <si>
    <t>(3162/3109)</t>
  </si>
  <si>
    <t>24594</t>
  </si>
  <si>
    <t>(3162/3110)</t>
  </si>
  <si>
    <t>24595</t>
  </si>
  <si>
    <t>(3162/3111)</t>
  </si>
  <si>
    <t>24596</t>
  </si>
  <si>
    <t>(3162/3112)</t>
  </si>
  <si>
    <t>24597</t>
  </si>
  <si>
    <t>(3162/3113)</t>
  </si>
  <si>
    <t>24598</t>
  </si>
  <si>
    <t>(3162/3114)</t>
  </si>
  <si>
    <t>24599</t>
  </si>
  <si>
    <t>(3162/3115)</t>
  </si>
  <si>
    <t>24600</t>
  </si>
  <si>
    <t>(3162/3116)</t>
  </si>
  <si>
    <t>24601</t>
  </si>
  <si>
    <t>(3162/3117)</t>
  </si>
  <si>
    <t>24602</t>
  </si>
  <si>
    <t>(3162/3118)</t>
  </si>
  <si>
    <t>24603</t>
  </si>
  <si>
    <t>(3162/3119)</t>
  </si>
  <si>
    <t>24604</t>
  </si>
  <si>
    <t>(3162/3120)</t>
  </si>
  <si>
    <t>24605</t>
  </si>
  <si>
    <t>(3162/3121)</t>
  </si>
  <si>
    <t>24606</t>
  </si>
  <si>
    <t>(3162/3122)</t>
  </si>
  <si>
    <t>24607</t>
  </si>
  <si>
    <t>(3162/3123)</t>
  </si>
  <si>
    <t>24608</t>
  </si>
  <si>
    <t>(3162/3124)</t>
  </si>
  <si>
    <t>24609</t>
  </si>
  <si>
    <t>(3162/3125)</t>
  </si>
  <si>
    <t>24610</t>
  </si>
  <si>
    <t>(3162/3126)</t>
  </si>
  <si>
    <t>24611</t>
  </si>
  <si>
    <t>(3162/3127)</t>
  </si>
  <si>
    <t>24612</t>
  </si>
  <si>
    <t>(3162/3128)</t>
  </si>
  <si>
    <t>24613</t>
  </si>
  <si>
    <t>(3162/3129)</t>
  </si>
  <si>
    <t>24614</t>
  </si>
  <si>
    <t>(3162/3130)</t>
  </si>
  <si>
    <t>24615</t>
  </si>
  <si>
    <t>(3162/3131)</t>
  </si>
  <si>
    <t>24616</t>
  </si>
  <si>
    <t>(3162/3132)</t>
  </si>
  <si>
    <t>24617</t>
  </si>
  <si>
    <t>(3162/3133)</t>
  </si>
  <si>
    <t>24618</t>
  </si>
  <si>
    <t>(3162/3134)</t>
  </si>
  <si>
    <t>24619</t>
  </si>
  <si>
    <t>(3162/3135)</t>
  </si>
  <si>
    <t>24620</t>
  </si>
  <si>
    <t>(3162/3136)</t>
  </si>
  <si>
    <t>24621</t>
  </si>
  <si>
    <t>(3162/3137)</t>
  </si>
  <si>
    <t>24622</t>
  </si>
  <si>
    <t>(3162/3138)</t>
  </si>
  <si>
    <t>24623</t>
  </si>
  <si>
    <t>(3162/3139)</t>
  </si>
  <si>
    <t>24624</t>
  </si>
  <si>
    <t>(3162/3140)</t>
  </si>
  <si>
    <t>24625</t>
  </si>
  <si>
    <t>(3162/3141)</t>
  </si>
  <si>
    <t>24626</t>
  </si>
  <si>
    <t>(3162/3142)</t>
  </si>
  <si>
    <t>24627</t>
  </si>
  <si>
    <t>(3162/3143)</t>
  </si>
  <si>
    <t>24628</t>
  </si>
  <si>
    <t>(3162/3144)</t>
  </si>
  <si>
    <t>24629</t>
  </si>
  <si>
    <t>(3162/3145)</t>
  </si>
  <si>
    <t>24630</t>
  </si>
  <si>
    <t>Zabbix server: 历史缓存使用过量</t>
  </si>
  <si>
    <t>(3162/3146)</t>
  </si>
  <si>
    <t>24631</t>
  </si>
  <si>
    <t>(3162/3147)</t>
  </si>
  <si>
    <t>24632</t>
  </si>
  <si>
    <t>(3162/3148)</t>
  </si>
  <si>
    <t>24633</t>
  </si>
  <si>
    <t>(3162/3149)</t>
  </si>
  <si>
    <t>(3162/3150)</t>
  </si>
  <si>
    <t>(3162/3151)</t>
  </si>
  <si>
    <t>(3162/3152)</t>
  </si>
  <si>
    <t>(3162/3153)</t>
  </si>
  <si>
    <t>(3162/3154)</t>
  </si>
  <si>
    <t>(3162/3155)</t>
  </si>
  <si>
    <t>(3162/3156)</t>
  </si>
  <si>
    <t>(3162/3157)</t>
  </si>
  <si>
    <t>(3162/3158)</t>
  </si>
  <si>
    <t>(3162/3159)</t>
  </si>
  <si>
    <t>(3162/3160)</t>
  </si>
  <si>
    <t>(3162/3161)</t>
  </si>
  <si>
    <t>(3162/3162)</t>
  </si>
  <si>
    <t>运行的进程太多</t>
  </si>
  <si>
    <t>Azure SQL 实例：Azure SQL 托管实例性能下降</t>
  </si>
  <si>
    <t>Azure SQL 实例：Azure SQL 托管实例处于未知状态</t>
  </si>
  <si>
    <t>Azure SQL 实例：Azure SQL 托管实例不可用</t>
  </si>
  <si>
    <t>Azure SQL 实例：实例排序规则已更改</t>
  </si>
  <si>
    <t>Azure SQL 实例：CPU 利用率极高</t>
  </si>
  <si>
    <t>Azure SQL 实例：CPU 利用率高</t>
  </si>
  <si>
    <t>Azure SQL 实例：API 请求中存在错误</t>
  </si>
  <si>
    <t>Azure SQL 实例：实例配置状态已更改</t>
  </si>
  <si>
    <t>Azure SQL 实例：实例状态已更改</t>
  </si>
  <si>
    <t>Azure SQL 实例：存储可用空间严重不足</t>
  </si>
  <si>
    <t>Azure SQL 实例：存储可用空间不足</t>
  </si>
  <si>
    <t>Dell R660：固件已更改</t>
  </si>
  <si>
    <t>Dell R660：设备已更换</t>
  </si>
  <si>
    <t>Dell R660：服务器处于严重状态</t>
  </si>
  <si>
    <t>Dell R660：服务器处于警告状态</t>
  </si>
  <si>
    <t>Dell R660：CPU 利用率高</t>
  </si>
  <si>
    <t>Dell R660：CPU 利用率过高</t>
  </si>
  <si>
    <t>Dell R660：IO 利用率高</t>
  </si>
  <si>
    <t>Dell R660：IO 利用率过高</t>
  </si>
  <si>
    <t>Dell R660：内存利用率高</t>
  </si>
  <si>
    <t>Dell R660：内存利用率过高</t>
  </si>
  <si>
    <t>Dell R660：系统利用率高</t>
  </si>
  <si>
    <t>Dell R660：系统利用率过高</t>
  </si>
  <si>
    <t>Dell R660：Redfish API 服务不可用</t>
  </si>
  <si>
    <t>Dell R660：主机已重启</t>
  </si>
  <si>
    <t>Dell R660：内存容量已更改</t>
  </si>
  <si>
    <t>Dell R660：系统名称已更改</t>
  </si>
  <si>
    <t>Dell R660：系统处于不可恢复状态</t>
  </si>
  <si>
    <t>Dell R660：系统状态为严重</t>
  </si>
  <si>
    <t>Dell R660：系统状态为警告</t>
  </si>
  <si>
    <t>Dell R660：操作系统描述已更改</t>
  </si>
  <si>
    <t>Dell R660：无 SNMP 数据收集</t>
  </si>
  <si>
    <t>Dell R720：服务器处于警告状态</t>
  </si>
  <si>
    <t>Dell R720：CPU 利用率高</t>
  </si>
  <si>
    <t>Dell R720：CPU 利用率过高</t>
  </si>
  <si>
    <t>Dell R720：IO 利用率高</t>
  </si>
  <si>
    <t>Dell R720：IO 利用率过高</t>
  </si>
  <si>
    <t>Dell R720：内存利用率高</t>
  </si>
  <si>
    <t>Dell R720：内存利用率过高</t>
  </si>
  <si>
    <t>Dell R720：系统利用率高</t>
  </si>
  <si>
    <t>Dell R720：系统利用率过高</t>
  </si>
  <si>
    <t>Dell R720：内存容量已更改</t>
  </si>
  <si>
    <t>Dell R740：服务器处于警告状态</t>
  </si>
  <si>
    <t>Dell R740：CPU 利用率高</t>
  </si>
  <si>
    <t>Dell R740：CPU 利用率过高</t>
  </si>
  <si>
    <t>Dell R740：IO 利用率高</t>
  </si>
  <si>
    <t>Dell R740：IO 利用率过高</t>
  </si>
  <si>
    <t>Dell R740：内存利用率高</t>
  </si>
  <si>
    <t>Dell R740：内存利用率过高</t>
  </si>
  <si>
    <t>Dell R740：系统利用率高</t>
  </si>
  <si>
    <t>Dell R740：系统利用率过高</t>
  </si>
  <si>
    <t>Dell R740：内存容量已更改</t>
  </si>
  <si>
    <t>Dell R750：固件已更改</t>
  </si>
  <si>
    <t>Dell R750：设备已更换</t>
  </si>
  <si>
    <t>Dell R750：服务器处于严重状态</t>
  </si>
  <si>
    <t>Dell R750：服务器处于警告状态</t>
  </si>
  <si>
    <t>Dell R750：CPU 利用率高</t>
  </si>
  <si>
    <t>Dell R750：CPU 利用率过高</t>
  </si>
  <si>
    <t>Dell R750：IO 利用率高</t>
  </si>
  <si>
    <t>Dell R750：IO 利用率过高</t>
  </si>
  <si>
    <t>Dell R750：内存利用率高</t>
  </si>
  <si>
    <t>Dell R750：内存利用率过高</t>
  </si>
  <si>
    <t>Dell R750：系统利用率高</t>
  </si>
  <si>
    <t>Dell R750：系统利用率过高</t>
  </si>
  <si>
    <t>Dell R750：Redfish API 服务不可用</t>
  </si>
  <si>
    <t>Dell R750：主机已重启</t>
  </si>
  <si>
    <t>Dell R750：内存容量已更改</t>
  </si>
  <si>
    <t>Dell R750：系统名称已更改</t>
  </si>
  <si>
    <t>Dell R750：系统处于不可恢复状态</t>
  </si>
  <si>
    <t>Dell R750：系统状态为严重</t>
  </si>
  <si>
    <t>Dell R750：系统状态为警告</t>
  </si>
  <si>
    <t>Dell R750：操作系统描述已更改</t>
  </si>
  <si>
    <t>Dell R750：无 SNMP 数据收集</t>
  </si>
  <si>
    <t>Dell R820：服务器处于警告状态</t>
  </si>
  <si>
    <t>Dell R820：CPU 利用率高</t>
  </si>
  <si>
    <t>Dell R820：CPU 利用率过高</t>
  </si>
  <si>
    <t>Dell R820：IO 利用率高</t>
  </si>
  <si>
    <t>Dell R820：IO 利用率过高</t>
  </si>
  <si>
    <t>Dell R820：内存利用率高</t>
  </si>
  <si>
    <t>Dell R820：内存利用率过高</t>
  </si>
  <si>
    <t>Dell R820：系统利用率高</t>
  </si>
  <si>
    <t>Dell R820：系统利用率过高</t>
  </si>
  <si>
    <t>Dell R820：内存容量已更改</t>
  </si>
  <si>
    <t>Dell R840：服务器处于警告状态</t>
  </si>
  <si>
    <t>Dell R840：CPU 利用率高</t>
  </si>
  <si>
    <t>Dell R840：CPU 利用率过高</t>
  </si>
  <si>
    <t>Dell R840：IO 利用率高</t>
  </si>
  <si>
    <t>Dell R840：IO 利用率过高</t>
  </si>
  <si>
    <t>Dell R840：内存利用率高</t>
  </si>
  <si>
    <t>Dell R840：内存利用率过高</t>
  </si>
  <si>
    <t>Dell R840：系统利用率高</t>
  </si>
  <si>
    <t>Dell R840：系统利用率过高</t>
  </si>
  <si>
    <t>Dell R840：内存容量已更改</t>
  </si>
  <si>
    <t>Dell iDRAC：内存容量已更改</t>
  </si>
  <si>
    <t>Dell iDRAC：系统处于不可恢复状态</t>
  </si>
  <si>
    <t>PA-440：无法从 API 获取设备证书数据</t>
  </si>
  <si>
    <t>PA-440：无法从 API 获取证书数据</t>
  </si>
  <si>
    <t>PA-440：无法从 API 获取环境数据</t>
  </si>
  <si>
    <t>PA-440：无法从 API 获取 HA 数据</t>
  </si>
  <si>
    <t>PA-440：无法从 API 获取许可证数据</t>
  </si>
  <si>
    <t>PA-440：无法从 API 获取 OSPF 邻居数据</t>
  </si>
  <si>
    <t>PA-440：无法从 API 获取 OSPFv3 邻居数据</t>
  </si>
  <si>
    <t>PA-440：无法从 API 获取会话信息数据</t>
  </si>
  <si>
    <t>PA-440：无法从 API 获取系统信息数据</t>
  </si>
  <si>
    <t>PA-440：无法从 API 获取系统状态数据</t>
  </si>
  <si>
    <t>DELL PowerEdge R720: Firmware has changed</t>
  </si>
  <si>
    <t>DELL PowerEdge R720: Device has been replaced</t>
  </si>
  <si>
    <t>DELL PowerEdge R720: Server is in a critical state</t>
  </si>
  <si>
    <t>DELL PowerEdge R720: Server is in warning state</t>
  </si>
  <si>
    <t>DELL PowerEdge R720: Redfish API service is unavailable</t>
  </si>
  <si>
    <t>DELL PowerEdge R720: Host has been restarted</t>
  </si>
  <si>
    <t>DELL PowerEdge R720: System name has changed</t>
  </si>
  <si>
    <t>DELL PowerEdge R720: System is in unrecoverable state</t>
  </si>
  <si>
    <t>DELL PowerEdge R720: System status is in critical state</t>
  </si>
  <si>
    <t>DELL PowerEdge R720: System status is in warning state</t>
  </si>
  <si>
    <t>DELL PowerEdge R720: Operating system description has changed</t>
  </si>
  <si>
    <t>DELL PowerEdge R720: No SNMP data collection</t>
  </si>
  <si>
    <t>DELL PowerEdge R740: Firmware has changed</t>
  </si>
  <si>
    <t>DELL PowerEdge R740: Device has been replaced</t>
  </si>
  <si>
    <t>DELL PowerEdge R740: Server is in a critical state</t>
  </si>
  <si>
    <t>DELL PowerEdge R740: Server is in warning state</t>
  </si>
  <si>
    <t>DELL PowerEdge R740: Redfish API service is unavailable</t>
  </si>
  <si>
    <t>DELL PowerEdge R740: Host has been restarted</t>
  </si>
  <si>
    <t>DELL PowerEdge R740: System name has changed</t>
  </si>
  <si>
    <t>DELL PowerEdge R740: System is in unrecoverable state</t>
  </si>
  <si>
    <t>DELL PowerEdge R740: System status is in critical state</t>
  </si>
  <si>
    <t>DELL PowerEdge R740: System status is in warning state</t>
  </si>
  <si>
    <t>DELL PowerEdge R740: Operating system description has changed</t>
  </si>
  <si>
    <t>DELL PowerEdge R740: No SNMP data collection</t>
  </si>
  <si>
    <t>DELL PowerEdge R820: Firmware has changed</t>
  </si>
  <si>
    <t>DELL PowerEdge R820: Device has been replaced</t>
  </si>
  <si>
    <t>DELL PowerEdge R820: Server is in a critical state</t>
  </si>
  <si>
    <t>DELL PowerEdge R820: Server is in warning state</t>
  </si>
  <si>
    <t>DELL PowerEdge R820: Redfish API service is unavailable</t>
  </si>
  <si>
    <t>DELL PowerEdge R820: Host has been restarted</t>
  </si>
  <si>
    <t>DELL PowerEdge R820: System name has changed</t>
  </si>
  <si>
    <t>DELL PowerEdge R820: System is in unrecoverable state</t>
  </si>
  <si>
    <t>DELL PowerEdge R820: System status is in critical state</t>
  </si>
  <si>
    <t>DELL PowerEdge R820: System status is in warning state</t>
  </si>
  <si>
    <t>DELL PowerEdge R820: Operating system description has changed</t>
  </si>
  <si>
    <t>DELL PowerEdge R820: No SNMP data collection</t>
  </si>
  <si>
    <t>DELL PowerEdge R840: Firmware has changed</t>
  </si>
  <si>
    <t>DELL PowerEdge R840: Device has been replaced</t>
  </si>
  <si>
    <t>DELL PowerEdge R840: Server is in a critical state</t>
  </si>
  <si>
    <t>DELL PowerEdge R840: Server is in warning state</t>
  </si>
  <si>
    <t>DELL PowerEdge R840: Redfish API service is unavailable</t>
  </si>
  <si>
    <t>DELL PowerEdge R840: Host has been restarted</t>
  </si>
  <si>
    <t>DELL PowerEdge R840: System name has changed</t>
  </si>
  <si>
    <t>DELL PowerEdge R840: System is in unrecoverable state</t>
  </si>
  <si>
    <t>DELL PowerEdge R840: System status is in critical state</t>
  </si>
  <si>
    <t>DELL PowerEdge R840: System status is in warning state</t>
  </si>
  <si>
    <t>DELL PowerEdge R840: Operating system description has changed</t>
  </si>
  <si>
    <t>DELL PowerEdge R840: No SNMP data collection</t>
  </si>
  <si>
    <t>HashiCorp Vault: has been restarted</t>
  </si>
  <si>
    <t>Zabbix proxy: More than {$ZABBIX.PROXY.UTIL.MAX:"proxy buffer"}% used in the proxy memory buffer</t>
  </si>
  <si>
    <t>TiDB PD: has been restarted</t>
  </si>
  <si>
    <t>TiDB TiKV: has been restarted</t>
  </si>
  <si>
    <t>(310/1)</t>
  </si>
  <si>
    <t>AIX: Zabbix代理不可用</t>
  </si>
  <si>
    <t>(310/2)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</si>
  <si>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</si>
  <si>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</si>
  <si>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</si>
  <si>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</si>
  <si>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</si>
  <si>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</si>
  <si>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</si>
  <si>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</si>
  <si>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</si>
  <si>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</si>
  <si>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</si>
  <si>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(310/14)</t>
  </si>
  <si>
    <t>(310/15)</t>
  </si>
  <si>
    <t>(310/16)</t>
  </si>
  <si>
    <t>23518</t>
  </si>
  <si>
    <t>AWS ELB ALB：HTTP 4XX错误代码过多</t>
  </si>
  <si>
    <t>23519</t>
  </si>
  <si>
    <t>AWS ELB ALB：HTTP 5XX错误代码过多</t>
  </si>
  <si>
    <t>23517</t>
  </si>
  <si>
    <t>AWS ELB ALB：获取警报数据失败</t>
  </si>
  <si>
    <t>23520</t>
  </si>
  <si>
    <t>AWS ELB ALB：获取指标数据失败</t>
  </si>
  <si>
    <t>(310/17)</t>
  </si>
  <si>
    <t>(310/18)</t>
  </si>
  <si>
    <t>(310/19)</t>
  </si>
  <si>
    <t>(310/20)</t>
  </si>
  <si>
    <t>(310/21)</t>
  </si>
  <si>
    <t>Kafka: 代理未连接到ZooKeeper</t>
  </si>
  <si>
    <t>(310/22)</t>
  </si>
  <si>
    <t>(310/23)</t>
  </si>
  <si>
    <t>(310/24)</t>
  </si>
  <si>
    <t>(310/25)</t>
  </si>
  <si>
    <t>(310/26)</t>
  </si>
  <si>
    <t>(310/27)</t>
  </si>
  <si>
    <t>23237</t>
  </si>
  <si>
    <t>Azure MongoDB: 用于MongoDB帐户的CosmosDB</t>
  </si>
  <si>
    <t>(310/28)</t>
  </si>
  <si>
    <t>(310/29)</t>
  </si>
  <si>
    <t>(310/30)</t>
  </si>
  <si>
    <t>(310/31)</t>
  </si>
  <si>
    <t>(310/32)</t>
  </si>
  <si>
    <t>(310/33)</t>
  </si>
  <si>
    <t>(310/34)</t>
  </si>
  <si>
    <t>(310/35)</t>
  </si>
  <si>
    <t>(310/36)</t>
  </si>
  <si>
    <t>(310/37)</t>
  </si>
  <si>
    <t>(310/38)</t>
  </si>
  <si>
    <t>(310/39)</t>
  </si>
  <si>
    <t>(310/40)</t>
  </si>
  <si>
    <t>Check Point：设备已被替换</t>
  </si>
  <si>
    <t>Check Point：CPU利用率过高</t>
  </si>
  <si>
    <t>Check Point：ICMP丢包率过高</t>
  </si>
  <si>
    <t>Check Point：ICMP ping无响应</t>
  </si>
  <si>
    <t>Check Point：ICMP ping响应时间过高</t>
  </si>
  <si>
    <t>23588</t>
  </si>
  <si>
    <t>Check Point：平均负载过高</t>
  </si>
  <si>
    <t>Check Point：内存利用率过高</t>
  </si>
  <si>
    <t>23587</t>
  </si>
  <si>
    <t>Check Point：无SNMP数据采集</t>
  </si>
  <si>
    <t>Check Point：系统名称已更改</t>
  </si>
  <si>
    <t>Check Point：设备已重新启动</t>
  </si>
  <si>
    <t>(310/41)</t>
  </si>
  <si>
    <t>(310/42)</t>
  </si>
  <si>
    <t>(310/43)</t>
  </si>
  <si>
    <t>(310/44)</t>
  </si>
  <si>
    <t>(310/45)</t>
  </si>
  <si>
    <t>(310/46)</t>
  </si>
  <si>
    <t>(310/47)</t>
  </si>
  <si>
    <t>(310/48)</t>
  </si>
  <si>
    <t>(310/49)</t>
  </si>
  <si>
    <t>(310/50)</t>
  </si>
  <si>
    <t>(310/51)</t>
  </si>
  <si>
    <t>(310/52)</t>
  </si>
  <si>
    <t>(310/53)</t>
  </si>
  <si>
    <t>(310/54)</t>
  </si>
  <si>
    <t>(310/55)</t>
  </si>
  <si>
    <t>(310/56)</t>
  </si>
  <si>
    <t>(310/57)</t>
  </si>
  <si>
    <t>(310/58)</t>
  </si>
  <si>
    <t>(310/59)</t>
  </si>
  <si>
    <t>(310/60)</t>
  </si>
  <si>
    <t>(310/61)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</si>
  <si>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</si>
  <si>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</si>
  <si>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</si>
  <si>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</si>
  <si>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</si>
  <si>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</si>
  <si>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</si>
  <si>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</si>
  <si>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(310/70)</t>
  </si>
  <si>
    <t>(310/71)</t>
  </si>
  <si>
    <t>(310/72)</t>
  </si>
  <si>
    <t>(310/73)</t>
  </si>
  <si>
    <t>(310/74)</t>
  </si>
  <si>
    <t>(310/75)</t>
  </si>
  <si>
    <t>(310/76)</t>
  </si>
  <si>
    <t>(310/77)</t>
  </si>
  <si>
    <t>(310/78)</t>
  </si>
  <si>
    <t>(310/79)</t>
  </si>
  <si>
    <t>(310/80)</t>
  </si>
  <si>
    <t>(19/1)</t>
  </si>
  <si>
    <t>23411</t>
  </si>
  <si>
    <t>FortiGate：API返回了意外的响应</t>
  </si>
  <si>
    <t>(19/2)</t>
  </si>
  <si>
    <t>(19/3)</t>
  </si>
  <si>
    <t>FortiGate：端口{$FGATE.API.PORT}不可用</t>
  </si>
  <si>
    <t>(19/4)</t>
  </si>
  <si>
    <t>23412</t>
  </si>
  <si>
    <t>FortiGate：CPU利用率过高</t>
  </si>
  <si>
    <t>(19/5)</t>
  </si>
  <si>
    <t>23413</t>
  </si>
  <si>
    <t>FortiGate：CPU利用率太高</t>
  </si>
  <si>
    <t>(19/6)</t>
  </si>
  <si>
    <t>FortiGate：'获取固件信息'度量中存在错误</t>
  </si>
  <si>
    <t>(19/7)</t>
  </si>
  <si>
    <t>FortiGate：'获取接口数据'度量中存在错误</t>
  </si>
  <si>
    <t>(19/8)</t>
  </si>
  <si>
    <t>FortiGate：'获取资源数据'度量中存在错误</t>
  </si>
  <si>
    <t>(19/9)</t>
  </si>
  <si>
    <t>FortiGate：设备已被替换</t>
  </si>
  <si>
    <t>(19/10)</t>
  </si>
  <si>
    <t>FortiGate：'获取系统信息'度量中存在错误</t>
  </si>
  <si>
    <t>(19/11)</t>
  </si>
  <si>
    <t>FortiGate：剩余磁盘空间过低</t>
  </si>
  <si>
    <t>(19/12)</t>
  </si>
  <si>
    <t>FortiGate：剩余磁盘空间太低</t>
  </si>
  <si>
    <t>(19/13)</t>
  </si>
  <si>
    <t>FortiGate：'获取防火墙策略数据'度量中存在错误</t>
  </si>
  <si>
    <t>(19/14)</t>
  </si>
  <si>
    <t>FortiGate：'获取SD-WAN数据'度量中存在错误</t>
  </si>
  <si>
    <t>(19/15)</t>
  </si>
  <si>
    <t>FortiGate：内存利用率过高</t>
  </si>
  <si>
    <t>(19/16)</t>
  </si>
  <si>
    <t>FortiGate：内存利用率太高</t>
  </si>
  <si>
    <t>(19/17)</t>
  </si>
  <si>
    <t>FortiGate：'获取服务许可证'度量中存在错误</t>
  </si>
  <si>
    <t>(19/18)</t>
  </si>
  <si>
    <t>FortiGate：系统名称已更改</t>
  </si>
  <si>
    <t>(19/19)</t>
  </si>
  <si>
    <t>FortiGate：设备已重新启动</t>
  </si>
  <si>
    <t>(310/81)</t>
  </si>
  <si>
    <t>FortiGate：ICMP Ping丢包率过高</t>
  </si>
  <si>
    <t>FortiGate：无法通过ICMP Ping进行访问</t>
  </si>
  <si>
    <t>FortiGate：ICMP Ping响应时间过长</t>
  </si>
  <si>
    <t>FortiGate：无法收集SNMP数据</t>
  </si>
  <si>
    <t>(310/82)</t>
  </si>
  <si>
    <t>FreeBSD: Zabbix代理不可用</t>
  </si>
  <si>
    <t>(310/83)</t>
  </si>
  <si>
    <t>(310/84)</t>
  </si>
  <si>
    <t>(310/85)</t>
  </si>
  <si>
    <t>(310/86)</t>
  </si>
  <si>
    <t>(310/87)</t>
  </si>
  <si>
    <t>(310/88)</t>
  </si>
  <si>
    <t>(310/89)</t>
  </si>
  <si>
    <t>(310/90)</t>
  </si>
  <si>
    <t>(310/91)</t>
  </si>
  <si>
    <t>(310/92)</t>
  </si>
  <si>
    <t>(310/93)</t>
  </si>
  <si>
    <t>(310/94)</t>
  </si>
  <si>
    <t>(310/95)</t>
  </si>
  <si>
    <t>(310/96)</t>
  </si>
  <si>
    <t>HP-UX: Zabbix代理不可用</t>
  </si>
  <si>
    <t>(310/97)</t>
  </si>
  <si>
    <t>(310/98)</t>
  </si>
  <si>
    <t>(310/99)</t>
  </si>
  <si>
    <t>(310/100)</t>
  </si>
  <si>
    <t>(310/101)</t>
  </si>
  <si>
    <t>(310/102)</t>
  </si>
  <si>
    <t>(310/103)</t>
  </si>
  <si>
    <t>(310/104)</t>
  </si>
  <si>
    <t>(310/105)</t>
  </si>
  <si>
    <t>(310/106)</t>
  </si>
  <si>
    <t>(310/107)</t>
  </si>
  <si>
    <t>(310/108)</t>
  </si>
  <si>
    <t>(310/109)</t>
  </si>
  <si>
    <t>23362</t>
  </si>
  <si>
    <t>23363</t>
  </si>
  <si>
    <t>HashiCorp Nomad Client：主机已重新启动</t>
  </si>
  <si>
    <t>(310/110)</t>
  </si>
  <si>
    <t>(310/111)</t>
  </si>
  <si>
    <t>(310/112)</t>
  </si>
  <si>
    <t>(310/113)</t>
  </si>
  <si>
    <t>(310/114)</t>
  </si>
  <si>
    <t>(310/115)</t>
  </si>
  <si>
    <t>(310/116)</t>
  </si>
  <si>
    <t>(310/117)</t>
  </si>
  <si>
    <t>(310/118)</t>
  </si>
  <si>
    <t>(310/119)</t>
  </si>
  <si>
    <t>IIS：无法进行主动检查</t>
  </si>
  <si>
    <t>(310/120)</t>
  </si>
  <si>
    <t>(310/121)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</si>
  <si>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</si>
  <si>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</si>
  <si>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</si>
  <si>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</si>
  <si>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</si>
  <si>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</si>
  <si>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</si>
  <si>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</si>
  <si>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</si>
  <si>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</si>
  <si>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</si>
  <si>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(15/1)</t>
  </si>
  <si>
    <t>(15/2)</t>
  </si>
  <si>
    <t>(15/3)</t>
  </si>
  <si>
    <t>(15/4)</t>
  </si>
  <si>
    <t>(15/5)</t>
  </si>
  <si>
    <t>(15/6)</t>
  </si>
  <si>
    <t>(15/7)</t>
  </si>
  <si>
    <t>(15/8)</t>
  </si>
  <si>
    <t>(15/9)</t>
  </si>
  <si>
    <t>(15/10)</t>
  </si>
  <si>
    <t>Linux：已安装的软件包数量已更改</t>
  </si>
  <si>
    <t>(15/11)</t>
  </si>
  <si>
    <t>(15/12)</t>
  </si>
  <si>
    <t>(15/13)</t>
  </si>
  <si>
    <t>(15/14)</t>
  </si>
  <si>
    <t>(15/15)</t>
  </si>
  <si>
    <t>Linux: Zabbix代理不可用</t>
  </si>
  <si>
    <t>(310/133)</t>
  </si>
  <si>
    <t>Linux：无法进行主动检查</t>
  </si>
  <si>
    <t>22417</t>
  </si>
  <si>
    <t>(310/134)</t>
  </si>
  <si>
    <t>(310/135)</t>
  </si>
  <si>
    <t>23524</t>
  </si>
  <si>
    <t>23525</t>
  </si>
  <si>
    <t>23523</t>
  </si>
  <si>
    <t>(310/136)</t>
  </si>
  <si>
    <t>(310/137)</t>
  </si>
  <si>
    <t>(310/138)</t>
  </si>
  <si>
    <t>MS Exchange: Active checks are not available</t>
  </si>
  <si>
    <t>MS Exchange：无法进行主动检查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</si>
  <si>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</si>
  <si>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</si>
  <si>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</si>
  <si>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</si>
  <si>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</si>
  <si>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</si>
  <si>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</si>
  <si>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</si>
  <si>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</si>
  <si>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</si>
  <si>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</si>
  <si>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</si>
  <si>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</si>
  <si>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</si>
  <si>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</si>
  <si>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</si>
  <si>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</si>
  <si>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</si>
  <si>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</si>
  <si>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</si>
  <si>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</si>
  <si>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</si>
  <si>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</si>
  <si>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</si>
  <si>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</si>
  <si>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</si>
  <si>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</si>
  <si>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</si>
  <si>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</si>
  <si>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</si>
  <si>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</si>
  <si>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</si>
  <si>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</si>
  <si>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</si>
  <si>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</si>
  <si>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</si>
  <si>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</si>
  <si>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</si>
  <si>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</si>
  <si>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</si>
  <si>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</si>
  <si>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</si>
  <si>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</si>
  <si>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</si>
  <si>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</si>
  <si>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</si>
  <si>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</si>
  <si>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</si>
  <si>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</si>
  <si>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</si>
  <si>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</si>
  <si>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</si>
  <si>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</si>
  <si>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</si>
  <si>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</si>
  <si>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</si>
  <si>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</si>
  <si>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MongoDB cluster: 无法连接到mongos代理</t>
  </si>
  <si>
    <t>(310/196)</t>
  </si>
  <si>
    <t>(310/197)</t>
  </si>
  <si>
    <t>(310/198)</t>
  </si>
  <si>
    <t>(310/199)</t>
  </si>
  <si>
    <t>(310/200)</t>
  </si>
  <si>
    <t>(310/201)</t>
  </si>
  <si>
    <t>(310/202)</t>
  </si>
  <si>
    <t>(310/203)</t>
  </si>
  <si>
    <t>(310/204)</t>
  </si>
  <si>
    <t>(310/205)</t>
  </si>
  <si>
    <t>(310/206)</t>
  </si>
  <si>
    <t>(310/207)</t>
  </si>
  <si>
    <t>(310/208)</t>
  </si>
  <si>
    <t>(310/209)</t>
  </si>
  <si>
    <t>(310/210)</t>
  </si>
  <si>
    <t>(310/211)</t>
  </si>
  <si>
    <t>(310/212)</t>
  </si>
  <si>
    <t>23391</t>
  </si>
  <si>
    <t>Nextcloud：已安装应用数量发生变化</t>
  </si>
  <si>
    <t>23392</t>
  </si>
  <si>
    <t>Nextcloud：有应用更新可用</t>
  </si>
  <si>
    <t>Nextcloud：CPU负载过高</t>
  </si>
  <si>
    <t>Nextcloud：数据库版本发生变化</t>
  </si>
  <si>
    <t>Nextcloud：磁盘空间低</t>
  </si>
  <si>
    <t>23396</t>
  </si>
  <si>
    <t>Nextcloud：内存利用率高</t>
  </si>
  <si>
    <t>Nextcloud：PHP内存利用率高</t>
  </si>
  <si>
    <t>23398</t>
  </si>
  <si>
    <t>Nextcloud：PHP版本发生变化</t>
  </si>
  <si>
    <t>23399</t>
  </si>
  <si>
    <t>Nextcloud：服务器信息不可用</t>
  </si>
  <si>
    <t>23400</t>
  </si>
  <si>
    <t>Nextcloud：交换空间利用率高</t>
  </si>
  <si>
    <t>23401</t>
  </si>
  <si>
    <t>Nextcloud：版本发生变化</t>
  </si>
  <si>
    <t>(310/213)</t>
  </si>
  <si>
    <t>(310/214)</t>
  </si>
  <si>
    <t>(310/215)</t>
  </si>
  <si>
    <t>(310/216)</t>
  </si>
  <si>
    <t>OpenBSD: Zabbix代理不可用</t>
  </si>
  <si>
    <t>(310/217)</t>
  </si>
  <si>
    <t>(310/218)</t>
  </si>
  <si>
    <t>(310/219)</t>
  </si>
  <si>
    <t>OCI Autonomous DB：当前CPU利用率高了</t>
  </si>
  <si>
    <t>OCI Autonomous DB：当前CPU利用率太高</t>
  </si>
  <si>
    <t>OCI Autonomous DB：数据库不可用</t>
  </si>
  <si>
    <t>OCI Autonomous DB：可用，但需要注意</t>
  </si>
  <si>
    <t>OCI Autonomous DB：数据库不可用或无法访问</t>
  </si>
  <si>
    <t>OCI Autonomous DB：恢复失败</t>
  </si>
  <si>
    <t>OCI Autonomous DB：状态未知</t>
  </si>
  <si>
    <t>OCI Autonomous DB：状态已更改</t>
  </si>
  <si>
    <t>23616</t>
  </si>
  <si>
    <t>OCI Autonomous DB：当前存储利用率高了</t>
  </si>
  <si>
    <t>23617</t>
  </si>
  <si>
    <t>OCI Autonomous DB：当前存储利用率太高</t>
  </si>
  <si>
    <t>(310/220)</t>
  </si>
  <si>
    <t>23618</t>
  </si>
  <si>
    <t>OCI Block Volume：块卷状态未知</t>
  </si>
  <si>
    <t>23619</t>
  </si>
  <si>
    <t>OCI Block Volume：块卷已终止或出现故障</t>
  </si>
  <si>
    <t>(310/221)</t>
  </si>
  <si>
    <t>OCI Boot Volume：引导卷状态未知</t>
  </si>
  <si>
    <t>OCI Boot Volume：引导卷已终止或出现故障</t>
  </si>
  <si>
    <t>(310/222)</t>
  </si>
  <si>
    <t>OCI Compute：当前CPU利用率高了</t>
  </si>
  <si>
    <t>OCI Compute：当前CPU利用率太高</t>
  </si>
  <si>
    <t>OCI Compute：计算实例不可用</t>
  </si>
  <si>
    <t>OCI Compute：当前内存利用率高了</t>
  </si>
  <si>
    <t>23626</t>
  </si>
  <si>
    <t>OCI Compute：当前内存利用率太高</t>
  </si>
  <si>
    <t>23627</t>
  </si>
  <si>
    <t>OCI Compute：状态已更改</t>
  </si>
  <si>
    <t>(310/223)</t>
  </si>
  <si>
    <t>OCI VCN：VCN状态已终止</t>
  </si>
  <si>
    <t>OCI VCN：VCN状态未知</t>
  </si>
  <si>
    <t>(310/224)</t>
  </si>
  <si>
    <t>OCI Object Storage：对象生命周期管理策略已更改</t>
  </si>
  <si>
    <t>(310/225)</t>
  </si>
  <si>
    <t>(17/1)</t>
  </si>
  <si>
    <t>(17/2)</t>
  </si>
  <si>
    <t>(17/3)</t>
  </si>
  <si>
    <t>(17/4)</t>
  </si>
  <si>
    <t>(17/5)</t>
  </si>
  <si>
    <t>(17/6)</t>
  </si>
  <si>
    <t>(17/7)</t>
  </si>
  <si>
    <t>(17/8)</t>
  </si>
  <si>
    <t>(17/9)</t>
  </si>
  <si>
    <t>(17/10)</t>
  </si>
  <si>
    <t>(17/11)</t>
  </si>
  <si>
    <t>(17/12)</t>
  </si>
  <si>
    <t>(17/13)</t>
  </si>
  <si>
    <t>(17/14)</t>
  </si>
  <si>
    <t>(17/15)</t>
  </si>
  <si>
    <t>(17/16)</t>
  </si>
  <si>
    <t>(17/17)</t>
  </si>
  <si>
    <t>(310/226)</t>
  </si>
  <si>
    <t>(310/227)</t>
  </si>
  <si>
    <t>(310/228)</t>
  </si>
  <si>
    <t>(310/229)</t>
  </si>
  <si>
    <t>(310/230)</t>
  </si>
  <si>
    <t>23318</t>
  </si>
  <si>
    <t>23410</t>
  </si>
  <si>
    <t>(310/231)</t>
  </si>
  <si>
    <t>PostgreSQL：与主节点的流式传输延迟过高</t>
  </si>
  <si>
    <t>(310/232)</t>
  </si>
  <si>
    <t>23409</t>
  </si>
  <si>
    <t>(310/233)</t>
  </si>
  <si>
    <t>(310/234)</t>
  </si>
  <si>
    <t>(310/235)</t>
  </si>
  <si>
    <t>(310/236)</t>
  </si>
  <si>
    <t>(310/237)</t>
  </si>
  <si>
    <t>(310/238)</t>
  </si>
  <si>
    <t>(310/239)</t>
  </si>
  <si>
    <t>(310/240)</t>
  </si>
  <si>
    <t>(30/1)</t>
  </si>
  <si>
    <t>(30/2)</t>
  </si>
  <si>
    <t>(30/3)</t>
  </si>
  <si>
    <t>(30/4)</t>
  </si>
  <si>
    <t>(30/5)</t>
  </si>
  <si>
    <t>(30/6)</t>
  </si>
  <si>
    <t>Remote Zabbix proxy: 汉化作者建议增大配置文件UnavailableDelay、UnreachableDelay、UnreachablePeriod参数，注意倍率是3</t>
  </si>
  <si>
    <t>(30/7)</t>
  </si>
  <si>
    <t>(30/8)</t>
  </si>
  <si>
    <t>(30/9)</t>
  </si>
  <si>
    <t>(30/10)</t>
  </si>
  <si>
    <t>(30/11)</t>
  </si>
  <si>
    <t>(30/12)</t>
  </si>
  <si>
    <t>(30/13)</t>
  </si>
  <si>
    <t>(30/14)</t>
  </si>
  <si>
    <t>(30/15)</t>
  </si>
  <si>
    <t>(30/16)</t>
  </si>
  <si>
    <t>(30/17)</t>
  </si>
  <si>
    <t>(30/18)</t>
  </si>
  <si>
    <t>(30/19)</t>
  </si>
  <si>
    <t>(30/20)</t>
  </si>
  <si>
    <t>(30/21)</t>
  </si>
  <si>
    <t>(30/22)</t>
  </si>
  <si>
    <t>(30/23)</t>
  </si>
  <si>
    <t>(30/24)</t>
  </si>
  <si>
    <t>(30/25)</t>
  </si>
  <si>
    <t>(30/26)</t>
  </si>
  <si>
    <t>(30/27)</t>
  </si>
  <si>
    <t>(30/28)</t>
  </si>
  <si>
    <t>(30/29)</t>
  </si>
  <si>
    <t>(30/30)</t>
  </si>
  <si>
    <t>(310/241)</t>
  </si>
  <si>
    <t>(45/1)</t>
  </si>
  <si>
    <t>(45/2)</t>
  </si>
  <si>
    <t>(45/3)</t>
  </si>
  <si>
    <t>(45/4)</t>
  </si>
  <si>
    <t>(45/5)</t>
  </si>
  <si>
    <t>(45/6)</t>
  </si>
  <si>
    <t>(45/7)</t>
  </si>
  <si>
    <t>(45/8)</t>
  </si>
  <si>
    <t>(45/9)</t>
  </si>
  <si>
    <t>Remote Zabbix server: 汉化作者建议增大配置文件UnavailableDelay、UnreachableDelay、UnreachablePeriod参数，注意倍率是3</t>
  </si>
  <si>
    <t>(45/10)</t>
  </si>
  <si>
    <t>(45/11)</t>
  </si>
  <si>
    <t>Remote Zabbix server: Utilization of connector manager processes is high</t>
  </si>
  <si>
    <t>Remote Zabbix server: 汉化作者建议增大配置文件StartConnectors参数</t>
  </si>
  <si>
    <t>(45/12)</t>
  </si>
  <si>
    <t>Remote Zabbix server: Utilization of connector worker processes is high</t>
  </si>
  <si>
    <t>(45/13)</t>
  </si>
  <si>
    <t>(45/14)</t>
  </si>
  <si>
    <t>(45/15)</t>
  </si>
  <si>
    <t>(45/16)</t>
  </si>
  <si>
    <t>(45/17)</t>
  </si>
  <si>
    <t>(45/18)</t>
  </si>
  <si>
    <t>(45/19)</t>
  </si>
  <si>
    <t>(45/20)</t>
  </si>
  <si>
    <t>(45/21)</t>
  </si>
  <si>
    <t>(45/22)</t>
  </si>
  <si>
    <t>(45/23)</t>
  </si>
  <si>
    <t>Remote Zabbix server: Utilization of lld manager processes is high</t>
  </si>
  <si>
    <t>(45/24)</t>
  </si>
  <si>
    <t>Remote Zabbix server: Utilization of lld worker processes is high</t>
  </si>
  <si>
    <t>(45/25)</t>
  </si>
  <si>
    <t>(45/26)</t>
  </si>
  <si>
    <t>(45/27)</t>
  </si>
  <si>
    <t>(45/28)</t>
  </si>
  <si>
    <t>(45/29)</t>
  </si>
  <si>
    <t>(45/30)</t>
  </si>
  <si>
    <t>(45/31)</t>
  </si>
  <si>
    <t>(45/32)</t>
  </si>
  <si>
    <t>(45/33)</t>
  </si>
  <si>
    <t>(45/34)</t>
  </si>
  <si>
    <t>(45/35)</t>
  </si>
  <si>
    <t>(45/36)</t>
  </si>
  <si>
    <t>(45/37)</t>
  </si>
  <si>
    <t>(45/38)</t>
  </si>
  <si>
    <t>(45/39)</t>
  </si>
  <si>
    <t>(45/40)</t>
  </si>
  <si>
    <t>(45/41)</t>
  </si>
  <si>
    <t>(45/42)</t>
  </si>
  <si>
    <t>(45/43)</t>
  </si>
  <si>
    <t>(45/44)</t>
  </si>
  <si>
    <t>(45/45)</t>
  </si>
  <si>
    <t>(310/242)</t>
  </si>
  <si>
    <t>Solaris: Zabbix代理不可用</t>
  </si>
  <si>
    <t>(310/243)</t>
  </si>
  <si>
    <t>(310/244)</t>
  </si>
  <si>
    <t>(310/245)</t>
  </si>
  <si>
    <t>(310/246)</t>
  </si>
  <si>
    <t>(310/247)</t>
  </si>
  <si>
    <t>(310/248)</t>
  </si>
  <si>
    <t>(310/249)</t>
  </si>
  <si>
    <t>(310/250)</t>
  </si>
  <si>
    <t>TrueNAS CORE：可用内存不足</t>
  </si>
  <si>
    <t>TrueNAS CORE：交换空间使用率高</t>
  </si>
  <si>
    <t>22589</t>
  </si>
  <si>
    <t>TrueNAS CORE：ICMP ping丢包率高</t>
  </si>
  <si>
    <t>22588</t>
  </si>
  <si>
    <t>TrueNAS CORE：无法通过ICMP ping访问</t>
  </si>
  <si>
    <t>TrueNAS CORE：ICMP ping响应时间长</t>
  </si>
  <si>
    <t>TrueNAS CORE：负载平均值过高</t>
  </si>
  <si>
    <t>TrueNAS CORE：内存利用率高</t>
  </si>
  <si>
    <t>22594</t>
  </si>
  <si>
    <t>TrueNAS CORE：未收集SNMP数据</t>
  </si>
  <si>
    <t>22591</t>
  </si>
  <si>
    <t>TrueNAS CORE：系统名称已更改</t>
  </si>
  <si>
    <t>22592</t>
  </si>
  <si>
    <t>TrueNAS CORE：主机已重新启动</t>
  </si>
  <si>
    <t>(310/251)</t>
  </si>
  <si>
    <t>(310/252)</t>
  </si>
  <si>
    <t>(310/253)</t>
  </si>
  <si>
    <t>(310/254)</t>
  </si>
  <si>
    <t>(310/255)</t>
  </si>
  <si>
    <t>(310/256)</t>
  </si>
  <si>
    <t>(310/257)</t>
  </si>
  <si>
    <t>(310/258)</t>
  </si>
  <si>
    <t>(310/259)</t>
  </si>
  <si>
    <t>(310/260)</t>
  </si>
  <si>
    <t>(310/261)</t>
  </si>
  <si>
    <t>Windows：操作系统描述已更改</t>
  </si>
  <si>
    <t>Windows: Zabbix代理不可用</t>
  </si>
  <si>
    <t>(310/262)</t>
  </si>
  <si>
    <t>Windows：无法进行主动检查</t>
  </si>
  <si>
    <t>22486</t>
  </si>
  <si>
    <t>(310/263)</t>
  </si>
  <si>
    <t>YugabyteDB集群：CPU利用率高</t>
  </si>
  <si>
    <t>YugabyteDB集群：CPU利用率过高</t>
  </si>
  <si>
    <t>YugabyteDB集群：存储空间严重不足</t>
  </si>
  <si>
    <t>YugabyteDB集群：存储空间不足</t>
  </si>
  <si>
    <t>23512</t>
  </si>
  <si>
    <t>YugabyteDB集群：无法获取数据</t>
  </si>
  <si>
    <t>23513</t>
  </si>
  <si>
    <t>YugabyteDB集群：无法获取指标数据</t>
  </si>
  <si>
    <t>23507</t>
  </si>
  <si>
    <t>YugabyteDB集群：集群不健康</t>
  </si>
  <si>
    <t>23508</t>
  </si>
  <si>
    <t>YugabyteDB集群：内存利用率高</t>
  </si>
  <si>
    <t>23509</t>
  </si>
  <si>
    <t>YugabyteDB集群：内存利用率过高</t>
  </si>
  <si>
    <t>23510</t>
  </si>
  <si>
    <t>YugabyteDB集群：集群软件版本已更改</t>
  </si>
  <si>
    <t>23511</t>
  </si>
  <si>
    <t>YugabyteDB集群：YB控制器版本已更改</t>
  </si>
  <si>
    <t>YugabyteDB集群：连接平均利用率高</t>
  </si>
  <si>
    <t>YugabyteDB集群：连接平均利用率过高</t>
  </si>
  <si>
    <t>(310/264)</t>
  </si>
  <si>
    <t>YugabyteDB：无法获取数据</t>
  </si>
  <si>
    <t>(310/265)</t>
  </si>
  <si>
    <t>(310/266)</t>
  </si>
  <si>
    <t>(310/267)</t>
  </si>
  <si>
    <t>(310/268)</t>
  </si>
  <si>
    <t>(310/269)</t>
  </si>
  <si>
    <t>(310/270)</t>
  </si>
  <si>
    <t>(310/271)</t>
  </si>
  <si>
    <t>(310/272)</t>
  </si>
  <si>
    <t>(310/273)</t>
  </si>
  <si>
    <t>(310/274)</t>
  </si>
  <si>
    <t>(310/275)</t>
  </si>
  <si>
    <t>(310/276)</t>
  </si>
  <si>
    <t>(310/277)</t>
  </si>
  <si>
    <t>(310/278)</t>
  </si>
  <si>
    <t>(310/279)</t>
  </si>
  <si>
    <t>Zabbix agent: Zabbix代理不可用</t>
  </si>
  <si>
    <t>(310/280)</t>
  </si>
  <si>
    <t>Zabbix agent active: Active checks are not available</t>
  </si>
  <si>
    <t>Zabbix代理活动：无法进行主动检查</t>
  </si>
  <si>
    <t>Zabbix agent active: Zabbix代理不可用</t>
  </si>
  <si>
    <t>(310/281)</t>
  </si>
  <si>
    <t>(29/1)</t>
  </si>
  <si>
    <t>(29/2)</t>
  </si>
  <si>
    <t>(29/3)</t>
  </si>
  <si>
    <t>(29/4)</t>
  </si>
  <si>
    <t>(29/5)</t>
  </si>
  <si>
    <t>(29/6)</t>
  </si>
  <si>
    <t>Zabbix proxy: 汉化作者建议增大配置文件UnavailableDelay、UnreachableDelay、UnreachablePeriod参数，注意倍率是3</t>
  </si>
  <si>
    <t>(29/7)</t>
  </si>
  <si>
    <t>(29/8)</t>
  </si>
  <si>
    <t>(29/9)</t>
  </si>
  <si>
    <t>(29/10)</t>
  </si>
  <si>
    <t>(29/11)</t>
  </si>
  <si>
    <t>(29/12)</t>
  </si>
  <si>
    <t>(29/13)</t>
  </si>
  <si>
    <t>(29/14)</t>
  </si>
  <si>
    <t>(29/15)</t>
  </si>
  <si>
    <t>(29/16)</t>
  </si>
  <si>
    <t>(29/17)</t>
  </si>
  <si>
    <t>(29/18)</t>
  </si>
  <si>
    <t>(29/19)</t>
  </si>
  <si>
    <t>(29/20)</t>
  </si>
  <si>
    <t>(29/21)</t>
  </si>
  <si>
    <t>(29/22)</t>
  </si>
  <si>
    <t>(29/23)</t>
  </si>
  <si>
    <t>(29/24)</t>
  </si>
  <si>
    <t>(29/25)</t>
  </si>
  <si>
    <t>(29/26)</t>
  </si>
  <si>
    <t>(29/27)</t>
  </si>
  <si>
    <t>(29/28)</t>
  </si>
  <si>
    <t>(29/29)</t>
  </si>
  <si>
    <t>(310/282)</t>
  </si>
  <si>
    <t>(44/1)</t>
  </si>
  <si>
    <t>(44/2)</t>
  </si>
  <si>
    <t>(44/3)</t>
  </si>
  <si>
    <t>(44/4)</t>
  </si>
  <si>
    <t>(44/5)</t>
  </si>
  <si>
    <t>(44/6)</t>
  </si>
  <si>
    <t>(44/7)</t>
  </si>
  <si>
    <t>(44/8)</t>
  </si>
  <si>
    <t>(44/9)</t>
  </si>
  <si>
    <t>Zabbix server: 汉化作者建议增大配置文件UnavailableDelay、UnreachableDelay、UnreachablePeriod参数，注意倍率是3</t>
  </si>
  <si>
    <t>(44/10)</t>
  </si>
  <si>
    <t>(44/11)</t>
  </si>
  <si>
    <t>23207</t>
  </si>
  <si>
    <t>(44/12)</t>
  </si>
  <si>
    <t>23208</t>
  </si>
  <si>
    <t>(44/13)</t>
  </si>
  <si>
    <t>(44/14)</t>
  </si>
  <si>
    <t>(44/15)</t>
  </si>
  <si>
    <t>(44/16)</t>
  </si>
  <si>
    <t>(44/17)</t>
  </si>
  <si>
    <t>(44/18)</t>
  </si>
  <si>
    <t>(44/19)</t>
  </si>
  <si>
    <t>(44/20)</t>
  </si>
  <si>
    <t>(44/21)</t>
  </si>
  <si>
    <t>(44/22)</t>
  </si>
  <si>
    <t>(44/23)</t>
  </si>
  <si>
    <t>Zabbix server: Utilization of lld manager processes is high</t>
  </si>
  <si>
    <t>(44/24)</t>
  </si>
  <si>
    <t>Zabbix server: Utilization of lld worker processes is high</t>
  </si>
  <si>
    <t>(44/25)</t>
  </si>
  <si>
    <t>(44/26)</t>
  </si>
  <si>
    <t>(44/27)</t>
  </si>
  <si>
    <t>(44/28)</t>
  </si>
  <si>
    <t>(44/29)</t>
  </si>
  <si>
    <t>(44/30)</t>
  </si>
  <si>
    <t>(44/31)</t>
  </si>
  <si>
    <t>(44/32)</t>
  </si>
  <si>
    <t>(44/33)</t>
  </si>
  <si>
    <t>(44/34)</t>
  </si>
  <si>
    <t>(44/35)</t>
  </si>
  <si>
    <t>(44/36)</t>
  </si>
  <si>
    <t>(44/37)</t>
  </si>
  <si>
    <t>(44/38)</t>
  </si>
  <si>
    <t>(44/39)</t>
  </si>
  <si>
    <t>(44/40)</t>
  </si>
  <si>
    <t>(44/41)</t>
  </si>
  <si>
    <t>(44/42)</t>
  </si>
  <si>
    <t>(44/43)</t>
  </si>
  <si>
    <t>(44/44)</t>
  </si>
  <si>
    <t>(310/283)</t>
  </si>
  <si>
    <t>(310/284)</t>
  </si>
  <si>
    <t>macOS: Zabbix代理不可用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</si>
</sst>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6" fillId="22" borderId="4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734"/>
  <sheetViews>
    <sheetView workbookViewId="0">
      <selection activeCell="G1737" sqref="G1737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ICMP ping不可用</v>
      </c>
    </row>
    <row r="3" spans="1:8">
      <c r="A3" s="1">
        <v>2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>
      <c r="A4" s="1">
        <v>3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  <c r="H4" s="1" t="s">
        <v>18</v>
      </c>
    </row>
    <row r="5" spans="1:8">
      <c r="A5" s="1">
        <v>4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26</v>
      </c>
      <c r="H5" s="1" t="s">
        <v>18</v>
      </c>
    </row>
    <row r="6" spans="1:8">
      <c r="A6" s="1">
        <v>5</v>
      </c>
      <c r="B6" s="1" t="s">
        <v>8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30</v>
      </c>
      <c r="H6" s="1" t="s">
        <v>18</v>
      </c>
    </row>
    <row r="7" spans="1:8">
      <c r="A7" s="1">
        <v>6</v>
      </c>
      <c r="B7" s="1" t="s">
        <v>8</v>
      </c>
      <c r="C7" s="1" t="s">
        <v>31</v>
      </c>
      <c r="D7" s="1" t="s">
        <v>10</v>
      </c>
      <c r="E7" s="1" t="s">
        <v>32</v>
      </c>
      <c r="F7" s="1" t="s">
        <v>33</v>
      </c>
      <c r="G7" s="1" t="s">
        <v>34</v>
      </c>
      <c r="H7" s="1" t="s">
        <v>18</v>
      </c>
    </row>
    <row r="8" spans="1:8">
      <c r="A8" s="1">
        <v>7</v>
      </c>
      <c r="B8" s="1" t="s">
        <v>8</v>
      </c>
      <c r="C8" s="1" t="s">
        <v>35</v>
      </c>
      <c r="D8" s="1" t="s">
        <v>10</v>
      </c>
      <c r="E8" s="1" t="s">
        <v>36</v>
      </c>
      <c r="F8" s="1" t="s">
        <v>37</v>
      </c>
      <c r="G8" s="1" t="s">
        <v>38</v>
      </c>
      <c r="H8" s="1" t="s">
        <v>18</v>
      </c>
    </row>
    <row r="9" spans="1:8">
      <c r="A9" s="1">
        <v>8</v>
      </c>
      <c r="B9" s="1" t="s">
        <v>8</v>
      </c>
      <c r="C9" s="1" t="s">
        <v>39</v>
      </c>
      <c r="D9" s="1" t="s">
        <v>10</v>
      </c>
      <c r="E9" s="1" t="s">
        <v>40</v>
      </c>
      <c r="F9" s="1" t="s">
        <v>41</v>
      </c>
      <c r="G9" s="1" t="s">
        <v>42</v>
      </c>
      <c r="H9" s="1" t="s">
        <v>18</v>
      </c>
    </row>
    <row r="10" spans="1:8">
      <c r="A10" s="1">
        <v>9</v>
      </c>
      <c r="B10" s="1" t="s">
        <v>43</v>
      </c>
      <c r="C10" s="1" t="s">
        <v>9</v>
      </c>
      <c r="D10" s="1" t="s">
        <v>44</v>
      </c>
      <c r="E10" s="1" t="s">
        <v>45</v>
      </c>
      <c r="F10" s="1" t="s">
        <v>12</v>
      </c>
      <c r="G10" s="1" t="s">
        <v>13</v>
      </c>
      <c r="H10" s="1" t="s">
        <v>18</v>
      </c>
    </row>
    <row r="11" spans="1:8">
      <c r="A11" s="1">
        <v>10</v>
      </c>
      <c r="B11" s="1" t="s">
        <v>43</v>
      </c>
      <c r="C11" s="1" t="s">
        <v>14</v>
      </c>
      <c r="D11" s="1" t="s">
        <v>44</v>
      </c>
      <c r="E11" s="1" t="s">
        <v>46</v>
      </c>
      <c r="F11" s="1" t="s">
        <v>16</v>
      </c>
      <c r="G11" s="1" t="s">
        <v>17</v>
      </c>
      <c r="H11" s="1" t="s">
        <v>18</v>
      </c>
    </row>
    <row r="12" spans="1:8">
      <c r="A12" s="1">
        <v>11</v>
      </c>
      <c r="B12" s="1" t="s">
        <v>43</v>
      </c>
      <c r="C12" s="1" t="s">
        <v>19</v>
      </c>
      <c r="D12" s="1" t="s">
        <v>44</v>
      </c>
      <c r="E12" s="1" t="s">
        <v>47</v>
      </c>
      <c r="F12" s="1" t="s">
        <v>21</v>
      </c>
      <c r="G12" s="1" t="s">
        <v>22</v>
      </c>
      <c r="H12" s="1" t="s">
        <v>18</v>
      </c>
    </row>
    <row r="13" spans="1:8">
      <c r="A13" s="1">
        <v>12</v>
      </c>
      <c r="B13" s="1" t="s">
        <v>43</v>
      </c>
      <c r="C13" s="1" t="s">
        <v>23</v>
      </c>
      <c r="D13" s="1" t="s">
        <v>44</v>
      </c>
      <c r="E13" s="1" t="s">
        <v>48</v>
      </c>
      <c r="F13" s="1" t="s">
        <v>25</v>
      </c>
      <c r="G13" s="1" t="s">
        <v>26</v>
      </c>
      <c r="H13" s="1" t="s">
        <v>18</v>
      </c>
    </row>
    <row r="14" spans="1:8">
      <c r="A14" s="1">
        <v>13</v>
      </c>
      <c r="B14" s="1" t="s">
        <v>43</v>
      </c>
      <c r="C14" s="1" t="s">
        <v>27</v>
      </c>
      <c r="D14" s="1" t="s">
        <v>44</v>
      </c>
      <c r="E14" s="1" t="s">
        <v>49</v>
      </c>
      <c r="F14" s="1" t="s">
        <v>29</v>
      </c>
      <c r="G14" s="1" t="s">
        <v>30</v>
      </c>
      <c r="H14" s="1" t="s">
        <v>18</v>
      </c>
    </row>
    <row r="15" spans="1:8">
      <c r="A15" s="1">
        <v>14</v>
      </c>
      <c r="B15" s="1" t="s">
        <v>43</v>
      </c>
      <c r="C15" s="1" t="s">
        <v>31</v>
      </c>
      <c r="D15" s="1" t="s">
        <v>44</v>
      </c>
      <c r="E15" s="1" t="s">
        <v>50</v>
      </c>
      <c r="F15" s="1" t="s">
        <v>33</v>
      </c>
      <c r="G15" s="1" t="s">
        <v>34</v>
      </c>
      <c r="H15" s="1" t="s">
        <v>18</v>
      </c>
    </row>
    <row r="16" spans="1:8">
      <c r="A16" s="1">
        <v>15</v>
      </c>
      <c r="B16" s="1" t="s">
        <v>43</v>
      </c>
      <c r="C16" s="1" t="s">
        <v>35</v>
      </c>
      <c r="D16" s="1" t="s">
        <v>44</v>
      </c>
      <c r="E16" s="1" t="s">
        <v>51</v>
      </c>
      <c r="F16" s="1" t="s">
        <v>37</v>
      </c>
      <c r="G16" s="1" t="s">
        <v>38</v>
      </c>
      <c r="H16" s="1" t="s">
        <v>18</v>
      </c>
    </row>
    <row r="17" spans="1:8">
      <c r="A17" s="1">
        <v>16</v>
      </c>
      <c r="B17" s="1" t="s">
        <v>43</v>
      </c>
      <c r="C17" s="1" t="s">
        <v>39</v>
      </c>
      <c r="D17" s="1" t="s">
        <v>44</v>
      </c>
      <c r="E17" s="1" t="s">
        <v>52</v>
      </c>
      <c r="F17" s="1" t="s">
        <v>41</v>
      </c>
      <c r="G17" s="1" t="s">
        <v>42</v>
      </c>
      <c r="H17" s="1" t="s">
        <v>18</v>
      </c>
    </row>
    <row r="18" spans="1:8">
      <c r="A18" s="1">
        <v>17</v>
      </c>
      <c r="B18" s="1" t="s">
        <v>53</v>
      </c>
      <c r="C18" s="1" t="s">
        <v>9</v>
      </c>
      <c r="D18" s="1" t="s">
        <v>54</v>
      </c>
      <c r="E18" s="1" t="s">
        <v>55</v>
      </c>
      <c r="F18" s="1" t="s">
        <v>12</v>
      </c>
      <c r="G18" s="1" t="s">
        <v>13</v>
      </c>
      <c r="H18" s="1" t="s">
        <v>18</v>
      </c>
    </row>
    <row r="19" spans="1:8">
      <c r="A19" s="1">
        <v>18</v>
      </c>
      <c r="B19" s="1" t="s">
        <v>53</v>
      </c>
      <c r="C19" s="1" t="s">
        <v>14</v>
      </c>
      <c r="D19" s="1" t="s">
        <v>54</v>
      </c>
      <c r="E19" s="1" t="s">
        <v>56</v>
      </c>
      <c r="F19" s="1" t="s">
        <v>16</v>
      </c>
      <c r="G19" s="1" t="s">
        <v>17</v>
      </c>
      <c r="H19" s="1" t="s">
        <v>18</v>
      </c>
    </row>
    <row r="20" spans="1:8">
      <c r="A20" s="1">
        <v>19</v>
      </c>
      <c r="B20" s="1" t="s">
        <v>53</v>
      </c>
      <c r="C20" s="1" t="s">
        <v>19</v>
      </c>
      <c r="D20" s="1" t="s">
        <v>54</v>
      </c>
      <c r="E20" s="1" t="s">
        <v>57</v>
      </c>
      <c r="F20" s="1" t="s">
        <v>21</v>
      </c>
      <c r="G20" s="1" t="s">
        <v>22</v>
      </c>
      <c r="H20" s="1" t="s">
        <v>18</v>
      </c>
    </row>
    <row r="21" spans="1:8">
      <c r="A21" s="1">
        <v>20</v>
      </c>
      <c r="B21" s="1" t="s">
        <v>53</v>
      </c>
      <c r="C21" s="1" t="s">
        <v>23</v>
      </c>
      <c r="D21" s="1" t="s">
        <v>54</v>
      </c>
      <c r="E21" s="1" t="s">
        <v>58</v>
      </c>
      <c r="F21" s="1" t="s">
        <v>25</v>
      </c>
      <c r="G21" s="1" t="s">
        <v>26</v>
      </c>
      <c r="H21" s="1" t="s">
        <v>18</v>
      </c>
    </row>
    <row r="22" spans="1:8">
      <c r="A22" s="1">
        <v>21</v>
      </c>
      <c r="B22" s="1" t="s">
        <v>53</v>
      </c>
      <c r="C22" s="1" t="s">
        <v>27</v>
      </c>
      <c r="D22" s="1" t="s">
        <v>54</v>
      </c>
      <c r="E22" s="1" t="s">
        <v>59</v>
      </c>
      <c r="F22" s="1" t="s">
        <v>29</v>
      </c>
      <c r="G22" s="1" t="s">
        <v>30</v>
      </c>
      <c r="H22" s="1" t="s">
        <v>18</v>
      </c>
    </row>
    <row r="23" spans="1:8">
      <c r="A23" s="1">
        <v>22</v>
      </c>
      <c r="B23" s="1" t="s">
        <v>53</v>
      </c>
      <c r="C23" s="1" t="s">
        <v>31</v>
      </c>
      <c r="D23" s="1" t="s">
        <v>54</v>
      </c>
      <c r="E23" s="1" t="s">
        <v>60</v>
      </c>
      <c r="F23" s="1" t="s">
        <v>33</v>
      </c>
      <c r="G23" s="1" t="s">
        <v>34</v>
      </c>
      <c r="H23" s="1" t="s">
        <v>18</v>
      </c>
    </row>
    <row r="24" spans="1:8">
      <c r="A24" s="1">
        <v>23</v>
      </c>
      <c r="B24" s="1" t="s">
        <v>53</v>
      </c>
      <c r="C24" s="1" t="s">
        <v>35</v>
      </c>
      <c r="D24" s="1" t="s">
        <v>54</v>
      </c>
      <c r="E24" s="1" t="s">
        <v>61</v>
      </c>
      <c r="F24" s="1" t="s">
        <v>37</v>
      </c>
      <c r="G24" s="1" t="s">
        <v>38</v>
      </c>
      <c r="H24" s="1" t="s">
        <v>18</v>
      </c>
    </row>
    <row r="25" spans="1:8">
      <c r="A25" s="1">
        <v>24</v>
      </c>
      <c r="B25" s="1" t="s">
        <v>53</v>
      </c>
      <c r="C25" s="1" t="s">
        <v>39</v>
      </c>
      <c r="D25" s="1" t="s">
        <v>54</v>
      </c>
      <c r="E25" s="1" t="s">
        <v>62</v>
      </c>
      <c r="F25" s="1" t="s">
        <v>41</v>
      </c>
      <c r="G25" s="1" t="s">
        <v>42</v>
      </c>
      <c r="H25" s="1" t="s">
        <v>18</v>
      </c>
    </row>
    <row r="26" spans="1:8">
      <c r="A26" s="1">
        <v>25</v>
      </c>
      <c r="B26" s="1" t="s">
        <v>63</v>
      </c>
      <c r="C26" s="1" t="s">
        <v>9</v>
      </c>
      <c r="D26" s="1" t="s">
        <v>64</v>
      </c>
      <c r="E26" s="1" t="s">
        <v>65</v>
      </c>
      <c r="F26" s="1" t="s">
        <v>12</v>
      </c>
      <c r="G26" s="1" t="s">
        <v>13</v>
      </c>
      <c r="H26" s="1" t="s">
        <v>18</v>
      </c>
    </row>
    <row r="27" spans="1:8">
      <c r="A27" s="1">
        <v>26</v>
      </c>
      <c r="B27" s="1" t="s">
        <v>63</v>
      </c>
      <c r="C27" s="1" t="s">
        <v>14</v>
      </c>
      <c r="D27" s="1" t="s">
        <v>64</v>
      </c>
      <c r="E27" s="1" t="s">
        <v>66</v>
      </c>
      <c r="F27" s="1" t="s">
        <v>16</v>
      </c>
      <c r="G27" s="1" t="s">
        <v>17</v>
      </c>
      <c r="H27" s="1" t="s">
        <v>18</v>
      </c>
    </row>
    <row r="28" spans="1:8">
      <c r="A28" s="1">
        <v>27</v>
      </c>
      <c r="B28" s="1" t="s">
        <v>63</v>
      </c>
      <c r="C28" s="1" t="s">
        <v>19</v>
      </c>
      <c r="D28" s="1" t="s">
        <v>64</v>
      </c>
      <c r="E28" s="1" t="s">
        <v>67</v>
      </c>
      <c r="F28" s="1" t="s">
        <v>21</v>
      </c>
      <c r="G28" s="1" t="s">
        <v>22</v>
      </c>
      <c r="H28" s="1" t="s">
        <v>18</v>
      </c>
    </row>
    <row r="29" spans="1:8">
      <c r="A29" s="1">
        <v>28</v>
      </c>
      <c r="B29" s="1" t="s">
        <v>63</v>
      </c>
      <c r="C29" s="1" t="s">
        <v>23</v>
      </c>
      <c r="D29" s="1" t="s">
        <v>64</v>
      </c>
      <c r="E29" s="1" t="s">
        <v>68</v>
      </c>
      <c r="F29" s="1" t="s">
        <v>25</v>
      </c>
      <c r="G29" s="1" t="s">
        <v>26</v>
      </c>
      <c r="H29" s="1" t="s">
        <v>18</v>
      </c>
    </row>
    <row r="30" spans="1:8">
      <c r="A30" s="1">
        <v>29</v>
      </c>
      <c r="B30" s="1" t="s">
        <v>63</v>
      </c>
      <c r="C30" s="1" t="s">
        <v>27</v>
      </c>
      <c r="D30" s="1" t="s">
        <v>64</v>
      </c>
      <c r="E30" s="1" t="s">
        <v>69</v>
      </c>
      <c r="F30" s="1" t="s">
        <v>29</v>
      </c>
      <c r="G30" s="1" t="s">
        <v>30</v>
      </c>
      <c r="H30" s="1" t="s">
        <v>18</v>
      </c>
    </row>
    <row r="31" spans="1:8">
      <c r="A31" s="1">
        <v>30</v>
      </c>
      <c r="B31" s="1" t="s">
        <v>63</v>
      </c>
      <c r="C31" s="1" t="s">
        <v>31</v>
      </c>
      <c r="D31" s="1" t="s">
        <v>64</v>
      </c>
      <c r="E31" s="1" t="s">
        <v>70</v>
      </c>
      <c r="F31" s="1" t="s">
        <v>33</v>
      </c>
      <c r="G31" s="1" t="s">
        <v>34</v>
      </c>
      <c r="H31" s="1" t="s">
        <v>18</v>
      </c>
    </row>
    <row r="32" spans="1:8">
      <c r="A32" s="1">
        <v>31</v>
      </c>
      <c r="B32" s="1" t="s">
        <v>63</v>
      </c>
      <c r="C32" s="1" t="s">
        <v>35</v>
      </c>
      <c r="D32" s="1" t="s">
        <v>64</v>
      </c>
      <c r="E32" s="1" t="s">
        <v>71</v>
      </c>
      <c r="F32" s="1" t="s">
        <v>37</v>
      </c>
      <c r="G32" s="1" t="s">
        <v>38</v>
      </c>
      <c r="H32" s="1" t="s">
        <v>18</v>
      </c>
    </row>
    <row r="33" spans="1:8">
      <c r="A33" s="1">
        <v>32</v>
      </c>
      <c r="B33" s="1" t="s">
        <v>63</v>
      </c>
      <c r="C33" s="1" t="s">
        <v>39</v>
      </c>
      <c r="D33" s="1" t="s">
        <v>64</v>
      </c>
      <c r="E33" s="1" t="s">
        <v>72</v>
      </c>
      <c r="F33" s="1" t="s">
        <v>41</v>
      </c>
      <c r="G33" s="1" t="s">
        <v>42</v>
      </c>
      <c r="H33" s="1" t="s">
        <v>18</v>
      </c>
    </row>
    <row r="34" spans="1:8">
      <c r="A34" s="1">
        <v>33</v>
      </c>
      <c r="B34" s="1" t="s">
        <v>73</v>
      </c>
      <c r="C34" s="1" t="s">
        <v>9</v>
      </c>
      <c r="D34" s="1" t="s">
        <v>74</v>
      </c>
      <c r="E34" s="1" t="s">
        <v>75</v>
      </c>
      <c r="F34" s="1" t="s">
        <v>12</v>
      </c>
      <c r="G34" s="1" t="s">
        <v>13</v>
      </c>
      <c r="H34" s="1" t="s">
        <v>18</v>
      </c>
    </row>
    <row r="35" spans="1:8">
      <c r="A35" s="1">
        <v>34</v>
      </c>
      <c r="B35" s="1" t="s">
        <v>73</v>
      </c>
      <c r="C35" s="1" t="s">
        <v>14</v>
      </c>
      <c r="D35" s="1" t="s">
        <v>74</v>
      </c>
      <c r="E35" s="1" t="s">
        <v>76</v>
      </c>
      <c r="F35" s="1" t="s">
        <v>16</v>
      </c>
      <c r="G35" s="1" t="s">
        <v>17</v>
      </c>
      <c r="H35" s="1" t="s">
        <v>18</v>
      </c>
    </row>
    <row r="36" spans="1:8">
      <c r="A36" s="1">
        <v>35</v>
      </c>
      <c r="B36" s="1" t="s">
        <v>73</v>
      </c>
      <c r="C36" s="1" t="s">
        <v>19</v>
      </c>
      <c r="D36" s="1" t="s">
        <v>74</v>
      </c>
      <c r="E36" s="1" t="s">
        <v>77</v>
      </c>
      <c r="F36" s="1" t="s">
        <v>21</v>
      </c>
      <c r="G36" s="1" t="s">
        <v>22</v>
      </c>
      <c r="H36" s="1" t="s">
        <v>18</v>
      </c>
    </row>
    <row r="37" spans="1:8">
      <c r="A37" s="1">
        <v>36</v>
      </c>
      <c r="B37" s="1" t="s">
        <v>73</v>
      </c>
      <c r="C37" s="1" t="s">
        <v>23</v>
      </c>
      <c r="D37" s="1" t="s">
        <v>74</v>
      </c>
      <c r="E37" s="1" t="s">
        <v>78</v>
      </c>
      <c r="F37" s="1" t="s">
        <v>25</v>
      </c>
      <c r="G37" s="1" t="s">
        <v>26</v>
      </c>
      <c r="H37" s="1" t="s">
        <v>18</v>
      </c>
    </row>
    <row r="38" spans="1:8">
      <c r="A38" s="1">
        <v>37</v>
      </c>
      <c r="B38" s="1" t="s">
        <v>73</v>
      </c>
      <c r="C38" s="1" t="s">
        <v>27</v>
      </c>
      <c r="D38" s="1" t="s">
        <v>74</v>
      </c>
      <c r="E38" s="1" t="s">
        <v>79</v>
      </c>
      <c r="F38" s="1" t="s">
        <v>29</v>
      </c>
      <c r="G38" s="1" t="s">
        <v>30</v>
      </c>
      <c r="H38" s="1" t="s">
        <v>18</v>
      </c>
    </row>
    <row r="39" spans="1:8">
      <c r="A39" s="1">
        <v>38</v>
      </c>
      <c r="B39" s="1" t="s">
        <v>73</v>
      </c>
      <c r="C39" s="1" t="s">
        <v>31</v>
      </c>
      <c r="D39" s="1" t="s">
        <v>74</v>
      </c>
      <c r="E39" s="1" t="s">
        <v>80</v>
      </c>
      <c r="F39" s="1" t="s">
        <v>33</v>
      </c>
      <c r="G39" s="1" t="s">
        <v>34</v>
      </c>
      <c r="H39" s="1" t="s">
        <v>18</v>
      </c>
    </row>
    <row r="40" spans="1:8">
      <c r="A40" s="1">
        <v>39</v>
      </c>
      <c r="B40" s="1" t="s">
        <v>73</v>
      </c>
      <c r="C40" s="1" t="s">
        <v>35</v>
      </c>
      <c r="D40" s="1" t="s">
        <v>74</v>
      </c>
      <c r="E40" s="1" t="s">
        <v>81</v>
      </c>
      <c r="F40" s="1" t="s">
        <v>37</v>
      </c>
      <c r="G40" s="1" t="s">
        <v>38</v>
      </c>
      <c r="H40" s="1" t="s">
        <v>18</v>
      </c>
    </row>
    <row r="41" spans="1:8">
      <c r="A41" s="1">
        <v>40</v>
      </c>
      <c r="B41" s="1" t="s">
        <v>73</v>
      </c>
      <c r="C41" s="1" t="s">
        <v>39</v>
      </c>
      <c r="D41" s="1" t="s">
        <v>74</v>
      </c>
      <c r="E41" s="1" t="s">
        <v>82</v>
      </c>
      <c r="F41" s="1" t="s">
        <v>41</v>
      </c>
      <c r="G41" s="1" t="s">
        <v>42</v>
      </c>
      <c r="H41" s="1" t="s">
        <v>18</v>
      </c>
    </row>
    <row r="42" spans="1:8">
      <c r="A42" s="1">
        <v>41</v>
      </c>
      <c r="B42" s="1" t="s">
        <v>83</v>
      </c>
      <c r="C42" s="1" t="s">
        <v>84</v>
      </c>
      <c r="D42" s="1" t="s">
        <v>85</v>
      </c>
      <c r="E42" s="1" t="s">
        <v>86</v>
      </c>
      <c r="F42" s="1" t="s">
        <v>87</v>
      </c>
      <c r="G42" s="1" t="s">
        <v>88</v>
      </c>
      <c r="H42" s="1" t="s">
        <v>18</v>
      </c>
    </row>
    <row r="43" spans="1:8">
      <c r="A43" s="1">
        <v>42</v>
      </c>
      <c r="B43" s="1" t="s">
        <v>89</v>
      </c>
      <c r="C43" s="1" t="s">
        <v>84</v>
      </c>
      <c r="D43" s="1" t="s">
        <v>90</v>
      </c>
      <c r="E43" s="1" t="s">
        <v>91</v>
      </c>
      <c r="F43" s="1" t="s">
        <v>87</v>
      </c>
      <c r="G43" s="1" t="s">
        <v>88</v>
      </c>
      <c r="H43" s="1" t="s">
        <v>18</v>
      </c>
    </row>
    <row r="44" spans="1:8">
      <c r="A44" s="1">
        <v>43</v>
      </c>
      <c r="B44" s="1" t="s">
        <v>92</v>
      </c>
      <c r="C44" s="1" t="s">
        <v>93</v>
      </c>
      <c r="D44" s="1" t="s">
        <v>94</v>
      </c>
      <c r="E44" s="1" t="s">
        <v>95</v>
      </c>
      <c r="F44" s="1" t="s">
        <v>96</v>
      </c>
      <c r="G44" s="1" t="s">
        <v>97</v>
      </c>
      <c r="H44" s="1" t="s">
        <v>18</v>
      </c>
    </row>
    <row r="45" spans="1:8">
      <c r="A45" s="1">
        <v>44</v>
      </c>
      <c r="B45" s="1" t="s">
        <v>92</v>
      </c>
      <c r="C45" s="1" t="s">
        <v>98</v>
      </c>
      <c r="D45" s="1" t="s">
        <v>94</v>
      </c>
      <c r="E45" s="1" t="s">
        <v>99</v>
      </c>
      <c r="F45" s="1" t="s">
        <v>100</v>
      </c>
      <c r="G45" s="1" t="s">
        <v>101</v>
      </c>
      <c r="H45" s="1" t="s">
        <v>18</v>
      </c>
    </row>
    <row r="46" spans="1:8">
      <c r="A46" s="1">
        <v>45</v>
      </c>
      <c r="B46" s="1" t="s">
        <v>92</v>
      </c>
      <c r="C46" s="1" t="s">
        <v>102</v>
      </c>
      <c r="D46" s="1" t="s">
        <v>94</v>
      </c>
      <c r="E46" s="1" t="s">
        <v>103</v>
      </c>
      <c r="F46" s="1" t="s">
        <v>104</v>
      </c>
      <c r="G46" s="1" t="s">
        <v>105</v>
      </c>
      <c r="H46" s="1" t="s">
        <v>18</v>
      </c>
    </row>
    <row r="47" spans="1:8">
      <c r="A47" s="1">
        <v>46</v>
      </c>
      <c r="B47" s="1" t="s">
        <v>92</v>
      </c>
      <c r="C47" s="1" t="s">
        <v>106</v>
      </c>
      <c r="D47" s="1" t="s">
        <v>94</v>
      </c>
      <c r="E47" s="1" t="s">
        <v>107</v>
      </c>
      <c r="F47" s="1" t="s">
        <v>108</v>
      </c>
      <c r="G47" s="1" t="s">
        <v>109</v>
      </c>
      <c r="H47" s="1" t="s">
        <v>18</v>
      </c>
    </row>
    <row r="48" spans="1:8">
      <c r="A48" s="1">
        <v>47</v>
      </c>
      <c r="B48" s="1" t="s">
        <v>92</v>
      </c>
      <c r="C48" s="1" t="s">
        <v>110</v>
      </c>
      <c r="D48" s="1" t="s">
        <v>94</v>
      </c>
      <c r="E48" s="1" t="s">
        <v>111</v>
      </c>
      <c r="F48" s="1" t="s">
        <v>112</v>
      </c>
      <c r="G48" s="1" t="s">
        <v>113</v>
      </c>
      <c r="H48" s="1" t="s">
        <v>18</v>
      </c>
    </row>
    <row r="49" spans="1:8">
      <c r="A49" s="1">
        <v>48</v>
      </c>
      <c r="B49" s="1" t="s">
        <v>92</v>
      </c>
      <c r="C49" s="1" t="s">
        <v>114</v>
      </c>
      <c r="D49" s="1" t="s">
        <v>94</v>
      </c>
      <c r="E49" s="1" t="s">
        <v>115</v>
      </c>
      <c r="F49" s="1" t="s">
        <v>116</v>
      </c>
      <c r="G49" s="1" t="s">
        <v>117</v>
      </c>
      <c r="H49" s="1" t="s">
        <v>18</v>
      </c>
    </row>
    <row r="50" spans="1:8">
      <c r="A50" s="1">
        <v>49</v>
      </c>
      <c r="B50" s="1" t="s">
        <v>92</v>
      </c>
      <c r="C50" s="1" t="s">
        <v>118</v>
      </c>
      <c r="D50" s="1" t="s">
        <v>94</v>
      </c>
      <c r="E50" s="1" t="s">
        <v>119</v>
      </c>
      <c r="F50" s="1" t="s">
        <v>120</v>
      </c>
      <c r="G50" s="1" t="s">
        <v>121</v>
      </c>
      <c r="H50" s="1" t="s">
        <v>18</v>
      </c>
    </row>
    <row r="51" spans="1:8">
      <c r="A51" s="1">
        <v>50</v>
      </c>
      <c r="B51" s="1" t="s">
        <v>92</v>
      </c>
      <c r="C51" s="1" t="s">
        <v>122</v>
      </c>
      <c r="D51" s="1" t="s">
        <v>94</v>
      </c>
      <c r="E51" s="1" t="s">
        <v>123</v>
      </c>
      <c r="F51" s="1" t="s">
        <v>124</v>
      </c>
      <c r="G51" s="1" t="s">
        <v>125</v>
      </c>
      <c r="H51" s="1" t="s">
        <v>18</v>
      </c>
    </row>
    <row r="52" spans="1:8">
      <c r="A52" s="1">
        <v>51</v>
      </c>
      <c r="B52" s="1" t="s">
        <v>92</v>
      </c>
      <c r="C52" s="1" t="s">
        <v>126</v>
      </c>
      <c r="D52" s="1" t="s">
        <v>94</v>
      </c>
      <c r="E52" s="1" t="s">
        <v>127</v>
      </c>
      <c r="F52" s="1" t="s">
        <v>128</v>
      </c>
      <c r="G52" s="1" t="s">
        <v>129</v>
      </c>
      <c r="H52" s="1" t="s">
        <v>18</v>
      </c>
    </row>
    <row r="53" spans="1:8">
      <c r="A53" s="1">
        <v>52</v>
      </c>
      <c r="B53" s="1" t="s">
        <v>130</v>
      </c>
      <c r="C53" s="1" t="s">
        <v>131</v>
      </c>
      <c r="D53" s="1" t="s">
        <v>132</v>
      </c>
      <c r="E53" s="1" t="s">
        <v>133</v>
      </c>
      <c r="F53" s="1" t="s">
        <v>134</v>
      </c>
      <c r="G53" s="1" t="s">
        <v>135</v>
      </c>
      <c r="H53" s="1" t="s">
        <v>18</v>
      </c>
    </row>
    <row r="54" spans="1:8">
      <c r="A54" s="1">
        <v>53</v>
      </c>
      <c r="B54" s="1" t="s">
        <v>130</v>
      </c>
      <c r="C54" s="1" t="s">
        <v>136</v>
      </c>
      <c r="D54" s="1" t="s">
        <v>132</v>
      </c>
      <c r="E54" s="1" t="s">
        <v>137</v>
      </c>
      <c r="F54" s="1" t="s">
        <v>124</v>
      </c>
      <c r="G54" s="1" t="s">
        <v>125</v>
      </c>
      <c r="H54" s="1" t="s">
        <v>18</v>
      </c>
    </row>
    <row r="55" spans="1:8">
      <c r="A55" s="1">
        <v>54</v>
      </c>
      <c r="B55" s="1" t="s">
        <v>130</v>
      </c>
      <c r="C55" s="1" t="s">
        <v>138</v>
      </c>
      <c r="D55" s="1" t="s">
        <v>132</v>
      </c>
      <c r="E55" s="1" t="s">
        <v>139</v>
      </c>
      <c r="F55" s="1" t="s">
        <v>128</v>
      </c>
      <c r="G55" s="1" t="s">
        <v>129</v>
      </c>
      <c r="H55" s="1" t="s">
        <v>18</v>
      </c>
    </row>
    <row r="56" spans="1:8">
      <c r="A56" s="1">
        <v>55</v>
      </c>
      <c r="B56" s="1" t="s">
        <v>130</v>
      </c>
      <c r="C56" s="1" t="s">
        <v>140</v>
      </c>
      <c r="D56" s="1" t="s">
        <v>132</v>
      </c>
      <c r="E56" s="1" t="s">
        <v>141</v>
      </c>
      <c r="F56" s="1" t="s">
        <v>100</v>
      </c>
      <c r="G56" s="1" t="s">
        <v>101</v>
      </c>
      <c r="H56" s="1" t="s">
        <v>18</v>
      </c>
    </row>
    <row r="57" spans="1:8">
      <c r="A57" s="1">
        <v>56</v>
      </c>
      <c r="B57" s="1" t="s">
        <v>130</v>
      </c>
      <c r="C57" s="1" t="s">
        <v>142</v>
      </c>
      <c r="D57" s="1" t="s">
        <v>132</v>
      </c>
      <c r="E57" s="1" t="s">
        <v>143</v>
      </c>
      <c r="F57" s="1" t="s">
        <v>104</v>
      </c>
      <c r="G57" s="1" t="s">
        <v>105</v>
      </c>
      <c r="H57" s="1" t="s">
        <v>18</v>
      </c>
    </row>
    <row r="58" spans="1:8">
      <c r="A58" s="1">
        <v>57</v>
      </c>
      <c r="B58" s="1" t="s">
        <v>130</v>
      </c>
      <c r="C58" s="1" t="s">
        <v>144</v>
      </c>
      <c r="D58" s="1" t="s">
        <v>132</v>
      </c>
      <c r="E58" s="1" t="s">
        <v>145</v>
      </c>
      <c r="F58" s="1" t="s">
        <v>108</v>
      </c>
      <c r="G58" s="1" t="s">
        <v>109</v>
      </c>
      <c r="H58" s="1" t="s">
        <v>18</v>
      </c>
    </row>
    <row r="59" spans="1:8">
      <c r="A59" s="1">
        <v>58</v>
      </c>
      <c r="B59" s="1" t="s">
        <v>130</v>
      </c>
      <c r="C59" s="1" t="s">
        <v>146</v>
      </c>
      <c r="D59" s="1" t="s">
        <v>132</v>
      </c>
      <c r="E59" s="1" t="s">
        <v>147</v>
      </c>
      <c r="F59" s="1" t="s">
        <v>112</v>
      </c>
      <c r="G59" s="1" t="s">
        <v>113</v>
      </c>
      <c r="H59" s="1" t="s">
        <v>18</v>
      </c>
    </row>
    <row r="60" spans="1:8">
      <c r="A60" s="1">
        <v>59</v>
      </c>
      <c r="B60" s="1" t="s">
        <v>130</v>
      </c>
      <c r="C60" s="1" t="s">
        <v>148</v>
      </c>
      <c r="D60" s="1" t="s">
        <v>132</v>
      </c>
      <c r="E60" s="1" t="s">
        <v>149</v>
      </c>
      <c r="F60" s="1" t="s">
        <v>116</v>
      </c>
      <c r="G60" s="1" t="s">
        <v>117</v>
      </c>
      <c r="H60" s="1" t="s">
        <v>18</v>
      </c>
    </row>
    <row r="61" spans="1:8">
      <c r="A61" s="1">
        <v>60</v>
      </c>
      <c r="B61" s="1" t="s">
        <v>130</v>
      </c>
      <c r="C61" s="1" t="s">
        <v>150</v>
      </c>
      <c r="D61" s="1" t="s">
        <v>132</v>
      </c>
      <c r="E61" s="1" t="s">
        <v>151</v>
      </c>
      <c r="F61" s="1" t="s">
        <v>120</v>
      </c>
      <c r="G61" s="1" t="s">
        <v>121</v>
      </c>
      <c r="H61" s="1" t="s">
        <v>18</v>
      </c>
    </row>
    <row r="62" spans="1:8">
      <c r="A62" s="1">
        <v>61</v>
      </c>
      <c r="B62" s="1" t="s">
        <v>130</v>
      </c>
      <c r="C62" s="1" t="s">
        <v>152</v>
      </c>
      <c r="D62" s="1" t="s">
        <v>132</v>
      </c>
      <c r="E62" s="1" t="s">
        <v>153</v>
      </c>
      <c r="F62" s="1" t="s">
        <v>96</v>
      </c>
      <c r="G62" s="1" t="s">
        <v>97</v>
      </c>
      <c r="H62" s="1" t="s">
        <v>18</v>
      </c>
    </row>
    <row r="63" spans="1:8">
      <c r="A63" s="1">
        <v>62</v>
      </c>
      <c r="B63" s="1" t="s">
        <v>154</v>
      </c>
      <c r="C63" s="1" t="s">
        <v>155</v>
      </c>
      <c r="D63" s="1" t="s">
        <v>156</v>
      </c>
      <c r="E63" s="1" t="s">
        <v>157</v>
      </c>
      <c r="F63" s="1" t="s">
        <v>158</v>
      </c>
      <c r="G63" s="1" t="s">
        <v>159</v>
      </c>
      <c r="H63" s="1" t="s">
        <v>18</v>
      </c>
    </row>
    <row r="64" spans="1:8">
      <c r="A64" s="1">
        <v>63</v>
      </c>
      <c r="B64" s="1" t="s">
        <v>154</v>
      </c>
      <c r="C64" s="1" t="s">
        <v>160</v>
      </c>
      <c r="D64" s="1" t="s">
        <v>156</v>
      </c>
      <c r="E64" s="1" t="s">
        <v>161</v>
      </c>
      <c r="F64" s="1" t="s">
        <v>162</v>
      </c>
      <c r="G64" s="1" t="s">
        <v>163</v>
      </c>
      <c r="H64" s="1" t="s">
        <v>18</v>
      </c>
    </row>
    <row r="65" spans="1:8">
      <c r="A65" s="1">
        <v>64</v>
      </c>
      <c r="B65" s="1" t="s">
        <v>154</v>
      </c>
      <c r="C65" s="1" t="s">
        <v>164</v>
      </c>
      <c r="D65" s="1" t="s">
        <v>156</v>
      </c>
      <c r="E65" s="1" t="s">
        <v>165</v>
      </c>
      <c r="F65" s="1" t="s">
        <v>166</v>
      </c>
      <c r="G65" s="1" t="s">
        <v>167</v>
      </c>
      <c r="H65" s="1" t="s">
        <v>18</v>
      </c>
    </row>
    <row r="66" spans="1:8">
      <c r="A66" s="1">
        <v>65</v>
      </c>
      <c r="B66" s="1" t="s">
        <v>154</v>
      </c>
      <c r="C66" s="1" t="s">
        <v>168</v>
      </c>
      <c r="D66" s="1" t="s">
        <v>156</v>
      </c>
      <c r="E66" s="1" t="s">
        <v>169</v>
      </c>
      <c r="F66" s="1" t="s">
        <v>170</v>
      </c>
      <c r="G66" s="1" t="s">
        <v>171</v>
      </c>
      <c r="H66" s="1" t="s">
        <v>18</v>
      </c>
    </row>
    <row r="67" spans="1:8">
      <c r="A67" s="1">
        <v>66</v>
      </c>
      <c r="B67" s="1" t="s">
        <v>154</v>
      </c>
      <c r="C67" s="1" t="s">
        <v>172</v>
      </c>
      <c r="D67" s="1" t="s">
        <v>156</v>
      </c>
      <c r="E67" s="1" t="s">
        <v>173</v>
      </c>
      <c r="F67" s="1" t="s">
        <v>174</v>
      </c>
      <c r="G67" s="1" t="s">
        <v>175</v>
      </c>
      <c r="H67" s="1" t="s">
        <v>18</v>
      </c>
    </row>
    <row r="68" spans="1:8">
      <c r="A68" s="1">
        <v>67</v>
      </c>
      <c r="B68" s="1" t="s">
        <v>154</v>
      </c>
      <c r="C68" s="1" t="s">
        <v>176</v>
      </c>
      <c r="D68" s="1" t="s">
        <v>156</v>
      </c>
      <c r="E68" s="1" t="s">
        <v>177</v>
      </c>
      <c r="F68" s="1" t="s">
        <v>178</v>
      </c>
      <c r="G68" s="1" t="s">
        <v>179</v>
      </c>
      <c r="H68" s="1" t="s">
        <v>18</v>
      </c>
    </row>
    <row r="69" spans="1:8">
      <c r="A69" s="1">
        <v>68</v>
      </c>
      <c r="B69" s="1" t="s">
        <v>154</v>
      </c>
      <c r="C69" s="1" t="s">
        <v>180</v>
      </c>
      <c r="D69" s="1" t="s">
        <v>156</v>
      </c>
      <c r="E69" s="1" t="s">
        <v>181</v>
      </c>
      <c r="F69" s="1" t="s">
        <v>182</v>
      </c>
      <c r="G69" s="1" t="s">
        <v>183</v>
      </c>
      <c r="H69" s="1" t="s">
        <v>18</v>
      </c>
    </row>
    <row r="70" spans="1:8">
      <c r="A70" s="1">
        <v>69</v>
      </c>
      <c r="B70" s="1" t="s">
        <v>154</v>
      </c>
      <c r="C70" s="1" t="s">
        <v>184</v>
      </c>
      <c r="D70" s="1" t="s">
        <v>156</v>
      </c>
      <c r="E70" s="1" t="s">
        <v>185</v>
      </c>
      <c r="F70" s="1" t="s">
        <v>186</v>
      </c>
      <c r="G70" s="1" t="s">
        <v>187</v>
      </c>
      <c r="H70" s="1" t="s">
        <v>18</v>
      </c>
    </row>
    <row r="71" spans="1:8">
      <c r="A71" s="1">
        <v>70</v>
      </c>
      <c r="B71" s="1" t="s">
        <v>154</v>
      </c>
      <c r="C71" s="1" t="s">
        <v>188</v>
      </c>
      <c r="D71" s="1" t="s">
        <v>156</v>
      </c>
      <c r="E71" s="1" t="s">
        <v>189</v>
      </c>
      <c r="F71" s="1" t="s">
        <v>190</v>
      </c>
      <c r="G71" s="1" t="s">
        <v>191</v>
      </c>
      <c r="H71" s="1" t="s">
        <v>18</v>
      </c>
    </row>
    <row r="72" spans="1:8">
      <c r="A72" s="1">
        <v>71</v>
      </c>
      <c r="B72" s="1" t="s">
        <v>154</v>
      </c>
      <c r="C72" s="1" t="s">
        <v>192</v>
      </c>
      <c r="D72" s="1" t="s">
        <v>156</v>
      </c>
      <c r="E72" s="1" t="s">
        <v>193</v>
      </c>
      <c r="F72" s="1" t="s">
        <v>194</v>
      </c>
      <c r="G72" s="1" t="s">
        <v>195</v>
      </c>
      <c r="H72" s="1" t="s">
        <v>18</v>
      </c>
    </row>
    <row r="73" spans="1:8">
      <c r="A73" s="1">
        <v>72</v>
      </c>
      <c r="B73" s="1" t="s">
        <v>154</v>
      </c>
      <c r="C73" s="1" t="s">
        <v>196</v>
      </c>
      <c r="D73" s="1" t="s">
        <v>156</v>
      </c>
      <c r="E73" s="1" t="s">
        <v>197</v>
      </c>
      <c r="F73" s="1" t="s">
        <v>198</v>
      </c>
      <c r="G73" s="1" t="s">
        <v>199</v>
      </c>
      <c r="H73" s="1" t="s">
        <v>18</v>
      </c>
    </row>
    <row r="74" spans="1:8">
      <c r="A74" s="1">
        <v>73</v>
      </c>
      <c r="B74" s="1" t="s">
        <v>200</v>
      </c>
      <c r="C74" s="1" t="s">
        <v>201</v>
      </c>
      <c r="D74" s="1" t="s">
        <v>202</v>
      </c>
      <c r="E74" s="1" t="s">
        <v>203</v>
      </c>
      <c r="F74" s="1" t="s">
        <v>204</v>
      </c>
      <c r="G74" s="1" t="s">
        <v>205</v>
      </c>
      <c r="H74" s="1" t="s">
        <v>18</v>
      </c>
    </row>
    <row r="75" spans="1:8">
      <c r="A75" s="1">
        <v>74</v>
      </c>
      <c r="B75" s="1" t="s">
        <v>200</v>
      </c>
      <c r="C75" s="1" t="s">
        <v>206</v>
      </c>
      <c r="D75" s="1" t="s">
        <v>202</v>
      </c>
      <c r="E75" s="1" t="s">
        <v>207</v>
      </c>
      <c r="F75" s="1" t="s">
        <v>208</v>
      </c>
      <c r="G75" s="1" t="s">
        <v>209</v>
      </c>
      <c r="H75" s="1" t="s">
        <v>18</v>
      </c>
    </row>
    <row r="76" spans="1:8">
      <c r="A76" s="1">
        <v>75</v>
      </c>
      <c r="B76" s="1" t="s">
        <v>210</v>
      </c>
      <c r="C76" s="1" t="s">
        <v>211</v>
      </c>
      <c r="D76" s="1" t="s">
        <v>212</v>
      </c>
      <c r="E76" s="1" t="s">
        <v>213</v>
      </c>
      <c r="F76" s="1" t="s">
        <v>204</v>
      </c>
      <c r="G76" s="1" t="s">
        <v>205</v>
      </c>
      <c r="H76" s="1" t="s">
        <v>18</v>
      </c>
    </row>
    <row r="77" spans="1:8">
      <c r="A77" s="1">
        <v>76</v>
      </c>
      <c r="B77" s="1" t="s">
        <v>210</v>
      </c>
      <c r="C77" s="1" t="s">
        <v>214</v>
      </c>
      <c r="D77" s="1" t="s">
        <v>212</v>
      </c>
      <c r="E77" s="1" t="s">
        <v>215</v>
      </c>
      <c r="F77" s="1" t="s">
        <v>216</v>
      </c>
      <c r="G77" s="1" t="s">
        <v>217</v>
      </c>
      <c r="H77" s="1" t="s">
        <v>18</v>
      </c>
    </row>
    <row r="78" spans="1:8">
      <c r="A78" s="1">
        <v>77</v>
      </c>
      <c r="B78" s="1" t="s">
        <v>210</v>
      </c>
      <c r="C78" s="1" t="s">
        <v>218</v>
      </c>
      <c r="D78" s="1" t="s">
        <v>212</v>
      </c>
      <c r="E78" s="1" t="s">
        <v>219</v>
      </c>
      <c r="F78" s="1" t="s">
        <v>208</v>
      </c>
      <c r="G78" s="1" t="s">
        <v>209</v>
      </c>
      <c r="H78" s="1" t="s">
        <v>18</v>
      </c>
    </row>
    <row r="79" spans="1:8">
      <c r="A79" s="1">
        <v>78</v>
      </c>
      <c r="B79" s="1" t="s">
        <v>210</v>
      </c>
      <c r="C79" s="1" t="s">
        <v>220</v>
      </c>
      <c r="D79" s="1" t="s">
        <v>212</v>
      </c>
      <c r="E79" s="1" t="s">
        <v>221</v>
      </c>
      <c r="F79" s="1" t="s">
        <v>222</v>
      </c>
      <c r="G79" s="1" t="s">
        <v>223</v>
      </c>
      <c r="H79" s="1" t="s">
        <v>18</v>
      </c>
    </row>
    <row r="80" spans="1:8">
      <c r="A80" s="1">
        <v>79</v>
      </c>
      <c r="B80" s="1" t="s">
        <v>210</v>
      </c>
      <c r="C80" s="1" t="s">
        <v>224</v>
      </c>
      <c r="D80" s="1" t="s">
        <v>212</v>
      </c>
      <c r="E80" s="1" t="s">
        <v>225</v>
      </c>
      <c r="F80" s="1" t="s">
        <v>226</v>
      </c>
      <c r="G80" s="1" t="s">
        <v>227</v>
      </c>
      <c r="H80" s="1" t="s">
        <v>18</v>
      </c>
    </row>
    <row r="81" spans="1:8">
      <c r="A81" s="1">
        <v>80</v>
      </c>
      <c r="B81" s="1" t="s">
        <v>228</v>
      </c>
      <c r="C81" s="1" t="s">
        <v>84</v>
      </c>
      <c r="D81" s="1" t="s">
        <v>229</v>
      </c>
      <c r="E81" s="1" t="s">
        <v>230</v>
      </c>
      <c r="F81" s="1" t="s">
        <v>231</v>
      </c>
      <c r="G81" s="1" t="s">
        <v>232</v>
      </c>
      <c r="H81" s="1" t="s">
        <v>18</v>
      </c>
    </row>
    <row r="82" spans="1:8">
      <c r="A82" s="1">
        <v>81</v>
      </c>
      <c r="B82" s="1" t="s">
        <v>233</v>
      </c>
      <c r="C82" s="1" t="s">
        <v>211</v>
      </c>
      <c r="D82" s="1" t="s">
        <v>234</v>
      </c>
      <c r="E82" s="1" t="s">
        <v>235</v>
      </c>
      <c r="F82" s="1" t="s">
        <v>236</v>
      </c>
      <c r="G82" s="1" t="s">
        <v>237</v>
      </c>
      <c r="H82" s="1" t="s">
        <v>18</v>
      </c>
    </row>
    <row r="83" spans="1:8">
      <c r="A83" s="1">
        <v>82</v>
      </c>
      <c r="B83" s="1" t="s">
        <v>233</v>
      </c>
      <c r="C83" s="1" t="s">
        <v>214</v>
      </c>
      <c r="D83" s="1" t="s">
        <v>234</v>
      </c>
      <c r="E83" s="1" t="s">
        <v>238</v>
      </c>
      <c r="F83" s="1" t="s">
        <v>239</v>
      </c>
      <c r="G83" s="1" t="s">
        <v>240</v>
      </c>
      <c r="H83" s="1" t="s">
        <v>18</v>
      </c>
    </row>
    <row r="84" spans="1:8">
      <c r="A84" s="1">
        <v>83</v>
      </c>
      <c r="B84" s="1" t="s">
        <v>233</v>
      </c>
      <c r="C84" s="1" t="s">
        <v>218</v>
      </c>
      <c r="D84" s="1" t="s">
        <v>234</v>
      </c>
      <c r="E84" s="1" t="s">
        <v>241</v>
      </c>
      <c r="F84" s="1" t="s">
        <v>242</v>
      </c>
      <c r="G84" s="1" t="s">
        <v>243</v>
      </c>
      <c r="H84" s="1" t="s">
        <v>18</v>
      </c>
    </row>
    <row r="85" spans="1:8">
      <c r="A85" s="1">
        <v>84</v>
      </c>
      <c r="B85" s="1" t="s">
        <v>233</v>
      </c>
      <c r="C85" s="1" t="s">
        <v>220</v>
      </c>
      <c r="D85" s="1" t="s">
        <v>234</v>
      </c>
      <c r="E85" s="1" t="s">
        <v>244</v>
      </c>
      <c r="F85" s="1" t="s">
        <v>245</v>
      </c>
      <c r="G85" s="1" t="s">
        <v>246</v>
      </c>
      <c r="H85" s="1" t="s">
        <v>18</v>
      </c>
    </row>
    <row r="86" spans="1:8">
      <c r="A86" s="1">
        <v>85</v>
      </c>
      <c r="B86" s="1" t="s">
        <v>233</v>
      </c>
      <c r="C86" s="1" t="s">
        <v>224</v>
      </c>
      <c r="D86" s="1" t="s">
        <v>234</v>
      </c>
      <c r="E86" s="1" t="s">
        <v>247</v>
      </c>
      <c r="F86" s="1" t="s">
        <v>248</v>
      </c>
      <c r="G86" s="1" t="s">
        <v>249</v>
      </c>
      <c r="H86" s="1" t="s">
        <v>18</v>
      </c>
    </row>
    <row r="87" spans="1:8">
      <c r="A87" s="1">
        <v>86</v>
      </c>
      <c r="B87" s="1" t="s">
        <v>250</v>
      </c>
      <c r="C87" s="1" t="s">
        <v>251</v>
      </c>
      <c r="D87" s="1" t="s">
        <v>252</v>
      </c>
      <c r="E87" s="1" t="s">
        <v>253</v>
      </c>
      <c r="F87" s="1" t="s">
        <v>239</v>
      </c>
      <c r="G87" s="1" t="s">
        <v>240</v>
      </c>
      <c r="H87" s="1" t="s">
        <v>18</v>
      </c>
    </row>
    <row r="88" spans="1:8">
      <c r="A88" s="1">
        <v>87</v>
      </c>
      <c r="B88" s="1" t="s">
        <v>250</v>
      </c>
      <c r="C88" s="1" t="s">
        <v>254</v>
      </c>
      <c r="D88" s="1" t="s">
        <v>252</v>
      </c>
      <c r="E88" s="1" t="s">
        <v>255</v>
      </c>
      <c r="F88" s="1" t="s">
        <v>242</v>
      </c>
      <c r="G88" s="1" t="s">
        <v>243</v>
      </c>
      <c r="H88" s="1" t="s">
        <v>18</v>
      </c>
    </row>
    <row r="89" spans="1:8">
      <c r="A89" s="1">
        <v>88</v>
      </c>
      <c r="B89" s="1" t="s">
        <v>250</v>
      </c>
      <c r="C89" s="1" t="s">
        <v>256</v>
      </c>
      <c r="D89" s="1" t="s">
        <v>252</v>
      </c>
      <c r="E89" s="1" t="s">
        <v>257</v>
      </c>
      <c r="F89" s="1" t="s">
        <v>258</v>
      </c>
      <c r="G89" s="1" t="s">
        <v>259</v>
      </c>
      <c r="H89" s="1" t="s">
        <v>18</v>
      </c>
    </row>
    <row r="90" spans="1:8">
      <c r="A90" s="1">
        <v>89</v>
      </c>
      <c r="B90" s="1" t="s">
        <v>250</v>
      </c>
      <c r="C90" s="1" t="s">
        <v>260</v>
      </c>
      <c r="D90" s="1" t="s">
        <v>252</v>
      </c>
      <c r="E90" s="1" t="s">
        <v>261</v>
      </c>
      <c r="F90" s="1" t="s">
        <v>245</v>
      </c>
      <c r="G90" s="1" t="s">
        <v>246</v>
      </c>
      <c r="H90" s="1" t="s">
        <v>18</v>
      </c>
    </row>
    <row r="91" spans="1:8">
      <c r="A91" s="1">
        <v>90</v>
      </c>
      <c r="B91" s="1" t="s">
        <v>250</v>
      </c>
      <c r="C91" s="1" t="s">
        <v>262</v>
      </c>
      <c r="D91" s="1" t="s">
        <v>252</v>
      </c>
      <c r="E91" s="1" t="s">
        <v>263</v>
      </c>
      <c r="F91" s="1" t="s">
        <v>248</v>
      </c>
      <c r="G91" s="1" t="s">
        <v>249</v>
      </c>
      <c r="H91" s="1" t="s">
        <v>18</v>
      </c>
    </row>
    <row r="92" spans="1:8">
      <c r="A92" s="1">
        <v>91</v>
      </c>
      <c r="B92" s="1" t="s">
        <v>250</v>
      </c>
      <c r="C92" s="1" t="s">
        <v>264</v>
      </c>
      <c r="D92" s="1" t="s">
        <v>252</v>
      </c>
      <c r="E92" s="1" t="s">
        <v>265</v>
      </c>
      <c r="F92" s="1" t="s">
        <v>236</v>
      </c>
      <c r="G92" s="1" t="s">
        <v>237</v>
      </c>
      <c r="H92" s="1" t="s">
        <v>18</v>
      </c>
    </row>
    <row r="93" spans="1:8">
      <c r="A93" s="1">
        <v>92</v>
      </c>
      <c r="B93" s="1" t="s">
        <v>266</v>
      </c>
      <c r="C93" s="1" t="s">
        <v>267</v>
      </c>
      <c r="D93" s="1" t="s">
        <v>268</v>
      </c>
      <c r="E93" s="1" t="s">
        <v>269</v>
      </c>
      <c r="F93" s="1" t="s">
        <v>270</v>
      </c>
      <c r="G93" s="1" t="s">
        <v>271</v>
      </c>
      <c r="H93" s="1" t="s">
        <v>18</v>
      </c>
    </row>
    <row r="94" spans="1:8">
      <c r="A94" s="1">
        <v>93</v>
      </c>
      <c r="B94" s="1" t="s">
        <v>266</v>
      </c>
      <c r="C94" s="1" t="s">
        <v>272</v>
      </c>
      <c r="D94" s="1" t="s">
        <v>268</v>
      </c>
      <c r="E94" s="1" t="s">
        <v>273</v>
      </c>
      <c r="F94" s="1" t="s">
        <v>274</v>
      </c>
      <c r="G94" s="1" t="s">
        <v>275</v>
      </c>
      <c r="H94" s="1" t="s">
        <v>18</v>
      </c>
    </row>
    <row r="95" spans="1:8">
      <c r="A95" s="1">
        <v>94</v>
      </c>
      <c r="B95" s="1" t="s">
        <v>266</v>
      </c>
      <c r="C95" s="1" t="s">
        <v>276</v>
      </c>
      <c r="D95" s="1" t="s">
        <v>268</v>
      </c>
      <c r="E95" s="1" t="s">
        <v>277</v>
      </c>
      <c r="F95" s="1" t="s">
        <v>278</v>
      </c>
      <c r="G95" s="1" t="s">
        <v>279</v>
      </c>
      <c r="H95" s="1" t="s">
        <v>18</v>
      </c>
    </row>
    <row r="96" spans="1:8">
      <c r="A96" s="1">
        <v>95</v>
      </c>
      <c r="B96" s="1" t="s">
        <v>266</v>
      </c>
      <c r="C96" s="1" t="s">
        <v>280</v>
      </c>
      <c r="D96" s="1" t="s">
        <v>268</v>
      </c>
      <c r="E96" s="1" t="s">
        <v>281</v>
      </c>
      <c r="F96" s="1" t="s">
        <v>282</v>
      </c>
      <c r="G96" s="1" t="s">
        <v>283</v>
      </c>
      <c r="H96" s="1" t="s">
        <v>18</v>
      </c>
    </row>
    <row r="97" spans="1:8">
      <c r="A97" s="1">
        <v>96</v>
      </c>
      <c r="B97" s="1" t="s">
        <v>284</v>
      </c>
      <c r="C97" s="1" t="s">
        <v>285</v>
      </c>
      <c r="D97" s="1" t="s">
        <v>286</v>
      </c>
      <c r="E97" s="1" t="s">
        <v>287</v>
      </c>
      <c r="F97" s="1" t="s">
        <v>288</v>
      </c>
      <c r="G97" s="1" t="s">
        <v>289</v>
      </c>
      <c r="H97" s="1" t="s">
        <v>18</v>
      </c>
    </row>
    <row r="98" spans="1:8">
      <c r="A98" s="1">
        <v>97</v>
      </c>
      <c r="B98" s="1" t="s">
        <v>284</v>
      </c>
      <c r="C98" s="1" t="s">
        <v>290</v>
      </c>
      <c r="D98" s="1" t="s">
        <v>286</v>
      </c>
      <c r="E98" s="1" t="s">
        <v>291</v>
      </c>
      <c r="F98" s="1" t="s">
        <v>292</v>
      </c>
      <c r="G98" s="1" t="s">
        <v>293</v>
      </c>
      <c r="H98" s="1" t="s">
        <v>18</v>
      </c>
    </row>
    <row r="99" spans="1:8">
      <c r="A99" s="1">
        <v>98</v>
      </c>
      <c r="B99" s="1" t="s">
        <v>284</v>
      </c>
      <c r="C99" s="1" t="s">
        <v>294</v>
      </c>
      <c r="D99" s="1" t="s">
        <v>286</v>
      </c>
      <c r="E99" s="1" t="s">
        <v>295</v>
      </c>
      <c r="F99" s="1" t="s">
        <v>296</v>
      </c>
      <c r="G99" s="1" t="s">
        <v>297</v>
      </c>
      <c r="H99" s="1" t="s">
        <v>18</v>
      </c>
    </row>
    <row r="100" spans="1:8">
      <c r="A100" s="1">
        <v>99</v>
      </c>
      <c r="B100" s="1" t="s">
        <v>298</v>
      </c>
      <c r="C100" s="1" t="s">
        <v>299</v>
      </c>
      <c r="D100" s="1" t="s">
        <v>300</v>
      </c>
      <c r="E100" s="1" t="s">
        <v>301</v>
      </c>
      <c r="F100" s="1" t="s">
        <v>302</v>
      </c>
      <c r="G100" s="1" t="s">
        <v>303</v>
      </c>
      <c r="H100" s="1" t="s">
        <v>18</v>
      </c>
    </row>
    <row r="101" spans="1:8">
      <c r="A101" s="1">
        <v>100</v>
      </c>
      <c r="B101" s="1" t="s">
        <v>298</v>
      </c>
      <c r="C101" s="1" t="s">
        <v>304</v>
      </c>
      <c r="D101" s="1" t="s">
        <v>300</v>
      </c>
      <c r="E101" s="1" t="s">
        <v>305</v>
      </c>
      <c r="F101" s="1" t="s">
        <v>306</v>
      </c>
      <c r="G101" s="1" t="s">
        <v>307</v>
      </c>
      <c r="H101" s="1" t="s">
        <v>18</v>
      </c>
    </row>
    <row r="102" spans="1:8">
      <c r="A102" s="1">
        <v>101</v>
      </c>
      <c r="B102" s="1" t="s">
        <v>298</v>
      </c>
      <c r="C102" s="1" t="s">
        <v>308</v>
      </c>
      <c r="D102" s="1" t="s">
        <v>300</v>
      </c>
      <c r="E102" s="1" t="s">
        <v>309</v>
      </c>
      <c r="F102" s="1" t="s">
        <v>310</v>
      </c>
      <c r="G102" s="1" t="s">
        <v>311</v>
      </c>
      <c r="H102" s="1" t="s">
        <v>18</v>
      </c>
    </row>
    <row r="103" spans="1:8">
      <c r="A103" s="1">
        <v>102</v>
      </c>
      <c r="B103" s="1" t="s">
        <v>298</v>
      </c>
      <c r="C103" s="1" t="s">
        <v>312</v>
      </c>
      <c r="D103" s="1" t="s">
        <v>300</v>
      </c>
      <c r="E103" s="1" t="s">
        <v>313</v>
      </c>
      <c r="F103" s="1" t="s">
        <v>314</v>
      </c>
      <c r="G103" s="1" t="s">
        <v>315</v>
      </c>
      <c r="H103" s="1" t="s">
        <v>18</v>
      </c>
    </row>
    <row r="104" spans="1:8">
      <c r="A104" s="1">
        <v>103</v>
      </c>
      <c r="B104" s="1" t="s">
        <v>298</v>
      </c>
      <c r="C104" s="1" t="s">
        <v>316</v>
      </c>
      <c r="D104" s="1" t="s">
        <v>300</v>
      </c>
      <c r="E104" s="1" t="s">
        <v>317</v>
      </c>
      <c r="F104" s="1" t="s">
        <v>318</v>
      </c>
      <c r="G104" s="1" t="s">
        <v>319</v>
      </c>
      <c r="H104" s="1" t="s">
        <v>18</v>
      </c>
    </row>
    <row r="105" spans="1:8">
      <c r="A105" s="1">
        <v>104</v>
      </c>
      <c r="B105" s="1" t="s">
        <v>298</v>
      </c>
      <c r="C105" s="1" t="s">
        <v>320</v>
      </c>
      <c r="D105" s="1" t="s">
        <v>300</v>
      </c>
      <c r="E105" s="1" t="s">
        <v>321</v>
      </c>
      <c r="F105" s="1" t="s">
        <v>322</v>
      </c>
      <c r="G105" s="1" t="s">
        <v>323</v>
      </c>
      <c r="H105" s="1" t="s">
        <v>18</v>
      </c>
    </row>
    <row r="106" spans="1:8">
      <c r="A106" s="1">
        <v>105</v>
      </c>
      <c r="B106" s="1" t="s">
        <v>298</v>
      </c>
      <c r="C106" s="1" t="s">
        <v>324</v>
      </c>
      <c r="D106" s="1" t="s">
        <v>300</v>
      </c>
      <c r="E106" s="1" t="s">
        <v>325</v>
      </c>
      <c r="F106" s="1" t="s">
        <v>326</v>
      </c>
      <c r="G106" s="1" t="s">
        <v>327</v>
      </c>
      <c r="H106" s="1" t="s">
        <v>18</v>
      </c>
    </row>
    <row r="107" spans="1:8">
      <c r="A107" s="1">
        <v>106</v>
      </c>
      <c r="B107" s="1" t="s">
        <v>298</v>
      </c>
      <c r="C107" s="1" t="s">
        <v>328</v>
      </c>
      <c r="D107" s="1" t="s">
        <v>300</v>
      </c>
      <c r="E107" s="1" t="s">
        <v>329</v>
      </c>
      <c r="F107" s="1" t="s">
        <v>330</v>
      </c>
      <c r="G107" s="1" t="s">
        <v>331</v>
      </c>
      <c r="H107" s="1" t="s">
        <v>18</v>
      </c>
    </row>
    <row r="108" spans="1:8">
      <c r="A108" s="1">
        <v>107</v>
      </c>
      <c r="B108" s="1" t="s">
        <v>298</v>
      </c>
      <c r="C108" s="1" t="s">
        <v>332</v>
      </c>
      <c r="D108" s="1" t="s">
        <v>300</v>
      </c>
      <c r="E108" s="1" t="s">
        <v>333</v>
      </c>
      <c r="F108" s="1" t="s">
        <v>334</v>
      </c>
      <c r="G108" s="1" t="s">
        <v>335</v>
      </c>
      <c r="H108" s="1" t="s">
        <v>18</v>
      </c>
    </row>
    <row r="109" spans="1:8">
      <c r="A109" s="1">
        <v>108</v>
      </c>
      <c r="B109" s="1" t="s">
        <v>298</v>
      </c>
      <c r="C109" s="1" t="s">
        <v>336</v>
      </c>
      <c r="D109" s="1" t="s">
        <v>300</v>
      </c>
      <c r="E109" s="1" t="s">
        <v>337</v>
      </c>
      <c r="F109" s="1" t="s">
        <v>338</v>
      </c>
      <c r="G109" s="1" t="s">
        <v>339</v>
      </c>
      <c r="H109" s="1" t="s">
        <v>18</v>
      </c>
    </row>
    <row r="110" spans="1:8">
      <c r="A110" s="1">
        <v>109</v>
      </c>
      <c r="B110" s="1" t="s">
        <v>298</v>
      </c>
      <c r="C110" s="1" t="s">
        <v>340</v>
      </c>
      <c r="D110" s="1" t="s">
        <v>300</v>
      </c>
      <c r="E110" s="1" t="s">
        <v>341</v>
      </c>
      <c r="F110" s="1" t="s">
        <v>342</v>
      </c>
      <c r="G110" s="1" t="s">
        <v>343</v>
      </c>
      <c r="H110" s="1" t="s">
        <v>18</v>
      </c>
    </row>
    <row r="111" spans="1:8">
      <c r="A111" s="1">
        <v>110</v>
      </c>
      <c r="B111" s="1" t="s">
        <v>298</v>
      </c>
      <c r="C111" s="1" t="s">
        <v>344</v>
      </c>
      <c r="D111" s="1" t="s">
        <v>300</v>
      </c>
      <c r="E111" s="1" t="s">
        <v>345</v>
      </c>
      <c r="F111" s="1" t="s">
        <v>346</v>
      </c>
      <c r="G111" s="1" t="s">
        <v>347</v>
      </c>
      <c r="H111" s="1" t="s">
        <v>18</v>
      </c>
    </row>
    <row r="112" spans="1:8">
      <c r="A112" s="1">
        <v>111</v>
      </c>
      <c r="B112" s="1" t="s">
        <v>348</v>
      </c>
      <c r="C112" s="1" t="s">
        <v>299</v>
      </c>
      <c r="D112" s="1" t="s">
        <v>349</v>
      </c>
      <c r="E112" s="1" t="s">
        <v>350</v>
      </c>
      <c r="F112" s="1" t="s">
        <v>351</v>
      </c>
      <c r="G112" s="1" t="s">
        <v>352</v>
      </c>
      <c r="H112" s="1" t="s">
        <v>18</v>
      </c>
    </row>
    <row r="113" spans="1:8">
      <c r="A113" s="1">
        <v>112</v>
      </c>
      <c r="B113" s="1" t="s">
        <v>348</v>
      </c>
      <c r="C113" s="1" t="s">
        <v>304</v>
      </c>
      <c r="D113" s="1" t="s">
        <v>349</v>
      </c>
      <c r="E113" s="1" t="s">
        <v>353</v>
      </c>
      <c r="F113" s="1" t="s">
        <v>354</v>
      </c>
      <c r="G113" s="1" t="s">
        <v>355</v>
      </c>
      <c r="H113" s="1" t="s">
        <v>18</v>
      </c>
    </row>
    <row r="114" spans="1:8">
      <c r="A114" s="1">
        <v>113</v>
      </c>
      <c r="B114" s="1" t="s">
        <v>348</v>
      </c>
      <c r="C114" s="1" t="s">
        <v>308</v>
      </c>
      <c r="D114" s="1" t="s">
        <v>349</v>
      </c>
      <c r="E114" s="1" t="s">
        <v>356</v>
      </c>
      <c r="F114" s="1" t="s">
        <v>357</v>
      </c>
      <c r="G114" s="1" t="s">
        <v>358</v>
      </c>
      <c r="H114" s="1" t="s">
        <v>18</v>
      </c>
    </row>
    <row r="115" spans="1:8">
      <c r="A115" s="1">
        <v>114</v>
      </c>
      <c r="B115" s="1" t="s">
        <v>348</v>
      </c>
      <c r="C115" s="1" t="s">
        <v>312</v>
      </c>
      <c r="D115" s="1" t="s">
        <v>349</v>
      </c>
      <c r="E115" s="1" t="s">
        <v>359</v>
      </c>
      <c r="F115" s="1" t="s">
        <v>360</v>
      </c>
      <c r="G115" s="1" t="s">
        <v>361</v>
      </c>
      <c r="H115" s="1" t="s">
        <v>18</v>
      </c>
    </row>
    <row r="116" spans="1:8">
      <c r="A116" s="1">
        <v>115</v>
      </c>
      <c r="B116" s="1" t="s">
        <v>348</v>
      </c>
      <c r="C116" s="1" t="s">
        <v>316</v>
      </c>
      <c r="D116" s="1" t="s">
        <v>349</v>
      </c>
      <c r="E116" s="1" t="s">
        <v>362</v>
      </c>
      <c r="F116" s="1" t="s">
        <v>363</v>
      </c>
      <c r="G116" s="1" t="s">
        <v>364</v>
      </c>
      <c r="H116" s="1" t="s">
        <v>18</v>
      </c>
    </row>
    <row r="117" spans="1:8">
      <c r="A117" s="1">
        <v>116</v>
      </c>
      <c r="B117" s="1" t="s">
        <v>348</v>
      </c>
      <c r="C117" s="1" t="s">
        <v>320</v>
      </c>
      <c r="D117" s="1" t="s">
        <v>349</v>
      </c>
      <c r="E117" s="1" t="s">
        <v>365</v>
      </c>
      <c r="F117" s="1" t="s">
        <v>366</v>
      </c>
      <c r="G117" s="1" t="s">
        <v>367</v>
      </c>
      <c r="H117" s="1" t="s">
        <v>18</v>
      </c>
    </row>
    <row r="118" spans="1:8">
      <c r="A118" s="1">
        <v>117</v>
      </c>
      <c r="B118" s="1" t="s">
        <v>348</v>
      </c>
      <c r="C118" s="1" t="s">
        <v>324</v>
      </c>
      <c r="D118" s="1" t="s">
        <v>349</v>
      </c>
      <c r="E118" s="1" t="s">
        <v>368</v>
      </c>
      <c r="F118" s="1" t="s">
        <v>369</v>
      </c>
      <c r="G118" s="1" t="s">
        <v>370</v>
      </c>
      <c r="H118" s="1" t="s">
        <v>18</v>
      </c>
    </row>
    <row r="119" spans="1:8">
      <c r="A119" s="1">
        <v>118</v>
      </c>
      <c r="B119" s="1" t="s">
        <v>348</v>
      </c>
      <c r="C119" s="1" t="s">
        <v>328</v>
      </c>
      <c r="D119" s="1" t="s">
        <v>349</v>
      </c>
      <c r="E119" s="1" t="s">
        <v>371</v>
      </c>
      <c r="F119" s="1" t="s">
        <v>372</v>
      </c>
      <c r="G119" s="1" t="s">
        <v>373</v>
      </c>
      <c r="H119" s="1" t="s">
        <v>18</v>
      </c>
    </row>
    <row r="120" spans="1:8">
      <c r="A120" s="1">
        <v>119</v>
      </c>
      <c r="B120" s="1" t="s">
        <v>348</v>
      </c>
      <c r="C120" s="1" t="s">
        <v>332</v>
      </c>
      <c r="D120" s="1" t="s">
        <v>349</v>
      </c>
      <c r="E120" s="1" t="s">
        <v>374</v>
      </c>
      <c r="F120" s="1" t="s">
        <v>375</v>
      </c>
      <c r="G120" s="1" t="s">
        <v>376</v>
      </c>
      <c r="H120" s="1" t="s">
        <v>18</v>
      </c>
    </row>
    <row r="121" spans="1:8">
      <c r="A121" s="1">
        <v>120</v>
      </c>
      <c r="B121" s="1" t="s">
        <v>348</v>
      </c>
      <c r="C121" s="1" t="s">
        <v>336</v>
      </c>
      <c r="D121" s="1" t="s">
        <v>349</v>
      </c>
      <c r="E121" s="1" t="s">
        <v>377</v>
      </c>
      <c r="F121" s="1" t="s">
        <v>378</v>
      </c>
      <c r="G121" s="1" t="s">
        <v>379</v>
      </c>
      <c r="H121" s="1" t="s">
        <v>18</v>
      </c>
    </row>
    <row r="122" spans="1:8">
      <c r="A122" s="1">
        <v>121</v>
      </c>
      <c r="B122" s="1" t="s">
        <v>348</v>
      </c>
      <c r="C122" s="1" t="s">
        <v>340</v>
      </c>
      <c r="D122" s="1" t="s">
        <v>349</v>
      </c>
      <c r="E122" s="1" t="s">
        <v>380</v>
      </c>
      <c r="F122" s="1" t="s">
        <v>381</v>
      </c>
      <c r="G122" s="1" t="s">
        <v>382</v>
      </c>
      <c r="H122" s="1" t="s">
        <v>18</v>
      </c>
    </row>
    <row r="123" spans="1:8">
      <c r="A123" s="1">
        <v>122</v>
      </c>
      <c r="B123" s="1" t="s">
        <v>348</v>
      </c>
      <c r="C123" s="1" t="s">
        <v>344</v>
      </c>
      <c r="D123" s="1" t="s">
        <v>349</v>
      </c>
      <c r="E123" s="1" t="s">
        <v>383</v>
      </c>
      <c r="F123" s="1" t="s">
        <v>384</v>
      </c>
      <c r="G123" s="1" t="s">
        <v>385</v>
      </c>
      <c r="H123" s="1" t="s">
        <v>18</v>
      </c>
    </row>
    <row r="124" spans="1:8">
      <c r="A124" s="1">
        <v>123</v>
      </c>
      <c r="B124" s="1" t="s">
        <v>386</v>
      </c>
      <c r="C124" s="1" t="s">
        <v>84</v>
      </c>
      <c r="D124" s="1" t="s">
        <v>387</v>
      </c>
      <c r="E124" s="1" t="s">
        <v>388</v>
      </c>
      <c r="F124" s="1" t="s">
        <v>389</v>
      </c>
      <c r="G124" s="1" t="s">
        <v>390</v>
      </c>
      <c r="H124" s="1" t="s">
        <v>18</v>
      </c>
    </row>
    <row r="125" spans="1:8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394</v>
      </c>
      <c r="F125" s="1" t="s">
        <v>395</v>
      </c>
      <c r="G125" s="1" t="s">
        <v>396</v>
      </c>
      <c r="H125" s="1" t="s">
        <v>18</v>
      </c>
    </row>
    <row r="126" spans="1:8">
      <c r="A126" s="1">
        <v>125</v>
      </c>
      <c r="B126" s="1" t="s">
        <v>391</v>
      </c>
      <c r="C126" s="1" t="s">
        <v>397</v>
      </c>
      <c r="D126" s="1" t="s">
        <v>393</v>
      </c>
      <c r="E126" s="1" t="s">
        <v>398</v>
      </c>
      <c r="F126" s="1" t="s">
        <v>399</v>
      </c>
      <c r="G126" s="1" t="s">
        <v>400</v>
      </c>
      <c r="H126" s="1" t="s">
        <v>18</v>
      </c>
    </row>
    <row r="127" spans="1:8">
      <c r="A127" s="1">
        <v>126</v>
      </c>
      <c r="B127" s="1" t="s">
        <v>391</v>
      </c>
      <c r="C127" s="1" t="s">
        <v>401</v>
      </c>
      <c r="D127" s="1" t="s">
        <v>393</v>
      </c>
      <c r="E127" s="1" t="s">
        <v>402</v>
      </c>
      <c r="F127" s="1" t="s">
        <v>403</v>
      </c>
      <c r="G127" s="1" t="s">
        <v>404</v>
      </c>
      <c r="H127" s="1" t="s">
        <v>18</v>
      </c>
    </row>
    <row r="128" spans="1:8">
      <c r="A128" s="1">
        <v>127</v>
      </c>
      <c r="B128" s="1" t="s">
        <v>391</v>
      </c>
      <c r="C128" s="1" t="s">
        <v>405</v>
      </c>
      <c r="D128" s="1" t="s">
        <v>393</v>
      </c>
      <c r="E128" s="1" t="s">
        <v>406</v>
      </c>
      <c r="F128" s="1" t="s">
        <v>407</v>
      </c>
      <c r="G128" s="1" t="s">
        <v>408</v>
      </c>
      <c r="H128" s="1" t="s">
        <v>18</v>
      </c>
    </row>
    <row r="129" spans="1:8">
      <c r="A129" s="1">
        <v>128</v>
      </c>
      <c r="B129" s="1" t="s">
        <v>391</v>
      </c>
      <c r="C129" s="1" t="s">
        <v>409</v>
      </c>
      <c r="D129" s="1" t="s">
        <v>393</v>
      </c>
      <c r="E129" s="1" t="s">
        <v>410</v>
      </c>
      <c r="F129" s="1" t="s">
        <v>411</v>
      </c>
      <c r="G129" s="1" t="s">
        <v>412</v>
      </c>
      <c r="H129" s="1" t="s">
        <v>18</v>
      </c>
    </row>
    <row r="130" spans="1:8">
      <c r="A130" s="1">
        <v>129</v>
      </c>
      <c r="B130" s="1" t="s">
        <v>391</v>
      </c>
      <c r="C130" s="1" t="s">
        <v>413</v>
      </c>
      <c r="D130" s="1" t="s">
        <v>393</v>
      </c>
      <c r="E130" s="1" t="s">
        <v>414</v>
      </c>
      <c r="F130" s="1" t="s">
        <v>415</v>
      </c>
      <c r="G130" s="1" t="s">
        <v>416</v>
      </c>
      <c r="H130" s="1" t="s">
        <v>18</v>
      </c>
    </row>
    <row r="131" spans="1:8">
      <c r="A131" s="1">
        <v>130</v>
      </c>
      <c r="B131" s="1" t="s">
        <v>391</v>
      </c>
      <c r="C131" s="1" t="s">
        <v>417</v>
      </c>
      <c r="D131" s="1" t="s">
        <v>393</v>
      </c>
      <c r="E131" s="1" t="s">
        <v>418</v>
      </c>
      <c r="F131" s="1" t="s">
        <v>419</v>
      </c>
      <c r="G131" s="1" t="s">
        <v>420</v>
      </c>
      <c r="H131" s="1" t="s">
        <v>18</v>
      </c>
    </row>
    <row r="132" spans="1:8">
      <c r="A132" s="1">
        <v>131</v>
      </c>
      <c r="B132" s="1" t="s">
        <v>421</v>
      </c>
      <c r="C132" s="1" t="s">
        <v>267</v>
      </c>
      <c r="D132" s="1" t="s">
        <v>422</v>
      </c>
      <c r="E132" s="1" t="s">
        <v>423</v>
      </c>
      <c r="F132" s="1" t="s">
        <v>424</v>
      </c>
      <c r="G132" s="1" t="s">
        <v>425</v>
      </c>
      <c r="H132" s="1" t="s">
        <v>18</v>
      </c>
    </row>
    <row r="133" spans="1:8">
      <c r="A133" s="1">
        <v>132</v>
      </c>
      <c r="B133" s="1" t="s">
        <v>421</v>
      </c>
      <c r="C133" s="1" t="s">
        <v>272</v>
      </c>
      <c r="D133" s="1" t="s">
        <v>422</v>
      </c>
      <c r="E133" s="1" t="s">
        <v>426</v>
      </c>
      <c r="F133" s="1" t="s">
        <v>427</v>
      </c>
      <c r="G133" s="1" t="s">
        <v>428</v>
      </c>
      <c r="H133" s="1" t="s">
        <v>18</v>
      </c>
    </row>
    <row r="134" spans="1:8">
      <c r="A134" s="1">
        <v>133</v>
      </c>
      <c r="B134" s="1" t="s">
        <v>421</v>
      </c>
      <c r="C134" s="1" t="s">
        <v>276</v>
      </c>
      <c r="D134" s="1" t="s">
        <v>422</v>
      </c>
      <c r="E134" s="1" t="s">
        <v>429</v>
      </c>
      <c r="F134" s="1" t="s">
        <v>430</v>
      </c>
      <c r="G134" s="1" t="s">
        <v>431</v>
      </c>
      <c r="H134" s="1" t="s">
        <v>18</v>
      </c>
    </row>
    <row r="135" spans="1:8">
      <c r="A135" s="1">
        <v>134</v>
      </c>
      <c r="B135" s="1" t="s">
        <v>421</v>
      </c>
      <c r="C135" s="1" t="s">
        <v>280</v>
      </c>
      <c r="D135" s="1" t="s">
        <v>422</v>
      </c>
      <c r="E135" s="1" t="s">
        <v>432</v>
      </c>
      <c r="F135" s="1" t="s">
        <v>433</v>
      </c>
      <c r="G135" s="1" t="s">
        <v>434</v>
      </c>
      <c r="H135" s="1" t="s">
        <v>18</v>
      </c>
    </row>
    <row r="136" spans="1:8">
      <c r="A136" s="1">
        <v>135</v>
      </c>
      <c r="B136" s="1" t="s">
        <v>435</v>
      </c>
      <c r="C136" s="1" t="s">
        <v>267</v>
      </c>
      <c r="D136" s="1" t="s">
        <v>436</v>
      </c>
      <c r="E136" s="1" t="s">
        <v>437</v>
      </c>
      <c r="F136" s="1" t="s">
        <v>424</v>
      </c>
      <c r="G136" s="1" t="s">
        <v>425</v>
      </c>
      <c r="H136" s="1" t="s">
        <v>18</v>
      </c>
    </row>
    <row r="137" spans="1:8">
      <c r="A137" s="1">
        <v>136</v>
      </c>
      <c r="B137" s="1" t="s">
        <v>435</v>
      </c>
      <c r="C137" s="1" t="s">
        <v>272</v>
      </c>
      <c r="D137" s="1" t="s">
        <v>436</v>
      </c>
      <c r="E137" s="1" t="s">
        <v>438</v>
      </c>
      <c r="F137" s="1" t="s">
        <v>427</v>
      </c>
      <c r="G137" s="1" t="s">
        <v>428</v>
      </c>
      <c r="H137" s="1" t="s">
        <v>18</v>
      </c>
    </row>
    <row r="138" spans="1:8">
      <c r="A138" s="1">
        <v>137</v>
      </c>
      <c r="B138" s="1" t="s">
        <v>435</v>
      </c>
      <c r="C138" s="1" t="s">
        <v>276</v>
      </c>
      <c r="D138" s="1" t="s">
        <v>436</v>
      </c>
      <c r="E138" s="1" t="s">
        <v>439</v>
      </c>
      <c r="F138" s="1" t="s">
        <v>430</v>
      </c>
      <c r="G138" s="1" t="s">
        <v>431</v>
      </c>
      <c r="H138" s="1" t="s">
        <v>18</v>
      </c>
    </row>
    <row r="139" spans="1:8">
      <c r="A139" s="1">
        <v>138</v>
      </c>
      <c r="B139" s="1" t="s">
        <v>435</v>
      </c>
      <c r="C139" s="1" t="s">
        <v>280</v>
      </c>
      <c r="D139" s="1" t="s">
        <v>436</v>
      </c>
      <c r="E139" s="1" t="s">
        <v>440</v>
      </c>
      <c r="F139" s="1" t="s">
        <v>433</v>
      </c>
      <c r="G139" s="1" t="s">
        <v>434</v>
      </c>
      <c r="H139" s="1" t="s">
        <v>18</v>
      </c>
    </row>
    <row r="140" spans="1:8">
      <c r="A140" s="1">
        <v>139</v>
      </c>
      <c r="B140" s="1" t="s">
        <v>441</v>
      </c>
      <c r="C140" s="1" t="s">
        <v>84</v>
      </c>
      <c r="D140" s="1" t="s">
        <v>442</v>
      </c>
      <c r="E140" s="1" t="s">
        <v>443</v>
      </c>
      <c r="F140" s="1" t="s">
        <v>444</v>
      </c>
      <c r="G140" s="1" t="s">
        <v>445</v>
      </c>
      <c r="H140" s="1" t="s">
        <v>18</v>
      </c>
    </row>
    <row r="141" spans="1:8">
      <c r="A141" s="1">
        <v>140</v>
      </c>
      <c r="B141" s="1" t="s">
        <v>446</v>
      </c>
      <c r="C141" s="1" t="s">
        <v>84</v>
      </c>
      <c r="D141" s="1" t="s">
        <v>447</v>
      </c>
      <c r="E141" s="1" t="s">
        <v>448</v>
      </c>
      <c r="F141" s="1" t="s">
        <v>449</v>
      </c>
      <c r="G141" s="1" t="s">
        <v>450</v>
      </c>
      <c r="H141" s="1" t="s">
        <v>18</v>
      </c>
    </row>
    <row r="142" spans="1:8">
      <c r="A142" s="1">
        <v>141</v>
      </c>
      <c r="B142" s="1" t="s">
        <v>451</v>
      </c>
      <c r="C142" s="1" t="s">
        <v>452</v>
      </c>
      <c r="D142" s="1" t="s">
        <v>453</v>
      </c>
      <c r="E142" s="1" t="s">
        <v>454</v>
      </c>
      <c r="F142" s="1" t="s">
        <v>455</v>
      </c>
      <c r="G142" s="1" t="s">
        <v>456</v>
      </c>
      <c r="H142" s="1" t="s">
        <v>18</v>
      </c>
    </row>
    <row r="143" spans="1:8">
      <c r="A143" s="1">
        <v>142</v>
      </c>
      <c r="B143" s="1" t="s">
        <v>451</v>
      </c>
      <c r="C143" s="1" t="s">
        <v>457</v>
      </c>
      <c r="D143" s="1" t="s">
        <v>453</v>
      </c>
      <c r="E143" s="1" t="s">
        <v>458</v>
      </c>
      <c r="F143" s="1" t="s">
        <v>459</v>
      </c>
      <c r="G143" s="1" t="s">
        <v>460</v>
      </c>
      <c r="H143" s="1" t="s">
        <v>18</v>
      </c>
    </row>
    <row r="144" spans="1:8">
      <c r="A144" s="1">
        <v>143</v>
      </c>
      <c r="B144" s="1" t="s">
        <v>451</v>
      </c>
      <c r="C144" s="1" t="s">
        <v>461</v>
      </c>
      <c r="D144" s="1" t="s">
        <v>453</v>
      </c>
      <c r="E144" s="1" t="s">
        <v>462</v>
      </c>
      <c r="F144" s="1" t="s">
        <v>463</v>
      </c>
      <c r="G144" s="1" t="s">
        <v>464</v>
      </c>
      <c r="H144" s="1" t="s">
        <v>18</v>
      </c>
    </row>
    <row r="145" spans="1:8">
      <c r="A145" s="1">
        <v>144</v>
      </c>
      <c r="B145" s="1" t="s">
        <v>451</v>
      </c>
      <c r="C145" s="1" t="s">
        <v>465</v>
      </c>
      <c r="D145" s="1" t="s">
        <v>453</v>
      </c>
      <c r="E145" s="1" t="s">
        <v>466</v>
      </c>
      <c r="F145" s="1" t="s">
        <v>467</v>
      </c>
      <c r="G145" s="1" t="s">
        <v>468</v>
      </c>
      <c r="H145" s="1" t="s">
        <v>18</v>
      </c>
    </row>
    <row r="146" spans="1:8">
      <c r="A146" s="1">
        <v>145</v>
      </c>
      <c r="B146" s="1" t="s">
        <v>451</v>
      </c>
      <c r="C146" s="1" t="s">
        <v>469</v>
      </c>
      <c r="D146" s="1" t="s">
        <v>453</v>
      </c>
      <c r="E146" s="1" t="s">
        <v>470</v>
      </c>
      <c r="F146" s="1" t="s">
        <v>471</v>
      </c>
      <c r="G146" s="1" t="s">
        <v>472</v>
      </c>
      <c r="H146" s="1" t="s">
        <v>18</v>
      </c>
    </row>
    <row r="147" spans="1:8">
      <c r="A147" s="1">
        <v>146</v>
      </c>
      <c r="B147" s="1" t="s">
        <v>451</v>
      </c>
      <c r="C147" s="1" t="s">
        <v>473</v>
      </c>
      <c r="D147" s="1" t="s">
        <v>453</v>
      </c>
      <c r="E147" s="1" t="s">
        <v>474</v>
      </c>
      <c r="F147" s="1" t="s">
        <v>475</v>
      </c>
      <c r="G147" s="1" t="s">
        <v>476</v>
      </c>
      <c r="H147" s="1" t="s">
        <v>18</v>
      </c>
    </row>
    <row r="148" spans="1:8">
      <c r="A148" s="1">
        <v>147</v>
      </c>
      <c r="B148" s="1" t="s">
        <v>451</v>
      </c>
      <c r="C148" s="1" t="s">
        <v>477</v>
      </c>
      <c r="D148" s="1" t="s">
        <v>453</v>
      </c>
      <c r="E148" s="1" t="s">
        <v>478</v>
      </c>
      <c r="F148" s="1" t="s">
        <v>479</v>
      </c>
      <c r="G148" s="1" t="s">
        <v>480</v>
      </c>
      <c r="H148" s="1" t="s">
        <v>18</v>
      </c>
    </row>
    <row r="149" spans="1:8">
      <c r="A149" s="1">
        <v>148</v>
      </c>
      <c r="B149" s="1" t="s">
        <v>451</v>
      </c>
      <c r="C149" s="1" t="s">
        <v>481</v>
      </c>
      <c r="D149" s="1" t="s">
        <v>453</v>
      </c>
      <c r="E149" s="1" t="s">
        <v>482</v>
      </c>
      <c r="F149" s="1" t="s">
        <v>483</v>
      </c>
      <c r="G149" s="1" t="s">
        <v>484</v>
      </c>
      <c r="H149" s="1" t="s">
        <v>18</v>
      </c>
    </row>
    <row r="150" spans="1:8">
      <c r="A150" s="1">
        <v>149</v>
      </c>
      <c r="B150" s="1" t="s">
        <v>451</v>
      </c>
      <c r="C150" s="1" t="s">
        <v>485</v>
      </c>
      <c r="D150" s="1" t="s">
        <v>453</v>
      </c>
      <c r="E150" s="1" t="s">
        <v>486</v>
      </c>
      <c r="F150" s="1" t="s">
        <v>487</v>
      </c>
      <c r="G150" s="1" t="s">
        <v>488</v>
      </c>
      <c r="H150" s="1" t="s">
        <v>18</v>
      </c>
    </row>
    <row r="151" spans="1:8">
      <c r="A151" s="1">
        <v>150</v>
      </c>
      <c r="B151" s="1" t="s">
        <v>451</v>
      </c>
      <c r="C151" s="1" t="s">
        <v>489</v>
      </c>
      <c r="D151" s="1" t="s">
        <v>453</v>
      </c>
      <c r="E151" s="1" t="s">
        <v>490</v>
      </c>
      <c r="F151" s="1" t="s">
        <v>491</v>
      </c>
      <c r="G151" s="1" t="s">
        <v>492</v>
      </c>
      <c r="H151" s="1" t="s">
        <v>18</v>
      </c>
    </row>
    <row r="152" spans="1:8">
      <c r="A152" s="1">
        <v>151</v>
      </c>
      <c r="B152" s="1" t="s">
        <v>451</v>
      </c>
      <c r="C152" s="1" t="s">
        <v>493</v>
      </c>
      <c r="D152" s="1" t="s">
        <v>453</v>
      </c>
      <c r="E152" s="1" t="s">
        <v>494</v>
      </c>
      <c r="F152" s="1" t="s">
        <v>495</v>
      </c>
      <c r="G152" s="1" t="s">
        <v>496</v>
      </c>
      <c r="H152" s="1" t="s">
        <v>18</v>
      </c>
    </row>
    <row r="153" spans="1:8">
      <c r="A153" s="1">
        <v>152</v>
      </c>
      <c r="B153" s="1" t="s">
        <v>451</v>
      </c>
      <c r="C153" s="1" t="s">
        <v>497</v>
      </c>
      <c r="D153" s="1" t="s">
        <v>453</v>
      </c>
      <c r="E153" s="1" t="s">
        <v>498</v>
      </c>
      <c r="F153" s="1" t="s">
        <v>499</v>
      </c>
      <c r="G153" s="1" t="s">
        <v>500</v>
      </c>
      <c r="H153" s="1" t="s">
        <v>18</v>
      </c>
    </row>
    <row r="154" spans="1:8">
      <c r="A154" s="1">
        <v>153</v>
      </c>
      <c r="B154" s="1" t="s">
        <v>451</v>
      </c>
      <c r="C154" s="1" t="s">
        <v>501</v>
      </c>
      <c r="D154" s="1" t="s">
        <v>453</v>
      </c>
      <c r="E154" s="1" t="s">
        <v>502</v>
      </c>
      <c r="F154" s="1" t="s">
        <v>503</v>
      </c>
      <c r="G154" s="1" t="s">
        <v>504</v>
      </c>
      <c r="H154" s="1" t="s">
        <v>18</v>
      </c>
    </row>
    <row r="155" spans="1:8">
      <c r="A155" s="1">
        <v>154</v>
      </c>
      <c r="B155" s="1" t="s">
        <v>451</v>
      </c>
      <c r="C155" s="1" t="s">
        <v>505</v>
      </c>
      <c r="D155" s="1" t="s">
        <v>453</v>
      </c>
      <c r="E155" s="1" t="s">
        <v>506</v>
      </c>
      <c r="F155" s="1" t="s">
        <v>507</v>
      </c>
      <c r="G155" s="1" t="s">
        <v>508</v>
      </c>
      <c r="H155" s="1" t="s">
        <v>18</v>
      </c>
    </row>
    <row r="156" spans="1:8">
      <c r="A156" s="1">
        <v>155</v>
      </c>
      <c r="B156" s="1" t="s">
        <v>509</v>
      </c>
      <c r="C156" s="1" t="s">
        <v>267</v>
      </c>
      <c r="D156" s="1" t="s">
        <v>510</v>
      </c>
      <c r="E156" s="1" t="s">
        <v>511</v>
      </c>
      <c r="F156" s="1" t="s">
        <v>512</v>
      </c>
      <c r="G156" s="1" t="s">
        <v>513</v>
      </c>
      <c r="H156" s="1" t="s">
        <v>18</v>
      </c>
    </row>
    <row r="157" spans="1:8">
      <c r="A157" s="1">
        <v>156</v>
      </c>
      <c r="B157" s="1" t="s">
        <v>509</v>
      </c>
      <c r="C157" s="1" t="s">
        <v>272</v>
      </c>
      <c r="D157" s="1" t="s">
        <v>510</v>
      </c>
      <c r="E157" s="1" t="s">
        <v>514</v>
      </c>
      <c r="F157" s="1" t="s">
        <v>515</v>
      </c>
      <c r="G157" s="1" t="s">
        <v>516</v>
      </c>
      <c r="H157" s="1" t="s">
        <v>18</v>
      </c>
    </row>
    <row r="158" spans="1:8">
      <c r="A158" s="1">
        <v>157</v>
      </c>
      <c r="B158" s="1" t="s">
        <v>509</v>
      </c>
      <c r="C158" s="1" t="s">
        <v>276</v>
      </c>
      <c r="D158" s="1" t="s">
        <v>510</v>
      </c>
      <c r="E158" s="1" t="s">
        <v>517</v>
      </c>
      <c r="F158" s="1" t="s">
        <v>518</v>
      </c>
      <c r="G158" s="1" t="s">
        <v>519</v>
      </c>
      <c r="H158" s="1" t="s">
        <v>18</v>
      </c>
    </row>
    <row r="159" spans="1:8">
      <c r="A159" s="1">
        <v>158</v>
      </c>
      <c r="B159" s="1" t="s">
        <v>509</v>
      </c>
      <c r="C159" s="1" t="s">
        <v>280</v>
      </c>
      <c r="D159" s="1" t="s">
        <v>510</v>
      </c>
      <c r="E159" s="1" t="s">
        <v>520</v>
      </c>
      <c r="F159" s="1" t="s">
        <v>521</v>
      </c>
      <c r="G159" s="1" t="s">
        <v>522</v>
      </c>
      <c r="H159" s="1" t="s">
        <v>18</v>
      </c>
    </row>
    <row r="160" spans="1:8">
      <c r="A160" s="1">
        <v>159</v>
      </c>
      <c r="B160" s="1" t="s">
        <v>523</v>
      </c>
      <c r="C160" s="1" t="s">
        <v>267</v>
      </c>
      <c r="D160" s="1" t="s">
        <v>524</v>
      </c>
      <c r="E160" s="1" t="s">
        <v>525</v>
      </c>
      <c r="F160" s="1" t="s">
        <v>512</v>
      </c>
      <c r="G160" s="1" t="s">
        <v>513</v>
      </c>
      <c r="H160" s="1" t="s">
        <v>18</v>
      </c>
    </row>
    <row r="161" spans="1:8">
      <c r="A161" s="1">
        <v>160</v>
      </c>
      <c r="B161" s="1" t="s">
        <v>523</v>
      </c>
      <c r="C161" s="1" t="s">
        <v>272</v>
      </c>
      <c r="D161" s="1" t="s">
        <v>524</v>
      </c>
      <c r="E161" s="1" t="s">
        <v>526</v>
      </c>
      <c r="F161" s="1" t="s">
        <v>515</v>
      </c>
      <c r="G161" s="1" t="s">
        <v>516</v>
      </c>
      <c r="H161" s="1" t="s">
        <v>18</v>
      </c>
    </row>
    <row r="162" spans="1:8">
      <c r="A162" s="1">
        <v>161</v>
      </c>
      <c r="B162" s="1" t="s">
        <v>523</v>
      </c>
      <c r="C162" s="1" t="s">
        <v>276</v>
      </c>
      <c r="D162" s="1" t="s">
        <v>524</v>
      </c>
      <c r="E162" s="1" t="s">
        <v>527</v>
      </c>
      <c r="F162" s="1" t="s">
        <v>518</v>
      </c>
      <c r="G162" s="1" t="s">
        <v>519</v>
      </c>
      <c r="H162" s="1" t="s">
        <v>18</v>
      </c>
    </row>
    <row r="163" spans="1:8">
      <c r="A163" s="1">
        <v>162</v>
      </c>
      <c r="B163" s="1" t="s">
        <v>523</v>
      </c>
      <c r="C163" s="1" t="s">
        <v>280</v>
      </c>
      <c r="D163" s="1" t="s">
        <v>524</v>
      </c>
      <c r="E163" s="1" t="s">
        <v>528</v>
      </c>
      <c r="F163" s="1" t="s">
        <v>521</v>
      </c>
      <c r="G163" s="1" t="s">
        <v>522</v>
      </c>
      <c r="H163" s="1" t="s">
        <v>18</v>
      </c>
    </row>
    <row r="164" spans="1:8">
      <c r="A164" s="1">
        <v>163</v>
      </c>
      <c r="B164" s="1" t="s">
        <v>529</v>
      </c>
      <c r="C164" s="1" t="s">
        <v>84</v>
      </c>
      <c r="D164" s="1" t="s">
        <v>530</v>
      </c>
      <c r="E164" s="1" t="s">
        <v>531</v>
      </c>
      <c r="F164" s="1" t="s">
        <v>532</v>
      </c>
      <c r="G164" s="1" t="s">
        <v>533</v>
      </c>
      <c r="H164" s="1" t="s">
        <v>18</v>
      </c>
    </row>
    <row r="165" spans="1:8">
      <c r="A165" s="1">
        <v>164</v>
      </c>
      <c r="B165" s="1" t="s">
        <v>534</v>
      </c>
      <c r="C165" s="1" t="s">
        <v>84</v>
      </c>
      <c r="D165" s="1" t="s">
        <v>535</v>
      </c>
      <c r="E165" s="1" t="s">
        <v>536</v>
      </c>
      <c r="F165" s="1" t="s">
        <v>537</v>
      </c>
      <c r="G165" s="1" t="s">
        <v>538</v>
      </c>
      <c r="H165" s="1" t="s">
        <v>18</v>
      </c>
    </row>
    <row r="166" spans="1:8">
      <c r="A166" s="1">
        <v>165</v>
      </c>
      <c r="B166" s="1" t="s">
        <v>539</v>
      </c>
      <c r="C166" s="1" t="s">
        <v>9</v>
      </c>
      <c r="D166" s="1" t="s">
        <v>540</v>
      </c>
      <c r="E166" s="1" t="s">
        <v>541</v>
      </c>
      <c r="F166" s="1" t="s">
        <v>542</v>
      </c>
      <c r="G166" s="1" t="s">
        <v>543</v>
      </c>
      <c r="H166" s="1" t="s">
        <v>18</v>
      </c>
    </row>
    <row r="167" spans="1:8">
      <c r="A167" s="1">
        <v>166</v>
      </c>
      <c r="B167" s="1" t="s">
        <v>539</v>
      </c>
      <c r="C167" s="1" t="s">
        <v>14</v>
      </c>
      <c r="D167" s="1" t="s">
        <v>540</v>
      </c>
      <c r="E167" s="1" t="s">
        <v>544</v>
      </c>
      <c r="F167" s="1" t="s">
        <v>545</v>
      </c>
      <c r="G167" s="1" t="s">
        <v>546</v>
      </c>
      <c r="H167" s="1" t="s">
        <v>18</v>
      </c>
    </row>
    <row r="168" spans="1:8">
      <c r="A168" s="1">
        <v>167</v>
      </c>
      <c r="B168" s="1" t="s">
        <v>539</v>
      </c>
      <c r="C168" s="1" t="s">
        <v>19</v>
      </c>
      <c r="D168" s="1" t="s">
        <v>540</v>
      </c>
      <c r="E168" s="1" t="s">
        <v>547</v>
      </c>
      <c r="F168" s="1" t="s">
        <v>548</v>
      </c>
      <c r="G168" s="1" t="s">
        <v>549</v>
      </c>
      <c r="H168" s="1" t="s">
        <v>18</v>
      </c>
    </row>
    <row r="169" spans="1:8">
      <c r="A169" s="1">
        <v>168</v>
      </c>
      <c r="B169" s="1" t="s">
        <v>539</v>
      </c>
      <c r="C169" s="1" t="s">
        <v>23</v>
      </c>
      <c r="D169" s="1" t="s">
        <v>540</v>
      </c>
      <c r="E169" s="1" t="s">
        <v>550</v>
      </c>
      <c r="F169" s="1" t="s">
        <v>551</v>
      </c>
      <c r="G169" s="1" t="s">
        <v>552</v>
      </c>
      <c r="H169" s="1" t="s">
        <v>18</v>
      </c>
    </row>
    <row r="170" spans="1:8">
      <c r="A170" s="1">
        <v>169</v>
      </c>
      <c r="B170" s="1" t="s">
        <v>539</v>
      </c>
      <c r="C170" s="1" t="s">
        <v>27</v>
      </c>
      <c r="D170" s="1" t="s">
        <v>540</v>
      </c>
      <c r="E170" s="1" t="s">
        <v>553</v>
      </c>
      <c r="F170" s="1" t="s">
        <v>554</v>
      </c>
      <c r="G170" s="1" t="s">
        <v>555</v>
      </c>
      <c r="H170" s="1" t="s">
        <v>18</v>
      </c>
    </row>
    <row r="171" spans="1:8">
      <c r="A171" s="1">
        <v>170</v>
      </c>
      <c r="B171" s="1" t="s">
        <v>539</v>
      </c>
      <c r="C171" s="1" t="s">
        <v>31</v>
      </c>
      <c r="D171" s="1" t="s">
        <v>540</v>
      </c>
      <c r="E171" s="1" t="s">
        <v>556</v>
      </c>
      <c r="F171" s="1" t="s">
        <v>557</v>
      </c>
      <c r="G171" s="1" t="s">
        <v>558</v>
      </c>
      <c r="H171" s="1" t="s">
        <v>18</v>
      </c>
    </row>
    <row r="172" spans="1:8">
      <c r="A172" s="1">
        <v>171</v>
      </c>
      <c r="B172" s="1" t="s">
        <v>539</v>
      </c>
      <c r="C172" s="1" t="s">
        <v>35</v>
      </c>
      <c r="D172" s="1" t="s">
        <v>540</v>
      </c>
      <c r="E172" s="1" t="s">
        <v>559</v>
      </c>
      <c r="F172" s="1" t="s">
        <v>560</v>
      </c>
      <c r="G172" s="1" t="s">
        <v>561</v>
      </c>
      <c r="H172" s="1" t="s">
        <v>18</v>
      </c>
    </row>
    <row r="173" spans="1:8">
      <c r="A173" s="1">
        <v>172</v>
      </c>
      <c r="B173" s="1" t="s">
        <v>539</v>
      </c>
      <c r="C173" s="1" t="s">
        <v>39</v>
      </c>
      <c r="D173" s="1" t="s">
        <v>540</v>
      </c>
      <c r="E173" s="1" t="s">
        <v>562</v>
      </c>
      <c r="F173" s="1" t="s">
        <v>563</v>
      </c>
      <c r="G173" s="1" t="s">
        <v>564</v>
      </c>
      <c r="H173" s="1" t="s">
        <v>18</v>
      </c>
    </row>
    <row r="174" spans="1:8">
      <c r="A174" s="1">
        <v>173</v>
      </c>
      <c r="B174" s="1" t="s">
        <v>565</v>
      </c>
      <c r="C174" s="1" t="s">
        <v>84</v>
      </c>
      <c r="D174" s="1" t="s">
        <v>566</v>
      </c>
      <c r="E174" s="1" t="s">
        <v>567</v>
      </c>
      <c r="F174" s="1" t="s">
        <v>568</v>
      </c>
      <c r="G174" s="1" t="s">
        <v>569</v>
      </c>
      <c r="H174" s="1" t="s">
        <v>18</v>
      </c>
    </row>
    <row r="175" spans="1:8">
      <c r="A175" s="1">
        <v>174</v>
      </c>
      <c r="B175" s="1" t="s">
        <v>570</v>
      </c>
      <c r="C175" s="1" t="s">
        <v>84</v>
      </c>
      <c r="D175" s="1" t="s">
        <v>571</v>
      </c>
      <c r="E175" s="1" t="s">
        <v>572</v>
      </c>
      <c r="F175" s="1" t="s">
        <v>573</v>
      </c>
      <c r="G175" s="1" t="s">
        <v>574</v>
      </c>
      <c r="H175" s="1" t="s">
        <v>18</v>
      </c>
    </row>
    <row r="176" spans="1:8">
      <c r="A176" s="1">
        <v>175</v>
      </c>
      <c r="B176" s="1" t="s">
        <v>575</v>
      </c>
      <c r="C176" s="1" t="s">
        <v>211</v>
      </c>
      <c r="D176" s="1" t="s">
        <v>576</v>
      </c>
      <c r="E176" s="1" t="s">
        <v>577</v>
      </c>
      <c r="F176" s="1" t="s">
        <v>578</v>
      </c>
      <c r="G176" s="1" t="s">
        <v>579</v>
      </c>
      <c r="H176" s="1" t="s">
        <v>18</v>
      </c>
    </row>
    <row r="177" spans="1:8">
      <c r="A177" s="1">
        <v>176</v>
      </c>
      <c r="B177" s="1" t="s">
        <v>575</v>
      </c>
      <c r="C177" s="1" t="s">
        <v>214</v>
      </c>
      <c r="D177" s="1" t="s">
        <v>576</v>
      </c>
      <c r="E177" s="1" t="s">
        <v>580</v>
      </c>
      <c r="F177" s="1" t="s">
        <v>581</v>
      </c>
      <c r="G177" s="1" t="s">
        <v>582</v>
      </c>
      <c r="H177" s="1" t="s">
        <v>18</v>
      </c>
    </row>
    <row r="178" spans="1:8">
      <c r="A178" s="1">
        <v>177</v>
      </c>
      <c r="B178" s="1" t="s">
        <v>575</v>
      </c>
      <c r="C178" s="1" t="s">
        <v>218</v>
      </c>
      <c r="D178" s="1" t="s">
        <v>576</v>
      </c>
      <c r="E178" s="1" t="s">
        <v>583</v>
      </c>
      <c r="F178" s="1" t="s">
        <v>584</v>
      </c>
      <c r="G178" s="1" t="s">
        <v>585</v>
      </c>
      <c r="H178" s="1" t="s">
        <v>18</v>
      </c>
    </row>
    <row r="179" spans="1:8">
      <c r="A179" s="1">
        <v>178</v>
      </c>
      <c r="B179" s="1" t="s">
        <v>575</v>
      </c>
      <c r="C179" s="1" t="s">
        <v>220</v>
      </c>
      <c r="D179" s="1" t="s">
        <v>576</v>
      </c>
      <c r="E179" s="1" t="s">
        <v>586</v>
      </c>
      <c r="F179" s="1" t="s">
        <v>587</v>
      </c>
      <c r="G179" s="1" t="s">
        <v>588</v>
      </c>
      <c r="H179" s="1" t="s">
        <v>18</v>
      </c>
    </row>
    <row r="180" spans="1:8">
      <c r="A180" s="1">
        <v>179</v>
      </c>
      <c r="B180" s="1" t="s">
        <v>575</v>
      </c>
      <c r="C180" s="1" t="s">
        <v>224</v>
      </c>
      <c r="D180" s="1" t="s">
        <v>576</v>
      </c>
      <c r="E180" s="1" t="s">
        <v>589</v>
      </c>
      <c r="F180" s="1" t="s">
        <v>590</v>
      </c>
      <c r="G180" s="1" t="s">
        <v>591</v>
      </c>
      <c r="H180" s="1" t="s">
        <v>18</v>
      </c>
    </row>
    <row r="181" spans="1:8">
      <c r="A181" s="1">
        <v>180</v>
      </c>
      <c r="B181" s="1" t="s">
        <v>592</v>
      </c>
      <c r="C181" s="1" t="s">
        <v>211</v>
      </c>
      <c r="D181" s="1" t="s">
        <v>593</v>
      </c>
      <c r="E181" s="1" t="s">
        <v>594</v>
      </c>
      <c r="F181" s="1" t="s">
        <v>595</v>
      </c>
      <c r="G181" s="1" t="s">
        <v>596</v>
      </c>
      <c r="H181" s="1" t="s">
        <v>18</v>
      </c>
    </row>
    <row r="182" spans="1:8">
      <c r="A182" s="1">
        <v>181</v>
      </c>
      <c r="B182" s="1" t="s">
        <v>592</v>
      </c>
      <c r="C182" s="1" t="s">
        <v>214</v>
      </c>
      <c r="D182" s="1" t="s">
        <v>593</v>
      </c>
      <c r="E182" s="1" t="s">
        <v>597</v>
      </c>
      <c r="F182" s="1" t="s">
        <v>598</v>
      </c>
      <c r="G182" s="1" t="s">
        <v>599</v>
      </c>
      <c r="H182" s="1" t="s">
        <v>18</v>
      </c>
    </row>
    <row r="183" spans="1:8">
      <c r="A183" s="1">
        <v>182</v>
      </c>
      <c r="B183" s="1" t="s">
        <v>592</v>
      </c>
      <c r="C183" s="1" t="s">
        <v>218</v>
      </c>
      <c r="D183" s="1" t="s">
        <v>593</v>
      </c>
      <c r="E183" s="1" t="s">
        <v>600</v>
      </c>
      <c r="F183" s="1" t="s">
        <v>578</v>
      </c>
      <c r="G183" s="1" t="s">
        <v>579</v>
      </c>
      <c r="H183" s="1" t="s">
        <v>18</v>
      </c>
    </row>
    <row r="184" spans="1:8">
      <c r="A184" s="1">
        <v>183</v>
      </c>
      <c r="B184" s="1" t="s">
        <v>592</v>
      </c>
      <c r="C184" s="1" t="s">
        <v>220</v>
      </c>
      <c r="D184" s="1" t="s">
        <v>593</v>
      </c>
      <c r="E184" s="1" t="s">
        <v>601</v>
      </c>
      <c r="F184" s="1" t="s">
        <v>590</v>
      </c>
      <c r="G184" s="1" t="s">
        <v>591</v>
      </c>
      <c r="H184" s="1" t="s">
        <v>18</v>
      </c>
    </row>
    <row r="185" spans="1:8">
      <c r="A185" s="1">
        <v>184</v>
      </c>
      <c r="B185" s="1" t="s">
        <v>592</v>
      </c>
      <c r="C185" s="1" t="s">
        <v>224</v>
      </c>
      <c r="D185" s="1" t="s">
        <v>593</v>
      </c>
      <c r="E185" s="1" t="s">
        <v>602</v>
      </c>
      <c r="F185" s="1" t="s">
        <v>603</v>
      </c>
      <c r="G185" s="1" t="s">
        <v>604</v>
      </c>
      <c r="H185" s="1" t="s">
        <v>18</v>
      </c>
    </row>
    <row r="186" spans="1:8">
      <c r="A186" s="1">
        <v>185</v>
      </c>
      <c r="B186" s="1" t="s">
        <v>605</v>
      </c>
      <c r="C186" s="1" t="s">
        <v>251</v>
      </c>
      <c r="D186" s="1" t="s">
        <v>606</v>
      </c>
      <c r="E186" s="1" t="s">
        <v>607</v>
      </c>
      <c r="F186" s="1" t="s">
        <v>595</v>
      </c>
      <c r="G186" s="1" t="s">
        <v>596</v>
      </c>
      <c r="H186" s="1" t="s">
        <v>18</v>
      </c>
    </row>
    <row r="187" spans="1:8">
      <c r="A187" s="1">
        <v>186</v>
      </c>
      <c r="B187" s="1" t="s">
        <v>605</v>
      </c>
      <c r="C187" s="1" t="s">
        <v>254</v>
      </c>
      <c r="D187" s="1" t="s">
        <v>606</v>
      </c>
      <c r="E187" s="1" t="s">
        <v>608</v>
      </c>
      <c r="F187" s="1" t="s">
        <v>598</v>
      </c>
      <c r="G187" s="1" t="s">
        <v>599</v>
      </c>
      <c r="H187" s="1" t="s">
        <v>18</v>
      </c>
    </row>
    <row r="188" spans="1:8">
      <c r="A188" s="1">
        <v>187</v>
      </c>
      <c r="B188" s="1" t="s">
        <v>605</v>
      </c>
      <c r="C188" s="1" t="s">
        <v>256</v>
      </c>
      <c r="D188" s="1" t="s">
        <v>606</v>
      </c>
      <c r="E188" s="1" t="s">
        <v>609</v>
      </c>
      <c r="F188" s="1" t="s">
        <v>578</v>
      </c>
      <c r="G188" s="1" t="s">
        <v>579</v>
      </c>
      <c r="H188" s="1" t="s">
        <v>18</v>
      </c>
    </row>
    <row r="189" spans="1:8">
      <c r="A189" s="1">
        <v>188</v>
      </c>
      <c r="B189" s="1" t="s">
        <v>605</v>
      </c>
      <c r="C189" s="1" t="s">
        <v>260</v>
      </c>
      <c r="D189" s="1" t="s">
        <v>606</v>
      </c>
      <c r="E189" s="1" t="s">
        <v>610</v>
      </c>
      <c r="F189" s="1" t="s">
        <v>611</v>
      </c>
      <c r="G189" s="1" t="s">
        <v>612</v>
      </c>
      <c r="H189" s="1" t="s">
        <v>18</v>
      </c>
    </row>
    <row r="190" spans="1:8">
      <c r="A190" s="1">
        <v>189</v>
      </c>
      <c r="B190" s="1" t="s">
        <v>605</v>
      </c>
      <c r="C190" s="1" t="s">
        <v>262</v>
      </c>
      <c r="D190" s="1" t="s">
        <v>606</v>
      </c>
      <c r="E190" s="1" t="s">
        <v>613</v>
      </c>
      <c r="F190" s="1" t="s">
        <v>590</v>
      </c>
      <c r="G190" s="1" t="s">
        <v>591</v>
      </c>
      <c r="H190" s="1" t="s">
        <v>18</v>
      </c>
    </row>
    <row r="191" spans="1:8">
      <c r="A191" s="1">
        <v>190</v>
      </c>
      <c r="B191" s="1" t="s">
        <v>605</v>
      </c>
      <c r="C191" s="1" t="s">
        <v>264</v>
      </c>
      <c r="D191" s="1" t="s">
        <v>606</v>
      </c>
      <c r="E191" s="1" t="s">
        <v>614</v>
      </c>
      <c r="F191" s="1" t="s">
        <v>603</v>
      </c>
      <c r="G191" s="1" t="s">
        <v>604</v>
      </c>
      <c r="H191" s="1" t="s">
        <v>18</v>
      </c>
    </row>
    <row r="192" spans="1:8">
      <c r="A192" s="1">
        <v>191</v>
      </c>
      <c r="B192" s="1" t="s">
        <v>615</v>
      </c>
      <c r="C192" s="1" t="s">
        <v>392</v>
      </c>
      <c r="D192" s="1" t="s">
        <v>616</v>
      </c>
      <c r="E192" s="1" t="s">
        <v>617</v>
      </c>
      <c r="F192" s="1" t="s">
        <v>618</v>
      </c>
      <c r="G192" s="1" t="s">
        <v>619</v>
      </c>
      <c r="H192" s="1" t="s">
        <v>18</v>
      </c>
    </row>
    <row r="193" spans="1:8">
      <c r="A193" s="1">
        <v>192</v>
      </c>
      <c r="B193" s="1" t="s">
        <v>615</v>
      </c>
      <c r="C193" s="1" t="s">
        <v>397</v>
      </c>
      <c r="D193" s="1" t="s">
        <v>616</v>
      </c>
      <c r="E193" s="1" t="s">
        <v>620</v>
      </c>
      <c r="F193" s="1" t="s">
        <v>621</v>
      </c>
      <c r="G193" s="1" t="s">
        <v>622</v>
      </c>
      <c r="H193" s="1" t="s">
        <v>18</v>
      </c>
    </row>
    <row r="194" spans="1:8">
      <c r="A194" s="1">
        <v>193</v>
      </c>
      <c r="B194" s="1" t="s">
        <v>615</v>
      </c>
      <c r="C194" s="1" t="s">
        <v>401</v>
      </c>
      <c r="D194" s="1" t="s">
        <v>616</v>
      </c>
      <c r="E194" s="1" t="s">
        <v>623</v>
      </c>
      <c r="F194" s="1" t="s">
        <v>624</v>
      </c>
      <c r="G194" s="1" t="s">
        <v>625</v>
      </c>
      <c r="H194" s="1" t="s">
        <v>18</v>
      </c>
    </row>
    <row r="195" spans="1:8">
      <c r="A195" s="1">
        <v>194</v>
      </c>
      <c r="B195" s="1" t="s">
        <v>615</v>
      </c>
      <c r="C195" s="1" t="s">
        <v>405</v>
      </c>
      <c r="D195" s="1" t="s">
        <v>616</v>
      </c>
      <c r="E195" s="1" t="s">
        <v>626</v>
      </c>
      <c r="F195" s="1" t="s">
        <v>627</v>
      </c>
      <c r="G195" s="1" t="s">
        <v>628</v>
      </c>
      <c r="H195" s="1" t="s">
        <v>18</v>
      </c>
    </row>
    <row r="196" spans="1:8">
      <c r="A196" s="1">
        <v>195</v>
      </c>
      <c r="B196" s="1" t="s">
        <v>615</v>
      </c>
      <c r="C196" s="1" t="s">
        <v>409</v>
      </c>
      <c r="D196" s="1" t="s">
        <v>616</v>
      </c>
      <c r="E196" s="1" t="s">
        <v>629</v>
      </c>
      <c r="F196" s="1" t="s">
        <v>630</v>
      </c>
      <c r="G196" s="1" t="s">
        <v>631</v>
      </c>
      <c r="H196" s="1" t="s">
        <v>18</v>
      </c>
    </row>
    <row r="197" spans="1:8">
      <c r="A197" s="1">
        <v>196</v>
      </c>
      <c r="B197" s="1" t="s">
        <v>615</v>
      </c>
      <c r="C197" s="1" t="s">
        <v>413</v>
      </c>
      <c r="D197" s="1" t="s">
        <v>616</v>
      </c>
      <c r="E197" s="1" t="s">
        <v>632</v>
      </c>
      <c r="F197" s="1" t="s">
        <v>633</v>
      </c>
      <c r="G197" s="1" t="s">
        <v>634</v>
      </c>
      <c r="H197" s="1" t="s">
        <v>18</v>
      </c>
    </row>
    <row r="198" spans="1:8">
      <c r="A198" s="1">
        <v>197</v>
      </c>
      <c r="B198" s="1" t="s">
        <v>615</v>
      </c>
      <c r="C198" s="1" t="s">
        <v>417</v>
      </c>
      <c r="D198" s="1" t="s">
        <v>616</v>
      </c>
      <c r="E198" s="1" t="s">
        <v>635</v>
      </c>
      <c r="F198" s="1" t="s">
        <v>636</v>
      </c>
      <c r="G198" s="1" t="s">
        <v>637</v>
      </c>
      <c r="H198" s="1" t="s">
        <v>18</v>
      </c>
    </row>
    <row r="199" spans="1:8">
      <c r="A199" s="1">
        <v>198</v>
      </c>
      <c r="B199" s="1" t="s">
        <v>638</v>
      </c>
      <c r="C199" s="1" t="s">
        <v>392</v>
      </c>
      <c r="D199" s="1" t="s">
        <v>639</v>
      </c>
      <c r="E199" s="1" t="s">
        <v>640</v>
      </c>
      <c r="F199" s="1" t="s">
        <v>641</v>
      </c>
      <c r="G199" s="1" t="s">
        <v>642</v>
      </c>
      <c r="H199" s="1" t="s">
        <v>18</v>
      </c>
    </row>
    <row r="200" spans="1:8">
      <c r="A200" s="1">
        <v>199</v>
      </c>
      <c r="B200" s="1" t="s">
        <v>638</v>
      </c>
      <c r="C200" s="1" t="s">
        <v>397</v>
      </c>
      <c r="D200" s="1" t="s">
        <v>639</v>
      </c>
      <c r="E200" s="1" t="s">
        <v>643</v>
      </c>
      <c r="F200" s="1" t="s">
        <v>644</v>
      </c>
      <c r="G200" s="1" t="s">
        <v>645</v>
      </c>
      <c r="H200" s="1" t="s">
        <v>18</v>
      </c>
    </row>
    <row r="201" spans="1:8">
      <c r="A201" s="1">
        <v>200</v>
      </c>
      <c r="B201" s="1" t="s">
        <v>638</v>
      </c>
      <c r="C201" s="1" t="s">
        <v>401</v>
      </c>
      <c r="D201" s="1" t="s">
        <v>639</v>
      </c>
      <c r="E201" s="1" t="s">
        <v>646</v>
      </c>
      <c r="F201" s="1" t="s">
        <v>647</v>
      </c>
      <c r="G201" s="1" t="s">
        <v>648</v>
      </c>
      <c r="H201" s="1" t="s">
        <v>18</v>
      </c>
    </row>
    <row r="202" spans="1:8">
      <c r="A202" s="1">
        <v>201</v>
      </c>
      <c r="B202" s="1" t="s">
        <v>638</v>
      </c>
      <c r="C202" s="1" t="s">
        <v>405</v>
      </c>
      <c r="D202" s="1" t="s">
        <v>639</v>
      </c>
      <c r="E202" s="1" t="s">
        <v>649</v>
      </c>
      <c r="F202" s="1" t="s">
        <v>650</v>
      </c>
      <c r="G202" s="1" t="s">
        <v>651</v>
      </c>
      <c r="H202" s="1" t="s">
        <v>18</v>
      </c>
    </row>
    <row r="203" spans="1:8">
      <c r="A203" s="1">
        <v>202</v>
      </c>
      <c r="B203" s="1" t="s">
        <v>638</v>
      </c>
      <c r="C203" s="1" t="s">
        <v>409</v>
      </c>
      <c r="D203" s="1" t="s">
        <v>639</v>
      </c>
      <c r="E203" s="1" t="s">
        <v>652</v>
      </c>
      <c r="F203" s="1" t="s">
        <v>653</v>
      </c>
      <c r="G203" s="1" t="s">
        <v>654</v>
      </c>
      <c r="H203" s="1" t="s">
        <v>18</v>
      </c>
    </row>
    <row r="204" spans="1:8">
      <c r="A204" s="1">
        <v>203</v>
      </c>
      <c r="B204" s="1" t="s">
        <v>638</v>
      </c>
      <c r="C204" s="1" t="s">
        <v>413</v>
      </c>
      <c r="D204" s="1" t="s">
        <v>639</v>
      </c>
      <c r="E204" s="1" t="s">
        <v>655</v>
      </c>
      <c r="F204" s="1" t="s">
        <v>656</v>
      </c>
      <c r="G204" s="1" t="s">
        <v>657</v>
      </c>
      <c r="H204" s="1" t="s">
        <v>18</v>
      </c>
    </row>
    <row r="205" spans="1:8">
      <c r="A205" s="1">
        <v>204</v>
      </c>
      <c r="B205" s="1" t="s">
        <v>638</v>
      </c>
      <c r="C205" s="1" t="s">
        <v>417</v>
      </c>
      <c r="D205" s="1" t="s">
        <v>639</v>
      </c>
      <c r="E205" s="1" t="s">
        <v>658</v>
      </c>
      <c r="F205" s="1" t="s">
        <v>659</v>
      </c>
      <c r="G205" s="1" t="s">
        <v>660</v>
      </c>
      <c r="H205" s="1" t="s">
        <v>18</v>
      </c>
    </row>
    <row r="206" spans="1:8">
      <c r="A206" s="1">
        <v>205</v>
      </c>
      <c r="B206" s="1" t="s">
        <v>661</v>
      </c>
      <c r="C206" s="1" t="s">
        <v>392</v>
      </c>
      <c r="D206" s="1" t="s">
        <v>662</v>
      </c>
      <c r="E206" s="1" t="s">
        <v>663</v>
      </c>
      <c r="F206" s="1" t="s">
        <v>664</v>
      </c>
      <c r="G206" s="1" t="s">
        <v>665</v>
      </c>
      <c r="H206" s="1" t="s">
        <v>18</v>
      </c>
    </row>
    <row r="207" spans="1:8">
      <c r="A207" s="1">
        <v>206</v>
      </c>
      <c r="B207" s="1" t="s">
        <v>661</v>
      </c>
      <c r="C207" s="1" t="s">
        <v>397</v>
      </c>
      <c r="D207" s="1" t="s">
        <v>662</v>
      </c>
      <c r="E207" s="1" t="s">
        <v>666</v>
      </c>
      <c r="F207" s="1" t="s">
        <v>667</v>
      </c>
      <c r="G207" s="1" t="s">
        <v>668</v>
      </c>
      <c r="H207" s="1" t="s">
        <v>18</v>
      </c>
    </row>
    <row r="208" spans="1:8">
      <c r="A208" s="1">
        <v>207</v>
      </c>
      <c r="B208" s="1" t="s">
        <v>661</v>
      </c>
      <c r="C208" s="1" t="s">
        <v>401</v>
      </c>
      <c r="D208" s="1" t="s">
        <v>662</v>
      </c>
      <c r="E208" s="1" t="s">
        <v>669</v>
      </c>
      <c r="F208" s="1" t="s">
        <v>670</v>
      </c>
      <c r="G208" s="1" t="s">
        <v>671</v>
      </c>
      <c r="H208" s="1" t="s">
        <v>18</v>
      </c>
    </row>
    <row r="209" spans="1:8">
      <c r="A209" s="1">
        <v>208</v>
      </c>
      <c r="B209" s="1" t="s">
        <v>661</v>
      </c>
      <c r="C209" s="1" t="s">
        <v>405</v>
      </c>
      <c r="D209" s="1" t="s">
        <v>662</v>
      </c>
      <c r="E209" s="1" t="s">
        <v>672</v>
      </c>
      <c r="F209" s="1" t="s">
        <v>673</v>
      </c>
      <c r="G209" s="1" t="s">
        <v>674</v>
      </c>
      <c r="H209" s="1" t="s">
        <v>18</v>
      </c>
    </row>
    <row r="210" spans="1:8">
      <c r="A210" s="1">
        <v>209</v>
      </c>
      <c r="B210" s="1" t="s">
        <v>661</v>
      </c>
      <c r="C210" s="1" t="s">
        <v>409</v>
      </c>
      <c r="D210" s="1" t="s">
        <v>662</v>
      </c>
      <c r="E210" s="1" t="s">
        <v>675</v>
      </c>
      <c r="F210" s="1" t="s">
        <v>676</v>
      </c>
      <c r="G210" s="1" t="s">
        <v>677</v>
      </c>
      <c r="H210" s="1" t="s">
        <v>18</v>
      </c>
    </row>
    <row r="211" spans="1:8">
      <c r="A211" s="1">
        <v>210</v>
      </c>
      <c r="B211" s="1" t="s">
        <v>661</v>
      </c>
      <c r="C211" s="1" t="s">
        <v>413</v>
      </c>
      <c r="D211" s="1" t="s">
        <v>662</v>
      </c>
      <c r="E211" s="1" t="s">
        <v>678</v>
      </c>
      <c r="F211" s="1" t="s">
        <v>679</v>
      </c>
      <c r="G211" s="1" t="s">
        <v>680</v>
      </c>
      <c r="H211" s="1" t="s">
        <v>18</v>
      </c>
    </row>
    <row r="212" spans="1:8">
      <c r="A212" s="1">
        <v>211</v>
      </c>
      <c r="B212" s="1" t="s">
        <v>661</v>
      </c>
      <c r="C212" s="1" t="s">
        <v>417</v>
      </c>
      <c r="D212" s="1" t="s">
        <v>662</v>
      </c>
      <c r="E212" s="1" t="s">
        <v>681</v>
      </c>
      <c r="F212" s="1" t="s">
        <v>682</v>
      </c>
      <c r="G212" s="1" t="s">
        <v>683</v>
      </c>
      <c r="H212" s="1" t="s">
        <v>18</v>
      </c>
    </row>
    <row r="213" spans="1:8">
      <c r="A213" s="1">
        <v>212</v>
      </c>
      <c r="B213" s="1" t="s">
        <v>684</v>
      </c>
      <c r="C213" s="1" t="s">
        <v>9</v>
      </c>
      <c r="D213" s="1" t="s">
        <v>685</v>
      </c>
      <c r="E213" s="1" t="s">
        <v>686</v>
      </c>
      <c r="F213" s="1" t="s">
        <v>664</v>
      </c>
      <c r="G213" s="1" t="s">
        <v>665</v>
      </c>
      <c r="H213" s="1" t="s">
        <v>18</v>
      </c>
    </row>
    <row r="214" spans="1:8">
      <c r="A214" s="1">
        <v>213</v>
      </c>
      <c r="B214" s="1" t="s">
        <v>684</v>
      </c>
      <c r="C214" s="1" t="s">
        <v>14</v>
      </c>
      <c r="D214" s="1" t="s">
        <v>685</v>
      </c>
      <c r="E214" s="1" t="s">
        <v>687</v>
      </c>
      <c r="F214" s="1" t="s">
        <v>667</v>
      </c>
      <c r="G214" s="1" t="s">
        <v>668</v>
      </c>
      <c r="H214" s="1" t="s">
        <v>18</v>
      </c>
    </row>
    <row r="215" spans="1:8">
      <c r="A215" s="1">
        <v>214</v>
      </c>
      <c r="B215" s="1" t="s">
        <v>684</v>
      </c>
      <c r="C215" s="1" t="s">
        <v>19</v>
      </c>
      <c r="D215" s="1" t="s">
        <v>685</v>
      </c>
      <c r="E215" s="1" t="s">
        <v>688</v>
      </c>
      <c r="F215" s="1" t="s">
        <v>670</v>
      </c>
      <c r="G215" s="1" t="s">
        <v>671</v>
      </c>
      <c r="H215" s="1" t="s">
        <v>18</v>
      </c>
    </row>
    <row r="216" spans="1:8">
      <c r="A216" s="1">
        <v>215</v>
      </c>
      <c r="B216" s="1" t="s">
        <v>684</v>
      </c>
      <c r="C216" s="1" t="s">
        <v>23</v>
      </c>
      <c r="D216" s="1" t="s">
        <v>685</v>
      </c>
      <c r="E216" s="1" t="s">
        <v>689</v>
      </c>
      <c r="F216" s="1" t="s">
        <v>673</v>
      </c>
      <c r="G216" s="1" t="s">
        <v>674</v>
      </c>
      <c r="H216" s="1" t="s">
        <v>18</v>
      </c>
    </row>
    <row r="217" spans="1:8">
      <c r="A217" s="1">
        <v>216</v>
      </c>
      <c r="B217" s="1" t="s">
        <v>684</v>
      </c>
      <c r="C217" s="1" t="s">
        <v>27</v>
      </c>
      <c r="D217" s="1" t="s">
        <v>685</v>
      </c>
      <c r="E217" s="1" t="s">
        <v>690</v>
      </c>
      <c r="F217" s="1" t="s">
        <v>676</v>
      </c>
      <c r="G217" s="1" t="s">
        <v>677</v>
      </c>
      <c r="H217" s="1" t="s">
        <v>18</v>
      </c>
    </row>
    <row r="218" spans="1:8">
      <c r="A218" s="1">
        <v>217</v>
      </c>
      <c r="B218" s="1" t="s">
        <v>684</v>
      </c>
      <c r="C218" s="1" t="s">
        <v>31</v>
      </c>
      <c r="D218" s="1" t="s">
        <v>685</v>
      </c>
      <c r="E218" s="1" t="s">
        <v>691</v>
      </c>
      <c r="F218" s="1" t="s">
        <v>679</v>
      </c>
      <c r="G218" s="1" t="s">
        <v>680</v>
      </c>
      <c r="H218" s="1" t="s">
        <v>18</v>
      </c>
    </row>
    <row r="219" spans="1:8">
      <c r="A219" s="1">
        <v>218</v>
      </c>
      <c r="B219" s="1" t="s">
        <v>684</v>
      </c>
      <c r="C219" s="1" t="s">
        <v>35</v>
      </c>
      <c r="D219" s="1" t="s">
        <v>685</v>
      </c>
      <c r="E219" s="1" t="s">
        <v>692</v>
      </c>
      <c r="F219" s="1" t="s">
        <v>693</v>
      </c>
      <c r="G219" s="1" t="s">
        <v>694</v>
      </c>
      <c r="H219" s="1" t="s">
        <v>18</v>
      </c>
    </row>
    <row r="220" spans="1:8">
      <c r="A220" s="1">
        <v>219</v>
      </c>
      <c r="B220" s="1" t="s">
        <v>684</v>
      </c>
      <c r="C220" s="1" t="s">
        <v>39</v>
      </c>
      <c r="D220" s="1" t="s">
        <v>685</v>
      </c>
      <c r="E220" s="1" t="s">
        <v>695</v>
      </c>
      <c r="F220" s="1" t="s">
        <v>682</v>
      </c>
      <c r="G220" s="1" t="s">
        <v>683</v>
      </c>
      <c r="H220" s="1" t="s">
        <v>18</v>
      </c>
    </row>
    <row r="221" spans="1:8">
      <c r="A221" s="1">
        <v>220</v>
      </c>
      <c r="B221" s="1" t="s">
        <v>696</v>
      </c>
      <c r="C221" s="1" t="s">
        <v>84</v>
      </c>
      <c r="D221" s="1" t="s">
        <v>697</v>
      </c>
      <c r="E221" s="1" t="s">
        <v>698</v>
      </c>
      <c r="F221" s="1" t="s">
        <v>699</v>
      </c>
      <c r="G221" s="1" t="s">
        <v>700</v>
      </c>
      <c r="H221" s="1" t="s">
        <v>18</v>
      </c>
    </row>
    <row r="222" spans="1:8">
      <c r="A222" s="1">
        <v>221</v>
      </c>
      <c r="B222" s="1" t="s">
        <v>701</v>
      </c>
      <c r="C222" s="1" t="s">
        <v>702</v>
      </c>
      <c r="D222" s="1" t="s">
        <v>703</v>
      </c>
      <c r="E222" s="1" t="s">
        <v>704</v>
      </c>
      <c r="F222" s="1" t="s">
        <v>705</v>
      </c>
      <c r="G222" s="1" t="s">
        <v>706</v>
      </c>
      <c r="H222" s="1" t="s">
        <v>18</v>
      </c>
    </row>
    <row r="223" spans="1:8">
      <c r="A223" s="1">
        <v>222</v>
      </c>
      <c r="B223" s="1" t="s">
        <v>701</v>
      </c>
      <c r="C223" s="1" t="s">
        <v>707</v>
      </c>
      <c r="D223" s="1" t="s">
        <v>703</v>
      </c>
      <c r="E223" s="1" t="s">
        <v>708</v>
      </c>
      <c r="F223" s="1" t="s">
        <v>709</v>
      </c>
      <c r="G223" s="1" t="s">
        <v>710</v>
      </c>
      <c r="H223" s="1" t="s">
        <v>18</v>
      </c>
    </row>
    <row r="224" spans="1:8">
      <c r="A224" s="1">
        <v>223</v>
      </c>
      <c r="B224" s="1" t="s">
        <v>701</v>
      </c>
      <c r="C224" s="1" t="s">
        <v>711</v>
      </c>
      <c r="D224" s="1" t="s">
        <v>703</v>
      </c>
      <c r="E224" s="1" t="s">
        <v>712</v>
      </c>
      <c r="F224" s="1" t="s">
        <v>713</v>
      </c>
      <c r="G224" s="1" t="s">
        <v>714</v>
      </c>
      <c r="H224" s="1" t="s">
        <v>18</v>
      </c>
    </row>
    <row r="225" spans="1:8">
      <c r="A225" s="1">
        <v>224</v>
      </c>
      <c r="B225" s="1" t="s">
        <v>701</v>
      </c>
      <c r="C225" s="1" t="s">
        <v>715</v>
      </c>
      <c r="D225" s="1" t="s">
        <v>703</v>
      </c>
      <c r="E225" s="1" t="s">
        <v>716</v>
      </c>
      <c r="F225" s="1" t="s">
        <v>717</v>
      </c>
      <c r="G225" s="1" t="s">
        <v>718</v>
      </c>
      <c r="H225" s="1" t="s">
        <v>18</v>
      </c>
    </row>
    <row r="226" spans="1:8">
      <c r="A226" s="1">
        <v>225</v>
      </c>
      <c r="B226" s="1" t="s">
        <v>701</v>
      </c>
      <c r="C226" s="1" t="s">
        <v>719</v>
      </c>
      <c r="D226" s="1" t="s">
        <v>703</v>
      </c>
      <c r="E226" s="1" t="s">
        <v>720</v>
      </c>
      <c r="F226" s="1" t="s">
        <v>721</v>
      </c>
      <c r="G226" s="1" t="s">
        <v>722</v>
      </c>
      <c r="H226" s="1" t="s">
        <v>18</v>
      </c>
    </row>
    <row r="227" spans="1:8">
      <c r="A227" s="1">
        <v>226</v>
      </c>
      <c r="B227" s="1" t="s">
        <v>701</v>
      </c>
      <c r="C227" s="1" t="s">
        <v>723</v>
      </c>
      <c r="D227" s="1" t="s">
        <v>703</v>
      </c>
      <c r="E227" s="1" t="s">
        <v>724</v>
      </c>
      <c r="F227" s="1" t="s">
        <v>725</v>
      </c>
      <c r="G227" s="1" t="s">
        <v>726</v>
      </c>
      <c r="H227" s="1" t="s">
        <v>18</v>
      </c>
    </row>
    <row r="228" spans="1:8">
      <c r="A228" s="1">
        <v>227</v>
      </c>
      <c r="B228" s="1" t="s">
        <v>701</v>
      </c>
      <c r="C228" s="1" t="s">
        <v>727</v>
      </c>
      <c r="D228" s="1" t="s">
        <v>703</v>
      </c>
      <c r="E228" s="1" t="s">
        <v>728</v>
      </c>
      <c r="F228" s="1" t="s">
        <v>729</v>
      </c>
      <c r="G228" s="1" t="s">
        <v>730</v>
      </c>
      <c r="H228" s="1" t="s">
        <v>18</v>
      </c>
    </row>
    <row r="229" spans="1:8">
      <c r="A229" s="1">
        <v>228</v>
      </c>
      <c r="B229" s="1" t="s">
        <v>701</v>
      </c>
      <c r="C229" s="1" t="s">
        <v>731</v>
      </c>
      <c r="D229" s="1" t="s">
        <v>703</v>
      </c>
      <c r="E229" s="1" t="s">
        <v>732</v>
      </c>
      <c r="F229" s="1" t="s">
        <v>733</v>
      </c>
      <c r="G229" s="1" t="s">
        <v>734</v>
      </c>
      <c r="H229" s="1" t="s">
        <v>18</v>
      </c>
    </row>
    <row r="230" spans="1:8">
      <c r="A230" s="1">
        <v>229</v>
      </c>
      <c r="B230" s="1" t="s">
        <v>701</v>
      </c>
      <c r="C230" s="1" t="s">
        <v>735</v>
      </c>
      <c r="D230" s="1" t="s">
        <v>703</v>
      </c>
      <c r="E230" s="1" t="s">
        <v>736</v>
      </c>
      <c r="F230" s="1" t="s">
        <v>737</v>
      </c>
      <c r="G230" s="1" t="s">
        <v>738</v>
      </c>
      <c r="H230" s="1" t="s">
        <v>18</v>
      </c>
    </row>
    <row r="231" spans="1:8">
      <c r="A231" s="1">
        <v>230</v>
      </c>
      <c r="B231" s="1" t="s">
        <v>701</v>
      </c>
      <c r="C231" s="1" t="s">
        <v>739</v>
      </c>
      <c r="D231" s="1" t="s">
        <v>703</v>
      </c>
      <c r="E231" s="1" t="s">
        <v>740</v>
      </c>
      <c r="F231" s="1" t="s">
        <v>741</v>
      </c>
      <c r="G231" s="1" t="s">
        <v>738</v>
      </c>
      <c r="H231" s="1" t="s">
        <v>18</v>
      </c>
    </row>
    <row r="232" spans="1:8">
      <c r="A232" s="1">
        <v>231</v>
      </c>
      <c r="B232" s="1" t="s">
        <v>701</v>
      </c>
      <c r="C232" s="1" t="s">
        <v>742</v>
      </c>
      <c r="D232" s="1" t="s">
        <v>703</v>
      </c>
      <c r="E232" s="1" t="s">
        <v>743</v>
      </c>
      <c r="F232" s="1" t="s">
        <v>744</v>
      </c>
      <c r="G232" s="1" t="s">
        <v>745</v>
      </c>
      <c r="H232" s="1" t="s">
        <v>18</v>
      </c>
    </row>
    <row r="233" spans="1:8">
      <c r="A233" s="1">
        <v>232</v>
      </c>
      <c r="B233" s="1" t="s">
        <v>701</v>
      </c>
      <c r="C233" s="1" t="s">
        <v>746</v>
      </c>
      <c r="D233" s="1" t="s">
        <v>703</v>
      </c>
      <c r="E233" s="1" t="s">
        <v>747</v>
      </c>
      <c r="F233" s="1" t="s">
        <v>748</v>
      </c>
      <c r="G233" s="1" t="s">
        <v>749</v>
      </c>
      <c r="H233" s="1" t="s">
        <v>18</v>
      </c>
    </row>
    <row r="234" spans="1:8">
      <c r="A234" s="1">
        <v>233</v>
      </c>
      <c r="B234" s="1" t="s">
        <v>701</v>
      </c>
      <c r="C234" s="1" t="s">
        <v>750</v>
      </c>
      <c r="D234" s="1" t="s">
        <v>703</v>
      </c>
      <c r="E234" s="1" t="s">
        <v>751</v>
      </c>
      <c r="F234" s="1" t="s">
        <v>752</v>
      </c>
      <c r="G234" s="1" t="s">
        <v>753</v>
      </c>
      <c r="H234" s="1" t="s">
        <v>18</v>
      </c>
    </row>
    <row r="235" spans="1:8">
      <c r="A235" s="1">
        <v>234</v>
      </c>
      <c r="B235" s="1" t="s">
        <v>701</v>
      </c>
      <c r="C235" s="1" t="s">
        <v>754</v>
      </c>
      <c r="D235" s="1" t="s">
        <v>703</v>
      </c>
      <c r="E235" s="1" t="s">
        <v>755</v>
      </c>
      <c r="F235" s="1" t="s">
        <v>756</v>
      </c>
      <c r="G235" s="1" t="s">
        <v>753</v>
      </c>
      <c r="H235" s="1" t="s">
        <v>18</v>
      </c>
    </row>
    <row r="236" spans="1:8">
      <c r="A236" s="1">
        <v>235</v>
      </c>
      <c r="B236" s="1" t="s">
        <v>701</v>
      </c>
      <c r="C236" s="1" t="s">
        <v>757</v>
      </c>
      <c r="D236" s="1" t="s">
        <v>703</v>
      </c>
      <c r="E236" s="1" t="s">
        <v>758</v>
      </c>
      <c r="F236" s="1" t="s">
        <v>759</v>
      </c>
      <c r="G236" s="1" t="s">
        <v>760</v>
      </c>
      <c r="H236" s="1" t="s">
        <v>18</v>
      </c>
    </row>
    <row r="237" spans="1:8">
      <c r="A237" s="1">
        <v>236</v>
      </c>
      <c r="B237" s="1" t="s">
        <v>701</v>
      </c>
      <c r="C237" s="1" t="s">
        <v>761</v>
      </c>
      <c r="D237" s="1" t="s">
        <v>703</v>
      </c>
      <c r="E237" s="1" t="s">
        <v>762</v>
      </c>
      <c r="F237" s="1" t="s">
        <v>763</v>
      </c>
      <c r="G237" s="1" t="s">
        <v>764</v>
      </c>
      <c r="H237" s="1" t="s">
        <v>18</v>
      </c>
    </row>
    <row r="238" spans="1:8">
      <c r="A238" s="1">
        <v>237</v>
      </c>
      <c r="B238" s="1" t="s">
        <v>701</v>
      </c>
      <c r="C238" s="1" t="s">
        <v>765</v>
      </c>
      <c r="D238" s="1" t="s">
        <v>703</v>
      </c>
      <c r="E238" s="1" t="s">
        <v>766</v>
      </c>
      <c r="F238" s="1" t="s">
        <v>767</v>
      </c>
      <c r="G238" s="1" t="s">
        <v>760</v>
      </c>
      <c r="H238" s="1" t="s">
        <v>18</v>
      </c>
    </row>
    <row r="239" spans="1:8">
      <c r="A239" s="1">
        <v>238</v>
      </c>
      <c r="B239" s="1" t="s">
        <v>701</v>
      </c>
      <c r="C239" s="1" t="s">
        <v>768</v>
      </c>
      <c r="D239" s="1" t="s">
        <v>703</v>
      </c>
      <c r="E239" s="1" t="s">
        <v>769</v>
      </c>
      <c r="F239" s="1" t="s">
        <v>770</v>
      </c>
      <c r="G239" s="1" t="s">
        <v>771</v>
      </c>
      <c r="H239" s="1" t="s">
        <v>18</v>
      </c>
    </row>
    <row r="240" spans="1:8">
      <c r="A240" s="1">
        <v>239</v>
      </c>
      <c r="B240" s="1" t="s">
        <v>701</v>
      </c>
      <c r="C240" s="1" t="s">
        <v>772</v>
      </c>
      <c r="D240" s="1" t="s">
        <v>703</v>
      </c>
      <c r="E240" s="1" t="s">
        <v>773</v>
      </c>
      <c r="F240" s="1" t="s">
        <v>774</v>
      </c>
      <c r="G240" s="1" t="s">
        <v>775</v>
      </c>
      <c r="H240" s="1" t="s">
        <v>18</v>
      </c>
    </row>
    <row r="241" spans="1:8">
      <c r="A241" s="1">
        <v>240</v>
      </c>
      <c r="B241" s="1" t="s">
        <v>701</v>
      </c>
      <c r="C241" s="1" t="s">
        <v>776</v>
      </c>
      <c r="D241" s="1" t="s">
        <v>703</v>
      </c>
      <c r="E241" s="1" t="s">
        <v>777</v>
      </c>
      <c r="F241" s="1" t="s">
        <v>778</v>
      </c>
      <c r="G241" s="1" t="s">
        <v>779</v>
      </c>
      <c r="H241" s="1" t="s">
        <v>18</v>
      </c>
    </row>
    <row r="242" spans="1:8">
      <c r="A242" s="1">
        <v>241</v>
      </c>
      <c r="B242" s="1" t="s">
        <v>701</v>
      </c>
      <c r="C242" s="1" t="s">
        <v>780</v>
      </c>
      <c r="D242" s="1" t="s">
        <v>703</v>
      </c>
      <c r="E242" s="1" t="s">
        <v>781</v>
      </c>
      <c r="F242" s="1" t="s">
        <v>782</v>
      </c>
      <c r="G242" s="1" t="s">
        <v>783</v>
      </c>
      <c r="H242" s="1" t="s">
        <v>18</v>
      </c>
    </row>
    <row r="243" spans="1:8">
      <c r="A243" s="1">
        <v>242</v>
      </c>
      <c r="B243" s="1" t="s">
        <v>701</v>
      </c>
      <c r="C243" s="1" t="s">
        <v>784</v>
      </c>
      <c r="D243" s="1" t="s">
        <v>703</v>
      </c>
      <c r="E243" s="1" t="s">
        <v>785</v>
      </c>
      <c r="F243" s="1" t="s">
        <v>786</v>
      </c>
      <c r="G243" s="1" t="s">
        <v>787</v>
      </c>
      <c r="H243" s="1" t="s">
        <v>18</v>
      </c>
    </row>
    <row r="244" spans="1:8">
      <c r="A244" s="1">
        <v>243</v>
      </c>
      <c r="B244" s="1" t="s">
        <v>701</v>
      </c>
      <c r="C244" s="1" t="s">
        <v>788</v>
      </c>
      <c r="D244" s="1" t="s">
        <v>703</v>
      </c>
      <c r="E244" s="1" t="s">
        <v>789</v>
      </c>
      <c r="F244" s="1" t="s">
        <v>790</v>
      </c>
      <c r="G244" s="1" t="s">
        <v>791</v>
      </c>
      <c r="H244" s="1" t="s">
        <v>18</v>
      </c>
    </row>
    <row r="245" spans="1:8">
      <c r="A245" s="1">
        <v>244</v>
      </c>
      <c r="B245" s="1" t="s">
        <v>701</v>
      </c>
      <c r="C245" s="1" t="s">
        <v>792</v>
      </c>
      <c r="D245" s="1" t="s">
        <v>703</v>
      </c>
      <c r="E245" s="1" t="s">
        <v>793</v>
      </c>
      <c r="F245" s="1" t="s">
        <v>794</v>
      </c>
      <c r="G245" s="1" t="s">
        <v>795</v>
      </c>
      <c r="H245" s="1" t="s">
        <v>18</v>
      </c>
    </row>
    <row r="246" spans="1:8">
      <c r="A246" s="1">
        <v>245</v>
      </c>
      <c r="B246" s="1" t="s">
        <v>701</v>
      </c>
      <c r="C246" s="1" t="s">
        <v>796</v>
      </c>
      <c r="D246" s="1" t="s">
        <v>703</v>
      </c>
      <c r="E246" s="1" t="s">
        <v>797</v>
      </c>
      <c r="F246" s="1" t="s">
        <v>798</v>
      </c>
      <c r="G246" s="1" t="s">
        <v>799</v>
      </c>
      <c r="H246" s="1" t="s">
        <v>18</v>
      </c>
    </row>
    <row r="247" spans="1:8">
      <c r="A247" s="1">
        <v>246</v>
      </c>
      <c r="B247" s="1" t="s">
        <v>701</v>
      </c>
      <c r="C247" s="1" t="s">
        <v>800</v>
      </c>
      <c r="D247" s="1" t="s">
        <v>703</v>
      </c>
      <c r="E247" s="1" t="s">
        <v>801</v>
      </c>
      <c r="F247" s="1" t="s">
        <v>802</v>
      </c>
      <c r="G247" s="1" t="s">
        <v>803</v>
      </c>
      <c r="H247" s="1" t="s">
        <v>18</v>
      </c>
    </row>
    <row r="248" spans="1:8">
      <c r="A248" s="1">
        <v>247</v>
      </c>
      <c r="B248" s="1" t="s">
        <v>701</v>
      </c>
      <c r="C248" s="1" t="s">
        <v>804</v>
      </c>
      <c r="D248" s="1" t="s">
        <v>703</v>
      </c>
      <c r="E248" s="1" t="s">
        <v>805</v>
      </c>
      <c r="F248" s="1" t="s">
        <v>806</v>
      </c>
      <c r="G248" s="1" t="s">
        <v>807</v>
      </c>
      <c r="H248" s="1" t="s">
        <v>18</v>
      </c>
    </row>
    <row r="249" spans="1:8">
      <c r="A249" s="1">
        <v>248</v>
      </c>
      <c r="B249" s="1" t="s">
        <v>808</v>
      </c>
      <c r="C249" s="1" t="s">
        <v>809</v>
      </c>
      <c r="D249" s="1" t="s">
        <v>810</v>
      </c>
      <c r="E249" s="1" t="s">
        <v>811</v>
      </c>
      <c r="F249" s="1" t="s">
        <v>812</v>
      </c>
      <c r="G249" s="1" t="s">
        <v>813</v>
      </c>
      <c r="H249" s="1" t="s">
        <v>18</v>
      </c>
    </row>
    <row r="250" spans="1:8">
      <c r="A250" s="1">
        <v>249</v>
      </c>
      <c r="B250" s="1" t="s">
        <v>808</v>
      </c>
      <c r="C250" s="1" t="s">
        <v>814</v>
      </c>
      <c r="D250" s="1" t="s">
        <v>810</v>
      </c>
      <c r="E250" s="1" t="s">
        <v>815</v>
      </c>
      <c r="F250" s="1" t="s">
        <v>816</v>
      </c>
      <c r="G250" s="1" t="s">
        <v>813</v>
      </c>
      <c r="H250" s="1" t="s">
        <v>18</v>
      </c>
    </row>
    <row r="251" spans="1:8">
      <c r="A251" s="1">
        <v>250</v>
      </c>
      <c r="B251" s="1" t="s">
        <v>808</v>
      </c>
      <c r="C251" s="1" t="s">
        <v>817</v>
      </c>
      <c r="D251" s="1" t="s">
        <v>810</v>
      </c>
      <c r="E251" s="1" t="s">
        <v>818</v>
      </c>
      <c r="F251" s="1" t="s">
        <v>819</v>
      </c>
      <c r="G251" s="1" t="s">
        <v>820</v>
      </c>
      <c r="H251" s="1" t="s">
        <v>18</v>
      </c>
    </row>
    <row r="252" spans="1:8">
      <c r="A252" s="1">
        <v>251</v>
      </c>
      <c r="B252" s="1" t="s">
        <v>808</v>
      </c>
      <c r="C252" s="1" t="s">
        <v>821</v>
      </c>
      <c r="D252" s="1" t="s">
        <v>810</v>
      </c>
      <c r="E252" s="1" t="s">
        <v>822</v>
      </c>
      <c r="F252" s="1" t="s">
        <v>823</v>
      </c>
      <c r="G252" s="1" t="s">
        <v>824</v>
      </c>
      <c r="H252" s="1" t="s">
        <v>18</v>
      </c>
    </row>
    <row r="253" spans="1:8">
      <c r="A253" s="1">
        <v>252</v>
      </c>
      <c r="B253" s="1" t="s">
        <v>808</v>
      </c>
      <c r="C253" s="1" t="s">
        <v>825</v>
      </c>
      <c r="D253" s="1" t="s">
        <v>810</v>
      </c>
      <c r="E253" s="1" t="s">
        <v>826</v>
      </c>
      <c r="F253" s="1" t="s">
        <v>827</v>
      </c>
      <c r="G253" s="1" t="s">
        <v>828</v>
      </c>
      <c r="H253" s="1" t="s">
        <v>18</v>
      </c>
    </row>
    <row r="254" spans="1:8">
      <c r="A254" s="1">
        <v>253</v>
      </c>
      <c r="B254" s="1" t="s">
        <v>808</v>
      </c>
      <c r="C254" s="1" t="s">
        <v>829</v>
      </c>
      <c r="D254" s="1" t="s">
        <v>810</v>
      </c>
      <c r="E254" s="1" t="s">
        <v>830</v>
      </c>
      <c r="F254" s="1" t="s">
        <v>831</v>
      </c>
      <c r="G254" s="1" t="s">
        <v>832</v>
      </c>
      <c r="H254" s="1" t="s">
        <v>18</v>
      </c>
    </row>
    <row r="255" spans="1:8">
      <c r="A255" s="1">
        <v>254</v>
      </c>
      <c r="B255" s="1" t="s">
        <v>808</v>
      </c>
      <c r="C255" s="1" t="s">
        <v>833</v>
      </c>
      <c r="D255" s="1" t="s">
        <v>810</v>
      </c>
      <c r="E255" s="1" t="s">
        <v>834</v>
      </c>
      <c r="F255" s="1" t="s">
        <v>835</v>
      </c>
      <c r="G255" s="1" t="s">
        <v>820</v>
      </c>
      <c r="H255" s="1" t="s">
        <v>18</v>
      </c>
    </row>
    <row r="256" spans="1:8">
      <c r="A256" s="1">
        <v>255</v>
      </c>
      <c r="B256" s="1" t="s">
        <v>808</v>
      </c>
      <c r="C256" s="1" t="s">
        <v>836</v>
      </c>
      <c r="D256" s="1" t="s">
        <v>810</v>
      </c>
      <c r="E256" s="1" t="s">
        <v>837</v>
      </c>
      <c r="F256" s="1" t="s">
        <v>838</v>
      </c>
      <c r="G256" s="1" t="s">
        <v>839</v>
      </c>
      <c r="H256" s="1" t="s">
        <v>18</v>
      </c>
    </row>
    <row r="257" spans="1:8">
      <c r="A257" s="1">
        <v>256</v>
      </c>
      <c r="B257" s="1" t="s">
        <v>808</v>
      </c>
      <c r="C257" s="1" t="s">
        <v>840</v>
      </c>
      <c r="D257" s="1" t="s">
        <v>810</v>
      </c>
      <c r="E257" s="1" t="s">
        <v>841</v>
      </c>
      <c r="F257" s="1" t="s">
        <v>842</v>
      </c>
      <c r="G257" s="1" t="s">
        <v>843</v>
      </c>
      <c r="H257" s="1" t="s">
        <v>18</v>
      </c>
    </row>
    <row r="258" spans="1:8">
      <c r="A258" s="1">
        <v>257</v>
      </c>
      <c r="B258" s="1" t="s">
        <v>808</v>
      </c>
      <c r="C258" s="1" t="s">
        <v>844</v>
      </c>
      <c r="D258" s="1" t="s">
        <v>810</v>
      </c>
      <c r="E258" s="1" t="s">
        <v>845</v>
      </c>
      <c r="F258" s="1" t="s">
        <v>846</v>
      </c>
      <c r="G258" s="1" t="s">
        <v>847</v>
      </c>
      <c r="H258" s="1" t="s">
        <v>18</v>
      </c>
    </row>
    <row r="259" spans="1:8">
      <c r="A259" s="1">
        <v>258</v>
      </c>
      <c r="B259" s="1" t="s">
        <v>808</v>
      </c>
      <c r="C259" s="1" t="s">
        <v>848</v>
      </c>
      <c r="D259" s="1" t="s">
        <v>810</v>
      </c>
      <c r="E259" s="1" t="s">
        <v>849</v>
      </c>
      <c r="F259" s="1" t="s">
        <v>850</v>
      </c>
      <c r="G259" s="1" t="s">
        <v>851</v>
      </c>
      <c r="H259" s="1" t="s">
        <v>18</v>
      </c>
    </row>
    <row r="260" spans="1:8">
      <c r="A260" s="1">
        <v>259</v>
      </c>
      <c r="B260" s="1" t="s">
        <v>808</v>
      </c>
      <c r="C260" s="1" t="s">
        <v>852</v>
      </c>
      <c r="D260" s="1" t="s">
        <v>810</v>
      </c>
      <c r="E260" s="1" t="s">
        <v>853</v>
      </c>
      <c r="F260" s="1" t="s">
        <v>854</v>
      </c>
      <c r="G260" s="1" t="s">
        <v>851</v>
      </c>
      <c r="H260" s="1" t="s">
        <v>18</v>
      </c>
    </row>
    <row r="261" spans="1:8">
      <c r="A261" s="1">
        <v>260</v>
      </c>
      <c r="B261" s="1" t="s">
        <v>808</v>
      </c>
      <c r="C261" s="1" t="s">
        <v>855</v>
      </c>
      <c r="D261" s="1" t="s">
        <v>810</v>
      </c>
      <c r="E261" s="1" t="s">
        <v>856</v>
      </c>
      <c r="F261" s="1" t="s">
        <v>857</v>
      </c>
      <c r="G261" s="1" t="s">
        <v>858</v>
      </c>
      <c r="H261" s="1" t="s">
        <v>18</v>
      </c>
    </row>
    <row r="262" spans="1:8">
      <c r="A262" s="1">
        <v>261</v>
      </c>
      <c r="B262" s="1" t="s">
        <v>808</v>
      </c>
      <c r="C262" s="1" t="s">
        <v>859</v>
      </c>
      <c r="D262" s="1" t="s">
        <v>810</v>
      </c>
      <c r="E262" s="1" t="s">
        <v>860</v>
      </c>
      <c r="F262" s="1" t="s">
        <v>861</v>
      </c>
      <c r="G262" s="1" t="s">
        <v>862</v>
      </c>
      <c r="H262" s="1" t="s">
        <v>18</v>
      </c>
    </row>
    <row r="263" spans="1:8">
      <c r="A263" s="1">
        <v>262</v>
      </c>
      <c r="B263" s="1" t="s">
        <v>808</v>
      </c>
      <c r="C263" s="1" t="s">
        <v>863</v>
      </c>
      <c r="D263" s="1" t="s">
        <v>810</v>
      </c>
      <c r="E263" s="1" t="s">
        <v>864</v>
      </c>
      <c r="F263" s="1" t="s">
        <v>865</v>
      </c>
      <c r="G263" s="1" t="s">
        <v>862</v>
      </c>
      <c r="H263" s="1" t="s">
        <v>18</v>
      </c>
    </row>
    <row r="264" spans="1:8">
      <c r="A264" s="1">
        <v>263</v>
      </c>
      <c r="B264" s="1" t="s">
        <v>808</v>
      </c>
      <c r="C264" s="1" t="s">
        <v>866</v>
      </c>
      <c r="D264" s="1" t="s">
        <v>810</v>
      </c>
      <c r="E264" s="1" t="s">
        <v>867</v>
      </c>
      <c r="F264" s="1" t="s">
        <v>868</v>
      </c>
      <c r="G264" s="1" t="s">
        <v>869</v>
      </c>
      <c r="H264" s="1" t="s">
        <v>18</v>
      </c>
    </row>
    <row r="265" spans="1:8">
      <c r="A265" s="1">
        <v>264</v>
      </c>
      <c r="B265" s="1" t="s">
        <v>808</v>
      </c>
      <c r="C265" s="1" t="s">
        <v>870</v>
      </c>
      <c r="D265" s="1" t="s">
        <v>810</v>
      </c>
      <c r="E265" s="1" t="s">
        <v>871</v>
      </c>
      <c r="F265" s="1" t="s">
        <v>872</v>
      </c>
      <c r="G265" s="1" t="s">
        <v>873</v>
      </c>
      <c r="H265" s="1" t="s">
        <v>18</v>
      </c>
    </row>
    <row r="266" spans="1:8">
      <c r="A266" s="1">
        <v>265</v>
      </c>
      <c r="B266" s="1" t="s">
        <v>808</v>
      </c>
      <c r="C266" s="1" t="s">
        <v>874</v>
      </c>
      <c r="D266" s="1" t="s">
        <v>810</v>
      </c>
      <c r="E266" s="1" t="s">
        <v>875</v>
      </c>
      <c r="F266" s="1" t="s">
        <v>876</v>
      </c>
      <c r="G266" s="1" t="s">
        <v>873</v>
      </c>
      <c r="H266" s="1" t="s">
        <v>18</v>
      </c>
    </row>
    <row r="267" spans="1:8">
      <c r="A267" s="1">
        <v>266</v>
      </c>
      <c r="B267" s="1" t="s">
        <v>808</v>
      </c>
      <c r="C267" s="1" t="s">
        <v>877</v>
      </c>
      <c r="D267" s="1" t="s">
        <v>810</v>
      </c>
      <c r="E267" s="1" t="s">
        <v>878</v>
      </c>
      <c r="F267" s="1" t="s">
        <v>879</v>
      </c>
      <c r="G267" s="1" t="s">
        <v>880</v>
      </c>
      <c r="H267" s="1" t="s">
        <v>18</v>
      </c>
    </row>
    <row r="268" spans="1:8">
      <c r="A268" s="1">
        <v>267</v>
      </c>
      <c r="B268" s="1" t="s">
        <v>808</v>
      </c>
      <c r="C268" s="1" t="s">
        <v>881</v>
      </c>
      <c r="D268" s="1" t="s">
        <v>810</v>
      </c>
      <c r="E268" s="1" t="s">
        <v>882</v>
      </c>
      <c r="F268" s="1" t="s">
        <v>883</v>
      </c>
      <c r="G268" s="1" t="s">
        <v>884</v>
      </c>
      <c r="H268" s="1" t="s">
        <v>18</v>
      </c>
    </row>
    <row r="269" spans="1:8">
      <c r="A269" s="1">
        <v>268</v>
      </c>
      <c r="B269" s="1" t="s">
        <v>808</v>
      </c>
      <c r="C269" s="1" t="s">
        <v>885</v>
      </c>
      <c r="D269" s="1" t="s">
        <v>810</v>
      </c>
      <c r="E269" s="1" t="s">
        <v>886</v>
      </c>
      <c r="F269" s="1" t="s">
        <v>887</v>
      </c>
      <c r="G269" s="1" t="s">
        <v>888</v>
      </c>
      <c r="H269" s="1" t="s">
        <v>18</v>
      </c>
    </row>
    <row r="270" spans="1:8">
      <c r="A270" s="1">
        <v>269</v>
      </c>
      <c r="B270" s="1" t="s">
        <v>808</v>
      </c>
      <c r="C270" s="1" t="s">
        <v>889</v>
      </c>
      <c r="D270" s="1" t="s">
        <v>810</v>
      </c>
      <c r="E270" s="1" t="s">
        <v>890</v>
      </c>
      <c r="F270" s="1" t="s">
        <v>891</v>
      </c>
      <c r="G270" s="1" t="s">
        <v>884</v>
      </c>
      <c r="H270" s="1" t="s">
        <v>18</v>
      </c>
    </row>
    <row r="271" spans="1:8">
      <c r="A271" s="1">
        <v>270</v>
      </c>
      <c r="B271" s="1" t="s">
        <v>808</v>
      </c>
      <c r="C271" s="1" t="s">
        <v>892</v>
      </c>
      <c r="D271" s="1" t="s">
        <v>810</v>
      </c>
      <c r="E271" s="1" t="s">
        <v>893</v>
      </c>
      <c r="F271" s="1" t="s">
        <v>894</v>
      </c>
      <c r="G271" s="1" t="s">
        <v>895</v>
      </c>
      <c r="H271" s="1" t="s">
        <v>18</v>
      </c>
    </row>
    <row r="272" spans="1:8">
      <c r="A272" s="1">
        <v>271</v>
      </c>
      <c r="B272" s="1" t="s">
        <v>808</v>
      </c>
      <c r="C272" s="1" t="s">
        <v>896</v>
      </c>
      <c r="D272" s="1" t="s">
        <v>810</v>
      </c>
      <c r="E272" s="1" t="s">
        <v>897</v>
      </c>
      <c r="F272" s="1" t="s">
        <v>898</v>
      </c>
      <c r="G272" s="1" t="s">
        <v>899</v>
      </c>
      <c r="H272" s="1" t="s">
        <v>18</v>
      </c>
    </row>
    <row r="273" spans="1:8">
      <c r="A273" s="1">
        <v>272</v>
      </c>
      <c r="B273" s="1" t="s">
        <v>808</v>
      </c>
      <c r="C273" s="1" t="s">
        <v>900</v>
      </c>
      <c r="D273" s="1" t="s">
        <v>810</v>
      </c>
      <c r="E273" s="1" t="s">
        <v>901</v>
      </c>
      <c r="F273" s="1" t="s">
        <v>902</v>
      </c>
      <c r="G273" s="1" t="s">
        <v>903</v>
      </c>
      <c r="H273" s="1" t="s">
        <v>18</v>
      </c>
    </row>
    <row r="274" spans="1:8">
      <c r="A274" s="1">
        <v>273</v>
      </c>
      <c r="B274" s="1" t="s">
        <v>808</v>
      </c>
      <c r="C274" s="1" t="s">
        <v>904</v>
      </c>
      <c r="D274" s="1" t="s">
        <v>810</v>
      </c>
      <c r="E274" s="1" t="s">
        <v>905</v>
      </c>
      <c r="F274" s="1" t="s">
        <v>906</v>
      </c>
      <c r="G274" s="1" t="s">
        <v>907</v>
      </c>
      <c r="H274" s="1" t="s">
        <v>18</v>
      </c>
    </row>
    <row r="275" spans="1:8">
      <c r="A275" s="1">
        <v>274</v>
      </c>
      <c r="B275" s="1" t="s">
        <v>808</v>
      </c>
      <c r="C275" s="1" t="s">
        <v>908</v>
      </c>
      <c r="D275" s="1" t="s">
        <v>810</v>
      </c>
      <c r="E275" s="1" t="s">
        <v>909</v>
      </c>
      <c r="F275" s="1" t="s">
        <v>910</v>
      </c>
      <c r="G275" s="1" t="s">
        <v>911</v>
      </c>
      <c r="H275" s="1" t="s">
        <v>18</v>
      </c>
    </row>
    <row r="276" spans="1:8">
      <c r="A276" s="1">
        <v>275</v>
      </c>
      <c r="B276" s="1" t="s">
        <v>808</v>
      </c>
      <c r="C276" s="1" t="s">
        <v>912</v>
      </c>
      <c r="D276" s="1" t="s">
        <v>810</v>
      </c>
      <c r="E276" s="1" t="s">
        <v>913</v>
      </c>
      <c r="F276" s="1" t="s">
        <v>914</v>
      </c>
      <c r="G276" s="1" t="s">
        <v>915</v>
      </c>
      <c r="H276" s="1" t="s">
        <v>18</v>
      </c>
    </row>
    <row r="277" spans="1:8">
      <c r="A277" s="1">
        <v>276</v>
      </c>
      <c r="B277" s="1" t="s">
        <v>808</v>
      </c>
      <c r="C277" s="1" t="s">
        <v>916</v>
      </c>
      <c r="D277" s="1" t="s">
        <v>810</v>
      </c>
      <c r="E277" s="1" t="s">
        <v>917</v>
      </c>
      <c r="F277" s="1" t="s">
        <v>918</v>
      </c>
      <c r="G277" s="1" t="s">
        <v>915</v>
      </c>
      <c r="H277" s="1" t="s">
        <v>18</v>
      </c>
    </row>
    <row r="278" spans="1:8">
      <c r="A278" s="1">
        <v>277</v>
      </c>
      <c r="B278" s="1" t="s">
        <v>808</v>
      </c>
      <c r="C278" s="1" t="s">
        <v>919</v>
      </c>
      <c r="D278" s="1" t="s">
        <v>810</v>
      </c>
      <c r="E278" s="1" t="s">
        <v>920</v>
      </c>
      <c r="F278" s="1" t="s">
        <v>921</v>
      </c>
      <c r="G278" s="1" t="s">
        <v>922</v>
      </c>
      <c r="H278" s="1" t="s">
        <v>18</v>
      </c>
    </row>
    <row r="279" spans="1:8">
      <c r="A279" s="1">
        <v>278</v>
      </c>
      <c r="B279" s="1" t="s">
        <v>808</v>
      </c>
      <c r="C279" s="1" t="s">
        <v>923</v>
      </c>
      <c r="D279" s="1" t="s">
        <v>810</v>
      </c>
      <c r="E279" s="1" t="s">
        <v>924</v>
      </c>
      <c r="F279" s="1" t="s">
        <v>925</v>
      </c>
      <c r="G279" s="1" t="s">
        <v>926</v>
      </c>
      <c r="H279" s="1" t="s">
        <v>18</v>
      </c>
    </row>
    <row r="280" spans="1:8">
      <c r="A280" s="1">
        <v>279</v>
      </c>
      <c r="B280" s="1" t="s">
        <v>808</v>
      </c>
      <c r="C280" s="1" t="s">
        <v>927</v>
      </c>
      <c r="D280" s="1" t="s">
        <v>810</v>
      </c>
      <c r="E280" s="1" t="s">
        <v>928</v>
      </c>
      <c r="F280" s="1" t="s">
        <v>929</v>
      </c>
      <c r="G280" s="1" t="s">
        <v>930</v>
      </c>
      <c r="H280" s="1" t="s">
        <v>18</v>
      </c>
    </row>
    <row r="281" spans="1:8">
      <c r="A281" s="1">
        <v>280</v>
      </c>
      <c r="B281" s="1" t="s">
        <v>808</v>
      </c>
      <c r="C281" s="1" t="s">
        <v>931</v>
      </c>
      <c r="D281" s="1" t="s">
        <v>810</v>
      </c>
      <c r="E281" s="1" t="s">
        <v>932</v>
      </c>
      <c r="F281" s="1" t="s">
        <v>933</v>
      </c>
      <c r="G281" s="1" t="s">
        <v>934</v>
      </c>
      <c r="H281" s="1" t="s">
        <v>18</v>
      </c>
    </row>
    <row r="282" spans="1:8">
      <c r="A282" s="1">
        <v>281</v>
      </c>
      <c r="B282" s="1" t="s">
        <v>808</v>
      </c>
      <c r="C282" s="1" t="s">
        <v>935</v>
      </c>
      <c r="D282" s="1" t="s">
        <v>810</v>
      </c>
      <c r="E282" s="1" t="s">
        <v>936</v>
      </c>
      <c r="F282" s="1" t="s">
        <v>937</v>
      </c>
      <c r="G282" s="1" t="s">
        <v>938</v>
      </c>
      <c r="H282" s="1" t="s">
        <v>18</v>
      </c>
    </row>
    <row r="283" spans="1:8">
      <c r="A283" s="1">
        <v>282</v>
      </c>
      <c r="B283" s="1" t="s">
        <v>808</v>
      </c>
      <c r="C283" s="1" t="s">
        <v>939</v>
      </c>
      <c r="D283" s="1" t="s">
        <v>810</v>
      </c>
      <c r="E283" s="1" t="s">
        <v>940</v>
      </c>
      <c r="F283" s="1" t="s">
        <v>941</v>
      </c>
      <c r="G283" s="1" t="s">
        <v>942</v>
      </c>
      <c r="H283" s="1" t="s">
        <v>18</v>
      </c>
    </row>
    <row r="284" spans="1:8">
      <c r="A284" s="1">
        <v>283</v>
      </c>
      <c r="B284" s="1" t="s">
        <v>943</v>
      </c>
      <c r="C284" s="1" t="s">
        <v>84</v>
      </c>
      <c r="D284" s="1" t="s">
        <v>944</v>
      </c>
      <c r="E284" s="1" t="s">
        <v>945</v>
      </c>
      <c r="F284" s="1" t="s">
        <v>946</v>
      </c>
      <c r="G284" s="1" t="s">
        <v>947</v>
      </c>
      <c r="H284" s="1" t="s">
        <v>18</v>
      </c>
    </row>
    <row r="285" spans="1:8">
      <c r="A285" s="1">
        <v>284</v>
      </c>
      <c r="B285" s="1" t="s">
        <v>948</v>
      </c>
      <c r="C285" s="1" t="s">
        <v>84</v>
      </c>
      <c r="D285" s="1" t="s">
        <v>949</v>
      </c>
      <c r="E285" s="1" t="s">
        <v>950</v>
      </c>
      <c r="F285" s="1" t="s">
        <v>951</v>
      </c>
      <c r="G285" s="1" t="s">
        <v>952</v>
      </c>
      <c r="H285" s="1" t="s">
        <v>18</v>
      </c>
    </row>
    <row r="286" spans="1:8">
      <c r="A286" s="1">
        <v>285</v>
      </c>
      <c r="B286" s="1" t="s">
        <v>953</v>
      </c>
      <c r="C286" s="1" t="s">
        <v>392</v>
      </c>
      <c r="D286" s="1" t="s">
        <v>954</v>
      </c>
      <c r="E286" s="1" t="s">
        <v>955</v>
      </c>
      <c r="F286" s="1" t="s">
        <v>956</v>
      </c>
      <c r="G286" s="1" t="s">
        <v>957</v>
      </c>
      <c r="H286" s="1" t="s">
        <v>18</v>
      </c>
    </row>
    <row r="287" spans="1:8">
      <c r="A287" s="1">
        <v>286</v>
      </c>
      <c r="B287" s="1" t="s">
        <v>953</v>
      </c>
      <c r="C287" s="1" t="s">
        <v>397</v>
      </c>
      <c r="D287" s="1" t="s">
        <v>954</v>
      </c>
      <c r="E287" s="1" t="s">
        <v>958</v>
      </c>
      <c r="F287" s="1" t="s">
        <v>959</v>
      </c>
      <c r="G287" s="1" t="s">
        <v>960</v>
      </c>
      <c r="H287" s="1" t="s">
        <v>18</v>
      </c>
    </row>
    <row r="288" spans="1:8">
      <c r="A288" s="1">
        <v>287</v>
      </c>
      <c r="B288" s="1" t="s">
        <v>953</v>
      </c>
      <c r="C288" s="1" t="s">
        <v>401</v>
      </c>
      <c r="D288" s="1" t="s">
        <v>954</v>
      </c>
      <c r="E288" s="1" t="s">
        <v>961</v>
      </c>
      <c r="F288" s="1" t="s">
        <v>962</v>
      </c>
      <c r="G288" s="1" t="s">
        <v>963</v>
      </c>
      <c r="H288" s="1" t="s">
        <v>18</v>
      </c>
    </row>
    <row r="289" spans="1:8">
      <c r="A289" s="1">
        <v>288</v>
      </c>
      <c r="B289" s="1" t="s">
        <v>953</v>
      </c>
      <c r="C289" s="1" t="s">
        <v>405</v>
      </c>
      <c r="D289" s="1" t="s">
        <v>954</v>
      </c>
      <c r="E289" s="1" t="s">
        <v>964</v>
      </c>
      <c r="F289" s="1" t="s">
        <v>965</v>
      </c>
      <c r="G289" s="1" t="s">
        <v>966</v>
      </c>
      <c r="H289" s="1" t="s">
        <v>18</v>
      </c>
    </row>
    <row r="290" spans="1:8">
      <c r="A290" s="1">
        <v>289</v>
      </c>
      <c r="B290" s="1" t="s">
        <v>953</v>
      </c>
      <c r="C290" s="1" t="s">
        <v>409</v>
      </c>
      <c r="D290" s="1" t="s">
        <v>954</v>
      </c>
      <c r="E290" s="1" t="s">
        <v>967</v>
      </c>
      <c r="F290" s="1" t="s">
        <v>968</v>
      </c>
      <c r="G290" s="1" t="s">
        <v>969</v>
      </c>
      <c r="H290" s="1" t="s">
        <v>18</v>
      </c>
    </row>
    <row r="291" spans="1:8">
      <c r="A291" s="1">
        <v>290</v>
      </c>
      <c r="B291" s="1" t="s">
        <v>953</v>
      </c>
      <c r="C291" s="1" t="s">
        <v>413</v>
      </c>
      <c r="D291" s="1" t="s">
        <v>954</v>
      </c>
      <c r="E291" s="1" t="s">
        <v>970</v>
      </c>
      <c r="F291" s="1" t="s">
        <v>971</v>
      </c>
      <c r="G291" s="1" t="s">
        <v>972</v>
      </c>
      <c r="H291" s="1" t="s">
        <v>18</v>
      </c>
    </row>
    <row r="292" spans="1:8">
      <c r="A292" s="1">
        <v>291</v>
      </c>
      <c r="B292" s="1" t="s">
        <v>953</v>
      </c>
      <c r="C292" s="1" t="s">
        <v>417</v>
      </c>
      <c r="D292" s="1" t="s">
        <v>954</v>
      </c>
      <c r="E292" s="1" t="s">
        <v>973</v>
      </c>
      <c r="F292" s="1" t="s">
        <v>974</v>
      </c>
      <c r="G292" s="1" t="s">
        <v>975</v>
      </c>
      <c r="H292" s="1" t="s">
        <v>18</v>
      </c>
    </row>
    <row r="293" spans="1:8">
      <c r="A293" s="1">
        <v>292</v>
      </c>
      <c r="B293" s="1" t="s">
        <v>976</v>
      </c>
      <c r="C293" s="1" t="s">
        <v>84</v>
      </c>
      <c r="D293" s="1" t="s">
        <v>977</v>
      </c>
      <c r="E293" s="1" t="s">
        <v>978</v>
      </c>
      <c r="F293" s="1" t="s">
        <v>979</v>
      </c>
      <c r="G293" s="1" t="s">
        <v>980</v>
      </c>
      <c r="H293" s="1" t="s">
        <v>18</v>
      </c>
    </row>
    <row r="294" spans="1:8">
      <c r="A294" s="1">
        <v>293</v>
      </c>
      <c r="B294" s="1" t="s">
        <v>981</v>
      </c>
      <c r="C294" s="1" t="s">
        <v>285</v>
      </c>
      <c r="D294" s="1" t="s">
        <v>982</v>
      </c>
      <c r="E294" s="1" t="s">
        <v>983</v>
      </c>
      <c r="F294" s="1" t="s">
        <v>984</v>
      </c>
      <c r="G294" s="1" t="s">
        <v>985</v>
      </c>
      <c r="H294" s="1" t="s">
        <v>18</v>
      </c>
    </row>
    <row r="295" spans="1:8">
      <c r="A295" s="1">
        <v>294</v>
      </c>
      <c r="B295" s="1" t="s">
        <v>981</v>
      </c>
      <c r="C295" s="1" t="s">
        <v>290</v>
      </c>
      <c r="D295" s="1" t="s">
        <v>982</v>
      </c>
      <c r="E295" s="1" t="s">
        <v>986</v>
      </c>
      <c r="F295" s="1" t="s">
        <v>987</v>
      </c>
      <c r="G295" s="1" t="s">
        <v>988</v>
      </c>
      <c r="H295" s="1" t="s">
        <v>18</v>
      </c>
    </row>
    <row r="296" spans="1:8">
      <c r="A296" s="1">
        <v>295</v>
      </c>
      <c r="B296" s="1" t="s">
        <v>981</v>
      </c>
      <c r="C296" s="1" t="s">
        <v>294</v>
      </c>
      <c r="D296" s="1" t="s">
        <v>982</v>
      </c>
      <c r="E296" s="1" t="s">
        <v>989</v>
      </c>
      <c r="F296" s="1" t="s">
        <v>990</v>
      </c>
      <c r="G296" s="1" t="s">
        <v>991</v>
      </c>
      <c r="H296" s="1" t="s">
        <v>18</v>
      </c>
    </row>
    <row r="297" spans="1:8">
      <c r="A297" s="1">
        <v>296</v>
      </c>
      <c r="B297" s="1" t="s">
        <v>992</v>
      </c>
      <c r="C297" s="1" t="s">
        <v>702</v>
      </c>
      <c r="D297" s="1" t="s">
        <v>993</v>
      </c>
      <c r="E297" s="1" t="s">
        <v>994</v>
      </c>
      <c r="F297" s="1" t="s">
        <v>995</v>
      </c>
      <c r="G297" s="1" t="s">
        <v>996</v>
      </c>
      <c r="H297" s="1" t="s">
        <v>18</v>
      </c>
    </row>
    <row r="298" spans="1:8">
      <c r="A298" s="1">
        <v>297</v>
      </c>
      <c r="B298" s="1" t="s">
        <v>992</v>
      </c>
      <c r="C298" s="1" t="s">
        <v>707</v>
      </c>
      <c r="D298" s="1" t="s">
        <v>993</v>
      </c>
      <c r="E298" s="1" t="s">
        <v>997</v>
      </c>
      <c r="F298" s="1" t="s">
        <v>998</v>
      </c>
      <c r="G298" s="1" t="s">
        <v>999</v>
      </c>
      <c r="H298" s="1" t="s">
        <v>18</v>
      </c>
    </row>
    <row r="299" spans="1:8">
      <c r="A299" s="1">
        <v>298</v>
      </c>
      <c r="B299" s="1" t="s">
        <v>992</v>
      </c>
      <c r="C299" s="1" t="s">
        <v>711</v>
      </c>
      <c r="D299" s="1" t="s">
        <v>993</v>
      </c>
      <c r="E299" s="1" t="s">
        <v>1000</v>
      </c>
      <c r="F299" s="1" t="s">
        <v>1001</v>
      </c>
      <c r="G299" s="1" t="s">
        <v>1002</v>
      </c>
      <c r="H299" s="1" t="s">
        <v>18</v>
      </c>
    </row>
    <row r="300" spans="1:8">
      <c r="A300" s="1">
        <v>299</v>
      </c>
      <c r="B300" s="1" t="s">
        <v>992</v>
      </c>
      <c r="C300" s="1" t="s">
        <v>715</v>
      </c>
      <c r="D300" s="1" t="s">
        <v>993</v>
      </c>
      <c r="E300" s="1" t="s">
        <v>1003</v>
      </c>
      <c r="F300" s="1" t="s">
        <v>1004</v>
      </c>
      <c r="G300" s="1" t="s">
        <v>1005</v>
      </c>
      <c r="H300" s="1" t="s">
        <v>18</v>
      </c>
    </row>
    <row r="301" spans="1:8">
      <c r="A301" s="1">
        <v>300</v>
      </c>
      <c r="B301" s="1" t="s">
        <v>992</v>
      </c>
      <c r="C301" s="1" t="s">
        <v>719</v>
      </c>
      <c r="D301" s="1" t="s">
        <v>993</v>
      </c>
      <c r="E301" s="1" t="s">
        <v>1006</v>
      </c>
      <c r="F301" s="1" t="s">
        <v>1007</v>
      </c>
      <c r="G301" s="1" t="s">
        <v>1008</v>
      </c>
      <c r="H301" s="1" t="s">
        <v>18</v>
      </c>
    </row>
    <row r="302" spans="1:8">
      <c r="A302" s="1">
        <v>301</v>
      </c>
      <c r="B302" s="1" t="s">
        <v>992</v>
      </c>
      <c r="C302" s="1" t="s">
        <v>723</v>
      </c>
      <c r="D302" s="1" t="s">
        <v>993</v>
      </c>
      <c r="E302" s="1" t="s">
        <v>1009</v>
      </c>
      <c r="F302" s="1" t="s">
        <v>1010</v>
      </c>
      <c r="G302" s="1" t="s">
        <v>1011</v>
      </c>
      <c r="H302" s="1" t="s">
        <v>18</v>
      </c>
    </row>
    <row r="303" spans="1:8">
      <c r="A303" s="1">
        <v>302</v>
      </c>
      <c r="B303" s="1" t="s">
        <v>992</v>
      </c>
      <c r="C303" s="1" t="s">
        <v>727</v>
      </c>
      <c r="D303" s="1" t="s">
        <v>993</v>
      </c>
      <c r="E303" s="1" t="s">
        <v>1012</v>
      </c>
      <c r="F303" s="1" t="s">
        <v>1013</v>
      </c>
      <c r="G303" s="1" t="s">
        <v>1014</v>
      </c>
      <c r="H303" s="1" t="s">
        <v>18</v>
      </c>
    </row>
    <row r="304" spans="1:8">
      <c r="A304" s="1">
        <v>303</v>
      </c>
      <c r="B304" s="1" t="s">
        <v>992</v>
      </c>
      <c r="C304" s="1" t="s">
        <v>731</v>
      </c>
      <c r="D304" s="1" t="s">
        <v>993</v>
      </c>
      <c r="E304" s="1" t="s">
        <v>1015</v>
      </c>
      <c r="F304" s="1" t="s">
        <v>1016</v>
      </c>
      <c r="G304" s="1" t="s">
        <v>1017</v>
      </c>
      <c r="H304" s="1" t="s">
        <v>18</v>
      </c>
    </row>
    <row r="305" spans="1:8">
      <c r="A305" s="1">
        <v>304</v>
      </c>
      <c r="B305" s="1" t="s">
        <v>992</v>
      </c>
      <c r="C305" s="1" t="s">
        <v>735</v>
      </c>
      <c r="D305" s="1" t="s">
        <v>993</v>
      </c>
      <c r="E305" s="1" t="s">
        <v>1018</v>
      </c>
      <c r="F305" s="1" t="s">
        <v>1019</v>
      </c>
      <c r="G305" s="1" t="s">
        <v>1020</v>
      </c>
      <c r="H305" s="1" t="s">
        <v>18</v>
      </c>
    </row>
    <row r="306" spans="1:8">
      <c r="A306" s="1">
        <v>305</v>
      </c>
      <c r="B306" s="1" t="s">
        <v>992</v>
      </c>
      <c r="C306" s="1" t="s">
        <v>739</v>
      </c>
      <c r="D306" s="1" t="s">
        <v>993</v>
      </c>
      <c r="E306" s="1" t="s">
        <v>1021</v>
      </c>
      <c r="F306" s="1" t="s">
        <v>1022</v>
      </c>
      <c r="G306" s="1" t="s">
        <v>1020</v>
      </c>
      <c r="H306" s="1" t="s">
        <v>18</v>
      </c>
    </row>
    <row r="307" spans="1:8">
      <c r="A307" s="1">
        <v>306</v>
      </c>
      <c r="B307" s="1" t="s">
        <v>992</v>
      </c>
      <c r="C307" s="1" t="s">
        <v>742</v>
      </c>
      <c r="D307" s="1" t="s">
        <v>993</v>
      </c>
      <c r="E307" s="1" t="s">
        <v>1023</v>
      </c>
      <c r="F307" s="1" t="s">
        <v>1024</v>
      </c>
      <c r="G307" s="1" t="s">
        <v>1025</v>
      </c>
      <c r="H307" s="1" t="s">
        <v>18</v>
      </c>
    </row>
    <row r="308" spans="1:8">
      <c r="A308" s="1">
        <v>307</v>
      </c>
      <c r="B308" s="1" t="s">
        <v>992</v>
      </c>
      <c r="C308" s="1" t="s">
        <v>746</v>
      </c>
      <c r="D308" s="1" t="s">
        <v>993</v>
      </c>
      <c r="E308" s="1" t="s">
        <v>1026</v>
      </c>
      <c r="F308" s="1" t="s">
        <v>1027</v>
      </c>
      <c r="G308" s="1" t="s">
        <v>1028</v>
      </c>
      <c r="H308" s="1" t="s">
        <v>18</v>
      </c>
    </row>
    <row r="309" spans="1:8">
      <c r="A309" s="1">
        <v>308</v>
      </c>
      <c r="B309" s="1" t="s">
        <v>992</v>
      </c>
      <c r="C309" s="1" t="s">
        <v>750</v>
      </c>
      <c r="D309" s="1" t="s">
        <v>993</v>
      </c>
      <c r="E309" s="1" t="s">
        <v>1029</v>
      </c>
      <c r="F309" s="1" t="s">
        <v>1030</v>
      </c>
      <c r="G309" s="1" t="s">
        <v>1031</v>
      </c>
      <c r="H309" s="1" t="s">
        <v>18</v>
      </c>
    </row>
    <row r="310" spans="1:8">
      <c r="A310" s="1">
        <v>309</v>
      </c>
      <c r="B310" s="1" t="s">
        <v>992</v>
      </c>
      <c r="C310" s="1" t="s">
        <v>754</v>
      </c>
      <c r="D310" s="1" t="s">
        <v>993</v>
      </c>
      <c r="E310" s="1" t="s">
        <v>1032</v>
      </c>
      <c r="F310" s="1" t="s">
        <v>1033</v>
      </c>
      <c r="G310" s="1" t="s">
        <v>1031</v>
      </c>
      <c r="H310" s="1" t="s">
        <v>18</v>
      </c>
    </row>
    <row r="311" spans="1:8">
      <c r="A311" s="1">
        <v>310</v>
      </c>
      <c r="B311" s="1" t="s">
        <v>992</v>
      </c>
      <c r="C311" s="1" t="s">
        <v>757</v>
      </c>
      <c r="D311" s="1" t="s">
        <v>993</v>
      </c>
      <c r="E311" s="1" t="s">
        <v>1034</v>
      </c>
      <c r="F311" s="1" t="s">
        <v>1035</v>
      </c>
      <c r="G311" s="1" t="s">
        <v>1036</v>
      </c>
      <c r="H311" s="1" t="s">
        <v>18</v>
      </c>
    </row>
    <row r="312" spans="1:8">
      <c r="A312" s="1">
        <v>311</v>
      </c>
      <c r="B312" s="1" t="s">
        <v>992</v>
      </c>
      <c r="C312" s="1" t="s">
        <v>761</v>
      </c>
      <c r="D312" s="1" t="s">
        <v>993</v>
      </c>
      <c r="E312" s="1" t="s">
        <v>1037</v>
      </c>
      <c r="F312" s="1" t="s">
        <v>1038</v>
      </c>
      <c r="G312" s="1" t="s">
        <v>1039</v>
      </c>
      <c r="H312" s="1" t="s">
        <v>18</v>
      </c>
    </row>
    <row r="313" spans="1:8">
      <c r="A313" s="1">
        <v>312</v>
      </c>
      <c r="B313" s="1" t="s">
        <v>992</v>
      </c>
      <c r="C313" s="1" t="s">
        <v>765</v>
      </c>
      <c r="D313" s="1" t="s">
        <v>993</v>
      </c>
      <c r="E313" s="1" t="s">
        <v>1040</v>
      </c>
      <c r="F313" s="1" t="s">
        <v>1041</v>
      </c>
      <c r="G313" s="1" t="s">
        <v>1036</v>
      </c>
      <c r="H313" s="1" t="s">
        <v>18</v>
      </c>
    </row>
    <row r="314" spans="1:8">
      <c r="A314" s="1">
        <v>313</v>
      </c>
      <c r="B314" s="1" t="s">
        <v>992</v>
      </c>
      <c r="C314" s="1" t="s">
        <v>768</v>
      </c>
      <c r="D314" s="1" t="s">
        <v>993</v>
      </c>
      <c r="E314" s="1" t="s">
        <v>1042</v>
      </c>
      <c r="F314" s="1" t="s">
        <v>1043</v>
      </c>
      <c r="G314" s="1" t="s">
        <v>1044</v>
      </c>
      <c r="H314" s="1" t="s">
        <v>18</v>
      </c>
    </row>
    <row r="315" spans="1:8">
      <c r="A315" s="1">
        <v>314</v>
      </c>
      <c r="B315" s="1" t="s">
        <v>992</v>
      </c>
      <c r="C315" s="1" t="s">
        <v>772</v>
      </c>
      <c r="D315" s="1" t="s">
        <v>993</v>
      </c>
      <c r="E315" s="1" t="s">
        <v>1045</v>
      </c>
      <c r="F315" s="1" t="s">
        <v>1046</v>
      </c>
      <c r="G315" s="1" t="s">
        <v>1047</v>
      </c>
      <c r="H315" s="1" t="s">
        <v>18</v>
      </c>
    </row>
    <row r="316" spans="1:8">
      <c r="A316" s="1">
        <v>315</v>
      </c>
      <c r="B316" s="1" t="s">
        <v>992</v>
      </c>
      <c r="C316" s="1" t="s">
        <v>776</v>
      </c>
      <c r="D316" s="1" t="s">
        <v>993</v>
      </c>
      <c r="E316" s="1" t="s">
        <v>1048</v>
      </c>
      <c r="F316" s="1" t="s">
        <v>1049</v>
      </c>
      <c r="G316" s="1" t="s">
        <v>1050</v>
      </c>
      <c r="H316" s="1" t="s">
        <v>18</v>
      </c>
    </row>
    <row r="317" spans="1:8">
      <c r="A317" s="1">
        <v>316</v>
      </c>
      <c r="B317" s="1" t="s">
        <v>992</v>
      </c>
      <c r="C317" s="1" t="s">
        <v>780</v>
      </c>
      <c r="D317" s="1" t="s">
        <v>993</v>
      </c>
      <c r="E317" s="1" t="s">
        <v>1051</v>
      </c>
      <c r="F317" s="1" t="s">
        <v>1052</v>
      </c>
      <c r="G317" s="1" t="s">
        <v>1053</v>
      </c>
      <c r="H317" s="1" t="s">
        <v>18</v>
      </c>
    </row>
    <row r="318" spans="1:8">
      <c r="A318" s="1">
        <v>317</v>
      </c>
      <c r="B318" s="1" t="s">
        <v>992</v>
      </c>
      <c r="C318" s="1" t="s">
        <v>784</v>
      </c>
      <c r="D318" s="1" t="s">
        <v>993</v>
      </c>
      <c r="E318" s="1" t="s">
        <v>1054</v>
      </c>
      <c r="F318" s="1" t="s">
        <v>1055</v>
      </c>
      <c r="G318" s="1" t="s">
        <v>1056</v>
      </c>
      <c r="H318" s="1" t="s">
        <v>18</v>
      </c>
    </row>
    <row r="319" spans="1:8">
      <c r="A319" s="1">
        <v>318</v>
      </c>
      <c r="B319" s="1" t="s">
        <v>992</v>
      </c>
      <c r="C319" s="1" t="s">
        <v>788</v>
      </c>
      <c r="D319" s="1" t="s">
        <v>993</v>
      </c>
      <c r="E319" s="1" t="s">
        <v>1057</v>
      </c>
      <c r="F319" s="1" t="s">
        <v>1058</v>
      </c>
      <c r="G319" s="1" t="s">
        <v>1059</v>
      </c>
      <c r="H319" s="1" t="s">
        <v>18</v>
      </c>
    </row>
    <row r="320" spans="1:8">
      <c r="A320" s="1">
        <v>319</v>
      </c>
      <c r="B320" s="1" t="s">
        <v>992</v>
      </c>
      <c r="C320" s="1" t="s">
        <v>792</v>
      </c>
      <c r="D320" s="1" t="s">
        <v>993</v>
      </c>
      <c r="E320" s="1" t="s">
        <v>1060</v>
      </c>
      <c r="F320" s="1" t="s">
        <v>1061</v>
      </c>
      <c r="G320" s="1" t="s">
        <v>1062</v>
      </c>
      <c r="H320" s="1" t="s">
        <v>18</v>
      </c>
    </row>
    <row r="321" spans="1:8">
      <c r="A321" s="1">
        <v>320</v>
      </c>
      <c r="B321" s="1" t="s">
        <v>992</v>
      </c>
      <c r="C321" s="1" t="s">
        <v>796</v>
      </c>
      <c r="D321" s="1" t="s">
        <v>993</v>
      </c>
      <c r="E321" s="1" t="s">
        <v>1063</v>
      </c>
      <c r="F321" s="1" t="s">
        <v>1064</v>
      </c>
      <c r="G321" s="1" t="s">
        <v>1065</v>
      </c>
      <c r="H321" s="1" t="s">
        <v>18</v>
      </c>
    </row>
    <row r="322" spans="1:8">
      <c r="A322" s="1">
        <v>321</v>
      </c>
      <c r="B322" s="1" t="s">
        <v>992</v>
      </c>
      <c r="C322" s="1" t="s">
        <v>800</v>
      </c>
      <c r="D322" s="1" t="s">
        <v>993</v>
      </c>
      <c r="E322" s="1" t="s">
        <v>1066</v>
      </c>
      <c r="F322" s="1" t="s">
        <v>1067</v>
      </c>
      <c r="G322" s="1" t="s">
        <v>1068</v>
      </c>
      <c r="H322" s="1" t="s">
        <v>18</v>
      </c>
    </row>
    <row r="323" spans="1:8">
      <c r="A323" s="1">
        <v>322</v>
      </c>
      <c r="B323" s="1" t="s">
        <v>992</v>
      </c>
      <c r="C323" s="1" t="s">
        <v>804</v>
      </c>
      <c r="D323" s="1" t="s">
        <v>993</v>
      </c>
      <c r="E323" s="1" t="s">
        <v>1069</v>
      </c>
      <c r="F323" s="1" t="s">
        <v>1070</v>
      </c>
      <c r="G323" s="1" t="s">
        <v>1071</v>
      </c>
      <c r="H323" s="1" t="s">
        <v>18</v>
      </c>
    </row>
    <row r="324" spans="1:8">
      <c r="A324" s="1">
        <v>323</v>
      </c>
      <c r="B324" s="1" t="s">
        <v>1072</v>
      </c>
      <c r="C324" s="1" t="s">
        <v>809</v>
      </c>
      <c r="D324" s="1" t="s">
        <v>1073</v>
      </c>
      <c r="E324" s="1" t="s">
        <v>1074</v>
      </c>
      <c r="F324" s="1" t="s">
        <v>1075</v>
      </c>
      <c r="G324" s="1" t="s">
        <v>1076</v>
      </c>
      <c r="H324" s="1" t="s">
        <v>18</v>
      </c>
    </row>
    <row r="325" spans="1:8">
      <c r="A325" s="1">
        <v>324</v>
      </c>
      <c r="B325" s="1" t="s">
        <v>1072</v>
      </c>
      <c r="C325" s="1" t="s">
        <v>814</v>
      </c>
      <c r="D325" s="1" t="s">
        <v>1073</v>
      </c>
      <c r="E325" s="1" t="s">
        <v>1077</v>
      </c>
      <c r="F325" s="1" t="s">
        <v>1078</v>
      </c>
      <c r="G325" s="1" t="s">
        <v>1076</v>
      </c>
      <c r="H325" s="1" t="s">
        <v>18</v>
      </c>
    </row>
    <row r="326" spans="1:8">
      <c r="A326" s="1">
        <v>325</v>
      </c>
      <c r="B326" s="1" t="s">
        <v>1072</v>
      </c>
      <c r="C326" s="1" t="s">
        <v>817</v>
      </c>
      <c r="D326" s="1" t="s">
        <v>1073</v>
      </c>
      <c r="E326" s="1" t="s">
        <v>1079</v>
      </c>
      <c r="F326" s="1" t="s">
        <v>1080</v>
      </c>
      <c r="G326" s="1" t="s">
        <v>1081</v>
      </c>
      <c r="H326" s="1" t="s">
        <v>18</v>
      </c>
    </row>
    <row r="327" spans="1:8">
      <c r="A327" s="1">
        <v>326</v>
      </c>
      <c r="B327" s="1" t="s">
        <v>1072</v>
      </c>
      <c r="C327" s="1" t="s">
        <v>821</v>
      </c>
      <c r="D327" s="1" t="s">
        <v>1073</v>
      </c>
      <c r="E327" s="1" t="s">
        <v>1082</v>
      </c>
      <c r="F327" s="1" t="s">
        <v>1083</v>
      </c>
      <c r="G327" s="1" t="s">
        <v>1084</v>
      </c>
      <c r="H327" s="1" t="s">
        <v>18</v>
      </c>
    </row>
    <row r="328" spans="1:8">
      <c r="A328" s="1">
        <v>327</v>
      </c>
      <c r="B328" s="1" t="s">
        <v>1072</v>
      </c>
      <c r="C328" s="1" t="s">
        <v>825</v>
      </c>
      <c r="D328" s="1" t="s">
        <v>1073</v>
      </c>
      <c r="E328" s="1" t="s">
        <v>1085</v>
      </c>
      <c r="F328" s="1" t="s">
        <v>1086</v>
      </c>
      <c r="G328" s="1" t="s">
        <v>1087</v>
      </c>
      <c r="H328" s="1" t="s">
        <v>18</v>
      </c>
    </row>
    <row r="329" spans="1:8">
      <c r="A329" s="1">
        <v>328</v>
      </c>
      <c r="B329" s="1" t="s">
        <v>1072</v>
      </c>
      <c r="C329" s="1" t="s">
        <v>829</v>
      </c>
      <c r="D329" s="1" t="s">
        <v>1073</v>
      </c>
      <c r="E329" s="1" t="s">
        <v>1088</v>
      </c>
      <c r="F329" s="1" t="s">
        <v>1089</v>
      </c>
      <c r="G329" s="1" t="s">
        <v>1090</v>
      </c>
      <c r="H329" s="1" t="s">
        <v>18</v>
      </c>
    </row>
    <row r="330" spans="1:8">
      <c r="A330" s="1">
        <v>329</v>
      </c>
      <c r="B330" s="1" t="s">
        <v>1072</v>
      </c>
      <c r="C330" s="1" t="s">
        <v>833</v>
      </c>
      <c r="D330" s="1" t="s">
        <v>1073</v>
      </c>
      <c r="E330" s="1" t="s">
        <v>1091</v>
      </c>
      <c r="F330" s="1" t="s">
        <v>1092</v>
      </c>
      <c r="G330" s="1" t="s">
        <v>1081</v>
      </c>
      <c r="H330" s="1" t="s">
        <v>18</v>
      </c>
    </row>
    <row r="331" spans="1:8">
      <c r="A331" s="1">
        <v>330</v>
      </c>
      <c r="B331" s="1" t="s">
        <v>1072</v>
      </c>
      <c r="C331" s="1" t="s">
        <v>836</v>
      </c>
      <c r="D331" s="1" t="s">
        <v>1073</v>
      </c>
      <c r="E331" s="1" t="s">
        <v>1093</v>
      </c>
      <c r="F331" s="1" t="s">
        <v>1094</v>
      </c>
      <c r="G331" s="1" t="s">
        <v>1095</v>
      </c>
      <c r="H331" s="1" t="s">
        <v>18</v>
      </c>
    </row>
    <row r="332" spans="1:8">
      <c r="A332" s="1">
        <v>331</v>
      </c>
      <c r="B332" s="1" t="s">
        <v>1072</v>
      </c>
      <c r="C332" s="1" t="s">
        <v>840</v>
      </c>
      <c r="D332" s="1" t="s">
        <v>1073</v>
      </c>
      <c r="E332" s="1" t="s">
        <v>1096</v>
      </c>
      <c r="F332" s="1" t="s">
        <v>1097</v>
      </c>
      <c r="G332" s="1" t="s">
        <v>1098</v>
      </c>
      <c r="H332" s="1" t="s">
        <v>18</v>
      </c>
    </row>
    <row r="333" spans="1:8">
      <c r="A333" s="1">
        <v>332</v>
      </c>
      <c r="B333" s="1" t="s">
        <v>1072</v>
      </c>
      <c r="C333" s="1" t="s">
        <v>844</v>
      </c>
      <c r="D333" s="1" t="s">
        <v>1073</v>
      </c>
      <c r="E333" s="1" t="s">
        <v>1099</v>
      </c>
      <c r="F333" s="1" t="s">
        <v>1100</v>
      </c>
      <c r="G333" s="1" t="s">
        <v>1101</v>
      </c>
      <c r="H333" s="1" t="s">
        <v>18</v>
      </c>
    </row>
    <row r="334" spans="1:8">
      <c r="A334" s="1">
        <v>333</v>
      </c>
      <c r="B334" s="1" t="s">
        <v>1072</v>
      </c>
      <c r="C334" s="1" t="s">
        <v>848</v>
      </c>
      <c r="D334" s="1" t="s">
        <v>1073</v>
      </c>
      <c r="E334" s="1" t="s">
        <v>1102</v>
      </c>
      <c r="F334" s="1" t="s">
        <v>1103</v>
      </c>
      <c r="G334" s="1" t="s">
        <v>1104</v>
      </c>
      <c r="H334" s="1" t="s">
        <v>18</v>
      </c>
    </row>
    <row r="335" spans="1:8">
      <c r="A335" s="1">
        <v>334</v>
      </c>
      <c r="B335" s="1" t="s">
        <v>1072</v>
      </c>
      <c r="C335" s="1" t="s">
        <v>852</v>
      </c>
      <c r="D335" s="1" t="s">
        <v>1073</v>
      </c>
      <c r="E335" s="1" t="s">
        <v>1105</v>
      </c>
      <c r="F335" s="1" t="s">
        <v>1106</v>
      </c>
      <c r="G335" s="1" t="s">
        <v>1104</v>
      </c>
      <c r="H335" s="1" t="s">
        <v>18</v>
      </c>
    </row>
    <row r="336" spans="1:8">
      <c r="A336" s="1">
        <v>335</v>
      </c>
      <c r="B336" s="1" t="s">
        <v>1072</v>
      </c>
      <c r="C336" s="1" t="s">
        <v>855</v>
      </c>
      <c r="D336" s="1" t="s">
        <v>1073</v>
      </c>
      <c r="E336" s="1" t="s">
        <v>1107</v>
      </c>
      <c r="F336" s="1" t="s">
        <v>1108</v>
      </c>
      <c r="G336" s="1" t="s">
        <v>1109</v>
      </c>
      <c r="H336" s="1" t="s">
        <v>18</v>
      </c>
    </row>
    <row r="337" spans="1:8">
      <c r="A337" s="1">
        <v>336</v>
      </c>
      <c r="B337" s="1" t="s">
        <v>1072</v>
      </c>
      <c r="C337" s="1" t="s">
        <v>859</v>
      </c>
      <c r="D337" s="1" t="s">
        <v>1073</v>
      </c>
      <c r="E337" s="1" t="s">
        <v>1110</v>
      </c>
      <c r="F337" s="1" t="s">
        <v>1111</v>
      </c>
      <c r="G337" s="1" t="s">
        <v>1112</v>
      </c>
      <c r="H337" s="1" t="s">
        <v>18</v>
      </c>
    </row>
    <row r="338" spans="1:8">
      <c r="A338" s="1">
        <v>337</v>
      </c>
      <c r="B338" s="1" t="s">
        <v>1072</v>
      </c>
      <c r="C338" s="1" t="s">
        <v>863</v>
      </c>
      <c r="D338" s="1" t="s">
        <v>1073</v>
      </c>
      <c r="E338" s="1" t="s">
        <v>1113</v>
      </c>
      <c r="F338" s="1" t="s">
        <v>1114</v>
      </c>
      <c r="G338" s="1" t="s">
        <v>1112</v>
      </c>
      <c r="H338" s="1" t="s">
        <v>18</v>
      </c>
    </row>
    <row r="339" spans="1:8">
      <c r="A339" s="1">
        <v>338</v>
      </c>
      <c r="B339" s="1" t="s">
        <v>1072</v>
      </c>
      <c r="C339" s="1" t="s">
        <v>866</v>
      </c>
      <c r="D339" s="1" t="s">
        <v>1073</v>
      </c>
      <c r="E339" s="1" t="s">
        <v>1115</v>
      </c>
      <c r="F339" s="1" t="s">
        <v>1116</v>
      </c>
      <c r="G339" s="1" t="s">
        <v>1117</v>
      </c>
      <c r="H339" s="1" t="s">
        <v>18</v>
      </c>
    </row>
    <row r="340" spans="1:8">
      <c r="A340" s="1">
        <v>339</v>
      </c>
      <c r="B340" s="1" t="s">
        <v>1072</v>
      </c>
      <c r="C340" s="1" t="s">
        <v>870</v>
      </c>
      <c r="D340" s="1" t="s">
        <v>1073</v>
      </c>
      <c r="E340" s="1" t="s">
        <v>1118</v>
      </c>
      <c r="F340" s="1" t="s">
        <v>1119</v>
      </c>
      <c r="G340" s="1" t="s">
        <v>1120</v>
      </c>
      <c r="H340" s="1" t="s">
        <v>18</v>
      </c>
    </row>
    <row r="341" spans="1:8">
      <c r="A341" s="1">
        <v>340</v>
      </c>
      <c r="B341" s="1" t="s">
        <v>1072</v>
      </c>
      <c r="C341" s="1" t="s">
        <v>874</v>
      </c>
      <c r="D341" s="1" t="s">
        <v>1073</v>
      </c>
      <c r="E341" s="1" t="s">
        <v>1121</v>
      </c>
      <c r="F341" s="1" t="s">
        <v>1122</v>
      </c>
      <c r="G341" s="1" t="s">
        <v>1120</v>
      </c>
      <c r="H341" s="1" t="s">
        <v>18</v>
      </c>
    </row>
    <row r="342" spans="1:8">
      <c r="A342" s="1">
        <v>341</v>
      </c>
      <c r="B342" s="1" t="s">
        <v>1072</v>
      </c>
      <c r="C342" s="1" t="s">
        <v>877</v>
      </c>
      <c r="D342" s="1" t="s">
        <v>1073</v>
      </c>
      <c r="E342" s="1" t="s">
        <v>1123</v>
      </c>
      <c r="F342" s="1" t="s">
        <v>1124</v>
      </c>
      <c r="G342" s="1" t="s">
        <v>1125</v>
      </c>
      <c r="H342" s="1" t="s">
        <v>18</v>
      </c>
    </row>
    <row r="343" spans="1:8">
      <c r="A343" s="1">
        <v>342</v>
      </c>
      <c r="B343" s="1" t="s">
        <v>1072</v>
      </c>
      <c r="C343" s="1" t="s">
        <v>881</v>
      </c>
      <c r="D343" s="1" t="s">
        <v>1073</v>
      </c>
      <c r="E343" s="1" t="s">
        <v>1126</v>
      </c>
      <c r="F343" s="1" t="s">
        <v>1127</v>
      </c>
      <c r="G343" s="1" t="s">
        <v>1128</v>
      </c>
      <c r="H343" s="1" t="s">
        <v>18</v>
      </c>
    </row>
    <row r="344" spans="1:8">
      <c r="A344" s="1">
        <v>343</v>
      </c>
      <c r="B344" s="1" t="s">
        <v>1072</v>
      </c>
      <c r="C344" s="1" t="s">
        <v>885</v>
      </c>
      <c r="D344" s="1" t="s">
        <v>1073</v>
      </c>
      <c r="E344" s="1" t="s">
        <v>1129</v>
      </c>
      <c r="F344" s="1" t="s">
        <v>1130</v>
      </c>
      <c r="G344" s="1" t="s">
        <v>1131</v>
      </c>
      <c r="H344" s="1" t="s">
        <v>18</v>
      </c>
    </row>
    <row r="345" spans="1:8">
      <c r="A345" s="1">
        <v>344</v>
      </c>
      <c r="B345" s="1" t="s">
        <v>1072</v>
      </c>
      <c r="C345" s="1" t="s">
        <v>889</v>
      </c>
      <c r="D345" s="1" t="s">
        <v>1073</v>
      </c>
      <c r="E345" s="1" t="s">
        <v>1132</v>
      </c>
      <c r="F345" s="1" t="s">
        <v>1133</v>
      </c>
      <c r="G345" s="1" t="s">
        <v>1128</v>
      </c>
      <c r="H345" s="1" t="s">
        <v>18</v>
      </c>
    </row>
    <row r="346" spans="1:8">
      <c r="A346" s="1">
        <v>345</v>
      </c>
      <c r="B346" s="1" t="s">
        <v>1072</v>
      </c>
      <c r="C346" s="1" t="s">
        <v>892</v>
      </c>
      <c r="D346" s="1" t="s">
        <v>1073</v>
      </c>
      <c r="E346" s="1" t="s">
        <v>1134</v>
      </c>
      <c r="F346" s="1" t="s">
        <v>1135</v>
      </c>
      <c r="G346" s="1" t="s">
        <v>1136</v>
      </c>
      <c r="H346" s="1" t="s">
        <v>18</v>
      </c>
    </row>
    <row r="347" spans="1:8">
      <c r="A347" s="1">
        <v>346</v>
      </c>
      <c r="B347" s="1" t="s">
        <v>1072</v>
      </c>
      <c r="C347" s="1" t="s">
        <v>896</v>
      </c>
      <c r="D347" s="1" t="s">
        <v>1073</v>
      </c>
      <c r="E347" s="1" t="s">
        <v>1137</v>
      </c>
      <c r="F347" s="1" t="s">
        <v>1138</v>
      </c>
      <c r="G347" s="1" t="s">
        <v>1139</v>
      </c>
      <c r="H347" s="1" t="s">
        <v>18</v>
      </c>
    </row>
    <row r="348" spans="1:8">
      <c r="A348" s="1">
        <v>347</v>
      </c>
      <c r="B348" s="1" t="s">
        <v>1072</v>
      </c>
      <c r="C348" s="1" t="s">
        <v>900</v>
      </c>
      <c r="D348" s="1" t="s">
        <v>1073</v>
      </c>
      <c r="E348" s="1" t="s">
        <v>1140</v>
      </c>
      <c r="F348" s="1" t="s">
        <v>1141</v>
      </c>
      <c r="G348" s="1" t="s">
        <v>1142</v>
      </c>
      <c r="H348" s="1" t="s">
        <v>18</v>
      </c>
    </row>
    <row r="349" spans="1:8">
      <c r="A349" s="1">
        <v>348</v>
      </c>
      <c r="B349" s="1" t="s">
        <v>1072</v>
      </c>
      <c r="C349" s="1" t="s">
        <v>904</v>
      </c>
      <c r="D349" s="1" t="s">
        <v>1073</v>
      </c>
      <c r="E349" s="1" t="s">
        <v>1143</v>
      </c>
      <c r="F349" s="1" t="s">
        <v>1144</v>
      </c>
      <c r="G349" s="1" t="s">
        <v>1145</v>
      </c>
      <c r="H349" s="1" t="s">
        <v>18</v>
      </c>
    </row>
    <row r="350" spans="1:8">
      <c r="A350" s="1">
        <v>349</v>
      </c>
      <c r="B350" s="1" t="s">
        <v>1072</v>
      </c>
      <c r="C350" s="1" t="s">
        <v>908</v>
      </c>
      <c r="D350" s="1" t="s">
        <v>1073</v>
      </c>
      <c r="E350" s="1" t="s">
        <v>1146</v>
      </c>
      <c r="F350" s="1" t="s">
        <v>1147</v>
      </c>
      <c r="G350" s="1" t="s">
        <v>1148</v>
      </c>
      <c r="H350" s="1" t="s">
        <v>18</v>
      </c>
    </row>
    <row r="351" spans="1:8">
      <c r="A351" s="1">
        <v>350</v>
      </c>
      <c r="B351" s="1" t="s">
        <v>1072</v>
      </c>
      <c r="C351" s="1" t="s">
        <v>912</v>
      </c>
      <c r="D351" s="1" t="s">
        <v>1073</v>
      </c>
      <c r="E351" s="1" t="s">
        <v>1149</v>
      </c>
      <c r="F351" s="1" t="s">
        <v>1150</v>
      </c>
      <c r="G351" s="1" t="s">
        <v>1151</v>
      </c>
      <c r="H351" s="1" t="s">
        <v>18</v>
      </c>
    </row>
    <row r="352" spans="1:8">
      <c r="A352" s="1">
        <v>351</v>
      </c>
      <c r="B352" s="1" t="s">
        <v>1072</v>
      </c>
      <c r="C352" s="1" t="s">
        <v>916</v>
      </c>
      <c r="D352" s="1" t="s">
        <v>1073</v>
      </c>
      <c r="E352" s="1" t="s">
        <v>1152</v>
      </c>
      <c r="F352" s="1" t="s">
        <v>1153</v>
      </c>
      <c r="G352" s="1" t="s">
        <v>1154</v>
      </c>
      <c r="H352" s="1" t="s">
        <v>18</v>
      </c>
    </row>
    <row r="353" spans="1:8">
      <c r="A353" s="1">
        <v>352</v>
      </c>
      <c r="B353" s="1" t="s">
        <v>1072</v>
      </c>
      <c r="C353" s="1" t="s">
        <v>919</v>
      </c>
      <c r="D353" s="1" t="s">
        <v>1073</v>
      </c>
      <c r="E353" s="1" t="s">
        <v>1155</v>
      </c>
      <c r="F353" s="1" t="s">
        <v>1156</v>
      </c>
      <c r="G353" s="1" t="s">
        <v>1154</v>
      </c>
      <c r="H353" s="1" t="s">
        <v>18</v>
      </c>
    </row>
    <row r="354" spans="1:8">
      <c r="A354" s="1">
        <v>353</v>
      </c>
      <c r="B354" s="1" t="s">
        <v>1072</v>
      </c>
      <c r="C354" s="1" t="s">
        <v>923</v>
      </c>
      <c r="D354" s="1" t="s">
        <v>1073</v>
      </c>
      <c r="E354" s="1" t="s">
        <v>1157</v>
      </c>
      <c r="F354" s="1" t="s">
        <v>1158</v>
      </c>
      <c r="G354" s="1" t="s">
        <v>1159</v>
      </c>
      <c r="H354" s="1" t="s">
        <v>18</v>
      </c>
    </row>
    <row r="355" spans="1:8">
      <c r="A355" s="1">
        <v>354</v>
      </c>
      <c r="B355" s="1" t="s">
        <v>1072</v>
      </c>
      <c r="C355" s="1" t="s">
        <v>927</v>
      </c>
      <c r="D355" s="1" t="s">
        <v>1073</v>
      </c>
      <c r="E355" s="1" t="s">
        <v>1160</v>
      </c>
      <c r="F355" s="1" t="s">
        <v>1161</v>
      </c>
      <c r="G355" s="1" t="s">
        <v>1162</v>
      </c>
      <c r="H355" s="1" t="s">
        <v>18</v>
      </c>
    </row>
    <row r="356" spans="1:8">
      <c r="A356" s="1">
        <v>355</v>
      </c>
      <c r="B356" s="1" t="s">
        <v>1072</v>
      </c>
      <c r="C356" s="1" t="s">
        <v>931</v>
      </c>
      <c r="D356" s="1" t="s">
        <v>1073</v>
      </c>
      <c r="E356" s="1" t="s">
        <v>1163</v>
      </c>
      <c r="F356" s="1" t="s">
        <v>1164</v>
      </c>
      <c r="G356" s="1" t="s">
        <v>1165</v>
      </c>
      <c r="H356" s="1" t="s">
        <v>18</v>
      </c>
    </row>
    <row r="357" spans="1:8">
      <c r="A357" s="1">
        <v>356</v>
      </c>
      <c r="B357" s="1" t="s">
        <v>1072</v>
      </c>
      <c r="C357" s="1" t="s">
        <v>935</v>
      </c>
      <c r="D357" s="1" t="s">
        <v>1073</v>
      </c>
      <c r="E357" s="1" t="s">
        <v>1166</v>
      </c>
      <c r="F357" s="1" t="s">
        <v>1167</v>
      </c>
      <c r="G357" s="1" t="s">
        <v>1168</v>
      </c>
      <c r="H357" s="1" t="s">
        <v>18</v>
      </c>
    </row>
    <row r="358" spans="1:8">
      <c r="A358" s="1">
        <v>357</v>
      </c>
      <c r="B358" s="1" t="s">
        <v>1072</v>
      </c>
      <c r="C358" s="1" t="s">
        <v>939</v>
      </c>
      <c r="D358" s="1" t="s">
        <v>1073</v>
      </c>
      <c r="E358" s="1" t="s">
        <v>1169</v>
      </c>
      <c r="F358" s="1" t="s">
        <v>1170</v>
      </c>
      <c r="G358" s="1" t="s">
        <v>1171</v>
      </c>
      <c r="H358" s="1" t="s">
        <v>18</v>
      </c>
    </row>
    <row r="359" spans="1:8">
      <c r="A359" s="1">
        <v>358</v>
      </c>
      <c r="B359" s="1" t="s">
        <v>1172</v>
      </c>
      <c r="C359" s="1" t="s">
        <v>211</v>
      </c>
      <c r="D359" s="1" t="s">
        <v>1173</v>
      </c>
      <c r="E359" s="1" t="s">
        <v>1174</v>
      </c>
      <c r="F359" s="1" t="s">
        <v>1175</v>
      </c>
      <c r="G359" s="1" t="s">
        <v>1176</v>
      </c>
      <c r="H359" s="1" t="s">
        <v>18</v>
      </c>
    </row>
    <row r="360" spans="1:8">
      <c r="A360" s="1">
        <v>359</v>
      </c>
      <c r="B360" s="1" t="s">
        <v>1172</v>
      </c>
      <c r="C360" s="1" t="s">
        <v>214</v>
      </c>
      <c r="D360" s="1" t="s">
        <v>1173</v>
      </c>
      <c r="E360" s="1" t="s">
        <v>1177</v>
      </c>
      <c r="F360" s="1" t="s">
        <v>1178</v>
      </c>
      <c r="G360" s="1" t="s">
        <v>1179</v>
      </c>
      <c r="H360" s="1" t="s">
        <v>18</v>
      </c>
    </row>
    <row r="361" spans="1:8">
      <c r="A361" s="1">
        <v>360</v>
      </c>
      <c r="B361" s="1" t="s">
        <v>1172</v>
      </c>
      <c r="C361" s="1" t="s">
        <v>218</v>
      </c>
      <c r="D361" s="1" t="s">
        <v>1173</v>
      </c>
      <c r="E361" s="1" t="s">
        <v>1180</v>
      </c>
      <c r="F361" s="1" t="s">
        <v>1181</v>
      </c>
      <c r="G361" s="1" t="s">
        <v>1182</v>
      </c>
      <c r="H361" s="1" t="s">
        <v>18</v>
      </c>
    </row>
    <row r="362" spans="1:8">
      <c r="A362" s="1">
        <v>361</v>
      </c>
      <c r="B362" s="1" t="s">
        <v>1172</v>
      </c>
      <c r="C362" s="1" t="s">
        <v>220</v>
      </c>
      <c r="D362" s="1" t="s">
        <v>1173</v>
      </c>
      <c r="E362" s="1" t="s">
        <v>1183</v>
      </c>
      <c r="F362" s="1" t="s">
        <v>1184</v>
      </c>
      <c r="G362" s="1" t="s">
        <v>1185</v>
      </c>
      <c r="H362" s="1" t="s">
        <v>18</v>
      </c>
    </row>
    <row r="363" spans="1:8">
      <c r="A363" s="1">
        <v>362</v>
      </c>
      <c r="B363" s="1" t="s">
        <v>1172</v>
      </c>
      <c r="C363" s="1" t="s">
        <v>224</v>
      </c>
      <c r="D363" s="1" t="s">
        <v>1173</v>
      </c>
      <c r="E363" s="1" t="s">
        <v>1186</v>
      </c>
      <c r="F363" s="1" t="s">
        <v>1187</v>
      </c>
      <c r="G363" s="1" t="s">
        <v>1188</v>
      </c>
      <c r="H363" s="1" t="s">
        <v>18</v>
      </c>
    </row>
    <row r="364" spans="1:8">
      <c r="A364" s="1">
        <v>363</v>
      </c>
      <c r="B364" s="1" t="s">
        <v>1189</v>
      </c>
      <c r="C364" s="1" t="s">
        <v>251</v>
      </c>
      <c r="D364" s="1" t="s">
        <v>1190</v>
      </c>
      <c r="E364" s="1" t="s">
        <v>1191</v>
      </c>
      <c r="F364" s="1" t="s">
        <v>1192</v>
      </c>
      <c r="G364" s="1" t="s">
        <v>1193</v>
      </c>
      <c r="H364" s="1" t="s">
        <v>18</v>
      </c>
    </row>
    <row r="365" spans="1:8">
      <c r="A365" s="1">
        <v>364</v>
      </c>
      <c r="B365" s="1" t="s">
        <v>1189</v>
      </c>
      <c r="C365" s="1" t="s">
        <v>254</v>
      </c>
      <c r="D365" s="1" t="s">
        <v>1190</v>
      </c>
      <c r="E365" s="1" t="s">
        <v>1194</v>
      </c>
      <c r="F365" s="1" t="s">
        <v>1195</v>
      </c>
      <c r="G365" s="1" t="s">
        <v>1196</v>
      </c>
      <c r="H365" s="1" t="s">
        <v>18</v>
      </c>
    </row>
    <row r="366" spans="1:8">
      <c r="A366" s="1">
        <v>365</v>
      </c>
      <c r="B366" s="1" t="s">
        <v>1189</v>
      </c>
      <c r="C366" s="1" t="s">
        <v>256</v>
      </c>
      <c r="D366" s="1" t="s">
        <v>1190</v>
      </c>
      <c r="E366" s="1" t="s">
        <v>1197</v>
      </c>
      <c r="F366" s="1" t="s">
        <v>1198</v>
      </c>
      <c r="G366" s="1" t="s">
        <v>1199</v>
      </c>
      <c r="H366" s="1" t="s">
        <v>18</v>
      </c>
    </row>
    <row r="367" spans="1:8">
      <c r="A367" s="1">
        <v>366</v>
      </c>
      <c r="B367" s="1" t="s">
        <v>1189</v>
      </c>
      <c r="C367" s="1" t="s">
        <v>260</v>
      </c>
      <c r="D367" s="1" t="s">
        <v>1190</v>
      </c>
      <c r="E367" s="1" t="s">
        <v>1200</v>
      </c>
      <c r="F367" s="1" t="s">
        <v>1201</v>
      </c>
      <c r="G367" s="1" t="s">
        <v>1202</v>
      </c>
      <c r="H367" s="1" t="s">
        <v>18</v>
      </c>
    </row>
    <row r="368" spans="1:8">
      <c r="A368" s="1">
        <v>367</v>
      </c>
      <c r="B368" s="1" t="s">
        <v>1189</v>
      </c>
      <c r="C368" s="1" t="s">
        <v>262</v>
      </c>
      <c r="D368" s="1" t="s">
        <v>1190</v>
      </c>
      <c r="E368" s="1" t="s">
        <v>1203</v>
      </c>
      <c r="F368" s="1" t="s">
        <v>1204</v>
      </c>
      <c r="G368" s="1" t="s">
        <v>1205</v>
      </c>
      <c r="H368" s="1" t="s">
        <v>18</v>
      </c>
    </row>
    <row r="369" spans="1:8">
      <c r="A369" s="1">
        <v>368</v>
      </c>
      <c r="B369" s="1" t="s">
        <v>1189</v>
      </c>
      <c r="C369" s="1" t="s">
        <v>264</v>
      </c>
      <c r="D369" s="1" t="s">
        <v>1190</v>
      </c>
      <c r="E369" s="1" t="s">
        <v>1206</v>
      </c>
      <c r="F369" s="1" t="s">
        <v>1207</v>
      </c>
      <c r="G369" s="1" t="s">
        <v>1208</v>
      </c>
      <c r="H369" s="1" t="s">
        <v>18</v>
      </c>
    </row>
    <row r="370" spans="1:8">
      <c r="A370" s="1">
        <v>369</v>
      </c>
      <c r="B370" s="1" t="s">
        <v>1209</v>
      </c>
      <c r="C370" s="1" t="s">
        <v>1210</v>
      </c>
      <c r="D370" s="1" t="s">
        <v>1211</v>
      </c>
      <c r="E370" s="1" t="s">
        <v>1212</v>
      </c>
      <c r="F370" s="1" t="s">
        <v>1213</v>
      </c>
      <c r="G370" s="1" t="s">
        <v>1214</v>
      </c>
      <c r="H370" s="1" t="s">
        <v>18</v>
      </c>
    </row>
    <row r="371" spans="1:8">
      <c r="A371" s="1">
        <v>370</v>
      </c>
      <c r="B371" s="1" t="s">
        <v>1209</v>
      </c>
      <c r="C371" s="1" t="s">
        <v>1215</v>
      </c>
      <c r="D371" s="1" t="s">
        <v>1211</v>
      </c>
      <c r="E371" s="1" t="s">
        <v>1216</v>
      </c>
      <c r="F371" s="1" t="s">
        <v>1217</v>
      </c>
      <c r="G371" s="1" t="s">
        <v>1218</v>
      </c>
      <c r="H371" s="1" t="s">
        <v>18</v>
      </c>
    </row>
    <row r="372" spans="1:8">
      <c r="A372" s="1">
        <v>371</v>
      </c>
      <c r="B372" s="1" t="s">
        <v>1209</v>
      </c>
      <c r="C372" s="1" t="s">
        <v>1219</v>
      </c>
      <c r="D372" s="1" t="s">
        <v>1211</v>
      </c>
      <c r="E372" s="1" t="s">
        <v>1220</v>
      </c>
      <c r="F372" s="1" t="s">
        <v>1221</v>
      </c>
      <c r="G372" s="1" t="s">
        <v>1222</v>
      </c>
      <c r="H372" s="1" t="s">
        <v>18</v>
      </c>
    </row>
    <row r="373" spans="1:8">
      <c r="A373" s="1">
        <v>372</v>
      </c>
      <c r="B373" s="1" t="s">
        <v>1209</v>
      </c>
      <c r="C373" s="1" t="s">
        <v>1223</v>
      </c>
      <c r="D373" s="1" t="s">
        <v>1211</v>
      </c>
      <c r="E373" s="1" t="s">
        <v>1224</v>
      </c>
      <c r="F373" s="1" t="s">
        <v>1225</v>
      </c>
      <c r="G373" s="1" t="s">
        <v>1226</v>
      </c>
      <c r="H373" s="1" t="s">
        <v>18</v>
      </c>
    </row>
    <row r="374" spans="1:8">
      <c r="A374" s="1">
        <v>373</v>
      </c>
      <c r="B374" s="1" t="s">
        <v>1209</v>
      </c>
      <c r="C374" s="1" t="s">
        <v>1227</v>
      </c>
      <c r="D374" s="1" t="s">
        <v>1211</v>
      </c>
      <c r="E374" s="1" t="s">
        <v>1228</v>
      </c>
      <c r="F374" s="1" t="s">
        <v>1229</v>
      </c>
      <c r="G374" s="1" t="s">
        <v>1230</v>
      </c>
      <c r="H374" s="1" t="s">
        <v>18</v>
      </c>
    </row>
    <row r="375" spans="1:8">
      <c r="A375" s="1">
        <v>374</v>
      </c>
      <c r="B375" s="1" t="s">
        <v>1209</v>
      </c>
      <c r="C375" s="1" t="s">
        <v>1231</v>
      </c>
      <c r="D375" s="1" t="s">
        <v>1211</v>
      </c>
      <c r="E375" s="1" t="s">
        <v>1232</v>
      </c>
      <c r="F375" s="1" t="s">
        <v>1233</v>
      </c>
      <c r="G375" s="1" t="s">
        <v>1234</v>
      </c>
      <c r="H375" s="1" t="s">
        <v>18</v>
      </c>
    </row>
    <row r="376" spans="1:8">
      <c r="A376" s="1">
        <v>375</v>
      </c>
      <c r="B376" s="1" t="s">
        <v>1209</v>
      </c>
      <c r="C376" s="1" t="s">
        <v>1235</v>
      </c>
      <c r="D376" s="1" t="s">
        <v>1211</v>
      </c>
      <c r="E376" s="1" t="s">
        <v>1236</v>
      </c>
      <c r="F376" s="1" t="s">
        <v>1237</v>
      </c>
      <c r="G376" s="1" t="s">
        <v>1238</v>
      </c>
      <c r="H376" s="1" t="s">
        <v>18</v>
      </c>
    </row>
    <row r="377" spans="1:8">
      <c r="A377" s="1">
        <v>376</v>
      </c>
      <c r="B377" s="1" t="s">
        <v>1209</v>
      </c>
      <c r="C377" s="1" t="s">
        <v>1239</v>
      </c>
      <c r="D377" s="1" t="s">
        <v>1211</v>
      </c>
      <c r="E377" s="1" t="s">
        <v>1240</v>
      </c>
      <c r="F377" s="1" t="s">
        <v>1241</v>
      </c>
      <c r="G377" s="1" t="s">
        <v>1242</v>
      </c>
      <c r="H377" s="1" t="s">
        <v>18</v>
      </c>
    </row>
    <row r="378" spans="1:8">
      <c r="A378" s="1">
        <v>377</v>
      </c>
      <c r="B378" s="1" t="s">
        <v>1209</v>
      </c>
      <c r="C378" s="1" t="s">
        <v>1243</v>
      </c>
      <c r="D378" s="1" t="s">
        <v>1211</v>
      </c>
      <c r="E378" s="1" t="s">
        <v>1244</v>
      </c>
      <c r="F378" s="1" t="s">
        <v>1245</v>
      </c>
      <c r="G378" s="1" t="s">
        <v>1246</v>
      </c>
      <c r="H378" s="1" t="s">
        <v>18</v>
      </c>
    </row>
    <row r="379" spans="1:8">
      <c r="A379" s="1">
        <v>378</v>
      </c>
      <c r="B379" s="1" t="s">
        <v>1209</v>
      </c>
      <c r="C379" s="1" t="s">
        <v>1247</v>
      </c>
      <c r="D379" s="1" t="s">
        <v>1211</v>
      </c>
      <c r="E379" s="1" t="s">
        <v>1248</v>
      </c>
      <c r="F379" s="1" t="s">
        <v>1249</v>
      </c>
      <c r="G379" s="1" t="s">
        <v>1250</v>
      </c>
      <c r="H379" s="1" t="s">
        <v>18</v>
      </c>
    </row>
    <row r="380" spans="1:8">
      <c r="A380" s="1">
        <v>379</v>
      </c>
      <c r="B380" s="1" t="s">
        <v>1209</v>
      </c>
      <c r="C380" s="1" t="s">
        <v>1251</v>
      </c>
      <c r="D380" s="1" t="s">
        <v>1211</v>
      </c>
      <c r="E380" s="1" t="s">
        <v>1252</v>
      </c>
      <c r="F380" s="1" t="s">
        <v>1253</v>
      </c>
      <c r="G380" s="1" t="s">
        <v>1254</v>
      </c>
      <c r="H380" s="1" t="s">
        <v>18</v>
      </c>
    </row>
    <row r="381" spans="1:8">
      <c r="A381" s="1">
        <v>380</v>
      </c>
      <c r="B381" s="1" t="s">
        <v>1209</v>
      </c>
      <c r="C381" s="1" t="s">
        <v>1255</v>
      </c>
      <c r="D381" s="1" t="s">
        <v>1211</v>
      </c>
      <c r="E381" s="1" t="s">
        <v>1256</v>
      </c>
      <c r="F381" s="1" t="s">
        <v>1257</v>
      </c>
      <c r="G381" s="1" t="s">
        <v>1258</v>
      </c>
      <c r="H381" s="1" t="s">
        <v>18</v>
      </c>
    </row>
    <row r="382" spans="1:8">
      <c r="A382" s="1">
        <v>381</v>
      </c>
      <c r="B382" s="1" t="s">
        <v>1209</v>
      </c>
      <c r="C382" s="1" t="s">
        <v>1259</v>
      </c>
      <c r="D382" s="1" t="s">
        <v>1211</v>
      </c>
      <c r="E382" s="1" t="s">
        <v>1260</v>
      </c>
      <c r="F382" s="1" t="s">
        <v>1261</v>
      </c>
      <c r="G382" s="1" t="s">
        <v>1262</v>
      </c>
      <c r="H382" s="1" t="s">
        <v>18</v>
      </c>
    </row>
    <row r="383" spans="1:8">
      <c r="A383" s="1">
        <v>382</v>
      </c>
      <c r="B383" s="1" t="s">
        <v>1263</v>
      </c>
      <c r="C383" s="1" t="s">
        <v>1264</v>
      </c>
      <c r="D383" s="1" t="s">
        <v>1265</v>
      </c>
      <c r="E383" s="1" t="s">
        <v>1266</v>
      </c>
      <c r="F383" s="1" t="s">
        <v>1267</v>
      </c>
      <c r="G383" s="1" t="s">
        <v>1268</v>
      </c>
      <c r="H383" s="1" t="s">
        <v>18</v>
      </c>
    </row>
    <row r="384" spans="1:8">
      <c r="A384" s="1">
        <v>383</v>
      </c>
      <c r="B384" s="1" t="s">
        <v>1263</v>
      </c>
      <c r="C384" s="1" t="s">
        <v>1269</v>
      </c>
      <c r="D384" s="1" t="s">
        <v>1265</v>
      </c>
      <c r="E384" s="1" t="s">
        <v>1270</v>
      </c>
      <c r="F384" s="1" t="s">
        <v>1271</v>
      </c>
      <c r="G384" s="1" t="s">
        <v>1272</v>
      </c>
      <c r="H384" s="1" t="s">
        <v>18</v>
      </c>
    </row>
    <row r="385" spans="1:8">
      <c r="A385" s="1">
        <v>384</v>
      </c>
      <c r="B385" s="1" t="s">
        <v>1263</v>
      </c>
      <c r="C385" s="1" t="s">
        <v>1273</v>
      </c>
      <c r="D385" s="1" t="s">
        <v>1265</v>
      </c>
      <c r="E385" s="1" t="s">
        <v>1274</v>
      </c>
      <c r="F385" s="1" t="s">
        <v>1275</v>
      </c>
      <c r="G385" s="1" t="s">
        <v>1276</v>
      </c>
      <c r="H385" s="1" t="s">
        <v>18</v>
      </c>
    </row>
    <row r="386" spans="1:8">
      <c r="A386" s="1">
        <v>385</v>
      </c>
      <c r="B386" s="1" t="s">
        <v>1263</v>
      </c>
      <c r="C386" s="1" t="s">
        <v>1277</v>
      </c>
      <c r="D386" s="1" t="s">
        <v>1265</v>
      </c>
      <c r="E386" s="1" t="s">
        <v>1278</v>
      </c>
      <c r="F386" s="1" t="s">
        <v>1279</v>
      </c>
      <c r="G386" s="1" t="s">
        <v>1280</v>
      </c>
      <c r="H386" s="1" t="s">
        <v>18</v>
      </c>
    </row>
    <row r="387" spans="1:8">
      <c r="A387" s="1">
        <v>386</v>
      </c>
      <c r="B387" s="1" t="s">
        <v>1263</v>
      </c>
      <c r="C387" s="1" t="s">
        <v>1281</v>
      </c>
      <c r="D387" s="1" t="s">
        <v>1265</v>
      </c>
      <c r="E387" s="1" t="s">
        <v>1282</v>
      </c>
      <c r="F387" s="1" t="s">
        <v>1283</v>
      </c>
      <c r="G387" s="1" t="s">
        <v>1284</v>
      </c>
      <c r="H387" s="1" t="s">
        <v>18</v>
      </c>
    </row>
    <row r="388" spans="1:8">
      <c r="A388" s="1">
        <v>387</v>
      </c>
      <c r="B388" s="1" t="s">
        <v>1263</v>
      </c>
      <c r="C388" s="1" t="s">
        <v>1285</v>
      </c>
      <c r="D388" s="1" t="s">
        <v>1265</v>
      </c>
      <c r="E388" s="1" t="s">
        <v>1286</v>
      </c>
      <c r="F388" s="1" t="s">
        <v>1287</v>
      </c>
      <c r="G388" s="1" t="s">
        <v>1288</v>
      </c>
      <c r="H388" s="1" t="s">
        <v>18</v>
      </c>
    </row>
    <row r="389" spans="1:8">
      <c r="A389" s="1">
        <v>388</v>
      </c>
      <c r="B389" s="1" t="s">
        <v>1263</v>
      </c>
      <c r="C389" s="1" t="s">
        <v>1289</v>
      </c>
      <c r="D389" s="1" t="s">
        <v>1265</v>
      </c>
      <c r="E389" s="1" t="s">
        <v>1290</v>
      </c>
      <c r="F389" s="1" t="s">
        <v>1291</v>
      </c>
      <c r="G389" s="1" t="s">
        <v>1292</v>
      </c>
      <c r="H389" s="1" t="s">
        <v>18</v>
      </c>
    </row>
    <row r="390" spans="1:8">
      <c r="A390" s="1">
        <v>389</v>
      </c>
      <c r="B390" s="1" t="s">
        <v>1263</v>
      </c>
      <c r="C390" s="1" t="s">
        <v>1293</v>
      </c>
      <c r="D390" s="1" t="s">
        <v>1265</v>
      </c>
      <c r="E390" s="1" t="s">
        <v>1294</v>
      </c>
      <c r="F390" s="1" t="s">
        <v>1295</v>
      </c>
      <c r="G390" s="1" t="s">
        <v>1296</v>
      </c>
      <c r="H390" s="1" t="s">
        <v>18</v>
      </c>
    </row>
    <row r="391" spans="1:8">
      <c r="A391" s="1">
        <v>390</v>
      </c>
      <c r="B391" s="1" t="s">
        <v>1263</v>
      </c>
      <c r="C391" s="1" t="s">
        <v>1297</v>
      </c>
      <c r="D391" s="1" t="s">
        <v>1265</v>
      </c>
      <c r="E391" s="1" t="s">
        <v>1298</v>
      </c>
      <c r="F391" s="1" t="s">
        <v>1299</v>
      </c>
      <c r="G391" s="1" t="s">
        <v>1300</v>
      </c>
      <c r="H391" s="1" t="s">
        <v>18</v>
      </c>
    </row>
    <row r="392" spans="1:8">
      <c r="A392" s="1">
        <v>391</v>
      </c>
      <c r="B392" s="1" t="s">
        <v>1263</v>
      </c>
      <c r="C392" s="1" t="s">
        <v>1301</v>
      </c>
      <c r="D392" s="1" t="s">
        <v>1265</v>
      </c>
      <c r="E392" s="1" t="s">
        <v>1302</v>
      </c>
      <c r="F392" s="1" t="s">
        <v>1303</v>
      </c>
      <c r="G392" s="1" t="s">
        <v>1304</v>
      </c>
      <c r="H392" s="1" t="s">
        <v>18</v>
      </c>
    </row>
    <row r="393" spans="1:8">
      <c r="A393" s="1">
        <v>392</v>
      </c>
      <c r="B393" s="1" t="s">
        <v>1263</v>
      </c>
      <c r="C393" s="1" t="s">
        <v>1305</v>
      </c>
      <c r="D393" s="1" t="s">
        <v>1265</v>
      </c>
      <c r="E393" s="1" t="s">
        <v>1306</v>
      </c>
      <c r="F393" s="1" t="s">
        <v>1307</v>
      </c>
      <c r="G393" s="1" t="s">
        <v>1308</v>
      </c>
      <c r="H393" s="1" t="s">
        <v>18</v>
      </c>
    </row>
    <row r="394" spans="1:8">
      <c r="A394" s="1">
        <v>393</v>
      </c>
      <c r="B394" s="1" t="s">
        <v>1263</v>
      </c>
      <c r="C394" s="1" t="s">
        <v>1309</v>
      </c>
      <c r="D394" s="1" t="s">
        <v>1265</v>
      </c>
      <c r="E394" s="1" t="s">
        <v>1310</v>
      </c>
      <c r="F394" s="1" t="s">
        <v>1311</v>
      </c>
      <c r="G394" s="1" t="s">
        <v>1312</v>
      </c>
      <c r="H394" s="1" t="s">
        <v>18</v>
      </c>
    </row>
    <row r="395" spans="1:8">
      <c r="A395" s="1">
        <v>394</v>
      </c>
      <c r="B395" s="1" t="s">
        <v>1263</v>
      </c>
      <c r="C395" s="1" t="s">
        <v>1313</v>
      </c>
      <c r="D395" s="1" t="s">
        <v>1265</v>
      </c>
      <c r="E395" s="1" t="s">
        <v>1314</v>
      </c>
      <c r="F395" s="1" t="s">
        <v>1315</v>
      </c>
      <c r="G395" s="1" t="s">
        <v>1316</v>
      </c>
      <c r="H395" s="1" t="s">
        <v>18</v>
      </c>
    </row>
    <row r="396" spans="1:8">
      <c r="A396" s="1">
        <v>395</v>
      </c>
      <c r="B396" s="1" t="s">
        <v>1263</v>
      </c>
      <c r="C396" s="1" t="s">
        <v>1317</v>
      </c>
      <c r="D396" s="1" t="s">
        <v>1265</v>
      </c>
      <c r="E396" s="1" t="s">
        <v>1318</v>
      </c>
      <c r="F396" s="1" t="s">
        <v>1319</v>
      </c>
      <c r="G396" s="1" t="s">
        <v>1320</v>
      </c>
      <c r="H396" s="1" t="s">
        <v>18</v>
      </c>
    </row>
    <row r="397" spans="1:8">
      <c r="A397" s="1">
        <v>396</v>
      </c>
      <c r="B397" s="1" t="s">
        <v>1263</v>
      </c>
      <c r="C397" s="1" t="s">
        <v>1321</v>
      </c>
      <c r="D397" s="1" t="s">
        <v>1265</v>
      </c>
      <c r="E397" s="1" t="s">
        <v>1322</v>
      </c>
      <c r="F397" s="1" t="s">
        <v>1323</v>
      </c>
      <c r="G397" s="1" t="s">
        <v>1324</v>
      </c>
      <c r="H397" s="1" t="s">
        <v>18</v>
      </c>
    </row>
    <row r="398" spans="1:8">
      <c r="A398" s="1">
        <v>397</v>
      </c>
      <c r="B398" s="1" t="s">
        <v>1263</v>
      </c>
      <c r="C398" s="1" t="s">
        <v>1325</v>
      </c>
      <c r="D398" s="1" t="s">
        <v>1265</v>
      </c>
      <c r="E398" s="1" t="s">
        <v>1326</v>
      </c>
      <c r="F398" s="1" t="s">
        <v>1327</v>
      </c>
      <c r="G398" s="1" t="s">
        <v>1328</v>
      </c>
      <c r="H398" s="1" t="s">
        <v>18</v>
      </c>
    </row>
    <row r="399" spans="1:8">
      <c r="A399" s="1">
        <v>398</v>
      </c>
      <c r="B399" s="1" t="s">
        <v>1263</v>
      </c>
      <c r="C399" s="1" t="s">
        <v>1329</v>
      </c>
      <c r="D399" s="1" t="s">
        <v>1265</v>
      </c>
      <c r="E399" s="1" t="s">
        <v>1330</v>
      </c>
      <c r="F399" s="1" t="s">
        <v>1331</v>
      </c>
      <c r="G399" s="1" t="s">
        <v>1332</v>
      </c>
      <c r="H399" s="1" t="s">
        <v>18</v>
      </c>
    </row>
    <row r="400" spans="1:8">
      <c r="A400" s="1">
        <v>399</v>
      </c>
      <c r="B400" s="1" t="s">
        <v>1263</v>
      </c>
      <c r="C400" s="1" t="s">
        <v>1333</v>
      </c>
      <c r="D400" s="1" t="s">
        <v>1265</v>
      </c>
      <c r="E400" s="1" t="s">
        <v>1334</v>
      </c>
      <c r="F400" s="1" t="s">
        <v>1335</v>
      </c>
      <c r="G400" s="1" t="s">
        <v>1336</v>
      </c>
      <c r="H400" s="1" t="s">
        <v>18</v>
      </c>
    </row>
    <row r="401" spans="1:8">
      <c r="A401" s="1">
        <v>400</v>
      </c>
      <c r="B401" s="1" t="s">
        <v>1263</v>
      </c>
      <c r="C401" s="1" t="s">
        <v>1337</v>
      </c>
      <c r="D401" s="1" t="s">
        <v>1265</v>
      </c>
      <c r="E401" s="1" t="s">
        <v>1338</v>
      </c>
      <c r="F401" s="1" t="s">
        <v>1339</v>
      </c>
      <c r="G401" s="1" t="s">
        <v>1340</v>
      </c>
      <c r="H401" s="1" t="s">
        <v>18</v>
      </c>
    </row>
    <row r="402" spans="1:8">
      <c r="A402" s="1">
        <v>401</v>
      </c>
      <c r="B402" s="1" t="s">
        <v>1263</v>
      </c>
      <c r="C402" s="1" t="s">
        <v>1341</v>
      </c>
      <c r="D402" s="1" t="s">
        <v>1265</v>
      </c>
      <c r="E402" s="1" t="s">
        <v>1342</v>
      </c>
      <c r="F402" s="1" t="s">
        <v>1343</v>
      </c>
      <c r="G402" s="1" t="s">
        <v>1344</v>
      </c>
      <c r="H402" s="1" t="s">
        <v>18</v>
      </c>
    </row>
    <row r="403" spans="1:8">
      <c r="A403" s="1">
        <v>402</v>
      </c>
      <c r="B403" s="1" t="s">
        <v>1263</v>
      </c>
      <c r="C403" s="1" t="s">
        <v>1345</v>
      </c>
      <c r="D403" s="1" t="s">
        <v>1265</v>
      </c>
      <c r="E403" s="1" t="s">
        <v>1346</v>
      </c>
      <c r="F403" s="1" t="s">
        <v>1347</v>
      </c>
      <c r="G403" s="1" t="s">
        <v>1348</v>
      </c>
      <c r="H403" s="1" t="s">
        <v>18</v>
      </c>
    </row>
    <row r="404" spans="1:8">
      <c r="A404" s="1">
        <v>403</v>
      </c>
      <c r="B404" s="1" t="s">
        <v>1263</v>
      </c>
      <c r="C404" s="1" t="s">
        <v>1349</v>
      </c>
      <c r="D404" s="1" t="s">
        <v>1265</v>
      </c>
      <c r="E404" s="1" t="s">
        <v>1350</v>
      </c>
      <c r="F404" s="1" t="s">
        <v>1351</v>
      </c>
      <c r="G404" s="1" t="s">
        <v>1352</v>
      </c>
      <c r="H404" s="1" t="s">
        <v>18</v>
      </c>
    </row>
    <row r="405" spans="1:8">
      <c r="A405" s="1">
        <v>404</v>
      </c>
      <c r="B405" s="1" t="s">
        <v>1263</v>
      </c>
      <c r="C405" s="1" t="s">
        <v>1353</v>
      </c>
      <c r="D405" s="1" t="s">
        <v>1265</v>
      </c>
      <c r="E405" s="1" t="s">
        <v>1354</v>
      </c>
      <c r="F405" s="1" t="s">
        <v>1355</v>
      </c>
      <c r="G405" s="1" t="s">
        <v>1356</v>
      </c>
      <c r="H405" s="1" t="s">
        <v>18</v>
      </c>
    </row>
    <row r="406" spans="1:8">
      <c r="A406" s="1">
        <v>405</v>
      </c>
      <c r="B406" s="1" t="s">
        <v>1263</v>
      </c>
      <c r="C406" s="1" t="s">
        <v>1357</v>
      </c>
      <c r="D406" s="1" t="s">
        <v>1265</v>
      </c>
      <c r="E406" s="1" t="s">
        <v>1358</v>
      </c>
      <c r="F406" s="1" t="s">
        <v>1359</v>
      </c>
      <c r="G406" s="1" t="s">
        <v>1360</v>
      </c>
      <c r="H406" s="1" t="s">
        <v>18</v>
      </c>
    </row>
    <row r="407" spans="1:8">
      <c r="A407" s="1">
        <v>406</v>
      </c>
      <c r="B407" s="1" t="s">
        <v>1361</v>
      </c>
      <c r="C407" s="1" t="s">
        <v>392</v>
      </c>
      <c r="D407" s="1" t="s">
        <v>1362</v>
      </c>
      <c r="E407" s="1" t="s">
        <v>1363</v>
      </c>
      <c r="F407" s="1" t="s">
        <v>1364</v>
      </c>
      <c r="G407" s="1" t="s">
        <v>1365</v>
      </c>
      <c r="H407" s="1" t="s">
        <v>18</v>
      </c>
    </row>
    <row r="408" spans="1:8">
      <c r="A408" s="1">
        <v>407</v>
      </c>
      <c r="B408" s="1" t="s">
        <v>1361</v>
      </c>
      <c r="C408" s="1" t="s">
        <v>397</v>
      </c>
      <c r="D408" s="1" t="s">
        <v>1362</v>
      </c>
      <c r="E408" s="1" t="s">
        <v>1366</v>
      </c>
      <c r="F408" s="1" t="s">
        <v>1367</v>
      </c>
      <c r="G408" s="1" t="s">
        <v>1368</v>
      </c>
      <c r="H408" s="1" t="s">
        <v>18</v>
      </c>
    </row>
    <row r="409" spans="1:8">
      <c r="A409" s="1">
        <v>408</v>
      </c>
      <c r="B409" s="1" t="s">
        <v>1361</v>
      </c>
      <c r="C409" s="1" t="s">
        <v>401</v>
      </c>
      <c r="D409" s="1" t="s">
        <v>1362</v>
      </c>
      <c r="E409" s="1" t="s">
        <v>1369</v>
      </c>
      <c r="F409" s="1" t="s">
        <v>1370</v>
      </c>
      <c r="G409" s="1" t="s">
        <v>1371</v>
      </c>
      <c r="H409" s="1" t="s">
        <v>18</v>
      </c>
    </row>
    <row r="410" spans="1:8">
      <c r="A410" s="1">
        <v>409</v>
      </c>
      <c r="B410" s="1" t="s">
        <v>1361</v>
      </c>
      <c r="C410" s="1" t="s">
        <v>405</v>
      </c>
      <c r="D410" s="1" t="s">
        <v>1362</v>
      </c>
      <c r="E410" s="1" t="s">
        <v>1372</v>
      </c>
      <c r="F410" s="1" t="s">
        <v>1373</v>
      </c>
      <c r="G410" s="1" t="s">
        <v>1374</v>
      </c>
      <c r="H410" s="1" t="s">
        <v>18</v>
      </c>
    </row>
    <row r="411" spans="1:8">
      <c r="A411" s="1">
        <v>410</v>
      </c>
      <c r="B411" s="1" t="s">
        <v>1361</v>
      </c>
      <c r="C411" s="1" t="s">
        <v>409</v>
      </c>
      <c r="D411" s="1" t="s">
        <v>1362</v>
      </c>
      <c r="E411" s="1" t="s">
        <v>1375</v>
      </c>
      <c r="F411" s="1" t="s">
        <v>1376</v>
      </c>
      <c r="G411" s="1" t="s">
        <v>1377</v>
      </c>
      <c r="H411" s="1" t="s">
        <v>18</v>
      </c>
    </row>
    <row r="412" spans="1:8">
      <c r="A412" s="1">
        <v>411</v>
      </c>
      <c r="B412" s="1" t="s">
        <v>1361</v>
      </c>
      <c r="C412" s="1" t="s">
        <v>413</v>
      </c>
      <c r="D412" s="1" t="s">
        <v>1362</v>
      </c>
      <c r="E412" s="1" t="s">
        <v>1378</v>
      </c>
      <c r="F412" s="1" t="s">
        <v>1379</v>
      </c>
      <c r="G412" s="1" t="s">
        <v>1380</v>
      </c>
      <c r="H412" s="1" t="s">
        <v>18</v>
      </c>
    </row>
    <row r="413" spans="1:8">
      <c r="A413" s="1">
        <v>412</v>
      </c>
      <c r="B413" s="1" t="s">
        <v>1361</v>
      </c>
      <c r="C413" s="1" t="s">
        <v>417</v>
      </c>
      <c r="D413" s="1" t="s">
        <v>1362</v>
      </c>
      <c r="E413" s="1" t="s">
        <v>1381</v>
      </c>
      <c r="F413" s="1" t="s">
        <v>1382</v>
      </c>
      <c r="G413" s="1" t="s">
        <v>1383</v>
      </c>
      <c r="H413" s="1" t="s">
        <v>18</v>
      </c>
    </row>
    <row r="414" spans="1:8">
      <c r="A414" s="1">
        <v>413</v>
      </c>
      <c r="B414" s="1" t="s">
        <v>1384</v>
      </c>
      <c r="C414" s="1" t="s">
        <v>392</v>
      </c>
      <c r="D414" s="1" t="s">
        <v>1385</v>
      </c>
      <c r="E414" s="1" t="s">
        <v>1386</v>
      </c>
      <c r="F414" s="1" t="s">
        <v>1387</v>
      </c>
      <c r="G414" s="1" t="s">
        <v>1388</v>
      </c>
      <c r="H414" s="1" t="s">
        <v>18</v>
      </c>
    </row>
    <row r="415" spans="1:8">
      <c r="A415" s="1">
        <v>414</v>
      </c>
      <c r="B415" s="1" t="s">
        <v>1384</v>
      </c>
      <c r="C415" s="1" t="s">
        <v>397</v>
      </c>
      <c r="D415" s="1" t="s">
        <v>1385</v>
      </c>
      <c r="E415" s="1" t="s">
        <v>1389</v>
      </c>
      <c r="F415" s="1" t="s">
        <v>1390</v>
      </c>
      <c r="G415" s="1" t="s">
        <v>1391</v>
      </c>
      <c r="H415" s="1" t="s">
        <v>18</v>
      </c>
    </row>
    <row r="416" spans="1:8">
      <c r="A416" s="1">
        <v>415</v>
      </c>
      <c r="B416" s="1" t="s">
        <v>1384</v>
      </c>
      <c r="C416" s="1" t="s">
        <v>401</v>
      </c>
      <c r="D416" s="1" t="s">
        <v>1385</v>
      </c>
      <c r="E416" s="1" t="s">
        <v>1392</v>
      </c>
      <c r="F416" s="1" t="s">
        <v>1393</v>
      </c>
      <c r="G416" s="1" t="s">
        <v>1394</v>
      </c>
      <c r="H416" s="1" t="s">
        <v>18</v>
      </c>
    </row>
    <row r="417" spans="1:8">
      <c r="A417" s="1">
        <v>416</v>
      </c>
      <c r="B417" s="1" t="s">
        <v>1384</v>
      </c>
      <c r="C417" s="1" t="s">
        <v>405</v>
      </c>
      <c r="D417" s="1" t="s">
        <v>1385</v>
      </c>
      <c r="E417" s="1" t="s">
        <v>1395</v>
      </c>
      <c r="F417" s="1" t="s">
        <v>1396</v>
      </c>
      <c r="G417" s="1" t="s">
        <v>1397</v>
      </c>
      <c r="H417" s="1" t="s">
        <v>18</v>
      </c>
    </row>
    <row r="418" spans="1:8">
      <c r="A418" s="1">
        <v>417</v>
      </c>
      <c r="B418" s="1" t="s">
        <v>1384</v>
      </c>
      <c r="C418" s="1" t="s">
        <v>409</v>
      </c>
      <c r="D418" s="1" t="s">
        <v>1385</v>
      </c>
      <c r="E418" s="1" t="s">
        <v>1398</v>
      </c>
      <c r="F418" s="1" t="s">
        <v>1399</v>
      </c>
      <c r="G418" s="1" t="s">
        <v>1400</v>
      </c>
      <c r="H418" s="1" t="s">
        <v>18</v>
      </c>
    </row>
    <row r="419" spans="1:8">
      <c r="A419" s="1">
        <v>418</v>
      </c>
      <c r="B419" s="1" t="s">
        <v>1384</v>
      </c>
      <c r="C419" s="1" t="s">
        <v>413</v>
      </c>
      <c r="D419" s="1" t="s">
        <v>1385</v>
      </c>
      <c r="E419" s="1" t="s">
        <v>1401</v>
      </c>
      <c r="F419" s="1" t="s">
        <v>1402</v>
      </c>
      <c r="G419" s="1" t="s">
        <v>1403</v>
      </c>
      <c r="H419" s="1" t="s">
        <v>18</v>
      </c>
    </row>
    <row r="420" spans="1:8">
      <c r="A420" s="1">
        <v>419</v>
      </c>
      <c r="B420" s="1" t="s">
        <v>1384</v>
      </c>
      <c r="C420" s="1" t="s">
        <v>417</v>
      </c>
      <c r="D420" s="1" t="s">
        <v>1385</v>
      </c>
      <c r="E420" s="1" t="s">
        <v>1404</v>
      </c>
      <c r="F420" s="1" t="s">
        <v>1405</v>
      </c>
      <c r="G420" s="1" t="s">
        <v>1406</v>
      </c>
      <c r="H420" s="1" t="s">
        <v>18</v>
      </c>
    </row>
    <row r="421" spans="1:8">
      <c r="A421" s="1">
        <v>420</v>
      </c>
      <c r="B421" s="1" t="s">
        <v>1407</v>
      </c>
      <c r="C421" s="1" t="s">
        <v>392</v>
      </c>
      <c r="D421" s="1" t="s">
        <v>1408</v>
      </c>
      <c r="E421" s="1" t="s">
        <v>1409</v>
      </c>
      <c r="F421" s="1" t="s">
        <v>1410</v>
      </c>
      <c r="G421" s="1" t="s">
        <v>1411</v>
      </c>
      <c r="H421" s="1" t="s">
        <v>18</v>
      </c>
    </row>
    <row r="422" spans="1:8">
      <c r="A422" s="1">
        <v>421</v>
      </c>
      <c r="B422" s="1" t="s">
        <v>1407</v>
      </c>
      <c r="C422" s="1" t="s">
        <v>397</v>
      </c>
      <c r="D422" s="1" t="s">
        <v>1408</v>
      </c>
      <c r="E422" s="1" t="s">
        <v>1412</v>
      </c>
      <c r="F422" s="1" t="s">
        <v>1413</v>
      </c>
      <c r="G422" s="1" t="s">
        <v>1414</v>
      </c>
      <c r="H422" s="1" t="s">
        <v>18</v>
      </c>
    </row>
    <row r="423" spans="1:8">
      <c r="A423" s="1">
        <v>422</v>
      </c>
      <c r="B423" s="1" t="s">
        <v>1407</v>
      </c>
      <c r="C423" s="1" t="s">
        <v>401</v>
      </c>
      <c r="D423" s="1" t="s">
        <v>1408</v>
      </c>
      <c r="E423" s="1" t="s">
        <v>1415</v>
      </c>
      <c r="F423" s="1" t="s">
        <v>1416</v>
      </c>
      <c r="G423" s="1" t="s">
        <v>1417</v>
      </c>
      <c r="H423" s="1" t="s">
        <v>18</v>
      </c>
    </row>
    <row r="424" spans="1:8">
      <c r="A424" s="1">
        <v>423</v>
      </c>
      <c r="B424" s="1" t="s">
        <v>1407</v>
      </c>
      <c r="C424" s="1" t="s">
        <v>405</v>
      </c>
      <c r="D424" s="1" t="s">
        <v>1408</v>
      </c>
      <c r="E424" s="1" t="s">
        <v>1418</v>
      </c>
      <c r="F424" s="1" t="s">
        <v>1419</v>
      </c>
      <c r="G424" s="1" t="s">
        <v>1420</v>
      </c>
      <c r="H424" s="1" t="s">
        <v>18</v>
      </c>
    </row>
    <row r="425" spans="1:8">
      <c r="A425" s="1">
        <v>424</v>
      </c>
      <c r="B425" s="1" t="s">
        <v>1407</v>
      </c>
      <c r="C425" s="1" t="s">
        <v>409</v>
      </c>
      <c r="D425" s="1" t="s">
        <v>1408</v>
      </c>
      <c r="E425" s="1" t="s">
        <v>1421</v>
      </c>
      <c r="F425" s="1" t="s">
        <v>1422</v>
      </c>
      <c r="G425" s="1" t="s">
        <v>1423</v>
      </c>
      <c r="H425" s="1" t="s">
        <v>18</v>
      </c>
    </row>
    <row r="426" spans="1:8">
      <c r="A426" s="1">
        <v>425</v>
      </c>
      <c r="B426" s="1" t="s">
        <v>1407</v>
      </c>
      <c r="C426" s="1" t="s">
        <v>413</v>
      </c>
      <c r="D426" s="1" t="s">
        <v>1408</v>
      </c>
      <c r="E426" s="1" t="s">
        <v>1424</v>
      </c>
      <c r="F426" s="1" t="s">
        <v>1425</v>
      </c>
      <c r="G426" s="1" t="s">
        <v>1426</v>
      </c>
      <c r="H426" s="1" t="s">
        <v>18</v>
      </c>
    </row>
    <row r="427" spans="1:8">
      <c r="A427" s="1">
        <v>426</v>
      </c>
      <c r="B427" s="1" t="s">
        <v>1407</v>
      </c>
      <c r="C427" s="1" t="s">
        <v>417</v>
      </c>
      <c r="D427" s="1" t="s">
        <v>1408</v>
      </c>
      <c r="E427" s="1" t="s">
        <v>1427</v>
      </c>
      <c r="F427" s="1" t="s">
        <v>1428</v>
      </c>
      <c r="G427" s="1" t="s">
        <v>1429</v>
      </c>
      <c r="H427" s="1" t="s">
        <v>18</v>
      </c>
    </row>
    <row r="428" spans="1:8">
      <c r="A428" s="1">
        <v>427</v>
      </c>
      <c r="B428" s="1" t="s">
        <v>1430</v>
      </c>
      <c r="C428" s="1" t="s">
        <v>155</v>
      </c>
      <c r="D428" s="1" t="s">
        <v>1431</v>
      </c>
      <c r="E428" s="1" t="s">
        <v>1432</v>
      </c>
      <c r="F428" s="1" t="s">
        <v>1425</v>
      </c>
      <c r="G428" s="1" t="s">
        <v>1426</v>
      </c>
      <c r="H428" s="1" t="s">
        <v>18</v>
      </c>
    </row>
    <row r="429" spans="1:8">
      <c r="A429" s="1">
        <v>428</v>
      </c>
      <c r="B429" s="1" t="s">
        <v>1430</v>
      </c>
      <c r="C429" s="1" t="s">
        <v>160</v>
      </c>
      <c r="D429" s="1" t="s">
        <v>1431</v>
      </c>
      <c r="E429" s="1" t="s">
        <v>1433</v>
      </c>
      <c r="F429" s="1" t="s">
        <v>1428</v>
      </c>
      <c r="G429" s="1" t="s">
        <v>1429</v>
      </c>
      <c r="H429" s="1" t="s">
        <v>18</v>
      </c>
    </row>
    <row r="430" spans="1:8">
      <c r="A430" s="1">
        <v>429</v>
      </c>
      <c r="B430" s="1" t="s">
        <v>1430</v>
      </c>
      <c r="C430" s="1" t="s">
        <v>164</v>
      </c>
      <c r="D430" s="1" t="s">
        <v>1431</v>
      </c>
      <c r="E430" s="1" t="s">
        <v>1434</v>
      </c>
      <c r="F430" s="1" t="s">
        <v>1416</v>
      </c>
      <c r="G430" s="1" t="s">
        <v>1417</v>
      </c>
      <c r="H430" s="1" t="s">
        <v>18</v>
      </c>
    </row>
    <row r="431" spans="1:8">
      <c r="A431" s="1">
        <v>430</v>
      </c>
      <c r="B431" s="1" t="s">
        <v>1430</v>
      </c>
      <c r="C431" s="1" t="s">
        <v>168</v>
      </c>
      <c r="D431" s="1" t="s">
        <v>1431</v>
      </c>
      <c r="E431" s="1" t="s">
        <v>1435</v>
      </c>
      <c r="F431" s="1" t="s">
        <v>1413</v>
      </c>
      <c r="G431" s="1" t="s">
        <v>1414</v>
      </c>
      <c r="H431" s="1" t="s">
        <v>18</v>
      </c>
    </row>
    <row r="432" spans="1:8">
      <c r="A432" s="1">
        <v>431</v>
      </c>
      <c r="B432" s="1" t="s">
        <v>1430</v>
      </c>
      <c r="C432" s="1" t="s">
        <v>172</v>
      </c>
      <c r="D432" s="1" t="s">
        <v>1431</v>
      </c>
      <c r="E432" s="1" t="s">
        <v>1436</v>
      </c>
      <c r="F432" s="1" t="s">
        <v>1419</v>
      </c>
      <c r="G432" s="1" t="s">
        <v>1420</v>
      </c>
      <c r="H432" s="1" t="s">
        <v>18</v>
      </c>
    </row>
    <row r="433" spans="1:8">
      <c r="A433" s="1">
        <v>432</v>
      </c>
      <c r="B433" s="1" t="s">
        <v>1430</v>
      </c>
      <c r="C433" s="1" t="s">
        <v>176</v>
      </c>
      <c r="D433" s="1" t="s">
        <v>1431</v>
      </c>
      <c r="E433" s="1" t="s">
        <v>1437</v>
      </c>
      <c r="F433" s="1" t="s">
        <v>1422</v>
      </c>
      <c r="G433" s="1" t="s">
        <v>1423</v>
      </c>
      <c r="H433" s="1" t="s">
        <v>18</v>
      </c>
    </row>
    <row r="434" spans="1:8">
      <c r="A434" s="1">
        <v>433</v>
      </c>
      <c r="B434" s="1" t="s">
        <v>1430</v>
      </c>
      <c r="C434" s="1" t="s">
        <v>180</v>
      </c>
      <c r="D434" s="1" t="s">
        <v>1431</v>
      </c>
      <c r="E434" s="1" t="s">
        <v>1438</v>
      </c>
      <c r="F434" s="1" t="s">
        <v>1439</v>
      </c>
      <c r="G434" s="1" t="s">
        <v>1440</v>
      </c>
      <c r="H434" s="1" t="s">
        <v>18</v>
      </c>
    </row>
    <row r="435" spans="1:8">
      <c r="A435" s="1">
        <v>434</v>
      </c>
      <c r="B435" s="1" t="s">
        <v>1430</v>
      </c>
      <c r="C435" s="1" t="s">
        <v>184</v>
      </c>
      <c r="D435" s="1" t="s">
        <v>1431</v>
      </c>
      <c r="E435" s="1" t="s">
        <v>1441</v>
      </c>
      <c r="F435" s="1" t="s">
        <v>1442</v>
      </c>
      <c r="G435" s="1" t="s">
        <v>1443</v>
      </c>
      <c r="H435" s="1" t="s">
        <v>18</v>
      </c>
    </row>
    <row r="436" spans="1:8">
      <c r="A436" s="1">
        <v>435</v>
      </c>
      <c r="B436" s="1" t="s">
        <v>1430</v>
      </c>
      <c r="C436" s="1" t="s">
        <v>188</v>
      </c>
      <c r="D436" s="1" t="s">
        <v>1431</v>
      </c>
      <c r="E436" s="1" t="s">
        <v>1444</v>
      </c>
      <c r="F436" s="1" t="s">
        <v>1445</v>
      </c>
      <c r="G436" s="1" t="s">
        <v>1446</v>
      </c>
      <c r="H436" s="1" t="s">
        <v>18</v>
      </c>
    </row>
    <row r="437" spans="1:8">
      <c r="A437" s="1">
        <v>436</v>
      </c>
      <c r="B437" s="1" t="s">
        <v>1430</v>
      </c>
      <c r="C437" s="1" t="s">
        <v>192</v>
      </c>
      <c r="D437" s="1" t="s">
        <v>1431</v>
      </c>
      <c r="E437" s="1" t="s">
        <v>1447</v>
      </c>
      <c r="F437" s="1" t="s">
        <v>1448</v>
      </c>
      <c r="G437" s="1" t="s">
        <v>1449</v>
      </c>
      <c r="H437" s="1" t="s">
        <v>18</v>
      </c>
    </row>
    <row r="438" spans="1:8">
      <c r="A438" s="1">
        <v>437</v>
      </c>
      <c r="B438" s="1" t="s">
        <v>1430</v>
      </c>
      <c r="C438" s="1" t="s">
        <v>196</v>
      </c>
      <c r="D438" s="1" t="s">
        <v>1431</v>
      </c>
      <c r="E438" s="1" t="s">
        <v>1450</v>
      </c>
      <c r="F438" s="1" t="s">
        <v>1451</v>
      </c>
      <c r="G438" s="1" t="s">
        <v>1452</v>
      </c>
      <c r="H438" s="1" t="s">
        <v>18</v>
      </c>
    </row>
    <row r="439" spans="1:8">
      <c r="A439" s="1">
        <v>438</v>
      </c>
      <c r="B439" s="1" t="s">
        <v>1453</v>
      </c>
      <c r="C439" s="1" t="s">
        <v>155</v>
      </c>
      <c r="D439" s="1" t="s">
        <v>1454</v>
      </c>
      <c r="E439" s="1" t="s">
        <v>1455</v>
      </c>
      <c r="F439" s="1" t="s">
        <v>1416</v>
      </c>
      <c r="G439" s="1" t="s">
        <v>1417</v>
      </c>
      <c r="H439" s="1" t="s">
        <v>18</v>
      </c>
    </row>
    <row r="440" spans="1:8">
      <c r="A440" s="1">
        <v>439</v>
      </c>
      <c r="B440" s="1" t="s">
        <v>1453</v>
      </c>
      <c r="C440" s="1" t="s">
        <v>160</v>
      </c>
      <c r="D440" s="1" t="s">
        <v>1454</v>
      </c>
      <c r="E440" s="1" t="s">
        <v>1456</v>
      </c>
      <c r="F440" s="1" t="s">
        <v>1413</v>
      </c>
      <c r="G440" s="1" t="s">
        <v>1414</v>
      </c>
      <c r="H440" s="1" t="s">
        <v>18</v>
      </c>
    </row>
    <row r="441" spans="1:8">
      <c r="A441" s="1">
        <v>440</v>
      </c>
      <c r="B441" s="1" t="s">
        <v>1453</v>
      </c>
      <c r="C441" s="1" t="s">
        <v>164</v>
      </c>
      <c r="D441" s="1" t="s">
        <v>1454</v>
      </c>
      <c r="E441" s="1" t="s">
        <v>1457</v>
      </c>
      <c r="F441" s="1" t="s">
        <v>1425</v>
      </c>
      <c r="G441" s="1" t="s">
        <v>1426</v>
      </c>
      <c r="H441" s="1" t="s">
        <v>18</v>
      </c>
    </row>
    <row r="442" spans="1:8">
      <c r="A442" s="1">
        <v>441</v>
      </c>
      <c r="B442" s="1" t="s">
        <v>1453</v>
      </c>
      <c r="C442" s="1" t="s">
        <v>168</v>
      </c>
      <c r="D442" s="1" t="s">
        <v>1454</v>
      </c>
      <c r="E442" s="1" t="s">
        <v>1458</v>
      </c>
      <c r="F442" s="1" t="s">
        <v>1419</v>
      </c>
      <c r="G442" s="1" t="s">
        <v>1420</v>
      </c>
      <c r="H442" s="1" t="s">
        <v>18</v>
      </c>
    </row>
    <row r="443" spans="1:8">
      <c r="A443" s="1">
        <v>442</v>
      </c>
      <c r="B443" s="1" t="s">
        <v>1453</v>
      </c>
      <c r="C443" s="1" t="s">
        <v>172</v>
      </c>
      <c r="D443" s="1" t="s">
        <v>1454</v>
      </c>
      <c r="E443" s="1" t="s">
        <v>1459</v>
      </c>
      <c r="F443" s="1" t="s">
        <v>1422</v>
      </c>
      <c r="G443" s="1" t="s">
        <v>1423</v>
      </c>
      <c r="H443" s="1" t="s">
        <v>18</v>
      </c>
    </row>
    <row r="444" spans="1:8">
      <c r="A444" s="1">
        <v>443</v>
      </c>
      <c r="B444" s="1" t="s">
        <v>1453</v>
      </c>
      <c r="C444" s="1" t="s">
        <v>176</v>
      </c>
      <c r="D444" s="1" t="s">
        <v>1454</v>
      </c>
      <c r="E444" s="1" t="s">
        <v>1460</v>
      </c>
      <c r="F444" s="1" t="s">
        <v>1428</v>
      </c>
      <c r="G444" s="1" t="s">
        <v>1429</v>
      </c>
      <c r="H444" s="1" t="s">
        <v>18</v>
      </c>
    </row>
    <row r="445" spans="1:8">
      <c r="A445" s="1">
        <v>444</v>
      </c>
      <c r="B445" s="1" t="s">
        <v>1453</v>
      </c>
      <c r="C445" s="1" t="s">
        <v>180</v>
      </c>
      <c r="D445" s="1" t="s">
        <v>1454</v>
      </c>
      <c r="E445" s="1" t="s">
        <v>1461</v>
      </c>
      <c r="F445" s="1" t="s">
        <v>1439</v>
      </c>
      <c r="G445" s="1" t="s">
        <v>1440</v>
      </c>
      <c r="H445" s="1" t="s">
        <v>18</v>
      </c>
    </row>
    <row r="446" spans="1:8">
      <c r="A446" s="1">
        <v>445</v>
      </c>
      <c r="B446" s="1" t="s">
        <v>1453</v>
      </c>
      <c r="C446" s="1" t="s">
        <v>184</v>
      </c>
      <c r="D446" s="1" t="s">
        <v>1454</v>
      </c>
      <c r="E446" s="1" t="s">
        <v>1462</v>
      </c>
      <c r="F446" s="1" t="s">
        <v>1442</v>
      </c>
      <c r="G446" s="1" t="s">
        <v>1443</v>
      </c>
      <c r="H446" s="1" t="s">
        <v>18</v>
      </c>
    </row>
    <row r="447" spans="1:8">
      <c r="A447" s="1">
        <v>446</v>
      </c>
      <c r="B447" s="1" t="s">
        <v>1453</v>
      </c>
      <c r="C447" s="1" t="s">
        <v>188</v>
      </c>
      <c r="D447" s="1" t="s">
        <v>1454</v>
      </c>
      <c r="E447" s="1" t="s">
        <v>1463</v>
      </c>
      <c r="F447" s="1" t="s">
        <v>1445</v>
      </c>
      <c r="G447" s="1" t="s">
        <v>1446</v>
      </c>
      <c r="H447" s="1" t="s">
        <v>18</v>
      </c>
    </row>
    <row r="448" spans="1:8">
      <c r="A448" s="1">
        <v>447</v>
      </c>
      <c r="B448" s="1" t="s">
        <v>1453</v>
      </c>
      <c r="C448" s="1" t="s">
        <v>192</v>
      </c>
      <c r="D448" s="1" t="s">
        <v>1454</v>
      </c>
      <c r="E448" s="1" t="s">
        <v>1464</v>
      </c>
      <c r="F448" s="1" t="s">
        <v>1448</v>
      </c>
      <c r="G448" s="1" t="s">
        <v>1449</v>
      </c>
      <c r="H448" s="1" t="s">
        <v>18</v>
      </c>
    </row>
    <row r="449" spans="1:8">
      <c r="A449" s="1">
        <v>448</v>
      </c>
      <c r="B449" s="1" t="s">
        <v>1453</v>
      </c>
      <c r="C449" s="1" t="s">
        <v>196</v>
      </c>
      <c r="D449" s="1" t="s">
        <v>1454</v>
      </c>
      <c r="E449" s="1" t="s">
        <v>1465</v>
      </c>
      <c r="F449" s="1" t="s">
        <v>1451</v>
      </c>
      <c r="G449" s="1" t="s">
        <v>1452</v>
      </c>
      <c r="H449" s="1" t="s">
        <v>18</v>
      </c>
    </row>
    <row r="450" spans="1:8">
      <c r="A450" s="1">
        <v>449</v>
      </c>
      <c r="B450" s="1" t="s">
        <v>1466</v>
      </c>
      <c r="C450" s="1" t="s">
        <v>155</v>
      </c>
      <c r="D450" s="1" t="s">
        <v>1467</v>
      </c>
      <c r="E450" s="1" t="s">
        <v>1468</v>
      </c>
      <c r="F450" s="1" t="s">
        <v>1416</v>
      </c>
      <c r="G450" s="1" t="s">
        <v>1417</v>
      </c>
      <c r="H450" s="1" t="s">
        <v>18</v>
      </c>
    </row>
    <row r="451" spans="1:8">
      <c r="A451" s="1">
        <v>450</v>
      </c>
      <c r="B451" s="1" t="s">
        <v>1466</v>
      </c>
      <c r="C451" s="1" t="s">
        <v>160</v>
      </c>
      <c r="D451" s="1" t="s">
        <v>1467</v>
      </c>
      <c r="E451" s="1" t="s">
        <v>1469</v>
      </c>
      <c r="F451" s="1" t="s">
        <v>1413</v>
      </c>
      <c r="G451" s="1" t="s">
        <v>1414</v>
      </c>
      <c r="H451" s="1" t="s">
        <v>18</v>
      </c>
    </row>
    <row r="452" spans="1:8">
      <c r="A452" s="1">
        <v>451</v>
      </c>
      <c r="B452" s="1" t="s">
        <v>1466</v>
      </c>
      <c r="C452" s="1" t="s">
        <v>164</v>
      </c>
      <c r="D452" s="1" t="s">
        <v>1467</v>
      </c>
      <c r="E452" s="1" t="s">
        <v>1470</v>
      </c>
      <c r="F452" s="1" t="s">
        <v>1425</v>
      </c>
      <c r="G452" s="1" t="s">
        <v>1426</v>
      </c>
      <c r="H452" s="1" t="s">
        <v>18</v>
      </c>
    </row>
    <row r="453" spans="1:8">
      <c r="A453" s="1">
        <v>452</v>
      </c>
      <c r="B453" s="1" t="s">
        <v>1466</v>
      </c>
      <c r="C453" s="1" t="s">
        <v>168</v>
      </c>
      <c r="D453" s="1" t="s">
        <v>1467</v>
      </c>
      <c r="E453" s="1" t="s">
        <v>1471</v>
      </c>
      <c r="F453" s="1" t="s">
        <v>1419</v>
      </c>
      <c r="G453" s="1" t="s">
        <v>1420</v>
      </c>
      <c r="H453" s="1" t="s">
        <v>18</v>
      </c>
    </row>
    <row r="454" spans="1:8">
      <c r="A454" s="1">
        <v>453</v>
      </c>
      <c r="B454" s="1" t="s">
        <v>1466</v>
      </c>
      <c r="C454" s="1" t="s">
        <v>172</v>
      </c>
      <c r="D454" s="1" t="s">
        <v>1467</v>
      </c>
      <c r="E454" s="1" t="s">
        <v>1472</v>
      </c>
      <c r="F454" s="1" t="s">
        <v>1422</v>
      </c>
      <c r="G454" s="1" t="s">
        <v>1423</v>
      </c>
      <c r="H454" s="1" t="s">
        <v>18</v>
      </c>
    </row>
    <row r="455" spans="1:8">
      <c r="A455" s="1">
        <v>454</v>
      </c>
      <c r="B455" s="1" t="s">
        <v>1466</v>
      </c>
      <c r="C455" s="1" t="s">
        <v>176</v>
      </c>
      <c r="D455" s="1" t="s">
        <v>1467</v>
      </c>
      <c r="E455" s="1" t="s">
        <v>1473</v>
      </c>
      <c r="F455" s="1" t="s">
        <v>1428</v>
      </c>
      <c r="G455" s="1" t="s">
        <v>1429</v>
      </c>
      <c r="H455" s="1" t="s">
        <v>18</v>
      </c>
    </row>
    <row r="456" spans="1:8">
      <c r="A456" s="1">
        <v>455</v>
      </c>
      <c r="B456" s="1" t="s">
        <v>1466</v>
      </c>
      <c r="C456" s="1" t="s">
        <v>180</v>
      </c>
      <c r="D456" s="1" t="s">
        <v>1467</v>
      </c>
      <c r="E456" s="1" t="s">
        <v>1474</v>
      </c>
      <c r="F456" s="1" t="s">
        <v>1439</v>
      </c>
      <c r="G456" s="1" t="s">
        <v>1440</v>
      </c>
      <c r="H456" s="1" t="s">
        <v>18</v>
      </c>
    </row>
    <row r="457" spans="1:8">
      <c r="A457" s="1">
        <v>456</v>
      </c>
      <c r="B457" s="1" t="s">
        <v>1466</v>
      </c>
      <c r="C457" s="1" t="s">
        <v>184</v>
      </c>
      <c r="D457" s="1" t="s">
        <v>1467</v>
      </c>
      <c r="E457" s="1" t="s">
        <v>1475</v>
      </c>
      <c r="F457" s="1" t="s">
        <v>1442</v>
      </c>
      <c r="G457" s="1" t="s">
        <v>1443</v>
      </c>
      <c r="H457" s="1" t="s">
        <v>18</v>
      </c>
    </row>
    <row r="458" spans="1:8">
      <c r="A458" s="1">
        <v>457</v>
      </c>
      <c r="B458" s="1" t="s">
        <v>1466</v>
      </c>
      <c r="C458" s="1" t="s">
        <v>188</v>
      </c>
      <c r="D458" s="1" t="s">
        <v>1467</v>
      </c>
      <c r="E458" s="1" t="s">
        <v>1476</v>
      </c>
      <c r="F458" s="1" t="s">
        <v>1445</v>
      </c>
      <c r="G458" s="1" t="s">
        <v>1446</v>
      </c>
      <c r="H458" s="1" t="s">
        <v>18</v>
      </c>
    </row>
    <row r="459" spans="1:8">
      <c r="A459" s="1">
        <v>458</v>
      </c>
      <c r="B459" s="1" t="s">
        <v>1466</v>
      </c>
      <c r="C459" s="1" t="s">
        <v>192</v>
      </c>
      <c r="D459" s="1" t="s">
        <v>1467</v>
      </c>
      <c r="E459" s="1" t="s">
        <v>1477</v>
      </c>
      <c r="F459" s="1" t="s">
        <v>1448</v>
      </c>
      <c r="G459" s="1" t="s">
        <v>1449</v>
      </c>
      <c r="H459" s="1" t="s">
        <v>18</v>
      </c>
    </row>
    <row r="460" spans="1:8">
      <c r="A460" s="1">
        <v>459</v>
      </c>
      <c r="B460" s="1" t="s">
        <v>1466</v>
      </c>
      <c r="C460" s="1" t="s">
        <v>196</v>
      </c>
      <c r="D460" s="1" t="s">
        <v>1467</v>
      </c>
      <c r="E460" s="1" t="s">
        <v>1478</v>
      </c>
      <c r="F460" s="1" t="s">
        <v>1451</v>
      </c>
      <c r="G460" s="1" t="s">
        <v>1452</v>
      </c>
      <c r="H460" s="1" t="s">
        <v>18</v>
      </c>
    </row>
    <row r="461" spans="1:8">
      <c r="A461" s="1">
        <v>460</v>
      </c>
      <c r="B461" s="1" t="s">
        <v>1479</v>
      </c>
      <c r="C461" s="1" t="s">
        <v>1480</v>
      </c>
      <c r="D461" s="1" t="s">
        <v>1481</v>
      </c>
      <c r="E461" s="1" t="s">
        <v>1482</v>
      </c>
      <c r="F461" s="1" t="s">
        <v>1483</v>
      </c>
      <c r="G461" s="1" t="s">
        <v>1484</v>
      </c>
      <c r="H461" s="1" t="s">
        <v>18</v>
      </c>
    </row>
    <row r="462" spans="1:8">
      <c r="A462" s="1">
        <v>461</v>
      </c>
      <c r="B462" s="1" t="s">
        <v>1479</v>
      </c>
      <c r="C462" s="1" t="s">
        <v>1485</v>
      </c>
      <c r="D462" s="1" t="s">
        <v>1481</v>
      </c>
      <c r="E462" s="1" t="s">
        <v>1486</v>
      </c>
      <c r="F462" s="1" t="s">
        <v>1487</v>
      </c>
      <c r="G462" s="1" t="s">
        <v>1488</v>
      </c>
      <c r="H462" s="1" t="s">
        <v>18</v>
      </c>
    </row>
    <row r="463" spans="1:8">
      <c r="A463" s="1">
        <v>462</v>
      </c>
      <c r="B463" s="1" t="s">
        <v>1479</v>
      </c>
      <c r="C463" s="1" t="s">
        <v>1489</v>
      </c>
      <c r="D463" s="1" t="s">
        <v>1481</v>
      </c>
      <c r="E463" s="1" t="s">
        <v>1490</v>
      </c>
      <c r="F463" s="1" t="s">
        <v>1491</v>
      </c>
      <c r="G463" s="1" t="s">
        <v>1492</v>
      </c>
      <c r="H463" s="1" t="s">
        <v>18</v>
      </c>
    </row>
    <row r="464" spans="1:8">
      <c r="A464" s="1">
        <v>463</v>
      </c>
      <c r="B464" s="1" t="s">
        <v>1479</v>
      </c>
      <c r="C464" s="1" t="s">
        <v>1493</v>
      </c>
      <c r="D464" s="1" t="s">
        <v>1481</v>
      </c>
      <c r="E464" s="1" t="s">
        <v>1494</v>
      </c>
      <c r="F464" s="1" t="s">
        <v>1495</v>
      </c>
      <c r="G464" s="1" t="s">
        <v>1496</v>
      </c>
      <c r="H464" s="1" t="s">
        <v>18</v>
      </c>
    </row>
    <row r="465" spans="1:8">
      <c r="A465" s="1">
        <v>464</v>
      </c>
      <c r="B465" s="1" t="s">
        <v>1479</v>
      </c>
      <c r="C465" s="1" t="s">
        <v>1497</v>
      </c>
      <c r="D465" s="1" t="s">
        <v>1481</v>
      </c>
      <c r="E465" s="1" t="s">
        <v>1498</v>
      </c>
      <c r="F465" s="1" t="s">
        <v>1499</v>
      </c>
      <c r="G465" s="1" t="s">
        <v>1500</v>
      </c>
      <c r="H465" s="1" t="s">
        <v>18</v>
      </c>
    </row>
    <row r="466" spans="1:8">
      <c r="A466" s="1">
        <v>465</v>
      </c>
      <c r="B466" s="1" t="s">
        <v>1479</v>
      </c>
      <c r="C466" s="1" t="s">
        <v>1501</v>
      </c>
      <c r="D466" s="1" t="s">
        <v>1481</v>
      </c>
      <c r="E466" s="1" t="s">
        <v>1502</v>
      </c>
      <c r="F466" s="1" t="s">
        <v>1503</v>
      </c>
      <c r="G466" s="1" t="s">
        <v>1504</v>
      </c>
      <c r="H466" s="1" t="s">
        <v>18</v>
      </c>
    </row>
    <row r="467" spans="1:8">
      <c r="A467" s="1">
        <v>466</v>
      </c>
      <c r="B467" s="1" t="s">
        <v>1479</v>
      </c>
      <c r="C467" s="1" t="s">
        <v>1505</v>
      </c>
      <c r="D467" s="1" t="s">
        <v>1481</v>
      </c>
      <c r="E467" s="1" t="s">
        <v>1506</v>
      </c>
      <c r="F467" s="1" t="s">
        <v>1507</v>
      </c>
      <c r="G467" s="1" t="s">
        <v>1508</v>
      </c>
      <c r="H467" s="1" t="s">
        <v>18</v>
      </c>
    </row>
    <row r="468" spans="1:8">
      <c r="A468" s="1">
        <v>467</v>
      </c>
      <c r="B468" s="1" t="s">
        <v>1479</v>
      </c>
      <c r="C468" s="1" t="s">
        <v>1509</v>
      </c>
      <c r="D468" s="1" t="s">
        <v>1481</v>
      </c>
      <c r="E468" s="1" t="s">
        <v>1510</v>
      </c>
      <c r="F468" s="1" t="s">
        <v>1511</v>
      </c>
      <c r="G468" s="1" t="s">
        <v>1512</v>
      </c>
      <c r="H468" s="1" t="s">
        <v>18</v>
      </c>
    </row>
    <row r="469" spans="1:8">
      <c r="A469" s="1">
        <v>468</v>
      </c>
      <c r="B469" s="1" t="s">
        <v>1479</v>
      </c>
      <c r="C469" s="1" t="s">
        <v>1513</v>
      </c>
      <c r="D469" s="1" t="s">
        <v>1481</v>
      </c>
      <c r="E469" s="1" t="s">
        <v>1514</v>
      </c>
      <c r="F469" s="1" t="s">
        <v>1515</v>
      </c>
      <c r="G469" s="1" t="s">
        <v>1516</v>
      </c>
      <c r="H469" s="1" t="s">
        <v>18</v>
      </c>
    </row>
    <row r="470" spans="1:8">
      <c r="A470" s="1">
        <v>469</v>
      </c>
      <c r="B470" s="1" t="s">
        <v>1479</v>
      </c>
      <c r="C470" s="1" t="s">
        <v>1517</v>
      </c>
      <c r="D470" s="1" t="s">
        <v>1481</v>
      </c>
      <c r="E470" s="1" t="s">
        <v>1518</v>
      </c>
      <c r="F470" s="1" t="s">
        <v>1519</v>
      </c>
      <c r="G470" s="1" t="s">
        <v>1520</v>
      </c>
      <c r="H470" s="1" t="s">
        <v>18</v>
      </c>
    </row>
    <row r="471" spans="1:8">
      <c r="A471" s="1">
        <v>470</v>
      </c>
      <c r="B471" s="1" t="s">
        <v>1479</v>
      </c>
      <c r="C471" s="1" t="s">
        <v>1521</v>
      </c>
      <c r="D471" s="1" t="s">
        <v>1481</v>
      </c>
      <c r="E471" s="1" t="s">
        <v>1522</v>
      </c>
      <c r="F471" s="1" t="s">
        <v>1523</v>
      </c>
      <c r="G471" s="1" t="s">
        <v>1524</v>
      </c>
      <c r="H471" s="1" t="s">
        <v>18</v>
      </c>
    </row>
    <row r="472" spans="1:8">
      <c r="A472" s="1">
        <v>471</v>
      </c>
      <c r="B472" s="1" t="s">
        <v>1479</v>
      </c>
      <c r="C472" s="1" t="s">
        <v>1525</v>
      </c>
      <c r="D472" s="1" t="s">
        <v>1481</v>
      </c>
      <c r="E472" s="1" t="s">
        <v>1526</v>
      </c>
      <c r="F472" s="1" t="s">
        <v>1527</v>
      </c>
      <c r="G472" s="1" t="s">
        <v>1528</v>
      </c>
      <c r="H472" s="1" t="s">
        <v>18</v>
      </c>
    </row>
    <row r="473" spans="1:8">
      <c r="A473" s="1">
        <v>472</v>
      </c>
      <c r="B473" s="1" t="s">
        <v>1479</v>
      </c>
      <c r="C473" s="1" t="s">
        <v>1529</v>
      </c>
      <c r="D473" s="1" t="s">
        <v>1481</v>
      </c>
      <c r="E473" s="1" t="s">
        <v>1530</v>
      </c>
      <c r="F473" s="1" t="s">
        <v>1531</v>
      </c>
      <c r="G473" s="1" t="s">
        <v>1532</v>
      </c>
      <c r="H473" s="1" t="s">
        <v>18</v>
      </c>
    </row>
    <row r="474" spans="1:8">
      <c r="A474" s="1">
        <v>473</v>
      </c>
      <c r="B474" s="1" t="s">
        <v>1479</v>
      </c>
      <c r="C474" s="1" t="s">
        <v>1533</v>
      </c>
      <c r="D474" s="1" t="s">
        <v>1481</v>
      </c>
      <c r="E474" s="1" t="s">
        <v>1534</v>
      </c>
      <c r="F474" s="1" t="s">
        <v>1535</v>
      </c>
      <c r="G474" s="1" t="s">
        <v>1536</v>
      </c>
      <c r="H474" s="1" t="s">
        <v>18</v>
      </c>
    </row>
    <row r="475" spans="1:8">
      <c r="A475" s="1">
        <v>474</v>
      </c>
      <c r="B475" s="1" t="s">
        <v>1479</v>
      </c>
      <c r="C475" s="1" t="s">
        <v>1537</v>
      </c>
      <c r="D475" s="1" t="s">
        <v>1481</v>
      </c>
      <c r="E475" s="1" t="s">
        <v>1538</v>
      </c>
      <c r="F475" s="1" t="s">
        <v>1539</v>
      </c>
      <c r="G475" s="1" t="s">
        <v>1540</v>
      </c>
      <c r="H475" s="1" t="s">
        <v>18</v>
      </c>
    </row>
    <row r="476" spans="1:8">
      <c r="A476" s="1">
        <v>475</v>
      </c>
      <c r="B476" s="1" t="s">
        <v>1479</v>
      </c>
      <c r="C476" s="1" t="s">
        <v>1541</v>
      </c>
      <c r="D476" s="1" t="s">
        <v>1481</v>
      </c>
      <c r="E476" s="1" t="s">
        <v>1542</v>
      </c>
      <c r="F476" s="1" t="s">
        <v>1543</v>
      </c>
      <c r="G476" s="1" t="s">
        <v>1544</v>
      </c>
      <c r="H476" s="1" t="s">
        <v>18</v>
      </c>
    </row>
    <row r="477" spans="1:8">
      <c r="A477" s="1">
        <v>476</v>
      </c>
      <c r="B477" s="1" t="s">
        <v>1545</v>
      </c>
      <c r="C477" s="1" t="s">
        <v>1480</v>
      </c>
      <c r="D477" s="1" t="s">
        <v>1546</v>
      </c>
      <c r="E477" s="1" t="s">
        <v>1547</v>
      </c>
      <c r="F477" s="1" t="s">
        <v>1483</v>
      </c>
      <c r="G477" s="1" t="s">
        <v>1484</v>
      </c>
      <c r="H477" s="1" t="s">
        <v>18</v>
      </c>
    </row>
    <row r="478" spans="1:8">
      <c r="A478" s="1">
        <v>477</v>
      </c>
      <c r="B478" s="1" t="s">
        <v>1545</v>
      </c>
      <c r="C478" s="1" t="s">
        <v>1485</v>
      </c>
      <c r="D478" s="1" t="s">
        <v>1546</v>
      </c>
      <c r="E478" s="1" t="s">
        <v>1548</v>
      </c>
      <c r="F478" s="1" t="s">
        <v>1487</v>
      </c>
      <c r="G478" s="1" t="s">
        <v>1488</v>
      </c>
      <c r="H478" s="1" t="s">
        <v>18</v>
      </c>
    </row>
    <row r="479" spans="1:8">
      <c r="A479" s="1">
        <v>478</v>
      </c>
      <c r="B479" s="1" t="s">
        <v>1545</v>
      </c>
      <c r="C479" s="1" t="s">
        <v>1489</v>
      </c>
      <c r="D479" s="1" t="s">
        <v>1546</v>
      </c>
      <c r="E479" s="1" t="s">
        <v>1549</v>
      </c>
      <c r="F479" s="1" t="s">
        <v>1491</v>
      </c>
      <c r="G479" s="1" t="s">
        <v>1492</v>
      </c>
      <c r="H479" s="1" t="s">
        <v>18</v>
      </c>
    </row>
    <row r="480" spans="1:8">
      <c r="A480" s="1">
        <v>479</v>
      </c>
      <c r="B480" s="1" t="s">
        <v>1545</v>
      </c>
      <c r="C480" s="1" t="s">
        <v>1493</v>
      </c>
      <c r="D480" s="1" t="s">
        <v>1546</v>
      </c>
      <c r="E480" s="1" t="s">
        <v>1550</v>
      </c>
      <c r="F480" s="1" t="s">
        <v>1495</v>
      </c>
      <c r="G480" s="1" t="s">
        <v>1496</v>
      </c>
      <c r="H480" s="1" t="s">
        <v>18</v>
      </c>
    </row>
    <row r="481" spans="1:8">
      <c r="A481" s="1">
        <v>480</v>
      </c>
      <c r="B481" s="1" t="s">
        <v>1545</v>
      </c>
      <c r="C481" s="1" t="s">
        <v>1497</v>
      </c>
      <c r="D481" s="1" t="s">
        <v>1546</v>
      </c>
      <c r="E481" s="1" t="s">
        <v>1551</v>
      </c>
      <c r="F481" s="1" t="s">
        <v>1499</v>
      </c>
      <c r="G481" s="1" t="s">
        <v>1500</v>
      </c>
      <c r="H481" s="1" t="s">
        <v>18</v>
      </c>
    </row>
    <row r="482" spans="1:8">
      <c r="A482" s="1">
        <v>481</v>
      </c>
      <c r="B482" s="1" t="s">
        <v>1545</v>
      </c>
      <c r="C482" s="1" t="s">
        <v>1501</v>
      </c>
      <c r="D482" s="1" t="s">
        <v>1546</v>
      </c>
      <c r="E482" s="1" t="s">
        <v>1552</v>
      </c>
      <c r="F482" s="1" t="s">
        <v>1503</v>
      </c>
      <c r="G482" s="1" t="s">
        <v>1504</v>
      </c>
      <c r="H482" s="1" t="s">
        <v>18</v>
      </c>
    </row>
    <row r="483" spans="1:8">
      <c r="A483" s="1">
        <v>482</v>
      </c>
      <c r="B483" s="1" t="s">
        <v>1545</v>
      </c>
      <c r="C483" s="1" t="s">
        <v>1505</v>
      </c>
      <c r="D483" s="1" t="s">
        <v>1546</v>
      </c>
      <c r="E483" s="1" t="s">
        <v>1553</v>
      </c>
      <c r="F483" s="1" t="s">
        <v>1507</v>
      </c>
      <c r="G483" s="1" t="s">
        <v>1508</v>
      </c>
      <c r="H483" s="1" t="s">
        <v>18</v>
      </c>
    </row>
    <row r="484" spans="1:8">
      <c r="A484" s="1">
        <v>483</v>
      </c>
      <c r="B484" s="1" t="s">
        <v>1545</v>
      </c>
      <c r="C484" s="1" t="s">
        <v>1509</v>
      </c>
      <c r="D484" s="1" t="s">
        <v>1546</v>
      </c>
      <c r="E484" s="1" t="s">
        <v>1554</v>
      </c>
      <c r="F484" s="1" t="s">
        <v>1511</v>
      </c>
      <c r="G484" s="1" t="s">
        <v>1512</v>
      </c>
      <c r="H484" s="1" t="s">
        <v>18</v>
      </c>
    </row>
    <row r="485" spans="1:8">
      <c r="A485" s="1">
        <v>484</v>
      </c>
      <c r="B485" s="1" t="s">
        <v>1545</v>
      </c>
      <c r="C485" s="1" t="s">
        <v>1513</v>
      </c>
      <c r="D485" s="1" t="s">
        <v>1546</v>
      </c>
      <c r="E485" s="1" t="s">
        <v>1555</v>
      </c>
      <c r="F485" s="1" t="s">
        <v>1543</v>
      </c>
      <c r="G485" s="1" t="s">
        <v>1544</v>
      </c>
      <c r="H485" s="1" t="s">
        <v>18</v>
      </c>
    </row>
    <row r="486" spans="1:8">
      <c r="A486" s="1">
        <v>485</v>
      </c>
      <c r="B486" s="1" t="s">
        <v>1545</v>
      </c>
      <c r="C486" s="1" t="s">
        <v>1517</v>
      </c>
      <c r="D486" s="1" t="s">
        <v>1546</v>
      </c>
      <c r="E486" s="1" t="s">
        <v>1556</v>
      </c>
      <c r="F486" s="1" t="s">
        <v>1515</v>
      </c>
      <c r="G486" s="1" t="s">
        <v>1516</v>
      </c>
      <c r="H486" s="1" t="s">
        <v>18</v>
      </c>
    </row>
    <row r="487" spans="1:8">
      <c r="A487" s="1">
        <v>486</v>
      </c>
      <c r="B487" s="1" t="s">
        <v>1545</v>
      </c>
      <c r="C487" s="1" t="s">
        <v>1521</v>
      </c>
      <c r="D487" s="1" t="s">
        <v>1546</v>
      </c>
      <c r="E487" s="1" t="s">
        <v>1557</v>
      </c>
      <c r="F487" s="1" t="s">
        <v>1519</v>
      </c>
      <c r="G487" s="1" t="s">
        <v>1520</v>
      </c>
      <c r="H487" s="1" t="s">
        <v>18</v>
      </c>
    </row>
    <row r="488" spans="1:8">
      <c r="A488" s="1">
        <v>487</v>
      </c>
      <c r="B488" s="1" t="s">
        <v>1545</v>
      </c>
      <c r="C488" s="1" t="s">
        <v>1525</v>
      </c>
      <c r="D488" s="1" t="s">
        <v>1546</v>
      </c>
      <c r="E488" s="1" t="s">
        <v>1558</v>
      </c>
      <c r="F488" s="1" t="s">
        <v>1523</v>
      </c>
      <c r="G488" s="1" t="s">
        <v>1524</v>
      </c>
      <c r="H488" s="1" t="s">
        <v>18</v>
      </c>
    </row>
    <row r="489" spans="1:8">
      <c r="A489" s="1">
        <v>488</v>
      </c>
      <c r="B489" s="1" t="s">
        <v>1545</v>
      </c>
      <c r="C489" s="1" t="s">
        <v>1529</v>
      </c>
      <c r="D489" s="1" t="s">
        <v>1546</v>
      </c>
      <c r="E489" s="1" t="s">
        <v>1559</v>
      </c>
      <c r="F489" s="1" t="s">
        <v>1527</v>
      </c>
      <c r="G489" s="1" t="s">
        <v>1528</v>
      </c>
      <c r="H489" s="1" t="s">
        <v>18</v>
      </c>
    </row>
    <row r="490" spans="1:8">
      <c r="A490" s="1">
        <v>489</v>
      </c>
      <c r="B490" s="1" t="s">
        <v>1545</v>
      </c>
      <c r="C490" s="1" t="s">
        <v>1533</v>
      </c>
      <c r="D490" s="1" t="s">
        <v>1546</v>
      </c>
      <c r="E490" s="1" t="s">
        <v>1560</v>
      </c>
      <c r="F490" s="1" t="s">
        <v>1531</v>
      </c>
      <c r="G490" s="1" t="s">
        <v>1532</v>
      </c>
      <c r="H490" s="1" t="s">
        <v>18</v>
      </c>
    </row>
    <row r="491" spans="1:8">
      <c r="A491" s="1">
        <v>490</v>
      </c>
      <c r="B491" s="1" t="s">
        <v>1545</v>
      </c>
      <c r="C491" s="1" t="s">
        <v>1537</v>
      </c>
      <c r="D491" s="1" t="s">
        <v>1546</v>
      </c>
      <c r="E491" s="1" t="s">
        <v>1561</v>
      </c>
      <c r="F491" s="1" t="s">
        <v>1535</v>
      </c>
      <c r="G491" s="1" t="s">
        <v>1536</v>
      </c>
      <c r="H491" s="1" t="s">
        <v>18</v>
      </c>
    </row>
    <row r="492" spans="1:8">
      <c r="A492" s="1">
        <v>491</v>
      </c>
      <c r="B492" s="1" t="s">
        <v>1545</v>
      </c>
      <c r="C492" s="1" t="s">
        <v>1541</v>
      </c>
      <c r="D492" s="1" t="s">
        <v>1546</v>
      </c>
      <c r="E492" s="1" t="s">
        <v>1562</v>
      </c>
      <c r="F492" s="1" t="s">
        <v>1539</v>
      </c>
      <c r="G492" s="1" t="s">
        <v>1540</v>
      </c>
      <c r="H492" s="1" t="s">
        <v>18</v>
      </c>
    </row>
    <row r="493" spans="1:8">
      <c r="A493" s="1">
        <v>492</v>
      </c>
      <c r="B493" s="1" t="s">
        <v>1563</v>
      </c>
      <c r="C493" s="1" t="s">
        <v>211</v>
      </c>
      <c r="D493" s="1" t="s">
        <v>1564</v>
      </c>
      <c r="E493" s="1" t="s">
        <v>1565</v>
      </c>
      <c r="F493" s="1" t="s">
        <v>1566</v>
      </c>
      <c r="G493" s="1" t="s">
        <v>1567</v>
      </c>
      <c r="H493" s="1" t="s">
        <v>18</v>
      </c>
    </row>
    <row r="494" spans="1:8">
      <c r="A494" s="1">
        <v>493</v>
      </c>
      <c r="B494" s="1" t="s">
        <v>1563</v>
      </c>
      <c r="C494" s="1" t="s">
        <v>214</v>
      </c>
      <c r="D494" s="1" t="s">
        <v>1564</v>
      </c>
      <c r="E494" s="1" t="s">
        <v>1568</v>
      </c>
      <c r="F494" s="1" t="s">
        <v>1569</v>
      </c>
      <c r="G494" s="1" t="s">
        <v>1570</v>
      </c>
      <c r="H494" s="1" t="s">
        <v>18</v>
      </c>
    </row>
    <row r="495" spans="1:8">
      <c r="A495" s="1">
        <v>494</v>
      </c>
      <c r="B495" s="1" t="s">
        <v>1563</v>
      </c>
      <c r="C495" s="1" t="s">
        <v>218</v>
      </c>
      <c r="D495" s="1" t="s">
        <v>1564</v>
      </c>
      <c r="E495" s="1" t="s">
        <v>1571</v>
      </c>
      <c r="F495" s="1" t="s">
        <v>1572</v>
      </c>
      <c r="G495" s="1" t="s">
        <v>1573</v>
      </c>
      <c r="H495" s="1" t="s">
        <v>18</v>
      </c>
    </row>
    <row r="496" spans="1:8">
      <c r="A496" s="1">
        <v>495</v>
      </c>
      <c r="B496" s="1" t="s">
        <v>1563</v>
      </c>
      <c r="C496" s="1" t="s">
        <v>220</v>
      </c>
      <c r="D496" s="1" t="s">
        <v>1564</v>
      </c>
      <c r="E496" s="1" t="s">
        <v>1574</v>
      </c>
      <c r="F496" s="1" t="s">
        <v>1575</v>
      </c>
      <c r="G496" s="1" t="s">
        <v>1576</v>
      </c>
      <c r="H496" s="1" t="s">
        <v>18</v>
      </c>
    </row>
    <row r="497" spans="1:8">
      <c r="A497" s="1">
        <v>496</v>
      </c>
      <c r="B497" s="1" t="s">
        <v>1563</v>
      </c>
      <c r="C497" s="1" t="s">
        <v>224</v>
      </c>
      <c r="D497" s="1" t="s">
        <v>1564</v>
      </c>
      <c r="E497" s="1" t="s">
        <v>1577</v>
      </c>
      <c r="F497" s="1" t="s">
        <v>1578</v>
      </c>
      <c r="G497" s="1" t="s">
        <v>1579</v>
      </c>
      <c r="H497" s="1" t="s">
        <v>18</v>
      </c>
    </row>
    <row r="498" spans="1:8">
      <c r="A498" s="1">
        <v>497</v>
      </c>
      <c r="B498" s="1" t="s">
        <v>1580</v>
      </c>
      <c r="C498" s="1" t="s">
        <v>155</v>
      </c>
      <c r="D498" s="1" t="s">
        <v>1581</v>
      </c>
      <c r="E498" s="1" t="s">
        <v>1582</v>
      </c>
      <c r="F498" s="1" t="s">
        <v>1583</v>
      </c>
      <c r="G498" s="1" t="s">
        <v>1584</v>
      </c>
      <c r="H498" s="1" t="s">
        <v>18</v>
      </c>
    </row>
    <row r="499" spans="1:8">
      <c r="A499" s="1">
        <v>498</v>
      </c>
      <c r="B499" s="1" t="s">
        <v>1580</v>
      </c>
      <c r="C499" s="1" t="s">
        <v>160</v>
      </c>
      <c r="D499" s="1" t="s">
        <v>1581</v>
      </c>
      <c r="E499" s="1" t="s">
        <v>1585</v>
      </c>
      <c r="F499" s="1" t="s">
        <v>1586</v>
      </c>
      <c r="G499" s="1" t="s">
        <v>1587</v>
      </c>
      <c r="H499" s="1" t="s">
        <v>18</v>
      </c>
    </row>
    <row r="500" spans="1:8">
      <c r="A500" s="1">
        <v>499</v>
      </c>
      <c r="B500" s="1" t="s">
        <v>1580</v>
      </c>
      <c r="C500" s="1" t="s">
        <v>164</v>
      </c>
      <c r="D500" s="1" t="s">
        <v>1581</v>
      </c>
      <c r="E500" s="1" t="s">
        <v>1588</v>
      </c>
      <c r="F500" s="1" t="s">
        <v>1589</v>
      </c>
      <c r="G500" s="1" t="s">
        <v>1590</v>
      </c>
      <c r="H500" s="1" t="s">
        <v>18</v>
      </c>
    </row>
    <row r="501" spans="1:8">
      <c r="A501" s="1">
        <v>500</v>
      </c>
      <c r="B501" s="1" t="s">
        <v>1580</v>
      </c>
      <c r="C501" s="1" t="s">
        <v>168</v>
      </c>
      <c r="D501" s="1" t="s">
        <v>1581</v>
      </c>
      <c r="E501" s="1" t="s">
        <v>1591</v>
      </c>
      <c r="F501" s="1" t="s">
        <v>1592</v>
      </c>
      <c r="G501" s="1" t="s">
        <v>1593</v>
      </c>
      <c r="H501" s="1" t="s">
        <v>18</v>
      </c>
    </row>
    <row r="502" spans="1:8">
      <c r="A502" s="1">
        <v>501</v>
      </c>
      <c r="B502" s="1" t="s">
        <v>1580</v>
      </c>
      <c r="C502" s="1" t="s">
        <v>172</v>
      </c>
      <c r="D502" s="1" t="s">
        <v>1581</v>
      </c>
      <c r="E502" s="1" t="s">
        <v>1594</v>
      </c>
      <c r="F502" s="1" t="s">
        <v>1595</v>
      </c>
      <c r="G502" s="1" t="s">
        <v>1596</v>
      </c>
      <c r="H502" s="1" t="s">
        <v>18</v>
      </c>
    </row>
    <row r="503" spans="1:8">
      <c r="A503" s="1">
        <v>502</v>
      </c>
      <c r="B503" s="1" t="s">
        <v>1580</v>
      </c>
      <c r="C503" s="1" t="s">
        <v>176</v>
      </c>
      <c r="D503" s="1" t="s">
        <v>1581</v>
      </c>
      <c r="E503" s="1" t="s">
        <v>1597</v>
      </c>
      <c r="F503" s="1" t="s">
        <v>1598</v>
      </c>
      <c r="G503" s="1" t="s">
        <v>1599</v>
      </c>
      <c r="H503" s="1" t="s">
        <v>18</v>
      </c>
    </row>
    <row r="504" spans="1:8">
      <c r="A504" s="1">
        <v>503</v>
      </c>
      <c r="B504" s="1" t="s">
        <v>1580</v>
      </c>
      <c r="C504" s="1" t="s">
        <v>180</v>
      </c>
      <c r="D504" s="1" t="s">
        <v>1581</v>
      </c>
      <c r="E504" s="1" t="s">
        <v>1600</v>
      </c>
      <c r="F504" s="1" t="s">
        <v>1572</v>
      </c>
      <c r="G504" s="1" t="s">
        <v>1573</v>
      </c>
      <c r="H504" s="1" t="s">
        <v>18</v>
      </c>
    </row>
    <row r="505" spans="1:8">
      <c r="A505" s="1">
        <v>504</v>
      </c>
      <c r="B505" s="1" t="s">
        <v>1580</v>
      </c>
      <c r="C505" s="1" t="s">
        <v>184</v>
      </c>
      <c r="D505" s="1" t="s">
        <v>1581</v>
      </c>
      <c r="E505" s="1" t="s">
        <v>1601</v>
      </c>
      <c r="F505" s="1" t="s">
        <v>1602</v>
      </c>
      <c r="G505" s="1" t="s">
        <v>1603</v>
      </c>
      <c r="H505" s="1" t="s">
        <v>18</v>
      </c>
    </row>
    <row r="506" spans="1:8">
      <c r="A506" s="1">
        <v>505</v>
      </c>
      <c r="B506" s="1" t="s">
        <v>1580</v>
      </c>
      <c r="C506" s="1" t="s">
        <v>188</v>
      </c>
      <c r="D506" s="1" t="s">
        <v>1581</v>
      </c>
      <c r="E506" s="1" t="s">
        <v>1604</v>
      </c>
      <c r="F506" s="1" t="s">
        <v>1605</v>
      </c>
      <c r="G506" s="1" t="s">
        <v>1606</v>
      </c>
      <c r="H506" s="1" t="s">
        <v>18</v>
      </c>
    </row>
    <row r="507" spans="1:8">
      <c r="A507" s="1">
        <v>506</v>
      </c>
      <c r="B507" s="1" t="s">
        <v>1580</v>
      </c>
      <c r="C507" s="1" t="s">
        <v>192</v>
      </c>
      <c r="D507" s="1" t="s">
        <v>1581</v>
      </c>
      <c r="E507" s="1" t="s">
        <v>1607</v>
      </c>
      <c r="F507" s="1" t="s">
        <v>1608</v>
      </c>
      <c r="G507" s="1" t="s">
        <v>1609</v>
      </c>
      <c r="H507" s="1" t="s">
        <v>18</v>
      </c>
    </row>
    <row r="508" spans="1:8">
      <c r="A508" s="1">
        <v>507</v>
      </c>
      <c r="B508" s="1" t="s">
        <v>1580</v>
      </c>
      <c r="C508" s="1" t="s">
        <v>196</v>
      </c>
      <c r="D508" s="1" t="s">
        <v>1581</v>
      </c>
      <c r="E508" s="1" t="s">
        <v>1610</v>
      </c>
      <c r="F508" s="1" t="s">
        <v>1611</v>
      </c>
      <c r="G508" s="1" t="s">
        <v>1612</v>
      </c>
      <c r="H508" s="1" t="s">
        <v>18</v>
      </c>
    </row>
    <row r="509" spans="1:8">
      <c r="A509" s="1">
        <v>508</v>
      </c>
      <c r="B509" s="1" t="s">
        <v>1613</v>
      </c>
      <c r="C509" s="1" t="s">
        <v>1210</v>
      </c>
      <c r="D509" s="1" t="s">
        <v>1614</v>
      </c>
      <c r="E509" s="1" t="s">
        <v>1615</v>
      </c>
      <c r="F509" s="1" t="s">
        <v>1616</v>
      </c>
      <c r="G509" s="1" t="s">
        <v>1617</v>
      </c>
      <c r="H509" s="1" t="s">
        <v>18</v>
      </c>
    </row>
    <row r="510" spans="1:8">
      <c r="A510" s="1">
        <v>509</v>
      </c>
      <c r="B510" s="1" t="s">
        <v>1613</v>
      </c>
      <c r="C510" s="1" t="s">
        <v>1215</v>
      </c>
      <c r="D510" s="1" t="s">
        <v>1614</v>
      </c>
      <c r="E510" s="1" t="s">
        <v>1618</v>
      </c>
      <c r="F510" s="1" t="s">
        <v>1619</v>
      </c>
      <c r="G510" s="1" t="s">
        <v>1620</v>
      </c>
      <c r="H510" s="1" t="s">
        <v>18</v>
      </c>
    </row>
    <row r="511" spans="1:8">
      <c r="A511" s="1">
        <v>510</v>
      </c>
      <c r="B511" s="1" t="s">
        <v>1613</v>
      </c>
      <c r="C511" s="1" t="s">
        <v>1219</v>
      </c>
      <c r="D511" s="1" t="s">
        <v>1614</v>
      </c>
      <c r="E511" s="1" t="s">
        <v>1621</v>
      </c>
      <c r="F511" s="1" t="s">
        <v>1622</v>
      </c>
      <c r="G511" s="1" t="s">
        <v>1623</v>
      </c>
      <c r="H511" s="1" t="s">
        <v>18</v>
      </c>
    </row>
    <row r="512" spans="1:8">
      <c r="A512" s="1">
        <v>511</v>
      </c>
      <c r="B512" s="1" t="s">
        <v>1613</v>
      </c>
      <c r="C512" s="1" t="s">
        <v>1223</v>
      </c>
      <c r="D512" s="1" t="s">
        <v>1614</v>
      </c>
      <c r="E512" s="1" t="s">
        <v>1624</v>
      </c>
      <c r="F512" s="1" t="s">
        <v>1625</v>
      </c>
      <c r="G512" s="1" t="s">
        <v>1626</v>
      </c>
      <c r="H512" s="1" t="s">
        <v>18</v>
      </c>
    </row>
    <row r="513" spans="1:8">
      <c r="A513" s="1">
        <v>512</v>
      </c>
      <c r="B513" s="1" t="s">
        <v>1613</v>
      </c>
      <c r="C513" s="1" t="s">
        <v>1227</v>
      </c>
      <c r="D513" s="1" t="s">
        <v>1614</v>
      </c>
      <c r="E513" s="1" t="s">
        <v>1627</v>
      </c>
      <c r="F513" s="1" t="s">
        <v>1628</v>
      </c>
      <c r="G513" s="1" t="s">
        <v>1629</v>
      </c>
      <c r="H513" s="1" t="s">
        <v>18</v>
      </c>
    </row>
    <row r="514" spans="1:8">
      <c r="A514" s="1">
        <v>513</v>
      </c>
      <c r="B514" s="1" t="s">
        <v>1613</v>
      </c>
      <c r="C514" s="1" t="s">
        <v>1231</v>
      </c>
      <c r="D514" s="1" t="s">
        <v>1614</v>
      </c>
      <c r="E514" s="1" t="s">
        <v>1630</v>
      </c>
      <c r="F514" s="1" t="s">
        <v>1631</v>
      </c>
      <c r="G514" s="1" t="s">
        <v>1632</v>
      </c>
      <c r="H514" s="1" t="s">
        <v>18</v>
      </c>
    </row>
    <row r="515" spans="1:8">
      <c r="A515" s="1">
        <v>514</v>
      </c>
      <c r="B515" s="1" t="s">
        <v>1613</v>
      </c>
      <c r="C515" s="1" t="s">
        <v>1235</v>
      </c>
      <c r="D515" s="1" t="s">
        <v>1614</v>
      </c>
      <c r="E515" s="1" t="s">
        <v>1633</v>
      </c>
      <c r="F515" s="1" t="s">
        <v>1634</v>
      </c>
      <c r="G515" s="1" t="s">
        <v>1635</v>
      </c>
      <c r="H515" s="1" t="s">
        <v>18</v>
      </c>
    </row>
    <row r="516" spans="1:8">
      <c r="A516" s="1">
        <v>515</v>
      </c>
      <c r="B516" s="1" t="s">
        <v>1613</v>
      </c>
      <c r="C516" s="1" t="s">
        <v>1239</v>
      </c>
      <c r="D516" s="1" t="s">
        <v>1614</v>
      </c>
      <c r="E516" s="1" t="s">
        <v>1636</v>
      </c>
      <c r="F516" s="1" t="s">
        <v>1637</v>
      </c>
      <c r="G516" s="1" t="s">
        <v>1638</v>
      </c>
      <c r="H516" s="1" t="s">
        <v>18</v>
      </c>
    </row>
    <row r="517" spans="1:8">
      <c r="A517" s="1">
        <v>516</v>
      </c>
      <c r="B517" s="1" t="s">
        <v>1613</v>
      </c>
      <c r="C517" s="1" t="s">
        <v>1243</v>
      </c>
      <c r="D517" s="1" t="s">
        <v>1614</v>
      </c>
      <c r="E517" s="1" t="s">
        <v>1639</v>
      </c>
      <c r="F517" s="1" t="s">
        <v>1640</v>
      </c>
      <c r="G517" s="1" t="s">
        <v>1641</v>
      </c>
      <c r="H517" s="1" t="s">
        <v>18</v>
      </c>
    </row>
    <row r="518" spans="1:8">
      <c r="A518" s="1">
        <v>517</v>
      </c>
      <c r="B518" s="1" t="s">
        <v>1613</v>
      </c>
      <c r="C518" s="1" t="s">
        <v>1247</v>
      </c>
      <c r="D518" s="1" t="s">
        <v>1614</v>
      </c>
      <c r="E518" s="1" t="s">
        <v>1642</v>
      </c>
      <c r="F518" s="1" t="s">
        <v>1643</v>
      </c>
      <c r="G518" s="1" t="s">
        <v>1644</v>
      </c>
      <c r="H518" s="1" t="s">
        <v>18</v>
      </c>
    </row>
    <row r="519" spans="1:8">
      <c r="A519" s="1">
        <v>518</v>
      </c>
      <c r="B519" s="1" t="s">
        <v>1613</v>
      </c>
      <c r="C519" s="1" t="s">
        <v>1251</v>
      </c>
      <c r="D519" s="1" t="s">
        <v>1614</v>
      </c>
      <c r="E519" s="1" t="s">
        <v>1645</v>
      </c>
      <c r="F519" s="1" t="s">
        <v>1646</v>
      </c>
      <c r="G519" s="1" t="s">
        <v>1647</v>
      </c>
      <c r="H519" s="1" t="s">
        <v>18</v>
      </c>
    </row>
    <row r="520" spans="1:8">
      <c r="A520" s="1">
        <v>519</v>
      </c>
      <c r="B520" s="1" t="s">
        <v>1613</v>
      </c>
      <c r="C520" s="1" t="s">
        <v>1255</v>
      </c>
      <c r="D520" s="1" t="s">
        <v>1614</v>
      </c>
      <c r="E520" s="1" t="s">
        <v>1648</v>
      </c>
      <c r="F520" s="1" t="s">
        <v>1649</v>
      </c>
      <c r="G520" s="1" t="s">
        <v>1650</v>
      </c>
      <c r="H520" s="1" t="s">
        <v>18</v>
      </c>
    </row>
    <row r="521" spans="1:8">
      <c r="A521" s="1">
        <v>520</v>
      </c>
      <c r="B521" s="1" t="s">
        <v>1613</v>
      </c>
      <c r="C521" s="1" t="s">
        <v>1259</v>
      </c>
      <c r="D521" s="1" t="s">
        <v>1614</v>
      </c>
      <c r="E521" s="1" t="s">
        <v>1651</v>
      </c>
      <c r="F521" s="1" t="s">
        <v>1652</v>
      </c>
      <c r="G521" s="1" t="s">
        <v>1653</v>
      </c>
      <c r="H521" s="1" t="s">
        <v>18</v>
      </c>
    </row>
    <row r="522" spans="1:8">
      <c r="A522" s="1">
        <v>521</v>
      </c>
      <c r="B522" s="1" t="s">
        <v>1654</v>
      </c>
      <c r="C522" s="1" t="s">
        <v>251</v>
      </c>
      <c r="D522" s="1" t="s">
        <v>1655</v>
      </c>
      <c r="E522" s="1" t="s">
        <v>1656</v>
      </c>
      <c r="F522" s="1" t="s">
        <v>1657</v>
      </c>
      <c r="G522" s="1" t="s">
        <v>1658</v>
      </c>
      <c r="H522" s="1" t="s">
        <v>18</v>
      </c>
    </row>
    <row r="523" spans="1:8">
      <c r="A523" s="1">
        <v>522</v>
      </c>
      <c r="B523" s="1" t="s">
        <v>1654</v>
      </c>
      <c r="C523" s="1" t="s">
        <v>254</v>
      </c>
      <c r="D523" s="1" t="s">
        <v>1655</v>
      </c>
      <c r="E523" s="1" t="s">
        <v>1659</v>
      </c>
      <c r="F523" s="1" t="s">
        <v>1660</v>
      </c>
      <c r="G523" s="1" t="s">
        <v>1661</v>
      </c>
      <c r="H523" s="1" t="s">
        <v>18</v>
      </c>
    </row>
    <row r="524" spans="1:8">
      <c r="A524" s="1">
        <v>523</v>
      </c>
      <c r="B524" s="1" t="s">
        <v>1654</v>
      </c>
      <c r="C524" s="1" t="s">
        <v>256</v>
      </c>
      <c r="D524" s="1" t="s">
        <v>1655</v>
      </c>
      <c r="E524" s="1" t="s">
        <v>1662</v>
      </c>
      <c r="F524" s="1" t="s">
        <v>1663</v>
      </c>
      <c r="G524" s="1" t="s">
        <v>1664</v>
      </c>
      <c r="H524" s="1" t="s">
        <v>18</v>
      </c>
    </row>
    <row r="525" spans="1:8">
      <c r="A525" s="1">
        <v>524</v>
      </c>
      <c r="B525" s="1" t="s">
        <v>1654</v>
      </c>
      <c r="C525" s="1" t="s">
        <v>260</v>
      </c>
      <c r="D525" s="1" t="s">
        <v>1655</v>
      </c>
      <c r="E525" s="1" t="s">
        <v>1665</v>
      </c>
      <c r="F525" s="1" t="s">
        <v>1666</v>
      </c>
      <c r="G525" s="1" t="s">
        <v>1667</v>
      </c>
      <c r="H525" s="1" t="s">
        <v>18</v>
      </c>
    </row>
    <row r="526" spans="1:8">
      <c r="A526" s="1">
        <v>525</v>
      </c>
      <c r="B526" s="1" t="s">
        <v>1654</v>
      </c>
      <c r="C526" s="1" t="s">
        <v>262</v>
      </c>
      <c r="D526" s="1" t="s">
        <v>1655</v>
      </c>
      <c r="E526" s="1" t="s">
        <v>1668</v>
      </c>
      <c r="F526" s="1" t="s">
        <v>1669</v>
      </c>
      <c r="G526" s="1" t="s">
        <v>1670</v>
      </c>
      <c r="H526" s="1" t="s">
        <v>18</v>
      </c>
    </row>
    <row r="527" spans="1:8">
      <c r="A527" s="1">
        <v>526</v>
      </c>
      <c r="B527" s="1" t="s">
        <v>1654</v>
      </c>
      <c r="C527" s="1" t="s">
        <v>264</v>
      </c>
      <c r="D527" s="1" t="s">
        <v>1655</v>
      </c>
      <c r="E527" s="1" t="s">
        <v>1671</v>
      </c>
      <c r="F527" s="1" t="s">
        <v>1672</v>
      </c>
      <c r="G527" s="1" t="s">
        <v>1673</v>
      </c>
      <c r="H527" s="1" t="s">
        <v>18</v>
      </c>
    </row>
    <row r="528" spans="1:8">
      <c r="A528" s="1">
        <v>527</v>
      </c>
      <c r="B528" s="1" t="s">
        <v>1674</v>
      </c>
      <c r="C528" s="1" t="s">
        <v>201</v>
      </c>
      <c r="D528" s="1" t="s">
        <v>1675</v>
      </c>
      <c r="E528" s="1" t="s">
        <v>1676</v>
      </c>
      <c r="F528" s="1" t="s">
        <v>1677</v>
      </c>
      <c r="G528" s="1" t="s">
        <v>1678</v>
      </c>
      <c r="H528" s="1" t="s">
        <v>18</v>
      </c>
    </row>
    <row r="529" spans="1:8">
      <c r="A529" s="1">
        <v>528</v>
      </c>
      <c r="B529" s="1" t="s">
        <v>1674</v>
      </c>
      <c r="C529" s="1" t="s">
        <v>206</v>
      </c>
      <c r="D529" s="1" t="s">
        <v>1675</v>
      </c>
      <c r="E529" s="1" t="s">
        <v>1679</v>
      </c>
      <c r="F529" s="1" t="s">
        <v>1680</v>
      </c>
      <c r="G529" s="1" t="s">
        <v>1681</v>
      </c>
      <c r="H529" s="1" t="s">
        <v>18</v>
      </c>
    </row>
    <row r="530" spans="1:8">
      <c r="A530" s="1">
        <v>529</v>
      </c>
      <c r="B530" s="1" t="s">
        <v>1682</v>
      </c>
      <c r="C530" s="1" t="s">
        <v>201</v>
      </c>
      <c r="D530" s="1" t="s">
        <v>1683</v>
      </c>
      <c r="E530" s="1" t="s">
        <v>1684</v>
      </c>
      <c r="F530" s="1" t="s">
        <v>25</v>
      </c>
      <c r="G530" s="1" t="s">
        <v>26</v>
      </c>
      <c r="H530" s="1" t="s">
        <v>18</v>
      </c>
    </row>
    <row r="531" spans="1:8">
      <c r="A531" s="1">
        <v>530</v>
      </c>
      <c r="B531" s="1" t="s">
        <v>1682</v>
      </c>
      <c r="C531" s="1" t="s">
        <v>206</v>
      </c>
      <c r="D531" s="1" t="s">
        <v>1683</v>
      </c>
      <c r="E531" s="1" t="s">
        <v>1685</v>
      </c>
      <c r="F531" s="1" t="s">
        <v>33</v>
      </c>
      <c r="G531" s="1" t="s">
        <v>34</v>
      </c>
      <c r="H531" s="1" t="s">
        <v>18</v>
      </c>
    </row>
    <row r="532" spans="1:8">
      <c r="A532" s="1">
        <v>531</v>
      </c>
      <c r="B532" s="1" t="s">
        <v>1686</v>
      </c>
      <c r="C532" s="1" t="s">
        <v>84</v>
      </c>
      <c r="D532" s="1" t="s">
        <v>1687</v>
      </c>
      <c r="E532" s="1" t="s">
        <v>1688</v>
      </c>
      <c r="F532" s="1" t="s">
        <v>1677</v>
      </c>
      <c r="G532" s="1" t="s">
        <v>1678</v>
      </c>
      <c r="H532" s="1" t="s">
        <v>18</v>
      </c>
    </row>
    <row r="533" spans="1:8">
      <c r="A533" s="1">
        <v>532</v>
      </c>
      <c r="B533" s="1" t="s">
        <v>1689</v>
      </c>
      <c r="C533" s="1" t="s">
        <v>251</v>
      </c>
      <c r="D533" s="1" t="s">
        <v>1690</v>
      </c>
      <c r="E533" s="1" t="s">
        <v>1691</v>
      </c>
      <c r="F533" s="1" t="s">
        <v>12</v>
      </c>
      <c r="G533" s="1" t="s">
        <v>13</v>
      </c>
      <c r="H533" s="1" t="s">
        <v>18</v>
      </c>
    </row>
    <row r="534" spans="1:8">
      <c r="A534" s="1">
        <v>533</v>
      </c>
      <c r="B534" s="1" t="s">
        <v>1689</v>
      </c>
      <c r="C534" s="1" t="s">
        <v>254</v>
      </c>
      <c r="D534" s="1" t="s">
        <v>1690</v>
      </c>
      <c r="E534" s="1" t="s">
        <v>1692</v>
      </c>
      <c r="F534" s="1" t="s">
        <v>16</v>
      </c>
      <c r="G534" s="1" t="s">
        <v>17</v>
      </c>
      <c r="H534" s="1" t="s">
        <v>18</v>
      </c>
    </row>
    <row r="535" spans="1:8">
      <c r="A535" s="1">
        <v>534</v>
      </c>
      <c r="B535" s="1" t="s">
        <v>1689</v>
      </c>
      <c r="C535" s="1" t="s">
        <v>256</v>
      </c>
      <c r="D535" s="1" t="s">
        <v>1690</v>
      </c>
      <c r="E535" s="1" t="s">
        <v>1693</v>
      </c>
      <c r="F535" s="1" t="s">
        <v>21</v>
      </c>
      <c r="G535" s="1" t="s">
        <v>22</v>
      </c>
      <c r="H535" s="1" t="s">
        <v>18</v>
      </c>
    </row>
    <row r="536" spans="1:8">
      <c r="A536" s="1">
        <v>535</v>
      </c>
      <c r="B536" s="1" t="s">
        <v>1689</v>
      </c>
      <c r="C536" s="1" t="s">
        <v>260</v>
      </c>
      <c r="D536" s="1" t="s">
        <v>1690</v>
      </c>
      <c r="E536" s="1" t="s">
        <v>1694</v>
      </c>
      <c r="F536" s="1" t="s">
        <v>37</v>
      </c>
      <c r="G536" s="1" t="s">
        <v>38</v>
      </c>
      <c r="H536" s="1" t="s">
        <v>18</v>
      </c>
    </row>
    <row r="537" spans="1:8">
      <c r="A537" s="1">
        <v>536</v>
      </c>
      <c r="B537" s="1" t="s">
        <v>1689</v>
      </c>
      <c r="C537" s="1" t="s">
        <v>262</v>
      </c>
      <c r="D537" s="1" t="s">
        <v>1690</v>
      </c>
      <c r="E537" s="1" t="s">
        <v>1695</v>
      </c>
      <c r="F537" s="1" t="s">
        <v>41</v>
      </c>
      <c r="G537" s="1" t="s">
        <v>42</v>
      </c>
      <c r="H537" s="1" t="s">
        <v>18</v>
      </c>
    </row>
    <row r="538" spans="1:8">
      <c r="A538" s="1">
        <v>537</v>
      </c>
      <c r="B538" s="1" t="s">
        <v>1689</v>
      </c>
      <c r="C538" s="1" t="s">
        <v>264</v>
      </c>
      <c r="D538" s="1" t="s">
        <v>1690</v>
      </c>
      <c r="E538" s="1" t="s">
        <v>1696</v>
      </c>
      <c r="F538" s="1" t="s">
        <v>29</v>
      </c>
      <c r="G538" s="1" t="s">
        <v>30</v>
      </c>
      <c r="H538" s="1" t="s">
        <v>18</v>
      </c>
    </row>
    <row r="539" spans="1:8">
      <c r="A539" s="1">
        <v>538</v>
      </c>
      <c r="B539" s="1" t="s">
        <v>1697</v>
      </c>
      <c r="C539" s="1" t="s">
        <v>84</v>
      </c>
      <c r="D539" s="1" t="s">
        <v>1698</v>
      </c>
      <c r="E539" s="1" t="s">
        <v>1699</v>
      </c>
      <c r="F539" s="1" t="s">
        <v>1677</v>
      </c>
      <c r="G539" s="1" t="s">
        <v>1678</v>
      </c>
      <c r="H539" s="1" t="s">
        <v>18</v>
      </c>
    </row>
    <row r="540" spans="1:8">
      <c r="A540" s="1">
        <v>539</v>
      </c>
      <c r="B540" s="1" t="s">
        <v>1700</v>
      </c>
      <c r="C540" s="1" t="s">
        <v>84</v>
      </c>
      <c r="D540" s="1" t="s">
        <v>1701</v>
      </c>
      <c r="E540" s="1" t="s">
        <v>1702</v>
      </c>
      <c r="F540" s="1" t="s">
        <v>1677</v>
      </c>
      <c r="G540" s="1" t="s">
        <v>1678</v>
      </c>
      <c r="H540" s="1" t="s">
        <v>18</v>
      </c>
    </row>
    <row r="541" spans="1:8">
      <c r="A541" s="1">
        <v>540</v>
      </c>
      <c r="B541" s="1" t="s">
        <v>1703</v>
      </c>
      <c r="C541" s="1" t="s">
        <v>285</v>
      </c>
      <c r="D541" s="1" t="s">
        <v>1704</v>
      </c>
      <c r="E541" s="1" t="s">
        <v>1705</v>
      </c>
      <c r="F541" s="1" t="s">
        <v>12</v>
      </c>
      <c r="G541" s="1" t="s">
        <v>13</v>
      </c>
      <c r="H541" s="1" t="s">
        <v>18</v>
      </c>
    </row>
    <row r="542" spans="1:8">
      <c r="A542" s="1">
        <v>541</v>
      </c>
      <c r="B542" s="1" t="s">
        <v>1703</v>
      </c>
      <c r="C542" s="1" t="s">
        <v>290</v>
      </c>
      <c r="D542" s="1" t="s">
        <v>1704</v>
      </c>
      <c r="E542" s="1" t="s">
        <v>1706</v>
      </c>
      <c r="F542" s="1" t="s">
        <v>16</v>
      </c>
      <c r="G542" s="1" t="s">
        <v>17</v>
      </c>
      <c r="H542" s="1" t="s">
        <v>18</v>
      </c>
    </row>
    <row r="543" spans="1:8">
      <c r="A543" s="1">
        <v>542</v>
      </c>
      <c r="B543" s="1" t="s">
        <v>1703</v>
      </c>
      <c r="C543" s="1" t="s">
        <v>294</v>
      </c>
      <c r="D543" s="1" t="s">
        <v>1704</v>
      </c>
      <c r="E543" s="1" t="s">
        <v>1707</v>
      </c>
      <c r="F543" s="1" t="s">
        <v>21</v>
      </c>
      <c r="G543" s="1" t="s">
        <v>22</v>
      </c>
      <c r="H543" s="1" t="s">
        <v>18</v>
      </c>
    </row>
    <row r="544" spans="1:8">
      <c r="A544" s="1">
        <v>543</v>
      </c>
      <c r="B544" s="1" t="s">
        <v>1708</v>
      </c>
      <c r="C544" s="1" t="s">
        <v>84</v>
      </c>
      <c r="D544" s="1" t="s">
        <v>1709</v>
      </c>
      <c r="E544" s="1" t="s">
        <v>1710</v>
      </c>
      <c r="F544" s="1" t="s">
        <v>1711</v>
      </c>
      <c r="G544" s="1" t="s">
        <v>1712</v>
      </c>
      <c r="H544" s="1" t="s">
        <v>18</v>
      </c>
    </row>
    <row r="545" spans="1:8">
      <c r="A545" s="1">
        <v>544</v>
      </c>
      <c r="B545" s="1" t="s">
        <v>1713</v>
      </c>
      <c r="C545" s="1" t="s">
        <v>201</v>
      </c>
      <c r="D545" s="1" t="s">
        <v>1714</v>
      </c>
      <c r="E545" s="1" t="s">
        <v>1715</v>
      </c>
      <c r="F545" s="1" t="s">
        <v>1677</v>
      </c>
      <c r="G545" s="1" t="s">
        <v>1678</v>
      </c>
      <c r="H545" s="1" t="s">
        <v>18</v>
      </c>
    </row>
    <row r="546" spans="1:8">
      <c r="A546" s="1">
        <v>545</v>
      </c>
      <c r="B546" s="1" t="s">
        <v>1713</v>
      </c>
      <c r="C546" s="1" t="s">
        <v>206</v>
      </c>
      <c r="D546" s="1" t="s">
        <v>1714</v>
      </c>
      <c r="E546" s="1" t="s">
        <v>1716</v>
      </c>
      <c r="F546" s="1" t="s">
        <v>1711</v>
      </c>
      <c r="G546" s="1" t="s">
        <v>1712</v>
      </c>
      <c r="H546" s="1" t="s">
        <v>18</v>
      </c>
    </row>
    <row r="547" spans="1:8">
      <c r="A547" s="1">
        <v>546</v>
      </c>
      <c r="B547" s="1" t="s">
        <v>1717</v>
      </c>
      <c r="C547" s="1" t="s">
        <v>201</v>
      </c>
      <c r="D547" s="1" t="s">
        <v>1718</v>
      </c>
      <c r="E547" s="1" t="s">
        <v>1719</v>
      </c>
      <c r="F547" s="1" t="s">
        <v>1677</v>
      </c>
      <c r="G547" s="1" t="s">
        <v>1678</v>
      </c>
      <c r="H547" s="1" t="s">
        <v>18</v>
      </c>
    </row>
    <row r="548" spans="1:8">
      <c r="A548" s="1">
        <v>547</v>
      </c>
      <c r="B548" s="1" t="s">
        <v>1717</v>
      </c>
      <c r="C548" s="1" t="s">
        <v>206</v>
      </c>
      <c r="D548" s="1" t="s">
        <v>1718</v>
      </c>
      <c r="E548" s="1" t="s">
        <v>1720</v>
      </c>
      <c r="F548" s="1" t="s">
        <v>1711</v>
      </c>
      <c r="G548" s="1" t="s">
        <v>1712</v>
      </c>
      <c r="H548" s="1" t="s">
        <v>18</v>
      </c>
    </row>
    <row r="549" spans="1:8">
      <c r="A549" s="1">
        <v>548</v>
      </c>
      <c r="B549" s="1" t="s">
        <v>1721</v>
      </c>
      <c r="C549" s="1" t="s">
        <v>9</v>
      </c>
      <c r="D549" s="1" t="s">
        <v>1722</v>
      </c>
      <c r="E549" s="1" t="s">
        <v>1723</v>
      </c>
      <c r="F549" s="1" t="s">
        <v>37</v>
      </c>
      <c r="G549" s="1" t="s">
        <v>38</v>
      </c>
      <c r="H549" s="1" t="s">
        <v>18</v>
      </c>
    </row>
    <row r="550" spans="1:8">
      <c r="A550" s="1">
        <v>549</v>
      </c>
      <c r="B550" s="1" t="s">
        <v>1721</v>
      </c>
      <c r="C550" s="1" t="s">
        <v>14</v>
      </c>
      <c r="D550" s="1" t="s">
        <v>1722</v>
      </c>
      <c r="E550" s="1" t="s">
        <v>1724</v>
      </c>
      <c r="F550" s="1" t="s">
        <v>1725</v>
      </c>
      <c r="G550" s="1" t="s">
        <v>1726</v>
      </c>
      <c r="H550" s="1" t="s">
        <v>18</v>
      </c>
    </row>
    <row r="551" spans="1:8">
      <c r="A551" s="1">
        <v>550</v>
      </c>
      <c r="B551" s="1" t="s">
        <v>1721</v>
      </c>
      <c r="C551" s="1" t="s">
        <v>19</v>
      </c>
      <c r="D551" s="1" t="s">
        <v>1722</v>
      </c>
      <c r="E551" s="1" t="s">
        <v>1727</v>
      </c>
      <c r="F551" s="1" t="s">
        <v>1728</v>
      </c>
      <c r="G551" s="1" t="s">
        <v>1729</v>
      </c>
      <c r="H551" s="1" t="s">
        <v>18</v>
      </c>
    </row>
    <row r="552" spans="1:8">
      <c r="A552" s="1">
        <v>551</v>
      </c>
      <c r="B552" s="1" t="s">
        <v>1721</v>
      </c>
      <c r="C552" s="1" t="s">
        <v>23</v>
      </c>
      <c r="D552" s="1" t="s">
        <v>1722</v>
      </c>
      <c r="E552" s="1" t="s">
        <v>1730</v>
      </c>
      <c r="F552" s="1" t="s">
        <v>1731</v>
      </c>
      <c r="G552" s="1" t="s">
        <v>1732</v>
      </c>
      <c r="H552" s="1" t="s">
        <v>18</v>
      </c>
    </row>
    <row r="553" spans="1:8">
      <c r="A553" s="1">
        <v>552</v>
      </c>
      <c r="B553" s="1" t="s">
        <v>1721</v>
      </c>
      <c r="C553" s="1" t="s">
        <v>27</v>
      </c>
      <c r="D553" s="1" t="s">
        <v>1722</v>
      </c>
      <c r="E553" s="1" t="s">
        <v>1733</v>
      </c>
      <c r="F553" s="1" t="s">
        <v>1734</v>
      </c>
      <c r="G553" s="1" t="s">
        <v>1735</v>
      </c>
      <c r="H553" s="1" t="s">
        <v>18</v>
      </c>
    </row>
    <row r="554" spans="1:8">
      <c r="A554" s="1">
        <v>553</v>
      </c>
      <c r="B554" s="1" t="s">
        <v>1721</v>
      </c>
      <c r="C554" s="1" t="s">
        <v>31</v>
      </c>
      <c r="D554" s="1" t="s">
        <v>1722</v>
      </c>
      <c r="E554" s="1" t="s">
        <v>1736</v>
      </c>
      <c r="F554" s="1" t="s">
        <v>1737</v>
      </c>
      <c r="G554" s="1" t="s">
        <v>1738</v>
      </c>
      <c r="H554" s="1" t="s">
        <v>18</v>
      </c>
    </row>
    <row r="555" spans="1:8">
      <c r="A555" s="1">
        <v>554</v>
      </c>
      <c r="B555" s="1" t="s">
        <v>1721</v>
      </c>
      <c r="C555" s="1" t="s">
        <v>35</v>
      </c>
      <c r="D555" s="1" t="s">
        <v>1722</v>
      </c>
      <c r="E555" s="1" t="s">
        <v>1739</v>
      </c>
      <c r="F555" s="1" t="s">
        <v>33</v>
      </c>
      <c r="G555" s="1" t="s">
        <v>34</v>
      </c>
      <c r="H555" s="1" t="s">
        <v>18</v>
      </c>
    </row>
    <row r="556" spans="1:8">
      <c r="A556" s="1">
        <v>555</v>
      </c>
      <c r="B556" s="1" t="s">
        <v>1721</v>
      </c>
      <c r="C556" s="1" t="s">
        <v>39</v>
      </c>
      <c r="D556" s="1" t="s">
        <v>1722</v>
      </c>
      <c r="E556" s="1" t="s">
        <v>1740</v>
      </c>
      <c r="F556" s="1" t="s">
        <v>29</v>
      </c>
      <c r="G556" s="1" t="s">
        <v>30</v>
      </c>
      <c r="H556" s="1" t="s">
        <v>18</v>
      </c>
    </row>
    <row r="557" spans="1:8">
      <c r="A557" s="1">
        <v>556</v>
      </c>
      <c r="B557" s="1" t="s">
        <v>1741</v>
      </c>
      <c r="C557" s="1" t="s">
        <v>9</v>
      </c>
      <c r="D557" s="1" t="s">
        <v>1742</v>
      </c>
      <c r="E557" s="1" t="s">
        <v>1743</v>
      </c>
      <c r="F557" s="1" t="s">
        <v>37</v>
      </c>
      <c r="G557" s="1" t="s">
        <v>38</v>
      </c>
      <c r="H557" s="1" t="s">
        <v>18</v>
      </c>
    </row>
    <row r="558" spans="1:8">
      <c r="A558" s="1">
        <v>557</v>
      </c>
      <c r="B558" s="1" t="s">
        <v>1741</v>
      </c>
      <c r="C558" s="1" t="s">
        <v>14</v>
      </c>
      <c r="D558" s="1" t="s">
        <v>1742</v>
      </c>
      <c r="E558" s="1" t="s">
        <v>1744</v>
      </c>
      <c r="F558" s="1" t="s">
        <v>1725</v>
      </c>
      <c r="G558" s="1" t="s">
        <v>1726</v>
      </c>
      <c r="H558" s="1" t="s">
        <v>18</v>
      </c>
    </row>
    <row r="559" spans="1:8">
      <c r="A559" s="1">
        <v>558</v>
      </c>
      <c r="B559" s="1" t="s">
        <v>1741</v>
      </c>
      <c r="C559" s="1" t="s">
        <v>19</v>
      </c>
      <c r="D559" s="1" t="s">
        <v>1742</v>
      </c>
      <c r="E559" s="1" t="s">
        <v>1745</v>
      </c>
      <c r="F559" s="1" t="s">
        <v>1728</v>
      </c>
      <c r="G559" s="1" t="s">
        <v>1729</v>
      </c>
      <c r="H559" s="1" t="s">
        <v>18</v>
      </c>
    </row>
    <row r="560" spans="1:8">
      <c r="A560" s="1">
        <v>559</v>
      </c>
      <c r="B560" s="1" t="s">
        <v>1741</v>
      </c>
      <c r="C560" s="1" t="s">
        <v>23</v>
      </c>
      <c r="D560" s="1" t="s">
        <v>1742</v>
      </c>
      <c r="E560" s="1" t="s">
        <v>1746</v>
      </c>
      <c r="F560" s="1" t="s">
        <v>1731</v>
      </c>
      <c r="G560" s="1" t="s">
        <v>1732</v>
      </c>
      <c r="H560" s="1" t="s">
        <v>18</v>
      </c>
    </row>
    <row r="561" spans="1:8">
      <c r="A561" s="1">
        <v>560</v>
      </c>
      <c r="B561" s="1" t="s">
        <v>1741</v>
      </c>
      <c r="C561" s="1" t="s">
        <v>27</v>
      </c>
      <c r="D561" s="1" t="s">
        <v>1742</v>
      </c>
      <c r="E561" s="1" t="s">
        <v>1747</v>
      </c>
      <c r="F561" s="1" t="s">
        <v>1734</v>
      </c>
      <c r="G561" s="1" t="s">
        <v>1735</v>
      </c>
      <c r="H561" s="1" t="s">
        <v>18</v>
      </c>
    </row>
    <row r="562" spans="1:8">
      <c r="A562" s="1">
        <v>561</v>
      </c>
      <c r="B562" s="1" t="s">
        <v>1741</v>
      </c>
      <c r="C562" s="1" t="s">
        <v>31</v>
      </c>
      <c r="D562" s="1" t="s">
        <v>1742</v>
      </c>
      <c r="E562" s="1" t="s">
        <v>1748</v>
      </c>
      <c r="F562" s="1" t="s">
        <v>1737</v>
      </c>
      <c r="G562" s="1" t="s">
        <v>1738</v>
      </c>
      <c r="H562" s="1" t="s">
        <v>18</v>
      </c>
    </row>
    <row r="563" spans="1:8">
      <c r="A563" s="1">
        <v>562</v>
      </c>
      <c r="B563" s="1" t="s">
        <v>1741</v>
      </c>
      <c r="C563" s="1" t="s">
        <v>35</v>
      </c>
      <c r="D563" s="1" t="s">
        <v>1742</v>
      </c>
      <c r="E563" s="1" t="s">
        <v>1749</v>
      </c>
      <c r="F563" s="1" t="s">
        <v>33</v>
      </c>
      <c r="G563" s="1" t="s">
        <v>34</v>
      </c>
      <c r="H563" s="1" t="s">
        <v>18</v>
      </c>
    </row>
    <row r="564" spans="1:8">
      <c r="A564" s="1">
        <v>563</v>
      </c>
      <c r="B564" s="1" t="s">
        <v>1741</v>
      </c>
      <c r="C564" s="1" t="s">
        <v>39</v>
      </c>
      <c r="D564" s="1" t="s">
        <v>1742</v>
      </c>
      <c r="E564" s="1" t="s">
        <v>1750</v>
      </c>
      <c r="F564" s="1" t="s">
        <v>29</v>
      </c>
      <c r="G564" s="1" t="s">
        <v>30</v>
      </c>
      <c r="H564" s="1" t="s">
        <v>18</v>
      </c>
    </row>
    <row r="565" spans="1:8">
      <c r="A565" s="1">
        <v>564</v>
      </c>
      <c r="B565" s="1" t="s">
        <v>1751</v>
      </c>
      <c r="C565" s="1" t="s">
        <v>285</v>
      </c>
      <c r="D565" s="1" t="s">
        <v>1752</v>
      </c>
      <c r="E565" s="1" t="s">
        <v>1753</v>
      </c>
      <c r="F565" s="1" t="s">
        <v>1680</v>
      </c>
      <c r="G565" s="1" t="s">
        <v>1681</v>
      </c>
      <c r="H565" s="1" t="s">
        <v>18</v>
      </c>
    </row>
    <row r="566" spans="1:8">
      <c r="A566" s="1">
        <v>565</v>
      </c>
      <c r="B566" s="1" t="s">
        <v>1751</v>
      </c>
      <c r="C566" s="1" t="s">
        <v>290</v>
      </c>
      <c r="D566" s="1" t="s">
        <v>1752</v>
      </c>
      <c r="E566" s="1" t="s">
        <v>1754</v>
      </c>
      <c r="F566" s="1" t="s">
        <v>1755</v>
      </c>
      <c r="G566" s="1" t="s">
        <v>1756</v>
      </c>
      <c r="H566" s="1" t="s">
        <v>18</v>
      </c>
    </row>
    <row r="567" spans="1:8">
      <c r="A567" s="1">
        <v>566</v>
      </c>
      <c r="B567" s="1" t="s">
        <v>1751</v>
      </c>
      <c r="C567" s="1" t="s">
        <v>294</v>
      </c>
      <c r="D567" s="1" t="s">
        <v>1752</v>
      </c>
      <c r="E567" s="1" t="s">
        <v>1757</v>
      </c>
      <c r="F567" s="1" t="s">
        <v>1758</v>
      </c>
      <c r="G567" s="1" t="s">
        <v>1759</v>
      </c>
      <c r="H567" s="1" t="s">
        <v>18</v>
      </c>
    </row>
    <row r="568" spans="1:8">
      <c r="A568" s="1">
        <v>567</v>
      </c>
      <c r="B568" s="1" t="s">
        <v>1760</v>
      </c>
      <c r="C568" s="1" t="s">
        <v>285</v>
      </c>
      <c r="D568" s="1" t="s">
        <v>1761</v>
      </c>
      <c r="E568" s="1" t="s">
        <v>1762</v>
      </c>
      <c r="F568" s="1" t="s">
        <v>1680</v>
      </c>
      <c r="G568" s="1" t="s">
        <v>1681</v>
      </c>
      <c r="H568" s="1" t="s">
        <v>18</v>
      </c>
    </row>
    <row r="569" spans="1:8">
      <c r="A569" s="1">
        <v>568</v>
      </c>
      <c r="B569" s="1" t="s">
        <v>1760</v>
      </c>
      <c r="C569" s="1" t="s">
        <v>290</v>
      </c>
      <c r="D569" s="1" t="s">
        <v>1761</v>
      </c>
      <c r="E569" s="1" t="s">
        <v>1763</v>
      </c>
      <c r="F569" s="1" t="s">
        <v>1755</v>
      </c>
      <c r="G569" s="1" t="s">
        <v>1756</v>
      </c>
      <c r="H569" s="1" t="s">
        <v>18</v>
      </c>
    </row>
    <row r="570" spans="1:8">
      <c r="A570" s="1">
        <v>569</v>
      </c>
      <c r="B570" s="1" t="s">
        <v>1760</v>
      </c>
      <c r="C570" s="1" t="s">
        <v>294</v>
      </c>
      <c r="D570" s="1" t="s">
        <v>1761</v>
      </c>
      <c r="E570" s="1" t="s">
        <v>1764</v>
      </c>
      <c r="F570" s="1" t="s">
        <v>1758</v>
      </c>
      <c r="G570" s="1" t="s">
        <v>1759</v>
      </c>
      <c r="H570" s="1" t="s">
        <v>18</v>
      </c>
    </row>
    <row r="571" spans="1:8">
      <c r="A571" s="1">
        <v>570</v>
      </c>
      <c r="B571" s="1" t="s">
        <v>1765</v>
      </c>
      <c r="C571" s="1" t="s">
        <v>285</v>
      </c>
      <c r="D571" s="1" t="s">
        <v>1766</v>
      </c>
      <c r="E571" s="1" t="s">
        <v>1767</v>
      </c>
      <c r="F571" s="1" t="s">
        <v>1680</v>
      </c>
      <c r="G571" s="1" t="s">
        <v>1681</v>
      </c>
      <c r="H571" s="1" t="s">
        <v>18</v>
      </c>
    </row>
    <row r="572" spans="1:8">
      <c r="A572" s="1">
        <v>571</v>
      </c>
      <c r="B572" s="1" t="s">
        <v>1765</v>
      </c>
      <c r="C572" s="1" t="s">
        <v>290</v>
      </c>
      <c r="D572" s="1" t="s">
        <v>1766</v>
      </c>
      <c r="E572" s="1" t="s">
        <v>1768</v>
      </c>
      <c r="F572" s="1" t="s">
        <v>1755</v>
      </c>
      <c r="G572" s="1" t="s">
        <v>1756</v>
      </c>
      <c r="H572" s="1" t="s">
        <v>18</v>
      </c>
    </row>
    <row r="573" spans="1:8">
      <c r="A573" s="1">
        <v>572</v>
      </c>
      <c r="B573" s="1" t="s">
        <v>1765</v>
      </c>
      <c r="C573" s="1" t="s">
        <v>294</v>
      </c>
      <c r="D573" s="1" t="s">
        <v>1766</v>
      </c>
      <c r="E573" s="1" t="s">
        <v>1769</v>
      </c>
      <c r="F573" s="1" t="s">
        <v>1758</v>
      </c>
      <c r="G573" s="1" t="s">
        <v>1759</v>
      </c>
      <c r="H573" s="1" t="s">
        <v>18</v>
      </c>
    </row>
    <row r="574" spans="1:8">
      <c r="A574" s="1">
        <v>573</v>
      </c>
      <c r="B574" s="1" t="s">
        <v>1770</v>
      </c>
      <c r="C574" s="1" t="s">
        <v>267</v>
      </c>
      <c r="D574" s="1" t="s">
        <v>1771</v>
      </c>
      <c r="E574" s="1" t="s">
        <v>1772</v>
      </c>
      <c r="F574" s="1" t="s">
        <v>1677</v>
      </c>
      <c r="G574" s="1" t="s">
        <v>1678</v>
      </c>
      <c r="H574" s="1" t="s">
        <v>18</v>
      </c>
    </row>
    <row r="575" spans="1:8">
      <c r="A575" s="1">
        <v>574</v>
      </c>
      <c r="B575" s="1" t="s">
        <v>1770</v>
      </c>
      <c r="C575" s="1" t="s">
        <v>272</v>
      </c>
      <c r="D575" s="1" t="s">
        <v>1771</v>
      </c>
      <c r="E575" s="1" t="s">
        <v>1773</v>
      </c>
      <c r="F575" s="1" t="s">
        <v>1774</v>
      </c>
      <c r="G575" s="1" t="s">
        <v>1775</v>
      </c>
      <c r="H575" s="1" t="s">
        <v>18</v>
      </c>
    </row>
    <row r="576" spans="1:8">
      <c r="A576" s="1">
        <v>575</v>
      </c>
      <c r="B576" s="1" t="s">
        <v>1770</v>
      </c>
      <c r="C576" s="1" t="s">
        <v>276</v>
      </c>
      <c r="D576" s="1" t="s">
        <v>1771</v>
      </c>
      <c r="E576" s="1" t="s">
        <v>1776</v>
      </c>
      <c r="F576" s="1" t="s">
        <v>1777</v>
      </c>
      <c r="G576" s="1" t="s">
        <v>1778</v>
      </c>
      <c r="H576" s="1" t="s">
        <v>18</v>
      </c>
    </row>
    <row r="577" spans="1:8">
      <c r="A577" s="1">
        <v>576</v>
      </c>
      <c r="B577" s="1" t="s">
        <v>1770</v>
      </c>
      <c r="C577" s="1" t="s">
        <v>280</v>
      </c>
      <c r="D577" s="1" t="s">
        <v>1771</v>
      </c>
      <c r="E577" s="1" t="s">
        <v>1779</v>
      </c>
      <c r="F577" s="1" t="s">
        <v>1780</v>
      </c>
      <c r="G577" s="1" t="s">
        <v>1781</v>
      </c>
      <c r="H577" s="1" t="s">
        <v>18</v>
      </c>
    </row>
    <row r="578" spans="1:8">
      <c r="A578" s="1">
        <v>577</v>
      </c>
      <c r="B578" s="1" t="s">
        <v>1782</v>
      </c>
      <c r="C578" s="1" t="s">
        <v>267</v>
      </c>
      <c r="D578" s="1" t="s">
        <v>1783</v>
      </c>
      <c r="E578" s="1" t="s">
        <v>1784</v>
      </c>
      <c r="F578" s="1" t="s">
        <v>1677</v>
      </c>
      <c r="G578" s="1" t="s">
        <v>1678</v>
      </c>
      <c r="H578" s="1" t="s">
        <v>18</v>
      </c>
    </row>
    <row r="579" spans="1:8">
      <c r="A579" s="1">
        <v>578</v>
      </c>
      <c r="B579" s="1" t="s">
        <v>1782</v>
      </c>
      <c r="C579" s="1" t="s">
        <v>272</v>
      </c>
      <c r="D579" s="1" t="s">
        <v>1783</v>
      </c>
      <c r="E579" s="1" t="s">
        <v>1785</v>
      </c>
      <c r="F579" s="1" t="s">
        <v>1774</v>
      </c>
      <c r="G579" s="1" t="s">
        <v>1775</v>
      </c>
      <c r="H579" s="1" t="s">
        <v>18</v>
      </c>
    </row>
    <row r="580" spans="1:8">
      <c r="A580" s="1">
        <v>579</v>
      </c>
      <c r="B580" s="1" t="s">
        <v>1782</v>
      </c>
      <c r="C580" s="1" t="s">
        <v>276</v>
      </c>
      <c r="D580" s="1" t="s">
        <v>1783</v>
      </c>
      <c r="E580" s="1" t="s">
        <v>1786</v>
      </c>
      <c r="F580" s="1" t="s">
        <v>1777</v>
      </c>
      <c r="G580" s="1" t="s">
        <v>1778</v>
      </c>
      <c r="H580" s="1" t="s">
        <v>18</v>
      </c>
    </row>
    <row r="581" spans="1:8">
      <c r="A581" s="1">
        <v>580</v>
      </c>
      <c r="B581" s="1" t="s">
        <v>1782</v>
      </c>
      <c r="C581" s="1" t="s">
        <v>280</v>
      </c>
      <c r="D581" s="1" t="s">
        <v>1783</v>
      </c>
      <c r="E581" s="1" t="s">
        <v>1787</v>
      </c>
      <c r="F581" s="1" t="s">
        <v>1780</v>
      </c>
      <c r="G581" s="1" t="s">
        <v>1781</v>
      </c>
      <c r="H581" s="1" t="s">
        <v>18</v>
      </c>
    </row>
    <row r="582" spans="1:8">
      <c r="A582" s="1">
        <v>581</v>
      </c>
      <c r="B582" s="1" t="s">
        <v>1788</v>
      </c>
      <c r="C582" s="1" t="s">
        <v>285</v>
      </c>
      <c r="D582" s="1" t="s">
        <v>1789</v>
      </c>
      <c r="E582" s="1" t="s">
        <v>1790</v>
      </c>
      <c r="F582" s="1" t="s">
        <v>1791</v>
      </c>
      <c r="G582" s="1" t="s">
        <v>1792</v>
      </c>
      <c r="H582" s="1" t="s">
        <v>18</v>
      </c>
    </row>
    <row r="583" spans="1:8">
      <c r="A583" s="1">
        <v>582</v>
      </c>
      <c r="B583" s="1" t="s">
        <v>1788</v>
      </c>
      <c r="C583" s="1" t="s">
        <v>290</v>
      </c>
      <c r="D583" s="1" t="s">
        <v>1789</v>
      </c>
      <c r="E583" s="1" t="s">
        <v>1793</v>
      </c>
      <c r="F583" s="1" t="s">
        <v>1725</v>
      </c>
      <c r="G583" s="1" t="s">
        <v>1726</v>
      </c>
      <c r="H583" s="1" t="s">
        <v>18</v>
      </c>
    </row>
    <row r="584" spans="1:8">
      <c r="A584" s="1">
        <v>583</v>
      </c>
      <c r="B584" s="1" t="s">
        <v>1788</v>
      </c>
      <c r="C584" s="1" t="s">
        <v>294</v>
      </c>
      <c r="D584" s="1" t="s">
        <v>1789</v>
      </c>
      <c r="E584" s="1" t="s">
        <v>1794</v>
      </c>
      <c r="F584" s="1" t="s">
        <v>29</v>
      </c>
      <c r="G584" s="1" t="s">
        <v>30</v>
      </c>
      <c r="H584" s="1" t="s">
        <v>18</v>
      </c>
    </row>
    <row r="585" spans="1:8">
      <c r="A585" s="1">
        <v>584</v>
      </c>
      <c r="B585" s="1" t="s">
        <v>1795</v>
      </c>
      <c r="C585" s="1" t="s">
        <v>285</v>
      </c>
      <c r="D585" s="1" t="s">
        <v>1796</v>
      </c>
      <c r="E585" s="1" t="s">
        <v>1797</v>
      </c>
      <c r="F585" s="1" t="s">
        <v>1791</v>
      </c>
      <c r="G585" s="1" t="s">
        <v>1792</v>
      </c>
      <c r="H585" s="1" t="s">
        <v>18</v>
      </c>
    </row>
    <row r="586" spans="1:8">
      <c r="A586" s="1">
        <v>585</v>
      </c>
      <c r="B586" s="1" t="s">
        <v>1795</v>
      </c>
      <c r="C586" s="1" t="s">
        <v>290</v>
      </c>
      <c r="D586" s="1" t="s">
        <v>1796</v>
      </c>
      <c r="E586" s="1" t="s">
        <v>1798</v>
      </c>
      <c r="F586" s="1" t="s">
        <v>1725</v>
      </c>
      <c r="G586" s="1" t="s">
        <v>1726</v>
      </c>
      <c r="H586" s="1" t="s">
        <v>18</v>
      </c>
    </row>
    <row r="587" spans="1:8">
      <c r="A587" s="1">
        <v>586</v>
      </c>
      <c r="B587" s="1" t="s">
        <v>1795</v>
      </c>
      <c r="C587" s="1" t="s">
        <v>294</v>
      </c>
      <c r="D587" s="1" t="s">
        <v>1796</v>
      </c>
      <c r="E587" s="1" t="s">
        <v>1799</v>
      </c>
      <c r="F587" s="1" t="s">
        <v>29</v>
      </c>
      <c r="G587" s="1" t="s">
        <v>30</v>
      </c>
      <c r="H587" s="1" t="s">
        <v>18</v>
      </c>
    </row>
    <row r="588" spans="1:8">
      <c r="A588" s="1">
        <v>587</v>
      </c>
      <c r="B588" s="1" t="s">
        <v>1800</v>
      </c>
      <c r="C588" s="1" t="s">
        <v>267</v>
      </c>
      <c r="D588" s="1" t="s">
        <v>1801</v>
      </c>
      <c r="E588" s="1" t="s">
        <v>1802</v>
      </c>
      <c r="F588" s="1" t="s">
        <v>1803</v>
      </c>
      <c r="G588" s="1" t="s">
        <v>1804</v>
      </c>
      <c r="H588" s="1" t="s">
        <v>18</v>
      </c>
    </row>
    <row r="589" spans="1:8">
      <c r="A589" s="1">
        <v>588</v>
      </c>
      <c r="B589" s="1" t="s">
        <v>1800</v>
      </c>
      <c r="C589" s="1" t="s">
        <v>272</v>
      </c>
      <c r="D589" s="1" t="s">
        <v>1801</v>
      </c>
      <c r="E589" s="1" t="s">
        <v>1805</v>
      </c>
      <c r="F589" s="1" t="s">
        <v>1806</v>
      </c>
      <c r="G589" s="1" t="s">
        <v>1807</v>
      </c>
      <c r="H589" s="1" t="s">
        <v>18</v>
      </c>
    </row>
    <row r="590" spans="1:8">
      <c r="A590" s="1">
        <v>589</v>
      </c>
      <c r="B590" s="1" t="s">
        <v>1800</v>
      </c>
      <c r="C590" s="1" t="s">
        <v>276</v>
      </c>
      <c r="D590" s="1" t="s">
        <v>1801</v>
      </c>
      <c r="E590" s="1" t="s">
        <v>1808</v>
      </c>
      <c r="F590" s="1" t="s">
        <v>1680</v>
      </c>
      <c r="G590" s="1" t="s">
        <v>1681</v>
      </c>
      <c r="H590" s="1" t="s">
        <v>18</v>
      </c>
    </row>
    <row r="591" spans="1:8">
      <c r="A591" s="1">
        <v>590</v>
      </c>
      <c r="B591" s="1" t="s">
        <v>1800</v>
      </c>
      <c r="C591" s="1" t="s">
        <v>280</v>
      </c>
      <c r="D591" s="1" t="s">
        <v>1801</v>
      </c>
      <c r="E591" s="1" t="s">
        <v>1809</v>
      </c>
      <c r="F591" s="1" t="s">
        <v>1755</v>
      </c>
      <c r="G591" s="1" t="s">
        <v>1756</v>
      </c>
      <c r="H591" s="1" t="s">
        <v>18</v>
      </c>
    </row>
    <row r="592" spans="1:8">
      <c r="A592" s="1">
        <v>591</v>
      </c>
      <c r="B592" s="1" t="s">
        <v>1810</v>
      </c>
      <c r="C592" s="1" t="s">
        <v>267</v>
      </c>
      <c r="D592" s="1" t="s">
        <v>1811</v>
      </c>
      <c r="E592" s="1" t="s">
        <v>1812</v>
      </c>
      <c r="F592" s="1" t="s">
        <v>1803</v>
      </c>
      <c r="G592" s="1" t="s">
        <v>1804</v>
      </c>
      <c r="H592" s="1" t="s">
        <v>18</v>
      </c>
    </row>
    <row r="593" spans="1:8">
      <c r="A593" s="1">
        <v>592</v>
      </c>
      <c r="B593" s="1" t="s">
        <v>1810</v>
      </c>
      <c r="C593" s="1" t="s">
        <v>272</v>
      </c>
      <c r="D593" s="1" t="s">
        <v>1811</v>
      </c>
      <c r="E593" s="1" t="s">
        <v>1813</v>
      </c>
      <c r="F593" s="1" t="s">
        <v>1806</v>
      </c>
      <c r="G593" s="1" t="s">
        <v>1807</v>
      </c>
      <c r="H593" s="1" t="s">
        <v>18</v>
      </c>
    </row>
    <row r="594" spans="1:8">
      <c r="A594" s="1">
        <v>593</v>
      </c>
      <c r="B594" s="1" t="s">
        <v>1810</v>
      </c>
      <c r="C594" s="1" t="s">
        <v>276</v>
      </c>
      <c r="D594" s="1" t="s">
        <v>1811</v>
      </c>
      <c r="E594" s="1" t="s">
        <v>1814</v>
      </c>
      <c r="F594" s="1" t="s">
        <v>1680</v>
      </c>
      <c r="G594" s="1" t="s">
        <v>1681</v>
      </c>
      <c r="H594" s="1" t="s">
        <v>18</v>
      </c>
    </row>
    <row r="595" spans="1:8">
      <c r="A595" s="1">
        <v>594</v>
      </c>
      <c r="B595" s="1" t="s">
        <v>1810</v>
      </c>
      <c r="C595" s="1" t="s">
        <v>280</v>
      </c>
      <c r="D595" s="1" t="s">
        <v>1811</v>
      </c>
      <c r="E595" s="1" t="s">
        <v>1815</v>
      </c>
      <c r="F595" s="1" t="s">
        <v>1755</v>
      </c>
      <c r="G595" s="1" t="s">
        <v>1756</v>
      </c>
      <c r="H595" s="1" t="s">
        <v>18</v>
      </c>
    </row>
    <row r="596" spans="1:8">
      <c r="A596" s="1">
        <v>595</v>
      </c>
      <c r="B596" s="1" t="s">
        <v>1816</v>
      </c>
      <c r="C596" s="1" t="s">
        <v>84</v>
      </c>
      <c r="D596" s="1" t="s">
        <v>1817</v>
      </c>
      <c r="E596" s="1" t="s">
        <v>1818</v>
      </c>
      <c r="F596" s="1" t="s">
        <v>1819</v>
      </c>
      <c r="G596" s="1" t="s">
        <v>1820</v>
      </c>
      <c r="H596" s="1" t="s">
        <v>18</v>
      </c>
    </row>
    <row r="597" spans="1:8">
      <c r="A597" s="1">
        <v>596</v>
      </c>
      <c r="B597" s="1" t="s">
        <v>1821</v>
      </c>
      <c r="C597" s="1" t="s">
        <v>84</v>
      </c>
      <c r="D597" s="1" t="s">
        <v>1822</v>
      </c>
      <c r="E597" s="1" t="s">
        <v>1823</v>
      </c>
      <c r="F597" s="1" t="s">
        <v>1824</v>
      </c>
      <c r="G597" s="1" t="s">
        <v>1825</v>
      </c>
      <c r="H597" s="1" t="s">
        <v>18</v>
      </c>
    </row>
    <row r="598" spans="1:8">
      <c r="A598" s="1">
        <v>597</v>
      </c>
      <c r="B598" s="1" t="s">
        <v>1826</v>
      </c>
      <c r="C598" s="1" t="s">
        <v>93</v>
      </c>
      <c r="D598" s="1" t="s">
        <v>1827</v>
      </c>
      <c r="E598" s="1" t="s">
        <v>1828</v>
      </c>
      <c r="F598" s="1" t="s">
        <v>12</v>
      </c>
      <c r="G598" s="1" t="s">
        <v>13</v>
      </c>
      <c r="H598" s="1" t="s">
        <v>18</v>
      </c>
    </row>
    <row r="599" spans="1:8">
      <c r="A599" s="1">
        <v>598</v>
      </c>
      <c r="B599" s="1" t="s">
        <v>1826</v>
      </c>
      <c r="C599" s="1" t="s">
        <v>98</v>
      </c>
      <c r="D599" s="1" t="s">
        <v>1827</v>
      </c>
      <c r="E599" s="1" t="s">
        <v>1829</v>
      </c>
      <c r="F599" s="1" t="s">
        <v>16</v>
      </c>
      <c r="G599" s="1" t="s">
        <v>17</v>
      </c>
      <c r="H599" s="1" t="s">
        <v>18</v>
      </c>
    </row>
    <row r="600" spans="1:8">
      <c r="A600" s="1">
        <v>599</v>
      </c>
      <c r="B600" s="1" t="s">
        <v>1826</v>
      </c>
      <c r="C600" s="1" t="s">
        <v>102</v>
      </c>
      <c r="D600" s="1" t="s">
        <v>1827</v>
      </c>
      <c r="E600" s="1" t="s">
        <v>1830</v>
      </c>
      <c r="F600" s="1" t="s">
        <v>21</v>
      </c>
      <c r="G600" s="1" t="s">
        <v>22</v>
      </c>
      <c r="H600" s="1" t="s">
        <v>18</v>
      </c>
    </row>
    <row r="601" spans="1:8">
      <c r="A601" s="1">
        <v>600</v>
      </c>
      <c r="B601" s="1" t="s">
        <v>1826</v>
      </c>
      <c r="C601" s="1" t="s">
        <v>106</v>
      </c>
      <c r="D601" s="1" t="s">
        <v>1827</v>
      </c>
      <c r="E601" s="1" t="s">
        <v>1831</v>
      </c>
      <c r="F601" s="1" t="s">
        <v>37</v>
      </c>
      <c r="G601" s="1" t="s">
        <v>38</v>
      </c>
      <c r="H601" s="1" t="s">
        <v>18</v>
      </c>
    </row>
    <row r="602" spans="1:8">
      <c r="A602" s="1">
        <v>601</v>
      </c>
      <c r="B602" s="1" t="s">
        <v>1826</v>
      </c>
      <c r="C602" s="1" t="s">
        <v>110</v>
      </c>
      <c r="D602" s="1" t="s">
        <v>1827</v>
      </c>
      <c r="E602" s="1" t="s">
        <v>1832</v>
      </c>
      <c r="F602" s="1" t="s">
        <v>41</v>
      </c>
      <c r="G602" s="1" t="s">
        <v>42</v>
      </c>
      <c r="H602" s="1" t="s">
        <v>18</v>
      </c>
    </row>
    <row r="603" spans="1:8">
      <c r="A603" s="1">
        <v>602</v>
      </c>
      <c r="B603" s="1" t="s">
        <v>1826</v>
      </c>
      <c r="C603" s="1" t="s">
        <v>114</v>
      </c>
      <c r="D603" s="1" t="s">
        <v>1827</v>
      </c>
      <c r="E603" s="1" t="s">
        <v>1833</v>
      </c>
      <c r="F603" s="1" t="s">
        <v>1677</v>
      </c>
      <c r="G603" s="1" t="s">
        <v>1678</v>
      </c>
      <c r="H603" s="1" t="s">
        <v>18</v>
      </c>
    </row>
    <row r="604" spans="1:8">
      <c r="A604" s="1">
        <v>603</v>
      </c>
      <c r="B604" s="1" t="s">
        <v>1826</v>
      </c>
      <c r="C604" s="1" t="s">
        <v>118</v>
      </c>
      <c r="D604" s="1" t="s">
        <v>1827</v>
      </c>
      <c r="E604" s="1" t="s">
        <v>1834</v>
      </c>
      <c r="F604" s="1" t="s">
        <v>33</v>
      </c>
      <c r="G604" s="1" t="s">
        <v>34</v>
      </c>
      <c r="H604" s="1" t="s">
        <v>18</v>
      </c>
    </row>
    <row r="605" spans="1:8">
      <c r="A605" s="1">
        <v>604</v>
      </c>
      <c r="B605" s="1" t="s">
        <v>1826</v>
      </c>
      <c r="C605" s="1" t="s">
        <v>122</v>
      </c>
      <c r="D605" s="1" t="s">
        <v>1827</v>
      </c>
      <c r="E605" s="1" t="s">
        <v>1835</v>
      </c>
      <c r="F605" s="1" t="s">
        <v>29</v>
      </c>
      <c r="G605" s="1" t="s">
        <v>30</v>
      </c>
      <c r="H605" s="1" t="s">
        <v>18</v>
      </c>
    </row>
    <row r="606" spans="1:8">
      <c r="A606" s="1">
        <v>605</v>
      </c>
      <c r="B606" s="1" t="s">
        <v>1826</v>
      </c>
      <c r="C606" s="1" t="s">
        <v>126</v>
      </c>
      <c r="D606" s="1" t="s">
        <v>1827</v>
      </c>
      <c r="E606" s="1" t="s">
        <v>1836</v>
      </c>
      <c r="F606" s="1" t="s">
        <v>1680</v>
      </c>
      <c r="G606" s="1" t="s">
        <v>1681</v>
      </c>
      <c r="H606" s="1" t="s">
        <v>18</v>
      </c>
    </row>
    <row r="607" spans="1:8">
      <c r="A607" s="1">
        <v>606</v>
      </c>
      <c r="B607" s="1" t="s">
        <v>1837</v>
      </c>
      <c r="C607" s="1" t="s">
        <v>392</v>
      </c>
      <c r="D607" s="1" t="s">
        <v>1838</v>
      </c>
      <c r="E607" s="1" t="s">
        <v>1839</v>
      </c>
      <c r="F607" s="1" t="s">
        <v>12</v>
      </c>
      <c r="G607" s="1" t="s">
        <v>13</v>
      </c>
      <c r="H607" s="1" t="s">
        <v>18</v>
      </c>
    </row>
    <row r="608" spans="1:8">
      <c r="A608" s="1">
        <v>607</v>
      </c>
      <c r="B608" s="1" t="s">
        <v>1837</v>
      </c>
      <c r="C608" s="1" t="s">
        <v>397</v>
      </c>
      <c r="D608" s="1" t="s">
        <v>1838</v>
      </c>
      <c r="E608" s="1" t="s">
        <v>1840</v>
      </c>
      <c r="F608" s="1" t="s">
        <v>16</v>
      </c>
      <c r="G608" s="1" t="s">
        <v>17</v>
      </c>
      <c r="H608" s="1" t="s">
        <v>18</v>
      </c>
    </row>
    <row r="609" spans="1:8">
      <c r="A609" s="1">
        <v>608</v>
      </c>
      <c r="B609" s="1" t="s">
        <v>1837</v>
      </c>
      <c r="C609" s="1" t="s">
        <v>401</v>
      </c>
      <c r="D609" s="1" t="s">
        <v>1838</v>
      </c>
      <c r="E609" s="1" t="s">
        <v>1841</v>
      </c>
      <c r="F609" s="1" t="s">
        <v>21</v>
      </c>
      <c r="G609" s="1" t="s">
        <v>22</v>
      </c>
      <c r="H609" s="1" t="s">
        <v>18</v>
      </c>
    </row>
    <row r="610" spans="1:8">
      <c r="A610" s="1">
        <v>609</v>
      </c>
      <c r="B610" s="1" t="s">
        <v>1837</v>
      </c>
      <c r="C610" s="1" t="s">
        <v>405</v>
      </c>
      <c r="D610" s="1" t="s">
        <v>1838</v>
      </c>
      <c r="E610" s="1" t="s">
        <v>1842</v>
      </c>
      <c r="F610" s="1" t="s">
        <v>37</v>
      </c>
      <c r="G610" s="1" t="s">
        <v>38</v>
      </c>
      <c r="H610" s="1" t="s">
        <v>18</v>
      </c>
    </row>
    <row r="611" spans="1:8">
      <c r="A611" s="1">
        <v>610</v>
      </c>
      <c r="B611" s="1" t="s">
        <v>1837</v>
      </c>
      <c r="C611" s="1" t="s">
        <v>409</v>
      </c>
      <c r="D611" s="1" t="s">
        <v>1838</v>
      </c>
      <c r="E611" s="1" t="s">
        <v>1843</v>
      </c>
      <c r="F611" s="1" t="s">
        <v>41</v>
      </c>
      <c r="G611" s="1" t="s">
        <v>42</v>
      </c>
      <c r="H611" s="1" t="s">
        <v>18</v>
      </c>
    </row>
    <row r="612" spans="1:8">
      <c r="A612" s="1">
        <v>611</v>
      </c>
      <c r="B612" s="1" t="s">
        <v>1837</v>
      </c>
      <c r="C612" s="1" t="s">
        <v>413</v>
      </c>
      <c r="D612" s="1" t="s">
        <v>1838</v>
      </c>
      <c r="E612" s="1" t="s">
        <v>1844</v>
      </c>
      <c r="F612" s="1" t="s">
        <v>29</v>
      </c>
      <c r="G612" s="1" t="s">
        <v>30</v>
      </c>
      <c r="H612" s="1" t="s">
        <v>18</v>
      </c>
    </row>
    <row r="613" spans="1:8">
      <c r="A613" s="1">
        <v>612</v>
      </c>
      <c r="B613" s="1" t="s">
        <v>1837</v>
      </c>
      <c r="C613" s="1" t="s">
        <v>417</v>
      </c>
      <c r="D613" s="1" t="s">
        <v>1838</v>
      </c>
      <c r="E613" s="1" t="s">
        <v>1845</v>
      </c>
      <c r="F613" s="1" t="s">
        <v>1677</v>
      </c>
      <c r="G613" s="1" t="s">
        <v>1678</v>
      </c>
      <c r="H613" s="1" t="s">
        <v>18</v>
      </c>
    </row>
    <row r="614" spans="1:8">
      <c r="A614" s="1">
        <v>613</v>
      </c>
      <c r="B614" s="1" t="s">
        <v>1846</v>
      </c>
      <c r="C614" s="1" t="s">
        <v>299</v>
      </c>
      <c r="D614" s="1" t="s">
        <v>1847</v>
      </c>
      <c r="E614" s="1" t="s">
        <v>1848</v>
      </c>
      <c r="F614" s="1" t="s">
        <v>12</v>
      </c>
      <c r="G614" s="1" t="s">
        <v>13</v>
      </c>
      <c r="H614" s="1" t="s">
        <v>18</v>
      </c>
    </row>
    <row r="615" spans="1:8">
      <c r="A615" s="1">
        <v>614</v>
      </c>
      <c r="B615" s="1" t="s">
        <v>1846</v>
      </c>
      <c r="C615" s="1" t="s">
        <v>304</v>
      </c>
      <c r="D615" s="1" t="s">
        <v>1847</v>
      </c>
      <c r="E615" s="1" t="s">
        <v>1849</v>
      </c>
      <c r="F615" s="1" t="s">
        <v>16</v>
      </c>
      <c r="G615" s="1" t="s">
        <v>17</v>
      </c>
      <c r="H615" s="1" t="s">
        <v>18</v>
      </c>
    </row>
    <row r="616" spans="1:8">
      <c r="A616" s="1">
        <v>615</v>
      </c>
      <c r="B616" s="1" t="s">
        <v>1846</v>
      </c>
      <c r="C616" s="1" t="s">
        <v>308</v>
      </c>
      <c r="D616" s="1" t="s">
        <v>1847</v>
      </c>
      <c r="E616" s="1" t="s">
        <v>1850</v>
      </c>
      <c r="F616" s="1" t="s">
        <v>21</v>
      </c>
      <c r="G616" s="1" t="s">
        <v>22</v>
      </c>
      <c r="H616" s="1" t="s">
        <v>18</v>
      </c>
    </row>
    <row r="617" spans="1:8">
      <c r="A617" s="1">
        <v>616</v>
      </c>
      <c r="B617" s="1" t="s">
        <v>1846</v>
      </c>
      <c r="C617" s="1" t="s">
        <v>312</v>
      </c>
      <c r="D617" s="1" t="s">
        <v>1847</v>
      </c>
      <c r="E617" s="1" t="s">
        <v>1851</v>
      </c>
      <c r="F617" s="1" t="s">
        <v>25</v>
      </c>
      <c r="G617" s="1" t="s">
        <v>26</v>
      </c>
      <c r="H617" s="1" t="s">
        <v>18</v>
      </c>
    </row>
    <row r="618" spans="1:8">
      <c r="A618" s="1">
        <v>617</v>
      </c>
      <c r="B618" s="1" t="s">
        <v>1846</v>
      </c>
      <c r="C618" s="1" t="s">
        <v>316</v>
      </c>
      <c r="D618" s="1" t="s">
        <v>1847</v>
      </c>
      <c r="E618" s="1" t="s">
        <v>1852</v>
      </c>
      <c r="F618" s="1" t="s">
        <v>1853</v>
      </c>
      <c r="G618" s="1" t="s">
        <v>1854</v>
      </c>
      <c r="H618" s="1" t="s">
        <v>18</v>
      </c>
    </row>
    <row r="619" spans="1:8">
      <c r="A619" s="1">
        <v>618</v>
      </c>
      <c r="B619" s="1" t="s">
        <v>1846</v>
      </c>
      <c r="C619" s="1" t="s">
        <v>320</v>
      </c>
      <c r="D619" s="1" t="s">
        <v>1847</v>
      </c>
      <c r="E619" s="1" t="s">
        <v>1855</v>
      </c>
      <c r="F619" s="1" t="s">
        <v>1856</v>
      </c>
      <c r="G619" s="1" t="s">
        <v>1857</v>
      </c>
      <c r="H619" s="1" t="s">
        <v>18</v>
      </c>
    </row>
    <row r="620" spans="1:8">
      <c r="A620" s="1">
        <v>619</v>
      </c>
      <c r="B620" s="1" t="s">
        <v>1846</v>
      </c>
      <c r="C620" s="1" t="s">
        <v>324</v>
      </c>
      <c r="D620" s="1" t="s">
        <v>1847</v>
      </c>
      <c r="E620" s="1" t="s">
        <v>1858</v>
      </c>
      <c r="F620" s="1" t="s">
        <v>1859</v>
      </c>
      <c r="G620" s="1" t="s">
        <v>1860</v>
      </c>
      <c r="H620" s="1" t="s">
        <v>18</v>
      </c>
    </row>
    <row r="621" spans="1:8">
      <c r="A621" s="1">
        <v>620</v>
      </c>
      <c r="B621" s="1" t="s">
        <v>1846</v>
      </c>
      <c r="C621" s="1" t="s">
        <v>328</v>
      </c>
      <c r="D621" s="1" t="s">
        <v>1847</v>
      </c>
      <c r="E621" s="1" t="s">
        <v>1861</v>
      </c>
      <c r="F621" s="1" t="s">
        <v>37</v>
      </c>
      <c r="G621" s="1" t="s">
        <v>38</v>
      </c>
      <c r="H621" s="1" t="s">
        <v>18</v>
      </c>
    </row>
    <row r="622" spans="1:8">
      <c r="A622" s="1">
        <v>621</v>
      </c>
      <c r="B622" s="1" t="s">
        <v>1846</v>
      </c>
      <c r="C622" s="1" t="s">
        <v>332</v>
      </c>
      <c r="D622" s="1" t="s">
        <v>1847</v>
      </c>
      <c r="E622" s="1" t="s">
        <v>1862</v>
      </c>
      <c r="F622" s="1" t="s">
        <v>41</v>
      </c>
      <c r="G622" s="1" t="s">
        <v>42</v>
      </c>
      <c r="H622" s="1" t="s">
        <v>18</v>
      </c>
    </row>
    <row r="623" spans="1:8">
      <c r="A623" s="1">
        <v>622</v>
      </c>
      <c r="B623" s="1" t="s">
        <v>1846</v>
      </c>
      <c r="C623" s="1" t="s">
        <v>336</v>
      </c>
      <c r="D623" s="1" t="s">
        <v>1847</v>
      </c>
      <c r="E623" s="1" t="s">
        <v>1863</v>
      </c>
      <c r="F623" s="1" t="s">
        <v>1677</v>
      </c>
      <c r="G623" s="1" t="s">
        <v>1678</v>
      </c>
      <c r="H623" s="1" t="s">
        <v>18</v>
      </c>
    </row>
    <row r="624" spans="1:8">
      <c r="A624" s="1">
        <v>623</v>
      </c>
      <c r="B624" s="1" t="s">
        <v>1846</v>
      </c>
      <c r="C624" s="1" t="s">
        <v>340</v>
      </c>
      <c r="D624" s="1" t="s">
        <v>1847</v>
      </c>
      <c r="E624" s="1" t="s">
        <v>1864</v>
      </c>
      <c r="F624" s="1" t="s">
        <v>29</v>
      </c>
      <c r="G624" s="1" t="s">
        <v>30</v>
      </c>
      <c r="H624" s="1" t="s">
        <v>18</v>
      </c>
    </row>
    <row r="625" spans="1:8">
      <c r="A625" s="1">
        <v>624</v>
      </c>
      <c r="B625" s="1" t="s">
        <v>1846</v>
      </c>
      <c r="C625" s="1" t="s">
        <v>344</v>
      </c>
      <c r="D625" s="1" t="s">
        <v>1847</v>
      </c>
      <c r="E625" s="1" t="s">
        <v>1865</v>
      </c>
      <c r="F625" s="1" t="s">
        <v>1680</v>
      </c>
      <c r="G625" s="1" t="s">
        <v>1681</v>
      </c>
      <c r="H625" s="1" t="s">
        <v>18</v>
      </c>
    </row>
    <row r="626" spans="1:8">
      <c r="A626" s="1">
        <v>625</v>
      </c>
      <c r="B626" s="1" t="s">
        <v>1866</v>
      </c>
      <c r="C626" s="1" t="s">
        <v>131</v>
      </c>
      <c r="D626" s="1" t="s">
        <v>1867</v>
      </c>
      <c r="E626" s="1" t="s">
        <v>1868</v>
      </c>
      <c r="F626" s="1" t="s">
        <v>12</v>
      </c>
      <c r="G626" s="1" t="s">
        <v>13</v>
      </c>
      <c r="H626" s="1" t="s">
        <v>18</v>
      </c>
    </row>
    <row r="627" spans="1:8">
      <c r="A627" s="1">
        <v>626</v>
      </c>
      <c r="B627" s="1" t="s">
        <v>1866</v>
      </c>
      <c r="C627" s="1" t="s">
        <v>136</v>
      </c>
      <c r="D627" s="1" t="s">
        <v>1867</v>
      </c>
      <c r="E627" s="1" t="s">
        <v>1869</v>
      </c>
      <c r="F627" s="1" t="s">
        <v>16</v>
      </c>
      <c r="G627" s="1" t="s">
        <v>17</v>
      </c>
      <c r="H627" s="1" t="s">
        <v>18</v>
      </c>
    </row>
    <row r="628" spans="1:8">
      <c r="A628" s="1">
        <v>627</v>
      </c>
      <c r="B628" s="1" t="s">
        <v>1866</v>
      </c>
      <c r="C628" s="1" t="s">
        <v>138</v>
      </c>
      <c r="D628" s="1" t="s">
        <v>1867</v>
      </c>
      <c r="E628" s="1" t="s">
        <v>1870</v>
      </c>
      <c r="F628" s="1" t="s">
        <v>21</v>
      </c>
      <c r="G628" s="1" t="s">
        <v>22</v>
      </c>
      <c r="H628" s="1" t="s">
        <v>18</v>
      </c>
    </row>
    <row r="629" spans="1:8">
      <c r="A629" s="1">
        <v>628</v>
      </c>
      <c r="B629" s="1" t="s">
        <v>1866</v>
      </c>
      <c r="C629" s="1" t="s">
        <v>140</v>
      </c>
      <c r="D629" s="1" t="s">
        <v>1867</v>
      </c>
      <c r="E629" s="1" t="s">
        <v>1871</v>
      </c>
      <c r="F629" s="1" t="s">
        <v>25</v>
      </c>
      <c r="G629" s="1" t="s">
        <v>26</v>
      </c>
      <c r="H629" s="1" t="s">
        <v>18</v>
      </c>
    </row>
    <row r="630" spans="1:8">
      <c r="A630" s="1">
        <v>629</v>
      </c>
      <c r="B630" s="1" t="s">
        <v>1866</v>
      </c>
      <c r="C630" s="1" t="s">
        <v>142</v>
      </c>
      <c r="D630" s="1" t="s">
        <v>1867</v>
      </c>
      <c r="E630" s="1" t="s">
        <v>1872</v>
      </c>
      <c r="F630" s="1" t="s">
        <v>1853</v>
      </c>
      <c r="G630" s="1" t="s">
        <v>1854</v>
      </c>
      <c r="H630" s="1" t="s">
        <v>18</v>
      </c>
    </row>
    <row r="631" spans="1:8">
      <c r="A631" s="1">
        <v>630</v>
      </c>
      <c r="B631" s="1" t="s">
        <v>1866</v>
      </c>
      <c r="C631" s="1" t="s">
        <v>144</v>
      </c>
      <c r="D631" s="1" t="s">
        <v>1867</v>
      </c>
      <c r="E631" s="1" t="s">
        <v>1873</v>
      </c>
      <c r="F631" s="1" t="s">
        <v>37</v>
      </c>
      <c r="G631" s="1" t="s">
        <v>38</v>
      </c>
      <c r="H631" s="1" t="s">
        <v>18</v>
      </c>
    </row>
    <row r="632" spans="1:8">
      <c r="A632" s="1">
        <v>631</v>
      </c>
      <c r="B632" s="1" t="s">
        <v>1866</v>
      </c>
      <c r="C632" s="1" t="s">
        <v>146</v>
      </c>
      <c r="D632" s="1" t="s">
        <v>1867</v>
      </c>
      <c r="E632" s="1" t="s">
        <v>1874</v>
      </c>
      <c r="F632" s="1" t="s">
        <v>41</v>
      </c>
      <c r="G632" s="1" t="s">
        <v>42</v>
      </c>
      <c r="H632" s="1" t="s">
        <v>18</v>
      </c>
    </row>
    <row r="633" spans="1:8">
      <c r="A633" s="1">
        <v>632</v>
      </c>
      <c r="B633" s="1" t="s">
        <v>1866</v>
      </c>
      <c r="C633" s="1" t="s">
        <v>148</v>
      </c>
      <c r="D633" s="1" t="s">
        <v>1867</v>
      </c>
      <c r="E633" s="1" t="s">
        <v>1875</v>
      </c>
      <c r="F633" s="1" t="s">
        <v>1677</v>
      </c>
      <c r="G633" s="1" t="s">
        <v>1678</v>
      </c>
      <c r="H633" s="1" t="s">
        <v>18</v>
      </c>
    </row>
    <row r="634" spans="1:8">
      <c r="A634" s="1">
        <v>633</v>
      </c>
      <c r="B634" s="1" t="s">
        <v>1866</v>
      </c>
      <c r="C634" s="1" t="s">
        <v>150</v>
      </c>
      <c r="D634" s="1" t="s">
        <v>1867</v>
      </c>
      <c r="E634" s="1" t="s">
        <v>1876</v>
      </c>
      <c r="F634" s="1" t="s">
        <v>29</v>
      </c>
      <c r="G634" s="1" t="s">
        <v>30</v>
      </c>
      <c r="H634" s="1" t="s">
        <v>18</v>
      </c>
    </row>
    <row r="635" spans="1:8">
      <c r="A635" s="1">
        <v>634</v>
      </c>
      <c r="B635" s="1" t="s">
        <v>1866</v>
      </c>
      <c r="C635" s="1" t="s">
        <v>152</v>
      </c>
      <c r="D635" s="1" t="s">
        <v>1867</v>
      </c>
      <c r="E635" s="1" t="s">
        <v>1877</v>
      </c>
      <c r="F635" s="1" t="s">
        <v>1680</v>
      </c>
      <c r="G635" s="1" t="s">
        <v>1681</v>
      </c>
      <c r="H635" s="1" t="s">
        <v>18</v>
      </c>
    </row>
    <row r="636" spans="1:8">
      <c r="A636" s="1">
        <v>635</v>
      </c>
      <c r="B636" s="1" t="s">
        <v>1878</v>
      </c>
      <c r="C636" s="1" t="s">
        <v>93</v>
      </c>
      <c r="D636" s="1" t="s">
        <v>1879</v>
      </c>
      <c r="E636" s="1" t="s">
        <v>1880</v>
      </c>
      <c r="F636" s="1" t="s">
        <v>12</v>
      </c>
      <c r="G636" s="1" t="s">
        <v>13</v>
      </c>
      <c r="H636" s="1" t="s">
        <v>18</v>
      </c>
    </row>
    <row r="637" spans="1:8">
      <c r="A637" s="1">
        <v>636</v>
      </c>
      <c r="B637" s="1" t="s">
        <v>1878</v>
      </c>
      <c r="C637" s="1" t="s">
        <v>98</v>
      </c>
      <c r="D637" s="1" t="s">
        <v>1879</v>
      </c>
      <c r="E637" s="1" t="s">
        <v>1881</v>
      </c>
      <c r="F637" s="1" t="s">
        <v>16</v>
      </c>
      <c r="G637" s="1" t="s">
        <v>17</v>
      </c>
      <c r="H637" s="1" t="s">
        <v>18</v>
      </c>
    </row>
    <row r="638" spans="1:8">
      <c r="A638" s="1">
        <v>637</v>
      </c>
      <c r="B638" s="1" t="s">
        <v>1878</v>
      </c>
      <c r="C638" s="1" t="s">
        <v>102</v>
      </c>
      <c r="D638" s="1" t="s">
        <v>1879</v>
      </c>
      <c r="E638" s="1" t="s">
        <v>1882</v>
      </c>
      <c r="F638" s="1" t="s">
        <v>21</v>
      </c>
      <c r="G638" s="1" t="s">
        <v>22</v>
      </c>
      <c r="H638" s="1" t="s">
        <v>18</v>
      </c>
    </row>
    <row r="639" spans="1:8">
      <c r="A639" s="1">
        <v>638</v>
      </c>
      <c r="B639" s="1" t="s">
        <v>1878</v>
      </c>
      <c r="C639" s="1" t="s">
        <v>106</v>
      </c>
      <c r="D639" s="1" t="s">
        <v>1879</v>
      </c>
      <c r="E639" s="1" t="s">
        <v>1883</v>
      </c>
      <c r="F639" s="1" t="s">
        <v>1853</v>
      </c>
      <c r="G639" s="1" t="s">
        <v>1854</v>
      </c>
      <c r="H639" s="1" t="s">
        <v>18</v>
      </c>
    </row>
    <row r="640" spans="1:8">
      <c r="A640" s="1">
        <v>639</v>
      </c>
      <c r="B640" s="1" t="s">
        <v>1878</v>
      </c>
      <c r="C640" s="1" t="s">
        <v>110</v>
      </c>
      <c r="D640" s="1" t="s">
        <v>1879</v>
      </c>
      <c r="E640" s="1" t="s">
        <v>1884</v>
      </c>
      <c r="F640" s="1" t="s">
        <v>37</v>
      </c>
      <c r="G640" s="1" t="s">
        <v>38</v>
      </c>
      <c r="H640" s="1" t="s">
        <v>18</v>
      </c>
    </row>
    <row r="641" spans="1:8">
      <c r="A641" s="1">
        <v>640</v>
      </c>
      <c r="B641" s="1" t="s">
        <v>1878</v>
      </c>
      <c r="C641" s="1" t="s">
        <v>114</v>
      </c>
      <c r="D641" s="1" t="s">
        <v>1879</v>
      </c>
      <c r="E641" s="1" t="s">
        <v>1885</v>
      </c>
      <c r="F641" s="1" t="s">
        <v>41</v>
      </c>
      <c r="G641" s="1" t="s">
        <v>42</v>
      </c>
      <c r="H641" s="1" t="s">
        <v>18</v>
      </c>
    </row>
    <row r="642" spans="1:8">
      <c r="A642" s="1">
        <v>641</v>
      </c>
      <c r="B642" s="1" t="s">
        <v>1878</v>
      </c>
      <c r="C642" s="1" t="s">
        <v>118</v>
      </c>
      <c r="D642" s="1" t="s">
        <v>1879</v>
      </c>
      <c r="E642" s="1" t="s">
        <v>1886</v>
      </c>
      <c r="F642" s="1" t="s">
        <v>1677</v>
      </c>
      <c r="G642" s="1" t="s">
        <v>1678</v>
      </c>
      <c r="H642" s="1" t="s">
        <v>18</v>
      </c>
    </row>
    <row r="643" spans="1:8">
      <c r="A643" s="1">
        <v>642</v>
      </c>
      <c r="B643" s="1" t="s">
        <v>1878</v>
      </c>
      <c r="C643" s="1" t="s">
        <v>122</v>
      </c>
      <c r="D643" s="1" t="s">
        <v>1879</v>
      </c>
      <c r="E643" s="1" t="s">
        <v>1887</v>
      </c>
      <c r="F643" s="1" t="s">
        <v>29</v>
      </c>
      <c r="G643" s="1" t="s">
        <v>30</v>
      </c>
      <c r="H643" s="1" t="s">
        <v>18</v>
      </c>
    </row>
    <row r="644" spans="1:8">
      <c r="A644" s="1">
        <v>643</v>
      </c>
      <c r="B644" s="1" t="s">
        <v>1878</v>
      </c>
      <c r="C644" s="1" t="s">
        <v>126</v>
      </c>
      <c r="D644" s="1" t="s">
        <v>1879</v>
      </c>
      <c r="E644" s="1" t="s">
        <v>1888</v>
      </c>
      <c r="F644" s="1" t="s">
        <v>1680</v>
      </c>
      <c r="G644" s="1" t="s">
        <v>1681</v>
      </c>
      <c r="H644" s="1" t="s">
        <v>18</v>
      </c>
    </row>
    <row r="645" spans="1:8">
      <c r="A645" s="1">
        <v>644</v>
      </c>
      <c r="B645" s="1" t="s">
        <v>1889</v>
      </c>
      <c r="C645" s="1" t="s">
        <v>201</v>
      </c>
      <c r="D645" s="1" t="s">
        <v>1890</v>
      </c>
      <c r="E645" s="1" t="s">
        <v>1891</v>
      </c>
      <c r="F645" s="1" t="s">
        <v>1892</v>
      </c>
      <c r="G645" s="1" t="s">
        <v>1893</v>
      </c>
      <c r="H645" s="1" t="s">
        <v>18</v>
      </c>
    </row>
    <row r="646" spans="1:8">
      <c r="A646" s="1">
        <v>645</v>
      </c>
      <c r="B646" s="1" t="s">
        <v>1889</v>
      </c>
      <c r="C646" s="1" t="s">
        <v>206</v>
      </c>
      <c r="D646" s="1" t="s">
        <v>1890</v>
      </c>
      <c r="E646" s="1" t="s">
        <v>1894</v>
      </c>
      <c r="F646" s="1" t="s">
        <v>1895</v>
      </c>
      <c r="G646" s="1" t="s">
        <v>1896</v>
      </c>
      <c r="H646" s="1" t="s">
        <v>18</v>
      </c>
    </row>
    <row r="647" spans="1:8">
      <c r="A647" s="1">
        <v>646</v>
      </c>
      <c r="B647" s="1" t="s">
        <v>1897</v>
      </c>
      <c r="C647" s="1" t="s">
        <v>9</v>
      </c>
      <c r="D647" s="1" t="s">
        <v>1898</v>
      </c>
      <c r="E647" s="1" t="s">
        <v>1899</v>
      </c>
      <c r="F647" s="1" t="s">
        <v>12</v>
      </c>
      <c r="G647" s="1" t="s">
        <v>13</v>
      </c>
      <c r="H647" s="1" t="s">
        <v>18</v>
      </c>
    </row>
    <row r="648" spans="1:8">
      <c r="A648" s="1">
        <v>647</v>
      </c>
      <c r="B648" s="1" t="s">
        <v>1897</v>
      </c>
      <c r="C648" s="1" t="s">
        <v>14</v>
      </c>
      <c r="D648" s="1" t="s">
        <v>1898</v>
      </c>
      <c r="E648" s="1" t="s">
        <v>1900</v>
      </c>
      <c r="F648" s="1" t="s">
        <v>16</v>
      </c>
      <c r="G648" s="1" t="s">
        <v>17</v>
      </c>
      <c r="H648" s="1" t="s">
        <v>18</v>
      </c>
    </row>
    <row r="649" spans="1:8">
      <c r="A649" s="1">
        <v>648</v>
      </c>
      <c r="B649" s="1" t="s">
        <v>1897</v>
      </c>
      <c r="C649" s="1" t="s">
        <v>19</v>
      </c>
      <c r="D649" s="1" t="s">
        <v>1898</v>
      </c>
      <c r="E649" s="1" t="s">
        <v>1901</v>
      </c>
      <c r="F649" s="1" t="s">
        <v>21</v>
      </c>
      <c r="G649" s="1" t="s">
        <v>22</v>
      </c>
      <c r="H649" s="1" t="s">
        <v>18</v>
      </c>
    </row>
    <row r="650" spans="1:8">
      <c r="A650" s="1">
        <v>649</v>
      </c>
      <c r="B650" s="1" t="s">
        <v>1897</v>
      </c>
      <c r="C650" s="1" t="s">
        <v>23</v>
      </c>
      <c r="D650" s="1" t="s">
        <v>1898</v>
      </c>
      <c r="E650" s="1" t="s">
        <v>1902</v>
      </c>
      <c r="F650" s="1" t="s">
        <v>25</v>
      </c>
      <c r="G650" s="1" t="s">
        <v>26</v>
      </c>
      <c r="H650" s="1" t="s">
        <v>18</v>
      </c>
    </row>
    <row r="651" spans="1:8">
      <c r="A651" s="1">
        <v>650</v>
      </c>
      <c r="B651" s="1" t="s">
        <v>1897</v>
      </c>
      <c r="C651" s="1" t="s">
        <v>27</v>
      </c>
      <c r="D651" s="1" t="s">
        <v>1898</v>
      </c>
      <c r="E651" s="1" t="s">
        <v>1903</v>
      </c>
      <c r="F651" s="1" t="s">
        <v>37</v>
      </c>
      <c r="G651" s="1" t="s">
        <v>38</v>
      </c>
      <c r="H651" s="1" t="s">
        <v>18</v>
      </c>
    </row>
    <row r="652" spans="1:8">
      <c r="A652" s="1">
        <v>651</v>
      </c>
      <c r="B652" s="1" t="s">
        <v>1897</v>
      </c>
      <c r="C652" s="1" t="s">
        <v>31</v>
      </c>
      <c r="D652" s="1" t="s">
        <v>1898</v>
      </c>
      <c r="E652" s="1" t="s">
        <v>1904</v>
      </c>
      <c r="F652" s="1" t="s">
        <v>41</v>
      </c>
      <c r="G652" s="1" t="s">
        <v>42</v>
      </c>
      <c r="H652" s="1" t="s">
        <v>18</v>
      </c>
    </row>
    <row r="653" spans="1:8">
      <c r="A653" s="1">
        <v>652</v>
      </c>
      <c r="B653" s="1" t="s">
        <v>1897</v>
      </c>
      <c r="C653" s="1" t="s">
        <v>35</v>
      </c>
      <c r="D653" s="1" t="s">
        <v>1898</v>
      </c>
      <c r="E653" s="1" t="s">
        <v>1905</v>
      </c>
      <c r="F653" s="1" t="s">
        <v>33</v>
      </c>
      <c r="G653" s="1" t="s">
        <v>34</v>
      </c>
      <c r="H653" s="1" t="s">
        <v>18</v>
      </c>
    </row>
    <row r="654" spans="1:8">
      <c r="A654" s="1">
        <v>653</v>
      </c>
      <c r="B654" s="1" t="s">
        <v>1897</v>
      </c>
      <c r="C654" s="1" t="s">
        <v>39</v>
      </c>
      <c r="D654" s="1" t="s">
        <v>1898</v>
      </c>
      <c r="E654" s="1" t="s">
        <v>1906</v>
      </c>
      <c r="F654" s="1" t="s">
        <v>29</v>
      </c>
      <c r="G654" s="1" t="s">
        <v>30</v>
      </c>
      <c r="H654" s="1" t="s">
        <v>18</v>
      </c>
    </row>
    <row r="655" spans="1:8">
      <c r="A655" s="1">
        <v>654</v>
      </c>
      <c r="B655" s="1" t="s">
        <v>1907</v>
      </c>
      <c r="C655" s="1" t="s">
        <v>93</v>
      </c>
      <c r="D655" s="1" t="s">
        <v>1908</v>
      </c>
      <c r="E655" s="1" t="s">
        <v>1909</v>
      </c>
      <c r="F655" s="1" t="s">
        <v>12</v>
      </c>
      <c r="G655" s="1" t="s">
        <v>13</v>
      </c>
      <c r="H655" s="1" t="s">
        <v>18</v>
      </c>
    </row>
    <row r="656" spans="1:8">
      <c r="A656" s="1">
        <v>655</v>
      </c>
      <c r="B656" s="1" t="s">
        <v>1907</v>
      </c>
      <c r="C656" s="1" t="s">
        <v>98</v>
      </c>
      <c r="D656" s="1" t="s">
        <v>1908</v>
      </c>
      <c r="E656" s="1" t="s">
        <v>1910</v>
      </c>
      <c r="F656" s="1" t="s">
        <v>16</v>
      </c>
      <c r="G656" s="1" t="s">
        <v>17</v>
      </c>
      <c r="H656" s="1" t="s">
        <v>18</v>
      </c>
    </row>
    <row r="657" spans="1:8">
      <c r="A657" s="1">
        <v>656</v>
      </c>
      <c r="B657" s="1" t="s">
        <v>1907</v>
      </c>
      <c r="C657" s="1" t="s">
        <v>102</v>
      </c>
      <c r="D657" s="1" t="s">
        <v>1908</v>
      </c>
      <c r="E657" s="1" t="s">
        <v>1911</v>
      </c>
      <c r="F657" s="1" t="s">
        <v>21</v>
      </c>
      <c r="G657" s="1" t="s">
        <v>22</v>
      </c>
      <c r="H657" s="1" t="s">
        <v>18</v>
      </c>
    </row>
    <row r="658" spans="1:8">
      <c r="A658" s="1">
        <v>657</v>
      </c>
      <c r="B658" s="1" t="s">
        <v>1907</v>
      </c>
      <c r="C658" s="1" t="s">
        <v>106</v>
      </c>
      <c r="D658" s="1" t="s">
        <v>1908</v>
      </c>
      <c r="E658" s="1" t="s">
        <v>1912</v>
      </c>
      <c r="F658" s="1" t="s">
        <v>25</v>
      </c>
      <c r="G658" s="1" t="s">
        <v>26</v>
      </c>
      <c r="H658" s="1" t="s">
        <v>18</v>
      </c>
    </row>
    <row r="659" spans="1:8">
      <c r="A659" s="1">
        <v>658</v>
      </c>
      <c r="B659" s="1" t="s">
        <v>1907</v>
      </c>
      <c r="C659" s="1" t="s">
        <v>110</v>
      </c>
      <c r="D659" s="1" t="s">
        <v>1908</v>
      </c>
      <c r="E659" s="1" t="s">
        <v>1913</v>
      </c>
      <c r="F659" s="1" t="s">
        <v>37</v>
      </c>
      <c r="G659" s="1" t="s">
        <v>38</v>
      </c>
      <c r="H659" s="1" t="s">
        <v>18</v>
      </c>
    </row>
    <row r="660" spans="1:8">
      <c r="A660" s="1">
        <v>659</v>
      </c>
      <c r="B660" s="1" t="s">
        <v>1907</v>
      </c>
      <c r="C660" s="1" t="s">
        <v>114</v>
      </c>
      <c r="D660" s="1" t="s">
        <v>1908</v>
      </c>
      <c r="E660" s="1" t="s">
        <v>1914</v>
      </c>
      <c r="F660" s="1" t="s">
        <v>41</v>
      </c>
      <c r="G660" s="1" t="s">
        <v>42</v>
      </c>
      <c r="H660" s="1" t="s">
        <v>18</v>
      </c>
    </row>
    <row r="661" spans="1:8">
      <c r="A661" s="1">
        <v>660</v>
      </c>
      <c r="B661" s="1" t="s">
        <v>1907</v>
      </c>
      <c r="C661" s="1" t="s">
        <v>118</v>
      </c>
      <c r="D661" s="1" t="s">
        <v>1908</v>
      </c>
      <c r="E661" s="1" t="s">
        <v>1915</v>
      </c>
      <c r="F661" s="1" t="s">
        <v>33</v>
      </c>
      <c r="G661" s="1" t="s">
        <v>34</v>
      </c>
      <c r="H661" s="1" t="s">
        <v>18</v>
      </c>
    </row>
    <row r="662" spans="1:8">
      <c r="A662" s="1">
        <v>661</v>
      </c>
      <c r="B662" s="1" t="s">
        <v>1907</v>
      </c>
      <c r="C662" s="1" t="s">
        <v>122</v>
      </c>
      <c r="D662" s="1" t="s">
        <v>1908</v>
      </c>
      <c r="E662" s="1" t="s">
        <v>1916</v>
      </c>
      <c r="F662" s="1" t="s">
        <v>1677</v>
      </c>
      <c r="G662" s="1" t="s">
        <v>1678</v>
      </c>
      <c r="H662" s="1" t="s">
        <v>18</v>
      </c>
    </row>
    <row r="663" spans="1:8">
      <c r="A663" s="1">
        <v>662</v>
      </c>
      <c r="B663" s="1" t="s">
        <v>1907</v>
      </c>
      <c r="C663" s="1" t="s">
        <v>126</v>
      </c>
      <c r="D663" s="1" t="s">
        <v>1908</v>
      </c>
      <c r="E663" s="1" t="s">
        <v>1917</v>
      </c>
      <c r="F663" s="1" t="s">
        <v>29</v>
      </c>
      <c r="G663" s="1" t="s">
        <v>30</v>
      </c>
      <c r="H663" s="1" t="s">
        <v>18</v>
      </c>
    </row>
    <row r="664" spans="1:8">
      <c r="A664" s="1">
        <v>663</v>
      </c>
      <c r="B664" s="1" t="s">
        <v>1918</v>
      </c>
      <c r="C664" s="1" t="s">
        <v>9</v>
      </c>
      <c r="D664" s="1" t="s">
        <v>1919</v>
      </c>
      <c r="E664" s="1" t="s">
        <v>1920</v>
      </c>
      <c r="F664" s="1" t="s">
        <v>25</v>
      </c>
      <c r="G664" s="1" t="s">
        <v>26</v>
      </c>
      <c r="H664" s="1" t="s">
        <v>18</v>
      </c>
    </row>
    <row r="665" spans="1:8">
      <c r="A665" s="1">
        <v>664</v>
      </c>
      <c r="B665" s="1" t="s">
        <v>1918</v>
      </c>
      <c r="C665" s="1" t="s">
        <v>14</v>
      </c>
      <c r="D665" s="1" t="s">
        <v>1919</v>
      </c>
      <c r="E665" s="1" t="s">
        <v>1921</v>
      </c>
      <c r="F665" s="1" t="s">
        <v>12</v>
      </c>
      <c r="G665" s="1" t="s">
        <v>13</v>
      </c>
      <c r="H665" s="1" t="s">
        <v>18</v>
      </c>
    </row>
    <row r="666" spans="1:8">
      <c r="A666" s="1">
        <v>665</v>
      </c>
      <c r="B666" s="1" t="s">
        <v>1918</v>
      </c>
      <c r="C666" s="1" t="s">
        <v>19</v>
      </c>
      <c r="D666" s="1" t="s">
        <v>1919</v>
      </c>
      <c r="E666" s="1" t="s">
        <v>1922</v>
      </c>
      <c r="F666" s="1" t="s">
        <v>16</v>
      </c>
      <c r="G666" s="1" t="s">
        <v>17</v>
      </c>
      <c r="H666" s="1" t="s">
        <v>18</v>
      </c>
    </row>
    <row r="667" spans="1:8">
      <c r="A667" s="1">
        <v>666</v>
      </c>
      <c r="B667" s="1" t="s">
        <v>1918</v>
      </c>
      <c r="C667" s="1" t="s">
        <v>23</v>
      </c>
      <c r="D667" s="1" t="s">
        <v>1919</v>
      </c>
      <c r="E667" s="1" t="s">
        <v>1923</v>
      </c>
      <c r="F667" s="1" t="s">
        <v>21</v>
      </c>
      <c r="G667" s="1" t="s">
        <v>22</v>
      </c>
      <c r="H667" s="1" t="s">
        <v>18</v>
      </c>
    </row>
    <row r="668" spans="1:8">
      <c r="A668" s="1">
        <v>667</v>
      </c>
      <c r="B668" s="1" t="s">
        <v>1918</v>
      </c>
      <c r="C668" s="1" t="s">
        <v>27</v>
      </c>
      <c r="D668" s="1" t="s">
        <v>1919</v>
      </c>
      <c r="E668" s="1" t="s">
        <v>1924</v>
      </c>
      <c r="F668" s="1" t="s">
        <v>37</v>
      </c>
      <c r="G668" s="1" t="s">
        <v>38</v>
      </c>
      <c r="H668" s="1" t="s">
        <v>18</v>
      </c>
    </row>
    <row r="669" spans="1:8">
      <c r="A669" s="1">
        <v>668</v>
      </c>
      <c r="B669" s="1" t="s">
        <v>1918</v>
      </c>
      <c r="C669" s="1" t="s">
        <v>31</v>
      </c>
      <c r="D669" s="1" t="s">
        <v>1919</v>
      </c>
      <c r="E669" s="1" t="s">
        <v>1925</v>
      </c>
      <c r="F669" s="1" t="s">
        <v>41</v>
      </c>
      <c r="G669" s="1" t="s">
        <v>42</v>
      </c>
      <c r="H669" s="1" t="s">
        <v>18</v>
      </c>
    </row>
    <row r="670" spans="1:8">
      <c r="A670" s="1">
        <v>669</v>
      </c>
      <c r="B670" s="1" t="s">
        <v>1918</v>
      </c>
      <c r="C670" s="1" t="s">
        <v>35</v>
      </c>
      <c r="D670" s="1" t="s">
        <v>1919</v>
      </c>
      <c r="E670" s="1" t="s">
        <v>1926</v>
      </c>
      <c r="F670" s="1" t="s">
        <v>33</v>
      </c>
      <c r="G670" s="1" t="s">
        <v>34</v>
      </c>
      <c r="H670" s="1" t="s">
        <v>18</v>
      </c>
    </row>
    <row r="671" spans="1:8">
      <c r="A671" s="1">
        <v>670</v>
      </c>
      <c r="B671" s="1" t="s">
        <v>1918</v>
      </c>
      <c r="C671" s="1" t="s">
        <v>39</v>
      </c>
      <c r="D671" s="1" t="s">
        <v>1919</v>
      </c>
      <c r="E671" s="1" t="s">
        <v>1927</v>
      </c>
      <c r="F671" s="1" t="s">
        <v>29</v>
      </c>
      <c r="G671" s="1" t="s">
        <v>30</v>
      </c>
      <c r="H671" s="1" t="s">
        <v>18</v>
      </c>
    </row>
    <row r="672" spans="1:8">
      <c r="A672" s="1">
        <v>671</v>
      </c>
      <c r="B672" s="1" t="s">
        <v>1928</v>
      </c>
      <c r="C672" s="1" t="s">
        <v>93</v>
      </c>
      <c r="D672" s="1" t="s">
        <v>1929</v>
      </c>
      <c r="E672" s="1" t="s">
        <v>1930</v>
      </c>
      <c r="F672" s="1" t="s">
        <v>12</v>
      </c>
      <c r="G672" s="1" t="s">
        <v>13</v>
      </c>
      <c r="H672" s="1" t="s">
        <v>18</v>
      </c>
    </row>
    <row r="673" spans="1:8">
      <c r="A673" s="1">
        <v>672</v>
      </c>
      <c r="B673" s="1" t="s">
        <v>1928</v>
      </c>
      <c r="C673" s="1" t="s">
        <v>98</v>
      </c>
      <c r="D673" s="1" t="s">
        <v>1929</v>
      </c>
      <c r="E673" s="1" t="s">
        <v>1931</v>
      </c>
      <c r="F673" s="1" t="s">
        <v>16</v>
      </c>
      <c r="G673" s="1" t="s">
        <v>17</v>
      </c>
      <c r="H673" s="1" t="s">
        <v>18</v>
      </c>
    </row>
    <row r="674" spans="1:8">
      <c r="A674" s="1">
        <v>673</v>
      </c>
      <c r="B674" s="1" t="s">
        <v>1928</v>
      </c>
      <c r="C674" s="1" t="s">
        <v>102</v>
      </c>
      <c r="D674" s="1" t="s">
        <v>1929</v>
      </c>
      <c r="E674" s="1" t="s">
        <v>1932</v>
      </c>
      <c r="F674" s="1" t="s">
        <v>21</v>
      </c>
      <c r="G674" s="1" t="s">
        <v>22</v>
      </c>
      <c r="H674" s="1" t="s">
        <v>18</v>
      </c>
    </row>
    <row r="675" spans="1:8">
      <c r="A675" s="1">
        <v>674</v>
      </c>
      <c r="B675" s="1" t="s">
        <v>1928</v>
      </c>
      <c r="C675" s="1" t="s">
        <v>106</v>
      </c>
      <c r="D675" s="1" t="s">
        <v>1929</v>
      </c>
      <c r="E675" s="1" t="s">
        <v>1933</v>
      </c>
      <c r="F675" s="1" t="s">
        <v>1853</v>
      </c>
      <c r="G675" s="1" t="s">
        <v>1854</v>
      </c>
      <c r="H675" s="1" t="s">
        <v>18</v>
      </c>
    </row>
    <row r="676" spans="1:8">
      <c r="A676" s="1">
        <v>675</v>
      </c>
      <c r="B676" s="1" t="s">
        <v>1928</v>
      </c>
      <c r="C676" s="1" t="s">
        <v>110</v>
      </c>
      <c r="D676" s="1" t="s">
        <v>1929</v>
      </c>
      <c r="E676" s="1" t="s">
        <v>1934</v>
      </c>
      <c r="F676" s="1" t="s">
        <v>37</v>
      </c>
      <c r="G676" s="1" t="s">
        <v>38</v>
      </c>
      <c r="H676" s="1" t="s">
        <v>18</v>
      </c>
    </row>
    <row r="677" spans="1:8">
      <c r="A677" s="1">
        <v>676</v>
      </c>
      <c r="B677" s="1" t="s">
        <v>1928</v>
      </c>
      <c r="C677" s="1" t="s">
        <v>114</v>
      </c>
      <c r="D677" s="1" t="s">
        <v>1929</v>
      </c>
      <c r="E677" s="1" t="s">
        <v>1935</v>
      </c>
      <c r="F677" s="1" t="s">
        <v>41</v>
      </c>
      <c r="G677" s="1" t="s">
        <v>42</v>
      </c>
      <c r="H677" s="1" t="s">
        <v>18</v>
      </c>
    </row>
    <row r="678" spans="1:8">
      <c r="A678" s="1">
        <v>677</v>
      </c>
      <c r="B678" s="1" t="s">
        <v>1928</v>
      </c>
      <c r="C678" s="1" t="s">
        <v>118</v>
      </c>
      <c r="D678" s="1" t="s">
        <v>1929</v>
      </c>
      <c r="E678" s="1" t="s">
        <v>1936</v>
      </c>
      <c r="F678" s="1" t="s">
        <v>1677</v>
      </c>
      <c r="G678" s="1" t="s">
        <v>1678</v>
      </c>
      <c r="H678" s="1" t="s">
        <v>18</v>
      </c>
    </row>
    <row r="679" spans="1:8">
      <c r="A679" s="1">
        <v>678</v>
      </c>
      <c r="B679" s="1" t="s">
        <v>1928</v>
      </c>
      <c r="C679" s="1" t="s">
        <v>122</v>
      </c>
      <c r="D679" s="1" t="s">
        <v>1929</v>
      </c>
      <c r="E679" s="1" t="s">
        <v>1937</v>
      </c>
      <c r="F679" s="1" t="s">
        <v>33</v>
      </c>
      <c r="G679" s="1" t="s">
        <v>34</v>
      </c>
      <c r="H679" s="1" t="s">
        <v>18</v>
      </c>
    </row>
    <row r="680" spans="1:8">
      <c r="A680" s="1">
        <v>679</v>
      </c>
      <c r="B680" s="1" t="s">
        <v>1928</v>
      </c>
      <c r="C680" s="1" t="s">
        <v>126</v>
      </c>
      <c r="D680" s="1" t="s">
        <v>1929</v>
      </c>
      <c r="E680" s="1" t="s">
        <v>1938</v>
      </c>
      <c r="F680" s="1" t="s">
        <v>29</v>
      </c>
      <c r="G680" s="1" t="s">
        <v>30</v>
      </c>
      <c r="H680" s="1" t="s">
        <v>18</v>
      </c>
    </row>
    <row r="681" spans="1:8">
      <c r="A681" s="1">
        <v>680</v>
      </c>
      <c r="B681" s="1" t="s">
        <v>1939</v>
      </c>
      <c r="C681" s="1" t="s">
        <v>93</v>
      </c>
      <c r="D681" s="1" t="s">
        <v>1940</v>
      </c>
      <c r="E681" s="1" t="s">
        <v>1941</v>
      </c>
      <c r="F681" s="1" t="s">
        <v>12</v>
      </c>
      <c r="G681" s="1" t="s">
        <v>13</v>
      </c>
      <c r="H681" s="1" t="s">
        <v>18</v>
      </c>
    </row>
    <row r="682" spans="1:8">
      <c r="A682" s="1">
        <v>681</v>
      </c>
      <c r="B682" s="1" t="s">
        <v>1939</v>
      </c>
      <c r="C682" s="1" t="s">
        <v>98</v>
      </c>
      <c r="D682" s="1" t="s">
        <v>1940</v>
      </c>
      <c r="E682" s="1" t="s">
        <v>1942</v>
      </c>
      <c r="F682" s="1" t="s">
        <v>16</v>
      </c>
      <c r="G682" s="1" t="s">
        <v>17</v>
      </c>
      <c r="H682" s="1" t="s">
        <v>18</v>
      </c>
    </row>
    <row r="683" spans="1:8">
      <c r="A683" s="1">
        <v>682</v>
      </c>
      <c r="B683" s="1" t="s">
        <v>1939</v>
      </c>
      <c r="C683" s="1" t="s">
        <v>102</v>
      </c>
      <c r="D683" s="1" t="s">
        <v>1940</v>
      </c>
      <c r="E683" s="1" t="s">
        <v>1943</v>
      </c>
      <c r="F683" s="1" t="s">
        <v>21</v>
      </c>
      <c r="G683" s="1" t="s">
        <v>22</v>
      </c>
      <c r="H683" s="1" t="s">
        <v>18</v>
      </c>
    </row>
    <row r="684" spans="1:8">
      <c r="A684" s="1">
        <v>683</v>
      </c>
      <c r="B684" s="1" t="s">
        <v>1939</v>
      </c>
      <c r="C684" s="1" t="s">
        <v>106</v>
      </c>
      <c r="D684" s="1" t="s">
        <v>1940</v>
      </c>
      <c r="E684" s="1" t="s">
        <v>1944</v>
      </c>
      <c r="F684" s="1" t="s">
        <v>25</v>
      </c>
      <c r="G684" s="1" t="s">
        <v>26</v>
      </c>
      <c r="H684" s="1" t="s">
        <v>18</v>
      </c>
    </row>
    <row r="685" spans="1:8">
      <c r="A685" s="1">
        <v>684</v>
      </c>
      <c r="B685" s="1" t="s">
        <v>1939</v>
      </c>
      <c r="C685" s="1" t="s">
        <v>110</v>
      </c>
      <c r="D685" s="1" t="s">
        <v>1940</v>
      </c>
      <c r="E685" s="1" t="s">
        <v>1945</v>
      </c>
      <c r="F685" s="1" t="s">
        <v>1853</v>
      </c>
      <c r="G685" s="1" t="s">
        <v>1854</v>
      </c>
      <c r="H685" s="1" t="s">
        <v>18</v>
      </c>
    </row>
    <row r="686" spans="1:8">
      <c r="A686" s="1">
        <v>685</v>
      </c>
      <c r="B686" s="1" t="s">
        <v>1939</v>
      </c>
      <c r="C686" s="1" t="s">
        <v>114</v>
      </c>
      <c r="D686" s="1" t="s">
        <v>1940</v>
      </c>
      <c r="E686" s="1" t="s">
        <v>1946</v>
      </c>
      <c r="F686" s="1" t="s">
        <v>37</v>
      </c>
      <c r="G686" s="1" t="s">
        <v>38</v>
      </c>
      <c r="H686" s="1" t="s">
        <v>18</v>
      </c>
    </row>
    <row r="687" spans="1:8">
      <c r="A687" s="1">
        <v>686</v>
      </c>
      <c r="B687" s="1" t="s">
        <v>1939</v>
      </c>
      <c r="C687" s="1" t="s">
        <v>118</v>
      </c>
      <c r="D687" s="1" t="s">
        <v>1940</v>
      </c>
      <c r="E687" s="1" t="s">
        <v>1947</v>
      </c>
      <c r="F687" s="1" t="s">
        <v>41</v>
      </c>
      <c r="G687" s="1" t="s">
        <v>42</v>
      </c>
      <c r="H687" s="1" t="s">
        <v>18</v>
      </c>
    </row>
    <row r="688" spans="1:8">
      <c r="A688" s="1">
        <v>687</v>
      </c>
      <c r="B688" s="1" t="s">
        <v>1939</v>
      </c>
      <c r="C688" s="1" t="s">
        <v>122</v>
      </c>
      <c r="D688" s="1" t="s">
        <v>1940</v>
      </c>
      <c r="E688" s="1" t="s">
        <v>1948</v>
      </c>
      <c r="F688" s="1" t="s">
        <v>1677</v>
      </c>
      <c r="G688" s="1" t="s">
        <v>1678</v>
      </c>
      <c r="H688" s="1" t="s">
        <v>18</v>
      </c>
    </row>
    <row r="689" spans="1:8">
      <c r="A689" s="1">
        <v>688</v>
      </c>
      <c r="B689" s="1" t="s">
        <v>1939</v>
      </c>
      <c r="C689" s="1" t="s">
        <v>126</v>
      </c>
      <c r="D689" s="1" t="s">
        <v>1940</v>
      </c>
      <c r="E689" s="1" t="s">
        <v>1949</v>
      </c>
      <c r="F689" s="1" t="s">
        <v>29</v>
      </c>
      <c r="G689" s="1" t="s">
        <v>30</v>
      </c>
      <c r="H689" s="1" t="s">
        <v>18</v>
      </c>
    </row>
    <row r="690" spans="1:8">
      <c r="A690" s="1">
        <v>689</v>
      </c>
      <c r="B690" s="1" t="s">
        <v>1950</v>
      </c>
      <c r="C690" s="1" t="s">
        <v>251</v>
      </c>
      <c r="D690" s="1" t="s">
        <v>1951</v>
      </c>
      <c r="E690" s="1" t="s">
        <v>1952</v>
      </c>
      <c r="F690" s="1" t="s">
        <v>12</v>
      </c>
      <c r="G690" s="1" t="s">
        <v>13</v>
      </c>
      <c r="H690" s="1" t="s">
        <v>18</v>
      </c>
    </row>
    <row r="691" spans="1:8">
      <c r="A691" s="1">
        <v>690</v>
      </c>
      <c r="B691" s="1" t="s">
        <v>1950</v>
      </c>
      <c r="C691" s="1" t="s">
        <v>254</v>
      </c>
      <c r="D691" s="1" t="s">
        <v>1951</v>
      </c>
      <c r="E691" s="1" t="s">
        <v>1953</v>
      </c>
      <c r="F691" s="1" t="s">
        <v>16</v>
      </c>
      <c r="G691" s="1" t="s">
        <v>17</v>
      </c>
      <c r="H691" s="1" t="s">
        <v>18</v>
      </c>
    </row>
    <row r="692" spans="1:8">
      <c r="A692" s="1">
        <v>691</v>
      </c>
      <c r="B692" s="1" t="s">
        <v>1950</v>
      </c>
      <c r="C692" s="1" t="s">
        <v>256</v>
      </c>
      <c r="D692" s="1" t="s">
        <v>1951</v>
      </c>
      <c r="E692" s="1" t="s">
        <v>1954</v>
      </c>
      <c r="F692" s="1" t="s">
        <v>21</v>
      </c>
      <c r="G692" s="1" t="s">
        <v>22</v>
      </c>
      <c r="H692" s="1" t="s">
        <v>18</v>
      </c>
    </row>
    <row r="693" spans="1:8">
      <c r="A693" s="1">
        <v>692</v>
      </c>
      <c r="B693" s="1" t="s">
        <v>1950</v>
      </c>
      <c r="C693" s="1" t="s">
        <v>260</v>
      </c>
      <c r="D693" s="1" t="s">
        <v>1951</v>
      </c>
      <c r="E693" s="1" t="s">
        <v>1955</v>
      </c>
      <c r="F693" s="1" t="s">
        <v>37</v>
      </c>
      <c r="G693" s="1" t="s">
        <v>38</v>
      </c>
      <c r="H693" s="1" t="s">
        <v>18</v>
      </c>
    </row>
    <row r="694" spans="1:8">
      <c r="A694" s="1">
        <v>693</v>
      </c>
      <c r="B694" s="1" t="s">
        <v>1950</v>
      </c>
      <c r="C694" s="1" t="s">
        <v>262</v>
      </c>
      <c r="D694" s="1" t="s">
        <v>1951</v>
      </c>
      <c r="E694" s="1" t="s">
        <v>1956</v>
      </c>
      <c r="F694" s="1" t="s">
        <v>41</v>
      </c>
      <c r="G694" s="1" t="s">
        <v>42</v>
      </c>
      <c r="H694" s="1" t="s">
        <v>18</v>
      </c>
    </row>
    <row r="695" spans="1:8">
      <c r="A695" s="1">
        <v>694</v>
      </c>
      <c r="B695" s="1" t="s">
        <v>1950</v>
      </c>
      <c r="C695" s="1" t="s">
        <v>264</v>
      </c>
      <c r="D695" s="1" t="s">
        <v>1951</v>
      </c>
      <c r="E695" s="1" t="s">
        <v>1957</v>
      </c>
      <c r="F695" s="1" t="s">
        <v>29</v>
      </c>
      <c r="G695" s="1" t="s">
        <v>30</v>
      </c>
      <c r="H695" s="1" t="s">
        <v>18</v>
      </c>
    </row>
    <row r="696" spans="1:8">
      <c r="A696" s="1">
        <v>695</v>
      </c>
      <c r="B696" s="1" t="s">
        <v>1958</v>
      </c>
      <c r="C696" s="1" t="s">
        <v>1210</v>
      </c>
      <c r="D696" s="1" t="s">
        <v>1959</v>
      </c>
      <c r="E696" s="1" t="s">
        <v>1960</v>
      </c>
      <c r="F696" s="1" t="s">
        <v>12</v>
      </c>
      <c r="G696" s="1" t="s">
        <v>13</v>
      </c>
      <c r="H696" s="1" t="s">
        <v>18</v>
      </c>
    </row>
    <row r="697" spans="1:8">
      <c r="A697" s="1">
        <v>696</v>
      </c>
      <c r="B697" s="1" t="s">
        <v>1958</v>
      </c>
      <c r="C697" s="1" t="s">
        <v>1215</v>
      </c>
      <c r="D697" s="1" t="s">
        <v>1959</v>
      </c>
      <c r="E697" s="1" t="s">
        <v>1961</v>
      </c>
      <c r="F697" s="1" t="s">
        <v>16</v>
      </c>
      <c r="G697" s="1" t="s">
        <v>17</v>
      </c>
      <c r="H697" s="1" t="s">
        <v>18</v>
      </c>
    </row>
    <row r="698" spans="1:8">
      <c r="A698" s="1">
        <v>697</v>
      </c>
      <c r="B698" s="1" t="s">
        <v>1958</v>
      </c>
      <c r="C698" s="1" t="s">
        <v>1219</v>
      </c>
      <c r="D698" s="1" t="s">
        <v>1959</v>
      </c>
      <c r="E698" s="1" t="s">
        <v>1962</v>
      </c>
      <c r="F698" s="1" t="s">
        <v>21</v>
      </c>
      <c r="G698" s="1" t="s">
        <v>22</v>
      </c>
      <c r="H698" s="1" t="s">
        <v>18</v>
      </c>
    </row>
    <row r="699" spans="1:8">
      <c r="A699" s="1">
        <v>698</v>
      </c>
      <c r="B699" s="1" t="s">
        <v>1958</v>
      </c>
      <c r="C699" s="1" t="s">
        <v>1223</v>
      </c>
      <c r="D699" s="1" t="s">
        <v>1959</v>
      </c>
      <c r="E699" s="1" t="s">
        <v>1963</v>
      </c>
      <c r="F699" s="1" t="s">
        <v>1964</v>
      </c>
      <c r="G699" s="1" t="s">
        <v>1965</v>
      </c>
      <c r="H699" s="1" t="s">
        <v>18</v>
      </c>
    </row>
    <row r="700" spans="1:8">
      <c r="A700" s="1">
        <v>699</v>
      </c>
      <c r="B700" s="1" t="s">
        <v>1958</v>
      </c>
      <c r="C700" s="1" t="s">
        <v>1227</v>
      </c>
      <c r="D700" s="1" t="s">
        <v>1959</v>
      </c>
      <c r="E700" s="1" t="s">
        <v>1966</v>
      </c>
      <c r="F700" s="1" t="s">
        <v>1967</v>
      </c>
      <c r="G700" s="1" t="s">
        <v>1968</v>
      </c>
      <c r="H700" s="1" t="s">
        <v>18</v>
      </c>
    </row>
    <row r="701" spans="1:8">
      <c r="A701" s="1">
        <v>700</v>
      </c>
      <c r="B701" s="1" t="s">
        <v>1958</v>
      </c>
      <c r="C701" s="1" t="s">
        <v>1231</v>
      </c>
      <c r="D701" s="1" t="s">
        <v>1959</v>
      </c>
      <c r="E701" s="1" t="s">
        <v>1969</v>
      </c>
      <c r="F701" s="1" t="s">
        <v>25</v>
      </c>
      <c r="G701" s="1" t="s">
        <v>26</v>
      </c>
      <c r="H701" s="1" t="s">
        <v>18</v>
      </c>
    </row>
    <row r="702" spans="1:8">
      <c r="A702" s="1">
        <v>701</v>
      </c>
      <c r="B702" s="1" t="s">
        <v>1958</v>
      </c>
      <c r="C702" s="1" t="s">
        <v>1235</v>
      </c>
      <c r="D702" s="1" t="s">
        <v>1959</v>
      </c>
      <c r="E702" s="1" t="s">
        <v>1970</v>
      </c>
      <c r="F702" s="1" t="s">
        <v>1853</v>
      </c>
      <c r="G702" s="1" t="s">
        <v>1854</v>
      </c>
      <c r="H702" s="1" t="s">
        <v>18</v>
      </c>
    </row>
    <row r="703" spans="1:8">
      <c r="A703" s="1">
        <v>702</v>
      </c>
      <c r="B703" s="1" t="s">
        <v>1958</v>
      </c>
      <c r="C703" s="1" t="s">
        <v>1239</v>
      </c>
      <c r="D703" s="1" t="s">
        <v>1959</v>
      </c>
      <c r="E703" s="1" t="s">
        <v>1971</v>
      </c>
      <c r="F703" s="1" t="s">
        <v>37</v>
      </c>
      <c r="G703" s="1" t="s">
        <v>38</v>
      </c>
      <c r="H703" s="1" t="s">
        <v>18</v>
      </c>
    </row>
    <row r="704" spans="1:8">
      <c r="A704" s="1">
        <v>703</v>
      </c>
      <c r="B704" s="1" t="s">
        <v>1958</v>
      </c>
      <c r="C704" s="1" t="s">
        <v>1243</v>
      </c>
      <c r="D704" s="1" t="s">
        <v>1959</v>
      </c>
      <c r="E704" s="1" t="s">
        <v>1972</v>
      </c>
      <c r="F704" s="1" t="s">
        <v>41</v>
      </c>
      <c r="G704" s="1" t="s">
        <v>42</v>
      </c>
      <c r="H704" s="1" t="s">
        <v>18</v>
      </c>
    </row>
    <row r="705" spans="1:8">
      <c r="A705" s="1">
        <v>704</v>
      </c>
      <c r="B705" s="1" t="s">
        <v>1958</v>
      </c>
      <c r="C705" s="1" t="s">
        <v>1247</v>
      </c>
      <c r="D705" s="1" t="s">
        <v>1959</v>
      </c>
      <c r="E705" s="1" t="s">
        <v>1973</v>
      </c>
      <c r="F705" s="1" t="s">
        <v>1677</v>
      </c>
      <c r="G705" s="1" t="s">
        <v>1678</v>
      </c>
      <c r="H705" s="1" t="s">
        <v>18</v>
      </c>
    </row>
    <row r="706" spans="1:8">
      <c r="A706" s="1">
        <v>705</v>
      </c>
      <c r="B706" s="1" t="s">
        <v>1958</v>
      </c>
      <c r="C706" s="1" t="s">
        <v>1251</v>
      </c>
      <c r="D706" s="1" t="s">
        <v>1959</v>
      </c>
      <c r="E706" s="1" t="s">
        <v>1974</v>
      </c>
      <c r="F706" s="1" t="s">
        <v>33</v>
      </c>
      <c r="G706" s="1" t="s">
        <v>34</v>
      </c>
      <c r="H706" s="1" t="s">
        <v>18</v>
      </c>
    </row>
    <row r="707" spans="1:8">
      <c r="A707" s="1">
        <v>706</v>
      </c>
      <c r="B707" s="1" t="s">
        <v>1958</v>
      </c>
      <c r="C707" s="1" t="s">
        <v>1255</v>
      </c>
      <c r="D707" s="1" t="s">
        <v>1959</v>
      </c>
      <c r="E707" s="1" t="s">
        <v>1975</v>
      </c>
      <c r="F707" s="1" t="s">
        <v>29</v>
      </c>
      <c r="G707" s="1" t="s">
        <v>30</v>
      </c>
      <c r="H707" s="1" t="s">
        <v>18</v>
      </c>
    </row>
    <row r="708" spans="1:8">
      <c r="A708" s="1">
        <v>707</v>
      </c>
      <c r="B708" s="1" t="s">
        <v>1958</v>
      </c>
      <c r="C708" s="1" t="s">
        <v>1259</v>
      </c>
      <c r="D708" s="1" t="s">
        <v>1959</v>
      </c>
      <c r="E708" s="1" t="s">
        <v>1976</v>
      </c>
      <c r="F708" s="1" t="s">
        <v>1977</v>
      </c>
      <c r="G708" s="1" t="s">
        <v>1978</v>
      </c>
      <c r="H708" s="1" t="s">
        <v>18</v>
      </c>
    </row>
    <row r="709" spans="1:8">
      <c r="A709" s="1">
        <v>708</v>
      </c>
      <c r="B709" s="1" t="s">
        <v>1979</v>
      </c>
      <c r="C709" s="1" t="s">
        <v>251</v>
      </c>
      <c r="D709" s="1" t="s">
        <v>1980</v>
      </c>
      <c r="E709" s="1" t="s">
        <v>1981</v>
      </c>
      <c r="F709" s="1" t="s">
        <v>12</v>
      </c>
      <c r="G709" s="1" t="s">
        <v>13</v>
      </c>
      <c r="H709" s="1" t="s">
        <v>18</v>
      </c>
    </row>
    <row r="710" spans="1:8">
      <c r="A710" s="1">
        <v>709</v>
      </c>
      <c r="B710" s="1" t="s">
        <v>1979</v>
      </c>
      <c r="C710" s="1" t="s">
        <v>254</v>
      </c>
      <c r="D710" s="1" t="s">
        <v>1980</v>
      </c>
      <c r="E710" s="1" t="s">
        <v>1982</v>
      </c>
      <c r="F710" s="1" t="s">
        <v>16</v>
      </c>
      <c r="G710" s="1" t="s">
        <v>17</v>
      </c>
      <c r="H710" s="1" t="s">
        <v>18</v>
      </c>
    </row>
    <row r="711" spans="1:8">
      <c r="A711" s="1">
        <v>710</v>
      </c>
      <c r="B711" s="1" t="s">
        <v>1979</v>
      </c>
      <c r="C711" s="1" t="s">
        <v>256</v>
      </c>
      <c r="D711" s="1" t="s">
        <v>1980</v>
      </c>
      <c r="E711" s="1" t="s">
        <v>1983</v>
      </c>
      <c r="F711" s="1" t="s">
        <v>21</v>
      </c>
      <c r="G711" s="1" t="s">
        <v>22</v>
      </c>
      <c r="H711" s="1" t="s">
        <v>18</v>
      </c>
    </row>
    <row r="712" spans="1:8">
      <c r="A712" s="1">
        <v>711</v>
      </c>
      <c r="B712" s="1" t="s">
        <v>1979</v>
      </c>
      <c r="C712" s="1" t="s">
        <v>260</v>
      </c>
      <c r="D712" s="1" t="s">
        <v>1980</v>
      </c>
      <c r="E712" s="1" t="s">
        <v>1984</v>
      </c>
      <c r="F712" s="1" t="s">
        <v>37</v>
      </c>
      <c r="G712" s="1" t="s">
        <v>38</v>
      </c>
      <c r="H712" s="1" t="s">
        <v>18</v>
      </c>
    </row>
    <row r="713" spans="1:8">
      <c r="A713" s="1">
        <v>712</v>
      </c>
      <c r="B713" s="1" t="s">
        <v>1979</v>
      </c>
      <c r="C713" s="1" t="s">
        <v>262</v>
      </c>
      <c r="D713" s="1" t="s">
        <v>1980</v>
      </c>
      <c r="E713" s="1" t="s">
        <v>1985</v>
      </c>
      <c r="F713" s="1" t="s">
        <v>41</v>
      </c>
      <c r="G713" s="1" t="s">
        <v>42</v>
      </c>
      <c r="H713" s="1" t="s">
        <v>18</v>
      </c>
    </row>
    <row r="714" spans="1:8">
      <c r="A714" s="1">
        <v>713</v>
      </c>
      <c r="B714" s="1" t="s">
        <v>1979</v>
      </c>
      <c r="C714" s="1" t="s">
        <v>264</v>
      </c>
      <c r="D714" s="1" t="s">
        <v>1980</v>
      </c>
      <c r="E714" s="1" t="s">
        <v>1986</v>
      </c>
      <c r="F714" s="1" t="s">
        <v>29</v>
      </c>
      <c r="G714" s="1" t="s">
        <v>30</v>
      </c>
      <c r="H714" s="1" t="s">
        <v>18</v>
      </c>
    </row>
    <row r="715" spans="1:8">
      <c r="A715" s="1">
        <v>714</v>
      </c>
      <c r="B715" s="1" t="s">
        <v>1987</v>
      </c>
      <c r="C715" s="1" t="s">
        <v>93</v>
      </c>
      <c r="D715" s="1" t="s">
        <v>1988</v>
      </c>
      <c r="E715" s="1" t="s">
        <v>1989</v>
      </c>
      <c r="F715" s="1" t="s">
        <v>12</v>
      </c>
      <c r="G715" s="1" t="s">
        <v>13</v>
      </c>
      <c r="H715" s="1" t="s">
        <v>18</v>
      </c>
    </row>
    <row r="716" spans="1:8">
      <c r="A716" s="1">
        <v>715</v>
      </c>
      <c r="B716" s="1" t="s">
        <v>1987</v>
      </c>
      <c r="C716" s="1" t="s">
        <v>98</v>
      </c>
      <c r="D716" s="1" t="s">
        <v>1988</v>
      </c>
      <c r="E716" s="1" t="s">
        <v>1990</v>
      </c>
      <c r="F716" s="1" t="s">
        <v>16</v>
      </c>
      <c r="G716" s="1" t="s">
        <v>17</v>
      </c>
      <c r="H716" s="1" t="s">
        <v>18</v>
      </c>
    </row>
    <row r="717" spans="1:8">
      <c r="A717" s="1">
        <v>716</v>
      </c>
      <c r="B717" s="1" t="s">
        <v>1987</v>
      </c>
      <c r="C717" s="1" t="s">
        <v>102</v>
      </c>
      <c r="D717" s="1" t="s">
        <v>1988</v>
      </c>
      <c r="E717" s="1" t="s">
        <v>1991</v>
      </c>
      <c r="F717" s="1" t="s">
        <v>21</v>
      </c>
      <c r="G717" s="1" t="s">
        <v>22</v>
      </c>
      <c r="H717" s="1" t="s">
        <v>18</v>
      </c>
    </row>
    <row r="718" spans="1:8">
      <c r="A718" s="1">
        <v>717</v>
      </c>
      <c r="B718" s="1" t="s">
        <v>1987</v>
      </c>
      <c r="C718" s="1" t="s">
        <v>106</v>
      </c>
      <c r="D718" s="1" t="s">
        <v>1988</v>
      </c>
      <c r="E718" s="1" t="s">
        <v>1992</v>
      </c>
      <c r="F718" s="1" t="s">
        <v>25</v>
      </c>
      <c r="G718" s="1" t="s">
        <v>26</v>
      </c>
      <c r="H718" s="1" t="s">
        <v>18</v>
      </c>
    </row>
    <row r="719" spans="1:8">
      <c r="A719" s="1">
        <v>718</v>
      </c>
      <c r="B719" s="1" t="s">
        <v>1987</v>
      </c>
      <c r="C719" s="1" t="s">
        <v>110</v>
      </c>
      <c r="D719" s="1" t="s">
        <v>1988</v>
      </c>
      <c r="E719" s="1" t="s">
        <v>1993</v>
      </c>
      <c r="F719" s="1" t="s">
        <v>1853</v>
      </c>
      <c r="G719" s="1" t="s">
        <v>1854</v>
      </c>
      <c r="H719" s="1" t="s">
        <v>18</v>
      </c>
    </row>
    <row r="720" spans="1:8">
      <c r="A720" s="1">
        <v>719</v>
      </c>
      <c r="B720" s="1" t="s">
        <v>1987</v>
      </c>
      <c r="C720" s="1" t="s">
        <v>114</v>
      </c>
      <c r="D720" s="1" t="s">
        <v>1988</v>
      </c>
      <c r="E720" s="1" t="s">
        <v>1994</v>
      </c>
      <c r="F720" s="1" t="s">
        <v>37</v>
      </c>
      <c r="G720" s="1" t="s">
        <v>38</v>
      </c>
      <c r="H720" s="1" t="s">
        <v>18</v>
      </c>
    </row>
    <row r="721" spans="1:8">
      <c r="A721" s="1">
        <v>720</v>
      </c>
      <c r="B721" s="1" t="s">
        <v>1987</v>
      </c>
      <c r="C721" s="1" t="s">
        <v>118</v>
      </c>
      <c r="D721" s="1" t="s">
        <v>1988</v>
      </c>
      <c r="E721" s="1" t="s">
        <v>1995</v>
      </c>
      <c r="F721" s="1" t="s">
        <v>41</v>
      </c>
      <c r="G721" s="1" t="s">
        <v>42</v>
      </c>
      <c r="H721" s="1" t="s">
        <v>18</v>
      </c>
    </row>
    <row r="722" spans="1:8">
      <c r="A722" s="1">
        <v>721</v>
      </c>
      <c r="B722" s="1" t="s">
        <v>1987</v>
      </c>
      <c r="C722" s="1" t="s">
        <v>122</v>
      </c>
      <c r="D722" s="1" t="s">
        <v>1988</v>
      </c>
      <c r="E722" s="1" t="s">
        <v>1996</v>
      </c>
      <c r="F722" s="1" t="s">
        <v>1677</v>
      </c>
      <c r="G722" s="1" t="s">
        <v>1678</v>
      </c>
      <c r="H722" s="1" t="s">
        <v>18</v>
      </c>
    </row>
    <row r="723" spans="1:8">
      <c r="A723" s="1">
        <v>722</v>
      </c>
      <c r="B723" s="1" t="s">
        <v>1987</v>
      </c>
      <c r="C723" s="1" t="s">
        <v>126</v>
      </c>
      <c r="D723" s="1" t="s">
        <v>1988</v>
      </c>
      <c r="E723" s="1" t="s">
        <v>1997</v>
      </c>
      <c r="F723" s="1" t="s">
        <v>29</v>
      </c>
      <c r="G723" s="1" t="s">
        <v>30</v>
      </c>
      <c r="H723" s="1" t="s">
        <v>18</v>
      </c>
    </row>
    <row r="724" spans="1:8">
      <c r="A724" s="1">
        <v>723</v>
      </c>
      <c r="B724" s="1" t="s">
        <v>1998</v>
      </c>
      <c r="C724" s="1" t="s">
        <v>251</v>
      </c>
      <c r="D724" s="1" t="s">
        <v>1999</v>
      </c>
      <c r="E724" s="1" t="s">
        <v>2000</v>
      </c>
      <c r="F724" s="1" t="s">
        <v>12</v>
      </c>
      <c r="G724" s="1" t="s">
        <v>13</v>
      </c>
      <c r="H724" s="1" t="s">
        <v>18</v>
      </c>
    </row>
    <row r="725" spans="1:8">
      <c r="A725" s="1">
        <v>724</v>
      </c>
      <c r="B725" s="1" t="s">
        <v>1998</v>
      </c>
      <c r="C725" s="1" t="s">
        <v>254</v>
      </c>
      <c r="D725" s="1" t="s">
        <v>1999</v>
      </c>
      <c r="E725" s="1" t="s">
        <v>2001</v>
      </c>
      <c r="F725" s="1" t="s">
        <v>16</v>
      </c>
      <c r="G725" s="1" t="s">
        <v>17</v>
      </c>
      <c r="H725" s="1" t="s">
        <v>18</v>
      </c>
    </row>
    <row r="726" spans="1:8">
      <c r="A726" s="1">
        <v>725</v>
      </c>
      <c r="B726" s="1" t="s">
        <v>1998</v>
      </c>
      <c r="C726" s="1" t="s">
        <v>256</v>
      </c>
      <c r="D726" s="1" t="s">
        <v>1999</v>
      </c>
      <c r="E726" s="1" t="s">
        <v>2002</v>
      </c>
      <c r="F726" s="1" t="s">
        <v>21</v>
      </c>
      <c r="G726" s="1" t="s">
        <v>22</v>
      </c>
      <c r="H726" s="1" t="s">
        <v>18</v>
      </c>
    </row>
    <row r="727" spans="1:8">
      <c r="A727" s="1">
        <v>726</v>
      </c>
      <c r="B727" s="1" t="s">
        <v>1998</v>
      </c>
      <c r="C727" s="1" t="s">
        <v>260</v>
      </c>
      <c r="D727" s="1" t="s">
        <v>1999</v>
      </c>
      <c r="E727" s="1" t="s">
        <v>2003</v>
      </c>
      <c r="F727" s="1" t="s">
        <v>37</v>
      </c>
      <c r="G727" s="1" t="s">
        <v>38</v>
      </c>
      <c r="H727" s="1" t="s">
        <v>18</v>
      </c>
    </row>
    <row r="728" spans="1:8">
      <c r="A728" s="1">
        <v>727</v>
      </c>
      <c r="B728" s="1" t="s">
        <v>1998</v>
      </c>
      <c r="C728" s="1" t="s">
        <v>262</v>
      </c>
      <c r="D728" s="1" t="s">
        <v>1999</v>
      </c>
      <c r="E728" s="1" t="s">
        <v>2004</v>
      </c>
      <c r="F728" s="1" t="s">
        <v>41</v>
      </c>
      <c r="G728" s="1" t="s">
        <v>42</v>
      </c>
      <c r="H728" s="1" t="s">
        <v>18</v>
      </c>
    </row>
    <row r="729" spans="1:8">
      <c r="A729" s="1">
        <v>728</v>
      </c>
      <c r="B729" s="1" t="s">
        <v>1998</v>
      </c>
      <c r="C729" s="1" t="s">
        <v>264</v>
      </c>
      <c r="D729" s="1" t="s">
        <v>1999</v>
      </c>
      <c r="E729" s="1" t="s">
        <v>2005</v>
      </c>
      <c r="F729" s="1" t="s">
        <v>29</v>
      </c>
      <c r="G729" s="1" t="s">
        <v>30</v>
      </c>
      <c r="H729" s="1" t="s">
        <v>18</v>
      </c>
    </row>
    <row r="730" spans="1:8">
      <c r="A730" s="1">
        <v>729</v>
      </c>
      <c r="B730" s="1" t="s">
        <v>2006</v>
      </c>
      <c r="C730" s="1" t="s">
        <v>392</v>
      </c>
      <c r="D730" s="1" t="s">
        <v>2007</v>
      </c>
      <c r="E730" s="1" t="s">
        <v>2008</v>
      </c>
      <c r="F730" s="1" t="s">
        <v>12</v>
      </c>
      <c r="G730" s="1" t="s">
        <v>13</v>
      </c>
      <c r="H730" s="1" t="s">
        <v>18</v>
      </c>
    </row>
    <row r="731" spans="1:8">
      <c r="A731" s="1">
        <v>730</v>
      </c>
      <c r="B731" s="1" t="s">
        <v>2006</v>
      </c>
      <c r="C731" s="1" t="s">
        <v>397</v>
      </c>
      <c r="D731" s="1" t="s">
        <v>2007</v>
      </c>
      <c r="E731" s="1" t="s">
        <v>2009</v>
      </c>
      <c r="F731" s="1" t="s">
        <v>16</v>
      </c>
      <c r="G731" s="1" t="s">
        <v>17</v>
      </c>
      <c r="H731" s="1" t="s">
        <v>18</v>
      </c>
    </row>
    <row r="732" spans="1:8">
      <c r="A732" s="1">
        <v>731</v>
      </c>
      <c r="B732" s="1" t="s">
        <v>2006</v>
      </c>
      <c r="C732" s="1" t="s">
        <v>401</v>
      </c>
      <c r="D732" s="1" t="s">
        <v>2007</v>
      </c>
      <c r="E732" s="1" t="s">
        <v>2010</v>
      </c>
      <c r="F732" s="1" t="s">
        <v>21</v>
      </c>
      <c r="G732" s="1" t="s">
        <v>22</v>
      </c>
      <c r="H732" s="1" t="s">
        <v>18</v>
      </c>
    </row>
    <row r="733" spans="1:8">
      <c r="A733" s="1">
        <v>732</v>
      </c>
      <c r="B733" s="1" t="s">
        <v>2006</v>
      </c>
      <c r="C733" s="1" t="s">
        <v>405</v>
      </c>
      <c r="D733" s="1" t="s">
        <v>2007</v>
      </c>
      <c r="E733" s="1" t="s">
        <v>2011</v>
      </c>
      <c r="F733" s="1" t="s">
        <v>1853</v>
      </c>
      <c r="G733" s="1" t="s">
        <v>1854</v>
      </c>
      <c r="H733" s="1" t="s">
        <v>18</v>
      </c>
    </row>
    <row r="734" spans="1:8">
      <c r="A734" s="1">
        <v>733</v>
      </c>
      <c r="B734" s="1" t="s">
        <v>2006</v>
      </c>
      <c r="C734" s="1" t="s">
        <v>409</v>
      </c>
      <c r="D734" s="1" t="s">
        <v>2007</v>
      </c>
      <c r="E734" s="1" t="s">
        <v>2012</v>
      </c>
      <c r="F734" s="1" t="s">
        <v>37</v>
      </c>
      <c r="G734" s="1" t="s">
        <v>38</v>
      </c>
      <c r="H734" s="1" t="s">
        <v>18</v>
      </c>
    </row>
    <row r="735" spans="1:8">
      <c r="A735" s="1">
        <v>734</v>
      </c>
      <c r="B735" s="1" t="s">
        <v>2006</v>
      </c>
      <c r="C735" s="1" t="s">
        <v>413</v>
      </c>
      <c r="D735" s="1" t="s">
        <v>2007</v>
      </c>
      <c r="E735" s="1" t="s">
        <v>2013</v>
      </c>
      <c r="F735" s="1" t="s">
        <v>41</v>
      </c>
      <c r="G735" s="1" t="s">
        <v>42</v>
      </c>
      <c r="H735" s="1" t="s">
        <v>18</v>
      </c>
    </row>
    <row r="736" spans="1:8">
      <c r="A736" s="1">
        <v>735</v>
      </c>
      <c r="B736" s="1" t="s">
        <v>2006</v>
      </c>
      <c r="C736" s="1" t="s">
        <v>417</v>
      </c>
      <c r="D736" s="1" t="s">
        <v>2007</v>
      </c>
      <c r="E736" s="1" t="s">
        <v>2014</v>
      </c>
      <c r="F736" s="1" t="s">
        <v>29</v>
      </c>
      <c r="G736" s="1" t="s">
        <v>30</v>
      </c>
      <c r="H736" s="1" t="s">
        <v>18</v>
      </c>
    </row>
    <row r="737" spans="1:8">
      <c r="A737" s="1">
        <v>736</v>
      </c>
      <c r="B737" s="1" t="s">
        <v>2015</v>
      </c>
      <c r="C737" s="1" t="s">
        <v>93</v>
      </c>
      <c r="D737" s="1" t="s">
        <v>2016</v>
      </c>
      <c r="E737" s="1" t="s">
        <v>2017</v>
      </c>
      <c r="F737" s="1" t="s">
        <v>12</v>
      </c>
      <c r="G737" s="1" t="s">
        <v>13</v>
      </c>
      <c r="H737" s="1" t="s">
        <v>18</v>
      </c>
    </row>
    <row r="738" spans="1:8">
      <c r="A738" s="1">
        <v>737</v>
      </c>
      <c r="B738" s="1" t="s">
        <v>2015</v>
      </c>
      <c r="C738" s="1" t="s">
        <v>98</v>
      </c>
      <c r="D738" s="1" t="s">
        <v>2016</v>
      </c>
      <c r="E738" s="1" t="s">
        <v>2018</v>
      </c>
      <c r="F738" s="1" t="s">
        <v>16</v>
      </c>
      <c r="G738" s="1" t="s">
        <v>17</v>
      </c>
      <c r="H738" s="1" t="s">
        <v>18</v>
      </c>
    </row>
    <row r="739" spans="1:8">
      <c r="A739" s="1">
        <v>738</v>
      </c>
      <c r="B739" s="1" t="s">
        <v>2015</v>
      </c>
      <c r="C739" s="1" t="s">
        <v>102</v>
      </c>
      <c r="D739" s="1" t="s">
        <v>2016</v>
      </c>
      <c r="E739" s="1" t="s">
        <v>2019</v>
      </c>
      <c r="F739" s="1" t="s">
        <v>21</v>
      </c>
      <c r="G739" s="1" t="s">
        <v>22</v>
      </c>
      <c r="H739" s="1" t="s">
        <v>18</v>
      </c>
    </row>
    <row r="740" spans="1:8">
      <c r="A740" s="1">
        <v>739</v>
      </c>
      <c r="B740" s="1" t="s">
        <v>2015</v>
      </c>
      <c r="C740" s="1" t="s">
        <v>106</v>
      </c>
      <c r="D740" s="1" t="s">
        <v>2016</v>
      </c>
      <c r="E740" s="1" t="s">
        <v>2020</v>
      </c>
      <c r="F740" s="1" t="s">
        <v>25</v>
      </c>
      <c r="G740" s="1" t="s">
        <v>26</v>
      </c>
      <c r="H740" s="1" t="s">
        <v>18</v>
      </c>
    </row>
    <row r="741" spans="1:8">
      <c r="A741" s="1">
        <v>740</v>
      </c>
      <c r="B741" s="1" t="s">
        <v>2015</v>
      </c>
      <c r="C741" s="1" t="s">
        <v>110</v>
      </c>
      <c r="D741" s="1" t="s">
        <v>2016</v>
      </c>
      <c r="E741" s="1" t="s">
        <v>2021</v>
      </c>
      <c r="F741" s="1" t="s">
        <v>1856</v>
      </c>
      <c r="G741" s="1" t="s">
        <v>1857</v>
      </c>
      <c r="H741" s="1" t="s">
        <v>18</v>
      </c>
    </row>
    <row r="742" spans="1:8">
      <c r="A742" s="1">
        <v>741</v>
      </c>
      <c r="B742" s="1" t="s">
        <v>2015</v>
      </c>
      <c r="C742" s="1" t="s">
        <v>114</v>
      </c>
      <c r="D742" s="1" t="s">
        <v>2016</v>
      </c>
      <c r="E742" s="1" t="s">
        <v>2022</v>
      </c>
      <c r="F742" s="1" t="s">
        <v>37</v>
      </c>
      <c r="G742" s="1" t="s">
        <v>38</v>
      </c>
      <c r="H742" s="1" t="s">
        <v>18</v>
      </c>
    </row>
    <row r="743" spans="1:8">
      <c r="A743" s="1">
        <v>742</v>
      </c>
      <c r="B743" s="1" t="s">
        <v>2015</v>
      </c>
      <c r="C743" s="1" t="s">
        <v>118</v>
      </c>
      <c r="D743" s="1" t="s">
        <v>2016</v>
      </c>
      <c r="E743" s="1" t="s">
        <v>2023</v>
      </c>
      <c r="F743" s="1" t="s">
        <v>41</v>
      </c>
      <c r="G743" s="1" t="s">
        <v>42</v>
      </c>
      <c r="H743" s="1" t="s">
        <v>18</v>
      </c>
    </row>
    <row r="744" spans="1:8">
      <c r="A744" s="1">
        <v>743</v>
      </c>
      <c r="B744" s="1" t="s">
        <v>2015</v>
      </c>
      <c r="C744" s="1" t="s">
        <v>122</v>
      </c>
      <c r="D744" s="1" t="s">
        <v>2016</v>
      </c>
      <c r="E744" s="1" t="s">
        <v>2024</v>
      </c>
      <c r="F744" s="1" t="s">
        <v>33</v>
      </c>
      <c r="G744" s="1" t="s">
        <v>34</v>
      </c>
      <c r="H744" s="1" t="s">
        <v>18</v>
      </c>
    </row>
    <row r="745" spans="1:8">
      <c r="A745" s="1">
        <v>744</v>
      </c>
      <c r="B745" s="1" t="s">
        <v>2015</v>
      </c>
      <c r="C745" s="1" t="s">
        <v>126</v>
      </c>
      <c r="D745" s="1" t="s">
        <v>2016</v>
      </c>
      <c r="E745" s="1" t="s">
        <v>2025</v>
      </c>
      <c r="F745" s="1" t="s">
        <v>29</v>
      </c>
      <c r="G745" s="1" t="s">
        <v>30</v>
      </c>
      <c r="H745" s="1" t="s">
        <v>18</v>
      </c>
    </row>
    <row r="746" spans="1:8">
      <c r="A746" s="1">
        <v>745</v>
      </c>
      <c r="B746" s="1" t="s">
        <v>2026</v>
      </c>
      <c r="C746" s="1" t="s">
        <v>392</v>
      </c>
      <c r="D746" s="1" t="s">
        <v>2027</v>
      </c>
      <c r="E746" s="1" t="s">
        <v>2028</v>
      </c>
      <c r="F746" s="1" t="s">
        <v>12</v>
      </c>
      <c r="G746" s="1" t="s">
        <v>13</v>
      </c>
      <c r="H746" s="1" t="s">
        <v>18</v>
      </c>
    </row>
    <row r="747" spans="1:8">
      <c r="A747" s="1">
        <v>746</v>
      </c>
      <c r="B747" s="1" t="s">
        <v>2026</v>
      </c>
      <c r="C747" s="1" t="s">
        <v>397</v>
      </c>
      <c r="D747" s="1" t="s">
        <v>2027</v>
      </c>
      <c r="E747" s="1" t="s">
        <v>2029</v>
      </c>
      <c r="F747" s="1" t="s">
        <v>16</v>
      </c>
      <c r="G747" s="1" t="s">
        <v>17</v>
      </c>
      <c r="H747" s="1" t="s">
        <v>18</v>
      </c>
    </row>
    <row r="748" spans="1:8">
      <c r="A748" s="1">
        <v>747</v>
      </c>
      <c r="B748" s="1" t="s">
        <v>2026</v>
      </c>
      <c r="C748" s="1" t="s">
        <v>401</v>
      </c>
      <c r="D748" s="1" t="s">
        <v>2027</v>
      </c>
      <c r="E748" s="1" t="s">
        <v>2030</v>
      </c>
      <c r="F748" s="1" t="s">
        <v>21</v>
      </c>
      <c r="G748" s="1" t="s">
        <v>22</v>
      </c>
      <c r="H748" s="1" t="s">
        <v>18</v>
      </c>
    </row>
    <row r="749" spans="1:8">
      <c r="A749" s="1">
        <v>748</v>
      </c>
      <c r="B749" s="1" t="s">
        <v>2026</v>
      </c>
      <c r="C749" s="1" t="s">
        <v>405</v>
      </c>
      <c r="D749" s="1" t="s">
        <v>2027</v>
      </c>
      <c r="E749" s="1" t="s">
        <v>2031</v>
      </c>
      <c r="F749" s="1" t="s">
        <v>1677</v>
      </c>
      <c r="G749" s="1" t="s">
        <v>1678</v>
      </c>
      <c r="H749" s="1" t="s">
        <v>18</v>
      </c>
    </row>
    <row r="750" spans="1:8">
      <c r="A750" s="1">
        <v>749</v>
      </c>
      <c r="B750" s="1" t="s">
        <v>2026</v>
      </c>
      <c r="C750" s="1" t="s">
        <v>409</v>
      </c>
      <c r="D750" s="1" t="s">
        <v>2027</v>
      </c>
      <c r="E750" s="1" t="s">
        <v>2032</v>
      </c>
      <c r="F750" s="1" t="s">
        <v>29</v>
      </c>
      <c r="G750" s="1" t="s">
        <v>30</v>
      </c>
      <c r="H750" s="1" t="s">
        <v>18</v>
      </c>
    </row>
    <row r="751" spans="1:8">
      <c r="A751" s="1">
        <v>750</v>
      </c>
      <c r="B751" s="1" t="s">
        <v>2026</v>
      </c>
      <c r="C751" s="1" t="s">
        <v>413</v>
      </c>
      <c r="D751" s="1" t="s">
        <v>2027</v>
      </c>
      <c r="E751" s="1" t="s">
        <v>2033</v>
      </c>
      <c r="F751" s="1" t="s">
        <v>37</v>
      </c>
      <c r="G751" s="1" t="s">
        <v>38</v>
      </c>
      <c r="H751" s="1" t="s">
        <v>18</v>
      </c>
    </row>
    <row r="752" spans="1:8">
      <c r="A752" s="1">
        <v>751</v>
      </c>
      <c r="B752" s="1" t="s">
        <v>2026</v>
      </c>
      <c r="C752" s="1" t="s">
        <v>417</v>
      </c>
      <c r="D752" s="1" t="s">
        <v>2027</v>
      </c>
      <c r="E752" s="1" t="s">
        <v>2034</v>
      </c>
      <c r="F752" s="1" t="s">
        <v>41</v>
      </c>
      <c r="G752" s="1" t="s">
        <v>42</v>
      </c>
      <c r="H752" s="1" t="s">
        <v>18</v>
      </c>
    </row>
    <row r="753" spans="1:8">
      <c r="A753" s="1">
        <v>752</v>
      </c>
      <c r="B753" s="1" t="s">
        <v>2035</v>
      </c>
      <c r="C753" s="1" t="s">
        <v>131</v>
      </c>
      <c r="D753" s="1" t="s">
        <v>2036</v>
      </c>
      <c r="E753" s="1" t="s">
        <v>2037</v>
      </c>
      <c r="F753" s="1" t="s">
        <v>12</v>
      </c>
      <c r="G753" s="1" t="s">
        <v>13</v>
      </c>
      <c r="H753" s="1" t="s">
        <v>18</v>
      </c>
    </row>
    <row r="754" spans="1:8">
      <c r="A754" s="1">
        <v>753</v>
      </c>
      <c r="B754" s="1" t="s">
        <v>2035</v>
      </c>
      <c r="C754" s="1" t="s">
        <v>136</v>
      </c>
      <c r="D754" s="1" t="s">
        <v>2036</v>
      </c>
      <c r="E754" s="1" t="s">
        <v>2038</v>
      </c>
      <c r="F754" s="1" t="s">
        <v>16</v>
      </c>
      <c r="G754" s="1" t="s">
        <v>17</v>
      </c>
      <c r="H754" s="1" t="s">
        <v>18</v>
      </c>
    </row>
    <row r="755" spans="1:8">
      <c r="A755" s="1">
        <v>754</v>
      </c>
      <c r="B755" s="1" t="s">
        <v>2035</v>
      </c>
      <c r="C755" s="1" t="s">
        <v>138</v>
      </c>
      <c r="D755" s="1" t="s">
        <v>2036</v>
      </c>
      <c r="E755" s="1" t="s">
        <v>2039</v>
      </c>
      <c r="F755" s="1" t="s">
        <v>21</v>
      </c>
      <c r="G755" s="1" t="s">
        <v>22</v>
      </c>
      <c r="H755" s="1" t="s">
        <v>18</v>
      </c>
    </row>
    <row r="756" spans="1:8">
      <c r="A756" s="1">
        <v>755</v>
      </c>
      <c r="B756" s="1" t="s">
        <v>2035</v>
      </c>
      <c r="C756" s="1" t="s">
        <v>140</v>
      </c>
      <c r="D756" s="1" t="s">
        <v>2036</v>
      </c>
      <c r="E756" s="1" t="s">
        <v>2040</v>
      </c>
      <c r="F756" s="1" t="s">
        <v>25</v>
      </c>
      <c r="G756" s="1" t="s">
        <v>26</v>
      </c>
      <c r="H756" s="1" t="s">
        <v>18</v>
      </c>
    </row>
    <row r="757" spans="1:8">
      <c r="A757" s="1">
        <v>756</v>
      </c>
      <c r="B757" s="1" t="s">
        <v>2035</v>
      </c>
      <c r="C757" s="1" t="s">
        <v>142</v>
      </c>
      <c r="D757" s="1" t="s">
        <v>2036</v>
      </c>
      <c r="E757" s="1" t="s">
        <v>2041</v>
      </c>
      <c r="F757" s="1" t="s">
        <v>1853</v>
      </c>
      <c r="G757" s="1" t="s">
        <v>1854</v>
      </c>
      <c r="H757" s="1" t="s">
        <v>18</v>
      </c>
    </row>
    <row r="758" spans="1:8">
      <c r="A758" s="1">
        <v>757</v>
      </c>
      <c r="B758" s="1" t="s">
        <v>2035</v>
      </c>
      <c r="C758" s="1" t="s">
        <v>144</v>
      </c>
      <c r="D758" s="1" t="s">
        <v>2036</v>
      </c>
      <c r="E758" s="1" t="s">
        <v>2042</v>
      </c>
      <c r="F758" s="1" t="s">
        <v>37</v>
      </c>
      <c r="G758" s="1" t="s">
        <v>38</v>
      </c>
      <c r="H758" s="1" t="s">
        <v>18</v>
      </c>
    </row>
    <row r="759" spans="1:8">
      <c r="A759" s="1">
        <v>758</v>
      </c>
      <c r="B759" s="1" t="s">
        <v>2035</v>
      </c>
      <c r="C759" s="1" t="s">
        <v>146</v>
      </c>
      <c r="D759" s="1" t="s">
        <v>2036</v>
      </c>
      <c r="E759" s="1" t="s">
        <v>2043</v>
      </c>
      <c r="F759" s="1" t="s">
        <v>41</v>
      </c>
      <c r="G759" s="1" t="s">
        <v>42</v>
      </c>
      <c r="H759" s="1" t="s">
        <v>18</v>
      </c>
    </row>
    <row r="760" spans="1:8">
      <c r="A760" s="1">
        <v>759</v>
      </c>
      <c r="B760" s="1" t="s">
        <v>2035</v>
      </c>
      <c r="C760" s="1" t="s">
        <v>148</v>
      </c>
      <c r="D760" s="1" t="s">
        <v>2036</v>
      </c>
      <c r="E760" s="1" t="s">
        <v>2044</v>
      </c>
      <c r="F760" s="1" t="s">
        <v>33</v>
      </c>
      <c r="G760" s="1" t="s">
        <v>34</v>
      </c>
      <c r="H760" s="1" t="s">
        <v>18</v>
      </c>
    </row>
    <row r="761" spans="1:8">
      <c r="A761" s="1">
        <v>760</v>
      </c>
      <c r="B761" s="1" t="s">
        <v>2035</v>
      </c>
      <c r="C761" s="1" t="s">
        <v>150</v>
      </c>
      <c r="D761" s="1" t="s">
        <v>2036</v>
      </c>
      <c r="E761" s="1" t="s">
        <v>2045</v>
      </c>
      <c r="F761" s="1" t="s">
        <v>29</v>
      </c>
      <c r="G761" s="1" t="s">
        <v>30</v>
      </c>
      <c r="H761" s="1" t="s">
        <v>18</v>
      </c>
    </row>
    <row r="762" spans="1:8">
      <c r="A762" s="1">
        <v>761</v>
      </c>
      <c r="B762" s="1" t="s">
        <v>2035</v>
      </c>
      <c r="C762" s="1" t="s">
        <v>152</v>
      </c>
      <c r="D762" s="1" t="s">
        <v>2036</v>
      </c>
      <c r="E762" s="1" t="s">
        <v>2046</v>
      </c>
      <c r="F762" s="1" t="s">
        <v>1680</v>
      </c>
      <c r="G762" s="1" t="s">
        <v>1681</v>
      </c>
      <c r="H762" s="1" t="s">
        <v>18</v>
      </c>
    </row>
    <row r="763" spans="1:8">
      <c r="A763" s="1">
        <v>762</v>
      </c>
      <c r="B763" s="1" t="s">
        <v>2047</v>
      </c>
      <c r="C763" s="1" t="s">
        <v>2048</v>
      </c>
      <c r="D763" s="1" t="s">
        <v>2049</v>
      </c>
      <c r="E763" s="1" t="s">
        <v>2050</v>
      </c>
      <c r="F763" s="1" t="s">
        <v>2051</v>
      </c>
      <c r="G763" s="1" t="s">
        <v>2052</v>
      </c>
      <c r="H763" s="1" t="s">
        <v>18</v>
      </c>
    </row>
    <row r="764" spans="1:8">
      <c r="A764" s="1">
        <v>763</v>
      </c>
      <c r="B764" s="1" t="s">
        <v>2047</v>
      </c>
      <c r="C764" s="1" t="s">
        <v>2053</v>
      </c>
      <c r="D764" s="1" t="s">
        <v>2049</v>
      </c>
      <c r="E764" s="1" t="s">
        <v>2054</v>
      </c>
      <c r="F764" s="1" t="s">
        <v>2055</v>
      </c>
      <c r="G764" s="1" t="s">
        <v>2056</v>
      </c>
      <c r="H764" s="1" t="s">
        <v>18</v>
      </c>
    </row>
    <row r="765" spans="1:8">
      <c r="A765" s="1">
        <v>764</v>
      </c>
      <c r="B765" s="1" t="s">
        <v>2047</v>
      </c>
      <c r="C765" s="1" t="s">
        <v>2057</v>
      </c>
      <c r="D765" s="1" t="s">
        <v>2049</v>
      </c>
      <c r="E765" s="1" t="s">
        <v>2058</v>
      </c>
      <c r="F765" s="1" t="s">
        <v>2059</v>
      </c>
      <c r="G765" s="1" t="s">
        <v>2060</v>
      </c>
      <c r="H765" s="1" t="s">
        <v>18</v>
      </c>
    </row>
    <row r="766" spans="1:8">
      <c r="A766" s="1">
        <v>765</v>
      </c>
      <c r="B766" s="1" t="s">
        <v>2047</v>
      </c>
      <c r="C766" s="1" t="s">
        <v>2061</v>
      </c>
      <c r="D766" s="1" t="s">
        <v>2049</v>
      </c>
      <c r="E766" s="1" t="s">
        <v>2062</v>
      </c>
      <c r="F766" s="1" t="s">
        <v>2063</v>
      </c>
      <c r="G766" s="1" t="s">
        <v>2064</v>
      </c>
      <c r="H766" s="1" t="s">
        <v>18</v>
      </c>
    </row>
    <row r="767" spans="1:8">
      <c r="A767" s="1">
        <v>766</v>
      </c>
      <c r="B767" s="1" t="s">
        <v>2047</v>
      </c>
      <c r="C767" s="1" t="s">
        <v>2065</v>
      </c>
      <c r="D767" s="1" t="s">
        <v>2049</v>
      </c>
      <c r="E767" s="1" t="s">
        <v>2066</v>
      </c>
      <c r="F767" s="1" t="s">
        <v>2067</v>
      </c>
      <c r="G767" s="1" t="s">
        <v>2068</v>
      </c>
      <c r="H767" s="1" t="s">
        <v>18</v>
      </c>
    </row>
    <row r="768" spans="1:8">
      <c r="A768" s="1">
        <v>767</v>
      </c>
      <c r="B768" s="1" t="s">
        <v>2047</v>
      </c>
      <c r="C768" s="1" t="s">
        <v>2069</v>
      </c>
      <c r="D768" s="1" t="s">
        <v>2049</v>
      </c>
      <c r="E768" s="1" t="s">
        <v>2070</v>
      </c>
      <c r="F768" s="1" t="s">
        <v>2071</v>
      </c>
      <c r="G768" s="1" t="s">
        <v>2072</v>
      </c>
      <c r="H768" s="1" t="s">
        <v>18</v>
      </c>
    </row>
    <row r="769" spans="1:8">
      <c r="A769" s="1">
        <v>768</v>
      </c>
      <c r="B769" s="1" t="s">
        <v>2047</v>
      </c>
      <c r="C769" s="1" t="s">
        <v>2073</v>
      </c>
      <c r="D769" s="1" t="s">
        <v>2049</v>
      </c>
      <c r="E769" s="1" t="s">
        <v>2074</v>
      </c>
      <c r="F769" s="1" t="s">
        <v>2075</v>
      </c>
      <c r="G769" s="1" t="s">
        <v>2076</v>
      </c>
      <c r="H769" s="1" t="s">
        <v>18</v>
      </c>
    </row>
    <row r="770" spans="1:8">
      <c r="A770" s="1">
        <v>769</v>
      </c>
      <c r="B770" s="1" t="s">
        <v>2047</v>
      </c>
      <c r="C770" s="1" t="s">
        <v>2077</v>
      </c>
      <c r="D770" s="1" t="s">
        <v>2049</v>
      </c>
      <c r="E770" s="1" t="s">
        <v>2078</v>
      </c>
      <c r="F770" s="1" t="s">
        <v>2079</v>
      </c>
      <c r="G770" s="1" t="s">
        <v>2080</v>
      </c>
      <c r="H770" s="1" t="s">
        <v>18</v>
      </c>
    </row>
    <row r="771" spans="1:8">
      <c r="A771" s="1">
        <v>770</v>
      </c>
      <c r="B771" s="1" t="s">
        <v>2047</v>
      </c>
      <c r="C771" s="1" t="s">
        <v>2081</v>
      </c>
      <c r="D771" s="1" t="s">
        <v>2049</v>
      </c>
      <c r="E771" s="1" t="s">
        <v>2082</v>
      </c>
      <c r="F771" s="1" t="s">
        <v>2083</v>
      </c>
      <c r="G771" s="1" t="s">
        <v>2084</v>
      </c>
      <c r="H771" s="1" t="s">
        <v>18</v>
      </c>
    </row>
    <row r="772" spans="1:8">
      <c r="A772" s="1">
        <v>771</v>
      </c>
      <c r="B772" s="1" t="s">
        <v>2047</v>
      </c>
      <c r="C772" s="1" t="s">
        <v>2085</v>
      </c>
      <c r="D772" s="1" t="s">
        <v>2049</v>
      </c>
      <c r="E772" s="1" t="s">
        <v>2086</v>
      </c>
      <c r="F772" s="1" t="s">
        <v>2087</v>
      </c>
      <c r="G772" s="1" t="s">
        <v>2088</v>
      </c>
      <c r="H772" s="1" t="s">
        <v>18</v>
      </c>
    </row>
    <row r="773" spans="1:8">
      <c r="A773" s="1">
        <v>772</v>
      </c>
      <c r="B773" s="1" t="s">
        <v>2047</v>
      </c>
      <c r="C773" s="1" t="s">
        <v>2089</v>
      </c>
      <c r="D773" s="1" t="s">
        <v>2049</v>
      </c>
      <c r="E773" s="1" t="s">
        <v>2090</v>
      </c>
      <c r="F773" s="1" t="s">
        <v>2091</v>
      </c>
      <c r="G773" s="1" t="s">
        <v>2092</v>
      </c>
      <c r="H773" s="1" t="s">
        <v>18</v>
      </c>
    </row>
    <row r="774" spans="1:8">
      <c r="A774" s="1">
        <v>773</v>
      </c>
      <c r="B774" s="1" t="s">
        <v>2047</v>
      </c>
      <c r="C774" s="1" t="s">
        <v>2093</v>
      </c>
      <c r="D774" s="1" t="s">
        <v>2049</v>
      </c>
      <c r="E774" s="1" t="s">
        <v>2094</v>
      </c>
      <c r="F774" s="1" t="s">
        <v>2095</v>
      </c>
      <c r="G774" s="1" t="s">
        <v>2096</v>
      </c>
      <c r="H774" s="1" t="s">
        <v>18</v>
      </c>
    </row>
    <row r="775" spans="1:8">
      <c r="A775" s="1">
        <v>774</v>
      </c>
      <c r="B775" s="1" t="s">
        <v>2047</v>
      </c>
      <c r="C775" s="1" t="s">
        <v>2097</v>
      </c>
      <c r="D775" s="1" t="s">
        <v>2049</v>
      </c>
      <c r="E775" s="1" t="s">
        <v>2098</v>
      </c>
      <c r="F775" s="1" t="s">
        <v>2099</v>
      </c>
      <c r="G775" s="1" t="s">
        <v>2100</v>
      </c>
      <c r="H775" s="1" t="s">
        <v>18</v>
      </c>
    </row>
    <row r="776" spans="1:8">
      <c r="A776" s="1">
        <v>775</v>
      </c>
      <c r="B776" s="1" t="s">
        <v>2047</v>
      </c>
      <c r="C776" s="1" t="s">
        <v>2101</v>
      </c>
      <c r="D776" s="1" t="s">
        <v>2049</v>
      </c>
      <c r="E776" s="1" t="s">
        <v>2102</v>
      </c>
      <c r="F776" s="1" t="s">
        <v>2103</v>
      </c>
      <c r="G776" s="1" t="s">
        <v>2104</v>
      </c>
      <c r="H776" s="1" t="s">
        <v>18</v>
      </c>
    </row>
    <row r="777" spans="1:8">
      <c r="A777" s="1">
        <v>776</v>
      </c>
      <c r="B777" s="1" t="s">
        <v>2047</v>
      </c>
      <c r="C777" s="1" t="s">
        <v>2105</v>
      </c>
      <c r="D777" s="1" t="s">
        <v>2049</v>
      </c>
      <c r="E777" s="1" t="s">
        <v>2106</v>
      </c>
      <c r="F777" s="1" t="s">
        <v>2107</v>
      </c>
      <c r="G777" s="1" t="s">
        <v>2108</v>
      </c>
      <c r="H777" s="1" t="s">
        <v>18</v>
      </c>
    </row>
    <row r="778" spans="1:8">
      <c r="A778" s="1">
        <v>777</v>
      </c>
      <c r="B778" s="1" t="s">
        <v>2047</v>
      </c>
      <c r="C778" s="1" t="s">
        <v>2109</v>
      </c>
      <c r="D778" s="1" t="s">
        <v>2049</v>
      </c>
      <c r="E778" s="1" t="s">
        <v>2110</v>
      </c>
      <c r="F778" s="1" t="s">
        <v>2111</v>
      </c>
      <c r="G778" s="1" t="s">
        <v>2112</v>
      </c>
      <c r="H778" s="1" t="s">
        <v>18</v>
      </c>
    </row>
    <row r="779" spans="1:8">
      <c r="A779" s="1">
        <v>778</v>
      </c>
      <c r="B779" s="1" t="s">
        <v>2047</v>
      </c>
      <c r="C779" s="1" t="s">
        <v>2113</v>
      </c>
      <c r="D779" s="1" t="s">
        <v>2049</v>
      </c>
      <c r="E779" s="1" t="s">
        <v>2114</v>
      </c>
      <c r="F779" s="1" t="s">
        <v>2115</v>
      </c>
      <c r="G779" s="1" t="s">
        <v>2116</v>
      </c>
      <c r="H779" s="1" t="s">
        <v>18</v>
      </c>
    </row>
    <row r="780" spans="1:8">
      <c r="A780" s="1">
        <v>779</v>
      </c>
      <c r="B780" s="1" t="s">
        <v>2047</v>
      </c>
      <c r="C780" s="1" t="s">
        <v>2117</v>
      </c>
      <c r="D780" s="1" t="s">
        <v>2049</v>
      </c>
      <c r="E780" s="1" t="s">
        <v>2118</v>
      </c>
      <c r="F780" s="1" t="s">
        <v>2119</v>
      </c>
      <c r="G780" s="1" t="s">
        <v>2120</v>
      </c>
      <c r="H780" s="1" t="s">
        <v>18</v>
      </c>
    </row>
    <row r="781" spans="1:8">
      <c r="A781" s="1">
        <v>780</v>
      </c>
      <c r="B781" s="1" t="s">
        <v>2047</v>
      </c>
      <c r="C781" s="1" t="s">
        <v>2121</v>
      </c>
      <c r="D781" s="1" t="s">
        <v>2049</v>
      </c>
      <c r="E781" s="1" t="s">
        <v>2122</v>
      </c>
      <c r="F781" s="1" t="s">
        <v>2123</v>
      </c>
      <c r="G781" s="1" t="s">
        <v>2124</v>
      </c>
      <c r="H781" s="1" t="s">
        <v>18</v>
      </c>
    </row>
    <row r="782" spans="1:8">
      <c r="A782" s="1">
        <v>781</v>
      </c>
      <c r="B782" s="1" t="s">
        <v>2047</v>
      </c>
      <c r="C782" s="1" t="s">
        <v>2125</v>
      </c>
      <c r="D782" s="1" t="s">
        <v>2049</v>
      </c>
      <c r="E782" s="1" t="s">
        <v>2126</v>
      </c>
      <c r="F782" s="1" t="s">
        <v>2127</v>
      </c>
      <c r="G782" s="1" t="s">
        <v>2128</v>
      </c>
      <c r="H782" s="1" t="s">
        <v>18</v>
      </c>
    </row>
    <row r="783" spans="1:8">
      <c r="A783" s="1">
        <v>782</v>
      </c>
      <c r="B783" s="1" t="s">
        <v>2047</v>
      </c>
      <c r="C783" s="1" t="s">
        <v>2129</v>
      </c>
      <c r="D783" s="1" t="s">
        <v>2049</v>
      </c>
      <c r="E783" s="1" t="s">
        <v>2130</v>
      </c>
      <c r="F783" s="1" t="s">
        <v>2131</v>
      </c>
      <c r="G783" s="1" t="s">
        <v>2132</v>
      </c>
      <c r="H783" s="1" t="s">
        <v>18</v>
      </c>
    </row>
    <row r="784" spans="1:8">
      <c r="A784" s="1">
        <v>783</v>
      </c>
      <c r="B784" s="1" t="s">
        <v>2047</v>
      </c>
      <c r="C784" s="1" t="s">
        <v>2133</v>
      </c>
      <c r="D784" s="1" t="s">
        <v>2049</v>
      </c>
      <c r="E784" s="1" t="s">
        <v>2134</v>
      </c>
      <c r="F784" s="1" t="s">
        <v>2135</v>
      </c>
      <c r="G784" s="1" t="s">
        <v>2136</v>
      </c>
      <c r="H784" s="1" t="s">
        <v>18</v>
      </c>
    </row>
    <row r="785" spans="1:8">
      <c r="A785" s="1">
        <v>784</v>
      </c>
      <c r="B785" s="1" t="s">
        <v>2047</v>
      </c>
      <c r="C785" s="1" t="s">
        <v>2137</v>
      </c>
      <c r="D785" s="1" t="s">
        <v>2049</v>
      </c>
      <c r="E785" s="1" t="s">
        <v>2138</v>
      </c>
      <c r="F785" s="1" t="s">
        <v>2139</v>
      </c>
      <c r="G785" s="1" t="s">
        <v>2140</v>
      </c>
      <c r="H785" s="1" t="s">
        <v>18</v>
      </c>
    </row>
    <row r="786" spans="1:8">
      <c r="A786" s="1">
        <v>785</v>
      </c>
      <c r="B786" s="1" t="s">
        <v>2047</v>
      </c>
      <c r="C786" s="1" t="s">
        <v>2141</v>
      </c>
      <c r="D786" s="1" t="s">
        <v>2049</v>
      </c>
      <c r="E786" s="1" t="s">
        <v>2142</v>
      </c>
      <c r="F786" s="1" t="s">
        <v>2143</v>
      </c>
      <c r="G786" s="1" t="s">
        <v>2144</v>
      </c>
      <c r="H786" s="1" t="s">
        <v>18</v>
      </c>
    </row>
    <row r="787" spans="1:8">
      <c r="A787" s="1">
        <v>786</v>
      </c>
      <c r="B787" s="1" t="s">
        <v>2047</v>
      </c>
      <c r="C787" s="1" t="s">
        <v>2145</v>
      </c>
      <c r="D787" s="1" t="s">
        <v>2049</v>
      </c>
      <c r="E787" s="1" t="s">
        <v>2146</v>
      </c>
      <c r="F787" s="1" t="s">
        <v>2147</v>
      </c>
      <c r="G787" s="1" t="s">
        <v>2148</v>
      </c>
      <c r="H787" s="1" t="s">
        <v>18</v>
      </c>
    </row>
    <row r="788" spans="1:8">
      <c r="A788" s="1">
        <v>787</v>
      </c>
      <c r="B788" s="1" t="s">
        <v>2047</v>
      </c>
      <c r="C788" s="1" t="s">
        <v>2149</v>
      </c>
      <c r="D788" s="1" t="s">
        <v>2049</v>
      </c>
      <c r="E788" s="1" t="s">
        <v>2150</v>
      </c>
      <c r="F788" s="1" t="s">
        <v>2151</v>
      </c>
      <c r="G788" s="1" t="s">
        <v>2152</v>
      </c>
      <c r="H788" s="1" t="s">
        <v>18</v>
      </c>
    </row>
    <row r="789" spans="1:8">
      <c r="A789" s="1">
        <v>788</v>
      </c>
      <c r="B789" s="1" t="s">
        <v>2047</v>
      </c>
      <c r="C789" s="1" t="s">
        <v>2153</v>
      </c>
      <c r="D789" s="1" t="s">
        <v>2049</v>
      </c>
      <c r="E789" s="1" t="s">
        <v>2154</v>
      </c>
      <c r="F789" s="1" t="s">
        <v>2155</v>
      </c>
      <c r="G789" s="1" t="s">
        <v>2156</v>
      </c>
      <c r="H789" s="1" t="s">
        <v>18</v>
      </c>
    </row>
    <row r="790" spans="1:8">
      <c r="A790" s="1">
        <v>789</v>
      </c>
      <c r="B790" s="1" t="s">
        <v>2047</v>
      </c>
      <c r="C790" s="1" t="s">
        <v>2157</v>
      </c>
      <c r="D790" s="1" t="s">
        <v>2049</v>
      </c>
      <c r="E790" s="1" t="s">
        <v>2158</v>
      </c>
      <c r="F790" s="1" t="s">
        <v>2159</v>
      </c>
      <c r="G790" s="1" t="s">
        <v>2160</v>
      </c>
      <c r="H790" s="1" t="s">
        <v>18</v>
      </c>
    </row>
    <row r="791" spans="1:8">
      <c r="A791" s="1">
        <v>790</v>
      </c>
      <c r="B791" s="1" t="s">
        <v>2047</v>
      </c>
      <c r="C791" s="1" t="s">
        <v>2161</v>
      </c>
      <c r="D791" s="1" t="s">
        <v>2049</v>
      </c>
      <c r="E791" s="1" t="s">
        <v>2162</v>
      </c>
      <c r="F791" s="1" t="s">
        <v>2163</v>
      </c>
      <c r="G791" s="1" t="s">
        <v>2164</v>
      </c>
      <c r="H791" s="1" t="s">
        <v>18</v>
      </c>
    </row>
    <row r="792" spans="1:8">
      <c r="A792" s="1">
        <v>791</v>
      </c>
      <c r="B792" s="1" t="s">
        <v>2047</v>
      </c>
      <c r="C792" s="1" t="s">
        <v>2165</v>
      </c>
      <c r="D792" s="1" t="s">
        <v>2049</v>
      </c>
      <c r="E792" s="1" t="s">
        <v>2166</v>
      </c>
      <c r="F792" s="1" t="s">
        <v>2167</v>
      </c>
      <c r="G792" s="1" t="s">
        <v>2168</v>
      </c>
      <c r="H792" s="1" t="s">
        <v>18</v>
      </c>
    </row>
    <row r="793" spans="1:8">
      <c r="A793" s="1">
        <v>792</v>
      </c>
      <c r="B793" s="1" t="s">
        <v>2047</v>
      </c>
      <c r="C793" s="1" t="s">
        <v>2169</v>
      </c>
      <c r="D793" s="1" t="s">
        <v>2049</v>
      </c>
      <c r="E793" s="1" t="s">
        <v>2170</v>
      </c>
      <c r="F793" s="1" t="s">
        <v>2171</v>
      </c>
      <c r="G793" s="1" t="s">
        <v>2172</v>
      </c>
      <c r="H793" s="1" t="s">
        <v>18</v>
      </c>
    </row>
    <row r="794" spans="1:8">
      <c r="A794" s="1">
        <v>793</v>
      </c>
      <c r="B794" s="1" t="s">
        <v>2047</v>
      </c>
      <c r="C794" s="1" t="s">
        <v>2173</v>
      </c>
      <c r="D794" s="1" t="s">
        <v>2049</v>
      </c>
      <c r="E794" s="1" t="s">
        <v>2174</v>
      </c>
      <c r="F794" s="1" t="s">
        <v>2175</v>
      </c>
      <c r="G794" s="1" t="s">
        <v>2176</v>
      </c>
      <c r="H794" s="1" t="s">
        <v>18</v>
      </c>
    </row>
    <row r="795" spans="1:8">
      <c r="A795" s="1">
        <v>794</v>
      </c>
      <c r="B795" s="1" t="s">
        <v>2047</v>
      </c>
      <c r="C795" s="1" t="s">
        <v>2177</v>
      </c>
      <c r="D795" s="1" t="s">
        <v>2049</v>
      </c>
      <c r="E795" s="1" t="s">
        <v>2178</v>
      </c>
      <c r="F795" s="1" t="s">
        <v>2179</v>
      </c>
      <c r="G795" s="1" t="s">
        <v>2180</v>
      </c>
      <c r="H795" s="1" t="s">
        <v>18</v>
      </c>
    </row>
    <row r="796" spans="1:8">
      <c r="A796" s="1">
        <v>795</v>
      </c>
      <c r="B796" s="1" t="s">
        <v>2047</v>
      </c>
      <c r="C796" s="1" t="s">
        <v>2181</v>
      </c>
      <c r="D796" s="1" t="s">
        <v>2049</v>
      </c>
      <c r="E796" s="1" t="s">
        <v>2182</v>
      </c>
      <c r="F796" s="1" t="s">
        <v>2183</v>
      </c>
      <c r="G796" s="1" t="s">
        <v>2184</v>
      </c>
      <c r="H796" s="1" t="s">
        <v>18</v>
      </c>
    </row>
    <row r="797" spans="1:8">
      <c r="A797" s="1">
        <v>796</v>
      </c>
      <c r="B797" s="1" t="s">
        <v>2047</v>
      </c>
      <c r="C797" s="1" t="s">
        <v>2185</v>
      </c>
      <c r="D797" s="1" t="s">
        <v>2049</v>
      </c>
      <c r="E797" s="1" t="s">
        <v>2186</v>
      </c>
      <c r="F797" s="1" t="s">
        <v>2187</v>
      </c>
      <c r="G797" s="1" t="s">
        <v>2188</v>
      </c>
      <c r="H797" s="1" t="s">
        <v>18</v>
      </c>
    </row>
    <row r="798" spans="1:8">
      <c r="A798" s="1">
        <v>797</v>
      </c>
      <c r="B798" s="1" t="s">
        <v>2047</v>
      </c>
      <c r="C798" s="1" t="s">
        <v>2189</v>
      </c>
      <c r="D798" s="1" t="s">
        <v>2049</v>
      </c>
      <c r="E798" s="1" t="s">
        <v>2190</v>
      </c>
      <c r="F798" s="1" t="s">
        <v>2191</v>
      </c>
      <c r="G798" s="1" t="s">
        <v>2192</v>
      </c>
      <c r="H798" s="1" t="s">
        <v>18</v>
      </c>
    </row>
    <row r="799" spans="1:8">
      <c r="A799" s="1">
        <v>798</v>
      </c>
      <c r="B799" s="1" t="s">
        <v>2047</v>
      </c>
      <c r="C799" s="1" t="s">
        <v>2193</v>
      </c>
      <c r="D799" s="1" t="s">
        <v>2049</v>
      </c>
      <c r="E799" s="1" t="s">
        <v>2194</v>
      </c>
      <c r="F799" s="1" t="s">
        <v>2195</v>
      </c>
      <c r="G799" s="1" t="s">
        <v>2196</v>
      </c>
      <c r="H799" s="1" t="s">
        <v>18</v>
      </c>
    </row>
    <row r="800" spans="1:8">
      <c r="A800" s="1">
        <v>799</v>
      </c>
      <c r="B800" s="1" t="s">
        <v>2047</v>
      </c>
      <c r="C800" s="1" t="s">
        <v>2197</v>
      </c>
      <c r="D800" s="1" t="s">
        <v>2049</v>
      </c>
      <c r="E800" s="1" t="s">
        <v>2198</v>
      </c>
      <c r="F800" s="1" t="s">
        <v>2199</v>
      </c>
      <c r="G800" s="1" t="s">
        <v>2200</v>
      </c>
      <c r="H800" s="1" t="s">
        <v>18</v>
      </c>
    </row>
    <row r="801" spans="1:8">
      <c r="A801" s="1">
        <v>800</v>
      </c>
      <c r="B801" s="1" t="s">
        <v>2047</v>
      </c>
      <c r="C801" s="1" t="s">
        <v>2201</v>
      </c>
      <c r="D801" s="1" t="s">
        <v>2049</v>
      </c>
      <c r="E801" s="1" t="s">
        <v>2202</v>
      </c>
      <c r="F801" s="1" t="s">
        <v>2203</v>
      </c>
      <c r="G801" s="1" t="s">
        <v>2204</v>
      </c>
      <c r="H801" s="1" t="s">
        <v>18</v>
      </c>
    </row>
    <row r="802" spans="1:8">
      <c r="A802" s="1">
        <v>801</v>
      </c>
      <c r="B802" s="1" t="s">
        <v>2047</v>
      </c>
      <c r="C802" s="1" t="s">
        <v>2205</v>
      </c>
      <c r="D802" s="1" t="s">
        <v>2049</v>
      </c>
      <c r="E802" s="1" t="s">
        <v>2206</v>
      </c>
      <c r="F802" s="1" t="s">
        <v>2207</v>
      </c>
      <c r="G802" s="1" t="s">
        <v>2208</v>
      </c>
      <c r="H802" s="1" t="s">
        <v>18</v>
      </c>
    </row>
    <row r="803" spans="1:8">
      <c r="A803" s="1">
        <v>802</v>
      </c>
      <c r="B803" s="1" t="s">
        <v>2047</v>
      </c>
      <c r="C803" s="1" t="s">
        <v>2209</v>
      </c>
      <c r="D803" s="1" t="s">
        <v>2049</v>
      </c>
      <c r="E803" s="1" t="s">
        <v>2210</v>
      </c>
      <c r="F803" s="1" t="s">
        <v>2211</v>
      </c>
      <c r="G803" s="1" t="s">
        <v>2212</v>
      </c>
      <c r="H803" s="1" t="s">
        <v>18</v>
      </c>
    </row>
    <row r="804" spans="1:8">
      <c r="A804" s="1">
        <v>803</v>
      </c>
      <c r="B804" s="1" t="s">
        <v>2047</v>
      </c>
      <c r="C804" s="1" t="s">
        <v>2213</v>
      </c>
      <c r="D804" s="1" t="s">
        <v>2049</v>
      </c>
      <c r="E804" s="1" t="s">
        <v>2214</v>
      </c>
      <c r="F804" s="1" t="s">
        <v>2215</v>
      </c>
      <c r="G804" s="1" t="s">
        <v>2216</v>
      </c>
      <c r="H804" s="1" t="s">
        <v>18</v>
      </c>
    </row>
    <row r="805" spans="1:8">
      <c r="A805" s="1">
        <v>804</v>
      </c>
      <c r="B805" s="1" t="s">
        <v>2047</v>
      </c>
      <c r="C805" s="1" t="s">
        <v>2217</v>
      </c>
      <c r="D805" s="1" t="s">
        <v>2049</v>
      </c>
      <c r="E805" s="1" t="s">
        <v>2218</v>
      </c>
      <c r="F805" s="1" t="s">
        <v>2219</v>
      </c>
      <c r="G805" s="1" t="s">
        <v>2220</v>
      </c>
      <c r="H805" s="1" t="s">
        <v>18</v>
      </c>
    </row>
    <row r="806" spans="1:8">
      <c r="A806" s="1">
        <v>805</v>
      </c>
      <c r="B806" s="1" t="s">
        <v>2047</v>
      </c>
      <c r="C806" s="1" t="s">
        <v>2221</v>
      </c>
      <c r="D806" s="1" t="s">
        <v>2049</v>
      </c>
      <c r="E806" s="1" t="s">
        <v>2222</v>
      </c>
      <c r="F806" s="1" t="s">
        <v>2223</v>
      </c>
      <c r="G806" s="1" t="s">
        <v>2224</v>
      </c>
      <c r="H806" s="1" t="s">
        <v>18</v>
      </c>
    </row>
    <row r="807" spans="1:8">
      <c r="A807" s="1">
        <v>806</v>
      </c>
      <c r="B807" s="1" t="s">
        <v>2047</v>
      </c>
      <c r="C807" s="1" t="s">
        <v>2225</v>
      </c>
      <c r="D807" s="1" t="s">
        <v>2049</v>
      </c>
      <c r="E807" s="1" t="s">
        <v>2226</v>
      </c>
      <c r="F807" s="1" t="s">
        <v>2227</v>
      </c>
      <c r="G807" s="1" t="s">
        <v>2228</v>
      </c>
      <c r="H807" s="1" t="s">
        <v>18</v>
      </c>
    </row>
    <row r="808" spans="1:8">
      <c r="A808" s="1">
        <v>807</v>
      </c>
      <c r="B808" s="1" t="s">
        <v>2047</v>
      </c>
      <c r="C808" s="1" t="s">
        <v>2229</v>
      </c>
      <c r="D808" s="1" t="s">
        <v>2049</v>
      </c>
      <c r="E808" s="1" t="s">
        <v>2230</v>
      </c>
      <c r="F808" s="1" t="s">
        <v>2231</v>
      </c>
      <c r="G808" s="1" t="s">
        <v>2232</v>
      </c>
      <c r="H808" s="1" t="s">
        <v>18</v>
      </c>
    </row>
    <row r="809" spans="1:8">
      <c r="A809" s="1">
        <v>808</v>
      </c>
      <c r="B809" s="1" t="s">
        <v>2047</v>
      </c>
      <c r="C809" s="1" t="s">
        <v>2233</v>
      </c>
      <c r="D809" s="1" t="s">
        <v>2049</v>
      </c>
      <c r="E809" s="1" t="s">
        <v>2234</v>
      </c>
      <c r="F809" s="1" t="s">
        <v>2235</v>
      </c>
      <c r="G809" s="1" t="s">
        <v>2236</v>
      </c>
      <c r="H809" s="1" t="s">
        <v>18</v>
      </c>
    </row>
    <row r="810" spans="1:8">
      <c r="A810" s="1">
        <v>809</v>
      </c>
      <c r="B810" s="1" t="s">
        <v>2047</v>
      </c>
      <c r="C810" s="1" t="s">
        <v>2237</v>
      </c>
      <c r="D810" s="1" t="s">
        <v>2049</v>
      </c>
      <c r="E810" s="1" t="s">
        <v>2238</v>
      </c>
      <c r="F810" s="1" t="s">
        <v>2239</v>
      </c>
      <c r="G810" s="1" t="s">
        <v>2240</v>
      </c>
      <c r="H810" s="1" t="s">
        <v>18</v>
      </c>
    </row>
    <row r="811" spans="1:8">
      <c r="A811" s="1">
        <v>810</v>
      </c>
      <c r="B811" s="1" t="s">
        <v>2047</v>
      </c>
      <c r="C811" s="1" t="s">
        <v>2241</v>
      </c>
      <c r="D811" s="1" t="s">
        <v>2049</v>
      </c>
      <c r="E811" s="1" t="s">
        <v>2242</v>
      </c>
      <c r="F811" s="1" t="s">
        <v>2243</v>
      </c>
      <c r="G811" s="1" t="s">
        <v>2244</v>
      </c>
      <c r="H811" s="1" t="s">
        <v>18</v>
      </c>
    </row>
    <row r="812" spans="1:8">
      <c r="A812" s="1">
        <v>811</v>
      </c>
      <c r="B812" s="1" t="s">
        <v>2047</v>
      </c>
      <c r="C812" s="1" t="s">
        <v>2245</v>
      </c>
      <c r="D812" s="1" t="s">
        <v>2049</v>
      </c>
      <c r="E812" s="1" t="s">
        <v>2246</v>
      </c>
      <c r="F812" s="1" t="s">
        <v>2247</v>
      </c>
      <c r="G812" s="1" t="s">
        <v>2248</v>
      </c>
      <c r="H812" s="1" t="s">
        <v>18</v>
      </c>
    </row>
    <row r="813" spans="1:8">
      <c r="A813" s="1">
        <v>812</v>
      </c>
      <c r="B813" s="1" t="s">
        <v>2047</v>
      </c>
      <c r="C813" s="1" t="s">
        <v>2249</v>
      </c>
      <c r="D813" s="1" t="s">
        <v>2049</v>
      </c>
      <c r="E813" s="1" t="s">
        <v>2250</v>
      </c>
      <c r="F813" s="1" t="s">
        <v>2251</v>
      </c>
      <c r="G813" s="1" t="s">
        <v>2252</v>
      </c>
      <c r="H813" s="1" t="s">
        <v>18</v>
      </c>
    </row>
    <row r="814" spans="1:8">
      <c r="A814" s="1">
        <v>813</v>
      </c>
      <c r="B814" s="1" t="s">
        <v>2047</v>
      </c>
      <c r="C814" s="1" t="s">
        <v>2253</v>
      </c>
      <c r="D814" s="1" t="s">
        <v>2049</v>
      </c>
      <c r="E814" s="1" t="s">
        <v>2254</v>
      </c>
      <c r="F814" s="1" t="s">
        <v>2255</v>
      </c>
      <c r="G814" s="1" t="s">
        <v>2256</v>
      </c>
      <c r="H814" s="1" t="s">
        <v>18</v>
      </c>
    </row>
    <row r="815" spans="1:8">
      <c r="A815" s="1">
        <v>814</v>
      </c>
      <c r="B815" s="1" t="s">
        <v>2047</v>
      </c>
      <c r="C815" s="1" t="s">
        <v>2257</v>
      </c>
      <c r="D815" s="1" t="s">
        <v>2049</v>
      </c>
      <c r="E815" s="1" t="s">
        <v>2258</v>
      </c>
      <c r="F815" s="1" t="s">
        <v>2259</v>
      </c>
      <c r="G815" s="1" t="s">
        <v>2260</v>
      </c>
      <c r="H815" s="1" t="s">
        <v>18</v>
      </c>
    </row>
    <row r="816" spans="1:8">
      <c r="A816" s="1">
        <v>815</v>
      </c>
      <c r="B816" s="1" t="s">
        <v>2047</v>
      </c>
      <c r="C816" s="1" t="s">
        <v>2261</v>
      </c>
      <c r="D816" s="1" t="s">
        <v>2049</v>
      </c>
      <c r="E816" s="1" t="s">
        <v>2262</v>
      </c>
      <c r="F816" s="1" t="s">
        <v>2263</v>
      </c>
      <c r="G816" s="1" t="s">
        <v>2264</v>
      </c>
      <c r="H816" s="1" t="s">
        <v>18</v>
      </c>
    </row>
    <row r="817" spans="1:8">
      <c r="A817" s="1">
        <v>816</v>
      </c>
      <c r="B817" s="1" t="s">
        <v>2047</v>
      </c>
      <c r="C817" s="1" t="s">
        <v>2265</v>
      </c>
      <c r="D817" s="1" t="s">
        <v>2049</v>
      </c>
      <c r="E817" s="1" t="s">
        <v>2266</v>
      </c>
      <c r="F817" s="1" t="s">
        <v>2267</v>
      </c>
      <c r="G817" s="1" t="s">
        <v>2268</v>
      </c>
      <c r="H817" s="1" t="s">
        <v>18</v>
      </c>
    </row>
    <row r="818" spans="1:8">
      <c r="A818" s="1">
        <v>817</v>
      </c>
      <c r="B818" s="1" t="s">
        <v>2269</v>
      </c>
      <c r="C818" s="1" t="s">
        <v>2270</v>
      </c>
      <c r="D818" s="1" t="s">
        <v>2271</v>
      </c>
      <c r="E818" s="1" t="s">
        <v>2272</v>
      </c>
      <c r="F818" s="1" t="s">
        <v>2051</v>
      </c>
      <c r="G818" s="1" t="s">
        <v>2052</v>
      </c>
      <c r="H818" s="1" t="s">
        <v>18</v>
      </c>
    </row>
    <row r="819" spans="1:8">
      <c r="A819" s="1">
        <v>818</v>
      </c>
      <c r="B819" s="1" t="s">
        <v>2269</v>
      </c>
      <c r="C819" s="1" t="s">
        <v>2273</v>
      </c>
      <c r="D819" s="1" t="s">
        <v>2271</v>
      </c>
      <c r="E819" s="1" t="s">
        <v>2274</v>
      </c>
      <c r="F819" s="1" t="s">
        <v>2055</v>
      </c>
      <c r="G819" s="1" t="s">
        <v>2056</v>
      </c>
      <c r="H819" s="1" t="s">
        <v>18</v>
      </c>
    </row>
    <row r="820" spans="1:8">
      <c r="A820" s="1">
        <v>819</v>
      </c>
      <c r="B820" s="1" t="s">
        <v>2269</v>
      </c>
      <c r="C820" s="1" t="s">
        <v>2275</v>
      </c>
      <c r="D820" s="1" t="s">
        <v>2271</v>
      </c>
      <c r="E820" s="1" t="s">
        <v>2276</v>
      </c>
      <c r="F820" s="1" t="s">
        <v>2059</v>
      </c>
      <c r="G820" s="1" t="s">
        <v>2060</v>
      </c>
      <c r="H820" s="1" t="s">
        <v>18</v>
      </c>
    </row>
    <row r="821" spans="1:8">
      <c r="A821" s="1">
        <v>820</v>
      </c>
      <c r="B821" s="1" t="s">
        <v>2269</v>
      </c>
      <c r="C821" s="1" t="s">
        <v>2277</v>
      </c>
      <c r="D821" s="1" t="s">
        <v>2271</v>
      </c>
      <c r="E821" s="1" t="s">
        <v>2278</v>
      </c>
      <c r="F821" s="1" t="s">
        <v>2063</v>
      </c>
      <c r="G821" s="1" t="s">
        <v>2064</v>
      </c>
      <c r="H821" s="1" t="s">
        <v>18</v>
      </c>
    </row>
    <row r="822" spans="1:8">
      <c r="A822" s="1">
        <v>821</v>
      </c>
      <c r="B822" s="1" t="s">
        <v>2269</v>
      </c>
      <c r="C822" s="1" t="s">
        <v>2279</v>
      </c>
      <c r="D822" s="1" t="s">
        <v>2271</v>
      </c>
      <c r="E822" s="1" t="s">
        <v>2280</v>
      </c>
      <c r="F822" s="1" t="s">
        <v>2067</v>
      </c>
      <c r="G822" s="1" t="s">
        <v>2068</v>
      </c>
      <c r="H822" s="1" t="s">
        <v>18</v>
      </c>
    </row>
    <row r="823" spans="1:8">
      <c r="A823" s="1">
        <v>822</v>
      </c>
      <c r="B823" s="1" t="s">
        <v>2269</v>
      </c>
      <c r="C823" s="1" t="s">
        <v>2281</v>
      </c>
      <c r="D823" s="1" t="s">
        <v>2271</v>
      </c>
      <c r="E823" s="1" t="s">
        <v>2282</v>
      </c>
      <c r="F823" s="1" t="s">
        <v>2071</v>
      </c>
      <c r="G823" s="1" t="s">
        <v>2072</v>
      </c>
      <c r="H823" s="1" t="s">
        <v>18</v>
      </c>
    </row>
    <row r="824" spans="1:8">
      <c r="A824" s="1">
        <v>823</v>
      </c>
      <c r="B824" s="1" t="s">
        <v>2269</v>
      </c>
      <c r="C824" s="1" t="s">
        <v>2283</v>
      </c>
      <c r="D824" s="1" t="s">
        <v>2271</v>
      </c>
      <c r="E824" s="1" t="s">
        <v>2284</v>
      </c>
      <c r="F824" s="1" t="s">
        <v>2075</v>
      </c>
      <c r="G824" s="1" t="s">
        <v>2076</v>
      </c>
      <c r="H824" s="1" t="s">
        <v>18</v>
      </c>
    </row>
    <row r="825" spans="1:8">
      <c r="A825" s="1">
        <v>824</v>
      </c>
      <c r="B825" s="1" t="s">
        <v>2269</v>
      </c>
      <c r="C825" s="1" t="s">
        <v>2285</v>
      </c>
      <c r="D825" s="1" t="s">
        <v>2271</v>
      </c>
      <c r="E825" s="1" t="s">
        <v>2286</v>
      </c>
      <c r="F825" s="1" t="s">
        <v>2079</v>
      </c>
      <c r="G825" s="1" t="s">
        <v>2080</v>
      </c>
      <c r="H825" s="1" t="s">
        <v>18</v>
      </c>
    </row>
    <row r="826" spans="1:8">
      <c r="A826" s="1">
        <v>825</v>
      </c>
      <c r="B826" s="1" t="s">
        <v>2269</v>
      </c>
      <c r="C826" s="1" t="s">
        <v>2287</v>
      </c>
      <c r="D826" s="1" t="s">
        <v>2271</v>
      </c>
      <c r="E826" s="1" t="s">
        <v>2288</v>
      </c>
      <c r="F826" s="1" t="s">
        <v>2083</v>
      </c>
      <c r="G826" s="1" t="s">
        <v>2084</v>
      </c>
      <c r="H826" s="1" t="s">
        <v>18</v>
      </c>
    </row>
    <row r="827" spans="1:8">
      <c r="A827" s="1">
        <v>826</v>
      </c>
      <c r="B827" s="1" t="s">
        <v>2269</v>
      </c>
      <c r="C827" s="1" t="s">
        <v>2289</v>
      </c>
      <c r="D827" s="1" t="s">
        <v>2271</v>
      </c>
      <c r="E827" s="1" t="s">
        <v>2290</v>
      </c>
      <c r="F827" s="1" t="s">
        <v>2099</v>
      </c>
      <c r="G827" s="1" t="s">
        <v>2100</v>
      </c>
      <c r="H827" s="1" t="s">
        <v>18</v>
      </c>
    </row>
    <row r="828" spans="1:8">
      <c r="A828" s="1">
        <v>827</v>
      </c>
      <c r="B828" s="1" t="s">
        <v>2269</v>
      </c>
      <c r="C828" s="1" t="s">
        <v>2291</v>
      </c>
      <c r="D828" s="1" t="s">
        <v>2271</v>
      </c>
      <c r="E828" s="1" t="s">
        <v>2292</v>
      </c>
      <c r="F828" s="1" t="s">
        <v>2103</v>
      </c>
      <c r="G828" s="1" t="s">
        <v>2104</v>
      </c>
      <c r="H828" s="1" t="s">
        <v>18</v>
      </c>
    </row>
    <row r="829" spans="1:8">
      <c r="A829" s="1">
        <v>828</v>
      </c>
      <c r="B829" s="1" t="s">
        <v>2269</v>
      </c>
      <c r="C829" s="1" t="s">
        <v>2293</v>
      </c>
      <c r="D829" s="1" t="s">
        <v>2271</v>
      </c>
      <c r="E829" s="1" t="s">
        <v>2294</v>
      </c>
      <c r="F829" s="1" t="s">
        <v>2107</v>
      </c>
      <c r="G829" s="1" t="s">
        <v>2108</v>
      </c>
      <c r="H829" s="1" t="s">
        <v>18</v>
      </c>
    </row>
    <row r="830" spans="1:8">
      <c r="A830" s="1">
        <v>829</v>
      </c>
      <c r="B830" s="1" t="s">
        <v>2269</v>
      </c>
      <c r="C830" s="1" t="s">
        <v>2295</v>
      </c>
      <c r="D830" s="1" t="s">
        <v>2271</v>
      </c>
      <c r="E830" s="1" t="s">
        <v>2296</v>
      </c>
      <c r="F830" s="1" t="s">
        <v>2111</v>
      </c>
      <c r="G830" s="1" t="s">
        <v>2112</v>
      </c>
      <c r="H830" s="1" t="s">
        <v>18</v>
      </c>
    </row>
    <row r="831" spans="1:8">
      <c r="A831" s="1">
        <v>830</v>
      </c>
      <c r="B831" s="1" t="s">
        <v>2269</v>
      </c>
      <c r="C831" s="1" t="s">
        <v>2297</v>
      </c>
      <c r="D831" s="1" t="s">
        <v>2271</v>
      </c>
      <c r="E831" s="1" t="s">
        <v>2298</v>
      </c>
      <c r="F831" s="1" t="s">
        <v>2115</v>
      </c>
      <c r="G831" s="1" t="s">
        <v>2116</v>
      </c>
      <c r="H831" s="1" t="s">
        <v>18</v>
      </c>
    </row>
    <row r="832" spans="1:8">
      <c r="A832" s="1">
        <v>831</v>
      </c>
      <c r="B832" s="1" t="s">
        <v>2269</v>
      </c>
      <c r="C832" s="1" t="s">
        <v>2299</v>
      </c>
      <c r="D832" s="1" t="s">
        <v>2271</v>
      </c>
      <c r="E832" s="1" t="s">
        <v>2300</v>
      </c>
      <c r="F832" s="1" t="s">
        <v>2301</v>
      </c>
      <c r="G832" s="1" t="s">
        <v>2302</v>
      </c>
      <c r="H832" s="1" t="s">
        <v>18</v>
      </c>
    </row>
    <row r="833" spans="1:8">
      <c r="A833" s="1">
        <v>832</v>
      </c>
      <c r="B833" s="1" t="s">
        <v>2269</v>
      </c>
      <c r="C833" s="1" t="s">
        <v>2303</v>
      </c>
      <c r="D833" s="1" t="s">
        <v>2271</v>
      </c>
      <c r="E833" s="1" t="s">
        <v>2304</v>
      </c>
      <c r="F833" s="1" t="s">
        <v>2123</v>
      </c>
      <c r="G833" s="1" t="s">
        <v>2124</v>
      </c>
      <c r="H833" s="1" t="s">
        <v>18</v>
      </c>
    </row>
    <row r="834" spans="1:8">
      <c r="A834" s="1">
        <v>833</v>
      </c>
      <c r="B834" s="1" t="s">
        <v>2269</v>
      </c>
      <c r="C834" s="1" t="s">
        <v>2305</v>
      </c>
      <c r="D834" s="1" t="s">
        <v>2271</v>
      </c>
      <c r="E834" s="1" t="s">
        <v>2306</v>
      </c>
      <c r="F834" s="1" t="s">
        <v>2127</v>
      </c>
      <c r="G834" s="1" t="s">
        <v>2128</v>
      </c>
      <c r="H834" s="1" t="s">
        <v>18</v>
      </c>
    </row>
    <row r="835" spans="1:8">
      <c r="A835" s="1">
        <v>834</v>
      </c>
      <c r="B835" s="1" t="s">
        <v>2269</v>
      </c>
      <c r="C835" s="1" t="s">
        <v>2307</v>
      </c>
      <c r="D835" s="1" t="s">
        <v>2271</v>
      </c>
      <c r="E835" s="1" t="s">
        <v>2308</v>
      </c>
      <c r="F835" s="1" t="s">
        <v>2131</v>
      </c>
      <c r="G835" s="1" t="s">
        <v>2132</v>
      </c>
      <c r="H835" s="1" t="s">
        <v>18</v>
      </c>
    </row>
    <row r="836" spans="1:8">
      <c r="A836" s="1">
        <v>835</v>
      </c>
      <c r="B836" s="1" t="s">
        <v>2269</v>
      </c>
      <c r="C836" s="1" t="s">
        <v>2309</v>
      </c>
      <c r="D836" s="1" t="s">
        <v>2271</v>
      </c>
      <c r="E836" s="1" t="s">
        <v>2310</v>
      </c>
      <c r="F836" s="1" t="s">
        <v>2135</v>
      </c>
      <c r="G836" s="1" t="s">
        <v>2136</v>
      </c>
      <c r="H836" s="1" t="s">
        <v>18</v>
      </c>
    </row>
    <row r="837" spans="1:8">
      <c r="A837" s="1">
        <v>836</v>
      </c>
      <c r="B837" s="1" t="s">
        <v>2269</v>
      </c>
      <c r="C837" s="1" t="s">
        <v>2311</v>
      </c>
      <c r="D837" s="1" t="s">
        <v>2271</v>
      </c>
      <c r="E837" s="1" t="s">
        <v>2312</v>
      </c>
      <c r="F837" s="1" t="s">
        <v>2139</v>
      </c>
      <c r="G837" s="1" t="s">
        <v>2140</v>
      </c>
      <c r="H837" s="1" t="s">
        <v>18</v>
      </c>
    </row>
    <row r="838" spans="1:8">
      <c r="A838" s="1">
        <v>837</v>
      </c>
      <c r="B838" s="1" t="s">
        <v>2269</v>
      </c>
      <c r="C838" s="1" t="s">
        <v>2313</v>
      </c>
      <c r="D838" s="1" t="s">
        <v>2271</v>
      </c>
      <c r="E838" s="1" t="s">
        <v>2314</v>
      </c>
      <c r="F838" s="1" t="s">
        <v>2143</v>
      </c>
      <c r="G838" s="1" t="s">
        <v>2144</v>
      </c>
      <c r="H838" s="1" t="s">
        <v>18</v>
      </c>
    </row>
    <row r="839" spans="1:8">
      <c r="A839" s="1">
        <v>838</v>
      </c>
      <c r="B839" s="1" t="s">
        <v>2269</v>
      </c>
      <c r="C839" s="1" t="s">
        <v>2315</v>
      </c>
      <c r="D839" s="1" t="s">
        <v>2271</v>
      </c>
      <c r="E839" s="1" t="s">
        <v>2316</v>
      </c>
      <c r="F839" s="1" t="s">
        <v>2147</v>
      </c>
      <c r="G839" s="1" t="s">
        <v>2148</v>
      </c>
      <c r="H839" s="1" t="s">
        <v>18</v>
      </c>
    </row>
    <row r="840" spans="1:8">
      <c r="A840" s="1">
        <v>839</v>
      </c>
      <c r="B840" s="1" t="s">
        <v>2269</v>
      </c>
      <c r="C840" s="1" t="s">
        <v>2317</v>
      </c>
      <c r="D840" s="1" t="s">
        <v>2271</v>
      </c>
      <c r="E840" s="1" t="s">
        <v>2318</v>
      </c>
      <c r="F840" s="1" t="s">
        <v>2151</v>
      </c>
      <c r="G840" s="1" t="s">
        <v>2152</v>
      </c>
      <c r="H840" s="1" t="s">
        <v>18</v>
      </c>
    </row>
    <row r="841" spans="1:8">
      <c r="A841" s="1">
        <v>840</v>
      </c>
      <c r="B841" s="1" t="s">
        <v>2269</v>
      </c>
      <c r="C841" s="1" t="s">
        <v>2319</v>
      </c>
      <c r="D841" s="1" t="s">
        <v>2271</v>
      </c>
      <c r="E841" s="1" t="s">
        <v>2320</v>
      </c>
      <c r="F841" s="1" t="s">
        <v>2155</v>
      </c>
      <c r="G841" s="1" t="s">
        <v>2156</v>
      </c>
      <c r="H841" s="1" t="s">
        <v>18</v>
      </c>
    </row>
    <row r="842" spans="1:8">
      <c r="A842" s="1">
        <v>841</v>
      </c>
      <c r="B842" s="1" t="s">
        <v>2269</v>
      </c>
      <c r="C842" s="1" t="s">
        <v>2321</v>
      </c>
      <c r="D842" s="1" t="s">
        <v>2271</v>
      </c>
      <c r="E842" s="1" t="s">
        <v>2322</v>
      </c>
      <c r="F842" s="1" t="s">
        <v>2159</v>
      </c>
      <c r="G842" s="1" t="s">
        <v>2160</v>
      </c>
      <c r="H842" s="1" t="s">
        <v>18</v>
      </c>
    </row>
    <row r="843" spans="1:8">
      <c r="A843" s="1">
        <v>842</v>
      </c>
      <c r="B843" s="1" t="s">
        <v>2269</v>
      </c>
      <c r="C843" s="1" t="s">
        <v>2323</v>
      </c>
      <c r="D843" s="1" t="s">
        <v>2271</v>
      </c>
      <c r="E843" s="1" t="s">
        <v>2324</v>
      </c>
      <c r="F843" s="1" t="s">
        <v>2163</v>
      </c>
      <c r="G843" s="1" t="s">
        <v>2164</v>
      </c>
      <c r="H843" s="1" t="s">
        <v>18</v>
      </c>
    </row>
    <row r="844" spans="1:8">
      <c r="A844" s="1">
        <v>843</v>
      </c>
      <c r="B844" s="1" t="s">
        <v>2269</v>
      </c>
      <c r="C844" s="1" t="s">
        <v>2325</v>
      </c>
      <c r="D844" s="1" t="s">
        <v>2271</v>
      </c>
      <c r="E844" s="1" t="s">
        <v>2326</v>
      </c>
      <c r="F844" s="1" t="s">
        <v>2167</v>
      </c>
      <c r="G844" s="1" t="s">
        <v>2168</v>
      </c>
      <c r="H844" s="1" t="s">
        <v>18</v>
      </c>
    </row>
    <row r="845" spans="1:8">
      <c r="A845" s="1">
        <v>844</v>
      </c>
      <c r="B845" s="1" t="s">
        <v>2269</v>
      </c>
      <c r="C845" s="1" t="s">
        <v>2327</v>
      </c>
      <c r="D845" s="1" t="s">
        <v>2271</v>
      </c>
      <c r="E845" s="1" t="s">
        <v>2328</v>
      </c>
      <c r="F845" s="1" t="s">
        <v>2171</v>
      </c>
      <c r="G845" s="1" t="s">
        <v>2172</v>
      </c>
      <c r="H845" s="1" t="s">
        <v>18</v>
      </c>
    </row>
    <row r="846" spans="1:8">
      <c r="A846" s="1">
        <v>845</v>
      </c>
      <c r="B846" s="1" t="s">
        <v>2269</v>
      </c>
      <c r="C846" s="1" t="s">
        <v>2329</v>
      </c>
      <c r="D846" s="1" t="s">
        <v>2271</v>
      </c>
      <c r="E846" s="1" t="s">
        <v>2330</v>
      </c>
      <c r="F846" s="1" t="s">
        <v>2175</v>
      </c>
      <c r="G846" s="1" t="s">
        <v>2176</v>
      </c>
      <c r="H846" s="1" t="s">
        <v>18</v>
      </c>
    </row>
    <row r="847" spans="1:8">
      <c r="A847" s="1">
        <v>846</v>
      </c>
      <c r="B847" s="1" t="s">
        <v>2269</v>
      </c>
      <c r="C847" s="1" t="s">
        <v>2331</v>
      </c>
      <c r="D847" s="1" t="s">
        <v>2271</v>
      </c>
      <c r="E847" s="1" t="s">
        <v>2332</v>
      </c>
      <c r="F847" s="1" t="s">
        <v>2179</v>
      </c>
      <c r="G847" s="1" t="s">
        <v>2180</v>
      </c>
      <c r="H847" s="1" t="s">
        <v>18</v>
      </c>
    </row>
    <row r="848" spans="1:8">
      <c r="A848" s="1">
        <v>847</v>
      </c>
      <c r="B848" s="1" t="s">
        <v>2269</v>
      </c>
      <c r="C848" s="1" t="s">
        <v>2333</v>
      </c>
      <c r="D848" s="1" t="s">
        <v>2271</v>
      </c>
      <c r="E848" s="1" t="s">
        <v>2334</v>
      </c>
      <c r="F848" s="1" t="s">
        <v>2183</v>
      </c>
      <c r="G848" s="1" t="s">
        <v>2184</v>
      </c>
      <c r="H848" s="1" t="s">
        <v>18</v>
      </c>
    </row>
    <row r="849" spans="1:8">
      <c r="A849" s="1">
        <v>848</v>
      </c>
      <c r="B849" s="1" t="s">
        <v>2269</v>
      </c>
      <c r="C849" s="1" t="s">
        <v>2335</v>
      </c>
      <c r="D849" s="1" t="s">
        <v>2271</v>
      </c>
      <c r="E849" s="1" t="s">
        <v>2336</v>
      </c>
      <c r="F849" s="1" t="s">
        <v>2187</v>
      </c>
      <c r="G849" s="1" t="s">
        <v>2188</v>
      </c>
      <c r="H849" s="1" t="s">
        <v>18</v>
      </c>
    </row>
    <row r="850" spans="1:8">
      <c r="A850" s="1">
        <v>849</v>
      </c>
      <c r="B850" s="1" t="s">
        <v>2269</v>
      </c>
      <c r="C850" s="1" t="s">
        <v>2337</v>
      </c>
      <c r="D850" s="1" t="s">
        <v>2271</v>
      </c>
      <c r="E850" s="1" t="s">
        <v>2338</v>
      </c>
      <c r="F850" s="1" t="s">
        <v>2191</v>
      </c>
      <c r="G850" s="1" t="s">
        <v>2192</v>
      </c>
      <c r="H850" s="1" t="s">
        <v>18</v>
      </c>
    </row>
    <row r="851" spans="1:8">
      <c r="A851" s="1">
        <v>850</v>
      </c>
      <c r="B851" s="1" t="s">
        <v>2269</v>
      </c>
      <c r="C851" s="1" t="s">
        <v>2339</v>
      </c>
      <c r="D851" s="1" t="s">
        <v>2271</v>
      </c>
      <c r="E851" s="1" t="s">
        <v>2340</v>
      </c>
      <c r="F851" s="1" t="s">
        <v>2195</v>
      </c>
      <c r="G851" s="1" t="s">
        <v>2196</v>
      </c>
      <c r="H851" s="1" t="s">
        <v>18</v>
      </c>
    </row>
    <row r="852" spans="1:8">
      <c r="A852" s="1">
        <v>851</v>
      </c>
      <c r="B852" s="1" t="s">
        <v>2269</v>
      </c>
      <c r="C852" s="1" t="s">
        <v>2341</v>
      </c>
      <c r="D852" s="1" t="s">
        <v>2271</v>
      </c>
      <c r="E852" s="1" t="s">
        <v>2342</v>
      </c>
      <c r="F852" s="1" t="s">
        <v>2199</v>
      </c>
      <c r="G852" s="1" t="s">
        <v>2200</v>
      </c>
      <c r="H852" s="1" t="s">
        <v>18</v>
      </c>
    </row>
    <row r="853" spans="1:8">
      <c r="A853" s="1">
        <v>852</v>
      </c>
      <c r="B853" s="1" t="s">
        <v>2269</v>
      </c>
      <c r="C853" s="1" t="s">
        <v>2343</v>
      </c>
      <c r="D853" s="1" t="s">
        <v>2271</v>
      </c>
      <c r="E853" s="1" t="s">
        <v>2344</v>
      </c>
      <c r="F853" s="1" t="s">
        <v>2203</v>
      </c>
      <c r="G853" s="1" t="s">
        <v>2204</v>
      </c>
      <c r="H853" s="1" t="s">
        <v>18</v>
      </c>
    </row>
    <row r="854" spans="1:8">
      <c r="A854" s="1">
        <v>853</v>
      </c>
      <c r="B854" s="1" t="s">
        <v>2269</v>
      </c>
      <c r="C854" s="1" t="s">
        <v>2345</v>
      </c>
      <c r="D854" s="1" t="s">
        <v>2271</v>
      </c>
      <c r="E854" s="1" t="s">
        <v>2346</v>
      </c>
      <c r="F854" s="1" t="s">
        <v>2207</v>
      </c>
      <c r="G854" s="1" t="s">
        <v>2208</v>
      </c>
      <c r="H854" s="1" t="s">
        <v>18</v>
      </c>
    </row>
    <row r="855" spans="1:8">
      <c r="A855" s="1">
        <v>854</v>
      </c>
      <c r="B855" s="1" t="s">
        <v>2269</v>
      </c>
      <c r="C855" s="1" t="s">
        <v>2347</v>
      </c>
      <c r="D855" s="1" t="s">
        <v>2271</v>
      </c>
      <c r="E855" s="1" t="s">
        <v>2348</v>
      </c>
      <c r="F855" s="1" t="s">
        <v>2211</v>
      </c>
      <c r="G855" s="1" t="s">
        <v>2212</v>
      </c>
      <c r="H855" s="1" t="s">
        <v>18</v>
      </c>
    </row>
    <row r="856" spans="1:8">
      <c r="A856" s="1">
        <v>855</v>
      </c>
      <c r="B856" s="1" t="s">
        <v>2269</v>
      </c>
      <c r="C856" s="1" t="s">
        <v>2349</v>
      </c>
      <c r="D856" s="1" t="s">
        <v>2271</v>
      </c>
      <c r="E856" s="1" t="s">
        <v>2350</v>
      </c>
      <c r="F856" s="1" t="s">
        <v>2351</v>
      </c>
      <c r="G856" s="1" t="s">
        <v>2352</v>
      </c>
      <c r="H856" s="1" t="s">
        <v>18</v>
      </c>
    </row>
    <row r="857" spans="1:8">
      <c r="A857" s="1">
        <v>856</v>
      </c>
      <c r="B857" s="1" t="s">
        <v>2269</v>
      </c>
      <c r="C857" s="1" t="s">
        <v>2353</v>
      </c>
      <c r="D857" s="1" t="s">
        <v>2271</v>
      </c>
      <c r="E857" s="1" t="s">
        <v>2354</v>
      </c>
      <c r="F857" s="1" t="s">
        <v>2215</v>
      </c>
      <c r="G857" s="1" t="s">
        <v>2216</v>
      </c>
      <c r="H857" s="1" t="s">
        <v>18</v>
      </c>
    </row>
    <row r="858" spans="1:8">
      <c r="A858" s="1">
        <v>857</v>
      </c>
      <c r="B858" s="1" t="s">
        <v>2269</v>
      </c>
      <c r="C858" s="1" t="s">
        <v>2355</v>
      </c>
      <c r="D858" s="1" t="s">
        <v>2271</v>
      </c>
      <c r="E858" s="1" t="s">
        <v>2356</v>
      </c>
      <c r="F858" s="1" t="s">
        <v>2219</v>
      </c>
      <c r="G858" s="1" t="s">
        <v>2220</v>
      </c>
      <c r="H858" s="1" t="s">
        <v>18</v>
      </c>
    </row>
    <row r="859" spans="1:8">
      <c r="A859" s="1">
        <v>858</v>
      </c>
      <c r="B859" s="1" t="s">
        <v>2269</v>
      </c>
      <c r="C859" s="1" t="s">
        <v>2357</v>
      </c>
      <c r="D859" s="1" t="s">
        <v>2271</v>
      </c>
      <c r="E859" s="1" t="s">
        <v>2358</v>
      </c>
      <c r="F859" s="1" t="s">
        <v>2223</v>
      </c>
      <c r="G859" s="1" t="s">
        <v>2224</v>
      </c>
      <c r="H859" s="1" t="s">
        <v>18</v>
      </c>
    </row>
    <row r="860" spans="1:8">
      <c r="A860" s="1">
        <v>859</v>
      </c>
      <c r="B860" s="1" t="s">
        <v>2269</v>
      </c>
      <c r="C860" s="1" t="s">
        <v>2359</v>
      </c>
      <c r="D860" s="1" t="s">
        <v>2271</v>
      </c>
      <c r="E860" s="1" t="s">
        <v>2360</v>
      </c>
      <c r="F860" s="1" t="s">
        <v>2227</v>
      </c>
      <c r="G860" s="1" t="s">
        <v>2228</v>
      </c>
      <c r="H860" s="1" t="s">
        <v>18</v>
      </c>
    </row>
    <row r="861" spans="1:8">
      <c r="A861" s="1">
        <v>860</v>
      </c>
      <c r="B861" s="1" t="s">
        <v>2269</v>
      </c>
      <c r="C861" s="1" t="s">
        <v>2361</v>
      </c>
      <c r="D861" s="1" t="s">
        <v>2271</v>
      </c>
      <c r="E861" s="1" t="s">
        <v>2362</v>
      </c>
      <c r="F861" s="1" t="s">
        <v>2231</v>
      </c>
      <c r="G861" s="1" t="s">
        <v>2232</v>
      </c>
      <c r="H861" s="1" t="s">
        <v>18</v>
      </c>
    </row>
    <row r="862" spans="1:8">
      <c r="A862" s="1">
        <v>861</v>
      </c>
      <c r="B862" s="1" t="s">
        <v>2269</v>
      </c>
      <c r="C862" s="1" t="s">
        <v>2363</v>
      </c>
      <c r="D862" s="1" t="s">
        <v>2271</v>
      </c>
      <c r="E862" s="1" t="s">
        <v>2364</v>
      </c>
      <c r="F862" s="1" t="s">
        <v>2235</v>
      </c>
      <c r="G862" s="1" t="s">
        <v>2236</v>
      </c>
      <c r="H862" s="1" t="s">
        <v>18</v>
      </c>
    </row>
    <row r="863" spans="1:8">
      <c r="A863" s="1">
        <v>862</v>
      </c>
      <c r="B863" s="1" t="s">
        <v>2269</v>
      </c>
      <c r="C863" s="1" t="s">
        <v>2365</v>
      </c>
      <c r="D863" s="1" t="s">
        <v>2271</v>
      </c>
      <c r="E863" s="1" t="s">
        <v>2366</v>
      </c>
      <c r="F863" s="1" t="s">
        <v>2239</v>
      </c>
      <c r="G863" s="1" t="s">
        <v>2240</v>
      </c>
      <c r="H863" s="1" t="s">
        <v>18</v>
      </c>
    </row>
    <row r="864" spans="1:8">
      <c r="A864" s="1">
        <v>863</v>
      </c>
      <c r="B864" s="1" t="s">
        <v>2269</v>
      </c>
      <c r="C864" s="1" t="s">
        <v>2367</v>
      </c>
      <c r="D864" s="1" t="s">
        <v>2271</v>
      </c>
      <c r="E864" s="1" t="s">
        <v>2368</v>
      </c>
      <c r="F864" s="1" t="s">
        <v>2243</v>
      </c>
      <c r="G864" s="1" t="s">
        <v>2244</v>
      </c>
      <c r="H864" s="1" t="s">
        <v>18</v>
      </c>
    </row>
    <row r="865" spans="1:8">
      <c r="A865" s="1">
        <v>864</v>
      </c>
      <c r="B865" s="1" t="s">
        <v>2269</v>
      </c>
      <c r="C865" s="1" t="s">
        <v>2369</v>
      </c>
      <c r="D865" s="1" t="s">
        <v>2271</v>
      </c>
      <c r="E865" s="1" t="s">
        <v>2370</v>
      </c>
      <c r="F865" s="1" t="s">
        <v>2371</v>
      </c>
      <c r="G865" s="1" t="s">
        <v>2372</v>
      </c>
      <c r="H865" s="1" t="s">
        <v>18</v>
      </c>
    </row>
    <row r="866" spans="1:8">
      <c r="A866" s="1">
        <v>865</v>
      </c>
      <c r="B866" s="1" t="s">
        <v>2269</v>
      </c>
      <c r="C866" s="1" t="s">
        <v>2373</v>
      </c>
      <c r="D866" s="1" t="s">
        <v>2271</v>
      </c>
      <c r="E866" s="1" t="s">
        <v>2374</v>
      </c>
      <c r="F866" s="1" t="s">
        <v>2247</v>
      </c>
      <c r="G866" s="1" t="s">
        <v>2248</v>
      </c>
      <c r="H866" s="1" t="s">
        <v>18</v>
      </c>
    </row>
    <row r="867" spans="1:8">
      <c r="A867" s="1">
        <v>866</v>
      </c>
      <c r="B867" s="1" t="s">
        <v>2269</v>
      </c>
      <c r="C867" s="1" t="s">
        <v>2375</v>
      </c>
      <c r="D867" s="1" t="s">
        <v>2271</v>
      </c>
      <c r="E867" s="1" t="s">
        <v>2376</v>
      </c>
      <c r="F867" s="1" t="s">
        <v>2251</v>
      </c>
      <c r="G867" s="1" t="s">
        <v>2252</v>
      </c>
      <c r="H867" s="1" t="s">
        <v>18</v>
      </c>
    </row>
    <row r="868" spans="1:8">
      <c r="A868" s="1">
        <v>867</v>
      </c>
      <c r="B868" s="1" t="s">
        <v>2269</v>
      </c>
      <c r="C868" s="1" t="s">
        <v>2377</v>
      </c>
      <c r="D868" s="1" t="s">
        <v>2271</v>
      </c>
      <c r="E868" s="1" t="s">
        <v>2378</v>
      </c>
      <c r="F868" s="1" t="s">
        <v>2255</v>
      </c>
      <c r="G868" s="1" t="s">
        <v>2256</v>
      </c>
      <c r="H868" s="1" t="s">
        <v>18</v>
      </c>
    </row>
    <row r="869" spans="1:8">
      <c r="A869" s="1">
        <v>868</v>
      </c>
      <c r="B869" s="1" t="s">
        <v>2269</v>
      </c>
      <c r="C869" s="1" t="s">
        <v>2379</v>
      </c>
      <c r="D869" s="1" t="s">
        <v>2271</v>
      </c>
      <c r="E869" s="1" t="s">
        <v>2380</v>
      </c>
      <c r="F869" s="1" t="s">
        <v>2259</v>
      </c>
      <c r="G869" s="1" t="s">
        <v>2260</v>
      </c>
      <c r="H869" s="1" t="s">
        <v>18</v>
      </c>
    </row>
    <row r="870" spans="1:8">
      <c r="A870" s="1">
        <v>869</v>
      </c>
      <c r="B870" s="1" t="s">
        <v>2269</v>
      </c>
      <c r="C870" s="1" t="s">
        <v>2381</v>
      </c>
      <c r="D870" s="1" t="s">
        <v>2271</v>
      </c>
      <c r="E870" s="1" t="s">
        <v>2382</v>
      </c>
      <c r="F870" s="1" t="s">
        <v>2263</v>
      </c>
      <c r="G870" s="1" t="s">
        <v>2264</v>
      </c>
      <c r="H870" s="1" t="s">
        <v>18</v>
      </c>
    </row>
    <row r="871" spans="1:8">
      <c r="A871" s="1">
        <v>870</v>
      </c>
      <c r="B871" s="1" t="s">
        <v>2269</v>
      </c>
      <c r="C871" s="1" t="s">
        <v>2383</v>
      </c>
      <c r="D871" s="1" t="s">
        <v>2271</v>
      </c>
      <c r="E871" s="1" t="s">
        <v>2384</v>
      </c>
      <c r="F871" s="1" t="s">
        <v>2267</v>
      </c>
      <c r="G871" s="1" t="s">
        <v>2268</v>
      </c>
      <c r="H871" s="1" t="s">
        <v>18</v>
      </c>
    </row>
    <row r="872" spans="1:8">
      <c r="A872" s="1">
        <v>871</v>
      </c>
      <c r="B872" s="1" t="s">
        <v>2385</v>
      </c>
      <c r="C872" s="1" t="s">
        <v>2386</v>
      </c>
      <c r="D872" s="1" t="s">
        <v>2387</v>
      </c>
      <c r="E872" s="1" t="s">
        <v>2388</v>
      </c>
      <c r="F872" s="1" t="s">
        <v>2051</v>
      </c>
      <c r="G872" s="1" t="s">
        <v>2052</v>
      </c>
      <c r="H872" s="1" t="s">
        <v>18</v>
      </c>
    </row>
    <row r="873" spans="1:8">
      <c r="A873" s="1">
        <v>872</v>
      </c>
      <c r="B873" s="1" t="s">
        <v>2385</v>
      </c>
      <c r="C873" s="1" t="s">
        <v>2389</v>
      </c>
      <c r="D873" s="1" t="s">
        <v>2387</v>
      </c>
      <c r="E873" s="1" t="s">
        <v>2390</v>
      </c>
      <c r="F873" s="1" t="s">
        <v>2055</v>
      </c>
      <c r="G873" s="1" t="s">
        <v>2056</v>
      </c>
      <c r="H873" s="1" t="s">
        <v>18</v>
      </c>
    </row>
    <row r="874" spans="1:8">
      <c r="A874" s="1">
        <v>873</v>
      </c>
      <c r="B874" s="1" t="s">
        <v>2385</v>
      </c>
      <c r="C874" s="1" t="s">
        <v>2391</v>
      </c>
      <c r="D874" s="1" t="s">
        <v>2387</v>
      </c>
      <c r="E874" s="1" t="s">
        <v>2392</v>
      </c>
      <c r="F874" s="1" t="s">
        <v>2059</v>
      </c>
      <c r="G874" s="1" t="s">
        <v>2060</v>
      </c>
      <c r="H874" s="1" t="s">
        <v>18</v>
      </c>
    </row>
    <row r="875" spans="1:8">
      <c r="A875" s="1">
        <v>874</v>
      </c>
      <c r="B875" s="1" t="s">
        <v>2385</v>
      </c>
      <c r="C875" s="1" t="s">
        <v>2393</v>
      </c>
      <c r="D875" s="1" t="s">
        <v>2387</v>
      </c>
      <c r="E875" s="1" t="s">
        <v>2394</v>
      </c>
      <c r="F875" s="1" t="s">
        <v>2063</v>
      </c>
      <c r="G875" s="1" t="s">
        <v>2064</v>
      </c>
      <c r="H875" s="1" t="s">
        <v>18</v>
      </c>
    </row>
    <row r="876" spans="1:8">
      <c r="A876" s="1">
        <v>875</v>
      </c>
      <c r="B876" s="1" t="s">
        <v>2385</v>
      </c>
      <c r="C876" s="1" t="s">
        <v>2395</v>
      </c>
      <c r="D876" s="1" t="s">
        <v>2387</v>
      </c>
      <c r="E876" s="1" t="s">
        <v>2396</v>
      </c>
      <c r="F876" s="1" t="s">
        <v>2067</v>
      </c>
      <c r="G876" s="1" t="s">
        <v>2068</v>
      </c>
      <c r="H876" s="1" t="s">
        <v>18</v>
      </c>
    </row>
    <row r="877" spans="1:8">
      <c r="A877" s="1">
        <v>876</v>
      </c>
      <c r="B877" s="1" t="s">
        <v>2385</v>
      </c>
      <c r="C877" s="1" t="s">
        <v>2397</v>
      </c>
      <c r="D877" s="1" t="s">
        <v>2387</v>
      </c>
      <c r="E877" s="1" t="s">
        <v>2398</v>
      </c>
      <c r="F877" s="1" t="s">
        <v>2071</v>
      </c>
      <c r="G877" s="1" t="s">
        <v>2072</v>
      </c>
      <c r="H877" s="1" t="s">
        <v>18</v>
      </c>
    </row>
    <row r="878" spans="1:8">
      <c r="A878" s="1">
        <v>877</v>
      </c>
      <c r="B878" s="1" t="s">
        <v>2385</v>
      </c>
      <c r="C878" s="1" t="s">
        <v>2399</v>
      </c>
      <c r="D878" s="1" t="s">
        <v>2387</v>
      </c>
      <c r="E878" s="1" t="s">
        <v>2400</v>
      </c>
      <c r="F878" s="1" t="s">
        <v>2075</v>
      </c>
      <c r="G878" s="1" t="s">
        <v>2076</v>
      </c>
      <c r="H878" s="1" t="s">
        <v>18</v>
      </c>
    </row>
    <row r="879" spans="1:8">
      <c r="A879" s="1">
        <v>878</v>
      </c>
      <c r="B879" s="1" t="s">
        <v>2385</v>
      </c>
      <c r="C879" s="1" t="s">
        <v>2401</v>
      </c>
      <c r="D879" s="1" t="s">
        <v>2387</v>
      </c>
      <c r="E879" s="1" t="s">
        <v>2402</v>
      </c>
      <c r="F879" s="1" t="s">
        <v>2079</v>
      </c>
      <c r="G879" s="1" t="s">
        <v>2080</v>
      </c>
      <c r="H879" s="1" t="s">
        <v>18</v>
      </c>
    </row>
    <row r="880" spans="1:8">
      <c r="A880" s="1">
        <v>879</v>
      </c>
      <c r="B880" s="1" t="s">
        <v>2385</v>
      </c>
      <c r="C880" s="1" t="s">
        <v>2403</v>
      </c>
      <c r="D880" s="1" t="s">
        <v>2387</v>
      </c>
      <c r="E880" s="1" t="s">
        <v>2404</v>
      </c>
      <c r="F880" s="1" t="s">
        <v>2405</v>
      </c>
      <c r="G880" s="1" t="s">
        <v>2406</v>
      </c>
      <c r="H880" s="1" t="s">
        <v>18</v>
      </c>
    </row>
    <row r="881" spans="1:8">
      <c r="A881" s="1">
        <v>880</v>
      </c>
      <c r="B881" s="1" t="s">
        <v>2385</v>
      </c>
      <c r="C881" s="1" t="s">
        <v>2407</v>
      </c>
      <c r="D881" s="1" t="s">
        <v>2387</v>
      </c>
      <c r="E881" s="1" t="s">
        <v>2408</v>
      </c>
      <c r="F881" s="1" t="s">
        <v>2099</v>
      </c>
      <c r="G881" s="1" t="s">
        <v>2100</v>
      </c>
      <c r="H881" s="1" t="s">
        <v>18</v>
      </c>
    </row>
    <row r="882" spans="1:8">
      <c r="A882" s="1">
        <v>881</v>
      </c>
      <c r="B882" s="1" t="s">
        <v>2385</v>
      </c>
      <c r="C882" s="1" t="s">
        <v>2409</v>
      </c>
      <c r="D882" s="1" t="s">
        <v>2387</v>
      </c>
      <c r="E882" s="1" t="s">
        <v>2410</v>
      </c>
      <c r="F882" s="1" t="s">
        <v>2411</v>
      </c>
      <c r="G882" s="1" t="s">
        <v>2412</v>
      </c>
      <c r="H882" s="1" t="s">
        <v>18</v>
      </c>
    </row>
    <row r="883" spans="1:8">
      <c r="A883" s="1">
        <v>882</v>
      </c>
      <c r="B883" s="1" t="s">
        <v>2385</v>
      </c>
      <c r="C883" s="1" t="s">
        <v>2413</v>
      </c>
      <c r="D883" s="1" t="s">
        <v>2387</v>
      </c>
      <c r="E883" s="1" t="s">
        <v>2414</v>
      </c>
      <c r="F883" s="1" t="s">
        <v>2115</v>
      </c>
      <c r="G883" s="1" t="s">
        <v>2116</v>
      </c>
      <c r="H883" s="1" t="s">
        <v>18</v>
      </c>
    </row>
    <row r="884" spans="1:8">
      <c r="A884" s="1">
        <v>883</v>
      </c>
      <c r="B884" s="1" t="s">
        <v>2385</v>
      </c>
      <c r="C884" s="1" t="s">
        <v>2415</v>
      </c>
      <c r="D884" s="1" t="s">
        <v>2387</v>
      </c>
      <c r="E884" s="1" t="s">
        <v>2416</v>
      </c>
      <c r="F884" s="1" t="s">
        <v>2417</v>
      </c>
      <c r="G884" s="1" t="s">
        <v>2418</v>
      </c>
      <c r="H884" s="1" t="s">
        <v>18</v>
      </c>
    </row>
    <row r="885" spans="1:8">
      <c r="A885" s="1">
        <v>884</v>
      </c>
      <c r="B885" s="1" t="s">
        <v>2385</v>
      </c>
      <c r="C885" s="1" t="s">
        <v>2419</v>
      </c>
      <c r="D885" s="1" t="s">
        <v>2387</v>
      </c>
      <c r="E885" s="1" t="s">
        <v>2420</v>
      </c>
      <c r="F885" s="1" t="s">
        <v>2421</v>
      </c>
      <c r="G885" s="1" t="s">
        <v>2422</v>
      </c>
      <c r="H885" s="1" t="s">
        <v>18</v>
      </c>
    </row>
    <row r="886" spans="1:8">
      <c r="A886" s="1">
        <v>885</v>
      </c>
      <c r="B886" s="1" t="s">
        <v>2385</v>
      </c>
      <c r="C886" s="1" t="s">
        <v>2423</v>
      </c>
      <c r="D886" s="1" t="s">
        <v>2387</v>
      </c>
      <c r="E886" s="1" t="s">
        <v>2424</v>
      </c>
      <c r="F886" s="1" t="s">
        <v>2425</v>
      </c>
      <c r="G886" s="1" t="s">
        <v>2426</v>
      </c>
      <c r="H886" s="1" t="s">
        <v>18</v>
      </c>
    </row>
    <row r="887" spans="1:8">
      <c r="A887" s="1">
        <v>886</v>
      </c>
      <c r="B887" s="1" t="s">
        <v>2385</v>
      </c>
      <c r="C887" s="1" t="s">
        <v>2427</v>
      </c>
      <c r="D887" s="1" t="s">
        <v>2387</v>
      </c>
      <c r="E887" s="1" t="s">
        <v>2428</v>
      </c>
      <c r="F887" s="1" t="s">
        <v>2429</v>
      </c>
      <c r="G887" s="1" t="s">
        <v>2430</v>
      </c>
      <c r="H887" s="1" t="s">
        <v>18</v>
      </c>
    </row>
    <row r="888" spans="1:8">
      <c r="A888" s="1">
        <v>887</v>
      </c>
      <c r="B888" s="1" t="s">
        <v>2385</v>
      </c>
      <c r="C888" s="1" t="s">
        <v>2431</v>
      </c>
      <c r="D888" s="1" t="s">
        <v>2387</v>
      </c>
      <c r="E888" s="1" t="s">
        <v>2432</v>
      </c>
      <c r="F888" s="1" t="s">
        <v>2433</v>
      </c>
      <c r="G888" s="1" t="s">
        <v>2434</v>
      </c>
      <c r="H888" s="1" t="s">
        <v>18</v>
      </c>
    </row>
    <row r="889" spans="1:8">
      <c r="A889" s="1">
        <v>888</v>
      </c>
      <c r="B889" s="1" t="s">
        <v>2385</v>
      </c>
      <c r="C889" s="1" t="s">
        <v>2435</v>
      </c>
      <c r="D889" s="1" t="s">
        <v>2387</v>
      </c>
      <c r="E889" s="1" t="s">
        <v>2436</v>
      </c>
      <c r="F889" s="1" t="s">
        <v>2167</v>
      </c>
      <c r="G889" s="1" t="s">
        <v>2168</v>
      </c>
      <c r="H889" s="1" t="s">
        <v>18</v>
      </c>
    </row>
    <row r="890" spans="1:8">
      <c r="A890" s="1">
        <v>889</v>
      </c>
      <c r="B890" s="1" t="s">
        <v>2385</v>
      </c>
      <c r="C890" s="1" t="s">
        <v>2437</v>
      </c>
      <c r="D890" s="1" t="s">
        <v>2387</v>
      </c>
      <c r="E890" s="1" t="s">
        <v>2438</v>
      </c>
      <c r="F890" s="1" t="s">
        <v>2171</v>
      </c>
      <c r="G890" s="1" t="s">
        <v>2172</v>
      </c>
      <c r="H890" s="1" t="s">
        <v>18</v>
      </c>
    </row>
    <row r="891" spans="1:8">
      <c r="A891" s="1">
        <v>890</v>
      </c>
      <c r="B891" s="1" t="s">
        <v>2385</v>
      </c>
      <c r="C891" s="1" t="s">
        <v>2439</v>
      </c>
      <c r="D891" s="1" t="s">
        <v>2387</v>
      </c>
      <c r="E891" s="1" t="s">
        <v>2440</v>
      </c>
      <c r="F891" s="1" t="s">
        <v>2441</v>
      </c>
      <c r="G891" s="1" t="s">
        <v>2442</v>
      </c>
      <c r="H891" s="1" t="s">
        <v>18</v>
      </c>
    </row>
    <row r="892" spans="1:8">
      <c r="A892" s="1">
        <v>891</v>
      </c>
      <c r="B892" s="1" t="s">
        <v>2385</v>
      </c>
      <c r="C892" s="1" t="s">
        <v>2443</v>
      </c>
      <c r="D892" s="1" t="s">
        <v>2387</v>
      </c>
      <c r="E892" s="1" t="s">
        <v>2444</v>
      </c>
      <c r="F892" s="1" t="s">
        <v>2179</v>
      </c>
      <c r="G892" s="1" t="s">
        <v>2180</v>
      </c>
      <c r="H892" s="1" t="s">
        <v>18</v>
      </c>
    </row>
    <row r="893" spans="1:8">
      <c r="A893" s="1">
        <v>892</v>
      </c>
      <c r="B893" s="1" t="s">
        <v>2385</v>
      </c>
      <c r="C893" s="1" t="s">
        <v>2445</v>
      </c>
      <c r="D893" s="1" t="s">
        <v>2387</v>
      </c>
      <c r="E893" s="1" t="s">
        <v>2446</v>
      </c>
      <c r="F893" s="1" t="s">
        <v>2183</v>
      </c>
      <c r="G893" s="1" t="s">
        <v>2184</v>
      </c>
      <c r="H893" s="1" t="s">
        <v>18</v>
      </c>
    </row>
    <row r="894" spans="1:8">
      <c r="A894" s="1">
        <v>893</v>
      </c>
      <c r="B894" s="1" t="s">
        <v>2385</v>
      </c>
      <c r="C894" s="1" t="s">
        <v>2447</v>
      </c>
      <c r="D894" s="1" t="s">
        <v>2387</v>
      </c>
      <c r="E894" s="1" t="s">
        <v>2448</v>
      </c>
      <c r="F894" s="1" t="s">
        <v>2187</v>
      </c>
      <c r="G894" s="1" t="s">
        <v>2188</v>
      </c>
      <c r="H894" s="1" t="s">
        <v>18</v>
      </c>
    </row>
    <row r="895" spans="1:8">
      <c r="A895" s="1">
        <v>894</v>
      </c>
      <c r="B895" s="1" t="s">
        <v>2385</v>
      </c>
      <c r="C895" s="1" t="s">
        <v>2449</v>
      </c>
      <c r="D895" s="1" t="s">
        <v>2387</v>
      </c>
      <c r="E895" s="1" t="s">
        <v>2450</v>
      </c>
      <c r="F895" s="1" t="s">
        <v>2191</v>
      </c>
      <c r="G895" s="1" t="s">
        <v>2192</v>
      </c>
      <c r="H895" s="1" t="s">
        <v>18</v>
      </c>
    </row>
    <row r="896" spans="1:8">
      <c r="A896" s="1">
        <v>895</v>
      </c>
      <c r="B896" s="1" t="s">
        <v>2385</v>
      </c>
      <c r="C896" s="1" t="s">
        <v>2451</v>
      </c>
      <c r="D896" s="1" t="s">
        <v>2387</v>
      </c>
      <c r="E896" s="1" t="s">
        <v>2452</v>
      </c>
      <c r="F896" s="1" t="s">
        <v>2195</v>
      </c>
      <c r="G896" s="1" t="s">
        <v>2196</v>
      </c>
      <c r="H896" s="1" t="s">
        <v>18</v>
      </c>
    </row>
    <row r="897" spans="1:8">
      <c r="A897" s="1">
        <v>896</v>
      </c>
      <c r="B897" s="1" t="s">
        <v>2385</v>
      </c>
      <c r="C897" s="1" t="s">
        <v>2453</v>
      </c>
      <c r="D897" s="1" t="s">
        <v>2387</v>
      </c>
      <c r="E897" s="1" t="s">
        <v>2454</v>
      </c>
      <c r="F897" s="1" t="s">
        <v>2199</v>
      </c>
      <c r="G897" s="1" t="s">
        <v>2200</v>
      </c>
      <c r="H897" s="1" t="s">
        <v>18</v>
      </c>
    </row>
    <row r="898" spans="1:8">
      <c r="A898" s="1">
        <v>897</v>
      </c>
      <c r="B898" s="1" t="s">
        <v>2385</v>
      </c>
      <c r="C898" s="1" t="s">
        <v>2455</v>
      </c>
      <c r="D898" s="1" t="s">
        <v>2387</v>
      </c>
      <c r="E898" s="1" t="s">
        <v>2456</v>
      </c>
      <c r="F898" s="1" t="s">
        <v>2215</v>
      </c>
      <c r="G898" s="1" t="s">
        <v>2216</v>
      </c>
      <c r="H898" s="1" t="s">
        <v>18</v>
      </c>
    </row>
    <row r="899" spans="1:8">
      <c r="A899" s="1">
        <v>898</v>
      </c>
      <c r="B899" s="1" t="s">
        <v>2385</v>
      </c>
      <c r="C899" s="1" t="s">
        <v>2457</v>
      </c>
      <c r="D899" s="1" t="s">
        <v>2387</v>
      </c>
      <c r="E899" s="1" t="s">
        <v>2458</v>
      </c>
      <c r="F899" s="1" t="s">
        <v>2219</v>
      </c>
      <c r="G899" s="1" t="s">
        <v>2220</v>
      </c>
      <c r="H899" s="1" t="s">
        <v>18</v>
      </c>
    </row>
    <row r="900" spans="1:8">
      <c r="A900" s="1">
        <v>899</v>
      </c>
      <c r="B900" s="1" t="s">
        <v>2385</v>
      </c>
      <c r="C900" s="1" t="s">
        <v>2459</v>
      </c>
      <c r="D900" s="1" t="s">
        <v>2387</v>
      </c>
      <c r="E900" s="1" t="s">
        <v>2460</v>
      </c>
      <c r="F900" s="1" t="s">
        <v>2223</v>
      </c>
      <c r="G900" s="1" t="s">
        <v>2224</v>
      </c>
      <c r="H900" s="1" t="s">
        <v>18</v>
      </c>
    </row>
    <row r="901" spans="1:8">
      <c r="A901" s="1">
        <v>900</v>
      </c>
      <c r="B901" s="1" t="s">
        <v>2385</v>
      </c>
      <c r="C901" s="1" t="s">
        <v>2461</v>
      </c>
      <c r="D901" s="1" t="s">
        <v>2387</v>
      </c>
      <c r="E901" s="1" t="s">
        <v>2462</v>
      </c>
      <c r="F901" s="1" t="s">
        <v>2227</v>
      </c>
      <c r="G901" s="1" t="s">
        <v>2228</v>
      </c>
      <c r="H901" s="1" t="s">
        <v>18</v>
      </c>
    </row>
    <row r="902" spans="1:8">
      <c r="A902" s="1">
        <v>901</v>
      </c>
      <c r="B902" s="1" t="s">
        <v>2385</v>
      </c>
      <c r="C902" s="1" t="s">
        <v>2463</v>
      </c>
      <c r="D902" s="1" t="s">
        <v>2387</v>
      </c>
      <c r="E902" s="1" t="s">
        <v>2464</v>
      </c>
      <c r="F902" s="1" t="s">
        <v>2231</v>
      </c>
      <c r="G902" s="1" t="s">
        <v>2232</v>
      </c>
      <c r="H902" s="1" t="s">
        <v>18</v>
      </c>
    </row>
    <row r="903" spans="1:8">
      <c r="A903" s="1">
        <v>902</v>
      </c>
      <c r="B903" s="1" t="s">
        <v>2385</v>
      </c>
      <c r="C903" s="1" t="s">
        <v>2465</v>
      </c>
      <c r="D903" s="1" t="s">
        <v>2387</v>
      </c>
      <c r="E903" s="1" t="s">
        <v>2466</v>
      </c>
      <c r="F903" s="1" t="s">
        <v>2235</v>
      </c>
      <c r="G903" s="1" t="s">
        <v>2236</v>
      </c>
      <c r="H903" s="1" t="s">
        <v>18</v>
      </c>
    </row>
    <row r="904" spans="1:8">
      <c r="A904" s="1">
        <v>903</v>
      </c>
      <c r="B904" s="1" t="s">
        <v>2385</v>
      </c>
      <c r="C904" s="1" t="s">
        <v>2467</v>
      </c>
      <c r="D904" s="1" t="s">
        <v>2387</v>
      </c>
      <c r="E904" s="1" t="s">
        <v>2468</v>
      </c>
      <c r="F904" s="1" t="s">
        <v>2243</v>
      </c>
      <c r="G904" s="1" t="s">
        <v>2244</v>
      </c>
      <c r="H904" s="1" t="s">
        <v>18</v>
      </c>
    </row>
    <row r="905" spans="1:8">
      <c r="A905" s="1">
        <v>904</v>
      </c>
      <c r="B905" s="1" t="s">
        <v>2385</v>
      </c>
      <c r="C905" s="1" t="s">
        <v>2469</v>
      </c>
      <c r="D905" s="1" t="s">
        <v>2387</v>
      </c>
      <c r="E905" s="1" t="s">
        <v>2470</v>
      </c>
      <c r="F905" s="1" t="s">
        <v>2471</v>
      </c>
      <c r="G905" s="1" t="s">
        <v>2472</v>
      </c>
      <c r="H905" s="1" t="s">
        <v>18</v>
      </c>
    </row>
    <row r="906" spans="1:8">
      <c r="A906" s="1">
        <v>905</v>
      </c>
      <c r="B906" s="1" t="s">
        <v>2385</v>
      </c>
      <c r="C906" s="1" t="s">
        <v>2473</v>
      </c>
      <c r="D906" s="1" t="s">
        <v>2387</v>
      </c>
      <c r="E906" s="1" t="s">
        <v>2474</v>
      </c>
      <c r="F906" s="1" t="s">
        <v>2247</v>
      </c>
      <c r="G906" s="1" t="s">
        <v>2248</v>
      </c>
      <c r="H906" s="1" t="s">
        <v>18</v>
      </c>
    </row>
    <row r="907" spans="1:8">
      <c r="A907" s="1">
        <v>906</v>
      </c>
      <c r="B907" s="1" t="s">
        <v>2385</v>
      </c>
      <c r="C907" s="1" t="s">
        <v>2475</v>
      </c>
      <c r="D907" s="1" t="s">
        <v>2387</v>
      </c>
      <c r="E907" s="1" t="s">
        <v>2476</v>
      </c>
      <c r="F907" s="1" t="s">
        <v>2251</v>
      </c>
      <c r="G907" s="1" t="s">
        <v>2252</v>
      </c>
      <c r="H907" s="1" t="s">
        <v>18</v>
      </c>
    </row>
    <row r="908" spans="1:8">
      <c r="A908" s="1">
        <v>907</v>
      </c>
      <c r="B908" s="1" t="s">
        <v>2385</v>
      </c>
      <c r="C908" s="1" t="s">
        <v>2477</v>
      </c>
      <c r="D908" s="1" t="s">
        <v>2387</v>
      </c>
      <c r="E908" s="1" t="s">
        <v>2478</v>
      </c>
      <c r="F908" s="1" t="s">
        <v>2255</v>
      </c>
      <c r="G908" s="1" t="s">
        <v>2256</v>
      </c>
      <c r="H908" s="1" t="s">
        <v>18</v>
      </c>
    </row>
    <row r="909" spans="1:8">
      <c r="A909" s="1">
        <v>908</v>
      </c>
      <c r="B909" s="1" t="s">
        <v>2385</v>
      </c>
      <c r="C909" s="1" t="s">
        <v>2479</v>
      </c>
      <c r="D909" s="1" t="s">
        <v>2387</v>
      </c>
      <c r="E909" s="1" t="s">
        <v>2480</v>
      </c>
      <c r="F909" s="1" t="s">
        <v>2259</v>
      </c>
      <c r="G909" s="1" t="s">
        <v>2260</v>
      </c>
      <c r="H909" s="1" t="s">
        <v>18</v>
      </c>
    </row>
    <row r="910" spans="1:8">
      <c r="A910" s="1">
        <v>909</v>
      </c>
      <c r="B910" s="1" t="s">
        <v>2385</v>
      </c>
      <c r="C910" s="1" t="s">
        <v>2481</v>
      </c>
      <c r="D910" s="1" t="s">
        <v>2387</v>
      </c>
      <c r="E910" s="1" t="s">
        <v>2482</v>
      </c>
      <c r="F910" s="1" t="s">
        <v>2263</v>
      </c>
      <c r="G910" s="1" t="s">
        <v>2264</v>
      </c>
      <c r="H910" s="1" t="s">
        <v>18</v>
      </c>
    </row>
    <row r="911" spans="1:8">
      <c r="A911" s="1">
        <v>910</v>
      </c>
      <c r="B911" s="1" t="s">
        <v>2385</v>
      </c>
      <c r="C911" s="1" t="s">
        <v>2483</v>
      </c>
      <c r="D911" s="1" t="s">
        <v>2387</v>
      </c>
      <c r="E911" s="1" t="s">
        <v>2484</v>
      </c>
      <c r="F911" s="1" t="s">
        <v>2267</v>
      </c>
      <c r="G911" s="1" t="s">
        <v>2268</v>
      </c>
      <c r="H911" s="1" t="s">
        <v>18</v>
      </c>
    </row>
    <row r="912" spans="1:8">
      <c r="A912" s="1">
        <v>911</v>
      </c>
      <c r="B912" s="1" t="s">
        <v>2485</v>
      </c>
      <c r="C912" s="1" t="s">
        <v>1480</v>
      </c>
      <c r="D912" s="1" t="s">
        <v>2486</v>
      </c>
      <c r="E912" s="1" t="s">
        <v>2487</v>
      </c>
      <c r="F912" s="1" t="s">
        <v>2059</v>
      </c>
      <c r="G912" s="1" t="s">
        <v>2060</v>
      </c>
      <c r="H912" s="1" t="s">
        <v>18</v>
      </c>
    </row>
    <row r="913" spans="1:8">
      <c r="A913" s="1">
        <v>912</v>
      </c>
      <c r="B913" s="1" t="s">
        <v>2485</v>
      </c>
      <c r="C913" s="1" t="s">
        <v>1485</v>
      </c>
      <c r="D913" s="1" t="s">
        <v>2486</v>
      </c>
      <c r="E913" s="1" t="s">
        <v>2488</v>
      </c>
      <c r="F913" s="1" t="s">
        <v>2063</v>
      </c>
      <c r="G913" s="1" t="s">
        <v>2064</v>
      </c>
      <c r="H913" s="1" t="s">
        <v>18</v>
      </c>
    </row>
    <row r="914" spans="1:8">
      <c r="A914" s="1">
        <v>913</v>
      </c>
      <c r="B914" s="1" t="s">
        <v>2485</v>
      </c>
      <c r="C914" s="1" t="s">
        <v>1489</v>
      </c>
      <c r="D914" s="1" t="s">
        <v>2486</v>
      </c>
      <c r="E914" s="1" t="s">
        <v>2489</v>
      </c>
      <c r="F914" s="1" t="s">
        <v>2075</v>
      </c>
      <c r="G914" s="1" t="s">
        <v>2076</v>
      </c>
      <c r="H914" s="1" t="s">
        <v>18</v>
      </c>
    </row>
    <row r="915" spans="1:8">
      <c r="A915" s="1">
        <v>914</v>
      </c>
      <c r="B915" s="1" t="s">
        <v>2485</v>
      </c>
      <c r="C915" s="1" t="s">
        <v>1493</v>
      </c>
      <c r="D915" s="1" t="s">
        <v>2486</v>
      </c>
      <c r="E915" s="1" t="s">
        <v>2490</v>
      </c>
      <c r="F915" s="1" t="s">
        <v>2491</v>
      </c>
      <c r="G915" s="1" t="s">
        <v>2492</v>
      </c>
      <c r="H915" s="1" t="s">
        <v>18</v>
      </c>
    </row>
    <row r="916" spans="1:8">
      <c r="A916" s="1">
        <v>915</v>
      </c>
      <c r="B916" s="1" t="s">
        <v>2485</v>
      </c>
      <c r="C916" s="1" t="s">
        <v>1497</v>
      </c>
      <c r="D916" s="1" t="s">
        <v>2486</v>
      </c>
      <c r="E916" s="1" t="s">
        <v>2493</v>
      </c>
      <c r="F916" s="1" t="s">
        <v>2494</v>
      </c>
      <c r="G916" s="1" t="s">
        <v>2495</v>
      </c>
      <c r="H916" s="1" t="s">
        <v>18</v>
      </c>
    </row>
    <row r="917" spans="1:8">
      <c r="A917" s="1">
        <v>916</v>
      </c>
      <c r="B917" s="1" t="s">
        <v>2485</v>
      </c>
      <c r="C917" s="1" t="s">
        <v>1501</v>
      </c>
      <c r="D917" s="1" t="s">
        <v>2486</v>
      </c>
      <c r="E917" s="1" t="s">
        <v>2496</v>
      </c>
      <c r="F917" s="1" t="s">
        <v>2497</v>
      </c>
      <c r="G917" s="1" t="s">
        <v>2498</v>
      </c>
      <c r="H917" s="1" t="s">
        <v>18</v>
      </c>
    </row>
    <row r="918" spans="1:8">
      <c r="A918" s="1">
        <v>917</v>
      </c>
      <c r="B918" s="1" t="s">
        <v>2485</v>
      </c>
      <c r="C918" s="1" t="s">
        <v>1505</v>
      </c>
      <c r="D918" s="1" t="s">
        <v>2486</v>
      </c>
      <c r="E918" s="1" t="s">
        <v>2499</v>
      </c>
      <c r="F918" s="1" t="s">
        <v>2500</v>
      </c>
      <c r="G918" s="1" t="s">
        <v>2501</v>
      </c>
      <c r="H918" s="1" t="s">
        <v>18</v>
      </c>
    </row>
    <row r="919" spans="1:8">
      <c r="A919" s="1">
        <v>918</v>
      </c>
      <c r="B919" s="1" t="s">
        <v>2485</v>
      </c>
      <c r="C919" s="1" t="s">
        <v>1509</v>
      </c>
      <c r="D919" s="1" t="s">
        <v>2486</v>
      </c>
      <c r="E919" s="1" t="s">
        <v>2502</v>
      </c>
      <c r="F919" s="1" t="s">
        <v>2503</v>
      </c>
      <c r="G919" s="1" t="s">
        <v>2504</v>
      </c>
      <c r="H919" s="1" t="s">
        <v>18</v>
      </c>
    </row>
    <row r="920" spans="1:8">
      <c r="A920" s="1">
        <v>919</v>
      </c>
      <c r="B920" s="1" t="s">
        <v>2485</v>
      </c>
      <c r="C920" s="1" t="s">
        <v>1513</v>
      </c>
      <c r="D920" s="1" t="s">
        <v>2486</v>
      </c>
      <c r="E920" s="1" t="s">
        <v>2505</v>
      </c>
      <c r="F920" s="1" t="s">
        <v>2506</v>
      </c>
      <c r="G920" s="1" t="s">
        <v>2507</v>
      </c>
      <c r="H920" s="1" t="s">
        <v>18</v>
      </c>
    </row>
    <row r="921" spans="1:8">
      <c r="A921" s="1">
        <v>920</v>
      </c>
      <c r="B921" s="1" t="s">
        <v>2485</v>
      </c>
      <c r="C921" s="1" t="s">
        <v>1517</v>
      </c>
      <c r="D921" s="1" t="s">
        <v>2486</v>
      </c>
      <c r="E921" s="1" t="s">
        <v>2508</v>
      </c>
      <c r="F921" s="1" t="s">
        <v>2509</v>
      </c>
      <c r="G921" s="1" t="s">
        <v>2510</v>
      </c>
      <c r="H921" s="1" t="s">
        <v>18</v>
      </c>
    </row>
    <row r="922" spans="1:8">
      <c r="A922" s="1">
        <v>921</v>
      </c>
      <c r="B922" s="1" t="s">
        <v>2485</v>
      </c>
      <c r="C922" s="1" t="s">
        <v>1521</v>
      </c>
      <c r="D922" s="1" t="s">
        <v>2486</v>
      </c>
      <c r="E922" s="1" t="s">
        <v>2511</v>
      </c>
      <c r="F922" s="1" t="s">
        <v>2512</v>
      </c>
      <c r="G922" s="1" t="s">
        <v>2513</v>
      </c>
      <c r="H922" s="1" t="s">
        <v>18</v>
      </c>
    </row>
    <row r="923" spans="1:8">
      <c r="A923" s="1">
        <v>922</v>
      </c>
      <c r="B923" s="1" t="s">
        <v>2485</v>
      </c>
      <c r="C923" s="1" t="s">
        <v>1525</v>
      </c>
      <c r="D923" s="1" t="s">
        <v>2486</v>
      </c>
      <c r="E923" s="1" t="s">
        <v>2514</v>
      </c>
      <c r="F923" s="1" t="s">
        <v>2515</v>
      </c>
      <c r="G923" s="1" t="s">
        <v>2516</v>
      </c>
      <c r="H923" s="1" t="s">
        <v>18</v>
      </c>
    </row>
    <row r="924" spans="1:8">
      <c r="A924" s="1">
        <v>923</v>
      </c>
      <c r="B924" s="1" t="s">
        <v>2485</v>
      </c>
      <c r="C924" s="1" t="s">
        <v>1529</v>
      </c>
      <c r="D924" s="1" t="s">
        <v>2486</v>
      </c>
      <c r="E924" s="1" t="s">
        <v>2517</v>
      </c>
      <c r="F924" s="1" t="s">
        <v>2518</v>
      </c>
      <c r="G924" s="1" t="s">
        <v>2519</v>
      </c>
      <c r="H924" s="1" t="s">
        <v>18</v>
      </c>
    </row>
    <row r="925" spans="1:8">
      <c r="A925" s="1">
        <v>924</v>
      </c>
      <c r="B925" s="1" t="s">
        <v>2485</v>
      </c>
      <c r="C925" s="1" t="s">
        <v>1533</v>
      </c>
      <c r="D925" s="1" t="s">
        <v>2486</v>
      </c>
      <c r="E925" s="1" t="s">
        <v>2520</v>
      </c>
      <c r="F925" s="1" t="s">
        <v>2521</v>
      </c>
      <c r="G925" s="1" t="s">
        <v>2522</v>
      </c>
      <c r="H925" s="1" t="s">
        <v>18</v>
      </c>
    </row>
    <row r="926" spans="1:8">
      <c r="A926" s="1">
        <v>925</v>
      </c>
      <c r="B926" s="1" t="s">
        <v>2485</v>
      </c>
      <c r="C926" s="1" t="s">
        <v>1537</v>
      </c>
      <c r="D926" s="1" t="s">
        <v>2486</v>
      </c>
      <c r="E926" s="1" t="s">
        <v>2523</v>
      </c>
      <c r="F926" s="1" t="s">
        <v>2247</v>
      </c>
      <c r="G926" s="1" t="s">
        <v>2248</v>
      </c>
      <c r="H926" s="1" t="s">
        <v>18</v>
      </c>
    </row>
    <row r="927" spans="1:8">
      <c r="A927" s="1">
        <v>926</v>
      </c>
      <c r="B927" s="1" t="s">
        <v>2485</v>
      </c>
      <c r="C927" s="1" t="s">
        <v>1541</v>
      </c>
      <c r="D927" s="1" t="s">
        <v>2486</v>
      </c>
      <c r="E927" s="1" t="s">
        <v>2524</v>
      </c>
      <c r="F927" s="1" t="s">
        <v>2251</v>
      </c>
      <c r="G927" s="1" t="s">
        <v>2252</v>
      </c>
      <c r="H927" s="1" t="s">
        <v>18</v>
      </c>
    </row>
    <row r="928" spans="1:8">
      <c r="A928" s="1">
        <v>927</v>
      </c>
      <c r="B928" s="1" t="s">
        <v>2525</v>
      </c>
      <c r="C928" s="1" t="s">
        <v>2526</v>
      </c>
      <c r="D928" s="1" t="s">
        <v>2527</v>
      </c>
      <c r="E928" s="1" t="s">
        <v>2528</v>
      </c>
      <c r="F928" s="1" t="s">
        <v>2051</v>
      </c>
      <c r="G928" s="1" t="s">
        <v>2052</v>
      </c>
      <c r="H928" s="1" t="s">
        <v>18</v>
      </c>
    </row>
    <row r="929" spans="1:8">
      <c r="A929" s="1">
        <v>928</v>
      </c>
      <c r="B929" s="1" t="s">
        <v>2525</v>
      </c>
      <c r="C929" s="1" t="s">
        <v>2529</v>
      </c>
      <c r="D929" s="1" t="s">
        <v>2527</v>
      </c>
      <c r="E929" s="1" t="s">
        <v>2530</v>
      </c>
      <c r="F929" s="1" t="s">
        <v>2055</v>
      </c>
      <c r="G929" s="1" t="s">
        <v>2056</v>
      </c>
      <c r="H929" s="1" t="s">
        <v>18</v>
      </c>
    </row>
    <row r="930" spans="1:8">
      <c r="A930" s="1">
        <v>929</v>
      </c>
      <c r="B930" s="1" t="s">
        <v>2525</v>
      </c>
      <c r="C930" s="1" t="s">
        <v>2531</v>
      </c>
      <c r="D930" s="1" t="s">
        <v>2527</v>
      </c>
      <c r="E930" s="1" t="s">
        <v>2532</v>
      </c>
      <c r="F930" s="1" t="s">
        <v>2067</v>
      </c>
      <c r="G930" s="1" t="s">
        <v>2068</v>
      </c>
      <c r="H930" s="1" t="s">
        <v>18</v>
      </c>
    </row>
    <row r="931" spans="1:8">
      <c r="A931" s="1">
        <v>930</v>
      </c>
      <c r="B931" s="1" t="s">
        <v>2525</v>
      </c>
      <c r="C931" s="1" t="s">
        <v>2533</v>
      </c>
      <c r="D931" s="1" t="s">
        <v>2527</v>
      </c>
      <c r="E931" s="1" t="s">
        <v>2534</v>
      </c>
      <c r="F931" s="1" t="s">
        <v>2071</v>
      </c>
      <c r="G931" s="1" t="s">
        <v>2072</v>
      </c>
      <c r="H931" s="1" t="s">
        <v>18</v>
      </c>
    </row>
    <row r="932" spans="1:8">
      <c r="A932" s="1">
        <v>931</v>
      </c>
      <c r="B932" s="1" t="s">
        <v>2525</v>
      </c>
      <c r="C932" s="1" t="s">
        <v>2535</v>
      </c>
      <c r="D932" s="1" t="s">
        <v>2527</v>
      </c>
      <c r="E932" s="1" t="s">
        <v>2536</v>
      </c>
      <c r="F932" s="1" t="s">
        <v>2075</v>
      </c>
      <c r="G932" s="1" t="s">
        <v>2076</v>
      </c>
      <c r="H932" s="1" t="s">
        <v>18</v>
      </c>
    </row>
    <row r="933" spans="1:8">
      <c r="A933" s="1">
        <v>932</v>
      </c>
      <c r="B933" s="1" t="s">
        <v>2525</v>
      </c>
      <c r="C933" s="1" t="s">
        <v>2537</v>
      </c>
      <c r="D933" s="1" t="s">
        <v>2527</v>
      </c>
      <c r="E933" s="1" t="s">
        <v>2538</v>
      </c>
      <c r="F933" s="1" t="s">
        <v>2079</v>
      </c>
      <c r="G933" s="1" t="s">
        <v>2080</v>
      </c>
      <c r="H933" s="1" t="s">
        <v>18</v>
      </c>
    </row>
    <row r="934" spans="1:8">
      <c r="A934" s="1">
        <v>933</v>
      </c>
      <c r="B934" s="1" t="s">
        <v>2525</v>
      </c>
      <c r="C934" s="1" t="s">
        <v>2539</v>
      </c>
      <c r="D934" s="1" t="s">
        <v>2527</v>
      </c>
      <c r="E934" s="1" t="s">
        <v>2540</v>
      </c>
      <c r="F934" s="1" t="s">
        <v>2541</v>
      </c>
      <c r="G934" s="1" t="s">
        <v>2542</v>
      </c>
      <c r="H934" s="1" t="s">
        <v>18</v>
      </c>
    </row>
    <row r="935" spans="1:8">
      <c r="A935" s="1">
        <v>934</v>
      </c>
      <c r="B935" s="1" t="s">
        <v>2525</v>
      </c>
      <c r="C935" s="1" t="s">
        <v>2543</v>
      </c>
      <c r="D935" s="1" t="s">
        <v>2527</v>
      </c>
      <c r="E935" s="1" t="s">
        <v>2544</v>
      </c>
      <c r="F935" s="1" t="s">
        <v>2099</v>
      </c>
      <c r="G935" s="1" t="s">
        <v>2100</v>
      </c>
      <c r="H935" s="1" t="s">
        <v>18</v>
      </c>
    </row>
    <row r="936" spans="1:8">
      <c r="A936" s="1">
        <v>935</v>
      </c>
      <c r="B936" s="1" t="s">
        <v>2525</v>
      </c>
      <c r="C936" s="1" t="s">
        <v>2545</v>
      </c>
      <c r="D936" s="1" t="s">
        <v>2527</v>
      </c>
      <c r="E936" s="1" t="s">
        <v>2546</v>
      </c>
      <c r="F936" s="1" t="s">
        <v>2411</v>
      </c>
      <c r="G936" s="1" t="s">
        <v>2412</v>
      </c>
      <c r="H936" s="1" t="s">
        <v>18</v>
      </c>
    </row>
    <row r="937" spans="1:8">
      <c r="A937" s="1">
        <v>936</v>
      </c>
      <c r="B937" s="1" t="s">
        <v>2525</v>
      </c>
      <c r="C937" s="1" t="s">
        <v>2547</v>
      </c>
      <c r="D937" s="1" t="s">
        <v>2527</v>
      </c>
      <c r="E937" s="1" t="s">
        <v>2548</v>
      </c>
      <c r="F937" s="1" t="s">
        <v>2549</v>
      </c>
      <c r="G937" s="1" t="s">
        <v>2550</v>
      </c>
      <c r="H937" s="1" t="s">
        <v>18</v>
      </c>
    </row>
    <row r="938" spans="1:8">
      <c r="A938" s="1">
        <v>937</v>
      </c>
      <c r="B938" s="1" t="s">
        <v>2525</v>
      </c>
      <c r="C938" s="1" t="s">
        <v>2551</v>
      </c>
      <c r="D938" s="1" t="s">
        <v>2527</v>
      </c>
      <c r="E938" s="1" t="s">
        <v>2552</v>
      </c>
      <c r="F938" s="1" t="s">
        <v>2111</v>
      </c>
      <c r="G938" s="1" t="s">
        <v>2112</v>
      </c>
      <c r="H938" s="1" t="s">
        <v>18</v>
      </c>
    </row>
    <row r="939" spans="1:8">
      <c r="A939" s="1">
        <v>938</v>
      </c>
      <c r="B939" s="1" t="s">
        <v>2525</v>
      </c>
      <c r="C939" s="1" t="s">
        <v>2553</v>
      </c>
      <c r="D939" s="1" t="s">
        <v>2527</v>
      </c>
      <c r="E939" s="1" t="s">
        <v>2554</v>
      </c>
      <c r="F939" s="1" t="s">
        <v>2115</v>
      </c>
      <c r="G939" s="1" t="s">
        <v>2116</v>
      </c>
      <c r="H939" s="1" t="s">
        <v>18</v>
      </c>
    </row>
    <row r="940" spans="1:8">
      <c r="A940" s="1">
        <v>939</v>
      </c>
      <c r="B940" s="1" t="s">
        <v>2525</v>
      </c>
      <c r="C940" s="1" t="s">
        <v>2555</v>
      </c>
      <c r="D940" s="1" t="s">
        <v>2527</v>
      </c>
      <c r="E940" s="1" t="s">
        <v>2556</v>
      </c>
      <c r="F940" s="1" t="s">
        <v>2417</v>
      </c>
      <c r="G940" s="1" t="s">
        <v>2418</v>
      </c>
      <c r="H940" s="1" t="s">
        <v>18</v>
      </c>
    </row>
    <row r="941" spans="1:8">
      <c r="A941" s="1">
        <v>940</v>
      </c>
      <c r="B941" s="1" t="s">
        <v>2525</v>
      </c>
      <c r="C941" s="1" t="s">
        <v>2557</v>
      </c>
      <c r="D941" s="1" t="s">
        <v>2527</v>
      </c>
      <c r="E941" s="1" t="s">
        <v>2558</v>
      </c>
      <c r="F941" s="1" t="s">
        <v>2559</v>
      </c>
      <c r="G941" s="1" t="s">
        <v>2560</v>
      </c>
      <c r="H941" s="1" t="s">
        <v>18</v>
      </c>
    </row>
    <row r="942" spans="1:8">
      <c r="A942" s="1">
        <v>941</v>
      </c>
      <c r="B942" s="1" t="s">
        <v>2525</v>
      </c>
      <c r="C942" s="1" t="s">
        <v>2561</v>
      </c>
      <c r="D942" s="1" t="s">
        <v>2527</v>
      </c>
      <c r="E942" s="1" t="s">
        <v>2562</v>
      </c>
      <c r="F942" s="1" t="s">
        <v>2421</v>
      </c>
      <c r="G942" s="1" t="s">
        <v>2422</v>
      </c>
      <c r="H942" s="1" t="s">
        <v>18</v>
      </c>
    </row>
    <row r="943" spans="1:8">
      <c r="A943" s="1">
        <v>942</v>
      </c>
      <c r="B943" s="1" t="s">
        <v>2525</v>
      </c>
      <c r="C943" s="1" t="s">
        <v>2563</v>
      </c>
      <c r="D943" s="1" t="s">
        <v>2527</v>
      </c>
      <c r="E943" s="1" t="s">
        <v>2564</v>
      </c>
      <c r="F943" s="1" t="s">
        <v>2425</v>
      </c>
      <c r="G943" s="1" t="s">
        <v>2426</v>
      </c>
      <c r="H943" s="1" t="s">
        <v>18</v>
      </c>
    </row>
    <row r="944" spans="1:8">
      <c r="A944" s="1">
        <v>943</v>
      </c>
      <c r="B944" s="1" t="s">
        <v>2525</v>
      </c>
      <c r="C944" s="1" t="s">
        <v>2565</v>
      </c>
      <c r="D944" s="1" t="s">
        <v>2527</v>
      </c>
      <c r="E944" s="1" t="s">
        <v>2566</v>
      </c>
      <c r="F944" s="1" t="s">
        <v>2567</v>
      </c>
      <c r="G944" s="1" t="s">
        <v>2568</v>
      </c>
      <c r="H944" s="1" t="s">
        <v>18</v>
      </c>
    </row>
    <row r="945" spans="1:8">
      <c r="A945" s="1">
        <v>944</v>
      </c>
      <c r="B945" s="1" t="s">
        <v>2525</v>
      </c>
      <c r="C945" s="1" t="s">
        <v>2569</v>
      </c>
      <c r="D945" s="1" t="s">
        <v>2527</v>
      </c>
      <c r="E945" s="1" t="s">
        <v>2570</v>
      </c>
      <c r="F945" s="1" t="s">
        <v>2571</v>
      </c>
      <c r="G945" s="1" t="s">
        <v>2572</v>
      </c>
      <c r="H945" s="1" t="s">
        <v>18</v>
      </c>
    </row>
    <row r="946" spans="1:8">
      <c r="A946" s="1">
        <v>945</v>
      </c>
      <c r="B946" s="1" t="s">
        <v>2525</v>
      </c>
      <c r="C946" s="1" t="s">
        <v>2573</v>
      </c>
      <c r="D946" s="1" t="s">
        <v>2527</v>
      </c>
      <c r="E946" s="1" t="s">
        <v>2574</v>
      </c>
      <c r="F946" s="1" t="s">
        <v>2575</v>
      </c>
      <c r="G946" s="1" t="s">
        <v>2576</v>
      </c>
      <c r="H946" s="1" t="s">
        <v>18</v>
      </c>
    </row>
    <row r="947" spans="1:8">
      <c r="A947" s="1">
        <v>946</v>
      </c>
      <c r="B947" s="1" t="s">
        <v>2525</v>
      </c>
      <c r="C947" s="1" t="s">
        <v>2577</v>
      </c>
      <c r="D947" s="1" t="s">
        <v>2527</v>
      </c>
      <c r="E947" s="1" t="s">
        <v>2578</v>
      </c>
      <c r="F947" s="1" t="s">
        <v>2579</v>
      </c>
      <c r="G947" s="1" t="s">
        <v>2580</v>
      </c>
      <c r="H947" s="1" t="s">
        <v>18</v>
      </c>
    </row>
    <row r="948" spans="1:8">
      <c r="A948" s="1">
        <v>947</v>
      </c>
      <c r="B948" s="1" t="s">
        <v>2525</v>
      </c>
      <c r="C948" s="1" t="s">
        <v>2581</v>
      </c>
      <c r="D948" s="1" t="s">
        <v>2527</v>
      </c>
      <c r="E948" s="1" t="s">
        <v>2582</v>
      </c>
      <c r="F948" s="1" t="s">
        <v>2583</v>
      </c>
      <c r="G948" s="1" t="s">
        <v>2584</v>
      </c>
      <c r="H948" s="1" t="s">
        <v>18</v>
      </c>
    </row>
    <row r="949" spans="1:8">
      <c r="A949" s="1">
        <v>948</v>
      </c>
      <c r="B949" s="1" t="s">
        <v>2525</v>
      </c>
      <c r="C949" s="1" t="s">
        <v>2585</v>
      </c>
      <c r="D949" s="1" t="s">
        <v>2527</v>
      </c>
      <c r="E949" s="1" t="s">
        <v>2586</v>
      </c>
      <c r="F949" s="1" t="s">
        <v>2587</v>
      </c>
      <c r="G949" s="1" t="s">
        <v>2588</v>
      </c>
      <c r="H949" s="1" t="s">
        <v>18</v>
      </c>
    </row>
    <row r="950" spans="1:8">
      <c r="A950" s="1">
        <v>949</v>
      </c>
      <c r="B950" s="1" t="s">
        <v>2525</v>
      </c>
      <c r="C950" s="1" t="s">
        <v>2589</v>
      </c>
      <c r="D950" s="1" t="s">
        <v>2527</v>
      </c>
      <c r="E950" s="1" t="s">
        <v>2590</v>
      </c>
      <c r="F950" s="1" t="s">
        <v>2591</v>
      </c>
      <c r="G950" s="1" t="s">
        <v>2592</v>
      </c>
      <c r="H950" s="1" t="s">
        <v>18</v>
      </c>
    </row>
    <row r="951" spans="1:8">
      <c r="A951" s="1">
        <v>950</v>
      </c>
      <c r="B951" s="1" t="s">
        <v>2525</v>
      </c>
      <c r="C951" s="1" t="s">
        <v>2593</v>
      </c>
      <c r="D951" s="1" t="s">
        <v>2527</v>
      </c>
      <c r="E951" s="1" t="s">
        <v>2594</v>
      </c>
      <c r="F951" s="1" t="s">
        <v>2131</v>
      </c>
      <c r="G951" s="1" t="s">
        <v>2132</v>
      </c>
      <c r="H951" s="1" t="s">
        <v>18</v>
      </c>
    </row>
    <row r="952" spans="1:8">
      <c r="A952" s="1">
        <v>951</v>
      </c>
      <c r="B952" s="1" t="s">
        <v>2525</v>
      </c>
      <c r="C952" s="1" t="s">
        <v>2595</v>
      </c>
      <c r="D952" s="1" t="s">
        <v>2527</v>
      </c>
      <c r="E952" s="1" t="s">
        <v>2596</v>
      </c>
      <c r="F952" s="1" t="s">
        <v>2597</v>
      </c>
      <c r="G952" s="1" t="s">
        <v>2598</v>
      </c>
      <c r="H952" s="1" t="s">
        <v>18</v>
      </c>
    </row>
    <row r="953" spans="1:8">
      <c r="A953" s="1">
        <v>952</v>
      </c>
      <c r="B953" s="1" t="s">
        <v>2525</v>
      </c>
      <c r="C953" s="1" t="s">
        <v>2599</v>
      </c>
      <c r="D953" s="1" t="s">
        <v>2527</v>
      </c>
      <c r="E953" s="1" t="s">
        <v>2600</v>
      </c>
      <c r="F953" s="1" t="s">
        <v>2601</v>
      </c>
      <c r="G953" s="1" t="s">
        <v>2602</v>
      </c>
      <c r="H953" s="1" t="s">
        <v>18</v>
      </c>
    </row>
    <row r="954" spans="1:8">
      <c r="A954" s="1">
        <v>953</v>
      </c>
      <c r="B954" s="1" t="s">
        <v>2525</v>
      </c>
      <c r="C954" s="1" t="s">
        <v>2603</v>
      </c>
      <c r="D954" s="1" t="s">
        <v>2527</v>
      </c>
      <c r="E954" s="1" t="s">
        <v>2604</v>
      </c>
      <c r="F954" s="1" t="s">
        <v>2605</v>
      </c>
      <c r="G954" s="1" t="s">
        <v>2606</v>
      </c>
      <c r="H954" s="1" t="s">
        <v>18</v>
      </c>
    </row>
    <row r="955" spans="1:8">
      <c r="A955" s="1">
        <v>954</v>
      </c>
      <c r="B955" s="1" t="s">
        <v>2525</v>
      </c>
      <c r="C955" s="1" t="s">
        <v>2607</v>
      </c>
      <c r="D955" s="1" t="s">
        <v>2527</v>
      </c>
      <c r="E955" s="1" t="s">
        <v>2608</v>
      </c>
      <c r="F955" s="1" t="s">
        <v>2609</v>
      </c>
      <c r="G955" s="1" t="s">
        <v>2610</v>
      </c>
      <c r="H955" s="1" t="s">
        <v>18</v>
      </c>
    </row>
    <row r="956" spans="1:8">
      <c r="A956" s="1">
        <v>955</v>
      </c>
      <c r="B956" s="1" t="s">
        <v>2525</v>
      </c>
      <c r="C956" s="1" t="s">
        <v>2611</v>
      </c>
      <c r="D956" s="1" t="s">
        <v>2527</v>
      </c>
      <c r="E956" s="1" t="s">
        <v>2612</v>
      </c>
      <c r="F956" s="1" t="s">
        <v>2613</v>
      </c>
      <c r="G956" s="1" t="s">
        <v>2614</v>
      </c>
      <c r="H956" s="1" t="s">
        <v>18</v>
      </c>
    </row>
    <row r="957" spans="1:8">
      <c r="A957" s="1">
        <v>956</v>
      </c>
      <c r="B957" s="1" t="s">
        <v>2525</v>
      </c>
      <c r="C957" s="1" t="s">
        <v>2615</v>
      </c>
      <c r="D957" s="1" t="s">
        <v>2527</v>
      </c>
      <c r="E957" s="1" t="s">
        <v>2616</v>
      </c>
      <c r="F957" s="1" t="s">
        <v>2617</v>
      </c>
      <c r="G957" s="1" t="s">
        <v>2618</v>
      </c>
      <c r="H957" s="1" t="s">
        <v>18</v>
      </c>
    </row>
    <row r="958" spans="1:8">
      <c r="A958" s="1">
        <v>957</v>
      </c>
      <c r="B958" s="1" t="s">
        <v>2525</v>
      </c>
      <c r="C958" s="1" t="s">
        <v>2619</v>
      </c>
      <c r="D958" s="1" t="s">
        <v>2527</v>
      </c>
      <c r="E958" s="1" t="s">
        <v>2620</v>
      </c>
      <c r="F958" s="1" t="s">
        <v>2621</v>
      </c>
      <c r="G958" s="1" t="s">
        <v>2622</v>
      </c>
      <c r="H958" s="1" t="s">
        <v>18</v>
      </c>
    </row>
    <row r="959" spans="1:8">
      <c r="A959" s="1">
        <v>958</v>
      </c>
      <c r="B959" s="1" t="s">
        <v>2525</v>
      </c>
      <c r="C959" s="1" t="s">
        <v>2623</v>
      </c>
      <c r="D959" s="1" t="s">
        <v>2527</v>
      </c>
      <c r="E959" s="1" t="s">
        <v>2624</v>
      </c>
      <c r="F959" s="1" t="s">
        <v>2503</v>
      </c>
      <c r="G959" s="1" t="s">
        <v>2504</v>
      </c>
      <c r="H959" s="1" t="s">
        <v>18</v>
      </c>
    </row>
    <row r="960" spans="1:8">
      <c r="A960" s="1">
        <v>959</v>
      </c>
      <c r="B960" s="1" t="s">
        <v>2525</v>
      </c>
      <c r="C960" s="1" t="s">
        <v>2625</v>
      </c>
      <c r="D960" s="1" t="s">
        <v>2527</v>
      </c>
      <c r="E960" s="1" t="s">
        <v>2626</v>
      </c>
      <c r="F960" s="1" t="s">
        <v>2627</v>
      </c>
      <c r="G960" s="1" t="s">
        <v>2628</v>
      </c>
      <c r="H960" s="1" t="s">
        <v>18</v>
      </c>
    </row>
    <row r="961" spans="1:8">
      <c r="A961" s="1">
        <v>960</v>
      </c>
      <c r="B961" s="1" t="s">
        <v>2525</v>
      </c>
      <c r="C961" s="1" t="s">
        <v>2629</v>
      </c>
      <c r="D961" s="1" t="s">
        <v>2527</v>
      </c>
      <c r="E961" s="1" t="s">
        <v>2630</v>
      </c>
      <c r="F961" s="1" t="s">
        <v>2631</v>
      </c>
      <c r="G961" s="1" t="s">
        <v>2632</v>
      </c>
      <c r="H961" s="1" t="s">
        <v>18</v>
      </c>
    </row>
    <row r="962" spans="1:8">
      <c r="A962" s="1">
        <v>961</v>
      </c>
      <c r="B962" s="1" t="s">
        <v>2525</v>
      </c>
      <c r="C962" s="1" t="s">
        <v>2633</v>
      </c>
      <c r="D962" s="1" t="s">
        <v>2527</v>
      </c>
      <c r="E962" s="1" t="s">
        <v>2634</v>
      </c>
      <c r="F962" s="1" t="s">
        <v>2635</v>
      </c>
      <c r="G962" s="1" t="s">
        <v>2636</v>
      </c>
      <c r="H962" s="1" t="s">
        <v>18</v>
      </c>
    </row>
    <row r="963" spans="1:8">
      <c r="A963" s="1">
        <v>962</v>
      </c>
      <c r="B963" s="1" t="s">
        <v>2525</v>
      </c>
      <c r="C963" s="1" t="s">
        <v>2637</v>
      </c>
      <c r="D963" s="1" t="s">
        <v>2527</v>
      </c>
      <c r="E963" s="1" t="s">
        <v>2638</v>
      </c>
      <c r="F963" s="1" t="s">
        <v>2639</v>
      </c>
      <c r="G963" s="1" t="s">
        <v>2640</v>
      </c>
      <c r="H963" s="1" t="s">
        <v>18</v>
      </c>
    </row>
    <row r="964" spans="1:8">
      <c r="A964" s="1">
        <v>963</v>
      </c>
      <c r="B964" s="1" t="s">
        <v>2525</v>
      </c>
      <c r="C964" s="1" t="s">
        <v>2641</v>
      </c>
      <c r="D964" s="1" t="s">
        <v>2527</v>
      </c>
      <c r="E964" s="1" t="s">
        <v>2642</v>
      </c>
      <c r="F964" s="1" t="s">
        <v>2643</v>
      </c>
      <c r="G964" s="1" t="s">
        <v>2644</v>
      </c>
      <c r="H964" s="1" t="s">
        <v>18</v>
      </c>
    </row>
    <row r="965" spans="1:8">
      <c r="A965" s="1">
        <v>964</v>
      </c>
      <c r="B965" s="1" t="s">
        <v>2525</v>
      </c>
      <c r="C965" s="1" t="s">
        <v>2645</v>
      </c>
      <c r="D965" s="1" t="s">
        <v>2527</v>
      </c>
      <c r="E965" s="1" t="s">
        <v>2646</v>
      </c>
      <c r="F965" s="1" t="s">
        <v>2521</v>
      </c>
      <c r="G965" s="1" t="s">
        <v>2522</v>
      </c>
      <c r="H965" s="1" t="s">
        <v>18</v>
      </c>
    </row>
    <row r="966" spans="1:8">
      <c r="A966" s="1">
        <v>965</v>
      </c>
      <c r="B966" s="1" t="s">
        <v>2525</v>
      </c>
      <c r="C966" s="1" t="s">
        <v>2647</v>
      </c>
      <c r="D966" s="1" t="s">
        <v>2527</v>
      </c>
      <c r="E966" s="1" t="s">
        <v>2648</v>
      </c>
      <c r="F966" s="1" t="s">
        <v>2649</v>
      </c>
      <c r="G966" s="1" t="s">
        <v>2650</v>
      </c>
      <c r="H966" s="1" t="s">
        <v>18</v>
      </c>
    </row>
    <row r="967" spans="1:8">
      <c r="A967" s="1">
        <v>966</v>
      </c>
      <c r="B967" s="1" t="s">
        <v>2525</v>
      </c>
      <c r="C967" s="1" t="s">
        <v>2651</v>
      </c>
      <c r="D967" s="1" t="s">
        <v>2527</v>
      </c>
      <c r="E967" s="1" t="s">
        <v>2652</v>
      </c>
      <c r="F967" s="1" t="s">
        <v>2653</v>
      </c>
      <c r="G967" s="1" t="s">
        <v>2654</v>
      </c>
      <c r="H967" s="1" t="s">
        <v>18</v>
      </c>
    </row>
    <row r="968" spans="1:8">
      <c r="A968" s="1">
        <v>967</v>
      </c>
      <c r="B968" s="1" t="s">
        <v>2525</v>
      </c>
      <c r="C968" s="1" t="s">
        <v>2655</v>
      </c>
      <c r="D968" s="1" t="s">
        <v>2527</v>
      </c>
      <c r="E968" s="1" t="s">
        <v>2656</v>
      </c>
      <c r="F968" s="1" t="s">
        <v>2657</v>
      </c>
      <c r="G968" s="1" t="s">
        <v>2658</v>
      </c>
      <c r="H968" s="1" t="s">
        <v>18</v>
      </c>
    </row>
    <row r="969" spans="1:8">
      <c r="A969" s="1">
        <v>968</v>
      </c>
      <c r="B969" s="1" t="s">
        <v>2525</v>
      </c>
      <c r="C969" s="1" t="s">
        <v>2659</v>
      </c>
      <c r="D969" s="1" t="s">
        <v>2527</v>
      </c>
      <c r="E969" s="1" t="s">
        <v>2660</v>
      </c>
      <c r="F969" s="1" t="s">
        <v>2661</v>
      </c>
      <c r="G969" s="1" t="s">
        <v>2662</v>
      </c>
      <c r="H969" s="1" t="s">
        <v>18</v>
      </c>
    </row>
    <row r="970" spans="1:8">
      <c r="A970" s="1">
        <v>969</v>
      </c>
      <c r="B970" s="1" t="s">
        <v>2525</v>
      </c>
      <c r="C970" s="1" t="s">
        <v>2663</v>
      </c>
      <c r="D970" s="1" t="s">
        <v>2527</v>
      </c>
      <c r="E970" s="1" t="s">
        <v>2664</v>
      </c>
      <c r="F970" s="1" t="s">
        <v>2665</v>
      </c>
      <c r="G970" s="1" t="s">
        <v>2666</v>
      </c>
      <c r="H970" s="1" t="s">
        <v>18</v>
      </c>
    </row>
    <row r="971" spans="1:8">
      <c r="A971" s="1">
        <v>970</v>
      </c>
      <c r="B971" s="1" t="s">
        <v>2525</v>
      </c>
      <c r="C971" s="1" t="s">
        <v>2667</v>
      </c>
      <c r="D971" s="1" t="s">
        <v>2527</v>
      </c>
      <c r="E971" s="1" t="s">
        <v>2668</v>
      </c>
      <c r="F971" s="1" t="s">
        <v>2669</v>
      </c>
      <c r="G971" s="1" t="s">
        <v>2670</v>
      </c>
      <c r="H971" s="1" t="s">
        <v>18</v>
      </c>
    </row>
    <row r="972" spans="1:8">
      <c r="A972" s="1">
        <v>971</v>
      </c>
      <c r="B972" s="1" t="s">
        <v>2525</v>
      </c>
      <c r="C972" s="1" t="s">
        <v>2671</v>
      </c>
      <c r="D972" s="1" t="s">
        <v>2527</v>
      </c>
      <c r="E972" s="1" t="s">
        <v>2672</v>
      </c>
      <c r="F972" s="1" t="s">
        <v>2673</v>
      </c>
      <c r="G972" s="1" t="s">
        <v>2674</v>
      </c>
      <c r="H972" s="1" t="s">
        <v>18</v>
      </c>
    </row>
    <row r="973" spans="1:8">
      <c r="A973" s="1">
        <v>972</v>
      </c>
      <c r="B973" s="1" t="s">
        <v>2525</v>
      </c>
      <c r="C973" s="1" t="s">
        <v>2675</v>
      </c>
      <c r="D973" s="1" t="s">
        <v>2527</v>
      </c>
      <c r="E973" s="1" t="s">
        <v>2676</v>
      </c>
      <c r="F973" s="1" t="s">
        <v>2677</v>
      </c>
      <c r="G973" s="1" t="s">
        <v>2678</v>
      </c>
      <c r="H973" s="1" t="s">
        <v>18</v>
      </c>
    </row>
    <row r="974" spans="1:8">
      <c r="A974" s="1">
        <v>973</v>
      </c>
      <c r="B974" s="1" t="s">
        <v>2525</v>
      </c>
      <c r="C974" s="1" t="s">
        <v>2679</v>
      </c>
      <c r="D974" s="1" t="s">
        <v>2527</v>
      </c>
      <c r="E974" s="1" t="s">
        <v>2680</v>
      </c>
      <c r="F974" s="1" t="s">
        <v>2681</v>
      </c>
      <c r="G974" s="1" t="s">
        <v>2682</v>
      </c>
      <c r="H974" s="1" t="s">
        <v>18</v>
      </c>
    </row>
    <row r="975" spans="1:8">
      <c r="A975" s="1">
        <v>974</v>
      </c>
      <c r="B975" s="1" t="s">
        <v>2525</v>
      </c>
      <c r="C975" s="1" t="s">
        <v>2683</v>
      </c>
      <c r="D975" s="1" t="s">
        <v>2527</v>
      </c>
      <c r="E975" s="1" t="s">
        <v>2684</v>
      </c>
      <c r="F975" s="1" t="s">
        <v>2685</v>
      </c>
      <c r="G975" s="1" t="s">
        <v>2686</v>
      </c>
      <c r="H975" s="1" t="s">
        <v>18</v>
      </c>
    </row>
    <row r="976" spans="1:8">
      <c r="A976" s="1">
        <v>975</v>
      </c>
      <c r="B976" s="1" t="s">
        <v>2525</v>
      </c>
      <c r="C976" s="1" t="s">
        <v>2687</v>
      </c>
      <c r="D976" s="1" t="s">
        <v>2527</v>
      </c>
      <c r="E976" s="1" t="s">
        <v>2688</v>
      </c>
      <c r="F976" s="1" t="s">
        <v>2689</v>
      </c>
      <c r="G976" s="1" t="s">
        <v>2690</v>
      </c>
      <c r="H976" s="1" t="s">
        <v>18</v>
      </c>
    </row>
    <row r="977" spans="1:8">
      <c r="A977" s="1">
        <v>976</v>
      </c>
      <c r="B977" s="1" t="s">
        <v>2525</v>
      </c>
      <c r="C977" s="1" t="s">
        <v>2691</v>
      </c>
      <c r="D977" s="1" t="s">
        <v>2527</v>
      </c>
      <c r="E977" s="1" t="s">
        <v>2692</v>
      </c>
      <c r="F977" s="1" t="s">
        <v>2693</v>
      </c>
      <c r="G977" s="1" t="s">
        <v>2694</v>
      </c>
      <c r="H977" s="1" t="s">
        <v>18</v>
      </c>
    </row>
    <row r="978" spans="1:8">
      <c r="A978" s="1">
        <v>977</v>
      </c>
      <c r="B978" s="1" t="s">
        <v>2525</v>
      </c>
      <c r="C978" s="1" t="s">
        <v>2695</v>
      </c>
      <c r="D978" s="1" t="s">
        <v>2527</v>
      </c>
      <c r="E978" s="1" t="s">
        <v>2696</v>
      </c>
      <c r="F978" s="1" t="s">
        <v>2697</v>
      </c>
      <c r="G978" s="1" t="s">
        <v>2698</v>
      </c>
      <c r="H978" s="1" t="s">
        <v>18</v>
      </c>
    </row>
    <row r="979" spans="1:8">
      <c r="A979" s="1">
        <v>978</v>
      </c>
      <c r="B979" s="1" t="s">
        <v>2525</v>
      </c>
      <c r="C979" s="1" t="s">
        <v>2699</v>
      </c>
      <c r="D979" s="1" t="s">
        <v>2527</v>
      </c>
      <c r="E979" s="1" t="s">
        <v>2700</v>
      </c>
      <c r="F979" s="1" t="s">
        <v>2701</v>
      </c>
      <c r="G979" s="1" t="s">
        <v>2702</v>
      </c>
      <c r="H979" s="1" t="s">
        <v>18</v>
      </c>
    </row>
    <row r="980" spans="1:8">
      <c r="A980" s="1">
        <v>979</v>
      </c>
      <c r="B980" s="1" t="s">
        <v>2525</v>
      </c>
      <c r="C980" s="1" t="s">
        <v>2703</v>
      </c>
      <c r="D980" s="1" t="s">
        <v>2527</v>
      </c>
      <c r="E980" s="1" t="s">
        <v>2704</v>
      </c>
      <c r="F980" s="1" t="s">
        <v>2705</v>
      </c>
      <c r="G980" s="1" t="s">
        <v>2706</v>
      </c>
      <c r="H980" s="1" t="s">
        <v>18</v>
      </c>
    </row>
    <row r="981" spans="1:8">
      <c r="A981" s="1">
        <v>980</v>
      </c>
      <c r="B981" s="1" t="s">
        <v>2525</v>
      </c>
      <c r="C981" s="1" t="s">
        <v>2707</v>
      </c>
      <c r="D981" s="1" t="s">
        <v>2527</v>
      </c>
      <c r="E981" s="1" t="s">
        <v>2708</v>
      </c>
      <c r="F981" s="1" t="s">
        <v>2709</v>
      </c>
      <c r="G981" s="1" t="s">
        <v>2710</v>
      </c>
      <c r="H981" s="1" t="s">
        <v>18</v>
      </c>
    </row>
    <row r="982" spans="1:8">
      <c r="A982" s="1">
        <v>981</v>
      </c>
      <c r="B982" s="1" t="s">
        <v>2525</v>
      </c>
      <c r="C982" s="1" t="s">
        <v>2711</v>
      </c>
      <c r="D982" s="1" t="s">
        <v>2527</v>
      </c>
      <c r="E982" s="1" t="s">
        <v>2712</v>
      </c>
      <c r="F982" s="1" t="s">
        <v>2713</v>
      </c>
      <c r="G982" s="1" t="s">
        <v>2714</v>
      </c>
      <c r="H982" s="1" t="s">
        <v>18</v>
      </c>
    </row>
    <row r="983" spans="1:8">
      <c r="A983" s="1">
        <v>982</v>
      </c>
      <c r="B983" s="1" t="s">
        <v>2525</v>
      </c>
      <c r="C983" s="1" t="s">
        <v>2715</v>
      </c>
      <c r="D983" s="1" t="s">
        <v>2527</v>
      </c>
      <c r="E983" s="1" t="s">
        <v>2716</v>
      </c>
      <c r="F983" s="1" t="s">
        <v>2717</v>
      </c>
      <c r="G983" s="1" t="s">
        <v>2718</v>
      </c>
      <c r="H983" s="1" t="s">
        <v>18</v>
      </c>
    </row>
    <row r="984" spans="1:8">
      <c r="A984" s="1">
        <v>983</v>
      </c>
      <c r="B984" s="1" t="s">
        <v>2525</v>
      </c>
      <c r="C984" s="1" t="s">
        <v>2719</v>
      </c>
      <c r="D984" s="1" t="s">
        <v>2527</v>
      </c>
      <c r="E984" s="1" t="s">
        <v>2720</v>
      </c>
      <c r="F984" s="1" t="s">
        <v>2721</v>
      </c>
      <c r="G984" s="1" t="s">
        <v>2722</v>
      </c>
      <c r="H984" s="1" t="s">
        <v>18</v>
      </c>
    </row>
    <row r="985" spans="1:8">
      <c r="A985" s="1">
        <v>984</v>
      </c>
      <c r="B985" s="1" t="s">
        <v>2525</v>
      </c>
      <c r="C985" s="1" t="s">
        <v>2723</v>
      </c>
      <c r="D985" s="1" t="s">
        <v>2527</v>
      </c>
      <c r="E985" s="1" t="s">
        <v>2724</v>
      </c>
      <c r="F985" s="1" t="s">
        <v>2725</v>
      </c>
      <c r="G985" s="1" t="s">
        <v>2726</v>
      </c>
      <c r="H985" s="1" t="s">
        <v>18</v>
      </c>
    </row>
    <row r="986" spans="1:8">
      <c r="A986" s="1">
        <v>985</v>
      </c>
      <c r="B986" s="1" t="s">
        <v>2525</v>
      </c>
      <c r="C986" s="1" t="s">
        <v>2727</v>
      </c>
      <c r="D986" s="1" t="s">
        <v>2527</v>
      </c>
      <c r="E986" s="1" t="s">
        <v>2728</v>
      </c>
      <c r="F986" s="1" t="s">
        <v>2729</v>
      </c>
      <c r="G986" s="1" t="s">
        <v>2730</v>
      </c>
      <c r="H986" s="1" t="s">
        <v>18</v>
      </c>
    </row>
    <row r="987" spans="1:8">
      <c r="A987" s="1">
        <v>986</v>
      </c>
      <c r="B987" s="1" t="s">
        <v>2525</v>
      </c>
      <c r="C987" s="1" t="s">
        <v>2731</v>
      </c>
      <c r="D987" s="1" t="s">
        <v>2527</v>
      </c>
      <c r="E987" s="1" t="s">
        <v>2732</v>
      </c>
      <c r="F987" s="1" t="s">
        <v>2247</v>
      </c>
      <c r="G987" s="1" t="s">
        <v>2248</v>
      </c>
      <c r="H987" s="1" t="s">
        <v>18</v>
      </c>
    </row>
    <row r="988" spans="1:8">
      <c r="A988" s="1">
        <v>987</v>
      </c>
      <c r="B988" s="1" t="s">
        <v>2525</v>
      </c>
      <c r="C988" s="1" t="s">
        <v>2733</v>
      </c>
      <c r="D988" s="1" t="s">
        <v>2527</v>
      </c>
      <c r="E988" s="1" t="s">
        <v>2734</v>
      </c>
      <c r="F988" s="1" t="s">
        <v>2251</v>
      </c>
      <c r="G988" s="1" t="s">
        <v>2252</v>
      </c>
      <c r="H988" s="1" t="s">
        <v>18</v>
      </c>
    </row>
    <row r="989" spans="1:8">
      <c r="A989" s="1">
        <v>988</v>
      </c>
      <c r="B989" s="1" t="s">
        <v>2525</v>
      </c>
      <c r="C989" s="1" t="s">
        <v>2735</v>
      </c>
      <c r="D989" s="1" t="s">
        <v>2527</v>
      </c>
      <c r="E989" s="1" t="s">
        <v>2736</v>
      </c>
      <c r="F989" s="1" t="s">
        <v>2255</v>
      </c>
      <c r="G989" s="1" t="s">
        <v>2256</v>
      </c>
      <c r="H989" s="1" t="s">
        <v>18</v>
      </c>
    </row>
    <row r="990" spans="1:8">
      <c r="A990" s="1">
        <v>989</v>
      </c>
      <c r="B990" s="1" t="s">
        <v>2525</v>
      </c>
      <c r="C990" s="1" t="s">
        <v>2737</v>
      </c>
      <c r="D990" s="1" t="s">
        <v>2527</v>
      </c>
      <c r="E990" s="1" t="s">
        <v>2738</v>
      </c>
      <c r="F990" s="1" t="s">
        <v>2259</v>
      </c>
      <c r="G990" s="1" t="s">
        <v>2260</v>
      </c>
      <c r="H990" s="1" t="s">
        <v>18</v>
      </c>
    </row>
    <row r="991" spans="1:8">
      <c r="A991" s="1">
        <v>990</v>
      </c>
      <c r="B991" s="1" t="s">
        <v>2525</v>
      </c>
      <c r="C991" s="1" t="s">
        <v>2739</v>
      </c>
      <c r="D991" s="1" t="s">
        <v>2527</v>
      </c>
      <c r="E991" s="1" t="s">
        <v>2740</v>
      </c>
      <c r="F991" s="1" t="s">
        <v>2263</v>
      </c>
      <c r="G991" s="1" t="s">
        <v>2264</v>
      </c>
      <c r="H991" s="1" t="s">
        <v>18</v>
      </c>
    </row>
    <row r="992" spans="1:8">
      <c r="A992" s="1">
        <v>991</v>
      </c>
      <c r="B992" s="1" t="s">
        <v>2525</v>
      </c>
      <c r="C992" s="1" t="s">
        <v>2741</v>
      </c>
      <c r="D992" s="1" t="s">
        <v>2527</v>
      </c>
      <c r="E992" s="1" t="s">
        <v>2742</v>
      </c>
      <c r="F992" s="1" t="s">
        <v>2267</v>
      </c>
      <c r="G992" s="1" t="s">
        <v>2268</v>
      </c>
      <c r="H992" s="1" t="s">
        <v>18</v>
      </c>
    </row>
    <row r="993" spans="1:8">
      <c r="A993" s="1">
        <v>992</v>
      </c>
      <c r="B993" s="1" t="s">
        <v>2743</v>
      </c>
      <c r="C993" s="1" t="s">
        <v>2744</v>
      </c>
      <c r="D993" s="1" t="s">
        <v>2745</v>
      </c>
      <c r="E993" s="1" t="s">
        <v>2746</v>
      </c>
      <c r="F993" s="1" t="s">
        <v>2051</v>
      </c>
      <c r="G993" s="1" t="s">
        <v>2052</v>
      </c>
      <c r="H993" s="1" t="s">
        <v>18</v>
      </c>
    </row>
    <row r="994" spans="1:8">
      <c r="A994" s="1">
        <v>993</v>
      </c>
      <c r="B994" s="1" t="s">
        <v>2743</v>
      </c>
      <c r="C994" s="1" t="s">
        <v>2747</v>
      </c>
      <c r="D994" s="1" t="s">
        <v>2745</v>
      </c>
      <c r="E994" s="1" t="s">
        <v>2748</v>
      </c>
      <c r="F994" s="1" t="s">
        <v>2055</v>
      </c>
      <c r="G994" s="1" t="s">
        <v>2056</v>
      </c>
      <c r="H994" s="1" t="s">
        <v>18</v>
      </c>
    </row>
    <row r="995" spans="1:8">
      <c r="A995" s="1">
        <v>994</v>
      </c>
      <c r="B995" s="1" t="s">
        <v>2743</v>
      </c>
      <c r="C995" s="1" t="s">
        <v>2749</v>
      </c>
      <c r="D995" s="1" t="s">
        <v>2745</v>
      </c>
      <c r="E995" s="1" t="s">
        <v>2750</v>
      </c>
      <c r="F995" s="1" t="s">
        <v>2067</v>
      </c>
      <c r="G995" s="1" t="s">
        <v>2068</v>
      </c>
      <c r="H995" s="1" t="s">
        <v>18</v>
      </c>
    </row>
    <row r="996" spans="1:8">
      <c r="A996" s="1">
        <v>995</v>
      </c>
      <c r="B996" s="1" t="s">
        <v>2743</v>
      </c>
      <c r="C996" s="1" t="s">
        <v>2751</v>
      </c>
      <c r="D996" s="1" t="s">
        <v>2745</v>
      </c>
      <c r="E996" s="1" t="s">
        <v>2752</v>
      </c>
      <c r="F996" s="1" t="s">
        <v>2071</v>
      </c>
      <c r="G996" s="1" t="s">
        <v>2072</v>
      </c>
      <c r="H996" s="1" t="s">
        <v>18</v>
      </c>
    </row>
    <row r="997" spans="1:8">
      <c r="A997" s="1">
        <v>996</v>
      </c>
      <c r="B997" s="1" t="s">
        <v>2743</v>
      </c>
      <c r="C997" s="1" t="s">
        <v>2753</v>
      </c>
      <c r="D997" s="1" t="s">
        <v>2745</v>
      </c>
      <c r="E997" s="1" t="s">
        <v>2754</v>
      </c>
      <c r="F997" s="1" t="s">
        <v>2075</v>
      </c>
      <c r="G997" s="1" t="s">
        <v>2076</v>
      </c>
      <c r="H997" s="1" t="s">
        <v>18</v>
      </c>
    </row>
    <row r="998" spans="1:8">
      <c r="A998" s="1">
        <v>997</v>
      </c>
      <c r="B998" s="1" t="s">
        <v>2743</v>
      </c>
      <c r="C998" s="1" t="s">
        <v>2755</v>
      </c>
      <c r="D998" s="1" t="s">
        <v>2745</v>
      </c>
      <c r="E998" s="1" t="s">
        <v>2756</v>
      </c>
      <c r="F998" s="1" t="s">
        <v>2079</v>
      </c>
      <c r="G998" s="1" t="s">
        <v>2080</v>
      </c>
      <c r="H998" s="1" t="s">
        <v>18</v>
      </c>
    </row>
    <row r="999" spans="1:8">
      <c r="A999" s="1">
        <v>998</v>
      </c>
      <c r="B999" s="1" t="s">
        <v>2743</v>
      </c>
      <c r="C999" s="1" t="s">
        <v>2757</v>
      </c>
      <c r="D999" s="1" t="s">
        <v>2745</v>
      </c>
      <c r="E999" s="1" t="s">
        <v>2758</v>
      </c>
      <c r="F999" s="1" t="s">
        <v>2541</v>
      </c>
      <c r="G999" s="1" t="s">
        <v>2542</v>
      </c>
      <c r="H999" s="1" t="s">
        <v>18</v>
      </c>
    </row>
    <row r="1000" spans="1:8">
      <c r="A1000" s="1">
        <v>999</v>
      </c>
      <c r="B1000" s="1" t="s">
        <v>2743</v>
      </c>
      <c r="C1000" s="1" t="s">
        <v>2759</v>
      </c>
      <c r="D1000" s="1" t="s">
        <v>2745</v>
      </c>
      <c r="E1000" s="1" t="s">
        <v>2760</v>
      </c>
      <c r="F1000" s="1" t="s">
        <v>2099</v>
      </c>
      <c r="G1000" s="1" t="s">
        <v>2100</v>
      </c>
      <c r="H1000" s="1" t="s">
        <v>18</v>
      </c>
    </row>
    <row r="1001" spans="1:8">
      <c r="A1001" s="1">
        <v>1000</v>
      </c>
      <c r="B1001" s="1" t="s">
        <v>2743</v>
      </c>
      <c r="C1001" s="1" t="s">
        <v>2761</v>
      </c>
      <c r="D1001" s="1" t="s">
        <v>2745</v>
      </c>
      <c r="E1001" s="1" t="s">
        <v>2762</v>
      </c>
      <c r="F1001" s="1" t="s">
        <v>2411</v>
      </c>
      <c r="G1001" s="1" t="s">
        <v>2412</v>
      </c>
      <c r="H1001" s="1" t="s">
        <v>18</v>
      </c>
    </row>
    <row r="1002" spans="1:8">
      <c r="A1002" s="1">
        <v>1001</v>
      </c>
      <c r="B1002" s="1" t="s">
        <v>2743</v>
      </c>
      <c r="C1002" s="1" t="s">
        <v>2763</v>
      </c>
      <c r="D1002" s="1" t="s">
        <v>2745</v>
      </c>
      <c r="E1002" s="1" t="s">
        <v>2764</v>
      </c>
      <c r="F1002" s="1" t="s">
        <v>2549</v>
      </c>
      <c r="G1002" s="1" t="s">
        <v>2550</v>
      </c>
      <c r="H1002" s="1" t="s">
        <v>18</v>
      </c>
    </row>
    <row r="1003" spans="1:8">
      <c r="A1003" s="1">
        <v>1002</v>
      </c>
      <c r="B1003" s="1" t="s">
        <v>2743</v>
      </c>
      <c r="C1003" s="1" t="s">
        <v>2765</v>
      </c>
      <c r="D1003" s="1" t="s">
        <v>2745</v>
      </c>
      <c r="E1003" s="1" t="s">
        <v>2766</v>
      </c>
      <c r="F1003" s="1" t="s">
        <v>2111</v>
      </c>
      <c r="G1003" s="1" t="s">
        <v>2112</v>
      </c>
      <c r="H1003" s="1" t="s">
        <v>18</v>
      </c>
    </row>
    <row r="1004" spans="1:8">
      <c r="A1004" s="1">
        <v>1003</v>
      </c>
      <c r="B1004" s="1" t="s">
        <v>2743</v>
      </c>
      <c r="C1004" s="1" t="s">
        <v>2767</v>
      </c>
      <c r="D1004" s="1" t="s">
        <v>2745</v>
      </c>
      <c r="E1004" s="1" t="s">
        <v>2768</v>
      </c>
      <c r="F1004" s="1" t="s">
        <v>2115</v>
      </c>
      <c r="G1004" s="1" t="s">
        <v>2116</v>
      </c>
      <c r="H1004" s="1" t="s">
        <v>18</v>
      </c>
    </row>
    <row r="1005" spans="1:8">
      <c r="A1005" s="1">
        <v>1004</v>
      </c>
      <c r="B1005" s="1" t="s">
        <v>2743</v>
      </c>
      <c r="C1005" s="1" t="s">
        <v>2769</v>
      </c>
      <c r="D1005" s="1" t="s">
        <v>2745</v>
      </c>
      <c r="E1005" s="1" t="s">
        <v>2770</v>
      </c>
      <c r="F1005" s="1" t="s">
        <v>2417</v>
      </c>
      <c r="G1005" s="1" t="s">
        <v>2418</v>
      </c>
      <c r="H1005" s="1" t="s">
        <v>18</v>
      </c>
    </row>
    <row r="1006" spans="1:8">
      <c r="A1006" s="1">
        <v>1005</v>
      </c>
      <c r="B1006" s="1" t="s">
        <v>2743</v>
      </c>
      <c r="C1006" s="1" t="s">
        <v>2771</v>
      </c>
      <c r="D1006" s="1" t="s">
        <v>2745</v>
      </c>
      <c r="E1006" s="1" t="s">
        <v>2772</v>
      </c>
      <c r="F1006" s="1" t="s">
        <v>2559</v>
      </c>
      <c r="G1006" s="1" t="s">
        <v>2560</v>
      </c>
      <c r="H1006" s="1" t="s">
        <v>18</v>
      </c>
    </row>
    <row r="1007" spans="1:8">
      <c r="A1007" s="1">
        <v>1006</v>
      </c>
      <c r="B1007" s="1" t="s">
        <v>2743</v>
      </c>
      <c r="C1007" s="1" t="s">
        <v>2773</v>
      </c>
      <c r="D1007" s="1" t="s">
        <v>2745</v>
      </c>
      <c r="E1007" s="1" t="s">
        <v>2774</v>
      </c>
      <c r="F1007" s="1" t="s">
        <v>2421</v>
      </c>
      <c r="G1007" s="1" t="s">
        <v>2422</v>
      </c>
      <c r="H1007" s="1" t="s">
        <v>18</v>
      </c>
    </row>
    <row r="1008" spans="1:8">
      <c r="A1008" s="1">
        <v>1007</v>
      </c>
      <c r="B1008" s="1" t="s">
        <v>2743</v>
      </c>
      <c r="C1008" s="1" t="s">
        <v>2775</v>
      </c>
      <c r="D1008" s="1" t="s">
        <v>2745</v>
      </c>
      <c r="E1008" s="1" t="s">
        <v>2776</v>
      </c>
      <c r="F1008" s="1" t="s">
        <v>2425</v>
      </c>
      <c r="G1008" s="1" t="s">
        <v>2426</v>
      </c>
      <c r="H1008" s="1" t="s">
        <v>18</v>
      </c>
    </row>
    <row r="1009" spans="1:8">
      <c r="A1009" s="1">
        <v>1008</v>
      </c>
      <c r="B1009" s="1" t="s">
        <v>2743</v>
      </c>
      <c r="C1009" s="1" t="s">
        <v>2777</v>
      </c>
      <c r="D1009" s="1" t="s">
        <v>2745</v>
      </c>
      <c r="E1009" s="1" t="s">
        <v>2778</v>
      </c>
      <c r="F1009" s="1" t="s">
        <v>2429</v>
      </c>
      <c r="G1009" s="1" t="s">
        <v>2430</v>
      </c>
      <c r="H1009" s="1" t="s">
        <v>18</v>
      </c>
    </row>
    <row r="1010" spans="1:8">
      <c r="A1010" s="1">
        <v>1009</v>
      </c>
      <c r="B1010" s="1" t="s">
        <v>2743</v>
      </c>
      <c r="C1010" s="1" t="s">
        <v>2779</v>
      </c>
      <c r="D1010" s="1" t="s">
        <v>2745</v>
      </c>
      <c r="E1010" s="1" t="s">
        <v>2780</v>
      </c>
      <c r="F1010" s="1" t="s">
        <v>2571</v>
      </c>
      <c r="G1010" s="1" t="s">
        <v>2572</v>
      </c>
      <c r="H1010" s="1" t="s">
        <v>18</v>
      </c>
    </row>
    <row r="1011" spans="1:8">
      <c r="A1011" s="1">
        <v>1010</v>
      </c>
      <c r="B1011" s="1" t="s">
        <v>2743</v>
      </c>
      <c r="C1011" s="1" t="s">
        <v>2781</v>
      </c>
      <c r="D1011" s="1" t="s">
        <v>2745</v>
      </c>
      <c r="E1011" s="1" t="s">
        <v>2782</v>
      </c>
      <c r="F1011" s="1" t="s">
        <v>2575</v>
      </c>
      <c r="G1011" s="1" t="s">
        <v>2576</v>
      </c>
      <c r="H1011" s="1" t="s">
        <v>18</v>
      </c>
    </row>
    <row r="1012" spans="1:8">
      <c r="A1012" s="1">
        <v>1011</v>
      </c>
      <c r="B1012" s="1" t="s">
        <v>2743</v>
      </c>
      <c r="C1012" s="1" t="s">
        <v>2783</v>
      </c>
      <c r="D1012" s="1" t="s">
        <v>2745</v>
      </c>
      <c r="E1012" s="1" t="s">
        <v>2784</v>
      </c>
      <c r="F1012" s="1" t="s">
        <v>2579</v>
      </c>
      <c r="G1012" s="1" t="s">
        <v>2580</v>
      </c>
      <c r="H1012" s="1" t="s">
        <v>18</v>
      </c>
    </row>
    <row r="1013" spans="1:8">
      <c r="A1013" s="1">
        <v>1012</v>
      </c>
      <c r="B1013" s="1" t="s">
        <v>2743</v>
      </c>
      <c r="C1013" s="1" t="s">
        <v>2785</v>
      </c>
      <c r="D1013" s="1" t="s">
        <v>2745</v>
      </c>
      <c r="E1013" s="1" t="s">
        <v>2786</v>
      </c>
      <c r="F1013" s="1" t="s">
        <v>2503</v>
      </c>
      <c r="G1013" s="1" t="s">
        <v>2504</v>
      </c>
      <c r="H1013" s="1" t="s">
        <v>18</v>
      </c>
    </row>
    <row r="1014" spans="1:8">
      <c r="A1014" s="1">
        <v>1013</v>
      </c>
      <c r="B1014" s="1" t="s">
        <v>2743</v>
      </c>
      <c r="C1014" s="1" t="s">
        <v>2787</v>
      </c>
      <c r="D1014" s="1" t="s">
        <v>2745</v>
      </c>
      <c r="E1014" s="1" t="s">
        <v>2788</v>
      </c>
      <c r="F1014" s="1" t="s">
        <v>2627</v>
      </c>
      <c r="G1014" s="1" t="s">
        <v>2628</v>
      </c>
      <c r="H1014" s="1" t="s">
        <v>18</v>
      </c>
    </row>
    <row r="1015" spans="1:8">
      <c r="A1015" s="1">
        <v>1014</v>
      </c>
      <c r="B1015" s="1" t="s">
        <v>2743</v>
      </c>
      <c r="C1015" s="1" t="s">
        <v>2789</v>
      </c>
      <c r="D1015" s="1" t="s">
        <v>2745</v>
      </c>
      <c r="E1015" s="1" t="s">
        <v>2790</v>
      </c>
      <c r="F1015" s="1" t="s">
        <v>2631</v>
      </c>
      <c r="G1015" s="1" t="s">
        <v>2632</v>
      </c>
      <c r="H1015" s="1" t="s">
        <v>18</v>
      </c>
    </row>
    <row r="1016" spans="1:8">
      <c r="A1016" s="1">
        <v>1015</v>
      </c>
      <c r="B1016" s="1" t="s">
        <v>2743</v>
      </c>
      <c r="C1016" s="1" t="s">
        <v>2791</v>
      </c>
      <c r="D1016" s="1" t="s">
        <v>2745</v>
      </c>
      <c r="E1016" s="1" t="s">
        <v>2792</v>
      </c>
      <c r="F1016" s="1" t="s">
        <v>2635</v>
      </c>
      <c r="G1016" s="1" t="s">
        <v>2636</v>
      </c>
      <c r="H1016" s="1" t="s">
        <v>18</v>
      </c>
    </row>
    <row r="1017" spans="1:8">
      <c r="A1017" s="1">
        <v>1016</v>
      </c>
      <c r="B1017" s="1" t="s">
        <v>2743</v>
      </c>
      <c r="C1017" s="1" t="s">
        <v>2793</v>
      </c>
      <c r="D1017" s="1" t="s">
        <v>2745</v>
      </c>
      <c r="E1017" s="1" t="s">
        <v>2794</v>
      </c>
      <c r="F1017" s="1" t="s">
        <v>2639</v>
      </c>
      <c r="G1017" s="1" t="s">
        <v>2640</v>
      </c>
      <c r="H1017" s="1" t="s">
        <v>18</v>
      </c>
    </row>
    <row r="1018" spans="1:8">
      <c r="A1018" s="1">
        <v>1017</v>
      </c>
      <c r="B1018" s="1" t="s">
        <v>2743</v>
      </c>
      <c r="C1018" s="1" t="s">
        <v>2795</v>
      </c>
      <c r="D1018" s="1" t="s">
        <v>2745</v>
      </c>
      <c r="E1018" s="1" t="s">
        <v>2796</v>
      </c>
      <c r="F1018" s="1" t="s">
        <v>2643</v>
      </c>
      <c r="G1018" s="1" t="s">
        <v>2644</v>
      </c>
      <c r="H1018" s="1" t="s">
        <v>18</v>
      </c>
    </row>
    <row r="1019" spans="1:8">
      <c r="A1019" s="1">
        <v>1018</v>
      </c>
      <c r="B1019" s="1" t="s">
        <v>2743</v>
      </c>
      <c r="C1019" s="1" t="s">
        <v>2797</v>
      </c>
      <c r="D1019" s="1" t="s">
        <v>2745</v>
      </c>
      <c r="E1019" s="1" t="s">
        <v>2798</v>
      </c>
      <c r="F1019" s="1" t="s">
        <v>2521</v>
      </c>
      <c r="G1019" s="1" t="s">
        <v>2522</v>
      </c>
      <c r="H1019" s="1" t="s">
        <v>18</v>
      </c>
    </row>
    <row r="1020" spans="1:8">
      <c r="A1020" s="1">
        <v>1019</v>
      </c>
      <c r="B1020" s="1" t="s">
        <v>2743</v>
      </c>
      <c r="C1020" s="1" t="s">
        <v>2799</v>
      </c>
      <c r="D1020" s="1" t="s">
        <v>2745</v>
      </c>
      <c r="E1020" s="1" t="s">
        <v>2800</v>
      </c>
      <c r="F1020" s="1" t="s">
        <v>2649</v>
      </c>
      <c r="G1020" s="1" t="s">
        <v>2650</v>
      </c>
      <c r="H1020" s="1" t="s">
        <v>18</v>
      </c>
    </row>
    <row r="1021" spans="1:8">
      <c r="A1021" s="1">
        <v>1020</v>
      </c>
      <c r="B1021" s="1" t="s">
        <v>2743</v>
      </c>
      <c r="C1021" s="1" t="s">
        <v>2801</v>
      </c>
      <c r="D1021" s="1" t="s">
        <v>2745</v>
      </c>
      <c r="E1021" s="1" t="s">
        <v>2802</v>
      </c>
      <c r="F1021" s="1" t="s">
        <v>2653</v>
      </c>
      <c r="G1021" s="1" t="s">
        <v>2654</v>
      </c>
      <c r="H1021" s="1" t="s">
        <v>18</v>
      </c>
    </row>
    <row r="1022" spans="1:8">
      <c r="A1022" s="1">
        <v>1021</v>
      </c>
      <c r="B1022" s="1" t="s">
        <v>2743</v>
      </c>
      <c r="C1022" s="1" t="s">
        <v>2803</v>
      </c>
      <c r="D1022" s="1" t="s">
        <v>2745</v>
      </c>
      <c r="E1022" s="1" t="s">
        <v>2804</v>
      </c>
      <c r="F1022" s="1" t="s">
        <v>2657</v>
      </c>
      <c r="G1022" s="1" t="s">
        <v>2658</v>
      </c>
      <c r="H1022" s="1" t="s">
        <v>18</v>
      </c>
    </row>
    <row r="1023" spans="1:8">
      <c r="A1023" s="1">
        <v>1022</v>
      </c>
      <c r="B1023" s="1" t="s">
        <v>2743</v>
      </c>
      <c r="C1023" s="1" t="s">
        <v>2805</v>
      </c>
      <c r="D1023" s="1" t="s">
        <v>2745</v>
      </c>
      <c r="E1023" s="1" t="s">
        <v>2806</v>
      </c>
      <c r="F1023" s="1" t="s">
        <v>2807</v>
      </c>
      <c r="G1023" s="1" t="s">
        <v>2808</v>
      </c>
      <c r="H1023" s="1" t="s">
        <v>18</v>
      </c>
    </row>
    <row r="1024" spans="1:8">
      <c r="A1024" s="1">
        <v>1023</v>
      </c>
      <c r="B1024" s="1" t="s">
        <v>2743</v>
      </c>
      <c r="C1024" s="1" t="s">
        <v>2809</v>
      </c>
      <c r="D1024" s="1" t="s">
        <v>2745</v>
      </c>
      <c r="E1024" s="1" t="s">
        <v>2810</v>
      </c>
      <c r="F1024" s="1" t="s">
        <v>2247</v>
      </c>
      <c r="G1024" s="1" t="s">
        <v>2248</v>
      </c>
      <c r="H1024" s="1" t="s">
        <v>18</v>
      </c>
    </row>
    <row r="1025" spans="1:8">
      <c r="A1025" s="1">
        <v>1024</v>
      </c>
      <c r="B1025" s="1" t="s">
        <v>2743</v>
      </c>
      <c r="C1025" s="1" t="s">
        <v>2811</v>
      </c>
      <c r="D1025" s="1" t="s">
        <v>2745</v>
      </c>
      <c r="E1025" s="1" t="s">
        <v>2812</v>
      </c>
      <c r="F1025" s="1" t="s">
        <v>2251</v>
      </c>
      <c r="G1025" s="1" t="s">
        <v>2252</v>
      </c>
      <c r="H1025" s="1" t="s">
        <v>18</v>
      </c>
    </row>
    <row r="1026" spans="1:8">
      <c r="A1026" s="1">
        <v>1025</v>
      </c>
      <c r="B1026" s="1" t="s">
        <v>2743</v>
      </c>
      <c r="C1026" s="1" t="s">
        <v>2813</v>
      </c>
      <c r="D1026" s="1" t="s">
        <v>2745</v>
      </c>
      <c r="E1026" s="1" t="s">
        <v>2814</v>
      </c>
      <c r="F1026" s="1" t="s">
        <v>2255</v>
      </c>
      <c r="G1026" s="1" t="s">
        <v>2256</v>
      </c>
      <c r="H1026" s="1" t="s">
        <v>18</v>
      </c>
    </row>
    <row r="1027" spans="1:8">
      <c r="A1027" s="1">
        <v>1026</v>
      </c>
      <c r="B1027" s="1" t="s">
        <v>2743</v>
      </c>
      <c r="C1027" s="1" t="s">
        <v>2815</v>
      </c>
      <c r="D1027" s="1" t="s">
        <v>2745</v>
      </c>
      <c r="E1027" s="1" t="s">
        <v>2816</v>
      </c>
      <c r="F1027" s="1" t="s">
        <v>2259</v>
      </c>
      <c r="G1027" s="1" t="s">
        <v>2260</v>
      </c>
      <c r="H1027" s="1" t="s">
        <v>18</v>
      </c>
    </row>
    <row r="1028" spans="1:8">
      <c r="A1028" s="1">
        <v>1027</v>
      </c>
      <c r="B1028" s="1" t="s">
        <v>2743</v>
      </c>
      <c r="C1028" s="1" t="s">
        <v>2817</v>
      </c>
      <c r="D1028" s="1" t="s">
        <v>2745</v>
      </c>
      <c r="E1028" s="1" t="s">
        <v>2818</v>
      </c>
      <c r="F1028" s="1" t="s">
        <v>2263</v>
      </c>
      <c r="G1028" s="1" t="s">
        <v>2264</v>
      </c>
      <c r="H1028" s="1" t="s">
        <v>18</v>
      </c>
    </row>
    <row r="1029" spans="1:8">
      <c r="A1029" s="1">
        <v>1028</v>
      </c>
      <c r="B1029" s="1" t="s">
        <v>2743</v>
      </c>
      <c r="C1029" s="1" t="s">
        <v>2819</v>
      </c>
      <c r="D1029" s="1" t="s">
        <v>2745</v>
      </c>
      <c r="E1029" s="1" t="s">
        <v>2820</v>
      </c>
      <c r="F1029" s="1" t="s">
        <v>2267</v>
      </c>
      <c r="G1029" s="1" t="s">
        <v>2268</v>
      </c>
      <c r="H1029" s="1" t="s">
        <v>18</v>
      </c>
    </row>
    <row r="1030" spans="1:8">
      <c r="A1030" s="1">
        <v>1029</v>
      </c>
      <c r="B1030" s="1" t="s">
        <v>2821</v>
      </c>
      <c r="C1030" s="1" t="s">
        <v>809</v>
      </c>
      <c r="D1030" s="1" t="s">
        <v>2822</v>
      </c>
      <c r="E1030" s="1" t="s">
        <v>2823</v>
      </c>
      <c r="F1030" s="1" t="s">
        <v>2067</v>
      </c>
      <c r="G1030" s="1" t="s">
        <v>2068</v>
      </c>
      <c r="H1030" s="1" t="s">
        <v>18</v>
      </c>
    </row>
    <row r="1031" spans="1:8">
      <c r="A1031" s="1">
        <v>1030</v>
      </c>
      <c r="B1031" s="1" t="s">
        <v>2821</v>
      </c>
      <c r="C1031" s="1" t="s">
        <v>814</v>
      </c>
      <c r="D1031" s="1" t="s">
        <v>2822</v>
      </c>
      <c r="E1031" s="1" t="s">
        <v>2824</v>
      </c>
      <c r="F1031" s="1" t="s">
        <v>2071</v>
      </c>
      <c r="G1031" s="1" t="s">
        <v>2072</v>
      </c>
      <c r="H1031" s="1" t="s">
        <v>18</v>
      </c>
    </row>
    <row r="1032" spans="1:8">
      <c r="A1032" s="1">
        <v>1031</v>
      </c>
      <c r="B1032" s="1" t="s">
        <v>2821</v>
      </c>
      <c r="C1032" s="1" t="s">
        <v>817</v>
      </c>
      <c r="D1032" s="1" t="s">
        <v>2822</v>
      </c>
      <c r="E1032" s="1" t="s">
        <v>2825</v>
      </c>
      <c r="F1032" s="1" t="s">
        <v>2075</v>
      </c>
      <c r="G1032" s="1" t="s">
        <v>2076</v>
      </c>
      <c r="H1032" s="1" t="s">
        <v>18</v>
      </c>
    </row>
    <row r="1033" spans="1:8">
      <c r="A1033" s="1">
        <v>1032</v>
      </c>
      <c r="B1033" s="1" t="s">
        <v>2821</v>
      </c>
      <c r="C1033" s="1" t="s">
        <v>821</v>
      </c>
      <c r="D1033" s="1" t="s">
        <v>2822</v>
      </c>
      <c r="E1033" s="1" t="s">
        <v>2826</v>
      </c>
      <c r="F1033" s="1" t="s">
        <v>2079</v>
      </c>
      <c r="G1033" s="1" t="s">
        <v>2080</v>
      </c>
      <c r="H1033" s="1" t="s">
        <v>18</v>
      </c>
    </row>
    <row r="1034" spans="1:8">
      <c r="A1034" s="1">
        <v>1033</v>
      </c>
      <c r="B1034" s="1" t="s">
        <v>2821</v>
      </c>
      <c r="C1034" s="1" t="s">
        <v>825</v>
      </c>
      <c r="D1034" s="1" t="s">
        <v>2822</v>
      </c>
      <c r="E1034" s="1" t="s">
        <v>2827</v>
      </c>
      <c r="F1034" s="1" t="s">
        <v>2828</v>
      </c>
      <c r="G1034" s="1" t="s">
        <v>2829</v>
      </c>
      <c r="H1034" s="1" t="s">
        <v>18</v>
      </c>
    </row>
    <row r="1035" spans="1:8">
      <c r="A1035" s="1">
        <v>1034</v>
      </c>
      <c r="B1035" s="1" t="s">
        <v>2821</v>
      </c>
      <c r="C1035" s="1" t="s">
        <v>829</v>
      </c>
      <c r="D1035" s="1" t="s">
        <v>2822</v>
      </c>
      <c r="E1035" s="1" t="s">
        <v>2830</v>
      </c>
      <c r="F1035" s="1" t="s">
        <v>2099</v>
      </c>
      <c r="G1035" s="1" t="s">
        <v>2100</v>
      </c>
      <c r="H1035" s="1" t="s">
        <v>18</v>
      </c>
    </row>
    <row r="1036" spans="1:8">
      <c r="A1036" s="1">
        <v>1035</v>
      </c>
      <c r="B1036" s="1" t="s">
        <v>2821</v>
      </c>
      <c r="C1036" s="1" t="s">
        <v>833</v>
      </c>
      <c r="D1036" s="1" t="s">
        <v>2822</v>
      </c>
      <c r="E1036" s="1" t="s">
        <v>2831</v>
      </c>
      <c r="F1036" s="1" t="s">
        <v>2411</v>
      </c>
      <c r="G1036" s="1" t="s">
        <v>2412</v>
      </c>
      <c r="H1036" s="1" t="s">
        <v>18</v>
      </c>
    </row>
    <row r="1037" spans="1:8">
      <c r="A1037" s="1">
        <v>1036</v>
      </c>
      <c r="B1037" s="1" t="s">
        <v>2821</v>
      </c>
      <c r="C1037" s="1" t="s">
        <v>836</v>
      </c>
      <c r="D1037" s="1" t="s">
        <v>2822</v>
      </c>
      <c r="E1037" s="1" t="s">
        <v>2832</v>
      </c>
      <c r="F1037" s="1" t="s">
        <v>2549</v>
      </c>
      <c r="G1037" s="1" t="s">
        <v>2550</v>
      </c>
      <c r="H1037" s="1" t="s">
        <v>18</v>
      </c>
    </row>
    <row r="1038" spans="1:8">
      <c r="A1038" s="1">
        <v>1037</v>
      </c>
      <c r="B1038" s="1" t="s">
        <v>2821</v>
      </c>
      <c r="C1038" s="1" t="s">
        <v>840</v>
      </c>
      <c r="D1038" s="1" t="s">
        <v>2822</v>
      </c>
      <c r="E1038" s="1" t="s">
        <v>2833</v>
      </c>
      <c r="F1038" s="1" t="s">
        <v>2111</v>
      </c>
      <c r="G1038" s="1" t="s">
        <v>2112</v>
      </c>
      <c r="H1038" s="1" t="s">
        <v>18</v>
      </c>
    </row>
    <row r="1039" spans="1:8">
      <c r="A1039" s="1">
        <v>1038</v>
      </c>
      <c r="B1039" s="1" t="s">
        <v>2821</v>
      </c>
      <c r="C1039" s="1" t="s">
        <v>844</v>
      </c>
      <c r="D1039" s="1" t="s">
        <v>2822</v>
      </c>
      <c r="E1039" s="1" t="s">
        <v>2834</v>
      </c>
      <c r="F1039" s="1" t="s">
        <v>2115</v>
      </c>
      <c r="G1039" s="1" t="s">
        <v>2116</v>
      </c>
      <c r="H1039" s="1" t="s">
        <v>18</v>
      </c>
    </row>
    <row r="1040" spans="1:8">
      <c r="A1040" s="1">
        <v>1039</v>
      </c>
      <c r="B1040" s="1" t="s">
        <v>2821</v>
      </c>
      <c r="C1040" s="1" t="s">
        <v>848</v>
      </c>
      <c r="D1040" s="1" t="s">
        <v>2822</v>
      </c>
      <c r="E1040" s="1" t="s">
        <v>2835</v>
      </c>
      <c r="F1040" s="1" t="s">
        <v>2417</v>
      </c>
      <c r="G1040" s="1" t="s">
        <v>2418</v>
      </c>
      <c r="H1040" s="1" t="s">
        <v>18</v>
      </c>
    </row>
    <row r="1041" spans="1:8">
      <c r="A1041" s="1">
        <v>1040</v>
      </c>
      <c r="B1041" s="1" t="s">
        <v>2821</v>
      </c>
      <c r="C1041" s="1" t="s">
        <v>852</v>
      </c>
      <c r="D1041" s="1" t="s">
        <v>2822</v>
      </c>
      <c r="E1041" s="1" t="s">
        <v>2836</v>
      </c>
      <c r="F1041" s="1" t="s">
        <v>2559</v>
      </c>
      <c r="G1041" s="1" t="s">
        <v>2560</v>
      </c>
      <c r="H1041" s="1" t="s">
        <v>18</v>
      </c>
    </row>
    <row r="1042" spans="1:8">
      <c r="A1042" s="1">
        <v>1041</v>
      </c>
      <c r="B1042" s="1" t="s">
        <v>2821</v>
      </c>
      <c r="C1042" s="1" t="s">
        <v>855</v>
      </c>
      <c r="D1042" s="1" t="s">
        <v>2822</v>
      </c>
      <c r="E1042" s="1" t="s">
        <v>2837</v>
      </c>
      <c r="F1042" s="1" t="s">
        <v>2838</v>
      </c>
      <c r="G1042" s="1" t="s">
        <v>2839</v>
      </c>
      <c r="H1042" s="1" t="s">
        <v>18</v>
      </c>
    </row>
    <row r="1043" spans="1:8">
      <c r="A1043" s="1">
        <v>1042</v>
      </c>
      <c r="B1043" s="1" t="s">
        <v>2821</v>
      </c>
      <c r="C1043" s="1" t="s">
        <v>859</v>
      </c>
      <c r="D1043" s="1" t="s">
        <v>2822</v>
      </c>
      <c r="E1043" s="1" t="s">
        <v>2840</v>
      </c>
      <c r="F1043" s="1" t="s">
        <v>2421</v>
      </c>
      <c r="G1043" s="1" t="s">
        <v>2422</v>
      </c>
      <c r="H1043" s="1" t="s">
        <v>18</v>
      </c>
    </row>
    <row r="1044" spans="1:8">
      <c r="A1044" s="1">
        <v>1043</v>
      </c>
      <c r="B1044" s="1" t="s">
        <v>2821</v>
      </c>
      <c r="C1044" s="1" t="s">
        <v>863</v>
      </c>
      <c r="D1044" s="1" t="s">
        <v>2822</v>
      </c>
      <c r="E1044" s="1" t="s">
        <v>2841</v>
      </c>
      <c r="F1044" s="1" t="s">
        <v>2425</v>
      </c>
      <c r="G1044" s="1" t="s">
        <v>2426</v>
      </c>
      <c r="H1044" s="1" t="s">
        <v>18</v>
      </c>
    </row>
    <row r="1045" spans="1:8">
      <c r="A1045" s="1">
        <v>1044</v>
      </c>
      <c r="B1045" s="1" t="s">
        <v>2821</v>
      </c>
      <c r="C1045" s="1" t="s">
        <v>866</v>
      </c>
      <c r="D1045" s="1" t="s">
        <v>2822</v>
      </c>
      <c r="E1045" s="1" t="s">
        <v>2842</v>
      </c>
      <c r="F1045" s="1" t="s">
        <v>2429</v>
      </c>
      <c r="G1045" s="1" t="s">
        <v>2430</v>
      </c>
      <c r="H1045" s="1" t="s">
        <v>18</v>
      </c>
    </row>
    <row r="1046" spans="1:8">
      <c r="A1046" s="1">
        <v>1045</v>
      </c>
      <c r="B1046" s="1" t="s">
        <v>2821</v>
      </c>
      <c r="C1046" s="1" t="s">
        <v>870</v>
      </c>
      <c r="D1046" s="1" t="s">
        <v>2822</v>
      </c>
      <c r="E1046" s="1" t="s">
        <v>2843</v>
      </c>
      <c r="F1046" s="1" t="s">
        <v>2844</v>
      </c>
      <c r="G1046" s="1" t="s">
        <v>2845</v>
      </c>
      <c r="H1046" s="1" t="s">
        <v>18</v>
      </c>
    </row>
    <row r="1047" spans="1:8">
      <c r="A1047" s="1">
        <v>1046</v>
      </c>
      <c r="B1047" s="1" t="s">
        <v>2821</v>
      </c>
      <c r="C1047" s="1" t="s">
        <v>874</v>
      </c>
      <c r="D1047" s="1" t="s">
        <v>2822</v>
      </c>
      <c r="E1047" s="1" t="s">
        <v>2846</v>
      </c>
      <c r="F1047" s="1" t="s">
        <v>2847</v>
      </c>
      <c r="G1047" s="1" t="s">
        <v>2848</v>
      </c>
      <c r="H1047" s="1" t="s">
        <v>18</v>
      </c>
    </row>
    <row r="1048" spans="1:8">
      <c r="A1048" s="1">
        <v>1047</v>
      </c>
      <c r="B1048" s="1" t="s">
        <v>2821</v>
      </c>
      <c r="C1048" s="1" t="s">
        <v>877</v>
      </c>
      <c r="D1048" s="1" t="s">
        <v>2822</v>
      </c>
      <c r="E1048" s="1" t="s">
        <v>2849</v>
      </c>
      <c r="F1048" s="1" t="s">
        <v>2503</v>
      </c>
      <c r="G1048" s="1" t="s">
        <v>2504</v>
      </c>
      <c r="H1048" s="1" t="s">
        <v>18</v>
      </c>
    </row>
    <row r="1049" spans="1:8">
      <c r="A1049" s="1">
        <v>1048</v>
      </c>
      <c r="B1049" s="1" t="s">
        <v>2821</v>
      </c>
      <c r="C1049" s="1" t="s">
        <v>881</v>
      </c>
      <c r="D1049" s="1" t="s">
        <v>2822</v>
      </c>
      <c r="E1049" s="1" t="s">
        <v>2850</v>
      </c>
      <c r="F1049" s="1" t="s">
        <v>2851</v>
      </c>
      <c r="G1049" s="1" t="s">
        <v>2852</v>
      </c>
      <c r="H1049" s="1" t="s">
        <v>18</v>
      </c>
    </row>
    <row r="1050" spans="1:8">
      <c r="A1050" s="1">
        <v>1049</v>
      </c>
      <c r="B1050" s="1" t="s">
        <v>2821</v>
      </c>
      <c r="C1050" s="1" t="s">
        <v>885</v>
      </c>
      <c r="D1050" s="1" t="s">
        <v>2822</v>
      </c>
      <c r="E1050" s="1" t="s">
        <v>2853</v>
      </c>
      <c r="F1050" s="1" t="s">
        <v>2631</v>
      </c>
      <c r="G1050" s="1" t="s">
        <v>2632</v>
      </c>
      <c r="H1050" s="1" t="s">
        <v>18</v>
      </c>
    </row>
    <row r="1051" spans="1:8">
      <c r="A1051" s="1">
        <v>1050</v>
      </c>
      <c r="B1051" s="1" t="s">
        <v>2821</v>
      </c>
      <c r="C1051" s="1" t="s">
        <v>889</v>
      </c>
      <c r="D1051" s="1" t="s">
        <v>2822</v>
      </c>
      <c r="E1051" s="1" t="s">
        <v>2854</v>
      </c>
      <c r="F1051" s="1" t="s">
        <v>2512</v>
      </c>
      <c r="G1051" s="1" t="s">
        <v>2513</v>
      </c>
      <c r="H1051" s="1" t="s">
        <v>18</v>
      </c>
    </row>
    <row r="1052" spans="1:8">
      <c r="A1052" s="1">
        <v>1051</v>
      </c>
      <c r="B1052" s="1" t="s">
        <v>2821</v>
      </c>
      <c r="C1052" s="1" t="s">
        <v>892</v>
      </c>
      <c r="D1052" s="1" t="s">
        <v>2822</v>
      </c>
      <c r="E1052" s="1" t="s">
        <v>2855</v>
      </c>
      <c r="F1052" s="1" t="s">
        <v>2856</v>
      </c>
      <c r="G1052" s="1" t="s">
        <v>2857</v>
      </c>
      <c r="H1052" s="1" t="s">
        <v>18</v>
      </c>
    </row>
    <row r="1053" spans="1:8">
      <c r="A1053" s="1">
        <v>1052</v>
      </c>
      <c r="B1053" s="1" t="s">
        <v>2821</v>
      </c>
      <c r="C1053" s="1" t="s">
        <v>896</v>
      </c>
      <c r="D1053" s="1" t="s">
        <v>2822</v>
      </c>
      <c r="E1053" s="1" t="s">
        <v>2858</v>
      </c>
      <c r="F1053" s="1" t="s">
        <v>2643</v>
      </c>
      <c r="G1053" s="1" t="s">
        <v>2644</v>
      </c>
      <c r="H1053" s="1" t="s">
        <v>18</v>
      </c>
    </row>
    <row r="1054" spans="1:8">
      <c r="A1054" s="1">
        <v>1053</v>
      </c>
      <c r="B1054" s="1" t="s">
        <v>2821</v>
      </c>
      <c r="C1054" s="1" t="s">
        <v>900</v>
      </c>
      <c r="D1054" s="1" t="s">
        <v>2822</v>
      </c>
      <c r="E1054" s="1" t="s">
        <v>2859</v>
      </c>
      <c r="F1054" s="1" t="s">
        <v>2521</v>
      </c>
      <c r="G1054" s="1" t="s">
        <v>2522</v>
      </c>
      <c r="H1054" s="1" t="s">
        <v>18</v>
      </c>
    </row>
    <row r="1055" spans="1:8">
      <c r="A1055" s="1">
        <v>1054</v>
      </c>
      <c r="B1055" s="1" t="s">
        <v>2821</v>
      </c>
      <c r="C1055" s="1" t="s">
        <v>904</v>
      </c>
      <c r="D1055" s="1" t="s">
        <v>2822</v>
      </c>
      <c r="E1055" s="1" t="s">
        <v>2860</v>
      </c>
      <c r="F1055" s="1" t="s">
        <v>2500</v>
      </c>
      <c r="G1055" s="1" t="s">
        <v>2501</v>
      </c>
      <c r="H1055" s="1" t="s">
        <v>18</v>
      </c>
    </row>
    <row r="1056" spans="1:8">
      <c r="A1056" s="1">
        <v>1055</v>
      </c>
      <c r="B1056" s="1" t="s">
        <v>2821</v>
      </c>
      <c r="C1056" s="1" t="s">
        <v>908</v>
      </c>
      <c r="D1056" s="1" t="s">
        <v>2822</v>
      </c>
      <c r="E1056" s="1" t="s">
        <v>2861</v>
      </c>
      <c r="F1056" s="1" t="s">
        <v>2862</v>
      </c>
      <c r="G1056" s="1" t="s">
        <v>2863</v>
      </c>
      <c r="H1056" s="1" t="s">
        <v>18</v>
      </c>
    </row>
    <row r="1057" spans="1:8">
      <c r="A1057" s="1">
        <v>1056</v>
      </c>
      <c r="B1057" s="1" t="s">
        <v>2821</v>
      </c>
      <c r="C1057" s="1" t="s">
        <v>912</v>
      </c>
      <c r="D1057" s="1" t="s">
        <v>2822</v>
      </c>
      <c r="E1057" s="1" t="s">
        <v>2864</v>
      </c>
      <c r="F1057" s="1" t="s">
        <v>2649</v>
      </c>
      <c r="G1057" s="1" t="s">
        <v>2650</v>
      </c>
      <c r="H1057" s="1" t="s">
        <v>18</v>
      </c>
    </row>
    <row r="1058" spans="1:8">
      <c r="A1058" s="1">
        <v>1057</v>
      </c>
      <c r="B1058" s="1" t="s">
        <v>2821</v>
      </c>
      <c r="C1058" s="1" t="s">
        <v>916</v>
      </c>
      <c r="D1058" s="1" t="s">
        <v>2822</v>
      </c>
      <c r="E1058" s="1" t="s">
        <v>2865</v>
      </c>
      <c r="F1058" s="1" t="s">
        <v>2653</v>
      </c>
      <c r="G1058" s="1" t="s">
        <v>2654</v>
      </c>
      <c r="H1058" s="1" t="s">
        <v>18</v>
      </c>
    </row>
    <row r="1059" spans="1:8">
      <c r="A1059" s="1">
        <v>1058</v>
      </c>
      <c r="B1059" s="1" t="s">
        <v>2821</v>
      </c>
      <c r="C1059" s="1" t="s">
        <v>919</v>
      </c>
      <c r="D1059" s="1" t="s">
        <v>2822</v>
      </c>
      <c r="E1059" s="1" t="s">
        <v>2866</v>
      </c>
      <c r="F1059" s="1" t="s">
        <v>2247</v>
      </c>
      <c r="G1059" s="1" t="s">
        <v>2248</v>
      </c>
      <c r="H1059" s="1" t="s">
        <v>18</v>
      </c>
    </row>
    <row r="1060" spans="1:8">
      <c r="A1060" s="1">
        <v>1059</v>
      </c>
      <c r="B1060" s="1" t="s">
        <v>2821</v>
      </c>
      <c r="C1060" s="1" t="s">
        <v>923</v>
      </c>
      <c r="D1060" s="1" t="s">
        <v>2822</v>
      </c>
      <c r="E1060" s="1" t="s">
        <v>2867</v>
      </c>
      <c r="F1060" s="1" t="s">
        <v>2251</v>
      </c>
      <c r="G1060" s="1" t="s">
        <v>2252</v>
      </c>
      <c r="H1060" s="1" t="s">
        <v>18</v>
      </c>
    </row>
    <row r="1061" spans="1:8">
      <c r="A1061" s="1">
        <v>1060</v>
      </c>
      <c r="B1061" s="1" t="s">
        <v>2821</v>
      </c>
      <c r="C1061" s="1" t="s">
        <v>927</v>
      </c>
      <c r="D1061" s="1" t="s">
        <v>2822</v>
      </c>
      <c r="E1061" s="1" t="s">
        <v>2868</v>
      </c>
      <c r="F1061" s="1" t="s">
        <v>2255</v>
      </c>
      <c r="G1061" s="1" t="s">
        <v>2256</v>
      </c>
      <c r="H1061" s="1" t="s">
        <v>18</v>
      </c>
    </row>
    <row r="1062" spans="1:8">
      <c r="A1062" s="1">
        <v>1061</v>
      </c>
      <c r="B1062" s="1" t="s">
        <v>2821</v>
      </c>
      <c r="C1062" s="1" t="s">
        <v>931</v>
      </c>
      <c r="D1062" s="1" t="s">
        <v>2822</v>
      </c>
      <c r="E1062" s="1" t="s">
        <v>2869</v>
      </c>
      <c r="F1062" s="1" t="s">
        <v>2259</v>
      </c>
      <c r="G1062" s="1" t="s">
        <v>2260</v>
      </c>
      <c r="H1062" s="1" t="s">
        <v>18</v>
      </c>
    </row>
    <row r="1063" spans="1:8">
      <c r="A1063" s="1">
        <v>1062</v>
      </c>
      <c r="B1063" s="1" t="s">
        <v>2821</v>
      </c>
      <c r="C1063" s="1" t="s">
        <v>935</v>
      </c>
      <c r="D1063" s="1" t="s">
        <v>2822</v>
      </c>
      <c r="E1063" s="1" t="s">
        <v>2870</v>
      </c>
      <c r="F1063" s="1" t="s">
        <v>2263</v>
      </c>
      <c r="G1063" s="1" t="s">
        <v>2264</v>
      </c>
      <c r="H1063" s="1" t="s">
        <v>18</v>
      </c>
    </row>
    <row r="1064" spans="1:8">
      <c r="A1064" s="1">
        <v>1063</v>
      </c>
      <c r="B1064" s="1" t="s">
        <v>2821</v>
      </c>
      <c r="C1064" s="1" t="s">
        <v>939</v>
      </c>
      <c r="D1064" s="1" t="s">
        <v>2822</v>
      </c>
      <c r="E1064" s="1" t="s">
        <v>2871</v>
      </c>
      <c r="F1064" s="1" t="s">
        <v>2267</v>
      </c>
      <c r="G1064" s="1" t="s">
        <v>2268</v>
      </c>
      <c r="H1064" s="1" t="s">
        <v>18</v>
      </c>
    </row>
    <row r="1065" spans="1:8">
      <c r="A1065" s="1">
        <v>1064</v>
      </c>
      <c r="B1065" s="1" t="s">
        <v>2872</v>
      </c>
      <c r="C1065" s="1" t="s">
        <v>131</v>
      </c>
      <c r="D1065" s="1" t="s">
        <v>2873</v>
      </c>
      <c r="E1065" s="1" t="s">
        <v>2874</v>
      </c>
      <c r="F1065" s="1" t="s">
        <v>12</v>
      </c>
      <c r="G1065" s="1" t="s">
        <v>13</v>
      </c>
      <c r="H1065" s="1" t="s">
        <v>18</v>
      </c>
    </row>
    <row r="1066" spans="1:8">
      <c r="A1066" s="1">
        <v>1065</v>
      </c>
      <c r="B1066" s="1" t="s">
        <v>2872</v>
      </c>
      <c r="C1066" s="1" t="s">
        <v>136</v>
      </c>
      <c r="D1066" s="1" t="s">
        <v>2873</v>
      </c>
      <c r="E1066" s="1" t="s">
        <v>2875</v>
      </c>
      <c r="F1066" s="1" t="s">
        <v>16</v>
      </c>
      <c r="G1066" s="1" t="s">
        <v>17</v>
      </c>
      <c r="H1066" s="1" t="s">
        <v>18</v>
      </c>
    </row>
    <row r="1067" spans="1:8">
      <c r="A1067" s="1">
        <v>1066</v>
      </c>
      <c r="B1067" s="1" t="s">
        <v>2872</v>
      </c>
      <c r="C1067" s="1" t="s">
        <v>138</v>
      </c>
      <c r="D1067" s="1" t="s">
        <v>2873</v>
      </c>
      <c r="E1067" s="1" t="s">
        <v>2876</v>
      </c>
      <c r="F1067" s="1" t="s">
        <v>21</v>
      </c>
      <c r="G1067" s="1" t="s">
        <v>22</v>
      </c>
      <c r="H1067" s="1" t="s">
        <v>18</v>
      </c>
    </row>
    <row r="1068" spans="1:8">
      <c r="A1068" s="1">
        <v>1067</v>
      </c>
      <c r="B1068" s="1" t="s">
        <v>2872</v>
      </c>
      <c r="C1068" s="1" t="s">
        <v>140</v>
      </c>
      <c r="D1068" s="1" t="s">
        <v>2873</v>
      </c>
      <c r="E1068" s="1" t="s">
        <v>2877</v>
      </c>
      <c r="F1068" s="1" t="s">
        <v>25</v>
      </c>
      <c r="G1068" s="1" t="s">
        <v>26</v>
      </c>
      <c r="H1068" s="1" t="s">
        <v>18</v>
      </c>
    </row>
    <row r="1069" spans="1:8">
      <c r="A1069" s="1">
        <v>1068</v>
      </c>
      <c r="B1069" s="1" t="s">
        <v>2872</v>
      </c>
      <c r="C1069" s="1" t="s">
        <v>142</v>
      </c>
      <c r="D1069" s="1" t="s">
        <v>2873</v>
      </c>
      <c r="E1069" s="1" t="s">
        <v>2878</v>
      </c>
      <c r="F1069" s="1" t="s">
        <v>37</v>
      </c>
      <c r="G1069" s="1" t="s">
        <v>38</v>
      </c>
      <c r="H1069" s="1" t="s">
        <v>18</v>
      </c>
    </row>
    <row r="1070" spans="1:8">
      <c r="A1070" s="1">
        <v>1069</v>
      </c>
      <c r="B1070" s="1" t="s">
        <v>2872</v>
      </c>
      <c r="C1070" s="1" t="s">
        <v>144</v>
      </c>
      <c r="D1070" s="1" t="s">
        <v>2873</v>
      </c>
      <c r="E1070" s="1" t="s">
        <v>2879</v>
      </c>
      <c r="F1070" s="1" t="s">
        <v>41</v>
      </c>
      <c r="G1070" s="1" t="s">
        <v>42</v>
      </c>
      <c r="H1070" s="1" t="s">
        <v>18</v>
      </c>
    </row>
    <row r="1071" spans="1:8">
      <c r="A1071" s="1">
        <v>1070</v>
      </c>
      <c r="B1071" s="1" t="s">
        <v>2872</v>
      </c>
      <c r="C1071" s="1" t="s">
        <v>146</v>
      </c>
      <c r="D1071" s="1" t="s">
        <v>2873</v>
      </c>
      <c r="E1071" s="1" t="s">
        <v>2880</v>
      </c>
      <c r="F1071" s="1" t="s">
        <v>1677</v>
      </c>
      <c r="G1071" s="1" t="s">
        <v>1678</v>
      </c>
      <c r="H1071" s="1" t="s">
        <v>18</v>
      </c>
    </row>
    <row r="1072" spans="1:8">
      <c r="A1072" s="1">
        <v>1071</v>
      </c>
      <c r="B1072" s="1" t="s">
        <v>2872</v>
      </c>
      <c r="C1072" s="1" t="s">
        <v>148</v>
      </c>
      <c r="D1072" s="1" t="s">
        <v>2873</v>
      </c>
      <c r="E1072" s="1" t="s">
        <v>2881</v>
      </c>
      <c r="F1072" s="1" t="s">
        <v>33</v>
      </c>
      <c r="G1072" s="1" t="s">
        <v>34</v>
      </c>
      <c r="H1072" s="1" t="s">
        <v>18</v>
      </c>
    </row>
    <row r="1073" spans="1:8">
      <c r="A1073" s="1">
        <v>1072</v>
      </c>
      <c r="B1073" s="1" t="s">
        <v>2872</v>
      </c>
      <c r="C1073" s="1" t="s">
        <v>150</v>
      </c>
      <c r="D1073" s="1" t="s">
        <v>2873</v>
      </c>
      <c r="E1073" s="1" t="s">
        <v>2882</v>
      </c>
      <c r="F1073" s="1" t="s">
        <v>29</v>
      </c>
      <c r="G1073" s="1" t="s">
        <v>30</v>
      </c>
      <c r="H1073" s="1" t="s">
        <v>18</v>
      </c>
    </row>
    <row r="1074" spans="1:8">
      <c r="A1074" s="1">
        <v>1073</v>
      </c>
      <c r="B1074" s="1" t="s">
        <v>2872</v>
      </c>
      <c r="C1074" s="1" t="s">
        <v>152</v>
      </c>
      <c r="D1074" s="1" t="s">
        <v>2873</v>
      </c>
      <c r="E1074" s="1" t="s">
        <v>2883</v>
      </c>
      <c r="F1074" s="1" t="s">
        <v>1680</v>
      </c>
      <c r="G1074" s="1" t="s">
        <v>1681</v>
      </c>
      <c r="H1074" s="1" t="s">
        <v>18</v>
      </c>
    </row>
    <row r="1075" spans="1:8">
      <c r="A1075" s="1">
        <v>1074</v>
      </c>
      <c r="B1075" s="1" t="s">
        <v>2884</v>
      </c>
      <c r="C1075" s="1" t="s">
        <v>251</v>
      </c>
      <c r="D1075" s="1" t="s">
        <v>2885</v>
      </c>
      <c r="E1075" s="1" t="s">
        <v>2886</v>
      </c>
      <c r="F1075" s="1" t="s">
        <v>12</v>
      </c>
      <c r="G1075" s="1" t="s">
        <v>13</v>
      </c>
      <c r="H1075" s="1" t="s">
        <v>18</v>
      </c>
    </row>
    <row r="1076" spans="1:8">
      <c r="A1076" s="1">
        <v>1075</v>
      </c>
      <c r="B1076" s="1" t="s">
        <v>2884</v>
      </c>
      <c r="C1076" s="1" t="s">
        <v>254</v>
      </c>
      <c r="D1076" s="1" t="s">
        <v>2885</v>
      </c>
      <c r="E1076" s="1" t="s">
        <v>2887</v>
      </c>
      <c r="F1076" s="1" t="s">
        <v>16</v>
      </c>
      <c r="G1076" s="1" t="s">
        <v>17</v>
      </c>
      <c r="H1076" s="1" t="s">
        <v>18</v>
      </c>
    </row>
    <row r="1077" spans="1:8">
      <c r="A1077" s="1">
        <v>1076</v>
      </c>
      <c r="B1077" s="1" t="s">
        <v>2884</v>
      </c>
      <c r="C1077" s="1" t="s">
        <v>256</v>
      </c>
      <c r="D1077" s="1" t="s">
        <v>2885</v>
      </c>
      <c r="E1077" s="1" t="s">
        <v>2888</v>
      </c>
      <c r="F1077" s="1" t="s">
        <v>21</v>
      </c>
      <c r="G1077" s="1" t="s">
        <v>22</v>
      </c>
      <c r="H1077" s="1" t="s">
        <v>18</v>
      </c>
    </row>
    <row r="1078" spans="1:8">
      <c r="A1078" s="1">
        <v>1077</v>
      </c>
      <c r="B1078" s="1" t="s">
        <v>2884</v>
      </c>
      <c r="C1078" s="1" t="s">
        <v>260</v>
      </c>
      <c r="D1078" s="1" t="s">
        <v>2885</v>
      </c>
      <c r="E1078" s="1" t="s">
        <v>2889</v>
      </c>
      <c r="F1078" s="1" t="s">
        <v>37</v>
      </c>
      <c r="G1078" s="1" t="s">
        <v>38</v>
      </c>
      <c r="H1078" s="1" t="s">
        <v>18</v>
      </c>
    </row>
    <row r="1079" spans="1:8">
      <c r="A1079" s="1">
        <v>1078</v>
      </c>
      <c r="B1079" s="1" t="s">
        <v>2884</v>
      </c>
      <c r="C1079" s="1" t="s">
        <v>262</v>
      </c>
      <c r="D1079" s="1" t="s">
        <v>2885</v>
      </c>
      <c r="E1079" s="1" t="s">
        <v>2890</v>
      </c>
      <c r="F1079" s="1" t="s">
        <v>41</v>
      </c>
      <c r="G1079" s="1" t="s">
        <v>42</v>
      </c>
      <c r="H1079" s="1" t="s">
        <v>18</v>
      </c>
    </row>
    <row r="1080" spans="1:8">
      <c r="A1080" s="1">
        <v>1079</v>
      </c>
      <c r="B1080" s="1" t="s">
        <v>2884</v>
      </c>
      <c r="C1080" s="1" t="s">
        <v>264</v>
      </c>
      <c r="D1080" s="1" t="s">
        <v>2885</v>
      </c>
      <c r="E1080" s="1" t="s">
        <v>2891</v>
      </c>
      <c r="F1080" s="1" t="s">
        <v>29</v>
      </c>
      <c r="G1080" s="1" t="s">
        <v>30</v>
      </c>
      <c r="H1080" s="1" t="s">
        <v>18</v>
      </c>
    </row>
    <row r="1081" spans="1:8">
      <c r="A1081" s="1">
        <v>1080</v>
      </c>
      <c r="B1081" s="1" t="s">
        <v>2892</v>
      </c>
      <c r="C1081" s="1" t="s">
        <v>452</v>
      </c>
      <c r="D1081" s="1" t="s">
        <v>2893</v>
      </c>
      <c r="E1081" s="1" t="s">
        <v>2894</v>
      </c>
      <c r="F1081" s="1" t="s">
        <v>12</v>
      </c>
      <c r="G1081" s="1" t="s">
        <v>13</v>
      </c>
      <c r="H1081" s="1" t="s">
        <v>18</v>
      </c>
    </row>
    <row r="1082" spans="1:8">
      <c r="A1082" s="1">
        <v>1081</v>
      </c>
      <c r="B1082" s="1" t="s">
        <v>2892</v>
      </c>
      <c r="C1082" s="1" t="s">
        <v>457</v>
      </c>
      <c r="D1082" s="1" t="s">
        <v>2893</v>
      </c>
      <c r="E1082" s="1" t="s">
        <v>2895</v>
      </c>
      <c r="F1082" s="1" t="s">
        <v>16</v>
      </c>
      <c r="G1082" s="1" t="s">
        <v>17</v>
      </c>
      <c r="H1082" s="1" t="s">
        <v>18</v>
      </c>
    </row>
    <row r="1083" spans="1:8">
      <c r="A1083" s="1">
        <v>1082</v>
      </c>
      <c r="B1083" s="1" t="s">
        <v>2892</v>
      </c>
      <c r="C1083" s="1" t="s">
        <v>461</v>
      </c>
      <c r="D1083" s="1" t="s">
        <v>2893</v>
      </c>
      <c r="E1083" s="1" t="s">
        <v>2896</v>
      </c>
      <c r="F1083" s="1" t="s">
        <v>21</v>
      </c>
      <c r="G1083" s="1" t="s">
        <v>22</v>
      </c>
      <c r="H1083" s="1" t="s">
        <v>18</v>
      </c>
    </row>
    <row r="1084" spans="1:8">
      <c r="A1084" s="1">
        <v>1083</v>
      </c>
      <c r="B1084" s="1" t="s">
        <v>2892</v>
      </c>
      <c r="C1084" s="1" t="s">
        <v>465</v>
      </c>
      <c r="D1084" s="1" t="s">
        <v>2893</v>
      </c>
      <c r="E1084" s="1" t="s">
        <v>2897</v>
      </c>
      <c r="F1084" s="1" t="s">
        <v>25</v>
      </c>
      <c r="G1084" s="1" t="s">
        <v>26</v>
      </c>
      <c r="H1084" s="1" t="s">
        <v>18</v>
      </c>
    </row>
    <row r="1085" spans="1:8">
      <c r="A1085" s="1">
        <v>1084</v>
      </c>
      <c r="B1085" s="1" t="s">
        <v>2892</v>
      </c>
      <c r="C1085" s="1" t="s">
        <v>469</v>
      </c>
      <c r="D1085" s="1" t="s">
        <v>2893</v>
      </c>
      <c r="E1085" s="1" t="s">
        <v>2898</v>
      </c>
      <c r="F1085" s="1" t="s">
        <v>1853</v>
      </c>
      <c r="G1085" s="1" t="s">
        <v>1854</v>
      </c>
      <c r="H1085" s="1" t="s">
        <v>18</v>
      </c>
    </row>
    <row r="1086" spans="1:8">
      <c r="A1086" s="1">
        <v>1085</v>
      </c>
      <c r="B1086" s="1" t="s">
        <v>2892</v>
      </c>
      <c r="C1086" s="1" t="s">
        <v>473</v>
      </c>
      <c r="D1086" s="1" t="s">
        <v>2893</v>
      </c>
      <c r="E1086" s="1" t="s">
        <v>2899</v>
      </c>
      <c r="F1086" s="1" t="s">
        <v>37</v>
      </c>
      <c r="G1086" s="1" t="s">
        <v>38</v>
      </c>
      <c r="H1086" s="1" t="s">
        <v>18</v>
      </c>
    </row>
    <row r="1087" spans="1:8">
      <c r="A1087" s="1">
        <v>1086</v>
      </c>
      <c r="B1087" s="1" t="s">
        <v>2892</v>
      </c>
      <c r="C1087" s="1" t="s">
        <v>477</v>
      </c>
      <c r="D1087" s="1" t="s">
        <v>2893</v>
      </c>
      <c r="E1087" s="1" t="s">
        <v>2900</v>
      </c>
      <c r="F1087" s="1" t="s">
        <v>41</v>
      </c>
      <c r="G1087" s="1" t="s">
        <v>42</v>
      </c>
      <c r="H1087" s="1" t="s">
        <v>18</v>
      </c>
    </row>
    <row r="1088" spans="1:8">
      <c r="A1088" s="1">
        <v>1087</v>
      </c>
      <c r="B1088" s="1" t="s">
        <v>2892</v>
      </c>
      <c r="C1088" s="1" t="s">
        <v>481</v>
      </c>
      <c r="D1088" s="1" t="s">
        <v>2893</v>
      </c>
      <c r="E1088" s="1" t="s">
        <v>2901</v>
      </c>
      <c r="F1088" s="1" t="s">
        <v>2902</v>
      </c>
      <c r="G1088" s="1" t="s">
        <v>2903</v>
      </c>
      <c r="H1088" s="1" t="s">
        <v>18</v>
      </c>
    </row>
    <row r="1089" spans="1:8">
      <c r="A1089" s="1">
        <v>1088</v>
      </c>
      <c r="B1089" s="1" t="s">
        <v>2892</v>
      </c>
      <c r="C1089" s="1" t="s">
        <v>485</v>
      </c>
      <c r="D1089" s="1" t="s">
        <v>2893</v>
      </c>
      <c r="E1089" s="1" t="s">
        <v>2904</v>
      </c>
      <c r="F1089" s="1" t="s">
        <v>2905</v>
      </c>
      <c r="G1089" s="1" t="s">
        <v>2906</v>
      </c>
      <c r="H1089" s="1" t="s">
        <v>18</v>
      </c>
    </row>
    <row r="1090" spans="1:8">
      <c r="A1090" s="1">
        <v>1089</v>
      </c>
      <c r="B1090" s="1" t="s">
        <v>2892</v>
      </c>
      <c r="C1090" s="1" t="s">
        <v>489</v>
      </c>
      <c r="D1090" s="1" t="s">
        <v>2893</v>
      </c>
      <c r="E1090" s="1" t="s">
        <v>2907</v>
      </c>
      <c r="F1090" s="1" t="s">
        <v>2908</v>
      </c>
      <c r="G1090" s="1" t="s">
        <v>2909</v>
      </c>
      <c r="H1090" s="1" t="s">
        <v>18</v>
      </c>
    </row>
    <row r="1091" spans="1:8">
      <c r="A1091" s="1">
        <v>1090</v>
      </c>
      <c r="B1091" s="1" t="s">
        <v>2892</v>
      </c>
      <c r="C1091" s="1" t="s">
        <v>493</v>
      </c>
      <c r="D1091" s="1" t="s">
        <v>2893</v>
      </c>
      <c r="E1091" s="1" t="s">
        <v>2910</v>
      </c>
      <c r="F1091" s="1" t="s">
        <v>1677</v>
      </c>
      <c r="G1091" s="1" t="s">
        <v>1678</v>
      </c>
      <c r="H1091" s="1" t="s">
        <v>18</v>
      </c>
    </row>
    <row r="1092" spans="1:8">
      <c r="A1092" s="1">
        <v>1091</v>
      </c>
      <c r="B1092" s="1" t="s">
        <v>2892</v>
      </c>
      <c r="C1092" s="1" t="s">
        <v>497</v>
      </c>
      <c r="D1092" s="1" t="s">
        <v>2893</v>
      </c>
      <c r="E1092" s="1" t="s">
        <v>2911</v>
      </c>
      <c r="F1092" s="1" t="s">
        <v>33</v>
      </c>
      <c r="G1092" s="1" t="s">
        <v>34</v>
      </c>
      <c r="H1092" s="1" t="s">
        <v>18</v>
      </c>
    </row>
    <row r="1093" spans="1:8">
      <c r="A1093" s="1">
        <v>1092</v>
      </c>
      <c r="B1093" s="1" t="s">
        <v>2892</v>
      </c>
      <c r="C1093" s="1" t="s">
        <v>501</v>
      </c>
      <c r="D1093" s="1" t="s">
        <v>2893</v>
      </c>
      <c r="E1093" s="1" t="s">
        <v>2912</v>
      </c>
      <c r="F1093" s="1" t="s">
        <v>29</v>
      </c>
      <c r="G1093" s="1" t="s">
        <v>30</v>
      </c>
      <c r="H1093" s="1" t="s">
        <v>18</v>
      </c>
    </row>
    <row r="1094" spans="1:8">
      <c r="A1094" s="1">
        <v>1093</v>
      </c>
      <c r="B1094" s="1" t="s">
        <v>2892</v>
      </c>
      <c r="C1094" s="1" t="s">
        <v>505</v>
      </c>
      <c r="D1094" s="1" t="s">
        <v>2893</v>
      </c>
      <c r="E1094" s="1" t="s">
        <v>2913</v>
      </c>
      <c r="F1094" s="1" t="s">
        <v>1680</v>
      </c>
      <c r="G1094" s="1" t="s">
        <v>1681</v>
      </c>
      <c r="H1094" s="1" t="s">
        <v>18</v>
      </c>
    </row>
    <row r="1095" spans="1:8">
      <c r="A1095" s="1">
        <v>1094</v>
      </c>
      <c r="B1095" s="1" t="s">
        <v>2914</v>
      </c>
      <c r="C1095" s="1" t="s">
        <v>9</v>
      </c>
      <c r="D1095" s="1" t="s">
        <v>2915</v>
      </c>
      <c r="E1095" s="1" t="s">
        <v>2916</v>
      </c>
      <c r="F1095" s="1" t="s">
        <v>12</v>
      </c>
      <c r="G1095" s="1" t="s">
        <v>13</v>
      </c>
      <c r="H1095" s="1" t="s">
        <v>18</v>
      </c>
    </row>
    <row r="1096" spans="1:8">
      <c r="A1096" s="1">
        <v>1095</v>
      </c>
      <c r="B1096" s="1" t="s">
        <v>2914</v>
      </c>
      <c r="C1096" s="1" t="s">
        <v>14</v>
      </c>
      <c r="D1096" s="1" t="s">
        <v>2915</v>
      </c>
      <c r="E1096" s="1" t="s">
        <v>2917</v>
      </c>
      <c r="F1096" s="1" t="s">
        <v>16</v>
      </c>
      <c r="G1096" s="1" t="s">
        <v>17</v>
      </c>
      <c r="H1096" s="1" t="s">
        <v>18</v>
      </c>
    </row>
    <row r="1097" spans="1:8">
      <c r="A1097" s="1">
        <v>1096</v>
      </c>
      <c r="B1097" s="1" t="s">
        <v>2914</v>
      </c>
      <c r="C1097" s="1" t="s">
        <v>19</v>
      </c>
      <c r="D1097" s="1" t="s">
        <v>2915</v>
      </c>
      <c r="E1097" s="1" t="s">
        <v>2918</v>
      </c>
      <c r="F1097" s="1" t="s">
        <v>21</v>
      </c>
      <c r="G1097" s="1" t="s">
        <v>22</v>
      </c>
      <c r="H1097" s="1" t="s">
        <v>18</v>
      </c>
    </row>
    <row r="1098" spans="1:8">
      <c r="A1098" s="1">
        <v>1097</v>
      </c>
      <c r="B1098" s="1" t="s">
        <v>2914</v>
      </c>
      <c r="C1098" s="1" t="s">
        <v>23</v>
      </c>
      <c r="D1098" s="1" t="s">
        <v>2915</v>
      </c>
      <c r="E1098" s="1" t="s">
        <v>2919</v>
      </c>
      <c r="F1098" s="1" t="s">
        <v>25</v>
      </c>
      <c r="G1098" s="1" t="s">
        <v>26</v>
      </c>
      <c r="H1098" s="1" t="s">
        <v>18</v>
      </c>
    </row>
    <row r="1099" spans="1:8">
      <c r="A1099" s="1">
        <v>1098</v>
      </c>
      <c r="B1099" s="1" t="s">
        <v>2914</v>
      </c>
      <c r="C1099" s="1" t="s">
        <v>27</v>
      </c>
      <c r="D1099" s="1" t="s">
        <v>2915</v>
      </c>
      <c r="E1099" s="1" t="s">
        <v>2920</v>
      </c>
      <c r="F1099" s="1" t="s">
        <v>1853</v>
      </c>
      <c r="G1099" s="1" t="s">
        <v>1854</v>
      </c>
      <c r="H1099" s="1" t="s">
        <v>18</v>
      </c>
    </row>
    <row r="1100" spans="1:8">
      <c r="A1100" s="1">
        <v>1099</v>
      </c>
      <c r="B1100" s="1" t="s">
        <v>2914</v>
      </c>
      <c r="C1100" s="1" t="s">
        <v>31</v>
      </c>
      <c r="D1100" s="1" t="s">
        <v>2915</v>
      </c>
      <c r="E1100" s="1" t="s">
        <v>2921</v>
      </c>
      <c r="F1100" s="1" t="s">
        <v>37</v>
      </c>
      <c r="G1100" s="1" t="s">
        <v>38</v>
      </c>
      <c r="H1100" s="1" t="s">
        <v>18</v>
      </c>
    </row>
    <row r="1101" spans="1:8">
      <c r="A1101" s="1">
        <v>1100</v>
      </c>
      <c r="B1101" s="1" t="s">
        <v>2914</v>
      </c>
      <c r="C1101" s="1" t="s">
        <v>35</v>
      </c>
      <c r="D1101" s="1" t="s">
        <v>2915</v>
      </c>
      <c r="E1101" s="1" t="s">
        <v>2922</v>
      </c>
      <c r="F1101" s="1" t="s">
        <v>41</v>
      </c>
      <c r="G1101" s="1" t="s">
        <v>42</v>
      </c>
      <c r="H1101" s="1" t="s">
        <v>18</v>
      </c>
    </row>
    <row r="1102" spans="1:8">
      <c r="A1102" s="1">
        <v>1101</v>
      </c>
      <c r="B1102" s="1" t="s">
        <v>2914</v>
      </c>
      <c r="C1102" s="1" t="s">
        <v>39</v>
      </c>
      <c r="D1102" s="1" t="s">
        <v>2915</v>
      </c>
      <c r="E1102" s="1" t="s">
        <v>2923</v>
      </c>
      <c r="F1102" s="1" t="s">
        <v>29</v>
      </c>
      <c r="G1102" s="1" t="s">
        <v>30</v>
      </c>
      <c r="H1102" s="1" t="s">
        <v>18</v>
      </c>
    </row>
    <row r="1103" spans="1:8">
      <c r="A1103" s="1">
        <v>1102</v>
      </c>
      <c r="B1103" s="1" t="s">
        <v>2924</v>
      </c>
      <c r="C1103" s="1" t="s">
        <v>93</v>
      </c>
      <c r="D1103" s="1" t="s">
        <v>2925</v>
      </c>
      <c r="E1103" s="1" t="s">
        <v>2926</v>
      </c>
      <c r="F1103" s="1" t="s">
        <v>12</v>
      </c>
      <c r="G1103" s="1" t="s">
        <v>13</v>
      </c>
      <c r="H1103" s="1" t="s">
        <v>18</v>
      </c>
    </row>
    <row r="1104" spans="1:8">
      <c r="A1104" s="1">
        <v>1103</v>
      </c>
      <c r="B1104" s="1" t="s">
        <v>2924</v>
      </c>
      <c r="C1104" s="1" t="s">
        <v>98</v>
      </c>
      <c r="D1104" s="1" t="s">
        <v>2925</v>
      </c>
      <c r="E1104" s="1" t="s">
        <v>2927</v>
      </c>
      <c r="F1104" s="1" t="s">
        <v>16</v>
      </c>
      <c r="G1104" s="1" t="s">
        <v>17</v>
      </c>
      <c r="H1104" s="1" t="s">
        <v>18</v>
      </c>
    </row>
    <row r="1105" spans="1:8">
      <c r="A1105" s="1">
        <v>1104</v>
      </c>
      <c r="B1105" s="1" t="s">
        <v>2924</v>
      </c>
      <c r="C1105" s="1" t="s">
        <v>102</v>
      </c>
      <c r="D1105" s="1" t="s">
        <v>2925</v>
      </c>
      <c r="E1105" s="1" t="s">
        <v>2928</v>
      </c>
      <c r="F1105" s="1" t="s">
        <v>21</v>
      </c>
      <c r="G1105" s="1" t="s">
        <v>22</v>
      </c>
      <c r="H1105" s="1" t="s">
        <v>18</v>
      </c>
    </row>
    <row r="1106" spans="1:8">
      <c r="A1106" s="1">
        <v>1105</v>
      </c>
      <c r="B1106" s="1" t="s">
        <v>2924</v>
      </c>
      <c r="C1106" s="1" t="s">
        <v>106</v>
      </c>
      <c r="D1106" s="1" t="s">
        <v>2925</v>
      </c>
      <c r="E1106" s="1" t="s">
        <v>2929</v>
      </c>
      <c r="F1106" s="1" t="s">
        <v>1853</v>
      </c>
      <c r="G1106" s="1" t="s">
        <v>1854</v>
      </c>
      <c r="H1106" s="1" t="s">
        <v>18</v>
      </c>
    </row>
    <row r="1107" spans="1:8">
      <c r="A1107" s="1">
        <v>1106</v>
      </c>
      <c r="B1107" s="1" t="s">
        <v>2924</v>
      </c>
      <c r="C1107" s="1" t="s">
        <v>110</v>
      </c>
      <c r="D1107" s="1" t="s">
        <v>2925</v>
      </c>
      <c r="E1107" s="1" t="s">
        <v>2930</v>
      </c>
      <c r="F1107" s="1" t="s">
        <v>37</v>
      </c>
      <c r="G1107" s="1" t="s">
        <v>38</v>
      </c>
      <c r="H1107" s="1" t="s">
        <v>18</v>
      </c>
    </row>
    <row r="1108" spans="1:8">
      <c r="A1108" s="1">
        <v>1107</v>
      </c>
      <c r="B1108" s="1" t="s">
        <v>2924</v>
      </c>
      <c r="C1108" s="1" t="s">
        <v>114</v>
      </c>
      <c r="D1108" s="1" t="s">
        <v>2925</v>
      </c>
      <c r="E1108" s="1" t="s">
        <v>2931</v>
      </c>
      <c r="F1108" s="1" t="s">
        <v>41</v>
      </c>
      <c r="G1108" s="1" t="s">
        <v>42</v>
      </c>
      <c r="H1108" s="1" t="s">
        <v>18</v>
      </c>
    </row>
    <row r="1109" spans="1:8">
      <c r="A1109" s="1">
        <v>1108</v>
      </c>
      <c r="B1109" s="1" t="s">
        <v>2924</v>
      </c>
      <c r="C1109" s="1" t="s">
        <v>118</v>
      </c>
      <c r="D1109" s="1" t="s">
        <v>2925</v>
      </c>
      <c r="E1109" s="1" t="s">
        <v>2932</v>
      </c>
      <c r="F1109" s="1" t="s">
        <v>1677</v>
      </c>
      <c r="G1109" s="1" t="s">
        <v>1678</v>
      </c>
      <c r="H1109" s="1" t="s">
        <v>18</v>
      </c>
    </row>
    <row r="1110" spans="1:8">
      <c r="A1110" s="1">
        <v>1109</v>
      </c>
      <c r="B1110" s="1" t="s">
        <v>2924</v>
      </c>
      <c r="C1110" s="1" t="s">
        <v>122</v>
      </c>
      <c r="D1110" s="1" t="s">
        <v>2925</v>
      </c>
      <c r="E1110" s="1" t="s">
        <v>2933</v>
      </c>
      <c r="F1110" s="1" t="s">
        <v>29</v>
      </c>
      <c r="G1110" s="1" t="s">
        <v>30</v>
      </c>
      <c r="H1110" s="1" t="s">
        <v>18</v>
      </c>
    </row>
    <row r="1111" spans="1:8">
      <c r="A1111" s="1">
        <v>1110</v>
      </c>
      <c r="B1111" s="1" t="s">
        <v>2924</v>
      </c>
      <c r="C1111" s="1" t="s">
        <v>126</v>
      </c>
      <c r="D1111" s="1" t="s">
        <v>2925</v>
      </c>
      <c r="E1111" s="1" t="s">
        <v>2934</v>
      </c>
      <c r="F1111" s="1" t="s">
        <v>1680</v>
      </c>
      <c r="G1111" s="1" t="s">
        <v>1681</v>
      </c>
      <c r="H1111" s="1" t="s">
        <v>18</v>
      </c>
    </row>
    <row r="1112" spans="1:8">
      <c r="A1112" s="1">
        <v>1111</v>
      </c>
      <c r="B1112" s="1" t="s">
        <v>2935</v>
      </c>
      <c r="C1112" s="1" t="s">
        <v>251</v>
      </c>
      <c r="D1112" s="1" t="s">
        <v>2936</v>
      </c>
      <c r="E1112" s="1" t="s">
        <v>2937</v>
      </c>
      <c r="F1112" s="1" t="s">
        <v>2938</v>
      </c>
      <c r="G1112" s="1" t="s">
        <v>2939</v>
      </c>
      <c r="H1112" s="1" t="s">
        <v>18</v>
      </c>
    </row>
    <row r="1113" spans="1:8">
      <c r="A1113" s="1">
        <v>1112</v>
      </c>
      <c r="B1113" s="1" t="s">
        <v>2935</v>
      </c>
      <c r="C1113" s="1" t="s">
        <v>254</v>
      </c>
      <c r="D1113" s="1" t="s">
        <v>2936</v>
      </c>
      <c r="E1113" s="1" t="s">
        <v>2940</v>
      </c>
      <c r="F1113" s="1" t="s">
        <v>2941</v>
      </c>
      <c r="G1113" s="1" t="s">
        <v>2942</v>
      </c>
      <c r="H1113" s="1" t="s">
        <v>18</v>
      </c>
    </row>
    <row r="1114" spans="1:8">
      <c r="A1114" s="1">
        <v>1113</v>
      </c>
      <c r="B1114" s="1" t="s">
        <v>2935</v>
      </c>
      <c r="C1114" s="1" t="s">
        <v>256</v>
      </c>
      <c r="D1114" s="1" t="s">
        <v>2936</v>
      </c>
      <c r="E1114" s="1" t="s">
        <v>2943</v>
      </c>
      <c r="F1114" s="1" t="s">
        <v>2944</v>
      </c>
      <c r="G1114" s="1" t="s">
        <v>2945</v>
      </c>
      <c r="H1114" s="1" t="s">
        <v>18</v>
      </c>
    </row>
    <row r="1115" spans="1:8">
      <c r="A1115" s="1">
        <v>1114</v>
      </c>
      <c r="B1115" s="1" t="s">
        <v>2935</v>
      </c>
      <c r="C1115" s="1" t="s">
        <v>260</v>
      </c>
      <c r="D1115" s="1" t="s">
        <v>2936</v>
      </c>
      <c r="E1115" s="1" t="s">
        <v>2946</v>
      </c>
      <c r="F1115" s="1" t="s">
        <v>2947</v>
      </c>
      <c r="G1115" s="1" t="s">
        <v>2948</v>
      </c>
      <c r="H1115" s="1" t="s">
        <v>18</v>
      </c>
    </row>
    <row r="1116" spans="1:8">
      <c r="A1116" s="1">
        <v>1115</v>
      </c>
      <c r="B1116" s="1" t="s">
        <v>2935</v>
      </c>
      <c r="C1116" s="1" t="s">
        <v>262</v>
      </c>
      <c r="D1116" s="1" t="s">
        <v>2936</v>
      </c>
      <c r="E1116" s="1" t="s">
        <v>2949</v>
      </c>
      <c r="F1116" s="1" t="s">
        <v>2950</v>
      </c>
      <c r="G1116" s="1" t="s">
        <v>2951</v>
      </c>
      <c r="H1116" s="1" t="s">
        <v>18</v>
      </c>
    </row>
    <row r="1117" spans="1:8">
      <c r="A1117" s="1">
        <v>1116</v>
      </c>
      <c r="B1117" s="1" t="s">
        <v>2935</v>
      </c>
      <c r="C1117" s="1" t="s">
        <v>264</v>
      </c>
      <c r="D1117" s="1" t="s">
        <v>2936</v>
      </c>
      <c r="E1117" s="1" t="s">
        <v>2952</v>
      </c>
      <c r="F1117" s="1" t="s">
        <v>2953</v>
      </c>
      <c r="G1117" s="1" t="s">
        <v>2954</v>
      </c>
      <c r="H1117" s="1" t="s">
        <v>18</v>
      </c>
    </row>
    <row r="1118" spans="1:8">
      <c r="A1118" s="1">
        <v>1117</v>
      </c>
      <c r="B1118" s="1" t="s">
        <v>2955</v>
      </c>
      <c r="C1118" s="1" t="s">
        <v>251</v>
      </c>
      <c r="D1118" s="1" t="s">
        <v>2956</v>
      </c>
      <c r="E1118" s="1" t="s">
        <v>2957</v>
      </c>
      <c r="F1118" s="1" t="s">
        <v>2958</v>
      </c>
      <c r="G1118" s="1" t="s">
        <v>2959</v>
      </c>
      <c r="H1118" s="1" t="s">
        <v>18</v>
      </c>
    </row>
    <row r="1119" spans="1:8">
      <c r="A1119" s="1">
        <v>1118</v>
      </c>
      <c r="B1119" s="1" t="s">
        <v>2955</v>
      </c>
      <c r="C1119" s="1" t="s">
        <v>254</v>
      </c>
      <c r="D1119" s="1" t="s">
        <v>2956</v>
      </c>
      <c r="E1119" s="1" t="s">
        <v>2960</v>
      </c>
      <c r="F1119" s="1" t="s">
        <v>2961</v>
      </c>
      <c r="G1119" s="1" t="s">
        <v>2962</v>
      </c>
      <c r="H1119" s="1" t="s">
        <v>18</v>
      </c>
    </row>
    <row r="1120" spans="1:8">
      <c r="A1120" s="1">
        <v>1119</v>
      </c>
      <c r="B1120" s="1" t="s">
        <v>2955</v>
      </c>
      <c r="C1120" s="1" t="s">
        <v>256</v>
      </c>
      <c r="D1120" s="1" t="s">
        <v>2956</v>
      </c>
      <c r="E1120" s="1" t="s">
        <v>2963</v>
      </c>
      <c r="F1120" s="1" t="s">
        <v>2964</v>
      </c>
      <c r="G1120" s="1" t="s">
        <v>2965</v>
      </c>
      <c r="H1120" s="1" t="s">
        <v>18</v>
      </c>
    </row>
    <row r="1121" spans="1:8">
      <c r="A1121" s="1">
        <v>1120</v>
      </c>
      <c r="B1121" s="1" t="s">
        <v>2955</v>
      </c>
      <c r="C1121" s="1" t="s">
        <v>260</v>
      </c>
      <c r="D1121" s="1" t="s">
        <v>2956</v>
      </c>
      <c r="E1121" s="1" t="s">
        <v>2966</v>
      </c>
      <c r="F1121" s="1" t="s">
        <v>2967</v>
      </c>
      <c r="G1121" s="1" t="s">
        <v>2968</v>
      </c>
      <c r="H1121" s="1" t="s">
        <v>18</v>
      </c>
    </row>
    <row r="1122" spans="1:8">
      <c r="A1122" s="1">
        <v>1121</v>
      </c>
      <c r="B1122" s="1" t="s">
        <v>2955</v>
      </c>
      <c r="C1122" s="1" t="s">
        <v>262</v>
      </c>
      <c r="D1122" s="1" t="s">
        <v>2956</v>
      </c>
      <c r="E1122" s="1" t="s">
        <v>2969</v>
      </c>
      <c r="F1122" s="1" t="s">
        <v>2970</v>
      </c>
      <c r="G1122" s="1" t="s">
        <v>2971</v>
      </c>
      <c r="H1122" s="1" t="s">
        <v>18</v>
      </c>
    </row>
    <row r="1123" spans="1:8">
      <c r="A1123" s="1">
        <v>1122</v>
      </c>
      <c r="B1123" s="1" t="s">
        <v>2955</v>
      </c>
      <c r="C1123" s="1" t="s">
        <v>264</v>
      </c>
      <c r="D1123" s="1" t="s">
        <v>2956</v>
      </c>
      <c r="E1123" s="1" t="s">
        <v>2972</v>
      </c>
      <c r="F1123" s="1" t="s">
        <v>2973</v>
      </c>
      <c r="G1123" s="1" t="s">
        <v>2974</v>
      </c>
      <c r="H1123" s="1" t="s">
        <v>18</v>
      </c>
    </row>
    <row r="1124" spans="1:8">
      <c r="A1124" s="1">
        <v>1123</v>
      </c>
      <c r="B1124" s="1" t="s">
        <v>2975</v>
      </c>
      <c r="C1124" s="1" t="s">
        <v>251</v>
      </c>
      <c r="D1124" s="1" t="s">
        <v>2976</v>
      </c>
      <c r="E1124" s="1" t="s">
        <v>2977</v>
      </c>
      <c r="F1124" s="1" t="s">
        <v>2978</v>
      </c>
      <c r="G1124" s="1" t="s">
        <v>2979</v>
      </c>
      <c r="H1124" s="1" t="s">
        <v>18</v>
      </c>
    </row>
    <row r="1125" spans="1:8">
      <c r="A1125" s="1">
        <v>1124</v>
      </c>
      <c r="B1125" s="1" t="s">
        <v>2975</v>
      </c>
      <c r="C1125" s="1" t="s">
        <v>254</v>
      </c>
      <c r="D1125" s="1" t="s">
        <v>2976</v>
      </c>
      <c r="E1125" s="1" t="s">
        <v>2980</v>
      </c>
      <c r="F1125" s="1" t="s">
        <v>2981</v>
      </c>
      <c r="G1125" s="1" t="s">
        <v>2982</v>
      </c>
      <c r="H1125" s="1" t="s">
        <v>18</v>
      </c>
    </row>
    <row r="1126" spans="1:8">
      <c r="A1126" s="1">
        <v>1125</v>
      </c>
      <c r="B1126" s="1" t="s">
        <v>2975</v>
      </c>
      <c r="C1126" s="1" t="s">
        <v>256</v>
      </c>
      <c r="D1126" s="1" t="s">
        <v>2976</v>
      </c>
      <c r="E1126" s="1" t="s">
        <v>2983</v>
      </c>
      <c r="F1126" s="1" t="s">
        <v>2984</v>
      </c>
      <c r="G1126" s="1" t="s">
        <v>2985</v>
      </c>
      <c r="H1126" s="1" t="s">
        <v>18</v>
      </c>
    </row>
    <row r="1127" spans="1:8">
      <c r="A1127" s="1">
        <v>1126</v>
      </c>
      <c r="B1127" s="1" t="s">
        <v>2975</v>
      </c>
      <c r="C1127" s="1" t="s">
        <v>260</v>
      </c>
      <c r="D1127" s="1" t="s">
        <v>2976</v>
      </c>
      <c r="E1127" s="1" t="s">
        <v>2986</v>
      </c>
      <c r="F1127" s="1" t="s">
        <v>2987</v>
      </c>
      <c r="G1127" s="1" t="s">
        <v>2988</v>
      </c>
      <c r="H1127" s="1" t="s">
        <v>18</v>
      </c>
    </row>
    <row r="1128" spans="1:8">
      <c r="A1128" s="1">
        <v>1127</v>
      </c>
      <c r="B1128" s="1" t="s">
        <v>2975</v>
      </c>
      <c r="C1128" s="1" t="s">
        <v>262</v>
      </c>
      <c r="D1128" s="1" t="s">
        <v>2976</v>
      </c>
      <c r="E1128" s="1" t="s">
        <v>2989</v>
      </c>
      <c r="F1128" s="1" t="s">
        <v>2990</v>
      </c>
      <c r="G1128" s="1" t="s">
        <v>2991</v>
      </c>
      <c r="H1128" s="1" t="s">
        <v>18</v>
      </c>
    </row>
    <row r="1129" spans="1:8">
      <c r="A1129" s="1">
        <v>1128</v>
      </c>
      <c r="B1129" s="1" t="s">
        <v>2975</v>
      </c>
      <c r="C1129" s="1" t="s">
        <v>264</v>
      </c>
      <c r="D1129" s="1" t="s">
        <v>2976</v>
      </c>
      <c r="E1129" s="1" t="s">
        <v>2992</v>
      </c>
      <c r="F1129" s="1" t="s">
        <v>2993</v>
      </c>
      <c r="G1129" s="1" t="s">
        <v>2994</v>
      </c>
      <c r="H1129" s="1" t="s">
        <v>18</v>
      </c>
    </row>
    <row r="1130" spans="1:8">
      <c r="A1130" s="1">
        <v>1129</v>
      </c>
      <c r="B1130" s="1" t="s">
        <v>2995</v>
      </c>
      <c r="C1130" s="1" t="s">
        <v>285</v>
      </c>
      <c r="D1130" s="1" t="s">
        <v>2996</v>
      </c>
      <c r="E1130" s="1" t="s">
        <v>2997</v>
      </c>
      <c r="F1130" s="1" t="s">
        <v>2998</v>
      </c>
      <c r="G1130" s="1" t="s">
        <v>2999</v>
      </c>
      <c r="H1130" s="1" t="s">
        <v>18</v>
      </c>
    </row>
    <row r="1131" spans="1:8">
      <c r="A1131" s="1">
        <v>1130</v>
      </c>
      <c r="B1131" s="1" t="s">
        <v>2995</v>
      </c>
      <c r="C1131" s="1" t="s">
        <v>290</v>
      </c>
      <c r="D1131" s="1" t="s">
        <v>2996</v>
      </c>
      <c r="E1131" s="1" t="s">
        <v>3000</v>
      </c>
      <c r="F1131" s="1" t="s">
        <v>3001</v>
      </c>
      <c r="G1131" s="1" t="s">
        <v>3002</v>
      </c>
      <c r="H1131" s="1" t="s">
        <v>18</v>
      </c>
    </row>
    <row r="1132" spans="1:8">
      <c r="A1132" s="1">
        <v>1131</v>
      </c>
      <c r="B1132" s="1" t="s">
        <v>2995</v>
      </c>
      <c r="C1132" s="1" t="s">
        <v>294</v>
      </c>
      <c r="D1132" s="1" t="s">
        <v>2996</v>
      </c>
      <c r="E1132" s="1" t="s">
        <v>3003</v>
      </c>
      <c r="F1132" s="1" t="s">
        <v>3004</v>
      </c>
      <c r="G1132" s="1" t="s">
        <v>3005</v>
      </c>
      <c r="H1132" s="1" t="s">
        <v>18</v>
      </c>
    </row>
    <row r="1133" spans="1:8">
      <c r="A1133" s="1">
        <v>1132</v>
      </c>
      <c r="B1133" s="1" t="s">
        <v>3006</v>
      </c>
      <c r="C1133" s="1" t="s">
        <v>285</v>
      </c>
      <c r="D1133" s="1" t="s">
        <v>3007</v>
      </c>
      <c r="E1133" s="1" t="s">
        <v>3008</v>
      </c>
      <c r="F1133" s="1" t="s">
        <v>3009</v>
      </c>
      <c r="G1133" s="1" t="s">
        <v>3010</v>
      </c>
      <c r="H1133" s="1" t="s">
        <v>18</v>
      </c>
    </row>
    <row r="1134" spans="1:8">
      <c r="A1134" s="1">
        <v>1133</v>
      </c>
      <c r="B1134" s="1" t="s">
        <v>3006</v>
      </c>
      <c r="C1134" s="1" t="s">
        <v>290</v>
      </c>
      <c r="D1134" s="1" t="s">
        <v>3007</v>
      </c>
      <c r="E1134" s="1" t="s">
        <v>3011</v>
      </c>
      <c r="F1134" s="1" t="s">
        <v>3012</v>
      </c>
      <c r="G1134" s="1" t="s">
        <v>3013</v>
      </c>
      <c r="H1134" s="1" t="s">
        <v>18</v>
      </c>
    </row>
    <row r="1135" spans="1:8">
      <c r="A1135" s="1">
        <v>1134</v>
      </c>
      <c r="B1135" s="1" t="s">
        <v>3006</v>
      </c>
      <c r="C1135" s="1" t="s">
        <v>294</v>
      </c>
      <c r="D1135" s="1" t="s">
        <v>3007</v>
      </c>
      <c r="E1135" s="1" t="s">
        <v>3014</v>
      </c>
      <c r="F1135" s="1" t="s">
        <v>3015</v>
      </c>
      <c r="G1135" s="1" t="s">
        <v>3016</v>
      </c>
      <c r="H1135" s="1" t="s">
        <v>18</v>
      </c>
    </row>
    <row r="1136" spans="1:8">
      <c r="A1136" s="1">
        <v>1135</v>
      </c>
      <c r="B1136" s="1" t="s">
        <v>3017</v>
      </c>
      <c r="C1136" s="1" t="s">
        <v>251</v>
      </c>
      <c r="D1136" s="1" t="s">
        <v>3018</v>
      </c>
      <c r="E1136" s="1" t="s">
        <v>3019</v>
      </c>
      <c r="F1136" s="1" t="s">
        <v>3020</v>
      </c>
      <c r="G1136" s="1" t="s">
        <v>3021</v>
      </c>
      <c r="H1136" s="1" t="s">
        <v>18</v>
      </c>
    </row>
    <row r="1137" spans="1:8">
      <c r="A1137" s="1">
        <v>1136</v>
      </c>
      <c r="B1137" s="1" t="s">
        <v>3017</v>
      </c>
      <c r="C1137" s="1" t="s">
        <v>254</v>
      </c>
      <c r="D1137" s="1" t="s">
        <v>3018</v>
      </c>
      <c r="E1137" s="1" t="s">
        <v>3022</v>
      </c>
      <c r="F1137" s="1" t="s">
        <v>3023</v>
      </c>
      <c r="G1137" s="1" t="s">
        <v>3024</v>
      </c>
      <c r="H1137" s="1" t="s">
        <v>18</v>
      </c>
    </row>
    <row r="1138" spans="1:8">
      <c r="A1138" s="1">
        <v>1137</v>
      </c>
      <c r="B1138" s="1" t="s">
        <v>3017</v>
      </c>
      <c r="C1138" s="1" t="s">
        <v>256</v>
      </c>
      <c r="D1138" s="1" t="s">
        <v>3018</v>
      </c>
      <c r="E1138" s="1" t="s">
        <v>3025</v>
      </c>
      <c r="F1138" s="1" t="s">
        <v>3026</v>
      </c>
      <c r="G1138" s="1" t="s">
        <v>3027</v>
      </c>
      <c r="H1138" s="1" t="s">
        <v>18</v>
      </c>
    </row>
    <row r="1139" spans="1:8">
      <c r="A1139" s="1">
        <v>1138</v>
      </c>
      <c r="B1139" s="1" t="s">
        <v>3017</v>
      </c>
      <c r="C1139" s="1" t="s">
        <v>260</v>
      </c>
      <c r="D1139" s="1" t="s">
        <v>3018</v>
      </c>
      <c r="E1139" s="1" t="s">
        <v>3028</v>
      </c>
      <c r="F1139" s="1" t="s">
        <v>3029</v>
      </c>
      <c r="G1139" s="1" t="s">
        <v>3030</v>
      </c>
      <c r="H1139" s="1" t="s">
        <v>18</v>
      </c>
    </row>
    <row r="1140" spans="1:8">
      <c r="A1140" s="1">
        <v>1139</v>
      </c>
      <c r="B1140" s="1" t="s">
        <v>3017</v>
      </c>
      <c r="C1140" s="1" t="s">
        <v>262</v>
      </c>
      <c r="D1140" s="1" t="s">
        <v>3018</v>
      </c>
      <c r="E1140" s="1" t="s">
        <v>3031</v>
      </c>
      <c r="F1140" s="1" t="s">
        <v>3032</v>
      </c>
      <c r="G1140" s="1" t="s">
        <v>3033</v>
      </c>
      <c r="H1140" s="1" t="s">
        <v>18</v>
      </c>
    </row>
    <row r="1141" spans="1:8">
      <c r="A1141" s="1">
        <v>1140</v>
      </c>
      <c r="B1141" s="1" t="s">
        <v>3017</v>
      </c>
      <c r="C1141" s="1" t="s">
        <v>264</v>
      </c>
      <c r="D1141" s="1" t="s">
        <v>3018</v>
      </c>
      <c r="E1141" s="1" t="s">
        <v>3034</v>
      </c>
      <c r="F1141" s="1" t="s">
        <v>3035</v>
      </c>
      <c r="G1141" s="1" t="s">
        <v>3036</v>
      </c>
      <c r="H1141" s="1" t="s">
        <v>18</v>
      </c>
    </row>
    <row r="1142" spans="1:8">
      <c r="A1142" s="1">
        <v>1141</v>
      </c>
      <c r="B1142" s="1" t="s">
        <v>3037</v>
      </c>
      <c r="C1142" s="1" t="s">
        <v>251</v>
      </c>
      <c r="D1142" s="1" t="s">
        <v>3038</v>
      </c>
      <c r="E1142" s="1" t="s">
        <v>3039</v>
      </c>
      <c r="F1142" s="1" t="s">
        <v>3040</v>
      </c>
      <c r="G1142" s="1" t="s">
        <v>3041</v>
      </c>
      <c r="H1142" s="1" t="s">
        <v>18</v>
      </c>
    </row>
    <row r="1143" spans="1:8">
      <c r="A1143" s="1">
        <v>1142</v>
      </c>
      <c r="B1143" s="1" t="s">
        <v>3037</v>
      </c>
      <c r="C1143" s="1" t="s">
        <v>254</v>
      </c>
      <c r="D1143" s="1" t="s">
        <v>3038</v>
      </c>
      <c r="E1143" s="1" t="s">
        <v>3042</v>
      </c>
      <c r="F1143" s="1" t="s">
        <v>3043</v>
      </c>
      <c r="G1143" s="1" t="s">
        <v>3044</v>
      </c>
      <c r="H1143" s="1" t="s">
        <v>18</v>
      </c>
    </row>
    <row r="1144" spans="1:8">
      <c r="A1144" s="1">
        <v>1143</v>
      </c>
      <c r="B1144" s="1" t="s">
        <v>3037</v>
      </c>
      <c r="C1144" s="1" t="s">
        <v>256</v>
      </c>
      <c r="D1144" s="1" t="s">
        <v>3038</v>
      </c>
      <c r="E1144" s="1" t="s">
        <v>3045</v>
      </c>
      <c r="F1144" s="1" t="s">
        <v>3046</v>
      </c>
      <c r="G1144" s="1" t="s">
        <v>3047</v>
      </c>
      <c r="H1144" s="1" t="s">
        <v>18</v>
      </c>
    </row>
    <row r="1145" spans="1:8">
      <c r="A1145" s="1">
        <v>1144</v>
      </c>
      <c r="B1145" s="1" t="s">
        <v>3037</v>
      </c>
      <c r="C1145" s="1" t="s">
        <v>260</v>
      </c>
      <c r="D1145" s="1" t="s">
        <v>3038</v>
      </c>
      <c r="E1145" s="1" t="s">
        <v>3048</v>
      </c>
      <c r="F1145" s="1" t="s">
        <v>3049</v>
      </c>
      <c r="G1145" s="1" t="s">
        <v>3050</v>
      </c>
      <c r="H1145" s="1" t="s">
        <v>18</v>
      </c>
    </row>
    <row r="1146" spans="1:8">
      <c r="A1146" s="1">
        <v>1145</v>
      </c>
      <c r="B1146" s="1" t="s">
        <v>3037</v>
      </c>
      <c r="C1146" s="1" t="s">
        <v>262</v>
      </c>
      <c r="D1146" s="1" t="s">
        <v>3038</v>
      </c>
      <c r="E1146" s="1" t="s">
        <v>3051</v>
      </c>
      <c r="F1146" s="1" t="s">
        <v>3052</v>
      </c>
      <c r="G1146" s="1" t="s">
        <v>3053</v>
      </c>
      <c r="H1146" s="1" t="s">
        <v>18</v>
      </c>
    </row>
    <row r="1147" spans="1:8">
      <c r="A1147" s="1">
        <v>1146</v>
      </c>
      <c r="B1147" s="1" t="s">
        <v>3037</v>
      </c>
      <c r="C1147" s="1" t="s">
        <v>264</v>
      </c>
      <c r="D1147" s="1" t="s">
        <v>3038</v>
      </c>
      <c r="E1147" s="1" t="s">
        <v>3054</v>
      </c>
      <c r="F1147" s="1" t="s">
        <v>3055</v>
      </c>
      <c r="G1147" s="1" t="s">
        <v>3056</v>
      </c>
      <c r="H1147" s="1" t="s">
        <v>18</v>
      </c>
    </row>
    <row r="1148" spans="1:8">
      <c r="A1148" s="1">
        <v>1147</v>
      </c>
      <c r="B1148" s="1" t="s">
        <v>3057</v>
      </c>
      <c r="C1148" s="1" t="s">
        <v>251</v>
      </c>
      <c r="D1148" s="1" t="s">
        <v>3058</v>
      </c>
      <c r="E1148" s="1" t="s">
        <v>3059</v>
      </c>
      <c r="F1148" s="1" t="s">
        <v>3060</v>
      </c>
      <c r="G1148" s="1" t="s">
        <v>3061</v>
      </c>
      <c r="H1148" s="1" t="s">
        <v>18</v>
      </c>
    </row>
    <row r="1149" spans="1:8">
      <c r="A1149" s="1">
        <v>1148</v>
      </c>
      <c r="B1149" s="1" t="s">
        <v>3057</v>
      </c>
      <c r="C1149" s="1" t="s">
        <v>254</v>
      </c>
      <c r="D1149" s="1" t="s">
        <v>3058</v>
      </c>
      <c r="E1149" s="1" t="s">
        <v>3062</v>
      </c>
      <c r="F1149" s="1" t="s">
        <v>3063</v>
      </c>
      <c r="G1149" s="1" t="s">
        <v>3064</v>
      </c>
      <c r="H1149" s="1" t="s">
        <v>18</v>
      </c>
    </row>
    <row r="1150" spans="1:8">
      <c r="A1150" s="1">
        <v>1149</v>
      </c>
      <c r="B1150" s="1" t="s">
        <v>3057</v>
      </c>
      <c r="C1150" s="1" t="s">
        <v>256</v>
      </c>
      <c r="D1150" s="1" t="s">
        <v>3058</v>
      </c>
      <c r="E1150" s="1" t="s">
        <v>3065</v>
      </c>
      <c r="F1150" s="1" t="s">
        <v>3066</v>
      </c>
      <c r="G1150" s="1" t="s">
        <v>3067</v>
      </c>
      <c r="H1150" s="1" t="s">
        <v>18</v>
      </c>
    </row>
    <row r="1151" spans="1:8">
      <c r="A1151" s="1">
        <v>1150</v>
      </c>
      <c r="B1151" s="1" t="s">
        <v>3057</v>
      </c>
      <c r="C1151" s="1" t="s">
        <v>260</v>
      </c>
      <c r="D1151" s="1" t="s">
        <v>3058</v>
      </c>
      <c r="E1151" s="1" t="s">
        <v>3068</v>
      </c>
      <c r="F1151" s="1" t="s">
        <v>3069</v>
      </c>
      <c r="G1151" s="1" t="s">
        <v>3070</v>
      </c>
      <c r="H1151" s="1" t="s">
        <v>18</v>
      </c>
    </row>
    <row r="1152" spans="1:8">
      <c r="A1152" s="1">
        <v>1151</v>
      </c>
      <c r="B1152" s="1" t="s">
        <v>3057</v>
      </c>
      <c r="C1152" s="1" t="s">
        <v>262</v>
      </c>
      <c r="D1152" s="1" t="s">
        <v>3058</v>
      </c>
      <c r="E1152" s="1" t="s">
        <v>3071</v>
      </c>
      <c r="F1152" s="1" t="s">
        <v>3072</v>
      </c>
      <c r="G1152" s="1" t="s">
        <v>3073</v>
      </c>
      <c r="H1152" s="1" t="s">
        <v>18</v>
      </c>
    </row>
    <row r="1153" spans="1:8">
      <c r="A1153" s="1">
        <v>1152</v>
      </c>
      <c r="B1153" s="1" t="s">
        <v>3057</v>
      </c>
      <c r="C1153" s="1" t="s">
        <v>264</v>
      </c>
      <c r="D1153" s="1" t="s">
        <v>3058</v>
      </c>
      <c r="E1153" s="1" t="s">
        <v>3074</v>
      </c>
      <c r="F1153" s="1" t="s">
        <v>3075</v>
      </c>
      <c r="G1153" s="1" t="s">
        <v>3076</v>
      </c>
      <c r="H1153" s="1" t="s">
        <v>18</v>
      </c>
    </row>
    <row r="1154" spans="1:8">
      <c r="A1154" s="1">
        <v>1153</v>
      </c>
      <c r="B1154" s="1" t="s">
        <v>3077</v>
      </c>
      <c r="C1154" s="1" t="s">
        <v>251</v>
      </c>
      <c r="D1154" s="1" t="s">
        <v>3078</v>
      </c>
      <c r="E1154" s="1" t="s">
        <v>3079</v>
      </c>
      <c r="F1154" s="1" t="s">
        <v>3080</v>
      </c>
      <c r="G1154" s="1" t="s">
        <v>3081</v>
      </c>
      <c r="H1154" s="1" t="s">
        <v>18</v>
      </c>
    </row>
    <row r="1155" spans="1:8">
      <c r="A1155" s="1">
        <v>1154</v>
      </c>
      <c r="B1155" s="1" t="s">
        <v>3077</v>
      </c>
      <c r="C1155" s="1" t="s">
        <v>254</v>
      </c>
      <c r="D1155" s="1" t="s">
        <v>3078</v>
      </c>
      <c r="E1155" s="1" t="s">
        <v>3082</v>
      </c>
      <c r="F1155" s="1" t="s">
        <v>3083</v>
      </c>
      <c r="G1155" s="1" t="s">
        <v>3084</v>
      </c>
      <c r="H1155" s="1" t="s">
        <v>18</v>
      </c>
    </row>
    <row r="1156" spans="1:8">
      <c r="A1156" s="1">
        <v>1155</v>
      </c>
      <c r="B1156" s="1" t="s">
        <v>3077</v>
      </c>
      <c r="C1156" s="1" t="s">
        <v>256</v>
      </c>
      <c r="D1156" s="1" t="s">
        <v>3078</v>
      </c>
      <c r="E1156" s="1" t="s">
        <v>3085</v>
      </c>
      <c r="F1156" s="1" t="s">
        <v>3086</v>
      </c>
      <c r="G1156" s="1" t="s">
        <v>3087</v>
      </c>
      <c r="H1156" s="1" t="s">
        <v>18</v>
      </c>
    </row>
    <row r="1157" spans="1:8">
      <c r="A1157" s="1">
        <v>1156</v>
      </c>
      <c r="B1157" s="1" t="s">
        <v>3077</v>
      </c>
      <c r="C1157" s="1" t="s">
        <v>260</v>
      </c>
      <c r="D1157" s="1" t="s">
        <v>3078</v>
      </c>
      <c r="E1157" s="1" t="s">
        <v>3088</v>
      </c>
      <c r="F1157" s="1" t="s">
        <v>3089</v>
      </c>
      <c r="G1157" s="1" t="s">
        <v>3090</v>
      </c>
      <c r="H1157" s="1" t="s">
        <v>18</v>
      </c>
    </row>
    <row r="1158" spans="1:8">
      <c r="A1158" s="1">
        <v>1157</v>
      </c>
      <c r="B1158" s="1" t="s">
        <v>3077</v>
      </c>
      <c r="C1158" s="1" t="s">
        <v>262</v>
      </c>
      <c r="D1158" s="1" t="s">
        <v>3078</v>
      </c>
      <c r="E1158" s="1" t="s">
        <v>3091</v>
      </c>
      <c r="F1158" s="1" t="s">
        <v>3092</v>
      </c>
      <c r="G1158" s="1" t="s">
        <v>3093</v>
      </c>
      <c r="H1158" s="1" t="s">
        <v>18</v>
      </c>
    </row>
    <row r="1159" spans="1:8">
      <c r="A1159" s="1">
        <v>1158</v>
      </c>
      <c r="B1159" s="1" t="s">
        <v>3077</v>
      </c>
      <c r="C1159" s="1" t="s">
        <v>264</v>
      </c>
      <c r="D1159" s="1" t="s">
        <v>3078</v>
      </c>
      <c r="E1159" s="1" t="s">
        <v>3094</v>
      </c>
      <c r="F1159" s="1" t="s">
        <v>3095</v>
      </c>
      <c r="G1159" s="1" t="s">
        <v>3096</v>
      </c>
      <c r="H1159" s="1" t="s">
        <v>18</v>
      </c>
    </row>
    <row r="1160" spans="1:8">
      <c r="A1160" s="1">
        <v>1159</v>
      </c>
      <c r="B1160" s="1" t="s">
        <v>3097</v>
      </c>
      <c r="C1160" s="1" t="s">
        <v>392</v>
      </c>
      <c r="D1160" s="1" t="s">
        <v>3098</v>
      </c>
      <c r="E1160" s="1" t="s">
        <v>3099</v>
      </c>
      <c r="F1160" s="1" t="s">
        <v>3100</v>
      </c>
      <c r="G1160" s="1" t="s">
        <v>3101</v>
      </c>
      <c r="H1160" s="1" t="s">
        <v>18</v>
      </c>
    </row>
    <row r="1161" spans="1:8">
      <c r="A1161" s="1">
        <v>1160</v>
      </c>
      <c r="B1161" s="1" t="s">
        <v>3097</v>
      </c>
      <c r="C1161" s="1" t="s">
        <v>397</v>
      </c>
      <c r="D1161" s="1" t="s">
        <v>3098</v>
      </c>
      <c r="E1161" s="1" t="s">
        <v>3102</v>
      </c>
      <c r="F1161" s="1" t="s">
        <v>3103</v>
      </c>
      <c r="G1161" s="1" t="s">
        <v>3104</v>
      </c>
      <c r="H1161" s="1" t="s">
        <v>18</v>
      </c>
    </row>
    <row r="1162" spans="1:8">
      <c r="A1162" s="1">
        <v>1161</v>
      </c>
      <c r="B1162" s="1" t="s">
        <v>3097</v>
      </c>
      <c r="C1162" s="1" t="s">
        <v>401</v>
      </c>
      <c r="D1162" s="1" t="s">
        <v>3098</v>
      </c>
      <c r="E1162" s="1" t="s">
        <v>3105</v>
      </c>
      <c r="F1162" s="1" t="s">
        <v>3106</v>
      </c>
      <c r="G1162" s="1" t="s">
        <v>3107</v>
      </c>
      <c r="H1162" s="1" t="s">
        <v>18</v>
      </c>
    </row>
    <row r="1163" spans="1:8">
      <c r="A1163" s="1">
        <v>1162</v>
      </c>
      <c r="B1163" s="1" t="s">
        <v>3097</v>
      </c>
      <c r="C1163" s="1" t="s">
        <v>405</v>
      </c>
      <c r="D1163" s="1" t="s">
        <v>3098</v>
      </c>
      <c r="E1163" s="1" t="s">
        <v>3108</v>
      </c>
      <c r="F1163" s="1" t="s">
        <v>3109</v>
      </c>
      <c r="G1163" s="1" t="s">
        <v>3110</v>
      </c>
      <c r="H1163" s="1" t="s">
        <v>18</v>
      </c>
    </row>
    <row r="1164" spans="1:8">
      <c r="A1164" s="1">
        <v>1163</v>
      </c>
      <c r="B1164" s="1" t="s">
        <v>3097</v>
      </c>
      <c r="C1164" s="1" t="s">
        <v>409</v>
      </c>
      <c r="D1164" s="1" t="s">
        <v>3098</v>
      </c>
      <c r="E1164" s="1" t="s">
        <v>3111</v>
      </c>
      <c r="F1164" s="1" t="s">
        <v>3112</v>
      </c>
      <c r="G1164" s="1" t="s">
        <v>3113</v>
      </c>
      <c r="H1164" s="1" t="s">
        <v>18</v>
      </c>
    </row>
    <row r="1165" spans="1:8">
      <c r="A1165" s="1">
        <v>1164</v>
      </c>
      <c r="B1165" s="1" t="s">
        <v>3097</v>
      </c>
      <c r="C1165" s="1" t="s">
        <v>413</v>
      </c>
      <c r="D1165" s="1" t="s">
        <v>3098</v>
      </c>
      <c r="E1165" s="1" t="s">
        <v>3114</v>
      </c>
      <c r="F1165" s="1" t="s">
        <v>3115</v>
      </c>
      <c r="G1165" s="1" t="s">
        <v>3116</v>
      </c>
      <c r="H1165" s="1" t="s">
        <v>18</v>
      </c>
    </row>
    <row r="1166" spans="1:8">
      <c r="A1166" s="1">
        <v>1165</v>
      </c>
      <c r="B1166" s="1" t="s">
        <v>3097</v>
      </c>
      <c r="C1166" s="1" t="s">
        <v>417</v>
      </c>
      <c r="D1166" s="1" t="s">
        <v>3098</v>
      </c>
      <c r="E1166" s="1" t="s">
        <v>3117</v>
      </c>
      <c r="F1166" s="1" t="s">
        <v>3118</v>
      </c>
      <c r="G1166" s="1" t="s">
        <v>3119</v>
      </c>
      <c r="H1166" s="1" t="s">
        <v>18</v>
      </c>
    </row>
    <row r="1167" spans="1:8">
      <c r="A1167" s="1">
        <v>1166</v>
      </c>
      <c r="B1167" s="1" t="s">
        <v>3120</v>
      </c>
      <c r="C1167" s="1" t="s">
        <v>251</v>
      </c>
      <c r="D1167" s="1" t="s">
        <v>3121</v>
      </c>
      <c r="E1167" s="1" t="s">
        <v>3122</v>
      </c>
      <c r="F1167" s="1" t="s">
        <v>3123</v>
      </c>
      <c r="G1167" s="1" t="s">
        <v>3124</v>
      </c>
      <c r="H1167" s="1" t="s">
        <v>18</v>
      </c>
    </row>
    <row r="1168" spans="1:8">
      <c r="A1168" s="1">
        <v>1167</v>
      </c>
      <c r="B1168" s="1" t="s">
        <v>3120</v>
      </c>
      <c r="C1168" s="1" t="s">
        <v>254</v>
      </c>
      <c r="D1168" s="1" t="s">
        <v>3121</v>
      </c>
      <c r="E1168" s="1" t="s">
        <v>3125</v>
      </c>
      <c r="F1168" s="1" t="s">
        <v>3126</v>
      </c>
      <c r="G1168" s="1" t="s">
        <v>3127</v>
      </c>
      <c r="H1168" s="1" t="s">
        <v>18</v>
      </c>
    </row>
    <row r="1169" spans="1:8">
      <c r="A1169" s="1">
        <v>1168</v>
      </c>
      <c r="B1169" s="1" t="s">
        <v>3120</v>
      </c>
      <c r="C1169" s="1" t="s">
        <v>256</v>
      </c>
      <c r="D1169" s="1" t="s">
        <v>3121</v>
      </c>
      <c r="E1169" s="1" t="s">
        <v>3128</v>
      </c>
      <c r="F1169" s="1" t="s">
        <v>3129</v>
      </c>
      <c r="G1169" s="1" t="s">
        <v>3130</v>
      </c>
      <c r="H1169" s="1" t="s">
        <v>18</v>
      </c>
    </row>
    <row r="1170" spans="1:8">
      <c r="A1170" s="1">
        <v>1169</v>
      </c>
      <c r="B1170" s="1" t="s">
        <v>3120</v>
      </c>
      <c r="C1170" s="1" t="s">
        <v>260</v>
      </c>
      <c r="D1170" s="1" t="s">
        <v>3121</v>
      </c>
      <c r="E1170" s="1" t="s">
        <v>3131</v>
      </c>
      <c r="F1170" s="1" t="s">
        <v>3132</v>
      </c>
      <c r="G1170" s="1" t="s">
        <v>3133</v>
      </c>
      <c r="H1170" s="1" t="s">
        <v>18</v>
      </c>
    </row>
    <row r="1171" spans="1:8">
      <c r="A1171" s="1">
        <v>1170</v>
      </c>
      <c r="B1171" s="1" t="s">
        <v>3120</v>
      </c>
      <c r="C1171" s="1" t="s">
        <v>262</v>
      </c>
      <c r="D1171" s="1" t="s">
        <v>3121</v>
      </c>
      <c r="E1171" s="1" t="s">
        <v>3134</v>
      </c>
      <c r="F1171" s="1" t="s">
        <v>3135</v>
      </c>
      <c r="G1171" s="1" t="s">
        <v>3136</v>
      </c>
      <c r="H1171" s="1" t="s">
        <v>18</v>
      </c>
    </row>
    <row r="1172" spans="1:8">
      <c r="A1172" s="1">
        <v>1171</v>
      </c>
      <c r="B1172" s="1" t="s">
        <v>3120</v>
      </c>
      <c r="C1172" s="1" t="s">
        <v>264</v>
      </c>
      <c r="D1172" s="1" t="s">
        <v>3121</v>
      </c>
      <c r="E1172" s="1" t="s">
        <v>3137</v>
      </c>
      <c r="F1172" s="1" t="s">
        <v>3138</v>
      </c>
      <c r="G1172" s="1" t="s">
        <v>3139</v>
      </c>
      <c r="H1172" s="1" t="s">
        <v>18</v>
      </c>
    </row>
    <row r="1173" spans="1:8">
      <c r="A1173" s="1">
        <v>1172</v>
      </c>
      <c r="B1173" s="1" t="s">
        <v>3140</v>
      </c>
      <c r="C1173" s="1" t="s">
        <v>251</v>
      </c>
      <c r="D1173" s="1" t="s">
        <v>3141</v>
      </c>
      <c r="E1173" s="1" t="s">
        <v>3142</v>
      </c>
      <c r="F1173" s="1" t="s">
        <v>3143</v>
      </c>
      <c r="G1173" s="1" t="s">
        <v>3144</v>
      </c>
      <c r="H1173" s="1" t="s">
        <v>18</v>
      </c>
    </row>
    <row r="1174" spans="1:8">
      <c r="A1174" s="1">
        <v>1173</v>
      </c>
      <c r="B1174" s="1" t="s">
        <v>3140</v>
      </c>
      <c r="C1174" s="1" t="s">
        <v>254</v>
      </c>
      <c r="D1174" s="1" t="s">
        <v>3141</v>
      </c>
      <c r="E1174" s="1" t="s">
        <v>3145</v>
      </c>
      <c r="F1174" s="1" t="s">
        <v>3146</v>
      </c>
      <c r="G1174" s="1" t="s">
        <v>3147</v>
      </c>
      <c r="H1174" s="1" t="s">
        <v>18</v>
      </c>
    </row>
    <row r="1175" spans="1:8">
      <c r="A1175" s="1">
        <v>1174</v>
      </c>
      <c r="B1175" s="1" t="s">
        <v>3140</v>
      </c>
      <c r="C1175" s="1" t="s">
        <v>256</v>
      </c>
      <c r="D1175" s="1" t="s">
        <v>3141</v>
      </c>
      <c r="E1175" s="1" t="s">
        <v>3148</v>
      </c>
      <c r="F1175" s="1" t="s">
        <v>3149</v>
      </c>
      <c r="G1175" s="1" t="s">
        <v>3150</v>
      </c>
      <c r="H1175" s="1" t="s">
        <v>18</v>
      </c>
    </row>
    <row r="1176" spans="1:8">
      <c r="A1176" s="1">
        <v>1175</v>
      </c>
      <c r="B1176" s="1" t="s">
        <v>3140</v>
      </c>
      <c r="C1176" s="1" t="s">
        <v>260</v>
      </c>
      <c r="D1176" s="1" t="s">
        <v>3141</v>
      </c>
      <c r="E1176" s="1" t="s">
        <v>3151</v>
      </c>
      <c r="F1176" s="1" t="s">
        <v>3152</v>
      </c>
      <c r="G1176" s="1" t="s">
        <v>3153</v>
      </c>
      <c r="H1176" s="1" t="s">
        <v>18</v>
      </c>
    </row>
    <row r="1177" spans="1:8">
      <c r="A1177" s="1">
        <v>1176</v>
      </c>
      <c r="B1177" s="1" t="s">
        <v>3140</v>
      </c>
      <c r="C1177" s="1" t="s">
        <v>262</v>
      </c>
      <c r="D1177" s="1" t="s">
        <v>3141</v>
      </c>
      <c r="E1177" s="1" t="s">
        <v>3154</v>
      </c>
      <c r="F1177" s="1" t="s">
        <v>3155</v>
      </c>
      <c r="G1177" s="1" t="s">
        <v>3156</v>
      </c>
      <c r="H1177" s="1" t="s">
        <v>18</v>
      </c>
    </row>
    <row r="1178" spans="1:8">
      <c r="A1178" s="1">
        <v>1177</v>
      </c>
      <c r="B1178" s="1" t="s">
        <v>3140</v>
      </c>
      <c r="C1178" s="1" t="s">
        <v>264</v>
      </c>
      <c r="D1178" s="1" t="s">
        <v>3141</v>
      </c>
      <c r="E1178" s="1" t="s">
        <v>3157</v>
      </c>
      <c r="F1178" s="1" t="s">
        <v>3158</v>
      </c>
      <c r="G1178" s="1" t="s">
        <v>3159</v>
      </c>
      <c r="H1178" s="1" t="s">
        <v>18</v>
      </c>
    </row>
    <row r="1179" spans="1:8">
      <c r="A1179" s="1">
        <v>1178</v>
      </c>
      <c r="B1179" s="1" t="s">
        <v>3160</v>
      </c>
      <c r="C1179" s="1" t="s">
        <v>392</v>
      </c>
      <c r="D1179" s="1" t="s">
        <v>3161</v>
      </c>
      <c r="E1179" s="1" t="s">
        <v>3162</v>
      </c>
      <c r="F1179" s="1" t="s">
        <v>3163</v>
      </c>
      <c r="G1179" s="1" t="s">
        <v>3164</v>
      </c>
      <c r="H1179" s="1" t="s">
        <v>18</v>
      </c>
    </row>
    <row r="1180" spans="1:8">
      <c r="A1180" s="1">
        <v>1179</v>
      </c>
      <c r="B1180" s="1" t="s">
        <v>3160</v>
      </c>
      <c r="C1180" s="1" t="s">
        <v>397</v>
      </c>
      <c r="D1180" s="1" t="s">
        <v>3161</v>
      </c>
      <c r="E1180" s="1" t="s">
        <v>3165</v>
      </c>
      <c r="F1180" s="1" t="s">
        <v>3166</v>
      </c>
      <c r="G1180" s="1" t="s">
        <v>3167</v>
      </c>
      <c r="H1180" s="1" t="s">
        <v>18</v>
      </c>
    </row>
    <row r="1181" spans="1:8">
      <c r="A1181" s="1">
        <v>1180</v>
      </c>
      <c r="B1181" s="1" t="s">
        <v>3160</v>
      </c>
      <c r="C1181" s="1" t="s">
        <v>401</v>
      </c>
      <c r="D1181" s="1" t="s">
        <v>3161</v>
      </c>
      <c r="E1181" s="1" t="s">
        <v>3168</v>
      </c>
      <c r="F1181" s="1" t="s">
        <v>3169</v>
      </c>
      <c r="G1181" s="1" t="s">
        <v>3170</v>
      </c>
      <c r="H1181" s="1" t="s">
        <v>18</v>
      </c>
    </row>
    <row r="1182" spans="1:8">
      <c r="A1182" s="1">
        <v>1181</v>
      </c>
      <c r="B1182" s="1" t="s">
        <v>3160</v>
      </c>
      <c r="C1182" s="1" t="s">
        <v>405</v>
      </c>
      <c r="D1182" s="1" t="s">
        <v>3161</v>
      </c>
      <c r="E1182" s="1" t="s">
        <v>3171</v>
      </c>
      <c r="F1182" s="1" t="s">
        <v>3172</v>
      </c>
      <c r="G1182" s="1" t="s">
        <v>3173</v>
      </c>
      <c r="H1182" s="1" t="s">
        <v>18</v>
      </c>
    </row>
    <row r="1183" spans="1:8">
      <c r="A1183" s="1">
        <v>1182</v>
      </c>
      <c r="B1183" s="1" t="s">
        <v>3160</v>
      </c>
      <c r="C1183" s="1" t="s">
        <v>409</v>
      </c>
      <c r="D1183" s="1" t="s">
        <v>3161</v>
      </c>
      <c r="E1183" s="1" t="s">
        <v>3174</v>
      </c>
      <c r="F1183" s="1" t="s">
        <v>3175</v>
      </c>
      <c r="G1183" s="1" t="s">
        <v>3176</v>
      </c>
      <c r="H1183" s="1" t="s">
        <v>18</v>
      </c>
    </row>
    <row r="1184" spans="1:8">
      <c r="A1184" s="1">
        <v>1183</v>
      </c>
      <c r="B1184" s="1" t="s">
        <v>3160</v>
      </c>
      <c r="C1184" s="1" t="s">
        <v>413</v>
      </c>
      <c r="D1184" s="1" t="s">
        <v>3161</v>
      </c>
      <c r="E1184" s="1" t="s">
        <v>3177</v>
      </c>
      <c r="F1184" s="1" t="s">
        <v>3178</v>
      </c>
      <c r="G1184" s="1" t="s">
        <v>3179</v>
      </c>
      <c r="H1184" s="1" t="s">
        <v>18</v>
      </c>
    </row>
    <row r="1185" spans="1:8">
      <c r="A1185" s="1">
        <v>1184</v>
      </c>
      <c r="B1185" s="1" t="s">
        <v>3160</v>
      </c>
      <c r="C1185" s="1" t="s">
        <v>417</v>
      </c>
      <c r="D1185" s="1" t="s">
        <v>3161</v>
      </c>
      <c r="E1185" s="1" t="s">
        <v>3180</v>
      </c>
      <c r="F1185" s="1" t="s">
        <v>3181</v>
      </c>
      <c r="G1185" s="1" t="s">
        <v>3182</v>
      </c>
      <c r="H1185" s="1" t="s">
        <v>18</v>
      </c>
    </row>
    <row r="1186" spans="1:8">
      <c r="A1186" s="1">
        <v>1185</v>
      </c>
      <c r="B1186" s="1" t="s">
        <v>3183</v>
      </c>
      <c r="C1186" s="1" t="s">
        <v>251</v>
      </c>
      <c r="D1186" s="1" t="s">
        <v>3184</v>
      </c>
      <c r="E1186" s="1" t="s">
        <v>3185</v>
      </c>
      <c r="F1186" s="1" t="s">
        <v>3186</v>
      </c>
      <c r="G1186" s="1" t="s">
        <v>3187</v>
      </c>
      <c r="H1186" s="1" t="s">
        <v>18</v>
      </c>
    </row>
    <row r="1187" spans="1:8">
      <c r="A1187" s="1">
        <v>1186</v>
      </c>
      <c r="B1187" s="1" t="s">
        <v>3183</v>
      </c>
      <c r="C1187" s="1" t="s">
        <v>254</v>
      </c>
      <c r="D1187" s="1" t="s">
        <v>3184</v>
      </c>
      <c r="E1187" s="1" t="s">
        <v>3188</v>
      </c>
      <c r="F1187" s="1" t="s">
        <v>3189</v>
      </c>
      <c r="G1187" s="1" t="s">
        <v>3190</v>
      </c>
      <c r="H1187" s="1" t="s">
        <v>18</v>
      </c>
    </row>
    <row r="1188" spans="1:8">
      <c r="A1188" s="1">
        <v>1187</v>
      </c>
      <c r="B1188" s="1" t="s">
        <v>3183</v>
      </c>
      <c r="C1188" s="1" t="s">
        <v>256</v>
      </c>
      <c r="D1188" s="1" t="s">
        <v>3184</v>
      </c>
      <c r="E1188" s="1" t="s">
        <v>3191</v>
      </c>
      <c r="F1188" s="1" t="s">
        <v>3192</v>
      </c>
      <c r="G1188" s="1" t="s">
        <v>3193</v>
      </c>
      <c r="H1188" s="1" t="s">
        <v>18</v>
      </c>
    </row>
    <row r="1189" spans="1:8">
      <c r="A1189" s="1">
        <v>1188</v>
      </c>
      <c r="B1189" s="1" t="s">
        <v>3183</v>
      </c>
      <c r="C1189" s="1" t="s">
        <v>260</v>
      </c>
      <c r="D1189" s="1" t="s">
        <v>3184</v>
      </c>
      <c r="E1189" s="1" t="s">
        <v>3194</v>
      </c>
      <c r="F1189" s="1" t="s">
        <v>3195</v>
      </c>
      <c r="G1189" s="1" t="s">
        <v>3196</v>
      </c>
      <c r="H1189" s="1" t="s">
        <v>18</v>
      </c>
    </row>
    <row r="1190" spans="1:8">
      <c r="A1190" s="1">
        <v>1189</v>
      </c>
      <c r="B1190" s="1" t="s">
        <v>3183</v>
      </c>
      <c r="C1190" s="1" t="s">
        <v>262</v>
      </c>
      <c r="D1190" s="1" t="s">
        <v>3184</v>
      </c>
      <c r="E1190" s="1" t="s">
        <v>3197</v>
      </c>
      <c r="F1190" s="1" t="s">
        <v>3198</v>
      </c>
      <c r="G1190" s="1" t="s">
        <v>3199</v>
      </c>
      <c r="H1190" s="1" t="s">
        <v>18</v>
      </c>
    </row>
    <row r="1191" spans="1:8">
      <c r="A1191" s="1">
        <v>1190</v>
      </c>
      <c r="B1191" s="1" t="s">
        <v>3183</v>
      </c>
      <c r="C1191" s="1" t="s">
        <v>264</v>
      </c>
      <c r="D1191" s="1" t="s">
        <v>3184</v>
      </c>
      <c r="E1191" s="1" t="s">
        <v>3200</v>
      </c>
      <c r="F1191" s="1" t="s">
        <v>3201</v>
      </c>
      <c r="G1191" s="1" t="s">
        <v>3202</v>
      </c>
      <c r="H1191" s="1" t="s">
        <v>18</v>
      </c>
    </row>
    <row r="1192" spans="1:8">
      <c r="A1192" s="1">
        <v>1191</v>
      </c>
      <c r="B1192" s="1" t="s">
        <v>3203</v>
      </c>
      <c r="C1192" s="1" t="s">
        <v>131</v>
      </c>
      <c r="D1192" s="1" t="s">
        <v>3204</v>
      </c>
      <c r="E1192" s="1" t="s">
        <v>3205</v>
      </c>
      <c r="F1192" s="1" t="s">
        <v>3206</v>
      </c>
      <c r="G1192" s="1" t="s">
        <v>3207</v>
      </c>
      <c r="H1192" s="1" t="s">
        <v>18</v>
      </c>
    </row>
    <row r="1193" spans="1:8">
      <c r="A1193" s="1">
        <v>1192</v>
      </c>
      <c r="B1193" s="1" t="s">
        <v>3203</v>
      </c>
      <c r="C1193" s="1" t="s">
        <v>136</v>
      </c>
      <c r="D1193" s="1" t="s">
        <v>3204</v>
      </c>
      <c r="E1193" s="1" t="s">
        <v>3208</v>
      </c>
      <c r="F1193" s="1" t="s">
        <v>3209</v>
      </c>
      <c r="G1193" s="1" t="s">
        <v>3210</v>
      </c>
      <c r="H1193" s="1" t="s">
        <v>18</v>
      </c>
    </row>
    <row r="1194" spans="1:8">
      <c r="A1194" s="1">
        <v>1193</v>
      </c>
      <c r="B1194" s="1" t="s">
        <v>3203</v>
      </c>
      <c r="C1194" s="1" t="s">
        <v>138</v>
      </c>
      <c r="D1194" s="1" t="s">
        <v>3204</v>
      </c>
      <c r="E1194" s="1" t="s">
        <v>3211</v>
      </c>
      <c r="F1194" s="1" t="s">
        <v>3212</v>
      </c>
      <c r="G1194" s="1" t="s">
        <v>3213</v>
      </c>
      <c r="H1194" s="1" t="s">
        <v>18</v>
      </c>
    </row>
    <row r="1195" spans="1:8">
      <c r="A1195" s="1">
        <v>1194</v>
      </c>
      <c r="B1195" s="1" t="s">
        <v>3203</v>
      </c>
      <c r="C1195" s="1" t="s">
        <v>140</v>
      </c>
      <c r="D1195" s="1" t="s">
        <v>3204</v>
      </c>
      <c r="E1195" s="1" t="s">
        <v>3214</v>
      </c>
      <c r="F1195" s="1" t="s">
        <v>3215</v>
      </c>
      <c r="G1195" s="1" t="s">
        <v>3216</v>
      </c>
      <c r="H1195" s="1" t="s">
        <v>18</v>
      </c>
    </row>
    <row r="1196" spans="1:8">
      <c r="A1196" s="1">
        <v>1195</v>
      </c>
      <c r="B1196" s="1" t="s">
        <v>3203</v>
      </c>
      <c r="C1196" s="1" t="s">
        <v>142</v>
      </c>
      <c r="D1196" s="1" t="s">
        <v>3204</v>
      </c>
      <c r="E1196" s="1" t="s">
        <v>3217</v>
      </c>
      <c r="F1196" s="1" t="s">
        <v>3218</v>
      </c>
      <c r="G1196" s="1" t="s">
        <v>3219</v>
      </c>
      <c r="H1196" s="1" t="s">
        <v>18</v>
      </c>
    </row>
    <row r="1197" spans="1:8">
      <c r="A1197" s="1">
        <v>1196</v>
      </c>
      <c r="B1197" s="1" t="s">
        <v>3203</v>
      </c>
      <c r="C1197" s="1" t="s">
        <v>144</v>
      </c>
      <c r="D1197" s="1" t="s">
        <v>3204</v>
      </c>
      <c r="E1197" s="1" t="s">
        <v>3220</v>
      </c>
      <c r="F1197" s="1" t="s">
        <v>3221</v>
      </c>
      <c r="G1197" s="1" t="s">
        <v>3222</v>
      </c>
      <c r="H1197" s="1" t="s">
        <v>18</v>
      </c>
    </row>
    <row r="1198" spans="1:8">
      <c r="A1198" s="1">
        <v>1197</v>
      </c>
      <c r="B1198" s="1" t="s">
        <v>3203</v>
      </c>
      <c r="C1198" s="1" t="s">
        <v>146</v>
      </c>
      <c r="D1198" s="1" t="s">
        <v>3204</v>
      </c>
      <c r="E1198" s="1" t="s">
        <v>3223</v>
      </c>
      <c r="F1198" s="1" t="s">
        <v>3224</v>
      </c>
      <c r="G1198" s="1" t="s">
        <v>3225</v>
      </c>
      <c r="H1198" s="1" t="s">
        <v>18</v>
      </c>
    </row>
    <row r="1199" spans="1:8">
      <c r="A1199" s="1">
        <v>1198</v>
      </c>
      <c r="B1199" s="1" t="s">
        <v>3203</v>
      </c>
      <c r="C1199" s="1" t="s">
        <v>148</v>
      </c>
      <c r="D1199" s="1" t="s">
        <v>3204</v>
      </c>
      <c r="E1199" s="1" t="s">
        <v>3226</v>
      </c>
      <c r="F1199" s="1" t="s">
        <v>3227</v>
      </c>
      <c r="G1199" s="1" t="s">
        <v>3228</v>
      </c>
      <c r="H1199" s="1" t="s">
        <v>18</v>
      </c>
    </row>
    <row r="1200" spans="1:8">
      <c r="A1200" s="1">
        <v>1199</v>
      </c>
      <c r="B1200" s="1" t="s">
        <v>3203</v>
      </c>
      <c r="C1200" s="1" t="s">
        <v>150</v>
      </c>
      <c r="D1200" s="1" t="s">
        <v>3204</v>
      </c>
      <c r="E1200" s="1" t="s">
        <v>3229</v>
      </c>
      <c r="F1200" s="1" t="s">
        <v>1819</v>
      </c>
      <c r="G1200" s="1" t="s">
        <v>1820</v>
      </c>
      <c r="H1200" s="1" t="s">
        <v>18</v>
      </c>
    </row>
    <row r="1201" spans="1:8">
      <c r="A1201" s="1">
        <v>1200</v>
      </c>
      <c r="B1201" s="1" t="s">
        <v>3203</v>
      </c>
      <c r="C1201" s="1" t="s">
        <v>152</v>
      </c>
      <c r="D1201" s="1" t="s">
        <v>3204</v>
      </c>
      <c r="E1201" s="1" t="s">
        <v>3230</v>
      </c>
      <c r="F1201" s="1" t="s">
        <v>3231</v>
      </c>
      <c r="G1201" s="1" t="s">
        <v>3232</v>
      </c>
      <c r="H1201" s="1" t="s">
        <v>18</v>
      </c>
    </row>
    <row r="1202" spans="1:8">
      <c r="A1202" s="1">
        <v>1201</v>
      </c>
      <c r="B1202" s="1" t="s">
        <v>3233</v>
      </c>
      <c r="C1202" s="1" t="s">
        <v>299</v>
      </c>
      <c r="D1202" s="1" t="s">
        <v>3234</v>
      </c>
      <c r="E1202" s="1" t="s">
        <v>3235</v>
      </c>
      <c r="F1202" s="1" t="s">
        <v>3206</v>
      </c>
      <c r="G1202" s="1" t="s">
        <v>3207</v>
      </c>
      <c r="H1202" s="1" t="s">
        <v>18</v>
      </c>
    </row>
    <row r="1203" spans="1:8">
      <c r="A1203" s="1">
        <v>1202</v>
      </c>
      <c r="B1203" s="1" t="s">
        <v>3233</v>
      </c>
      <c r="C1203" s="1" t="s">
        <v>304</v>
      </c>
      <c r="D1203" s="1" t="s">
        <v>3234</v>
      </c>
      <c r="E1203" s="1" t="s">
        <v>3236</v>
      </c>
      <c r="F1203" s="1" t="s">
        <v>3209</v>
      </c>
      <c r="G1203" s="1" t="s">
        <v>3210</v>
      </c>
      <c r="H1203" s="1" t="s">
        <v>18</v>
      </c>
    </row>
    <row r="1204" spans="1:8">
      <c r="A1204" s="1">
        <v>1203</v>
      </c>
      <c r="B1204" s="1" t="s">
        <v>3233</v>
      </c>
      <c r="C1204" s="1" t="s">
        <v>308</v>
      </c>
      <c r="D1204" s="1" t="s">
        <v>3234</v>
      </c>
      <c r="E1204" s="1" t="s">
        <v>3237</v>
      </c>
      <c r="F1204" s="1" t="s">
        <v>3212</v>
      </c>
      <c r="G1204" s="1" t="s">
        <v>3213</v>
      </c>
      <c r="H1204" s="1" t="s">
        <v>18</v>
      </c>
    </row>
    <row r="1205" spans="1:8">
      <c r="A1205" s="1">
        <v>1204</v>
      </c>
      <c r="B1205" s="1" t="s">
        <v>3233</v>
      </c>
      <c r="C1205" s="1" t="s">
        <v>312</v>
      </c>
      <c r="D1205" s="1" t="s">
        <v>3234</v>
      </c>
      <c r="E1205" s="1" t="s">
        <v>3238</v>
      </c>
      <c r="F1205" s="1" t="s">
        <v>3215</v>
      </c>
      <c r="G1205" s="1" t="s">
        <v>3216</v>
      </c>
      <c r="H1205" s="1" t="s">
        <v>18</v>
      </c>
    </row>
    <row r="1206" spans="1:8">
      <c r="A1206" s="1">
        <v>1205</v>
      </c>
      <c r="B1206" s="1" t="s">
        <v>3233</v>
      </c>
      <c r="C1206" s="1" t="s">
        <v>316</v>
      </c>
      <c r="D1206" s="1" t="s">
        <v>3234</v>
      </c>
      <c r="E1206" s="1" t="s">
        <v>3239</v>
      </c>
      <c r="F1206" s="1" t="s">
        <v>3221</v>
      </c>
      <c r="G1206" s="1" t="s">
        <v>3222</v>
      </c>
      <c r="H1206" s="1" t="s">
        <v>18</v>
      </c>
    </row>
    <row r="1207" spans="1:8">
      <c r="A1207" s="1">
        <v>1206</v>
      </c>
      <c r="B1207" s="1" t="s">
        <v>3233</v>
      </c>
      <c r="C1207" s="1" t="s">
        <v>320</v>
      </c>
      <c r="D1207" s="1" t="s">
        <v>3234</v>
      </c>
      <c r="E1207" s="1" t="s">
        <v>3240</v>
      </c>
      <c r="F1207" s="1" t="s">
        <v>3224</v>
      </c>
      <c r="G1207" s="1" t="s">
        <v>3225</v>
      </c>
      <c r="H1207" s="1" t="s">
        <v>18</v>
      </c>
    </row>
    <row r="1208" spans="1:8">
      <c r="A1208" s="1">
        <v>1207</v>
      </c>
      <c r="B1208" s="1" t="s">
        <v>3233</v>
      </c>
      <c r="C1208" s="1" t="s">
        <v>324</v>
      </c>
      <c r="D1208" s="1" t="s">
        <v>3234</v>
      </c>
      <c r="E1208" s="1" t="s">
        <v>3241</v>
      </c>
      <c r="F1208" s="1" t="s">
        <v>3227</v>
      </c>
      <c r="G1208" s="1" t="s">
        <v>3228</v>
      </c>
      <c r="H1208" s="1" t="s">
        <v>18</v>
      </c>
    </row>
    <row r="1209" spans="1:8">
      <c r="A1209" s="1">
        <v>1208</v>
      </c>
      <c r="B1209" s="1" t="s">
        <v>3233</v>
      </c>
      <c r="C1209" s="1" t="s">
        <v>328</v>
      </c>
      <c r="D1209" s="1" t="s">
        <v>3234</v>
      </c>
      <c r="E1209" s="1" t="s">
        <v>3242</v>
      </c>
      <c r="F1209" s="1" t="s">
        <v>1819</v>
      </c>
      <c r="G1209" s="1" t="s">
        <v>1820</v>
      </c>
      <c r="H1209" s="1" t="s">
        <v>18</v>
      </c>
    </row>
    <row r="1210" spans="1:8">
      <c r="A1210" s="1">
        <v>1209</v>
      </c>
      <c r="B1210" s="1" t="s">
        <v>3233</v>
      </c>
      <c r="C1210" s="1" t="s">
        <v>332</v>
      </c>
      <c r="D1210" s="1" t="s">
        <v>3234</v>
      </c>
      <c r="E1210" s="1" t="s">
        <v>3243</v>
      </c>
      <c r="F1210" s="1" t="s">
        <v>3244</v>
      </c>
      <c r="G1210" s="1" t="s">
        <v>3245</v>
      </c>
      <c r="H1210" s="1" t="s">
        <v>18</v>
      </c>
    </row>
    <row r="1211" spans="1:8">
      <c r="A1211" s="1">
        <v>1210</v>
      </c>
      <c r="B1211" s="1" t="s">
        <v>3233</v>
      </c>
      <c r="C1211" s="1" t="s">
        <v>336</v>
      </c>
      <c r="D1211" s="1" t="s">
        <v>3234</v>
      </c>
      <c r="E1211" s="1" t="s">
        <v>3246</v>
      </c>
      <c r="F1211" s="1" t="s">
        <v>3247</v>
      </c>
      <c r="G1211" s="1" t="s">
        <v>3248</v>
      </c>
      <c r="H1211" s="1" t="s">
        <v>18</v>
      </c>
    </row>
    <row r="1212" spans="1:8">
      <c r="A1212" s="1">
        <v>1211</v>
      </c>
      <c r="B1212" s="1" t="s">
        <v>3233</v>
      </c>
      <c r="C1212" s="1" t="s">
        <v>340</v>
      </c>
      <c r="D1212" s="1" t="s">
        <v>3234</v>
      </c>
      <c r="E1212" s="1" t="s">
        <v>3249</v>
      </c>
      <c r="F1212" s="1" t="s">
        <v>3231</v>
      </c>
      <c r="G1212" s="1" t="s">
        <v>3232</v>
      </c>
      <c r="H1212" s="1" t="s">
        <v>18</v>
      </c>
    </row>
    <row r="1213" spans="1:8">
      <c r="A1213" s="1">
        <v>1212</v>
      </c>
      <c r="B1213" s="1" t="s">
        <v>3233</v>
      </c>
      <c r="C1213" s="1" t="s">
        <v>344</v>
      </c>
      <c r="D1213" s="1" t="s">
        <v>3234</v>
      </c>
      <c r="E1213" s="1" t="s">
        <v>3250</v>
      </c>
      <c r="F1213" s="1" t="s">
        <v>3251</v>
      </c>
      <c r="G1213" s="1" t="s">
        <v>3252</v>
      </c>
      <c r="H1213" s="1" t="s">
        <v>18</v>
      </c>
    </row>
    <row r="1214" spans="1:8">
      <c r="A1214" s="1">
        <v>1213</v>
      </c>
      <c r="B1214" s="1" t="s">
        <v>3253</v>
      </c>
      <c r="C1214" s="1" t="s">
        <v>251</v>
      </c>
      <c r="D1214" s="1" t="s">
        <v>3254</v>
      </c>
      <c r="E1214" s="1" t="s">
        <v>3255</v>
      </c>
      <c r="F1214" s="1" t="s">
        <v>3206</v>
      </c>
      <c r="G1214" s="1" t="s">
        <v>3207</v>
      </c>
      <c r="H1214" s="1" t="s">
        <v>18</v>
      </c>
    </row>
    <row r="1215" spans="1:8">
      <c r="A1215" s="1">
        <v>1214</v>
      </c>
      <c r="B1215" s="1" t="s">
        <v>3253</v>
      </c>
      <c r="C1215" s="1" t="s">
        <v>254</v>
      </c>
      <c r="D1215" s="1" t="s">
        <v>3254</v>
      </c>
      <c r="E1215" s="1" t="s">
        <v>3256</v>
      </c>
      <c r="F1215" s="1" t="s">
        <v>3209</v>
      </c>
      <c r="G1215" s="1" t="s">
        <v>3210</v>
      </c>
      <c r="H1215" s="1" t="s">
        <v>18</v>
      </c>
    </row>
    <row r="1216" spans="1:8">
      <c r="A1216" s="1">
        <v>1215</v>
      </c>
      <c r="B1216" s="1" t="s">
        <v>3253</v>
      </c>
      <c r="C1216" s="1" t="s">
        <v>256</v>
      </c>
      <c r="D1216" s="1" t="s">
        <v>3254</v>
      </c>
      <c r="E1216" s="1" t="s">
        <v>3257</v>
      </c>
      <c r="F1216" s="1" t="s">
        <v>3215</v>
      </c>
      <c r="G1216" s="1" t="s">
        <v>3216</v>
      </c>
      <c r="H1216" s="1" t="s">
        <v>18</v>
      </c>
    </row>
    <row r="1217" spans="1:8">
      <c r="A1217" s="1">
        <v>1216</v>
      </c>
      <c r="B1217" s="1" t="s">
        <v>3253</v>
      </c>
      <c r="C1217" s="1" t="s">
        <v>260</v>
      </c>
      <c r="D1217" s="1" t="s">
        <v>3254</v>
      </c>
      <c r="E1217" s="1" t="s">
        <v>3258</v>
      </c>
      <c r="F1217" s="1" t="s">
        <v>3221</v>
      </c>
      <c r="G1217" s="1" t="s">
        <v>3222</v>
      </c>
      <c r="H1217" s="1" t="s">
        <v>18</v>
      </c>
    </row>
    <row r="1218" spans="1:8">
      <c r="A1218" s="1">
        <v>1217</v>
      </c>
      <c r="B1218" s="1" t="s">
        <v>3253</v>
      </c>
      <c r="C1218" s="1" t="s">
        <v>262</v>
      </c>
      <c r="D1218" s="1" t="s">
        <v>3254</v>
      </c>
      <c r="E1218" s="1" t="s">
        <v>3259</v>
      </c>
      <c r="F1218" s="1" t="s">
        <v>1819</v>
      </c>
      <c r="G1218" s="1" t="s">
        <v>1820</v>
      </c>
      <c r="H1218" s="1" t="s">
        <v>18</v>
      </c>
    </row>
    <row r="1219" spans="1:8">
      <c r="A1219" s="1">
        <v>1218</v>
      </c>
      <c r="B1219" s="1" t="s">
        <v>3253</v>
      </c>
      <c r="C1219" s="1" t="s">
        <v>264</v>
      </c>
      <c r="D1219" s="1" t="s">
        <v>3254</v>
      </c>
      <c r="E1219" s="1" t="s">
        <v>3260</v>
      </c>
      <c r="F1219" s="1" t="s">
        <v>3231</v>
      </c>
      <c r="G1219" s="1" t="s">
        <v>3232</v>
      </c>
      <c r="H1219" s="1" t="s">
        <v>18</v>
      </c>
    </row>
    <row r="1220" spans="1:8">
      <c r="A1220" s="1">
        <v>1219</v>
      </c>
      <c r="B1220" s="1" t="s">
        <v>3261</v>
      </c>
      <c r="C1220" s="1" t="s">
        <v>131</v>
      </c>
      <c r="D1220" s="1" t="s">
        <v>3262</v>
      </c>
      <c r="E1220" s="1" t="s">
        <v>3263</v>
      </c>
      <c r="F1220" s="1" t="s">
        <v>12</v>
      </c>
      <c r="G1220" s="1" t="s">
        <v>13</v>
      </c>
      <c r="H1220" s="1" t="s">
        <v>18</v>
      </c>
    </row>
    <row r="1221" spans="1:8">
      <c r="A1221" s="1">
        <v>1220</v>
      </c>
      <c r="B1221" s="1" t="s">
        <v>3261</v>
      </c>
      <c r="C1221" s="1" t="s">
        <v>136</v>
      </c>
      <c r="D1221" s="1" t="s">
        <v>3262</v>
      </c>
      <c r="E1221" s="1" t="s">
        <v>3264</v>
      </c>
      <c r="F1221" s="1" t="s">
        <v>16</v>
      </c>
      <c r="G1221" s="1" t="s">
        <v>17</v>
      </c>
      <c r="H1221" s="1" t="s">
        <v>18</v>
      </c>
    </row>
    <row r="1222" spans="1:8">
      <c r="A1222" s="1">
        <v>1221</v>
      </c>
      <c r="B1222" s="1" t="s">
        <v>3261</v>
      </c>
      <c r="C1222" s="1" t="s">
        <v>138</v>
      </c>
      <c r="D1222" s="1" t="s">
        <v>3262</v>
      </c>
      <c r="E1222" s="1" t="s">
        <v>3265</v>
      </c>
      <c r="F1222" s="1" t="s">
        <v>21</v>
      </c>
      <c r="G1222" s="1" t="s">
        <v>22</v>
      </c>
      <c r="H1222" s="1" t="s">
        <v>18</v>
      </c>
    </row>
    <row r="1223" spans="1:8">
      <c r="A1223" s="1">
        <v>1222</v>
      </c>
      <c r="B1223" s="1" t="s">
        <v>3261</v>
      </c>
      <c r="C1223" s="1" t="s">
        <v>140</v>
      </c>
      <c r="D1223" s="1" t="s">
        <v>3262</v>
      </c>
      <c r="E1223" s="1" t="s">
        <v>3266</v>
      </c>
      <c r="F1223" s="1" t="s">
        <v>37</v>
      </c>
      <c r="G1223" s="1" t="s">
        <v>38</v>
      </c>
      <c r="H1223" s="1" t="s">
        <v>18</v>
      </c>
    </row>
    <row r="1224" spans="1:8">
      <c r="A1224" s="1">
        <v>1223</v>
      </c>
      <c r="B1224" s="1" t="s">
        <v>3261</v>
      </c>
      <c r="C1224" s="1" t="s">
        <v>142</v>
      </c>
      <c r="D1224" s="1" t="s">
        <v>3262</v>
      </c>
      <c r="E1224" s="1" t="s">
        <v>3267</v>
      </c>
      <c r="F1224" s="1" t="s">
        <v>41</v>
      </c>
      <c r="G1224" s="1" t="s">
        <v>42</v>
      </c>
      <c r="H1224" s="1" t="s">
        <v>18</v>
      </c>
    </row>
    <row r="1225" spans="1:8">
      <c r="A1225" s="1">
        <v>1224</v>
      </c>
      <c r="B1225" s="1" t="s">
        <v>3261</v>
      </c>
      <c r="C1225" s="1" t="s">
        <v>144</v>
      </c>
      <c r="D1225" s="1" t="s">
        <v>3262</v>
      </c>
      <c r="E1225" s="1" t="s">
        <v>3268</v>
      </c>
      <c r="F1225" s="1" t="s">
        <v>1711</v>
      </c>
      <c r="G1225" s="1" t="s">
        <v>1712</v>
      </c>
      <c r="H1225" s="1" t="s">
        <v>18</v>
      </c>
    </row>
    <row r="1226" spans="1:8">
      <c r="A1226" s="1">
        <v>1225</v>
      </c>
      <c r="B1226" s="1" t="s">
        <v>3261</v>
      </c>
      <c r="C1226" s="1" t="s">
        <v>146</v>
      </c>
      <c r="D1226" s="1" t="s">
        <v>3262</v>
      </c>
      <c r="E1226" s="1" t="s">
        <v>3269</v>
      </c>
      <c r="F1226" s="1" t="s">
        <v>29</v>
      </c>
      <c r="G1226" s="1" t="s">
        <v>30</v>
      </c>
      <c r="H1226" s="1" t="s">
        <v>18</v>
      </c>
    </row>
    <row r="1227" spans="1:8">
      <c r="A1227" s="1">
        <v>1226</v>
      </c>
      <c r="B1227" s="1" t="s">
        <v>3261</v>
      </c>
      <c r="C1227" s="1" t="s">
        <v>148</v>
      </c>
      <c r="D1227" s="1" t="s">
        <v>3262</v>
      </c>
      <c r="E1227" s="1" t="s">
        <v>3270</v>
      </c>
      <c r="F1227" s="1" t="s">
        <v>1680</v>
      </c>
      <c r="G1227" s="1" t="s">
        <v>1681</v>
      </c>
      <c r="H1227" s="1" t="s">
        <v>18</v>
      </c>
    </row>
    <row r="1228" spans="1:8">
      <c r="A1228" s="1">
        <v>1227</v>
      </c>
      <c r="B1228" s="1" t="s">
        <v>3261</v>
      </c>
      <c r="C1228" s="1" t="s">
        <v>150</v>
      </c>
      <c r="D1228" s="1" t="s">
        <v>3262</v>
      </c>
      <c r="E1228" s="1" t="s">
        <v>3271</v>
      </c>
      <c r="F1228" s="1" t="s">
        <v>1755</v>
      </c>
      <c r="G1228" s="1" t="s">
        <v>1756</v>
      </c>
      <c r="H1228" s="1" t="s">
        <v>18</v>
      </c>
    </row>
    <row r="1229" spans="1:8">
      <c r="A1229" s="1">
        <v>1228</v>
      </c>
      <c r="B1229" s="1" t="s">
        <v>3261</v>
      </c>
      <c r="C1229" s="1" t="s">
        <v>152</v>
      </c>
      <c r="D1229" s="1" t="s">
        <v>3262</v>
      </c>
      <c r="E1229" s="1" t="s">
        <v>3272</v>
      </c>
      <c r="F1229" s="1" t="s">
        <v>1758</v>
      </c>
      <c r="G1229" s="1" t="s">
        <v>1759</v>
      </c>
      <c r="H1229" s="1" t="s">
        <v>18</v>
      </c>
    </row>
    <row r="1230" spans="1:8">
      <c r="A1230" s="1">
        <v>1229</v>
      </c>
      <c r="B1230" s="1" t="s">
        <v>3273</v>
      </c>
      <c r="C1230" s="1" t="s">
        <v>299</v>
      </c>
      <c r="D1230" s="1" t="s">
        <v>3274</v>
      </c>
      <c r="E1230" s="1" t="s">
        <v>3275</v>
      </c>
      <c r="F1230" s="1" t="s">
        <v>3276</v>
      </c>
      <c r="G1230" s="1" t="s">
        <v>3277</v>
      </c>
      <c r="H1230" s="1" t="s">
        <v>18</v>
      </c>
    </row>
    <row r="1231" spans="1:8">
      <c r="A1231" s="1">
        <v>1230</v>
      </c>
      <c r="B1231" s="1" t="s">
        <v>3273</v>
      </c>
      <c r="C1231" s="1" t="s">
        <v>304</v>
      </c>
      <c r="D1231" s="1" t="s">
        <v>3274</v>
      </c>
      <c r="E1231" s="1" t="s">
        <v>3278</v>
      </c>
      <c r="F1231" s="1" t="s">
        <v>1725</v>
      </c>
      <c r="G1231" s="1" t="s">
        <v>1726</v>
      </c>
      <c r="H1231" s="1" t="s">
        <v>18</v>
      </c>
    </row>
    <row r="1232" spans="1:8">
      <c r="A1232" s="1">
        <v>1231</v>
      </c>
      <c r="B1232" s="1" t="s">
        <v>3273</v>
      </c>
      <c r="C1232" s="1" t="s">
        <v>308</v>
      </c>
      <c r="D1232" s="1" t="s">
        <v>3274</v>
      </c>
      <c r="E1232" s="1" t="s">
        <v>3279</v>
      </c>
      <c r="F1232" s="1" t="s">
        <v>1728</v>
      </c>
      <c r="G1232" s="1" t="s">
        <v>1729</v>
      </c>
      <c r="H1232" s="1" t="s">
        <v>18</v>
      </c>
    </row>
    <row r="1233" spans="1:8">
      <c r="A1233" s="1">
        <v>1232</v>
      </c>
      <c r="B1233" s="1" t="s">
        <v>3273</v>
      </c>
      <c r="C1233" s="1" t="s">
        <v>312</v>
      </c>
      <c r="D1233" s="1" t="s">
        <v>3274</v>
      </c>
      <c r="E1233" s="1" t="s">
        <v>3280</v>
      </c>
      <c r="F1233" s="1" t="s">
        <v>3281</v>
      </c>
      <c r="G1233" s="1" t="s">
        <v>3282</v>
      </c>
      <c r="H1233" s="1" t="s">
        <v>18</v>
      </c>
    </row>
    <row r="1234" spans="1:8">
      <c r="A1234" s="1">
        <v>1233</v>
      </c>
      <c r="B1234" s="1" t="s">
        <v>3273</v>
      </c>
      <c r="C1234" s="1" t="s">
        <v>316</v>
      </c>
      <c r="D1234" s="1" t="s">
        <v>3274</v>
      </c>
      <c r="E1234" s="1" t="s">
        <v>3283</v>
      </c>
      <c r="F1234" s="1" t="s">
        <v>33</v>
      </c>
      <c r="G1234" s="1" t="s">
        <v>34</v>
      </c>
      <c r="H1234" s="1" t="s">
        <v>18</v>
      </c>
    </row>
    <row r="1235" spans="1:8">
      <c r="A1235" s="1">
        <v>1234</v>
      </c>
      <c r="B1235" s="1" t="s">
        <v>3273</v>
      </c>
      <c r="C1235" s="1" t="s">
        <v>320</v>
      </c>
      <c r="D1235" s="1" t="s">
        <v>3274</v>
      </c>
      <c r="E1235" s="1" t="s">
        <v>3284</v>
      </c>
      <c r="F1235" s="1" t="s">
        <v>37</v>
      </c>
      <c r="G1235" s="1" t="s">
        <v>38</v>
      </c>
      <c r="H1235" s="1" t="s">
        <v>18</v>
      </c>
    </row>
    <row r="1236" spans="1:8">
      <c r="A1236" s="1">
        <v>1235</v>
      </c>
      <c r="B1236" s="1" t="s">
        <v>3273</v>
      </c>
      <c r="C1236" s="1" t="s">
        <v>324</v>
      </c>
      <c r="D1236" s="1" t="s">
        <v>3274</v>
      </c>
      <c r="E1236" s="1" t="s">
        <v>3285</v>
      </c>
      <c r="F1236" s="1" t="s">
        <v>1677</v>
      </c>
      <c r="G1236" s="1" t="s">
        <v>1678</v>
      </c>
      <c r="H1236" s="1" t="s">
        <v>18</v>
      </c>
    </row>
    <row r="1237" spans="1:8">
      <c r="A1237" s="1">
        <v>1236</v>
      </c>
      <c r="B1237" s="1" t="s">
        <v>3273</v>
      </c>
      <c r="C1237" s="1" t="s">
        <v>328</v>
      </c>
      <c r="D1237" s="1" t="s">
        <v>3274</v>
      </c>
      <c r="E1237" s="1" t="s">
        <v>3286</v>
      </c>
      <c r="F1237" s="1" t="s">
        <v>1711</v>
      </c>
      <c r="G1237" s="1" t="s">
        <v>1712</v>
      </c>
      <c r="H1237" s="1" t="s">
        <v>18</v>
      </c>
    </row>
    <row r="1238" spans="1:8">
      <c r="A1238" s="1">
        <v>1237</v>
      </c>
      <c r="B1238" s="1" t="s">
        <v>3273</v>
      </c>
      <c r="C1238" s="1" t="s">
        <v>332</v>
      </c>
      <c r="D1238" s="1" t="s">
        <v>3274</v>
      </c>
      <c r="E1238" s="1" t="s">
        <v>3287</v>
      </c>
      <c r="F1238" s="1" t="s">
        <v>29</v>
      </c>
      <c r="G1238" s="1" t="s">
        <v>30</v>
      </c>
      <c r="H1238" s="1" t="s">
        <v>18</v>
      </c>
    </row>
    <row r="1239" spans="1:8">
      <c r="A1239" s="1">
        <v>1238</v>
      </c>
      <c r="B1239" s="1" t="s">
        <v>3273</v>
      </c>
      <c r="C1239" s="1" t="s">
        <v>336</v>
      </c>
      <c r="D1239" s="1" t="s">
        <v>3274</v>
      </c>
      <c r="E1239" s="1" t="s">
        <v>3288</v>
      </c>
      <c r="F1239" s="1" t="s">
        <v>1680</v>
      </c>
      <c r="G1239" s="1" t="s">
        <v>1681</v>
      </c>
      <c r="H1239" s="1" t="s">
        <v>18</v>
      </c>
    </row>
    <row r="1240" spans="1:8">
      <c r="A1240" s="1">
        <v>1239</v>
      </c>
      <c r="B1240" s="1" t="s">
        <v>3273</v>
      </c>
      <c r="C1240" s="1" t="s">
        <v>340</v>
      </c>
      <c r="D1240" s="1" t="s">
        <v>3274</v>
      </c>
      <c r="E1240" s="1" t="s">
        <v>3289</v>
      </c>
      <c r="F1240" s="1" t="s">
        <v>1755</v>
      </c>
      <c r="G1240" s="1" t="s">
        <v>1756</v>
      </c>
      <c r="H1240" s="1" t="s">
        <v>18</v>
      </c>
    </row>
    <row r="1241" spans="1:8">
      <c r="A1241" s="1">
        <v>1240</v>
      </c>
      <c r="B1241" s="1" t="s">
        <v>3273</v>
      </c>
      <c r="C1241" s="1" t="s">
        <v>344</v>
      </c>
      <c r="D1241" s="1" t="s">
        <v>3274</v>
      </c>
      <c r="E1241" s="1" t="s">
        <v>3290</v>
      </c>
      <c r="F1241" s="1" t="s">
        <v>1758</v>
      </c>
      <c r="G1241" s="1" t="s">
        <v>1759</v>
      </c>
      <c r="H1241" s="1" t="s">
        <v>18</v>
      </c>
    </row>
    <row r="1242" spans="1:8">
      <c r="A1242" s="1">
        <v>1241</v>
      </c>
      <c r="B1242" s="1" t="s">
        <v>3291</v>
      </c>
      <c r="C1242" s="1" t="s">
        <v>452</v>
      </c>
      <c r="D1242" s="1" t="s">
        <v>3292</v>
      </c>
      <c r="E1242" s="1" t="s">
        <v>3293</v>
      </c>
      <c r="F1242" s="1" t="s">
        <v>1677</v>
      </c>
      <c r="G1242" s="1" t="s">
        <v>1678</v>
      </c>
      <c r="H1242" s="1" t="s">
        <v>18</v>
      </c>
    </row>
    <row r="1243" spans="1:8">
      <c r="A1243" s="1">
        <v>1242</v>
      </c>
      <c r="B1243" s="1" t="s">
        <v>3291</v>
      </c>
      <c r="C1243" s="1" t="s">
        <v>457</v>
      </c>
      <c r="D1243" s="1" t="s">
        <v>3292</v>
      </c>
      <c r="E1243" s="1" t="s">
        <v>3294</v>
      </c>
      <c r="F1243" s="1" t="s">
        <v>37</v>
      </c>
      <c r="G1243" s="1" t="s">
        <v>38</v>
      </c>
      <c r="H1243" s="1" t="s">
        <v>18</v>
      </c>
    </row>
    <row r="1244" spans="1:8">
      <c r="A1244" s="1">
        <v>1243</v>
      </c>
      <c r="B1244" s="1" t="s">
        <v>3291</v>
      </c>
      <c r="C1244" s="1" t="s">
        <v>461</v>
      </c>
      <c r="D1244" s="1" t="s">
        <v>3292</v>
      </c>
      <c r="E1244" s="1" t="s">
        <v>3295</v>
      </c>
      <c r="F1244" s="1" t="s">
        <v>1725</v>
      </c>
      <c r="G1244" s="1" t="s">
        <v>1726</v>
      </c>
      <c r="H1244" s="1" t="s">
        <v>18</v>
      </c>
    </row>
    <row r="1245" spans="1:8">
      <c r="A1245" s="1">
        <v>1244</v>
      </c>
      <c r="B1245" s="1" t="s">
        <v>3291</v>
      </c>
      <c r="C1245" s="1" t="s">
        <v>465</v>
      </c>
      <c r="D1245" s="1" t="s">
        <v>3292</v>
      </c>
      <c r="E1245" s="1" t="s">
        <v>3296</v>
      </c>
      <c r="F1245" s="1" t="s">
        <v>1728</v>
      </c>
      <c r="G1245" s="1" t="s">
        <v>1729</v>
      </c>
      <c r="H1245" s="1" t="s">
        <v>18</v>
      </c>
    </row>
    <row r="1246" spans="1:8">
      <c r="A1246" s="1">
        <v>1245</v>
      </c>
      <c r="B1246" s="1" t="s">
        <v>3291</v>
      </c>
      <c r="C1246" s="1" t="s">
        <v>469</v>
      </c>
      <c r="D1246" s="1" t="s">
        <v>3292</v>
      </c>
      <c r="E1246" s="1" t="s">
        <v>3297</v>
      </c>
      <c r="F1246" s="1" t="s">
        <v>1731</v>
      </c>
      <c r="G1246" s="1" t="s">
        <v>1732</v>
      </c>
      <c r="H1246" s="1" t="s">
        <v>18</v>
      </c>
    </row>
    <row r="1247" spans="1:8">
      <c r="A1247" s="1">
        <v>1246</v>
      </c>
      <c r="B1247" s="1" t="s">
        <v>3291</v>
      </c>
      <c r="C1247" s="1" t="s">
        <v>473</v>
      </c>
      <c r="D1247" s="1" t="s">
        <v>3292</v>
      </c>
      <c r="E1247" s="1" t="s">
        <v>3298</v>
      </c>
      <c r="F1247" s="1" t="s">
        <v>1734</v>
      </c>
      <c r="G1247" s="1" t="s">
        <v>1735</v>
      </c>
      <c r="H1247" s="1" t="s">
        <v>18</v>
      </c>
    </row>
    <row r="1248" spans="1:8">
      <c r="A1248" s="1">
        <v>1247</v>
      </c>
      <c r="B1248" s="1" t="s">
        <v>3291</v>
      </c>
      <c r="C1248" s="1" t="s">
        <v>477</v>
      </c>
      <c r="D1248" s="1" t="s">
        <v>3292</v>
      </c>
      <c r="E1248" s="1" t="s">
        <v>3299</v>
      </c>
      <c r="F1248" s="1" t="s">
        <v>1737</v>
      </c>
      <c r="G1248" s="1" t="s">
        <v>1738</v>
      </c>
      <c r="H1248" s="1" t="s">
        <v>18</v>
      </c>
    </row>
    <row r="1249" spans="1:8">
      <c r="A1249" s="1">
        <v>1248</v>
      </c>
      <c r="B1249" s="1" t="s">
        <v>3291</v>
      </c>
      <c r="C1249" s="1" t="s">
        <v>481</v>
      </c>
      <c r="D1249" s="1" t="s">
        <v>3292</v>
      </c>
      <c r="E1249" s="1" t="s">
        <v>3300</v>
      </c>
      <c r="F1249" s="1" t="s">
        <v>33</v>
      </c>
      <c r="G1249" s="1" t="s">
        <v>34</v>
      </c>
      <c r="H1249" s="1" t="s">
        <v>18</v>
      </c>
    </row>
    <row r="1250" spans="1:8">
      <c r="A1250" s="1">
        <v>1249</v>
      </c>
      <c r="B1250" s="1" t="s">
        <v>3291</v>
      </c>
      <c r="C1250" s="1" t="s">
        <v>485</v>
      </c>
      <c r="D1250" s="1" t="s">
        <v>3292</v>
      </c>
      <c r="E1250" s="1" t="s">
        <v>3301</v>
      </c>
      <c r="F1250" s="1" t="s">
        <v>1819</v>
      </c>
      <c r="G1250" s="1" t="s">
        <v>1820</v>
      </c>
      <c r="H1250" s="1" t="s">
        <v>18</v>
      </c>
    </row>
    <row r="1251" spans="1:8">
      <c r="A1251" s="1">
        <v>1250</v>
      </c>
      <c r="B1251" s="1" t="s">
        <v>3291</v>
      </c>
      <c r="C1251" s="1" t="s">
        <v>489</v>
      </c>
      <c r="D1251" s="1" t="s">
        <v>3292</v>
      </c>
      <c r="E1251" s="1" t="s">
        <v>3302</v>
      </c>
      <c r="F1251" s="1" t="s">
        <v>1711</v>
      </c>
      <c r="G1251" s="1" t="s">
        <v>1712</v>
      </c>
      <c r="H1251" s="1" t="s">
        <v>18</v>
      </c>
    </row>
    <row r="1252" spans="1:8">
      <c r="A1252" s="1">
        <v>1251</v>
      </c>
      <c r="B1252" s="1" t="s">
        <v>3291</v>
      </c>
      <c r="C1252" s="1" t="s">
        <v>493</v>
      </c>
      <c r="D1252" s="1" t="s">
        <v>3292</v>
      </c>
      <c r="E1252" s="1" t="s">
        <v>3303</v>
      </c>
      <c r="F1252" s="1" t="s">
        <v>29</v>
      </c>
      <c r="G1252" s="1" t="s">
        <v>30</v>
      </c>
      <c r="H1252" s="1" t="s">
        <v>18</v>
      </c>
    </row>
    <row r="1253" spans="1:8">
      <c r="A1253" s="1">
        <v>1252</v>
      </c>
      <c r="B1253" s="1" t="s">
        <v>3291</v>
      </c>
      <c r="C1253" s="1" t="s">
        <v>497</v>
      </c>
      <c r="D1253" s="1" t="s">
        <v>3292</v>
      </c>
      <c r="E1253" s="1" t="s">
        <v>3304</v>
      </c>
      <c r="F1253" s="1" t="s">
        <v>1680</v>
      </c>
      <c r="G1253" s="1" t="s">
        <v>1681</v>
      </c>
      <c r="H1253" s="1" t="s">
        <v>18</v>
      </c>
    </row>
    <row r="1254" spans="1:8">
      <c r="A1254" s="1">
        <v>1253</v>
      </c>
      <c r="B1254" s="1" t="s">
        <v>3291</v>
      </c>
      <c r="C1254" s="1" t="s">
        <v>501</v>
      </c>
      <c r="D1254" s="1" t="s">
        <v>3292</v>
      </c>
      <c r="E1254" s="1" t="s">
        <v>3305</v>
      </c>
      <c r="F1254" s="1" t="s">
        <v>1755</v>
      </c>
      <c r="G1254" s="1" t="s">
        <v>1756</v>
      </c>
      <c r="H1254" s="1" t="s">
        <v>18</v>
      </c>
    </row>
    <row r="1255" spans="1:8">
      <c r="A1255" s="1">
        <v>1254</v>
      </c>
      <c r="B1255" s="1" t="s">
        <v>3291</v>
      </c>
      <c r="C1255" s="1" t="s">
        <v>505</v>
      </c>
      <c r="D1255" s="1" t="s">
        <v>3292</v>
      </c>
      <c r="E1255" s="1" t="s">
        <v>3306</v>
      </c>
      <c r="F1255" s="1" t="s">
        <v>1758</v>
      </c>
      <c r="G1255" s="1" t="s">
        <v>1759</v>
      </c>
      <c r="H1255" s="1" t="s">
        <v>18</v>
      </c>
    </row>
    <row r="1256" spans="1:8">
      <c r="A1256" s="1">
        <v>1255</v>
      </c>
      <c r="B1256" s="1" t="s">
        <v>3307</v>
      </c>
      <c r="C1256" s="1" t="s">
        <v>452</v>
      </c>
      <c r="D1256" s="1" t="s">
        <v>3308</v>
      </c>
      <c r="E1256" s="1" t="s">
        <v>3309</v>
      </c>
      <c r="F1256" s="1" t="s">
        <v>1677</v>
      </c>
      <c r="G1256" s="1" t="s">
        <v>1678</v>
      </c>
      <c r="H1256" s="1" t="s">
        <v>18</v>
      </c>
    </row>
    <row r="1257" spans="1:8">
      <c r="A1257" s="1">
        <v>1256</v>
      </c>
      <c r="B1257" s="1" t="s">
        <v>3307</v>
      </c>
      <c r="C1257" s="1" t="s">
        <v>457</v>
      </c>
      <c r="D1257" s="1" t="s">
        <v>3308</v>
      </c>
      <c r="E1257" s="1" t="s">
        <v>3310</v>
      </c>
      <c r="F1257" s="1" t="s">
        <v>37</v>
      </c>
      <c r="G1257" s="1" t="s">
        <v>38</v>
      </c>
      <c r="H1257" s="1" t="s">
        <v>18</v>
      </c>
    </row>
    <row r="1258" spans="1:8">
      <c r="A1258" s="1">
        <v>1257</v>
      </c>
      <c r="B1258" s="1" t="s">
        <v>3307</v>
      </c>
      <c r="C1258" s="1" t="s">
        <v>461</v>
      </c>
      <c r="D1258" s="1" t="s">
        <v>3308</v>
      </c>
      <c r="E1258" s="1" t="s">
        <v>3311</v>
      </c>
      <c r="F1258" s="1" t="s">
        <v>1725</v>
      </c>
      <c r="G1258" s="1" t="s">
        <v>1726</v>
      </c>
      <c r="H1258" s="1" t="s">
        <v>18</v>
      </c>
    </row>
    <row r="1259" spans="1:8">
      <c r="A1259" s="1">
        <v>1258</v>
      </c>
      <c r="B1259" s="1" t="s">
        <v>3307</v>
      </c>
      <c r="C1259" s="1" t="s">
        <v>465</v>
      </c>
      <c r="D1259" s="1" t="s">
        <v>3308</v>
      </c>
      <c r="E1259" s="1" t="s">
        <v>3312</v>
      </c>
      <c r="F1259" s="1" t="s">
        <v>1728</v>
      </c>
      <c r="G1259" s="1" t="s">
        <v>1729</v>
      </c>
      <c r="H1259" s="1" t="s">
        <v>18</v>
      </c>
    </row>
    <row r="1260" spans="1:8">
      <c r="A1260" s="1">
        <v>1259</v>
      </c>
      <c r="B1260" s="1" t="s">
        <v>3307</v>
      </c>
      <c r="C1260" s="1" t="s">
        <v>469</v>
      </c>
      <c r="D1260" s="1" t="s">
        <v>3308</v>
      </c>
      <c r="E1260" s="1" t="s">
        <v>3313</v>
      </c>
      <c r="F1260" s="1" t="s">
        <v>1731</v>
      </c>
      <c r="G1260" s="1" t="s">
        <v>1732</v>
      </c>
      <c r="H1260" s="1" t="s">
        <v>18</v>
      </c>
    </row>
    <row r="1261" spans="1:8">
      <c r="A1261" s="1">
        <v>1260</v>
      </c>
      <c r="B1261" s="1" t="s">
        <v>3307</v>
      </c>
      <c r="C1261" s="1" t="s">
        <v>473</v>
      </c>
      <c r="D1261" s="1" t="s">
        <v>3308</v>
      </c>
      <c r="E1261" s="1" t="s">
        <v>3314</v>
      </c>
      <c r="F1261" s="1" t="s">
        <v>1734</v>
      </c>
      <c r="G1261" s="1" t="s">
        <v>1735</v>
      </c>
      <c r="H1261" s="1" t="s">
        <v>18</v>
      </c>
    </row>
    <row r="1262" spans="1:8">
      <c r="A1262" s="1">
        <v>1261</v>
      </c>
      <c r="B1262" s="1" t="s">
        <v>3307</v>
      </c>
      <c r="C1262" s="1" t="s">
        <v>477</v>
      </c>
      <c r="D1262" s="1" t="s">
        <v>3308</v>
      </c>
      <c r="E1262" s="1" t="s">
        <v>3315</v>
      </c>
      <c r="F1262" s="1" t="s">
        <v>1737</v>
      </c>
      <c r="G1262" s="1" t="s">
        <v>1738</v>
      </c>
      <c r="H1262" s="1" t="s">
        <v>18</v>
      </c>
    </row>
    <row r="1263" spans="1:8">
      <c r="A1263" s="1">
        <v>1262</v>
      </c>
      <c r="B1263" s="1" t="s">
        <v>3307</v>
      </c>
      <c r="C1263" s="1" t="s">
        <v>481</v>
      </c>
      <c r="D1263" s="1" t="s">
        <v>3308</v>
      </c>
      <c r="E1263" s="1" t="s">
        <v>3316</v>
      </c>
      <c r="F1263" s="1" t="s">
        <v>33</v>
      </c>
      <c r="G1263" s="1" t="s">
        <v>34</v>
      </c>
      <c r="H1263" s="1" t="s">
        <v>18</v>
      </c>
    </row>
    <row r="1264" spans="1:8">
      <c r="A1264" s="1">
        <v>1263</v>
      </c>
      <c r="B1264" s="1" t="s">
        <v>3307</v>
      </c>
      <c r="C1264" s="1" t="s">
        <v>485</v>
      </c>
      <c r="D1264" s="1" t="s">
        <v>3308</v>
      </c>
      <c r="E1264" s="1" t="s">
        <v>3317</v>
      </c>
      <c r="F1264" s="1" t="s">
        <v>1824</v>
      </c>
      <c r="G1264" s="1" t="s">
        <v>1825</v>
      </c>
      <c r="H1264" s="1" t="s">
        <v>18</v>
      </c>
    </row>
    <row r="1265" spans="1:8">
      <c r="A1265" s="1">
        <v>1264</v>
      </c>
      <c r="B1265" s="1" t="s">
        <v>3307</v>
      </c>
      <c r="C1265" s="1" t="s">
        <v>489</v>
      </c>
      <c r="D1265" s="1" t="s">
        <v>3308</v>
      </c>
      <c r="E1265" s="1" t="s">
        <v>3318</v>
      </c>
      <c r="F1265" s="1" t="s">
        <v>1711</v>
      </c>
      <c r="G1265" s="1" t="s">
        <v>1712</v>
      </c>
      <c r="H1265" s="1" t="s">
        <v>18</v>
      </c>
    </row>
    <row r="1266" spans="1:8">
      <c r="A1266" s="1">
        <v>1265</v>
      </c>
      <c r="B1266" s="1" t="s">
        <v>3307</v>
      </c>
      <c r="C1266" s="1" t="s">
        <v>493</v>
      </c>
      <c r="D1266" s="1" t="s">
        <v>3308</v>
      </c>
      <c r="E1266" s="1" t="s">
        <v>3319</v>
      </c>
      <c r="F1266" s="1" t="s">
        <v>29</v>
      </c>
      <c r="G1266" s="1" t="s">
        <v>30</v>
      </c>
      <c r="H1266" s="1" t="s">
        <v>18</v>
      </c>
    </row>
    <row r="1267" spans="1:8">
      <c r="A1267" s="1">
        <v>1266</v>
      </c>
      <c r="B1267" s="1" t="s">
        <v>3307</v>
      </c>
      <c r="C1267" s="1" t="s">
        <v>497</v>
      </c>
      <c r="D1267" s="1" t="s">
        <v>3308</v>
      </c>
      <c r="E1267" s="1" t="s">
        <v>3320</v>
      </c>
      <c r="F1267" s="1" t="s">
        <v>1680</v>
      </c>
      <c r="G1267" s="1" t="s">
        <v>1681</v>
      </c>
      <c r="H1267" s="1" t="s">
        <v>18</v>
      </c>
    </row>
    <row r="1268" spans="1:8">
      <c r="A1268" s="1">
        <v>1267</v>
      </c>
      <c r="B1268" s="1" t="s">
        <v>3307</v>
      </c>
      <c r="C1268" s="1" t="s">
        <v>501</v>
      </c>
      <c r="D1268" s="1" t="s">
        <v>3308</v>
      </c>
      <c r="E1268" s="1" t="s">
        <v>3321</v>
      </c>
      <c r="F1268" s="1" t="s">
        <v>1755</v>
      </c>
      <c r="G1268" s="1" t="s">
        <v>1756</v>
      </c>
      <c r="H1268" s="1" t="s">
        <v>18</v>
      </c>
    </row>
    <row r="1269" spans="1:8">
      <c r="A1269" s="1">
        <v>1268</v>
      </c>
      <c r="B1269" s="1" t="s">
        <v>3307</v>
      </c>
      <c r="C1269" s="1" t="s">
        <v>505</v>
      </c>
      <c r="D1269" s="1" t="s">
        <v>3308</v>
      </c>
      <c r="E1269" s="1" t="s">
        <v>3322</v>
      </c>
      <c r="F1269" s="1" t="s">
        <v>1758</v>
      </c>
      <c r="G1269" s="1" t="s">
        <v>1759</v>
      </c>
      <c r="H1269" s="1" t="s">
        <v>18</v>
      </c>
    </row>
    <row r="1270" spans="1:8">
      <c r="A1270" s="1">
        <v>1269</v>
      </c>
      <c r="B1270" s="1" t="s">
        <v>3323</v>
      </c>
      <c r="C1270" s="1" t="s">
        <v>93</v>
      </c>
      <c r="D1270" s="1" t="s">
        <v>3324</v>
      </c>
      <c r="E1270" s="1" t="s">
        <v>3325</v>
      </c>
      <c r="F1270" s="1" t="s">
        <v>3206</v>
      </c>
      <c r="G1270" s="1" t="s">
        <v>3207</v>
      </c>
      <c r="H1270" s="1" t="s">
        <v>18</v>
      </c>
    </row>
    <row r="1271" spans="1:8">
      <c r="A1271" s="1">
        <v>1270</v>
      </c>
      <c r="B1271" s="1" t="s">
        <v>3323</v>
      </c>
      <c r="C1271" s="1" t="s">
        <v>98</v>
      </c>
      <c r="D1271" s="1" t="s">
        <v>3324</v>
      </c>
      <c r="E1271" s="1" t="s">
        <v>3326</v>
      </c>
      <c r="F1271" s="1" t="s">
        <v>3209</v>
      </c>
      <c r="G1271" s="1" t="s">
        <v>3210</v>
      </c>
      <c r="H1271" s="1" t="s">
        <v>18</v>
      </c>
    </row>
    <row r="1272" spans="1:8">
      <c r="A1272" s="1">
        <v>1271</v>
      </c>
      <c r="B1272" s="1" t="s">
        <v>3323</v>
      </c>
      <c r="C1272" s="1" t="s">
        <v>102</v>
      </c>
      <c r="D1272" s="1" t="s">
        <v>3324</v>
      </c>
      <c r="E1272" s="1" t="s">
        <v>3327</v>
      </c>
      <c r="F1272" s="1" t="s">
        <v>3212</v>
      </c>
      <c r="G1272" s="1" t="s">
        <v>3213</v>
      </c>
      <c r="H1272" s="1" t="s">
        <v>18</v>
      </c>
    </row>
    <row r="1273" spans="1:8">
      <c r="A1273" s="1">
        <v>1272</v>
      </c>
      <c r="B1273" s="1" t="s">
        <v>3323</v>
      </c>
      <c r="C1273" s="1" t="s">
        <v>106</v>
      </c>
      <c r="D1273" s="1" t="s">
        <v>3324</v>
      </c>
      <c r="E1273" s="1" t="s">
        <v>3328</v>
      </c>
      <c r="F1273" s="1" t="s">
        <v>3215</v>
      </c>
      <c r="G1273" s="1" t="s">
        <v>3216</v>
      </c>
      <c r="H1273" s="1" t="s">
        <v>18</v>
      </c>
    </row>
    <row r="1274" spans="1:8">
      <c r="A1274" s="1">
        <v>1273</v>
      </c>
      <c r="B1274" s="1" t="s">
        <v>3323</v>
      </c>
      <c r="C1274" s="1" t="s">
        <v>110</v>
      </c>
      <c r="D1274" s="1" t="s">
        <v>3324</v>
      </c>
      <c r="E1274" s="1" t="s">
        <v>3329</v>
      </c>
      <c r="F1274" s="1" t="s">
        <v>3221</v>
      </c>
      <c r="G1274" s="1" t="s">
        <v>3222</v>
      </c>
      <c r="H1274" s="1" t="s">
        <v>18</v>
      </c>
    </row>
    <row r="1275" spans="1:8">
      <c r="A1275" s="1">
        <v>1274</v>
      </c>
      <c r="B1275" s="1" t="s">
        <v>3323</v>
      </c>
      <c r="C1275" s="1" t="s">
        <v>114</v>
      </c>
      <c r="D1275" s="1" t="s">
        <v>3324</v>
      </c>
      <c r="E1275" s="1" t="s">
        <v>3330</v>
      </c>
      <c r="F1275" s="1" t="s">
        <v>1819</v>
      </c>
      <c r="G1275" s="1" t="s">
        <v>1820</v>
      </c>
      <c r="H1275" s="1" t="s">
        <v>18</v>
      </c>
    </row>
    <row r="1276" spans="1:8">
      <c r="A1276" s="1">
        <v>1275</v>
      </c>
      <c r="B1276" s="1" t="s">
        <v>3323</v>
      </c>
      <c r="C1276" s="1" t="s">
        <v>118</v>
      </c>
      <c r="D1276" s="1" t="s">
        <v>3324</v>
      </c>
      <c r="E1276" s="1" t="s">
        <v>3331</v>
      </c>
      <c r="F1276" s="1" t="s">
        <v>3244</v>
      </c>
      <c r="G1276" s="1" t="s">
        <v>3245</v>
      </c>
      <c r="H1276" s="1" t="s">
        <v>18</v>
      </c>
    </row>
    <row r="1277" spans="1:8">
      <c r="A1277" s="1">
        <v>1276</v>
      </c>
      <c r="B1277" s="1" t="s">
        <v>3323</v>
      </c>
      <c r="C1277" s="1" t="s">
        <v>122</v>
      </c>
      <c r="D1277" s="1" t="s">
        <v>3324</v>
      </c>
      <c r="E1277" s="1" t="s">
        <v>3332</v>
      </c>
      <c r="F1277" s="1" t="s">
        <v>3247</v>
      </c>
      <c r="G1277" s="1" t="s">
        <v>3248</v>
      </c>
      <c r="H1277" s="1" t="s">
        <v>18</v>
      </c>
    </row>
    <row r="1278" spans="1:8">
      <c r="A1278" s="1">
        <v>1277</v>
      </c>
      <c r="B1278" s="1" t="s">
        <v>3323</v>
      </c>
      <c r="C1278" s="1" t="s">
        <v>126</v>
      </c>
      <c r="D1278" s="1" t="s">
        <v>3324</v>
      </c>
      <c r="E1278" s="1" t="s">
        <v>3333</v>
      </c>
      <c r="F1278" s="1" t="s">
        <v>3231</v>
      </c>
      <c r="G1278" s="1" t="s">
        <v>3232</v>
      </c>
      <c r="H1278" s="1" t="s">
        <v>18</v>
      </c>
    </row>
    <row r="1279" spans="1:8">
      <c r="A1279" s="1">
        <v>1278</v>
      </c>
      <c r="B1279" s="1" t="s">
        <v>3334</v>
      </c>
      <c r="C1279" s="1" t="s">
        <v>299</v>
      </c>
      <c r="D1279" s="1" t="s">
        <v>3335</v>
      </c>
      <c r="E1279" s="1" t="s">
        <v>3336</v>
      </c>
      <c r="F1279" s="1" t="s">
        <v>3206</v>
      </c>
      <c r="G1279" s="1" t="s">
        <v>3207</v>
      </c>
      <c r="H1279" s="1" t="s">
        <v>18</v>
      </c>
    </row>
    <row r="1280" spans="1:8">
      <c r="A1280" s="1">
        <v>1279</v>
      </c>
      <c r="B1280" s="1" t="s">
        <v>3334</v>
      </c>
      <c r="C1280" s="1" t="s">
        <v>304</v>
      </c>
      <c r="D1280" s="1" t="s">
        <v>3335</v>
      </c>
      <c r="E1280" s="1" t="s">
        <v>3337</v>
      </c>
      <c r="F1280" s="1" t="s">
        <v>3209</v>
      </c>
      <c r="G1280" s="1" t="s">
        <v>3210</v>
      </c>
      <c r="H1280" s="1" t="s">
        <v>18</v>
      </c>
    </row>
    <row r="1281" spans="1:8">
      <c r="A1281" s="1">
        <v>1280</v>
      </c>
      <c r="B1281" s="1" t="s">
        <v>3334</v>
      </c>
      <c r="C1281" s="1" t="s">
        <v>308</v>
      </c>
      <c r="D1281" s="1" t="s">
        <v>3335</v>
      </c>
      <c r="E1281" s="1" t="s">
        <v>3338</v>
      </c>
      <c r="F1281" s="1" t="s">
        <v>3212</v>
      </c>
      <c r="G1281" s="1" t="s">
        <v>3213</v>
      </c>
      <c r="H1281" s="1" t="s">
        <v>18</v>
      </c>
    </row>
    <row r="1282" spans="1:8">
      <c r="A1282" s="1">
        <v>1281</v>
      </c>
      <c r="B1282" s="1" t="s">
        <v>3334</v>
      </c>
      <c r="C1282" s="1" t="s">
        <v>312</v>
      </c>
      <c r="D1282" s="1" t="s">
        <v>3335</v>
      </c>
      <c r="E1282" s="1" t="s">
        <v>3339</v>
      </c>
      <c r="F1282" s="1" t="s">
        <v>3215</v>
      </c>
      <c r="G1282" s="1" t="s">
        <v>3216</v>
      </c>
      <c r="H1282" s="1" t="s">
        <v>18</v>
      </c>
    </row>
    <row r="1283" spans="1:8">
      <c r="A1283" s="1">
        <v>1282</v>
      </c>
      <c r="B1283" s="1" t="s">
        <v>3334</v>
      </c>
      <c r="C1283" s="1" t="s">
        <v>316</v>
      </c>
      <c r="D1283" s="1" t="s">
        <v>3335</v>
      </c>
      <c r="E1283" s="1" t="s">
        <v>3340</v>
      </c>
      <c r="F1283" s="1" t="s">
        <v>3221</v>
      </c>
      <c r="G1283" s="1" t="s">
        <v>3222</v>
      </c>
      <c r="H1283" s="1" t="s">
        <v>18</v>
      </c>
    </row>
    <row r="1284" spans="1:8">
      <c r="A1284" s="1">
        <v>1283</v>
      </c>
      <c r="B1284" s="1" t="s">
        <v>3334</v>
      </c>
      <c r="C1284" s="1" t="s">
        <v>320</v>
      </c>
      <c r="D1284" s="1" t="s">
        <v>3335</v>
      </c>
      <c r="E1284" s="1" t="s">
        <v>3341</v>
      </c>
      <c r="F1284" s="1" t="s">
        <v>3224</v>
      </c>
      <c r="G1284" s="1" t="s">
        <v>3225</v>
      </c>
      <c r="H1284" s="1" t="s">
        <v>18</v>
      </c>
    </row>
    <row r="1285" spans="1:8">
      <c r="A1285" s="1">
        <v>1284</v>
      </c>
      <c r="B1285" s="1" t="s">
        <v>3334</v>
      </c>
      <c r="C1285" s="1" t="s">
        <v>324</v>
      </c>
      <c r="D1285" s="1" t="s">
        <v>3335</v>
      </c>
      <c r="E1285" s="1" t="s">
        <v>3342</v>
      </c>
      <c r="F1285" s="1" t="s">
        <v>3227</v>
      </c>
      <c r="G1285" s="1" t="s">
        <v>3228</v>
      </c>
      <c r="H1285" s="1" t="s">
        <v>18</v>
      </c>
    </row>
    <row r="1286" spans="1:8">
      <c r="A1286" s="1">
        <v>1285</v>
      </c>
      <c r="B1286" s="1" t="s">
        <v>3334</v>
      </c>
      <c r="C1286" s="1" t="s">
        <v>328</v>
      </c>
      <c r="D1286" s="1" t="s">
        <v>3335</v>
      </c>
      <c r="E1286" s="1" t="s">
        <v>3343</v>
      </c>
      <c r="F1286" s="1" t="s">
        <v>1819</v>
      </c>
      <c r="G1286" s="1" t="s">
        <v>1820</v>
      </c>
      <c r="H1286" s="1" t="s">
        <v>18</v>
      </c>
    </row>
    <row r="1287" spans="1:8">
      <c r="A1287" s="1">
        <v>1286</v>
      </c>
      <c r="B1287" s="1" t="s">
        <v>3334</v>
      </c>
      <c r="C1287" s="1" t="s">
        <v>332</v>
      </c>
      <c r="D1287" s="1" t="s">
        <v>3335</v>
      </c>
      <c r="E1287" s="1" t="s">
        <v>3344</v>
      </c>
      <c r="F1287" s="1" t="s">
        <v>3244</v>
      </c>
      <c r="G1287" s="1" t="s">
        <v>3245</v>
      </c>
      <c r="H1287" s="1" t="s">
        <v>18</v>
      </c>
    </row>
    <row r="1288" spans="1:8">
      <c r="A1288" s="1">
        <v>1287</v>
      </c>
      <c r="B1288" s="1" t="s">
        <v>3334</v>
      </c>
      <c r="C1288" s="1" t="s">
        <v>336</v>
      </c>
      <c r="D1288" s="1" t="s">
        <v>3335</v>
      </c>
      <c r="E1288" s="1" t="s">
        <v>3345</v>
      </c>
      <c r="F1288" s="1" t="s">
        <v>3247</v>
      </c>
      <c r="G1288" s="1" t="s">
        <v>3248</v>
      </c>
      <c r="H1288" s="1" t="s">
        <v>18</v>
      </c>
    </row>
    <row r="1289" spans="1:8">
      <c r="A1289" s="1">
        <v>1288</v>
      </c>
      <c r="B1289" s="1" t="s">
        <v>3334</v>
      </c>
      <c r="C1289" s="1" t="s">
        <v>340</v>
      </c>
      <c r="D1289" s="1" t="s">
        <v>3335</v>
      </c>
      <c r="E1289" s="1" t="s">
        <v>3346</v>
      </c>
      <c r="F1289" s="1" t="s">
        <v>3231</v>
      </c>
      <c r="G1289" s="1" t="s">
        <v>3232</v>
      </c>
      <c r="H1289" s="1" t="s">
        <v>18</v>
      </c>
    </row>
    <row r="1290" spans="1:8">
      <c r="A1290" s="1">
        <v>1289</v>
      </c>
      <c r="B1290" s="1" t="s">
        <v>3334</v>
      </c>
      <c r="C1290" s="1" t="s">
        <v>344</v>
      </c>
      <c r="D1290" s="1" t="s">
        <v>3335</v>
      </c>
      <c r="E1290" s="1" t="s">
        <v>3347</v>
      </c>
      <c r="F1290" s="1" t="s">
        <v>3251</v>
      </c>
      <c r="G1290" s="1" t="s">
        <v>3252</v>
      </c>
      <c r="H1290" s="1" t="s">
        <v>18</v>
      </c>
    </row>
    <row r="1291" spans="1:8">
      <c r="A1291" s="1">
        <v>1290</v>
      </c>
      <c r="B1291" s="1" t="s">
        <v>3348</v>
      </c>
      <c r="C1291" s="1" t="s">
        <v>299</v>
      </c>
      <c r="D1291" s="1" t="s">
        <v>3349</v>
      </c>
      <c r="E1291" s="1" t="s">
        <v>3350</v>
      </c>
      <c r="F1291" s="1" t="s">
        <v>3206</v>
      </c>
      <c r="G1291" s="1" t="s">
        <v>3207</v>
      </c>
      <c r="H1291" s="1" t="s">
        <v>18</v>
      </c>
    </row>
    <row r="1292" spans="1:8">
      <c r="A1292" s="1">
        <v>1291</v>
      </c>
      <c r="B1292" s="1" t="s">
        <v>3348</v>
      </c>
      <c r="C1292" s="1" t="s">
        <v>304</v>
      </c>
      <c r="D1292" s="1" t="s">
        <v>3349</v>
      </c>
      <c r="E1292" s="1" t="s">
        <v>3351</v>
      </c>
      <c r="F1292" s="1" t="s">
        <v>3209</v>
      </c>
      <c r="G1292" s="1" t="s">
        <v>3210</v>
      </c>
      <c r="H1292" s="1" t="s">
        <v>18</v>
      </c>
    </row>
    <row r="1293" spans="1:8">
      <c r="A1293" s="1">
        <v>1292</v>
      </c>
      <c r="B1293" s="1" t="s">
        <v>3348</v>
      </c>
      <c r="C1293" s="1" t="s">
        <v>308</v>
      </c>
      <c r="D1293" s="1" t="s">
        <v>3349</v>
      </c>
      <c r="E1293" s="1" t="s">
        <v>3352</v>
      </c>
      <c r="F1293" s="1" t="s">
        <v>3212</v>
      </c>
      <c r="G1293" s="1" t="s">
        <v>3213</v>
      </c>
      <c r="H1293" s="1" t="s">
        <v>18</v>
      </c>
    </row>
    <row r="1294" spans="1:8">
      <c r="A1294" s="1">
        <v>1293</v>
      </c>
      <c r="B1294" s="1" t="s">
        <v>3348</v>
      </c>
      <c r="C1294" s="1" t="s">
        <v>312</v>
      </c>
      <c r="D1294" s="1" t="s">
        <v>3349</v>
      </c>
      <c r="E1294" s="1" t="s">
        <v>3353</v>
      </c>
      <c r="F1294" s="1" t="s">
        <v>3215</v>
      </c>
      <c r="G1294" s="1" t="s">
        <v>3216</v>
      </c>
      <c r="H1294" s="1" t="s">
        <v>18</v>
      </c>
    </row>
    <row r="1295" spans="1:8">
      <c r="A1295" s="1">
        <v>1294</v>
      </c>
      <c r="B1295" s="1" t="s">
        <v>3348</v>
      </c>
      <c r="C1295" s="1" t="s">
        <v>316</v>
      </c>
      <c r="D1295" s="1" t="s">
        <v>3349</v>
      </c>
      <c r="E1295" s="1" t="s">
        <v>3354</v>
      </c>
      <c r="F1295" s="1" t="s">
        <v>3218</v>
      </c>
      <c r="G1295" s="1" t="s">
        <v>3219</v>
      </c>
      <c r="H1295" s="1" t="s">
        <v>18</v>
      </c>
    </row>
    <row r="1296" spans="1:8">
      <c r="A1296" s="1">
        <v>1295</v>
      </c>
      <c r="B1296" s="1" t="s">
        <v>3348</v>
      </c>
      <c r="C1296" s="1" t="s">
        <v>320</v>
      </c>
      <c r="D1296" s="1" t="s">
        <v>3349</v>
      </c>
      <c r="E1296" s="1" t="s">
        <v>3355</v>
      </c>
      <c r="F1296" s="1" t="s">
        <v>3221</v>
      </c>
      <c r="G1296" s="1" t="s">
        <v>3222</v>
      </c>
      <c r="H1296" s="1" t="s">
        <v>18</v>
      </c>
    </row>
    <row r="1297" spans="1:8">
      <c r="A1297" s="1">
        <v>1296</v>
      </c>
      <c r="B1297" s="1" t="s">
        <v>3348</v>
      </c>
      <c r="C1297" s="1" t="s">
        <v>324</v>
      </c>
      <c r="D1297" s="1" t="s">
        <v>3349</v>
      </c>
      <c r="E1297" s="1" t="s">
        <v>3356</v>
      </c>
      <c r="F1297" s="1" t="s">
        <v>3224</v>
      </c>
      <c r="G1297" s="1" t="s">
        <v>3225</v>
      </c>
      <c r="H1297" s="1" t="s">
        <v>18</v>
      </c>
    </row>
    <row r="1298" spans="1:8">
      <c r="A1298" s="1">
        <v>1297</v>
      </c>
      <c r="B1298" s="1" t="s">
        <v>3348</v>
      </c>
      <c r="C1298" s="1" t="s">
        <v>328</v>
      </c>
      <c r="D1298" s="1" t="s">
        <v>3349</v>
      </c>
      <c r="E1298" s="1" t="s">
        <v>3357</v>
      </c>
      <c r="F1298" s="1" t="s">
        <v>3227</v>
      </c>
      <c r="G1298" s="1" t="s">
        <v>3228</v>
      </c>
      <c r="H1298" s="1" t="s">
        <v>18</v>
      </c>
    </row>
    <row r="1299" spans="1:8">
      <c r="A1299" s="1">
        <v>1298</v>
      </c>
      <c r="B1299" s="1" t="s">
        <v>3348</v>
      </c>
      <c r="C1299" s="1" t="s">
        <v>332</v>
      </c>
      <c r="D1299" s="1" t="s">
        <v>3349</v>
      </c>
      <c r="E1299" s="1" t="s">
        <v>3358</v>
      </c>
      <c r="F1299" s="1" t="s">
        <v>1819</v>
      </c>
      <c r="G1299" s="1" t="s">
        <v>1820</v>
      </c>
      <c r="H1299" s="1" t="s">
        <v>18</v>
      </c>
    </row>
    <row r="1300" spans="1:8">
      <c r="A1300" s="1">
        <v>1299</v>
      </c>
      <c r="B1300" s="1" t="s">
        <v>3348</v>
      </c>
      <c r="C1300" s="1" t="s">
        <v>336</v>
      </c>
      <c r="D1300" s="1" t="s">
        <v>3349</v>
      </c>
      <c r="E1300" s="1" t="s">
        <v>3359</v>
      </c>
      <c r="F1300" s="1" t="s">
        <v>3247</v>
      </c>
      <c r="G1300" s="1" t="s">
        <v>3248</v>
      </c>
      <c r="H1300" s="1" t="s">
        <v>18</v>
      </c>
    </row>
    <row r="1301" spans="1:8">
      <c r="A1301" s="1">
        <v>1300</v>
      </c>
      <c r="B1301" s="1" t="s">
        <v>3348</v>
      </c>
      <c r="C1301" s="1" t="s">
        <v>340</v>
      </c>
      <c r="D1301" s="1" t="s">
        <v>3349</v>
      </c>
      <c r="E1301" s="1" t="s">
        <v>3360</v>
      </c>
      <c r="F1301" s="1" t="s">
        <v>3231</v>
      </c>
      <c r="G1301" s="1" t="s">
        <v>3232</v>
      </c>
      <c r="H1301" s="1" t="s">
        <v>18</v>
      </c>
    </row>
    <row r="1302" spans="1:8">
      <c r="A1302" s="1">
        <v>1301</v>
      </c>
      <c r="B1302" s="1" t="s">
        <v>3348</v>
      </c>
      <c r="C1302" s="1" t="s">
        <v>344</v>
      </c>
      <c r="D1302" s="1" t="s">
        <v>3349</v>
      </c>
      <c r="E1302" s="1" t="s">
        <v>3361</v>
      </c>
      <c r="F1302" s="1" t="s">
        <v>3251</v>
      </c>
      <c r="G1302" s="1" t="s">
        <v>3252</v>
      </c>
      <c r="H1302" s="1" t="s">
        <v>18</v>
      </c>
    </row>
    <row r="1303" spans="1:8">
      <c r="A1303" s="1">
        <v>1302</v>
      </c>
      <c r="B1303" s="1" t="s">
        <v>3362</v>
      </c>
      <c r="C1303" s="1" t="s">
        <v>392</v>
      </c>
      <c r="D1303" s="1" t="s">
        <v>3363</v>
      </c>
      <c r="E1303" s="1" t="s">
        <v>3364</v>
      </c>
      <c r="F1303" s="1" t="s">
        <v>12</v>
      </c>
      <c r="G1303" s="1" t="s">
        <v>13</v>
      </c>
      <c r="H1303" s="1" t="s">
        <v>18</v>
      </c>
    </row>
    <row r="1304" spans="1:8">
      <c r="A1304" s="1">
        <v>1303</v>
      </c>
      <c r="B1304" s="1" t="s">
        <v>3362</v>
      </c>
      <c r="C1304" s="1" t="s">
        <v>397</v>
      </c>
      <c r="D1304" s="1" t="s">
        <v>3363</v>
      </c>
      <c r="E1304" s="1" t="s">
        <v>3365</v>
      </c>
      <c r="F1304" s="1" t="s">
        <v>16</v>
      </c>
      <c r="G1304" s="1" t="s">
        <v>17</v>
      </c>
      <c r="H1304" s="1" t="s">
        <v>18</v>
      </c>
    </row>
    <row r="1305" spans="1:8">
      <c r="A1305" s="1">
        <v>1304</v>
      </c>
      <c r="B1305" s="1" t="s">
        <v>3362</v>
      </c>
      <c r="C1305" s="1" t="s">
        <v>401</v>
      </c>
      <c r="D1305" s="1" t="s">
        <v>3363</v>
      </c>
      <c r="E1305" s="1" t="s">
        <v>3366</v>
      </c>
      <c r="F1305" s="1" t="s">
        <v>21</v>
      </c>
      <c r="G1305" s="1" t="s">
        <v>22</v>
      </c>
      <c r="H1305" s="1" t="s">
        <v>18</v>
      </c>
    </row>
    <row r="1306" spans="1:8">
      <c r="A1306" s="1">
        <v>1305</v>
      </c>
      <c r="B1306" s="1" t="s">
        <v>3362</v>
      </c>
      <c r="C1306" s="1" t="s">
        <v>405</v>
      </c>
      <c r="D1306" s="1" t="s">
        <v>3363</v>
      </c>
      <c r="E1306" s="1" t="s">
        <v>3367</v>
      </c>
      <c r="F1306" s="1" t="s">
        <v>37</v>
      </c>
      <c r="G1306" s="1" t="s">
        <v>38</v>
      </c>
      <c r="H1306" s="1" t="s">
        <v>18</v>
      </c>
    </row>
    <row r="1307" spans="1:8">
      <c r="A1307" s="1">
        <v>1306</v>
      </c>
      <c r="B1307" s="1" t="s">
        <v>3362</v>
      </c>
      <c r="C1307" s="1" t="s">
        <v>409</v>
      </c>
      <c r="D1307" s="1" t="s">
        <v>3363</v>
      </c>
      <c r="E1307" s="1" t="s">
        <v>3368</v>
      </c>
      <c r="F1307" s="1" t="s">
        <v>41</v>
      </c>
      <c r="G1307" s="1" t="s">
        <v>42</v>
      </c>
      <c r="H1307" s="1" t="s">
        <v>18</v>
      </c>
    </row>
    <row r="1308" spans="1:8">
      <c r="A1308" s="1">
        <v>1307</v>
      </c>
      <c r="B1308" s="1" t="s">
        <v>3362</v>
      </c>
      <c r="C1308" s="1" t="s">
        <v>413</v>
      </c>
      <c r="D1308" s="1" t="s">
        <v>3363</v>
      </c>
      <c r="E1308" s="1" t="s">
        <v>3369</v>
      </c>
      <c r="F1308" s="1" t="s">
        <v>29</v>
      </c>
      <c r="G1308" s="1" t="s">
        <v>30</v>
      </c>
      <c r="H1308" s="1" t="s">
        <v>18</v>
      </c>
    </row>
    <row r="1309" spans="1:8">
      <c r="A1309" s="1">
        <v>1308</v>
      </c>
      <c r="B1309" s="1" t="s">
        <v>3362</v>
      </c>
      <c r="C1309" s="1" t="s">
        <v>417</v>
      </c>
      <c r="D1309" s="1" t="s">
        <v>3363</v>
      </c>
      <c r="E1309" s="1" t="s">
        <v>3370</v>
      </c>
      <c r="F1309" s="1" t="s">
        <v>1677</v>
      </c>
      <c r="G1309" s="1" t="s">
        <v>1678</v>
      </c>
      <c r="H1309" s="1" t="s">
        <v>18</v>
      </c>
    </row>
    <row r="1310" spans="1:8">
      <c r="A1310" s="1">
        <v>1309</v>
      </c>
      <c r="B1310" s="1" t="s">
        <v>3371</v>
      </c>
      <c r="C1310" s="1" t="s">
        <v>299</v>
      </c>
      <c r="D1310" s="1" t="s">
        <v>3372</v>
      </c>
      <c r="E1310" s="1" t="s">
        <v>3373</v>
      </c>
      <c r="F1310" s="1" t="s">
        <v>1677</v>
      </c>
      <c r="G1310" s="1" t="s">
        <v>1678</v>
      </c>
      <c r="H1310" s="1" t="s">
        <v>18</v>
      </c>
    </row>
    <row r="1311" spans="1:8">
      <c r="A1311" s="1">
        <v>1310</v>
      </c>
      <c r="B1311" s="1" t="s">
        <v>3371</v>
      </c>
      <c r="C1311" s="1" t="s">
        <v>304</v>
      </c>
      <c r="D1311" s="1" t="s">
        <v>3372</v>
      </c>
      <c r="E1311" s="1" t="s">
        <v>3374</v>
      </c>
      <c r="F1311" s="1" t="s">
        <v>1774</v>
      </c>
      <c r="G1311" s="1" t="s">
        <v>1775</v>
      </c>
      <c r="H1311" s="1" t="s">
        <v>18</v>
      </c>
    </row>
    <row r="1312" spans="1:8">
      <c r="A1312" s="1">
        <v>1311</v>
      </c>
      <c r="B1312" s="1" t="s">
        <v>3371</v>
      </c>
      <c r="C1312" s="1" t="s">
        <v>308</v>
      </c>
      <c r="D1312" s="1" t="s">
        <v>3372</v>
      </c>
      <c r="E1312" s="1" t="s">
        <v>3375</v>
      </c>
      <c r="F1312" s="1" t="s">
        <v>1777</v>
      </c>
      <c r="G1312" s="1" t="s">
        <v>1778</v>
      </c>
      <c r="H1312" s="1" t="s">
        <v>18</v>
      </c>
    </row>
    <row r="1313" spans="1:8">
      <c r="A1313" s="1">
        <v>1312</v>
      </c>
      <c r="B1313" s="1" t="s">
        <v>3371</v>
      </c>
      <c r="C1313" s="1" t="s">
        <v>312</v>
      </c>
      <c r="D1313" s="1" t="s">
        <v>3372</v>
      </c>
      <c r="E1313" s="1" t="s">
        <v>3376</v>
      </c>
      <c r="F1313" s="1" t="s">
        <v>1803</v>
      </c>
      <c r="G1313" s="1" t="s">
        <v>1804</v>
      </c>
      <c r="H1313" s="1" t="s">
        <v>18</v>
      </c>
    </row>
    <row r="1314" spans="1:8">
      <c r="A1314" s="1">
        <v>1313</v>
      </c>
      <c r="B1314" s="1" t="s">
        <v>3371</v>
      </c>
      <c r="C1314" s="1" t="s">
        <v>316</v>
      </c>
      <c r="D1314" s="1" t="s">
        <v>3372</v>
      </c>
      <c r="E1314" s="1" t="s">
        <v>3377</v>
      </c>
      <c r="F1314" s="1" t="s">
        <v>1806</v>
      </c>
      <c r="G1314" s="1" t="s">
        <v>1807</v>
      </c>
      <c r="H1314" s="1" t="s">
        <v>18</v>
      </c>
    </row>
    <row r="1315" spans="1:8">
      <c r="A1315" s="1">
        <v>1314</v>
      </c>
      <c r="B1315" s="1" t="s">
        <v>3371</v>
      </c>
      <c r="C1315" s="1" t="s">
        <v>320</v>
      </c>
      <c r="D1315" s="1" t="s">
        <v>3372</v>
      </c>
      <c r="E1315" s="1" t="s">
        <v>3378</v>
      </c>
      <c r="F1315" s="1" t="s">
        <v>1791</v>
      </c>
      <c r="G1315" s="1" t="s">
        <v>1792</v>
      </c>
      <c r="H1315" s="1" t="s">
        <v>18</v>
      </c>
    </row>
    <row r="1316" spans="1:8">
      <c r="A1316" s="1">
        <v>1315</v>
      </c>
      <c r="B1316" s="1" t="s">
        <v>3371</v>
      </c>
      <c r="C1316" s="1" t="s">
        <v>324</v>
      </c>
      <c r="D1316" s="1" t="s">
        <v>3372</v>
      </c>
      <c r="E1316" s="1" t="s">
        <v>3379</v>
      </c>
      <c r="F1316" s="1" t="s">
        <v>1725</v>
      </c>
      <c r="G1316" s="1" t="s">
        <v>1726</v>
      </c>
      <c r="H1316" s="1" t="s">
        <v>18</v>
      </c>
    </row>
    <row r="1317" spans="1:8">
      <c r="A1317" s="1">
        <v>1316</v>
      </c>
      <c r="B1317" s="1" t="s">
        <v>3371</v>
      </c>
      <c r="C1317" s="1" t="s">
        <v>328</v>
      </c>
      <c r="D1317" s="1" t="s">
        <v>3372</v>
      </c>
      <c r="E1317" s="1" t="s">
        <v>3380</v>
      </c>
      <c r="F1317" s="1" t="s">
        <v>1819</v>
      </c>
      <c r="G1317" s="1" t="s">
        <v>1820</v>
      </c>
      <c r="H1317" s="1" t="s">
        <v>18</v>
      </c>
    </row>
    <row r="1318" spans="1:8">
      <c r="A1318" s="1">
        <v>1317</v>
      </c>
      <c r="B1318" s="1" t="s">
        <v>3371</v>
      </c>
      <c r="C1318" s="1" t="s">
        <v>332</v>
      </c>
      <c r="D1318" s="1" t="s">
        <v>3372</v>
      </c>
      <c r="E1318" s="1" t="s">
        <v>3381</v>
      </c>
      <c r="F1318" s="1" t="s">
        <v>29</v>
      </c>
      <c r="G1318" s="1" t="s">
        <v>30</v>
      </c>
      <c r="H1318" s="1" t="s">
        <v>18</v>
      </c>
    </row>
    <row r="1319" spans="1:8">
      <c r="A1319" s="1">
        <v>1318</v>
      </c>
      <c r="B1319" s="1" t="s">
        <v>3371</v>
      </c>
      <c r="C1319" s="1" t="s">
        <v>336</v>
      </c>
      <c r="D1319" s="1" t="s">
        <v>3372</v>
      </c>
      <c r="E1319" s="1" t="s">
        <v>3382</v>
      </c>
      <c r="F1319" s="1" t="s">
        <v>1780</v>
      </c>
      <c r="G1319" s="1" t="s">
        <v>1781</v>
      </c>
      <c r="H1319" s="1" t="s">
        <v>18</v>
      </c>
    </row>
    <row r="1320" spans="1:8">
      <c r="A1320" s="1">
        <v>1319</v>
      </c>
      <c r="B1320" s="1" t="s">
        <v>3371</v>
      </c>
      <c r="C1320" s="1" t="s">
        <v>340</v>
      </c>
      <c r="D1320" s="1" t="s">
        <v>3372</v>
      </c>
      <c r="E1320" s="1" t="s">
        <v>3383</v>
      </c>
      <c r="F1320" s="1" t="s">
        <v>1680</v>
      </c>
      <c r="G1320" s="1" t="s">
        <v>1681</v>
      </c>
      <c r="H1320" s="1" t="s">
        <v>18</v>
      </c>
    </row>
    <row r="1321" spans="1:8">
      <c r="A1321" s="1">
        <v>1320</v>
      </c>
      <c r="B1321" s="1" t="s">
        <v>3371</v>
      </c>
      <c r="C1321" s="1" t="s">
        <v>344</v>
      </c>
      <c r="D1321" s="1" t="s">
        <v>3372</v>
      </c>
      <c r="E1321" s="1" t="s">
        <v>3384</v>
      </c>
      <c r="F1321" s="1" t="s">
        <v>1755</v>
      </c>
      <c r="G1321" s="1" t="s">
        <v>1756</v>
      </c>
      <c r="H1321" s="1" t="s">
        <v>18</v>
      </c>
    </row>
    <row r="1322" spans="1:8">
      <c r="A1322" s="1">
        <v>1321</v>
      </c>
      <c r="B1322" s="1" t="s">
        <v>3385</v>
      </c>
      <c r="C1322" s="1" t="s">
        <v>299</v>
      </c>
      <c r="D1322" s="1" t="s">
        <v>3386</v>
      </c>
      <c r="E1322" s="1" t="s">
        <v>3387</v>
      </c>
      <c r="F1322" s="1" t="s">
        <v>1824</v>
      </c>
      <c r="G1322" s="1" t="s">
        <v>1825</v>
      </c>
      <c r="H1322" s="1" t="s">
        <v>18</v>
      </c>
    </row>
    <row r="1323" spans="1:8">
      <c r="A1323" s="1">
        <v>1322</v>
      </c>
      <c r="B1323" s="1" t="s">
        <v>3385</v>
      </c>
      <c r="C1323" s="1" t="s">
        <v>304</v>
      </c>
      <c r="D1323" s="1" t="s">
        <v>3386</v>
      </c>
      <c r="E1323" s="1" t="s">
        <v>3388</v>
      </c>
      <c r="F1323" s="1" t="s">
        <v>1677</v>
      </c>
      <c r="G1323" s="1" t="s">
        <v>1678</v>
      </c>
      <c r="H1323" s="1" t="s">
        <v>18</v>
      </c>
    </row>
    <row r="1324" spans="1:8">
      <c r="A1324" s="1">
        <v>1323</v>
      </c>
      <c r="B1324" s="1" t="s">
        <v>3385</v>
      </c>
      <c r="C1324" s="1" t="s">
        <v>308</v>
      </c>
      <c r="D1324" s="1" t="s">
        <v>3386</v>
      </c>
      <c r="E1324" s="1" t="s">
        <v>3389</v>
      </c>
      <c r="F1324" s="1" t="s">
        <v>1774</v>
      </c>
      <c r="G1324" s="1" t="s">
        <v>1775</v>
      </c>
      <c r="H1324" s="1" t="s">
        <v>18</v>
      </c>
    </row>
    <row r="1325" spans="1:8">
      <c r="A1325" s="1">
        <v>1324</v>
      </c>
      <c r="B1325" s="1" t="s">
        <v>3385</v>
      </c>
      <c r="C1325" s="1" t="s">
        <v>312</v>
      </c>
      <c r="D1325" s="1" t="s">
        <v>3386</v>
      </c>
      <c r="E1325" s="1" t="s">
        <v>3390</v>
      </c>
      <c r="F1325" s="1" t="s">
        <v>1777</v>
      </c>
      <c r="G1325" s="1" t="s">
        <v>1778</v>
      </c>
      <c r="H1325" s="1" t="s">
        <v>18</v>
      </c>
    </row>
    <row r="1326" spans="1:8">
      <c r="A1326" s="1">
        <v>1325</v>
      </c>
      <c r="B1326" s="1" t="s">
        <v>3385</v>
      </c>
      <c r="C1326" s="1" t="s">
        <v>316</v>
      </c>
      <c r="D1326" s="1" t="s">
        <v>3386</v>
      </c>
      <c r="E1326" s="1" t="s">
        <v>3391</v>
      </c>
      <c r="F1326" s="1" t="s">
        <v>1803</v>
      </c>
      <c r="G1326" s="1" t="s">
        <v>1804</v>
      </c>
      <c r="H1326" s="1" t="s">
        <v>18</v>
      </c>
    </row>
    <row r="1327" spans="1:8">
      <c r="A1327" s="1">
        <v>1326</v>
      </c>
      <c r="B1327" s="1" t="s">
        <v>3385</v>
      </c>
      <c r="C1327" s="1" t="s">
        <v>320</v>
      </c>
      <c r="D1327" s="1" t="s">
        <v>3386</v>
      </c>
      <c r="E1327" s="1" t="s">
        <v>3392</v>
      </c>
      <c r="F1327" s="1" t="s">
        <v>1806</v>
      </c>
      <c r="G1327" s="1" t="s">
        <v>1807</v>
      </c>
      <c r="H1327" s="1" t="s">
        <v>18</v>
      </c>
    </row>
    <row r="1328" spans="1:8">
      <c r="A1328" s="1">
        <v>1327</v>
      </c>
      <c r="B1328" s="1" t="s">
        <v>3385</v>
      </c>
      <c r="C1328" s="1" t="s">
        <v>324</v>
      </c>
      <c r="D1328" s="1" t="s">
        <v>3386</v>
      </c>
      <c r="E1328" s="1" t="s">
        <v>3393</v>
      </c>
      <c r="F1328" s="1" t="s">
        <v>1791</v>
      </c>
      <c r="G1328" s="1" t="s">
        <v>1792</v>
      </c>
      <c r="H1328" s="1" t="s">
        <v>18</v>
      </c>
    </row>
    <row r="1329" spans="1:8">
      <c r="A1329" s="1">
        <v>1328</v>
      </c>
      <c r="B1329" s="1" t="s">
        <v>3385</v>
      </c>
      <c r="C1329" s="1" t="s">
        <v>328</v>
      </c>
      <c r="D1329" s="1" t="s">
        <v>3386</v>
      </c>
      <c r="E1329" s="1" t="s">
        <v>3394</v>
      </c>
      <c r="F1329" s="1" t="s">
        <v>1725</v>
      </c>
      <c r="G1329" s="1" t="s">
        <v>1726</v>
      </c>
      <c r="H1329" s="1" t="s">
        <v>18</v>
      </c>
    </row>
    <row r="1330" spans="1:8">
      <c r="A1330" s="1">
        <v>1329</v>
      </c>
      <c r="B1330" s="1" t="s">
        <v>3385</v>
      </c>
      <c r="C1330" s="1" t="s">
        <v>332</v>
      </c>
      <c r="D1330" s="1" t="s">
        <v>3386</v>
      </c>
      <c r="E1330" s="1" t="s">
        <v>3395</v>
      </c>
      <c r="F1330" s="1" t="s">
        <v>29</v>
      </c>
      <c r="G1330" s="1" t="s">
        <v>30</v>
      </c>
      <c r="H1330" s="1" t="s">
        <v>18</v>
      </c>
    </row>
    <row r="1331" spans="1:8">
      <c r="A1331" s="1">
        <v>1330</v>
      </c>
      <c r="B1331" s="1" t="s">
        <v>3385</v>
      </c>
      <c r="C1331" s="1" t="s">
        <v>336</v>
      </c>
      <c r="D1331" s="1" t="s">
        <v>3386</v>
      </c>
      <c r="E1331" s="1" t="s">
        <v>3396</v>
      </c>
      <c r="F1331" s="1" t="s">
        <v>1780</v>
      </c>
      <c r="G1331" s="1" t="s">
        <v>1781</v>
      </c>
      <c r="H1331" s="1" t="s">
        <v>18</v>
      </c>
    </row>
    <row r="1332" spans="1:8">
      <c r="A1332" s="1">
        <v>1331</v>
      </c>
      <c r="B1332" s="1" t="s">
        <v>3385</v>
      </c>
      <c r="C1332" s="1" t="s">
        <v>340</v>
      </c>
      <c r="D1332" s="1" t="s">
        <v>3386</v>
      </c>
      <c r="E1332" s="1" t="s">
        <v>3397</v>
      </c>
      <c r="F1332" s="1" t="s">
        <v>1680</v>
      </c>
      <c r="G1332" s="1" t="s">
        <v>1681</v>
      </c>
      <c r="H1332" s="1" t="s">
        <v>18</v>
      </c>
    </row>
    <row r="1333" spans="1:8">
      <c r="A1333" s="1">
        <v>1332</v>
      </c>
      <c r="B1333" s="1" t="s">
        <v>3385</v>
      </c>
      <c r="C1333" s="1" t="s">
        <v>344</v>
      </c>
      <c r="D1333" s="1" t="s">
        <v>3386</v>
      </c>
      <c r="E1333" s="1" t="s">
        <v>3398</v>
      </c>
      <c r="F1333" s="1" t="s">
        <v>1755</v>
      </c>
      <c r="G1333" s="1" t="s">
        <v>1756</v>
      </c>
      <c r="H1333" s="1" t="s">
        <v>18</v>
      </c>
    </row>
    <row r="1334" spans="1:8">
      <c r="A1334" s="1">
        <v>1333</v>
      </c>
      <c r="B1334" s="1" t="s">
        <v>3399</v>
      </c>
      <c r="C1334" s="1" t="s">
        <v>3400</v>
      </c>
      <c r="D1334" s="1" t="s">
        <v>3401</v>
      </c>
      <c r="E1334" s="1" t="s">
        <v>3402</v>
      </c>
      <c r="F1334" s="1" t="s">
        <v>3403</v>
      </c>
      <c r="G1334" s="1" t="s">
        <v>3404</v>
      </c>
      <c r="H1334" s="1" t="s">
        <v>18</v>
      </c>
    </row>
    <row r="1335" spans="1:8">
      <c r="A1335" s="1">
        <v>1334</v>
      </c>
      <c r="B1335" s="1" t="s">
        <v>3399</v>
      </c>
      <c r="C1335" s="1" t="s">
        <v>3405</v>
      </c>
      <c r="D1335" s="1" t="s">
        <v>3401</v>
      </c>
      <c r="E1335" s="1" t="s">
        <v>3406</v>
      </c>
      <c r="F1335" s="1" t="s">
        <v>3407</v>
      </c>
      <c r="G1335" s="1" t="s">
        <v>3408</v>
      </c>
      <c r="H1335" s="1" t="s">
        <v>18</v>
      </c>
    </row>
    <row r="1336" spans="1:8">
      <c r="A1336" s="1">
        <v>1335</v>
      </c>
      <c r="B1336" s="1" t="s">
        <v>3399</v>
      </c>
      <c r="C1336" s="1" t="s">
        <v>3409</v>
      </c>
      <c r="D1336" s="1" t="s">
        <v>3401</v>
      </c>
      <c r="E1336" s="1" t="s">
        <v>3410</v>
      </c>
      <c r="F1336" s="1" t="s">
        <v>3411</v>
      </c>
      <c r="G1336" s="1" t="s">
        <v>3412</v>
      </c>
      <c r="H1336" s="1" t="s">
        <v>18</v>
      </c>
    </row>
    <row r="1337" spans="1:8">
      <c r="A1337" s="1">
        <v>1336</v>
      </c>
      <c r="B1337" s="1" t="s">
        <v>3399</v>
      </c>
      <c r="C1337" s="1" t="s">
        <v>3413</v>
      </c>
      <c r="D1337" s="1" t="s">
        <v>3401</v>
      </c>
      <c r="E1337" s="1" t="s">
        <v>3414</v>
      </c>
      <c r="F1337" s="1" t="s">
        <v>3415</v>
      </c>
      <c r="G1337" s="1" t="s">
        <v>3416</v>
      </c>
      <c r="H1337" s="1" t="s">
        <v>18</v>
      </c>
    </row>
    <row r="1338" spans="1:8">
      <c r="A1338" s="1">
        <v>1337</v>
      </c>
      <c r="B1338" s="1" t="s">
        <v>3399</v>
      </c>
      <c r="C1338" s="1" t="s">
        <v>3417</v>
      </c>
      <c r="D1338" s="1" t="s">
        <v>3401</v>
      </c>
      <c r="E1338" s="1" t="s">
        <v>3418</v>
      </c>
      <c r="F1338" s="1" t="s">
        <v>3419</v>
      </c>
      <c r="G1338" s="1" t="s">
        <v>3420</v>
      </c>
      <c r="H1338" s="1" t="s">
        <v>18</v>
      </c>
    </row>
    <row r="1339" spans="1:8">
      <c r="A1339" s="1">
        <v>1338</v>
      </c>
      <c r="B1339" s="1" t="s">
        <v>3399</v>
      </c>
      <c r="C1339" s="1" t="s">
        <v>3421</v>
      </c>
      <c r="D1339" s="1" t="s">
        <v>3401</v>
      </c>
      <c r="E1339" s="1" t="s">
        <v>3422</v>
      </c>
      <c r="F1339" s="1" t="s">
        <v>3423</v>
      </c>
      <c r="G1339" s="1" t="s">
        <v>3424</v>
      </c>
      <c r="H1339" s="1" t="s">
        <v>18</v>
      </c>
    </row>
    <row r="1340" spans="1:8">
      <c r="A1340" s="1">
        <v>1339</v>
      </c>
      <c r="B1340" s="1" t="s">
        <v>3399</v>
      </c>
      <c r="C1340" s="1" t="s">
        <v>3425</v>
      </c>
      <c r="D1340" s="1" t="s">
        <v>3401</v>
      </c>
      <c r="E1340" s="1" t="s">
        <v>3426</v>
      </c>
      <c r="F1340" s="1" t="s">
        <v>3427</v>
      </c>
      <c r="G1340" s="1" t="s">
        <v>3428</v>
      </c>
      <c r="H1340" s="1" t="s">
        <v>18</v>
      </c>
    </row>
    <row r="1341" spans="1:8">
      <c r="A1341" s="1">
        <v>1340</v>
      </c>
      <c r="B1341" s="1" t="s">
        <v>3399</v>
      </c>
      <c r="C1341" s="1" t="s">
        <v>3429</v>
      </c>
      <c r="D1341" s="1" t="s">
        <v>3401</v>
      </c>
      <c r="E1341" s="1" t="s">
        <v>3430</v>
      </c>
      <c r="F1341" s="1" t="s">
        <v>3431</v>
      </c>
      <c r="G1341" s="1" t="s">
        <v>3432</v>
      </c>
      <c r="H1341" s="1" t="s">
        <v>18</v>
      </c>
    </row>
    <row r="1342" spans="1:8">
      <c r="A1342" s="1">
        <v>1341</v>
      </c>
      <c r="B1342" s="1" t="s">
        <v>3399</v>
      </c>
      <c r="C1342" s="1" t="s">
        <v>3433</v>
      </c>
      <c r="D1342" s="1" t="s">
        <v>3401</v>
      </c>
      <c r="E1342" s="1" t="s">
        <v>3434</v>
      </c>
      <c r="F1342" s="1" t="s">
        <v>3435</v>
      </c>
      <c r="G1342" s="1" t="s">
        <v>3436</v>
      </c>
      <c r="H1342" s="1" t="s">
        <v>18</v>
      </c>
    </row>
    <row r="1343" spans="1:8">
      <c r="A1343" s="1">
        <v>1342</v>
      </c>
      <c r="B1343" s="1" t="s">
        <v>3399</v>
      </c>
      <c r="C1343" s="1" t="s">
        <v>3437</v>
      </c>
      <c r="D1343" s="1" t="s">
        <v>3401</v>
      </c>
      <c r="E1343" s="1" t="s">
        <v>3438</v>
      </c>
      <c r="F1343" s="1" t="s">
        <v>3439</v>
      </c>
      <c r="G1343" s="1" t="s">
        <v>3440</v>
      </c>
      <c r="H1343" s="1" t="s">
        <v>18</v>
      </c>
    </row>
    <row r="1344" spans="1:8">
      <c r="A1344" s="1">
        <v>1343</v>
      </c>
      <c r="B1344" s="1" t="s">
        <v>3399</v>
      </c>
      <c r="C1344" s="1" t="s">
        <v>3441</v>
      </c>
      <c r="D1344" s="1" t="s">
        <v>3401</v>
      </c>
      <c r="E1344" s="1" t="s">
        <v>3442</v>
      </c>
      <c r="F1344" s="1" t="s">
        <v>3443</v>
      </c>
      <c r="G1344" s="1" t="s">
        <v>3444</v>
      </c>
      <c r="H1344" s="1" t="s">
        <v>18</v>
      </c>
    </row>
    <row r="1345" spans="1:8">
      <c r="A1345" s="1">
        <v>1344</v>
      </c>
      <c r="B1345" s="1" t="s">
        <v>3399</v>
      </c>
      <c r="C1345" s="1" t="s">
        <v>3445</v>
      </c>
      <c r="D1345" s="1" t="s">
        <v>3401</v>
      </c>
      <c r="E1345" s="1" t="s">
        <v>3446</v>
      </c>
      <c r="F1345" s="1" t="s">
        <v>3447</v>
      </c>
      <c r="G1345" s="1" t="s">
        <v>3448</v>
      </c>
      <c r="H1345" s="1" t="s">
        <v>18</v>
      </c>
    </row>
    <row r="1346" spans="1:8">
      <c r="A1346" s="1">
        <v>1345</v>
      </c>
      <c r="B1346" s="1" t="s">
        <v>3399</v>
      </c>
      <c r="C1346" s="1" t="s">
        <v>3449</v>
      </c>
      <c r="D1346" s="1" t="s">
        <v>3401</v>
      </c>
      <c r="E1346" s="1" t="s">
        <v>3450</v>
      </c>
      <c r="F1346" s="1" t="s">
        <v>3451</v>
      </c>
      <c r="G1346" s="1" t="s">
        <v>3452</v>
      </c>
      <c r="H1346" s="1" t="s">
        <v>18</v>
      </c>
    </row>
    <row r="1347" spans="1:8">
      <c r="A1347" s="1">
        <v>1346</v>
      </c>
      <c r="B1347" s="1" t="s">
        <v>3399</v>
      </c>
      <c r="C1347" s="1" t="s">
        <v>3453</v>
      </c>
      <c r="D1347" s="1" t="s">
        <v>3401</v>
      </c>
      <c r="E1347" s="1" t="s">
        <v>3454</v>
      </c>
      <c r="F1347" s="1" t="s">
        <v>3455</v>
      </c>
      <c r="G1347" s="1" t="s">
        <v>3456</v>
      </c>
      <c r="H1347" s="1" t="s">
        <v>18</v>
      </c>
    </row>
    <row r="1348" spans="1:8">
      <c r="A1348" s="1">
        <v>1347</v>
      </c>
      <c r="B1348" s="1" t="s">
        <v>3399</v>
      </c>
      <c r="C1348" s="1" t="s">
        <v>3457</v>
      </c>
      <c r="D1348" s="1" t="s">
        <v>3401</v>
      </c>
      <c r="E1348" s="1" t="s">
        <v>3458</v>
      </c>
      <c r="F1348" s="1" t="s">
        <v>3459</v>
      </c>
      <c r="G1348" s="1" t="s">
        <v>3460</v>
      </c>
      <c r="H1348" s="1" t="s">
        <v>18</v>
      </c>
    </row>
    <row r="1349" spans="1:8">
      <c r="A1349" s="1">
        <v>1348</v>
      </c>
      <c r="B1349" s="1" t="s">
        <v>3399</v>
      </c>
      <c r="C1349" s="1" t="s">
        <v>3461</v>
      </c>
      <c r="D1349" s="1" t="s">
        <v>3401</v>
      </c>
      <c r="E1349" s="1" t="s">
        <v>3462</v>
      </c>
      <c r="F1349" s="1" t="s">
        <v>3463</v>
      </c>
      <c r="G1349" s="1" t="s">
        <v>3464</v>
      </c>
      <c r="H1349" s="1" t="s">
        <v>18</v>
      </c>
    </row>
    <row r="1350" spans="1:8">
      <c r="A1350" s="1">
        <v>1349</v>
      </c>
      <c r="B1350" s="1" t="s">
        <v>3399</v>
      </c>
      <c r="C1350" s="1" t="s">
        <v>3465</v>
      </c>
      <c r="D1350" s="1" t="s">
        <v>3401</v>
      </c>
      <c r="E1350" s="1" t="s">
        <v>3466</v>
      </c>
      <c r="F1350" s="1" t="s">
        <v>3467</v>
      </c>
      <c r="G1350" s="1" t="s">
        <v>3468</v>
      </c>
      <c r="H1350" s="1" t="s">
        <v>18</v>
      </c>
    </row>
    <row r="1351" spans="1:8">
      <c r="A1351" s="1">
        <v>1350</v>
      </c>
      <c r="B1351" s="1" t="s">
        <v>3399</v>
      </c>
      <c r="C1351" s="1" t="s">
        <v>3469</v>
      </c>
      <c r="D1351" s="1" t="s">
        <v>3401</v>
      </c>
      <c r="E1351" s="1" t="s">
        <v>3470</v>
      </c>
      <c r="F1351" s="1" t="s">
        <v>3471</v>
      </c>
      <c r="G1351" s="1" t="s">
        <v>3472</v>
      </c>
      <c r="H1351" s="1" t="s">
        <v>18</v>
      </c>
    </row>
    <row r="1352" spans="1:8">
      <c r="A1352" s="1">
        <v>1351</v>
      </c>
      <c r="B1352" s="1" t="s">
        <v>3399</v>
      </c>
      <c r="C1352" s="1" t="s">
        <v>3473</v>
      </c>
      <c r="D1352" s="1" t="s">
        <v>3401</v>
      </c>
      <c r="E1352" s="1" t="s">
        <v>3474</v>
      </c>
      <c r="F1352" s="1" t="s">
        <v>3475</v>
      </c>
      <c r="G1352" s="1" t="s">
        <v>3476</v>
      </c>
      <c r="H1352" s="1" t="s">
        <v>18</v>
      </c>
    </row>
    <row r="1353" spans="1:8">
      <c r="A1353" s="1">
        <v>1352</v>
      </c>
      <c r="B1353" s="1" t="s">
        <v>3399</v>
      </c>
      <c r="C1353" s="1" t="s">
        <v>3477</v>
      </c>
      <c r="D1353" s="1" t="s">
        <v>3401</v>
      </c>
      <c r="E1353" s="1" t="s">
        <v>3478</v>
      </c>
      <c r="F1353" s="1" t="s">
        <v>37</v>
      </c>
      <c r="G1353" s="1" t="s">
        <v>38</v>
      </c>
      <c r="H1353" s="1" t="s">
        <v>18</v>
      </c>
    </row>
    <row r="1354" spans="1:8">
      <c r="A1354" s="1">
        <v>1353</v>
      </c>
      <c r="B1354" s="1" t="s">
        <v>3399</v>
      </c>
      <c r="C1354" s="1" t="s">
        <v>3479</v>
      </c>
      <c r="D1354" s="1" t="s">
        <v>3401</v>
      </c>
      <c r="E1354" s="1" t="s">
        <v>3480</v>
      </c>
      <c r="F1354" s="1" t="s">
        <v>41</v>
      </c>
      <c r="G1354" s="1" t="s">
        <v>42</v>
      </c>
      <c r="H1354" s="1" t="s">
        <v>18</v>
      </c>
    </row>
    <row r="1355" spans="1:8">
      <c r="A1355" s="1">
        <v>1354</v>
      </c>
      <c r="B1355" s="1" t="s">
        <v>3399</v>
      </c>
      <c r="C1355" s="1" t="s">
        <v>3481</v>
      </c>
      <c r="D1355" s="1" t="s">
        <v>3401</v>
      </c>
      <c r="E1355" s="1" t="s">
        <v>3482</v>
      </c>
      <c r="F1355" s="1" t="s">
        <v>29</v>
      </c>
      <c r="G1355" s="1" t="s">
        <v>30</v>
      </c>
      <c r="H1355" s="1" t="s">
        <v>18</v>
      </c>
    </row>
    <row r="1356" spans="1:8">
      <c r="A1356" s="1">
        <v>1355</v>
      </c>
      <c r="B1356" s="1" t="s">
        <v>3483</v>
      </c>
      <c r="C1356" s="1" t="s">
        <v>3400</v>
      </c>
      <c r="D1356" s="1" t="s">
        <v>3484</v>
      </c>
      <c r="E1356" s="1" t="s">
        <v>3485</v>
      </c>
      <c r="F1356" s="1" t="s">
        <v>3403</v>
      </c>
      <c r="G1356" s="1" t="s">
        <v>3404</v>
      </c>
      <c r="H1356" s="1" t="s">
        <v>18</v>
      </c>
    </row>
    <row r="1357" spans="1:8">
      <c r="A1357" s="1">
        <v>1356</v>
      </c>
      <c r="B1357" s="1" t="s">
        <v>3483</v>
      </c>
      <c r="C1357" s="1" t="s">
        <v>3405</v>
      </c>
      <c r="D1357" s="1" t="s">
        <v>3484</v>
      </c>
      <c r="E1357" s="1" t="s">
        <v>3486</v>
      </c>
      <c r="F1357" s="1" t="s">
        <v>3407</v>
      </c>
      <c r="G1357" s="1" t="s">
        <v>3408</v>
      </c>
      <c r="H1357" s="1" t="s">
        <v>18</v>
      </c>
    </row>
    <row r="1358" spans="1:8">
      <c r="A1358" s="1">
        <v>1357</v>
      </c>
      <c r="B1358" s="1" t="s">
        <v>3483</v>
      </c>
      <c r="C1358" s="1" t="s">
        <v>3409</v>
      </c>
      <c r="D1358" s="1" t="s">
        <v>3484</v>
      </c>
      <c r="E1358" s="1" t="s">
        <v>3487</v>
      </c>
      <c r="F1358" s="1" t="s">
        <v>3411</v>
      </c>
      <c r="G1358" s="1" t="s">
        <v>3412</v>
      </c>
      <c r="H1358" s="1" t="s">
        <v>18</v>
      </c>
    </row>
    <row r="1359" spans="1:8">
      <c r="A1359" s="1">
        <v>1358</v>
      </c>
      <c r="B1359" s="1" t="s">
        <v>3483</v>
      </c>
      <c r="C1359" s="1" t="s">
        <v>3413</v>
      </c>
      <c r="D1359" s="1" t="s">
        <v>3484</v>
      </c>
      <c r="E1359" s="1" t="s">
        <v>3488</v>
      </c>
      <c r="F1359" s="1" t="s">
        <v>3415</v>
      </c>
      <c r="G1359" s="1" t="s">
        <v>3416</v>
      </c>
      <c r="H1359" s="1" t="s">
        <v>18</v>
      </c>
    </row>
    <row r="1360" spans="1:8">
      <c r="A1360" s="1">
        <v>1359</v>
      </c>
      <c r="B1360" s="1" t="s">
        <v>3483</v>
      </c>
      <c r="C1360" s="1" t="s">
        <v>3417</v>
      </c>
      <c r="D1360" s="1" t="s">
        <v>3484</v>
      </c>
      <c r="E1360" s="1" t="s">
        <v>3489</v>
      </c>
      <c r="F1360" s="1" t="s">
        <v>3419</v>
      </c>
      <c r="G1360" s="1" t="s">
        <v>3420</v>
      </c>
      <c r="H1360" s="1" t="s">
        <v>18</v>
      </c>
    </row>
    <row r="1361" spans="1:8">
      <c r="A1361" s="1">
        <v>1360</v>
      </c>
      <c r="B1361" s="1" t="s">
        <v>3483</v>
      </c>
      <c r="C1361" s="1" t="s">
        <v>3421</v>
      </c>
      <c r="D1361" s="1" t="s">
        <v>3484</v>
      </c>
      <c r="E1361" s="1" t="s">
        <v>3490</v>
      </c>
      <c r="F1361" s="1" t="s">
        <v>3423</v>
      </c>
      <c r="G1361" s="1" t="s">
        <v>3424</v>
      </c>
      <c r="H1361" s="1" t="s">
        <v>18</v>
      </c>
    </row>
    <row r="1362" spans="1:8">
      <c r="A1362" s="1">
        <v>1361</v>
      </c>
      <c r="B1362" s="1" t="s">
        <v>3483</v>
      </c>
      <c r="C1362" s="1" t="s">
        <v>3425</v>
      </c>
      <c r="D1362" s="1" t="s">
        <v>3484</v>
      </c>
      <c r="E1362" s="1" t="s">
        <v>3491</v>
      </c>
      <c r="F1362" s="1" t="s">
        <v>3427</v>
      </c>
      <c r="G1362" s="1" t="s">
        <v>3428</v>
      </c>
      <c r="H1362" s="1" t="s">
        <v>18</v>
      </c>
    </row>
    <row r="1363" spans="1:8">
      <c r="A1363" s="1">
        <v>1362</v>
      </c>
      <c r="B1363" s="1" t="s">
        <v>3483</v>
      </c>
      <c r="C1363" s="1" t="s">
        <v>3429</v>
      </c>
      <c r="D1363" s="1" t="s">
        <v>3484</v>
      </c>
      <c r="E1363" s="1" t="s">
        <v>3492</v>
      </c>
      <c r="F1363" s="1" t="s">
        <v>3431</v>
      </c>
      <c r="G1363" s="1" t="s">
        <v>3432</v>
      </c>
      <c r="H1363" s="1" t="s">
        <v>18</v>
      </c>
    </row>
    <row r="1364" spans="1:8">
      <c r="A1364" s="1">
        <v>1363</v>
      </c>
      <c r="B1364" s="1" t="s">
        <v>3483</v>
      </c>
      <c r="C1364" s="1" t="s">
        <v>3433</v>
      </c>
      <c r="D1364" s="1" t="s">
        <v>3484</v>
      </c>
      <c r="E1364" s="1" t="s">
        <v>3493</v>
      </c>
      <c r="F1364" s="1" t="s">
        <v>3435</v>
      </c>
      <c r="G1364" s="1" t="s">
        <v>3436</v>
      </c>
      <c r="H1364" s="1" t="s">
        <v>18</v>
      </c>
    </row>
    <row r="1365" spans="1:8">
      <c r="A1365" s="1">
        <v>1364</v>
      </c>
      <c r="B1365" s="1" t="s">
        <v>3483</v>
      </c>
      <c r="C1365" s="1" t="s">
        <v>3437</v>
      </c>
      <c r="D1365" s="1" t="s">
        <v>3484</v>
      </c>
      <c r="E1365" s="1" t="s">
        <v>3494</v>
      </c>
      <c r="F1365" s="1" t="s">
        <v>3439</v>
      </c>
      <c r="G1365" s="1" t="s">
        <v>3440</v>
      </c>
      <c r="H1365" s="1" t="s">
        <v>18</v>
      </c>
    </row>
    <row r="1366" spans="1:8">
      <c r="A1366" s="1">
        <v>1365</v>
      </c>
      <c r="B1366" s="1" t="s">
        <v>3483</v>
      </c>
      <c r="C1366" s="1" t="s">
        <v>3441</v>
      </c>
      <c r="D1366" s="1" t="s">
        <v>3484</v>
      </c>
      <c r="E1366" s="1" t="s">
        <v>3495</v>
      </c>
      <c r="F1366" s="1" t="s">
        <v>3443</v>
      </c>
      <c r="G1366" s="1" t="s">
        <v>3444</v>
      </c>
      <c r="H1366" s="1" t="s">
        <v>18</v>
      </c>
    </row>
    <row r="1367" spans="1:8">
      <c r="A1367" s="1">
        <v>1366</v>
      </c>
      <c r="B1367" s="1" t="s">
        <v>3483</v>
      </c>
      <c r="C1367" s="1" t="s">
        <v>3445</v>
      </c>
      <c r="D1367" s="1" t="s">
        <v>3484</v>
      </c>
      <c r="E1367" s="1" t="s">
        <v>3496</v>
      </c>
      <c r="F1367" s="1" t="s">
        <v>3447</v>
      </c>
      <c r="G1367" s="1" t="s">
        <v>3448</v>
      </c>
      <c r="H1367" s="1" t="s">
        <v>18</v>
      </c>
    </row>
    <row r="1368" spans="1:8">
      <c r="A1368" s="1">
        <v>1367</v>
      </c>
      <c r="B1368" s="1" t="s">
        <v>3483</v>
      </c>
      <c r="C1368" s="1" t="s">
        <v>3449</v>
      </c>
      <c r="D1368" s="1" t="s">
        <v>3484</v>
      </c>
      <c r="E1368" s="1" t="s">
        <v>3497</v>
      </c>
      <c r="F1368" s="1" t="s">
        <v>3451</v>
      </c>
      <c r="G1368" s="1" t="s">
        <v>3452</v>
      </c>
      <c r="H1368" s="1" t="s">
        <v>18</v>
      </c>
    </row>
    <row r="1369" spans="1:8">
      <c r="A1369" s="1">
        <v>1368</v>
      </c>
      <c r="B1369" s="1" t="s">
        <v>3483</v>
      </c>
      <c r="C1369" s="1" t="s">
        <v>3453</v>
      </c>
      <c r="D1369" s="1" t="s">
        <v>3484</v>
      </c>
      <c r="E1369" s="1" t="s">
        <v>3498</v>
      </c>
      <c r="F1369" s="1" t="s">
        <v>3455</v>
      </c>
      <c r="G1369" s="1" t="s">
        <v>3456</v>
      </c>
      <c r="H1369" s="1" t="s">
        <v>18</v>
      </c>
    </row>
    <row r="1370" spans="1:8">
      <c r="A1370" s="1">
        <v>1369</v>
      </c>
      <c r="B1370" s="1" t="s">
        <v>3483</v>
      </c>
      <c r="C1370" s="1" t="s">
        <v>3457</v>
      </c>
      <c r="D1370" s="1" t="s">
        <v>3484</v>
      </c>
      <c r="E1370" s="1" t="s">
        <v>3499</v>
      </c>
      <c r="F1370" s="1" t="s">
        <v>3459</v>
      </c>
      <c r="G1370" s="1" t="s">
        <v>3460</v>
      </c>
      <c r="H1370" s="1" t="s">
        <v>18</v>
      </c>
    </row>
    <row r="1371" spans="1:8">
      <c r="A1371" s="1">
        <v>1370</v>
      </c>
      <c r="B1371" s="1" t="s">
        <v>3483</v>
      </c>
      <c r="C1371" s="1" t="s">
        <v>3461</v>
      </c>
      <c r="D1371" s="1" t="s">
        <v>3484</v>
      </c>
      <c r="E1371" s="1" t="s">
        <v>3500</v>
      </c>
      <c r="F1371" s="1" t="s">
        <v>3463</v>
      </c>
      <c r="G1371" s="1" t="s">
        <v>3464</v>
      </c>
      <c r="H1371" s="1" t="s">
        <v>18</v>
      </c>
    </row>
    <row r="1372" spans="1:8">
      <c r="A1372" s="1">
        <v>1371</v>
      </c>
      <c r="B1372" s="1" t="s">
        <v>3483</v>
      </c>
      <c r="C1372" s="1" t="s">
        <v>3465</v>
      </c>
      <c r="D1372" s="1" t="s">
        <v>3484</v>
      </c>
      <c r="E1372" s="1" t="s">
        <v>3501</v>
      </c>
      <c r="F1372" s="1" t="s">
        <v>3467</v>
      </c>
      <c r="G1372" s="1" t="s">
        <v>3468</v>
      </c>
      <c r="H1372" s="1" t="s">
        <v>18</v>
      </c>
    </row>
    <row r="1373" spans="1:8">
      <c r="A1373" s="1">
        <v>1372</v>
      </c>
      <c r="B1373" s="1" t="s">
        <v>3483</v>
      </c>
      <c r="C1373" s="1" t="s">
        <v>3469</v>
      </c>
      <c r="D1373" s="1" t="s">
        <v>3484</v>
      </c>
      <c r="E1373" s="1" t="s">
        <v>3502</v>
      </c>
      <c r="F1373" s="1" t="s">
        <v>3471</v>
      </c>
      <c r="G1373" s="1" t="s">
        <v>3472</v>
      </c>
      <c r="H1373" s="1" t="s">
        <v>18</v>
      </c>
    </row>
    <row r="1374" spans="1:8">
      <c r="A1374" s="1">
        <v>1373</v>
      </c>
      <c r="B1374" s="1" t="s">
        <v>3483</v>
      </c>
      <c r="C1374" s="1" t="s">
        <v>3473</v>
      </c>
      <c r="D1374" s="1" t="s">
        <v>3484</v>
      </c>
      <c r="E1374" s="1" t="s">
        <v>3503</v>
      </c>
      <c r="F1374" s="1" t="s">
        <v>3475</v>
      </c>
      <c r="G1374" s="1" t="s">
        <v>3476</v>
      </c>
      <c r="H1374" s="1" t="s">
        <v>18</v>
      </c>
    </row>
    <row r="1375" spans="1:8">
      <c r="A1375" s="1">
        <v>1374</v>
      </c>
      <c r="B1375" s="1" t="s">
        <v>3483</v>
      </c>
      <c r="C1375" s="1" t="s">
        <v>3477</v>
      </c>
      <c r="D1375" s="1" t="s">
        <v>3484</v>
      </c>
      <c r="E1375" s="1" t="s">
        <v>3504</v>
      </c>
      <c r="F1375" s="1" t="s">
        <v>37</v>
      </c>
      <c r="G1375" s="1" t="s">
        <v>38</v>
      </c>
      <c r="H1375" s="1" t="s">
        <v>18</v>
      </c>
    </row>
    <row r="1376" spans="1:8">
      <c r="A1376" s="1">
        <v>1375</v>
      </c>
      <c r="B1376" s="1" t="s">
        <v>3483</v>
      </c>
      <c r="C1376" s="1" t="s">
        <v>3479</v>
      </c>
      <c r="D1376" s="1" t="s">
        <v>3484</v>
      </c>
      <c r="E1376" s="1" t="s">
        <v>3505</v>
      </c>
      <c r="F1376" s="1" t="s">
        <v>41</v>
      </c>
      <c r="G1376" s="1" t="s">
        <v>42</v>
      </c>
      <c r="H1376" s="1" t="s">
        <v>18</v>
      </c>
    </row>
    <row r="1377" spans="1:8">
      <c r="A1377" s="1">
        <v>1376</v>
      </c>
      <c r="B1377" s="1" t="s">
        <v>3483</v>
      </c>
      <c r="C1377" s="1" t="s">
        <v>3481</v>
      </c>
      <c r="D1377" s="1" t="s">
        <v>3484</v>
      </c>
      <c r="E1377" s="1" t="s">
        <v>3506</v>
      </c>
      <c r="F1377" s="1" t="s">
        <v>29</v>
      </c>
      <c r="G1377" s="1" t="s">
        <v>30</v>
      </c>
      <c r="H1377" s="1" t="s">
        <v>18</v>
      </c>
    </row>
    <row r="1378" spans="1:8">
      <c r="A1378" s="1">
        <v>1377</v>
      </c>
      <c r="B1378" s="1" t="s">
        <v>3507</v>
      </c>
      <c r="C1378" s="1" t="s">
        <v>3400</v>
      </c>
      <c r="D1378" s="1" t="s">
        <v>3508</v>
      </c>
      <c r="E1378" s="1" t="s">
        <v>3509</v>
      </c>
      <c r="F1378" s="1" t="s">
        <v>3403</v>
      </c>
      <c r="G1378" s="1" t="s">
        <v>3404</v>
      </c>
      <c r="H1378" s="1" t="s">
        <v>18</v>
      </c>
    </row>
    <row r="1379" spans="1:8">
      <c r="A1379" s="1">
        <v>1378</v>
      </c>
      <c r="B1379" s="1" t="s">
        <v>3507</v>
      </c>
      <c r="C1379" s="1" t="s">
        <v>3405</v>
      </c>
      <c r="D1379" s="1" t="s">
        <v>3508</v>
      </c>
      <c r="E1379" s="1" t="s">
        <v>3510</v>
      </c>
      <c r="F1379" s="1" t="s">
        <v>3407</v>
      </c>
      <c r="G1379" s="1" t="s">
        <v>3408</v>
      </c>
      <c r="H1379" s="1" t="s">
        <v>18</v>
      </c>
    </row>
    <row r="1380" spans="1:8">
      <c r="A1380" s="1">
        <v>1379</v>
      </c>
      <c r="B1380" s="1" t="s">
        <v>3507</v>
      </c>
      <c r="C1380" s="1" t="s">
        <v>3409</v>
      </c>
      <c r="D1380" s="1" t="s">
        <v>3508</v>
      </c>
      <c r="E1380" s="1" t="s">
        <v>3511</v>
      </c>
      <c r="F1380" s="1" t="s">
        <v>3411</v>
      </c>
      <c r="G1380" s="1" t="s">
        <v>3412</v>
      </c>
      <c r="H1380" s="1" t="s">
        <v>18</v>
      </c>
    </row>
    <row r="1381" spans="1:8">
      <c r="A1381" s="1">
        <v>1380</v>
      </c>
      <c r="B1381" s="1" t="s">
        <v>3507</v>
      </c>
      <c r="C1381" s="1" t="s">
        <v>3413</v>
      </c>
      <c r="D1381" s="1" t="s">
        <v>3508</v>
      </c>
      <c r="E1381" s="1" t="s">
        <v>3512</v>
      </c>
      <c r="F1381" s="1" t="s">
        <v>3415</v>
      </c>
      <c r="G1381" s="1" t="s">
        <v>3416</v>
      </c>
      <c r="H1381" s="1" t="s">
        <v>18</v>
      </c>
    </row>
    <row r="1382" spans="1:8">
      <c r="A1382" s="1">
        <v>1381</v>
      </c>
      <c r="B1382" s="1" t="s">
        <v>3507</v>
      </c>
      <c r="C1382" s="1" t="s">
        <v>3417</v>
      </c>
      <c r="D1382" s="1" t="s">
        <v>3508</v>
      </c>
      <c r="E1382" s="1" t="s">
        <v>3513</v>
      </c>
      <c r="F1382" s="1" t="s">
        <v>3419</v>
      </c>
      <c r="G1382" s="1" t="s">
        <v>3420</v>
      </c>
      <c r="H1382" s="1" t="s">
        <v>18</v>
      </c>
    </row>
    <row r="1383" spans="1:8">
      <c r="A1383" s="1">
        <v>1382</v>
      </c>
      <c r="B1383" s="1" t="s">
        <v>3507</v>
      </c>
      <c r="C1383" s="1" t="s">
        <v>3421</v>
      </c>
      <c r="D1383" s="1" t="s">
        <v>3508</v>
      </c>
      <c r="E1383" s="1" t="s">
        <v>3514</v>
      </c>
      <c r="F1383" s="1" t="s">
        <v>3423</v>
      </c>
      <c r="G1383" s="1" t="s">
        <v>3424</v>
      </c>
      <c r="H1383" s="1" t="s">
        <v>18</v>
      </c>
    </row>
    <row r="1384" spans="1:8">
      <c r="A1384" s="1">
        <v>1383</v>
      </c>
      <c r="B1384" s="1" t="s">
        <v>3507</v>
      </c>
      <c r="C1384" s="1" t="s">
        <v>3425</v>
      </c>
      <c r="D1384" s="1" t="s">
        <v>3508</v>
      </c>
      <c r="E1384" s="1" t="s">
        <v>3515</v>
      </c>
      <c r="F1384" s="1" t="s">
        <v>3427</v>
      </c>
      <c r="G1384" s="1" t="s">
        <v>3428</v>
      </c>
      <c r="H1384" s="1" t="s">
        <v>18</v>
      </c>
    </row>
    <row r="1385" spans="1:8">
      <c r="A1385" s="1">
        <v>1384</v>
      </c>
      <c r="B1385" s="1" t="s">
        <v>3507</v>
      </c>
      <c r="C1385" s="1" t="s">
        <v>3429</v>
      </c>
      <c r="D1385" s="1" t="s">
        <v>3508</v>
      </c>
      <c r="E1385" s="1" t="s">
        <v>3516</v>
      </c>
      <c r="F1385" s="1" t="s">
        <v>3431</v>
      </c>
      <c r="G1385" s="1" t="s">
        <v>3432</v>
      </c>
      <c r="H1385" s="1" t="s">
        <v>18</v>
      </c>
    </row>
    <row r="1386" spans="1:8">
      <c r="A1386" s="1">
        <v>1385</v>
      </c>
      <c r="B1386" s="1" t="s">
        <v>3507</v>
      </c>
      <c r="C1386" s="1" t="s">
        <v>3433</v>
      </c>
      <c r="D1386" s="1" t="s">
        <v>3508</v>
      </c>
      <c r="E1386" s="1" t="s">
        <v>3517</v>
      </c>
      <c r="F1386" s="1" t="s">
        <v>3435</v>
      </c>
      <c r="G1386" s="1" t="s">
        <v>3436</v>
      </c>
      <c r="H1386" s="1" t="s">
        <v>18</v>
      </c>
    </row>
    <row r="1387" spans="1:8">
      <c r="A1387" s="1">
        <v>1386</v>
      </c>
      <c r="B1387" s="1" t="s">
        <v>3507</v>
      </c>
      <c r="C1387" s="1" t="s">
        <v>3437</v>
      </c>
      <c r="D1387" s="1" t="s">
        <v>3508</v>
      </c>
      <c r="E1387" s="1" t="s">
        <v>3518</v>
      </c>
      <c r="F1387" s="1" t="s">
        <v>3439</v>
      </c>
      <c r="G1387" s="1" t="s">
        <v>3440</v>
      </c>
      <c r="H1387" s="1" t="s">
        <v>18</v>
      </c>
    </row>
    <row r="1388" spans="1:8">
      <c r="A1388" s="1">
        <v>1387</v>
      </c>
      <c r="B1388" s="1" t="s">
        <v>3507</v>
      </c>
      <c r="C1388" s="1" t="s">
        <v>3441</v>
      </c>
      <c r="D1388" s="1" t="s">
        <v>3508</v>
      </c>
      <c r="E1388" s="1" t="s">
        <v>3519</v>
      </c>
      <c r="F1388" s="1" t="s">
        <v>3443</v>
      </c>
      <c r="G1388" s="1" t="s">
        <v>3444</v>
      </c>
      <c r="H1388" s="1" t="s">
        <v>18</v>
      </c>
    </row>
    <row r="1389" spans="1:8">
      <c r="A1389" s="1">
        <v>1388</v>
      </c>
      <c r="B1389" s="1" t="s">
        <v>3507</v>
      </c>
      <c r="C1389" s="1" t="s">
        <v>3445</v>
      </c>
      <c r="D1389" s="1" t="s">
        <v>3508</v>
      </c>
      <c r="E1389" s="1" t="s">
        <v>3520</v>
      </c>
      <c r="F1389" s="1" t="s">
        <v>3447</v>
      </c>
      <c r="G1389" s="1" t="s">
        <v>3448</v>
      </c>
      <c r="H1389" s="1" t="s">
        <v>18</v>
      </c>
    </row>
    <row r="1390" spans="1:8">
      <c r="A1390" s="1">
        <v>1389</v>
      </c>
      <c r="B1390" s="1" t="s">
        <v>3507</v>
      </c>
      <c r="C1390" s="1" t="s">
        <v>3449</v>
      </c>
      <c r="D1390" s="1" t="s">
        <v>3508</v>
      </c>
      <c r="E1390" s="1" t="s">
        <v>3521</v>
      </c>
      <c r="F1390" s="1" t="s">
        <v>3451</v>
      </c>
      <c r="G1390" s="1" t="s">
        <v>3452</v>
      </c>
      <c r="H1390" s="1" t="s">
        <v>18</v>
      </c>
    </row>
    <row r="1391" spans="1:8">
      <c r="A1391" s="1">
        <v>1390</v>
      </c>
      <c r="B1391" s="1" t="s">
        <v>3507</v>
      </c>
      <c r="C1391" s="1" t="s">
        <v>3453</v>
      </c>
      <c r="D1391" s="1" t="s">
        <v>3508</v>
      </c>
      <c r="E1391" s="1" t="s">
        <v>3522</v>
      </c>
      <c r="F1391" s="1" t="s">
        <v>3455</v>
      </c>
      <c r="G1391" s="1" t="s">
        <v>3456</v>
      </c>
      <c r="H1391" s="1" t="s">
        <v>18</v>
      </c>
    </row>
    <row r="1392" spans="1:8">
      <c r="A1392" s="1">
        <v>1391</v>
      </c>
      <c r="B1392" s="1" t="s">
        <v>3507</v>
      </c>
      <c r="C1392" s="1" t="s">
        <v>3457</v>
      </c>
      <c r="D1392" s="1" t="s">
        <v>3508</v>
      </c>
      <c r="E1392" s="1" t="s">
        <v>3523</v>
      </c>
      <c r="F1392" s="1" t="s">
        <v>3459</v>
      </c>
      <c r="G1392" s="1" t="s">
        <v>3460</v>
      </c>
      <c r="H1392" s="1" t="s">
        <v>18</v>
      </c>
    </row>
    <row r="1393" spans="1:8">
      <c r="A1393" s="1">
        <v>1392</v>
      </c>
      <c r="B1393" s="1" t="s">
        <v>3507</v>
      </c>
      <c r="C1393" s="1" t="s">
        <v>3461</v>
      </c>
      <c r="D1393" s="1" t="s">
        <v>3508</v>
      </c>
      <c r="E1393" s="1" t="s">
        <v>3524</v>
      </c>
      <c r="F1393" s="1" t="s">
        <v>3463</v>
      </c>
      <c r="G1393" s="1" t="s">
        <v>3464</v>
      </c>
      <c r="H1393" s="1" t="s">
        <v>18</v>
      </c>
    </row>
    <row r="1394" spans="1:8">
      <c r="A1394" s="1">
        <v>1393</v>
      </c>
      <c r="B1394" s="1" t="s">
        <v>3507</v>
      </c>
      <c r="C1394" s="1" t="s">
        <v>3465</v>
      </c>
      <c r="D1394" s="1" t="s">
        <v>3508</v>
      </c>
      <c r="E1394" s="1" t="s">
        <v>3525</v>
      </c>
      <c r="F1394" s="1" t="s">
        <v>3467</v>
      </c>
      <c r="G1394" s="1" t="s">
        <v>3468</v>
      </c>
      <c r="H1394" s="1" t="s">
        <v>18</v>
      </c>
    </row>
    <row r="1395" spans="1:8">
      <c r="A1395" s="1">
        <v>1394</v>
      </c>
      <c r="B1395" s="1" t="s">
        <v>3507</v>
      </c>
      <c r="C1395" s="1" t="s">
        <v>3469</v>
      </c>
      <c r="D1395" s="1" t="s">
        <v>3508</v>
      </c>
      <c r="E1395" s="1" t="s">
        <v>3526</v>
      </c>
      <c r="F1395" s="1" t="s">
        <v>3471</v>
      </c>
      <c r="G1395" s="1" t="s">
        <v>3472</v>
      </c>
      <c r="H1395" s="1" t="s">
        <v>18</v>
      </c>
    </row>
    <row r="1396" spans="1:8">
      <c r="A1396" s="1">
        <v>1395</v>
      </c>
      <c r="B1396" s="1" t="s">
        <v>3507</v>
      </c>
      <c r="C1396" s="1" t="s">
        <v>3473</v>
      </c>
      <c r="D1396" s="1" t="s">
        <v>3508</v>
      </c>
      <c r="E1396" s="1" t="s">
        <v>3527</v>
      </c>
      <c r="F1396" s="1" t="s">
        <v>3475</v>
      </c>
      <c r="G1396" s="1" t="s">
        <v>3476</v>
      </c>
      <c r="H1396" s="1" t="s">
        <v>18</v>
      </c>
    </row>
    <row r="1397" spans="1:8">
      <c r="A1397" s="1">
        <v>1396</v>
      </c>
      <c r="B1397" s="1" t="s">
        <v>3507</v>
      </c>
      <c r="C1397" s="1" t="s">
        <v>3477</v>
      </c>
      <c r="D1397" s="1" t="s">
        <v>3508</v>
      </c>
      <c r="E1397" s="1" t="s">
        <v>3528</v>
      </c>
      <c r="F1397" s="1" t="s">
        <v>37</v>
      </c>
      <c r="G1397" s="1" t="s">
        <v>38</v>
      </c>
      <c r="H1397" s="1" t="s">
        <v>18</v>
      </c>
    </row>
    <row r="1398" spans="1:8">
      <c r="A1398" s="1">
        <v>1397</v>
      </c>
      <c r="B1398" s="1" t="s">
        <v>3507</v>
      </c>
      <c r="C1398" s="1" t="s">
        <v>3479</v>
      </c>
      <c r="D1398" s="1" t="s">
        <v>3508</v>
      </c>
      <c r="E1398" s="1" t="s">
        <v>3529</v>
      </c>
      <c r="F1398" s="1" t="s">
        <v>41</v>
      </c>
      <c r="G1398" s="1" t="s">
        <v>42</v>
      </c>
      <c r="H1398" s="1" t="s">
        <v>18</v>
      </c>
    </row>
    <row r="1399" spans="1:8">
      <c r="A1399" s="1">
        <v>1398</v>
      </c>
      <c r="B1399" s="1" t="s">
        <v>3507</v>
      </c>
      <c r="C1399" s="1" t="s">
        <v>3481</v>
      </c>
      <c r="D1399" s="1" t="s">
        <v>3508</v>
      </c>
      <c r="E1399" s="1" t="s">
        <v>3530</v>
      </c>
      <c r="F1399" s="1" t="s">
        <v>29</v>
      </c>
      <c r="G1399" s="1" t="s">
        <v>30</v>
      </c>
      <c r="H1399" s="1" t="s">
        <v>18</v>
      </c>
    </row>
    <row r="1400" spans="1:8">
      <c r="A1400" s="1">
        <v>1399</v>
      </c>
      <c r="B1400" s="1" t="s">
        <v>3531</v>
      </c>
      <c r="C1400" s="1" t="s">
        <v>3400</v>
      </c>
      <c r="D1400" s="1" t="s">
        <v>3532</v>
      </c>
      <c r="E1400" s="1" t="s">
        <v>3533</v>
      </c>
      <c r="F1400" s="1" t="s">
        <v>3403</v>
      </c>
      <c r="G1400" s="1" t="s">
        <v>3404</v>
      </c>
      <c r="H1400" s="1" t="s">
        <v>18</v>
      </c>
    </row>
    <row r="1401" spans="1:8">
      <c r="A1401" s="1">
        <v>1400</v>
      </c>
      <c r="B1401" s="1" t="s">
        <v>3531</v>
      </c>
      <c r="C1401" s="1" t="s">
        <v>3405</v>
      </c>
      <c r="D1401" s="1" t="s">
        <v>3532</v>
      </c>
      <c r="E1401" s="1" t="s">
        <v>3534</v>
      </c>
      <c r="F1401" s="1" t="s">
        <v>3407</v>
      </c>
      <c r="G1401" s="1" t="s">
        <v>3408</v>
      </c>
      <c r="H1401" s="1" t="s">
        <v>18</v>
      </c>
    </row>
    <row r="1402" spans="1:8">
      <c r="A1402" s="1">
        <v>1401</v>
      </c>
      <c r="B1402" s="1" t="s">
        <v>3531</v>
      </c>
      <c r="C1402" s="1" t="s">
        <v>3409</v>
      </c>
      <c r="D1402" s="1" t="s">
        <v>3532</v>
      </c>
      <c r="E1402" s="1" t="s">
        <v>3535</v>
      </c>
      <c r="F1402" s="1" t="s">
        <v>3411</v>
      </c>
      <c r="G1402" s="1" t="s">
        <v>3412</v>
      </c>
      <c r="H1402" s="1" t="s">
        <v>18</v>
      </c>
    </row>
    <row r="1403" spans="1:8">
      <c r="A1403" s="1">
        <v>1402</v>
      </c>
      <c r="B1403" s="1" t="s">
        <v>3531</v>
      </c>
      <c r="C1403" s="1" t="s">
        <v>3413</v>
      </c>
      <c r="D1403" s="1" t="s">
        <v>3532</v>
      </c>
      <c r="E1403" s="1" t="s">
        <v>3536</v>
      </c>
      <c r="F1403" s="1" t="s">
        <v>3415</v>
      </c>
      <c r="G1403" s="1" t="s">
        <v>3416</v>
      </c>
      <c r="H1403" s="1" t="s">
        <v>18</v>
      </c>
    </row>
    <row r="1404" spans="1:8">
      <c r="A1404" s="1">
        <v>1403</v>
      </c>
      <c r="B1404" s="1" t="s">
        <v>3531</v>
      </c>
      <c r="C1404" s="1" t="s">
        <v>3417</v>
      </c>
      <c r="D1404" s="1" t="s">
        <v>3532</v>
      </c>
      <c r="E1404" s="1" t="s">
        <v>3537</v>
      </c>
      <c r="F1404" s="1" t="s">
        <v>3419</v>
      </c>
      <c r="G1404" s="1" t="s">
        <v>3420</v>
      </c>
      <c r="H1404" s="1" t="s">
        <v>18</v>
      </c>
    </row>
    <row r="1405" spans="1:8">
      <c r="A1405" s="1">
        <v>1404</v>
      </c>
      <c r="B1405" s="1" t="s">
        <v>3531</v>
      </c>
      <c r="C1405" s="1" t="s">
        <v>3421</v>
      </c>
      <c r="D1405" s="1" t="s">
        <v>3532</v>
      </c>
      <c r="E1405" s="1" t="s">
        <v>3538</v>
      </c>
      <c r="F1405" s="1" t="s">
        <v>3423</v>
      </c>
      <c r="G1405" s="1" t="s">
        <v>3424</v>
      </c>
      <c r="H1405" s="1" t="s">
        <v>18</v>
      </c>
    </row>
    <row r="1406" spans="1:8">
      <c r="A1406" s="1">
        <v>1405</v>
      </c>
      <c r="B1406" s="1" t="s">
        <v>3531</v>
      </c>
      <c r="C1406" s="1" t="s">
        <v>3425</v>
      </c>
      <c r="D1406" s="1" t="s">
        <v>3532</v>
      </c>
      <c r="E1406" s="1" t="s">
        <v>3539</v>
      </c>
      <c r="F1406" s="1" t="s">
        <v>3427</v>
      </c>
      <c r="G1406" s="1" t="s">
        <v>3428</v>
      </c>
      <c r="H1406" s="1" t="s">
        <v>18</v>
      </c>
    </row>
    <row r="1407" spans="1:8">
      <c r="A1407" s="1">
        <v>1406</v>
      </c>
      <c r="B1407" s="1" t="s">
        <v>3531</v>
      </c>
      <c r="C1407" s="1" t="s">
        <v>3429</v>
      </c>
      <c r="D1407" s="1" t="s">
        <v>3532</v>
      </c>
      <c r="E1407" s="1" t="s">
        <v>3540</v>
      </c>
      <c r="F1407" s="1" t="s">
        <v>3431</v>
      </c>
      <c r="G1407" s="1" t="s">
        <v>3432</v>
      </c>
      <c r="H1407" s="1" t="s">
        <v>18</v>
      </c>
    </row>
    <row r="1408" spans="1:8">
      <c r="A1408" s="1">
        <v>1407</v>
      </c>
      <c r="B1408" s="1" t="s">
        <v>3531</v>
      </c>
      <c r="C1408" s="1" t="s">
        <v>3433</v>
      </c>
      <c r="D1408" s="1" t="s">
        <v>3532</v>
      </c>
      <c r="E1408" s="1" t="s">
        <v>3541</v>
      </c>
      <c r="F1408" s="1" t="s">
        <v>3435</v>
      </c>
      <c r="G1408" s="1" t="s">
        <v>3436</v>
      </c>
      <c r="H1408" s="1" t="s">
        <v>18</v>
      </c>
    </row>
    <row r="1409" spans="1:8">
      <c r="A1409" s="1">
        <v>1408</v>
      </c>
      <c r="B1409" s="1" t="s">
        <v>3531</v>
      </c>
      <c r="C1409" s="1" t="s">
        <v>3437</v>
      </c>
      <c r="D1409" s="1" t="s">
        <v>3532</v>
      </c>
      <c r="E1409" s="1" t="s">
        <v>3542</v>
      </c>
      <c r="F1409" s="1" t="s">
        <v>3439</v>
      </c>
      <c r="G1409" s="1" t="s">
        <v>3440</v>
      </c>
      <c r="H1409" s="1" t="s">
        <v>18</v>
      </c>
    </row>
    <row r="1410" spans="1:8">
      <c r="A1410" s="1">
        <v>1409</v>
      </c>
      <c r="B1410" s="1" t="s">
        <v>3531</v>
      </c>
      <c r="C1410" s="1" t="s">
        <v>3441</v>
      </c>
      <c r="D1410" s="1" t="s">
        <v>3532</v>
      </c>
      <c r="E1410" s="1" t="s">
        <v>3543</v>
      </c>
      <c r="F1410" s="1" t="s">
        <v>3443</v>
      </c>
      <c r="G1410" s="1" t="s">
        <v>3444</v>
      </c>
      <c r="H1410" s="1" t="s">
        <v>18</v>
      </c>
    </row>
    <row r="1411" spans="1:8">
      <c r="A1411" s="1">
        <v>1410</v>
      </c>
      <c r="B1411" s="1" t="s">
        <v>3531</v>
      </c>
      <c r="C1411" s="1" t="s">
        <v>3445</v>
      </c>
      <c r="D1411" s="1" t="s">
        <v>3532</v>
      </c>
      <c r="E1411" s="1" t="s">
        <v>3544</v>
      </c>
      <c r="F1411" s="1" t="s">
        <v>3447</v>
      </c>
      <c r="G1411" s="1" t="s">
        <v>3448</v>
      </c>
      <c r="H1411" s="1" t="s">
        <v>18</v>
      </c>
    </row>
    <row r="1412" spans="1:8">
      <c r="A1412" s="1">
        <v>1411</v>
      </c>
      <c r="B1412" s="1" t="s">
        <v>3531</v>
      </c>
      <c r="C1412" s="1" t="s">
        <v>3449</v>
      </c>
      <c r="D1412" s="1" t="s">
        <v>3532</v>
      </c>
      <c r="E1412" s="1" t="s">
        <v>3545</v>
      </c>
      <c r="F1412" s="1" t="s">
        <v>3451</v>
      </c>
      <c r="G1412" s="1" t="s">
        <v>3452</v>
      </c>
      <c r="H1412" s="1" t="s">
        <v>18</v>
      </c>
    </row>
    <row r="1413" spans="1:8">
      <c r="A1413" s="1">
        <v>1412</v>
      </c>
      <c r="B1413" s="1" t="s">
        <v>3531</v>
      </c>
      <c r="C1413" s="1" t="s">
        <v>3453</v>
      </c>
      <c r="D1413" s="1" t="s">
        <v>3532</v>
      </c>
      <c r="E1413" s="1" t="s">
        <v>3546</v>
      </c>
      <c r="F1413" s="1" t="s">
        <v>3455</v>
      </c>
      <c r="G1413" s="1" t="s">
        <v>3456</v>
      </c>
      <c r="H1413" s="1" t="s">
        <v>18</v>
      </c>
    </row>
    <row r="1414" spans="1:8">
      <c r="A1414" s="1">
        <v>1413</v>
      </c>
      <c r="B1414" s="1" t="s">
        <v>3531</v>
      </c>
      <c r="C1414" s="1" t="s">
        <v>3457</v>
      </c>
      <c r="D1414" s="1" t="s">
        <v>3532</v>
      </c>
      <c r="E1414" s="1" t="s">
        <v>3547</v>
      </c>
      <c r="F1414" s="1" t="s">
        <v>3459</v>
      </c>
      <c r="G1414" s="1" t="s">
        <v>3460</v>
      </c>
      <c r="H1414" s="1" t="s">
        <v>18</v>
      </c>
    </row>
    <row r="1415" spans="1:8">
      <c r="A1415" s="1">
        <v>1414</v>
      </c>
      <c r="B1415" s="1" t="s">
        <v>3531</v>
      </c>
      <c r="C1415" s="1" t="s">
        <v>3461</v>
      </c>
      <c r="D1415" s="1" t="s">
        <v>3532</v>
      </c>
      <c r="E1415" s="1" t="s">
        <v>3548</v>
      </c>
      <c r="F1415" s="1" t="s">
        <v>3463</v>
      </c>
      <c r="G1415" s="1" t="s">
        <v>3464</v>
      </c>
      <c r="H1415" s="1" t="s">
        <v>18</v>
      </c>
    </row>
    <row r="1416" spans="1:8">
      <c r="A1416" s="1">
        <v>1415</v>
      </c>
      <c r="B1416" s="1" t="s">
        <v>3531</v>
      </c>
      <c r="C1416" s="1" t="s">
        <v>3465</v>
      </c>
      <c r="D1416" s="1" t="s">
        <v>3532</v>
      </c>
      <c r="E1416" s="1" t="s">
        <v>3549</v>
      </c>
      <c r="F1416" s="1" t="s">
        <v>3467</v>
      </c>
      <c r="G1416" s="1" t="s">
        <v>3468</v>
      </c>
      <c r="H1416" s="1" t="s">
        <v>18</v>
      </c>
    </row>
    <row r="1417" spans="1:8">
      <c r="A1417" s="1">
        <v>1416</v>
      </c>
      <c r="B1417" s="1" t="s">
        <v>3531</v>
      </c>
      <c r="C1417" s="1" t="s">
        <v>3469</v>
      </c>
      <c r="D1417" s="1" t="s">
        <v>3532</v>
      </c>
      <c r="E1417" s="1" t="s">
        <v>3550</v>
      </c>
      <c r="F1417" s="1" t="s">
        <v>3471</v>
      </c>
      <c r="G1417" s="1" t="s">
        <v>3472</v>
      </c>
      <c r="H1417" s="1" t="s">
        <v>18</v>
      </c>
    </row>
    <row r="1418" spans="1:8">
      <c r="A1418" s="1">
        <v>1417</v>
      </c>
      <c r="B1418" s="1" t="s">
        <v>3531</v>
      </c>
      <c r="C1418" s="1" t="s">
        <v>3473</v>
      </c>
      <c r="D1418" s="1" t="s">
        <v>3532</v>
      </c>
      <c r="E1418" s="1" t="s">
        <v>3551</v>
      </c>
      <c r="F1418" s="1" t="s">
        <v>3475</v>
      </c>
      <c r="G1418" s="1" t="s">
        <v>3476</v>
      </c>
      <c r="H1418" s="1" t="s">
        <v>18</v>
      </c>
    </row>
    <row r="1419" spans="1:8">
      <c r="A1419" s="1">
        <v>1418</v>
      </c>
      <c r="B1419" s="1" t="s">
        <v>3531</v>
      </c>
      <c r="C1419" s="1" t="s">
        <v>3477</v>
      </c>
      <c r="D1419" s="1" t="s">
        <v>3532</v>
      </c>
      <c r="E1419" s="1" t="s">
        <v>3552</v>
      </c>
      <c r="F1419" s="1" t="s">
        <v>37</v>
      </c>
      <c r="G1419" s="1" t="s">
        <v>38</v>
      </c>
      <c r="H1419" s="1" t="s">
        <v>18</v>
      </c>
    </row>
    <row r="1420" spans="1:8">
      <c r="A1420" s="1">
        <v>1419</v>
      </c>
      <c r="B1420" s="1" t="s">
        <v>3531</v>
      </c>
      <c r="C1420" s="1" t="s">
        <v>3479</v>
      </c>
      <c r="D1420" s="1" t="s">
        <v>3532</v>
      </c>
      <c r="E1420" s="1" t="s">
        <v>3553</v>
      </c>
      <c r="F1420" s="1" t="s">
        <v>41</v>
      </c>
      <c r="G1420" s="1" t="s">
        <v>42</v>
      </c>
      <c r="H1420" s="1" t="s">
        <v>18</v>
      </c>
    </row>
    <row r="1421" spans="1:8">
      <c r="A1421" s="1">
        <v>1420</v>
      </c>
      <c r="B1421" s="1" t="s">
        <v>3531</v>
      </c>
      <c r="C1421" s="1" t="s">
        <v>3481</v>
      </c>
      <c r="D1421" s="1" t="s">
        <v>3532</v>
      </c>
      <c r="E1421" s="1" t="s">
        <v>3554</v>
      </c>
      <c r="F1421" s="1" t="s">
        <v>29</v>
      </c>
      <c r="G1421" s="1" t="s">
        <v>30</v>
      </c>
      <c r="H1421" s="1" t="s">
        <v>18</v>
      </c>
    </row>
    <row r="1422" spans="1:8">
      <c r="A1422" s="1">
        <v>1421</v>
      </c>
      <c r="B1422" s="1" t="s">
        <v>3555</v>
      </c>
      <c r="C1422" s="1" t="s">
        <v>3400</v>
      </c>
      <c r="D1422" s="1" t="s">
        <v>3556</v>
      </c>
      <c r="E1422" s="1" t="s">
        <v>3557</v>
      </c>
      <c r="F1422" s="1" t="s">
        <v>3403</v>
      </c>
      <c r="G1422" s="1" t="s">
        <v>3404</v>
      </c>
      <c r="H1422" s="1" t="s">
        <v>18</v>
      </c>
    </row>
    <row r="1423" spans="1:8">
      <c r="A1423" s="1">
        <v>1422</v>
      </c>
      <c r="B1423" s="1" t="s">
        <v>3555</v>
      </c>
      <c r="C1423" s="1" t="s">
        <v>3405</v>
      </c>
      <c r="D1423" s="1" t="s">
        <v>3556</v>
      </c>
      <c r="E1423" s="1" t="s">
        <v>3558</v>
      </c>
      <c r="F1423" s="1" t="s">
        <v>3407</v>
      </c>
      <c r="G1423" s="1" t="s">
        <v>3408</v>
      </c>
      <c r="H1423" s="1" t="s">
        <v>18</v>
      </c>
    </row>
    <row r="1424" spans="1:8">
      <c r="A1424" s="1">
        <v>1423</v>
      </c>
      <c r="B1424" s="1" t="s">
        <v>3555</v>
      </c>
      <c r="C1424" s="1" t="s">
        <v>3409</v>
      </c>
      <c r="D1424" s="1" t="s">
        <v>3556</v>
      </c>
      <c r="E1424" s="1" t="s">
        <v>3559</v>
      </c>
      <c r="F1424" s="1" t="s">
        <v>3411</v>
      </c>
      <c r="G1424" s="1" t="s">
        <v>3412</v>
      </c>
      <c r="H1424" s="1" t="s">
        <v>18</v>
      </c>
    </row>
    <row r="1425" spans="1:8">
      <c r="A1425" s="1">
        <v>1424</v>
      </c>
      <c r="B1425" s="1" t="s">
        <v>3555</v>
      </c>
      <c r="C1425" s="1" t="s">
        <v>3413</v>
      </c>
      <c r="D1425" s="1" t="s">
        <v>3556</v>
      </c>
      <c r="E1425" s="1" t="s">
        <v>3560</v>
      </c>
      <c r="F1425" s="1" t="s">
        <v>3415</v>
      </c>
      <c r="G1425" s="1" t="s">
        <v>3416</v>
      </c>
      <c r="H1425" s="1" t="s">
        <v>18</v>
      </c>
    </row>
    <row r="1426" spans="1:8">
      <c r="A1426" s="1">
        <v>1425</v>
      </c>
      <c r="B1426" s="1" t="s">
        <v>3555</v>
      </c>
      <c r="C1426" s="1" t="s">
        <v>3417</v>
      </c>
      <c r="D1426" s="1" t="s">
        <v>3556</v>
      </c>
      <c r="E1426" s="1" t="s">
        <v>3561</v>
      </c>
      <c r="F1426" s="1" t="s">
        <v>3419</v>
      </c>
      <c r="G1426" s="1" t="s">
        <v>3420</v>
      </c>
      <c r="H1426" s="1" t="s">
        <v>18</v>
      </c>
    </row>
    <row r="1427" spans="1:8">
      <c r="A1427" s="1">
        <v>1426</v>
      </c>
      <c r="B1427" s="1" t="s">
        <v>3555</v>
      </c>
      <c r="C1427" s="1" t="s">
        <v>3421</v>
      </c>
      <c r="D1427" s="1" t="s">
        <v>3556</v>
      </c>
      <c r="E1427" s="1" t="s">
        <v>3562</v>
      </c>
      <c r="F1427" s="1" t="s">
        <v>3423</v>
      </c>
      <c r="G1427" s="1" t="s">
        <v>3424</v>
      </c>
      <c r="H1427" s="1" t="s">
        <v>18</v>
      </c>
    </row>
    <row r="1428" spans="1:8">
      <c r="A1428" s="1">
        <v>1427</v>
      </c>
      <c r="B1428" s="1" t="s">
        <v>3555</v>
      </c>
      <c r="C1428" s="1" t="s">
        <v>3425</v>
      </c>
      <c r="D1428" s="1" t="s">
        <v>3556</v>
      </c>
      <c r="E1428" s="1" t="s">
        <v>3563</v>
      </c>
      <c r="F1428" s="1" t="s">
        <v>3427</v>
      </c>
      <c r="G1428" s="1" t="s">
        <v>3428</v>
      </c>
      <c r="H1428" s="1" t="s">
        <v>18</v>
      </c>
    </row>
    <row r="1429" spans="1:8">
      <c r="A1429" s="1">
        <v>1428</v>
      </c>
      <c r="B1429" s="1" t="s">
        <v>3555</v>
      </c>
      <c r="C1429" s="1" t="s">
        <v>3429</v>
      </c>
      <c r="D1429" s="1" t="s">
        <v>3556</v>
      </c>
      <c r="E1429" s="1" t="s">
        <v>3564</v>
      </c>
      <c r="F1429" s="1" t="s">
        <v>3431</v>
      </c>
      <c r="G1429" s="1" t="s">
        <v>3432</v>
      </c>
      <c r="H1429" s="1" t="s">
        <v>18</v>
      </c>
    </row>
    <row r="1430" spans="1:8">
      <c r="A1430" s="1">
        <v>1429</v>
      </c>
      <c r="B1430" s="1" t="s">
        <v>3555</v>
      </c>
      <c r="C1430" s="1" t="s">
        <v>3433</v>
      </c>
      <c r="D1430" s="1" t="s">
        <v>3556</v>
      </c>
      <c r="E1430" s="1" t="s">
        <v>3565</v>
      </c>
      <c r="F1430" s="1" t="s">
        <v>3435</v>
      </c>
      <c r="G1430" s="1" t="s">
        <v>3436</v>
      </c>
      <c r="H1430" s="1" t="s">
        <v>18</v>
      </c>
    </row>
    <row r="1431" spans="1:8">
      <c r="A1431" s="1">
        <v>1430</v>
      </c>
      <c r="B1431" s="1" t="s">
        <v>3555</v>
      </c>
      <c r="C1431" s="1" t="s">
        <v>3437</v>
      </c>
      <c r="D1431" s="1" t="s">
        <v>3556</v>
      </c>
      <c r="E1431" s="1" t="s">
        <v>3566</v>
      </c>
      <c r="F1431" s="1" t="s">
        <v>3439</v>
      </c>
      <c r="G1431" s="1" t="s">
        <v>3440</v>
      </c>
      <c r="H1431" s="1" t="s">
        <v>18</v>
      </c>
    </row>
    <row r="1432" spans="1:8">
      <c r="A1432" s="1">
        <v>1431</v>
      </c>
      <c r="B1432" s="1" t="s">
        <v>3555</v>
      </c>
      <c r="C1432" s="1" t="s">
        <v>3441</v>
      </c>
      <c r="D1432" s="1" t="s">
        <v>3556</v>
      </c>
      <c r="E1432" s="1" t="s">
        <v>3567</v>
      </c>
      <c r="F1432" s="1" t="s">
        <v>3443</v>
      </c>
      <c r="G1432" s="1" t="s">
        <v>3444</v>
      </c>
      <c r="H1432" s="1" t="s">
        <v>18</v>
      </c>
    </row>
    <row r="1433" spans="1:8">
      <c r="A1433" s="1">
        <v>1432</v>
      </c>
      <c r="B1433" s="1" t="s">
        <v>3555</v>
      </c>
      <c r="C1433" s="1" t="s">
        <v>3445</v>
      </c>
      <c r="D1433" s="1" t="s">
        <v>3556</v>
      </c>
      <c r="E1433" s="1" t="s">
        <v>3568</v>
      </c>
      <c r="F1433" s="1" t="s">
        <v>3447</v>
      </c>
      <c r="G1433" s="1" t="s">
        <v>3448</v>
      </c>
      <c r="H1433" s="1" t="s">
        <v>18</v>
      </c>
    </row>
    <row r="1434" spans="1:8">
      <c r="A1434" s="1">
        <v>1433</v>
      </c>
      <c r="B1434" s="1" t="s">
        <v>3555</v>
      </c>
      <c r="C1434" s="1" t="s">
        <v>3449</v>
      </c>
      <c r="D1434" s="1" t="s">
        <v>3556</v>
      </c>
      <c r="E1434" s="1" t="s">
        <v>3569</v>
      </c>
      <c r="F1434" s="1" t="s">
        <v>3451</v>
      </c>
      <c r="G1434" s="1" t="s">
        <v>3452</v>
      </c>
      <c r="H1434" s="1" t="s">
        <v>18</v>
      </c>
    </row>
    <row r="1435" spans="1:8">
      <c r="A1435" s="1">
        <v>1434</v>
      </c>
      <c r="B1435" s="1" t="s">
        <v>3555</v>
      </c>
      <c r="C1435" s="1" t="s">
        <v>3453</v>
      </c>
      <c r="D1435" s="1" t="s">
        <v>3556</v>
      </c>
      <c r="E1435" s="1" t="s">
        <v>3570</v>
      </c>
      <c r="F1435" s="1" t="s">
        <v>3455</v>
      </c>
      <c r="G1435" s="1" t="s">
        <v>3456</v>
      </c>
      <c r="H1435" s="1" t="s">
        <v>18</v>
      </c>
    </row>
    <row r="1436" spans="1:8">
      <c r="A1436" s="1">
        <v>1435</v>
      </c>
      <c r="B1436" s="1" t="s">
        <v>3555</v>
      </c>
      <c r="C1436" s="1" t="s">
        <v>3457</v>
      </c>
      <c r="D1436" s="1" t="s">
        <v>3556</v>
      </c>
      <c r="E1436" s="1" t="s">
        <v>3571</v>
      </c>
      <c r="F1436" s="1" t="s">
        <v>3459</v>
      </c>
      <c r="G1436" s="1" t="s">
        <v>3460</v>
      </c>
      <c r="H1436" s="1" t="s">
        <v>18</v>
      </c>
    </row>
    <row r="1437" spans="1:8">
      <c r="A1437" s="1">
        <v>1436</v>
      </c>
      <c r="B1437" s="1" t="s">
        <v>3555</v>
      </c>
      <c r="C1437" s="1" t="s">
        <v>3461</v>
      </c>
      <c r="D1437" s="1" t="s">
        <v>3556</v>
      </c>
      <c r="E1437" s="1" t="s">
        <v>3572</v>
      </c>
      <c r="F1437" s="1" t="s">
        <v>3463</v>
      </c>
      <c r="G1437" s="1" t="s">
        <v>3464</v>
      </c>
      <c r="H1437" s="1" t="s">
        <v>18</v>
      </c>
    </row>
    <row r="1438" spans="1:8">
      <c r="A1438" s="1">
        <v>1437</v>
      </c>
      <c r="B1438" s="1" t="s">
        <v>3555</v>
      </c>
      <c r="C1438" s="1" t="s">
        <v>3465</v>
      </c>
      <c r="D1438" s="1" t="s">
        <v>3556</v>
      </c>
      <c r="E1438" s="1" t="s">
        <v>3573</v>
      </c>
      <c r="F1438" s="1" t="s">
        <v>3467</v>
      </c>
      <c r="G1438" s="1" t="s">
        <v>3468</v>
      </c>
      <c r="H1438" s="1" t="s">
        <v>18</v>
      </c>
    </row>
    <row r="1439" spans="1:8">
      <c r="A1439" s="1">
        <v>1438</v>
      </c>
      <c r="B1439" s="1" t="s">
        <v>3555</v>
      </c>
      <c r="C1439" s="1" t="s">
        <v>3469</v>
      </c>
      <c r="D1439" s="1" t="s">
        <v>3556</v>
      </c>
      <c r="E1439" s="1" t="s">
        <v>3574</v>
      </c>
      <c r="F1439" s="1" t="s">
        <v>3471</v>
      </c>
      <c r="G1439" s="1" t="s">
        <v>3472</v>
      </c>
      <c r="H1439" s="1" t="s">
        <v>18</v>
      </c>
    </row>
    <row r="1440" spans="1:8">
      <c r="A1440" s="1">
        <v>1439</v>
      </c>
      <c r="B1440" s="1" t="s">
        <v>3555</v>
      </c>
      <c r="C1440" s="1" t="s">
        <v>3473</v>
      </c>
      <c r="D1440" s="1" t="s">
        <v>3556</v>
      </c>
      <c r="E1440" s="1" t="s">
        <v>3575</v>
      </c>
      <c r="F1440" s="1" t="s">
        <v>3475</v>
      </c>
      <c r="G1440" s="1" t="s">
        <v>3476</v>
      </c>
      <c r="H1440" s="1" t="s">
        <v>18</v>
      </c>
    </row>
    <row r="1441" spans="1:8">
      <c r="A1441" s="1">
        <v>1440</v>
      </c>
      <c r="B1441" s="1" t="s">
        <v>3555</v>
      </c>
      <c r="C1441" s="1" t="s">
        <v>3477</v>
      </c>
      <c r="D1441" s="1" t="s">
        <v>3556</v>
      </c>
      <c r="E1441" s="1" t="s">
        <v>3576</v>
      </c>
      <c r="F1441" s="1" t="s">
        <v>37</v>
      </c>
      <c r="G1441" s="1" t="s">
        <v>38</v>
      </c>
      <c r="H1441" s="1" t="s">
        <v>18</v>
      </c>
    </row>
    <row r="1442" spans="1:8">
      <c r="A1442" s="1">
        <v>1441</v>
      </c>
      <c r="B1442" s="1" t="s">
        <v>3555</v>
      </c>
      <c r="C1442" s="1" t="s">
        <v>3479</v>
      </c>
      <c r="D1442" s="1" t="s">
        <v>3556</v>
      </c>
      <c r="E1442" s="1" t="s">
        <v>3577</v>
      </c>
      <c r="F1442" s="1" t="s">
        <v>41</v>
      </c>
      <c r="G1442" s="1" t="s">
        <v>42</v>
      </c>
      <c r="H1442" s="1" t="s">
        <v>18</v>
      </c>
    </row>
    <row r="1443" spans="1:8">
      <c r="A1443" s="1">
        <v>1442</v>
      </c>
      <c r="B1443" s="1" t="s">
        <v>3555</v>
      </c>
      <c r="C1443" s="1" t="s">
        <v>3481</v>
      </c>
      <c r="D1443" s="1" t="s">
        <v>3556</v>
      </c>
      <c r="E1443" s="1" t="s">
        <v>3578</v>
      </c>
      <c r="F1443" s="1" t="s">
        <v>29</v>
      </c>
      <c r="G1443" s="1" t="s">
        <v>30</v>
      </c>
      <c r="H1443" s="1" t="s">
        <v>18</v>
      </c>
    </row>
    <row r="1444" spans="1:8">
      <c r="A1444" s="1">
        <v>1443</v>
      </c>
      <c r="B1444" s="1" t="s">
        <v>3579</v>
      </c>
      <c r="C1444" s="1" t="s">
        <v>3400</v>
      </c>
      <c r="D1444" s="1" t="s">
        <v>3580</v>
      </c>
      <c r="E1444" s="1" t="s">
        <v>3581</v>
      </c>
      <c r="F1444" s="1" t="s">
        <v>3403</v>
      </c>
      <c r="G1444" s="1" t="s">
        <v>3404</v>
      </c>
      <c r="H1444" s="1" t="s">
        <v>18</v>
      </c>
    </row>
    <row r="1445" spans="1:8">
      <c r="A1445" s="1">
        <v>1444</v>
      </c>
      <c r="B1445" s="1" t="s">
        <v>3579</v>
      </c>
      <c r="C1445" s="1" t="s">
        <v>3405</v>
      </c>
      <c r="D1445" s="1" t="s">
        <v>3580</v>
      </c>
      <c r="E1445" s="1" t="s">
        <v>3582</v>
      </c>
      <c r="F1445" s="1" t="s">
        <v>3407</v>
      </c>
      <c r="G1445" s="1" t="s">
        <v>3408</v>
      </c>
      <c r="H1445" s="1" t="s">
        <v>18</v>
      </c>
    </row>
    <row r="1446" spans="1:8">
      <c r="A1446" s="1">
        <v>1445</v>
      </c>
      <c r="B1446" s="1" t="s">
        <v>3579</v>
      </c>
      <c r="C1446" s="1" t="s">
        <v>3409</v>
      </c>
      <c r="D1446" s="1" t="s">
        <v>3580</v>
      </c>
      <c r="E1446" s="1" t="s">
        <v>3583</v>
      </c>
      <c r="F1446" s="1" t="s">
        <v>3411</v>
      </c>
      <c r="G1446" s="1" t="s">
        <v>3412</v>
      </c>
      <c r="H1446" s="1" t="s">
        <v>18</v>
      </c>
    </row>
    <row r="1447" spans="1:8">
      <c r="A1447" s="1">
        <v>1446</v>
      </c>
      <c r="B1447" s="1" t="s">
        <v>3579</v>
      </c>
      <c r="C1447" s="1" t="s">
        <v>3413</v>
      </c>
      <c r="D1447" s="1" t="s">
        <v>3580</v>
      </c>
      <c r="E1447" s="1" t="s">
        <v>3584</v>
      </c>
      <c r="F1447" s="1" t="s">
        <v>3415</v>
      </c>
      <c r="G1447" s="1" t="s">
        <v>3416</v>
      </c>
      <c r="H1447" s="1" t="s">
        <v>18</v>
      </c>
    </row>
    <row r="1448" spans="1:8">
      <c r="A1448" s="1">
        <v>1447</v>
      </c>
      <c r="B1448" s="1" t="s">
        <v>3579</v>
      </c>
      <c r="C1448" s="1" t="s">
        <v>3417</v>
      </c>
      <c r="D1448" s="1" t="s">
        <v>3580</v>
      </c>
      <c r="E1448" s="1" t="s">
        <v>3585</v>
      </c>
      <c r="F1448" s="1" t="s">
        <v>3419</v>
      </c>
      <c r="G1448" s="1" t="s">
        <v>3420</v>
      </c>
      <c r="H1448" s="1" t="s">
        <v>18</v>
      </c>
    </row>
    <row r="1449" spans="1:8">
      <c r="A1449" s="1">
        <v>1448</v>
      </c>
      <c r="B1449" s="1" t="s">
        <v>3579</v>
      </c>
      <c r="C1449" s="1" t="s">
        <v>3421</v>
      </c>
      <c r="D1449" s="1" t="s">
        <v>3580</v>
      </c>
      <c r="E1449" s="1" t="s">
        <v>3586</v>
      </c>
      <c r="F1449" s="1" t="s">
        <v>3423</v>
      </c>
      <c r="G1449" s="1" t="s">
        <v>3424</v>
      </c>
      <c r="H1449" s="1" t="s">
        <v>18</v>
      </c>
    </row>
    <row r="1450" spans="1:8">
      <c r="A1450" s="1">
        <v>1449</v>
      </c>
      <c r="B1450" s="1" t="s">
        <v>3579</v>
      </c>
      <c r="C1450" s="1" t="s">
        <v>3425</v>
      </c>
      <c r="D1450" s="1" t="s">
        <v>3580</v>
      </c>
      <c r="E1450" s="1" t="s">
        <v>3587</v>
      </c>
      <c r="F1450" s="1" t="s">
        <v>3427</v>
      </c>
      <c r="G1450" s="1" t="s">
        <v>3428</v>
      </c>
      <c r="H1450" s="1" t="s">
        <v>18</v>
      </c>
    </row>
    <row r="1451" spans="1:8">
      <c r="A1451" s="1">
        <v>1450</v>
      </c>
      <c r="B1451" s="1" t="s">
        <v>3579</v>
      </c>
      <c r="C1451" s="1" t="s">
        <v>3429</v>
      </c>
      <c r="D1451" s="1" t="s">
        <v>3580</v>
      </c>
      <c r="E1451" s="1" t="s">
        <v>3588</v>
      </c>
      <c r="F1451" s="1" t="s">
        <v>3431</v>
      </c>
      <c r="G1451" s="1" t="s">
        <v>3432</v>
      </c>
      <c r="H1451" s="1" t="s">
        <v>18</v>
      </c>
    </row>
    <row r="1452" spans="1:8">
      <c r="A1452" s="1">
        <v>1451</v>
      </c>
      <c r="B1452" s="1" t="s">
        <v>3579</v>
      </c>
      <c r="C1452" s="1" t="s">
        <v>3433</v>
      </c>
      <c r="D1452" s="1" t="s">
        <v>3580</v>
      </c>
      <c r="E1452" s="1" t="s">
        <v>3589</v>
      </c>
      <c r="F1452" s="1" t="s">
        <v>3435</v>
      </c>
      <c r="G1452" s="1" t="s">
        <v>3436</v>
      </c>
      <c r="H1452" s="1" t="s">
        <v>18</v>
      </c>
    </row>
    <row r="1453" spans="1:8">
      <c r="A1453" s="1">
        <v>1452</v>
      </c>
      <c r="B1453" s="1" t="s">
        <v>3579</v>
      </c>
      <c r="C1453" s="1" t="s">
        <v>3437</v>
      </c>
      <c r="D1453" s="1" t="s">
        <v>3580</v>
      </c>
      <c r="E1453" s="1" t="s">
        <v>3590</v>
      </c>
      <c r="F1453" s="1" t="s">
        <v>3439</v>
      </c>
      <c r="G1453" s="1" t="s">
        <v>3440</v>
      </c>
      <c r="H1453" s="1" t="s">
        <v>18</v>
      </c>
    </row>
    <row r="1454" spans="1:8">
      <c r="A1454" s="1">
        <v>1453</v>
      </c>
      <c r="B1454" s="1" t="s">
        <v>3579</v>
      </c>
      <c r="C1454" s="1" t="s">
        <v>3441</v>
      </c>
      <c r="D1454" s="1" t="s">
        <v>3580</v>
      </c>
      <c r="E1454" s="1" t="s">
        <v>3591</v>
      </c>
      <c r="F1454" s="1" t="s">
        <v>3443</v>
      </c>
      <c r="G1454" s="1" t="s">
        <v>3444</v>
      </c>
      <c r="H1454" s="1" t="s">
        <v>18</v>
      </c>
    </row>
    <row r="1455" spans="1:8">
      <c r="A1455" s="1">
        <v>1454</v>
      </c>
      <c r="B1455" s="1" t="s">
        <v>3579</v>
      </c>
      <c r="C1455" s="1" t="s">
        <v>3445</v>
      </c>
      <c r="D1455" s="1" t="s">
        <v>3580</v>
      </c>
      <c r="E1455" s="1" t="s">
        <v>3592</v>
      </c>
      <c r="F1455" s="1" t="s">
        <v>3447</v>
      </c>
      <c r="G1455" s="1" t="s">
        <v>3448</v>
      </c>
      <c r="H1455" s="1" t="s">
        <v>18</v>
      </c>
    </row>
    <row r="1456" spans="1:8">
      <c r="A1456" s="1">
        <v>1455</v>
      </c>
      <c r="B1456" s="1" t="s">
        <v>3579</v>
      </c>
      <c r="C1456" s="1" t="s">
        <v>3449</v>
      </c>
      <c r="D1456" s="1" t="s">
        <v>3580</v>
      </c>
      <c r="E1456" s="1" t="s">
        <v>3593</v>
      </c>
      <c r="F1456" s="1" t="s">
        <v>3451</v>
      </c>
      <c r="G1456" s="1" t="s">
        <v>3452</v>
      </c>
      <c r="H1456" s="1" t="s">
        <v>18</v>
      </c>
    </row>
    <row r="1457" spans="1:8">
      <c r="A1457" s="1">
        <v>1456</v>
      </c>
      <c r="B1457" s="1" t="s">
        <v>3579</v>
      </c>
      <c r="C1457" s="1" t="s">
        <v>3453</v>
      </c>
      <c r="D1457" s="1" t="s">
        <v>3580</v>
      </c>
      <c r="E1457" s="1" t="s">
        <v>3594</v>
      </c>
      <c r="F1457" s="1" t="s">
        <v>3455</v>
      </c>
      <c r="G1457" s="1" t="s">
        <v>3456</v>
      </c>
      <c r="H1457" s="1" t="s">
        <v>18</v>
      </c>
    </row>
    <row r="1458" spans="1:8">
      <c r="A1458" s="1">
        <v>1457</v>
      </c>
      <c r="B1458" s="1" t="s">
        <v>3579</v>
      </c>
      <c r="C1458" s="1" t="s">
        <v>3457</v>
      </c>
      <c r="D1458" s="1" t="s">
        <v>3580</v>
      </c>
      <c r="E1458" s="1" t="s">
        <v>3595</v>
      </c>
      <c r="F1458" s="1" t="s">
        <v>3459</v>
      </c>
      <c r="G1458" s="1" t="s">
        <v>3460</v>
      </c>
      <c r="H1458" s="1" t="s">
        <v>18</v>
      </c>
    </row>
    <row r="1459" spans="1:8">
      <c r="A1459" s="1">
        <v>1458</v>
      </c>
      <c r="B1459" s="1" t="s">
        <v>3579</v>
      </c>
      <c r="C1459" s="1" t="s">
        <v>3461</v>
      </c>
      <c r="D1459" s="1" t="s">
        <v>3580</v>
      </c>
      <c r="E1459" s="1" t="s">
        <v>3596</v>
      </c>
      <c r="F1459" s="1" t="s">
        <v>3463</v>
      </c>
      <c r="G1459" s="1" t="s">
        <v>3464</v>
      </c>
      <c r="H1459" s="1" t="s">
        <v>18</v>
      </c>
    </row>
    <row r="1460" spans="1:8">
      <c r="A1460" s="1">
        <v>1459</v>
      </c>
      <c r="B1460" s="1" t="s">
        <v>3579</v>
      </c>
      <c r="C1460" s="1" t="s">
        <v>3465</v>
      </c>
      <c r="D1460" s="1" t="s">
        <v>3580</v>
      </c>
      <c r="E1460" s="1" t="s">
        <v>3597</v>
      </c>
      <c r="F1460" s="1" t="s">
        <v>3467</v>
      </c>
      <c r="G1460" s="1" t="s">
        <v>3468</v>
      </c>
      <c r="H1460" s="1" t="s">
        <v>18</v>
      </c>
    </row>
    <row r="1461" spans="1:8">
      <c r="A1461" s="1">
        <v>1460</v>
      </c>
      <c r="B1461" s="1" t="s">
        <v>3579</v>
      </c>
      <c r="C1461" s="1" t="s">
        <v>3469</v>
      </c>
      <c r="D1461" s="1" t="s">
        <v>3580</v>
      </c>
      <c r="E1461" s="1" t="s">
        <v>3598</v>
      </c>
      <c r="F1461" s="1" t="s">
        <v>3471</v>
      </c>
      <c r="G1461" s="1" t="s">
        <v>3472</v>
      </c>
      <c r="H1461" s="1" t="s">
        <v>18</v>
      </c>
    </row>
    <row r="1462" spans="1:8">
      <c r="A1462" s="1">
        <v>1461</v>
      </c>
      <c r="B1462" s="1" t="s">
        <v>3579</v>
      </c>
      <c r="C1462" s="1" t="s">
        <v>3473</v>
      </c>
      <c r="D1462" s="1" t="s">
        <v>3580</v>
      </c>
      <c r="E1462" s="1" t="s">
        <v>3599</v>
      </c>
      <c r="F1462" s="1" t="s">
        <v>3475</v>
      </c>
      <c r="G1462" s="1" t="s">
        <v>3476</v>
      </c>
      <c r="H1462" s="1" t="s">
        <v>18</v>
      </c>
    </row>
    <row r="1463" spans="1:8">
      <c r="A1463" s="1">
        <v>1462</v>
      </c>
      <c r="B1463" s="1" t="s">
        <v>3579</v>
      </c>
      <c r="C1463" s="1" t="s">
        <v>3477</v>
      </c>
      <c r="D1463" s="1" t="s">
        <v>3580</v>
      </c>
      <c r="E1463" s="1" t="s">
        <v>3600</v>
      </c>
      <c r="F1463" s="1" t="s">
        <v>37</v>
      </c>
      <c r="G1463" s="1" t="s">
        <v>38</v>
      </c>
      <c r="H1463" s="1" t="s">
        <v>18</v>
      </c>
    </row>
    <row r="1464" spans="1:8">
      <c r="A1464" s="1">
        <v>1463</v>
      </c>
      <c r="B1464" s="1" t="s">
        <v>3579</v>
      </c>
      <c r="C1464" s="1" t="s">
        <v>3479</v>
      </c>
      <c r="D1464" s="1" t="s">
        <v>3580</v>
      </c>
      <c r="E1464" s="1" t="s">
        <v>3601</v>
      </c>
      <c r="F1464" s="1" t="s">
        <v>41</v>
      </c>
      <c r="G1464" s="1" t="s">
        <v>42</v>
      </c>
      <c r="H1464" s="1" t="s">
        <v>18</v>
      </c>
    </row>
    <row r="1465" spans="1:8">
      <c r="A1465" s="1">
        <v>1464</v>
      </c>
      <c r="B1465" s="1" t="s">
        <v>3579</v>
      </c>
      <c r="C1465" s="1" t="s">
        <v>3481</v>
      </c>
      <c r="D1465" s="1" t="s">
        <v>3580</v>
      </c>
      <c r="E1465" s="1" t="s">
        <v>3602</v>
      </c>
      <c r="F1465" s="1" t="s">
        <v>29</v>
      </c>
      <c r="G1465" s="1" t="s">
        <v>30</v>
      </c>
      <c r="H1465" s="1" t="s">
        <v>18</v>
      </c>
    </row>
    <row r="1466" spans="1:8">
      <c r="A1466" s="1">
        <v>1465</v>
      </c>
      <c r="B1466" s="1" t="s">
        <v>3603</v>
      </c>
      <c r="C1466" s="1" t="s">
        <v>3400</v>
      </c>
      <c r="D1466" s="1" t="s">
        <v>3604</v>
      </c>
      <c r="E1466" s="1" t="s">
        <v>3605</v>
      </c>
      <c r="F1466" s="1" t="s">
        <v>3403</v>
      </c>
      <c r="G1466" s="1" t="s">
        <v>3404</v>
      </c>
      <c r="H1466" s="1" t="s">
        <v>18</v>
      </c>
    </row>
    <row r="1467" spans="1:8">
      <c r="A1467" s="1">
        <v>1466</v>
      </c>
      <c r="B1467" s="1" t="s">
        <v>3603</v>
      </c>
      <c r="C1467" s="1" t="s">
        <v>3405</v>
      </c>
      <c r="D1467" s="1" t="s">
        <v>3604</v>
      </c>
      <c r="E1467" s="1" t="s">
        <v>3606</v>
      </c>
      <c r="F1467" s="1" t="s">
        <v>3407</v>
      </c>
      <c r="G1467" s="1" t="s">
        <v>3408</v>
      </c>
      <c r="H1467" s="1" t="s">
        <v>18</v>
      </c>
    </row>
    <row r="1468" spans="1:8">
      <c r="A1468" s="1">
        <v>1467</v>
      </c>
      <c r="B1468" s="1" t="s">
        <v>3603</v>
      </c>
      <c r="C1468" s="1" t="s">
        <v>3409</v>
      </c>
      <c r="D1468" s="1" t="s">
        <v>3604</v>
      </c>
      <c r="E1468" s="1" t="s">
        <v>3607</v>
      </c>
      <c r="F1468" s="1" t="s">
        <v>3411</v>
      </c>
      <c r="G1468" s="1" t="s">
        <v>3412</v>
      </c>
      <c r="H1468" s="1" t="s">
        <v>18</v>
      </c>
    </row>
    <row r="1469" spans="1:8">
      <c r="A1469" s="1">
        <v>1468</v>
      </c>
      <c r="B1469" s="1" t="s">
        <v>3603</v>
      </c>
      <c r="C1469" s="1" t="s">
        <v>3413</v>
      </c>
      <c r="D1469" s="1" t="s">
        <v>3604</v>
      </c>
      <c r="E1469" s="1" t="s">
        <v>3608</v>
      </c>
      <c r="F1469" s="1" t="s">
        <v>3415</v>
      </c>
      <c r="G1469" s="1" t="s">
        <v>3416</v>
      </c>
      <c r="H1469" s="1" t="s">
        <v>18</v>
      </c>
    </row>
    <row r="1470" spans="1:8">
      <c r="A1470" s="1">
        <v>1469</v>
      </c>
      <c r="B1470" s="1" t="s">
        <v>3603</v>
      </c>
      <c r="C1470" s="1" t="s">
        <v>3417</v>
      </c>
      <c r="D1470" s="1" t="s">
        <v>3604</v>
      </c>
      <c r="E1470" s="1" t="s">
        <v>3609</v>
      </c>
      <c r="F1470" s="1" t="s">
        <v>3419</v>
      </c>
      <c r="G1470" s="1" t="s">
        <v>3420</v>
      </c>
      <c r="H1470" s="1" t="s">
        <v>18</v>
      </c>
    </row>
    <row r="1471" spans="1:8">
      <c r="A1471" s="1">
        <v>1470</v>
      </c>
      <c r="B1471" s="1" t="s">
        <v>3603</v>
      </c>
      <c r="C1471" s="1" t="s">
        <v>3421</v>
      </c>
      <c r="D1471" s="1" t="s">
        <v>3604</v>
      </c>
      <c r="E1471" s="1" t="s">
        <v>3610</v>
      </c>
      <c r="F1471" s="1" t="s">
        <v>3423</v>
      </c>
      <c r="G1471" s="1" t="s">
        <v>3424</v>
      </c>
      <c r="H1471" s="1" t="s">
        <v>18</v>
      </c>
    </row>
    <row r="1472" spans="1:8">
      <c r="A1472" s="1">
        <v>1471</v>
      </c>
      <c r="B1472" s="1" t="s">
        <v>3603</v>
      </c>
      <c r="C1472" s="1" t="s">
        <v>3425</v>
      </c>
      <c r="D1472" s="1" t="s">
        <v>3604</v>
      </c>
      <c r="E1472" s="1" t="s">
        <v>3611</v>
      </c>
      <c r="F1472" s="1" t="s">
        <v>3427</v>
      </c>
      <c r="G1472" s="1" t="s">
        <v>3428</v>
      </c>
      <c r="H1472" s="1" t="s">
        <v>18</v>
      </c>
    </row>
    <row r="1473" spans="1:8">
      <c r="A1473" s="1">
        <v>1472</v>
      </c>
      <c r="B1473" s="1" t="s">
        <v>3603</v>
      </c>
      <c r="C1473" s="1" t="s">
        <v>3429</v>
      </c>
      <c r="D1473" s="1" t="s">
        <v>3604</v>
      </c>
      <c r="E1473" s="1" t="s">
        <v>3612</v>
      </c>
      <c r="F1473" s="1" t="s">
        <v>3431</v>
      </c>
      <c r="G1473" s="1" t="s">
        <v>3432</v>
      </c>
      <c r="H1473" s="1" t="s">
        <v>18</v>
      </c>
    </row>
    <row r="1474" spans="1:8">
      <c r="A1474" s="1">
        <v>1473</v>
      </c>
      <c r="B1474" s="1" t="s">
        <v>3603</v>
      </c>
      <c r="C1474" s="1" t="s">
        <v>3433</v>
      </c>
      <c r="D1474" s="1" t="s">
        <v>3604</v>
      </c>
      <c r="E1474" s="1" t="s">
        <v>3613</v>
      </c>
      <c r="F1474" s="1" t="s">
        <v>3435</v>
      </c>
      <c r="G1474" s="1" t="s">
        <v>3436</v>
      </c>
      <c r="H1474" s="1" t="s">
        <v>18</v>
      </c>
    </row>
    <row r="1475" spans="1:8">
      <c r="A1475" s="1">
        <v>1474</v>
      </c>
      <c r="B1475" s="1" t="s">
        <v>3603</v>
      </c>
      <c r="C1475" s="1" t="s">
        <v>3437</v>
      </c>
      <c r="D1475" s="1" t="s">
        <v>3604</v>
      </c>
      <c r="E1475" s="1" t="s">
        <v>3614</v>
      </c>
      <c r="F1475" s="1" t="s">
        <v>3439</v>
      </c>
      <c r="G1475" s="1" t="s">
        <v>3440</v>
      </c>
      <c r="H1475" s="1" t="s">
        <v>18</v>
      </c>
    </row>
    <row r="1476" spans="1:8">
      <c r="A1476" s="1">
        <v>1475</v>
      </c>
      <c r="B1476" s="1" t="s">
        <v>3603</v>
      </c>
      <c r="C1476" s="1" t="s">
        <v>3441</v>
      </c>
      <c r="D1476" s="1" t="s">
        <v>3604</v>
      </c>
      <c r="E1476" s="1" t="s">
        <v>3615</v>
      </c>
      <c r="F1476" s="1" t="s">
        <v>3443</v>
      </c>
      <c r="G1476" s="1" t="s">
        <v>3444</v>
      </c>
      <c r="H1476" s="1" t="s">
        <v>18</v>
      </c>
    </row>
    <row r="1477" spans="1:8">
      <c r="A1477" s="1">
        <v>1476</v>
      </c>
      <c r="B1477" s="1" t="s">
        <v>3603</v>
      </c>
      <c r="C1477" s="1" t="s">
        <v>3445</v>
      </c>
      <c r="D1477" s="1" t="s">
        <v>3604</v>
      </c>
      <c r="E1477" s="1" t="s">
        <v>3616</v>
      </c>
      <c r="F1477" s="1" t="s">
        <v>3447</v>
      </c>
      <c r="G1477" s="1" t="s">
        <v>3448</v>
      </c>
      <c r="H1477" s="1" t="s">
        <v>18</v>
      </c>
    </row>
    <row r="1478" spans="1:8">
      <c r="A1478" s="1">
        <v>1477</v>
      </c>
      <c r="B1478" s="1" t="s">
        <v>3603</v>
      </c>
      <c r="C1478" s="1" t="s">
        <v>3449</v>
      </c>
      <c r="D1478" s="1" t="s">
        <v>3604</v>
      </c>
      <c r="E1478" s="1" t="s">
        <v>3617</v>
      </c>
      <c r="F1478" s="1" t="s">
        <v>3451</v>
      </c>
      <c r="G1478" s="1" t="s">
        <v>3452</v>
      </c>
      <c r="H1478" s="1" t="s">
        <v>18</v>
      </c>
    </row>
    <row r="1479" spans="1:8">
      <c r="A1479" s="1">
        <v>1478</v>
      </c>
      <c r="B1479" s="1" t="s">
        <v>3603</v>
      </c>
      <c r="C1479" s="1" t="s">
        <v>3453</v>
      </c>
      <c r="D1479" s="1" t="s">
        <v>3604</v>
      </c>
      <c r="E1479" s="1" t="s">
        <v>3618</v>
      </c>
      <c r="F1479" s="1" t="s">
        <v>3455</v>
      </c>
      <c r="G1479" s="1" t="s">
        <v>3456</v>
      </c>
      <c r="H1479" s="1" t="s">
        <v>18</v>
      </c>
    </row>
    <row r="1480" spans="1:8">
      <c r="A1480" s="1">
        <v>1479</v>
      </c>
      <c r="B1480" s="1" t="s">
        <v>3603</v>
      </c>
      <c r="C1480" s="1" t="s">
        <v>3457</v>
      </c>
      <c r="D1480" s="1" t="s">
        <v>3604</v>
      </c>
      <c r="E1480" s="1" t="s">
        <v>3619</v>
      </c>
      <c r="F1480" s="1" t="s">
        <v>3459</v>
      </c>
      <c r="G1480" s="1" t="s">
        <v>3460</v>
      </c>
      <c r="H1480" s="1" t="s">
        <v>18</v>
      </c>
    </row>
    <row r="1481" spans="1:8">
      <c r="A1481" s="1">
        <v>1480</v>
      </c>
      <c r="B1481" s="1" t="s">
        <v>3603</v>
      </c>
      <c r="C1481" s="1" t="s">
        <v>3461</v>
      </c>
      <c r="D1481" s="1" t="s">
        <v>3604</v>
      </c>
      <c r="E1481" s="1" t="s">
        <v>3620</v>
      </c>
      <c r="F1481" s="1" t="s">
        <v>3463</v>
      </c>
      <c r="G1481" s="1" t="s">
        <v>3464</v>
      </c>
      <c r="H1481" s="1" t="s">
        <v>18</v>
      </c>
    </row>
    <row r="1482" spans="1:8">
      <c r="A1482" s="1">
        <v>1481</v>
      </c>
      <c r="B1482" s="1" t="s">
        <v>3603</v>
      </c>
      <c r="C1482" s="1" t="s">
        <v>3465</v>
      </c>
      <c r="D1482" s="1" t="s">
        <v>3604</v>
      </c>
      <c r="E1482" s="1" t="s">
        <v>3621</v>
      </c>
      <c r="F1482" s="1" t="s">
        <v>3467</v>
      </c>
      <c r="G1482" s="1" t="s">
        <v>3468</v>
      </c>
      <c r="H1482" s="1" t="s">
        <v>18</v>
      </c>
    </row>
    <row r="1483" spans="1:8">
      <c r="A1483" s="1">
        <v>1482</v>
      </c>
      <c r="B1483" s="1" t="s">
        <v>3603</v>
      </c>
      <c r="C1483" s="1" t="s">
        <v>3469</v>
      </c>
      <c r="D1483" s="1" t="s">
        <v>3604</v>
      </c>
      <c r="E1483" s="1" t="s">
        <v>3622</v>
      </c>
      <c r="F1483" s="1" t="s">
        <v>3471</v>
      </c>
      <c r="G1483" s="1" t="s">
        <v>3472</v>
      </c>
      <c r="H1483" s="1" t="s">
        <v>18</v>
      </c>
    </row>
    <row r="1484" spans="1:8">
      <c r="A1484" s="1">
        <v>1483</v>
      </c>
      <c r="B1484" s="1" t="s">
        <v>3603</v>
      </c>
      <c r="C1484" s="1" t="s">
        <v>3473</v>
      </c>
      <c r="D1484" s="1" t="s">
        <v>3604</v>
      </c>
      <c r="E1484" s="1" t="s">
        <v>3623</v>
      </c>
      <c r="F1484" s="1" t="s">
        <v>3475</v>
      </c>
      <c r="G1484" s="1" t="s">
        <v>3476</v>
      </c>
      <c r="H1484" s="1" t="s">
        <v>18</v>
      </c>
    </row>
    <row r="1485" spans="1:8">
      <c r="A1485" s="1">
        <v>1484</v>
      </c>
      <c r="B1485" s="1" t="s">
        <v>3603</v>
      </c>
      <c r="C1485" s="1" t="s">
        <v>3477</v>
      </c>
      <c r="D1485" s="1" t="s">
        <v>3604</v>
      </c>
      <c r="E1485" s="1" t="s">
        <v>3624</v>
      </c>
      <c r="F1485" s="1" t="s">
        <v>37</v>
      </c>
      <c r="G1485" s="1" t="s">
        <v>38</v>
      </c>
      <c r="H1485" s="1" t="s">
        <v>18</v>
      </c>
    </row>
    <row r="1486" spans="1:8">
      <c r="A1486" s="1">
        <v>1485</v>
      </c>
      <c r="B1486" s="1" t="s">
        <v>3603</v>
      </c>
      <c r="C1486" s="1" t="s">
        <v>3479</v>
      </c>
      <c r="D1486" s="1" t="s">
        <v>3604</v>
      </c>
      <c r="E1486" s="1" t="s">
        <v>3625</v>
      </c>
      <c r="F1486" s="1" t="s">
        <v>41</v>
      </c>
      <c r="G1486" s="1" t="s">
        <v>42</v>
      </c>
      <c r="H1486" s="1" t="s">
        <v>18</v>
      </c>
    </row>
    <row r="1487" spans="1:8">
      <c r="A1487" s="1">
        <v>1486</v>
      </c>
      <c r="B1487" s="1" t="s">
        <v>3603</v>
      </c>
      <c r="C1487" s="1" t="s">
        <v>3481</v>
      </c>
      <c r="D1487" s="1" t="s">
        <v>3604</v>
      </c>
      <c r="E1487" s="1" t="s">
        <v>3626</v>
      </c>
      <c r="F1487" s="1" t="s">
        <v>29</v>
      </c>
      <c r="G1487" s="1" t="s">
        <v>30</v>
      </c>
      <c r="H1487" s="1" t="s">
        <v>18</v>
      </c>
    </row>
    <row r="1488" spans="1:8">
      <c r="A1488" s="1">
        <v>1487</v>
      </c>
      <c r="B1488" s="1" t="s">
        <v>3627</v>
      </c>
      <c r="C1488" s="1" t="s">
        <v>3400</v>
      </c>
      <c r="D1488" s="1" t="s">
        <v>3628</v>
      </c>
      <c r="E1488" s="1" t="s">
        <v>3629</v>
      </c>
      <c r="F1488" s="1" t="s">
        <v>3407</v>
      </c>
      <c r="G1488" s="1" t="s">
        <v>3408</v>
      </c>
      <c r="H1488" s="1" t="s">
        <v>18</v>
      </c>
    </row>
    <row r="1489" spans="1:8">
      <c r="A1489" s="1">
        <v>1488</v>
      </c>
      <c r="B1489" s="1" t="s">
        <v>3627</v>
      </c>
      <c r="C1489" s="1" t="s">
        <v>3405</v>
      </c>
      <c r="D1489" s="1" t="s">
        <v>3628</v>
      </c>
      <c r="E1489" s="1" t="s">
        <v>3630</v>
      </c>
      <c r="F1489" s="1" t="s">
        <v>3411</v>
      </c>
      <c r="G1489" s="1" t="s">
        <v>3412</v>
      </c>
      <c r="H1489" s="1" t="s">
        <v>18</v>
      </c>
    </row>
    <row r="1490" spans="1:8">
      <c r="A1490" s="1">
        <v>1489</v>
      </c>
      <c r="B1490" s="1" t="s">
        <v>3627</v>
      </c>
      <c r="C1490" s="1" t="s">
        <v>3409</v>
      </c>
      <c r="D1490" s="1" t="s">
        <v>3628</v>
      </c>
      <c r="E1490" s="1" t="s">
        <v>3631</v>
      </c>
      <c r="F1490" s="1" t="s">
        <v>3415</v>
      </c>
      <c r="G1490" s="1" t="s">
        <v>3416</v>
      </c>
      <c r="H1490" s="1" t="s">
        <v>18</v>
      </c>
    </row>
    <row r="1491" spans="1:8">
      <c r="A1491" s="1">
        <v>1490</v>
      </c>
      <c r="B1491" s="1" t="s">
        <v>3627</v>
      </c>
      <c r="C1491" s="1" t="s">
        <v>3413</v>
      </c>
      <c r="D1491" s="1" t="s">
        <v>3628</v>
      </c>
      <c r="E1491" s="1" t="s">
        <v>3632</v>
      </c>
      <c r="F1491" s="1" t="s">
        <v>3419</v>
      </c>
      <c r="G1491" s="1" t="s">
        <v>3420</v>
      </c>
      <c r="H1491" s="1" t="s">
        <v>18</v>
      </c>
    </row>
    <row r="1492" spans="1:8">
      <c r="A1492" s="1">
        <v>1491</v>
      </c>
      <c r="B1492" s="1" t="s">
        <v>3627</v>
      </c>
      <c r="C1492" s="1" t="s">
        <v>3417</v>
      </c>
      <c r="D1492" s="1" t="s">
        <v>3628</v>
      </c>
      <c r="E1492" s="1" t="s">
        <v>3633</v>
      </c>
      <c r="F1492" s="1" t="s">
        <v>3423</v>
      </c>
      <c r="G1492" s="1" t="s">
        <v>3424</v>
      </c>
      <c r="H1492" s="1" t="s">
        <v>18</v>
      </c>
    </row>
    <row r="1493" spans="1:8">
      <c r="A1493" s="1">
        <v>1492</v>
      </c>
      <c r="B1493" s="1" t="s">
        <v>3627</v>
      </c>
      <c r="C1493" s="1" t="s">
        <v>3421</v>
      </c>
      <c r="D1493" s="1" t="s">
        <v>3628</v>
      </c>
      <c r="E1493" s="1" t="s">
        <v>3634</v>
      </c>
      <c r="F1493" s="1" t="s">
        <v>3427</v>
      </c>
      <c r="G1493" s="1" t="s">
        <v>3428</v>
      </c>
      <c r="H1493" s="1" t="s">
        <v>18</v>
      </c>
    </row>
    <row r="1494" spans="1:8">
      <c r="A1494" s="1">
        <v>1493</v>
      </c>
      <c r="B1494" s="1" t="s">
        <v>3627</v>
      </c>
      <c r="C1494" s="1" t="s">
        <v>3425</v>
      </c>
      <c r="D1494" s="1" t="s">
        <v>3628</v>
      </c>
      <c r="E1494" s="1" t="s">
        <v>3635</v>
      </c>
      <c r="F1494" s="1" t="s">
        <v>3431</v>
      </c>
      <c r="G1494" s="1" t="s">
        <v>3432</v>
      </c>
      <c r="H1494" s="1" t="s">
        <v>18</v>
      </c>
    </row>
    <row r="1495" spans="1:8">
      <c r="A1495" s="1">
        <v>1494</v>
      </c>
      <c r="B1495" s="1" t="s">
        <v>3627</v>
      </c>
      <c r="C1495" s="1" t="s">
        <v>3429</v>
      </c>
      <c r="D1495" s="1" t="s">
        <v>3628</v>
      </c>
      <c r="E1495" s="1" t="s">
        <v>3636</v>
      </c>
      <c r="F1495" s="1" t="s">
        <v>3435</v>
      </c>
      <c r="G1495" s="1" t="s">
        <v>3436</v>
      </c>
      <c r="H1495" s="1" t="s">
        <v>18</v>
      </c>
    </row>
    <row r="1496" spans="1:8">
      <c r="A1496" s="1">
        <v>1495</v>
      </c>
      <c r="B1496" s="1" t="s">
        <v>3627</v>
      </c>
      <c r="C1496" s="1" t="s">
        <v>3433</v>
      </c>
      <c r="D1496" s="1" t="s">
        <v>3628</v>
      </c>
      <c r="E1496" s="1" t="s">
        <v>3637</v>
      </c>
      <c r="F1496" s="1" t="s">
        <v>3439</v>
      </c>
      <c r="G1496" s="1" t="s">
        <v>3440</v>
      </c>
      <c r="H1496" s="1" t="s">
        <v>18</v>
      </c>
    </row>
    <row r="1497" spans="1:8">
      <c r="A1497" s="1">
        <v>1496</v>
      </c>
      <c r="B1497" s="1" t="s">
        <v>3627</v>
      </c>
      <c r="C1497" s="1" t="s">
        <v>3437</v>
      </c>
      <c r="D1497" s="1" t="s">
        <v>3628</v>
      </c>
      <c r="E1497" s="1" t="s">
        <v>3638</v>
      </c>
      <c r="F1497" s="1" t="s">
        <v>3443</v>
      </c>
      <c r="G1497" s="1" t="s">
        <v>3444</v>
      </c>
      <c r="H1497" s="1" t="s">
        <v>18</v>
      </c>
    </row>
    <row r="1498" spans="1:8">
      <c r="A1498" s="1">
        <v>1497</v>
      </c>
      <c r="B1498" s="1" t="s">
        <v>3627</v>
      </c>
      <c r="C1498" s="1" t="s">
        <v>3441</v>
      </c>
      <c r="D1498" s="1" t="s">
        <v>3628</v>
      </c>
      <c r="E1498" s="1" t="s">
        <v>3639</v>
      </c>
      <c r="F1498" s="1" t="s">
        <v>3447</v>
      </c>
      <c r="G1498" s="1" t="s">
        <v>3448</v>
      </c>
      <c r="H1498" s="1" t="s">
        <v>18</v>
      </c>
    </row>
    <row r="1499" spans="1:8">
      <c r="A1499" s="1">
        <v>1498</v>
      </c>
      <c r="B1499" s="1" t="s">
        <v>3627</v>
      </c>
      <c r="C1499" s="1" t="s">
        <v>3445</v>
      </c>
      <c r="D1499" s="1" t="s">
        <v>3628</v>
      </c>
      <c r="E1499" s="1" t="s">
        <v>3640</v>
      </c>
      <c r="F1499" s="1" t="s">
        <v>3451</v>
      </c>
      <c r="G1499" s="1" t="s">
        <v>3452</v>
      </c>
      <c r="H1499" s="1" t="s">
        <v>18</v>
      </c>
    </row>
    <row r="1500" spans="1:8">
      <c r="A1500" s="1">
        <v>1499</v>
      </c>
      <c r="B1500" s="1" t="s">
        <v>3627</v>
      </c>
      <c r="C1500" s="1" t="s">
        <v>3449</v>
      </c>
      <c r="D1500" s="1" t="s">
        <v>3628</v>
      </c>
      <c r="E1500" s="1" t="s">
        <v>3641</v>
      </c>
      <c r="F1500" s="1" t="s">
        <v>3455</v>
      </c>
      <c r="G1500" s="1" t="s">
        <v>3456</v>
      </c>
      <c r="H1500" s="1" t="s">
        <v>18</v>
      </c>
    </row>
    <row r="1501" spans="1:8">
      <c r="A1501" s="1">
        <v>1500</v>
      </c>
      <c r="B1501" s="1" t="s">
        <v>3627</v>
      </c>
      <c r="C1501" s="1" t="s">
        <v>3453</v>
      </c>
      <c r="D1501" s="1" t="s">
        <v>3628</v>
      </c>
      <c r="E1501" s="1" t="s">
        <v>3642</v>
      </c>
      <c r="F1501" s="1" t="s">
        <v>3459</v>
      </c>
      <c r="G1501" s="1" t="s">
        <v>3460</v>
      </c>
      <c r="H1501" s="1" t="s">
        <v>18</v>
      </c>
    </row>
    <row r="1502" spans="1:8">
      <c r="A1502" s="1">
        <v>1501</v>
      </c>
      <c r="B1502" s="1" t="s">
        <v>3627</v>
      </c>
      <c r="C1502" s="1" t="s">
        <v>3457</v>
      </c>
      <c r="D1502" s="1" t="s">
        <v>3628</v>
      </c>
      <c r="E1502" s="1" t="s">
        <v>3643</v>
      </c>
      <c r="F1502" s="1" t="s">
        <v>3463</v>
      </c>
      <c r="G1502" s="1" t="s">
        <v>3464</v>
      </c>
      <c r="H1502" s="1" t="s">
        <v>18</v>
      </c>
    </row>
    <row r="1503" spans="1:8">
      <c r="A1503" s="1">
        <v>1502</v>
      </c>
      <c r="B1503" s="1" t="s">
        <v>3627</v>
      </c>
      <c r="C1503" s="1" t="s">
        <v>3461</v>
      </c>
      <c r="D1503" s="1" t="s">
        <v>3628</v>
      </c>
      <c r="E1503" s="1" t="s">
        <v>3644</v>
      </c>
      <c r="F1503" s="1" t="s">
        <v>3467</v>
      </c>
      <c r="G1503" s="1" t="s">
        <v>3468</v>
      </c>
      <c r="H1503" s="1" t="s">
        <v>18</v>
      </c>
    </row>
    <row r="1504" spans="1:8">
      <c r="A1504" s="1">
        <v>1503</v>
      </c>
      <c r="B1504" s="1" t="s">
        <v>3627</v>
      </c>
      <c r="C1504" s="1" t="s">
        <v>3465</v>
      </c>
      <c r="D1504" s="1" t="s">
        <v>3628</v>
      </c>
      <c r="E1504" s="1" t="s">
        <v>3645</v>
      </c>
      <c r="F1504" s="1" t="s">
        <v>3471</v>
      </c>
      <c r="G1504" s="1" t="s">
        <v>3472</v>
      </c>
      <c r="H1504" s="1" t="s">
        <v>18</v>
      </c>
    </row>
    <row r="1505" spans="1:8">
      <c r="A1505" s="1">
        <v>1504</v>
      </c>
      <c r="B1505" s="1" t="s">
        <v>3627</v>
      </c>
      <c r="C1505" s="1" t="s">
        <v>3469</v>
      </c>
      <c r="D1505" s="1" t="s">
        <v>3628</v>
      </c>
      <c r="E1505" s="1" t="s">
        <v>3646</v>
      </c>
      <c r="F1505" s="1" t="s">
        <v>3475</v>
      </c>
      <c r="G1505" s="1" t="s">
        <v>3476</v>
      </c>
      <c r="H1505" s="1" t="s">
        <v>18</v>
      </c>
    </row>
    <row r="1506" spans="1:8">
      <c r="A1506" s="1">
        <v>1505</v>
      </c>
      <c r="B1506" s="1" t="s">
        <v>3627</v>
      </c>
      <c r="C1506" s="1" t="s">
        <v>3473</v>
      </c>
      <c r="D1506" s="1" t="s">
        <v>3628</v>
      </c>
      <c r="E1506" s="1" t="s">
        <v>3647</v>
      </c>
      <c r="F1506" s="1" t="s">
        <v>37</v>
      </c>
      <c r="G1506" s="1" t="s">
        <v>38</v>
      </c>
      <c r="H1506" s="1" t="s">
        <v>18</v>
      </c>
    </row>
    <row r="1507" spans="1:8">
      <c r="A1507" s="1">
        <v>1506</v>
      </c>
      <c r="B1507" s="1" t="s">
        <v>3627</v>
      </c>
      <c r="C1507" s="1" t="s">
        <v>3477</v>
      </c>
      <c r="D1507" s="1" t="s">
        <v>3628</v>
      </c>
      <c r="E1507" s="1" t="s">
        <v>3648</v>
      </c>
      <c r="F1507" s="1" t="s">
        <v>41</v>
      </c>
      <c r="G1507" s="1" t="s">
        <v>42</v>
      </c>
      <c r="H1507" s="1" t="s">
        <v>18</v>
      </c>
    </row>
    <row r="1508" spans="1:8">
      <c r="A1508" s="1">
        <v>1507</v>
      </c>
      <c r="B1508" s="1" t="s">
        <v>3627</v>
      </c>
      <c r="C1508" s="1" t="s">
        <v>3479</v>
      </c>
      <c r="D1508" s="1" t="s">
        <v>3628</v>
      </c>
      <c r="E1508" s="1" t="s">
        <v>3649</v>
      </c>
      <c r="F1508" s="1" t="s">
        <v>3403</v>
      </c>
      <c r="G1508" s="1" t="s">
        <v>3404</v>
      </c>
      <c r="H1508" s="1" t="s">
        <v>18</v>
      </c>
    </row>
    <row r="1509" spans="1:8">
      <c r="A1509" s="1">
        <v>1508</v>
      </c>
      <c r="B1509" s="1" t="s">
        <v>3627</v>
      </c>
      <c r="C1509" s="1" t="s">
        <v>3481</v>
      </c>
      <c r="D1509" s="1" t="s">
        <v>3628</v>
      </c>
      <c r="E1509" s="1" t="s">
        <v>3650</v>
      </c>
      <c r="F1509" s="1" t="s">
        <v>29</v>
      </c>
      <c r="G1509" s="1" t="s">
        <v>30</v>
      </c>
      <c r="H1509" s="1" t="s">
        <v>18</v>
      </c>
    </row>
    <row r="1510" spans="1:8">
      <c r="A1510" s="1">
        <v>1509</v>
      </c>
      <c r="B1510" s="1" t="s">
        <v>3651</v>
      </c>
      <c r="C1510" s="1" t="s">
        <v>3400</v>
      </c>
      <c r="D1510" s="1" t="s">
        <v>3652</v>
      </c>
      <c r="E1510" s="1" t="s">
        <v>3653</v>
      </c>
      <c r="F1510" s="1" t="s">
        <v>3403</v>
      </c>
      <c r="G1510" s="1" t="s">
        <v>3404</v>
      </c>
      <c r="H1510" s="1" t="s">
        <v>18</v>
      </c>
    </row>
    <row r="1511" spans="1:8">
      <c r="A1511" s="1">
        <v>1510</v>
      </c>
      <c r="B1511" s="1" t="s">
        <v>3651</v>
      </c>
      <c r="C1511" s="1" t="s">
        <v>3405</v>
      </c>
      <c r="D1511" s="1" t="s">
        <v>3652</v>
      </c>
      <c r="E1511" s="1" t="s">
        <v>3654</v>
      </c>
      <c r="F1511" s="1" t="s">
        <v>3407</v>
      </c>
      <c r="G1511" s="1" t="s">
        <v>3408</v>
      </c>
      <c r="H1511" s="1" t="s">
        <v>18</v>
      </c>
    </row>
    <row r="1512" spans="1:8">
      <c r="A1512" s="1">
        <v>1511</v>
      </c>
      <c r="B1512" s="1" t="s">
        <v>3651</v>
      </c>
      <c r="C1512" s="1" t="s">
        <v>3409</v>
      </c>
      <c r="D1512" s="1" t="s">
        <v>3652</v>
      </c>
      <c r="E1512" s="1" t="s">
        <v>3655</v>
      </c>
      <c r="F1512" s="1" t="s">
        <v>3411</v>
      </c>
      <c r="G1512" s="1" t="s">
        <v>3412</v>
      </c>
      <c r="H1512" s="1" t="s">
        <v>18</v>
      </c>
    </row>
    <row r="1513" spans="1:8">
      <c r="A1513" s="1">
        <v>1512</v>
      </c>
      <c r="B1513" s="1" t="s">
        <v>3651</v>
      </c>
      <c r="C1513" s="1" t="s">
        <v>3413</v>
      </c>
      <c r="D1513" s="1" t="s">
        <v>3652</v>
      </c>
      <c r="E1513" s="1" t="s">
        <v>3656</v>
      </c>
      <c r="F1513" s="1" t="s">
        <v>3415</v>
      </c>
      <c r="G1513" s="1" t="s">
        <v>3416</v>
      </c>
      <c r="H1513" s="1" t="s">
        <v>18</v>
      </c>
    </row>
    <row r="1514" spans="1:8">
      <c r="A1514" s="1">
        <v>1513</v>
      </c>
      <c r="B1514" s="1" t="s">
        <v>3651</v>
      </c>
      <c r="C1514" s="1" t="s">
        <v>3417</v>
      </c>
      <c r="D1514" s="1" t="s">
        <v>3652</v>
      </c>
      <c r="E1514" s="1" t="s">
        <v>3657</v>
      </c>
      <c r="F1514" s="1" t="s">
        <v>3419</v>
      </c>
      <c r="G1514" s="1" t="s">
        <v>3420</v>
      </c>
      <c r="H1514" s="1" t="s">
        <v>18</v>
      </c>
    </row>
    <row r="1515" spans="1:8">
      <c r="A1515" s="1">
        <v>1514</v>
      </c>
      <c r="B1515" s="1" t="s">
        <v>3651</v>
      </c>
      <c r="C1515" s="1" t="s">
        <v>3421</v>
      </c>
      <c r="D1515" s="1" t="s">
        <v>3652</v>
      </c>
      <c r="E1515" s="1" t="s">
        <v>3658</v>
      </c>
      <c r="F1515" s="1" t="s">
        <v>3423</v>
      </c>
      <c r="G1515" s="1" t="s">
        <v>3424</v>
      </c>
      <c r="H1515" s="1" t="s">
        <v>18</v>
      </c>
    </row>
    <row r="1516" spans="1:8">
      <c r="A1516" s="1">
        <v>1515</v>
      </c>
      <c r="B1516" s="1" t="s">
        <v>3651</v>
      </c>
      <c r="C1516" s="1" t="s">
        <v>3425</v>
      </c>
      <c r="D1516" s="1" t="s">
        <v>3652</v>
      </c>
      <c r="E1516" s="1" t="s">
        <v>3659</v>
      </c>
      <c r="F1516" s="1" t="s">
        <v>3427</v>
      </c>
      <c r="G1516" s="1" t="s">
        <v>3428</v>
      </c>
      <c r="H1516" s="1" t="s">
        <v>18</v>
      </c>
    </row>
    <row r="1517" spans="1:8">
      <c r="A1517" s="1">
        <v>1516</v>
      </c>
      <c r="B1517" s="1" t="s">
        <v>3651</v>
      </c>
      <c r="C1517" s="1" t="s">
        <v>3429</v>
      </c>
      <c r="D1517" s="1" t="s">
        <v>3652</v>
      </c>
      <c r="E1517" s="1" t="s">
        <v>3660</v>
      </c>
      <c r="F1517" s="1" t="s">
        <v>3431</v>
      </c>
      <c r="G1517" s="1" t="s">
        <v>3432</v>
      </c>
      <c r="H1517" s="1" t="s">
        <v>18</v>
      </c>
    </row>
    <row r="1518" spans="1:8">
      <c r="A1518" s="1">
        <v>1517</v>
      </c>
      <c r="B1518" s="1" t="s">
        <v>3651</v>
      </c>
      <c r="C1518" s="1" t="s">
        <v>3433</v>
      </c>
      <c r="D1518" s="1" t="s">
        <v>3652</v>
      </c>
      <c r="E1518" s="1" t="s">
        <v>3661</v>
      </c>
      <c r="F1518" s="1" t="s">
        <v>3435</v>
      </c>
      <c r="G1518" s="1" t="s">
        <v>3436</v>
      </c>
      <c r="H1518" s="1" t="s">
        <v>18</v>
      </c>
    </row>
    <row r="1519" spans="1:8">
      <c r="A1519" s="1">
        <v>1518</v>
      </c>
      <c r="B1519" s="1" t="s">
        <v>3651</v>
      </c>
      <c r="C1519" s="1" t="s">
        <v>3437</v>
      </c>
      <c r="D1519" s="1" t="s">
        <v>3652</v>
      </c>
      <c r="E1519" s="1" t="s">
        <v>3662</v>
      </c>
      <c r="F1519" s="1" t="s">
        <v>3439</v>
      </c>
      <c r="G1519" s="1" t="s">
        <v>3440</v>
      </c>
      <c r="H1519" s="1" t="s">
        <v>18</v>
      </c>
    </row>
    <row r="1520" spans="1:8">
      <c r="A1520" s="1">
        <v>1519</v>
      </c>
      <c r="B1520" s="1" t="s">
        <v>3651</v>
      </c>
      <c r="C1520" s="1" t="s">
        <v>3441</v>
      </c>
      <c r="D1520" s="1" t="s">
        <v>3652</v>
      </c>
      <c r="E1520" s="1" t="s">
        <v>3663</v>
      </c>
      <c r="F1520" s="1" t="s">
        <v>3443</v>
      </c>
      <c r="G1520" s="1" t="s">
        <v>3444</v>
      </c>
      <c r="H1520" s="1" t="s">
        <v>18</v>
      </c>
    </row>
    <row r="1521" spans="1:8">
      <c r="A1521" s="1">
        <v>1520</v>
      </c>
      <c r="B1521" s="1" t="s">
        <v>3651</v>
      </c>
      <c r="C1521" s="1" t="s">
        <v>3445</v>
      </c>
      <c r="D1521" s="1" t="s">
        <v>3652</v>
      </c>
      <c r="E1521" s="1" t="s">
        <v>3664</v>
      </c>
      <c r="F1521" s="1" t="s">
        <v>3447</v>
      </c>
      <c r="G1521" s="1" t="s">
        <v>3448</v>
      </c>
      <c r="H1521" s="1" t="s">
        <v>18</v>
      </c>
    </row>
    <row r="1522" spans="1:8">
      <c r="A1522" s="1">
        <v>1521</v>
      </c>
      <c r="B1522" s="1" t="s">
        <v>3651</v>
      </c>
      <c r="C1522" s="1" t="s">
        <v>3449</v>
      </c>
      <c r="D1522" s="1" t="s">
        <v>3652</v>
      </c>
      <c r="E1522" s="1" t="s">
        <v>3665</v>
      </c>
      <c r="F1522" s="1" t="s">
        <v>3451</v>
      </c>
      <c r="G1522" s="1" t="s">
        <v>3452</v>
      </c>
      <c r="H1522" s="1" t="s">
        <v>18</v>
      </c>
    </row>
    <row r="1523" spans="1:8">
      <c r="A1523" s="1">
        <v>1522</v>
      </c>
      <c r="B1523" s="1" t="s">
        <v>3651</v>
      </c>
      <c r="C1523" s="1" t="s">
        <v>3453</v>
      </c>
      <c r="D1523" s="1" t="s">
        <v>3652</v>
      </c>
      <c r="E1523" s="1" t="s">
        <v>3666</v>
      </c>
      <c r="F1523" s="1" t="s">
        <v>3455</v>
      </c>
      <c r="G1523" s="1" t="s">
        <v>3456</v>
      </c>
      <c r="H1523" s="1" t="s">
        <v>18</v>
      </c>
    </row>
    <row r="1524" spans="1:8">
      <c r="A1524" s="1">
        <v>1523</v>
      </c>
      <c r="B1524" s="1" t="s">
        <v>3651</v>
      </c>
      <c r="C1524" s="1" t="s">
        <v>3457</v>
      </c>
      <c r="D1524" s="1" t="s">
        <v>3652</v>
      </c>
      <c r="E1524" s="1" t="s">
        <v>3667</v>
      </c>
      <c r="F1524" s="1" t="s">
        <v>3459</v>
      </c>
      <c r="G1524" s="1" t="s">
        <v>3460</v>
      </c>
      <c r="H1524" s="1" t="s">
        <v>18</v>
      </c>
    </row>
    <row r="1525" spans="1:8">
      <c r="A1525" s="1">
        <v>1524</v>
      </c>
      <c r="B1525" s="1" t="s">
        <v>3651</v>
      </c>
      <c r="C1525" s="1" t="s">
        <v>3461</v>
      </c>
      <c r="D1525" s="1" t="s">
        <v>3652</v>
      </c>
      <c r="E1525" s="1" t="s">
        <v>3668</v>
      </c>
      <c r="F1525" s="1" t="s">
        <v>3463</v>
      </c>
      <c r="G1525" s="1" t="s">
        <v>3464</v>
      </c>
      <c r="H1525" s="1" t="s">
        <v>18</v>
      </c>
    </row>
    <row r="1526" spans="1:8">
      <c r="A1526" s="1">
        <v>1525</v>
      </c>
      <c r="B1526" s="1" t="s">
        <v>3651</v>
      </c>
      <c r="C1526" s="1" t="s">
        <v>3465</v>
      </c>
      <c r="D1526" s="1" t="s">
        <v>3652</v>
      </c>
      <c r="E1526" s="1" t="s">
        <v>3669</v>
      </c>
      <c r="F1526" s="1" t="s">
        <v>3467</v>
      </c>
      <c r="G1526" s="1" t="s">
        <v>3468</v>
      </c>
      <c r="H1526" s="1" t="s">
        <v>18</v>
      </c>
    </row>
    <row r="1527" spans="1:8">
      <c r="A1527" s="1">
        <v>1526</v>
      </c>
      <c r="B1527" s="1" t="s">
        <v>3651</v>
      </c>
      <c r="C1527" s="1" t="s">
        <v>3469</v>
      </c>
      <c r="D1527" s="1" t="s">
        <v>3652</v>
      </c>
      <c r="E1527" s="1" t="s">
        <v>3670</v>
      </c>
      <c r="F1527" s="1" t="s">
        <v>3471</v>
      </c>
      <c r="G1527" s="1" t="s">
        <v>3472</v>
      </c>
      <c r="H1527" s="1" t="s">
        <v>18</v>
      </c>
    </row>
    <row r="1528" spans="1:8">
      <c r="A1528" s="1">
        <v>1527</v>
      </c>
      <c r="B1528" s="1" t="s">
        <v>3651</v>
      </c>
      <c r="C1528" s="1" t="s">
        <v>3473</v>
      </c>
      <c r="D1528" s="1" t="s">
        <v>3652</v>
      </c>
      <c r="E1528" s="1" t="s">
        <v>3671</v>
      </c>
      <c r="F1528" s="1" t="s">
        <v>3475</v>
      </c>
      <c r="G1528" s="1" t="s">
        <v>3476</v>
      </c>
      <c r="H1528" s="1" t="s">
        <v>18</v>
      </c>
    </row>
    <row r="1529" spans="1:8">
      <c r="A1529" s="1">
        <v>1528</v>
      </c>
      <c r="B1529" s="1" t="s">
        <v>3651</v>
      </c>
      <c r="C1529" s="1" t="s">
        <v>3477</v>
      </c>
      <c r="D1529" s="1" t="s">
        <v>3652</v>
      </c>
      <c r="E1529" s="1" t="s">
        <v>3672</v>
      </c>
      <c r="F1529" s="1" t="s">
        <v>37</v>
      </c>
      <c r="G1529" s="1" t="s">
        <v>38</v>
      </c>
      <c r="H1529" s="1" t="s">
        <v>18</v>
      </c>
    </row>
    <row r="1530" spans="1:8">
      <c r="A1530" s="1">
        <v>1529</v>
      </c>
      <c r="B1530" s="1" t="s">
        <v>3651</v>
      </c>
      <c r="C1530" s="1" t="s">
        <v>3479</v>
      </c>
      <c r="D1530" s="1" t="s">
        <v>3652</v>
      </c>
      <c r="E1530" s="1" t="s">
        <v>3673</v>
      </c>
      <c r="F1530" s="1" t="s">
        <v>41</v>
      </c>
      <c r="G1530" s="1" t="s">
        <v>42</v>
      </c>
      <c r="H1530" s="1" t="s">
        <v>18</v>
      </c>
    </row>
    <row r="1531" spans="1:8">
      <c r="A1531" s="1">
        <v>1530</v>
      </c>
      <c r="B1531" s="1" t="s">
        <v>3651</v>
      </c>
      <c r="C1531" s="1" t="s">
        <v>3481</v>
      </c>
      <c r="D1531" s="1" t="s">
        <v>3652</v>
      </c>
      <c r="E1531" s="1" t="s">
        <v>3674</v>
      </c>
      <c r="F1531" s="1" t="s">
        <v>29</v>
      </c>
      <c r="G1531" s="1" t="s">
        <v>30</v>
      </c>
      <c r="H1531" s="1" t="s">
        <v>18</v>
      </c>
    </row>
    <row r="1532" spans="1:8">
      <c r="A1532" s="1">
        <v>1531</v>
      </c>
      <c r="B1532" s="1" t="s">
        <v>3675</v>
      </c>
      <c r="C1532" s="1" t="s">
        <v>3400</v>
      </c>
      <c r="D1532" s="1" t="s">
        <v>3676</v>
      </c>
      <c r="E1532" s="1" t="s">
        <v>3677</v>
      </c>
      <c r="F1532" s="1" t="s">
        <v>3403</v>
      </c>
      <c r="G1532" s="1" t="s">
        <v>3404</v>
      </c>
      <c r="H1532" s="1" t="s">
        <v>18</v>
      </c>
    </row>
    <row r="1533" spans="1:8">
      <c r="A1533" s="1">
        <v>1532</v>
      </c>
      <c r="B1533" s="1" t="s">
        <v>3675</v>
      </c>
      <c r="C1533" s="1" t="s">
        <v>3405</v>
      </c>
      <c r="D1533" s="1" t="s">
        <v>3676</v>
      </c>
      <c r="E1533" s="1" t="s">
        <v>3678</v>
      </c>
      <c r="F1533" s="1" t="s">
        <v>3407</v>
      </c>
      <c r="G1533" s="1" t="s">
        <v>3408</v>
      </c>
      <c r="H1533" s="1" t="s">
        <v>18</v>
      </c>
    </row>
    <row r="1534" spans="1:8">
      <c r="A1534" s="1">
        <v>1533</v>
      </c>
      <c r="B1534" s="1" t="s">
        <v>3675</v>
      </c>
      <c r="C1534" s="1" t="s">
        <v>3409</v>
      </c>
      <c r="D1534" s="1" t="s">
        <v>3676</v>
      </c>
      <c r="E1534" s="1" t="s">
        <v>3679</v>
      </c>
      <c r="F1534" s="1" t="s">
        <v>3411</v>
      </c>
      <c r="G1534" s="1" t="s">
        <v>3412</v>
      </c>
      <c r="H1534" s="1" t="s">
        <v>18</v>
      </c>
    </row>
    <row r="1535" spans="1:8">
      <c r="A1535" s="1">
        <v>1534</v>
      </c>
      <c r="B1535" s="1" t="s">
        <v>3675</v>
      </c>
      <c r="C1535" s="1" t="s">
        <v>3413</v>
      </c>
      <c r="D1535" s="1" t="s">
        <v>3676</v>
      </c>
      <c r="E1535" s="1" t="s">
        <v>3680</v>
      </c>
      <c r="F1535" s="1" t="s">
        <v>3415</v>
      </c>
      <c r="G1535" s="1" t="s">
        <v>3416</v>
      </c>
      <c r="H1535" s="1" t="s">
        <v>18</v>
      </c>
    </row>
    <row r="1536" spans="1:8">
      <c r="A1536" s="1">
        <v>1535</v>
      </c>
      <c r="B1536" s="1" t="s">
        <v>3675</v>
      </c>
      <c r="C1536" s="1" t="s">
        <v>3417</v>
      </c>
      <c r="D1536" s="1" t="s">
        <v>3676</v>
      </c>
      <c r="E1536" s="1" t="s">
        <v>3681</v>
      </c>
      <c r="F1536" s="1" t="s">
        <v>3419</v>
      </c>
      <c r="G1536" s="1" t="s">
        <v>3420</v>
      </c>
      <c r="H1536" s="1" t="s">
        <v>18</v>
      </c>
    </row>
    <row r="1537" spans="1:8">
      <c r="A1537" s="1">
        <v>1536</v>
      </c>
      <c r="B1537" s="1" t="s">
        <v>3675</v>
      </c>
      <c r="C1537" s="1" t="s">
        <v>3421</v>
      </c>
      <c r="D1537" s="1" t="s">
        <v>3676</v>
      </c>
      <c r="E1537" s="1" t="s">
        <v>3682</v>
      </c>
      <c r="F1537" s="1" t="s">
        <v>3423</v>
      </c>
      <c r="G1537" s="1" t="s">
        <v>3424</v>
      </c>
      <c r="H1537" s="1" t="s">
        <v>18</v>
      </c>
    </row>
    <row r="1538" spans="1:8">
      <c r="A1538" s="1">
        <v>1537</v>
      </c>
      <c r="B1538" s="1" t="s">
        <v>3675</v>
      </c>
      <c r="C1538" s="1" t="s">
        <v>3425</v>
      </c>
      <c r="D1538" s="1" t="s">
        <v>3676</v>
      </c>
      <c r="E1538" s="1" t="s">
        <v>3683</v>
      </c>
      <c r="F1538" s="1" t="s">
        <v>3427</v>
      </c>
      <c r="G1538" s="1" t="s">
        <v>3428</v>
      </c>
      <c r="H1538" s="1" t="s">
        <v>18</v>
      </c>
    </row>
    <row r="1539" spans="1:8">
      <c r="A1539" s="1">
        <v>1538</v>
      </c>
      <c r="B1539" s="1" t="s">
        <v>3675</v>
      </c>
      <c r="C1539" s="1" t="s">
        <v>3429</v>
      </c>
      <c r="D1539" s="1" t="s">
        <v>3676</v>
      </c>
      <c r="E1539" s="1" t="s">
        <v>3684</v>
      </c>
      <c r="F1539" s="1" t="s">
        <v>3431</v>
      </c>
      <c r="G1539" s="1" t="s">
        <v>3432</v>
      </c>
      <c r="H1539" s="1" t="s">
        <v>18</v>
      </c>
    </row>
    <row r="1540" spans="1:8">
      <c r="A1540" s="1">
        <v>1539</v>
      </c>
      <c r="B1540" s="1" t="s">
        <v>3675</v>
      </c>
      <c r="C1540" s="1" t="s">
        <v>3433</v>
      </c>
      <c r="D1540" s="1" t="s">
        <v>3676</v>
      </c>
      <c r="E1540" s="1" t="s">
        <v>3685</v>
      </c>
      <c r="F1540" s="1" t="s">
        <v>3435</v>
      </c>
      <c r="G1540" s="1" t="s">
        <v>3436</v>
      </c>
      <c r="H1540" s="1" t="s">
        <v>18</v>
      </c>
    </row>
    <row r="1541" spans="1:8">
      <c r="A1541" s="1">
        <v>1540</v>
      </c>
      <c r="B1541" s="1" t="s">
        <v>3675</v>
      </c>
      <c r="C1541" s="1" t="s">
        <v>3437</v>
      </c>
      <c r="D1541" s="1" t="s">
        <v>3676</v>
      </c>
      <c r="E1541" s="1" t="s">
        <v>3686</v>
      </c>
      <c r="F1541" s="1" t="s">
        <v>3439</v>
      </c>
      <c r="G1541" s="1" t="s">
        <v>3440</v>
      </c>
      <c r="H1541" s="1" t="s">
        <v>18</v>
      </c>
    </row>
    <row r="1542" spans="1:8">
      <c r="A1542" s="1">
        <v>1541</v>
      </c>
      <c r="B1542" s="1" t="s">
        <v>3675</v>
      </c>
      <c r="C1542" s="1" t="s">
        <v>3441</v>
      </c>
      <c r="D1542" s="1" t="s">
        <v>3676</v>
      </c>
      <c r="E1542" s="1" t="s">
        <v>3687</v>
      </c>
      <c r="F1542" s="1" t="s">
        <v>3443</v>
      </c>
      <c r="G1542" s="1" t="s">
        <v>3444</v>
      </c>
      <c r="H1542" s="1" t="s">
        <v>18</v>
      </c>
    </row>
    <row r="1543" spans="1:8">
      <c r="A1543" s="1">
        <v>1542</v>
      </c>
      <c r="B1543" s="1" t="s">
        <v>3675</v>
      </c>
      <c r="C1543" s="1" t="s">
        <v>3445</v>
      </c>
      <c r="D1543" s="1" t="s">
        <v>3676</v>
      </c>
      <c r="E1543" s="1" t="s">
        <v>3688</v>
      </c>
      <c r="F1543" s="1" t="s">
        <v>3447</v>
      </c>
      <c r="G1543" s="1" t="s">
        <v>3448</v>
      </c>
      <c r="H1543" s="1" t="s">
        <v>18</v>
      </c>
    </row>
    <row r="1544" spans="1:8">
      <c r="A1544" s="1">
        <v>1543</v>
      </c>
      <c r="B1544" s="1" t="s">
        <v>3675</v>
      </c>
      <c r="C1544" s="1" t="s">
        <v>3449</v>
      </c>
      <c r="D1544" s="1" t="s">
        <v>3676</v>
      </c>
      <c r="E1544" s="1" t="s">
        <v>3689</v>
      </c>
      <c r="F1544" s="1" t="s">
        <v>3451</v>
      </c>
      <c r="G1544" s="1" t="s">
        <v>3452</v>
      </c>
      <c r="H1544" s="1" t="s">
        <v>18</v>
      </c>
    </row>
    <row r="1545" spans="1:8">
      <c r="A1545" s="1">
        <v>1544</v>
      </c>
      <c r="B1545" s="1" t="s">
        <v>3675</v>
      </c>
      <c r="C1545" s="1" t="s">
        <v>3453</v>
      </c>
      <c r="D1545" s="1" t="s">
        <v>3676</v>
      </c>
      <c r="E1545" s="1" t="s">
        <v>3690</v>
      </c>
      <c r="F1545" s="1" t="s">
        <v>3455</v>
      </c>
      <c r="G1545" s="1" t="s">
        <v>3456</v>
      </c>
      <c r="H1545" s="1" t="s">
        <v>18</v>
      </c>
    </row>
    <row r="1546" spans="1:8">
      <c r="A1546" s="1">
        <v>1545</v>
      </c>
      <c r="B1546" s="1" t="s">
        <v>3675</v>
      </c>
      <c r="C1546" s="1" t="s">
        <v>3457</v>
      </c>
      <c r="D1546" s="1" t="s">
        <v>3676</v>
      </c>
      <c r="E1546" s="1" t="s">
        <v>3691</v>
      </c>
      <c r="F1546" s="1" t="s">
        <v>3459</v>
      </c>
      <c r="G1546" s="1" t="s">
        <v>3460</v>
      </c>
      <c r="H1546" s="1" t="s">
        <v>18</v>
      </c>
    </row>
    <row r="1547" spans="1:8">
      <c r="A1547" s="1">
        <v>1546</v>
      </c>
      <c r="B1547" s="1" t="s">
        <v>3675</v>
      </c>
      <c r="C1547" s="1" t="s">
        <v>3461</v>
      </c>
      <c r="D1547" s="1" t="s">
        <v>3676</v>
      </c>
      <c r="E1547" s="1" t="s">
        <v>3692</v>
      </c>
      <c r="F1547" s="1" t="s">
        <v>3463</v>
      </c>
      <c r="G1547" s="1" t="s">
        <v>3464</v>
      </c>
      <c r="H1547" s="1" t="s">
        <v>18</v>
      </c>
    </row>
    <row r="1548" spans="1:8">
      <c r="A1548" s="1">
        <v>1547</v>
      </c>
      <c r="B1548" s="1" t="s">
        <v>3675</v>
      </c>
      <c r="C1548" s="1" t="s">
        <v>3465</v>
      </c>
      <c r="D1548" s="1" t="s">
        <v>3676</v>
      </c>
      <c r="E1548" s="1" t="s">
        <v>3693</v>
      </c>
      <c r="F1548" s="1" t="s">
        <v>3467</v>
      </c>
      <c r="G1548" s="1" t="s">
        <v>3468</v>
      </c>
      <c r="H1548" s="1" t="s">
        <v>18</v>
      </c>
    </row>
    <row r="1549" spans="1:8">
      <c r="A1549" s="1">
        <v>1548</v>
      </c>
      <c r="B1549" s="1" t="s">
        <v>3675</v>
      </c>
      <c r="C1549" s="1" t="s">
        <v>3469</v>
      </c>
      <c r="D1549" s="1" t="s">
        <v>3676</v>
      </c>
      <c r="E1549" s="1" t="s">
        <v>3694</v>
      </c>
      <c r="F1549" s="1" t="s">
        <v>3471</v>
      </c>
      <c r="G1549" s="1" t="s">
        <v>3472</v>
      </c>
      <c r="H1549" s="1" t="s">
        <v>18</v>
      </c>
    </row>
    <row r="1550" spans="1:8">
      <c r="A1550" s="1">
        <v>1549</v>
      </c>
      <c r="B1550" s="1" t="s">
        <v>3675</v>
      </c>
      <c r="C1550" s="1" t="s">
        <v>3473</v>
      </c>
      <c r="D1550" s="1" t="s">
        <v>3676</v>
      </c>
      <c r="E1550" s="1" t="s">
        <v>3695</v>
      </c>
      <c r="F1550" s="1" t="s">
        <v>3475</v>
      </c>
      <c r="G1550" s="1" t="s">
        <v>3476</v>
      </c>
      <c r="H1550" s="1" t="s">
        <v>18</v>
      </c>
    </row>
    <row r="1551" spans="1:8">
      <c r="A1551" s="1">
        <v>1550</v>
      </c>
      <c r="B1551" s="1" t="s">
        <v>3675</v>
      </c>
      <c r="C1551" s="1" t="s">
        <v>3477</v>
      </c>
      <c r="D1551" s="1" t="s">
        <v>3676</v>
      </c>
      <c r="E1551" s="1" t="s">
        <v>3696</v>
      </c>
      <c r="F1551" s="1" t="s">
        <v>37</v>
      </c>
      <c r="G1551" s="1" t="s">
        <v>38</v>
      </c>
      <c r="H1551" s="1" t="s">
        <v>18</v>
      </c>
    </row>
    <row r="1552" spans="1:8">
      <c r="A1552" s="1">
        <v>1551</v>
      </c>
      <c r="B1552" s="1" t="s">
        <v>3675</v>
      </c>
      <c r="C1552" s="1" t="s">
        <v>3479</v>
      </c>
      <c r="D1552" s="1" t="s">
        <v>3676</v>
      </c>
      <c r="E1552" s="1" t="s">
        <v>3697</v>
      </c>
      <c r="F1552" s="1" t="s">
        <v>41</v>
      </c>
      <c r="G1552" s="1" t="s">
        <v>42</v>
      </c>
      <c r="H1552" s="1" t="s">
        <v>18</v>
      </c>
    </row>
    <row r="1553" spans="1:8">
      <c r="A1553" s="1">
        <v>1552</v>
      </c>
      <c r="B1553" s="1" t="s">
        <v>3675</v>
      </c>
      <c r="C1553" s="1" t="s">
        <v>3481</v>
      </c>
      <c r="D1553" s="1" t="s">
        <v>3676</v>
      </c>
      <c r="E1553" s="1" t="s">
        <v>3698</v>
      </c>
      <c r="F1553" s="1" t="s">
        <v>29</v>
      </c>
      <c r="G1553" s="1" t="s">
        <v>30</v>
      </c>
      <c r="H1553" s="1" t="s">
        <v>18</v>
      </c>
    </row>
    <row r="1554" spans="1:8">
      <c r="A1554" s="1">
        <v>1553</v>
      </c>
      <c r="B1554" s="1" t="s">
        <v>3699</v>
      </c>
      <c r="C1554" s="1" t="s">
        <v>3400</v>
      </c>
      <c r="D1554" s="1" t="s">
        <v>3700</v>
      </c>
      <c r="E1554" s="1" t="s">
        <v>3701</v>
      </c>
      <c r="F1554" s="1" t="s">
        <v>3403</v>
      </c>
      <c r="G1554" s="1" t="s">
        <v>3404</v>
      </c>
      <c r="H1554" s="1" t="s">
        <v>18</v>
      </c>
    </row>
    <row r="1555" spans="1:8">
      <c r="A1555" s="1">
        <v>1554</v>
      </c>
      <c r="B1555" s="1" t="s">
        <v>3699</v>
      </c>
      <c r="C1555" s="1" t="s">
        <v>3405</v>
      </c>
      <c r="D1555" s="1" t="s">
        <v>3700</v>
      </c>
      <c r="E1555" s="1" t="s">
        <v>3702</v>
      </c>
      <c r="F1555" s="1" t="s">
        <v>3407</v>
      </c>
      <c r="G1555" s="1" t="s">
        <v>3408</v>
      </c>
      <c r="H1555" s="1" t="s">
        <v>18</v>
      </c>
    </row>
    <row r="1556" spans="1:8">
      <c r="A1556" s="1">
        <v>1555</v>
      </c>
      <c r="B1556" s="1" t="s">
        <v>3699</v>
      </c>
      <c r="C1556" s="1" t="s">
        <v>3409</v>
      </c>
      <c r="D1556" s="1" t="s">
        <v>3700</v>
      </c>
      <c r="E1556" s="1" t="s">
        <v>3703</v>
      </c>
      <c r="F1556" s="1" t="s">
        <v>3411</v>
      </c>
      <c r="G1556" s="1" t="s">
        <v>3412</v>
      </c>
      <c r="H1556" s="1" t="s">
        <v>18</v>
      </c>
    </row>
    <row r="1557" spans="1:8">
      <c r="A1557" s="1">
        <v>1556</v>
      </c>
      <c r="B1557" s="1" t="s">
        <v>3699</v>
      </c>
      <c r="C1557" s="1" t="s">
        <v>3413</v>
      </c>
      <c r="D1557" s="1" t="s">
        <v>3700</v>
      </c>
      <c r="E1557" s="1" t="s">
        <v>3704</v>
      </c>
      <c r="F1557" s="1" t="s">
        <v>3415</v>
      </c>
      <c r="G1557" s="1" t="s">
        <v>3416</v>
      </c>
      <c r="H1557" s="1" t="s">
        <v>18</v>
      </c>
    </row>
    <row r="1558" spans="1:8">
      <c r="A1558" s="1">
        <v>1557</v>
      </c>
      <c r="B1558" s="1" t="s">
        <v>3699</v>
      </c>
      <c r="C1558" s="1" t="s">
        <v>3417</v>
      </c>
      <c r="D1558" s="1" t="s">
        <v>3700</v>
      </c>
      <c r="E1558" s="1" t="s">
        <v>3705</v>
      </c>
      <c r="F1558" s="1" t="s">
        <v>3419</v>
      </c>
      <c r="G1558" s="1" t="s">
        <v>3420</v>
      </c>
      <c r="H1558" s="1" t="s">
        <v>18</v>
      </c>
    </row>
    <row r="1559" spans="1:8">
      <c r="A1559" s="1">
        <v>1558</v>
      </c>
      <c r="B1559" s="1" t="s">
        <v>3699</v>
      </c>
      <c r="C1559" s="1" t="s">
        <v>3421</v>
      </c>
      <c r="D1559" s="1" t="s">
        <v>3700</v>
      </c>
      <c r="E1559" s="1" t="s">
        <v>3706</v>
      </c>
      <c r="F1559" s="1" t="s">
        <v>3423</v>
      </c>
      <c r="G1559" s="1" t="s">
        <v>3424</v>
      </c>
      <c r="H1559" s="1" t="s">
        <v>18</v>
      </c>
    </row>
    <row r="1560" spans="1:8">
      <c r="A1560" s="1">
        <v>1559</v>
      </c>
      <c r="B1560" s="1" t="s">
        <v>3699</v>
      </c>
      <c r="C1560" s="1" t="s">
        <v>3425</v>
      </c>
      <c r="D1560" s="1" t="s">
        <v>3700</v>
      </c>
      <c r="E1560" s="1" t="s">
        <v>3707</v>
      </c>
      <c r="F1560" s="1" t="s">
        <v>3427</v>
      </c>
      <c r="G1560" s="1" t="s">
        <v>3428</v>
      </c>
      <c r="H1560" s="1" t="s">
        <v>18</v>
      </c>
    </row>
    <row r="1561" spans="1:8">
      <c r="A1561" s="1">
        <v>1560</v>
      </c>
      <c r="B1561" s="1" t="s">
        <v>3699</v>
      </c>
      <c r="C1561" s="1" t="s">
        <v>3429</v>
      </c>
      <c r="D1561" s="1" t="s">
        <v>3700</v>
      </c>
      <c r="E1561" s="1" t="s">
        <v>3708</v>
      </c>
      <c r="F1561" s="1" t="s">
        <v>3431</v>
      </c>
      <c r="G1561" s="1" t="s">
        <v>3432</v>
      </c>
      <c r="H1561" s="1" t="s">
        <v>18</v>
      </c>
    </row>
    <row r="1562" spans="1:8">
      <c r="A1562" s="1">
        <v>1561</v>
      </c>
      <c r="B1562" s="1" t="s">
        <v>3699</v>
      </c>
      <c r="C1562" s="1" t="s">
        <v>3433</v>
      </c>
      <c r="D1562" s="1" t="s">
        <v>3700</v>
      </c>
      <c r="E1562" s="1" t="s">
        <v>3709</v>
      </c>
      <c r="F1562" s="1" t="s">
        <v>3435</v>
      </c>
      <c r="G1562" s="1" t="s">
        <v>3436</v>
      </c>
      <c r="H1562" s="1" t="s">
        <v>18</v>
      </c>
    </row>
    <row r="1563" spans="1:8">
      <c r="A1563" s="1">
        <v>1562</v>
      </c>
      <c r="B1563" s="1" t="s">
        <v>3699</v>
      </c>
      <c r="C1563" s="1" t="s">
        <v>3437</v>
      </c>
      <c r="D1563" s="1" t="s">
        <v>3700</v>
      </c>
      <c r="E1563" s="1" t="s">
        <v>3710</v>
      </c>
      <c r="F1563" s="1" t="s">
        <v>3439</v>
      </c>
      <c r="G1563" s="1" t="s">
        <v>3440</v>
      </c>
      <c r="H1563" s="1" t="s">
        <v>18</v>
      </c>
    </row>
    <row r="1564" spans="1:8">
      <c r="A1564" s="1">
        <v>1563</v>
      </c>
      <c r="B1564" s="1" t="s">
        <v>3699</v>
      </c>
      <c r="C1564" s="1" t="s">
        <v>3441</v>
      </c>
      <c r="D1564" s="1" t="s">
        <v>3700</v>
      </c>
      <c r="E1564" s="1" t="s">
        <v>3711</v>
      </c>
      <c r="F1564" s="1" t="s">
        <v>3443</v>
      </c>
      <c r="G1564" s="1" t="s">
        <v>3444</v>
      </c>
      <c r="H1564" s="1" t="s">
        <v>18</v>
      </c>
    </row>
    <row r="1565" spans="1:8">
      <c r="A1565" s="1">
        <v>1564</v>
      </c>
      <c r="B1565" s="1" t="s">
        <v>3699</v>
      </c>
      <c r="C1565" s="1" t="s">
        <v>3445</v>
      </c>
      <c r="D1565" s="1" t="s">
        <v>3700</v>
      </c>
      <c r="E1565" s="1" t="s">
        <v>3712</v>
      </c>
      <c r="F1565" s="1" t="s">
        <v>3447</v>
      </c>
      <c r="G1565" s="1" t="s">
        <v>3448</v>
      </c>
      <c r="H1565" s="1" t="s">
        <v>18</v>
      </c>
    </row>
    <row r="1566" spans="1:8">
      <c r="A1566" s="1">
        <v>1565</v>
      </c>
      <c r="B1566" s="1" t="s">
        <v>3699</v>
      </c>
      <c r="C1566" s="1" t="s">
        <v>3449</v>
      </c>
      <c r="D1566" s="1" t="s">
        <v>3700</v>
      </c>
      <c r="E1566" s="1" t="s">
        <v>3713</v>
      </c>
      <c r="F1566" s="1" t="s">
        <v>3451</v>
      </c>
      <c r="G1566" s="1" t="s">
        <v>3452</v>
      </c>
      <c r="H1566" s="1" t="s">
        <v>18</v>
      </c>
    </row>
    <row r="1567" spans="1:8">
      <c r="A1567" s="1">
        <v>1566</v>
      </c>
      <c r="B1567" s="1" t="s">
        <v>3699</v>
      </c>
      <c r="C1567" s="1" t="s">
        <v>3453</v>
      </c>
      <c r="D1567" s="1" t="s">
        <v>3700</v>
      </c>
      <c r="E1567" s="1" t="s">
        <v>3714</v>
      </c>
      <c r="F1567" s="1" t="s">
        <v>3455</v>
      </c>
      <c r="G1567" s="1" t="s">
        <v>3456</v>
      </c>
      <c r="H1567" s="1" t="s">
        <v>18</v>
      </c>
    </row>
    <row r="1568" spans="1:8">
      <c r="A1568" s="1">
        <v>1567</v>
      </c>
      <c r="B1568" s="1" t="s">
        <v>3699</v>
      </c>
      <c r="C1568" s="1" t="s">
        <v>3457</v>
      </c>
      <c r="D1568" s="1" t="s">
        <v>3700</v>
      </c>
      <c r="E1568" s="1" t="s">
        <v>3715</v>
      </c>
      <c r="F1568" s="1" t="s">
        <v>3459</v>
      </c>
      <c r="G1568" s="1" t="s">
        <v>3460</v>
      </c>
      <c r="H1568" s="1" t="s">
        <v>18</v>
      </c>
    </row>
    <row r="1569" spans="1:8">
      <c r="A1569" s="1">
        <v>1568</v>
      </c>
      <c r="B1569" s="1" t="s">
        <v>3699</v>
      </c>
      <c r="C1569" s="1" t="s">
        <v>3461</v>
      </c>
      <c r="D1569" s="1" t="s">
        <v>3700</v>
      </c>
      <c r="E1569" s="1" t="s">
        <v>3716</v>
      </c>
      <c r="F1569" s="1" t="s">
        <v>3463</v>
      </c>
      <c r="G1569" s="1" t="s">
        <v>3464</v>
      </c>
      <c r="H1569" s="1" t="s">
        <v>18</v>
      </c>
    </row>
    <row r="1570" spans="1:8">
      <c r="A1570" s="1">
        <v>1569</v>
      </c>
      <c r="B1570" s="1" t="s">
        <v>3699</v>
      </c>
      <c r="C1570" s="1" t="s">
        <v>3465</v>
      </c>
      <c r="D1570" s="1" t="s">
        <v>3700</v>
      </c>
      <c r="E1570" s="1" t="s">
        <v>3717</v>
      </c>
      <c r="F1570" s="1" t="s">
        <v>3467</v>
      </c>
      <c r="G1570" s="1" t="s">
        <v>3468</v>
      </c>
      <c r="H1570" s="1" t="s">
        <v>18</v>
      </c>
    </row>
    <row r="1571" spans="1:8">
      <c r="A1571" s="1">
        <v>1570</v>
      </c>
      <c r="B1571" s="1" t="s">
        <v>3699</v>
      </c>
      <c r="C1571" s="1" t="s">
        <v>3469</v>
      </c>
      <c r="D1571" s="1" t="s">
        <v>3700</v>
      </c>
      <c r="E1571" s="1" t="s">
        <v>3718</v>
      </c>
      <c r="F1571" s="1" t="s">
        <v>3471</v>
      </c>
      <c r="G1571" s="1" t="s">
        <v>3472</v>
      </c>
      <c r="H1571" s="1" t="s">
        <v>18</v>
      </c>
    </row>
    <row r="1572" spans="1:8">
      <c r="A1572" s="1">
        <v>1571</v>
      </c>
      <c r="B1572" s="1" t="s">
        <v>3699</v>
      </c>
      <c r="C1572" s="1" t="s">
        <v>3473</v>
      </c>
      <c r="D1572" s="1" t="s">
        <v>3700</v>
      </c>
      <c r="E1572" s="1" t="s">
        <v>3719</v>
      </c>
      <c r="F1572" s="1" t="s">
        <v>3475</v>
      </c>
      <c r="G1572" s="1" t="s">
        <v>3476</v>
      </c>
      <c r="H1572" s="1" t="s">
        <v>18</v>
      </c>
    </row>
    <row r="1573" spans="1:8">
      <c r="A1573" s="1">
        <v>1572</v>
      </c>
      <c r="B1573" s="1" t="s">
        <v>3699</v>
      </c>
      <c r="C1573" s="1" t="s">
        <v>3477</v>
      </c>
      <c r="D1573" s="1" t="s">
        <v>3700</v>
      </c>
      <c r="E1573" s="1" t="s">
        <v>3720</v>
      </c>
      <c r="F1573" s="1" t="s">
        <v>37</v>
      </c>
      <c r="G1573" s="1" t="s">
        <v>38</v>
      </c>
      <c r="H1573" s="1" t="s">
        <v>18</v>
      </c>
    </row>
    <row r="1574" spans="1:8">
      <c r="A1574" s="1">
        <v>1573</v>
      </c>
      <c r="B1574" s="1" t="s">
        <v>3699</v>
      </c>
      <c r="C1574" s="1" t="s">
        <v>3479</v>
      </c>
      <c r="D1574" s="1" t="s">
        <v>3700</v>
      </c>
      <c r="E1574" s="1" t="s">
        <v>3721</v>
      </c>
      <c r="F1574" s="1" t="s">
        <v>41</v>
      </c>
      <c r="G1574" s="1" t="s">
        <v>42</v>
      </c>
      <c r="H1574" s="1" t="s">
        <v>18</v>
      </c>
    </row>
    <row r="1575" spans="1:8">
      <c r="A1575" s="1">
        <v>1574</v>
      </c>
      <c r="B1575" s="1" t="s">
        <v>3699</v>
      </c>
      <c r="C1575" s="1" t="s">
        <v>3481</v>
      </c>
      <c r="D1575" s="1" t="s">
        <v>3700</v>
      </c>
      <c r="E1575" s="1" t="s">
        <v>3722</v>
      </c>
      <c r="F1575" s="1" t="s">
        <v>29</v>
      </c>
      <c r="G1575" s="1" t="s">
        <v>30</v>
      </c>
      <c r="H1575" s="1" t="s">
        <v>18</v>
      </c>
    </row>
    <row r="1576" spans="1:8">
      <c r="A1576" s="1">
        <v>1575</v>
      </c>
      <c r="B1576" s="1" t="s">
        <v>3723</v>
      </c>
      <c r="C1576" s="1" t="s">
        <v>392</v>
      </c>
      <c r="D1576" s="1" t="s">
        <v>3724</v>
      </c>
      <c r="E1576" s="1" t="s">
        <v>3725</v>
      </c>
      <c r="F1576" s="1" t="s">
        <v>12</v>
      </c>
      <c r="G1576" s="1" t="s">
        <v>13</v>
      </c>
      <c r="H1576" s="1" t="s">
        <v>18</v>
      </c>
    </row>
    <row r="1577" spans="1:8">
      <c r="A1577" s="1">
        <v>1576</v>
      </c>
      <c r="B1577" s="1" t="s">
        <v>3723</v>
      </c>
      <c r="C1577" s="1" t="s">
        <v>397</v>
      </c>
      <c r="D1577" s="1" t="s">
        <v>3724</v>
      </c>
      <c r="E1577" s="1" t="s">
        <v>3726</v>
      </c>
      <c r="F1577" s="1" t="s">
        <v>16</v>
      </c>
      <c r="G1577" s="1" t="s">
        <v>17</v>
      </c>
      <c r="H1577" s="1" t="s">
        <v>18</v>
      </c>
    </row>
    <row r="1578" spans="1:8">
      <c r="A1578" s="1">
        <v>1577</v>
      </c>
      <c r="B1578" s="1" t="s">
        <v>3723</v>
      </c>
      <c r="C1578" s="1" t="s">
        <v>401</v>
      </c>
      <c r="D1578" s="1" t="s">
        <v>3724</v>
      </c>
      <c r="E1578" s="1" t="s">
        <v>3727</v>
      </c>
      <c r="F1578" s="1" t="s">
        <v>21</v>
      </c>
      <c r="G1578" s="1" t="s">
        <v>22</v>
      </c>
      <c r="H1578" s="1" t="s">
        <v>18</v>
      </c>
    </row>
    <row r="1579" spans="1:8">
      <c r="A1579" s="1">
        <v>1578</v>
      </c>
      <c r="B1579" s="1" t="s">
        <v>3723</v>
      </c>
      <c r="C1579" s="1" t="s">
        <v>405</v>
      </c>
      <c r="D1579" s="1" t="s">
        <v>3724</v>
      </c>
      <c r="E1579" s="1" t="s">
        <v>3728</v>
      </c>
      <c r="F1579" s="1" t="s">
        <v>29</v>
      </c>
      <c r="G1579" s="1" t="s">
        <v>30</v>
      </c>
      <c r="H1579" s="1" t="s">
        <v>18</v>
      </c>
    </row>
    <row r="1580" spans="1:8">
      <c r="A1580" s="1">
        <v>1579</v>
      </c>
      <c r="B1580" s="1" t="s">
        <v>3723</v>
      </c>
      <c r="C1580" s="1" t="s">
        <v>409</v>
      </c>
      <c r="D1580" s="1" t="s">
        <v>3724</v>
      </c>
      <c r="E1580" s="1" t="s">
        <v>3729</v>
      </c>
      <c r="F1580" s="1" t="s">
        <v>37</v>
      </c>
      <c r="G1580" s="1" t="s">
        <v>38</v>
      </c>
      <c r="H1580" s="1" t="s">
        <v>18</v>
      </c>
    </row>
    <row r="1581" spans="1:8">
      <c r="A1581" s="1">
        <v>1580</v>
      </c>
      <c r="B1581" s="1" t="s">
        <v>3723</v>
      </c>
      <c r="C1581" s="1" t="s">
        <v>413</v>
      </c>
      <c r="D1581" s="1" t="s">
        <v>3724</v>
      </c>
      <c r="E1581" s="1" t="s">
        <v>3730</v>
      </c>
      <c r="F1581" s="1" t="s">
        <v>41</v>
      </c>
      <c r="G1581" s="1" t="s">
        <v>42</v>
      </c>
      <c r="H1581" s="1" t="s">
        <v>18</v>
      </c>
    </row>
    <row r="1582" spans="1:8">
      <c r="A1582" s="1">
        <v>1581</v>
      </c>
      <c r="B1582" s="1" t="s">
        <v>3723</v>
      </c>
      <c r="C1582" s="1" t="s">
        <v>417</v>
      </c>
      <c r="D1582" s="1" t="s">
        <v>3724</v>
      </c>
      <c r="E1582" s="1" t="s">
        <v>3731</v>
      </c>
      <c r="F1582" s="1" t="s">
        <v>3732</v>
      </c>
      <c r="G1582" s="1" t="s">
        <v>3733</v>
      </c>
      <c r="H1582" s="1" t="s">
        <v>18</v>
      </c>
    </row>
    <row r="1583" spans="1:8">
      <c r="A1583" s="1">
        <v>1582</v>
      </c>
      <c r="B1583" s="1" t="s">
        <v>3734</v>
      </c>
      <c r="C1583" s="1" t="s">
        <v>201</v>
      </c>
      <c r="D1583" s="1" t="s">
        <v>3735</v>
      </c>
      <c r="E1583" s="1" t="s">
        <v>3736</v>
      </c>
      <c r="F1583" s="1" t="s">
        <v>3737</v>
      </c>
      <c r="G1583" s="1" t="s">
        <v>3738</v>
      </c>
      <c r="H1583" s="1" t="s">
        <v>18</v>
      </c>
    </row>
    <row r="1584" spans="1:8">
      <c r="A1584" s="1">
        <v>1583</v>
      </c>
      <c r="B1584" s="1" t="s">
        <v>3734</v>
      </c>
      <c r="C1584" s="1" t="s">
        <v>206</v>
      </c>
      <c r="D1584" s="1" t="s">
        <v>3735</v>
      </c>
      <c r="E1584" s="1" t="s">
        <v>3739</v>
      </c>
      <c r="F1584" s="1" t="s">
        <v>1192</v>
      </c>
      <c r="G1584" s="1" t="s">
        <v>1193</v>
      </c>
      <c r="H1584" s="1" t="s">
        <v>18</v>
      </c>
    </row>
    <row r="1585" spans="1:8">
      <c r="A1585" s="1">
        <v>1584</v>
      </c>
      <c r="B1585" s="1" t="s">
        <v>3740</v>
      </c>
      <c r="C1585" s="1" t="s">
        <v>392</v>
      </c>
      <c r="D1585" s="1" t="s">
        <v>3741</v>
      </c>
      <c r="E1585" s="1" t="s">
        <v>3742</v>
      </c>
      <c r="F1585" s="1" t="s">
        <v>12</v>
      </c>
      <c r="G1585" s="1" t="s">
        <v>13</v>
      </c>
      <c r="H1585" s="1" t="s">
        <v>18</v>
      </c>
    </row>
    <row r="1586" spans="1:8">
      <c r="A1586" s="1">
        <v>1585</v>
      </c>
      <c r="B1586" s="1" t="s">
        <v>3740</v>
      </c>
      <c r="C1586" s="1" t="s">
        <v>397</v>
      </c>
      <c r="D1586" s="1" t="s">
        <v>3741</v>
      </c>
      <c r="E1586" s="1" t="s">
        <v>3743</v>
      </c>
      <c r="F1586" s="1" t="s">
        <v>16</v>
      </c>
      <c r="G1586" s="1" t="s">
        <v>17</v>
      </c>
      <c r="H1586" s="1" t="s">
        <v>18</v>
      </c>
    </row>
    <row r="1587" spans="1:8">
      <c r="A1587" s="1">
        <v>1586</v>
      </c>
      <c r="B1587" s="1" t="s">
        <v>3740</v>
      </c>
      <c r="C1587" s="1" t="s">
        <v>401</v>
      </c>
      <c r="D1587" s="1" t="s">
        <v>3741</v>
      </c>
      <c r="E1587" s="1" t="s">
        <v>3744</v>
      </c>
      <c r="F1587" s="1" t="s">
        <v>21</v>
      </c>
      <c r="G1587" s="1" t="s">
        <v>22</v>
      </c>
      <c r="H1587" s="1" t="s">
        <v>18</v>
      </c>
    </row>
    <row r="1588" spans="1:8">
      <c r="A1588" s="1">
        <v>1587</v>
      </c>
      <c r="B1588" s="1" t="s">
        <v>3740</v>
      </c>
      <c r="C1588" s="1" t="s">
        <v>405</v>
      </c>
      <c r="D1588" s="1" t="s">
        <v>3741</v>
      </c>
      <c r="E1588" s="1" t="s">
        <v>3745</v>
      </c>
      <c r="F1588" s="1" t="s">
        <v>29</v>
      </c>
      <c r="G1588" s="1" t="s">
        <v>30</v>
      </c>
      <c r="H1588" s="1" t="s">
        <v>18</v>
      </c>
    </row>
    <row r="1589" spans="1:8">
      <c r="A1589" s="1">
        <v>1588</v>
      </c>
      <c r="B1589" s="1" t="s">
        <v>3740</v>
      </c>
      <c r="C1589" s="1" t="s">
        <v>409</v>
      </c>
      <c r="D1589" s="1" t="s">
        <v>3741</v>
      </c>
      <c r="E1589" s="1" t="s">
        <v>3746</v>
      </c>
      <c r="F1589" s="1" t="s">
        <v>37</v>
      </c>
      <c r="G1589" s="1" t="s">
        <v>38</v>
      </c>
      <c r="H1589" s="1" t="s">
        <v>18</v>
      </c>
    </row>
    <row r="1590" spans="1:8">
      <c r="A1590" s="1">
        <v>1589</v>
      </c>
      <c r="B1590" s="1" t="s">
        <v>3740</v>
      </c>
      <c r="C1590" s="1" t="s">
        <v>413</v>
      </c>
      <c r="D1590" s="1" t="s">
        <v>3741</v>
      </c>
      <c r="E1590" s="1" t="s">
        <v>3747</v>
      </c>
      <c r="F1590" s="1" t="s">
        <v>41</v>
      </c>
      <c r="G1590" s="1" t="s">
        <v>42</v>
      </c>
      <c r="H1590" s="1" t="s">
        <v>18</v>
      </c>
    </row>
    <row r="1591" spans="1:8">
      <c r="A1591" s="1">
        <v>1590</v>
      </c>
      <c r="B1591" s="1" t="s">
        <v>3740</v>
      </c>
      <c r="C1591" s="1" t="s">
        <v>417</v>
      </c>
      <c r="D1591" s="1" t="s">
        <v>3741</v>
      </c>
      <c r="E1591" s="1" t="s">
        <v>3748</v>
      </c>
      <c r="F1591" s="1" t="s">
        <v>3749</v>
      </c>
      <c r="G1591" s="1" t="s">
        <v>3750</v>
      </c>
      <c r="H1591" s="1" t="s">
        <v>18</v>
      </c>
    </row>
    <row r="1592" spans="1:8">
      <c r="A1592" s="1">
        <v>1591</v>
      </c>
      <c r="B1592" s="1" t="s">
        <v>3751</v>
      </c>
      <c r="C1592" s="1" t="s">
        <v>285</v>
      </c>
      <c r="D1592" s="1" t="s">
        <v>3752</v>
      </c>
      <c r="E1592" s="1" t="s">
        <v>3753</v>
      </c>
      <c r="F1592" s="1" t="s">
        <v>29</v>
      </c>
      <c r="G1592" s="1" t="s">
        <v>30</v>
      </c>
      <c r="H1592" s="1" t="s">
        <v>18</v>
      </c>
    </row>
    <row r="1593" spans="1:8">
      <c r="A1593" s="1">
        <v>1592</v>
      </c>
      <c r="B1593" s="1" t="s">
        <v>3751</v>
      </c>
      <c r="C1593" s="1" t="s">
        <v>290</v>
      </c>
      <c r="D1593" s="1" t="s">
        <v>3752</v>
      </c>
      <c r="E1593" s="1" t="s">
        <v>3754</v>
      </c>
      <c r="F1593" s="1" t="s">
        <v>37</v>
      </c>
      <c r="G1593" s="1" t="s">
        <v>38</v>
      </c>
      <c r="H1593" s="1" t="s">
        <v>18</v>
      </c>
    </row>
    <row r="1594" spans="1:8">
      <c r="A1594" s="1">
        <v>1593</v>
      </c>
      <c r="B1594" s="1" t="s">
        <v>3751</v>
      </c>
      <c r="C1594" s="1" t="s">
        <v>294</v>
      </c>
      <c r="D1594" s="1" t="s">
        <v>3752</v>
      </c>
      <c r="E1594" s="1" t="s">
        <v>3755</v>
      </c>
      <c r="F1594" s="1" t="s">
        <v>41</v>
      </c>
      <c r="G1594" s="1" t="s">
        <v>42</v>
      </c>
      <c r="H1594" s="1" t="s">
        <v>18</v>
      </c>
    </row>
    <row r="1595" spans="1:8">
      <c r="A1595" s="1">
        <v>1594</v>
      </c>
      <c r="B1595" s="1" t="s">
        <v>3756</v>
      </c>
      <c r="C1595" s="1" t="s">
        <v>251</v>
      </c>
      <c r="D1595" s="1" t="s">
        <v>3757</v>
      </c>
      <c r="E1595" s="1" t="s">
        <v>3758</v>
      </c>
      <c r="F1595" s="1" t="s">
        <v>12</v>
      </c>
      <c r="G1595" s="1" t="s">
        <v>13</v>
      </c>
      <c r="H1595" s="1" t="s">
        <v>18</v>
      </c>
    </row>
    <row r="1596" spans="1:8">
      <c r="A1596" s="1">
        <v>1595</v>
      </c>
      <c r="B1596" s="1" t="s">
        <v>3756</v>
      </c>
      <c r="C1596" s="1" t="s">
        <v>254</v>
      </c>
      <c r="D1596" s="1" t="s">
        <v>3757</v>
      </c>
      <c r="E1596" s="1" t="s">
        <v>3759</v>
      </c>
      <c r="F1596" s="1" t="s">
        <v>16</v>
      </c>
      <c r="G1596" s="1" t="s">
        <v>17</v>
      </c>
      <c r="H1596" s="1" t="s">
        <v>18</v>
      </c>
    </row>
    <row r="1597" spans="1:8">
      <c r="A1597" s="1">
        <v>1596</v>
      </c>
      <c r="B1597" s="1" t="s">
        <v>3756</v>
      </c>
      <c r="C1597" s="1" t="s">
        <v>256</v>
      </c>
      <c r="D1597" s="1" t="s">
        <v>3757</v>
      </c>
      <c r="E1597" s="1" t="s">
        <v>3760</v>
      </c>
      <c r="F1597" s="1" t="s">
        <v>21</v>
      </c>
      <c r="G1597" s="1" t="s">
        <v>22</v>
      </c>
      <c r="H1597" s="1" t="s">
        <v>18</v>
      </c>
    </row>
    <row r="1598" spans="1:8">
      <c r="A1598" s="1">
        <v>1597</v>
      </c>
      <c r="B1598" s="1" t="s">
        <v>3756</v>
      </c>
      <c r="C1598" s="1" t="s">
        <v>260</v>
      </c>
      <c r="D1598" s="1" t="s">
        <v>3757</v>
      </c>
      <c r="E1598" s="1" t="s">
        <v>3761</v>
      </c>
      <c r="F1598" s="1" t="s">
        <v>37</v>
      </c>
      <c r="G1598" s="1" t="s">
        <v>38</v>
      </c>
      <c r="H1598" s="1" t="s">
        <v>18</v>
      </c>
    </row>
    <row r="1599" spans="1:8">
      <c r="A1599" s="1">
        <v>1598</v>
      </c>
      <c r="B1599" s="1" t="s">
        <v>3756</v>
      </c>
      <c r="C1599" s="1" t="s">
        <v>262</v>
      </c>
      <c r="D1599" s="1" t="s">
        <v>3757</v>
      </c>
      <c r="E1599" s="1" t="s">
        <v>3762</v>
      </c>
      <c r="F1599" s="1" t="s">
        <v>41</v>
      </c>
      <c r="G1599" s="1" t="s">
        <v>42</v>
      </c>
      <c r="H1599" s="1" t="s">
        <v>18</v>
      </c>
    </row>
    <row r="1600" spans="1:8">
      <c r="A1600" s="1">
        <v>1599</v>
      </c>
      <c r="B1600" s="1" t="s">
        <v>3756</v>
      </c>
      <c r="C1600" s="1" t="s">
        <v>264</v>
      </c>
      <c r="D1600" s="1" t="s">
        <v>3757</v>
      </c>
      <c r="E1600" s="1" t="s">
        <v>3763</v>
      </c>
      <c r="F1600" s="1" t="s">
        <v>29</v>
      </c>
      <c r="G1600" s="1" t="s">
        <v>30</v>
      </c>
      <c r="H1600" s="1" t="s">
        <v>18</v>
      </c>
    </row>
    <row r="1601" spans="1:8">
      <c r="A1601" s="1">
        <v>1600</v>
      </c>
      <c r="B1601" s="1" t="s">
        <v>3764</v>
      </c>
      <c r="C1601" s="1" t="s">
        <v>93</v>
      </c>
      <c r="D1601" s="1" t="s">
        <v>3765</v>
      </c>
      <c r="E1601" s="1" t="s">
        <v>3766</v>
      </c>
      <c r="F1601" s="1" t="s">
        <v>3767</v>
      </c>
      <c r="G1601" s="1" t="s">
        <v>3768</v>
      </c>
      <c r="H1601" s="1" t="s">
        <v>18</v>
      </c>
    </row>
    <row r="1602" spans="1:8">
      <c r="A1602" s="1">
        <v>1601</v>
      </c>
      <c r="B1602" s="1" t="s">
        <v>3764</v>
      </c>
      <c r="C1602" s="1" t="s">
        <v>98</v>
      </c>
      <c r="D1602" s="1" t="s">
        <v>3765</v>
      </c>
      <c r="E1602" s="1" t="s">
        <v>3769</v>
      </c>
      <c r="F1602" s="1" t="s">
        <v>3770</v>
      </c>
      <c r="G1602" s="1" t="s">
        <v>3771</v>
      </c>
      <c r="H1602" s="1" t="s">
        <v>18</v>
      </c>
    </row>
    <row r="1603" spans="1:8">
      <c r="A1603" s="1">
        <v>1602</v>
      </c>
      <c r="B1603" s="1" t="s">
        <v>3764</v>
      </c>
      <c r="C1603" s="1" t="s">
        <v>102</v>
      </c>
      <c r="D1603" s="1" t="s">
        <v>3765</v>
      </c>
      <c r="E1603" s="1" t="s">
        <v>3772</v>
      </c>
      <c r="F1603" s="1" t="s">
        <v>3773</v>
      </c>
      <c r="G1603" s="1" t="s">
        <v>3774</v>
      </c>
      <c r="H1603" s="1" t="s">
        <v>18</v>
      </c>
    </row>
    <row r="1604" spans="1:8">
      <c r="A1604" s="1">
        <v>1603</v>
      </c>
      <c r="B1604" s="1" t="s">
        <v>3764</v>
      </c>
      <c r="C1604" s="1" t="s">
        <v>106</v>
      </c>
      <c r="D1604" s="1" t="s">
        <v>3765</v>
      </c>
      <c r="E1604" s="1" t="s">
        <v>3775</v>
      </c>
      <c r="F1604" s="1" t="s">
        <v>3776</v>
      </c>
      <c r="G1604" s="1" t="s">
        <v>3777</v>
      </c>
      <c r="H1604" s="1" t="s">
        <v>18</v>
      </c>
    </row>
    <row r="1605" spans="1:8">
      <c r="A1605" s="1">
        <v>1604</v>
      </c>
      <c r="B1605" s="1" t="s">
        <v>3764</v>
      </c>
      <c r="C1605" s="1" t="s">
        <v>110</v>
      </c>
      <c r="D1605" s="1" t="s">
        <v>3765</v>
      </c>
      <c r="E1605" s="1" t="s">
        <v>3778</v>
      </c>
      <c r="F1605" s="1" t="s">
        <v>3779</v>
      </c>
      <c r="G1605" s="1" t="s">
        <v>3780</v>
      </c>
      <c r="H1605" s="1" t="s">
        <v>18</v>
      </c>
    </row>
    <row r="1606" spans="1:8">
      <c r="A1606" s="1">
        <v>1605</v>
      </c>
      <c r="B1606" s="1" t="s">
        <v>3764</v>
      </c>
      <c r="C1606" s="1" t="s">
        <v>114</v>
      </c>
      <c r="D1606" s="1" t="s">
        <v>3765</v>
      </c>
      <c r="E1606" s="1" t="s">
        <v>3781</v>
      </c>
      <c r="F1606" s="1" t="s">
        <v>3782</v>
      </c>
      <c r="G1606" s="1" t="s">
        <v>3783</v>
      </c>
      <c r="H1606" s="1" t="s">
        <v>18</v>
      </c>
    </row>
    <row r="1607" spans="1:8">
      <c r="A1607" s="1">
        <v>1606</v>
      </c>
      <c r="B1607" s="1" t="s">
        <v>3764</v>
      </c>
      <c r="C1607" s="1" t="s">
        <v>118</v>
      </c>
      <c r="D1607" s="1" t="s">
        <v>3765</v>
      </c>
      <c r="E1607" s="1" t="s">
        <v>3784</v>
      </c>
      <c r="F1607" s="1" t="s">
        <v>3785</v>
      </c>
      <c r="G1607" s="1" t="s">
        <v>3786</v>
      </c>
      <c r="H1607" s="1" t="s">
        <v>18</v>
      </c>
    </row>
    <row r="1608" spans="1:8">
      <c r="A1608" s="1">
        <v>1607</v>
      </c>
      <c r="B1608" s="1" t="s">
        <v>3764</v>
      </c>
      <c r="C1608" s="1" t="s">
        <v>122</v>
      </c>
      <c r="D1608" s="1" t="s">
        <v>3765</v>
      </c>
      <c r="E1608" s="1" t="s">
        <v>3787</v>
      </c>
      <c r="F1608" s="1" t="s">
        <v>3788</v>
      </c>
      <c r="G1608" s="1" t="s">
        <v>3789</v>
      </c>
      <c r="H1608" s="1" t="s">
        <v>18</v>
      </c>
    </row>
    <row r="1609" spans="1:8">
      <c r="A1609" s="1">
        <v>1608</v>
      </c>
      <c r="B1609" s="1" t="s">
        <v>3764</v>
      </c>
      <c r="C1609" s="1" t="s">
        <v>126</v>
      </c>
      <c r="D1609" s="1" t="s">
        <v>3765</v>
      </c>
      <c r="E1609" s="1" t="s">
        <v>3790</v>
      </c>
      <c r="F1609" s="1" t="s">
        <v>3791</v>
      </c>
      <c r="G1609" s="1" t="s">
        <v>3792</v>
      </c>
      <c r="H1609" s="1" t="s">
        <v>18</v>
      </c>
    </row>
    <row r="1610" spans="1:8">
      <c r="A1610" s="1">
        <v>1609</v>
      </c>
      <c r="B1610" s="1" t="s">
        <v>3793</v>
      </c>
      <c r="C1610" s="1" t="s">
        <v>93</v>
      </c>
      <c r="D1610" s="1" t="s">
        <v>3794</v>
      </c>
      <c r="E1610" s="1" t="s">
        <v>3795</v>
      </c>
      <c r="F1610" s="1" t="s">
        <v>3796</v>
      </c>
      <c r="G1610" s="1" t="s">
        <v>3797</v>
      </c>
      <c r="H1610" s="1" t="s">
        <v>18</v>
      </c>
    </row>
    <row r="1611" spans="1:8">
      <c r="A1611" s="1">
        <v>1610</v>
      </c>
      <c r="B1611" s="1" t="s">
        <v>3793</v>
      </c>
      <c r="C1611" s="1" t="s">
        <v>98</v>
      </c>
      <c r="D1611" s="1" t="s">
        <v>3794</v>
      </c>
      <c r="E1611" s="1" t="s">
        <v>3798</v>
      </c>
      <c r="F1611" s="1" t="s">
        <v>3799</v>
      </c>
      <c r="G1611" s="1" t="s">
        <v>3800</v>
      </c>
      <c r="H1611" s="1" t="s">
        <v>18</v>
      </c>
    </row>
    <row r="1612" spans="1:8">
      <c r="A1612" s="1">
        <v>1611</v>
      </c>
      <c r="B1612" s="1" t="s">
        <v>3793</v>
      </c>
      <c r="C1612" s="1" t="s">
        <v>102</v>
      </c>
      <c r="D1612" s="1" t="s">
        <v>3794</v>
      </c>
      <c r="E1612" s="1" t="s">
        <v>3801</v>
      </c>
      <c r="F1612" s="1" t="s">
        <v>3802</v>
      </c>
      <c r="G1612" s="1" t="s">
        <v>3803</v>
      </c>
      <c r="H1612" s="1" t="s">
        <v>18</v>
      </c>
    </row>
    <row r="1613" spans="1:8">
      <c r="A1613" s="1">
        <v>1612</v>
      </c>
      <c r="B1613" s="1" t="s">
        <v>3793</v>
      </c>
      <c r="C1613" s="1" t="s">
        <v>106</v>
      </c>
      <c r="D1613" s="1" t="s">
        <v>3794</v>
      </c>
      <c r="E1613" s="1" t="s">
        <v>3804</v>
      </c>
      <c r="F1613" s="1" t="s">
        <v>3805</v>
      </c>
      <c r="G1613" s="1" t="s">
        <v>3806</v>
      </c>
      <c r="H1613" s="1" t="s">
        <v>18</v>
      </c>
    </row>
    <row r="1614" spans="1:8">
      <c r="A1614" s="1">
        <v>1613</v>
      </c>
      <c r="B1614" s="1" t="s">
        <v>3793</v>
      </c>
      <c r="C1614" s="1" t="s">
        <v>110</v>
      </c>
      <c r="D1614" s="1" t="s">
        <v>3794</v>
      </c>
      <c r="E1614" s="1" t="s">
        <v>3807</v>
      </c>
      <c r="F1614" s="1" t="s">
        <v>3808</v>
      </c>
      <c r="G1614" s="1" t="s">
        <v>3809</v>
      </c>
      <c r="H1614" s="1" t="s">
        <v>18</v>
      </c>
    </row>
    <row r="1615" spans="1:8">
      <c r="A1615" s="1">
        <v>1614</v>
      </c>
      <c r="B1615" s="1" t="s">
        <v>3793</v>
      </c>
      <c r="C1615" s="1" t="s">
        <v>114</v>
      </c>
      <c r="D1615" s="1" t="s">
        <v>3794</v>
      </c>
      <c r="E1615" s="1" t="s">
        <v>3810</v>
      </c>
      <c r="F1615" s="1" t="s">
        <v>3811</v>
      </c>
      <c r="G1615" s="1" t="s">
        <v>3812</v>
      </c>
      <c r="H1615" s="1" t="s">
        <v>18</v>
      </c>
    </row>
    <row r="1616" spans="1:8">
      <c r="A1616" s="1">
        <v>1615</v>
      </c>
      <c r="B1616" s="1" t="s">
        <v>3793</v>
      </c>
      <c r="C1616" s="1" t="s">
        <v>118</v>
      </c>
      <c r="D1616" s="1" t="s">
        <v>3794</v>
      </c>
      <c r="E1616" s="1" t="s">
        <v>3813</v>
      </c>
      <c r="F1616" s="1" t="s">
        <v>3814</v>
      </c>
      <c r="G1616" s="1" t="s">
        <v>3815</v>
      </c>
      <c r="H1616" s="1" t="s">
        <v>18</v>
      </c>
    </row>
    <row r="1617" spans="1:8">
      <c r="A1617" s="1">
        <v>1616</v>
      </c>
      <c r="B1617" s="1" t="s">
        <v>3793</v>
      </c>
      <c r="C1617" s="1" t="s">
        <v>122</v>
      </c>
      <c r="D1617" s="1" t="s">
        <v>3794</v>
      </c>
      <c r="E1617" s="1" t="s">
        <v>3816</v>
      </c>
      <c r="F1617" s="1" t="s">
        <v>3817</v>
      </c>
      <c r="G1617" s="1" t="s">
        <v>3818</v>
      </c>
      <c r="H1617" s="1" t="s">
        <v>18</v>
      </c>
    </row>
    <row r="1618" spans="1:8">
      <c r="A1618" s="1">
        <v>1617</v>
      </c>
      <c r="B1618" s="1" t="s">
        <v>3793</v>
      </c>
      <c r="C1618" s="1" t="s">
        <v>126</v>
      </c>
      <c r="D1618" s="1" t="s">
        <v>3794</v>
      </c>
      <c r="E1618" s="1" t="s">
        <v>3819</v>
      </c>
      <c r="F1618" s="1" t="s">
        <v>3820</v>
      </c>
      <c r="G1618" s="1" t="s">
        <v>3821</v>
      </c>
      <c r="H1618" s="1" t="s">
        <v>18</v>
      </c>
    </row>
    <row r="1619" spans="1:8">
      <c r="A1619" s="1">
        <v>1618</v>
      </c>
      <c r="B1619" s="1" t="s">
        <v>3822</v>
      </c>
      <c r="C1619" s="1" t="s">
        <v>93</v>
      </c>
      <c r="D1619" s="1" t="s">
        <v>3823</v>
      </c>
      <c r="E1619" s="1" t="s">
        <v>3824</v>
      </c>
      <c r="F1619" s="1" t="s">
        <v>3825</v>
      </c>
      <c r="G1619" s="1" t="s">
        <v>3826</v>
      </c>
      <c r="H1619" s="1" t="s">
        <v>18</v>
      </c>
    </row>
    <row r="1620" spans="1:8">
      <c r="A1620" s="1">
        <v>1619</v>
      </c>
      <c r="B1620" s="1" t="s">
        <v>3822</v>
      </c>
      <c r="C1620" s="1" t="s">
        <v>98</v>
      </c>
      <c r="D1620" s="1" t="s">
        <v>3823</v>
      </c>
      <c r="E1620" s="1" t="s">
        <v>3827</v>
      </c>
      <c r="F1620" s="1" t="s">
        <v>3828</v>
      </c>
      <c r="G1620" s="1" t="s">
        <v>3829</v>
      </c>
      <c r="H1620" s="1" t="s">
        <v>18</v>
      </c>
    </row>
    <row r="1621" spans="1:8">
      <c r="A1621" s="1">
        <v>1620</v>
      </c>
      <c r="B1621" s="1" t="s">
        <v>3822</v>
      </c>
      <c r="C1621" s="1" t="s">
        <v>102</v>
      </c>
      <c r="D1621" s="1" t="s">
        <v>3823</v>
      </c>
      <c r="E1621" s="1" t="s">
        <v>3830</v>
      </c>
      <c r="F1621" s="1" t="s">
        <v>3831</v>
      </c>
      <c r="G1621" s="1" t="s">
        <v>3832</v>
      </c>
      <c r="H1621" s="1" t="s">
        <v>18</v>
      </c>
    </row>
    <row r="1622" spans="1:8">
      <c r="A1622" s="1">
        <v>1621</v>
      </c>
      <c r="B1622" s="1" t="s">
        <v>3822</v>
      </c>
      <c r="C1622" s="1" t="s">
        <v>106</v>
      </c>
      <c r="D1622" s="1" t="s">
        <v>3823</v>
      </c>
      <c r="E1622" s="1" t="s">
        <v>3833</v>
      </c>
      <c r="F1622" s="1" t="s">
        <v>3834</v>
      </c>
      <c r="G1622" s="1" t="s">
        <v>3835</v>
      </c>
      <c r="H1622" s="1" t="s">
        <v>18</v>
      </c>
    </row>
    <row r="1623" spans="1:8">
      <c r="A1623" s="1">
        <v>1622</v>
      </c>
      <c r="B1623" s="1" t="s">
        <v>3822</v>
      </c>
      <c r="C1623" s="1" t="s">
        <v>110</v>
      </c>
      <c r="D1623" s="1" t="s">
        <v>3823</v>
      </c>
      <c r="E1623" s="1" t="s">
        <v>3836</v>
      </c>
      <c r="F1623" s="1" t="s">
        <v>3837</v>
      </c>
      <c r="G1623" s="1" t="s">
        <v>3838</v>
      </c>
      <c r="H1623" s="1" t="s">
        <v>18</v>
      </c>
    </row>
    <row r="1624" spans="1:8">
      <c r="A1624" s="1">
        <v>1623</v>
      </c>
      <c r="B1624" s="1" t="s">
        <v>3822</v>
      </c>
      <c r="C1624" s="1" t="s">
        <v>114</v>
      </c>
      <c r="D1624" s="1" t="s">
        <v>3823</v>
      </c>
      <c r="E1624" s="1" t="s">
        <v>3839</v>
      </c>
      <c r="F1624" s="1" t="s">
        <v>3840</v>
      </c>
      <c r="G1624" s="1" t="s">
        <v>3841</v>
      </c>
      <c r="H1624" s="1" t="s">
        <v>18</v>
      </c>
    </row>
    <row r="1625" spans="1:8">
      <c r="A1625" s="1">
        <v>1624</v>
      </c>
      <c r="B1625" s="1" t="s">
        <v>3822</v>
      </c>
      <c r="C1625" s="1" t="s">
        <v>118</v>
      </c>
      <c r="D1625" s="1" t="s">
        <v>3823</v>
      </c>
      <c r="E1625" s="1" t="s">
        <v>3842</v>
      </c>
      <c r="F1625" s="1" t="s">
        <v>3843</v>
      </c>
      <c r="G1625" s="1" t="s">
        <v>3844</v>
      </c>
      <c r="H1625" s="1" t="s">
        <v>18</v>
      </c>
    </row>
    <row r="1626" spans="1:8">
      <c r="A1626" s="1">
        <v>1625</v>
      </c>
      <c r="B1626" s="1" t="s">
        <v>3822</v>
      </c>
      <c r="C1626" s="1" t="s">
        <v>122</v>
      </c>
      <c r="D1626" s="1" t="s">
        <v>3823</v>
      </c>
      <c r="E1626" s="1" t="s">
        <v>3845</v>
      </c>
      <c r="F1626" s="1" t="s">
        <v>3846</v>
      </c>
      <c r="G1626" s="1" t="s">
        <v>3847</v>
      </c>
      <c r="H1626" s="1" t="s">
        <v>18</v>
      </c>
    </row>
    <row r="1627" spans="1:8">
      <c r="A1627" s="1">
        <v>1626</v>
      </c>
      <c r="B1627" s="1" t="s">
        <v>3822</v>
      </c>
      <c r="C1627" s="1" t="s">
        <v>126</v>
      </c>
      <c r="D1627" s="1" t="s">
        <v>3823</v>
      </c>
      <c r="E1627" s="1" t="s">
        <v>3848</v>
      </c>
      <c r="F1627" s="1" t="s">
        <v>3849</v>
      </c>
      <c r="G1627" s="1" t="s">
        <v>3850</v>
      </c>
      <c r="H1627" s="1" t="s">
        <v>18</v>
      </c>
    </row>
    <row r="1628" spans="1:8">
      <c r="A1628" s="1">
        <v>1627</v>
      </c>
      <c r="B1628" s="1" t="s">
        <v>3851</v>
      </c>
      <c r="C1628" s="1" t="s">
        <v>93</v>
      </c>
      <c r="D1628" s="1" t="s">
        <v>3852</v>
      </c>
      <c r="E1628" s="1" t="s">
        <v>3853</v>
      </c>
      <c r="F1628" s="1" t="s">
        <v>3854</v>
      </c>
      <c r="G1628" s="1" t="s">
        <v>3855</v>
      </c>
      <c r="H1628" s="1" t="s">
        <v>18</v>
      </c>
    </row>
    <row r="1629" spans="1:8">
      <c r="A1629" s="1">
        <v>1628</v>
      </c>
      <c r="B1629" s="1" t="s">
        <v>3851</v>
      </c>
      <c r="C1629" s="1" t="s">
        <v>98</v>
      </c>
      <c r="D1629" s="1" t="s">
        <v>3852</v>
      </c>
      <c r="E1629" s="1" t="s">
        <v>3856</v>
      </c>
      <c r="F1629" s="1" t="s">
        <v>3857</v>
      </c>
      <c r="G1629" s="1" t="s">
        <v>3858</v>
      </c>
      <c r="H1629" s="1" t="s">
        <v>18</v>
      </c>
    </row>
    <row r="1630" spans="1:8">
      <c r="A1630" s="1">
        <v>1629</v>
      </c>
      <c r="B1630" s="1" t="s">
        <v>3851</v>
      </c>
      <c r="C1630" s="1" t="s">
        <v>102</v>
      </c>
      <c r="D1630" s="1" t="s">
        <v>3852</v>
      </c>
      <c r="E1630" s="1" t="s">
        <v>3859</v>
      </c>
      <c r="F1630" s="1" t="s">
        <v>3860</v>
      </c>
      <c r="G1630" s="1" t="s">
        <v>3861</v>
      </c>
      <c r="H1630" s="1" t="s">
        <v>18</v>
      </c>
    </row>
    <row r="1631" spans="1:8">
      <c r="A1631" s="1">
        <v>1630</v>
      </c>
      <c r="B1631" s="1" t="s">
        <v>3851</v>
      </c>
      <c r="C1631" s="1" t="s">
        <v>106</v>
      </c>
      <c r="D1631" s="1" t="s">
        <v>3852</v>
      </c>
      <c r="E1631" s="1" t="s">
        <v>3862</v>
      </c>
      <c r="F1631" s="1" t="s">
        <v>3863</v>
      </c>
      <c r="G1631" s="1" t="s">
        <v>3864</v>
      </c>
      <c r="H1631" s="1" t="s">
        <v>18</v>
      </c>
    </row>
    <row r="1632" spans="1:8">
      <c r="A1632" s="1">
        <v>1631</v>
      </c>
      <c r="B1632" s="1" t="s">
        <v>3851</v>
      </c>
      <c r="C1632" s="1" t="s">
        <v>110</v>
      </c>
      <c r="D1632" s="1" t="s">
        <v>3852</v>
      </c>
      <c r="E1632" s="1" t="s">
        <v>3865</v>
      </c>
      <c r="F1632" s="1" t="s">
        <v>3866</v>
      </c>
      <c r="G1632" s="1" t="s">
        <v>3867</v>
      </c>
      <c r="H1632" s="1" t="s">
        <v>18</v>
      </c>
    </row>
    <row r="1633" spans="1:8">
      <c r="A1633" s="1">
        <v>1632</v>
      </c>
      <c r="B1633" s="1" t="s">
        <v>3851</v>
      </c>
      <c r="C1633" s="1" t="s">
        <v>114</v>
      </c>
      <c r="D1633" s="1" t="s">
        <v>3852</v>
      </c>
      <c r="E1633" s="1" t="s">
        <v>3868</v>
      </c>
      <c r="F1633" s="1" t="s">
        <v>3869</v>
      </c>
      <c r="G1633" s="1" t="s">
        <v>3870</v>
      </c>
      <c r="H1633" s="1" t="s">
        <v>18</v>
      </c>
    </row>
    <row r="1634" spans="1:8">
      <c r="A1634" s="1">
        <v>1633</v>
      </c>
      <c r="B1634" s="1" t="s">
        <v>3851</v>
      </c>
      <c r="C1634" s="1" t="s">
        <v>118</v>
      </c>
      <c r="D1634" s="1" t="s">
        <v>3852</v>
      </c>
      <c r="E1634" s="1" t="s">
        <v>3871</v>
      </c>
      <c r="F1634" s="1" t="s">
        <v>3872</v>
      </c>
      <c r="G1634" s="1" t="s">
        <v>3873</v>
      </c>
      <c r="H1634" s="1" t="s">
        <v>18</v>
      </c>
    </row>
    <row r="1635" spans="1:8">
      <c r="A1635" s="1">
        <v>1634</v>
      </c>
      <c r="B1635" s="1" t="s">
        <v>3851</v>
      </c>
      <c r="C1635" s="1" t="s">
        <v>122</v>
      </c>
      <c r="D1635" s="1" t="s">
        <v>3852</v>
      </c>
      <c r="E1635" s="1" t="s">
        <v>3874</v>
      </c>
      <c r="F1635" s="1" t="s">
        <v>3875</v>
      </c>
      <c r="G1635" s="1" t="s">
        <v>3876</v>
      </c>
      <c r="H1635" s="1" t="s">
        <v>18</v>
      </c>
    </row>
    <row r="1636" spans="1:8">
      <c r="A1636" s="1">
        <v>1635</v>
      </c>
      <c r="B1636" s="1" t="s">
        <v>3851</v>
      </c>
      <c r="C1636" s="1" t="s">
        <v>126</v>
      </c>
      <c r="D1636" s="1" t="s">
        <v>3852</v>
      </c>
      <c r="E1636" s="1" t="s">
        <v>3877</v>
      </c>
      <c r="F1636" s="1" t="s">
        <v>3878</v>
      </c>
      <c r="G1636" s="1" t="s">
        <v>3879</v>
      </c>
      <c r="H1636" s="1" t="s">
        <v>18</v>
      </c>
    </row>
    <row r="1637" spans="1:8">
      <c r="A1637" s="1">
        <v>1636</v>
      </c>
      <c r="B1637" s="1" t="s">
        <v>3880</v>
      </c>
      <c r="C1637" s="1" t="s">
        <v>299</v>
      </c>
      <c r="D1637" s="1" t="s">
        <v>3881</v>
      </c>
      <c r="E1637" s="1" t="s">
        <v>3882</v>
      </c>
      <c r="F1637" s="1" t="s">
        <v>12</v>
      </c>
      <c r="G1637" s="1" t="s">
        <v>13</v>
      </c>
      <c r="H1637" s="1" t="s">
        <v>18</v>
      </c>
    </row>
    <row r="1638" spans="1:8">
      <c r="A1638" s="1">
        <v>1637</v>
      </c>
      <c r="B1638" s="1" t="s">
        <v>3880</v>
      </c>
      <c r="C1638" s="1" t="s">
        <v>304</v>
      </c>
      <c r="D1638" s="1" t="s">
        <v>3881</v>
      </c>
      <c r="E1638" s="1" t="s">
        <v>3883</v>
      </c>
      <c r="F1638" s="1" t="s">
        <v>16</v>
      </c>
      <c r="G1638" s="1" t="s">
        <v>17</v>
      </c>
      <c r="H1638" s="1" t="s">
        <v>18</v>
      </c>
    </row>
    <row r="1639" spans="1:8">
      <c r="A1639" s="1">
        <v>1638</v>
      </c>
      <c r="B1639" s="1" t="s">
        <v>3880</v>
      </c>
      <c r="C1639" s="1" t="s">
        <v>308</v>
      </c>
      <c r="D1639" s="1" t="s">
        <v>3881</v>
      </c>
      <c r="E1639" s="1" t="s">
        <v>3884</v>
      </c>
      <c r="F1639" s="1" t="s">
        <v>21</v>
      </c>
      <c r="G1639" s="1" t="s">
        <v>22</v>
      </c>
      <c r="H1639" s="1" t="s">
        <v>18</v>
      </c>
    </row>
    <row r="1640" spans="1:8">
      <c r="A1640" s="1">
        <v>1639</v>
      </c>
      <c r="B1640" s="1" t="s">
        <v>3880</v>
      </c>
      <c r="C1640" s="1" t="s">
        <v>312</v>
      </c>
      <c r="D1640" s="1" t="s">
        <v>3881</v>
      </c>
      <c r="E1640" s="1" t="s">
        <v>3885</v>
      </c>
      <c r="F1640" s="1" t="s">
        <v>3886</v>
      </c>
      <c r="G1640" s="1" t="s">
        <v>3887</v>
      </c>
      <c r="H1640" s="1" t="s">
        <v>18</v>
      </c>
    </row>
    <row r="1641" spans="1:8">
      <c r="A1641" s="1">
        <v>1640</v>
      </c>
      <c r="B1641" s="1" t="s">
        <v>3880</v>
      </c>
      <c r="C1641" s="1" t="s">
        <v>316</v>
      </c>
      <c r="D1641" s="1" t="s">
        <v>3881</v>
      </c>
      <c r="E1641" s="1" t="s">
        <v>3888</v>
      </c>
      <c r="F1641" s="1" t="s">
        <v>1856</v>
      </c>
      <c r="G1641" s="1" t="s">
        <v>1857</v>
      </c>
      <c r="H1641" s="1" t="s">
        <v>18</v>
      </c>
    </row>
    <row r="1642" spans="1:8">
      <c r="A1642" s="1">
        <v>1641</v>
      </c>
      <c r="B1642" s="1" t="s">
        <v>3880</v>
      </c>
      <c r="C1642" s="1" t="s">
        <v>320</v>
      </c>
      <c r="D1642" s="1" t="s">
        <v>3881</v>
      </c>
      <c r="E1642" s="1" t="s">
        <v>3889</v>
      </c>
      <c r="F1642" s="1" t="s">
        <v>1859</v>
      </c>
      <c r="G1642" s="1" t="s">
        <v>1860</v>
      </c>
      <c r="H1642" s="1" t="s">
        <v>18</v>
      </c>
    </row>
    <row r="1643" spans="1:8">
      <c r="A1643" s="1">
        <v>1642</v>
      </c>
      <c r="B1643" s="1" t="s">
        <v>3880</v>
      </c>
      <c r="C1643" s="1" t="s">
        <v>324</v>
      </c>
      <c r="D1643" s="1" t="s">
        <v>3881</v>
      </c>
      <c r="E1643" s="1" t="s">
        <v>3890</v>
      </c>
      <c r="F1643" s="1" t="s">
        <v>25</v>
      </c>
      <c r="G1643" s="1" t="s">
        <v>26</v>
      </c>
      <c r="H1643" s="1" t="s">
        <v>18</v>
      </c>
    </row>
    <row r="1644" spans="1:8">
      <c r="A1644" s="1">
        <v>1643</v>
      </c>
      <c r="B1644" s="1" t="s">
        <v>3880</v>
      </c>
      <c r="C1644" s="1" t="s">
        <v>328</v>
      </c>
      <c r="D1644" s="1" t="s">
        <v>3881</v>
      </c>
      <c r="E1644" s="1" t="s">
        <v>3891</v>
      </c>
      <c r="F1644" s="1" t="s">
        <v>1853</v>
      </c>
      <c r="G1644" s="1" t="s">
        <v>1854</v>
      </c>
      <c r="H1644" s="1" t="s">
        <v>18</v>
      </c>
    </row>
    <row r="1645" spans="1:8">
      <c r="A1645" s="1">
        <v>1644</v>
      </c>
      <c r="B1645" s="1" t="s">
        <v>3880</v>
      </c>
      <c r="C1645" s="1" t="s">
        <v>332</v>
      </c>
      <c r="D1645" s="1" t="s">
        <v>3881</v>
      </c>
      <c r="E1645" s="1" t="s">
        <v>3892</v>
      </c>
      <c r="F1645" s="1" t="s">
        <v>37</v>
      </c>
      <c r="G1645" s="1" t="s">
        <v>38</v>
      </c>
      <c r="H1645" s="1" t="s">
        <v>18</v>
      </c>
    </row>
    <row r="1646" spans="1:8">
      <c r="A1646" s="1">
        <v>1645</v>
      </c>
      <c r="B1646" s="1" t="s">
        <v>3880</v>
      </c>
      <c r="C1646" s="1" t="s">
        <v>336</v>
      </c>
      <c r="D1646" s="1" t="s">
        <v>3881</v>
      </c>
      <c r="E1646" s="1" t="s">
        <v>3893</v>
      </c>
      <c r="F1646" s="1" t="s">
        <v>41</v>
      </c>
      <c r="G1646" s="1" t="s">
        <v>42</v>
      </c>
      <c r="H1646" s="1" t="s">
        <v>18</v>
      </c>
    </row>
    <row r="1647" spans="1:8">
      <c r="A1647" s="1">
        <v>1646</v>
      </c>
      <c r="B1647" s="1" t="s">
        <v>3880</v>
      </c>
      <c r="C1647" s="1" t="s">
        <v>340</v>
      </c>
      <c r="D1647" s="1" t="s">
        <v>3881</v>
      </c>
      <c r="E1647" s="1" t="s">
        <v>3894</v>
      </c>
      <c r="F1647" s="1" t="s">
        <v>33</v>
      </c>
      <c r="G1647" s="1" t="s">
        <v>34</v>
      </c>
      <c r="H1647" s="1" t="s">
        <v>18</v>
      </c>
    </row>
    <row r="1648" spans="1:8">
      <c r="A1648" s="1">
        <v>1647</v>
      </c>
      <c r="B1648" s="1" t="s">
        <v>3880</v>
      </c>
      <c r="C1648" s="1" t="s">
        <v>344</v>
      </c>
      <c r="D1648" s="1" t="s">
        <v>3881</v>
      </c>
      <c r="E1648" s="1" t="s">
        <v>3895</v>
      </c>
      <c r="F1648" s="1" t="s">
        <v>29</v>
      </c>
      <c r="G1648" s="1" t="s">
        <v>30</v>
      </c>
      <c r="H1648" s="1" t="s">
        <v>18</v>
      </c>
    </row>
    <row r="1649" spans="1:8">
      <c r="A1649" s="1">
        <v>1648</v>
      </c>
      <c r="B1649" s="1" t="s">
        <v>3896</v>
      </c>
      <c r="C1649" s="1" t="s">
        <v>93</v>
      </c>
      <c r="D1649" s="1" t="s">
        <v>3897</v>
      </c>
      <c r="E1649" s="1" t="s">
        <v>3898</v>
      </c>
      <c r="F1649" s="1" t="s">
        <v>12</v>
      </c>
      <c r="G1649" s="1" t="s">
        <v>13</v>
      </c>
      <c r="H1649" s="1" t="s">
        <v>18</v>
      </c>
    </row>
    <row r="1650" spans="1:8">
      <c r="A1650" s="1">
        <v>1649</v>
      </c>
      <c r="B1650" s="1" t="s">
        <v>3896</v>
      </c>
      <c r="C1650" s="1" t="s">
        <v>98</v>
      </c>
      <c r="D1650" s="1" t="s">
        <v>3897</v>
      </c>
      <c r="E1650" s="1" t="s">
        <v>3899</v>
      </c>
      <c r="F1650" s="1" t="s">
        <v>16</v>
      </c>
      <c r="G1650" s="1" t="s">
        <v>17</v>
      </c>
      <c r="H1650" s="1" t="s">
        <v>18</v>
      </c>
    </row>
    <row r="1651" spans="1:8">
      <c r="A1651" s="1">
        <v>1650</v>
      </c>
      <c r="B1651" s="1" t="s">
        <v>3896</v>
      </c>
      <c r="C1651" s="1" t="s">
        <v>102</v>
      </c>
      <c r="D1651" s="1" t="s">
        <v>3897</v>
      </c>
      <c r="E1651" s="1" t="s">
        <v>3900</v>
      </c>
      <c r="F1651" s="1" t="s">
        <v>21</v>
      </c>
      <c r="G1651" s="1" t="s">
        <v>22</v>
      </c>
      <c r="H1651" s="1" t="s">
        <v>18</v>
      </c>
    </row>
    <row r="1652" spans="1:8">
      <c r="A1652" s="1">
        <v>1651</v>
      </c>
      <c r="B1652" s="1" t="s">
        <v>3896</v>
      </c>
      <c r="C1652" s="1" t="s">
        <v>106</v>
      </c>
      <c r="D1652" s="1" t="s">
        <v>3897</v>
      </c>
      <c r="E1652" s="1" t="s">
        <v>3901</v>
      </c>
      <c r="F1652" s="1" t="s">
        <v>25</v>
      </c>
      <c r="G1652" s="1" t="s">
        <v>26</v>
      </c>
      <c r="H1652" s="1" t="s">
        <v>18</v>
      </c>
    </row>
    <row r="1653" spans="1:8">
      <c r="A1653" s="1">
        <v>1652</v>
      </c>
      <c r="B1653" s="1" t="s">
        <v>3896</v>
      </c>
      <c r="C1653" s="1" t="s">
        <v>110</v>
      </c>
      <c r="D1653" s="1" t="s">
        <v>3897</v>
      </c>
      <c r="E1653" s="1" t="s">
        <v>3902</v>
      </c>
      <c r="F1653" s="1" t="s">
        <v>37</v>
      </c>
      <c r="G1653" s="1" t="s">
        <v>38</v>
      </c>
      <c r="H1653" s="1" t="s">
        <v>18</v>
      </c>
    </row>
    <row r="1654" spans="1:8">
      <c r="A1654" s="1">
        <v>1653</v>
      </c>
      <c r="B1654" s="1" t="s">
        <v>3896</v>
      </c>
      <c r="C1654" s="1" t="s">
        <v>114</v>
      </c>
      <c r="D1654" s="1" t="s">
        <v>3897</v>
      </c>
      <c r="E1654" s="1" t="s">
        <v>3903</v>
      </c>
      <c r="F1654" s="1" t="s">
        <v>41</v>
      </c>
      <c r="G1654" s="1" t="s">
        <v>42</v>
      </c>
      <c r="H1654" s="1" t="s">
        <v>18</v>
      </c>
    </row>
    <row r="1655" spans="1:8">
      <c r="A1655" s="1">
        <v>1654</v>
      </c>
      <c r="B1655" s="1" t="s">
        <v>3896</v>
      </c>
      <c r="C1655" s="1" t="s">
        <v>118</v>
      </c>
      <c r="D1655" s="1" t="s">
        <v>3897</v>
      </c>
      <c r="E1655" s="1" t="s">
        <v>3904</v>
      </c>
      <c r="F1655" s="1" t="s">
        <v>1856</v>
      </c>
      <c r="G1655" s="1" t="s">
        <v>1857</v>
      </c>
      <c r="H1655" s="1" t="s">
        <v>18</v>
      </c>
    </row>
    <row r="1656" spans="1:8">
      <c r="A1656" s="1">
        <v>1655</v>
      </c>
      <c r="B1656" s="1" t="s">
        <v>3896</v>
      </c>
      <c r="C1656" s="1" t="s">
        <v>122</v>
      </c>
      <c r="D1656" s="1" t="s">
        <v>3897</v>
      </c>
      <c r="E1656" s="1" t="s">
        <v>3905</v>
      </c>
      <c r="F1656" s="1" t="s">
        <v>1859</v>
      </c>
      <c r="G1656" s="1" t="s">
        <v>1860</v>
      </c>
      <c r="H1656" s="1" t="s">
        <v>18</v>
      </c>
    </row>
    <row r="1657" spans="1:8">
      <c r="A1657" s="1">
        <v>1656</v>
      </c>
      <c r="B1657" s="1" t="s">
        <v>3896</v>
      </c>
      <c r="C1657" s="1" t="s">
        <v>126</v>
      </c>
      <c r="D1657" s="1" t="s">
        <v>3897</v>
      </c>
      <c r="E1657" s="1" t="s">
        <v>3906</v>
      </c>
      <c r="F1657" s="1" t="s">
        <v>29</v>
      </c>
      <c r="G1657" s="1" t="s">
        <v>30</v>
      </c>
      <c r="H1657" s="1" t="s">
        <v>18</v>
      </c>
    </row>
    <row r="1658" spans="1:8">
      <c r="A1658" s="1">
        <v>1657</v>
      </c>
      <c r="B1658" s="1" t="s">
        <v>3907</v>
      </c>
      <c r="C1658" s="1" t="s">
        <v>251</v>
      </c>
      <c r="D1658" s="1" t="s">
        <v>3908</v>
      </c>
      <c r="E1658" s="1" t="s">
        <v>3909</v>
      </c>
      <c r="F1658" s="1" t="s">
        <v>25</v>
      </c>
      <c r="G1658" s="1" t="s">
        <v>26</v>
      </c>
      <c r="H1658" s="1" t="s">
        <v>18</v>
      </c>
    </row>
    <row r="1659" spans="1:8">
      <c r="A1659" s="1">
        <v>1658</v>
      </c>
      <c r="B1659" s="1" t="s">
        <v>3907</v>
      </c>
      <c r="C1659" s="1" t="s">
        <v>254</v>
      </c>
      <c r="D1659" s="1" t="s">
        <v>3908</v>
      </c>
      <c r="E1659" s="1" t="s">
        <v>3910</v>
      </c>
      <c r="F1659" s="1" t="s">
        <v>29</v>
      </c>
      <c r="G1659" s="1" t="s">
        <v>30</v>
      </c>
      <c r="H1659" s="1" t="s">
        <v>18</v>
      </c>
    </row>
    <row r="1660" spans="1:8">
      <c r="A1660" s="1">
        <v>1659</v>
      </c>
      <c r="B1660" s="1" t="s">
        <v>3907</v>
      </c>
      <c r="C1660" s="1" t="s">
        <v>256</v>
      </c>
      <c r="D1660" s="1" t="s">
        <v>3908</v>
      </c>
      <c r="E1660" s="1" t="s">
        <v>3911</v>
      </c>
      <c r="F1660" s="1" t="s">
        <v>1856</v>
      </c>
      <c r="G1660" s="1" t="s">
        <v>1857</v>
      </c>
      <c r="H1660" s="1" t="s">
        <v>18</v>
      </c>
    </row>
    <row r="1661" spans="1:8">
      <c r="A1661" s="1">
        <v>1660</v>
      </c>
      <c r="B1661" s="1" t="s">
        <v>3907</v>
      </c>
      <c r="C1661" s="1" t="s">
        <v>260</v>
      </c>
      <c r="D1661" s="1" t="s">
        <v>3908</v>
      </c>
      <c r="E1661" s="1" t="s">
        <v>3912</v>
      </c>
      <c r="F1661" s="1" t="s">
        <v>1859</v>
      </c>
      <c r="G1661" s="1" t="s">
        <v>1860</v>
      </c>
      <c r="H1661" s="1" t="s">
        <v>18</v>
      </c>
    </row>
    <row r="1662" spans="1:8">
      <c r="A1662" s="1">
        <v>1661</v>
      </c>
      <c r="B1662" s="1" t="s">
        <v>3907</v>
      </c>
      <c r="C1662" s="1" t="s">
        <v>262</v>
      </c>
      <c r="D1662" s="1" t="s">
        <v>3908</v>
      </c>
      <c r="E1662" s="1" t="s">
        <v>3913</v>
      </c>
      <c r="F1662" s="1" t="s">
        <v>37</v>
      </c>
      <c r="G1662" s="1" t="s">
        <v>38</v>
      </c>
      <c r="H1662" s="1" t="s">
        <v>18</v>
      </c>
    </row>
    <row r="1663" spans="1:8">
      <c r="A1663" s="1">
        <v>1662</v>
      </c>
      <c r="B1663" s="1" t="s">
        <v>3907</v>
      </c>
      <c r="C1663" s="1" t="s">
        <v>264</v>
      </c>
      <c r="D1663" s="1" t="s">
        <v>3908</v>
      </c>
      <c r="E1663" s="1" t="s">
        <v>3914</v>
      </c>
      <c r="F1663" s="1" t="s">
        <v>41</v>
      </c>
      <c r="G1663" s="1" t="s">
        <v>42</v>
      </c>
      <c r="H1663" s="1" t="s">
        <v>18</v>
      </c>
    </row>
    <row r="1664" spans="1:8">
      <c r="A1664" s="1">
        <v>1663</v>
      </c>
      <c r="B1664" s="1" t="s">
        <v>3915</v>
      </c>
      <c r="C1664" s="1" t="s">
        <v>251</v>
      </c>
      <c r="D1664" s="1" t="s">
        <v>3916</v>
      </c>
      <c r="E1664" s="1" t="s">
        <v>3917</v>
      </c>
      <c r="F1664" s="1" t="s">
        <v>25</v>
      </c>
      <c r="G1664" s="1" t="s">
        <v>26</v>
      </c>
      <c r="H1664" s="1" t="s">
        <v>18</v>
      </c>
    </row>
    <row r="1665" spans="1:8">
      <c r="A1665" s="1">
        <v>1664</v>
      </c>
      <c r="B1665" s="1" t="s">
        <v>3915</v>
      </c>
      <c r="C1665" s="1" t="s">
        <v>254</v>
      </c>
      <c r="D1665" s="1" t="s">
        <v>3916</v>
      </c>
      <c r="E1665" s="1" t="s">
        <v>3918</v>
      </c>
      <c r="F1665" s="1" t="s">
        <v>29</v>
      </c>
      <c r="G1665" s="1" t="s">
        <v>30</v>
      </c>
      <c r="H1665" s="1" t="s">
        <v>18</v>
      </c>
    </row>
    <row r="1666" spans="1:8">
      <c r="A1666" s="1">
        <v>1665</v>
      </c>
      <c r="B1666" s="1" t="s">
        <v>3915</v>
      </c>
      <c r="C1666" s="1" t="s">
        <v>256</v>
      </c>
      <c r="D1666" s="1" t="s">
        <v>3916</v>
      </c>
      <c r="E1666" s="1" t="s">
        <v>3919</v>
      </c>
      <c r="F1666" s="1" t="s">
        <v>1856</v>
      </c>
      <c r="G1666" s="1" t="s">
        <v>1857</v>
      </c>
      <c r="H1666" s="1" t="s">
        <v>18</v>
      </c>
    </row>
    <row r="1667" spans="1:8">
      <c r="A1667" s="1">
        <v>1666</v>
      </c>
      <c r="B1667" s="1" t="s">
        <v>3915</v>
      </c>
      <c r="C1667" s="1" t="s">
        <v>260</v>
      </c>
      <c r="D1667" s="1" t="s">
        <v>3916</v>
      </c>
      <c r="E1667" s="1" t="s">
        <v>3920</v>
      </c>
      <c r="F1667" s="1" t="s">
        <v>1859</v>
      </c>
      <c r="G1667" s="1" t="s">
        <v>1860</v>
      </c>
      <c r="H1667" s="1" t="s">
        <v>18</v>
      </c>
    </row>
    <row r="1668" spans="1:8">
      <c r="A1668" s="1">
        <v>1667</v>
      </c>
      <c r="B1668" s="1" t="s">
        <v>3915</v>
      </c>
      <c r="C1668" s="1" t="s">
        <v>262</v>
      </c>
      <c r="D1668" s="1" t="s">
        <v>3916</v>
      </c>
      <c r="E1668" s="1" t="s">
        <v>3921</v>
      </c>
      <c r="F1668" s="1" t="s">
        <v>37</v>
      </c>
      <c r="G1668" s="1" t="s">
        <v>38</v>
      </c>
      <c r="H1668" s="1" t="s">
        <v>18</v>
      </c>
    </row>
    <row r="1669" spans="1:8">
      <c r="A1669" s="1">
        <v>1668</v>
      </c>
      <c r="B1669" s="1" t="s">
        <v>3915</v>
      </c>
      <c r="C1669" s="1" t="s">
        <v>264</v>
      </c>
      <c r="D1669" s="1" t="s">
        <v>3916</v>
      </c>
      <c r="E1669" s="1" t="s">
        <v>3922</v>
      </c>
      <c r="F1669" s="1" t="s">
        <v>41</v>
      </c>
      <c r="G1669" s="1" t="s">
        <v>42</v>
      </c>
      <c r="H1669" s="1" t="s">
        <v>18</v>
      </c>
    </row>
    <row r="1670" spans="1:8">
      <c r="A1670" s="1">
        <v>1669</v>
      </c>
      <c r="B1670" s="1" t="s">
        <v>3923</v>
      </c>
      <c r="C1670" s="1" t="s">
        <v>251</v>
      </c>
      <c r="D1670" s="1" t="s">
        <v>3924</v>
      </c>
      <c r="E1670" s="1" t="s">
        <v>3925</v>
      </c>
      <c r="F1670" s="1" t="s">
        <v>25</v>
      </c>
      <c r="G1670" s="1" t="s">
        <v>26</v>
      </c>
      <c r="H1670" s="1" t="s">
        <v>18</v>
      </c>
    </row>
    <row r="1671" spans="1:8">
      <c r="A1671" s="1">
        <v>1670</v>
      </c>
      <c r="B1671" s="1" t="s">
        <v>3923</v>
      </c>
      <c r="C1671" s="1" t="s">
        <v>254</v>
      </c>
      <c r="D1671" s="1" t="s">
        <v>3924</v>
      </c>
      <c r="E1671" s="1" t="s">
        <v>3926</v>
      </c>
      <c r="F1671" s="1" t="s">
        <v>29</v>
      </c>
      <c r="G1671" s="1" t="s">
        <v>30</v>
      </c>
      <c r="H1671" s="1" t="s">
        <v>18</v>
      </c>
    </row>
    <row r="1672" spans="1:8">
      <c r="A1672" s="1">
        <v>1671</v>
      </c>
      <c r="B1672" s="1" t="s">
        <v>3923</v>
      </c>
      <c r="C1672" s="1" t="s">
        <v>256</v>
      </c>
      <c r="D1672" s="1" t="s">
        <v>3924</v>
      </c>
      <c r="E1672" s="1" t="s">
        <v>3927</v>
      </c>
      <c r="F1672" s="1" t="s">
        <v>1856</v>
      </c>
      <c r="G1672" s="1" t="s">
        <v>1857</v>
      </c>
      <c r="H1672" s="1" t="s">
        <v>18</v>
      </c>
    </row>
    <row r="1673" spans="1:8">
      <c r="A1673" s="1">
        <v>1672</v>
      </c>
      <c r="B1673" s="1" t="s">
        <v>3923</v>
      </c>
      <c r="C1673" s="1" t="s">
        <v>260</v>
      </c>
      <c r="D1673" s="1" t="s">
        <v>3924</v>
      </c>
      <c r="E1673" s="1" t="s">
        <v>3928</v>
      </c>
      <c r="F1673" s="1" t="s">
        <v>1859</v>
      </c>
      <c r="G1673" s="1" t="s">
        <v>1860</v>
      </c>
      <c r="H1673" s="1" t="s">
        <v>18</v>
      </c>
    </row>
    <row r="1674" spans="1:8">
      <c r="A1674" s="1">
        <v>1673</v>
      </c>
      <c r="B1674" s="1" t="s">
        <v>3923</v>
      </c>
      <c r="C1674" s="1" t="s">
        <v>262</v>
      </c>
      <c r="D1674" s="1" t="s">
        <v>3924</v>
      </c>
      <c r="E1674" s="1" t="s">
        <v>3929</v>
      </c>
      <c r="F1674" s="1" t="s">
        <v>37</v>
      </c>
      <c r="G1674" s="1" t="s">
        <v>38</v>
      </c>
      <c r="H1674" s="1" t="s">
        <v>18</v>
      </c>
    </row>
    <row r="1675" spans="1:8">
      <c r="A1675" s="1">
        <v>1674</v>
      </c>
      <c r="B1675" s="1" t="s">
        <v>3923</v>
      </c>
      <c r="C1675" s="1" t="s">
        <v>264</v>
      </c>
      <c r="D1675" s="1" t="s">
        <v>3924</v>
      </c>
      <c r="E1675" s="1" t="s">
        <v>3930</v>
      </c>
      <c r="F1675" s="1" t="s">
        <v>41</v>
      </c>
      <c r="G1675" s="1" t="s">
        <v>42</v>
      </c>
      <c r="H1675" s="1" t="s">
        <v>18</v>
      </c>
    </row>
    <row r="1676" spans="1:8">
      <c r="A1676" s="1">
        <v>1675</v>
      </c>
      <c r="B1676" s="1" t="s">
        <v>3931</v>
      </c>
      <c r="C1676" s="1" t="s">
        <v>251</v>
      </c>
      <c r="D1676" s="1" t="s">
        <v>3932</v>
      </c>
      <c r="E1676" s="1" t="s">
        <v>3933</v>
      </c>
      <c r="F1676" s="1" t="s">
        <v>25</v>
      </c>
      <c r="G1676" s="1" t="s">
        <v>26</v>
      </c>
      <c r="H1676" s="1" t="s">
        <v>18</v>
      </c>
    </row>
    <row r="1677" spans="1:8">
      <c r="A1677" s="1">
        <v>1676</v>
      </c>
      <c r="B1677" s="1" t="s">
        <v>3931</v>
      </c>
      <c r="C1677" s="1" t="s">
        <v>254</v>
      </c>
      <c r="D1677" s="1" t="s">
        <v>3932</v>
      </c>
      <c r="E1677" s="1" t="s">
        <v>3934</v>
      </c>
      <c r="F1677" s="1" t="s">
        <v>29</v>
      </c>
      <c r="G1677" s="1" t="s">
        <v>30</v>
      </c>
      <c r="H1677" s="1" t="s">
        <v>18</v>
      </c>
    </row>
    <row r="1678" spans="1:8">
      <c r="A1678" s="1">
        <v>1677</v>
      </c>
      <c r="B1678" s="1" t="s">
        <v>3931</v>
      </c>
      <c r="C1678" s="1" t="s">
        <v>256</v>
      </c>
      <c r="D1678" s="1" t="s">
        <v>3932</v>
      </c>
      <c r="E1678" s="1" t="s">
        <v>3935</v>
      </c>
      <c r="F1678" s="1" t="s">
        <v>1856</v>
      </c>
      <c r="G1678" s="1" t="s">
        <v>1857</v>
      </c>
      <c r="H1678" s="1" t="s">
        <v>18</v>
      </c>
    </row>
    <row r="1679" spans="1:8">
      <c r="A1679" s="1">
        <v>1678</v>
      </c>
      <c r="B1679" s="1" t="s">
        <v>3931</v>
      </c>
      <c r="C1679" s="1" t="s">
        <v>260</v>
      </c>
      <c r="D1679" s="1" t="s">
        <v>3932</v>
      </c>
      <c r="E1679" s="1" t="s">
        <v>3936</v>
      </c>
      <c r="F1679" s="1" t="s">
        <v>1859</v>
      </c>
      <c r="G1679" s="1" t="s">
        <v>1860</v>
      </c>
      <c r="H1679" s="1" t="s">
        <v>18</v>
      </c>
    </row>
    <row r="1680" spans="1:8">
      <c r="A1680" s="1">
        <v>1679</v>
      </c>
      <c r="B1680" s="1" t="s">
        <v>3931</v>
      </c>
      <c r="C1680" s="1" t="s">
        <v>262</v>
      </c>
      <c r="D1680" s="1" t="s">
        <v>3932</v>
      </c>
      <c r="E1680" s="1" t="s">
        <v>3937</v>
      </c>
      <c r="F1680" s="1" t="s">
        <v>37</v>
      </c>
      <c r="G1680" s="1" t="s">
        <v>38</v>
      </c>
      <c r="H1680" s="1" t="s">
        <v>18</v>
      </c>
    </row>
    <row r="1681" spans="1:8">
      <c r="A1681" s="1">
        <v>1680</v>
      </c>
      <c r="B1681" s="1" t="s">
        <v>3931</v>
      </c>
      <c r="C1681" s="1" t="s">
        <v>264</v>
      </c>
      <c r="D1681" s="1" t="s">
        <v>3932</v>
      </c>
      <c r="E1681" s="1" t="s">
        <v>3938</v>
      </c>
      <c r="F1681" s="1" t="s">
        <v>41</v>
      </c>
      <c r="G1681" s="1" t="s">
        <v>42</v>
      </c>
      <c r="H1681" s="1" t="s">
        <v>18</v>
      </c>
    </row>
    <row r="1682" spans="1:8">
      <c r="A1682" s="1">
        <v>1681</v>
      </c>
      <c r="B1682" s="1" t="s">
        <v>3939</v>
      </c>
      <c r="C1682" s="1" t="s">
        <v>131</v>
      </c>
      <c r="D1682" s="1" t="s">
        <v>3940</v>
      </c>
      <c r="E1682" s="1" t="s">
        <v>3941</v>
      </c>
      <c r="F1682" s="1" t="s">
        <v>12</v>
      </c>
      <c r="G1682" s="1" t="s">
        <v>13</v>
      </c>
      <c r="H1682" s="1" t="s">
        <v>18</v>
      </c>
    </row>
    <row r="1683" spans="1:8">
      <c r="A1683" s="1">
        <v>1682</v>
      </c>
      <c r="B1683" s="1" t="s">
        <v>3939</v>
      </c>
      <c r="C1683" s="1" t="s">
        <v>136</v>
      </c>
      <c r="D1683" s="1" t="s">
        <v>3940</v>
      </c>
      <c r="E1683" s="1" t="s">
        <v>3942</v>
      </c>
      <c r="F1683" s="1" t="s">
        <v>16</v>
      </c>
      <c r="G1683" s="1" t="s">
        <v>17</v>
      </c>
      <c r="H1683" s="1" t="s">
        <v>18</v>
      </c>
    </row>
    <row r="1684" spans="1:8">
      <c r="A1684" s="1">
        <v>1683</v>
      </c>
      <c r="B1684" s="1" t="s">
        <v>3939</v>
      </c>
      <c r="C1684" s="1" t="s">
        <v>138</v>
      </c>
      <c r="D1684" s="1" t="s">
        <v>3940</v>
      </c>
      <c r="E1684" s="1" t="s">
        <v>3943</v>
      </c>
      <c r="F1684" s="1" t="s">
        <v>21</v>
      </c>
      <c r="G1684" s="1" t="s">
        <v>22</v>
      </c>
      <c r="H1684" s="1" t="s">
        <v>18</v>
      </c>
    </row>
    <row r="1685" spans="1:8">
      <c r="A1685" s="1">
        <v>1684</v>
      </c>
      <c r="B1685" s="1" t="s">
        <v>3939</v>
      </c>
      <c r="C1685" s="1" t="s">
        <v>140</v>
      </c>
      <c r="D1685" s="1" t="s">
        <v>3940</v>
      </c>
      <c r="E1685" s="1" t="s">
        <v>3944</v>
      </c>
      <c r="F1685" s="1" t="s">
        <v>3886</v>
      </c>
      <c r="G1685" s="1" t="s">
        <v>3887</v>
      </c>
      <c r="H1685" s="1" t="s">
        <v>18</v>
      </c>
    </row>
    <row r="1686" spans="1:8">
      <c r="A1686" s="1">
        <v>1685</v>
      </c>
      <c r="B1686" s="1" t="s">
        <v>3939</v>
      </c>
      <c r="C1686" s="1" t="s">
        <v>142</v>
      </c>
      <c r="D1686" s="1" t="s">
        <v>3940</v>
      </c>
      <c r="E1686" s="1" t="s">
        <v>3945</v>
      </c>
      <c r="F1686" s="1" t="s">
        <v>1856</v>
      </c>
      <c r="G1686" s="1" t="s">
        <v>1857</v>
      </c>
      <c r="H1686" s="1" t="s">
        <v>18</v>
      </c>
    </row>
    <row r="1687" spans="1:8">
      <c r="A1687" s="1">
        <v>1686</v>
      </c>
      <c r="B1687" s="1" t="s">
        <v>3939</v>
      </c>
      <c r="C1687" s="1" t="s">
        <v>144</v>
      </c>
      <c r="D1687" s="1" t="s">
        <v>3940</v>
      </c>
      <c r="E1687" s="1" t="s">
        <v>3946</v>
      </c>
      <c r="F1687" s="1" t="s">
        <v>1859</v>
      </c>
      <c r="G1687" s="1" t="s">
        <v>1860</v>
      </c>
      <c r="H1687" s="1" t="s">
        <v>18</v>
      </c>
    </row>
    <row r="1688" spans="1:8">
      <c r="A1688" s="1">
        <v>1687</v>
      </c>
      <c r="B1688" s="1" t="s">
        <v>3939</v>
      </c>
      <c r="C1688" s="1" t="s">
        <v>146</v>
      </c>
      <c r="D1688" s="1" t="s">
        <v>3940</v>
      </c>
      <c r="E1688" s="1" t="s">
        <v>3947</v>
      </c>
      <c r="F1688" s="1" t="s">
        <v>25</v>
      </c>
      <c r="G1688" s="1" t="s">
        <v>26</v>
      </c>
      <c r="H1688" s="1" t="s">
        <v>18</v>
      </c>
    </row>
    <row r="1689" spans="1:8">
      <c r="A1689" s="1">
        <v>1688</v>
      </c>
      <c r="B1689" s="1" t="s">
        <v>3939</v>
      </c>
      <c r="C1689" s="1" t="s">
        <v>148</v>
      </c>
      <c r="D1689" s="1" t="s">
        <v>3940</v>
      </c>
      <c r="E1689" s="1" t="s">
        <v>3948</v>
      </c>
      <c r="F1689" s="1" t="s">
        <v>37</v>
      </c>
      <c r="G1689" s="1" t="s">
        <v>38</v>
      </c>
      <c r="H1689" s="1" t="s">
        <v>18</v>
      </c>
    </row>
    <row r="1690" spans="1:8">
      <c r="A1690" s="1">
        <v>1689</v>
      </c>
      <c r="B1690" s="1" t="s">
        <v>3939</v>
      </c>
      <c r="C1690" s="1" t="s">
        <v>150</v>
      </c>
      <c r="D1690" s="1" t="s">
        <v>3940</v>
      </c>
      <c r="E1690" s="1" t="s">
        <v>3949</v>
      </c>
      <c r="F1690" s="1" t="s">
        <v>41</v>
      </c>
      <c r="G1690" s="1" t="s">
        <v>42</v>
      </c>
      <c r="H1690" s="1" t="s">
        <v>18</v>
      </c>
    </row>
    <row r="1691" spans="1:8">
      <c r="A1691" s="1">
        <v>1690</v>
      </c>
      <c r="B1691" s="1" t="s">
        <v>3939</v>
      </c>
      <c r="C1691" s="1" t="s">
        <v>152</v>
      </c>
      <c r="D1691" s="1" t="s">
        <v>3940</v>
      </c>
      <c r="E1691" s="1" t="s">
        <v>3950</v>
      </c>
      <c r="F1691" s="1" t="s">
        <v>29</v>
      </c>
      <c r="G1691" s="1" t="s">
        <v>30</v>
      </c>
      <c r="H1691" s="1" t="s">
        <v>18</v>
      </c>
    </row>
    <row r="1692" spans="1:8">
      <c r="A1692" s="1">
        <v>1691</v>
      </c>
      <c r="B1692" s="1" t="s">
        <v>3951</v>
      </c>
      <c r="C1692" s="1" t="s">
        <v>155</v>
      </c>
      <c r="D1692" s="1" t="s">
        <v>3952</v>
      </c>
      <c r="E1692" s="1" t="s">
        <v>3953</v>
      </c>
      <c r="F1692" s="1" t="s">
        <v>3954</v>
      </c>
      <c r="G1692" s="1" t="s">
        <v>3955</v>
      </c>
      <c r="H1692" s="1" t="s">
        <v>18</v>
      </c>
    </row>
    <row r="1693" spans="1:8">
      <c r="A1693" s="1">
        <v>1692</v>
      </c>
      <c r="B1693" s="1" t="s">
        <v>3951</v>
      </c>
      <c r="C1693" s="1" t="s">
        <v>160</v>
      </c>
      <c r="D1693" s="1" t="s">
        <v>3952</v>
      </c>
      <c r="E1693" s="1" t="s">
        <v>3956</v>
      </c>
      <c r="F1693" s="1" t="s">
        <v>3957</v>
      </c>
      <c r="G1693" s="1" t="s">
        <v>3958</v>
      </c>
      <c r="H1693" s="1" t="s">
        <v>18</v>
      </c>
    </row>
    <row r="1694" spans="1:8">
      <c r="A1694" s="1">
        <v>1693</v>
      </c>
      <c r="B1694" s="1" t="s">
        <v>3951</v>
      </c>
      <c r="C1694" s="1" t="s">
        <v>164</v>
      </c>
      <c r="D1694" s="1" t="s">
        <v>3952</v>
      </c>
      <c r="E1694" s="1" t="s">
        <v>3959</v>
      </c>
      <c r="F1694" s="1" t="s">
        <v>3960</v>
      </c>
      <c r="G1694" s="1" t="s">
        <v>3961</v>
      </c>
      <c r="H1694" s="1" t="s">
        <v>18</v>
      </c>
    </row>
    <row r="1695" spans="1:8">
      <c r="A1695" s="1">
        <v>1694</v>
      </c>
      <c r="B1695" s="1" t="s">
        <v>3951</v>
      </c>
      <c r="C1695" s="1" t="s">
        <v>168</v>
      </c>
      <c r="D1695" s="1" t="s">
        <v>3952</v>
      </c>
      <c r="E1695" s="1" t="s">
        <v>3962</v>
      </c>
      <c r="F1695" s="1" t="s">
        <v>3963</v>
      </c>
      <c r="G1695" s="1" t="s">
        <v>3964</v>
      </c>
      <c r="H1695" s="1" t="s">
        <v>18</v>
      </c>
    </row>
    <row r="1696" spans="1:8">
      <c r="A1696" s="1">
        <v>1695</v>
      </c>
      <c r="B1696" s="1" t="s">
        <v>3951</v>
      </c>
      <c r="C1696" s="1" t="s">
        <v>172</v>
      </c>
      <c r="D1696" s="1" t="s">
        <v>3952</v>
      </c>
      <c r="E1696" s="1" t="s">
        <v>3965</v>
      </c>
      <c r="F1696" s="1" t="s">
        <v>3966</v>
      </c>
      <c r="G1696" s="1" t="s">
        <v>3967</v>
      </c>
      <c r="H1696" s="1" t="s">
        <v>18</v>
      </c>
    </row>
    <row r="1697" spans="1:8">
      <c r="A1697" s="1">
        <v>1696</v>
      </c>
      <c r="B1697" s="1" t="s">
        <v>3951</v>
      </c>
      <c r="C1697" s="1" t="s">
        <v>176</v>
      </c>
      <c r="D1697" s="1" t="s">
        <v>3952</v>
      </c>
      <c r="E1697" s="1" t="s">
        <v>3968</v>
      </c>
      <c r="F1697" s="1" t="s">
        <v>3969</v>
      </c>
      <c r="G1697" s="1" t="s">
        <v>3970</v>
      </c>
      <c r="H1697" s="1" t="s">
        <v>18</v>
      </c>
    </row>
    <row r="1698" spans="1:8">
      <c r="A1698" s="1">
        <v>1697</v>
      </c>
      <c r="B1698" s="1" t="s">
        <v>3951</v>
      </c>
      <c r="C1698" s="1" t="s">
        <v>180</v>
      </c>
      <c r="D1698" s="1" t="s">
        <v>3952</v>
      </c>
      <c r="E1698" s="1" t="s">
        <v>3971</v>
      </c>
      <c r="F1698" s="1" t="s">
        <v>3972</v>
      </c>
      <c r="G1698" s="1" t="s">
        <v>3973</v>
      </c>
      <c r="H1698" s="1" t="s">
        <v>18</v>
      </c>
    </row>
    <row r="1699" spans="1:8">
      <c r="A1699" s="1">
        <v>1698</v>
      </c>
      <c r="B1699" s="1" t="s">
        <v>3951</v>
      </c>
      <c r="C1699" s="1" t="s">
        <v>184</v>
      </c>
      <c r="D1699" s="1" t="s">
        <v>3952</v>
      </c>
      <c r="E1699" s="1" t="s">
        <v>3974</v>
      </c>
      <c r="F1699" s="1" t="s">
        <v>3975</v>
      </c>
      <c r="G1699" s="1" t="s">
        <v>3976</v>
      </c>
      <c r="H1699" s="1" t="s">
        <v>18</v>
      </c>
    </row>
    <row r="1700" spans="1:8">
      <c r="A1700" s="1">
        <v>1699</v>
      </c>
      <c r="B1700" s="1" t="s">
        <v>3951</v>
      </c>
      <c r="C1700" s="1" t="s">
        <v>188</v>
      </c>
      <c r="D1700" s="1" t="s">
        <v>3952</v>
      </c>
      <c r="E1700" s="1" t="s">
        <v>3977</v>
      </c>
      <c r="F1700" s="1" t="s">
        <v>3978</v>
      </c>
      <c r="G1700" s="1" t="s">
        <v>3979</v>
      </c>
      <c r="H1700" s="1" t="s">
        <v>18</v>
      </c>
    </row>
    <row r="1701" spans="1:8">
      <c r="A1701" s="1">
        <v>1700</v>
      </c>
      <c r="B1701" s="1" t="s">
        <v>3951</v>
      </c>
      <c r="C1701" s="1" t="s">
        <v>192</v>
      </c>
      <c r="D1701" s="1" t="s">
        <v>3952</v>
      </c>
      <c r="E1701" s="1" t="s">
        <v>3980</v>
      </c>
      <c r="F1701" s="1" t="s">
        <v>3981</v>
      </c>
      <c r="G1701" s="1" t="s">
        <v>3982</v>
      </c>
      <c r="H1701" s="1" t="s">
        <v>18</v>
      </c>
    </row>
    <row r="1702" spans="1:8">
      <c r="A1702" s="1">
        <v>1701</v>
      </c>
      <c r="B1702" s="1" t="s">
        <v>3951</v>
      </c>
      <c r="C1702" s="1" t="s">
        <v>196</v>
      </c>
      <c r="D1702" s="1" t="s">
        <v>3952</v>
      </c>
      <c r="E1702" s="1" t="s">
        <v>3983</v>
      </c>
      <c r="F1702" s="1" t="s">
        <v>3984</v>
      </c>
      <c r="G1702" s="1" t="s">
        <v>3985</v>
      </c>
      <c r="H1702" s="1" t="s">
        <v>18</v>
      </c>
    </row>
    <row r="1703" spans="1:8">
      <c r="A1703" s="1">
        <v>1702</v>
      </c>
      <c r="B1703" s="1" t="s">
        <v>3986</v>
      </c>
      <c r="C1703" s="1" t="s">
        <v>3987</v>
      </c>
      <c r="D1703" s="1" t="s">
        <v>3988</v>
      </c>
      <c r="E1703" s="1" t="s">
        <v>3989</v>
      </c>
      <c r="F1703" s="1" t="s">
        <v>3990</v>
      </c>
      <c r="G1703" s="1" t="s">
        <v>3991</v>
      </c>
      <c r="H1703" s="1" t="s">
        <v>18</v>
      </c>
    </row>
    <row r="1704" spans="1:8">
      <c r="A1704" s="1">
        <v>1703</v>
      </c>
      <c r="B1704" s="1" t="s">
        <v>3986</v>
      </c>
      <c r="C1704" s="1" t="s">
        <v>3992</v>
      </c>
      <c r="D1704" s="1" t="s">
        <v>3988</v>
      </c>
      <c r="E1704" s="1" t="s">
        <v>3993</v>
      </c>
      <c r="F1704" s="1" t="s">
        <v>3994</v>
      </c>
      <c r="G1704" s="1" t="s">
        <v>3995</v>
      </c>
      <c r="H1704" s="1" t="s">
        <v>18</v>
      </c>
    </row>
    <row r="1705" spans="1:8">
      <c r="A1705" s="1">
        <v>1704</v>
      </c>
      <c r="B1705" s="1" t="s">
        <v>3986</v>
      </c>
      <c r="C1705" s="1" t="s">
        <v>3996</v>
      </c>
      <c r="D1705" s="1" t="s">
        <v>3988</v>
      </c>
      <c r="E1705" s="1" t="s">
        <v>3997</v>
      </c>
      <c r="F1705" s="1" t="s">
        <v>3998</v>
      </c>
      <c r="G1705" s="1" t="s">
        <v>3999</v>
      </c>
      <c r="H1705" s="1" t="s">
        <v>18</v>
      </c>
    </row>
    <row r="1706" spans="1:8">
      <c r="A1706" s="1">
        <v>1705</v>
      </c>
      <c r="B1706" s="1" t="s">
        <v>3986</v>
      </c>
      <c r="C1706" s="1" t="s">
        <v>4000</v>
      </c>
      <c r="D1706" s="1" t="s">
        <v>3988</v>
      </c>
      <c r="E1706" s="1" t="s">
        <v>4001</v>
      </c>
      <c r="F1706" s="1" t="s">
        <v>4002</v>
      </c>
      <c r="G1706" s="1" t="s">
        <v>4003</v>
      </c>
      <c r="H1706" s="1" t="s">
        <v>18</v>
      </c>
    </row>
    <row r="1707" spans="1:8">
      <c r="A1707" s="1">
        <v>1706</v>
      </c>
      <c r="B1707" s="1" t="s">
        <v>3986</v>
      </c>
      <c r="C1707" s="1" t="s">
        <v>4004</v>
      </c>
      <c r="D1707" s="1" t="s">
        <v>3988</v>
      </c>
      <c r="E1707" s="1" t="s">
        <v>4005</v>
      </c>
      <c r="F1707" s="1" t="s">
        <v>4006</v>
      </c>
      <c r="G1707" s="1" t="s">
        <v>4007</v>
      </c>
      <c r="H1707" s="1" t="s">
        <v>18</v>
      </c>
    </row>
    <row r="1708" spans="1:8">
      <c r="A1708" s="1">
        <v>1707</v>
      </c>
      <c r="B1708" s="1" t="s">
        <v>3986</v>
      </c>
      <c r="C1708" s="1" t="s">
        <v>4008</v>
      </c>
      <c r="D1708" s="1" t="s">
        <v>3988</v>
      </c>
      <c r="E1708" s="1" t="s">
        <v>4009</v>
      </c>
      <c r="F1708" s="1" t="s">
        <v>4010</v>
      </c>
      <c r="G1708" s="1" t="s">
        <v>4011</v>
      </c>
      <c r="H1708" s="1" t="s">
        <v>18</v>
      </c>
    </row>
    <row r="1709" spans="1:8">
      <c r="A1709" s="1">
        <v>1708</v>
      </c>
      <c r="B1709" s="1" t="s">
        <v>3986</v>
      </c>
      <c r="C1709" s="1" t="s">
        <v>4012</v>
      </c>
      <c r="D1709" s="1" t="s">
        <v>3988</v>
      </c>
      <c r="E1709" s="1" t="s">
        <v>4013</v>
      </c>
      <c r="F1709" s="1" t="s">
        <v>4014</v>
      </c>
      <c r="G1709" s="1" t="s">
        <v>4015</v>
      </c>
      <c r="H1709" s="1" t="s">
        <v>18</v>
      </c>
    </row>
    <row r="1710" spans="1:8">
      <c r="A1710" s="1">
        <v>1709</v>
      </c>
      <c r="B1710" s="1" t="s">
        <v>3986</v>
      </c>
      <c r="C1710" s="1" t="s">
        <v>4016</v>
      </c>
      <c r="D1710" s="1" t="s">
        <v>3988</v>
      </c>
      <c r="E1710" s="1" t="s">
        <v>4017</v>
      </c>
      <c r="F1710" s="1" t="s">
        <v>4018</v>
      </c>
      <c r="G1710" s="1" t="s">
        <v>4019</v>
      </c>
      <c r="H1710" s="1" t="s">
        <v>18</v>
      </c>
    </row>
    <row r="1711" spans="1:8">
      <c r="A1711" s="1">
        <v>1710</v>
      </c>
      <c r="B1711" s="1" t="s">
        <v>3986</v>
      </c>
      <c r="C1711" s="1" t="s">
        <v>4020</v>
      </c>
      <c r="D1711" s="1" t="s">
        <v>3988</v>
      </c>
      <c r="E1711" s="1" t="s">
        <v>4021</v>
      </c>
      <c r="F1711" s="1" t="s">
        <v>3960</v>
      </c>
      <c r="G1711" s="1" t="s">
        <v>3961</v>
      </c>
      <c r="H1711" s="1" t="s">
        <v>18</v>
      </c>
    </row>
    <row r="1712" spans="1:8">
      <c r="A1712" s="1">
        <v>1711</v>
      </c>
      <c r="B1712" s="1" t="s">
        <v>3986</v>
      </c>
      <c r="C1712" s="1" t="s">
        <v>4022</v>
      </c>
      <c r="D1712" s="1" t="s">
        <v>3988</v>
      </c>
      <c r="E1712" s="1" t="s">
        <v>4023</v>
      </c>
      <c r="F1712" s="1" t="s">
        <v>3963</v>
      </c>
      <c r="G1712" s="1" t="s">
        <v>3964</v>
      </c>
      <c r="H1712" s="1" t="s">
        <v>18</v>
      </c>
    </row>
    <row r="1713" spans="1:8">
      <c r="A1713" s="1">
        <v>1712</v>
      </c>
      <c r="B1713" s="1" t="s">
        <v>3986</v>
      </c>
      <c r="C1713" s="1" t="s">
        <v>4024</v>
      </c>
      <c r="D1713" s="1" t="s">
        <v>3988</v>
      </c>
      <c r="E1713" s="1" t="s">
        <v>4025</v>
      </c>
      <c r="F1713" s="1" t="s">
        <v>3966</v>
      </c>
      <c r="G1713" s="1" t="s">
        <v>3967</v>
      </c>
      <c r="H1713" s="1" t="s">
        <v>18</v>
      </c>
    </row>
    <row r="1714" spans="1:8">
      <c r="A1714" s="1">
        <v>1713</v>
      </c>
      <c r="B1714" s="1" t="s">
        <v>3986</v>
      </c>
      <c r="C1714" s="1" t="s">
        <v>4026</v>
      </c>
      <c r="D1714" s="1" t="s">
        <v>3988</v>
      </c>
      <c r="E1714" s="1" t="s">
        <v>4027</v>
      </c>
      <c r="F1714" s="1" t="s">
        <v>3969</v>
      </c>
      <c r="G1714" s="1" t="s">
        <v>3970</v>
      </c>
      <c r="H1714" s="1" t="s">
        <v>18</v>
      </c>
    </row>
    <row r="1715" spans="1:8">
      <c r="A1715" s="1">
        <v>1714</v>
      </c>
      <c r="B1715" s="1" t="s">
        <v>3986</v>
      </c>
      <c r="C1715" s="1" t="s">
        <v>4028</v>
      </c>
      <c r="D1715" s="1" t="s">
        <v>3988</v>
      </c>
      <c r="E1715" s="1" t="s">
        <v>4029</v>
      </c>
      <c r="F1715" s="1" t="s">
        <v>3972</v>
      </c>
      <c r="G1715" s="1" t="s">
        <v>3973</v>
      </c>
      <c r="H1715" s="1" t="s">
        <v>18</v>
      </c>
    </row>
    <row r="1716" spans="1:8">
      <c r="A1716" s="1">
        <v>1715</v>
      </c>
      <c r="B1716" s="1" t="s">
        <v>3986</v>
      </c>
      <c r="C1716" s="1" t="s">
        <v>4030</v>
      </c>
      <c r="D1716" s="1" t="s">
        <v>3988</v>
      </c>
      <c r="E1716" s="1" t="s">
        <v>4031</v>
      </c>
      <c r="F1716" s="1" t="s">
        <v>3975</v>
      </c>
      <c r="G1716" s="1" t="s">
        <v>3976</v>
      </c>
      <c r="H1716" s="1" t="s">
        <v>18</v>
      </c>
    </row>
    <row r="1717" spans="1:8">
      <c r="A1717" s="1">
        <v>1716</v>
      </c>
      <c r="B1717" s="1" t="s">
        <v>3986</v>
      </c>
      <c r="C1717" s="1" t="s">
        <v>4032</v>
      </c>
      <c r="D1717" s="1" t="s">
        <v>3988</v>
      </c>
      <c r="E1717" s="1" t="s">
        <v>4033</v>
      </c>
      <c r="F1717" s="1" t="s">
        <v>4034</v>
      </c>
      <c r="G1717" s="1" t="s">
        <v>4035</v>
      </c>
      <c r="H1717" s="1" t="s">
        <v>18</v>
      </c>
    </row>
    <row r="1718" spans="1:8">
      <c r="A1718" s="1">
        <v>1717</v>
      </c>
      <c r="B1718" s="1" t="s">
        <v>3986</v>
      </c>
      <c r="C1718" s="1" t="s">
        <v>4036</v>
      </c>
      <c r="D1718" s="1" t="s">
        <v>3988</v>
      </c>
      <c r="E1718" s="1" t="s">
        <v>4037</v>
      </c>
      <c r="F1718" s="1" t="s">
        <v>4038</v>
      </c>
      <c r="G1718" s="1" t="s">
        <v>4039</v>
      </c>
      <c r="H1718" s="1" t="s">
        <v>18</v>
      </c>
    </row>
    <row r="1719" spans="1:8">
      <c r="A1719" s="1">
        <v>1718</v>
      </c>
      <c r="B1719" s="1" t="s">
        <v>3986</v>
      </c>
      <c r="C1719" s="1" t="s">
        <v>4040</v>
      </c>
      <c r="D1719" s="1" t="s">
        <v>3988</v>
      </c>
      <c r="E1719" s="1" t="s">
        <v>4041</v>
      </c>
      <c r="F1719" s="1" t="s">
        <v>3984</v>
      </c>
      <c r="G1719" s="1" t="s">
        <v>3985</v>
      </c>
      <c r="H1719" s="1" t="s">
        <v>18</v>
      </c>
    </row>
    <row r="1720" spans="1:8">
      <c r="A1720" s="1">
        <v>1719</v>
      </c>
      <c r="B1720" s="1" t="s">
        <v>3986</v>
      </c>
      <c r="C1720" s="1" t="s">
        <v>4042</v>
      </c>
      <c r="D1720" s="1" t="s">
        <v>3988</v>
      </c>
      <c r="E1720" s="1" t="s">
        <v>4043</v>
      </c>
      <c r="F1720" s="1" t="s">
        <v>4044</v>
      </c>
      <c r="G1720" s="1" t="s">
        <v>4045</v>
      </c>
      <c r="H1720" s="1" t="s">
        <v>18</v>
      </c>
    </row>
    <row r="1721" spans="1:8">
      <c r="A1721" s="1">
        <v>1720</v>
      </c>
      <c r="B1721" s="1" t="s">
        <v>3986</v>
      </c>
      <c r="C1721" s="1" t="s">
        <v>4046</v>
      </c>
      <c r="D1721" s="1" t="s">
        <v>3988</v>
      </c>
      <c r="E1721" s="1" t="s">
        <v>4047</v>
      </c>
      <c r="F1721" s="1" t="s">
        <v>4048</v>
      </c>
      <c r="G1721" s="1" t="s">
        <v>4049</v>
      </c>
      <c r="H1721" s="1" t="s">
        <v>18</v>
      </c>
    </row>
    <row r="1722" spans="1:8">
      <c r="A1722" s="1">
        <v>1721</v>
      </c>
      <c r="B1722" s="1" t="s">
        <v>3986</v>
      </c>
      <c r="C1722" s="1" t="s">
        <v>4050</v>
      </c>
      <c r="D1722" s="1" t="s">
        <v>3988</v>
      </c>
      <c r="E1722" s="1" t="s">
        <v>4051</v>
      </c>
      <c r="F1722" s="1" t="s">
        <v>4052</v>
      </c>
      <c r="G1722" s="1" t="s">
        <v>4053</v>
      </c>
      <c r="H1722" s="1" t="s">
        <v>18</v>
      </c>
    </row>
    <row r="1723" spans="1:8">
      <c r="A1723" s="1">
        <v>1722</v>
      </c>
      <c r="B1723" s="1" t="s">
        <v>3986</v>
      </c>
      <c r="C1723" s="1" t="s">
        <v>4054</v>
      </c>
      <c r="D1723" s="1" t="s">
        <v>3988</v>
      </c>
      <c r="E1723" s="1" t="s">
        <v>4055</v>
      </c>
      <c r="F1723" s="1" t="s">
        <v>4056</v>
      </c>
      <c r="G1723" s="1" t="s">
        <v>4057</v>
      </c>
      <c r="H1723" s="1" t="s">
        <v>18</v>
      </c>
    </row>
    <row r="1724" spans="1:8">
      <c r="A1724" s="1">
        <v>1723</v>
      </c>
      <c r="B1724" s="1" t="s">
        <v>4058</v>
      </c>
      <c r="C1724" s="1" t="s">
        <v>251</v>
      </c>
      <c r="D1724" s="1" t="s">
        <v>4059</v>
      </c>
      <c r="E1724" s="1" t="s">
        <v>4060</v>
      </c>
      <c r="F1724" s="1" t="s">
        <v>12</v>
      </c>
      <c r="G1724" s="1" t="s">
        <v>13</v>
      </c>
      <c r="H1724" s="1" t="s">
        <v>18</v>
      </c>
    </row>
    <row r="1725" spans="1:8">
      <c r="A1725" s="1">
        <v>1724</v>
      </c>
      <c r="B1725" s="1" t="s">
        <v>4058</v>
      </c>
      <c r="C1725" s="1" t="s">
        <v>254</v>
      </c>
      <c r="D1725" s="1" t="s">
        <v>4059</v>
      </c>
      <c r="E1725" s="1" t="s">
        <v>4061</v>
      </c>
      <c r="F1725" s="1" t="s">
        <v>16</v>
      </c>
      <c r="G1725" s="1" t="s">
        <v>17</v>
      </c>
      <c r="H1725" s="1" t="s">
        <v>18</v>
      </c>
    </row>
    <row r="1726" spans="1:8">
      <c r="A1726" s="1">
        <v>1725</v>
      </c>
      <c r="B1726" s="1" t="s">
        <v>4058</v>
      </c>
      <c r="C1726" s="1" t="s">
        <v>256</v>
      </c>
      <c r="D1726" s="1" t="s">
        <v>4059</v>
      </c>
      <c r="E1726" s="1" t="s">
        <v>4062</v>
      </c>
      <c r="F1726" s="1" t="s">
        <v>21</v>
      </c>
      <c r="G1726" s="1" t="s">
        <v>22</v>
      </c>
      <c r="H1726" s="1" t="s">
        <v>18</v>
      </c>
    </row>
    <row r="1727" spans="1:8">
      <c r="A1727" s="1">
        <v>1726</v>
      </c>
      <c r="B1727" s="1" t="s">
        <v>4058</v>
      </c>
      <c r="C1727" s="1" t="s">
        <v>260</v>
      </c>
      <c r="D1727" s="1" t="s">
        <v>4059</v>
      </c>
      <c r="E1727" s="1" t="s">
        <v>4063</v>
      </c>
      <c r="F1727" s="1" t="s">
        <v>37</v>
      </c>
      <c r="G1727" s="1" t="s">
        <v>38</v>
      </c>
      <c r="H1727" s="1" t="s">
        <v>18</v>
      </c>
    </row>
    <row r="1728" spans="1:8">
      <c r="A1728" s="1">
        <v>1727</v>
      </c>
      <c r="B1728" s="1" t="s">
        <v>4058</v>
      </c>
      <c r="C1728" s="1" t="s">
        <v>262</v>
      </c>
      <c r="D1728" s="1" t="s">
        <v>4059</v>
      </c>
      <c r="E1728" s="1" t="s">
        <v>4064</v>
      </c>
      <c r="F1728" s="1" t="s">
        <v>41</v>
      </c>
      <c r="G1728" s="1" t="s">
        <v>42</v>
      </c>
      <c r="H1728" s="1" t="s">
        <v>18</v>
      </c>
    </row>
    <row r="1729" spans="1:8">
      <c r="A1729" s="1">
        <v>1728</v>
      </c>
      <c r="B1729" s="1" t="s">
        <v>4058</v>
      </c>
      <c r="C1729" s="1" t="s">
        <v>264</v>
      </c>
      <c r="D1729" s="1" t="s">
        <v>4059</v>
      </c>
      <c r="E1729" s="1" t="s">
        <v>4065</v>
      </c>
      <c r="F1729" s="1" t="s">
        <v>29</v>
      </c>
      <c r="G1729" s="1" t="s">
        <v>30</v>
      </c>
      <c r="H1729" s="1" t="s">
        <v>18</v>
      </c>
    </row>
    <row r="1730" spans="1:8">
      <c r="A1730" s="1">
        <v>1729</v>
      </c>
      <c r="B1730" s="1" t="s">
        <v>4066</v>
      </c>
      <c r="C1730" s="1" t="s">
        <v>84</v>
      </c>
      <c r="D1730" s="1" t="s">
        <v>4067</v>
      </c>
      <c r="E1730" s="1" t="s">
        <v>4068</v>
      </c>
      <c r="F1730" s="1" t="s">
        <v>4069</v>
      </c>
      <c r="G1730" s="1" t="s">
        <v>4070</v>
      </c>
      <c r="H1730" s="1" t="s">
        <v>18</v>
      </c>
    </row>
    <row r="1731" spans="1:8">
      <c r="A1731" s="1">
        <v>1730</v>
      </c>
      <c r="B1731" s="1" t="s">
        <v>4071</v>
      </c>
      <c r="C1731" s="1" t="s">
        <v>267</v>
      </c>
      <c r="D1731" s="1" t="s">
        <v>4072</v>
      </c>
      <c r="E1731" s="1" t="s">
        <v>4073</v>
      </c>
      <c r="F1731" s="1" t="s">
        <v>4074</v>
      </c>
      <c r="G1731" s="1" t="s">
        <v>4075</v>
      </c>
      <c r="H1731" s="1" t="s">
        <v>18</v>
      </c>
    </row>
    <row r="1732" spans="1:8">
      <c r="A1732" s="1">
        <v>1731</v>
      </c>
      <c r="B1732" s="1" t="s">
        <v>4071</v>
      </c>
      <c r="C1732" s="1" t="s">
        <v>272</v>
      </c>
      <c r="D1732" s="1" t="s">
        <v>4072</v>
      </c>
      <c r="E1732" s="1" t="s">
        <v>4076</v>
      </c>
      <c r="F1732" s="1" t="s">
        <v>4077</v>
      </c>
      <c r="G1732" s="1" t="s">
        <v>4078</v>
      </c>
      <c r="H1732" s="1" t="s">
        <v>18</v>
      </c>
    </row>
    <row r="1733" spans="1:8">
      <c r="A1733" s="1">
        <v>1732</v>
      </c>
      <c r="B1733" s="1" t="s">
        <v>4071</v>
      </c>
      <c r="C1733" s="1" t="s">
        <v>276</v>
      </c>
      <c r="D1733" s="1" t="s">
        <v>4072</v>
      </c>
      <c r="E1733" s="1" t="s">
        <v>4079</v>
      </c>
      <c r="F1733" s="1" t="s">
        <v>4080</v>
      </c>
      <c r="G1733" s="1" t="s">
        <v>4081</v>
      </c>
      <c r="H1733" s="1" t="s">
        <v>18</v>
      </c>
    </row>
    <row r="1734" spans="1:8">
      <c r="A1734" s="1">
        <v>1733</v>
      </c>
      <c r="B1734" s="1" t="s">
        <v>4071</v>
      </c>
      <c r="C1734" s="1" t="s">
        <v>280</v>
      </c>
      <c r="D1734" s="1" t="s">
        <v>4072</v>
      </c>
      <c r="E1734" s="1" t="s">
        <v>4082</v>
      </c>
      <c r="F1734" s="1" t="s">
        <v>4083</v>
      </c>
      <c r="G1734" s="1" t="s">
        <v>4084</v>
      </c>
      <c r="H1734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797"/>
  <sheetViews>
    <sheetView workbookViewId="0">
      <selection activeCell="N8" sqref="N8"/>
    </sheetView>
  </sheetViews>
  <sheetFormatPr defaultColWidth="9" defaultRowHeight="13.5"/>
  <cols>
    <col min="1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Q1" s="3"/>
    </row>
    <row r="2" spans="1:17">
      <c r="A2" s="1">
        <v>1</v>
      </c>
      <c r="B2" s="1" t="s">
        <v>4085</v>
      </c>
      <c r="D2" s="1" t="s">
        <v>4086</v>
      </c>
      <c r="E2" s="1" t="s">
        <v>3360</v>
      </c>
      <c r="F2" s="1" t="s">
        <v>4087</v>
      </c>
      <c r="G2" s="1" t="s">
        <v>4088</v>
      </c>
      <c r="H2" s="1" t="str">
        <f>IFERROR(IF(OR(MID(G2,FIND(":",G2)-1,1)="""",MID(G2,FIND(":",G2)-1,1)="}",MID(G2,FIND(":",G2)-1,1)=")",MID(G2,FIND(":",G2)-1,1)="]"),"",LEFT(F2,FIND(":",F2)-1)),"")</f>
        <v>AIX</v>
      </c>
      <c r="I2" s="1" t="str">
        <f>IFERROR(IF(OR(MID(G2,FIND(":",G2)-1,1)="""",MID(G2,FIND(":",G2)-1,1)="}",MID(G2,FIND(":",G2)-1,1)=")",MID(G2,FIND(":",G2)-1,1)="]"),"",RIGHT(G2,LEN(G2)-FIND(":",G2)-1)),"")</f>
        <v>服务器上缺少可用内存</v>
      </c>
      <c r="J2" s="1" t="str">
        <f>IF(AND(I2="",H2=""),G2,IF(H2="",I2,H2&amp;": "&amp;I2))</f>
        <v>AIX: 服务器上缺少可用内存</v>
      </c>
      <c r="K2" s="1" t="str">
        <f>IFERROR(IF(OR(MID(F2,FIND(":",F2)-1,1)="""",MID(F2,FIND(":",F2)-1,1)="}",MID(F2,FIND(":",F2)-1,1)=")",MID(F2,FIND(":",F2)-1,1)="]"),"",RIGHT(F2,LEN(F2)-FIND(":",F2)-1)),"")</f>
        <v>Lack of available memory on server</v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AIX: 服务器上缺少可用内存</v>
      </c>
      <c r="Q2" s="1" t="str">
        <f>IF(P2&lt;&gt;G2,"校验","")</f>
        <v/>
      </c>
    </row>
    <row r="3" spans="1:7">
      <c r="A3" s="1">
        <v>2</v>
      </c>
      <c r="B3" s="1" t="s">
        <v>4089</v>
      </c>
      <c r="D3" s="1" t="s">
        <v>4086</v>
      </c>
      <c r="E3" s="1" t="s">
        <v>3214</v>
      </c>
      <c r="F3" s="1" t="s">
        <v>4090</v>
      </c>
      <c r="G3" s="1" t="s">
        <v>4091</v>
      </c>
    </row>
    <row r="4" spans="1:7">
      <c r="A4" s="1">
        <v>3</v>
      </c>
      <c r="B4" s="1" t="s">
        <v>4092</v>
      </c>
      <c r="D4" s="1" t="s">
        <v>4086</v>
      </c>
      <c r="E4" s="1" t="s">
        <v>3217</v>
      </c>
      <c r="F4" s="1" t="s">
        <v>4093</v>
      </c>
      <c r="G4" s="1" t="s">
        <v>4094</v>
      </c>
    </row>
    <row r="5" spans="1:7">
      <c r="A5" s="1">
        <v>4</v>
      </c>
      <c r="B5" s="1" t="s">
        <v>4095</v>
      </c>
      <c r="D5" s="1" t="s">
        <v>4086</v>
      </c>
      <c r="E5" s="1" t="s">
        <v>3205</v>
      </c>
      <c r="F5" s="1" t="s">
        <v>4096</v>
      </c>
      <c r="G5" s="1" t="s">
        <v>4097</v>
      </c>
    </row>
    <row r="6" spans="1:7">
      <c r="A6" s="1">
        <v>5</v>
      </c>
      <c r="B6" s="1" t="s">
        <v>4098</v>
      </c>
      <c r="D6" s="1" t="s">
        <v>4086</v>
      </c>
      <c r="E6" s="1" t="s">
        <v>3223</v>
      </c>
      <c r="F6" s="1" t="s">
        <v>4099</v>
      </c>
      <c r="G6" s="1" t="s">
        <v>4100</v>
      </c>
    </row>
    <row r="7" spans="1:7">
      <c r="A7" s="1">
        <v>6</v>
      </c>
      <c r="B7" s="1" t="s">
        <v>4101</v>
      </c>
      <c r="D7" s="1" t="s">
        <v>4086</v>
      </c>
      <c r="E7" s="1" t="s">
        <v>3226</v>
      </c>
      <c r="F7" s="1" t="s">
        <v>4102</v>
      </c>
      <c r="G7" s="1" t="s">
        <v>4103</v>
      </c>
    </row>
    <row r="8" spans="1:7">
      <c r="A8" s="1">
        <v>7</v>
      </c>
      <c r="B8" s="1" t="s">
        <v>4104</v>
      </c>
      <c r="D8" s="1" t="s">
        <v>4086</v>
      </c>
      <c r="E8" s="1" t="s">
        <v>3220</v>
      </c>
      <c r="F8" s="1" t="s">
        <v>4105</v>
      </c>
      <c r="G8" s="1" t="s">
        <v>4106</v>
      </c>
    </row>
    <row r="9" spans="1:7">
      <c r="A9" s="1">
        <v>8</v>
      </c>
      <c r="B9" s="1" t="s">
        <v>4107</v>
      </c>
      <c r="D9" s="1" t="s">
        <v>4086</v>
      </c>
      <c r="E9" s="1" t="s">
        <v>3208</v>
      </c>
      <c r="F9" s="1" t="s">
        <v>4108</v>
      </c>
      <c r="G9" s="1" t="s">
        <v>4109</v>
      </c>
    </row>
    <row r="10" spans="1:7">
      <c r="A10" s="1">
        <v>9</v>
      </c>
      <c r="B10" s="1" t="s">
        <v>4110</v>
      </c>
      <c r="D10" s="1" t="s">
        <v>4086</v>
      </c>
      <c r="E10" s="1" t="s">
        <v>3211</v>
      </c>
      <c r="F10" s="1" t="s">
        <v>4111</v>
      </c>
      <c r="G10" s="1" t="s">
        <v>4112</v>
      </c>
    </row>
    <row r="11" spans="1:7">
      <c r="A11" s="1">
        <v>10</v>
      </c>
      <c r="B11" s="1" t="s">
        <v>4113</v>
      </c>
      <c r="D11" s="1" t="s">
        <v>4086</v>
      </c>
      <c r="E11" s="1" t="s">
        <v>4114</v>
      </c>
      <c r="F11" s="1" t="s">
        <v>4115</v>
      </c>
      <c r="G11" s="1" t="s">
        <v>4116</v>
      </c>
    </row>
    <row r="12" spans="1:7">
      <c r="A12" s="1">
        <v>11</v>
      </c>
      <c r="B12" s="1" t="s">
        <v>4117</v>
      </c>
      <c r="D12" s="1" t="s">
        <v>4118</v>
      </c>
      <c r="E12" s="1" t="s">
        <v>4119</v>
      </c>
      <c r="F12" s="1" t="s">
        <v>4120</v>
      </c>
      <c r="G12" s="1" t="s">
        <v>4121</v>
      </c>
    </row>
    <row r="13" spans="1:7">
      <c r="A13" s="1">
        <v>12</v>
      </c>
      <c r="B13" s="1" t="s">
        <v>4122</v>
      </c>
      <c r="D13" s="1" t="s">
        <v>4118</v>
      </c>
      <c r="E13" s="1" t="s">
        <v>4123</v>
      </c>
      <c r="F13" s="1" t="s">
        <v>4124</v>
      </c>
      <c r="G13" s="1" t="s">
        <v>4125</v>
      </c>
    </row>
    <row r="14" spans="1:7">
      <c r="A14" s="1">
        <v>13</v>
      </c>
      <c r="B14" s="1" t="s">
        <v>4126</v>
      </c>
      <c r="D14" s="1" t="s">
        <v>4118</v>
      </c>
      <c r="E14" s="1" t="s">
        <v>213</v>
      </c>
      <c r="F14" s="1" t="s">
        <v>4127</v>
      </c>
      <c r="G14" s="1" t="s">
        <v>4128</v>
      </c>
    </row>
    <row r="15" spans="1:7">
      <c r="A15" s="1">
        <v>14</v>
      </c>
      <c r="B15" s="1" t="s">
        <v>4129</v>
      </c>
      <c r="D15" s="1" t="s">
        <v>4118</v>
      </c>
      <c r="E15" s="1" t="s">
        <v>215</v>
      </c>
      <c r="F15" s="1" t="s">
        <v>4130</v>
      </c>
      <c r="G15" s="1" t="s">
        <v>4131</v>
      </c>
    </row>
    <row r="16" spans="1:7">
      <c r="A16" s="1">
        <v>15</v>
      </c>
      <c r="B16" s="1" t="s">
        <v>4132</v>
      </c>
      <c r="D16" s="1" t="s">
        <v>4118</v>
      </c>
      <c r="E16" s="1" t="s">
        <v>219</v>
      </c>
      <c r="F16" s="1" t="s">
        <v>4133</v>
      </c>
      <c r="G16" s="1" t="s">
        <v>4134</v>
      </c>
    </row>
    <row r="17" spans="1:7">
      <c r="A17" s="1">
        <v>16</v>
      </c>
      <c r="B17" s="1" t="s">
        <v>4135</v>
      </c>
      <c r="D17" s="1" t="s">
        <v>4118</v>
      </c>
      <c r="E17" s="1" t="s">
        <v>221</v>
      </c>
      <c r="F17" s="1" t="s">
        <v>4136</v>
      </c>
      <c r="G17" s="1" t="s">
        <v>4137</v>
      </c>
    </row>
    <row r="18" spans="1:7">
      <c r="A18" s="1">
        <v>17</v>
      </c>
      <c r="B18" s="1" t="s">
        <v>4138</v>
      </c>
      <c r="D18" s="1" t="s">
        <v>4118</v>
      </c>
      <c r="E18" s="1" t="s">
        <v>225</v>
      </c>
      <c r="F18" s="1" t="s">
        <v>4139</v>
      </c>
      <c r="G18" s="1" t="s">
        <v>4140</v>
      </c>
    </row>
    <row r="19" spans="1:7">
      <c r="A19" s="1">
        <v>18</v>
      </c>
      <c r="B19" s="1" t="s">
        <v>4141</v>
      </c>
      <c r="D19" s="1" t="s">
        <v>4118</v>
      </c>
      <c r="E19" s="1" t="s">
        <v>4142</v>
      </c>
      <c r="F19" s="1" t="s">
        <v>4143</v>
      </c>
      <c r="G19" s="1" t="s">
        <v>4144</v>
      </c>
    </row>
    <row r="20" spans="1:7">
      <c r="A20" s="1">
        <v>19</v>
      </c>
      <c r="B20" s="1" t="s">
        <v>4145</v>
      </c>
      <c r="D20" s="1" t="s">
        <v>4118</v>
      </c>
      <c r="E20" s="1" t="s">
        <v>4146</v>
      </c>
      <c r="F20" s="1" t="s">
        <v>4147</v>
      </c>
      <c r="G20" s="1" t="s">
        <v>4148</v>
      </c>
    </row>
    <row r="21" spans="1:7">
      <c r="A21" s="1">
        <v>20</v>
      </c>
      <c r="B21" s="1" t="s">
        <v>4149</v>
      </c>
      <c r="D21" s="1" t="s">
        <v>4118</v>
      </c>
      <c r="E21" s="1" t="s">
        <v>4150</v>
      </c>
      <c r="F21" s="1" t="s">
        <v>4151</v>
      </c>
      <c r="G21" s="1" t="s">
        <v>4152</v>
      </c>
    </row>
    <row r="22" spans="1:7">
      <c r="A22" s="1">
        <v>21</v>
      </c>
      <c r="B22" s="1" t="s">
        <v>4153</v>
      </c>
      <c r="D22" s="1" t="s">
        <v>4118</v>
      </c>
      <c r="E22" s="1" t="s">
        <v>4154</v>
      </c>
      <c r="F22" s="1" t="s">
        <v>4155</v>
      </c>
      <c r="G22" s="1" t="s">
        <v>4156</v>
      </c>
    </row>
    <row r="23" spans="1:7">
      <c r="A23" s="1">
        <v>22</v>
      </c>
      <c r="B23" s="1" t="s">
        <v>4157</v>
      </c>
      <c r="D23" s="1" t="s">
        <v>4118</v>
      </c>
      <c r="E23" s="1" t="s">
        <v>4158</v>
      </c>
      <c r="F23" s="1" t="s">
        <v>4159</v>
      </c>
      <c r="G23" s="1" t="s">
        <v>4160</v>
      </c>
    </row>
    <row r="24" spans="1:7">
      <c r="A24" s="1">
        <v>23</v>
      </c>
      <c r="B24" s="1" t="s">
        <v>4161</v>
      </c>
      <c r="D24" s="1" t="s">
        <v>4118</v>
      </c>
      <c r="E24" s="1" t="s">
        <v>4162</v>
      </c>
      <c r="F24" s="1" t="s">
        <v>4163</v>
      </c>
      <c r="G24" s="1" t="s">
        <v>4164</v>
      </c>
    </row>
    <row r="25" spans="1:7">
      <c r="A25" s="1">
        <v>24</v>
      </c>
      <c r="B25" s="1" t="s">
        <v>4165</v>
      </c>
      <c r="D25" s="1" t="s">
        <v>4118</v>
      </c>
      <c r="E25" s="1" t="s">
        <v>4166</v>
      </c>
      <c r="F25" s="1" t="s">
        <v>4167</v>
      </c>
      <c r="G25" s="1" t="s">
        <v>4168</v>
      </c>
    </row>
    <row r="26" spans="1:7">
      <c r="A26" s="1">
        <v>25</v>
      </c>
      <c r="B26" s="1" t="s">
        <v>4169</v>
      </c>
      <c r="D26" s="1" t="s">
        <v>4118</v>
      </c>
      <c r="E26" s="1" t="s">
        <v>4170</v>
      </c>
      <c r="F26" s="1" t="s">
        <v>4171</v>
      </c>
      <c r="G26" s="1" t="s">
        <v>4172</v>
      </c>
    </row>
    <row r="27" spans="1:7">
      <c r="A27" s="1">
        <v>26</v>
      </c>
      <c r="B27" s="1" t="s">
        <v>4173</v>
      </c>
      <c r="D27" s="1" t="s">
        <v>4118</v>
      </c>
      <c r="E27" s="1" t="s">
        <v>1342</v>
      </c>
      <c r="F27" s="1" t="s">
        <v>4174</v>
      </c>
      <c r="G27" s="1" t="s">
        <v>4175</v>
      </c>
    </row>
    <row r="28" spans="1:7">
      <c r="A28" s="1">
        <v>27</v>
      </c>
      <c r="B28" s="1" t="s">
        <v>4176</v>
      </c>
      <c r="D28" s="1" t="s">
        <v>4118</v>
      </c>
      <c r="E28" s="1" t="s">
        <v>1346</v>
      </c>
      <c r="F28" s="1" t="s">
        <v>4177</v>
      </c>
      <c r="G28" s="1" t="s">
        <v>4178</v>
      </c>
    </row>
    <row r="29" spans="1:7">
      <c r="A29" s="1">
        <v>28</v>
      </c>
      <c r="B29" s="1" t="s">
        <v>4179</v>
      </c>
      <c r="D29" s="1" t="s">
        <v>4118</v>
      </c>
      <c r="E29" s="1" t="s">
        <v>4180</v>
      </c>
      <c r="F29" s="1" t="s">
        <v>4181</v>
      </c>
      <c r="G29" s="1" t="s">
        <v>4182</v>
      </c>
    </row>
    <row r="30" spans="1:7">
      <c r="A30" s="1">
        <v>29</v>
      </c>
      <c r="B30" s="1" t="s">
        <v>4183</v>
      </c>
      <c r="D30" s="1" t="s">
        <v>4118</v>
      </c>
      <c r="E30" s="1" t="s">
        <v>4184</v>
      </c>
      <c r="F30" s="1" t="s">
        <v>4185</v>
      </c>
      <c r="G30" s="1" t="s">
        <v>4186</v>
      </c>
    </row>
    <row r="31" spans="1:7">
      <c r="A31" s="1">
        <v>30</v>
      </c>
      <c r="B31" s="1" t="s">
        <v>4187</v>
      </c>
      <c r="D31" s="1" t="s">
        <v>4118</v>
      </c>
      <c r="E31" s="1" t="s">
        <v>4188</v>
      </c>
      <c r="F31" s="1" t="s">
        <v>4189</v>
      </c>
      <c r="G31" s="1" t="s">
        <v>4190</v>
      </c>
    </row>
    <row r="32" spans="1:7">
      <c r="A32" s="1">
        <v>31</v>
      </c>
      <c r="B32" s="1" t="s">
        <v>4191</v>
      </c>
      <c r="D32" s="1" t="s">
        <v>4118</v>
      </c>
      <c r="E32" s="1" t="s">
        <v>4192</v>
      </c>
      <c r="F32" s="1" t="s">
        <v>4193</v>
      </c>
      <c r="G32" s="1" t="s">
        <v>4194</v>
      </c>
    </row>
    <row r="33" spans="1:7">
      <c r="A33" s="1">
        <v>32</v>
      </c>
      <c r="B33" s="1" t="s">
        <v>4195</v>
      </c>
      <c r="D33" s="1" t="s">
        <v>4118</v>
      </c>
      <c r="E33" s="1" t="s">
        <v>4196</v>
      </c>
      <c r="F33" s="1" t="s">
        <v>4197</v>
      </c>
      <c r="G33" s="1" t="s">
        <v>4198</v>
      </c>
    </row>
    <row r="34" spans="1:7">
      <c r="A34" s="1">
        <v>33</v>
      </c>
      <c r="B34" s="1" t="s">
        <v>4199</v>
      </c>
      <c r="D34" s="1" t="s">
        <v>4200</v>
      </c>
      <c r="E34" s="1" t="s">
        <v>1085</v>
      </c>
      <c r="F34" s="1" t="s">
        <v>4201</v>
      </c>
      <c r="G34" s="1" t="s">
        <v>4202</v>
      </c>
    </row>
    <row r="35" spans="1:7">
      <c r="A35" s="1">
        <v>34</v>
      </c>
      <c r="B35" s="1" t="s">
        <v>4203</v>
      </c>
      <c r="D35" s="1" t="s">
        <v>4200</v>
      </c>
      <c r="E35" s="1" t="s">
        <v>1088</v>
      </c>
      <c r="F35" s="1" t="s">
        <v>4204</v>
      </c>
      <c r="G35" s="1" t="s">
        <v>4205</v>
      </c>
    </row>
    <row r="36" spans="1:7">
      <c r="A36" s="1">
        <v>35</v>
      </c>
      <c r="B36" s="1" t="s">
        <v>4206</v>
      </c>
      <c r="D36" s="1" t="s">
        <v>4200</v>
      </c>
      <c r="E36" s="1" t="s">
        <v>4207</v>
      </c>
      <c r="F36" s="1" t="s">
        <v>4208</v>
      </c>
      <c r="G36" s="1" t="s">
        <v>4209</v>
      </c>
    </row>
    <row r="37" spans="1:7">
      <c r="A37" s="1">
        <v>36</v>
      </c>
      <c r="B37" s="1" t="s">
        <v>4210</v>
      </c>
      <c r="D37" s="1" t="s">
        <v>4200</v>
      </c>
      <c r="E37" s="1" t="s">
        <v>1091</v>
      </c>
      <c r="F37" s="1" t="s">
        <v>4211</v>
      </c>
      <c r="G37" s="1" t="s">
        <v>4212</v>
      </c>
    </row>
    <row r="38" spans="1:7">
      <c r="A38" s="1">
        <v>37</v>
      </c>
      <c r="B38" s="1" t="s">
        <v>4213</v>
      </c>
      <c r="D38" s="1" t="s">
        <v>4200</v>
      </c>
      <c r="E38" s="1" t="s">
        <v>1093</v>
      </c>
      <c r="F38" s="1" t="s">
        <v>4214</v>
      </c>
      <c r="G38" s="1" t="s">
        <v>4215</v>
      </c>
    </row>
    <row r="39" spans="1:7">
      <c r="A39" s="1">
        <v>38</v>
      </c>
      <c r="B39" s="1" t="s">
        <v>4216</v>
      </c>
      <c r="D39" s="1" t="s">
        <v>4200</v>
      </c>
      <c r="E39" s="1" t="s">
        <v>1096</v>
      </c>
      <c r="F39" s="1" t="s">
        <v>4217</v>
      </c>
      <c r="G39" s="1" t="s">
        <v>4218</v>
      </c>
    </row>
    <row r="40" spans="1:7">
      <c r="A40" s="1">
        <v>39</v>
      </c>
      <c r="B40" s="1" t="s">
        <v>4219</v>
      </c>
      <c r="D40" s="1" t="s">
        <v>4200</v>
      </c>
      <c r="E40" s="1" t="s">
        <v>1099</v>
      </c>
      <c r="F40" s="1" t="s">
        <v>4220</v>
      </c>
      <c r="G40" s="1" t="s">
        <v>4221</v>
      </c>
    </row>
    <row r="41" spans="1:7">
      <c r="A41" s="1">
        <v>40</v>
      </c>
      <c r="B41" s="1" t="s">
        <v>4222</v>
      </c>
      <c r="D41" s="1" t="s">
        <v>4200</v>
      </c>
      <c r="E41" s="1" t="s">
        <v>1102</v>
      </c>
      <c r="F41" s="1" t="s">
        <v>4223</v>
      </c>
      <c r="G41" s="1" t="s">
        <v>4224</v>
      </c>
    </row>
    <row r="42" spans="1:7">
      <c r="A42" s="1">
        <v>41</v>
      </c>
      <c r="B42" s="1" t="s">
        <v>4225</v>
      </c>
      <c r="D42" s="1" t="s">
        <v>4200</v>
      </c>
      <c r="E42" s="1" t="s">
        <v>1105</v>
      </c>
      <c r="F42" s="1" t="s">
        <v>4226</v>
      </c>
      <c r="G42" s="1" t="s">
        <v>4227</v>
      </c>
    </row>
    <row r="43" spans="1:7">
      <c r="A43" s="1">
        <v>42</v>
      </c>
      <c r="B43" s="1" t="s">
        <v>4228</v>
      </c>
      <c r="D43" s="1" t="s">
        <v>4200</v>
      </c>
      <c r="E43" s="1" t="s">
        <v>1107</v>
      </c>
      <c r="F43" s="1" t="s">
        <v>4229</v>
      </c>
      <c r="G43" s="1" t="s">
        <v>4230</v>
      </c>
    </row>
    <row r="44" spans="1:7">
      <c r="A44" s="1">
        <v>43</v>
      </c>
      <c r="B44" s="1" t="s">
        <v>4231</v>
      </c>
      <c r="D44" s="1" t="s">
        <v>4200</v>
      </c>
      <c r="E44" s="1" t="s">
        <v>1110</v>
      </c>
      <c r="F44" s="1" t="s">
        <v>4232</v>
      </c>
      <c r="G44" s="1" t="s">
        <v>4233</v>
      </c>
    </row>
    <row r="45" spans="1:7">
      <c r="A45" s="1">
        <v>44</v>
      </c>
      <c r="B45" s="1" t="s">
        <v>4234</v>
      </c>
      <c r="D45" s="1" t="s">
        <v>4200</v>
      </c>
      <c r="E45" s="1" t="s">
        <v>1113</v>
      </c>
      <c r="F45" s="1" t="s">
        <v>4235</v>
      </c>
      <c r="G45" s="1" t="s">
        <v>4236</v>
      </c>
    </row>
    <row r="46" spans="1:7">
      <c r="A46" s="1">
        <v>45</v>
      </c>
      <c r="B46" s="1" t="s">
        <v>4237</v>
      </c>
      <c r="D46" s="1" t="s">
        <v>4200</v>
      </c>
      <c r="E46" s="1" t="s">
        <v>1115</v>
      </c>
      <c r="F46" s="1" t="s">
        <v>4238</v>
      </c>
      <c r="G46" s="1" t="s">
        <v>4239</v>
      </c>
    </row>
    <row r="47" spans="1:7">
      <c r="A47" s="1">
        <v>46</v>
      </c>
      <c r="B47" s="1" t="s">
        <v>4240</v>
      </c>
      <c r="D47" s="1" t="s">
        <v>4200</v>
      </c>
      <c r="E47" s="1" t="s">
        <v>1118</v>
      </c>
      <c r="F47" s="1" t="s">
        <v>4241</v>
      </c>
      <c r="G47" s="1" t="s">
        <v>4242</v>
      </c>
    </row>
    <row r="48" spans="1:7">
      <c r="A48" s="1">
        <v>47</v>
      </c>
      <c r="B48" s="1" t="s">
        <v>4243</v>
      </c>
      <c r="D48" s="1" t="s">
        <v>4200</v>
      </c>
      <c r="E48" s="1" t="s">
        <v>1121</v>
      </c>
      <c r="F48" s="1" t="s">
        <v>4244</v>
      </c>
      <c r="G48" s="1" t="s">
        <v>4245</v>
      </c>
    </row>
    <row r="49" spans="1:7">
      <c r="A49" s="1">
        <v>48</v>
      </c>
      <c r="B49" s="1" t="s">
        <v>4246</v>
      </c>
      <c r="D49" s="1" t="s">
        <v>4200</v>
      </c>
      <c r="E49" s="1" t="s">
        <v>1123</v>
      </c>
      <c r="F49" s="1" t="s">
        <v>4247</v>
      </c>
      <c r="G49" s="1" t="s">
        <v>4248</v>
      </c>
    </row>
    <row r="50" spans="1:7">
      <c r="A50" s="1">
        <v>49</v>
      </c>
      <c r="B50" s="1" t="s">
        <v>4249</v>
      </c>
      <c r="D50" s="1" t="s">
        <v>4200</v>
      </c>
      <c r="E50" s="1" t="s">
        <v>4250</v>
      </c>
      <c r="F50" s="1" t="s">
        <v>4251</v>
      </c>
      <c r="G50" s="1" t="s">
        <v>4252</v>
      </c>
    </row>
    <row r="51" spans="1:7">
      <c r="A51" s="1">
        <v>50</v>
      </c>
      <c r="B51" s="1" t="s">
        <v>4253</v>
      </c>
      <c r="D51" s="1" t="s">
        <v>4200</v>
      </c>
      <c r="E51" s="1" t="s">
        <v>4254</v>
      </c>
      <c r="F51" s="1" t="s">
        <v>4255</v>
      </c>
      <c r="G51" s="1" t="s">
        <v>4256</v>
      </c>
    </row>
    <row r="52" spans="1:7">
      <c r="A52" s="1">
        <v>51</v>
      </c>
      <c r="B52" s="1" t="s">
        <v>4257</v>
      </c>
      <c r="D52" s="1" t="s">
        <v>4200</v>
      </c>
      <c r="E52" s="1" t="s">
        <v>1126</v>
      </c>
      <c r="F52" s="1" t="s">
        <v>4258</v>
      </c>
      <c r="G52" s="1" t="s">
        <v>4259</v>
      </c>
    </row>
    <row r="53" spans="1:7">
      <c r="A53" s="1">
        <v>52</v>
      </c>
      <c r="B53" s="1" t="s">
        <v>4260</v>
      </c>
      <c r="D53" s="1" t="s">
        <v>4200</v>
      </c>
      <c r="E53" s="1" t="s">
        <v>1134</v>
      </c>
      <c r="F53" s="1" t="s">
        <v>4261</v>
      </c>
      <c r="G53" s="1" t="s">
        <v>4262</v>
      </c>
    </row>
    <row r="54" spans="1:7">
      <c r="A54" s="1">
        <v>53</v>
      </c>
      <c r="B54" s="1" t="s">
        <v>4263</v>
      </c>
      <c r="D54" s="1" t="s">
        <v>4200</v>
      </c>
      <c r="E54" s="1" t="s">
        <v>1129</v>
      </c>
      <c r="F54" s="1" t="s">
        <v>4264</v>
      </c>
      <c r="G54" s="1" t="s">
        <v>4265</v>
      </c>
    </row>
    <row r="55" spans="1:7">
      <c r="A55" s="1">
        <v>54</v>
      </c>
      <c r="B55" s="1" t="s">
        <v>4266</v>
      </c>
      <c r="D55" s="1" t="s">
        <v>4200</v>
      </c>
      <c r="E55" s="1" t="s">
        <v>1132</v>
      </c>
      <c r="F55" s="1" t="s">
        <v>4267</v>
      </c>
      <c r="G55" s="1" t="s">
        <v>4268</v>
      </c>
    </row>
    <row r="56" spans="1:7">
      <c r="A56" s="1">
        <v>55</v>
      </c>
      <c r="B56" s="1" t="s">
        <v>4269</v>
      </c>
      <c r="D56" s="1" t="s">
        <v>4270</v>
      </c>
      <c r="E56" s="1" t="s">
        <v>1169</v>
      </c>
      <c r="F56" s="1" t="s">
        <v>4271</v>
      </c>
      <c r="G56" s="1" t="s">
        <v>4272</v>
      </c>
    </row>
    <row r="57" spans="1:7">
      <c r="A57" s="1">
        <v>56</v>
      </c>
      <c r="B57" s="1" t="s">
        <v>4273</v>
      </c>
      <c r="D57" s="1" t="s">
        <v>4270</v>
      </c>
      <c r="E57" s="1" t="s">
        <v>4274</v>
      </c>
      <c r="F57" s="1" t="s">
        <v>4275</v>
      </c>
      <c r="G57" s="1" t="s">
        <v>4276</v>
      </c>
    </row>
    <row r="58" spans="1:7">
      <c r="A58" s="1">
        <v>57</v>
      </c>
      <c r="B58" s="1" t="s">
        <v>4277</v>
      </c>
      <c r="D58" s="1" t="s">
        <v>4270</v>
      </c>
      <c r="E58" s="1" t="s">
        <v>4278</v>
      </c>
      <c r="F58" s="1" t="s">
        <v>4279</v>
      </c>
      <c r="G58" s="1" t="s">
        <v>4280</v>
      </c>
    </row>
    <row r="59" spans="1:7">
      <c r="A59" s="1">
        <v>58</v>
      </c>
      <c r="B59" s="1" t="s">
        <v>4281</v>
      </c>
      <c r="D59" s="1" t="s">
        <v>4270</v>
      </c>
      <c r="E59" s="1" t="s">
        <v>4282</v>
      </c>
      <c r="F59" s="1" t="s">
        <v>4283</v>
      </c>
      <c r="G59" s="1" t="s">
        <v>4284</v>
      </c>
    </row>
    <row r="60" spans="1:7">
      <c r="A60" s="1">
        <v>59</v>
      </c>
      <c r="B60" s="1" t="s">
        <v>4285</v>
      </c>
      <c r="D60" s="1" t="s">
        <v>4270</v>
      </c>
      <c r="E60" s="1" t="s">
        <v>4286</v>
      </c>
      <c r="F60" s="1" t="s">
        <v>4287</v>
      </c>
      <c r="G60" s="1" t="s">
        <v>4288</v>
      </c>
    </row>
    <row r="61" spans="1:7">
      <c r="A61" s="1">
        <v>60</v>
      </c>
      <c r="B61" s="1" t="s">
        <v>4289</v>
      </c>
      <c r="D61" s="1" t="s">
        <v>4270</v>
      </c>
      <c r="E61" s="1" t="s">
        <v>4290</v>
      </c>
      <c r="F61" s="1" t="s">
        <v>4291</v>
      </c>
      <c r="G61" s="1" t="s">
        <v>4292</v>
      </c>
    </row>
    <row r="62" spans="1:7">
      <c r="A62" s="1">
        <v>61</v>
      </c>
      <c r="B62" s="1" t="s">
        <v>4293</v>
      </c>
      <c r="D62" s="1" t="s">
        <v>4270</v>
      </c>
      <c r="E62" s="1" t="s">
        <v>4294</v>
      </c>
      <c r="F62" s="1" t="s">
        <v>4295</v>
      </c>
      <c r="G62" s="1" t="s">
        <v>4296</v>
      </c>
    </row>
    <row r="63" spans="1:7">
      <c r="A63" s="1">
        <v>62</v>
      </c>
      <c r="B63" s="1" t="s">
        <v>4297</v>
      </c>
      <c r="D63" s="1" t="s">
        <v>4270</v>
      </c>
      <c r="E63" s="1" t="s">
        <v>4298</v>
      </c>
      <c r="F63" s="1" t="s">
        <v>4299</v>
      </c>
      <c r="G63" s="1" t="s">
        <v>4300</v>
      </c>
    </row>
    <row r="64" spans="1:7">
      <c r="A64" s="1">
        <v>63</v>
      </c>
      <c r="B64" s="1" t="s">
        <v>4301</v>
      </c>
      <c r="D64" s="1" t="s">
        <v>4270</v>
      </c>
      <c r="E64" s="1" t="s">
        <v>4302</v>
      </c>
      <c r="F64" s="1" t="s">
        <v>4303</v>
      </c>
      <c r="G64" s="1" t="s">
        <v>4304</v>
      </c>
    </row>
    <row r="65" spans="1:7">
      <c r="A65" s="1">
        <v>64</v>
      </c>
      <c r="B65" s="1" t="s">
        <v>4305</v>
      </c>
      <c r="D65" s="1" t="s">
        <v>4270</v>
      </c>
      <c r="E65" s="1" t="s">
        <v>4306</v>
      </c>
      <c r="F65" s="1" t="s">
        <v>4307</v>
      </c>
      <c r="G65" s="1" t="s">
        <v>4308</v>
      </c>
    </row>
    <row r="66" spans="1:7">
      <c r="A66" s="1">
        <v>65</v>
      </c>
      <c r="B66" s="1" t="s">
        <v>4309</v>
      </c>
      <c r="D66" s="1" t="s">
        <v>4270</v>
      </c>
      <c r="E66" s="1" t="s">
        <v>4310</v>
      </c>
      <c r="F66" s="1" t="s">
        <v>4311</v>
      </c>
      <c r="G66" s="1" t="s">
        <v>4312</v>
      </c>
    </row>
    <row r="67" spans="1:7">
      <c r="A67" s="1">
        <v>66</v>
      </c>
      <c r="B67" s="1" t="s">
        <v>4313</v>
      </c>
      <c r="D67" s="1" t="s">
        <v>4270</v>
      </c>
      <c r="E67" s="1" t="s">
        <v>4314</v>
      </c>
      <c r="F67" s="1" t="s">
        <v>4315</v>
      </c>
      <c r="G67" s="1" t="s">
        <v>4316</v>
      </c>
    </row>
    <row r="68" spans="1:7">
      <c r="A68" s="1">
        <v>67</v>
      </c>
      <c r="B68" s="1" t="s">
        <v>4317</v>
      </c>
      <c r="D68" s="1" t="s">
        <v>4270</v>
      </c>
      <c r="E68" s="1" t="s">
        <v>4318</v>
      </c>
      <c r="F68" s="1" t="s">
        <v>4319</v>
      </c>
      <c r="G68" s="1" t="s">
        <v>4320</v>
      </c>
    </row>
    <row r="69" spans="1:7">
      <c r="A69" s="1">
        <v>68</v>
      </c>
      <c r="B69" s="1" t="s">
        <v>4321</v>
      </c>
      <c r="D69" s="1" t="s">
        <v>4270</v>
      </c>
      <c r="E69" s="1" t="s">
        <v>4322</v>
      </c>
      <c r="F69" s="1" t="s">
        <v>4323</v>
      </c>
      <c r="G69" s="1" t="s">
        <v>4324</v>
      </c>
    </row>
    <row r="70" spans="1:7">
      <c r="A70" s="1">
        <v>69</v>
      </c>
      <c r="B70" s="1" t="s">
        <v>4325</v>
      </c>
      <c r="D70" s="1" t="s">
        <v>4270</v>
      </c>
      <c r="E70" s="1" t="s">
        <v>4326</v>
      </c>
      <c r="F70" s="1" t="s">
        <v>4327</v>
      </c>
      <c r="G70" s="1" t="s">
        <v>4328</v>
      </c>
    </row>
    <row r="71" spans="1:7">
      <c r="A71" s="1">
        <v>70</v>
      </c>
      <c r="B71" s="1" t="s">
        <v>4329</v>
      </c>
      <c r="D71" s="1" t="s">
        <v>4270</v>
      </c>
      <c r="E71" s="1" t="s">
        <v>4330</v>
      </c>
      <c r="F71" s="1" t="s">
        <v>4331</v>
      </c>
      <c r="G71" s="1" t="s">
        <v>4332</v>
      </c>
    </row>
    <row r="72" spans="1:7">
      <c r="A72" s="1">
        <v>71</v>
      </c>
      <c r="B72" s="1" t="s">
        <v>4333</v>
      </c>
      <c r="D72" s="1" t="s">
        <v>4270</v>
      </c>
      <c r="E72" s="1" t="s">
        <v>4334</v>
      </c>
      <c r="F72" s="1" t="s">
        <v>4335</v>
      </c>
      <c r="G72" s="1" t="s">
        <v>4336</v>
      </c>
    </row>
    <row r="73" spans="1:7">
      <c r="A73" s="1">
        <v>72</v>
      </c>
      <c r="B73" s="1" t="s">
        <v>4337</v>
      </c>
      <c r="D73" s="1" t="s">
        <v>4270</v>
      </c>
      <c r="E73" s="1" t="s">
        <v>4338</v>
      </c>
      <c r="F73" s="1" t="s">
        <v>4339</v>
      </c>
      <c r="G73" s="1" t="s">
        <v>4340</v>
      </c>
    </row>
    <row r="74" spans="1:7">
      <c r="A74" s="1">
        <v>73</v>
      </c>
      <c r="B74" s="1" t="s">
        <v>4341</v>
      </c>
      <c r="D74" s="1" t="s">
        <v>4270</v>
      </c>
      <c r="E74" s="1" t="s">
        <v>4342</v>
      </c>
      <c r="F74" s="1" t="s">
        <v>4343</v>
      </c>
      <c r="G74" s="1" t="s">
        <v>4344</v>
      </c>
    </row>
    <row r="75" spans="1:7">
      <c r="A75" s="1">
        <v>74</v>
      </c>
      <c r="B75" s="1" t="s">
        <v>4345</v>
      </c>
      <c r="D75" s="1" t="s">
        <v>4270</v>
      </c>
      <c r="E75" s="1" t="s">
        <v>4346</v>
      </c>
      <c r="F75" s="1" t="s">
        <v>4347</v>
      </c>
      <c r="G75" s="1" t="s">
        <v>4348</v>
      </c>
    </row>
    <row r="76" spans="1:7">
      <c r="A76" s="1">
        <v>75</v>
      </c>
      <c r="B76" s="1" t="s">
        <v>4349</v>
      </c>
      <c r="D76" s="1" t="s">
        <v>4270</v>
      </c>
      <c r="E76" s="1" t="s">
        <v>4350</v>
      </c>
      <c r="F76" s="1" t="s">
        <v>4351</v>
      </c>
      <c r="G76" s="1" t="s">
        <v>4352</v>
      </c>
    </row>
    <row r="77" spans="1:7">
      <c r="A77" s="1">
        <v>76</v>
      </c>
      <c r="B77" s="1" t="s">
        <v>4353</v>
      </c>
      <c r="D77" s="1" t="s">
        <v>4270</v>
      </c>
      <c r="E77" s="1" t="s">
        <v>4354</v>
      </c>
      <c r="F77" s="1" t="s">
        <v>4355</v>
      </c>
      <c r="G77" s="1" t="s">
        <v>4356</v>
      </c>
    </row>
    <row r="78" spans="1:7">
      <c r="A78" s="1">
        <v>77</v>
      </c>
      <c r="B78" s="1" t="s">
        <v>4357</v>
      </c>
      <c r="D78" s="1" t="s">
        <v>4358</v>
      </c>
      <c r="E78" s="1" t="s">
        <v>4359</v>
      </c>
      <c r="F78" s="1" t="s">
        <v>4360</v>
      </c>
      <c r="G78" s="1" t="s">
        <v>4361</v>
      </c>
    </row>
    <row r="79" spans="1:7">
      <c r="A79" s="1">
        <v>78</v>
      </c>
      <c r="B79" s="1" t="s">
        <v>4362</v>
      </c>
      <c r="D79" s="1" t="s">
        <v>4358</v>
      </c>
      <c r="E79" s="1" t="s">
        <v>4363</v>
      </c>
      <c r="F79" s="1" t="s">
        <v>4364</v>
      </c>
      <c r="G79" s="1" t="s">
        <v>4365</v>
      </c>
    </row>
    <row r="80" spans="1:7">
      <c r="A80" s="1">
        <v>79</v>
      </c>
      <c r="B80" s="1" t="s">
        <v>4366</v>
      </c>
      <c r="D80" s="1" t="s">
        <v>4358</v>
      </c>
      <c r="E80" s="1" t="s">
        <v>4367</v>
      </c>
      <c r="F80" s="1" t="s">
        <v>4368</v>
      </c>
      <c r="G80" s="1" t="s">
        <v>4369</v>
      </c>
    </row>
    <row r="81" spans="1:7">
      <c r="A81" s="1">
        <v>80</v>
      </c>
      <c r="B81" s="1" t="s">
        <v>4370</v>
      </c>
      <c r="D81" s="1" t="s">
        <v>4358</v>
      </c>
      <c r="E81" s="1" t="s">
        <v>4371</v>
      </c>
      <c r="F81" s="1" t="s">
        <v>4372</v>
      </c>
      <c r="G81" s="1" t="s">
        <v>4373</v>
      </c>
    </row>
    <row r="82" spans="1:7">
      <c r="A82" s="1">
        <v>81</v>
      </c>
      <c r="B82" s="1" t="s">
        <v>4374</v>
      </c>
      <c r="D82" s="1" t="s">
        <v>4358</v>
      </c>
      <c r="E82" s="1" t="s">
        <v>4375</v>
      </c>
      <c r="F82" s="1" t="s">
        <v>4376</v>
      </c>
      <c r="G82" s="1" t="s">
        <v>4377</v>
      </c>
    </row>
    <row r="83" spans="1:7">
      <c r="A83" s="1">
        <v>82</v>
      </c>
      <c r="B83" s="1" t="s">
        <v>4378</v>
      </c>
      <c r="D83" s="1" t="s">
        <v>4358</v>
      </c>
      <c r="E83" s="1" t="s">
        <v>4379</v>
      </c>
      <c r="F83" s="1" t="s">
        <v>4380</v>
      </c>
      <c r="G83" s="1" t="s">
        <v>4381</v>
      </c>
    </row>
    <row r="84" spans="1:7">
      <c r="A84" s="1">
        <v>83</v>
      </c>
      <c r="B84" s="1" t="s">
        <v>4382</v>
      </c>
      <c r="D84" s="1" t="s">
        <v>4358</v>
      </c>
      <c r="E84" s="1" t="s">
        <v>4383</v>
      </c>
      <c r="F84" s="1" t="s">
        <v>4384</v>
      </c>
      <c r="G84" s="1" t="s">
        <v>4385</v>
      </c>
    </row>
    <row r="85" spans="1:7">
      <c r="A85" s="1">
        <v>84</v>
      </c>
      <c r="B85" s="1" t="s">
        <v>4386</v>
      </c>
      <c r="D85" s="1" t="s">
        <v>4358</v>
      </c>
      <c r="E85" s="1" t="s">
        <v>811</v>
      </c>
      <c r="F85" s="1" t="s">
        <v>4387</v>
      </c>
      <c r="G85" s="1" t="s">
        <v>4388</v>
      </c>
    </row>
    <row r="86" spans="1:7">
      <c r="A86" s="1">
        <v>85</v>
      </c>
      <c r="B86" s="1" t="s">
        <v>4389</v>
      </c>
      <c r="D86" s="1" t="s">
        <v>4358</v>
      </c>
      <c r="E86" s="1" t="s">
        <v>815</v>
      </c>
      <c r="F86" s="1" t="s">
        <v>4390</v>
      </c>
      <c r="G86" s="1" t="s">
        <v>4391</v>
      </c>
    </row>
    <row r="87" spans="1:7">
      <c r="A87" s="1">
        <v>86</v>
      </c>
      <c r="B87" s="1" t="s">
        <v>4392</v>
      </c>
      <c r="D87" s="1" t="s">
        <v>4358</v>
      </c>
      <c r="E87" s="1" t="s">
        <v>818</v>
      </c>
      <c r="F87" s="1" t="s">
        <v>4393</v>
      </c>
      <c r="G87" s="1" t="s">
        <v>4394</v>
      </c>
    </row>
    <row r="88" spans="1:7">
      <c r="A88" s="1">
        <v>87</v>
      </c>
      <c r="B88" s="1" t="s">
        <v>4395</v>
      </c>
      <c r="D88" s="1" t="s">
        <v>4358</v>
      </c>
      <c r="E88" s="1" t="s">
        <v>4396</v>
      </c>
      <c r="F88" s="1" t="s">
        <v>4397</v>
      </c>
      <c r="G88" s="1" t="s">
        <v>4398</v>
      </c>
    </row>
    <row r="89" spans="1:7">
      <c r="A89" s="1">
        <v>88</v>
      </c>
      <c r="B89" s="1" t="s">
        <v>4399</v>
      </c>
      <c r="D89" s="1" t="s">
        <v>4358</v>
      </c>
      <c r="E89" s="1" t="s">
        <v>822</v>
      </c>
      <c r="F89" s="1" t="s">
        <v>4400</v>
      </c>
      <c r="G89" s="1" t="s">
        <v>4401</v>
      </c>
    </row>
    <row r="90" spans="1:7">
      <c r="A90" s="1">
        <v>89</v>
      </c>
      <c r="B90" s="1" t="s">
        <v>4402</v>
      </c>
      <c r="D90" s="1" t="s">
        <v>4358</v>
      </c>
      <c r="E90" s="1" t="s">
        <v>826</v>
      </c>
      <c r="F90" s="1" t="s">
        <v>4403</v>
      </c>
      <c r="G90" s="1" t="s">
        <v>4404</v>
      </c>
    </row>
    <row r="91" spans="1:7">
      <c r="A91" s="1">
        <v>90</v>
      </c>
      <c r="B91" s="1" t="s">
        <v>4405</v>
      </c>
      <c r="D91" s="1" t="s">
        <v>4358</v>
      </c>
      <c r="E91" s="1" t="s">
        <v>830</v>
      </c>
      <c r="F91" s="1" t="s">
        <v>4406</v>
      </c>
      <c r="G91" s="1" t="s">
        <v>4407</v>
      </c>
    </row>
    <row r="92" spans="1:7">
      <c r="A92" s="1">
        <v>91</v>
      </c>
      <c r="B92" s="1" t="s">
        <v>4408</v>
      </c>
      <c r="D92" s="1" t="s">
        <v>4358</v>
      </c>
      <c r="E92" s="1" t="s">
        <v>4409</v>
      </c>
      <c r="F92" s="1" t="s">
        <v>4410</v>
      </c>
      <c r="G92" s="1" t="s">
        <v>4411</v>
      </c>
    </row>
    <row r="93" spans="1:7">
      <c r="A93" s="1">
        <v>92</v>
      </c>
      <c r="B93" s="1" t="s">
        <v>4412</v>
      </c>
      <c r="D93" s="1" t="s">
        <v>4358</v>
      </c>
      <c r="E93" s="1" t="s">
        <v>834</v>
      </c>
      <c r="F93" s="1" t="s">
        <v>4413</v>
      </c>
      <c r="G93" s="1" t="s">
        <v>4414</v>
      </c>
    </row>
    <row r="94" spans="1:7">
      <c r="A94" s="1">
        <v>93</v>
      </c>
      <c r="B94" s="1" t="s">
        <v>4415</v>
      </c>
      <c r="D94" s="1" t="s">
        <v>4358</v>
      </c>
      <c r="E94" s="1" t="s">
        <v>837</v>
      </c>
      <c r="F94" s="1" t="s">
        <v>4416</v>
      </c>
      <c r="G94" s="1" t="s">
        <v>4417</v>
      </c>
    </row>
    <row r="95" spans="1:7">
      <c r="A95" s="1">
        <v>94</v>
      </c>
      <c r="B95" s="1" t="s">
        <v>4418</v>
      </c>
      <c r="D95" s="1" t="s">
        <v>4358</v>
      </c>
      <c r="E95" s="1" t="s">
        <v>841</v>
      </c>
      <c r="F95" s="1" t="s">
        <v>4419</v>
      </c>
      <c r="G95" s="1" t="s">
        <v>4420</v>
      </c>
    </row>
    <row r="96" spans="1:7">
      <c r="A96" s="1">
        <v>95</v>
      </c>
      <c r="B96" s="1" t="s">
        <v>4421</v>
      </c>
      <c r="D96" s="1" t="s">
        <v>4358</v>
      </c>
      <c r="E96" s="1" t="s">
        <v>845</v>
      </c>
      <c r="F96" s="1" t="s">
        <v>4422</v>
      </c>
      <c r="G96" s="1" t="s">
        <v>4423</v>
      </c>
    </row>
    <row r="97" spans="1:7">
      <c r="A97" s="1">
        <v>96</v>
      </c>
      <c r="B97" s="1" t="s">
        <v>4424</v>
      </c>
      <c r="D97" s="1" t="s">
        <v>4358</v>
      </c>
      <c r="E97" s="1" t="s">
        <v>856</v>
      </c>
      <c r="F97" s="1" t="s">
        <v>4425</v>
      </c>
      <c r="G97" s="1" t="s">
        <v>4426</v>
      </c>
    </row>
    <row r="98" spans="1:7">
      <c r="A98" s="1">
        <v>97</v>
      </c>
      <c r="B98" s="1" t="s">
        <v>4427</v>
      </c>
      <c r="D98" s="1" t="s">
        <v>4358</v>
      </c>
      <c r="E98" s="1" t="s">
        <v>849</v>
      </c>
      <c r="F98" s="1" t="s">
        <v>4428</v>
      </c>
      <c r="G98" s="1" t="s">
        <v>4429</v>
      </c>
    </row>
    <row r="99" spans="1:7">
      <c r="A99" s="1">
        <v>98</v>
      </c>
      <c r="B99" s="1" t="s">
        <v>4430</v>
      </c>
      <c r="D99" s="1" t="s">
        <v>4358</v>
      </c>
      <c r="E99" s="1" t="s">
        <v>853</v>
      </c>
      <c r="F99" s="1" t="s">
        <v>4431</v>
      </c>
      <c r="G99" s="1" t="s">
        <v>4432</v>
      </c>
    </row>
    <row r="100" spans="1:7">
      <c r="A100" s="1">
        <v>99</v>
      </c>
      <c r="B100" s="1" t="s">
        <v>4433</v>
      </c>
      <c r="D100" s="1" t="s">
        <v>4434</v>
      </c>
      <c r="E100" s="1" t="s">
        <v>4435</v>
      </c>
      <c r="F100" s="1" t="s">
        <v>4436</v>
      </c>
      <c r="G100" s="1" t="s">
        <v>4437</v>
      </c>
    </row>
    <row r="101" spans="1:7">
      <c r="A101" s="1">
        <v>100</v>
      </c>
      <c r="B101" s="1" t="s">
        <v>4438</v>
      </c>
      <c r="D101" s="1" t="s">
        <v>4434</v>
      </c>
      <c r="E101" s="1" t="s">
        <v>4439</v>
      </c>
      <c r="F101" s="1" t="s">
        <v>4440</v>
      </c>
      <c r="G101" s="1" t="s">
        <v>4441</v>
      </c>
    </row>
    <row r="102" spans="1:7">
      <c r="A102" s="1">
        <v>101</v>
      </c>
      <c r="B102" s="1" t="s">
        <v>4442</v>
      </c>
      <c r="D102" s="1" t="s">
        <v>4434</v>
      </c>
      <c r="E102" s="1" t="s">
        <v>4443</v>
      </c>
      <c r="F102" s="1" t="s">
        <v>4444</v>
      </c>
      <c r="G102" s="1" t="s">
        <v>4445</v>
      </c>
    </row>
    <row r="103" spans="1:7">
      <c r="A103" s="1">
        <v>102</v>
      </c>
      <c r="B103" s="1" t="s">
        <v>4446</v>
      </c>
      <c r="D103" s="1" t="s">
        <v>4434</v>
      </c>
      <c r="E103" s="1" t="s">
        <v>4447</v>
      </c>
      <c r="F103" s="1" t="s">
        <v>4448</v>
      </c>
      <c r="G103" s="1" t="s">
        <v>4449</v>
      </c>
    </row>
    <row r="104" spans="1:7">
      <c r="A104" s="1">
        <v>103</v>
      </c>
      <c r="B104" s="1" t="s">
        <v>4450</v>
      </c>
      <c r="D104" s="1" t="s">
        <v>4434</v>
      </c>
      <c r="E104" s="1" t="s">
        <v>4451</v>
      </c>
      <c r="F104" s="1" t="s">
        <v>4452</v>
      </c>
      <c r="G104" s="1" t="s">
        <v>4453</v>
      </c>
    </row>
    <row r="105" spans="1:7">
      <c r="A105" s="1">
        <v>104</v>
      </c>
      <c r="B105" s="1" t="s">
        <v>4454</v>
      </c>
      <c r="D105" s="1" t="s">
        <v>4434</v>
      </c>
      <c r="E105" s="1" t="s">
        <v>4455</v>
      </c>
      <c r="F105" s="1" t="s">
        <v>4456</v>
      </c>
      <c r="G105" s="1" t="s">
        <v>4457</v>
      </c>
    </row>
    <row r="106" spans="1:7">
      <c r="A106" s="1">
        <v>105</v>
      </c>
      <c r="B106" s="1" t="s">
        <v>4458</v>
      </c>
      <c r="D106" s="1" t="s">
        <v>4434</v>
      </c>
      <c r="E106" s="1" t="s">
        <v>4459</v>
      </c>
      <c r="F106" s="1" t="s">
        <v>4460</v>
      </c>
      <c r="G106" s="1" t="s">
        <v>4461</v>
      </c>
    </row>
    <row r="107" spans="1:7">
      <c r="A107" s="1">
        <v>106</v>
      </c>
      <c r="B107" s="1" t="s">
        <v>4462</v>
      </c>
      <c r="D107" s="1" t="s">
        <v>4434</v>
      </c>
      <c r="E107" s="1" t="s">
        <v>4463</v>
      </c>
      <c r="F107" s="1" t="s">
        <v>4464</v>
      </c>
      <c r="G107" s="1" t="s">
        <v>4465</v>
      </c>
    </row>
    <row r="108" spans="1:7">
      <c r="A108" s="1">
        <v>107</v>
      </c>
      <c r="B108" s="1" t="s">
        <v>4466</v>
      </c>
      <c r="D108" s="1" t="s">
        <v>4434</v>
      </c>
      <c r="E108" s="1" t="s">
        <v>4467</v>
      </c>
      <c r="F108" s="1" t="s">
        <v>4468</v>
      </c>
      <c r="G108" s="1" t="s">
        <v>4469</v>
      </c>
    </row>
    <row r="109" spans="1:7">
      <c r="A109" s="1">
        <v>108</v>
      </c>
      <c r="B109" s="1" t="s">
        <v>4470</v>
      </c>
      <c r="D109" s="1" t="s">
        <v>4434</v>
      </c>
      <c r="E109" s="1" t="s">
        <v>4471</v>
      </c>
      <c r="F109" s="1" t="s">
        <v>4472</v>
      </c>
      <c r="G109" s="1" t="s">
        <v>4473</v>
      </c>
    </row>
    <row r="110" spans="1:7">
      <c r="A110" s="1">
        <v>109</v>
      </c>
      <c r="B110" s="1" t="s">
        <v>4474</v>
      </c>
      <c r="D110" s="1" t="s">
        <v>4434</v>
      </c>
      <c r="E110" s="1" t="s">
        <v>4475</v>
      </c>
      <c r="F110" s="1" t="s">
        <v>4476</v>
      </c>
      <c r="G110" s="1" t="s">
        <v>4477</v>
      </c>
    </row>
    <row r="111" spans="1:7">
      <c r="A111" s="1">
        <v>110</v>
      </c>
      <c r="B111" s="1" t="s">
        <v>4478</v>
      </c>
      <c r="D111" s="1" t="s">
        <v>4434</v>
      </c>
      <c r="E111" s="1" t="s">
        <v>4479</v>
      </c>
      <c r="F111" s="1" t="s">
        <v>4480</v>
      </c>
      <c r="G111" s="1" t="s">
        <v>4481</v>
      </c>
    </row>
    <row r="112" spans="1:7">
      <c r="A112" s="1">
        <v>111</v>
      </c>
      <c r="B112" s="1" t="s">
        <v>4482</v>
      </c>
      <c r="D112" s="1" t="s">
        <v>4434</v>
      </c>
      <c r="E112" s="1" t="s">
        <v>4483</v>
      </c>
      <c r="F112" s="1" t="s">
        <v>4484</v>
      </c>
      <c r="G112" s="1" t="s">
        <v>4485</v>
      </c>
    </row>
    <row r="113" spans="1:7">
      <c r="A113" s="1">
        <v>112</v>
      </c>
      <c r="B113" s="1" t="s">
        <v>4486</v>
      </c>
      <c r="D113" s="1" t="s">
        <v>4434</v>
      </c>
      <c r="E113" s="1" t="s">
        <v>4487</v>
      </c>
      <c r="F113" s="1" t="s">
        <v>4488</v>
      </c>
      <c r="G113" s="1" t="s">
        <v>4489</v>
      </c>
    </row>
    <row r="114" spans="1:7">
      <c r="A114" s="1">
        <v>113</v>
      </c>
      <c r="B114" s="1" t="s">
        <v>4490</v>
      </c>
      <c r="D114" s="1" t="s">
        <v>4434</v>
      </c>
      <c r="E114" s="1" t="s">
        <v>4491</v>
      </c>
      <c r="F114" s="1" t="s">
        <v>4492</v>
      </c>
      <c r="G114" s="1" t="s">
        <v>4493</v>
      </c>
    </row>
    <row r="115" spans="1:7">
      <c r="A115" s="1">
        <v>114</v>
      </c>
      <c r="B115" s="1" t="s">
        <v>4494</v>
      </c>
      <c r="D115" s="1" t="s">
        <v>4434</v>
      </c>
      <c r="E115" s="1" t="s">
        <v>4495</v>
      </c>
      <c r="F115" s="1" t="s">
        <v>4496</v>
      </c>
      <c r="G115" s="1" t="s">
        <v>4497</v>
      </c>
    </row>
    <row r="116" spans="1:7">
      <c r="A116" s="1">
        <v>115</v>
      </c>
      <c r="B116" s="1" t="s">
        <v>4498</v>
      </c>
      <c r="D116" s="1" t="s">
        <v>4434</v>
      </c>
      <c r="E116" s="1" t="s">
        <v>4499</v>
      </c>
      <c r="F116" s="1" t="s">
        <v>4500</v>
      </c>
      <c r="G116" s="1" t="s">
        <v>4501</v>
      </c>
    </row>
    <row r="117" spans="1:7">
      <c r="A117" s="1">
        <v>116</v>
      </c>
      <c r="B117" s="1" t="s">
        <v>4502</v>
      </c>
      <c r="D117" s="1" t="s">
        <v>4434</v>
      </c>
      <c r="E117" s="1" t="s">
        <v>4503</v>
      </c>
      <c r="F117" s="1" t="s">
        <v>4504</v>
      </c>
      <c r="G117" s="1" t="s">
        <v>4505</v>
      </c>
    </row>
    <row r="118" spans="1:7">
      <c r="A118" s="1">
        <v>117</v>
      </c>
      <c r="B118" s="1" t="s">
        <v>4506</v>
      </c>
      <c r="D118" s="1" t="s">
        <v>4434</v>
      </c>
      <c r="E118" s="1" t="s">
        <v>4507</v>
      </c>
      <c r="F118" s="1" t="s">
        <v>4508</v>
      </c>
      <c r="G118" s="1" t="s">
        <v>4509</v>
      </c>
    </row>
    <row r="119" spans="1:7">
      <c r="A119" s="1">
        <v>118</v>
      </c>
      <c r="B119" s="1" t="s">
        <v>4510</v>
      </c>
      <c r="D119" s="1" t="s">
        <v>4434</v>
      </c>
      <c r="E119" s="1" t="s">
        <v>4511</v>
      </c>
      <c r="F119" s="1" t="s">
        <v>4512</v>
      </c>
      <c r="G119" s="1" t="s">
        <v>4513</v>
      </c>
    </row>
    <row r="120" spans="1:7">
      <c r="A120" s="1">
        <v>119</v>
      </c>
      <c r="B120" s="1" t="s">
        <v>4514</v>
      </c>
      <c r="D120" s="1" t="s">
        <v>4434</v>
      </c>
      <c r="E120" s="1" t="s">
        <v>4515</v>
      </c>
      <c r="F120" s="1" t="s">
        <v>4516</v>
      </c>
      <c r="G120" s="1" t="s">
        <v>4517</v>
      </c>
    </row>
    <row r="121" spans="1:7">
      <c r="A121" s="1">
        <v>120</v>
      </c>
      <c r="B121" s="1" t="s">
        <v>4518</v>
      </c>
      <c r="D121" s="1" t="s">
        <v>4434</v>
      </c>
      <c r="E121" s="1" t="s">
        <v>4519</v>
      </c>
      <c r="F121" s="1" t="s">
        <v>4520</v>
      </c>
      <c r="G121" s="1" t="s">
        <v>4521</v>
      </c>
    </row>
    <row r="122" spans="1:7">
      <c r="A122" s="1">
        <v>121</v>
      </c>
      <c r="B122" s="1" t="s">
        <v>4522</v>
      </c>
      <c r="D122" s="1" t="s">
        <v>4523</v>
      </c>
      <c r="E122" s="1" t="s">
        <v>4524</v>
      </c>
      <c r="F122" s="1" t="s">
        <v>4525</v>
      </c>
      <c r="G122" s="1" t="s">
        <v>4526</v>
      </c>
    </row>
    <row r="123" spans="1:7">
      <c r="A123" s="1">
        <v>122</v>
      </c>
      <c r="B123" s="1" t="s">
        <v>4527</v>
      </c>
      <c r="D123" s="1" t="s">
        <v>4523</v>
      </c>
      <c r="E123" s="1" t="s">
        <v>4528</v>
      </c>
      <c r="F123" s="1" t="s">
        <v>4529</v>
      </c>
      <c r="G123" s="1" t="s">
        <v>4530</v>
      </c>
    </row>
    <row r="124" spans="1:7">
      <c r="A124" s="1">
        <v>123</v>
      </c>
      <c r="B124" s="1" t="s">
        <v>4531</v>
      </c>
      <c r="D124" s="1" t="s">
        <v>4523</v>
      </c>
      <c r="E124" s="1" t="s">
        <v>4532</v>
      </c>
      <c r="F124" s="1" t="s">
        <v>4533</v>
      </c>
      <c r="G124" s="1" t="s">
        <v>4534</v>
      </c>
    </row>
    <row r="125" spans="1:7">
      <c r="A125" s="1">
        <v>124</v>
      </c>
      <c r="B125" s="1" t="s">
        <v>4535</v>
      </c>
      <c r="D125" s="1" t="s">
        <v>4523</v>
      </c>
      <c r="E125" s="1" t="s">
        <v>4536</v>
      </c>
      <c r="F125" s="1" t="s">
        <v>4537</v>
      </c>
      <c r="G125" s="1" t="s">
        <v>4538</v>
      </c>
    </row>
    <row r="126" spans="1:7">
      <c r="A126" s="1">
        <v>125</v>
      </c>
      <c r="B126" s="1" t="s">
        <v>4539</v>
      </c>
      <c r="D126" s="1" t="s">
        <v>4523</v>
      </c>
      <c r="E126" s="1" t="s">
        <v>4540</v>
      </c>
      <c r="F126" s="1" t="s">
        <v>4541</v>
      </c>
      <c r="G126" s="1" t="s">
        <v>4542</v>
      </c>
    </row>
    <row r="127" spans="1:7">
      <c r="A127" s="1">
        <v>126</v>
      </c>
      <c r="B127" s="1" t="s">
        <v>4543</v>
      </c>
      <c r="D127" s="1" t="s">
        <v>4523</v>
      </c>
      <c r="E127" s="1" t="s">
        <v>4544</v>
      </c>
      <c r="F127" s="1" t="s">
        <v>4545</v>
      </c>
      <c r="G127" s="1" t="s">
        <v>4546</v>
      </c>
    </row>
    <row r="128" spans="1:7">
      <c r="A128" s="1">
        <v>127</v>
      </c>
      <c r="B128" s="1" t="s">
        <v>4547</v>
      </c>
      <c r="D128" s="1" t="s">
        <v>4523</v>
      </c>
      <c r="E128" s="1" t="s">
        <v>4548</v>
      </c>
      <c r="F128" s="1" t="s">
        <v>4549</v>
      </c>
      <c r="G128" s="1" t="s">
        <v>4550</v>
      </c>
    </row>
    <row r="129" spans="1:7">
      <c r="A129" s="1">
        <v>128</v>
      </c>
      <c r="B129" s="1" t="s">
        <v>4551</v>
      </c>
      <c r="D129" s="1" t="s">
        <v>4523</v>
      </c>
      <c r="E129" s="1" t="s">
        <v>4552</v>
      </c>
      <c r="F129" s="1" t="s">
        <v>4553</v>
      </c>
      <c r="G129" s="1" t="s">
        <v>4554</v>
      </c>
    </row>
    <row r="130" spans="1:7">
      <c r="A130" s="1">
        <v>129</v>
      </c>
      <c r="B130" s="1" t="s">
        <v>4555</v>
      </c>
      <c r="D130" s="1" t="s">
        <v>4523</v>
      </c>
      <c r="E130" s="1" t="s">
        <v>4556</v>
      </c>
      <c r="F130" s="1" t="s">
        <v>4557</v>
      </c>
      <c r="G130" s="1" t="s">
        <v>4558</v>
      </c>
    </row>
    <row r="131" spans="1:7">
      <c r="A131" s="1">
        <v>130</v>
      </c>
      <c r="B131" s="1" t="s">
        <v>4559</v>
      </c>
      <c r="D131" s="1" t="s">
        <v>4523</v>
      </c>
      <c r="E131" s="1" t="s">
        <v>4560</v>
      </c>
      <c r="F131" s="1" t="s">
        <v>4561</v>
      </c>
      <c r="G131" s="1" t="s">
        <v>4562</v>
      </c>
    </row>
    <row r="132" spans="1:7">
      <c r="A132" s="1">
        <v>131</v>
      </c>
      <c r="B132" s="1" t="s">
        <v>4563</v>
      </c>
      <c r="D132" s="1" t="s">
        <v>4523</v>
      </c>
      <c r="E132" s="1" t="s">
        <v>4564</v>
      </c>
      <c r="F132" s="1" t="s">
        <v>4565</v>
      </c>
      <c r="G132" s="1" t="s">
        <v>4566</v>
      </c>
    </row>
    <row r="133" spans="1:7">
      <c r="A133" s="1">
        <v>132</v>
      </c>
      <c r="B133" s="1" t="s">
        <v>4567</v>
      </c>
      <c r="D133" s="1" t="s">
        <v>4523</v>
      </c>
      <c r="E133" s="1" t="s">
        <v>4568</v>
      </c>
      <c r="F133" s="1" t="s">
        <v>4569</v>
      </c>
      <c r="G133" s="1" t="s">
        <v>4570</v>
      </c>
    </row>
    <row r="134" spans="1:7">
      <c r="A134" s="1">
        <v>133</v>
      </c>
      <c r="B134" s="1" t="s">
        <v>4571</v>
      </c>
      <c r="D134" s="1" t="s">
        <v>4523</v>
      </c>
      <c r="E134" s="1" t="s">
        <v>4572</v>
      </c>
      <c r="F134" s="1" t="s">
        <v>4573</v>
      </c>
      <c r="G134" s="1" t="s">
        <v>4574</v>
      </c>
    </row>
    <row r="135" spans="1:7">
      <c r="A135" s="1">
        <v>134</v>
      </c>
      <c r="B135" s="1" t="s">
        <v>4575</v>
      </c>
      <c r="D135" s="1" t="s">
        <v>4523</v>
      </c>
      <c r="E135" s="1" t="s">
        <v>4576</v>
      </c>
      <c r="F135" s="1" t="s">
        <v>4577</v>
      </c>
      <c r="G135" s="1" t="s">
        <v>4578</v>
      </c>
    </row>
    <row r="136" spans="1:7">
      <c r="A136" s="1">
        <v>135</v>
      </c>
      <c r="B136" s="1" t="s">
        <v>4579</v>
      </c>
      <c r="D136" s="1" t="s">
        <v>4523</v>
      </c>
      <c r="E136" s="1" t="s">
        <v>4580</v>
      </c>
      <c r="F136" s="1" t="s">
        <v>4581</v>
      </c>
      <c r="G136" s="1" t="s">
        <v>4582</v>
      </c>
    </row>
    <row r="137" spans="1:7">
      <c r="A137" s="1">
        <v>136</v>
      </c>
      <c r="B137" s="1" t="s">
        <v>4583</v>
      </c>
      <c r="D137" s="1" t="s">
        <v>4523</v>
      </c>
      <c r="E137" s="1" t="s">
        <v>4584</v>
      </c>
      <c r="F137" s="1" t="s">
        <v>4585</v>
      </c>
      <c r="G137" s="1" t="s">
        <v>4586</v>
      </c>
    </row>
    <row r="138" spans="1:7">
      <c r="A138" s="1">
        <v>137</v>
      </c>
      <c r="B138" s="1" t="s">
        <v>4587</v>
      </c>
      <c r="D138" s="1" t="s">
        <v>4523</v>
      </c>
      <c r="E138" s="1" t="s">
        <v>4588</v>
      </c>
      <c r="F138" s="1" t="s">
        <v>4589</v>
      </c>
      <c r="G138" s="1" t="s">
        <v>4590</v>
      </c>
    </row>
    <row r="139" spans="1:7">
      <c r="A139" s="1">
        <v>138</v>
      </c>
      <c r="B139" s="1" t="s">
        <v>4591</v>
      </c>
      <c r="D139" s="1" t="s">
        <v>4523</v>
      </c>
      <c r="E139" s="1" t="s">
        <v>4592</v>
      </c>
      <c r="F139" s="1" t="s">
        <v>4593</v>
      </c>
      <c r="G139" s="1" t="s">
        <v>4594</v>
      </c>
    </row>
    <row r="140" spans="1:7">
      <c r="A140" s="1">
        <v>139</v>
      </c>
      <c r="B140" s="1" t="s">
        <v>4595</v>
      </c>
      <c r="D140" s="1" t="s">
        <v>4523</v>
      </c>
      <c r="E140" s="1" t="s">
        <v>4596</v>
      </c>
      <c r="F140" s="1" t="s">
        <v>4597</v>
      </c>
      <c r="G140" s="1" t="s">
        <v>4598</v>
      </c>
    </row>
    <row r="141" spans="1:7">
      <c r="A141" s="1">
        <v>140</v>
      </c>
      <c r="B141" s="1" t="s">
        <v>4599</v>
      </c>
      <c r="D141" s="1" t="s">
        <v>4523</v>
      </c>
      <c r="E141" s="1" t="s">
        <v>4600</v>
      </c>
      <c r="F141" s="1" t="s">
        <v>4601</v>
      </c>
      <c r="G141" s="1" t="s">
        <v>4602</v>
      </c>
    </row>
    <row r="142" spans="1:7">
      <c r="A142" s="1">
        <v>141</v>
      </c>
      <c r="B142" s="1" t="s">
        <v>4603</v>
      </c>
      <c r="D142" s="1" t="s">
        <v>4523</v>
      </c>
      <c r="E142" s="1" t="s">
        <v>4604</v>
      </c>
      <c r="F142" s="1" t="s">
        <v>4605</v>
      </c>
      <c r="G142" s="1" t="s">
        <v>4606</v>
      </c>
    </row>
    <row r="143" spans="1:7">
      <c r="A143" s="1">
        <v>142</v>
      </c>
      <c r="B143" s="1" t="s">
        <v>4607</v>
      </c>
      <c r="D143" s="1" t="s">
        <v>4523</v>
      </c>
      <c r="E143" s="1" t="s">
        <v>4608</v>
      </c>
      <c r="F143" s="1" t="s">
        <v>4609</v>
      </c>
      <c r="G143" s="1" t="s">
        <v>4610</v>
      </c>
    </row>
    <row r="144" spans="1:7">
      <c r="A144" s="1">
        <v>143</v>
      </c>
      <c r="B144" s="1" t="s">
        <v>4611</v>
      </c>
      <c r="D144" s="1" t="s">
        <v>4612</v>
      </c>
      <c r="E144" s="1" t="s">
        <v>3714</v>
      </c>
      <c r="F144" s="1" t="s">
        <v>4613</v>
      </c>
      <c r="G144" s="1" t="s">
        <v>4614</v>
      </c>
    </row>
    <row r="145" spans="1:7">
      <c r="A145" s="1">
        <v>144</v>
      </c>
      <c r="B145" s="1" t="s">
        <v>4615</v>
      </c>
      <c r="D145" s="1" t="s">
        <v>4612</v>
      </c>
      <c r="E145" s="1" t="s">
        <v>3715</v>
      </c>
      <c r="F145" s="1" t="s">
        <v>4616</v>
      </c>
      <c r="G145" s="1" t="s">
        <v>4617</v>
      </c>
    </row>
    <row r="146" spans="1:7">
      <c r="A146" s="1">
        <v>145</v>
      </c>
      <c r="B146" s="1" t="s">
        <v>4618</v>
      </c>
      <c r="D146" s="1" t="s">
        <v>4612</v>
      </c>
      <c r="E146" s="1" t="s">
        <v>3716</v>
      </c>
      <c r="F146" s="1" t="s">
        <v>4619</v>
      </c>
      <c r="G146" s="1" t="s">
        <v>4620</v>
      </c>
    </row>
    <row r="147" spans="1:7">
      <c r="A147" s="1">
        <v>146</v>
      </c>
      <c r="B147" s="1" t="s">
        <v>4621</v>
      </c>
      <c r="D147" s="1" t="s">
        <v>4612</v>
      </c>
      <c r="E147" s="1" t="s">
        <v>3717</v>
      </c>
      <c r="F147" s="1" t="s">
        <v>4622</v>
      </c>
      <c r="G147" s="1" t="s">
        <v>4623</v>
      </c>
    </row>
    <row r="148" spans="1:7">
      <c r="A148" s="1">
        <v>147</v>
      </c>
      <c r="B148" s="1" t="s">
        <v>4624</v>
      </c>
      <c r="D148" s="1" t="s">
        <v>4612</v>
      </c>
      <c r="E148" s="1" t="s">
        <v>3718</v>
      </c>
      <c r="F148" s="1" t="s">
        <v>4625</v>
      </c>
      <c r="G148" s="1" t="s">
        <v>4626</v>
      </c>
    </row>
    <row r="149" spans="1:7">
      <c r="A149" s="1">
        <v>148</v>
      </c>
      <c r="B149" s="1" t="s">
        <v>4627</v>
      </c>
      <c r="D149" s="1" t="s">
        <v>4612</v>
      </c>
      <c r="E149" s="1" t="s">
        <v>3719</v>
      </c>
      <c r="F149" s="1" t="s">
        <v>4628</v>
      </c>
      <c r="G149" s="1" t="s">
        <v>4629</v>
      </c>
    </row>
    <row r="150" spans="1:7">
      <c r="A150" s="1">
        <v>149</v>
      </c>
      <c r="B150" s="1" t="s">
        <v>4630</v>
      </c>
      <c r="D150" s="1" t="s">
        <v>4612</v>
      </c>
      <c r="E150" s="1" t="s">
        <v>4631</v>
      </c>
      <c r="F150" s="1" t="s">
        <v>4632</v>
      </c>
      <c r="G150" s="1" t="s">
        <v>4633</v>
      </c>
    </row>
    <row r="151" spans="1:7">
      <c r="A151" s="1">
        <v>150</v>
      </c>
      <c r="B151" s="1" t="s">
        <v>4634</v>
      </c>
      <c r="D151" s="1" t="s">
        <v>4612</v>
      </c>
      <c r="E151" s="1" t="s">
        <v>3720</v>
      </c>
      <c r="F151" s="1" t="s">
        <v>4635</v>
      </c>
      <c r="G151" s="1" t="s">
        <v>4636</v>
      </c>
    </row>
    <row r="152" spans="1:7">
      <c r="A152" s="1">
        <v>151</v>
      </c>
      <c r="B152" s="1" t="s">
        <v>4637</v>
      </c>
      <c r="D152" s="1" t="s">
        <v>4612</v>
      </c>
      <c r="E152" s="1" t="s">
        <v>3721</v>
      </c>
      <c r="F152" s="1" t="s">
        <v>4638</v>
      </c>
      <c r="G152" s="1" t="s">
        <v>4639</v>
      </c>
    </row>
    <row r="153" spans="1:7">
      <c r="A153" s="1">
        <v>152</v>
      </c>
      <c r="B153" s="1" t="s">
        <v>4640</v>
      </c>
      <c r="D153" s="1" t="s">
        <v>4612</v>
      </c>
      <c r="E153" s="1" t="s">
        <v>4641</v>
      </c>
      <c r="F153" s="1" t="s">
        <v>4642</v>
      </c>
      <c r="G153" s="1" t="s">
        <v>4643</v>
      </c>
    </row>
    <row r="154" spans="1:7">
      <c r="A154" s="1">
        <v>153</v>
      </c>
      <c r="B154" s="1" t="s">
        <v>4644</v>
      </c>
      <c r="D154" s="1" t="s">
        <v>4612</v>
      </c>
      <c r="E154" s="1" t="s">
        <v>4645</v>
      </c>
      <c r="F154" s="1" t="s">
        <v>4646</v>
      </c>
      <c r="G154" s="1" t="s">
        <v>4647</v>
      </c>
    </row>
    <row r="155" spans="1:7">
      <c r="A155" s="1">
        <v>154</v>
      </c>
      <c r="B155" s="1" t="s">
        <v>4648</v>
      </c>
      <c r="D155" s="1" t="s">
        <v>4612</v>
      </c>
      <c r="E155" s="1" t="s">
        <v>4649</v>
      </c>
      <c r="F155" s="1" t="s">
        <v>4650</v>
      </c>
      <c r="G155" s="1" t="s">
        <v>4651</v>
      </c>
    </row>
    <row r="156" spans="1:7">
      <c r="A156" s="1">
        <v>155</v>
      </c>
      <c r="B156" s="1" t="s">
        <v>4652</v>
      </c>
      <c r="D156" s="1" t="s">
        <v>4612</v>
      </c>
      <c r="E156" s="1" t="s">
        <v>4653</v>
      </c>
      <c r="F156" s="1" t="s">
        <v>4654</v>
      </c>
      <c r="G156" s="1" t="s">
        <v>4655</v>
      </c>
    </row>
    <row r="157" spans="1:7">
      <c r="A157" s="1">
        <v>156</v>
      </c>
      <c r="B157" s="1" t="s">
        <v>4656</v>
      </c>
      <c r="D157" s="1" t="s">
        <v>4612</v>
      </c>
      <c r="E157" s="1" t="s">
        <v>4657</v>
      </c>
      <c r="F157" s="1" t="s">
        <v>4658</v>
      </c>
      <c r="G157" s="1" t="s">
        <v>4659</v>
      </c>
    </row>
    <row r="158" spans="1:7">
      <c r="A158" s="1">
        <v>157</v>
      </c>
      <c r="B158" s="1" t="s">
        <v>4660</v>
      </c>
      <c r="D158" s="1" t="s">
        <v>4612</v>
      </c>
      <c r="E158" s="1" t="s">
        <v>4661</v>
      </c>
      <c r="F158" s="1" t="s">
        <v>4662</v>
      </c>
      <c r="G158" s="1" t="s">
        <v>4663</v>
      </c>
    </row>
    <row r="159" spans="1:7">
      <c r="A159" s="1">
        <v>158</v>
      </c>
      <c r="B159" s="1" t="s">
        <v>4664</v>
      </c>
      <c r="D159" s="1" t="s">
        <v>4612</v>
      </c>
      <c r="E159" s="1" t="s">
        <v>4665</v>
      </c>
      <c r="F159" s="1" t="s">
        <v>4666</v>
      </c>
      <c r="G159" s="1" t="s">
        <v>4667</v>
      </c>
    </row>
    <row r="160" spans="1:7">
      <c r="A160" s="1">
        <v>159</v>
      </c>
      <c r="B160" s="1" t="s">
        <v>4668</v>
      </c>
      <c r="D160" s="1" t="s">
        <v>4612</v>
      </c>
      <c r="E160" s="1" t="s">
        <v>4669</v>
      </c>
      <c r="F160" s="1" t="s">
        <v>4670</v>
      </c>
      <c r="G160" s="1" t="s">
        <v>4671</v>
      </c>
    </row>
    <row r="161" spans="1:7">
      <c r="A161" s="1">
        <v>160</v>
      </c>
      <c r="B161" s="1" t="s">
        <v>4672</v>
      </c>
      <c r="D161" s="1" t="s">
        <v>4612</v>
      </c>
      <c r="E161" s="1" t="s">
        <v>4673</v>
      </c>
      <c r="F161" s="1" t="s">
        <v>4674</v>
      </c>
      <c r="G161" s="1" t="s">
        <v>4675</v>
      </c>
    </row>
    <row r="162" spans="1:7">
      <c r="A162" s="1">
        <v>161</v>
      </c>
      <c r="B162" s="1" t="s">
        <v>4676</v>
      </c>
      <c r="D162" s="1" t="s">
        <v>4612</v>
      </c>
      <c r="E162" s="1" t="s">
        <v>4677</v>
      </c>
      <c r="F162" s="1" t="s">
        <v>4678</v>
      </c>
      <c r="G162" s="1" t="s">
        <v>4679</v>
      </c>
    </row>
    <row r="163" spans="1:7">
      <c r="A163" s="1">
        <v>162</v>
      </c>
      <c r="B163" s="1" t="s">
        <v>4680</v>
      </c>
      <c r="D163" s="1" t="s">
        <v>4612</v>
      </c>
      <c r="E163" s="1" t="s">
        <v>3482</v>
      </c>
      <c r="F163" s="1" t="s">
        <v>4681</v>
      </c>
      <c r="G163" s="1" t="s">
        <v>4682</v>
      </c>
    </row>
    <row r="164" spans="1:7">
      <c r="A164" s="1">
        <v>163</v>
      </c>
      <c r="B164" s="1" t="s">
        <v>4683</v>
      </c>
      <c r="D164" s="1" t="s">
        <v>4612</v>
      </c>
      <c r="E164" s="1" t="s">
        <v>4684</v>
      </c>
      <c r="F164" s="1" t="s">
        <v>4685</v>
      </c>
      <c r="G164" s="1" t="s">
        <v>4686</v>
      </c>
    </row>
    <row r="165" spans="1:7">
      <c r="A165" s="1">
        <v>164</v>
      </c>
      <c r="B165" s="1" t="s">
        <v>4687</v>
      </c>
      <c r="D165" s="1" t="s">
        <v>4612</v>
      </c>
      <c r="E165" s="1" t="s">
        <v>3626</v>
      </c>
      <c r="F165" s="1" t="s">
        <v>4688</v>
      </c>
      <c r="G165" s="1" t="s">
        <v>4689</v>
      </c>
    </row>
    <row r="166" spans="1:7">
      <c r="A166" s="1">
        <v>165</v>
      </c>
      <c r="B166" s="1" t="s">
        <v>4690</v>
      </c>
      <c r="D166" s="1" t="s">
        <v>4691</v>
      </c>
      <c r="E166" s="1" t="s">
        <v>4692</v>
      </c>
      <c r="F166" s="1" t="s">
        <v>4693</v>
      </c>
      <c r="G166" s="1" t="s">
        <v>4694</v>
      </c>
    </row>
    <row r="167" spans="1:7">
      <c r="A167" s="1">
        <v>166</v>
      </c>
      <c r="B167" s="1" t="s">
        <v>4695</v>
      </c>
      <c r="D167" s="1" t="s">
        <v>4691</v>
      </c>
      <c r="E167" s="1" t="s">
        <v>4696</v>
      </c>
      <c r="F167" s="1" t="s">
        <v>4697</v>
      </c>
      <c r="G167" s="1" t="s">
        <v>4698</v>
      </c>
    </row>
    <row r="168" spans="1:7">
      <c r="A168" s="1">
        <v>167</v>
      </c>
      <c r="B168" s="1" t="s">
        <v>4699</v>
      </c>
      <c r="D168" s="1" t="s">
        <v>4691</v>
      </c>
      <c r="E168" s="1" t="s">
        <v>4700</v>
      </c>
      <c r="F168" s="1" t="s">
        <v>4701</v>
      </c>
      <c r="G168" s="1" t="s">
        <v>4702</v>
      </c>
    </row>
    <row r="169" spans="1:7">
      <c r="A169" s="1">
        <v>168</v>
      </c>
      <c r="B169" s="1" t="s">
        <v>4703</v>
      </c>
      <c r="D169" s="1" t="s">
        <v>4691</v>
      </c>
      <c r="E169" s="1" t="s">
        <v>4704</v>
      </c>
      <c r="F169" s="1" t="s">
        <v>4705</v>
      </c>
      <c r="G169" s="1" t="s">
        <v>4706</v>
      </c>
    </row>
    <row r="170" spans="1:7">
      <c r="A170" s="1">
        <v>169</v>
      </c>
      <c r="B170" s="1" t="s">
        <v>4707</v>
      </c>
      <c r="D170" s="1" t="s">
        <v>4691</v>
      </c>
      <c r="E170" s="1" t="s">
        <v>4708</v>
      </c>
      <c r="F170" s="1" t="s">
        <v>4709</v>
      </c>
      <c r="G170" s="1" t="s">
        <v>4710</v>
      </c>
    </row>
    <row r="171" spans="1:7">
      <c r="A171" s="1">
        <v>170</v>
      </c>
      <c r="B171" s="1" t="s">
        <v>4711</v>
      </c>
      <c r="D171" s="1" t="s">
        <v>4691</v>
      </c>
      <c r="E171" s="1" t="s">
        <v>4712</v>
      </c>
      <c r="F171" s="1" t="s">
        <v>4713</v>
      </c>
      <c r="G171" s="1" t="s">
        <v>4714</v>
      </c>
    </row>
    <row r="172" spans="1:7">
      <c r="A172" s="1">
        <v>171</v>
      </c>
      <c r="B172" s="1" t="s">
        <v>4715</v>
      </c>
      <c r="D172" s="1" t="s">
        <v>4691</v>
      </c>
      <c r="E172" s="1" t="s">
        <v>4716</v>
      </c>
      <c r="F172" s="1" t="s">
        <v>4717</v>
      </c>
      <c r="G172" s="1" t="s">
        <v>4718</v>
      </c>
    </row>
    <row r="173" spans="1:7">
      <c r="A173" s="1">
        <v>172</v>
      </c>
      <c r="B173" s="1" t="s">
        <v>4719</v>
      </c>
      <c r="D173" s="1" t="s">
        <v>4691</v>
      </c>
      <c r="E173" s="1" t="s">
        <v>4720</v>
      </c>
      <c r="F173" s="1" t="s">
        <v>4721</v>
      </c>
      <c r="G173" s="1" t="s">
        <v>4722</v>
      </c>
    </row>
    <row r="174" spans="1:7">
      <c r="A174" s="1">
        <v>173</v>
      </c>
      <c r="B174" s="1" t="s">
        <v>4723</v>
      </c>
      <c r="D174" s="1" t="s">
        <v>4691</v>
      </c>
      <c r="E174" s="1" t="s">
        <v>4724</v>
      </c>
      <c r="F174" s="1" t="s">
        <v>4725</v>
      </c>
      <c r="G174" s="1" t="s">
        <v>4726</v>
      </c>
    </row>
    <row r="175" spans="1:7">
      <c r="A175" s="1">
        <v>174</v>
      </c>
      <c r="B175" s="1" t="s">
        <v>4727</v>
      </c>
      <c r="D175" s="1" t="s">
        <v>4691</v>
      </c>
      <c r="E175" s="1" t="s">
        <v>4728</v>
      </c>
      <c r="F175" s="1" t="s">
        <v>4729</v>
      </c>
      <c r="G175" s="1" t="s">
        <v>4730</v>
      </c>
    </row>
    <row r="176" spans="1:7">
      <c r="A176" s="1">
        <v>175</v>
      </c>
      <c r="B176" s="1" t="s">
        <v>4731</v>
      </c>
      <c r="D176" s="1" t="s">
        <v>4691</v>
      </c>
      <c r="E176" s="1" t="s">
        <v>4732</v>
      </c>
      <c r="F176" s="1" t="s">
        <v>4733</v>
      </c>
      <c r="G176" s="1" t="s">
        <v>4734</v>
      </c>
    </row>
    <row r="177" spans="1:7">
      <c r="A177" s="1">
        <v>176</v>
      </c>
      <c r="B177" s="1" t="s">
        <v>4735</v>
      </c>
      <c r="D177" s="1" t="s">
        <v>4691</v>
      </c>
      <c r="E177" s="1" t="s">
        <v>4736</v>
      </c>
      <c r="F177" s="1" t="s">
        <v>4737</v>
      </c>
      <c r="G177" s="1" t="s">
        <v>4738</v>
      </c>
    </row>
    <row r="178" spans="1:7">
      <c r="A178" s="1">
        <v>177</v>
      </c>
      <c r="B178" s="1" t="s">
        <v>4739</v>
      </c>
      <c r="D178" s="1" t="s">
        <v>4691</v>
      </c>
      <c r="E178" s="1" t="s">
        <v>4740</v>
      </c>
      <c r="F178" s="1" t="s">
        <v>4741</v>
      </c>
      <c r="G178" s="1" t="s">
        <v>4742</v>
      </c>
    </row>
    <row r="179" spans="1:7">
      <c r="A179" s="1">
        <v>178</v>
      </c>
      <c r="B179" s="1" t="s">
        <v>4743</v>
      </c>
      <c r="D179" s="1" t="s">
        <v>4691</v>
      </c>
      <c r="E179" s="1" t="s">
        <v>4744</v>
      </c>
      <c r="F179" s="1" t="s">
        <v>4745</v>
      </c>
      <c r="G179" s="1" t="s">
        <v>4746</v>
      </c>
    </row>
    <row r="180" spans="1:7">
      <c r="A180" s="1">
        <v>179</v>
      </c>
      <c r="B180" s="1" t="s">
        <v>4747</v>
      </c>
      <c r="D180" s="1" t="s">
        <v>4691</v>
      </c>
      <c r="E180" s="1" t="s">
        <v>4748</v>
      </c>
      <c r="F180" s="1" t="s">
        <v>4749</v>
      </c>
      <c r="G180" s="1" t="s">
        <v>4750</v>
      </c>
    </row>
    <row r="181" spans="1:7">
      <c r="A181" s="1">
        <v>180</v>
      </c>
      <c r="B181" s="1" t="s">
        <v>4751</v>
      </c>
      <c r="D181" s="1" t="s">
        <v>4691</v>
      </c>
      <c r="E181" s="1" t="s">
        <v>4752</v>
      </c>
      <c r="F181" s="1" t="s">
        <v>4753</v>
      </c>
      <c r="G181" s="1" t="s">
        <v>4754</v>
      </c>
    </row>
    <row r="182" spans="1:7">
      <c r="A182" s="1">
        <v>181</v>
      </c>
      <c r="B182" s="1" t="s">
        <v>4755</v>
      </c>
      <c r="D182" s="1" t="s">
        <v>4691</v>
      </c>
      <c r="E182" s="1" t="s">
        <v>4756</v>
      </c>
      <c r="F182" s="1" t="s">
        <v>4757</v>
      </c>
      <c r="G182" s="1" t="s">
        <v>4758</v>
      </c>
    </row>
    <row r="183" spans="1:7">
      <c r="A183" s="1">
        <v>182</v>
      </c>
      <c r="B183" s="1" t="s">
        <v>4759</v>
      </c>
      <c r="D183" s="1" t="s">
        <v>4691</v>
      </c>
      <c r="E183" s="1" t="s">
        <v>4760</v>
      </c>
      <c r="F183" s="1" t="s">
        <v>4761</v>
      </c>
      <c r="G183" s="1" t="s">
        <v>4762</v>
      </c>
    </row>
    <row r="184" spans="1:7">
      <c r="A184" s="1">
        <v>183</v>
      </c>
      <c r="B184" s="1" t="s">
        <v>4763</v>
      </c>
      <c r="D184" s="1" t="s">
        <v>4691</v>
      </c>
      <c r="E184" s="1" t="s">
        <v>4764</v>
      </c>
      <c r="F184" s="1" t="s">
        <v>4765</v>
      </c>
      <c r="G184" s="1" t="s">
        <v>4766</v>
      </c>
    </row>
    <row r="185" spans="1:7">
      <c r="A185" s="1">
        <v>184</v>
      </c>
      <c r="B185" s="1" t="s">
        <v>4767</v>
      </c>
      <c r="D185" s="1" t="s">
        <v>4691</v>
      </c>
      <c r="E185" s="1" t="s">
        <v>4768</v>
      </c>
      <c r="F185" s="1" t="s">
        <v>4769</v>
      </c>
      <c r="G185" s="1" t="s">
        <v>4770</v>
      </c>
    </row>
    <row r="186" spans="1:7">
      <c r="A186" s="1">
        <v>185</v>
      </c>
      <c r="B186" s="1" t="s">
        <v>4771</v>
      </c>
      <c r="D186" s="1" t="s">
        <v>4691</v>
      </c>
      <c r="E186" s="1" t="s">
        <v>4772</v>
      </c>
      <c r="F186" s="1" t="s">
        <v>4773</v>
      </c>
      <c r="G186" s="1" t="s">
        <v>4774</v>
      </c>
    </row>
    <row r="187" spans="1:7">
      <c r="A187" s="1">
        <v>186</v>
      </c>
      <c r="B187" s="1" t="s">
        <v>4775</v>
      </c>
      <c r="D187" s="1" t="s">
        <v>4691</v>
      </c>
      <c r="E187" s="1" t="s">
        <v>4776</v>
      </c>
      <c r="F187" s="1" t="s">
        <v>4777</v>
      </c>
      <c r="G187" s="1" t="s">
        <v>4778</v>
      </c>
    </row>
    <row r="188" spans="1:7">
      <c r="A188" s="1">
        <v>187</v>
      </c>
      <c r="B188" s="1" t="s">
        <v>4779</v>
      </c>
      <c r="D188" s="1" t="s">
        <v>4780</v>
      </c>
      <c r="E188" s="1" t="s">
        <v>4781</v>
      </c>
      <c r="F188" s="1" t="s">
        <v>4782</v>
      </c>
      <c r="G188" s="1" t="s">
        <v>4783</v>
      </c>
    </row>
    <row r="189" spans="1:7">
      <c r="A189" s="1">
        <v>188</v>
      </c>
      <c r="B189" s="1" t="s">
        <v>4784</v>
      </c>
      <c r="D189" s="1" t="s">
        <v>4780</v>
      </c>
      <c r="E189" s="1" t="s">
        <v>4785</v>
      </c>
      <c r="F189" s="1" t="s">
        <v>4786</v>
      </c>
      <c r="G189" s="1" t="s">
        <v>4787</v>
      </c>
    </row>
    <row r="190" spans="1:7">
      <c r="A190" s="1">
        <v>189</v>
      </c>
      <c r="B190" s="1" t="s">
        <v>4788</v>
      </c>
      <c r="D190" s="1" t="s">
        <v>4780</v>
      </c>
      <c r="E190" s="1" t="s">
        <v>4789</v>
      </c>
      <c r="F190" s="1" t="s">
        <v>4790</v>
      </c>
      <c r="G190" s="1" t="s">
        <v>4791</v>
      </c>
    </row>
    <row r="191" spans="1:7">
      <c r="A191" s="1">
        <v>190</v>
      </c>
      <c r="B191" s="1" t="s">
        <v>4792</v>
      </c>
      <c r="D191" s="1" t="s">
        <v>4780</v>
      </c>
      <c r="E191" s="1" t="s">
        <v>4793</v>
      </c>
      <c r="F191" s="1" t="s">
        <v>4794</v>
      </c>
      <c r="G191" s="1" t="s">
        <v>4795</v>
      </c>
    </row>
    <row r="192" spans="1:7">
      <c r="A192" s="1">
        <v>191</v>
      </c>
      <c r="B192" s="1" t="s">
        <v>4796</v>
      </c>
      <c r="D192" s="1" t="s">
        <v>4780</v>
      </c>
      <c r="E192" s="1" t="s">
        <v>4797</v>
      </c>
      <c r="F192" s="1" t="s">
        <v>4798</v>
      </c>
      <c r="G192" s="1" t="s">
        <v>4799</v>
      </c>
    </row>
    <row r="193" spans="1:7">
      <c r="A193" s="1">
        <v>192</v>
      </c>
      <c r="B193" s="1" t="s">
        <v>4800</v>
      </c>
      <c r="D193" s="1" t="s">
        <v>4780</v>
      </c>
      <c r="E193" s="1" t="s">
        <v>4801</v>
      </c>
      <c r="F193" s="1" t="s">
        <v>4802</v>
      </c>
      <c r="G193" s="1" t="s">
        <v>4803</v>
      </c>
    </row>
    <row r="194" spans="1:7">
      <c r="A194" s="1">
        <v>193</v>
      </c>
      <c r="B194" s="1" t="s">
        <v>4804</v>
      </c>
      <c r="D194" s="1" t="s">
        <v>4780</v>
      </c>
      <c r="E194" s="1" t="s">
        <v>4805</v>
      </c>
      <c r="F194" s="1" t="s">
        <v>4806</v>
      </c>
      <c r="G194" s="1" t="s">
        <v>4807</v>
      </c>
    </row>
    <row r="195" spans="1:7">
      <c r="A195" s="1">
        <v>194</v>
      </c>
      <c r="B195" s="1" t="s">
        <v>4808</v>
      </c>
      <c r="D195" s="1" t="s">
        <v>4780</v>
      </c>
      <c r="E195" s="1" t="s">
        <v>4809</v>
      </c>
      <c r="F195" s="1" t="s">
        <v>4810</v>
      </c>
      <c r="G195" s="1" t="s">
        <v>4811</v>
      </c>
    </row>
    <row r="196" spans="1:7">
      <c r="A196" s="1">
        <v>195</v>
      </c>
      <c r="B196" s="1" t="s">
        <v>4812</v>
      </c>
      <c r="D196" s="1" t="s">
        <v>4780</v>
      </c>
      <c r="E196" s="1" t="s">
        <v>4813</v>
      </c>
      <c r="F196" s="1" t="s">
        <v>4814</v>
      </c>
      <c r="G196" s="1" t="s">
        <v>4815</v>
      </c>
    </row>
    <row r="197" spans="1:7">
      <c r="A197" s="1">
        <v>196</v>
      </c>
      <c r="B197" s="1" t="s">
        <v>4816</v>
      </c>
      <c r="D197" s="1" t="s">
        <v>4780</v>
      </c>
      <c r="E197" s="1" t="s">
        <v>4817</v>
      </c>
      <c r="F197" s="1" t="s">
        <v>4818</v>
      </c>
      <c r="G197" s="1" t="s">
        <v>4819</v>
      </c>
    </row>
    <row r="198" spans="1:7">
      <c r="A198" s="1">
        <v>197</v>
      </c>
      <c r="B198" s="1" t="s">
        <v>4820</v>
      </c>
      <c r="D198" s="1" t="s">
        <v>4780</v>
      </c>
      <c r="E198" s="1" t="s">
        <v>4821</v>
      </c>
      <c r="F198" s="1" t="s">
        <v>4822</v>
      </c>
      <c r="G198" s="1" t="s">
        <v>4823</v>
      </c>
    </row>
    <row r="199" spans="1:7">
      <c r="A199" s="1">
        <v>198</v>
      </c>
      <c r="B199" s="1" t="s">
        <v>4824</v>
      </c>
      <c r="D199" s="1" t="s">
        <v>4780</v>
      </c>
      <c r="E199" s="1" t="s">
        <v>4825</v>
      </c>
      <c r="F199" s="1" t="s">
        <v>4826</v>
      </c>
      <c r="G199" s="1" t="s">
        <v>4827</v>
      </c>
    </row>
    <row r="200" spans="1:7">
      <c r="A200" s="1">
        <v>199</v>
      </c>
      <c r="B200" s="1" t="s">
        <v>4828</v>
      </c>
      <c r="D200" s="1" t="s">
        <v>4780</v>
      </c>
      <c r="E200" s="1" t="s">
        <v>4829</v>
      </c>
      <c r="F200" s="1" t="s">
        <v>4830</v>
      </c>
      <c r="G200" s="1" t="s">
        <v>4831</v>
      </c>
    </row>
    <row r="201" spans="1:7">
      <c r="A201" s="1">
        <v>200</v>
      </c>
      <c r="B201" s="1" t="s">
        <v>4832</v>
      </c>
      <c r="D201" s="1" t="s">
        <v>4780</v>
      </c>
      <c r="E201" s="1" t="s">
        <v>4833</v>
      </c>
      <c r="F201" s="1" t="s">
        <v>4834</v>
      </c>
      <c r="G201" s="1" t="s">
        <v>4835</v>
      </c>
    </row>
    <row r="202" spans="1:7">
      <c r="A202" s="1">
        <v>201</v>
      </c>
      <c r="B202" s="1" t="s">
        <v>4836</v>
      </c>
      <c r="D202" s="1" t="s">
        <v>4780</v>
      </c>
      <c r="E202" s="1" t="s">
        <v>4837</v>
      </c>
      <c r="F202" s="1" t="s">
        <v>4838</v>
      </c>
      <c r="G202" s="1" t="s">
        <v>4839</v>
      </c>
    </row>
    <row r="203" spans="1:7">
      <c r="A203" s="1">
        <v>202</v>
      </c>
      <c r="B203" s="1" t="s">
        <v>4840</v>
      </c>
      <c r="D203" s="1" t="s">
        <v>4780</v>
      </c>
      <c r="E203" s="1" t="s">
        <v>4841</v>
      </c>
      <c r="F203" s="1" t="s">
        <v>4842</v>
      </c>
      <c r="G203" s="1" t="s">
        <v>4843</v>
      </c>
    </row>
    <row r="204" spans="1:7">
      <c r="A204" s="1">
        <v>203</v>
      </c>
      <c r="B204" s="1" t="s">
        <v>4844</v>
      </c>
      <c r="D204" s="1" t="s">
        <v>4780</v>
      </c>
      <c r="E204" s="1" t="s">
        <v>4845</v>
      </c>
      <c r="F204" s="1" t="s">
        <v>4846</v>
      </c>
      <c r="G204" s="1" t="s">
        <v>4847</v>
      </c>
    </row>
    <row r="205" spans="1:7">
      <c r="A205" s="1">
        <v>204</v>
      </c>
      <c r="B205" s="1" t="s">
        <v>4848</v>
      </c>
      <c r="D205" s="1" t="s">
        <v>4780</v>
      </c>
      <c r="E205" s="1" t="s">
        <v>4849</v>
      </c>
      <c r="F205" s="1" t="s">
        <v>4850</v>
      </c>
      <c r="G205" s="1" t="s">
        <v>4851</v>
      </c>
    </row>
    <row r="206" spans="1:7">
      <c r="A206" s="1">
        <v>205</v>
      </c>
      <c r="B206" s="1" t="s">
        <v>4852</v>
      </c>
      <c r="D206" s="1" t="s">
        <v>4780</v>
      </c>
      <c r="E206" s="1" t="s">
        <v>4853</v>
      </c>
      <c r="F206" s="1" t="s">
        <v>4854</v>
      </c>
      <c r="G206" s="1" t="s">
        <v>4855</v>
      </c>
    </row>
    <row r="207" spans="1:7">
      <c r="A207" s="1">
        <v>206</v>
      </c>
      <c r="B207" s="1" t="s">
        <v>4856</v>
      </c>
      <c r="D207" s="1" t="s">
        <v>4780</v>
      </c>
      <c r="E207" s="1" t="s">
        <v>4857</v>
      </c>
      <c r="F207" s="1" t="s">
        <v>4858</v>
      </c>
      <c r="G207" s="1" t="s">
        <v>4859</v>
      </c>
    </row>
    <row r="208" spans="1:7">
      <c r="A208" s="1">
        <v>207</v>
      </c>
      <c r="B208" s="1" t="s">
        <v>4860</v>
      </c>
      <c r="D208" s="1" t="s">
        <v>4780</v>
      </c>
      <c r="E208" s="1" t="s">
        <v>4861</v>
      </c>
      <c r="F208" s="1" t="s">
        <v>4862</v>
      </c>
      <c r="G208" s="1" t="s">
        <v>4863</v>
      </c>
    </row>
    <row r="209" spans="1:7">
      <c r="A209" s="1">
        <v>208</v>
      </c>
      <c r="B209" s="1" t="s">
        <v>4864</v>
      </c>
      <c r="D209" s="1" t="s">
        <v>4780</v>
      </c>
      <c r="E209" s="1" t="s">
        <v>4865</v>
      </c>
      <c r="F209" s="1" t="s">
        <v>4866</v>
      </c>
      <c r="G209" s="1" t="s">
        <v>4867</v>
      </c>
    </row>
    <row r="210" spans="1:7">
      <c r="A210" s="1">
        <v>209</v>
      </c>
      <c r="B210" s="1" t="s">
        <v>4868</v>
      </c>
      <c r="D210" s="1" t="s">
        <v>4869</v>
      </c>
      <c r="E210" s="1" t="s">
        <v>4870</v>
      </c>
      <c r="F210" s="1" t="s">
        <v>4871</v>
      </c>
      <c r="G210" s="1" t="s">
        <v>4872</v>
      </c>
    </row>
    <row r="211" spans="1:7">
      <c r="A211" s="1">
        <v>210</v>
      </c>
      <c r="B211" s="1" t="s">
        <v>4873</v>
      </c>
      <c r="D211" s="1" t="s">
        <v>4869</v>
      </c>
      <c r="E211" s="1" t="s">
        <v>4874</v>
      </c>
      <c r="F211" s="1" t="s">
        <v>4875</v>
      </c>
      <c r="G211" s="1" t="s">
        <v>4876</v>
      </c>
    </row>
    <row r="212" spans="1:7">
      <c r="A212" s="1">
        <v>211</v>
      </c>
      <c r="B212" s="1" t="s">
        <v>4877</v>
      </c>
      <c r="D212" s="1" t="s">
        <v>4869</v>
      </c>
      <c r="E212" s="1" t="s">
        <v>4878</v>
      </c>
      <c r="F212" s="1" t="s">
        <v>4879</v>
      </c>
      <c r="G212" s="1" t="s">
        <v>4880</v>
      </c>
    </row>
    <row r="213" spans="1:7">
      <c r="A213" s="1">
        <v>212</v>
      </c>
      <c r="B213" s="1" t="s">
        <v>4881</v>
      </c>
      <c r="D213" s="1" t="s">
        <v>4869</v>
      </c>
      <c r="E213" s="1" t="s">
        <v>4882</v>
      </c>
      <c r="F213" s="1" t="s">
        <v>4883</v>
      </c>
      <c r="G213" s="1" t="s">
        <v>4884</v>
      </c>
    </row>
    <row r="214" spans="1:7">
      <c r="A214" s="1">
        <v>213</v>
      </c>
      <c r="B214" s="1" t="s">
        <v>4885</v>
      </c>
      <c r="D214" s="1" t="s">
        <v>4869</v>
      </c>
      <c r="E214" s="1" t="s">
        <v>4886</v>
      </c>
      <c r="F214" s="1" t="s">
        <v>4887</v>
      </c>
      <c r="G214" s="1" t="s">
        <v>4888</v>
      </c>
    </row>
    <row r="215" spans="1:7">
      <c r="A215" s="1">
        <v>214</v>
      </c>
      <c r="B215" s="1" t="s">
        <v>4889</v>
      </c>
      <c r="D215" s="1" t="s">
        <v>4869</v>
      </c>
      <c r="E215" s="1" t="s">
        <v>4890</v>
      </c>
      <c r="F215" s="1" t="s">
        <v>4891</v>
      </c>
      <c r="G215" s="1" t="s">
        <v>4892</v>
      </c>
    </row>
    <row r="216" spans="1:7">
      <c r="A216" s="1">
        <v>215</v>
      </c>
      <c r="B216" s="1" t="s">
        <v>4893</v>
      </c>
      <c r="D216" s="1" t="s">
        <v>4869</v>
      </c>
      <c r="E216" s="1" t="s">
        <v>4894</v>
      </c>
      <c r="F216" s="1" t="s">
        <v>4895</v>
      </c>
      <c r="G216" s="1" t="s">
        <v>4896</v>
      </c>
    </row>
    <row r="217" spans="1:7">
      <c r="A217" s="1">
        <v>216</v>
      </c>
      <c r="B217" s="1" t="s">
        <v>4897</v>
      </c>
      <c r="D217" s="1" t="s">
        <v>4869</v>
      </c>
      <c r="E217" s="1" t="s">
        <v>4898</v>
      </c>
      <c r="F217" s="1" t="s">
        <v>4899</v>
      </c>
      <c r="G217" s="1" t="s">
        <v>4900</v>
      </c>
    </row>
    <row r="218" spans="1:7">
      <c r="A218" s="1">
        <v>217</v>
      </c>
      <c r="B218" s="1" t="s">
        <v>4901</v>
      </c>
      <c r="D218" s="1" t="s">
        <v>4869</v>
      </c>
      <c r="E218" s="1" t="s">
        <v>4902</v>
      </c>
      <c r="F218" s="1" t="s">
        <v>4903</v>
      </c>
      <c r="G218" s="1" t="s">
        <v>4904</v>
      </c>
    </row>
    <row r="219" spans="1:7">
      <c r="A219" s="1">
        <v>218</v>
      </c>
      <c r="B219" s="1" t="s">
        <v>4905</v>
      </c>
      <c r="D219" s="1" t="s">
        <v>4869</v>
      </c>
      <c r="E219" s="1" t="s">
        <v>4906</v>
      </c>
      <c r="F219" s="1" t="s">
        <v>4907</v>
      </c>
      <c r="G219" s="1" t="s">
        <v>4908</v>
      </c>
    </row>
    <row r="220" spans="1:7">
      <c r="A220" s="1">
        <v>219</v>
      </c>
      <c r="B220" s="1" t="s">
        <v>4909</v>
      </c>
      <c r="D220" s="1" t="s">
        <v>4869</v>
      </c>
      <c r="E220" s="1" t="s">
        <v>4910</v>
      </c>
      <c r="F220" s="1" t="s">
        <v>4911</v>
      </c>
      <c r="G220" s="1" t="s">
        <v>4912</v>
      </c>
    </row>
    <row r="221" spans="1:7">
      <c r="A221" s="1">
        <v>220</v>
      </c>
      <c r="B221" s="1" t="s">
        <v>4913</v>
      </c>
      <c r="D221" s="1" t="s">
        <v>4869</v>
      </c>
      <c r="E221" s="1" t="s">
        <v>4914</v>
      </c>
      <c r="F221" s="1" t="s">
        <v>4915</v>
      </c>
      <c r="G221" s="1" t="s">
        <v>4916</v>
      </c>
    </row>
    <row r="222" spans="1:7">
      <c r="A222" s="1">
        <v>221</v>
      </c>
      <c r="B222" s="1" t="s">
        <v>4917</v>
      </c>
      <c r="D222" s="1" t="s">
        <v>4869</v>
      </c>
      <c r="E222" s="1" t="s">
        <v>4918</v>
      </c>
      <c r="F222" s="1" t="s">
        <v>4919</v>
      </c>
      <c r="G222" s="1" t="s">
        <v>4920</v>
      </c>
    </row>
    <row r="223" spans="1:7">
      <c r="A223" s="1">
        <v>222</v>
      </c>
      <c r="B223" s="1" t="s">
        <v>4921</v>
      </c>
      <c r="D223" s="1" t="s">
        <v>4869</v>
      </c>
      <c r="E223" s="1" t="s">
        <v>4922</v>
      </c>
      <c r="F223" s="1" t="s">
        <v>4923</v>
      </c>
      <c r="G223" s="1" t="s">
        <v>4924</v>
      </c>
    </row>
    <row r="224" spans="1:7">
      <c r="A224" s="1">
        <v>223</v>
      </c>
      <c r="B224" s="1" t="s">
        <v>4925</v>
      </c>
      <c r="D224" s="1" t="s">
        <v>4869</v>
      </c>
      <c r="E224" s="1" t="s">
        <v>4926</v>
      </c>
      <c r="F224" s="1" t="s">
        <v>4927</v>
      </c>
      <c r="G224" s="1" t="s">
        <v>4928</v>
      </c>
    </row>
    <row r="225" spans="1:7">
      <c r="A225" s="1">
        <v>224</v>
      </c>
      <c r="B225" s="1" t="s">
        <v>4929</v>
      </c>
      <c r="D225" s="1" t="s">
        <v>4869</v>
      </c>
      <c r="E225" s="1" t="s">
        <v>4930</v>
      </c>
      <c r="F225" s="1" t="s">
        <v>4931</v>
      </c>
      <c r="G225" s="1" t="s">
        <v>4932</v>
      </c>
    </row>
    <row r="226" spans="1:7">
      <c r="A226" s="1">
        <v>225</v>
      </c>
      <c r="B226" s="1" t="s">
        <v>4933</v>
      </c>
      <c r="D226" s="1" t="s">
        <v>4869</v>
      </c>
      <c r="E226" s="1" t="s">
        <v>4934</v>
      </c>
      <c r="F226" s="1" t="s">
        <v>4935</v>
      </c>
      <c r="G226" s="1" t="s">
        <v>4936</v>
      </c>
    </row>
    <row r="227" spans="1:7">
      <c r="A227" s="1">
        <v>226</v>
      </c>
      <c r="B227" s="1" t="s">
        <v>4937</v>
      </c>
      <c r="D227" s="1" t="s">
        <v>4869</v>
      </c>
      <c r="E227" s="1" t="s">
        <v>4938</v>
      </c>
      <c r="F227" s="1" t="s">
        <v>4939</v>
      </c>
      <c r="G227" s="1" t="s">
        <v>4940</v>
      </c>
    </row>
    <row r="228" spans="1:7">
      <c r="A228" s="1">
        <v>227</v>
      </c>
      <c r="B228" s="1" t="s">
        <v>4941</v>
      </c>
      <c r="D228" s="1" t="s">
        <v>4869</v>
      </c>
      <c r="E228" s="1" t="s">
        <v>4942</v>
      </c>
      <c r="F228" s="1" t="s">
        <v>4943</v>
      </c>
      <c r="G228" s="1" t="s">
        <v>4944</v>
      </c>
    </row>
    <row r="229" spans="1:7">
      <c r="A229" s="1">
        <v>228</v>
      </c>
      <c r="B229" s="1" t="s">
        <v>4945</v>
      </c>
      <c r="D229" s="1" t="s">
        <v>4869</v>
      </c>
      <c r="E229" s="1" t="s">
        <v>4946</v>
      </c>
      <c r="F229" s="1" t="s">
        <v>4947</v>
      </c>
      <c r="G229" s="1" t="s">
        <v>4948</v>
      </c>
    </row>
    <row r="230" spans="1:7">
      <c r="A230" s="1">
        <v>229</v>
      </c>
      <c r="B230" s="1" t="s">
        <v>4949</v>
      </c>
      <c r="D230" s="1" t="s">
        <v>4869</v>
      </c>
      <c r="E230" s="1" t="s">
        <v>4950</v>
      </c>
      <c r="F230" s="1" t="s">
        <v>4951</v>
      </c>
      <c r="G230" s="1" t="s">
        <v>4952</v>
      </c>
    </row>
    <row r="231" spans="1:7">
      <c r="A231" s="1">
        <v>230</v>
      </c>
      <c r="B231" s="1" t="s">
        <v>4953</v>
      </c>
      <c r="D231" s="1" t="s">
        <v>4869</v>
      </c>
      <c r="E231" s="1" t="s">
        <v>4954</v>
      </c>
      <c r="F231" s="1" t="s">
        <v>4955</v>
      </c>
      <c r="G231" s="1" t="s">
        <v>4956</v>
      </c>
    </row>
    <row r="232" spans="1:7">
      <c r="A232" s="1">
        <v>231</v>
      </c>
      <c r="B232" s="1" t="s">
        <v>4957</v>
      </c>
      <c r="D232" s="1" t="s">
        <v>4958</v>
      </c>
      <c r="E232" s="1" t="s">
        <v>4959</v>
      </c>
      <c r="F232" s="1" t="s">
        <v>4960</v>
      </c>
      <c r="G232" s="1" t="s">
        <v>4961</v>
      </c>
    </row>
    <row r="233" spans="1:7">
      <c r="A233" s="1">
        <v>232</v>
      </c>
      <c r="B233" s="1" t="s">
        <v>4962</v>
      </c>
      <c r="D233" s="1" t="s">
        <v>4958</v>
      </c>
      <c r="E233" s="1" t="s">
        <v>3601</v>
      </c>
      <c r="F233" s="1" t="s">
        <v>4963</v>
      </c>
      <c r="G233" s="1" t="s">
        <v>4964</v>
      </c>
    </row>
    <row r="234" spans="1:7">
      <c r="A234" s="1">
        <v>233</v>
      </c>
      <c r="B234" s="1" t="s">
        <v>4965</v>
      </c>
      <c r="D234" s="1" t="s">
        <v>4958</v>
      </c>
      <c r="E234" s="1" t="s">
        <v>4966</v>
      </c>
      <c r="F234" s="1" t="s">
        <v>4967</v>
      </c>
      <c r="G234" s="1" t="s">
        <v>4968</v>
      </c>
    </row>
    <row r="235" spans="1:7">
      <c r="A235" s="1">
        <v>234</v>
      </c>
      <c r="B235" s="1" t="s">
        <v>4969</v>
      </c>
      <c r="D235" s="1" t="s">
        <v>4958</v>
      </c>
      <c r="E235" s="1" t="s">
        <v>4970</v>
      </c>
      <c r="F235" s="1" t="s">
        <v>4971</v>
      </c>
      <c r="G235" s="1" t="s">
        <v>4972</v>
      </c>
    </row>
    <row r="236" spans="1:7">
      <c r="A236" s="1">
        <v>235</v>
      </c>
      <c r="B236" s="1" t="s">
        <v>4973</v>
      </c>
      <c r="D236" s="1" t="s">
        <v>4958</v>
      </c>
      <c r="E236" s="1" t="s">
        <v>4974</v>
      </c>
      <c r="F236" s="1" t="s">
        <v>4975</v>
      </c>
      <c r="G236" s="1" t="s">
        <v>4976</v>
      </c>
    </row>
    <row r="237" spans="1:7">
      <c r="A237" s="1">
        <v>236</v>
      </c>
      <c r="B237" s="1" t="s">
        <v>4977</v>
      </c>
      <c r="D237" s="1" t="s">
        <v>4958</v>
      </c>
      <c r="E237" s="1" t="s">
        <v>4978</v>
      </c>
      <c r="F237" s="1" t="s">
        <v>4979</v>
      </c>
      <c r="G237" s="1" t="s">
        <v>4980</v>
      </c>
    </row>
    <row r="238" spans="1:7">
      <c r="A238" s="1">
        <v>237</v>
      </c>
      <c r="B238" s="1" t="s">
        <v>4981</v>
      </c>
      <c r="D238" s="1" t="s">
        <v>4958</v>
      </c>
      <c r="E238" s="1" t="s">
        <v>4982</v>
      </c>
      <c r="F238" s="1" t="s">
        <v>4983</v>
      </c>
      <c r="G238" s="1" t="s">
        <v>4984</v>
      </c>
    </row>
    <row r="239" spans="1:7">
      <c r="A239" s="1">
        <v>238</v>
      </c>
      <c r="B239" s="1" t="s">
        <v>4985</v>
      </c>
      <c r="D239" s="1" t="s">
        <v>4958</v>
      </c>
      <c r="E239" s="1" t="s">
        <v>4986</v>
      </c>
      <c r="F239" s="1" t="s">
        <v>4987</v>
      </c>
      <c r="G239" s="1" t="s">
        <v>4988</v>
      </c>
    </row>
    <row r="240" spans="1:7">
      <c r="A240" s="1">
        <v>239</v>
      </c>
      <c r="B240" s="1" t="s">
        <v>4989</v>
      </c>
      <c r="D240" s="1" t="s">
        <v>4958</v>
      </c>
      <c r="E240" s="1" t="s">
        <v>4990</v>
      </c>
      <c r="F240" s="1" t="s">
        <v>4991</v>
      </c>
      <c r="G240" s="1" t="s">
        <v>4992</v>
      </c>
    </row>
    <row r="241" spans="1:7">
      <c r="A241" s="1">
        <v>240</v>
      </c>
      <c r="B241" s="1" t="s">
        <v>4993</v>
      </c>
      <c r="D241" s="1" t="s">
        <v>4958</v>
      </c>
      <c r="E241" s="1" t="s">
        <v>4994</v>
      </c>
      <c r="F241" s="1" t="s">
        <v>4995</v>
      </c>
      <c r="G241" s="1" t="s">
        <v>4996</v>
      </c>
    </row>
    <row r="242" spans="1:7">
      <c r="A242" s="1">
        <v>241</v>
      </c>
      <c r="B242" s="1" t="s">
        <v>4997</v>
      </c>
      <c r="D242" s="1" t="s">
        <v>4958</v>
      </c>
      <c r="E242" s="1" t="s">
        <v>3649</v>
      </c>
      <c r="F242" s="1" t="s">
        <v>4998</v>
      </c>
      <c r="G242" s="1" t="s">
        <v>4999</v>
      </c>
    </row>
    <row r="243" spans="1:7">
      <c r="A243" s="1">
        <v>242</v>
      </c>
      <c r="B243" s="1" t="s">
        <v>5000</v>
      </c>
      <c r="D243" s="1" t="s">
        <v>4958</v>
      </c>
      <c r="E243" s="1" t="s">
        <v>5001</v>
      </c>
      <c r="F243" s="1" t="s">
        <v>5002</v>
      </c>
      <c r="G243" s="1" t="s">
        <v>5003</v>
      </c>
    </row>
    <row r="244" spans="1:7">
      <c r="A244" s="1">
        <v>243</v>
      </c>
      <c r="B244" s="1" t="s">
        <v>5004</v>
      </c>
      <c r="D244" s="1" t="s">
        <v>4958</v>
      </c>
      <c r="E244" s="1" t="s">
        <v>5005</v>
      </c>
      <c r="F244" s="1" t="s">
        <v>5006</v>
      </c>
      <c r="G244" s="1" t="s">
        <v>5007</v>
      </c>
    </row>
    <row r="245" spans="1:7">
      <c r="A245" s="1">
        <v>244</v>
      </c>
      <c r="B245" s="1" t="s">
        <v>5008</v>
      </c>
      <c r="D245" s="1" t="s">
        <v>4958</v>
      </c>
      <c r="E245" s="1" t="s">
        <v>3653</v>
      </c>
      <c r="F245" s="1" t="s">
        <v>5009</v>
      </c>
      <c r="G245" s="1" t="s">
        <v>5010</v>
      </c>
    </row>
    <row r="246" spans="1:7">
      <c r="A246" s="1">
        <v>245</v>
      </c>
      <c r="B246" s="1" t="s">
        <v>5011</v>
      </c>
      <c r="D246" s="1" t="s">
        <v>4958</v>
      </c>
      <c r="E246" s="1" t="s">
        <v>3654</v>
      </c>
      <c r="F246" s="1" t="s">
        <v>5012</v>
      </c>
      <c r="G246" s="1" t="s">
        <v>5013</v>
      </c>
    </row>
    <row r="247" spans="1:7">
      <c r="A247" s="1">
        <v>246</v>
      </c>
      <c r="B247" s="1" t="s">
        <v>5014</v>
      </c>
      <c r="D247" s="1" t="s">
        <v>4958</v>
      </c>
      <c r="E247" s="1" t="s">
        <v>3655</v>
      </c>
      <c r="F247" s="1" t="s">
        <v>5015</v>
      </c>
      <c r="G247" s="1" t="s">
        <v>5016</v>
      </c>
    </row>
    <row r="248" spans="1:7">
      <c r="A248" s="1">
        <v>247</v>
      </c>
      <c r="B248" s="1" t="s">
        <v>5017</v>
      </c>
      <c r="D248" s="1" t="s">
        <v>4958</v>
      </c>
      <c r="E248" s="1" t="s">
        <v>3656</v>
      </c>
      <c r="F248" s="1" t="s">
        <v>5018</v>
      </c>
      <c r="G248" s="1" t="s">
        <v>5019</v>
      </c>
    </row>
    <row r="249" spans="1:7">
      <c r="A249" s="1">
        <v>248</v>
      </c>
      <c r="B249" s="1" t="s">
        <v>5020</v>
      </c>
      <c r="D249" s="1" t="s">
        <v>4958</v>
      </c>
      <c r="E249" s="1" t="s">
        <v>3657</v>
      </c>
      <c r="F249" s="1" t="s">
        <v>5021</v>
      </c>
      <c r="G249" s="1" t="s">
        <v>5022</v>
      </c>
    </row>
    <row r="250" spans="1:7">
      <c r="A250" s="1">
        <v>249</v>
      </c>
      <c r="B250" s="1" t="s">
        <v>5023</v>
      </c>
      <c r="D250" s="1" t="s">
        <v>4958</v>
      </c>
      <c r="E250" s="1" t="s">
        <v>5024</v>
      </c>
      <c r="F250" s="1" t="s">
        <v>5025</v>
      </c>
      <c r="G250" s="1" t="s">
        <v>5026</v>
      </c>
    </row>
    <row r="251" spans="1:7">
      <c r="A251" s="1">
        <v>250</v>
      </c>
      <c r="B251" s="1" t="s">
        <v>5027</v>
      </c>
      <c r="D251" s="1" t="s">
        <v>4958</v>
      </c>
      <c r="E251" s="1" t="s">
        <v>3658</v>
      </c>
      <c r="F251" s="1" t="s">
        <v>5028</v>
      </c>
      <c r="G251" s="1" t="s">
        <v>5029</v>
      </c>
    </row>
    <row r="252" spans="1:7">
      <c r="A252" s="1">
        <v>251</v>
      </c>
      <c r="B252" s="1" t="s">
        <v>5030</v>
      </c>
      <c r="D252" s="1" t="s">
        <v>4958</v>
      </c>
      <c r="E252" s="1" t="s">
        <v>5031</v>
      </c>
      <c r="F252" s="1" t="s">
        <v>5032</v>
      </c>
      <c r="G252" s="1" t="s">
        <v>5033</v>
      </c>
    </row>
    <row r="253" spans="1:7">
      <c r="A253" s="1">
        <v>252</v>
      </c>
      <c r="B253" s="1" t="s">
        <v>5034</v>
      </c>
      <c r="D253" s="1" t="s">
        <v>4958</v>
      </c>
      <c r="E253" s="1" t="s">
        <v>5035</v>
      </c>
      <c r="F253" s="1" t="s">
        <v>5036</v>
      </c>
      <c r="G253" s="1" t="s">
        <v>5037</v>
      </c>
    </row>
    <row r="254" spans="1:7">
      <c r="A254" s="1">
        <v>253</v>
      </c>
      <c r="B254" s="1" t="s">
        <v>5038</v>
      </c>
      <c r="D254" s="1" t="s">
        <v>5039</v>
      </c>
      <c r="E254" s="1" t="s">
        <v>5040</v>
      </c>
      <c r="F254" s="1" t="s">
        <v>5041</v>
      </c>
      <c r="G254" s="1" t="s">
        <v>5042</v>
      </c>
    </row>
    <row r="255" spans="1:7">
      <c r="A255" s="1">
        <v>254</v>
      </c>
      <c r="B255" s="1" t="s">
        <v>5043</v>
      </c>
      <c r="D255" s="1" t="s">
        <v>5039</v>
      </c>
      <c r="E255" s="1" t="s">
        <v>5044</v>
      </c>
      <c r="F255" s="1" t="s">
        <v>5045</v>
      </c>
      <c r="G255" s="1" t="s">
        <v>5046</v>
      </c>
    </row>
    <row r="256" spans="1:7">
      <c r="A256" s="1">
        <v>255</v>
      </c>
      <c r="B256" s="1" t="s">
        <v>5047</v>
      </c>
      <c r="D256" s="1" t="s">
        <v>5039</v>
      </c>
      <c r="E256" s="1" t="s">
        <v>5048</v>
      </c>
      <c r="F256" s="1" t="s">
        <v>5049</v>
      </c>
      <c r="G256" s="1" t="s">
        <v>5050</v>
      </c>
    </row>
    <row r="257" spans="1:7">
      <c r="A257" s="1">
        <v>256</v>
      </c>
      <c r="B257" s="1" t="s">
        <v>5051</v>
      </c>
      <c r="D257" s="1" t="s">
        <v>5039</v>
      </c>
      <c r="E257" s="1" t="s">
        <v>5052</v>
      </c>
      <c r="F257" s="1" t="s">
        <v>5053</v>
      </c>
      <c r="G257" s="1" t="s">
        <v>5054</v>
      </c>
    </row>
    <row r="258" spans="1:7">
      <c r="A258" s="1">
        <v>257</v>
      </c>
      <c r="B258" s="1" t="s">
        <v>5055</v>
      </c>
      <c r="D258" s="1" t="s">
        <v>5039</v>
      </c>
      <c r="E258" s="1" t="s">
        <v>5056</v>
      </c>
      <c r="F258" s="1" t="s">
        <v>5057</v>
      </c>
      <c r="G258" s="1" t="s">
        <v>5058</v>
      </c>
    </row>
    <row r="259" spans="1:7">
      <c r="A259" s="1">
        <v>258</v>
      </c>
      <c r="B259" s="1" t="s">
        <v>5059</v>
      </c>
      <c r="D259" s="1" t="s">
        <v>5039</v>
      </c>
      <c r="E259" s="1" t="s">
        <v>5060</v>
      </c>
      <c r="F259" s="1" t="s">
        <v>5061</v>
      </c>
      <c r="G259" s="1" t="s">
        <v>5062</v>
      </c>
    </row>
    <row r="260" spans="1:7">
      <c r="A260" s="1">
        <v>259</v>
      </c>
      <c r="B260" s="1" t="s">
        <v>5063</v>
      </c>
      <c r="D260" s="1" t="s">
        <v>5039</v>
      </c>
      <c r="E260" s="1" t="s">
        <v>5064</v>
      </c>
      <c r="F260" s="1" t="s">
        <v>5065</v>
      </c>
      <c r="G260" s="1" t="s">
        <v>5066</v>
      </c>
    </row>
    <row r="261" spans="1:7">
      <c r="A261" s="1">
        <v>260</v>
      </c>
      <c r="B261" s="1" t="s">
        <v>5067</v>
      </c>
      <c r="D261" s="1" t="s">
        <v>5039</v>
      </c>
      <c r="E261" s="1" t="s">
        <v>5068</v>
      </c>
      <c r="F261" s="1" t="s">
        <v>5069</v>
      </c>
      <c r="G261" s="1" t="s">
        <v>5070</v>
      </c>
    </row>
    <row r="262" spans="1:7">
      <c r="A262" s="1">
        <v>261</v>
      </c>
      <c r="B262" s="1" t="s">
        <v>5071</v>
      </c>
      <c r="D262" s="1" t="s">
        <v>5039</v>
      </c>
      <c r="E262" s="1" t="s">
        <v>5072</v>
      </c>
      <c r="F262" s="1" t="s">
        <v>5073</v>
      </c>
      <c r="G262" s="1" t="s">
        <v>5074</v>
      </c>
    </row>
    <row r="263" spans="1:7">
      <c r="A263" s="1">
        <v>262</v>
      </c>
      <c r="B263" s="1" t="s">
        <v>5075</v>
      </c>
      <c r="D263" s="1" t="s">
        <v>5039</v>
      </c>
      <c r="E263" s="1" t="s">
        <v>5076</v>
      </c>
      <c r="F263" s="1" t="s">
        <v>5077</v>
      </c>
      <c r="G263" s="1" t="s">
        <v>5078</v>
      </c>
    </row>
    <row r="264" spans="1:7">
      <c r="A264" s="1">
        <v>263</v>
      </c>
      <c r="B264" s="1" t="s">
        <v>5079</v>
      </c>
      <c r="D264" s="1" t="s">
        <v>5080</v>
      </c>
      <c r="E264" s="1" t="s">
        <v>5081</v>
      </c>
      <c r="F264" s="1" t="s">
        <v>5082</v>
      </c>
      <c r="G264" s="1" t="s">
        <v>5083</v>
      </c>
    </row>
    <row r="265" spans="1:7">
      <c r="A265" s="1">
        <v>264</v>
      </c>
      <c r="B265" s="1" t="s">
        <v>5084</v>
      </c>
      <c r="D265" s="1" t="s">
        <v>5080</v>
      </c>
      <c r="E265" s="1" t="s">
        <v>5085</v>
      </c>
      <c r="F265" s="1" t="s">
        <v>5086</v>
      </c>
      <c r="G265" s="1" t="s">
        <v>5087</v>
      </c>
    </row>
    <row r="266" spans="1:7">
      <c r="A266" s="1">
        <v>265</v>
      </c>
      <c r="B266" s="1" t="s">
        <v>5088</v>
      </c>
      <c r="D266" s="1" t="s">
        <v>5080</v>
      </c>
      <c r="E266" s="1" t="s">
        <v>5089</v>
      </c>
      <c r="F266" s="1" t="s">
        <v>5090</v>
      </c>
      <c r="G266" s="1" t="s">
        <v>5091</v>
      </c>
    </row>
    <row r="267" spans="1:7">
      <c r="A267" s="1">
        <v>266</v>
      </c>
      <c r="B267" s="1" t="s">
        <v>5092</v>
      </c>
      <c r="D267" s="1" t="s">
        <v>5080</v>
      </c>
      <c r="E267" s="1" t="s">
        <v>5093</v>
      </c>
      <c r="F267" s="1" t="s">
        <v>5094</v>
      </c>
      <c r="G267" s="1" t="s">
        <v>5095</v>
      </c>
    </row>
    <row r="268" spans="1:7">
      <c r="A268" s="1">
        <v>267</v>
      </c>
      <c r="B268" s="1" t="s">
        <v>5096</v>
      </c>
      <c r="D268" s="1" t="s">
        <v>5097</v>
      </c>
      <c r="E268" s="1" t="s">
        <v>5098</v>
      </c>
      <c r="F268" s="1" t="s">
        <v>5082</v>
      </c>
      <c r="G268" s="1" t="s">
        <v>5083</v>
      </c>
    </row>
    <row r="269" spans="1:7">
      <c r="A269" s="1">
        <v>268</v>
      </c>
      <c r="B269" s="1" t="s">
        <v>5099</v>
      </c>
      <c r="D269" s="1" t="s">
        <v>5097</v>
      </c>
      <c r="E269" s="1" t="s">
        <v>5100</v>
      </c>
      <c r="F269" s="1" t="s">
        <v>5086</v>
      </c>
      <c r="G269" s="1" t="s">
        <v>5087</v>
      </c>
    </row>
    <row r="270" spans="1:7">
      <c r="A270" s="1">
        <v>269</v>
      </c>
      <c r="B270" s="1" t="s">
        <v>5101</v>
      </c>
      <c r="D270" s="1" t="s">
        <v>5097</v>
      </c>
      <c r="E270" s="1" t="s">
        <v>5102</v>
      </c>
      <c r="F270" s="1" t="s">
        <v>5090</v>
      </c>
      <c r="G270" s="1" t="s">
        <v>5091</v>
      </c>
    </row>
    <row r="271" spans="1:7">
      <c r="A271" s="1">
        <v>270</v>
      </c>
      <c r="B271" s="1" t="s">
        <v>5103</v>
      </c>
      <c r="D271" s="1" t="s">
        <v>5097</v>
      </c>
      <c r="E271" s="1" t="s">
        <v>5104</v>
      </c>
      <c r="F271" s="1" t="s">
        <v>5094</v>
      </c>
      <c r="G271" s="1" t="s">
        <v>5095</v>
      </c>
    </row>
    <row r="272" spans="1:7">
      <c r="A272" s="1">
        <v>271</v>
      </c>
      <c r="B272" s="1" t="s">
        <v>5105</v>
      </c>
      <c r="D272" s="1" t="s">
        <v>5106</v>
      </c>
      <c r="E272" s="1" t="s">
        <v>5107</v>
      </c>
      <c r="F272" s="1" t="s">
        <v>5108</v>
      </c>
      <c r="G272" s="1" t="s">
        <v>5109</v>
      </c>
    </row>
    <row r="273" spans="1:7">
      <c r="A273" s="1">
        <v>272</v>
      </c>
      <c r="B273" s="1" t="s">
        <v>5110</v>
      </c>
      <c r="D273" s="1" t="s">
        <v>5106</v>
      </c>
      <c r="E273" s="1" t="s">
        <v>5111</v>
      </c>
      <c r="F273" s="1" t="s">
        <v>5112</v>
      </c>
      <c r="G273" s="1" t="s">
        <v>5113</v>
      </c>
    </row>
    <row r="274" spans="1:7">
      <c r="A274" s="1">
        <v>273</v>
      </c>
      <c r="B274" s="1" t="s">
        <v>5114</v>
      </c>
      <c r="D274" s="1" t="s">
        <v>5106</v>
      </c>
      <c r="E274" s="1" t="s">
        <v>5115</v>
      </c>
      <c r="F274" s="1" t="s">
        <v>5116</v>
      </c>
      <c r="G274" s="1" t="s">
        <v>5117</v>
      </c>
    </row>
    <row r="275" spans="1:7">
      <c r="A275" s="1">
        <v>274</v>
      </c>
      <c r="B275" s="1" t="s">
        <v>5118</v>
      </c>
      <c r="D275" s="1" t="s">
        <v>5106</v>
      </c>
      <c r="E275" s="1" t="s">
        <v>5119</v>
      </c>
      <c r="F275" s="1" t="s">
        <v>5120</v>
      </c>
      <c r="G275" s="1" t="s">
        <v>5121</v>
      </c>
    </row>
    <row r="276" spans="1:7">
      <c r="A276" s="1">
        <v>275</v>
      </c>
      <c r="B276" s="1" t="s">
        <v>5122</v>
      </c>
      <c r="D276" s="1" t="s">
        <v>5123</v>
      </c>
      <c r="E276" s="1" t="s">
        <v>5124</v>
      </c>
      <c r="F276" s="1" t="s">
        <v>5125</v>
      </c>
      <c r="G276" s="1" t="s">
        <v>5126</v>
      </c>
    </row>
    <row r="277" spans="1:7">
      <c r="A277" s="1">
        <v>276</v>
      </c>
      <c r="B277" s="1" t="s">
        <v>5127</v>
      </c>
      <c r="D277" s="1" t="s">
        <v>5123</v>
      </c>
      <c r="E277" s="1" t="s">
        <v>5128</v>
      </c>
      <c r="F277" s="1" t="s">
        <v>5129</v>
      </c>
      <c r="G277" s="1" t="s">
        <v>5130</v>
      </c>
    </row>
    <row r="278" spans="1:7">
      <c r="A278" s="1">
        <v>277</v>
      </c>
      <c r="B278" s="1" t="s">
        <v>5131</v>
      </c>
      <c r="D278" s="1" t="s">
        <v>5132</v>
      </c>
      <c r="E278" s="1" t="s">
        <v>5133</v>
      </c>
      <c r="F278" s="1" t="s">
        <v>5134</v>
      </c>
      <c r="G278" s="1" t="s">
        <v>5135</v>
      </c>
    </row>
    <row r="279" spans="1:7">
      <c r="A279" s="1">
        <v>278</v>
      </c>
      <c r="B279" s="1" t="s">
        <v>5136</v>
      </c>
      <c r="D279" s="1" t="s">
        <v>5132</v>
      </c>
      <c r="E279" s="1" t="s">
        <v>5137</v>
      </c>
      <c r="F279" s="1" t="s">
        <v>5138</v>
      </c>
      <c r="G279" s="1" t="s">
        <v>5139</v>
      </c>
    </row>
    <row r="280" spans="1:7">
      <c r="A280" s="1">
        <v>279</v>
      </c>
      <c r="B280" s="1" t="s">
        <v>5140</v>
      </c>
      <c r="D280" s="1" t="s">
        <v>5141</v>
      </c>
      <c r="E280" s="1" t="s">
        <v>5142</v>
      </c>
      <c r="F280" s="1" t="s">
        <v>5143</v>
      </c>
      <c r="G280" s="1" t="s">
        <v>5144</v>
      </c>
    </row>
    <row r="281" spans="1:7">
      <c r="A281" s="1">
        <v>280</v>
      </c>
      <c r="B281" s="1" t="s">
        <v>5145</v>
      </c>
      <c r="D281" s="1" t="s">
        <v>5141</v>
      </c>
      <c r="E281" s="1" t="s">
        <v>5146</v>
      </c>
      <c r="F281" s="1" t="s">
        <v>5147</v>
      </c>
      <c r="G281" s="1" t="s">
        <v>5148</v>
      </c>
    </row>
    <row r="282" spans="1:7">
      <c r="A282" s="1">
        <v>281</v>
      </c>
      <c r="B282" s="1" t="s">
        <v>5149</v>
      </c>
      <c r="D282" s="1" t="s">
        <v>5141</v>
      </c>
      <c r="E282" s="1" t="s">
        <v>5150</v>
      </c>
      <c r="F282" s="1" t="s">
        <v>5151</v>
      </c>
      <c r="G282" s="1" t="s">
        <v>5152</v>
      </c>
    </row>
    <row r="283" spans="1:7">
      <c r="A283" s="1">
        <v>282</v>
      </c>
      <c r="B283" s="1" t="s">
        <v>5153</v>
      </c>
      <c r="D283" s="1" t="s">
        <v>5141</v>
      </c>
      <c r="E283" s="1" t="s">
        <v>5154</v>
      </c>
      <c r="F283" s="1" t="s">
        <v>5155</v>
      </c>
      <c r="G283" s="1" t="s">
        <v>5156</v>
      </c>
    </row>
    <row r="284" spans="1:7">
      <c r="A284" s="1">
        <v>283</v>
      </c>
      <c r="B284" s="1" t="s">
        <v>5157</v>
      </c>
      <c r="D284" s="1" t="s">
        <v>5141</v>
      </c>
      <c r="E284" s="1" t="s">
        <v>5158</v>
      </c>
      <c r="F284" s="1" t="s">
        <v>5159</v>
      </c>
      <c r="G284" s="1" t="s">
        <v>5160</v>
      </c>
    </row>
    <row r="285" spans="1:7">
      <c r="A285" s="1">
        <v>284</v>
      </c>
      <c r="B285" s="1" t="s">
        <v>5161</v>
      </c>
      <c r="D285" s="1" t="s">
        <v>5141</v>
      </c>
      <c r="E285" s="1" t="s">
        <v>5162</v>
      </c>
      <c r="F285" s="1" t="s">
        <v>5163</v>
      </c>
      <c r="G285" s="1" t="s">
        <v>5164</v>
      </c>
    </row>
    <row r="286" spans="1:7">
      <c r="A286" s="1">
        <v>285</v>
      </c>
      <c r="B286" s="1" t="s">
        <v>5165</v>
      </c>
      <c r="D286" s="1" t="s">
        <v>5141</v>
      </c>
      <c r="E286" s="1" t="s">
        <v>5166</v>
      </c>
      <c r="F286" s="1" t="s">
        <v>5167</v>
      </c>
      <c r="G286" s="1" t="s">
        <v>5168</v>
      </c>
    </row>
    <row r="287" spans="1:7">
      <c r="A287" s="1">
        <v>286</v>
      </c>
      <c r="B287" s="1" t="s">
        <v>5169</v>
      </c>
      <c r="D287" s="1" t="s">
        <v>5141</v>
      </c>
      <c r="E287" s="1" t="s">
        <v>5170</v>
      </c>
      <c r="F287" s="1" t="s">
        <v>5171</v>
      </c>
      <c r="G287" s="1" t="s">
        <v>5172</v>
      </c>
    </row>
    <row r="288" spans="1:7">
      <c r="A288" s="1">
        <v>287</v>
      </c>
      <c r="B288" s="1" t="s">
        <v>5173</v>
      </c>
      <c r="D288" s="1" t="s">
        <v>5141</v>
      </c>
      <c r="E288" s="1" t="s">
        <v>5174</v>
      </c>
      <c r="F288" s="1" t="s">
        <v>5175</v>
      </c>
      <c r="G288" s="1" t="s">
        <v>5176</v>
      </c>
    </row>
    <row r="289" spans="1:7">
      <c r="A289" s="1">
        <v>288</v>
      </c>
      <c r="B289" s="1" t="s">
        <v>5177</v>
      </c>
      <c r="D289" s="1" t="s">
        <v>5141</v>
      </c>
      <c r="E289" s="1" t="s">
        <v>5178</v>
      </c>
      <c r="F289" s="1" t="s">
        <v>5179</v>
      </c>
      <c r="G289" s="1" t="s">
        <v>5180</v>
      </c>
    </row>
    <row r="290" spans="1:7">
      <c r="A290" s="1">
        <v>289</v>
      </c>
      <c r="B290" s="1" t="s">
        <v>5181</v>
      </c>
      <c r="D290" s="1" t="s">
        <v>5182</v>
      </c>
      <c r="E290" s="1" t="s">
        <v>5183</v>
      </c>
      <c r="F290" s="1" t="s">
        <v>5184</v>
      </c>
      <c r="G290" s="1" t="s">
        <v>5185</v>
      </c>
    </row>
    <row r="291" spans="1:7">
      <c r="A291" s="1">
        <v>290</v>
      </c>
      <c r="B291" s="1" t="s">
        <v>5186</v>
      </c>
      <c r="D291" s="1" t="s">
        <v>5182</v>
      </c>
      <c r="E291" s="1" t="s">
        <v>5187</v>
      </c>
      <c r="F291" s="1" t="s">
        <v>5188</v>
      </c>
      <c r="G291" s="1" t="s">
        <v>5189</v>
      </c>
    </row>
    <row r="292" spans="1:7">
      <c r="A292" s="1">
        <v>291</v>
      </c>
      <c r="B292" s="1" t="s">
        <v>5190</v>
      </c>
      <c r="D292" s="1" t="s">
        <v>5191</v>
      </c>
      <c r="E292" s="1" t="s">
        <v>1833</v>
      </c>
      <c r="F292" s="1" t="s">
        <v>5192</v>
      </c>
      <c r="G292" s="1" t="s">
        <v>5193</v>
      </c>
    </row>
    <row r="293" spans="1:7">
      <c r="A293" s="1">
        <v>292</v>
      </c>
      <c r="B293" s="1" t="s">
        <v>5194</v>
      </c>
      <c r="D293" s="1" t="s">
        <v>5191</v>
      </c>
      <c r="E293" s="1" t="s">
        <v>5195</v>
      </c>
      <c r="F293" s="1" t="s">
        <v>5196</v>
      </c>
      <c r="G293" s="1" t="s">
        <v>5197</v>
      </c>
    </row>
    <row r="294" spans="1:7">
      <c r="A294" s="1">
        <v>293</v>
      </c>
      <c r="B294" s="1" t="s">
        <v>5198</v>
      </c>
      <c r="D294" s="1" t="s">
        <v>5191</v>
      </c>
      <c r="E294" s="1" t="s">
        <v>5199</v>
      </c>
      <c r="F294" s="1" t="s">
        <v>5200</v>
      </c>
      <c r="G294" s="1" t="s">
        <v>5201</v>
      </c>
    </row>
    <row r="295" spans="1:7">
      <c r="A295" s="1">
        <v>294</v>
      </c>
      <c r="B295" s="1" t="s">
        <v>5202</v>
      </c>
      <c r="D295" s="1" t="s">
        <v>5191</v>
      </c>
      <c r="E295" s="1" t="s">
        <v>5203</v>
      </c>
      <c r="F295" s="1" t="s">
        <v>5204</v>
      </c>
      <c r="G295" s="1" t="s">
        <v>5205</v>
      </c>
    </row>
    <row r="296" spans="1:7">
      <c r="A296" s="1">
        <v>295</v>
      </c>
      <c r="B296" s="1" t="s">
        <v>5206</v>
      </c>
      <c r="D296" s="1" t="s">
        <v>5191</v>
      </c>
      <c r="E296" s="1" t="s">
        <v>69</v>
      </c>
      <c r="F296" s="1" t="s">
        <v>5207</v>
      </c>
      <c r="G296" s="1" t="s">
        <v>5208</v>
      </c>
    </row>
    <row r="297" spans="1:7">
      <c r="A297" s="1">
        <v>296</v>
      </c>
      <c r="B297" s="1" t="s">
        <v>5209</v>
      </c>
      <c r="D297" s="1" t="s">
        <v>5191</v>
      </c>
      <c r="E297" s="1" t="s">
        <v>1834</v>
      </c>
      <c r="F297" s="1" t="s">
        <v>5210</v>
      </c>
      <c r="G297" s="1" t="s">
        <v>5211</v>
      </c>
    </row>
    <row r="298" spans="1:7">
      <c r="A298" s="1">
        <v>297</v>
      </c>
      <c r="B298" s="1" t="s">
        <v>5212</v>
      </c>
      <c r="D298" s="1" t="s">
        <v>5191</v>
      </c>
      <c r="E298" s="1" t="s">
        <v>5213</v>
      </c>
      <c r="F298" s="1" t="s">
        <v>5214</v>
      </c>
      <c r="G298" s="1" t="s">
        <v>5215</v>
      </c>
    </row>
    <row r="299" spans="1:7">
      <c r="A299" s="1">
        <v>298</v>
      </c>
      <c r="B299" s="1" t="s">
        <v>5216</v>
      </c>
      <c r="D299" s="1" t="s">
        <v>5191</v>
      </c>
      <c r="E299" s="1" t="s">
        <v>5217</v>
      </c>
      <c r="F299" s="1" t="s">
        <v>5218</v>
      </c>
      <c r="G299" s="1" t="s">
        <v>5219</v>
      </c>
    </row>
    <row r="300" spans="1:7">
      <c r="A300" s="1">
        <v>299</v>
      </c>
      <c r="B300" s="1" t="s">
        <v>5220</v>
      </c>
      <c r="D300" s="1" t="s">
        <v>5191</v>
      </c>
      <c r="E300" s="1" t="s">
        <v>5221</v>
      </c>
      <c r="F300" s="1" t="s">
        <v>5222</v>
      </c>
      <c r="G300" s="1" t="s">
        <v>5223</v>
      </c>
    </row>
    <row r="301" spans="1:7">
      <c r="A301" s="1">
        <v>300</v>
      </c>
      <c r="B301" s="1" t="s">
        <v>5224</v>
      </c>
      <c r="D301" s="1" t="s">
        <v>5225</v>
      </c>
      <c r="E301" s="1" t="s">
        <v>2656</v>
      </c>
      <c r="F301" s="1" t="s">
        <v>5226</v>
      </c>
      <c r="G301" s="1" t="s">
        <v>5227</v>
      </c>
    </row>
    <row r="302" spans="1:7">
      <c r="A302" s="1">
        <v>301</v>
      </c>
      <c r="B302" s="1" t="s">
        <v>5228</v>
      </c>
      <c r="D302" s="1" t="s">
        <v>5225</v>
      </c>
      <c r="E302" s="1" t="s">
        <v>2642</v>
      </c>
      <c r="F302" s="1" t="s">
        <v>5229</v>
      </c>
      <c r="G302" s="1" t="s">
        <v>5230</v>
      </c>
    </row>
    <row r="303" spans="1:7">
      <c r="A303" s="1">
        <v>302</v>
      </c>
      <c r="B303" s="1" t="s">
        <v>5231</v>
      </c>
      <c r="D303" s="1" t="s">
        <v>5225</v>
      </c>
      <c r="E303" s="1" t="s">
        <v>2646</v>
      </c>
      <c r="F303" s="1" t="s">
        <v>5232</v>
      </c>
      <c r="G303" s="1" t="s">
        <v>5233</v>
      </c>
    </row>
    <row r="304" spans="1:7">
      <c r="A304" s="1">
        <v>303</v>
      </c>
      <c r="B304" s="1" t="s">
        <v>5234</v>
      </c>
      <c r="D304" s="1" t="s">
        <v>5225</v>
      </c>
      <c r="E304" s="1" t="s">
        <v>2648</v>
      </c>
      <c r="F304" s="1" t="s">
        <v>5235</v>
      </c>
      <c r="G304" s="1" t="s">
        <v>5236</v>
      </c>
    </row>
    <row r="305" spans="1:7">
      <c r="A305" s="1">
        <v>304</v>
      </c>
      <c r="B305" s="1" t="s">
        <v>5237</v>
      </c>
      <c r="D305" s="1" t="s">
        <v>5225</v>
      </c>
      <c r="E305" s="1" t="s">
        <v>2652</v>
      </c>
      <c r="F305" s="1" t="s">
        <v>5238</v>
      </c>
      <c r="G305" s="1" t="s">
        <v>5239</v>
      </c>
    </row>
    <row r="306" spans="1:7">
      <c r="A306" s="1">
        <v>305</v>
      </c>
      <c r="B306" s="1" t="s">
        <v>5240</v>
      </c>
      <c r="D306" s="1" t="s">
        <v>5225</v>
      </c>
      <c r="E306" s="1" t="s">
        <v>2638</v>
      </c>
      <c r="F306" s="1" t="s">
        <v>5241</v>
      </c>
      <c r="G306" s="1" t="s">
        <v>5242</v>
      </c>
    </row>
    <row r="307" spans="1:7">
      <c r="A307" s="1">
        <v>306</v>
      </c>
      <c r="B307" s="1" t="s">
        <v>5243</v>
      </c>
      <c r="D307" s="1" t="s">
        <v>5244</v>
      </c>
      <c r="E307" s="1" t="s">
        <v>2505</v>
      </c>
      <c r="F307" s="1" t="s">
        <v>5245</v>
      </c>
      <c r="G307" s="1" t="s">
        <v>5246</v>
      </c>
    </row>
    <row r="308" spans="1:7">
      <c r="A308" s="1">
        <v>307</v>
      </c>
      <c r="B308" s="1" t="s">
        <v>5247</v>
      </c>
      <c r="D308" s="1" t="s">
        <v>5244</v>
      </c>
      <c r="E308" s="1" t="s">
        <v>2502</v>
      </c>
      <c r="F308" s="1" t="s">
        <v>5248</v>
      </c>
      <c r="G308" s="1" t="s">
        <v>5249</v>
      </c>
    </row>
    <row r="309" spans="1:7">
      <c r="A309" s="1">
        <v>308</v>
      </c>
      <c r="B309" s="1" t="s">
        <v>5250</v>
      </c>
      <c r="D309" s="1" t="s">
        <v>5244</v>
      </c>
      <c r="E309" s="1" t="s">
        <v>2499</v>
      </c>
      <c r="F309" s="1" t="s">
        <v>166</v>
      </c>
      <c r="G309" s="1" t="s">
        <v>167</v>
      </c>
    </row>
    <row r="310" spans="1:7">
      <c r="A310" s="1">
        <v>309</v>
      </c>
      <c r="B310" s="1" t="s">
        <v>5251</v>
      </c>
      <c r="D310" s="1" t="s">
        <v>5244</v>
      </c>
      <c r="E310" s="1" t="s">
        <v>2496</v>
      </c>
      <c r="F310" s="1" t="s">
        <v>162</v>
      </c>
      <c r="G310" s="1" t="s">
        <v>163</v>
      </c>
    </row>
    <row r="311" spans="1:7">
      <c r="A311" s="1">
        <v>310</v>
      </c>
      <c r="B311" s="1" t="s">
        <v>5252</v>
      </c>
      <c r="D311" s="1" t="s">
        <v>5244</v>
      </c>
      <c r="E311" s="1" t="s">
        <v>2514</v>
      </c>
      <c r="F311" s="1" t="s">
        <v>5253</v>
      </c>
      <c r="G311" s="1" t="s">
        <v>5254</v>
      </c>
    </row>
    <row r="312" spans="1:7">
      <c r="A312" s="1">
        <v>311</v>
      </c>
      <c r="B312" s="1" t="s">
        <v>5255</v>
      </c>
      <c r="D312" s="1" t="s">
        <v>5244</v>
      </c>
      <c r="E312" s="1" t="s">
        <v>2493</v>
      </c>
      <c r="F312" s="1" t="s">
        <v>158</v>
      </c>
      <c r="G312" s="1" t="s">
        <v>159</v>
      </c>
    </row>
    <row r="313" spans="1:7">
      <c r="A313" s="1">
        <v>312</v>
      </c>
      <c r="B313" s="1" t="s">
        <v>5256</v>
      </c>
      <c r="D313" s="1" t="s">
        <v>5244</v>
      </c>
      <c r="E313" s="1" t="s">
        <v>2517</v>
      </c>
      <c r="F313" s="1" t="s">
        <v>190</v>
      </c>
      <c r="G313" s="1" t="s">
        <v>191</v>
      </c>
    </row>
    <row r="314" spans="1:7">
      <c r="A314" s="1">
        <v>313</v>
      </c>
      <c r="B314" s="1" t="s">
        <v>5257</v>
      </c>
      <c r="D314" s="1" t="s">
        <v>5244</v>
      </c>
      <c r="E314" s="1" t="s">
        <v>2520</v>
      </c>
      <c r="F314" s="1" t="s">
        <v>194</v>
      </c>
      <c r="G314" s="1" t="s">
        <v>195</v>
      </c>
    </row>
    <row r="315" spans="1:7">
      <c r="A315" s="1">
        <v>314</v>
      </c>
      <c r="B315" s="1" t="s">
        <v>5258</v>
      </c>
      <c r="D315" s="1" t="s">
        <v>5244</v>
      </c>
      <c r="E315" s="1" t="s">
        <v>2508</v>
      </c>
      <c r="F315" s="1" t="s">
        <v>5259</v>
      </c>
      <c r="G315" s="1" t="s">
        <v>5260</v>
      </c>
    </row>
    <row r="316" spans="1:7">
      <c r="A316" s="1">
        <v>315</v>
      </c>
      <c r="B316" s="1" t="s">
        <v>5261</v>
      </c>
      <c r="D316" s="1" t="s">
        <v>5244</v>
      </c>
      <c r="E316" s="1" t="s">
        <v>2511</v>
      </c>
      <c r="F316" s="1" t="s">
        <v>5262</v>
      </c>
      <c r="G316" s="1" t="s">
        <v>5263</v>
      </c>
    </row>
    <row r="317" spans="1:7">
      <c r="A317" s="1">
        <v>316</v>
      </c>
      <c r="B317" s="1" t="s">
        <v>5264</v>
      </c>
      <c r="D317" s="1" t="s">
        <v>5244</v>
      </c>
      <c r="E317" s="1" t="s">
        <v>2523</v>
      </c>
      <c r="F317" s="1" t="s">
        <v>198</v>
      </c>
      <c r="G317" s="1" t="s">
        <v>199</v>
      </c>
    </row>
    <row r="318" spans="1:7">
      <c r="A318" s="1">
        <v>317</v>
      </c>
      <c r="B318" s="1" t="s">
        <v>5265</v>
      </c>
      <c r="D318" s="1" t="s">
        <v>5266</v>
      </c>
      <c r="E318" s="1" t="s">
        <v>2524</v>
      </c>
      <c r="F318" s="1" t="s">
        <v>231</v>
      </c>
      <c r="G318" s="1" t="s">
        <v>232</v>
      </c>
    </row>
    <row r="319" spans="1:7">
      <c r="A319" s="1">
        <v>318</v>
      </c>
      <c r="B319" s="1" t="s">
        <v>5267</v>
      </c>
      <c r="D319" s="1" t="s">
        <v>5268</v>
      </c>
      <c r="E319" s="1" t="s">
        <v>235</v>
      </c>
      <c r="F319" s="1" t="s">
        <v>5269</v>
      </c>
      <c r="G319" s="1" t="s">
        <v>5270</v>
      </c>
    </row>
    <row r="320" spans="1:7">
      <c r="A320" s="1">
        <v>319</v>
      </c>
      <c r="B320" s="1" t="s">
        <v>5271</v>
      </c>
      <c r="D320" s="1" t="s">
        <v>5268</v>
      </c>
      <c r="E320" s="1" t="s">
        <v>238</v>
      </c>
      <c r="F320" s="1" t="s">
        <v>239</v>
      </c>
      <c r="G320" s="1" t="s">
        <v>240</v>
      </c>
    </row>
    <row r="321" spans="1:7">
      <c r="A321" s="1">
        <v>320</v>
      </c>
      <c r="B321" s="1" t="s">
        <v>5272</v>
      </c>
      <c r="D321" s="1" t="s">
        <v>5268</v>
      </c>
      <c r="E321" s="1" t="s">
        <v>241</v>
      </c>
      <c r="F321" s="1" t="s">
        <v>5273</v>
      </c>
      <c r="G321" s="1" t="s">
        <v>5274</v>
      </c>
    </row>
    <row r="322" spans="1:7">
      <c r="A322" s="1">
        <v>321</v>
      </c>
      <c r="B322" s="1" t="s">
        <v>5275</v>
      </c>
      <c r="D322" s="1" t="s">
        <v>5268</v>
      </c>
      <c r="E322" s="1" t="s">
        <v>244</v>
      </c>
      <c r="F322" s="1" t="s">
        <v>5276</v>
      </c>
      <c r="G322" s="1" t="s">
        <v>5277</v>
      </c>
    </row>
    <row r="323" spans="1:7">
      <c r="A323" s="1">
        <v>322</v>
      </c>
      <c r="B323" s="1" t="s">
        <v>5278</v>
      </c>
      <c r="D323" s="1" t="s">
        <v>5268</v>
      </c>
      <c r="E323" s="1" t="s">
        <v>247</v>
      </c>
      <c r="F323" s="1" t="s">
        <v>5279</v>
      </c>
      <c r="G323" s="1" t="s">
        <v>5280</v>
      </c>
    </row>
    <row r="324" spans="1:7">
      <c r="A324" s="1">
        <v>323</v>
      </c>
      <c r="B324" s="1" t="s">
        <v>5281</v>
      </c>
      <c r="D324" s="1" t="s">
        <v>5282</v>
      </c>
      <c r="E324" s="1" t="s">
        <v>265</v>
      </c>
      <c r="F324" s="1" t="s">
        <v>5269</v>
      </c>
      <c r="G324" s="1" t="s">
        <v>5270</v>
      </c>
    </row>
    <row r="325" spans="1:7">
      <c r="A325" s="1">
        <v>324</v>
      </c>
      <c r="B325" s="1" t="s">
        <v>5283</v>
      </c>
      <c r="D325" s="1" t="s">
        <v>5282</v>
      </c>
      <c r="E325" s="1" t="s">
        <v>257</v>
      </c>
      <c r="F325" s="1" t="s">
        <v>258</v>
      </c>
      <c r="G325" s="1" t="s">
        <v>259</v>
      </c>
    </row>
    <row r="326" spans="1:7">
      <c r="A326" s="1">
        <v>325</v>
      </c>
      <c r="B326" s="1" t="s">
        <v>5284</v>
      </c>
      <c r="D326" s="1" t="s">
        <v>5282</v>
      </c>
      <c r="E326" s="1" t="s">
        <v>253</v>
      </c>
      <c r="F326" s="1" t="s">
        <v>239</v>
      </c>
      <c r="G326" s="1" t="s">
        <v>240</v>
      </c>
    </row>
    <row r="327" spans="1:7">
      <c r="A327" s="1">
        <v>326</v>
      </c>
      <c r="B327" s="1" t="s">
        <v>5285</v>
      </c>
      <c r="D327" s="1" t="s">
        <v>5282</v>
      </c>
      <c r="E327" s="1" t="s">
        <v>255</v>
      </c>
      <c r="F327" s="1" t="s">
        <v>5273</v>
      </c>
      <c r="G327" s="1" t="s">
        <v>5274</v>
      </c>
    </row>
    <row r="328" spans="1:7">
      <c r="A328" s="1">
        <v>327</v>
      </c>
      <c r="B328" s="1" t="s">
        <v>5286</v>
      </c>
      <c r="D328" s="1" t="s">
        <v>5282</v>
      </c>
      <c r="E328" s="1" t="s">
        <v>261</v>
      </c>
      <c r="F328" s="1" t="s">
        <v>5276</v>
      </c>
      <c r="G328" s="1" t="s">
        <v>5277</v>
      </c>
    </row>
    <row r="329" spans="1:7">
      <c r="A329" s="1">
        <v>328</v>
      </c>
      <c r="B329" s="1" t="s">
        <v>5287</v>
      </c>
      <c r="D329" s="1" t="s">
        <v>5282</v>
      </c>
      <c r="E329" s="1" t="s">
        <v>263</v>
      </c>
      <c r="F329" s="1" t="s">
        <v>5279</v>
      </c>
      <c r="G329" s="1" t="s">
        <v>5280</v>
      </c>
    </row>
    <row r="330" spans="1:7">
      <c r="A330" s="1">
        <v>329</v>
      </c>
      <c r="B330" s="1" t="s">
        <v>5288</v>
      </c>
      <c r="D330" s="1" t="s">
        <v>5289</v>
      </c>
      <c r="E330" s="1" t="s">
        <v>5290</v>
      </c>
      <c r="F330" s="1" t="s">
        <v>5291</v>
      </c>
      <c r="G330" s="1" t="s">
        <v>5292</v>
      </c>
    </row>
    <row r="331" spans="1:7">
      <c r="A331" s="1">
        <v>330</v>
      </c>
      <c r="B331" s="1" t="s">
        <v>5293</v>
      </c>
      <c r="D331" s="1" t="s">
        <v>5289</v>
      </c>
      <c r="E331" s="1" t="s">
        <v>5294</v>
      </c>
      <c r="F331" s="1" t="s">
        <v>5295</v>
      </c>
      <c r="G331" s="1" t="s">
        <v>5296</v>
      </c>
    </row>
    <row r="332" spans="1:7">
      <c r="A332" s="1">
        <v>331</v>
      </c>
      <c r="B332" s="1" t="s">
        <v>5297</v>
      </c>
      <c r="D332" s="1" t="s">
        <v>5289</v>
      </c>
      <c r="E332" s="1" t="s">
        <v>5298</v>
      </c>
      <c r="F332" s="1" t="s">
        <v>5299</v>
      </c>
      <c r="G332" s="1" t="s">
        <v>5300</v>
      </c>
    </row>
    <row r="333" spans="1:7">
      <c r="A333" s="1">
        <v>332</v>
      </c>
      <c r="B333" s="1" t="s">
        <v>5301</v>
      </c>
      <c r="D333" s="1" t="s">
        <v>5289</v>
      </c>
      <c r="E333" s="1" t="s">
        <v>5302</v>
      </c>
      <c r="F333" s="1" t="s">
        <v>5303</v>
      </c>
      <c r="G333" s="1" t="s">
        <v>5304</v>
      </c>
    </row>
    <row r="334" spans="1:7">
      <c r="A334" s="1">
        <v>333</v>
      </c>
      <c r="B334" s="1" t="s">
        <v>5305</v>
      </c>
      <c r="D334" s="1" t="s">
        <v>5289</v>
      </c>
      <c r="E334" s="1" t="s">
        <v>5306</v>
      </c>
      <c r="F334" s="1" t="s">
        <v>5307</v>
      </c>
      <c r="G334" s="1" t="s">
        <v>5308</v>
      </c>
    </row>
    <row r="335" spans="1:7">
      <c r="A335" s="1">
        <v>334</v>
      </c>
      <c r="B335" s="1" t="s">
        <v>5309</v>
      </c>
      <c r="D335" s="1" t="s">
        <v>5289</v>
      </c>
      <c r="E335" s="1" t="s">
        <v>5310</v>
      </c>
      <c r="F335" s="1" t="s">
        <v>5311</v>
      </c>
      <c r="G335" s="1" t="s">
        <v>5312</v>
      </c>
    </row>
    <row r="336" spans="1:7">
      <c r="A336" s="1">
        <v>335</v>
      </c>
      <c r="B336" s="1" t="s">
        <v>5313</v>
      </c>
      <c r="D336" s="1" t="s">
        <v>5289</v>
      </c>
      <c r="E336" s="1" t="s">
        <v>5314</v>
      </c>
      <c r="F336" s="1" t="s">
        <v>5315</v>
      </c>
      <c r="G336" s="1" t="s">
        <v>5316</v>
      </c>
    </row>
    <row r="337" spans="1:7">
      <c r="A337" s="1">
        <v>336</v>
      </c>
      <c r="B337" s="1" t="s">
        <v>5317</v>
      </c>
      <c r="D337" s="1" t="s">
        <v>5318</v>
      </c>
      <c r="E337" s="1" t="s">
        <v>5319</v>
      </c>
      <c r="F337" s="1" t="s">
        <v>5320</v>
      </c>
      <c r="G337" s="1" t="s">
        <v>5321</v>
      </c>
    </row>
    <row r="338" spans="1:7">
      <c r="A338" s="1">
        <v>337</v>
      </c>
      <c r="B338" s="1" t="s">
        <v>5322</v>
      </c>
      <c r="D338" s="1" t="s">
        <v>5318</v>
      </c>
      <c r="E338" s="1" t="s">
        <v>3185</v>
      </c>
      <c r="F338" s="1" t="s">
        <v>5323</v>
      </c>
      <c r="G338" s="1" t="s">
        <v>5324</v>
      </c>
    </row>
    <row r="339" spans="1:7">
      <c r="A339" s="1">
        <v>338</v>
      </c>
      <c r="B339" s="1" t="s">
        <v>5325</v>
      </c>
      <c r="D339" s="1" t="s">
        <v>5318</v>
      </c>
      <c r="E339" s="1" t="s">
        <v>688</v>
      </c>
      <c r="F339" s="1" t="s">
        <v>5326</v>
      </c>
      <c r="G339" s="1" t="s">
        <v>5327</v>
      </c>
    </row>
    <row r="340" spans="1:7">
      <c r="A340" s="1">
        <v>339</v>
      </c>
      <c r="B340" s="1" t="s">
        <v>5328</v>
      </c>
      <c r="D340" s="1" t="s">
        <v>5318</v>
      </c>
      <c r="E340" s="1" t="s">
        <v>689</v>
      </c>
      <c r="F340" s="1" t="s">
        <v>5329</v>
      </c>
      <c r="G340" s="1" t="s">
        <v>5330</v>
      </c>
    </row>
    <row r="341" spans="1:7">
      <c r="A341" s="1">
        <v>340</v>
      </c>
      <c r="B341" s="1" t="s">
        <v>5331</v>
      </c>
      <c r="D341" s="1" t="s">
        <v>5318</v>
      </c>
      <c r="E341" s="1" t="s">
        <v>3188</v>
      </c>
      <c r="F341" s="1" t="s">
        <v>5332</v>
      </c>
      <c r="G341" s="1" t="s">
        <v>5333</v>
      </c>
    </row>
    <row r="342" spans="1:7">
      <c r="A342" s="1">
        <v>341</v>
      </c>
      <c r="B342" s="1" t="s">
        <v>5334</v>
      </c>
      <c r="D342" s="1" t="s">
        <v>5318</v>
      </c>
      <c r="E342" s="1" t="s">
        <v>5335</v>
      </c>
      <c r="F342" s="1" t="s">
        <v>5336</v>
      </c>
      <c r="G342" s="1" t="s">
        <v>5337</v>
      </c>
    </row>
    <row r="343" spans="1:7">
      <c r="A343" s="1">
        <v>342</v>
      </c>
      <c r="B343" s="1" t="s">
        <v>5338</v>
      </c>
      <c r="D343" s="1" t="s">
        <v>5318</v>
      </c>
      <c r="E343" s="1" t="s">
        <v>5339</v>
      </c>
      <c r="F343" s="1" t="s">
        <v>5340</v>
      </c>
      <c r="G343" s="1" t="s">
        <v>5341</v>
      </c>
    </row>
    <row r="344" spans="1:7">
      <c r="A344" s="1">
        <v>343</v>
      </c>
      <c r="B344" s="1" t="s">
        <v>5342</v>
      </c>
      <c r="D344" s="1" t="s">
        <v>5318</v>
      </c>
      <c r="E344" s="1" t="s">
        <v>686</v>
      </c>
      <c r="F344" s="1" t="s">
        <v>5343</v>
      </c>
      <c r="G344" s="1" t="s">
        <v>5344</v>
      </c>
    </row>
    <row r="345" spans="1:7">
      <c r="A345" s="1">
        <v>344</v>
      </c>
      <c r="B345" s="1" t="s">
        <v>5345</v>
      </c>
      <c r="D345" s="1" t="s">
        <v>5318</v>
      </c>
      <c r="E345" s="1" t="s">
        <v>687</v>
      </c>
      <c r="F345" s="1" t="s">
        <v>5346</v>
      </c>
      <c r="G345" s="1" t="s">
        <v>5347</v>
      </c>
    </row>
    <row r="346" spans="1:7">
      <c r="A346" s="1">
        <v>345</v>
      </c>
      <c r="B346" s="1" t="s">
        <v>5348</v>
      </c>
      <c r="D346" s="1" t="s">
        <v>5349</v>
      </c>
      <c r="E346" s="1" t="s">
        <v>5350</v>
      </c>
      <c r="F346" s="1" t="s">
        <v>5351</v>
      </c>
      <c r="G346" s="1" t="s">
        <v>5352</v>
      </c>
    </row>
    <row r="347" spans="1:7">
      <c r="A347" s="1">
        <v>346</v>
      </c>
      <c r="B347" s="1" t="s">
        <v>5353</v>
      </c>
      <c r="D347" s="1" t="s">
        <v>5349</v>
      </c>
      <c r="E347" s="1" t="s">
        <v>5354</v>
      </c>
      <c r="F347" s="1" t="s">
        <v>5355</v>
      </c>
      <c r="G347" s="1" t="s">
        <v>5356</v>
      </c>
    </row>
    <row r="348" spans="1:7">
      <c r="A348" s="1">
        <v>347</v>
      </c>
      <c r="B348" s="1" t="s">
        <v>5357</v>
      </c>
      <c r="D348" s="1" t="s">
        <v>5358</v>
      </c>
      <c r="E348" s="1" t="s">
        <v>5359</v>
      </c>
      <c r="F348" s="1" t="s">
        <v>5360</v>
      </c>
      <c r="G348" s="1" t="s">
        <v>5361</v>
      </c>
    </row>
    <row r="349" spans="1:7">
      <c r="A349" s="1">
        <v>348</v>
      </c>
      <c r="B349" s="1" t="s">
        <v>5362</v>
      </c>
      <c r="D349" s="1" t="s">
        <v>5358</v>
      </c>
      <c r="E349" s="1" t="s">
        <v>5363</v>
      </c>
      <c r="F349" s="1" t="s">
        <v>5364</v>
      </c>
      <c r="G349" s="1" t="s">
        <v>5365</v>
      </c>
    </row>
    <row r="350" spans="1:7">
      <c r="A350" s="1">
        <v>349</v>
      </c>
      <c r="B350" s="1" t="s">
        <v>5366</v>
      </c>
      <c r="D350" s="1" t="s">
        <v>5358</v>
      </c>
      <c r="E350" s="1" t="s">
        <v>5367</v>
      </c>
      <c r="F350" s="1" t="s">
        <v>5368</v>
      </c>
      <c r="G350" s="1" t="s">
        <v>5369</v>
      </c>
    </row>
    <row r="351" spans="1:7">
      <c r="A351" s="1">
        <v>350</v>
      </c>
      <c r="B351" s="1" t="s">
        <v>5370</v>
      </c>
      <c r="D351" s="1" t="s">
        <v>5358</v>
      </c>
      <c r="E351" s="1" t="s">
        <v>5371</v>
      </c>
      <c r="F351" s="1" t="s">
        <v>5372</v>
      </c>
      <c r="G351" s="1" t="s">
        <v>5373</v>
      </c>
    </row>
    <row r="352" spans="1:7">
      <c r="A352" s="1">
        <v>351</v>
      </c>
      <c r="B352" s="1" t="s">
        <v>5374</v>
      </c>
      <c r="D352" s="1" t="s">
        <v>5358</v>
      </c>
      <c r="E352" s="1" t="s">
        <v>5375</v>
      </c>
      <c r="F352" s="1" t="s">
        <v>5376</v>
      </c>
      <c r="G352" s="1" t="s">
        <v>5377</v>
      </c>
    </row>
    <row r="353" spans="1:7">
      <c r="A353" s="1">
        <v>352</v>
      </c>
      <c r="B353" s="1" t="s">
        <v>5378</v>
      </c>
      <c r="D353" s="1" t="s">
        <v>5358</v>
      </c>
      <c r="E353" s="1" t="s">
        <v>5379</v>
      </c>
      <c r="F353" s="1" t="s">
        <v>5380</v>
      </c>
      <c r="G353" s="1" t="s">
        <v>5381</v>
      </c>
    </row>
    <row r="354" spans="1:7">
      <c r="A354" s="1">
        <v>353</v>
      </c>
      <c r="B354" s="1" t="s">
        <v>5382</v>
      </c>
      <c r="D354" s="1" t="s">
        <v>5358</v>
      </c>
      <c r="E354" s="1" t="s">
        <v>5383</v>
      </c>
      <c r="F354" s="1" t="s">
        <v>5384</v>
      </c>
      <c r="G354" s="1" t="s">
        <v>5385</v>
      </c>
    </row>
    <row r="355" spans="1:7">
      <c r="A355" s="1">
        <v>354</v>
      </c>
      <c r="B355" s="1" t="s">
        <v>5386</v>
      </c>
      <c r="D355" s="1" t="s">
        <v>5387</v>
      </c>
      <c r="E355" s="1" t="s">
        <v>5388</v>
      </c>
      <c r="F355" s="1" t="s">
        <v>5360</v>
      </c>
      <c r="G355" s="1" t="s">
        <v>5361</v>
      </c>
    </row>
    <row r="356" spans="1:7">
      <c r="A356" s="1">
        <v>355</v>
      </c>
      <c r="B356" s="1" t="s">
        <v>5389</v>
      </c>
      <c r="D356" s="1" t="s">
        <v>5387</v>
      </c>
      <c r="E356" s="1" t="s">
        <v>5390</v>
      </c>
      <c r="F356" s="1" t="s">
        <v>5364</v>
      </c>
      <c r="G356" s="1" t="s">
        <v>5365</v>
      </c>
    </row>
    <row r="357" spans="1:7">
      <c r="A357" s="1">
        <v>356</v>
      </c>
      <c r="B357" s="1" t="s">
        <v>5391</v>
      </c>
      <c r="D357" s="1" t="s">
        <v>5387</v>
      </c>
      <c r="E357" s="1" t="s">
        <v>5392</v>
      </c>
      <c r="F357" s="1" t="s">
        <v>5368</v>
      </c>
      <c r="G357" s="1" t="s">
        <v>5369</v>
      </c>
    </row>
    <row r="358" spans="1:7">
      <c r="A358" s="1">
        <v>357</v>
      </c>
      <c r="B358" s="1" t="s">
        <v>5393</v>
      </c>
      <c r="D358" s="1" t="s">
        <v>5387</v>
      </c>
      <c r="E358" s="1" t="s">
        <v>5394</v>
      </c>
      <c r="F358" s="1" t="s">
        <v>5372</v>
      </c>
      <c r="G358" s="1" t="s">
        <v>5373</v>
      </c>
    </row>
    <row r="359" spans="1:7">
      <c r="A359" s="1">
        <v>358</v>
      </c>
      <c r="B359" s="1" t="s">
        <v>5395</v>
      </c>
      <c r="D359" s="1" t="s">
        <v>5387</v>
      </c>
      <c r="E359" s="1" t="s">
        <v>5396</v>
      </c>
      <c r="F359" s="1" t="s">
        <v>5376</v>
      </c>
      <c r="G359" s="1" t="s">
        <v>5377</v>
      </c>
    </row>
    <row r="360" spans="1:7">
      <c r="A360" s="1">
        <v>359</v>
      </c>
      <c r="B360" s="1" t="s">
        <v>5397</v>
      </c>
      <c r="D360" s="1" t="s">
        <v>5387</v>
      </c>
      <c r="E360" s="1" t="s">
        <v>5398</v>
      </c>
      <c r="F360" s="1" t="s">
        <v>5380</v>
      </c>
      <c r="G360" s="1" t="s">
        <v>5381</v>
      </c>
    </row>
    <row r="361" spans="1:7">
      <c r="A361" s="1">
        <v>360</v>
      </c>
      <c r="B361" s="1" t="s">
        <v>5399</v>
      </c>
      <c r="D361" s="1" t="s">
        <v>5387</v>
      </c>
      <c r="E361" s="1" t="s">
        <v>5400</v>
      </c>
      <c r="F361" s="1" t="s">
        <v>5384</v>
      </c>
      <c r="G361" s="1" t="s">
        <v>5385</v>
      </c>
    </row>
    <row r="362" spans="1:7">
      <c r="A362" s="1">
        <v>361</v>
      </c>
      <c r="B362" s="1" t="s">
        <v>5401</v>
      </c>
      <c r="D362" s="1" t="s">
        <v>5402</v>
      </c>
      <c r="E362" s="1" t="s">
        <v>5403</v>
      </c>
      <c r="F362" s="1" t="s">
        <v>5404</v>
      </c>
      <c r="G362" s="1" t="s">
        <v>5405</v>
      </c>
    </row>
    <row r="363" spans="1:7">
      <c r="A363" s="1">
        <v>362</v>
      </c>
      <c r="B363" s="1" t="s">
        <v>5406</v>
      </c>
      <c r="D363" s="1" t="s">
        <v>5402</v>
      </c>
      <c r="E363" s="1" t="s">
        <v>5407</v>
      </c>
      <c r="F363" s="1" t="s">
        <v>5408</v>
      </c>
      <c r="G363" s="1" t="s">
        <v>5409</v>
      </c>
    </row>
    <row r="364" spans="1:7">
      <c r="A364" s="1">
        <v>363</v>
      </c>
      <c r="B364" s="1" t="s">
        <v>5410</v>
      </c>
      <c r="D364" s="1" t="s">
        <v>5402</v>
      </c>
      <c r="E364" s="1" t="s">
        <v>5411</v>
      </c>
      <c r="F364" s="1" t="s">
        <v>5412</v>
      </c>
      <c r="G364" s="1" t="s">
        <v>5413</v>
      </c>
    </row>
    <row r="365" spans="1:7">
      <c r="A365" s="1">
        <v>364</v>
      </c>
      <c r="B365" s="1" t="s">
        <v>5414</v>
      </c>
      <c r="D365" s="1" t="s">
        <v>5402</v>
      </c>
      <c r="E365" s="1" t="s">
        <v>5415</v>
      </c>
      <c r="F365" s="1" t="s">
        <v>5416</v>
      </c>
      <c r="G365" s="1" t="s">
        <v>5417</v>
      </c>
    </row>
    <row r="366" spans="1:7">
      <c r="A366" s="1">
        <v>365</v>
      </c>
      <c r="B366" s="1" t="s">
        <v>5418</v>
      </c>
      <c r="D366" s="1" t="s">
        <v>5402</v>
      </c>
      <c r="E366" s="1" t="s">
        <v>5419</v>
      </c>
      <c r="F366" s="1" t="s">
        <v>5420</v>
      </c>
      <c r="G366" s="1" t="s">
        <v>5421</v>
      </c>
    </row>
    <row r="367" spans="1:7">
      <c r="A367" s="1">
        <v>366</v>
      </c>
      <c r="B367" s="1" t="s">
        <v>5422</v>
      </c>
      <c r="D367" s="1" t="s">
        <v>5402</v>
      </c>
      <c r="E367" s="1" t="s">
        <v>5423</v>
      </c>
      <c r="F367" s="1" t="s">
        <v>5424</v>
      </c>
      <c r="G367" s="1" t="s">
        <v>5425</v>
      </c>
    </row>
    <row r="368" spans="1:7">
      <c r="A368" s="1">
        <v>367</v>
      </c>
      <c r="B368" s="1" t="s">
        <v>5426</v>
      </c>
      <c r="D368" s="1" t="s">
        <v>5402</v>
      </c>
      <c r="E368" s="1" t="s">
        <v>5427</v>
      </c>
      <c r="F368" s="1" t="s">
        <v>5428</v>
      </c>
      <c r="G368" s="1" t="s">
        <v>5429</v>
      </c>
    </row>
    <row r="369" spans="1:7">
      <c r="A369" s="1">
        <v>368</v>
      </c>
      <c r="B369" s="1" t="s">
        <v>5430</v>
      </c>
      <c r="D369" s="1" t="s">
        <v>5402</v>
      </c>
      <c r="E369" s="1" t="s">
        <v>5431</v>
      </c>
      <c r="F369" s="1" t="s">
        <v>5432</v>
      </c>
      <c r="G369" s="1" t="s">
        <v>5433</v>
      </c>
    </row>
    <row r="370" spans="1:7">
      <c r="A370" s="1">
        <v>369</v>
      </c>
      <c r="B370" s="1" t="s">
        <v>5434</v>
      </c>
      <c r="D370" s="1" t="s">
        <v>5435</v>
      </c>
      <c r="E370" s="1" t="s">
        <v>5436</v>
      </c>
      <c r="F370" s="1" t="s">
        <v>5404</v>
      </c>
      <c r="G370" s="1" t="s">
        <v>5405</v>
      </c>
    </row>
    <row r="371" spans="1:7">
      <c r="A371" s="1">
        <v>370</v>
      </c>
      <c r="B371" s="1" t="s">
        <v>5437</v>
      </c>
      <c r="D371" s="1" t="s">
        <v>5435</v>
      </c>
      <c r="E371" s="1" t="s">
        <v>5438</v>
      </c>
      <c r="F371" s="1" t="s">
        <v>5408</v>
      </c>
      <c r="G371" s="1" t="s">
        <v>5409</v>
      </c>
    </row>
    <row r="372" spans="1:7">
      <c r="A372" s="1">
        <v>371</v>
      </c>
      <c r="B372" s="1" t="s">
        <v>5439</v>
      </c>
      <c r="D372" s="1" t="s">
        <v>5435</v>
      </c>
      <c r="E372" s="1" t="s">
        <v>5440</v>
      </c>
      <c r="F372" s="1" t="s">
        <v>5412</v>
      </c>
      <c r="G372" s="1" t="s">
        <v>5413</v>
      </c>
    </row>
    <row r="373" spans="1:7">
      <c r="A373" s="1">
        <v>372</v>
      </c>
      <c r="B373" s="1" t="s">
        <v>5441</v>
      </c>
      <c r="D373" s="1" t="s">
        <v>5435</v>
      </c>
      <c r="E373" s="1" t="s">
        <v>5442</v>
      </c>
      <c r="F373" s="1" t="s">
        <v>5443</v>
      </c>
      <c r="G373" s="1" t="s">
        <v>5444</v>
      </c>
    </row>
    <row r="374" spans="1:7">
      <c r="A374" s="1">
        <v>373</v>
      </c>
      <c r="B374" s="1" t="s">
        <v>5445</v>
      </c>
      <c r="D374" s="1" t="s">
        <v>5435</v>
      </c>
      <c r="E374" s="1" t="s">
        <v>5446</v>
      </c>
      <c r="F374" s="1" t="s">
        <v>5420</v>
      </c>
      <c r="G374" s="1" t="s">
        <v>5421</v>
      </c>
    </row>
    <row r="375" spans="1:7">
      <c r="A375" s="1">
        <v>374</v>
      </c>
      <c r="B375" s="1" t="s">
        <v>5447</v>
      </c>
      <c r="D375" s="1" t="s">
        <v>5435</v>
      </c>
      <c r="E375" s="1" t="s">
        <v>5448</v>
      </c>
      <c r="F375" s="1" t="s">
        <v>5449</v>
      </c>
      <c r="G375" s="1" t="s">
        <v>5450</v>
      </c>
    </row>
    <row r="376" spans="1:7">
      <c r="A376" s="1">
        <v>375</v>
      </c>
      <c r="B376" s="1" t="s">
        <v>5451</v>
      </c>
      <c r="D376" s="1" t="s">
        <v>5435</v>
      </c>
      <c r="E376" s="1" t="s">
        <v>5452</v>
      </c>
      <c r="F376" s="1" t="s">
        <v>5424</v>
      </c>
      <c r="G376" s="1" t="s">
        <v>5425</v>
      </c>
    </row>
    <row r="377" spans="1:7">
      <c r="A377" s="1">
        <v>376</v>
      </c>
      <c r="B377" s="1" t="s">
        <v>5453</v>
      </c>
      <c r="D377" s="1" t="s">
        <v>5435</v>
      </c>
      <c r="E377" s="1" t="s">
        <v>5454</v>
      </c>
      <c r="F377" s="1" t="s">
        <v>5428</v>
      </c>
      <c r="G377" s="1" t="s">
        <v>5429</v>
      </c>
    </row>
    <row r="378" spans="1:7">
      <c r="A378" s="1">
        <v>377</v>
      </c>
      <c r="B378" s="1" t="s">
        <v>5455</v>
      </c>
      <c r="D378" s="1" t="s">
        <v>5435</v>
      </c>
      <c r="E378" s="1" t="s">
        <v>5456</v>
      </c>
      <c r="F378" s="1" t="s">
        <v>5432</v>
      </c>
      <c r="G378" s="1" t="s">
        <v>5433</v>
      </c>
    </row>
    <row r="379" spans="1:7">
      <c r="A379" s="1">
        <v>378</v>
      </c>
      <c r="B379" s="1" t="s">
        <v>5457</v>
      </c>
      <c r="D379" s="1" t="s">
        <v>5458</v>
      </c>
      <c r="E379" s="1" t="s">
        <v>5459</v>
      </c>
      <c r="F379" s="1" t="s">
        <v>5460</v>
      </c>
      <c r="G379" s="1" t="s">
        <v>5461</v>
      </c>
    </row>
    <row r="380" spans="1:7">
      <c r="A380" s="1">
        <v>379</v>
      </c>
      <c r="B380" s="1" t="s">
        <v>5462</v>
      </c>
      <c r="D380" s="1" t="s">
        <v>5458</v>
      </c>
      <c r="E380" s="1" t="s">
        <v>5463</v>
      </c>
      <c r="F380" s="1" t="s">
        <v>5464</v>
      </c>
      <c r="G380" s="1" t="s">
        <v>5465</v>
      </c>
    </row>
    <row r="381" spans="1:7">
      <c r="A381" s="1">
        <v>380</v>
      </c>
      <c r="B381" s="1" t="s">
        <v>5466</v>
      </c>
      <c r="D381" s="1" t="s">
        <v>5458</v>
      </c>
      <c r="E381" s="1" t="s">
        <v>5467</v>
      </c>
      <c r="F381" s="1" t="s">
        <v>5468</v>
      </c>
      <c r="G381" s="1" t="s">
        <v>5469</v>
      </c>
    </row>
    <row r="382" spans="1:7">
      <c r="A382" s="1">
        <v>381</v>
      </c>
      <c r="B382" s="1" t="s">
        <v>5470</v>
      </c>
      <c r="D382" s="1" t="s">
        <v>5458</v>
      </c>
      <c r="E382" s="1" t="s">
        <v>5471</v>
      </c>
      <c r="F382" s="1" t="s">
        <v>5472</v>
      </c>
      <c r="G382" s="1" t="s">
        <v>5473</v>
      </c>
    </row>
    <row r="383" spans="1:7">
      <c r="A383" s="1">
        <v>382</v>
      </c>
      <c r="B383" s="1" t="s">
        <v>5474</v>
      </c>
      <c r="D383" s="1" t="s">
        <v>5458</v>
      </c>
      <c r="E383" s="1" t="s">
        <v>5475</v>
      </c>
      <c r="F383" s="1" t="s">
        <v>5476</v>
      </c>
      <c r="G383" s="1" t="s">
        <v>5477</v>
      </c>
    </row>
    <row r="384" spans="1:7">
      <c r="A384" s="1">
        <v>383</v>
      </c>
      <c r="B384" s="1" t="s">
        <v>5478</v>
      </c>
      <c r="D384" s="1" t="s">
        <v>5458</v>
      </c>
      <c r="E384" s="1" t="s">
        <v>5479</v>
      </c>
      <c r="F384" s="1" t="s">
        <v>5480</v>
      </c>
      <c r="G384" s="1" t="s">
        <v>5481</v>
      </c>
    </row>
    <row r="385" spans="1:7">
      <c r="A385" s="1">
        <v>384</v>
      </c>
      <c r="B385" s="1" t="s">
        <v>5482</v>
      </c>
      <c r="D385" s="1" t="s">
        <v>5458</v>
      </c>
      <c r="E385" s="1" t="s">
        <v>5483</v>
      </c>
      <c r="F385" s="1" t="s">
        <v>5484</v>
      </c>
      <c r="G385" s="1" t="s">
        <v>5485</v>
      </c>
    </row>
    <row r="386" spans="1:7">
      <c r="A386" s="1">
        <v>385</v>
      </c>
      <c r="B386" s="1" t="s">
        <v>5486</v>
      </c>
      <c r="D386" s="1" t="s">
        <v>5458</v>
      </c>
      <c r="E386" s="1" t="s">
        <v>5487</v>
      </c>
      <c r="F386" s="1" t="s">
        <v>5488</v>
      </c>
      <c r="G386" s="1" t="s">
        <v>5489</v>
      </c>
    </row>
    <row r="387" spans="1:7">
      <c r="A387" s="1">
        <v>386</v>
      </c>
      <c r="B387" s="1" t="s">
        <v>5490</v>
      </c>
      <c r="D387" s="1" t="s">
        <v>5491</v>
      </c>
      <c r="E387" s="1" t="s">
        <v>5492</v>
      </c>
      <c r="F387" s="1" t="s">
        <v>5460</v>
      </c>
      <c r="G387" s="1" t="s">
        <v>5461</v>
      </c>
    </row>
    <row r="388" spans="1:7">
      <c r="A388" s="1">
        <v>387</v>
      </c>
      <c r="B388" s="1" t="s">
        <v>5493</v>
      </c>
      <c r="D388" s="1" t="s">
        <v>5491</v>
      </c>
      <c r="E388" s="1" t="s">
        <v>5494</v>
      </c>
      <c r="F388" s="1" t="s">
        <v>5464</v>
      </c>
      <c r="G388" s="1" t="s">
        <v>5465</v>
      </c>
    </row>
    <row r="389" spans="1:7">
      <c r="A389" s="1">
        <v>388</v>
      </c>
      <c r="B389" s="1" t="s">
        <v>5495</v>
      </c>
      <c r="D389" s="1" t="s">
        <v>5491</v>
      </c>
      <c r="E389" s="1" t="s">
        <v>5496</v>
      </c>
      <c r="F389" s="1" t="s">
        <v>5468</v>
      </c>
      <c r="G389" s="1" t="s">
        <v>5469</v>
      </c>
    </row>
    <row r="390" spans="1:7">
      <c r="A390" s="1">
        <v>389</v>
      </c>
      <c r="B390" s="1" t="s">
        <v>5497</v>
      </c>
      <c r="D390" s="1" t="s">
        <v>5491</v>
      </c>
      <c r="E390" s="1" t="s">
        <v>5498</v>
      </c>
      <c r="F390" s="1" t="s">
        <v>5472</v>
      </c>
      <c r="G390" s="1" t="s">
        <v>5473</v>
      </c>
    </row>
    <row r="391" spans="1:7">
      <c r="A391" s="1">
        <v>390</v>
      </c>
      <c r="B391" s="1" t="s">
        <v>5499</v>
      </c>
      <c r="D391" s="1" t="s">
        <v>5491</v>
      </c>
      <c r="E391" s="1" t="s">
        <v>5500</v>
      </c>
      <c r="F391" s="1" t="s">
        <v>5476</v>
      </c>
      <c r="G391" s="1" t="s">
        <v>5477</v>
      </c>
    </row>
    <row r="392" spans="1:7">
      <c r="A392" s="1">
        <v>391</v>
      </c>
      <c r="B392" s="1" t="s">
        <v>5501</v>
      </c>
      <c r="D392" s="1" t="s">
        <v>5491</v>
      </c>
      <c r="E392" s="1" t="s">
        <v>5502</v>
      </c>
      <c r="F392" s="1" t="s">
        <v>5480</v>
      </c>
      <c r="G392" s="1" t="s">
        <v>5481</v>
      </c>
    </row>
    <row r="393" spans="1:7">
      <c r="A393" s="1">
        <v>392</v>
      </c>
      <c r="B393" s="1" t="s">
        <v>5503</v>
      </c>
      <c r="D393" s="1" t="s">
        <v>5491</v>
      </c>
      <c r="E393" s="1" t="s">
        <v>5504</v>
      </c>
      <c r="F393" s="1" t="s">
        <v>5484</v>
      </c>
      <c r="G393" s="1" t="s">
        <v>5485</v>
      </c>
    </row>
    <row r="394" spans="1:7">
      <c r="A394" s="1">
        <v>393</v>
      </c>
      <c r="B394" s="1" t="s">
        <v>5505</v>
      </c>
      <c r="D394" s="1" t="s">
        <v>5491</v>
      </c>
      <c r="E394" s="1" t="s">
        <v>5506</v>
      </c>
      <c r="F394" s="1" t="s">
        <v>5488</v>
      </c>
      <c r="G394" s="1" t="s">
        <v>5489</v>
      </c>
    </row>
    <row r="395" spans="1:7">
      <c r="A395" s="1">
        <v>394</v>
      </c>
      <c r="B395" s="1" t="s">
        <v>5507</v>
      </c>
      <c r="D395" s="1" t="s">
        <v>5508</v>
      </c>
      <c r="E395" s="1" t="s">
        <v>5509</v>
      </c>
      <c r="F395" s="1" t="s">
        <v>5510</v>
      </c>
      <c r="G395" s="1" t="s">
        <v>5511</v>
      </c>
    </row>
    <row r="396" spans="1:7">
      <c r="A396" s="1">
        <v>395</v>
      </c>
      <c r="B396" s="1" t="s">
        <v>5512</v>
      </c>
      <c r="D396" s="1" t="s">
        <v>5508</v>
      </c>
      <c r="E396" s="1" t="s">
        <v>5513</v>
      </c>
      <c r="F396" s="1" t="s">
        <v>5514</v>
      </c>
      <c r="G396" s="1" t="s">
        <v>5515</v>
      </c>
    </row>
    <row r="397" spans="1:7">
      <c r="A397" s="1">
        <v>396</v>
      </c>
      <c r="B397" s="1" t="s">
        <v>5516</v>
      </c>
      <c r="D397" s="1" t="s">
        <v>5508</v>
      </c>
      <c r="E397" s="1" t="s">
        <v>5517</v>
      </c>
      <c r="F397" s="1" t="s">
        <v>5518</v>
      </c>
      <c r="G397" s="1" t="s">
        <v>5519</v>
      </c>
    </row>
    <row r="398" spans="1:7">
      <c r="A398" s="1">
        <v>397</v>
      </c>
      <c r="B398" s="1" t="s">
        <v>5520</v>
      </c>
      <c r="D398" s="1" t="s">
        <v>5508</v>
      </c>
      <c r="E398" s="1" t="s">
        <v>5521</v>
      </c>
      <c r="F398" s="1" t="s">
        <v>5522</v>
      </c>
      <c r="G398" s="1" t="s">
        <v>5523</v>
      </c>
    </row>
    <row r="399" spans="1:7">
      <c r="A399" s="1">
        <v>398</v>
      </c>
      <c r="B399" s="1" t="s">
        <v>5524</v>
      </c>
      <c r="D399" s="1" t="s">
        <v>5508</v>
      </c>
      <c r="E399" s="1" t="s">
        <v>5525</v>
      </c>
      <c r="F399" s="1" t="s">
        <v>5526</v>
      </c>
      <c r="G399" s="1" t="s">
        <v>5527</v>
      </c>
    </row>
    <row r="400" spans="1:7">
      <c r="A400" s="1">
        <v>399</v>
      </c>
      <c r="B400" s="1" t="s">
        <v>5528</v>
      </c>
      <c r="D400" s="1" t="s">
        <v>5508</v>
      </c>
      <c r="E400" s="1" t="s">
        <v>5529</v>
      </c>
      <c r="F400" s="1" t="s">
        <v>5530</v>
      </c>
      <c r="G400" s="1" t="s">
        <v>5531</v>
      </c>
    </row>
    <row r="401" spans="1:7">
      <c r="A401" s="1">
        <v>400</v>
      </c>
      <c r="B401" s="1" t="s">
        <v>5532</v>
      </c>
      <c r="D401" s="1" t="s">
        <v>5533</v>
      </c>
      <c r="E401" s="1" t="s">
        <v>5534</v>
      </c>
      <c r="F401" s="1" t="s">
        <v>5535</v>
      </c>
      <c r="G401" s="1" t="s">
        <v>5536</v>
      </c>
    </row>
    <row r="402" spans="1:7">
      <c r="A402" s="1">
        <v>401</v>
      </c>
      <c r="B402" s="1" t="s">
        <v>5537</v>
      </c>
      <c r="D402" s="1" t="s">
        <v>5533</v>
      </c>
      <c r="E402" s="1" t="s">
        <v>5538</v>
      </c>
      <c r="F402" s="1" t="s">
        <v>5539</v>
      </c>
      <c r="G402" s="1" t="s">
        <v>5540</v>
      </c>
    </row>
    <row r="403" spans="1:7">
      <c r="A403" s="1">
        <v>402</v>
      </c>
      <c r="B403" s="1" t="s">
        <v>5541</v>
      </c>
      <c r="D403" s="1" t="s">
        <v>5533</v>
      </c>
      <c r="E403" s="1" t="s">
        <v>5542</v>
      </c>
      <c r="F403" s="1" t="s">
        <v>5543</v>
      </c>
      <c r="G403" s="1" t="s">
        <v>5544</v>
      </c>
    </row>
    <row r="404" spans="1:7">
      <c r="A404" s="1">
        <v>403</v>
      </c>
      <c r="B404" s="1" t="s">
        <v>5545</v>
      </c>
      <c r="D404" s="1" t="s">
        <v>5533</v>
      </c>
      <c r="E404" s="1" t="s">
        <v>5546</v>
      </c>
      <c r="F404" s="1" t="s">
        <v>5547</v>
      </c>
      <c r="G404" s="1" t="s">
        <v>5548</v>
      </c>
    </row>
    <row r="405" spans="1:7">
      <c r="A405" s="1">
        <v>404</v>
      </c>
      <c r="B405" s="1" t="s">
        <v>5549</v>
      </c>
      <c r="D405" s="1" t="s">
        <v>5533</v>
      </c>
      <c r="E405" s="1" t="s">
        <v>5550</v>
      </c>
      <c r="F405" s="1" t="s">
        <v>5551</v>
      </c>
      <c r="G405" s="1" t="s">
        <v>5552</v>
      </c>
    </row>
    <row r="406" spans="1:7">
      <c r="A406" s="1">
        <v>405</v>
      </c>
      <c r="B406" s="1" t="s">
        <v>5553</v>
      </c>
      <c r="D406" s="1" t="s">
        <v>5554</v>
      </c>
      <c r="E406" s="1" t="s">
        <v>5555</v>
      </c>
      <c r="F406" s="1" t="s">
        <v>5551</v>
      </c>
      <c r="G406" s="1" t="s">
        <v>5552</v>
      </c>
    </row>
    <row r="407" spans="1:7">
      <c r="A407" s="1">
        <v>406</v>
      </c>
      <c r="B407" s="1" t="s">
        <v>5556</v>
      </c>
      <c r="D407" s="1" t="s">
        <v>5554</v>
      </c>
      <c r="E407" s="1" t="s">
        <v>5557</v>
      </c>
      <c r="F407" s="1" t="s">
        <v>5558</v>
      </c>
      <c r="G407" s="1" t="s">
        <v>5559</v>
      </c>
    </row>
    <row r="408" spans="1:7">
      <c r="A408" s="1">
        <v>407</v>
      </c>
      <c r="B408" s="1" t="s">
        <v>5560</v>
      </c>
      <c r="D408" s="1" t="s">
        <v>5561</v>
      </c>
      <c r="E408" s="1" t="s">
        <v>1863</v>
      </c>
      <c r="F408" s="1" t="s">
        <v>5562</v>
      </c>
      <c r="G408" s="1" t="s">
        <v>5563</v>
      </c>
    </row>
    <row r="409" spans="1:7">
      <c r="A409" s="1">
        <v>408</v>
      </c>
      <c r="B409" s="1" t="s">
        <v>5564</v>
      </c>
      <c r="D409" s="1" t="s">
        <v>5561</v>
      </c>
      <c r="E409" s="1" t="s">
        <v>1852</v>
      </c>
      <c r="F409" s="1" t="s">
        <v>5565</v>
      </c>
      <c r="G409" s="1" t="s">
        <v>5566</v>
      </c>
    </row>
    <row r="410" spans="1:7">
      <c r="A410" s="1">
        <v>409</v>
      </c>
      <c r="B410" s="1" t="s">
        <v>5567</v>
      </c>
      <c r="D410" s="1" t="s">
        <v>5561</v>
      </c>
      <c r="E410" s="1" t="s">
        <v>1851</v>
      </c>
      <c r="F410" s="1" t="s">
        <v>5568</v>
      </c>
      <c r="G410" s="1" t="s">
        <v>5569</v>
      </c>
    </row>
    <row r="411" spans="1:7">
      <c r="A411" s="1">
        <v>410</v>
      </c>
      <c r="B411" s="1" t="s">
        <v>5570</v>
      </c>
      <c r="D411" s="1" t="s">
        <v>5561</v>
      </c>
      <c r="E411" s="1" t="s">
        <v>5571</v>
      </c>
      <c r="F411" s="1" t="s">
        <v>5572</v>
      </c>
      <c r="G411" s="1" t="s">
        <v>5573</v>
      </c>
    </row>
    <row r="412" spans="1:7">
      <c r="A412" s="1">
        <v>411</v>
      </c>
      <c r="B412" s="1" t="s">
        <v>5574</v>
      </c>
      <c r="D412" s="1" t="s">
        <v>5561</v>
      </c>
      <c r="E412" s="1" t="s">
        <v>5575</v>
      </c>
      <c r="F412" s="1" t="s">
        <v>5576</v>
      </c>
      <c r="G412" s="1" t="s">
        <v>5577</v>
      </c>
    </row>
    <row r="413" spans="1:7">
      <c r="A413" s="1">
        <v>412</v>
      </c>
      <c r="B413" s="1" t="s">
        <v>5578</v>
      </c>
      <c r="D413" s="1" t="s">
        <v>5561</v>
      </c>
      <c r="E413" s="1" t="s">
        <v>5579</v>
      </c>
      <c r="F413" s="1" t="s">
        <v>5580</v>
      </c>
      <c r="G413" s="1" t="s">
        <v>5581</v>
      </c>
    </row>
    <row r="414" spans="1:7">
      <c r="A414" s="1">
        <v>413</v>
      </c>
      <c r="B414" s="1" t="s">
        <v>5582</v>
      </c>
      <c r="D414" s="1" t="s">
        <v>5561</v>
      </c>
      <c r="E414" s="1" t="s">
        <v>70</v>
      </c>
      <c r="F414" s="1" t="s">
        <v>5583</v>
      </c>
      <c r="G414" s="1" t="s">
        <v>5584</v>
      </c>
    </row>
    <row r="415" spans="1:7">
      <c r="A415" s="1">
        <v>414</v>
      </c>
      <c r="B415" s="1" t="s">
        <v>5585</v>
      </c>
      <c r="D415" s="1" t="s">
        <v>5561</v>
      </c>
      <c r="E415" s="1" t="s">
        <v>1855</v>
      </c>
      <c r="F415" s="1" t="s">
        <v>5586</v>
      </c>
      <c r="G415" s="1" t="s">
        <v>5587</v>
      </c>
    </row>
    <row r="416" spans="1:7">
      <c r="A416" s="1">
        <v>415</v>
      </c>
      <c r="B416" s="1" t="s">
        <v>5588</v>
      </c>
      <c r="D416" s="1" t="s">
        <v>5561</v>
      </c>
      <c r="E416" s="1" t="s">
        <v>1858</v>
      </c>
      <c r="F416" s="1" t="s">
        <v>5589</v>
      </c>
      <c r="G416" s="1" t="s">
        <v>5590</v>
      </c>
    </row>
    <row r="417" spans="1:7">
      <c r="A417" s="1">
        <v>416</v>
      </c>
      <c r="B417" s="1" t="s">
        <v>5591</v>
      </c>
      <c r="D417" s="1" t="s">
        <v>5561</v>
      </c>
      <c r="E417" s="1" t="s">
        <v>5592</v>
      </c>
      <c r="F417" s="1" t="s">
        <v>5593</v>
      </c>
      <c r="G417" s="1" t="s">
        <v>5594</v>
      </c>
    </row>
    <row r="418" spans="1:7">
      <c r="A418" s="1">
        <v>417</v>
      </c>
      <c r="B418" s="1" t="s">
        <v>5595</v>
      </c>
      <c r="D418" s="1" t="s">
        <v>5561</v>
      </c>
      <c r="E418" s="1" t="s">
        <v>5596</v>
      </c>
      <c r="F418" s="1" t="s">
        <v>5597</v>
      </c>
      <c r="G418" s="1" t="s">
        <v>5598</v>
      </c>
    </row>
    <row r="419" spans="1:7">
      <c r="A419" s="1">
        <v>418</v>
      </c>
      <c r="B419" s="1" t="s">
        <v>5599</v>
      </c>
      <c r="D419" s="1" t="s">
        <v>5561</v>
      </c>
      <c r="E419" s="1" t="s">
        <v>5600</v>
      </c>
      <c r="F419" s="1" t="s">
        <v>5601</v>
      </c>
      <c r="G419" s="1" t="s">
        <v>5602</v>
      </c>
    </row>
    <row r="420" spans="1:7">
      <c r="A420" s="1">
        <v>419</v>
      </c>
      <c r="B420" s="1" t="s">
        <v>5603</v>
      </c>
      <c r="D420" s="1" t="s">
        <v>5604</v>
      </c>
      <c r="E420" s="1" t="s">
        <v>5605</v>
      </c>
      <c r="F420" s="1" t="s">
        <v>5606</v>
      </c>
      <c r="G420" s="1" t="s">
        <v>5607</v>
      </c>
    </row>
    <row r="421" spans="1:7">
      <c r="A421" s="1">
        <v>420</v>
      </c>
      <c r="B421" s="1" t="s">
        <v>5608</v>
      </c>
      <c r="D421" s="1" t="s">
        <v>5604</v>
      </c>
      <c r="E421" s="1" t="s">
        <v>1872</v>
      </c>
      <c r="F421" s="1" t="s">
        <v>5609</v>
      </c>
      <c r="G421" s="1" t="s">
        <v>5610</v>
      </c>
    </row>
    <row r="422" spans="1:7">
      <c r="A422" s="1">
        <v>421</v>
      </c>
      <c r="B422" s="1" t="s">
        <v>5611</v>
      </c>
      <c r="D422" s="1" t="s">
        <v>5604</v>
      </c>
      <c r="E422" s="1" t="s">
        <v>1871</v>
      </c>
      <c r="F422" s="1" t="s">
        <v>5612</v>
      </c>
      <c r="G422" s="1" t="s">
        <v>5613</v>
      </c>
    </row>
    <row r="423" spans="1:7">
      <c r="A423" s="1">
        <v>422</v>
      </c>
      <c r="B423" s="1" t="s">
        <v>5614</v>
      </c>
      <c r="D423" s="1" t="s">
        <v>5604</v>
      </c>
      <c r="E423" s="1" t="s">
        <v>5615</v>
      </c>
      <c r="F423" s="1" t="s">
        <v>5616</v>
      </c>
      <c r="G423" s="1" t="s">
        <v>5617</v>
      </c>
    </row>
    <row r="424" spans="1:7">
      <c r="A424" s="1">
        <v>423</v>
      </c>
      <c r="B424" s="1" t="s">
        <v>5618</v>
      </c>
      <c r="D424" s="1" t="s">
        <v>5604</v>
      </c>
      <c r="E424" s="1" t="s">
        <v>5619</v>
      </c>
      <c r="F424" s="1" t="s">
        <v>5620</v>
      </c>
      <c r="G424" s="1" t="s">
        <v>5621</v>
      </c>
    </row>
    <row r="425" spans="1:7">
      <c r="A425" s="1">
        <v>424</v>
      </c>
      <c r="B425" s="1" t="s">
        <v>5622</v>
      </c>
      <c r="D425" s="1" t="s">
        <v>5604</v>
      </c>
      <c r="E425" s="1" t="s">
        <v>5623</v>
      </c>
      <c r="F425" s="1" t="s">
        <v>5624</v>
      </c>
      <c r="G425" s="1" t="s">
        <v>5625</v>
      </c>
    </row>
    <row r="426" spans="1:7">
      <c r="A426" s="1">
        <v>425</v>
      </c>
      <c r="B426" s="1" t="s">
        <v>5626</v>
      </c>
      <c r="D426" s="1" t="s">
        <v>5604</v>
      </c>
      <c r="E426" s="1" t="s">
        <v>5627</v>
      </c>
      <c r="F426" s="1" t="s">
        <v>5628</v>
      </c>
      <c r="G426" s="1" t="s">
        <v>5629</v>
      </c>
    </row>
    <row r="427" spans="1:7">
      <c r="A427" s="1">
        <v>426</v>
      </c>
      <c r="B427" s="1" t="s">
        <v>5630</v>
      </c>
      <c r="D427" s="1" t="s">
        <v>5604</v>
      </c>
      <c r="E427" s="1" t="s">
        <v>5631</v>
      </c>
      <c r="F427" s="1" t="s">
        <v>5632</v>
      </c>
      <c r="G427" s="1" t="s">
        <v>5633</v>
      </c>
    </row>
    <row r="428" spans="1:7">
      <c r="A428" s="1">
        <v>427</v>
      </c>
      <c r="B428" s="1" t="s">
        <v>5634</v>
      </c>
      <c r="D428" s="1" t="s">
        <v>5604</v>
      </c>
      <c r="E428" s="1" t="s">
        <v>5635</v>
      </c>
      <c r="F428" s="1" t="s">
        <v>5636</v>
      </c>
      <c r="G428" s="1" t="s">
        <v>5637</v>
      </c>
    </row>
    <row r="429" spans="1:7">
      <c r="A429" s="1">
        <v>428</v>
      </c>
      <c r="B429" s="1" t="s">
        <v>5638</v>
      </c>
      <c r="D429" s="1" t="s">
        <v>5604</v>
      </c>
      <c r="E429" s="1" t="s">
        <v>5639</v>
      </c>
      <c r="F429" s="1" t="s">
        <v>5640</v>
      </c>
      <c r="G429" s="1" t="s">
        <v>5641</v>
      </c>
    </row>
    <row r="430" spans="1:7">
      <c r="A430" s="1">
        <v>429</v>
      </c>
      <c r="B430" s="1" t="s">
        <v>5642</v>
      </c>
      <c r="D430" s="1" t="s">
        <v>5643</v>
      </c>
      <c r="E430" s="1" t="s">
        <v>1676</v>
      </c>
      <c r="F430" s="1" t="s">
        <v>5644</v>
      </c>
      <c r="G430" s="1" t="s">
        <v>5645</v>
      </c>
    </row>
    <row r="431" spans="1:7">
      <c r="A431" s="1">
        <v>430</v>
      </c>
      <c r="B431" s="1" t="s">
        <v>5646</v>
      </c>
      <c r="D431" s="1" t="s">
        <v>5643</v>
      </c>
      <c r="E431" s="1" t="s">
        <v>71</v>
      </c>
      <c r="F431" s="1" t="s">
        <v>5647</v>
      </c>
      <c r="G431" s="1" t="s">
        <v>5648</v>
      </c>
    </row>
    <row r="432" spans="1:7">
      <c r="A432" s="1">
        <v>431</v>
      </c>
      <c r="B432" s="1" t="s">
        <v>5649</v>
      </c>
      <c r="D432" s="1" t="s">
        <v>5650</v>
      </c>
      <c r="E432" s="1" t="s">
        <v>5651</v>
      </c>
      <c r="F432" s="1" t="s">
        <v>5606</v>
      </c>
      <c r="G432" s="1" t="s">
        <v>5607</v>
      </c>
    </row>
    <row r="433" spans="1:7">
      <c r="A433" s="1">
        <v>432</v>
      </c>
      <c r="B433" s="1" t="s">
        <v>5652</v>
      </c>
      <c r="D433" s="1" t="s">
        <v>5650</v>
      </c>
      <c r="E433" s="1" t="s">
        <v>1883</v>
      </c>
      <c r="F433" s="1" t="s">
        <v>5609</v>
      </c>
      <c r="G433" s="1" t="s">
        <v>5610</v>
      </c>
    </row>
    <row r="434" spans="1:7">
      <c r="A434" s="1">
        <v>433</v>
      </c>
      <c r="B434" s="1" t="s">
        <v>5653</v>
      </c>
      <c r="D434" s="1" t="s">
        <v>5650</v>
      </c>
      <c r="E434" s="1" t="s">
        <v>5654</v>
      </c>
      <c r="F434" s="1" t="s">
        <v>5616</v>
      </c>
      <c r="G434" s="1" t="s">
        <v>5617</v>
      </c>
    </row>
    <row r="435" spans="1:7">
      <c r="A435" s="1">
        <v>434</v>
      </c>
      <c r="B435" s="1" t="s">
        <v>5655</v>
      </c>
      <c r="D435" s="1" t="s">
        <v>5650</v>
      </c>
      <c r="E435" s="1" t="s">
        <v>5656</v>
      </c>
      <c r="F435" s="1" t="s">
        <v>5620</v>
      </c>
      <c r="G435" s="1" t="s">
        <v>5621</v>
      </c>
    </row>
    <row r="436" spans="1:7">
      <c r="A436" s="1">
        <v>435</v>
      </c>
      <c r="B436" s="1" t="s">
        <v>5657</v>
      </c>
      <c r="D436" s="1" t="s">
        <v>5650</v>
      </c>
      <c r="E436" s="1" t="s">
        <v>5658</v>
      </c>
      <c r="F436" s="1" t="s">
        <v>5624</v>
      </c>
      <c r="G436" s="1" t="s">
        <v>5625</v>
      </c>
    </row>
    <row r="437" spans="1:7">
      <c r="A437" s="1">
        <v>436</v>
      </c>
      <c r="B437" s="1" t="s">
        <v>5659</v>
      </c>
      <c r="D437" s="1" t="s">
        <v>5650</v>
      </c>
      <c r="E437" s="1" t="s">
        <v>5660</v>
      </c>
      <c r="F437" s="1" t="s">
        <v>5628</v>
      </c>
      <c r="G437" s="1" t="s">
        <v>5629</v>
      </c>
    </row>
    <row r="438" spans="1:7">
      <c r="A438" s="1">
        <v>437</v>
      </c>
      <c r="B438" s="1" t="s">
        <v>5661</v>
      </c>
      <c r="D438" s="1" t="s">
        <v>5650</v>
      </c>
      <c r="E438" s="1" t="s">
        <v>5662</v>
      </c>
      <c r="F438" s="1" t="s">
        <v>5632</v>
      </c>
      <c r="G438" s="1" t="s">
        <v>5633</v>
      </c>
    </row>
    <row r="439" spans="1:7">
      <c r="A439" s="1">
        <v>438</v>
      </c>
      <c r="B439" s="1" t="s">
        <v>5663</v>
      </c>
      <c r="D439" s="1" t="s">
        <v>5650</v>
      </c>
      <c r="E439" s="1" t="s">
        <v>5664</v>
      </c>
      <c r="F439" s="1" t="s">
        <v>5636</v>
      </c>
      <c r="G439" s="1" t="s">
        <v>5637</v>
      </c>
    </row>
    <row r="440" spans="1:7">
      <c r="A440" s="1">
        <v>439</v>
      </c>
      <c r="B440" s="1" t="s">
        <v>5665</v>
      </c>
      <c r="D440" s="1" t="s">
        <v>5650</v>
      </c>
      <c r="E440" s="1" t="s">
        <v>5666</v>
      </c>
      <c r="F440" s="1" t="s">
        <v>5640</v>
      </c>
      <c r="G440" s="1" t="s">
        <v>5641</v>
      </c>
    </row>
    <row r="441" spans="1:7">
      <c r="A441" s="1">
        <v>440</v>
      </c>
      <c r="B441" s="1" t="s">
        <v>5667</v>
      </c>
      <c r="D441" s="1" t="s">
        <v>5668</v>
      </c>
      <c r="E441" s="1" t="s">
        <v>2170</v>
      </c>
      <c r="F441" s="1" t="s">
        <v>5669</v>
      </c>
      <c r="G441" s="1" t="s">
        <v>5670</v>
      </c>
    </row>
    <row r="442" spans="1:7">
      <c r="A442" s="1">
        <v>441</v>
      </c>
      <c r="B442" s="1" t="s">
        <v>5671</v>
      </c>
      <c r="D442" s="1" t="s">
        <v>5668</v>
      </c>
      <c r="E442" s="1" t="s">
        <v>2174</v>
      </c>
      <c r="F442" s="1" t="s">
        <v>274</v>
      </c>
      <c r="G442" s="1" t="s">
        <v>275</v>
      </c>
    </row>
    <row r="443" spans="1:7">
      <c r="A443" s="1">
        <v>442</v>
      </c>
      <c r="B443" s="1" t="s">
        <v>5672</v>
      </c>
      <c r="D443" s="1" t="s">
        <v>5668</v>
      </c>
      <c r="E443" s="1" t="s">
        <v>2178</v>
      </c>
      <c r="F443" s="1" t="s">
        <v>278</v>
      </c>
      <c r="G443" s="1" t="s">
        <v>279</v>
      </c>
    </row>
    <row r="444" spans="1:7">
      <c r="A444" s="1">
        <v>443</v>
      </c>
      <c r="B444" s="1" t="s">
        <v>5673</v>
      </c>
      <c r="D444" s="1" t="s">
        <v>5668</v>
      </c>
      <c r="E444" s="1" t="s">
        <v>2182</v>
      </c>
      <c r="F444" s="1" t="s">
        <v>282</v>
      </c>
      <c r="G444" s="1" t="s">
        <v>283</v>
      </c>
    </row>
    <row r="445" spans="1:7">
      <c r="A445" s="1">
        <v>444</v>
      </c>
      <c r="B445" s="1" t="s">
        <v>5674</v>
      </c>
      <c r="D445" s="1" t="s">
        <v>5675</v>
      </c>
      <c r="E445" s="1" t="s">
        <v>5676</v>
      </c>
      <c r="F445" s="1" t="s">
        <v>5677</v>
      </c>
      <c r="G445" s="1" t="s">
        <v>5678</v>
      </c>
    </row>
    <row r="446" spans="1:7">
      <c r="A446" s="1">
        <v>445</v>
      </c>
      <c r="B446" s="1" t="s">
        <v>5679</v>
      </c>
      <c r="D446" s="1" t="s">
        <v>5675</v>
      </c>
      <c r="E446" s="1" t="s">
        <v>5680</v>
      </c>
      <c r="F446" s="1" t="s">
        <v>5681</v>
      </c>
      <c r="G446" s="1" t="s">
        <v>5682</v>
      </c>
    </row>
    <row r="447" spans="1:7">
      <c r="A447" s="1">
        <v>446</v>
      </c>
      <c r="B447" s="1" t="s">
        <v>5683</v>
      </c>
      <c r="D447" s="1" t="s">
        <v>5675</v>
      </c>
      <c r="E447" s="1" t="s">
        <v>5684</v>
      </c>
      <c r="F447" s="1" t="s">
        <v>5685</v>
      </c>
      <c r="G447" s="1" t="s">
        <v>5686</v>
      </c>
    </row>
    <row r="448" spans="1:7">
      <c r="A448" s="1">
        <v>447</v>
      </c>
      <c r="B448" s="1" t="s">
        <v>5687</v>
      </c>
      <c r="D448" s="1" t="s">
        <v>5675</v>
      </c>
      <c r="E448" s="1" t="s">
        <v>5688</v>
      </c>
      <c r="F448" s="1" t="s">
        <v>5689</v>
      </c>
      <c r="G448" s="1" t="s">
        <v>5690</v>
      </c>
    </row>
    <row r="449" spans="1:7">
      <c r="A449" s="1">
        <v>448</v>
      </c>
      <c r="B449" s="1" t="s">
        <v>5691</v>
      </c>
      <c r="D449" s="1" t="s">
        <v>5675</v>
      </c>
      <c r="E449" s="1" t="s">
        <v>5692</v>
      </c>
      <c r="F449" s="1" t="s">
        <v>5693</v>
      </c>
      <c r="G449" s="1" t="s">
        <v>5694</v>
      </c>
    </row>
    <row r="450" spans="1:7">
      <c r="A450" s="1">
        <v>449</v>
      </c>
      <c r="B450" s="1" t="s">
        <v>5695</v>
      </c>
      <c r="D450" s="1" t="s">
        <v>5675</v>
      </c>
      <c r="E450" s="1" t="s">
        <v>5696</v>
      </c>
      <c r="F450" s="1" t="s">
        <v>5697</v>
      </c>
      <c r="G450" s="1" t="s">
        <v>5698</v>
      </c>
    </row>
    <row r="451" spans="1:7">
      <c r="A451" s="1">
        <v>450</v>
      </c>
      <c r="B451" s="1" t="s">
        <v>5699</v>
      </c>
      <c r="D451" s="1" t="s">
        <v>5675</v>
      </c>
      <c r="E451" s="1" t="s">
        <v>5700</v>
      </c>
      <c r="F451" s="1" t="s">
        <v>5701</v>
      </c>
      <c r="G451" s="1" t="s">
        <v>5702</v>
      </c>
    </row>
    <row r="452" spans="1:7">
      <c r="A452" s="1">
        <v>451</v>
      </c>
      <c r="B452" s="1" t="s">
        <v>5703</v>
      </c>
      <c r="D452" s="1" t="s">
        <v>5675</v>
      </c>
      <c r="E452" s="1" t="s">
        <v>5704</v>
      </c>
      <c r="F452" s="1" t="s">
        <v>5705</v>
      </c>
      <c r="G452" s="1" t="s">
        <v>5706</v>
      </c>
    </row>
    <row r="453" spans="1:7">
      <c r="A453" s="1">
        <v>452</v>
      </c>
      <c r="B453" s="1" t="s">
        <v>5707</v>
      </c>
      <c r="D453" s="1" t="s">
        <v>5675</v>
      </c>
      <c r="E453" s="1" t="s">
        <v>5708</v>
      </c>
      <c r="F453" s="1" t="s">
        <v>5709</v>
      </c>
      <c r="G453" s="1" t="s">
        <v>5710</v>
      </c>
    </row>
    <row r="454" spans="1:7">
      <c r="A454" s="1">
        <v>453</v>
      </c>
      <c r="B454" s="1" t="s">
        <v>5711</v>
      </c>
      <c r="D454" s="1" t="s">
        <v>5675</v>
      </c>
      <c r="E454" s="1" t="s">
        <v>5712</v>
      </c>
      <c r="F454" s="1" t="s">
        <v>5713</v>
      </c>
      <c r="G454" s="1" t="s">
        <v>5714</v>
      </c>
    </row>
    <row r="455" spans="1:7">
      <c r="A455" s="1">
        <v>454</v>
      </c>
      <c r="B455" s="1" t="s">
        <v>5715</v>
      </c>
      <c r="D455" s="1" t="s">
        <v>5716</v>
      </c>
      <c r="E455" s="1" t="s">
        <v>5717</v>
      </c>
      <c r="F455" s="1" t="s">
        <v>1895</v>
      </c>
      <c r="G455" s="1" t="s">
        <v>1896</v>
      </c>
    </row>
    <row r="456" spans="1:7">
      <c r="A456" s="1">
        <v>455</v>
      </c>
      <c r="B456" s="1" t="s">
        <v>5718</v>
      </c>
      <c r="D456" s="1" t="s">
        <v>5716</v>
      </c>
      <c r="E456" s="1" t="s">
        <v>5719</v>
      </c>
      <c r="F456" s="1" t="s">
        <v>5720</v>
      </c>
      <c r="G456" s="1" t="s">
        <v>5721</v>
      </c>
    </row>
    <row r="457" spans="1:7">
      <c r="A457" s="1">
        <v>456</v>
      </c>
      <c r="B457" s="1" t="s">
        <v>5722</v>
      </c>
      <c r="D457" s="1" t="s">
        <v>5723</v>
      </c>
      <c r="E457" s="1" t="s">
        <v>5724</v>
      </c>
      <c r="F457" s="1" t="s">
        <v>5725</v>
      </c>
      <c r="G457" s="1" t="s">
        <v>5726</v>
      </c>
    </row>
    <row r="458" spans="1:7">
      <c r="A458" s="1">
        <v>457</v>
      </c>
      <c r="B458" s="1" t="s">
        <v>5727</v>
      </c>
      <c r="D458" s="1" t="s">
        <v>5723</v>
      </c>
      <c r="E458" s="1" t="s">
        <v>5728</v>
      </c>
      <c r="F458" s="1" t="s">
        <v>5729</v>
      </c>
      <c r="G458" s="1" t="s">
        <v>5730</v>
      </c>
    </row>
    <row r="459" spans="1:7">
      <c r="A459" s="1">
        <v>458</v>
      </c>
      <c r="B459" s="1" t="s">
        <v>5731</v>
      </c>
      <c r="D459" s="1" t="s">
        <v>5723</v>
      </c>
      <c r="E459" s="1" t="s">
        <v>5732</v>
      </c>
      <c r="F459" s="1" t="s">
        <v>5733</v>
      </c>
      <c r="G459" s="1" t="s">
        <v>5734</v>
      </c>
    </row>
    <row r="460" spans="1:7">
      <c r="A460" s="1">
        <v>459</v>
      </c>
      <c r="B460" s="1" t="s">
        <v>5735</v>
      </c>
      <c r="D460" s="1" t="s">
        <v>5723</v>
      </c>
      <c r="E460" s="1" t="s">
        <v>5736</v>
      </c>
      <c r="F460" s="1" t="s">
        <v>5737</v>
      </c>
      <c r="G460" s="1" t="s">
        <v>5738</v>
      </c>
    </row>
    <row r="461" spans="1:7">
      <c r="A461" s="1">
        <v>460</v>
      </c>
      <c r="B461" s="1" t="s">
        <v>5739</v>
      </c>
      <c r="D461" s="1" t="s">
        <v>5723</v>
      </c>
      <c r="E461" s="1" t="s">
        <v>5740</v>
      </c>
      <c r="F461" s="1" t="s">
        <v>5741</v>
      </c>
      <c r="G461" s="1" t="s">
        <v>5742</v>
      </c>
    </row>
    <row r="462" spans="1:7">
      <c r="A462" s="1">
        <v>461</v>
      </c>
      <c r="B462" s="1" t="s">
        <v>5743</v>
      </c>
      <c r="D462" s="1" t="s">
        <v>5723</v>
      </c>
      <c r="E462" s="1" t="s">
        <v>3485</v>
      </c>
      <c r="F462" s="1" t="s">
        <v>5744</v>
      </c>
      <c r="G462" s="1" t="s">
        <v>5745</v>
      </c>
    </row>
    <row r="463" spans="1:7">
      <c r="A463" s="1">
        <v>462</v>
      </c>
      <c r="B463" s="1" t="s">
        <v>5746</v>
      </c>
      <c r="D463" s="1" t="s">
        <v>5723</v>
      </c>
      <c r="E463" s="1" t="s">
        <v>5747</v>
      </c>
      <c r="F463" s="1" t="s">
        <v>5748</v>
      </c>
      <c r="G463" s="1" t="s">
        <v>5749</v>
      </c>
    </row>
    <row r="464" spans="1:7">
      <c r="A464" s="1">
        <v>463</v>
      </c>
      <c r="B464" s="1" t="s">
        <v>5750</v>
      </c>
      <c r="D464" s="1" t="s">
        <v>5723</v>
      </c>
      <c r="E464" s="1" t="s">
        <v>5751</v>
      </c>
      <c r="F464" s="1" t="s">
        <v>5752</v>
      </c>
      <c r="G464" s="1" t="s">
        <v>5753</v>
      </c>
    </row>
    <row r="465" spans="1:7">
      <c r="A465" s="1">
        <v>464</v>
      </c>
      <c r="B465" s="1" t="s">
        <v>5754</v>
      </c>
      <c r="D465" s="1" t="s">
        <v>5755</v>
      </c>
      <c r="E465" s="1" t="s">
        <v>3504</v>
      </c>
      <c r="F465" s="1" t="s">
        <v>5756</v>
      </c>
      <c r="G465" s="1" t="s">
        <v>5757</v>
      </c>
    </row>
    <row r="466" spans="1:7">
      <c r="A466" s="1">
        <v>465</v>
      </c>
      <c r="B466" s="1" t="s">
        <v>5758</v>
      </c>
      <c r="D466" s="1" t="s">
        <v>5755</v>
      </c>
      <c r="E466" s="1" t="s">
        <v>3503</v>
      </c>
      <c r="F466" s="1" t="s">
        <v>5759</v>
      </c>
      <c r="G466" s="1" t="s">
        <v>5760</v>
      </c>
    </row>
    <row r="467" spans="1:7">
      <c r="A467" s="1">
        <v>466</v>
      </c>
      <c r="B467" s="1" t="s">
        <v>5761</v>
      </c>
      <c r="D467" s="1" t="s">
        <v>5755</v>
      </c>
      <c r="E467" s="1" t="s">
        <v>3502</v>
      </c>
      <c r="F467" s="1" t="s">
        <v>5762</v>
      </c>
      <c r="G467" s="1" t="s">
        <v>5763</v>
      </c>
    </row>
    <row r="468" spans="1:7">
      <c r="A468" s="1">
        <v>467</v>
      </c>
      <c r="B468" s="1" t="s">
        <v>5764</v>
      </c>
      <c r="D468" s="1" t="s">
        <v>5755</v>
      </c>
      <c r="E468" s="1" t="s">
        <v>5765</v>
      </c>
      <c r="F468" s="1" t="s">
        <v>5766</v>
      </c>
      <c r="G468" s="1" t="s">
        <v>5767</v>
      </c>
    </row>
    <row r="469" spans="1:7">
      <c r="A469" s="1">
        <v>468</v>
      </c>
      <c r="B469" s="1" t="s">
        <v>5768</v>
      </c>
      <c r="D469" s="1" t="s">
        <v>5755</v>
      </c>
      <c r="E469" s="1" t="s">
        <v>5769</v>
      </c>
      <c r="F469" s="1" t="s">
        <v>5770</v>
      </c>
      <c r="G469" s="1" t="s">
        <v>5771</v>
      </c>
    </row>
    <row r="470" spans="1:7">
      <c r="A470" s="1">
        <v>469</v>
      </c>
      <c r="B470" s="1" t="s">
        <v>5772</v>
      </c>
      <c r="D470" s="1" t="s">
        <v>5755</v>
      </c>
      <c r="E470" s="1" t="s">
        <v>5773</v>
      </c>
      <c r="F470" s="1" t="s">
        <v>5774</v>
      </c>
      <c r="G470" s="1" t="s">
        <v>5775</v>
      </c>
    </row>
    <row r="471" spans="1:7">
      <c r="A471" s="1">
        <v>470</v>
      </c>
      <c r="B471" s="1" t="s">
        <v>5776</v>
      </c>
      <c r="D471" s="1" t="s">
        <v>5755</v>
      </c>
      <c r="E471" s="1" t="s">
        <v>3505</v>
      </c>
      <c r="F471" s="1" t="s">
        <v>5777</v>
      </c>
      <c r="G471" s="1" t="s">
        <v>5778</v>
      </c>
    </row>
    <row r="472" spans="1:7">
      <c r="A472" s="1">
        <v>471</v>
      </c>
      <c r="B472" s="1" t="s">
        <v>5779</v>
      </c>
      <c r="D472" s="1" t="s">
        <v>5755</v>
      </c>
      <c r="E472" s="1" t="s">
        <v>5780</v>
      </c>
      <c r="F472" s="1" t="s">
        <v>5781</v>
      </c>
      <c r="G472" s="1" t="s">
        <v>5782</v>
      </c>
    </row>
    <row r="473" spans="1:7">
      <c r="A473" s="1">
        <v>472</v>
      </c>
      <c r="B473" s="1" t="s">
        <v>5783</v>
      </c>
      <c r="D473" s="1" t="s">
        <v>5784</v>
      </c>
      <c r="E473" s="1" t="s">
        <v>3520</v>
      </c>
      <c r="F473" s="1" t="s">
        <v>5785</v>
      </c>
      <c r="G473" s="1" t="s">
        <v>5786</v>
      </c>
    </row>
    <row r="474" spans="1:7">
      <c r="A474" s="1">
        <v>473</v>
      </c>
      <c r="B474" s="1" t="s">
        <v>5787</v>
      </c>
      <c r="D474" s="1" t="s">
        <v>5784</v>
      </c>
      <c r="E474" s="1" t="s">
        <v>3518</v>
      </c>
      <c r="F474" s="1" t="s">
        <v>5788</v>
      </c>
      <c r="G474" s="1" t="s">
        <v>5789</v>
      </c>
    </row>
    <row r="475" spans="1:7">
      <c r="A475" s="1">
        <v>474</v>
      </c>
      <c r="B475" s="1" t="s">
        <v>5790</v>
      </c>
      <c r="D475" s="1" t="s">
        <v>5784</v>
      </c>
      <c r="E475" s="1" t="s">
        <v>3517</v>
      </c>
      <c r="F475" s="1" t="s">
        <v>5791</v>
      </c>
      <c r="G475" s="1" t="s">
        <v>5792</v>
      </c>
    </row>
    <row r="476" spans="1:7">
      <c r="A476" s="1">
        <v>475</v>
      </c>
      <c r="B476" s="1" t="s">
        <v>5793</v>
      </c>
      <c r="D476" s="1" t="s">
        <v>5784</v>
      </c>
      <c r="E476" s="1" t="s">
        <v>3519</v>
      </c>
      <c r="F476" s="1" t="s">
        <v>5794</v>
      </c>
      <c r="G476" s="1" t="s">
        <v>5795</v>
      </c>
    </row>
    <row r="477" spans="1:7">
      <c r="A477" s="1">
        <v>476</v>
      </c>
      <c r="B477" s="1" t="s">
        <v>5796</v>
      </c>
      <c r="D477" s="1" t="s">
        <v>5784</v>
      </c>
      <c r="E477" s="1" t="s">
        <v>3522</v>
      </c>
      <c r="F477" s="1" t="s">
        <v>5797</v>
      </c>
      <c r="G477" s="1" t="s">
        <v>5798</v>
      </c>
    </row>
    <row r="478" spans="1:7">
      <c r="A478" s="1">
        <v>477</v>
      </c>
      <c r="B478" s="1" t="s">
        <v>5799</v>
      </c>
      <c r="D478" s="1" t="s">
        <v>5784</v>
      </c>
      <c r="E478" s="1" t="s">
        <v>3524</v>
      </c>
      <c r="F478" s="1" t="s">
        <v>5800</v>
      </c>
      <c r="G478" s="1" t="s">
        <v>5801</v>
      </c>
    </row>
    <row r="479" spans="1:7">
      <c r="A479" s="1">
        <v>478</v>
      </c>
      <c r="B479" s="1" t="s">
        <v>5802</v>
      </c>
      <c r="D479" s="1" t="s">
        <v>5784</v>
      </c>
      <c r="E479" s="1" t="s">
        <v>3521</v>
      </c>
      <c r="F479" s="1" t="s">
        <v>5803</v>
      </c>
      <c r="G479" s="1" t="s">
        <v>5804</v>
      </c>
    </row>
    <row r="480" spans="1:7">
      <c r="A480" s="1">
        <v>479</v>
      </c>
      <c r="B480" s="1" t="s">
        <v>5805</v>
      </c>
      <c r="D480" s="1" t="s">
        <v>5784</v>
      </c>
      <c r="E480" s="1" t="s">
        <v>3523</v>
      </c>
      <c r="F480" s="1" t="s">
        <v>5806</v>
      </c>
      <c r="G480" s="1" t="s">
        <v>5807</v>
      </c>
    </row>
    <row r="481" spans="1:7">
      <c r="A481" s="1">
        <v>480</v>
      </c>
      <c r="B481" s="1" t="s">
        <v>5808</v>
      </c>
      <c r="D481" s="1" t="s">
        <v>5809</v>
      </c>
      <c r="E481" s="1" t="s">
        <v>5810</v>
      </c>
      <c r="F481" s="1" t="s">
        <v>5811</v>
      </c>
      <c r="G481" s="1" t="s">
        <v>5812</v>
      </c>
    </row>
    <row r="482" spans="1:7">
      <c r="A482" s="1">
        <v>481</v>
      </c>
      <c r="B482" s="1" t="s">
        <v>5813</v>
      </c>
      <c r="D482" s="1" t="s">
        <v>5809</v>
      </c>
      <c r="E482" s="1" t="s">
        <v>3536</v>
      </c>
      <c r="F482" s="1" t="s">
        <v>5814</v>
      </c>
      <c r="G482" s="1" t="s">
        <v>5815</v>
      </c>
    </row>
    <row r="483" spans="1:7">
      <c r="A483" s="1">
        <v>482</v>
      </c>
      <c r="B483" s="1" t="s">
        <v>5816</v>
      </c>
      <c r="D483" s="1" t="s">
        <v>5809</v>
      </c>
      <c r="E483" s="1" t="s">
        <v>3535</v>
      </c>
      <c r="F483" s="1" t="s">
        <v>5817</v>
      </c>
      <c r="G483" s="1" t="s">
        <v>5818</v>
      </c>
    </row>
    <row r="484" spans="1:7">
      <c r="A484" s="1">
        <v>483</v>
      </c>
      <c r="B484" s="1" t="s">
        <v>5819</v>
      </c>
      <c r="D484" s="1" t="s">
        <v>5809</v>
      </c>
      <c r="E484" s="1" t="s">
        <v>3537</v>
      </c>
      <c r="F484" s="1" t="s">
        <v>5820</v>
      </c>
      <c r="G484" s="1" t="s">
        <v>5821</v>
      </c>
    </row>
    <row r="485" spans="1:7">
      <c r="A485" s="1">
        <v>484</v>
      </c>
      <c r="B485" s="1" t="s">
        <v>5822</v>
      </c>
      <c r="D485" s="1" t="s">
        <v>5809</v>
      </c>
      <c r="E485" s="1" t="s">
        <v>5823</v>
      </c>
      <c r="F485" s="1" t="s">
        <v>5824</v>
      </c>
      <c r="G485" s="1" t="s">
        <v>5825</v>
      </c>
    </row>
    <row r="486" spans="1:7">
      <c r="A486" s="1">
        <v>485</v>
      </c>
      <c r="B486" s="1" t="s">
        <v>5826</v>
      </c>
      <c r="D486" s="1" t="s">
        <v>5809</v>
      </c>
      <c r="E486" s="1" t="s">
        <v>3539</v>
      </c>
      <c r="F486" s="1" t="s">
        <v>5827</v>
      </c>
      <c r="G486" s="1" t="s">
        <v>5828</v>
      </c>
    </row>
    <row r="487" spans="1:7">
      <c r="A487" s="1">
        <v>486</v>
      </c>
      <c r="B487" s="1" t="s">
        <v>5829</v>
      </c>
      <c r="D487" s="1" t="s">
        <v>5809</v>
      </c>
      <c r="E487" s="1" t="s">
        <v>5830</v>
      </c>
      <c r="F487" s="1" t="s">
        <v>5831</v>
      </c>
      <c r="G487" s="1" t="s">
        <v>5832</v>
      </c>
    </row>
    <row r="488" spans="1:7">
      <c r="A488" s="1">
        <v>487</v>
      </c>
      <c r="B488" s="1" t="s">
        <v>5833</v>
      </c>
      <c r="D488" s="1" t="s">
        <v>5809</v>
      </c>
      <c r="E488" s="1" t="s">
        <v>3538</v>
      </c>
      <c r="F488" s="1" t="s">
        <v>5834</v>
      </c>
      <c r="G488" s="1" t="s">
        <v>5835</v>
      </c>
    </row>
    <row r="489" spans="1:7">
      <c r="A489" s="1">
        <v>488</v>
      </c>
      <c r="B489" s="1" t="s">
        <v>5836</v>
      </c>
      <c r="D489" s="1" t="s">
        <v>5837</v>
      </c>
      <c r="E489" s="1" t="s">
        <v>5838</v>
      </c>
      <c r="F489" s="1" t="s">
        <v>5839</v>
      </c>
      <c r="G489" s="1" t="s">
        <v>5840</v>
      </c>
    </row>
    <row r="490" spans="1:7">
      <c r="A490" s="1">
        <v>489</v>
      </c>
      <c r="B490" s="1" t="s">
        <v>5841</v>
      </c>
      <c r="D490" s="1" t="s">
        <v>5837</v>
      </c>
      <c r="E490" s="1" t="s">
        <v>5842</v>
      </c>
      <c r="F490" s="1" t="s">
        <v>5843</v>
      </c>
      <c r="G490" s="1" t="s">
        <v>5844</v>
      </c>
    </row>
    <row r="491" spans="1:7">
      <c r="A491" s="1">
        <v>490</v>
      </c>
      <c r="B491" s="1" t="s">
        <v>5845</v>
      </c>
      <c r="D491" s="1" t="s">
        <v>5837</v>
      </c>
      <c r="E491" s="1" t="s">
        <v>5846</v>
      </c>
      <c r="F491" s="1" t="s">
        <v>5847</v>
      </c>
      <c r="G491" s="1" t="s">
        <v>5848</v>
      </c>
    </row>
    <row r="492" spans="1:7">
      <c r="A492" s="1">
        <v>491</v>
      </c>
      <c r="B492" s="1" t="s">
        <v>5849</v>
      </c>
      <c r="D492" s="1" t="s">
        <v>5837</v>
      </c>
      <c r="E492" s="1" t="s">
        <v>5850</v>
      </c>
      <c r="F492" s="1" t="s">
        <v>5851</v>
      </c>
      <c r="G492" s="1" t="s">
        <v>5852</v>
      </c>
    </row>
    <row r="493" spans="1:7">
      <c r="A493" s="1">
        <v>492</v>
      </c>
      <c r="B493" s="1" t="s">
        <v>5853</v>
      </c>
      <c r="D493" s="1" t="s">
        <v>5837</v>
      </c>
      <c r="E493" s="1" t="s">
        <v>5854</v>
      </c>
      <c r="F493" s="1" t="s">
        <v>5855</v>
      </c>
      <c r="G493" s="1" t="s">
        <v>5856</v>
      </c>
    </row>
    <row r="494" spans="1:7">
      <c r="A494" s="1">
        <v>493</v>
      </c>
      <c r="B494" s="1" t="s">
        <v>5857</v>
      </c>
      <c r="D494" s="1" t="s">
        <v>5837</v>
      </c>
      <c r="E494" s="1" t="s">
        <v>3557</v>
      </c>
      <c r="F494" s="1" t="s">
        <v>5858</v>
      </c>
      <c r="G494" s="1" t="s">
        <v>5859</v>
      </c>
    </row>
    <row r="495" spans="1:7">
      <c r="A495" s="1">
        <v>494</v>
      </c>
      <c r="B495" s="1" t="s">
        <v>5860</v>
      </c>
      <c r="D495" s="1" t="s">
        <v>5837</v>
      </c>
      <c r="E495" s="1" t="s">
        <v>5861</v>
      </c>
      <c r="F495" s="1" t="s">
        <v>5862</v>
      </c>
      <c r="G495" s="1" t="s">
        <v>5863</v>
      </c>
    </row>
    <row r="496" spans="1:7">
      <c r="A496" s="1">
        <v>495</v>
      </c>
      <c r="B496" s="1" t="s">
        <v>5864</v>
      </c>
      <c r="D496" s="1" t="s">
        <v>5837</v>
      </c>
      <c r="E496" s="1" t="s">
        <v>5865</v>
      </c>
      <c r="F496" s="1" t="s">
        <v>5866</v>
      </c>
      <c r="G496" s="1" t="s">
        <v>5867</v>
      </c>
    </row>
    <row r="497" spans="1:7">
      <c r="A497" s="1">
        <v>496</v>
      </c>
      <c r="B497" s="1" t="s">
        <v>5868</v>
      </c>
      <c r="D497" s="1" t="s">
        <v>5869</v>
      </c>
      <c r="E497" s="1" t="s">
        <v>5870</v>
      </c>
      <c r="F497" s="1" t="s">
        <v>5871</v>
      </c>
      <c r="G497" s="1" t="s">
        <v>5872</v>
      </c>
    </row>
    <row r="498" spans="1:7">
      <c r="A498" s="1">
        <v>497</v>
      </c>
      <c r="B498" s="1" t="s">
        <v>5873</v>
      </c>
      <c r="D498" s="1" t="s">
        <v>5869</v>
      </c>
      <c r="E498" s="1" t="s">
        <v>5874</v>
      </c>
      <c r="F498" s="1" t="s">
        <v>5875</v>
      </c>
      <c r="G498" s="1" t="s">
        <v>5876</v>
      </c>
    </row>
    <row r="499" spans="1:7">
      <c r="A499" s="1">
        <v>498</v>
      </c>
      <c r="B499" s="1" t="s">
        <v>5877</v>
      </c>
      <c r="D499" s="1" t="s">
        <v>5869</v>
      </c>
      <c r="E499" s="1" t="s">
        <v>5878</v>
      </c>
      <c r="F499" s="1" t="s">
        <v>5879</v>
      </c>
      <c r="G499" s="1" t="s">
        <v>5880</v>
      </c>
    </row>
    <row r="500" spans="1:7">
      <c r="A500" s="1">
        <v>499</v>
      </c>
      <c r="B500" s="1" t="s">
        <v>5881</v>
      </c>
      <c r="D500" s="1" t="s">
        <v>5869</v>
      </c>
      <c r="E500" s="1" t="s">
        <v>5882</v>
      </c>
      <c r="F500" s="1" t="s">
        <v>5883</v>
      </c>
      <c r="G500" s="1" t="s">
        <v>5884</v>
      </c>
    </row>
    <row r="501" spans="1:7">
      <c r="A501" s="1">
        <v>500</v>
      </c>
      <c r="B501" s="1" t="s">
        <v>5885</v>
      </c>
      <c r="D501" s="1" t="s">
        <v>5869</v>
      </c>
      <c r="E501" s="1" t="s">
        <v>5886</v>
      </c>
      <c r="F501" s="1" t="s">
        <v>5887</v>
      </c>
      <c r="G501" s="1" t="s">
        <v>5888</v>
      </c>
    </row>
    <row r="502" spans="1:7">
      <c r="A502" s="1">
        <v>501</v>
      </c>
      <c r="B502" s="1" t="s">
        <v>5889</v>
      </c>
      <c r="D502" s="1" t="s">
        <v>5869</v>
      </c>
      <c r="E502" s="1" t="s">
        <v>5890</v>
      </c>
      <c r="F502" s="1" t="s">
        <v>5891</v>
      </c>
      <c r="G502" s="1" t="s">
        <v>5892</v>
      </c>
    </row>
    <row r="503" spans="1:7">
      <c r="A503" s="1">
        <v>502</v>
      </c>
      <c r="B503" s="1" t="s">
        <v>5893</v>
      </c>
      <c r="D503" s="1" t="s">
        <v>5869</v>
      </c>
      <c r="E503" s="1" t="s">
        <v>5894</v>
      </c>
      <c r="F503" s="1" t="s">
        <v>5895</v>
      </c>
      <c r="G503" s="1" t="s">
        <v>5896</v>
      </c>
    </row>
    <row r="504" spans="1:7">
      <c r="A504" s="1">
        <v>503</v>
      </c>
      <c r="B504" s="1" t="s">
        <v>5897</v>
      </c>
      <c r="D504" s="1" t="s">
        <v>5869</v>
      </c>
      <c r="E504" s="1" t="s">
        <v>5898</v>
      </c>
      <c r="F504" s="1" t="s">
        <v>5899</v>
      </c>
      <c r="G504" s="1" t="s">
        <v>5900</v>
      </c>
    </row>
    <row r="505" spans="1:7">
      <c r="A505" s="1">
        <v>504</v>
      </c>
      <c r="B505" s="1" t="s">
        <v>5901</v>
      </c>
      <c r="D505" s="1" t="s">
        <v>5902</v>
      </c>
      <c r="E505" s="1" t="s">
        <v>5903</v>
      </c>
      <c r="F505" s="1" t="s">
        <v>5904</v>
      </c>
      <c r="G505" s="1" t="s">
        <v>5905</v>
      </c>
    </row>
    <row r="506" spans="1:7">
      <c r="A506" s="1">
        <v>505</v>
      </c>
      <c r="B506" s="1" t="s">
        <v>5906</v>
      </c>
      <c r="D506" s="1" t="s">
        <v>5902</v>
      </c>
      <c r="E506" s="1" t="s">
        <v>5907</v>
      </c>
      <c r="F506" s="1" t="s">
        <v>5871</v>
      </c>
      <c r="G506" s="1" t="s">
        <v>5872</v>
      </c>
    </row>
    <row r="507" spans="1:7">
      <c r="A507" s="1">
        <v>506</v>
      </c>
      <c r="B507" s="1" t="s">
        <v>5908</v>
      </c>
      <c r="D507" s="1" t="s">
        <v>5902</v>
      </c>
      <c r="E507" s="1" t="s">
        <v>5909</v>
      </c>
      <c r="F507" s="1" t="s">
        <v>5875</v>
      </c>
      <c r="G507" s="1" t="s">
        <v>5876</v>
      </c>
    </row>
    <row r="508" spans="1:7">
      <c r="A508" s="1">
        <v>507</v>
      </c>
      <c r="B508" s="1" t="s">
        <v>5910</v>
      </c>
      <c r="D508" s="1" t="s">
        <v>5902</v>
      </c>
      <c r="E508" s="1" t="s">
        <v>5911</v>
      </c>
      <c r="F508" s="1" t="s">
        <v>5879</v>
      </c>
      <c r="G508" s="1" t="s">
        <v>5880</v>
      </c>
    </row>
    <row r="509" spans="1:7">
      <c r="A509" s="1">
        <v>508</v>
      </c>
      <c r="B509" s="1" t="s">
        <v>5912</v>
      </c>
      <c r="D509" s="1" t="s">
        <v>5902</v>
      </c>
      <c r="E509" s="1" t="s">
        <v>5913</v>
      </c>
      <c r="F509" s="1" t="s">
        <v>5883</v>
      </c>
      <c r="G509" s="1" t="s">
        <v>5884</v>
      </c>
    </row>
    <row r="510" spans="1:7">
      <c r="A510" s="1">
        <v>509</v>
      </c>
      <c r="B510" s="1" t="s">
        <v>5914</v>
      </c>
      <c r="D510" s="1" t="s">
        <v>5902</v>
      </c>
      <c r="E510" s="1" t="s">
        <v>5915</v>
      </c>
      <c r="F510" s="1" t="s">
        <v>5887</v>
      </c>
      <c r="G510" s="1" t="s">
        <v>5888</v>
      </c>
    </row>
    <row r="511" spans="1:7">
      <c r="A511" s="1">
        <v>510</v>
      </c>
      <c r="B511" s="1" t="s">
        <v>5916</v>
      </c>
      <c r="D511" s="1" t="s">
        <v>5902</v>
      </c>
      <c r="E511" s="1" t="s">
        <v>5917</v>
      </c>
      <c r="F511" s="1" t="s">
        <v>5891</v>
      </c>
      <c r="G511" s="1" t="s">
        <v>5892</v>
      </c>
    </row>
    <row r="512" spans="1:7">
      <c r="A512" s="1">
        <v>511</v>
      </c>
      <c r="B512" s="1" t="s">
        <v>5918</v>
      </c>
      <c r="D512" s="1" t="s">
        <v>5902</v>
      </c>
      <c r="E512" s="1" t="s">
        <v>5919</v>
      </c>
      <c r="F512" s="1" t="s">
        <v>5895</v>
      </c>
      <c r="G512" s="1" t="s">
        <v>5896</v>
      </c>
    </row>
    <row r="513" spans="1:7">
      <c r="A513" s="1">
        <v>512</v>
      </c>
      <c r="B513" s="1" t="s">
        <v>5920</v>
      </c>
      <c r="D513" s="1" t="s">
        <v>5902</v>
      </c>
      <c r="E513" s="1" t="s">
        <v>5921</v>
      </c>
      <c r="F513" s="1" t="s">
        <v>5899</v>
      </c>
      <c r="G513" s="1" t="s">
        <v>5900</v>
      </c>
    </row>
    <row r="514" spans="1:7">
      <c r="A514" s="1">
        <v>513</v>
      </c>
      <c r="B514" s="1" t="s">
        <v>5922</v>
      </c>
      <c r="D514" s="1" t="s">
        <v>5923</v>
      </c>
      <c r="E514" s="1" t="s">
        <v>5924</v>
      </c>
      <c r="F514" s="1" t="s">
        <v>5871</v>
      </c>
      <c r="G514" s="1" t="s">
        <v>5872</v>
      </c>
    </row>
    <row r="515" spans="1:7">
      <c r="A515" s="1">
        <v>514</v>
      </c>
      <c r="B515" s="1" t="s">
        <v>5925</v>
      </c>
      <c r="D515" s="1" t="s">
        <v>5923</v>
      </c>
      <c r="E515" s="1" t="s">
        <v>5926</v>
      </c>
      <c r="F515" s="1" t="s">
        <v>5875</v>
      </c>
      <c r="G515" s="1" t="s">
        <v>5876</v>
      </c>
    </row>
    <row r="516" spans="1:7">
      <c r="A516" s="1">
        <v>515</v>
      </c>
      <c r="B516" s="1" t="s">
        <v>5927</v>
      </c>
      <c r="D516" s="1" t="s">
        <v>5923</v>
      </c>
      <c r="E516" s="1" t="s">
        <v>5928</v>
      </c>
      <c r="F516" s="1" t="s">
        <v>5879</v>
      </c>
      <c r="G516" s="1" t="s">
        <v>5880</v>
      </c>
    </row>
    <row r="517" spans="1:7">
      <c r="A517" s="1">
        <v>516</v>
      </c>
      <c r="B517" s="1" t="s">
        <v>5929</v>
      </c>
      <c r="D517" s="1" t="s">
        <v>5923</v>
      </c>
      <c r="E517" s="1" t="s">
        <v>5930</v>
      </c>
      <c r="F517" s="1" t="s">
        <v>5883</v>
      </c>
      <c r="G517" s="1" t="s">
        <v>5884</v>
      </c>
    </row>
    <row r="518" spans="1:7">
      <c r="A518" s="1">
        <v>517</v>
      </c>
      <c r="B518" s="1" t="s">
        <v>5931</v>
      </c>
      <c r="D518" s="1" t="s">
        <v>5923</v>
      </c>
      <c r="E518" s="1" t="s">
        <v>5932</v>
      </c>
      <c r="F518" s="1" t="s">
        <v>5887</v>
      </c>
      <c r="G518" s="1" t="s">
        <v>5888</v>
      </c>
    </row>
    <row r="519" spans="1:7">
      <c r="A519" s="1">
        <v>518</v>
      </c>
      <c r="B519" s="1" t="s">
        <v>5933</v>
      </c>
      <c r="D519" s="1" t="s">
        <v>5923</v>
      </c>
      <c r="E519" s="1" t="s">
        <v>5934</v>
      </c>
      <c r="F519" s="1" t="s">
        <v>5891</v>
      </c>
      <c r="G519" s="1" t="s">
        <v>5892</v>
      </c>
    </row>
    <row r="520" spans="1:7">
      <c r="A520" s="1">
        <v>519</v>
      </c>
      <c r="B520" s="1" t="s">
        <v>5935</v>
      </c>
      <c r="D520" s="1" t="s">
        <v>5923</v>
      </c>
      <c r="E520" s="1" t="s">
        <v>5936</v>
      </c>
      <c r="F520" s="1" t="s">
        <v>5895</v>
      </c>
      <c r="G520" s="1" t="s">
        <v>5896</v>
      </c>
    </row>
    <row r="521" spans="1:7">
      <c r="A521" s="1">
        <v>520</v>
      </c>
      <c r="B521" s="1" t="s">
        <v>5937</v>
      </c>
      <c r="D521" s="1" t="s">
        <v>5923</v>
      </c>
      <c r="E521" s="1" t="s">
        <v>5938</v>
      </c>
      <c r="F521" s="1" t="s">
        <v>5899</v>
      </c>
      <c r="G521" s="1" t="s">
        <v>5900</v>
      </c>
    </row>
    <row r="522" spans="1:7">
      <c r="A522" s="1">
        <v>521</v>
      </c>
      <c r="B522" s="1" t="s">
        <v>5939</v>
      </c>
      <c r="D522" s="1" t="s">
        <v>5940</v>
      </c>
      <c r="E522" s="1" t="s">
        <v>1684</v>
      </c>
      <c r="F522" s="1" t="s">
        <v>5941</v>
      </c>
      <c r="G522" s="1" t="s">
        <v>5942</v>
      </c>
    </row>
    <row r="523" spans="1:7">
      <c r="A523" s="1">
        <v>522</v>
      </c>
      <c r="B523" s="1" t="s">
        <v>5943</v>
      </c>
      <c r="D523" s="1" t="s">
        <v>5940</v>
      </c>
      <c r="E523" s="1" t="s">
        <v>1685</v>
      </c>
      <c r="F523" s="1" t="s">
        <v>5944</v>
      </c>
      <c r="G523" s="1" t="s">
        <v>5945</v>
      </c>
    </row>
    <row r="524" spans="1:7">
      <c r="A524" s="1">
        <v>523</v>
      </c>
      <c r="B524" s="1" t="s">
        <v>5946</v>
      </c>
      <c r="D524" s="1" t="s">
        <v>5947</v>
      </c>
      <c r="E524" s="1" t="s">
        <v>5948</v>
      </c>
      <c r="F524" s="1" t="s">
        <v>5949</v>
      </c>
      <c r="G524" s="1" t="s">
        <v>5950</v>
      </c>
    </row>
    <row r="525" spans="1:7">
      <c r="A525" s="1">
        <v>524</v>
      </c>
      <c r="B525" s="1" t="s">
        <v>5951</v>
      </c>
      <c r="D525" s="1" t="s">
        <v>5952</v>
      </c>
      <c r="E525" s="1" t="s">
        <v>5953</v>
      </c>
      <c r="F525" s="1" t="s">
        <v>5954</v>
      </c>
      <c r="G525" s="1" t="s">
        <v>5955</v>
      </c>
    </row>
    <row r="526" spans="1:7">
      <c r="A526" s="1">
        <v>525</v>
      </c>
      <c r="B526" s="1" t="s">
        <v>5956</v>
      </c>
      <c r="D526" s="1" t="s">
        <v>5952</v>
      </c>
      <c r="E526" s="1" t="s">
        <v>5957</v>
      </c>
      <c r="F526" s="1" t="s">
        <v>5958</v>
      </c>
      <c r="G526" s="1" t="s">
        <v>5959</v>
      </c>
    </row>
    <row r="527" spans="1:7">
      <c r="A527" s="1">
        <v>526</v>
      </c>
      <c r="B527" s="1" t="s">
        <v>5960</v>
      </c>
      <c r="D527" s="1" t="s">
        <v>5961</v>
      </c>
      <c r="E527" s="1" t="s">
        <v>5962</v>
      </c>
      <c r="F527" s="1" t="s">
        <v>5963</v>
      </c>
      <c r="G527" s="1" t="s">
        <v>5964</v>
      </c>
    </row>
    <row r="528" spans="1:7">
      <c r="A528" s="1">
        <v>527</v>
      </c>
      <c r="B528" s="1" t="s">
        <v>5965</v>
      </c>
      <c r="D528" s="1" t="s">
        <v>5961</v>
      </c>
      <c r="E528" s="1" t="s">
        <v>5966</v>
      </c>
      <c r="F528" s="1" t="s">
        <v>5967</v>
      </c>
      <c r="G528" s="1" t="s">
        <v>5968</v>
      </c>
    </row>
    <row r="529" spans="1:7">
      <c r="A529" s="1">
        <v>528</v>
      </c>
      <c r="B529" s="1" t="s">
        <v>5969</v>
      </c>
      <c r="D529" s="1" t="s">
        <v>5961</v>
      </c>
      <c r="E529" s="1" t="s">
        <v>5970</v>
      </c>
      <c r="F529" s="1" t="s">
        <v>5971</v>
      </c>
      <c r="G529" s="1" t="s">
        <v>5972</v>
      </c>
    </row>
    <row r="530" spans="1:7">
      <c r="A530" s="1">
        <v>529</v>
      </c>
      <c r="B530" s="1" t="s">
        <v>5973</v>
      </c>
      <c r="D530" s="1" t="s">
        <v>5961</v>
      </c>
      <c r="E530" s="1" t="s">
        <v>5974</v>
      </c>
      <c r="F530" s="1" t="s">
        <v>5975</v>
      </c>
      <c r="G530" s="1" t="s">
        <v>5976</v>
      </c>
    </row>
    <row r="531" spans="1:7">
      <c r="A531" s="1">
        <v>530</v>
      </c>
      <c r="B531" s="1" t="s">
        <v>5977</v>
      </c>
      <c r="D531" s="1" t="s">
        <v>5961</v>
      </c>
      <c r="E531" s="1" t="s">
        <v>5978</v>
      </c>
      <c r="F531" s="1" t="s">
        <v>5979</v>
      </c>
      <c r="G531" s="1" t="s">
        <v>5980</v>
      </c>
    </row>
    <row r="532" spans="1:7">
      <c r="A532" s="1">
        <v>531</v>
      </c>
      <c r="B532" s="1" t="s">
        <v>5981</v>
      </c>
      <c r="D532" s="1" t="s">
        <v>5982</v>
      </c>
      <c r="E532" s="1" t="s">
        <v>5983</v>
      </c>
      <c r="F532" s="1" t="s">
        <v>5984</v>
      </c>
      <c r="G532" s="1" t="s">
        <v>5985</v>
      </c>
    </row>
    <row r="533" spans="1:7">
      <c r="A533" s="1">
        <v>532</v>
      </c>
      <c r="B533" s="1" t="s">
        <v>5986</v>
      </c>
      <c r="D533" s="1" t="s">
        <v>5982</v>
      </c>
      <c r="E533" s="1" t="s">
        <v>5987</v>
      </c>
      <c r="F533" s="1" t="s">
        <v>5988</v>
      </c>
      <c r="G533" s="1" t="s">
        <v>5989</v>
      </c>
    </row>
    <row r="534" spans="1:7">
      <c r="A534" s="1">
        <v>533</v>
      </c>
      <c r="B534" s="1" t="s">
        <v>5990</v>
      </c>
      <c r="D534" s="1" t="s">
        <v>5982</v>
      </c>
      <c r="E534" s="1" t="s">
        <v>5991</v>
      </c>
      <c r="F534" s="1" t="s">
        <v>5992</v>
      </c>
      <c r="G534" s="1" t="s">
        <v>5993</v>
      </c>
    </row>
    <row r="535" spans="1:7">
      <c r="A535" s="1">
        <v>534</v>
      </c>
      <c r="B535" s="1" t="s">
        <v>5994</v>
      </c>
      <c r="D535" s="1" t="s">
        <v>5982</v>
      </c>
      <c r="E535" s="1" t="s">
        <v>5995</v>
      </c>
      <c r="F535" s="1" t="s">
        <v>5996</v>
      </c>
      <c r="G535" s="1" t="s">
        <v>5997</v>
      </c>
    </row>
    <row r="536" spans="1:7">
      <c r="A536" s="1">
        <v>535</v>
      </c>
      <c r="B536" s="1" t="s">
        <v>5998</v>
      </c>
      <c r="D536" s="1" t="s">
        <v>5982</v>
      </c>
      <c r="E536" s="1" t="s">
        <v>5999</v>
      </c>
      <c r="F536" s="1" t="s">
        <v>6000</v>
      </c>
      <c r="G536" s="1" t="s">
        <v>6001</v>
      </c>
    </row>
    <row r="537" spans="1:7">
      <c r="A537" s="1">
        <v>536</v>
      </c>
      <c r="B537" s="1" t="s">
        <v>6002</v>
      </c>
      <c r="D537" s="1" t="s">
        <v>5982</v>
      </c>
      <c r="E537" s="1" t="s">
        <v>6003</v>
      </c>
      <c r="F537" s="1" t="s">
        <v>6004</v>
      </c>
      <c r="G537" s="1" t="s">
        <v>6005</v>
      </c>
    </row>
    <row r="538" spans="1:7">
      <c r="A538" s="1">
        <v>537</v>
      </c>
      <c r="B538" s="1" t="s">
        <v>6006</v>
      </c>
      <c r="D538" s="1" t="s">
        <v>5982</v>
      </c>
      <c r="E538" s="1" t="s">
        <v>6007</v>
      </c>
      <c r="F538" s="1" t="s">
        <v>6008</v>
      </c>
      <c r="G538" s="1" t="s">
        <v>6009</v>
      </c>
    </row>
    <row r="539" spans="1:7">
      <c r="A539" s="1">
        <v>538</v>
      </c>
      <c r="B539" s="1" t="s">
        <v>6010</v>
      </c>
      <c r="D539" s="1" t="s">
        <v>5982</v>
      </c>
      <c r="E539" s="1" t="s">
        <v>6011</v>
      </c>
      <c r="F539" s="1" t="s">
        <v>6012</v>
      </c>
      <c r="G539" s="1" t="s">
        <v>6013</v>
      </c>
    </row>
    <row r="540" spans="1:7">
      <c r="A540" s="1">
        <v>539</v>
      </c>
      <c r="B540" s="1" t="s">
        <v>6014</v>
      </c>
      <c r="D540" s="1" t="s">
        <v>6015</v>
      </c>
      <c r="E540" s="1" t="s">
        <v>1688</v>
      </c>
      <c r="F540" s="1" t="s">
        <v>6016</v>
      </c>
      <c r="G540" s="1" t="s">
        <v>6017</v>
      </c>
    </row>
    <row r="541" spans="1:7">
      <c r="A541" s="1">
        <v>540</v>
      </c>
      <c r="B541" s="1" t="s">
        <v>6018</v>
      </c>
      <c r="D541" s="1" t="s">
        <v>6019</v>
      </c>
      <c r="E541" s="1" t="s">
        <v>6020</v>
      </c>
      <c r="F541" s="1" t="s">
        <v>6021</v>
      </c>
      <c r="G541" s="1" t="s">
        <v>6022</v>
      </c>
    </row>
    <row r="542" spans="1:7">
      <c r="A542" s="1">
        <v>541</v>
      </c>
      <c r="B542" s="1" t="s">
        <v>6023</v>
      </c>
      <c r="D542" s="1" t="s">
        <v>6019</v>
      </c>
      <c r="E542" s="1" t="s">
        <v>6024</v>
      </c>
      <c r="F542" s="1" t="s">
        <v>6025</v>
      </c>
      <c r="G542" s="1" t="s">
        <v>6026</v>
      </c>
    </row>
    <row r="543" spans="1:7">
      <c r="A543" s="1">
        <v>542</v>
      </c>
      <c r="B543" s="1" t="s">
        <v>6027</v>
      </c>
      <c r="D543" s="1" t="s">
        <v>6028</v>
      </c>
      <c r="E543" s="1" t="s">
        <v>6029</v>
      </c>
      <c r="F543" s="1" t="s">
        <v>6030</v>
      </c>
      <c r="G543" s="1" t="s">
        <v>6031</v>
      </c>
    </row>
    <row r="544" spans="1:7">
      <c r="A544" s="1">
        <v>543</v>
      </c>
      <c r="B544" s="1" t="s">
        <v>6032</v>
      </c>
      <c r="D544" s="1" t="s">
        <v>6028</v>
      </c>
      <c r="E544" s="1" t="s">
        <v>6033</v>
      </c>
      <c r="F544" s="1" t="s">
        <v>6034</v>
      </c>
      <c r="G544" s="1" t="s">
        <v>6035</v>
      </c>
    </row>
    <row r="545" spans="1:7">
      <c r="A545" s="1">
        <v>544</v>
      </c>
      <c r="B545" s="1" t="s">
        <v>6036</v>
      </c>
      <c r="D545" s="1" t="s">
        <v>6028</v>
      </c>
      <c r="E545" s="1" t="s">
        <v>6037</v>
      </c>
      <c r="F545" s="1" t="s">
        <v>6038</v>
      </c>
      <c r="G545" s="1" t="s">
        <v>6039</v>
      </c>
    </row>
    <row r="546" spans="1:7">
      <c r="A546" s="1">
        <v>545</v>
      </c>
      <c r="B546" s="1" t="s">
        <v>6040</v>
      </c>
      <c r="D546" s="1" t="s">
        <v>6028</v>
      </c>
      <c r="E546" s="1" t="s">
        <v>6041</v>
      </c>
      <c r="F546" s="1" t="s">
        <v>6042</v>
      </c>
      <c r="G546" s="1" t="s">
        <v>6043</v>
      </c>
    </row>
    <row r="547" spans="1:7">
      <c r="A547" s="1">
        <v>546</v>
      </c>
      <c r="B547" s="1" t="s">
        <v>6044</v>
      </c>
      <c r="D547" s="1" t="s">
        <v>6028</v>
      </c>
      <c r="E547" s="1" t="s">
        <v>6045</v>
      </c>
      <c r="F547" s="1" t="s">
        <v>6046</v>
      </c>
      <c r="G547" s="1" t="s">
        <v>6047</v>
      </c>
    </row>
    <row r="548" spans="1:7">
      <c r="A548" s="1">
        <v>547</v>
      </c>
      <c r="B548" s="1" t="s">
        <v>6048</v>
      </c>
      <c r="D548" s="1" t="s">
        <v>6028</v>
      </c>
      <c r="E548" s="1" t="s">
        <v>6049</v>
      </c>
      <c r="F548" s="1" t="s">
        <v>6050</v>
      </c>
      <c r="G548" s="1" t="s">
        <v>6051</v>
      </c>
    </row>
    <row r="549" spans="1:7">
      <c r="A549" s="1">
        <v>548</v>
      </c>
      <c r="B549" s="1" t="s">
        <v>6052</v>
      </c>
      <c r="D549" s="1" t="s">
        <v>6028</v>
      </c>
      <c r="E549" s="1" t="s">
        <v>6053</v>
      </c>
      <c r="F549" s="1" t="s">
        <v>6054</v>
      </c>
      <c r="G549" s="1" t="s">
        <v>6055</v>
      </c>
    </row>
    <row r="550" spans="1:7">
      <c r="A550" s="1">
        <v>549</v>
      </c>
      <c r="B550" s="1" t="s">
        <v>6056</v>
      </c>
      <c r="D550" s="1" t="s">
        <v>6028</v>
      </c>
      <c r="E550" s="1" t="s">
        <v>6057</v>
      </c>
      <c r="F550" s="1" t="s">
        <v>6058</v>
      </c>
      <c r="G550" s="1" t="s">
        <v>6059</v>
      </c>
    </row>
    <row r="551" spans="1:7">
      <c r="A551" s="1">
        <v>550</v>
      </c>
      <c r="B551" s="1" t="s">
        <v>6060</v>
      </c>
      <c r="D551" s="1" t="s">
        <v>6028</v>
      </c>
      <c r="E551" s="1" t="s">
        <v>6061</v>
      </c>
      <c r="F551" s="1" t="s">
        <v>6062</v>
      </c>
      <c r="G551" s="1" t="s">
        <v>6063</v>
      </c>
    </row>
    <row r="552" spans="1:7">
      <c r="A552" s="1">
        <v>551</v>
      </c>
      <c r="B552" s="1" t="s">
        <v>6064</v>
      </c>
      <c r="D552" s="1" t="s">
        <v>6028</v>
      </c>
      <c r="E552" s="1" t="s">
        <v>6065</v>
      </c>
      <c r="F552" s="1" t="s">
        <v>6066</v>
      </c>
      <c r="G552" s="1" t="s">
        <v>6067</v>
      </c>
    </row>
    <row r="553" spans="1:7">
      <c r="A553" s="1">
        <v>552</v>
      </c>
      <c r="B553" s="1" t="s">
        <v>6068</v>
      </c>
      <c r="D553" s="1" t="s">
        <v>6028</v>
      </c>
      <c r="E553" s="1" t="s">
        <v>6069</v>
      </c>
      <c r="F553" s="1" t="s">
        <v>6070</v>
      </c>
      <c r="G553" s="1" t="s">
        <v>6071</v>
      </c>
    </row>
    <row r="554" spans="1:7">
      <c r="A554" s="1">
        <v>553</v>
      </c>
      <c r="B554" s="1" t="s">
        <v>6072</v>
      </c>
      <c r="D554" s="1" t="s">
        <v>6028</v>
      </c>
      <c r="E554" s="1" t="s">
        <v>6073</v>
      </c>
      <c r="F554" s="1" t="s">
        <v>6074</v>
      </c>
      <c r="G554" s="1" t="s">
        <v>6075</v>
      </c>
    </row>
    <row r="555" spans="1:7">
      <c r="A555" s="1">
        <v>554</v>
      </c>
      <c r="B555" s="1" t="s">
        <v>6076</v>
      </c>
      <c r="D555" s="1" t="s">
        <v>6028</v>
      </c>
      <c r="E555" s="1" t="s">
        <v>6077</v>
      </c>
      <c r="F555" s="1" t="s">
        <v>6078</v>
      </c>
      <c r="G555" s="1" t="s">
        <v>6079</v>
      </c>
    </row>
    <row r="556" spans="1:7">
      <c r="A556" s="1">
        <v>555</v>
      </c>
      <c r="B556" s="1" t="s">
        <v>6080</v>
      </c>
      <c r="D556" s="1" t="s">
        <v>6028</v>
      </c>
      <c r="E556" s="1" t="s">
        <v>6081</v>
      </c>
      <c r="F556" s="1" t="s">
        <v>6082</v>
      </c>
      <c r="G556" s="1" t="s">
        <v>6083</v>
      </c>
    </row>
    <row r="557" spans="1:7">
      <c r="A557" s="1">
        <v>556</v>
      </c>
      <c r="B557" s="1" t="s">
        <v>6084</v>
      </c>
      <c r="D557" s="1" t="s">
        <v>6085</v>
      </c>
      <c r="E557" s="1" t="s">
        <v>6086</v>
      </c>
      <c r="F557" s="1" t="s">
        <v>6087</v>
      </c>
      <c r="G557" s="1" t="s">
        <v>6088</v>
      </c>
    </row>
    <row r="558" spans="1:7">
      <c r="A558" s="1">
        <v>557</v>
      </c>
      <c r="B558" s="1" t="s">
        <v>6089</v>
      </c>
      <c r="D558" s="1" t="s">
        <v>6085</v>
      </c>
      <c r="E558" s="1" t="s">
        <v>6090</v>
      </c>
      <c r="F558" s="1" t="s">
        <v>6091</v>
      </c>
      <c r="G558" s="1" t="s">
        <v>6092</v>
      </c>
    </row>
    <row r="559" spans="1:7">
      <c r="A559" s="1">
        <v>558</v>
      </c>
      <c r="B559" s="1" t="s">
        <v>6093</v>
      </c>
      <c r="D559" s="1" t="s">
        <v>6085</v>
      </c>
      <c r="E559" s="1" t="s">
        <v>6094</v>
      </c>
      <c r="F559" s="1" t="s">
        <v>6095</v>
      </c>
      <c r="G559" s="1" t="s">
        <v>6096</v>
      </c>
    </row>
    <row r="560" spans="1:7">
      <c r="A560" s="1">
        <v>559</v>
      </c>
      <c r="B560" s="1" t="s">
        <v>6097</v>
      </c>
      <c r="D560" s="1" t="s">
        <v>6098</v>
      </c>
      <c r="E560" s="1" t="s">
        <v>6099</v>
      </c>
      <c r="F560" s="1" t="s">
        <v>6100</v>
      </c>
      <c r="G560" s="1" t="s">
        <v>6101</v>
      </c>
    </row>
    <row r="561" spans="1:7">
      <c r="A561" s="1">
        <v>560</v>
      </c>
      <c r="B561" s="1" t="s">
        <v>6102</v>
      </c>
      <c r="D561" s="1" t="s">
        <v>6098</v>
      </c>
      <c r="E561" s="1" t="s">
        <v>6103</v>
      </c>
      <c r="F561" s="1" t="s">
        <v>6104</v>
      </c>
      <c r="G561" s="1" t="s">
        <v>6105</v>
      </c>
    </row>
    <row r="562" spans="1:7">
      <c r="A562" s="1">
        <v>561</v>
      </c>
      <c r="B562" s="1" t="s">
        <v>6106</v>
      </c>
      <c r="D562" s="1" t="s">
        <v>6098</v>
      </c>
      <c r="E562" s="1" t="s">
        <v>6107</v>
      </c>
      <c r="F562" s="1" t="s">
        <v>6108</v>
      </c>
      <c r="G562" s="1" t="s">
        <v>6109</v>
      </c>
    </row>
    <row r="563" spans="1:7">
      <c r="A563" s="1">
        <v>562</v>
      </c>
      <c r="B563" s="1" t="s">
        <v>6110</v>
      </c>
      <c r="D563" s="1" t="s">
        <v>6098</v>
      </c>
      <c r="E563" s="1" t="s">
        <v>6111</v>
      </c>
      <c r="F563" s="1" t="s">
        <v>6112</v>
      </c>
      <c r="G563" s="1" t="s">
        <v>6113</v>
      </c>
    </row>
    <row r="564" spans="1:7">
      <c r="A564" s="1">
        <v>563</v>
      </c>
      <c r="B564" s="1" t="s">
        <v>6114</v>
      </c>
      <c r="D564" s="1" t="s">
        <v>6098</v>
      </c>
      <c r="E564" s="1" t="s">
        <v>6115</v>
      </c>
      <c r="F564" s="1" t="s">
        <v>6116</v>
      </c>
      <c r="G564" s="1" t="s">
        <v>6117</v>
      </c>
    </row>
    <row r="565" spans="1:7">
      <c r="A565" s="1">
        <v>564</v>
      </c>
      <c r="B565" s="1" t="s">
        <v>6118</v>
      </c>
      <c r="D565" s="1" t="s">
        <v>6098</v>
      </c>
      <c r="E565" s="1" t="s">
        <v>6119</v>
      </c>
      <c r="F565" s="1" t="s">
        <v>6120</v>
      </c>
      <c r="G565" s="1" t="s">
        <v>6121</v>
      </c>
    </row>
    <row r="566" spans="1:7">
      <c r="A566" s="1">
        <v>565</v>
      </c>
      <c r="B566" s="1" t="s">
        <v>6122</v>
      </c>
      <c r="D566" s="1" t="s">
        <v>6123</v>
      </c>
      <c r="E566" s="1" t="s">
        <v>1252</v>
      </c>
      <c r="F566" s="1" t="s">
        <v>1253</v>
      </c>
      <c r="G566" s="1" t="s">
        <v>1254</v>
      </c>
    </row>
    <row r="567" spans="1:7">
      <c r="A567" s="1">
        <v>566</v>
      </c>
      <c r="B567" s="1" t="s">
        <v>6124</v>
      </c>
      <c r="D567" s="1" t="s">
        <v>6123</v>
      </c>
      <c r="E567" s="1" t="s">
        <v>6125</v>
      </c>
      <c r="F567" s="1" t="s">
        <v>1257</v>
      </c>
      <c r="G567" s="1" t="s">
        <v>1258</v>
      </c>
    </row>
    <row r="568" spans="1:7">
      <c r="A568" s="1">
        <v>567</v>
      </c>
      <c r="B568" s="1" t="s">
        <v>6126</v>
      </c>
      <c r="D568" s="1" t="s">
        <v>6123</v>
      </c>
      <c r="E568" s="1" t="s">
        <v>1212</v>
      </c>
      <c r="F568" s="1" t="s">
        <v>6127</v>
      </c>
      <c r="G568" s="1" t="s">
        <v>6128</v>
      </c>
    </row>
    <row r="569" spans="1:7">
      <c r="A569" s="1">
        <v>568</v>
      </c>
      <c r="B569" s="1" t="s">
        <v>6129</v>
      </c>
      <c r="D569" s="1" t="s">
        <v>6123</v>
      </c>
      <c r="E569" s="1" t="s">
        <v>1216</v>
      </c>
      <c r="F569" s="1" t="s">
        <v>6130</v>
      </c>
      <c r="G569" s="1" t="s">
        <v>6131</v>
      </c>
    </row>
    <row r="570" spans="1:7">
      <c r="A570" s="1">
        <v>569</v>
      </c>
      <c r="B570" s="1" t="s">
        <v>6132</v>
      </c>
      <c r="D570" s="1" t="s">
        <v>6123</v>
      </c>
      <c r="E570" s="1" t="s">
        <v>1236</v>
      </c>
      <c r="F570" s="1" t="s">
        <v>1237</v>
      </c>
      <c r="G570" s="1" t="s">
        <v>1238</v>
      </c>
    </row>
    <row r="571" spans="1:7">
      <c r="A571" s="1">
        <v>570</v>
      </c>
      <c r="B571" s="1" t="s">
        <v>6133</v>
      </c>
      <c r="D571" s="1" t="s">
        <v>6123</v>
      </c>
      <c r="E571" s="1" t="s">
        <v>1228</v>
      </c>
      <c r="F571" s="1" t="s">
        <v>6134</v>
      </c>
      <c r="G571" s="1" t="s">
        <v>6135</v>
      </c>
    </row>
    <row r="572" spans="1:7">
      <c r="A572" s="1">
        <v>571</v>
      </c>
      <c r="B572" s="1" t="s">
        <v>6136</v>
      </c>
      <c r="D572" s="1" t="s">
        <v>6123</v>
      </c>
      <c r="E572" s="1" t="s">
        <v>1220</v>
      </c>
      <c r="F572" s="1" t="s">
        <v>6137</v>
      </c>
      <c r="G572" s="1" t="s">
        <v>6138</v>
      </c>
    </row>
    <row r="573" spans="1:7">
      <c r="A573" s="1">
        <v>572</v>
      </c>
      <c r="B573" s="1" t="s">
        <v>6139</v>
      </c>
      <c r="D573" s="1" t="s">
        <v>6123</v>
      </c>
      <c r="E573" s="1" t="s">
        <v>1224</v>
      </c>
      <c r="F573" s="1" t="s">
        <v>6140</v>
      </c>
      <c r="G573" s="1" t="s">
        <v>6141</v>
      </c>
    </row>
    <row r="574" spans="1:7">
      <c r="A574" s="1">
        <v>573</v>
      </c>
      <c r="B574" s="1" t="s">
        <v>6142</v>
      </c>
      <c r="D574" s="1" t="s">
        <v>6123</v>
      </c>
      <c r="E574" s="1" t="s">
        <v>1232</v>
      </c>
      <c r="F574" s="1" t="s">
        <v>6143</v>
      </c>
      <c r="G574" s="1" t="s">
        <v>6144</v>
      </c>
    </row>
    <row r="575" spans="1:7">
      <c r="A575" s="1">
        <v>574</v>
      </c>
      <c r="B575" s="1" t="s">
        <v>6145</v>
      </c>
      <c r="D575" s="1" t="s">
        <v>6123</v>
      </c>
      <c r="E575" s="1" t="s">
        <v>1240</v>
      </c>
      <c r="F575" s="1" t="s">
        <v>6146</v>
      </c>
      <c r="G575" s="1" t="s">
        <v>6147</v>
      </c>
    </row>
    <row r="576" spans="1:7">
      <c r="A576" s="1">
        <v>575</v>
      </c>
      <c r="B576" s="1" t="s">
        <v>6148</v>
      </c>
      <c r="D576" s="1" t="s">
        <v>6123</v>
      </c>
      <c r="E576" s="1" t="s">
        <v>1244</v>
      </c>
      <c r="F576" s="1" t="s">
        <v>6149</v>
      </c>
      <c r="G576" s="1" t="s">
        <v>6150</v>
      </c>
    </row>
    <row r="577" spans="1:7">
      <c r="A577" s="1">
        <v>576</v>
      </c>
      <c r="B577" s="1" t="s">
        <v>6151</v>
      </c>
      <c r="D577" s="1" t="s">
        <v>6123</v>
      </c>
      <c r="E577" s="1" t="s">
        <v>1248</v>
      </c>
      <c r="F577" s="1" t="s">
        <v>6152</v>
      </c>
      <c r="G577" s="1" t="s">
        <v>6153</v>
      </c>
    </row>
    <row r="578" spans="1:7">
      <c r="A578" s="1">
        <v>577</v>
      </c>
      <c r="B578" s="1" t="s">
        <v>6154</v>
      </c>
      <c r="D578" s="1" t="s">
        <v>6123</v>
      </c>
      <c r="E578" s="1" t="s">
        <v>6155</v>
      </c>
      <c r="F578" s="1" t="s">
        <v>1261</v>
      </c>
      <c r="G578" s="1" t="s">
        <v>1262</v>
      </c>
    </row>
    <row r="579" spans="1:7">
      <c r="A579" s="1">
        <v>578</v>
      </c>
      <c r="B579" s="1" t="s">
        <v>6156</v>
      </c>
      <c r="D579" s="1" t="s">
        <v>6157</v>
      </c>
      <c r="E579" s="1" t="s">
        <v>6158</v>
      </c>
      <c r="F579" s="1" t="s">
        <v>6159</v>
      </c>
      <c r="G579" s="1" t="s">
        <v>6160</v>
      </c>
    </row>
    <row r="580" spans="1:7">
      <c r="A580" s="1">
        <v>579</v>
      </c>
      <c r="B580" s="1" t="s">
        <v>6161</v>
      </c>
      <c r="D580" s="1" t="s">
        <v>6157</v>
      </c>
      <c r="E580" s="1" t="s">
        <v>6162</v>
      </c>
      <c r="F580" s="1" t="s">
        <v>6163</v>
      </c>
      <c r="G580" s="1" t="s">
        <v>6164</v>
      </c>
    </row>
    <row r="581" spans="1:7">
      <c r="A581" s="1">
        <v>580</v>
      </c>
      <c r="B581" s="1" t="s">
        <v>6165</v>
      </c>
      <c r="D581" s="1" t="s">
        <v>6166</v>
      </c>
      <c r="E581" s="1" t="s">
        <v>6167</v>
      </c>
      <c r="F581" s="1" t="s">
        <v>6168</v>
      </c>
      <c r="G581" s="1" t="s">
        <v>6169</v>
      </c>
    </row>
    <row r="582" spans="1:7">
      <c r="A582" s="1">
        <v>581</v>
      </c>
      <c r="B582" s="1" t="s">
        <v>6170</v>
      </c>
      <c r="D582" s="1" t="s">
        <v>6166</v>
      </c>
      <c r="E582" s="1" t="s">
        <v>6171</v>
      </c>
      <c r="F582" s="1" t="s">
        <v>6172</v>
      </c>
      <c r="G582" s="1" t="s">
        <v>6173</v>
      </c>
    </row>
    <row r="583" spans="1:7">
      <c r="A583" s="1">
        <v>582</v>
      </c>
      <c r="B583" s="1" t="s">
        <v>6174</v>
      </c>
      <c r="D583" s="1" t="s">
        <v>6166</v>
      </c>
      <c r="E583" s="1" t="s">
        <v>6175</v>
      </c>
      <c r="F583" s="1" t="s">
        <v>6176</v>
      </c>
      <c r="G583" s="1" t="s">
        <v>6177</v>
      </c>
    </row>
    <row r="584" spans="1:7">
      <c r="A584" s="1">
        <v>583</v>
      </c>
      <c r="B584" s="1" t="s">
        <v>6178</v>
      </c>
      <c r="D584" s="1" t="s">
        <v>6166</v>
      </c>
      <c r="E584" s="1" t="s">
        <v>6179</v>
      </c>
      <c r="F584" s="1" t="s">
        <v>6180</v>
      </c>
      <c r="G584" s="1" t="s">
        <v>6181</v>
      </c>
    </row>
    <row r="585" spans="1:7">
      <c r="A585" s="1">
        <v>584</v>
      </c>
      <c r="B585" s="1" t="s">
        <v>6182</v>
      </c>
      <c r="D585" s="1" t="s">
        <v>6166</v>
      </c>
      <c r="E585" s="1" t="s">
        <v>6183</v>
      </c>
      <c r="F585" s="1" t="s">
        <v>6184</v>
      </c>
      <c r="G585" s="1" t="s">
        <v>6185</v>
      </c>
    </row>
    <row r="586" spans="1:7">
      <c r="A586" s="1">
        <v>585</v>
      </c>
      <c r="B586" s="1" t="s">
        <v>6186</v>
      </c>
      <c r="D586" s="1" t="s">
        <v>6166</v>
      </c>
      <c r="E586" s="1" t="s">
        <v>6187</v>
      </c>
      <c r="F586" s="1" t="s">
        <v>6188</v>
      </c>
      <c r="G586" s="1" t="s">
        <v>6189</v>
      </c>
    </row>
    <row r="587" spans="1:7">
      <c r="A587" s="1">
        <v>586</v>
      </c>
      <c r="B587" s="1" t="s">
        <v>6190</v>
      </c>
      <c r="D587" s="1" t="s">
        <v>6166</v>
      </c>
      <c r="E587" s="1" t="s">
        <v>6191</v>
      </c>
      <c r="F587" s="1" t="s">
        <v>6192</v>
      </c>
      <c r="G587" s="1" t="s">
        <v>6193</v>
      </c>
    </row>
    <row r="588" spans="1:7">
      <c r="A588" s="1">
        <v>587</v>
      </c>
      <c r="B588" s="1" t="s">
        <v>6194</v>
      </c>
      <c r="D588" s="1" t="s">
        <v>6166</v>
      </c>
      <c r="E588" s="1" t="s">
        <v>6195</v>
      </c>
      <c r="F588" s="1" t="s">
        <v>6196</v>
      </c>
      <c r="G588" s="1" t="s">
        <v>6197</v>
      </c>
    </row>
    <row r="589" spans="1:7">
      <c r="A589" s="1">
        <v>588</v>
      </c>
      <c r="B589" s="1" t="s">
        <v>6198</v>
      </c>
      <c r="D589" s="1" t="s">
        <v>6166</v>
      </c>
      <c r="E589" s="1" t="s">
        <v>6199</v>
      </c>
      <c r="F589" s="1" t="s">
        <v>6200</v>
      </c>
      <c r="G589" s="1" t="s">
        <v>6201</v>
      </c>
    </row>
    <row r="590" spans="1:7">
      <c r="A590" s="1">
        <v>589</v>
      </c>
      <c r="B590" s="1" t="s">
        <v>6202</v>
      </c>
      <c r="D590" s="1" t="s">
        <v>6166</v>
      </c>
      <c r="E590" s="1" t="s">
        <v>6203</v>
      </c>
      <c r="F590" s="1" t="s">
        <v>6204</v>
      </c>
      <c r="G590" s="1" t="s">
        <v>6205</v>
      </c>
    </row>
    <row r="591" spans="1:7">
      <c r="A591" s="1">
        <v>590</v>
      </c>
      <c r="B591" s="1" t="s">
        <v>6206</v>
      </c>
      <c r="D591" s="1" t="s">
        <v>6166</v>
      </c>
      <c r="E591" s="1" t="s">
        <v>6207</v>
      </c>
      <c r="F591" s="1" t="s">
        <v>6208</v>
      </c>
      <c r="G591" s="1" t="s">
        <v>6209</v>
      </c>
    </row>
    <row r="592" spans="1:7">
      <c r="A592" s="1">
        <v>591</v>
      </c>
      <c r="B592" s="1" t="s">
        <v>6210</v>
      </c>
      <c r="D592" s="1" t="s">
        <v>6166</v>
      </c>
      <c r="E592" s="1" t="s">
        <v>6211</v>
      </c>
      <c r="F592" s="1" t="s">
        <v>6212</v>
      </c>
      <c r="G592" s="1" t="s">
        <v>6213</v>
      </c>
    </row>
    <row r="593" spans="1:7">
      <c r="A593" s="1">
        <v>592</v>
      </c>
      <c r="B593" s="1" t="s">
        <v>6214</v>
      </c>
      <c r="D593" s="1" t="s">
        <v>6215</v>
      </c>
      <c r="E593" s="1" t="s">
        <v>6216</v>
      </c>
      <c r="F593" s="1" t="s">
        <v>6217</v>
      </c>
      <c r="G593" s="1" t="s">
        <v>6218</v>
      </c>
    </row>
    <row r="594" spans="1:7">
      <c r="A594" s="1">
        <v>593</v>
      </c>
      <c r="B594" s="1" t="s">
        <v>6219</v>
      </c>
      <c r="D594" s="1" t="s">
        <v>6215</v>
      </c>
      <c r="E594" s="1" t="s">
        <v>6220</v>
      </c>
      <c r="F594" s="1" t="s">
        <v>6221</v>
      </c>
      <c r="G594" s="1" t="s">
        <v>6222</v>
      </c>
    </row>
    <row r="595" spans="1:7">
      <c r="A595" s="1">
        <v>594</v>
      </c>
      <c r="B595" s="1" t="s">
        <v>6223</v>
      </c>
      <c r="D595" s="1" t="s">
        <v>6215</v>
      </c>
      <c r="E595" s="1" t="s">
        <v>6224</v>
      </c>
      <c r="F595" s="1" t="s">
        <v>6225</v>
      </c>
      <c r="G595" s="1" t="s">
        <v>6226</v>
      </c>
    </row>
    <row r="596" spans="1:7">
      <c r="A596" s="1">
        <v>595</v>
      </c>
      <c r="B596" s="1" t="s">
        <v>6227</v>
      </c>
      <c r="D596" s="1" t="s">
        <v>6215</v>
      </c>
      <c r="E596" s="1" t="s">
        <v>6228</v>
      </c>
      <c r="F596" s="1" t="s">
        <v>6229</v>
      </c>
      <c r="G596" s="1" t="s">
        <v>6230</v>
      </c>
    </row>
    <row r="597" spans="1:7">
      <c r="A597" s="1">
        <v>596</v>
      </c>
      <c r="B597" s="1" t="s">
        <v>6231</v>
      </c>
      <c r="D597" s="1" t="s">
        <v>6232</v>
      </c>
      <c r="E597" s="1" t="s">
        <v>1936</v>
      </c>
      <c r="F597" s="1" t="s">
        <v>6233</v>
      </c>
      <c r="G597" s="1" t="s">
        <v>6234</v>
      </c>
    </row>
    <row r="598" spans="1:7">
      <c r="A598" s="1">
        <v>597</v>
      </c>
      <c r="B598" s="1" t="s">
        <v>6235</v>
      </c>
      <c r="D598" s="1" t="s">
        <v>6232</v>
      </c>
      <c r="E598" s="1" t="s">
        <v>1933</v>
      </c>
      <c r="F598" s="1" t="s">
        <v>6236</v>
      </c>
      <c r="G598" s="1" t="s">
        <v>6237</v>
      </c>
    </row>
    <row r="599" spans="1:7">
      <c r="A599" s="1">
        <v>598</v>
      </c>
      <c r="B599" s="1" t="s">
        <v>6238</v>
      </c>
      <c r="D599" s="1" t="s">
        <v>6232</v>
      </c>
      <c r="E599" s="1" t="s">
        <v>6239</v>
      </c>
      <c r="F599" s="1" t="s">
        <v>6240</v>
      </c>
      <c r="G599" s="1" t="s">
        <v>6241</v>
      </c>
    </row>
    <row r="600" spans="1:7">
      <c r="A600" s="1">
        <v>599</v>
      </c>
      <c r="B600" s="1" t="s">
        <v>6242</v>
      </c>
      <c r="D600" s="1" t="s">
        <v>6232</v>
      </c>
      <c r="E600" s="1" t="s">
        <v>6243</v>
      </c>
      <c r="F600" s="1" t="s">
        <v>6244</v>
      </c>
      <c r="G600" s="1" t="s">
        <v>6245</v>
      </c>
    </row>
    <row r="601" spans="1:7">
      <c r="A601" s="1">
        <v>600</v>
      </c>
      <c r="B601" s="1" t="s">
        <v>6246</v>
      </c>
      <c r="D601" s="1" t="s">
        <v>6232</v>
      </c>
      <c r="E601" s="1" t="s">
        <v>6247</v>
      </c>
      <c r="F601" s="1" t="s">
        <v>6248</v>
      </c>
      <c r="G601" s="1" t="s">
        <v>6249</v>
      </c>
    </row>
    <row r="602" spans="1:7">
      <c r="A602" s="1">
        <v>601</v>
      </c>
      <c r="B602" s="1" t="s">
        <v>6250</v>
      </c>
      <c r="D602" s="1" t="s">
        <v>6232</v>
      </c>
      <c r="E602" s="1" t="s">
        <v>1937</v>
      </c>
      <c r="F602" s="1" t="s">
        <v>6251</v>
      </c>
      <c r="G602" s="1" t="s">
        <v>6252</v>
      </c>
    </row>
    <row r="603" spans="1:7">
      <c r="A603" s="1">
        <v>602</v>
      </c>
      <c r="B603" s="1" t="s">
        <v>6253</v>
      </c>
      <c r="D603" s="1" t="s">
        <v>6232</v>
      </c>
      <c r="E603" s="1" t="s">
        <v>6254</v>
      </c>
      <c r="F603" s="1" t="s">
        <v>6255</v>
      </c>
      <c r="G603" s="1" t="s">
        <v>6256</v>
      </c>
    </row>
    <row r="604" spans="1:7">
      <c r="A604" s="1">
        <v>603</v>
      </c>
      <c r="B604" s="1" t="s">
        <v>6257</v>
      </c>
      <c r="D604" s="1" t="s">
        <v>6232</v>
      </c>
      <c r="E604" s="1" t="s">
        <v>6258</v>
      </c>
      <c r="F604" s="1" t="s">
        <v>6259</v>
      </c>
      <c r="G604" s="1" t="s">
        <v>6260</v>
      </c>
    </row>
    <row r="605" spans="1:7">
      <c r="A605" s="1">
        <v>604</v>
      </c>
      <c r="B605" s="1" t="s">
        <v>6261</v>
      </c>
      <c r="D605" s="1" t="s">
        <v>6232</v>
      </c>
      <c r="E605" s="1" t="s">
        <v>6262</v>
      </c>
      <c r="F605" s="1" t="s">
        <v>6263</v>
      </c>
      <c r="G605" s="1" t="s">
        <v>6264</v>
      </c>
    </row>
    <row r="606" spans="1:7">
      <c r="A606" s="1">
        <v>605</v>
      </c>
      <c r="B606" s="1" t="s">
        <v>6265</v>
      </c>
      <c r="D606" s="1" t="s">
        <v>6266</v>
      </c>
      <c r="E606" s="1" t="s">
        <v>1948</v>
      </c>
      <c r="F606" s="1" t="s">
        <v>6267</v>
      </c>
      <c r="G606" s="1" t="s">
        <v>6268</v>
      </c>
    </row>
    <row r="607" spans="1:7">
      <c r="A607" s="1">
        <v>606</v>
      </c>
      <c r="B607" s="1" t="s">
        <v>6269</v>
      </c>
      <c r="D607" s="1" t="s">
        <v>6266</v>
      </c>
      <c r="E607" s="1" t="s">
        <v>1945</v>
      </c>
      <c r="F607" s="1" t="s">
        <v>6270</v>
      </c>
      <c r="G607" s="1" t="s">
        <v>6271</v>
      </c>
    </row>
    <row r="608" spans="1:7">
      <c r="A608" s="1">
        <v>607</v>
      </c>
      <c r="B608" s="1" t="s">
        <v>6272</v>
      </c>
      <c r="D608" s="1" t="s">
        <v>6266</v>
      </c>
      <c r="E608" s="1" t="s">
        <v>1944</v>
      </c>
      <c r="F608" s="1" t="s">
        <v>6273</v>
      </c>
      <c r="G608" s="1" t="s">
        <v>6274</v>
      </c>
    </row>
    <row r="609" spans="1:7">
      <c r="A609" s="1">
        <v>608</v>
      </c>
      <c r="B609" s="1" t="s">
        <v>6275</v>
      </c>
      <c r="D609" s="1" t="s">
        <v>6266</v>
      </c>
      <c r="E609" s="1" t="s">
        <v>6276</v>
      </c>
      <c r="F609" s="1" t="s">
        <v>6277</v>
      </c>
      <c r="G609" s="1" t="s">
        <v>6278</v>
      </c>
    </row>
    <row r="610" spans="1:7">
      <c r="A610" s="1">
        <v>609</v>
      </c>
      <c r="B610" s="1" t="s">
        <v>6279</v>
      </c>
      <c r="D610" s="1" t="s">
        <v>6266</v>
      </c>
      <c r="E610" s="1" t="s">
        <v>6280</v>
      </c>
      <c r="F610" s="1" t="s">
        <v>6281</v>
      </c>
      <c r="G610" s="1" t="s">
        <v>6282</v>
      </c>
    </row>
    <row r="611" spans="1:7">
      <c r="A611" s="1">
        <v>610</v>
      </c>
      <c r="B611" s="1" t="s">
        <v>6283</v>
      </c>
      <c r="D611" s="1" t="s">
        <v>6266</v>
      </c>
      <c r="E611" s="1" t="s">
        <v>6284</v>
      </c>
      <c r="F611" s="1" t="s">
        <v>6285</v>
      </c>
      <c r="G611" s="1" t="s">
        <v>6286</v>
      </c>
    </row>
    <row r="612" spans="1:7">
      <c r="A612" s="1">
        <v>611</v>
      </c>
      <c r="B612" s="1" t="s">
        <v>6287</v>
      </c>
      <c r="D612" s="1" t="s">
        <v>6266</v>
      </c>
      <c r="E612" s="1" t="s">
        <v>6288</v>
      </c>
      <c r="F612" s="1" t="s">
        <v>6289</v>
      </c>
      <c r="G612" s="1" t="s">
        <v>6290</v>
      </c>
    </row>
    <row r="613" spans="1:7">
      <c r="A613" s="1">
        <v>612</v>
      </c>
      <c r="B613" s="1" t="s">
        <v>6291</v>
      </c>
      <c r="D613" s="1" t="s">
        <v>6266</v>
      </c>
      <c r="E613" s="1" t="s">
        <v>6292</v>
      </c>
      <c r="F613" s="1" t="s">
        <v>6293</v>
      </c>
      <c r="G613" s="1" t="s">
        <v>6294</v>
      </c>
    </row>
    <row r="614" spans="1:7">
      <c r="A614" s="1">
        <v>613</v>
      </c>
      <c r="B614" s="1" t="s">
        <v>6295</v>
      </c>
      <c r="D614" s="1" t="s">
        <v>6266</v>
      </c>
      <c r="E614" s="1" t="s">
        <v>6296</v>
      </c>
      <c r="F614" s="1" t="s">
        <v>6297</v>
      </c>
      <c r="G614" s="1" t="s">
        <v>6298</v>
      </c>
    </row>
    <row r="615" spans="1:7">
      <c r="A615" s="1">
        <v>614</v>
      </c>
      <c r="B615" s="1" t="s">
        <v>6299</v>
      </c>
      <c r="D615" s="1" t="s">
        <v>6300</v>
      </c>
      <c r="E615" s="1" t="s">
        <v>6301</v>
      </c>
      <c r="F615" s="1" t="s">
        <v>3767</v>
      </c>
      <c r="G615" s="1" t="s">
        <v>3768</v>
      </c>
    </row>
    <row r="616" spans="1:7">
      <c r="A616" s="1">
        <v>615</v>
      </c>
      <c r="B616" s="1" t="s">
        <v>6302</v>
      </c>
      <c r="D616" s="1" t="s">
        <v>6300</v>
      </c>
      <c r="E616" s="1" t="s">
        <v>6303</v>
      </c>
      <c r="F616" s="1" t="s">
        <v>6304</v>
      </c>
      <c r="G616" s="1" t="s">
        <v>6305</v>
      </c>
    </row>
    <row r="617" spans="1:7">
      <c r="A617" s="1">
        <v>616</v>
      </c>
      <c r="B617" s="1" t="s">
        <v>6306</v>
      </c>
      <c r="D617" s="1" t="s">
        <v>6300</v>
      </c>
      <c r="E617" s="1" t="s">
        <v>6307</v>
      </c>
      <c r="F617" s="1" t="s">
        <v>6308</v>
      </c>
      <c r="G617" s="1" t="s">
        <v>6309</v>
      </c>
    </row>
    <row r="618" spans="1:7">
      <c r="A618" s="1">
        <v>617</v>
      </c>
      <c r="B618" s="1" t="s">
        <v>6310</v>
      </c>
      <c r="D618" s="1" t="s">
        <v>6300</v>
      </c>
      <c r="E618" s="1" t="s">
        <v>6311</v>
      </c>
      <c r="F618" s="1" t="s">
        <v>6312</v>
      </c>
      <c r="G618" s="1" t="s">
        <v>6313</v>
      </c>
    </row>
    <row r="619" spans="1:7">
      <c r="A619" s="1">
        <v>618</v>
      </c>
      <c r="B619" s="1" t="s">
        <v>6314</v>
      </c>
      <c r="D619" s="1" t="s">
        <v>6300</v>
      </c>
      <c r="E619" s="1" t="s">
        <v>6315</v>
      </c>
      <c r="F619" s="1" t="s">
        <v>6316</v>
      </c>
      <c r="G619" s="1" t="s">
        <v>6317</v>
      </c>
    </row>
    <row r="620" spans="1:7">
      <c r="A620" s="1">
        <v>619</v>
      </c>
      <c r="B620" s="1" t="s">
        <v>6318</v>
      </c>
      <c r="D620" s="1" t="s">
        <v>6319</v>
      </c>
      <c r="E620" s="1" t="s">
        <v>6320</v>
      </c>
      <c r="F620" s="1" t="s">
        <v>3767</v>
      </c>
      <c r="G620" s="1" t="s">
        <v>3768</v>
      </c>
    </row>
    <row r="621" spans="1:7">
      <c r="A621" s="1">
        <v>620</v>
      </c>
      <c r="B621" s="1" t="s">
        <v>6321</v>
      </c>
      <c r="D621" s="1" t="s">
        <v>6319</v>
      </c>
      <c r="E621" s="1" t="s">
        <v>6322</v>
      </c>
      <c r="F621" s="1" t="s">
        <v>6304</v>
      </c>
      <c r="G621" s="1" t="s">
        <v>6305</v>
      </c>
    </row>
    <row r="622" spans="1:7">
      <c r="A622" s="1">
        <v>621</v>
      </c>
      <c r="B622" s="1" t="s">
        <v>6323</v>
      </c>
      <c r="D622" s="1" t="s">
        <v>6319</v>
      </c>
      <c r="E622" s="1" t="s">
        <v>6324</v>
      </c>
      <c r="F622" s="1" t="s">
        <v>3785</v>
      </c>
      <c r="G622" s="1" t="s">
        <v>3786</v>
      </c>
    </row>
    <row r="623" spans="1:7">
      <c r="A623" s="1">
        <v>622</v>
      </c>
      <c r="B623" s="1" t="s">
        <v>6325</v>
      </c>
      <c r="D623" s="1" t="s">
        <v>6319</v>
      </c>
      <c r="E623" s="1" t="s">
        <v>6326</v>
      </c>
      <c r="F623" s="1" t="s">
        <v>3776</v>
      </c>
      <c r="G623" s="1" t="s">
        <v>3777</v>
      </c>
    </row>
    <row r="624" spans="1:7">
      <c r="A624" s="1">
        <v>623</v>
      </c>
      <c r="B624" s="1" t="s">
        <v>6327</v>
      </c>
      <c r="D624" s="1" t="s">
        <v>6319</v>
      </c>
      <c r="E624" s="1" t="s">
        <v>6328</v>
      </c>
      <c r="F624" s="1" t="s">
        <v>3779</v>
      </c>
      <c r="G624" s="1" t="s">
        <v>3780</v>
      </c>
    </row>
    <row r="625" spans="1:7">
      <c r="A625" s="1">
        <v>624</v>
      </c>
      <c r="B625" s="1" t="s">
        <v>6329</v>
      </c>
      <c r="D625" s="1" t="s">
        <v>6319</v>
      </c>
      <c r="E625" s="1" t="s">
        <v>6330</v>
      </c>
      <c r="F625" s="1" t="s">
        <v>3782</v>
      </c>
      <c r="G625" s="1" t="s">
        <v>3783</v>
      </c>
    </row>
    <row r="626" spans="1:7">
      <c r="A626" s="1">
        <v>625</v>
      </c>
      <c r="B626" s="1" t="s">
        <v>6331</v>
      </c>
      <c r="D626" s="1" t="s">
        <v>6319</v>
      </c>
      <c r="E626" s="1" t="s">
        <v>6332</v>
      </c>
      <c r="F626" s="1" t="s">
        <v>3791</v>
      </c>
      <c r="G626" s="1" t="s">
        <v>3792</v>
      </c>
    </row>
    <row r="627" spans="1:7">
      <c r="A627" s="1">
        <v>626</v>
      </c>
      <c r="B627" s="1" t="s">
        <v>6333</v>
      </c>
      <c r="D627" s="1" t="s">
        <v>6319</v>
      </c>
      <c r="E627" s="1" t="s">
        <v>6334</v>
      </c>
      <c r="F627" s="1" t="s">
        <v>6335</v>
      </c>
      <c r="G627" s="1" t="s">
        <v>6336</v>
      </c>
    </row>
    <row r="628" spans="1:7">
      <c r="A628" s="1">
        <v>627</v>
      </c>
      <c r="B628" s="1" t="s">
        <v>6337</v>
      </c>
      <c r="D628" s="1" t="s">
        <v>6319</v>
      </c>
      <c r="E628" s="1" t="s">
        <v>6338</v>
      </c>
      <c r="F628" s="1" t="s">
        <v>6339</v>
      </c>
      <c r="G628" s="1" t="s">
        <v>6340</v>
      </c>
    </row>
    <row r="629" spans="1:7">
      <c r="A629" s="1">
        <v>628</v>
      </c>
      <c r="B629" s="1" t="s">
        <v>6341</v>
      </c>
      <c r="D629" s="1" t="s">
        <v>6342</v>
      </c>
      <c r="E629" s="1" t="s">
        <v>6343</v>
      </c>
      <c r="F629" s="1" t="s">
        <v>3796</v>
      </c>
      <c r="G629" s="1" t="s">
        <v>3797</v>
      </c>
    </row>
    <row r="630" spans="1:7">
      <c r="A630" s="1">
        <v>629</v>
      </c>
      <c r="B630" s="1" t="s">
        <v>6344</v>
      </c>
      <c r="D630" s="1" t="s">
        <v>6342</v>
      </c>
      <c r="E630" s="1" t="s">
        <v>6345</v>
      </c>
      <c r="F630" s="1" t="s">
        <v>6346</v>
      </c>
      <c r="G630" s="1" t="s">
        <v>6347</v>
      </c>
    </row>
    <row r="631" spans="1:7">
      <c r="A631" s="1">
        <v>630</v>
      </c>
      <c r="B631" s="1" t="s">
        <v>6348</v>
      </c>
      <c r="D631" s="1" t="s">
        <v>6342</v>
      </c>
      <c r="E631" s="1" t="s">
        <v>6349</v>
      </c>
      <c r="F631" s="1" t="s">
        <v>6350</v>
      </c>
      <c r="G631" s="1" t="s">
        <v>6351</v>
      </c>
    </row>
    <row r="632" spans="1:7">
      <c r="A632" s="1">
        <v>631</v>
      </c>
      <c r="B632" s="1" t="s">
        <v>6352</v>
      </c>
      <c r="D632" s="1" t="s">
        <v>6342</v>
      </c>
      <c r="E632" s="1" t="s">
        <v>6353</v>
      </c>
      <c r="F632" s="1" t="s">
        <v>6354</v>
      </c>
      <c r="G632" s="1" t="s">
        <v>6355</v>
      </c>
    </row>
    <row r="633" spans="1:7">
      <c r="A633" s="1">
        <v>632</v>
      </c>
      <c r="B633" s="1" t="s">
        <v>6356</v>
      </c>
      <c r="D633" s="1" t="s">
        <v>6342</v>
      </c>
      <c r="E633" s="1" t="s">
        <v>6357</v>
      </c>
      <c r="F633" s="1" t="s">
        <v>6358</v>
      </c>
      <c r="G633" s="1" t="s">
        <v>6359</v>
      </c>
    </row>
    <row r="634" spans="1:7">
      <c r="A634" s="1">
        <v>633</v>
      </c>
      <c r="B634" s="1" t="s">
        <v>6360</v>
      </c>
      <c r="D634" s="1" t="s">
        <v>6361</v>
      </c>
      <c r="E634" s="1" t="s">
        <v>6362</v>
      </c>
      <c r="F634" s="1" t="s">
        <v>3796</v>
      </c>
      <c r="G634" s="1" t="s">
        <v>3797</v>
      </c>
    </row>
    <row r="635" spans="1:7">
      <c r="A635" s="1">
        <v>634</v>
      </c>
      <c r="B635" s="1" t="s">
        <v>6363</v>
      </c>
      <c r="D635" s="1" t="s">
        <v>6361</v>
      </c>
      <c r="E635" s="1" t="s">
        <v>6364</v>
      </c>
      <c r="F635" s="1" t="s">
        <v>6346</v>
      </c>
      <c r="G635" s="1" t="s">
        <v>6347</v>
      </c>
    </row>
    <row r="636" spans="1:7">
      <c r="A636" s="1">
        <v>635</v>
      </c>
      <c r="B636" s="1" t="s">
        <v>6365</v>
      </c>
      <c r="D636" s="1" t="s">
        <v>6361</v>
      </c>
      <c r="E636" s="1" t="s">
        <v>3935</v>
      </c>
      <c r="F636" s="1" t="s">
        <v>3814</v>
      </c>
      <c r="G636" s="1" t="s">
        <v>3815</v>
      </c>
    </row>
    <row r="637" spans="1:7">
      <c r="A637" s="1">
        <v>636</v>
      </c>
      <c r="B637" s="1" t="s">
        <v>6366</v>
      </c>
      <c r="D637" s="1" t="s">
        <v>6361</v>
      </c>
      <c r="E637" s="1" t="s">
        <v>6367</v>
      </c>
      <c r="F637" s="1" t="s">
        <v>3805</v>
      </c>
      <c r="G637" s="1" t="s">
        <v>3806</v>
      </c>
    </row>
    <row r="638" spans="1:7">
      <c r="A638" s="1">
        <v>637</v>
      </c>
      <c r="B638" s="1" t="s">
        <v>6368</v>
      </c>
      <c r="D638" s="1" t="s">
        <v>6361</v>
      </c>
      <c r="E638" s="1" t="s">
        <v>3933</v>
      </c>
      <c r="F638" s="1" t="s">
        <v>3808</v>
      </c>
      <c r="G638" s="1" t="s">
        <v>3809</v>
      </c>
    </row>
    <row r="639" spans="1:7">
      <c r="A639" s="1">
        <v>638</v>
      </c>
      <c r="B639" s="1" t="s">
        <v>6369</v>
      </c>
      <c r="D639" s="1" t="s">
        <v>6361</v>
      </c>
      <c r="E639" s="1" t="s">
        <v>3934</v>
      </c>
      <c r="F639" s="1" t="s">
        <v>3811</v>
      </c>
      <c r="G639" s="1" t="s">
        <v>3812</v>
      </c>
    </row>
    <row r="640" spans="1:7">
      <c r="A640" s="1">
        <v>639</v>
      </c>
      <c r="B640" s="1" t="s">
        <v>6370</v>
      </c>
      <c r="D640" s="1" t="s">
        <v>6361</v>
      </c>
      <c r="E640" s="1" t="s">
        <v>3937</v>
      </c>
      <c r="F640" s="1" t="s">
        <v>3820</v>
      </c>
      <c r="G640" s="1" t="s">
        <v>3821</v>
      </c>
    </row>
    <row r="641" spans="1:7">
      <c r="A641" s="1">
        <v>640</v>
      </c>
      <c r="B641" s="1" t="s">
        <v>6371</v>
      </c>
      <c r="D641" s="1" t="s">
        <v>6361</v>
      </c>
      <c r="E641" s="1" t="s">
        <v>6372</v>
      </c>
      <c r="F641" s="1" t="s">
        <v>6373</v>
      </c>
      <c r="G641" s="1" t="s">
        <v>6374</v>
      </c>
    </row>
    <row r="642" spans="1:7">
      <c r="A642" s="1">
        <v>641</v>
      </c>
      <c r="B642" s="1" t="s">
        <v>6375</v>
      </c>
      <c r="D642" s="1" t="s">
        <v>6361</v>
      </c>
      <c r="E642" s="1" t="s">
        <v>3936</v>
      </c>
      <c r="F642" s="1" t="s">
        <v>6376</v>
      </c>
      <c r="G642" s="1" t="s">
        <v>6377</v>
      </c>
    </row>
    <row r="643" spans="1:7">
      <c r="A643" s="1">
        <v>642</v>
      </c>
      <c r="B643" s="1" t="s">
        <v>6378</v>
      </c>
      <c r="D643" s="1" t="s">
        <v>6379</v>
      </c>
      <c r="E643" s="1" t="s">
        <v>6380</v>
      </c>
      <c r="F643" s="1" t="s">
        <v>3825</v>
      </c>
      <c r="G643" s="1" t="s">
        <v>3826</v>
      </c>
    </row>
    <row r="644" spans="1:7">
      <c r="A644" s="1">
        <v>643</v>
      </c>
      <c r="B644" s="1" t="s">
        <v>6381</v>
      </c>
      <c r="D644" s="1" t="s">
        <v>6379</v>
      </c>
      <c r="E644" s="1" t="s">
        <v>6382</v>
      </c>
      <c r="F644" s="1" t="s">
        <v>6383</v>
      </c>
      <c r="G644" s="1" t="s">
        <v>6384</v>
      </c>
    </row>
    <row r="645" spans="1:7">
      <c r="A645" s="1">
        <v>644</v>
      </c>
      <c r="B645" s="1" t="s">
        <v>6385</v>
      </c>
      <c r="D645" s="1" t="s">
        <v>6379</v>
      </c>
      <c r="E645" s="1" t="s">
        <v>6386</v>
      </c>
      <c r="F645" s="1" t="s">
        <v>6387</v>
      </c>
      <c r="G645" s="1" t="s">
        <v>6388</v>
      </c>
    </row>
    <row r="646" spans="1:7">
      <c r="A646" s="1">
        <v>645</v>
      </c>
      <c r="B646" s="1" t="s">
        <v>6389</v>
      </c>
      <c r="D646" s="1" t="s">
        <v>6379</v>
      </c>
      <c r="E646" s="1" t="s">
        <v>6390</v>
      </c>
      <c r="F646" s="1" t="s">
        <v>6391</v>
      </c>
      <c r="G646" s="1" t="s">
        <v>6392</v>
      </c>
    </row>
    <row r="647" spans="1:7">
      <c r="A647" s="1">
        <v>646</v>
      </c>
      <c r="B647" s="1" t="s">
        <v>6393</v>
      </c>
      <c r="D647" s="1" t="s">
        <v>6379</v>
      </c>
      <c r="E647" s="1" t="s">
        <v>6394</v>
      </c>
      <c r="F647" s="1" t="s">
        <v>6395</v>
      </c>
      <c r="G647" s="1" t="s">
        <v>6396</v>
      </c>
    </row>
    <row r="648" spans="1:7">
      <c r="A648" s="1">
        <v>647</v>
      </c>
      <c r="B648" s="1" t="s">
        <v>6397</v>
      </c>
      <c r="D648" s="1" t="s">
        <v>6398</v>
      </c>
      <c r="E648" s="1" t="s">
        <v>6399</v>
      </c>
      <c r="F648" s="1" t="s">
        <v>3825</v>
      </c>
      <c r="G648" s="1" t="s">
        <v>3826</v>
      </c>
    </row>
    <row r="649" spans="1:7">
      <c r="A649" s="1">
        <v>648</v>
      </c>
      <c r="B649" s="1" t="s">
        <v>6400</v>
      </c>
      <c r="D649" s="1" t="s">
        <v>6398</v>
      </c>
      <c r="E649" s="1" t="s">
        <v>6401</v>
      </c>
      <c r="F649" s="1" t="s">
        <v>6383</v>
      </c>
      <c r="G649" s="1" t="s">
        <v>6384</v>
      </c>
    </row>
    <row r="650" spans="1:7">
      <c r="A650" s="1">
        <v>649</v>
      </c>
      <c r="B650" s="1" t="s">
        <v>6402</v>
      </c>
      <c r="D650" s="1" t="s">
        <v>6398</v>
      </c>
      <c r="E650" s="1" t="s">
        <v>6403</v>
      </c>
      <c r="F650" s="1" t="s">
        <v>3843</v>
      </c>
      <c r="G650" s="1" t="s">
        <v>3844</v>
      </c>
    </row>
    <row r="651" spans="1:7">
      <c r="A651" s="1">
        <v>650</v>
      </c>
      <c r="B651" s="1" t="s">
        <v>6404</v>
      </c>
      <c r="D651" s="1" t="s">
        <v>6398</v>
      </c>
      <c r="E651" s="1" t="s">
        <v>6405</v>
      </c>
      <c r="F651" s="1" t="s">
        <v>3834</v>
      </c>
      <c r="G651" s="1" t="s">
        <v>3835</v>
      </c>
    </row>
    <row r="652" spans="1:7">
      <c r="A652" s="1">
        <v>651</v>
      </c>
      <c r="B652" s="1" t="s">
        <v>6406</v>
      </c>
      <c r="D652" s="1" t="s">
        <v>6398</v>
      </c>
      <c r="E652" s="1" t="s">
        <v>6407</v>
      </c>
      <c r="F652" s="1" t="s">
        <v>3837</v>
      </c>
      <c r="G652" s="1" t="s">
        <v>3838</v>
      </c>
    </row>
    <row r="653" spans="1:7">
      <c r="A653" s="1">
        <v>652</v>
      </c>
      <c r="B653" s="1" t="s">
        <v>6408</v>
      </c>
      <c r="D653" s="1" t="s">
        <v>6398</v>
      </c>
      <c r="E653" s="1" t="s">
        <v>6409</v>
      </c>
      <c r="F653" s="1" t="s">
        <v>3840</v>
      </c>
      <c r="G653" s="1" t="s">
        <v>3841</v>
      </c>
    </row>
    <row r="654" spans="1:7">
      <c r="A654" s="1">
        <v>653</v>
      </c>
      <c r="B654" s="1" t="s">
        <v>6410</v>
      </c>
      <c r="D654" s="1" t="s">
        <v>6398</v>
      </c>
      <c r="E654" s="1" t="s">
        <v>6411</v>
      </c>
      <c r="F654" s="1" t="s">
        <v>3849</v>
      </c>
      <c r="G654" s="1" t="s">
        <v>3850</v>
      </c>
    </row>
    <row r="655" spans="1:7">
      <c r="A655" s="1">
        <v>654</v>
      </c>
      <c r="B655" s="1" t="s">
        <v>6412</v>
      </c>
      <c r="D655" s="1" t="s">
        <v>6398</v>
      </c>
      <c r="E655" s="1" t="s">
        <v>6413</v>
      </c>
      <c r="F655" s="1" t="s">
        <v>6414</v>
      </c>
      <c r="G655" s="1" t="s">
        <v>6415</v>
      </c>
    </row>
    <row r="656" spans="1:7">
      <c r="A656" s="1">
        <v>655</v>
      </c>
      <c r="B656" s="1" t="s">
        <v>6416</v>
      </c>
      <c r="D656" s="1" t="s">
        <v>6398</v>
      </c>
      <c r="E656" s="1" t="s">
        <v>6417</v>
      </c>
      <c r="F656" s="1" t="s">
        <v>6418</v>
      </c>
      <c r="G656" s="1" t="s">
        <v>6419</v>
      </c>
    </row>
    <row r="657" spans="1:7">
      <c r="A657" s="1">
        <v>656</v>
      </c>
      <c r="B657" s="1" t="s">
        <v>6420</v>
      </c>
      <c r="D657" s="1" t="s">
        <v>6421</v>
      </c>
      <c r="E657" s="1" t="s">
        <v>6422</v>
      </c>
      <c r="F657" s="1" t="s">
        <v>3854</v>
      </c>
      <c r="G657" s="1" t="s">
        <v>3855</v>
      </c>
    </row>
    <row r="658" spans="1:7">
      <c r="A658" s="1">
        <v>657</v>
      </c>
      <c r="B658" s="1" t="s">
        <v>6423</v>
      </c>
      <c r="D658" s="1" t="s">
        <v>6421</v>
      </c>
      <c r="E658" s="1" t="s">
        <v>1656</v>
      </c>
      <c r="F658" s="1" t="s">
        <v>6424</v>
      </c>
      <c r="G658" s="1" t="s">
        <v>6425</v>
      </c>
    </row>
    <row r="659" spans="1:7">
      <c r="A659" s="1">
        <v>658</v>
      </c>
      <c r="B659" s="1" t="s">
        <v>6426</v>
      </c>
      <c r="D659" s="1" t="s">
        <v>6421</v>
      </c>
      <c r="E659" s="1" t="s">
        <v>1659</v>
      </c>
      <c r="F659" s="1" t="s">
        <v>6427</v>
      </c>
      <c r="G659" s="1" t="s">
        <v>6428</v>
      </c>
    </row>
    <row r="660" spans="1:7">
      <c r="A660" s="1">
        <v>659</v>
      </c>
      <c r="B660" s="1" t="s">
        <v>6429</v>
      </c>
      <c r="D660" s="1" t="s">
        <v>6421</v>
      </c>
      <c r="E660" s="1" t="s">
        <v>1662</v>
      </c>
      <c r="F660" s="1" t="s">
        <v>6430</v>
      </c>
      <c r="G660" s="1" t="s">
        <v>6431</v>
      </c>
    </row>
    <row r="661" spans="1:7">
      <c r="A661" s="1">
        <v>660</v>
      </c>
      <c r="B661" s="1" t="s">
        <v>6432</v>
      </c>
      <c r="D661" s="1" t="s">
        <v>6421</v>
      </c>
      <c r="E661" s="1" t="s">
        <v>6433</v>
      </c>
      <c r="F661" s="1" t="s">
        <v>6434</v>
      </c>
      <c r="G661" s="1" t="s">
        <v>6435</v>
      </c>
    </row>
    <row r="662" spans="1:7">
      <c r="A662" s="1">
        <v>661</v>
      </c>
      <c r="B662" s="1" t="s">
        <v>6436</v>
      </c>
      <c r="D662" s="1" t="s">
        <v>6437</v>
      </c>
      <c r="E662" s="1" t="s">
        <v>6438</v>
      </c>
      <c r="F662" s="1" t="s">
        <v>3854</v>
      </c>
      <c r="G662" s="1" t="s">
        <v>3855</v>
      </c>
    </row>
    <row r="663" spans="1:7">
      <c r="A663" s="1">
        <v>662</v>
      </c>
      <c r="B663" s="1" t="s">
        <v>6439</v>
      </c>
      <c r="D663" s="1" t="s">
        <v>6437</v>
      </c>
      <c r="E663" s="1" t="s">
        <v>6440</v>
      </c>
      <c r="F663" s="1" t="s">
        <v>6424</v>
      </c>
      <c r="G663" s="1" t="s">
        <v>6425</v>
      </c>
    </row>
    <row r="664" spans="1:7">
      <c r="A664" s="1">
        <v>663</v>
      </c>
      <c r="B664" s="1" t="s">
        <v>6441</v>
      </c>
      <c r="D664" s="1" t="s">
        <v>6437</v>
      </c>
      <c r="E664" s="1" t="s">
        <v>6442</v>
      </c>
      <c r="F664" s="1" t="s">
        <v>3872</v>
      </c>
      <c r="G664" s="1" t="s">
        <v>3873</v>
      </c>
    </row>
    <row r="665" spans="1:7">
      <c r="A665" s="1">
        <v>664</v>
      </c>
      <c r="B665" s="1" t="s">
        <v>6443</v>
      </c>
      <c r="D665" s="1" t="s">
        <v>6437</v>
      </c>
      <c r="E665" s="1" t="s">
        <v>6444</v>
      </c>
      <c r="F665" s="1" t="s">
        <v>3863</v>
      </c>
      <c r="G665" s="1" t="s">
        <v>3864</v>
      </c>
    </row>
    <row r="666" spans="1:7">
      <c r="A666" s="1">
        <v>665</v>
      </c>
      <c r="B666" s="1" t="s">
        <v>6445</v>
      </c>
      <c r="D666" s="1" t="s">
        <v>6437</v>
      </c>
      <c r="E666" s="1" t="s">
        <v>6446</v>
      </c>
      <c r="F666" s="1" t="s">
        <v>3866</v>
      </c>
      <c r="G666" s="1" t="s">
        <v>3867</v>
      </c>
    </row>
    <row r="667" spans="1:7">
      <c r="A667" s="1">
        <v>666</v>
      </c>
      <c r="B667" s="1" t="s">
        <v>6447</v>
      </c>
      <c r="D667" s="1" t="s">
        <v>6437</v>
      </c>
      <c r="E667" s="1" t="s">
        <v>6448</v>
      </c>
      <c r="F667" s="1" t="s">
        <v>3869</v>
      </c>
      <c r="G667" s="1" t="s">
        <v>3870</v>
      </c>
    </row>
    <row r="668" spans="1:7">
      <c r="A668" s="1">
        <v>667</v>
      </c>
      <c r="B668" s="1" t="s">
        <v>6449</v>
      </c>
      <c r="D668" s="1" t="s">
        <v>6437</v>
      </c>
      <c r="E668" s="1" t="s">
        <v>6450</v>
      </c>
      <c r="F668" s="1" t="s">
        <v>3878</v>
      </c>
      <c r="G668" s="1" t="s">
        <v>3879</v>
      </c>
    </row>
    <row r="669" spans="1:7">
      <c r="A669" s="1">
        <v>668</v>
      </c>
      <c r="B669" s="1" t="s">
        <v>6451</v>
      </c>
      <c r="D669" s="1" t="s">
        <v>6437</v>
      </c>
      <c r="E669" s="1" t="s">
        <v>6452</v>
      </c>
      <c r="F669" s="1" t="s">
        <v>6453</v>
      </c>
      <c r="G669" s="1" t="s">
        <v>6454</v>
      </c>
    </row>
    <row r="670" spans="1:7">
      <c r="A670" s="1">
        <v>669</v>
      </c>
      <c r="B670" s="1" t="s">
        <v>6455</v>
      </c>
      <c r="D670" s="1" t="s">
        <v>6437</v>
      </c>
      <c r="E670" s="1" t="s">
        <v>6456</v>
      </c>
      <c r="F670" s="1" t="s">
        <v>6457</v>
      </c>
      <c r="G670" s="1" t="s">
        <v>6458</v>
      </c>
    </row>
    <row r="671" spans="1:7">
      <c r="A671" s="1">
        <v>670</v>
      </c>
      <c r="B671" s="1" t="s">
        <v>6459</v>
      </c>
      <c r="D671" s="1" t="s">
        <v>6460</v>
      </c>
      <c r="E671" s="1" t="s">
        <v>6461</v>
      </c>
      <c r="F671" s="1" t="s">
        <v>6462</v>
      </c>
      <c r="G671" s="1" t="s">
        <v>6463</v>
      </c>
    </row>
    <row r="672" spans="1:7">
      <c r="A672" s="1">
        <v>671</v>
      </c>
      <c r="B672" s="1" t="s">
        <v>6464</v>
      </c>
      <c r="D672" s="1" t="s">
        <v>6460</v>
      </c>
      <c r="E672" s="1" t="s">
        <v>6465</v>
      </c>
      <c r="F672" s="1" t="s">
        <v>6466</v>
      </c>
      <c r="G672" s="1" t="s">
        <v>6467</v>
      </c>
    </row>
    <row r="673" spans="1:7">
      <c r="A673" s="1">
        <v>672</v>
      </c>
      <c r="B673" s="1" t="s">
        <v>6468</v>
      </c>
      <c r="D673" s="1" t="s">
        <v>6460</v>
      </c>
      <c r="E673" s="1" t="s">
        <v>6469</v>
      </c>
      <c r="F673" s="1" t="s">
        <v>6470</v>
      </c>
      <c r="G673" s="1" t="s">
        <v>6471</v>
      </c>
    </row>
    <row r="674" spans="1:7">
      <c r="A674" s="1">
        <v>673</v>
      </c>
      <c r="B674" s="1" t="s">
        <v>6472</v>
      </c>
      <c r="D674" s="1" t="s">
        <v>6460</v>
      </c>
      <c r="E674" s="1" t="s">
        <v>6473</v>
      </c>
      <c r="F674" s="1" t="s">
        <v>6474</v>
      </c>
      <c r="G674" s="1" t="s">
        <v>6475</v>
      </c>
    </row>
    <row r="675" spans="1:7">
      <c r="A675" s="1">
        <v>674</v>
      </c>
      <c r="B675" s="1" t="s">
        <v>6476</v>
      </c>
      <c r="D675" s="1" t="s">
        <v>6460</v>
      </c>
      <c r="E675" s="1" t="s">
        <v>6477</v>
      </c>
      <c r="F675" s="1" t="s">
        <v>6478</v>
      </c>
      <c r="G675" s="1" t="s">
        <v>6479</v>
      </c>
    </row>
    <row r="676" spans="1:7">
      <c r="A676" s="1">
        <v>675</v>
      </c>
      <c r="B676" s="1" t="s">
        <v>6480</v>
      </c>
      <c r="D676" s="1" t="s">
        <v>6460</v>
      </c>
      <c r="E676" s="1" t="s">
        <v>6481</v>
      </c>
      <c r="F676" s="1" t="s">
        <v>6482</v>
      </c>
      <c r="G676" s="1" t="s">
        <v>6483</v>
      </c>
    </row>
    <row r="677" spans="1:7">
      <c r="A677" s="1">
        <v>676</v>
      </c>
      <c r="B677" s="1" t="s">
        <v>6484</v>
      </c>
      <c r="D677" s="1" t="s">
        <v>6485</v>
      </c>
      <c r="E677" s="1" t="s">
        <v>3891</v>
      </c>
      <c r="F677" s="1" t="s">
        <v>6486</v>
      </c>
      <c r="G677" s="1" t="s">
        <v>6487</v>
      </c>
    </row>
    <row r="678" spans="1:7">
      <c r="A678" s="1">
        <v>677</v>
      </c>
      <c r="B678" s="1" t="s">
        <v>6488</v>
      </c>
      <c r="D678" s="1" t="s">
        <v>6485</v>
      </c>
      <c r="E678" s="1" t="s">
        <v>3890</v>
      </c>
      <c r="F678" s="1" t="s">
        <v>6489</v>
      </c>
      <c r="G678" s="1" t="s">
        <v>6490</v>
      </c>
    </row>
    <row r="679" spans="1:7">
      <c r="A679" s="1">
        <v>678</v>
      </c>
      <c r="B679" s="1" t="s">
        <v>6491</v>
      </c>
      <c r="D679" s="1" t="s">
        <v>6485</v>
      </c>
      <c r="E679" s="1" t="s">
        <v>6492</v>
      </c>
      <c r="F679" s="1" t="s">
        <v>6493</v>
      </c>
      <c r="G679" s="1" t="s">
        <v>6494</v>
      </c>
    </row>
    <row r="680" spans="1:7">
      <c r="A680" s="1">
        <v>679</v>
      </c>
      <c r="B680" s="1" t="s">
        <v>6495</v>
      </c>
      <c r="D680" s="1" t="s">
        <v>6485</v>
      </c>
      <c r="E680" s="1" t="s">
        <v>6496</v>
      </c>
      <c r="F680" s="1" t="s">
        <v>6497</v>
      </c>
      <c r="G680" s="1" t="s">
        <v>6498</v>
      </c>
    </row>
    <row r="681" spans="1:7">
      <c r="A681" s="1">
        <v>680</v>
      </c>
      <c r="B681" s="1" t="s">
        <v>6499</v>
      </c>
      <c r="D681" s="1" t="s">
        <v>6485</v>
      </c>
      <c r="E681" s="1" t="s">
        <v>6500</v>
      </c>
      <c r="F681" s="1" t="s">
        <v>6501</v>
      </c>
      <c r="G681" s="1" t="s">
        <v>6502</v>
      </c>
    </row>
    <row r="682" spans="1:7">
      <c r="A682" s="1">
        <v>681</v>
      </c>
      <c r="B682" s="1" t="s">
        <v>6503</v>
      </c>
      <c r="D682" s="1" t="s">
        <v>6485</v>
      </c>
      <c r="E682" s="1" t="s">
        <v>3894</v>
      </c>
      <c r="F682" s="1" t="s">
        <v>6504</v>
      </c>
      <c r="G682" s="1" t="s">
        <v>6505</v>
      </c>
    </row>
    <row r="683" spans="1:7">
      <c r="A683" s="1">
        <v>682</v>
      </c>
      <c r="B683" s="1" t="s">
        <v>6506</v>
      </c>
      <c r="D683" s="1" t="s">
        <v>6485</v>
      </c>
      <c r="E683" s="1" t="s">
        <v>3888</v>
      </c>
      <c r="F683" s="1" t="s">
        <v>6507</v>
      </c>
      <c r="G683" s="1" t="s">
        <v>6508</v>
      </c>
    </row>
    <row r="684" spans="1:7">
      <c r="A684" s="1">
        <v>683</v>
      </c>
      <c r="B684" s="1" t="s">
        <v>6509</v>
      </c>
      <c r="D684" s="1" t="s">
        <v>6485</v>
      </c>
      <c r="E684" s="1" t="s">
        <v>3885</v>
      </c>
      <c r="F684" s="1" t="s">
        <v>6510</v>
      </c>
      <c r="G684" s="1" t="s">
        <v>6511</v>
      </c>
    </row>
    <row r="685" spans="1:7">
      <c r="A685" s="1">
        <v>684</v>
      </c>
      <c r="B685" s="1" t="s">
        <v>6512</v>
      </c>
      <c r="D685" s="1" t="s">
        <v>6485</v>
      </c>
      <c r="E685" s="1" t="s">
        <v>3889</v>
      </c>
      <c r="F685" s="1" t="s">
        <v>6513</v>
      </c>
      <c r="G685" s="1" t="s">
        <v>6514</v>
      </c>
    </row>
    <row r="686" spans="1:7">
      <c r="A686" s="1">
        <v>685</v>
      </c>
      <c r="B686" s="1" t="s">
        <v>6515</v>
      </c>
      <c r="D686" s="1" t="s">
        <v>6485</v>
      </c>
      <c r="E686" s="1" t="s">
        <v>6516</v>
      </c>
      <c r="F686" s="1" t="s">
        <v>6517</v>
      </c>
      <c r="G686" s="1" t="s">
        <v>6518</v>
      </c>
    </row>
    <row r="687" spans="1:7">
      <c r="A687" s="1">
        <v>686</v>
      </c>
      <c r="B687" s="1" t="s">
        <v>6519</v>
      </c>
      <c r="D687" s="1" t="s">
        <v>6485</v>
      </c>
      <c r="E687" s="1" t="s">
        <v>6520</v>
      </c>
      <c r="F687" s="1" t="s">
        <v>6521</v>
      </c>
      <c r="G687" s="1" t="s">
        <v>6522</v>
      </c>
    </row>
    <row r="688" spans="1:7">
      <c r="A688" s="1">
        <v>687</v>
      </c>
      <c r="B688" s="1" t="s">
        <v>6523</v>
      </c>
      <c r="D688" s="1" t="s">
        <v>6485</v>
      </c>
      <c r="E688" s="1" t="s">
        <v>6524</v>
      </c>
      <c r="F688" s="1" t="s">
        <v>6525</v>
      </c>
      <c r="G688" s="1" t="s">
        <v>6526</v>
      </c>
    </row>
    <row r="689" spans="1:7">
      <c r="A689" s="1">
        <v>688</v>
      </c>
      <c r="B689" s="1" t="s">
        <v>6527</v>
      </c>
      <c r="D689" s="1" t="s">
        <v>6528</v>
      </c>
      <c r="E689" s="1" t="s">
        <v>287</v>
      </c>
      <c r="F689" s="1" t="s">
        <v>6529</v>
      </c>
      <c r="G689" s="1" t="s">
        <v>6530</v>
      </c>
    </row>
    <row r="690" spans="1:7">
      <c r="A690" s="1">
        <v>689</v>
      </c>
      <c r="B690" s="1" t="s">
        <v>6531</v>
      </c>
      <c r="D690" s="1" t="s">
        <v>6528</v>
      </c>
      <c r="E690" s="1" t="s">
        <v>291</v>
      </c>
      <c r="F690" s="1" t="s">
        <v>292</v>
      </c>
      <c r="G690" s="1" t="s">
        <v>293</v>
      </c>
    </row>
    <row r="691" spans="1:7">
      <c r="A691" s="1">
        <v>690</v>
      </c>
      <c r="B691" s="1" t="s">
        <v>6532</v>
      </c>
      <c r="D691" s="1" t="s">
        <v>6528</v>
      </c>
      <c r="E691" s="1" t="s">
        <v>295</v>
      </c>
      <c r="F691" s="1" t="s">
        <v>6533</v>
      </c>
      <c r="G691" s="1" t="s">
        <v>6534</v>
      </c>
    </row>
    <row r="692" spans="1:7">
      <c r="A692" s="1">
        <v>691</v>
      </c>
      <c r="B692" s="1" t="s">
        <v>6535</v>
      </c>
      <c r="D692" s="1" t="s">
        <v>6536</v>
      </c>
      <c r="E692" s="1" t="s">
        <v>317</v>
      </c>
      <c r="F692" s="1" t="s">
        <v>318</v>
      </c>
      <c r="G692" s="1" t="s">
        <v>319</v>
      </c>
    </row>
    <row r="693" spans="1:7">
      <c r="A693" s="1">
        <v>692</v>
      </c>
      <c r="B693" s="1" t="s">
        <v>6537</v>
      </c>
      <c r="D693" s="1" t="s">
        <v>6536</v>
      </c>
      <c r="E693" s="1" t="s">
        <v>321</v>
      </c>
      <c r="F693" s="1" t="s">
        <v>322</v>
      </c>
      <c r="G693" s="1" t="s">
        <v>323</v>
      </c>
    </row>
    <row r="694" spans="1:7">
      <c r="A694" s="1">
        <v>693</v>
      </c>
      <c r="B694" s="1" t="s">
        <v>6538</v>
      </c>
      <c r="D694" s="1" t="s">
        <v>6536</v>
      </c>
      <c r="E694" s="1" t="s">
        <v>325</v>
      </c>
      <c r="F694" s="1" t="s">
        <v>326</v>
      </c>
      <c r="G694" s="1" t="s">
        <v>327</v>
      </c>
    </row>
    <row r="695" spans="1:7">
      <c r="A695" s="1">
        <v>694</v>
      </c>
      <c r="B695" s="1" t="s">
        <v>6539</v>
      </c>
      <c r="D695" s="1" t="s">
        <v>6536</v>
      </c>
      <c r="E695" s="1" t="s">
        <v>6540</v>
      </c>
      <c r="F695" s="1" t="s">
        <v>6541</v>
      </c>
      <c r="G695" s="1" t="s">
        <v>6542</v>
      </c>
    </row>
    <row r="696" spans="1:7">
      <c r="A696" s="1">
        <v>695</v>
      </c>
      <c r="B696" s="1" t="s">
        <v>6543</v>
      </c>
      <c r="D696" s="1" t="s">
        <v>6536</v>
      </c>
      <c r="E696" s="1" t="s">
        <v>333</v>
      </c>
      <c r="F696" s="1" t="s">
        <v>334</v>
      </c>
      <c r="G696" s="1" t="s">
        <v>335</v>
      </c>
    </row>
    <row r="697" spans="1:7">
      <c r="A697" s="1">
        <v>696</v>
      </c>
      <c r="B697" s="1" t="s">
        <v>6544</v>
      </c>
      <c r="D697" s="1" t="s">
        <v>6536</v>
      </c>
      <c r="E697" s="1" t="s">
        <v>301</v>
      </c>
      <c r="F697" s="1" t="s">
        <v>302</v>
      </c>
      <c r="G697" s="1" t="s">
        <v>303</v>
      </c>
    </row>
    <row r="698" spans="1:7">
      <c r="A698" s="1">
        <v>697</v>
      </c>
      <c r="B698" s="1" t="s">
        <v>6545</v>
      </c>
      <c r="D698" s="1" t="s">
        <v>6536</v>
      </c>
      <c r="E698" s="1" t="s">
        <v>305</v>
      </c>
      <c r="F698" s="1" t="s">
        <v>306</v>
      </c>
      <c r="G698" s="1" t="s">
        <v>307</v>
      </c>
    </row>
    <row r="699" spans="1:7">
      <c r="A699" s="1">
        <v>698</v>
      </c>
      <c r="B699" s="1" t="s">
        <v>6546</v>
      </c>
      <c r="D699" s="1" t="s">
        <v>6536</v>
      </c>
      <c r="E699" s="1" t="s">
        <v>309</v>
      </c>
      <c r="F699" s="1" t="s">
        <v>310</v>
      </c>
      <c r="G699" s="1" t="s">
        <v>311</v>
      </c>
    </row>
    <row r="700" spans="1:7">
      <c r="A700" s="1">
        <v>699</v>
      </c>
      <c r="B700" s="1" t="s">
        <v>6547</v>
      </c>
      <c r="D700" s="1" t="s">
        <v>6536</v>
      </c>
      <c r="E700" s="1" t="s">
        <v>313</v>
      </c>
      <c r="F700" s="1" t="s">
        <v>314</v>
      </c>
      <c r="G700" s="1" t="s">
        <v>315</v>
      </c>
    </row>
    <row r="701" spans="1:7">
      <c r="A701" s="1">
        <v>700</v>
      </c>
      <c r="B701" s="1" t="s">
        <v>6548</v>
      </c>
      <c r="D701" s="1" t="s">
        <v>6536</v>
      </c>
      <c r="E701" s="1" t="s">
        <v>329</v>
      </c>
      <c r="F701" s="1" t="s">
        <v>330</v>
      </c>
      <c r="G701" s="1" t="s">
        <v>331</v>
      </c>
    </row>
    <row r="702" spans="1:7">
      <c r="A702" s="1">
        <v>701</v>
      </c>
      <c r="B702" s="1" t="s">
        <v>6549</v>
      </c>
      <c r="D702" s="1" t="s">
        <v>6536</v>
      </c>
      <c r="E702" s="1" t="s">
        <v>337</v>
      </c>
      <c r="F702" s="1" t="s">
        <v>6550</v>
      </c>
      <c r="G702" s="1" t="s">
        <v>6551</v>
      </c>
    </row>
    <row r="703" spans="1:7">
      <c r="A703" s="1">
        <v>702</v>
      </c>
      <c r="B703" s="1" t="s">
        <v>6552</v>
      </c>
      <c r="D703" s="1" t="s">
        <v>6536</v>
      </c>
      <c r="E703" s="1" t="s">
        <v>341</v>
      </c>
      <c r="F703" s="1" t="s">
        <v>342</v>
      </c>
      <c r="G703" s="1" t="s">
        <v>343</v>
      </c>
    </row>
    <row r="704" spans="1:7">
      <c r="A704" s="1">
        <v>703</v>
      </c>
      <c r="B704" s="1" t="s">
        <v>6553</v>
      </c>
      <c r="D704" s="1" t="s">
        <v>6554</v>
      </c>
      <c r="E704" s="1" t="s">
        <v>6555</v>
      </c>
      <c r="F704" s="1" t="s">
        <v>6556</v>
      </c>
      <c r="G704" s="1" t="s">
        <v>6557</v>
      </c>
    </row>
    <row r="705" spans="1:7">
      <c r="A705" s="1">
        <v>704</v>
      </c>
      <c r="B705" s="1" t="s">
        <v>6558</v>
      </c>
      <c r="D705" s="1" t="s">
        <v>6554</v>
      </c>
      <c r="E705" s="1" t="s">
        <v>6559</v>
      </c>
      <c r="F705" s="1" t="s">
        <v>6560</v>
      </c>
      <c r="G705" s="1" t="s">
        <v>6561</v>
      </c>
    </row>
    <row r="706" spans="1:7">
      <c r="A706" s="1">
        <v>705</v>
      </c>
      <c r="B706" s="1" t="s">
        <v>6562</v>
      </c>
      <c r="D706" s="1" t="s">
        <v>6554</v>
      </c>
      <c r="E706" s="1" t="s">
        <v>6563</v>
      </c>
      <c r="F706" s="1" t="s">
        <v>6564</v>
      </c>
      <c r="G706" s="1" t="s">
        <v>6565</v>
      </c>
    </row>
    <row r="707" spans="1:7">
      <c r="A707" s="1">
        <v>706</v>
      </c>
      <c r="B707" s="1" t="s">
        <v>6566</v>
      </c>
      <c r="D707" s="1" t="s">
        <v>6554</v>
      </c>
      <c r="E707" s="1" t="s">
        <v>6567</v>
      </c>
      <c r="F707" s="1" t="s">
        <v>6568</v>
      </c>
      <c r="G707" s="1" t="s">
        <v>6569</v>
      </c>
    </row>
    <row r="708" spans="1:7">
      <c r="A708" s="1">
        <v>707</v>
      </c>
      <c r="B708" s="1" t="s">
        <v>6570</v>
      </c>
      <c r="D708" s="1" t="s">
        <v>6571</v>
      </c>
      <c r="E708" s="1" t="s">
        <v>353</v>
      </c>
      <c r="F708" s="1" t="s">
        <v>6572</v>
      </c>
      <c r="G708" s="1" t="s">
        <v>6573</v>
      </c>
    </row>
    <row r="709" spans="1:7">
      <c r="A709" s="1">
        <v>708</v>
      </c>
      <c r="B709" s="1" t="s">
        <v>6574</v>
      </c>
      <c r="D709" s="1" t="s">
        <v>6571</v>
      </c>
      <c r="E709" s="1" t="s">
        <v>362</v>
      </c>
      <c r="F709" s="1" t="s">
        <v>6575</v>
      </c>
      <c r="G709" s="1" t="s">
        <v>6576</v>
      </c>
    </row>
    <row r="710" spans="1:7">
      <c r="A710" s="1">
        <v>709</v>
      </c>
      <c r="B710" s="1" t="s">
        <v>6577</v>
      </c>
      <c r="D710" s="1" t="s">
        <v>6571</v>
      </c>
      <c r="E710" s="1" t="s">
        <v>368</v>
      </c>
      <c r="F710" s="1" t="s">
        <v>6578</v>
      </c>
      <c r="G710" s="1" t="s">
        <v>6579</v>
      </c>
    </row>
    <row r="711" spans="1:7">
      <c r="A711" s="1">
        <v>710</v>
      </c>
      <c r="B711" s="1" t="s">
        <v>6580</v>
      </c>
      <c r="D711" s="1" t="s">
        <v>6571</v>
      </c>
      <c r="E711" s="1" t="s">
        <v>350</v>
      </c>
      <c r="F711" s="1" t="s">
        <v>6581</v>
      </c>
      <c r="G711" s="1" t="s">
        <v>6582</v>
      </c>
    </row>
    <row r="712" spans="1:7">
      <c r="A712" s="1">
        <v>711</v>
      </c>
      <c r="B712" s="1" t="s">
        <v>6583</v>
      </c>
      <c r="D712" s="1" t="s">
        <v>6571</v>
      </c>
      <c r="E712" s="1" t="s">
        <v>359</v>
      </c>
      <c r="F712" s="1" t="s">
        <v>360</v>
      </c>
      <c r="G712" s="1" t="s">
        <v>361</v>
      </c>
    </row>
    <row r="713" spans="1:7">
      <c r="A713" s="1">
        <v>712</v>
      </c>
      <c r="B713" s="1" t="s">
        <v>6584</v>
      </c>
      <c r="D713" s="1" t="s">
        <v>6571</v>
      </c>
      <c r="E713" s="1" t="s">
        <v>371</v>
      </c>
      <c r="F713" s="1" t="s">
        <v>6585</v>
      </c>
      <c r="G713" s="1" t="s">
        <v>6586</v>
      </c>
    </row>
    <row r="714" spans="1:7">
      <c r="A714" s="1">
        <v>713</v>
      </c>
      <c r="B714" s="1" t="s">
        <v>6587</v>
      </c>
      <c r="D714" s="1" t="s">
        <v>6571</v>
      </c>
      <c r="E714" s="1" t="s">
        <v>374</v>
      </c>
      <c r="F714" s="1" t="s">
        <v>6588</v>
      </c>
      <c r="G714" s="1" t="s">
        <v>6589</v>
      </c>
    </row>
    <row r="715" spans="1:7">
      <c r="A715" s="1">
        <v>714</v>
      </c>
      <c r="B715" s="1" t="s">
        <v>6590</v>
      </c>
      <c r="D715" s="1" t="s">
        <v>6571</v>
      </c>
      <c r="E715" s="1" t="s">
        <v>356</v>
      </c>
      <c r="F715" s="1" t="s">
        <v>357</v>
      </c>
      <c r="G715" s="1" t="s">
        <v>6591</v>
      </c>
    </row>
    <row r="716" spans="1:7">
      <c r="A716" s="1">
        <v>715</v>
      </c>
      <c r="B716" s="1" t="s">
        <v>6592</v>
      </c>
      <c r="D716" s="1" t="s">
        <v>6571</v>
      </c>
      <c r="E716" s="1" t="s">
        <v>365</v>
      </c>
      <c r="F716" s="1" t="s">
        <v>6593</v>
      </c>
      <c r="G716" s="1" t="s">
        <v>6594</v>
      </c>
    </row>
    <row r="717" spans="1:7">
      <c r="A717" s="1">
        <v>716</v>
      </c>
      <c r="B717" s="1" t="s">
        <v>6595</v>
      </c>
      <c r="D717" s="1" t="s">
        <v>6571</v>
      </c>
      <c r="E717" s="1" t="s">
        <v>377</v>
      </c>
      <c r="F717" s="1" t="s">
        <v>6596</v>
      </c>
      <c r="G717" s="1" t="s">
        <v>6597</v>
      </c>
    </row>
    <row r="718" spans="1:7">
      <c r="A718" s="1">
        <v>717</v>
      </c>
      <c r="B718" s="1" t="s">
        <v>6598</v>
      </c>
      <c r="D718" s="1" t="s">
        <v>6571</v>
      </c>
      <c r="E718" s="1" t="s">
        <v>383</v>
      </c>
      <c r="F718" s="1" t="s">
        <v>384</v>
      </c>
      <c r="G718" s="1" t="s">
        <v>385</v>
      </c>
    </row>
    <row r="719" spans="1:7">
      <c r="A719" s="1">
        <v>718</v>
      </c>
      <c r="B719" s="1" t="s">
        <v>6599</v>
      </c>
      <c r="D719" s="1" t="s">
        <v>6571</v>
      </c>
      <c r="E719" s="1" t="s">
        <v>380</v>
      </c>
      <c r="F719" s="1" t="s">
        <v>6600</v>
      </c>
      <c r="G719" s="1" t="s">
        <v>6601</v>
      </c>
    </row>
    <row r="720" spans="1:7">
      <c r="A720" s="1">
        <v>719</v>
      </c>
      <c r="B720" s="1" t="s">
        <v>6602</v>
      </c>
      <c r="D720" s="1" t="s">
        <v>6603</v>
      </c>
      <c r="E720" s="1" t="s">
        <v>1963</v>
      </c>
      <c r="F720" s="1" t="s">
        <v>6604</v>
      </c>
      <c r="G720" s="1" t="s">
        <v>6605</v>
      </c>
    </row>
    <row r="721" spans="1:7">
      <c r="A721" s="1">
        <v>720</v>
      </c>
      <c r="B721" s="1" t="s">
        <v>6606</v>
      </c>
      <c r="D721" s="1" t="s">
        <v>6603</v>
      </c>
      <c r="E721" s="1" t="s">
        <v>1966</v>
      </c>
      <c r="F721" s="1" t="s">
        <v>6607</v>
      </c>
      <c r="G721" s="1" t="s">
        <v>6608</v>
      </c>
    </row>
    <row r="722" spans="1:7">
      <c r="A722" s="1">
        <v>721</v>
      </c>
      <c r="B722" s="1" t="s">
        <v>6609</v>
      </c>
      <c r="D722" s="1" t="s">
        <v>6603</v>
      </c>
      <c r="E722" s="1" t="s">
        <v>2748</v>
      </c>
      <c r="F722" s="1" t="s">
        <v>6610</v>
      </c>
      <c r="G722" s="1" t="s">
        <v>6611</v>
      </c>
    </row>
    <row r="723" spans="1:7">
      <c r="A723" s="1">
        <v>722</v>
      </c>
      <c r="B723" s="1" t="s">
        <v>6612</v>
      </c>
      <c r="D723" s="1" t="s">
        <v>6603</v>
      </c>
      <c r="E723" s="1" t="s">
        <v>1973</v>
      </c>
      <c r="F723" s="1" t="s">
        <v>6613</v>
      </c>
      <c r="G723" s="1" t="s">
        <v>6614</v>
      </c>
    </row>
    <row r="724" spans="1:7">
      <c r="A724" s="1">
        <v>723</v>
      </c>
      <c r="B724" s="1" t="s">
        <v>6615</v>
      </c>
      <c r="D724" s="1" t="s">
        <v>6603</v>
      </c>
      <c r="E724" s="1" t="s">
        <v>1970</v>
      </c>
      <c r="F724" s="1" t="s">
        <v>6616</v>
      </c>
      <c r="G724" s="1" t="s">
        <v>6617</v>
      </c>
    </row>
    <row r="725" spans="1:7">
      <c r="A725" s="1">
        <v>724</v>
      </c>
      <c r="B725" s="1" t="s">
        <v>6618</v>
      </c>
      <c r="D725" s="1" t="s">
        <v>6603</v>
      </c>
      <c r="E725" s="1" t="s">
        <v>1969</v>
      </c>
      <c r="F725" s="1" t="s">
        <v>6619</v>
      </c>
      <c r="G725" s="1" t="s">
        <v>6620</v>
      </c>
    </row>
    <row r="726" spans="1:7">
      <c r="A726" s="1">
        <v>725</v>
      </c>
      <c r="B726" s="1" t="s">
        <v>6621</v>
      </c>
      <c r="D726" s="1" t="s">
        <v>6603</v>
      </c>
      <c r="E726" s="1" t="s">
        <v>6622</v>
      </c>
      <c r="F726" s="1" t="s">
        <v>6623</v>
      </c>
      <c r="G726" s="1" t="s">
        <v>6624</v>
      </c>
    </row>
    <row r="727" spans="1:7">
      <c r="A727" s="1">
        <v>726</v>
      </c>
      <c r="B727" s="1" t="s">
        <v>6625</v>
      </c>
      <c r="D727" s="1" t="s">
        <v>6603</v>
      </c>
      <c r="E727" s="1" t="s">
        <v>6626</v>
      </c>
      <c r="F727" s="1" t="s">
        <v>6627</v>
      </c>
      <c r="G727" s="1" t="s">
        <v>6628</v>
      </c>
    </row>
    <row r="728" spans="1:7">
      <c r="A728" s="1">
        <v>727</v>
      </c>
      <c r="B728" s="1" t="s">
        <v>6629</v>
      </c>
      <c r="D728" s="1" t="s">
        <v>6603</v>
      </c>
      <c r="E728" s="1" t="s">
        <v>6630</v>
      </c>
      <c r="F728" s="1" t="s">
        <v>6631</v>
      </c>
      <c r="G728" s="1" t="s">
        <v>6632</v>
      </c>
    </row>
    <row r="729" spans="1:7">
      <c r="A729" s="1">
        <v>728</v>
      </c>
      <c r="B729" s="1" t="s">
        <v>6633</v>
      </c>
      <c r="D729" s="1" t="s">
        <v>6603</v>
      </c>
      <c r="E729" s="1" t="s">
        <v>1974</v>
      </c>
      <c r="F729" s="1" t="s">
        <v>6634</v>
      </c>
      <c r="G729" s="1" t="s">
        <v>6635</v>
      </c>
    </row>
    <row r="730" spans="1:7">
      <c r="A730" s="1">
        <v>729</v>
      </c>
      <c r="B730" s="1" t="s">
        <v>6636</v>
      </c>
      <c r="D730" s="1" t="s">
        <v>6603</v>
      </c>
      <c r="E730" s="1" t="s">
        <v>6637</v>
      </c>
      <c r="F730" s="1" t="s">
        <v>6638</v>
      </c>
      <c r="G730" s="1" t="s">
        <v>6639</v>
      </c>
    </row>
    <row r="731" spans="1:7">
      <c r="A731" s="1">
        <v>730</v>
      </c>
      <c r="B731" s="1" t="s">
        <v>6640</v>
      </c>
      <c r="D731" s="1" t="s">
        <v>6603</v>
      </c>
      <c r="E731" s="1" t="s">
        <v>6641</v>
      </c>
      <c r="F731" s="1" t="s">
        <v>6642</v>
      </c>
      <c r="G731" s="1" t="s">
        <v>6643</v>
      </c>
    </row>
    <row r="732" spans="1:7">
      <c r="A732" s="1">
        <v>731</v>
      </c>
      <c r="B732" s="1" t="s">
        <v>6644</v>
      </c>
      <c r="D732" s="1" t="s">
        <v>6603</v>
      </c>
      <c r="E732" s="1" t="s">
        <v>6645</v>
      </c>
      <c r="F732" s="1" t="s">
        <v>6646</v>
      </c>
      <c r="G732" s="1" t="s">
        <v>6647</v>
      </c>
    </row>
    <row r="733" spans="1:7">
      <c r="A733" s="1">
        <v>732</v>
      </c>
      <c r="B733" s="1" t="s">
        <v>6648</v>
      </c>
      <c r="D733" s="1" t="s">
        <v>6649</v>
      </c>
      <c r="E733" s="1" t="s">
        <v>6650</v>
      </c>
      <c r="F733" s="1" t="s">
        <v>6651</v>
      </c>
      <c r="G733" s="1" t="s">
        <v>6652</v>
      </c>
    </row>
    <row r="734" spans="1:7">
      <c r="A734" s="1">
        <v>733</v>
      </c>
      <c r="B734" s="1" t="s">
        <v>6653</v>
      </c>
      <c r="D734" s="1" t="s">
        <v>6649</v>
      </c>
      <c r="E734" s="1" t="s">
        <v>6654</v>
      </c>
      <c r="F734" s="1" t="s">
        <v>6655</v>
      </c>
      <c r="G734" s="1" t="s">
        <v>6656</v>
      </c>
    </row>
    <row r="735" spans="1:7">
      <c r="A735" s="1">
        <v>734</v>
      </c>
      <c r="B735" s="1" t="s">
        <v>6657</v>
      </c>
      <c r="D735" s="1" t="s">
        <v>6649</v>
      </c>
      <c r="E735" s="1" t="s">
        <v>3769</v>
      </c>
      <c r="F735" s="1" t="s">
        <v>1663</v>
      </c>
      <c r="G735" s="1" t="s">
        <v>1664</v>
      </c>
    </row>
    <row r="736" spans="1:7">
      <c r="A736" s="1">
        <v>735</v>
      </c>
      <c r="B736" s="1" t="s">
        <v>6658</v>
      </c>
      <c r="D736" s="1" t="s">
        <v>6649</v>
      </c>
      <c r="E736" s="1" t="s">
        <v>6659</v>
      </c>
      <c r="F736" s="1" t="s">
        <v>6660</v>
      </c>
      <c r="G736" s="1" t="s">
        <v>6661</v>
      </c>
    </row>
    <row r="737" spans="1:7">
      <c r="A737" s="1">
        <v>736</v>
      </c>
      <c r="B737" s="1" t="s">
        <v>6662</v>
      </c>
      <c r="D737" s="1" t="s">
        <v>6649</v>
      </c>
      <c r="E737" s="1" t="s">
        <v>6663</v>
      </c>
      <c r="F737" s="1" t="s">
        <v>6664</v>
      </c>
      <c r="G737" s="1" t="s">
        <v>6665</v>
      </c>
    </row>
    <row r="738" spans="1:7">
      <c r="A738" s="1">
        <v>737</v>
      </c>
      <c r="B738" s="1" t="s">
        <v>6666</v>
      </c>
      <c r="D738" s="1" t="s">
        <v>6649</v>
      </c>
      <c r="E738" s="1" t="s">
        <v>3766</v>
      </c>
      <c r="F738" s="1" t="s">
        <v>6667</v>
      </c>
      <c r="G738" s="1" t="s">
        <v>6668</v>
      </c>
    </row>
    <row r="739" spans="1:7">
      <c r="A739" s="1">
        <v>738</v>
      </c>
      <c r="B739" s="1" t="s">
        <v>6669</v>
      </c>
      <c r="D739" s="1" t="s">
        <v>6670</v>
      </c>
      <c r="E739" s="1" t="s">
        <v>6671</v>
      </c>
      <c r="F739" s="1" t="s">
        <v>389</v>
      </c>
      <c r="G739" s="1" t="s">
        <v>390</v>
      </c>
    </row>
    <row r="740" spans="1:7">
      <c r="A740" s="1">
        <v>739</v>
      </c>
      <c r="B740" s="1" t="s">
        <v>6672</v>
      </c>
      <c r="D740" s="1" t="s">
        <v>6673</v>
      </c>
      <c r="E740" s="1" t="s">
        <v>6674</v>
      </c>
      <c r="F740" s="1" t="s">
        <v>6675</v>
      </c>
      <c r="G740" s="1" t="s">
        <v>6676</v>
      </c>
    </row>
    <row r="741" spans="1:7">
      <c r="A741" s="1">
        <v>740</v>
      </c>
      <c r="B741" s="1" t="s">
        <v>6677</v>
      </c>
      <c r="D741" s="1" t="s">
        <v>6673</v>
      </c>
      <c r="E741" s="1" t="s">
        <v>6678</v>
      </c>
      <c r="F741" s="1" t="s">
        <v>6679</v>
      </c>
      <c r="G741" s="1" t="s">
        <v>6680</v>
      </c>
    </row>
    <row r="742" spans="1:7">
      <c r="A742" s="1">
        <v>741</v>
      </c>
      <c r="B742" s="1" t="s">
        <v>6681</v>
      </c>
      <c r="D742" s="1" t="s">
        <v>6673</v>
      </c>
      <c r="E742" s="1" t="s">
        <v>6682</v>
      </c>
      <c r="F742" s="1" t="s">
        <v>6683</v>
      </c>
      <c r="G742" s="1" t="s">
        <v>6684</v>
      </c>
    </row>
    <row r="743" spans="1:7">
      <c r="A743" s="1">
        <v>742</v>
      </c>
      <c r="B743" s="1" t="s">
        <v>6685</v>
      </c>
      <c r="D743" s="1" t="s">
        <v>6673</v>
      </c>
      <c r="E743" s="1" t="s">
        <v>6686</v>
      </c>
      <c r="F743" s="1" t="s">
        <v>6687</v>
      </c>
      <c r="G743" s="1" t="s">
        <v>6688</v>
      </c>
    </row>
    <row r="744" spans="1:7">
      <c r="A744" s="1">
        <v>743</v>
      </c>
      <c r="B744" s="1" t="s">
        <v>6689</v>
      </c>
      <c r="D744" s="1" t="s">
        <v>6673</v>
      </c>
      <c r="E744" s="1" t="s">
        <v>6690</v>
      </c>
      <c r="F744" s="1" t="s">
        <v>6691</v>
      </c>
      <c r="G744" s="1" t="s">
        <v>6692</v>
      </c>
    </row>
    <row r="745" spans="1:7">
      <c r="A745" s="1">
        <v>744</v>
      </c>
      <c r="B745" s="1" t="s">
        <v>6693</v>
      </c>
      <c r="D745" s="1" t="s">
        <v>6673</v>
      </c>
      <c r="E745" s="1" t="s">
        <v>6694</v>
      </c>
      <c r="F745" s="1" t="s">
        <v>6695</v>
      </c>
      <c r="G745" s="1" t="s">
        <v>6696</v>
      </c>
    </row>
    <row r="746" spans="1:7">
      <c r="A746" s="1">
        <v>745</v>
      </c>
      <c r="B746" s="1" t="s">
        <v>6697</v>
      </c>
      <c r="D746" s="1" t="s">
        <v>6673</v>
      </c>
      <c r="E746" s="1" t="s">
        <v>6698</v>
      </c>
      <c r="F746" s="1" t="s">
        <v>6699</v>
      </c>
      <c r="G746" s="1" t="s">
        <v>6700</v>
      </c>
    </row>
    <row r="747" spans="1:7">
      <c r="A747" s="1">
        <v>746</v>
      </c>
      <c r="B747" s="1" t="s">
        <v>6701</v>
      </c>
      <c r="D747" s="1" t="s">
        <v>6673</v>
      </c>
      <c r="E747" s="1" t="s">
        <v>6702</v>
      </c>
      <c r="F747" s="1" t="s">
        <v>6703</v>
      </c>
      <c r="G747" s="1" t="s">
        <v>6704</v>
      </c>
    </row>
    <row r="748" spans="1:7">
      <c r="A748" s="1">
        <v>747</v>
      </c>
      <c r="B748" s="1" t="s">
        <v>6705</v>
      </c>
      <c r="D748" s="1" t="s">
        <v>6673</v>
      </c>
      <c r="E748" s="1" t="s">
        <v>6706</v>
      </c>
      <c r="F748" s="1" t="s">
        <v>6707</v>
      </c>
      <c r="G748" s="1" t="s">
        <v>6708</v>
      </c>
    </row>
    <row r="749" spans="1:7">
      <c r="A749" s="1">
        <v>748</v>
      </c>
      <c r="B749" s="1" t="s">
        <v>6709</v>
      </c>
      <c r="D749" s="1" t="s">
        <v>6673</v>
      </c>
      <c r="E749" s="1" t="s">
        <v>6710</v>
      </c>
      <c r="F749" s="1" t="s">
        <v>6711</v>
      </c>
      <c r="G749" s="1" t="s">
        <v>6712</v>
      </c>
    </row>
    <row r="750" spans="1:7">
      <c r="A750" s="1">
        <v>749</v>
      </c>
      <c r="B750" s="1" t="s">
        <v>6713</v>
      </c>
      <c r="D750" s="1" t="s">
        <v>6673</v>
      </c>
      <c r="E750" s="1" t="s">
        <v>6714</v>
      </c>
      <c r="F750" s="1" t="s">
        <v>6715</v>
      </c>
      <c r="G750" s="1" t="s">
        <v>6716</v>
      </c>
    </row>
    <row r="751" spans="1:7">
      <c r="A751" s="1">
        <v>750</v>
      </c>
      <c r="B751" s="1" t="s">
        <v>6717</v>
      </c>
      <c r="D751" s="1" t="s">
        <v>6673</v>
      </c>
      <c r="E751" s="1" t="s">
        <v>6718</v>
      </c>
      <c r="F751" s="1" t="s">
        <v>6719</v>
      </c>
      <c r="G751" s="1" t="s">
        <v>6720</v>
      </c>
    </row>
    <row r="752" spans="1:7">
      <c r="A752" s="1">
        <v>751</v>
      </c>
      <c r="B752" s="1" t="s">
        <v>6721</v>
      </c>
      <c r="D752" s="1" t="s">
        <v>6673</v>
      </c>
      <c r="E752" s="1" t="s">
        <v>6722</v>
      </c>
      <c r="F752" s="1" t="s">
        <v>6723</v>
      </c>
      <c r="G752" s="1" t="s">
        <v>6724</v>
      </c>
    </row>
    <row r="753" spans="1:7">
      <c r="A753" s="1">
        <v>752</v>
      </c>
      <c r="B753" s="1" t="s">
        <v>6725</v>
      </c>
      <c r="D753" s="1" t="s">
        <v>6673</v>
      </c>
      <c r="E753" s="1" t="s">
        <v>6726</v>
      </c>
      <c r="F753" s="1" t="s">
        <v>6727</v>
      </c>
      <c r="G753" s="1" t="s">
        <v>6728</v>
      </c>
    </row>
    <row r="754" spans="1:7">
      <c r="A754" s="1">
        <v>753</v>
      </c>
      <c r="B754" s="1" t="s">
        <v>6729</v>
      </c>
      <c r="D754" s="1" t="s">
        <v>6673</v>
      </c>
      <c r="E754" s="1" t="s">
        <v>6730</v>
      </c>
      <c r="F754" s="1" t="s">
        <v>6731</v>
      </c>
      <c r="G754" s="1" t="s">
        <v>6732</v>
      </c>
    </row>
    <row r="755" spans="1:7">
      <c r="A755" s="1">
        <v>754</v>
      </c>
      <c r="B755" s="1" t="s">
        <v>6733</v>
      </c>
      <c r="D755" s="1" t="s">
        <v>6673</v>
      </c>
      <c r="E755" s="1" t="s">
        <v>6734</v>
      </c>
      <c r="F755" s="1" t="s">
        <v>6735</v>
      </c>
      <c r="G755" s="1" t="s">
        <v>6736</v>
      </c>
    </row>
    <row r="756" spans="1:7">
      <c r="A756" s="1">
        <v>755</v>
      </c>
      <c r="B756" s="1" t="s">
        <v>6737</v>
      </c>
      <c r="D756" s="1" t="s">
        <v>6673</v>
      </c>
      <c r="E756" s="1" t="s">
        <v>6738</v>
      </c>
      <c r="F756" s="1" t="s">
        <v>6739</v>
      </c>
      <c r="G756" s="1" t="s">
        <v>6740</v>
      </c>
    </row>
    <row r="757" spans="1:7">
      <c r="A757" s="1">
        <v>756</v>
      </c>
      <c r="B757" s="1" t="s">
        <v>6741</v>
      </c>
      <c r="D757" s="1" t="s">
        <v>6673</v>
      </c>
      <c r="E757" s="1" t="s">
        <v>6742</v>
      </c>
      <c r="F757" s="1" t="s">
        <v>6743</v>
      </c>
      <c r="G757" s="1" t="s">
        <v>6744</v>
      </c>
    </row>
    <row r="758" spans="1:7">
      <c r="A758" s="1">
        <v>757</v>
      </c>
      <c r="B758" s="1" t="s">
        <v>6745</v>
      </c>
      <c r="D758" s="1" t="s">
        <v>6673</v>
      </c>
      <c r="E758" s="1" t="s">
        <v>6746</v>
      </c>
      <c r="F758" s="1" t="s">
        <v>6747</v>
      </c>
      <c r="G758" s="1" t="s">
        <v>6748</v>
      </c>
    </row>
    <row r="759" spans="1:7">
      <c r="A759" s="1">
        <v>758</v>
      </c>
      <c r="B759" s="1" t="s">
        <v>6749</v>
      </c>
      <c r="D759" s="1" t="s">
        <v>6750</v>
      </c>
      <c r="E759" s="1" t="s">
        <v>6751</v>
      </c>
      <c r="F759" s="1" t="s">
        <v>6752</v>
      </c>
      <c r="G759" s="1" t="s">
        <v>6688</v>
      </c>
    </row>
    <row r="760" spans="1:7">
      <c r="A760" s="1">
        <v>759</v>
      </c>
      <c r="B760" s="1" t="s">
        <v>6753</v>
      </c>
      <c r="D760" s="1" t="s">
        <v>6750</v>
      </c>
      <c r="E760" s="1" t="s">
        <v>6754</v>
      </c>
      <c r="F760" s="1" t="s">
        <v>6719</v>
      </c>
      <c r="G760" s="1" t="s">
        <v>6720</v>
      </c>
    </row>
    <row r="761" spans="1:7">
      <c r="A761" s="1">
        <v>760</v>
      </c>
      <c r="B761" s="1" t="s">
        <v>6755</v>
      </c>
      <c r="D761" s="1" t="s">
        <v>6750</v>
      </c>
      <c r="E761" s="1" t="s">
        <v>6756</v>
      </c>
      <c r="F761" s="1" t="s">
        <v>6715</v>
      </c>
      <c r="G761" s="1" t="s">
        <v>6716</v>
      </c>
    </row>
    <row r="762" spans="1:7">
      <c r="A762" s="1">
        <v>761</v>
      </c>
      <c r="B762" s="1" t="s">
        <v>6757</v>
      </c>
      <c r="D762" s="1" t="s">
        <v>6750</v>
      </c>
      <c r="E762" s="1" t="s">
        <v>6758</v>
      </c>
      <c r="F762" s="1" t="s">
        <v>6707</v>
      </c>
      <c r="G762" s="1" t="s">
        <v>6708</v>
      </c>
    </row>
    <row r="763" spans="1:7">
      <c r="A763" s="1">
        <v>762</v>
      </c>
      <c r="B763" s="1" t="s">
        <v>6759</v>
      </c>
      <c r="D763" s="1" t="s">
        <v>6750</v>
      </c>
      <c r="E763" s="1" t="s">
        <v>6760</v>
      </c>
      <c r="F763" s="1" t="s">
        <v>6761</v>
      </c>
      <c r="G763" s="1" t="s">
        <v>6762</v>
      </c>
    </row>
    <row r="764" spans="1:7">
      <c r="A764" s="1">
        <v>763</v>
      </c>
      <c r="B764" s="1" t="s">
        <v>6763</v>
      </c>
      <c r="D764" s="1" t="s">
        <v>6750</v>
      </c>
      <c r="E764" s="1" t="s">
        <v>6764</v>
      </c>
      <c r="F764" s="1" t="s">
        <v>6765</v>
      </c>
      <c r="G764" s="1" t="s">
        <v>6766</v>
      </c>
    </row>
    <row r="765" spans="1:7">
      <c r="A765" s="1">
        <v>764</v>
      </c>
      <c r="B765" s="1" t="s">
        <v>6767</v>
      </c>
      <c r="D765" s="1" t="s">
        <v>6750</v>
      </c>
      <c r="E765" s="1" t="s">
        <v>6768</v>
      </c>
      <c r="F765" s="1" t="s">
        <v>6769</v>
      </c>
      <c r="G765" s="1" t="s">
        <v>6770</v>
      </c>
    </row>
    <row r="766" spans="1:7">
      <c r="A766" s="1">
        <v>765</v>
      </c>
      <c r="B766" s="1" t="s">
        <v>6771</v>
      </c>
      <c r="D766" s="1" t="s">
        <v>6750</v>
      </c>
      <c r="E766" s="1" t="s">
        <v>6772</v>
      </c>
      <c r="F766" s="1" t="s">
        <v>6773</v>
      </c>
      <c r="G766" s="1" t="s">
        <v>6732</v>
      </c>
    </row>
    <row r="767" spans="1:7">
      <c r="A767" s="1">
        <v>766</v>
      </c>
      <c r="B767" s="1" t="s">
        <v>6774</v>
      </c>
      <c r="D767" s="1" t="s">
        <v>6750</v>
      </c>
      <c r="E767" s="1" t="s">
        <v>6775</v>
      </c>
      <c r="F767" s="1" t="s">
        <v>6776</v>
      </c>
      <c r="G767" s="1" t="s">
        <v>6777</v>
      </c>
    </row>
    <row r="768" spans="1:7">
      <c r="A768" s="1">
        <v>767</v>
      </c>
      <c r="B768" s="1" t="s">
        <v>6778</v>
      </c>
      <c r="D768" s="1" t="s">
        <v>6750</v>
      </c>
      <c r="E768" s="1" t="s">
        <v>6779</v>
      </c>
      <c r="F768" s="1" t="s">
        <v>6743</v>
      </c>
      <c r="G768" s="1" t="s">
        <v>6744</v>
      </c>
    </row>
    <row r="769" spans="1:7">
      <c r="A769" s="1">
        <v>768</v>
      </c>
      <c r="B769" s="1" t="s">
        <v>6780</v>
      </c>
      <c r="D769" s="1" t="s">
        <v>6750</v>
      </c>
      <c r="E769" s="1" t="s">
        <v>6781</v>
      </c>
      <c r="F769" s="1" t="s">
        <v>6747</v>
      </c>
      <c r="G769" s="1" t="s">
        <v>6748</v>
      </c>
    </row>
    <row r="770" spans="1:7">
      <c r="A770" s="1">
        <v>769</v>
      </c>
      <c r="B770" s="1" t="s">
        <v>6782</v>
      </c>
      <c r="D770" s="1" t="s">
        <v>6783</v>
      </c>
      <c r="E770" s="1" t="s">
        <v>3956</v>
      </c>
      <c r="F770" s="1" t="s">
        <v>6784</v>
      </c>
      <c r="G770" s="1" t="s">
        <v>6785</v>
      </c>
    </row>
    <row r="771" spans="1:7">
      <c r="A771" s="1">
        <v>770</v>
      </c>
      <c r="B771" s="1" t="s">
        <v>6786</v>
      </c>
      <c r="D771" s="1" t="s">
        <v>6783</v>
      </c>
      <c r="E771" s="1" t="s">
        <v>3238</v>
      </c>
      <c r="F771" s="1" t="s">
        <v>6787</v>
      </c>
      <c r="G771" s="1" t="s">
        <v>6788</v>
      </c>
    </row>
    <row r="772" spans="1:7">
      <c r="A772" s="1">
        <v>771</v>
      </c>
      <c r="B772" s="1" t="s">
        <v>6789</v>
      </c>
      <c r="D772" s="1" t="s">
        <v>6783</v>
      </c>
      <c r="E772" s="1" t="s">
        <v>3959</v>
      </c>
      <c r="F772" s="1" t="s">
        <v>6790</v>
      </c>
      <c r="G772" s="1" t="s">
        <v>6791</v>
      </c>
    </row>
    <row r="773" spans="1:7">
      <c r="A773" s="1">
        <v>772</v>
      </c>
      <c r="B773" s="1" t="s">
        <v>6792</v>
      </c>
      <c r="D773" s="1" t="s">
        <v>6783</v>
      </c>
      <c r="E773" s="1" t="s">
        <v>3235</v>
      </c>
      <c r="F773" s="1" t="s">
        <v>6793</v>
      </c>
      <c r="G773" s="1" t="s">
        <v>6794</v>
      </c>
    </row>
    <row r="774" spans="1:7">
      <c r="A774" s="1">
        <v>773</v>
      </c>
      <c r="B774" s="1" t="s">
        <v>6795</v>
      </c>
      <c r="D774" s="1" t="s">
        <v>6783</v>
      </c>
      <c r="E774" s="1" t="s">
        <v>6796</v>
      </c>
      <c r="F774" s="1" t="s">
        <v>6797</v>
      </c>
      <c r="G774" s="1" t="s">
        <v>6798</v>
      </c>
    </row>
    <row r="775" spans="1:7">
      <c r="A775" s="1">
        <v>774</v>
      </c>
      <c r="B775" s="1" t="s">
        <v>6799</v>
      </c>
      <c r="D775" s="1" t="s">
        <v>6783</v>
      </c>
      <c r="E775" s="1" t="s">
        <v>3953</v>
      </c>
      <c r="F775" s="1" t="s">
        <v>6800</v>
      </c>
      <c r="G775" s="1" t="s">
        <v>6801</v>
      </c>
    </row>
    <row r="776" spans="1:7">
      <c r="A776" s="1">
        <v>775</v>
      </c>
      <c r="B776" s="1" t="s">
        <v>6802</v>
      </c>
      <c r="D776" s="1" t="s">
        <v>6783</v>
      </c>
      <c r="E776" s="1" t="s">
        <v>3240</v>
      </c>
      <c r="F776" s="1" t="s">
        <v>6803</v>
      </c>
      <c r="G776" s="1" t="s">
        <v>6804</v>
      </c>
    </row>
    <row r="777" spans="1:7">
      <c r="A777" s="1">
        <v>776</v>
      </c>
      <c r="B777" s="1" t="s">
        <v>6805</v>
      </c>
      <c r="D777" s="1" t="s">
        <v>6783</v>
      </c>
      <c r="E777" s="1" t="s">
        <v>3241</v>
      </c>
      <c r="F777" s="1" t="s">
        <v>6806</v>
      </c>
      <c r="G777" s="1" t="s">
        <v>6807</v>
      </c>
    </row>
    <row r="778" spans="1:7">
      <c r="A778" s="1">
        <v>777</v>
      </c>
      <c r="B778" s="1" t="s">
        <v>6808</v>
      </c>
      <c r="D778" s="1" t="s">
        <v>6783</v>
      </c>
      <c r="E778" s="1" t="s">
        <v>3239</v>
      </c>
      <c r="F778" s="1" t="s">
        <v>6809</v>
      </c>
      <c r="G778" s="1" t="s">
        <v>6810</v>
      </c>
    </row>
    <row r="779" spans="1:7">
      <c r="A779" s="1">
        <v>778</v>
      </c>
      <c r="B779" s="1" t="s">
        <v>6811</v>
      </c>
      <c r="D779" s="1" t="s">
        <v>6783</v>
      </c>
      <c r="E779" s="1" t="s">
        <v>3236</v>
      </c>
      <c r="F779" s="1" t="s">
        <v>6812</v>
      </c>
      <c r="G779" s="1" t="s">
        <v>6813</v>
      </c>
    </row>
    <row r="780" spans="1:7">
      <c r="A780" s="1">
        <v>779</v>
      </c>
      <c r="B780" s="1" t="s">
        <v>6814</v>
      </c>
      <c r="D780" s="1" t="s">
        <v>6783</v>
      </c>
      <c r="E780" s="1" t="s">
        <v>3237</v>
      </c>
      <c r="F780" s="1" t="s">
        <v>6815</v>
      </c>
      <c r="G780" s="1" t="s">
        <v>6816</v>
      </c>
    </row>
    <row r="781" spans="1:7">
      <c r="A781" s="1">
        <v>780</v>
      </c>
      <c r="B781" s="1" t="s">
        <v>6817</v>
      </c>
      <c r="D781" s="1" t="s">
        <v>6783</v>
      </c>
      <c r="E781" s="1" t="s">
        <v>6818</v>
      </c>
      <c r="F781" s="1" t="s">
        <v>6819</v>
      </c>
      <c r="G781" s="1" t="s">
        <v>6820</v>
      </c>
    </row>
    <row r="782" spans="1:7">
      <c r="A782" s="1">
        <v>781</v>
      </c>
      <c r="B782" s="1" t="s">
        <v>6821</v>
      </c>
      <c r="D782" s="1" t="s">
        <v>6822</v>
      </c>
      <c r="E782" s="1" t="s">
        <v>6823</v>
      </c>
      <c r="F782" s="1" t="s">
        <v>6824</v>
      </c>
      <c r="G782" s="1" t="s">
        <v>6825</v>
      </c>
    </row>
    <row r="783" spans="1:7">
      <c r="A783" s="1">
        <v>782</v>
      </c>
      <c r="B783" s="1" t="s">
        <v>6826</v>
      </c>
      <c r="D783" s="1" t="s">
        <v>6822</v>
      </c>
      <c r="E783" s="1" t="s">
        <v>6827</v>
      </c>
      <c r="F783" s="1" t="s">
        <v>6828</v>
      </c>
      <c r="G783" s="1" t="s">
        <v>6829</v>
      </c>
    </row>
    <row r="784" spans="1:7">
      <c r="A784" s="1">
        <v>783</v>
      </c>
      <c r="B784" s="1" t="s">
        <v>6830</v>
      </c>
      <c r="D784" s="1" t="s">
        <v>6822</v>
      </c>
      <c r="E784" s="1" t="s">
        <v>6831</v>
      </c>
      <c r="F784" s="1" t="s">
        <v>6832</v>
      </c>
      <c r="G784" s="1" t="s">
        <v>6833</v>
      </c>
    </row>
    <row r="785" spans="1:7">
      <c r="A785" s="1">
        <v>784</v>
      </c>
      <c r="B785" s="1" t="s">
        <v>6834</v>
      </c>
      <c r="D785" s="1" t="s">
        <v>6822</v>
      </c>
      <c r="E785" s="1" t="s">
        <v>6835</v>
      </c>
      <c r="F785" s="1" t="s">
        <v>6836</v>
      </c>
      <c r="G785" s="1" t="s">
        <v>6837</v>
      </c>
    </row>
    <row r="786" spans="1:7">
      <c r="A786" s="1">
        <v>785</v>
      </c>
      <c r="B786" s="1" t="s">
        <v>6838</v>
      </c>
      <c r="D786" s="1" t="s">
        <v>6822</v>
      </c>
      <c r="E786" s="1" t="s">
        <v>6839</v>
      </c>
      <c r="F786" s="1" t="s">
        <v>6840</v>
      </c>
      <c r="G786" s="1" t="s">
        <v>6841</v>
      </c>
    </row>
    <row r="787" spans="1:7">
      <c r="A787" s="1">
        <v>786</v>
      </c>
      <c r="B787" s="1" t="s">
        <v>6842</v>
      </c>
      <c r="D787" s="1" t="s">
        <v>6822</v>
      </c>
      <c r="E787" s="1" t="s">
        <v>6843</v>
      </c>
      <c r="F787" s="1" t="s">
        <v>6844</v>
      </c>
      <c r="G787" s="1" t="s">
        <v>6845</v>
      </c>
    </row>
    <row r="788" spans="1:7">
      <c r="A788" s="1">
        <v>787</v>
      </c>
      <c r="B788" s="1" t="s">
        <v>6846</v>
      </c>
      <c r="D788" s="1" t="s">
        <v>6822</v>
      </c>
      <c r="E788" s="1" t="s">
        <v>6847</v>
      </c>
      <c r="F788" s="1" t="s">
        <v>6848</v>
      </c>
      <c r="G788" s="1" t="s">
        <v>6849</v>
      </c>
    </row>
    <row r="789" spans="1:7">
      <c r="A789" s="1">
        <v>788</v>
      </c>
      <c r="B789" s="1" t="s">
        <v>6850</v>
      </c>
      <c r="D789" s="1" t="s">
        <v>6822</v>
      </c>
      <c r="E789" s="1" t="s">
        <v>6851</v>
      </c>
      <c r="F789" s="1" t="s">
        <v>6852</v>
      </c>
      <c r="G789" s="1" t="s">
        <v>6853</v>
      </c>
    </row>
    <row r="790" spans="1:7">
      <c r="A790" s="1">
        <v>789</v>
      </c>
      <c r="B790" s="1" t="s">
        <v>6854</v>
      </c>
      <c r="D790" s="1" t="s">
        <v>6822</v>
      </c>
      <c r="E790" s="1" t="s">
        <v>6855</v>
      </c>
      <c r="F790" s="1" t="s">
        <v>6856</v>
      </c>
      <c r="G790" s="1" t="s">
        <v>6857</v>
      </c>
    </row>
    <row r="791" spans="1:7">
      <c r="A791" s="1">
        <v>790</v>
      </c>
      <c r="B791" s="1" t="s">
        <v>6858</v>
      </c>
      <c r="D791" s="1" t="s">
        <v>6822</v>
      </c>
      <c r="E791" s="1" t="s">
        <v>6859</v>
      </c>
      <c r="F791" s="1" t="s">
        <v>6860</v>
      </c>
      <c r="G791" s="1" t="s">
        <v>6861</v>
      </c>
    </row>
    <row r="792" spans="1:7">
      <c r="A792" s="1">
        <v>791</v>
      </c>
      <c r="B792" s="1" t="s">
        <v>6862</v>
      </c>
      <c r="D792" s="1" t="s">
        <v>6822</v>
      </c>
      <c r="E792" s="1" t="s">
        <v>6863</v>
      </c>
      <c r="F792" s="1" t="s">
        <v>6864</v>
      </c>
      <c r="G792" s="1" t="s">
        <v>6865</v>
      </c>
    </row>
    <row r="793" spans="1:7">
      <c r="A793" s="1">
        <v>792</v>
      </c>
      <c r="B793" s="1" t="s">
        <v>6866</v>
      </c>
      <c r="D793" s="1" t="s">
        <v>6867</v>
      </c>
      <c r="E793" s="1" t="s">
        <v>6868</v>
      </c>
      <c r="F793" s="1" t="s">
        <v>6869</v>
      </c>
      <c r="G793" s="1" t="s">
        <v>6870</v>
      </c>
    </row>
    <row r="794" spans="1:7">
      <c r="A794" s="1">
        <v>793</v>
      </c>
      <c r="B794" s="1" t="s">
        <v>6871</v>
      </c>
      <c r="D794" s="1" t="s">
        <v>6867</v>
      </c>
      <c r="E794" s="1" t="s">
        <v>6872</v>
      </c>
      <c r="F794" s="1" t="s">
        <v>6873</v>
      </c>
      <c r="G794" s="1" t="s">
        <v>6874</v>
      </c>
    </row>
    <row r="795" spans="1:7">
      <c r="A795" s="1">
        <v>794</v>
      </c>
      <c r="B795" s="1" t="s">
        <v>6875</v>
      </c>
      <c r="D795" s="1" t="s">
        <v>6867</v>
      </c>
      <c r="E795" s="1" t="s">
        <v>6876</v>
      </c>
      <c r="F795" s="1" t="s">
        <v>6877</v>
      </c>
      <c r="G795" s="1" t="s">
        <v>6878</v>
      </c>
    </row>
    <row r="796" spans="1:7">
      <c r="A796" s="1">
        <v>795</v>
      </c>
      <c r="B796" s="1" t="s">
        <v>6879</v>
      </c>
      <c r="D796" s="1" t="s">
        <v>6867</v>
      </c>
      <c r="E796" s="1" t="s">
        <v>6880</v>
      </c>
      <c r="F796" s="1" t="s">
        <v>6881</v>
      </c>
      <c r="G796" s="1" t="s">
        <v>6882</v>
      </c>
    </row>
    <row r="797" spans="1:7">
      <c r="A797" s="1">
        <v>796</v>
      </c>
      <c r="B797" s="1" t="s">
        <v>6883</v>
      </c>
      <c r="D797" s="1" t="s">
        <v>6867</v>
      </c>
      <c r="E797" s="1" t="s">
        <v>6884</v>
      </c>
      <c r="F797" s="1" t="s">
        <v>6885</v>
      </c>
      <c r="G797" s="1" t="s">
        <v>6886</v>
      </c>
    </row>
    <row r="798" spans="1:7">
      <c r="A798" s="1">
        <v>797</v>
      </c>
      <c r="B798" s="1" t="s">
        <v>6887</v>
      </c>
      <c r="D798" s="1" t="s">
        <v>6867</v>
      </c>
      <c r="E798" s="1" t="s">
        <v>6888</v>
      </c>
      <c r="F798" s="1" t="s">
        <v>6889</v>
      </c>
      <c r="G798" s="1" t="s">
        <v>6890</v>
      </c>
    </row>
    <row r="799" spans="1:7">
      <c r="A799" s="1">
        <v>798</v>
      </c>
      <c r="B799" s="1" t="s">
        <v>6891</v>
      </c>
      <c r="D799" s="1" t="s">
        <v>6867</v>
      </c>
      <c r="E799" s="1" t="s">
        <v>6892</v>
      </c>
      <c r="F799" s="1" t="s">
        <v>6893</v>
      </c>
      <c r="G799" s="1" t="s">
        <v>6894</v>
      </c>
    </row>
    <row r="800" spans="1:7">
      <c r="A800" s="1">
        <v>799</v>
      </c>
      <c r="B800" s="1" t="s">
        <v>6895</v>
      </c>
      <c r="D800" s="1" t="s">
        <v>6867</v>
      </c>
      <c r="E800" s="1" t="s">
        <v>6896</v>
      </c>
      <c r="F800" s="1" t="s">
        <v>6897</v>
      </c>
      <c r="G800" s="1" t="s">
        <v>6898</v>
      </c>
    </row>
    <row r="801" spans="1:7">
      <c r="A801" s="1">
        <v>800</v>
      </c>
      <c r="B801" s="1" t="s">
        <v>6899</v>
      </c>
      <c r="D801" s="1" t="s">
        <v>6867</v>
      </c>
      <c r="E801" s="1" t="s">
        <v>6900</v>
      </c>
      <c r="F801" s="1" t="s">
        <v>6901</v>
      </c>
      <c r="G801" s="1" t="s">
        <v>6902</v>
      </c>
    </row>
    <row r="802" spans="1:7">
      <c r="A802" s="1">
        <v>801</v>
      </c>
      <c r="B802" s="1" t="s">
        <v>6903</v>
      </c>
      <c r="D802" s="1" t="s">
        <v>6867</v>
      </c>
      <c r="E802" s="1" t="s">
        <v>6904</v>
      </c>
      <c r="F802" s="1" t="s">
        <v>6905</v>
      </c>
      <c r="G802" s="1" t="s">
        <v>6906</v>
      </c>
    </row>
    <row r="803" spans="1:7">
      <c r="A803" s="1">
        <v>802</v>
      </c>
      <c r="B803" s="1" t="s">
        <v>6907</v>
      </c>
      <c r="D803" s="1" t="s">
        <v>6867</v>
      </c>
      <c r="E803" s="1" t="s">
        <v>6908</v>
      </c>
      <c r="F803" s="1" t="s">
        <v>6909</v>
      </c>
      <c r="G803" s="1" t="s">
        <v>6910</v>
      </c>
    </row>
    <row r="804" spans="1:7">
      <c r="A804" s="1">
        <v>803</v>
      </c>
      <c r="B804" s="1" t="s">
        <v>6911</v>
      </c>
      <c r="D804" s="1" t="s">
        <v>6912</v>
      </c>
      <c r="E804" s="1" t="s">
        <v>6913</v>
      </c>
      <c r="F804" s="1" t="s">
        <v>6914</v>
      </c>
      <c r="G804" s="1" t="s">
        <v>6915</v>
      </c>
    </row>
    <row r="805" spans="1:7">
      <c r="A805" s="1">
        <v>804</v>
      </c>
      <c r="B805" s="1" t="s">
        <v>6916</v>
      </c>
      <c r="D805" s="1" t="s">
        <v>6912</v>
      </c>
      <c r="E805" s="1" t="s">
        <v>6917</v>
      </c>
      <c r="F805" s="1" t="s">
        <v>6918</v>
      </c>
      <c r="G805" s="1" t="s">
        <v>6919</v>
      </c>
    </row>
    <row r="806" spans="1:7">
      <c r="A806" s="1">
        <v>805</v>
      </c>
      <c r="B806" s="1" t="s">
        <v>6920</v>
      </c>
      <c r="D806" s="1" t="s">
        <v>6912</v>
      </c>
      <c r="E806" s="1" t="s">
        <v>6921</v>
      </c>
      <c r="F806" s="1" t="s">
        <v>6922</v>
      </c>
      <c r="G806" s="1" t="s">
        <v>6923</v>
      </c>
    </row>
    <row r="807" spans="1:7">
      <c r="A807" s="1">
        <v>806</v>
      </c>
      <c r="B807" s="1" t="s">
        <v>6924</v>
      </c>
      <c r="D807" s="1" t="s">
        <v>6912</v>
      </c>
      <c r="E807" s="1" t="s">
        <v>6925</v>
      </c>
      <c r="F807" s="1" t="s">
        <v>6926</v>
      </c>
      <c r="G807" s="1" t="s">
        <v>6927</v>
      </c>
    </row>
    <row r="808" spans="1:7">
      <c r="A808" s="1">
        <v>807</v>
      </c>
      <c r="B808" s="1" t="s">
        <v>6928</v>
      </c>
      <c r="D808" s="1" t="s">
        <v>6912</v>
      </c>
      <c r="E808" s="1" t="s">
        <v>6929</v>
      </c>
      <c r="F808" s="1" t="s">
        <v>6930</v>
      </c>
      <c r="G808" s="1" t="s">
        <v>6931</v>
      </c>
    </row>
    <row r="809" spans="1:7">
      <c r="A809" s="1">
        <v>808</v>
      </c>
      <c r="B809" s="1" t="s">
        <v>6932</v>
      </c>
      <c r="D809" s="1" t="s">
        <v>6912</v>
      </c>
      <c r="E809" s="1" t="s">
        <v>6933</v>
      </c>
      <c r="F809" s="1" t="s">
        <v>6934</v>
      </c>
      <c r="G809" s="1" t="s">
        <v>6935</v>
      </c>
    </row>
    <row r="810" spans="1:7">
      <c r="A810" s="1">
        <v>809</v>
      </c>
      <c r="B810" s="1" t="s">
        <v>6936</v>
      </c>
      <c r="D810" s="1" t="s">
        <v>6912</v>
      </c>
      <c r="E810" s="1" t="s">
        <v>6937</v>
      </c>
      <c r="F810" s="1" t="s">
        <v>6938</v>
      </c>
      <c r="G810" s="1" t="s">
        <v>6939</v>
      </c>
    </row>
    <row r="811" spans="1:7">
      <c r="A811" s="1">
        <v>810</v>
      </c>
      <c r="B811" s="1" t="s">
        <v>6940</v>
      </c>
      <c r="D811" s="1" t="s">
        <v>6912</v>
      </c>
      <c r="E811" s="1" t="s">
        <v>6941</v>
      </c>
      <c r="F811" s="1" t="s">
        <v>6942</v>
      </c>
      <c r="G811" s="1" t="s">
        <v>6943</v>
      </c>
    </row>
    <row r="812" spans="1:7">
      <c r="A812" s="1">
        <v>811</v>
      </c>
      <c r="B812" s="1" t="s">
        <v>6944</v>
      </c>
      <c r="D812" s="1" t="s">
        <v>6912</v>
      </c>
      <c r="E812" s="1" t="s">
        <v>6945</v>
      </c>
      <c r="F812" s="1" t="s">
        <v>6946</v>
      </c>
      <c r="G812" s="1" t="s">
        <v>6947</v>
      </c>
    </row>
    <row r="813" spans="1:7">
      <c r="A813" s="1">
        <v>812</v>
      </c>
      <c r="B813" s="1" t="s">
        <v>6948</v>
      </c>
      <c r="D813" s="1" t="s">
        <v>6912</v>
      </c>
      <c r="E813" s="1" t="s">
        <v>6949</v>
      </c>
      <c r="F813" s="1" t="s">
        <v>6950</v>
      </c>
      <c r="G813" s="1" t="s">
        <v>6951</v>
      </c>
    </row>
    <row r="814" spans="1:7">
      <c r="A814" s="1">
        <v>813</v>
      </c>
      <c r="B814" s="1" t="s">
        <v>6952</v>
      </c>
      <c r="D814" s="1" t="s">
        <v>6912</v>
      </c>
      <c r="E814" s="1" t="s">
        <v>6953</v>
      </c>
      <c r="F814" s="1" t="s">
        <v>6954</v>
      </c>
      <c r="G814" s="1" t="s">
        <v>6955</v>
      </c>
    </row>
    <row r="815" spans="1:7">
      <c r="A815" s="1">
        <v>814</v>
      </c>
      <c r="B815" s="1" t="s">
        <v>6956</v>
      </c>
      <c r="D815" s="1" t="s">
        <v>6957</v>
      </c>
      <c r="E815" s="1" t="s">
        <v>6958</v>
      </c>
      <c r="F815" s="1" t="s">
        <v>6959</v>
      </c>
      <c r="G815" s="1" t="s">
        <v>6960</v>
      </c>
    </row>
    <row r="816" spans="1:7">
      <c r="A816" s="1">
        <v>815</v>
      </c>
      <c r="B816" s="1" t="s">
        <v>6961</v>
      </c>
      <c r="D816" s="1" t="s">
        <v>6957</v>
      </c>
      <c r="E816" s="1" t="s">
        <v>6962</v>
      </c>
      <c r="F816" s="1" t="s">
        <v>6963</v>
      </c>
      <c r="G816" s="1" t="s">
        <v>6964</v>
      </c>
    </row>
    <row r="817" spans="1:7">
      <c r="A817" s="1">
        <v>816</v>
      </c>
      <c r="B817" s="1" t="s">
        <v>6965</v>
      </c>
      <c r="D817" s="1" t="s">
        <v>6957</v>
      </c>
      <c r="E817" s="1" t="s">
        <v>6966</v>
      </c>
      <c r="F817" s="1" t="s">
        <v>6967</v>
      </c>
      <c r="G817" s="1" t="s">
        <v>6968</v>
      </c>
    </row>
    <row r="818" spans="1:7">
      <c r="A818" s="1">
        <v>817</v>
      </c>
      <c r="B818" s="1" t="s">
        <v>6969</v>
      </c>
      <c r="D818" s="1" t="s">
        <v>6957</v>
      </c>
      <c r="E818" s="1" t="s">
        <v>6970</v>
      </c>
      <c r="F818" s="1" t="s">
        <v>6971</v>
      </c>
      <c r="G818" s="1" t="s">
        <v>6972</v>
      </c>
    </row>
    <row r="819" spans="1:7">
      <c r="A819" s="1">
        <v>818</v>
      </c>
      <c r="B819" s="1" t="s">
        <v>6973</v>
      </c>
      <c r="D819" s="1" t="s">
        <v>6957</v>
      </c>
      <c r="E819" s="1" t="s">
        <v>6974</v>
      </c>
      <c r="F819" s="1" t="s">
        <v>6975</v>
      </c>
      <c r="G819" s="1" t="s">
        <v>6976</v>
      </c>
    </row>
    <row r="820" spans="1:7">
      <c r="A820" s="1">
        <v>819</v>
      </c>
      <c r="B820" s="1" t="s">
        <v>6977</v>
      </c>
      <c r="D820" s="1" t="s">
        <v>6957</v>
      </c>
      <c r="E820" s="1" t="s">
        <v>6978</v>
      </c>
      <c r="F820" s="1" t="s">
        <v>6979</v>
      </c>
      <c r="G820" s="1" t="s">
        <v>6980</v>
      </c>
    </row>
    <row r="821" spans="1:7">
      <c r="A821" s="1">
        <v>820</v>
      </c>
      <c r="B821" s="1" t="s">
        <v>6981</v>
      </c>
      <c r="D821" s="1" t="s">
        <v>6982</v>
      </c>
      <c r="E821" s="1" t="s">
        <v>6983</v>
      </c>
      <c r="F821" s="1" t="s">
        <v>6984</v>
      </c>
      <c r="G821" s="1" t="s">
        <v>6985</v>
      </c>
    </row>
    <row r="822" spans="1:7">
      <c r="A822" s="1">
        <v>821</v>
      </c>
      <c r="B822" s="1" t="s">
        <v>6986</v>
      </c>
      <c r="D822" s="1" t="s">
        <v>6987</v>
      </c>
      <c r="E822" s="1" t="s">
        <v>398</v>
      </c>
      <c r="F822" s="1" t="s">
        <v>399</v>
      </c>
      <c r="G822" s="1" t="s">
        <v>400</v>
      </c>
    </row>
    <row r="823" spans="1:7">
      <c r="A823" s="1">
        <v>822</v>
      </c>
      <c r="B823" s="1" t="s">
        <v>6988</v>
      </c>
      <c r="D823" s="1" t="s">
        <v>6987</v>
      </c>
      <c r="E823" s="1" t="s">
        <v>6989</v>
      </c>
      <c r="F823" s="1" t="s">
        <v>6990</v>
      </c>
      <c r="G823" s="1" t="s">
        <v>6991</v>
      </c>
    </row>
    <row r="824" spans="1:7">
      <c r="A824" s="1">
        <v>823</v>
      </c>
      <c r="B824" s="1" t="s">
        <v>6992</v>
      </c>
      <c r="D824" s="1" t="s">
        <v>6987</v>
      </c>
      <c r="E824" s="1" t="s">
        <v>6993</v>
      </c>
      <c r="F824" s="1" t="s">
        <v>6994</v>
      </c>
      <c r="G824" s="1" t="s">
        <v>6995</v>
      </c>
    </row>
    <row r="825" spans="1:7">
      <c r="A825" s="1">
        <v>824</v>
      </c>
      <c r="B825" s="1" t="s">
        <v>6996</v>
      </c>
      <c r="D825" s="1" t="s">
        <v>6987</v>
      </c>
      <c r="E825" s="1" t="s">
        <v>394</v>
      </c>
      <c r="F825" s="1" t="s">
        <v>6997</v>
      </c>
      <c r="G825" s="1" t="s">
        <v>6998</v>
      </c>
    </row>
    <row r="826" spans="1:7">
      <c r="A826" s="1">
        <v>825</v>
      </c>
      <c r="B826" s="1" t="s">
        <v>6999</v>
      </c>
      <c r="D826" s="1" t="s">
        <v>6987</v>
      </c>
      <c r="E826" s="1" t="s">
        <v>402</v>
      </c>
      <c r="F826" s="1" t="s">
        <v>7000</v>
      </c>
      <c r="G826" s="1" t="s">
        <v>7001</v>
      </c>
    </row>
    <row r="827" spans="1:7">
      <c r="A827" s="1">
        <v>826</v>
      </c>
      <c r="B827" s="1" t="s">
        <v>7002</v>
      </c>
      <c r="D827" s="1" t="s">
        <v>6987</v>
      </c>
      <c r="E827" s="1" t="s">
        <v>410</v>
      </c>
      <c r="F827" s="1" t="s">
        <v>411</v>
      </c>
      <c r="G827" s="1" t="s">
        <v>412</v>
      </c>
    </row>
    <row r="828" spans="1:7">
      <c r="A828" s="1">
        <v>827</v>
      </c>
      <c r="B828" s="1" t="s">
        <v>7003</v>
      </c>
      <c r="D828" s="1" t="s">
        <v>6987</v>
      </c>
      <c r="E828" s="1" t="s">
        <v>406</v>
      </c>
      <c r="F828" s="1" t="s">
        <v>407</v>
      </c>
      <c r="G828" s="1" t="s">
        <v>408</v>
      </c>
    </row>
    <row r="829" spans="1:7">
      <c r="A829" s="1">
        <v>828</v>
      </c>
      <c r="B829" s="1" t="s">
        <v>7004</v>
      </c>
      <c r="D829" s="1" t="s">
        <v>7005</v>
      </c>
      <c r="E829" s="1" t="s">
        <v>7006</v>
      </c>
      <c r="F829" s="1" t="s">
        <v>7007</v>
      </c>
      <c r="G829" s="1" t="s">
        <v>7008</v>
      </c>
    </row>
    <row r="830" spans="1:7">
      <c r="A830" s="1">
        <v>829</v>
      </c>
      <c r="B830" s="1" t="s">
        <v>7009</v>
      </c>
      <c r="D830" s="1" t="s">
        <v>7005</v>
      </c>
      <c r="E830" s="1" t="s">
        <v>7010</v>
      </c>
      <c r="F830" s="1" t="s">
        <v>7011</v>
      </c>
      <c r="G830" s="1" t="s">
        <v>7012</v>
      </c>
    </row>
    <row r="831" spans="1:7">
      <c r="A831" s="1">
        <v>830</v>
      </c>
      <c r="B831" s="1" t="s">
        <v>7013</v>
      </c>
      <c r="D831" s="1" t="s">
        <v>7005</v>
      </c>
      <c r="E831" s="1" t="s">
        <v>7014</v>
      </c>
      <c r="F831" s="1" t="s">
        <v>7015</v>
      </c>
      <c r="G831" s="1" t="s">
        <v>7016</v>
      </c>
    </row>
    <row r="832" spans="1:7">
      <c r="A832" s="1">
        <v>831</v>
      </c>
      <c r="B832" s="1" t="s">
        <v>7017</v>
      </c>
      <c r="D832" s="1" t="s">
        <v>7005</v>
      </c>
      <c r="E832" s="1" t="s">
        <v>1694</v>
      </c>
      <c r="F832" s="1" t="s">
        <v>7018</v>
      </c>
      <c r="G832" s="1" t="s">
        <v>7019</v>
      </c>
    </row>
    <row r="833" spans="1:7">
      <c r="A833" s="1">
        <v>832</v>
      </c>
      <c r="B833" s="1" t="s">
        <v>7020</v>
      </c>
      <c r="D833" s="1" t="s">
        <v>7005</v>
      </c>
      <c r="E833" s="1" t="s">
        <v>1696</v>
      </c>
      <c r="F833" s="1" t="s">
        <v>7021</v>
      </c>
      <c r="G833" s="1" t="s">
        <v>7022</v>
      </c>
    </row>
    <row r="834" spans="1:7">
      <c r="A834" s="1">
        <v>833</v>
      </c>
      <c r="B834" s="1" t="s">
        <v>7023</v>
      </c>
      <c r="D834" s="1" t="s">
        <v>7005</v>
      </c>
      <c r="E834" s="1" t="s">
        <v>1695</v>
      </c>
      <c r="F834" s="1" t="s">
        <v>7024</v>
      </c>
      <c r="G834" s="1" t="s">
        <v>7025</v>
      </c>
    </row>
    <row r="835" spans="1:7">
      <c r="A835" s="1">
        <v>834</v>
      </c>
      <c r="B835" s="1" t="s">
        <v>7026</v>
      </c>
      <c r="D835" s="1" t="s">
        <v>7027</v>
      </c>
      <c r="E835" s="1" t="s">
        <v>7028</v>
      </c>
      <c r="F835" s="1" t="s">
        <v>7029</v>
      </c>
      <c r="G835" s="1" t="s">
        <v>7030</v>
      </c>
    </row>
    <row r="836" spans="1:7">
      <c r="A836" s="1">
        <v>835</v>
      </c>
      <c r="B836" s="1" t="s">
        <v>7031</v>
      </c>
      <c r="D836" s="1" t="s">
        <v>7027</v>
      </c>
      <c r="E836" s="1" t="s">
        <v>7032</v>
      </c>
      <c r="F836" s="1" t="s">
        <v>7033</v>
      </c>
      <c r="G836" s="1" t="s">
        <v>7034</v>
      </c>
    </row>
    <row r="837" spans="1:7">
      <c r="A837" s="1">
        <v>836</v>
      </c>
      <c r="B837" s="1" t="s">
        <v>7035</v>
      </c>
      <c r="D837" s="1" t="s">
        <v>7027</v>
      </c>
      <c r="E837" s="1" t="s">
        <v>7036</v>
      </c>
      <c r="F837" s="1" t="s">
        <v>7037</v>
      </c>
      <c r="G837" s="1" t="s">
        <v>7038</v>
      </c>
    </row>
    <row r="838" spans="1:7">
      <c r="A838" s="1">
        <v>837</v>
      </c>
      <c r="B838" s="1" t="s">
        <v>7039</v>
      </c>
      <c r="D838" s="1" t="s">
        <v>7027</v>
      </c>
      <c r="E838" s="1" t="s">
        <v>7040</v>
      </c>
      <c r="F838" s="1" t="s">
        <v>7041</v>
      </c>
      <c r="G838" s="1" t="s">
        <v>7042</v>
      </c>
    </row>
    <row r="839" spans="1:7">
      <c r="A839" s="1">
        <v>838</v>
      </c>
      <c r="B839" s="1" t="s">
        <v>7043</v>
      </c>
      <c r="D839" s="1" t="s">
        <v>7027</v>
      </c>
      <c r="E839" s="1" t="s">
        <v>7044</v>
      </c>
      <c r="F839" s="1" t="s">
        <v>7045</v>
      </c>
      <c r="G839" s="1" t="s">
        <v>7046</v>
      </c>
    </row>
    <row r="840" spans="1:7">
      <c r="A840" s="1">
        <v>839</v>
      </c>
      <c r="B840" s="1" t="s">
        <v>7047</v>
      </c>
      <c r="D840" s="1" t="s">
        <v>7027</v>
      </c>
      <c r="E840" s="1" t="s">
        <v>7048</v>
      </c>
      <c r="F840" s="1" t="s">
        <v>7049</v>
      </c>
      <c r="G840" s="1" t="s">
        <v>7050</v>
      </c>
    </row>
    <row r="841" spans="1:7">
      <c r="A841" s="1">
        <v>840</v>
      </c>
      <c r="B841" s="1" t="s">
        <v>7051</v>
      </c>
      <c r="D841" s="1" t="s">
        <v>7052</v>
      </c>
      <c r="E841" s="1" t="s">
        <v>2438</v>
      </c>
      <c r="F841" s="1" t="s">
        <v>7053</v>
      </c>
      <c r="G841" s="1" t="s">
        <v>7054</v>
      </c>
    </row>
    <row r="842" spans="1:7">
      <c r="A842" s="1">
        <v>841</v>
      </c>
      <c r="B842" s="1" t="s">
        <v>7055</v>
      </c>
      <c r="D842" s="1" t="s">
        <v>7052</v>
      </c>
      <c r="E842" s="1" t="s">
        <v>2436</v>
      </c>
      <c r="F842" s="1" t="s">
        <v>7056</v>
      </c>
      <c r="G842" s="1" t="s">
        <v>7057</v>
      </c>
    </row>
    <row r="843" spans="1:7">
      <c r="A843" s="1">
        <v>842</v>
      </c>
      <c r="B843" s="1" t="s">
        <v>7058</v>
      </c>
      <c r="D843" s="1" t="s">
        <v>7052</v>
      </c>
      <c r="E843" s="1" t="s">
        <v>2440</v>
      </c>
      <c r="F843" s="1" t="s">
        <v>7059</v>
      </c>
      <c r="G843" s="1" t="s">
        <v>7060</v>
      </c>
    </row>
    <row r="844" spans="1:7">
      <c r="A844" s="1">
        <v>843</v>
      </c>
      <c r="B844" s="1" t="s">
        <v>7061</v>
      </c>
      <c r="D844" s="1" t="s">
        <v>7052</v>
      </c>
      <c r="E844" s="1" t="s">
        <v>2444</v>
      </c>
      <c r="F844" s="1" t="s">
        <v>7062</v>
      </c>
      <c r="G844" s="1" t="s">
        <v>7063</v>
      </c>
    </row>
    <row r="845" spans="1:7">
      <c r="A845" s="1">
        <v>844</v>
      </c>
      <c r="B845" s="1" t="s">
        <v>7064</v>
      </c>
      <c r="D845" s="1" t="s">
        <v>7052</v>
      </c>
      <c r="E845" s="1" t="s">
        <v>2446</v>
      </c>
      <c r="F845" s="1" t="s">
        <v>7065</v>
      </c>
      <c r="G845" s="1" t="s">
        <v>7066</v>
      </c>
    </row>
    <row r="846" spans="1:7">
      <c r="A846" s="1">
        <v>845</v>
      </c>
      <c r="B846" s="1" t="s">
        <v>7067</v>
      </c>
      <c r="D846" s="1" t="s">
        <v>7052</v>
      </c>
      <c r="E846" s="1" t="s">
        <v>2448</v>
      </c>
      <c r="F846" s="1" t="s">
        <v>7068</v>
      </c>
      <c r="G846" s="1" t="s">
        <v>7069</v>
      </c>
    </row>
    <row r="847" spans="1:7">
      <c r="A847" s="1">
        <v>846</v>
      </c>
      <c r="B847" s="1" t="s">
        <v>7070</v>
      </c>
      <c r="D847" s="1" t="s">
        <v>7052</v>
      </c>
      <c r="E847" s="1" t="s">
        <v>2428</v>
      </c>
      <c r="F847" s="1" t="s">
        <v>7071</v>
      </c>
      <c r="G847" s="1" t="s">
        <v>7072</v>
      </c>
    </row>
    <row r="848" spans="1:7">
      <c r="A848" s="1">
        <v>847</v>
      </c>
      <c r="B848" s="1" t="s">
        <v>7073</v>
      </c>
      <c r="D848" s="1" t="s">
        <v>7052</v>
      </c>
      <c r="E848" s="1" t="s">
        <v>2450</v>
      </c>
      <c r="F848" s="1" t="s">
        <v>7074</v>
      </c>
      <c r="G848" s="1" t="s">
        <v>7075</v>
      </c>
    </row>
    <row r="849" spans="1:7">
      <c r="A849" s="1">
        <v>848</v>
      </c>
      <c r="B849" s="1" t="s">
        <v>7076</v>
      </c>
      <c r="D849" s="1" t="s">
        <v>7052</v>
      </c>
      <c r="E849" s="1" t="s">
        <v>2432</v>
      </c>
      <c r="F849" s="1" t="s">
        <v>7077</v>
      </c>
      <c r="G849" s="1" t="s">
        <v>7078</v>
      </c>
    </row>
    <row r="850" spans="1:7">
      <c r="A850" s="1">
        <v>849</v>
      </c>
      <c r="B850" s="1" t="s">
        <v>7079</v>
      </c>
      <c r="D850" s="1" t="s">
        <v>7080</v>
      </c>
      <c r="E850" s="1" t="s">
        <v>429</v>
      </c>
      <c r="F850" s="1" t="s">
        <v>7081</v>
      </c>
      <c r="G850" s="1" t="s">
        <v>7082</v>
      </c>
    </row>
    <row r="851" spans="1:7">
      <c r="A851" s="1">
        <v>850</v>
      </c>
      <c r="B851" s="1" t="s">
        <v>7083</v>
      </c>
      <c r="D851" s="1" t="s">
        <v>7080</v>
      </c>
      <c r="E851" s="1" t="s">
        <v>432</v>
      </c>
      <c r="F851" s="1" t="s">
        <v>433</v>
      </c>
      <c r="G851" s="1" t="s">
        <v>434</v>
      </c>
    </row>
    <row r="852" spans="1:7">
      <c r="A852" s="1">
        <v>851</v>
      </c>
      <c r="B852" s="1" t="s">
        <v>7084</v>
      </c>
      <c r="D852" s="1" t="s">
        <v>7080</v>
      </c>
      <c r="E852" s="1" t="s">
        <v>423</v>
      </c>
      <c r="F852" s="1" t="s">
        <v>7085</v>
      </c>
      <c r="G852" s="1" t="s">
        <v>7086</v>
      </c>
    </row>
    <row r="853" spans="1:7">
      <c r="A853" s="1">
        <v>852</v>
      </c>
      <c r="B853" s="1" t="s">
        <v>7087</v>
      </c>
      <c r="D853" s="1" t="s">
        <v>7080</v>
      </c>
      <c r="E853" s="1" t="s">
        <v>426</v>
      </c>
      <c r="F853" s="1" t="s">
        <v>7088</v>
      </c>
      <c r="G853" s="1" t="s">
        <v>7089</v>
      </c>
    </row>
    <row r="854" spans="1:7">
      <c r="A854" s="1">
        <v>853</v>
      </c>
      <c r="B854" s="1" t="s">
        <v>7090</v>
      </c>
      <c r="D854" s="1" t="s">
        <v>7091</v>
      </c>
      <c r="E854" s="1" t="s">
        <v>439</v>
      </c>
      <c r="F854" s="1" t="s">
        <v>7081</v>
      </c>
      <c r="G854" s="1" t="s">
        <v>7082</v>
      </c>
    </row>
    <row r="855" spans="1:7">
      <c r="A855" s="1">
        <v>854</v>
      </c>
      <c r="B855" s="1" t="s">
        <v>7092</v>
      </c>
      <c r="D855" s="1" t="s">
        <v>7091</v>
      </c>
      <c r="E855" s="1" t="s">
        <v>440</v>
      </c>
      <c r="F855" s="1" t="s">
        <v>433</v>
      </c>
      <c r="G855" s="1" t="s">
        <v>434</v>
      </c>
    </row>
    <row r="856" spans="1:7">
      <c r="A856" s="1">
        <v>855</v>
      </c>
      <c r="B856" s="1" t="s">
        <v>7093</v>
      </c>
      <c r="D856" s="1" t="s">
        <v>7091</v>
      </c>
      <c r="E856" s="1" t="s">
        <v>437</v>
      </c>
      <c r="F856" s="1" t="s">
        <v>7085</v>
      </c>
      <c r="G856" s="1" t="s">
        <v>7086</v>
      </c>
    </row>
    <row r="857" spans="1:7">
      <c r="A857" s="1">
        <v>856</v>
      </c>
      <c r="B857" s="1" t="s">
        <v>7094</v>
      </c>
      <c r="D857" s="1" t="s">
        <v>7091</v>
      </c>
      <c r="E857" s="1" t="s">
        <v>438</v>
      </c>
      <c r="F857" s="1" t="s">
        <v>7088</v>
      </c>
      <c r="G857" s="1" t="s">
        <v>7089</v>
      </c>
    </row>
    <row r="858" spans="1:7">
      <c r="A858" s="1">
        <v>857</v>
      </c>
      <c r="B858" s="1" t="s">
        <v>7095</v>
      </c>
      <c r="D858" s="1" t="s">
        <v>7096</v>
      </c>
      <c r="E858" s="1" t="s">
        <v>1699</v>
      </c>
      <c r="F858" s="1" t="s">
        <v>7097</v>
      </c>
      <c r="G858" s="1" t="s">
        <v>7098</v>
      </c>
    </row>
    <row r="859" spans="1:7">
      <c r="A859" s="1">
        <v>858</v>
      </c>
      <c r="B859" s="1" t="s">
        <v>7099</v>
      </c>
      <c r="D859" s="1" t="s">
        <v>7100</v>
      </c>
      <c r="E859" s="1" t="s">
        <v>7101</v>
      </c>
      <c r="F859" s="1" t="s">
        <v>7097</v>
      </c>
      <c r="G859" s="1" t="s">
        <v>7098</v>
      </c>
    </row>
    <row r="860" spans="1:7">
      <c r="A860" s="1">
        <v>859</v>
      </c>
      <c r="B860" s="1" t="s">
        <v>7102</v>
      </c>
      <c r="D860" s="1" t="s">
        <v>7103</v>
      </c>
      <c r="E860" s="1" t="s">
        <v>7104</v>
      </c>
      <c r="F860" s="1" t="s">
        <v>7105</v>
      </c>
      <c r="G860" s="1" t="s">
        <v>7106</v>
      </c>
    </row>
    <row r="861" spans="1:7">
      <c r="A861" s="1">
        <v>860</v>
      </c>
      <c r="B861" s="1" t="s">
        <v>7107</v>
      </c>
      <c r="D861" s="1" t="s">
        <v>7103</v>
      </c>
      <c r="E861" s="1" t="s">
        <v>7108</v>
      </c>
      <c r="F861" s="1" t="s">
        <v>7109</v>
      </c>
      <c r="G861" s="1" t="s">
        <v>7110</v>
      </c>
    </row>
    <row r="862" spans="1:7">
      <c r="A862" s="1">
        <v>861</v>
      </c>
      <c r="B862" s="1" t="s">
        <v>7111</v>
      </c>
      <c r="D862" s="1" t="s">
        <v>7103</v>
      </c>
      <c r="E862" s="1" t="s">
        <v>7112</v>
      </c>
      <c r="F862" s="1" t="s">
        <v>7113</v>
      </c>
      <c r="G862" s="1" t="s">
        <v>7114</v>
      </c>
    </row>
    <row r="863" spans="1:7">
      <c r="A863" s="1">
        <v>862</v>
      </c>
      <c r="B863" s="1" t="s">
        <v>7115</v>
      </c>
      <c r="D863" s="1" t="s">
        <v>7103</v>
      </c>
      <c r="E863" s="1" t="s">
        <v>7116</v>
      </c>
      <c r="F863" s="1" t="s">
        <v>7117</v>
      </c>
      <c r="G863" s="1" t="s">
        <v>7118</v>
      </c>
    </row>
    <row r="864" spans="1:7">
      <c r="A864" s="1">
        <v>863</v>
      </c>
      <c r="B864" s="1" t="s">
        <v>7119</v>
      </c>
      <c r="D864" s="1" t="s">
        <v>7103</v>
      </c>
      <c r="E864" s="1" t="s">
        <v>7120</v>
      </c>
      <c r="F864" s="1" t="s">
        <v>7121</v>
      </c>
      <c r="G864" s="1" t="s">
        <v>7122</v>
      </c>
    </row>
    <row r="865" spans="1:7">
      <c r="A865" s="1">
        <v>864</v>
      </c>
      <c r="B865" s="1" t="s">
        <v>7123</v>
      </c>
      <c r="D865" s="1" t="s">
        <v>7103</v>
      </c>
      <c r="E865" s="1" t="s">
        <v>7124</v>
      </c>
      <c r="F865" s="1" t="s">
        <v>7125</v>
      </c>
      <c r="G865" s="1" t="s">
        <v>7126</v>
      </c>
    </row>
    <row r="866" spans="1:7">
      <c r="A866" s="1">
        <v>865</v>
      </c>
      <c r="B866" s="1" t="s">
        <v>7127</v>
      </c>
      <c r="D866" s="1" t="s">
        <v>7128</v>
      </c>
      <c r="E866" s="1" t="s">
        <v>1996</v>
      </c>
      <c r="F866" s="1" t="s">
        <v>7129</v>
      </c>
      <c r="G866" s="1" t="s">
        <v>7130</v>
      </c>
    </row>
    <row r="867" spans="1:7">
      <c r="A867" s="1">
        <v>866</v>
      </c>
      <c r="B867" s="1" t="s">
        <v>7131</v>
      </c>
      <c r="D867" s="1" t="s">
        <v>7128</v>
      </c>
      <c r="E867" s="1" t="s">
        <v>1993</v>
      </c>
      <c r="F867" s="1" t="s">
        <v>7132</v>
      </c>
      <c r="G867" s="1" t="s">
        <v>7133</v>
      </c>
    </row>
    <row r="868" spans="1:7">
      <c r="A868" s="1">
        <v>867</v>
      </c>
      <c r="B868" s="1" t="s">
        <v>7134</v>
      </c>
      <c r="D868" s="1" t="s">
        <v>7128</v>
      </c>
      <c r="E868" s="1" t="s">
        <v>1992</v>
      </c>
      <c r="F868" s="1" t="s">
        <v>7135</v>
      </c>
      <c r="G868" s="1" t="s">
        <v>7136</v>
      </c>
    </row>
    <row r="869" spans="1:7">
      <c r="A869" s="1">
        <v>868</v>
      </c>
      <c r="B869" s="1" t="s">
        <v>7137</v>
      </c>
      <c r="D869" s="1" t="s">
        <v>7128</v>
      </c>
      <c r="E869" s="1" t="s">
        <v>7138</v>
      </c>
      <c r="F869" s="1" t="s">
        <v>7139</v>
      </c>
      <c r="G869" s="1" t="s">
        <v>7140</v>
      </c>
    </row>
    <row r="870" spans="1:7">
      <c r="A870" s="1">
        <v>869</v>
      </c>
      <c r="B870" s="1" t="s">
        <v>7141</v>
      </c>
      <c r="D870" s="1" t="s">
        <v>7128</v>
      </c>
      <c r="E870" s="1" t="s">
        <v>7142</v>
      </c>
      <c r="F870" s="1" t="s">
        <v>7143</v>
      </c>
      <c r="G870" s="1" t="s">
        <v>7144</v>
      </c>
    </row>
    <row r="871" spans="1:7">
      <c r="A871" s="1">
        <v>870</v>
      </c>
      <c r="B871" s="1" t="s">
        <v>7145</v>
      </c>
      <c r="D871" s="1" t="s">
        <v>7128</v>
      </c>
      <c r="E871" s="1" t="s">
        <v>7146</v>
      </c>
      <c r="F871" s="1" t="s">
        <v>7147</v>
      </c>
      <c r="G871" s="1" t="s">
        <v>7148</v>
      </c>
    </row>
    <row r="872" spans="1:7">
      <c r="A872" s="1">
        <v>871</v>
      </c>
      <c r="B872" s="1" t="s">
        <v>7149</v>
      </c>
      <c r="D872" s="1" t="s">
        <v>7128</v>
      </c>
      <c r="E872" s="1" t="s">
        <v>7150</v>
      </c>
      <c r="F872" s="1" t="s">
        <v>7151</v>
      </c>
      <c r="G872" s="1" t="s">
        <v>7152</v>
      </c>
    </row>
    <row r="873" spans="1:7">
      <c r="A873" s="1">
        <v>872</v>
      </c>
      <c r="B873" s="1" t="s">
        <v>7153</v>
      </c>
      <c r="D873" s="1" t="s">
        <v>7128</v>
      </c>
      <c r="E873" s="1" t="s">
        <v>7154</v>
      </c>
      <c r="F873" s="1" t="s">
        <v>7155</v>
      </c>
      <c r="G873" s="1" t="s">
        <v>7156</v>
      </c>
    </row>
    <row r="874" spans="1:7">
      <c r="A874" s="1">
        <v>873</v>
      </c>
      <c r="B874" s="1" t="s">
        <v>7157</v>
      </c>
      <c r="D874" s="1" t="s">
        <v>7128</v>
      </c>
      <c r="E874" s="1" t="s">
        <v>7158</v>
      </c>
      <c r="F874" s="1" t="s">
        <v>7159</v>
      </c>
      <c r="G874" s="1" t="s">
        <v>7160</v>
      </c>
    </row>
    <row r="875" spans="1:7">
      <c r="A875" s="1">
        <v>874</v>
      </c>
      <c r="B875" s="1" t="s">
        <v>7161</v>
      </c>
      <c r="D875" s="1" t="s">
        <v>7162</v>
      </c>
      <c r="E875" s="1" t="s">
        <v>3901</v>
      </c>
      <c r="F875" s="1" t="s">
        <v>7163</v>
      </c>
      <c r="G875" s="1" t="s">
        <v>7164</v>
      </c>
    </row>
    <row r="876" spans="1:7">
      <c r="A876" s="1">
        <v>875</v>
      </c>
      <c r="B876" s="1" t="s">
        <v>7165</v>
      </c>
      <c r="D876" s="1" t="s">
        <v>7162</v>
      </c>
      <c r="E876" s="1" t="s">
        <v>7166</v>
      </c>
      <c r="F876" s="1" t="s">
        <v>7167</v>
      </c>
      <c r="G876" s="1" t="s">
        <v>7168</v>
      </c>
    </row>
    <row r="877" spans="1:7">
      <c r="A877" s="1">
        <v>876</v>
      </c>
      <c r="B877" s="1" t="s">
        <v>7169</v>
      </c>
      <c r="D877" s="1" t="s">
        <v>7162</v>
      </c>
      <c r="E877" s="1" t="s">
        <v>7170</v>
      </c>
      <c r="F877" s="1" t="s">
        <v>7171</v>
      </c>
      <c r="G877" s="1" t="s">
        <v>7172</v>
      </c>
    </row>
    <row r="878" spans="1:7">
      <c r="A878" s="1">
        <v>877</v>
      </c>
      <c r="B878" s="1" t="s">
        <v>7173</v>
      </c>
      <c r="D878" s="1" t="s">
        <v>7162</v>
      </c>
      <c r="E878" s="1" t="s">
        <v>7174</v>
      </c>
      <c r="F878" s="1" t="s">
        <v>7175</v>
      </c>
      <c r="G878" s="1" t="s">
        <v>7176</v>
      </c>
    </row>
    <row r="879" spans="1:7">
      <c r="A879" s="1">
        <v>878</v>
      </c>
      <c r="B879" s="1" t="s">
        <v>7177</v>
      </c>
      <c r="D879" s="1" t="s">
        <v>7162</v>
      </c>
      <c r="E879" s="1" t="s">
        <v>3904</v>
      </c>
      <c r="F879" s="1" t="s">
        <v>7178</v>
      </c>
      <c r="G879" s="1" t="s">
        <v>7179</v>
      </c>
    </row>
    <row r="880" spans="1:7">
      <c r="A880" s="1">
        <v>879</v>
      </c>
      <c r="B880" s="1" t="s">
        <v>7180</v>
      </c>
      <c r="D880" s="1" t="s">
        <v>7162</v>
      </c>
      <c r="E880" s="1" t="s">
        <v>3905</v>
      </c>
      <c r="F880" s="1" t="s">
        <v>7181</v>
      </c>
      <c r="G880" s="1" t="s">
        <v>7182</v>
      </c>
    </row>
    <row r="881" spans="1:7">
      <c r="A881" s="1">
        <v>880</v>
      </c>
      <c r="B881" s="1" t="s">
        <v>7183</v>
      </c>
      <c r="D881" s="1" t="s">
        <v>7162</v>
      </c>
      <c r="E881" s="1" t="s">
        <v>7184</v>
      </c>
      <c r="F881" s="1" t="s">
        <v>7185</v>
      </c>
      <c r="G881" s="1" t="s">
        <v>7186</v>
      </c>
    </row>
    <row r="882" spans="1:7">
      <c r="A882" s="1">
        <v>881</v>
      </c>
      <c r="B882" s="1" t="s">
        <v>7187</v>
      </c>
      <c r="D882" s="1" t="s">
        <v>7162</v>
      </c>
      <c r="E882" s="1" t="s">
        <v>7188</v>
      </c>
      <c r="F882" s="1" t="s">
        <v>7189</v>
      </c>
      <c r="G882" s="1" t="s">
        <v>7190</v>
      </c>
    </row>
    <row r="883" spans="1:7">
      <c r="A883" s="1">
        <v>882</v>
      </c>
      <c r="B883" s="1" t="s">
        <v>7191</v>
      </c>
      <c r="D883" s="1" t="s">
        <v>7162</v>
      </c>
      <c r="E883" s="1" t="s">
        <v>7192</v>
      </c>
      <c r="F883" s="1" t="s">
        <v>7193</v>
      </c>
      <c r="G883" s="1" t="s">
        <v>7194</v>
      </c>
    </row>
    <row r="884" spans="1:7">
      <c r="A884" s="1">
        <v>883</v>
      </c>
      <c r="B884" s="1" t="s">
        <v>7195</v>
      </c>
      <c r="D884" s="1" t="s">
        <v>7196</v>
      </c>
      <c r="E884" s="1" t="s">
        <v>3968</v>
      </c>
      <c r="F884" s="1" t="s">
        <v>7197</v>
      </c>
      <c r="G884" s="1" t="s">
        <v>7198</v>
      </c>
    </row>
    <row r="885" spans="1:7">
      <c r="A885" s="1">
        <v>884</v>
      </c>
      <c r="B885" s="1" t="s">
        <v>7199</v>
      </c>
      <c r="D885" s="1" t="s">
        <v>7196</v>
      </c>
      <c r="E885" s="1" t="s">
        <v>3257</v>
      </c>
      <c r="F885" s="1" t="s">
        <v>7200</v>
      </c>
      <c r="G885" s="1" t="s">
        <v>7201</v>
      </c>
    </row>
    <row r="886" spans="1:7">
      <c r="A886" s="1">
        <v>885</v>
      </c>
      <c r="B886" s="1" t="s">
        <v>7202</v>
      </c>
      <c r="D886" s="1" t="s">
        <v>7196</v>
      </c>
      <c r="E886" s="1" t="s">
        <v>3255</v>
      </c>
      <c r="F886" s="1" t="s">
        <v>7203</v>
      </c>
      <c r="G886" s="1" t="s">
        <v>7204</v>
      </c>
    </row>
    <row r="887" spans="1:7">
      <c r="A887" s="1">
        <v>886</v>
      </c>
      <c r="B887" s="1" t="s">
        <v>7205</v>
      </c>
      <c r="D887" s="1" t="s">
        <v>7196</v>
      </c>
      <c r="E887" s="1" t="s">
        <v>3258</v>
      </c>
      <c r="F887" s="1" t="s">
        <v>7206</v>
      </c>
      <c r="G887" s="1" t="s">
        <v>7207</v>
      </c>
    </row>
    <row r="888" spans="1:7">
      <c r="A888" s="1">
        <v>887</v>
      </c>
      <c r="B888" s="1" t="s">
        <v>7208</v>
      </c>
      <c r="D888" s="1" t="s">
        <v>7196</v>
      </c>
      <c r="E888" s="1" t="s">
        <v>3256</v>
      </c>
      <c r="F888" s="1" t="s">
        <v>7209</v>
      </c>
      <c r="G888" s="1" t="s">
        <v>7210</v>
      </c>
    </row>
    <row r="889" spans="1:7">
      <c r="A889" s="1">
        <v>888</v>
      </c>
      <c r="B889" s="1" t="s">
        <v>7211</v>
      </c>
      <c r="D889" s="1" t="s">
        <v>7196</v>
      </c>
      <c r="E889" s="1" t="s">
        <v>7212</v>
      </c>
      <c r="F889" s="1" t="s">
        <v>7213</v>
      </c>
      <c r="G889" s="1" t="s">
        <v>7214</v>
      </c>
    </row>
    <row r="890" spans="1:7">
      <c r="A890" s="1">
        <v>889</v>
      </c>
      <c r="B890" s="1" t="s">
        <v>7215</v>
      </c>
      <c r="D890" s="1" t="s">
        <v>7216</v>
      </c>
      <c r="E890" s="1" t="s">
        <v>7217</v>
      </c>
      <c r="F890" s="1" t="s">
        <v>7218</v>
      </c>
      <c r="G890" s="1" t="s">
        <v>7219</v>
      </c>
    </row>
    <row r="891" spans="1:7">
      <c r="A891" s="1">
        <v>890</v>
      </c>
      <c r="B891" s="1" t="s">
        <v>7220</v>
      </c>
      <c r="D891" s="1" t="s">
        <v>7216</v>
      </c>
      <c r="E891" s="1" t="s">
        <v>7221</v>
      </c>
      <c r="F891" s="1" t="s">
        <v>7222</v>
      </c>
      <c r="G891" s="1" t="s">
        <v>7223</v>
      </c>
    </row>
    <row r="892" spans="1:7">
      <c r="A892" s="1">
        <v>891</v>
      </c>
      <c r="B892" s="1" t="s">
        <v>7224</v>
      </c>
      <c r="D892" s="1" t="s">
        <v>7216</v>
      </c>
      <c r="E892" s="1" t="s">
        <v>7225</v>
      </c>
      <c r="F892" s="1" t="s">
        <v>7226</v>
      </c>
      <c r="G892" s="1" t="s">
        <v>7227</v>
      </c>
    </row>
    <row r="893" spans="1:7">
      <c r="A893" s="1">
        <v>892</v>
      </c>
      <c r="B893" s="1" t="s">
        <v>7228</v>
      </c>
      <c r="D893" s="1" t="s">
        <v>7216</v>
      </c>
      <c r="E893" s="1" t="s">
        <v>7229</v>
      </c>
      <c r="F893" s="1" t="s">
        <v>7230</v>
      </c>
      <c r="G893" s="1" t="s">
        <v>7231</v>
      </c>
    </row>
    <row r="894" spans="1:7">
      <c r="A894" s="1">
        <v>893</v>
      </c>
      <c r="B894" s="1" t="s">
        <v>7232</v>
      </c>
      <c r="D894" s="1" t="s">
        <v>7216</v>
      </c>
      <c r="E894" s="1" t="s">
        <v>7233</v>
      </c>
      <c r="F894" s="1" t="s">
        <v>7234</v>
      </c>
      <c r="G894" s="1" t="s">
        <v>7235</v>
      </c>
    </row>
    <row r="895" spans="1:7">
      <c r="A895" s="1">
        <v>894</v>
      </c>
      <c r="B895" s="1" t="s">
        <v>7236</v>
      </c>
      <c r="D895" s="1" t="s">
        <v>7237</v>
      </c>
      <c r="E895" s="1" t="s">
        <v>7238</v>
      </c>
      <c r="F895" s="1" t="s">
        <v>7218</v>
      </c>
      <c r="G895" s="1" t="s">
        <v>7219</v>
      </c>
    </row>
    <row r="896" spans="1:7">
      <c r="A896" s="1">
        <v>895</v>
      </c>
      <c r="B896" s="1" t="s">
        <v>7239</v>
      </c>
      <c r="D896" s="1" t="s">
        <v>7237</v>
      </c>
      <c r="E896" s="1" t="s">
        <v>7240</v>
      </c>
      <c r="F896" s="1" t="s">
        <v>7222</v>
      </c>
      <c r="G896" s="1" t="s">
        <v>7223</v>
      </c>
    </row>
    <row r="897" spans="1:7">
      <c r="A897" s="1">
        <v>896</v>
      </c>
      <c r="B897" s="1" t="s">
        <v>7241</v>
      </c>
      <c r="D897" s="1" t="s">
        <v>7237</v>
      </c>
      <c r="E897" s="1" t="s">
        <v>7242</v>
      </c>
      <c r="F897" s="1" t="s">
        <v>7226</v>
      </c>
      <c r="G897" s="1" t="s">
        <v>7227</v>
      </c>
    </row>
    <row r="898" spans="1:7">
      <c r="A898" s="1">
        <v>897</v>
      </c>
      <c r="B898" s="1" t="s">
        <v>7243</v>
      </c>
      <c r="D898" s="1" t="s">
        <v>7237</v>
      </c>
      <c r="E898" s="1" t="s">
        <v>7244</v>
      </c>
      <c r="F898" s="1" t="s">
        <v>7230</v>
      </c>
      <c r="G898" s="1" t="s">
        <v>7231</v>
      </c>
    </row>
    <row r="899" spans="1:7">
      <c r="A899" s="1">
        <v>898</v>
      </c>
      <c r="B899" s="1" t="s">
        <v>7245</v>
      </c>
      <c r="D899" s="1" t="s">
        <v>7237</v>
      </c>
      <c r="E899" s="1" t="s">
        <v>7246</v>
      </c>
      <c r="F899" s="1" t="s">
        <v>7234</v>
      </c>
      <c r="G899" s="1" t="s">
        <v>7235</v>
      </c>
    </row>
    <row r="900" spans="1:7">
      <c r="A900" s="1">
        <v>899</v>
      </c>
      <c r="B900" s="1" t="s">
        <v>7247</v>
      </c>
      <c r="D900" s="1" t="s">
        <v>7248</v>
      </c>
      <c r="E900" s="1" t="s">
        <v>7249</v>
      </c>
      <c r="F900" s="1" t="s">
        <v>7250</v>
      </c>
      <c r="G900" s="1" t="s">
        <v>7251</v>
      </c>
    </row>
    <row r="901" spans="1:7">
      <c r="A901" s="1">
        <v>900</v>
      </c>
      <c r="B901" s="1" t="s">
        <v>7252</v>
      </c>
      <c r="D901" s="1" t="s">
        <v>7248</v>
      </c>
      <c r="E901" s="1" t="s">
        <v>7253</v>
      </c>
      <c r="F901" s="1" t="s">
        <v>7254</v>
      </c>
      <c r="G901" s="1" t="s">
        <v>7255</v>
      </c>
    </row>
    <row r="902" spans="1:7">
      <c r="A902" s="1">
        <v>901</v>
      </c>
      <c r="B902" s="1" t="s">
        <v>7256</v>
      </c>
      <c r="D902" s="1" t="s">
        <v>7257</v>
      </c>
      <c r="E902" s="1" t="s">
        <v>2940</v>
      </c>
      <c r="F902" s="1" t="s">
        <v>7258</v>
      </c>
      <c r="G902" s="1" t="s">
        <v>7259</v>
      </c>
    </row>
    <row r="903" spans="1:7">
      <c r="A903" s="1">
        <v>902</v>
      </c>
      <c r="B903" s="1" t="s">
        <v>7260</v>
      </c>
      <c r="D903" s="1" t="s">
        <v>7257</v>
      </c>
      <c r="E903" s="1" t="s">
        <v>2946</v>
      </c>
      <c r="F903" s="1" t="s">
        <v>7261</v>
      </c>
      <c r="G903" s="1" t="s">
        <v>7262</v>
      </c>
    </row>
    <row r="904" spans="1:7">
      <c r="A904" s="1">
        <v>903</v>
      </c>
      <c r="B904" s="1" t="s">
        <v>7263</v>
      </c>
      <c r="D904" s="1" t="s">
        <v>7257</v>
      </c>
      <c r="E904" s="1" t="s">
        <v>2949</v>
      </c>
      <c r="F904" s="1" t="s">
        <v>7264</v>
      </c>
      <c r="G904" s="1" t="s">
        <v>7265</v>
      </c>
    </row>
    <row r="905" spans="1:7">
      <c r="A905" s="1">
        <v>904</v>
      </c>
      <c r="B905" s="1" t="s">
        <v>7266</v>
      </c>
      <c r="D905" s="1" t="s">
        <v>7257</v>
      </c>
      <c r="E905" s="1" t="s">
        <v>7267</v>
      </c>
      <c r="F905" s="1" t="s">
        <v>7268</v>
      </c>
      <c r="G905" s="1" t="s">
        <v>7269</v>
      </c>
    </row>
    <row r="906" spans="1:7">
      <c r="A906" s="1">
        <v>905</v>
      </c>
      <c r="B906" s="1" t="s">
        <v>7270</v>
      </c>
      <c r="D906" s="1" t="s">
        <v>7257</v>
      </c>
      <c r="E906" s="1" t="s">
        <v>2943</v>
      </c>
      <c r="F906" s="1" t="s">
        <v>7271</v>
      </c>
      <c r="G906" s="1" t="s">
        <v>7272</v>
      </c>
    </row>
    <row r="907" spans="1:7">
      <c r="A907" s="1">
        <v>906</v>
      </c>
      <c r="B907" s="1" t="s">
        <v>7273</v>
      </c>
      <c r="D907" s="1" t="s">
        <v>7257</v>
      </c>
      <c r="E907" s="1" t="s">
        <v>2952</v>
      </c>
      <c r="F907" s="1" t="s">
        <v>7274</v>
      </c>
      <c r="G907" s="1" t="s">
        <v>7275</v>
      </c>
    </row>
    <row r="908" spans="1:7">
      <c r="A908" s="1">
        <v>907</v>
      </c>
      <c r="B908" s="1" t="s">
        <v>7276</v>
      </c>
      <c r="D908" s="1" t="s">
        <v>7277</v>
      </c>
      <c r="E908" s="1" t="s">
        <v>7278</v>
      </c>
      <c r="F908" s="1" t="s">
        <v>7279</v>
      </c>
      <c r="G908" s="1" t="s">
        <v>7280</v>
      </c>
    </row>
    <row r="909" spans="1:7">
      <c r="A909" s="1">
        <v>908</v>
      </c>
      <c r="B909" s="1" t="s">
        <v>7281</v>
      </c>
      <c r="D909" s="1" t="s">
        <v>7277</v>
      </c>
      <c r="E909" s="1" t="s">
        <v>7282</v>
      </c>
      <c r="F909" s="1" t="s">
        <v>7283</v>
      </c>
      <c r="G909" s="1" t="s">
        <v>7284</v>
      </c>
    </row>
    <row r="910" spans="1:7">
      <c r="A910" s="1">
        <v>909</v>
      </c>
      <c r="B910" s="1" t="s">
        <v>7285</v>
      </c>
      <c r="D910" s="1" t="s">
        <v>7277</v>
      </c>
      <c r="E910" s="1" t="s">
        <v>7286</v>
      </c>
      <c r="F910" s="1" t="s">
        <v>7287</v>
      </c>
      <c r="G910" s="1" t="s">
        <v>7288</v>
      </c>
    </row>
    <row r="911" spans="1:7">
      <c r="A911" s="1">
        <v>910</v>
      </c>
      <c r="B911" s="1" t="s">
        <v>7289</v>
      </c>
      <c r="D911" s="1" t="s">
        <v>7277</v>
      </c>
      <c r="E911" s="1" t="s">
        <v>7290</v>
      </c>
      <c r="F911" s="1" t="s">
        <v>7291</v>
      </c>
      <c r="G911" s="1" t="s">
        <v>7292</v>
      </c>
    </row>
    <row r="912" spans="1:7">
      <c r="A912" s="1">
        <v>911</v>
      </c>
      <c r="B912" s="1" t="s">
        <v>7293</v>
      </c>
      <c r="D912" s="1" t="s">
        <v>7277</v>
      </c>
      <c r="E912" s="1" t="s">
        <v>7294</v>
      </c>
      <c r="F912" s="1" t="s">
        <v>7295</v>
      </c>
      <c r="G912" s="1" t="s">
        <v>7296</v>
      </c>
    </row>
    <row r="913" spans="1:7">
      <c r="A913" s="1">
        <v>912</v>
      </c>
      <c r="B913" s="1" t="s">
        <v>7297</v>
      </c>
      <c r="D913" s="1" t="s">
        <v>7277</v>
      </c>
      <c r="E913" s="1" t="s">
        <v>7298</v>
      </c>
      <c r="F913" s="1" t="s">
        <v>7299</v>
      </c>
      <c r="G913" s="1" t="s">
        <v>7300</v>
      </c>
    </row>
    <row r="914" spans="1:7">
      <c r="A914" s="1">
        <v>913</v>
      </c>
      <c r="B914" s="1" t="s">
        <v>7301</v>
      </c>
      <c r="D914" s="1" t="s">
        <v>7302</v>
      </c>
      <c r="E914" s="1" t="s">
        <v>7303</v>
      </c>
      <c r="F914" s="1" t="s">
        <v>7304</v>
      </c>
      <c r="G914" s="1" t="s">
        <v>7305</v>
      </c>
    </row>
    <row r="915" spans="1:7">
      <c r="A915" s="1">
        <v>914</v>
      </c>
      <c r="B915" s="1" t="s">
        <v>7306</v>
      </c>
      <c r="D915" s="1" t="s">
        <v>7302</v>
      </c>
      <c r="E915" s="1" t="s">
        <v>7307</v>
      </c>
      <c r="F915" s="1" t="s">
        <v>7308</v>
      </c>
      <c r="G915" s="1" t="s">
        <v>7309</v>
      </c>
    </row>
    <row r="916" spans="1:7">
      <c r="A916" s="1">
        <v>915</v>
      </c>
      <c r="B916" s="1" t="s">
        <v>7310</v>
      </c>
      <c r="D916" s="1" t="s">
        <v>7302</v>
      </c>
      <c r="E916" s="1" t="s">
        <v>3039</v>
      </c>
      <c r="F916" s="1" t="s">
        <v>7311</v>
      </c>
      <c r="G916" s="1" t="s">
        <v>7312</v>
      </c>
    </row>
    <row r="917" spans="1:7">
      <c r="A917" s="1">
        <v>916</v>
      </c>
      <c r="B917" s="1" t="s">
        <v>7313</v>
      </c>
      <c r="D917" s="1" t="s">
        <v>7302</v>
      </c>
      <c r="E917" s="1" t="s">
        <v>3045</v>
      </c>
      <c r="F917" s="1" t="s">
        <v>7314</v>
      </c>
      <c r="G917" s="1" t="s">
        <v>7315</v>
      </c>
    </row>
    <row r="918" spans="1:7">
      <c r="A918" s="1">
        <v>917</v>
      </c>
      <c r="B918" s="1" t="s">
        <v>7316</v>
      </c>
      <c r="D918" s="1" t="s">
        <v>7302</v>
      </c>
      <c r="E918" s="1" t="s">
        <v>7317</v>
      </c>
      <c r="F918" s="1" t="s">
        <v>7318</v>
      </c>
      <c r="G918" s="1" t="s">
        <v>7319</v>
      </c>
    </row>
    <row r="919" spans="1:7">
      <c r="A919" s="1">
        <v>918</v>
      </c>
      <c r="B919" s="1" t="s">
        <v>7320</v>
      </c>
      <c r="D919" s="1" t="s">
        <v>7302</v>
      </c>
      <c r="E919" s="1" t="s">
        <v>3042</v>
      </c>
      <c r="F919" s="1" t="s">
        <v>7321</v>
      </c>
      <c r="G919" s="1" t="s">
        <v>7322</v>
      </c>
    </row>
    <row r="920" spans="1:7">
      <c r="A920" s="1">
        <v>919</v>
      </c>
      <c r="B920" s="1" t="s">
        <v>7323</v>
      </c>
      <c r="D920" s="1" t="s">
        <v>7324</v>
      </c>
      <c r="E920" s="1" t="s">
        <v>7325</v>
      </c>
      <c r="F920" s="1" t="s">
        <v>7326</v>
      </c>
      <c r="G920" s="1" t="s">
        <v>7327</v>
      </c>
    </row>
    <row r="921" spans="1:7">
      <c r="A921" s="1">
        <v>920</v>
      </c>
      <c r="B921" s="1" t="s">
        <v>7328</v>
      </c>
      <c r="D921" s="1" t="s">
        <v>7324</v>
      </c>
      <c r="E921" s="1" t="s">
        <v>7329</v>
      </c>
      <c r="F921" s="1" t="s">
        <v>7330</v>
      </c>
      <c r="G921" s="1" t="s">
        <v>7331</v>
      </c>
    </row>
    <row r="922" spans="1:7">
      <c r="A922" s="1">
        <v>921</v>
      </c>
      <c r="B922" s="1" t="s">
        <v>7332</v>
      </c>
      <c r="D922" s="1" t="s">
        <v>7324</v>
      </c>
      <c r="E922" s="1" t="s">
        <v>7333</v>
      </c>
      <c r="F922" s="1" t="s">
        <v>7334</v>
      </c>
      <c r="G922" s="1" t="s">
        <v>7335</v>
      </c>
    </row>
    <row r="923" spans="1:7">
      <c r="A923" s="1">
        <v>922</v>
      </c>
      <c r="B923" s="1" t="s">
        <v>7336</v>
      </c>
      <c r="D923" s="1" t="s">
        <v>7324</v>
      </c>
      <c r="E923" s="1" t="s">
        <v>7337</v>
      </c>
      <c r="F923" s="1" t="s">
        <v>7338</v>
      </c>
      <c r="G923" s="1" t="s">
        <v>7339</v>
      </c>
    </row>
    <row r="924" spans="1:7">
      <c r="A924" s="1">
        <v>923</v>
      </c>
      <c r="B924" s="1" t="s">
        <v>7340</v>
      </c>
      <c r="D924" s="1" t="s">
        <v>7324</v>
      </c>
      <c r="E924" s="1" t="s">
        <v>7341</v>
      </c>
      <c r="F924" s="1" t="s">
        <v>7342</v>
      </c>
      <c r="G924" s="1" t="s">
        <v>7343</v>
      </c>
    </row>
    <row r="925" spans="1:7">
      <c r="A925" s="1">
        <v>924</v>
      </c>
      <c r="B925" s="1" t="s">
        <v>7344</v>
      </c>
      <c r="D925" s="1" t="s">
        <v>7324</v>
      </c>
      <c r="E925" s="1" t="s">
        <v>7345</v>
      </c>
      <c r="F925" s="1" t="s">
        <v>7346</v>
      </c>
      <c r="G925" s="1" t="s">
        <v>7347</v>
      </c>
    </row>
    <row r="926" spans="1:7">
      <c r="A926" s="1">
        <v>925</v>
      </c>
      <c r="B926" s="1" t="s">
        <v>7348</v>
      </c>
      <c r="D926" s="1" t="s">
        <v>7349</v>
      </c>
      <c r="E926" s="1" t="s">
        <v>7350</v>
      </c>
      <c r="F926" s="1" t="s">
        <v>7351</v>
      </c>
      <c r="G926" s="1" t="s">
        <v>7352</v>
      </c>
    </row>
    <row r="927" spans="1:7">
      <c r="A927" s="1">
        <v>926</v>
      </c>
      <c r="B927" s="1" t="s">
        <v>7353</v>
      </c>
      <c r="D927" s="1" t="s">
        <v>7349</v>
      </c>
      <c r="E927" s="1" t="s">
        <v>7354</v>
      </c>
      <c r="F927" s="1" t="s">
        <v>7355</v>
      </c>
      <c r="G927" s="1" t="s">
        <v>7356</v>
      </c>
    </row>
    <row r="928" spans="1:7">
      <c r="A928" s="1">
        <v>927</v>
      </c>
      <c r="B928" s="1" t="s">
        <v>7357</v>
      </c>
      <c r="D928" s="1" t="s">
        <v>7358</v>
      </c>
      <c r="E928" s="1" t="s">
        <v>7359</v>
      </c>
      <c r="F928" s="1" t="s">
        <v>7360</v>
      </c>
      <c r="G928" s="1" t="s">
        <v>7361</v>
      </c>
    </row>
    <row r="929" spans="1:7">
      <c r="A929" s="1">
        <v>928</v>
      </c>
      <c r="B929" s="1" t="s">
        <v>7362</v>
      </c>
      <c r="D929" s="1" t="s">
        <v>7363</v>
      </c>
      <c r="E929" s="1" t="s">
        <v>388</v>
      </c>
      <c r="F929" s="1" t="s">
        <v>444</v>
      </c>
      <c r="G929" s="1" t="s">
        <v>445</v>
      </c>
    </row>
    <row r="930" spans="1:7">
      <c r="A930" s="1">
        <v>929</v>
      </c>
      <c r="B930" s="1" t="s">
        <v>7364</v>
      </c>
      <c r="D930" s="1" t="s">
        <v>7365</v>
      </c>
      <c r="E930" s="1" t="s">
        <v>448</v>
      </c>
      <c r="F930" s="1" t="s">
        <v>449</v>
      </c>
      <c r="G930" s="1" t="s">
        <v>450</v>
      </c>
    </row>
    <row r="931" spans="1:7">
      <c r="A931" s="1">
        <v>930</v>
      </c>
      <c r="B931" s="1" t="s">
        <v>7366</v>
      </c>
      <c r="D931" s="1" t="s">
        <v>7367</v>
      </c>
      <c r="E931" s="1" t="s">
        <v>2462</v>
      </c>
      <c r="F931" s="1" t="s">
        <v>459</v>
      </c>
      <c r="G931" s="1" t="s">
        <v>460</v>
      </c>
    </row>
    <row r="932" spans="1:7">
      <c r="A932" s="1">
        <v>931</v>
      </c>
      <c r="B932" s="1" t="s">
        <v>7368</v>
      </c>
      <c r="D932" s="1" t="s">
        <v>7367</v>
      </c>
      <c r="E932" s="1" t="s">
        <v>2470</v>
      </c>
      <c r="F932" s="1" t="s">
        <v>475</v>
      </c>
      <c r="G932" s="1" t="s">
        <v>476</v>
      </c>
    </row>
    <row r="933" spans="1:7">
      <c r="A933" s="1">
        <v>932</v>
      </c>
      <c r="B933" s="1" t="s">
        <v>7369</v>
      </c>
      <c r="D933" s="1" t="s">
        <v>7367</v>
      </c>
      <c r="E933" s="1" t="s">
        <v>2460</v>
      </c>
      <c r="F933" s="1" t="s">
        <v>455</v>
      </c>
      <c r="G933" s="1" t="s">
        <v>456</v>
      </c>
    </row>
    <row r="934" spans="1:7">
      <c r="A934" s="1">
        <v>933</v>
      </c>
      <c r="B934" s="1" t="s">
        <v>7370</v>
      </c>
      <c r="D934" s="1" t="s">
        <v>7367</v>
      </c>
      <c r="E934" s="1" t="s">
        <v>2464</v>
      </c>
      <c r="F934" s="1" t="s">
        <v>7371</v>
      </c>
      <c r="G934" s="1" t="s">
        <v>7372</v>
      </c>
    </row>
    <row r="935" spans="1:7">
      <c r="A935" s="1">
        <v>934</v>
      </c>
      <c r="B935" s="1" t="s">
        <v>7373</v>
      </c>
      <c r="D935" s="1" t="s">
        <v>7367</v>
      </c>
      <c r="E935" s="1" t="s">
        <v>2482</v>
      </c>
      <c r="F935" s="1" t="s">
        <v>7374</v>
      </c>
      <c r="G935" s="1" t="s">
        <v>7375</v>
      </c>
    </row>
    <row r="936" spans="1:7">
      <c r="A936" s="1">
        <v>935</v>
      </c>
      <c r="B936" s="1" t="s">
        <v>7376</v>
      </c>
      <c r="D936" s="1" t="s">
        <v>7367</v>
      </c>
      <c r="E936" s="1" t="s">
        <v>7377</v>
      </c>
      <c r="F936" s="1" t="s">
        <v>503</v>
      </c>
      <c r="G936" s="1" t="s">
        <v>504</v>
      </c>
    </row>
    <row r="937" spans="1:7">
      <c r="A937" s="1">
        <v>936</v>
      </c>
      <c r="B937" s="1" t="s">
        <v>7378</v>
      </c>
      <c r="D937" s="1" t="s">
        <v>7367</v>
      </c>
      <c r="E937" s="1" t="s">
        <v>2468</v>
      </c>
      <c r="F937" s="1" t="s">
        <v>7379</v>
      </c>
      <c r="G937" s="1" t="s">
        <v>7380</v>
      </c>
    </row>
    <row r="938" spans="1:7">
      <c r="A938" s="1">
        <v>937</v>
      </c>
      <c r="B938" s="1" t="s">
        <v>7381</v>
      </c>
      <c r="D938" s="1" t="s">
        <v>7367</v>
      </c>
      <c r="E938" s="1" t="s">
        <v>2466</v>
      </c>
      <c r="F938" s="1" t="s">
        <v>7382</v>
      </c>
      <c r="G938" s="1" t="s">
        <v>7383</v>
      </c>
    </row>
    <row r="939" spans="1:7">
      <c r="A939" s="1">
        <v>938</v>
      </c>
      <c r="B939" s="1" t="s">
        <v>7384</v>
      </c>
      <c r="D939" s="1" t="s">
        <v>7367</v>
      </c>
      <c r="E939" s="1" t="s">
        <v>2474</v>
      </c>
      <c r="F939" s="1" t="s">
        <v>479</v>
      </c>
      <c r="G939" s="1" t="s">
        <v>480</v>
      </c>
    </row>
    <row r="940" spans="1:7">
      <c r="A940" s="1">
        <v>939</v>
      </c>
      <c r="B940" s="1" t="s">
        <v>7385</v>
      </c>
      <c r="D940" s="1" t="s">
        <v>7367</v>
      </c>
      <c r="E940" s="1" t="s">
        <v>2484</v>
      </c>
      <c r="F940" s="1" t="s">
        <v>7386</v>
      </c>
      <c r="G940" s="1" t="s">
        <v>7387</v>
      </c>
    </row>
    <row r="941" spans="1:7">
      <c r="A941" s="1">
        <v>940</v>
      </c>
      <c r="B941" s="1" t="s">
        <v>7388</v>
      </c>
      <c r="D941" s="1" t="s">
        <v>7367</v>
      </c>
      <c r="E941" s="1" t="s">
        <v>7389</v>
      </c>
      <c r="F941" s="1" t="s">
        <v>507</v>
      </c>
      <c r="G941" s="1" t="s">
        <v>508</v>
      </c>
    </row>
    <row r="942" spans="1:7">
      <c r="A942" s="1">
        <v>941</v>
      </c>
      <c r="B942" s="1" t="s">
        <v>7390</v>
      </c>
      <c r="D942" s="1" t="s">
        <v>7367</v>
      </c>
      <c r="E942" s="1" t="s">
        <v>2476</v>
      </c>
      <c r="F942" s="1" t="s">
        <v>483</v>
      </c>
      <c r="G942" s="1" t="s">
        <v>484</v>
      </c>
    </row>
    <row r="943" spans="1:7">
      <c r="A943" s="1">
        <v>942</v>
      </c>
      <c r="B943" s="1" t="s">
        <v>7391</v>
      </c>
      <c r="D943" s="1" t="s">
        <v>7367</v>
      </c>
      <c r="E943" s="1" t="s">
        <v>2480</v>
      </c>
      <c r="F943" s="1" t="s">
        <v>7392</v>
      </c>
      <c r="G943" s="1" t="s">
        <v>7393</v>
      </c>
    </row>
    <row r="944" spans="1:7">
      <c r="A944" s="1">
        <v>943</v>
      </c>
      <c r="B944" s="1" t="s">
        <v>7394</v>
      </c>
      <c r="D944" s="1" t="s">
        <v>7367</v>
      </c>
      <c r="E944" s="1" t="s">
        <v>2478</v>
      </c>
      <c r="F944" s="1" t="s">
        <v>7395</v>
      </c>
      <c r="G944" s="1" t="s">
        <v>7396</v>
      </c>
    </row>
    <row r="945" spans="1:7">
      <c r="A945" s="1">
        <v>944</v>
      </c>
      <c r="B945" s="1" t="s">
        <v>7397</v>
      </c>
      <c r="D945" s="1" t="s">
        <v>7398</v>
      </c>
      <c r="E945" s="1" t="s">
        <v>7399</v>
      </c>
      <c r="F945" s="1" t="s">
        <v>7400</v>
      </c>
      <c r="G945" s="1" t="s">
        <v>7401</v>
      </c>
    </row>
    <row r="946" spans="1:7">
      <c r="A946" s="1">
        <v>945</v>
      </c>
      <c r="B946" s="1" t="s">
        <v>7402</v>
      </c>
      <c r="D946" s="1" t="s">
        <v>7398</v>
      </c>
      <c r="E946" s="1" t="s">
        <v>7403</v>
      </c>
      <c r="F946" s="1" t="s">
        <v>7404</v>
      </c>
      <c r="G946" s="1" t="s">
        <v>7405</v>
      </c>
    </row>
    <row r="947" spans="1:7">
      <c r="A947" s="1">
        <v>946</v>
      </c>
      <c r="B947" s="1" t="s">
        <v>7406</v>
      </c>
      <c r="D947" s="1" t="s">
        <v>7398</v>
      </c>
      <c r="E947" s="1" t="s">
        <v>7407</v>
      </c>
      <c r="F947" s="1" t="s">
        <v>7408</v>
      </c>
      <c r="G947" s="1" t="s">
        <v>7409</v>
      </c>
    </row>
    <row r="948" spans="1:7">
      <c r="A948" s="1">
        <v>947</v>
      </c>
      <c r="B948" s="1" t="s">
        <v>7410</v>
      </c>
      <c r="D948" s="1" t="s">
        <v>7411</v>
      </c>
      <c r="E948" s="1" t="s">
        <v>7412</v>
      </c>
      <c r="F948" s="1" t="s">
        <v>7413</v>
      </c>
      <c r="G948" s="1" t="s">
        <v>7414</v>
      </c>
    </row>
    <row r="949" spans="1:7">
      <c r="A949" s="1">
        <v>948</v>
      </c>
      <c r="B949" s="1" t="s">
        <v>7415</v>
      </c>
      <c r="D949" s="1" t="s">
        <v>7411</v>
      </c>
      <c r="E949" s="1" t="s">
        <v>7416</v>
      </c>
      <c r="F949" s="1" t="s">
        <v>7417</v>
      </c>
      <c r="G949" s="1" t="s">
        <v>7418</v>
      </c>
    </row>
    <row r="950" spans="1:7">
      <c r="A950" s="1">
        <v>949</v>
      </c>
      <c r="B950" s="1" t="s">
        <v>7419</v>
      </c>
      <c r="D950" s="1" t="s">
        <v>7411</v>
      </c>
      <c r="E950" s="1" t="s">
        <v>7420</v>
      </c>
      <c r="F950" s="1" t="s">
        <v>7421</v>
      </c>
      <c r="G950" s="1" t="s">
        <v>7422</v>
      </c>
    </row>
    <row r="951" spans="1:7">
      <c r="A951" s="1">
        <v>950</v>
      </c>
      <c r="B951" s="1" t="s">
        <v>7423</v>
      </c>
      <c r="D951" s="1" t="s">
        <v>7411</v>
      </c>
      <c r="E951" s="1" t="s">
        <v>7424</v>
      </c>
      <c r="F951" s="1" t="s">
        <v>7425</v>
      </c>
      <c r="G951" s="1" t="s">
        <v>7426</v>
      </c>
    </row>
    <row r="952" spans="1:7">
      <c r="A952" s="1">
        <v>951</v>
      </c>
      <c r="B952" s="1" t="s">
        <v>7427</v>
      </c>
      <c r="D952" s="1" t="s">
        <v>7411</v>
      </c>
      <c r="E952" s="1" t="s">
        <v>7428</v>
      </c>
      <c r="F952" s="1" t="s">
        <v>7429</v>
      </c>
      <c r="G952" s="1" t="s">
        <v>7430</v>
      </c>
    </row>
    <row r="953" spans="1:7">
      <c r="A953" s="1">
        <v>952</v>
      </c>
      <c r="B953" s="1" t="s">
        <v>7431</v>
      </c>
      <c r="D953" s="1" t="s">
        <v>7432</v>
      </c>
      <c r="E953" s="1" t="s">
        <v>7433</v>
      </c>
      <c r="F953" s="1" t="s">
        <v>7434</v>
      </c>
      <c r="G953" s="1" t="s">
        <v>7435</v>
      </c>
    </row>
    <row r="954" spans="1:7">
      <c r="A954" s="1">
        <v>953</v>
      </c>
      <c r="B954" s="1" t="s">
        <v>7436</v>
      </c>
      <c r="D954" s="1" t="s">
        <v>7432</v>
      </c>
      <c r="E954" s="1" t="s">
        <v>7437</v>
      </c>
      <c r="F954" s="1" t="s">
        <v>7438</v>
      </c>
      <c r="G954" s="1" t="s">
        <v>7439</v>
      </c>
    </row>
    <row r="955" spans="1:7">
      <c r="A955" s="1">
        <v>954</v>
      </c>
      <c r="B955" s="1" t="s">
        <v>7440</v>
      </c>
      <c r="D955" s="1" t="s">
        <v>7432</v>
      </c>
      <c r="E955" s="1" t="s">
        <v>7441</v>
      </c>
      <c r="F955" s="1" t="s">
        <v>7442</v>
      </c>
      <c r="G955" s="1" t="s">
        <v>7443</v>
      </c>
    </row>
    <row r="956" spans="1:7">
      <c r="A956" s="1">
        <v>955</v>
      </c>
      <c r="B956" s="1" t="s">
        <v>7444</v>
      </c>
      <c r="D956" s="1" t="s">
        <v>7432</v>
      </c>
      <c r="E956" s="1" t="s">
        <v>7445</v>
      </c>
      <c r="F956" s="1" t="s">
        <v>7446</v>
      </c>
      <c r="G956" s="1" t="s">
        <v>7447</v>
      </c>
    </row>
    <row r="957" spans="1:7">
      <c r="A957" s="1">
        <v>956</v>
      </c>
      <c r="B957" s="1" t="s">
        <v>7448</v>
      </c>
      <c r="D957" s="1" t="s">
        <v>7432</v>
      </c>
      <c r="E957" s="1" t="s">
        <v>7449</v>
      </c>
      <c r="F957" s="1" t="s">
        <v>7450</v>
      </c>
      <c r="G957" s="1" t="s">
        <v>7451</v>
      </c>
    </row>
    <row r="958" spans="1:7">
      <c r="A958" s="1">
        <v>957</v>
      </c>
      <c r="B958" s="1" t="s">
        <v>7452</v>
      </c>
      <c r="D958" s="1" t="s">
        <v>7432</v>
      </c>
      <c r="E958" s="1" t="s">
        <v>7453</v>
      </c>
      <c r="F958" s="1" t="s">
        <v>7454</v>
      </c>
      <c r="G958" s="1" t="s">
        <v>7455</v>
      </c>
    </row>
    <row r="959" spans="1:7">
      <c r="A959" s="1">
        <v>958</v>
      </c>
      <c r="B959" s="1" t="s">
        <v>7456</v>
      </c>
      <c r="D959" s="1" t="s">
        <v>7432</v>
      </c>
      <c r="E959" s="1" t="s">
        <v>7457</v>
      </c>
      <c r="F959" s="1" t="s">
        <v>7458</v>
      </c>
      <c r="G959" s="1" t="s">
        <v>7459</v>
      </c>
    </row>
    <row r="960" spans="1:7">
      <c r="A960" s="1">
        <v>959</v>
      </c>
      <c r="B960" s="1" t="s">
        <v>7460</v>
      </c>
      <c r="D960" s="1" t="s">
        <v>7432</v>
      </c>
      <c r="E960" s="1" t="s">
        <v>7461</v>
      </c>
      <c r="F960" s="1" t="s">
        <v>7462</v>
      </c>
      <c r="G960" s="1" t="s">
        <v>7463</v>
      </c>
    </row>
    <row r="961" spans="1:7">
      <c r="A961" s="1">
        <v>960</v>
      </c>
      <c r="B961" s="1" t="s">
        <v>7464</v>
      </c>
      <c r="D961" s="1" t="s">
        <v>7432</v>
      </c>
      <c r="E961" s="1" t="s">
        <v>7465</v>
      </c>
      <c r="F961" s="1" t="s">
        <v>7466</v>
      </c>
      <c r="G961" s="1" t="s">
        <v>7467</v>
      </c>
    </row>
    <row r="962" spans="1:7">
      <c r="A962" s="1">
        <v>961</v>
      </c>
      <c r="B962" s="1" t="s">
        <v>7468</v>
      </c>
      <c r="D962" s="1" t="s">
        <v>7432</v>
      </c>
      <c r="E962" s="1" t="s">
        <v>7469</v>
      </c>
      <c r="F962" s="1" t="s">
        <v>7470</v>
      </c>
      <c r="G962" s="1" t="s">
        <v>7471</v>
      </c>
    </row>
    <row r="963" spans="1:7">
      <c r="A963" s="1">
        <v>962</v>
      </c>
      <c r="B963" s="1" t="s">
        <v>7472</v>
      </c>
      <c r="D963" s="1" t="s">
        <v>7473</v>
      </c>
      <c r="E963" s="1" t="s">
        <v>7474</v>
      </c>
      <c r="F963" s="1" t="s">
        <v>7475</v>
      </c>
      <c r="G963" s="1" t="s">
        <v>7476</v>
      </c>
    </row>
    <row r="964" spans="1:7">
      <c r="A964" s="1">
        <v>963</v>
      </c>
      <c r="B964" s="1" t="s">
        <v>7477</v>
      </c>
      <c r="D964" s="1" t="s">
        <v>7473</v>
      </c>
      <c r="E964" s="1" t="s">
        <v>7478</v>
      </c>
      <c r="F964" s="1" t="s">
        <v>7479</v>
      </c>
      <c r="G964" s="1" t="s">
        <v>7480</v>
      </c>
    </row>
    <row r="965" spans="1:7">
      <c r="A965" s="1">
        <v>964</v>
      </c>
      <c r="B965" s="1" t="s">
        <v>7481</v>
      </c>
      <c r="D965" s="1" t="s">
        <v>7473</v>
      </c>
      <c r="E965" s="1" t="s">
        <v>7482</v>
      </c>
      <c r="F965" s="1" t="s">
        <v>7483</v>
      </c>
      <c r="G965" s="1" t="s">
        <v>7484</v>
      </c>
    </row>
    <row r="966" spans="1:7">
      <c r="A966" s="1">
        <v>965</v>
      </c>
      <c r="B966" s="1" t="s">
        <v>7485</v>
      </c>
      <c r="D966" s="1" t="s">
        <v>7473</v>
      </c>
      <c r="E966" s="1" t="s">
        <v>7486</v>
      </c>
      <c r="F966" s="1" t="s">
        <v>7487</v>
      </c>
      <c r="G966" s="1" t="s">
        <v>7488</v>
      </c>
    </row>
    <row r="967" spans="1:7">
      <c r="A967" s="1">
        <v>966</v>
      </c>
      <c r="B967" s="1" t="s">
        <v>7489</v>
      </c>
      <c r="D967" s="1" t="s">
        <v>7473</v>
      </c>
      <c r="E967" s="1" t="s">
        <v>7490</v>
      </c>
      <c r="F967" s="1" t="s">
        <v>7491</v>
      </c>
      <c r="G967" s="1" t="s">
        <v>7492</v>
      </c>
    </row>
    <row r="968" spans="1:7">
      <c r="A968" s="1">
        <v>967</v>
      </c>
      <c r="B968" s="1" t="s">
        <v>7493</v>
      </c>
      <c r="D968" s="1" t="s">
        <v>7473</v>
      </c>
      <c r="E968" s="1" t="s">
        <v>7494</v>
      </c>
      <c r="F968" s="1" t="s">
        <v>7495</v>
      </c>
      <c r="G968" s="1" t="s">
        <v>7496</v>
      </c>
    </row>
    <row r="969" spans="1:7">
      <c r="A969" s="1">
        <v>968</v>
      </c>
      <c r="B969" s="1" t="s">
        <v>7497</v>
      </c>
      <c r="D969" s="1" t="s">
        <v>7473</v>
      </c>
      <c r="E969" s="1" t="s">
        <v>7498</v>
      </c>
      <c r="F969" s="1" t="s">
        <v>7499</v>
      </c>
      <c r="G969" s="1" t="s">
        <v>7500</v>
      </c>
    </row>
    <row r="970" spans="1:7">
      <c r="A970" s="1">
        <v>969</v>
      </c>
      <c r="B970" s="1" t="s">
        <v>7501</v>
      </c>
      <c r="D970" s="1" t="s">
        <v>7473</v>
      </c>
      <c r="E970" s="1" t="s">
        <v>7502</v>
      </c>
      <c r="F970" s="1" t="s">
        <v>7503</v>
      </c>
      <c r="G970" s="1" t="s">
        <v>7504</v>
      </c>
    </row>
    <row r="971" spans="1:7">
      <c r="A971" s="1">
        <v>970</v>
      </c>
      <c r="B971" s="1" t="s">
        <v>7505</v>
      </c>
      <c r="D971" s="1" t="s">
        <v>7473</v>
      </c>
      <c r="E971" s="1" t="s">
        <v>7506</v>
      </c>
      <c r="F971" s="1" t="s">
        <v>7507</v>
      </c>
      <c r="G971" s="1" t="s">
        <v>7508</v>
      </c>
    </row>
    <row r="972" spans="1:7">
      <c r="A972" s="1">
        <v>971</v>
      </c>
      <c r="B972" s="1" t="s">
        <v>7509</v>
      </c>
      <c r="D972" s="1" t="s">
        <v>7473</v>
      </c>
      <c r="E972" s="1" t="s">
        <v>7510</v>
      </c>
      <c r="F972" s="1" t="s">
        <v>7511</v>
      </c>
      <c r="G972" s="1" t="s">
        <v>7512</v>
      </c>
    </row>
    <row r="973" spans="1:7">
      <c r="A973" s="1">
        <v>972</v>
      </c>
      <c r="B973" s="1" t="s">
        <v>7513</v>
      </c>
      <c r="D973" s="1" t="s">
        <v>7473</v>
      </c>
      <c r="E973" s="1" t="s">
        <v>7514</v>
      </c>
      <c r="F973" s="1" t="s">
        <v>7515</v>
      </c>
      <c r="G973" s="1" t="s">
        <v>7516</v>
      </c>
    </row>
    <row r="974" spans="1:7">
      <c r="A974" s="1">
        <v>973</v>
      </c>
      <c r="B974" s="1" t="s">
        <v>7517</v>
      </c>
      <c r="D974" s="1" t="s">
        <v>7518</v>
      </c>
      <c r="E974" s="1" t="s">
        <v>7519</v>
      </c>
      <c r="F974" s="1" t="s">
        <v>7520</v>
      </c>
      <c r="G974" s="1" t="s">
        <v>7521</v>
      </c>
    </row>
    <row r="975" spans="1:7">
      <c r="A975" s="1">
        <v>974</v>
      </c>
      <c r="B975" s="1" t="s">
        <v>7522</v>
      </c>
      <c r="D975" s="1" t="s">
        <v>7518</v>
      </c>
      <c r="E975" s="1" t="s">
        <v>7523</v>
      </c>
      <c r="F975" s="1" t="s">
        <v>7524</v>
      </c>
      <c r="G975" s="1" t="s">
        <v>7525</v>
      </c>
    </row>
    <row r="976" spans="1:7">
      <c r="A976" s="1">
        <v>975</v>
      </c>
      <c r="B976" s="1" t="s">
        <v>7526</v>
      </c>
      <c r="D976" s="1" t="s">
        <v>7527</v>
      </c>
      <c r="E976" s="1" t="s">
        <v>7528</v>
      </c>
      <c r="F976" s="1" t="s">
        <v>7529</v>
      </c>
      <c r="G976" s="1" t="s">
        <v>7530</v>
      </c>
    </row>
    <row r="977" spans="1:7">
      <c r="A977" s="1">
        <v>976</v>
      </c>
      <c r="B977" s="1" t="s">
        <v>7531</v>
      </c>
      <c r="D977" s="1" t="s">
        <v>7527</v>
      </c>
      <c r="E977" s="1" t="s">
        <v>2528</v>
      </c>
      <c r="F977" s="1" t="s">
        <v>7532</v>
      </c>
      <c r="G977" s="1" t="s">
        <v>7533</v>
      </c>
    </row>
    <row r="978" spans="1:7">
      <c r="A978" s="1">
        <v>977</v>
      </c>
      <c r="B978" s="1" t="s">
        <v>7534</v>
      </c>
      <c r="D978" s="1" t="s">
        <v>7527</v>
      </c>
      <c r="E978" s="1" t="s">
        <v>2534</v>
      </c>
      <c r="F978" s="1" t="s">
        <v>7535</v>
      </c>
      <c r="G978" s="1" t="s">
        <v>7536</v>
      </c>
    </row>
    <row r="979" spans="1:7">
      <c r="A979" s="1">
        <v>978</v>
      </c>
      <c r="B979" s="1" t="s">
        <v>7537</v>
      </c>
      <c r="D979" s="1" t="s">
        <v>7527</v>
      </c>
      <c r="E979" s="1" t="s">
        <v>2536</v>
      </c>
      <c r="F979" s="1" t="s">
        <v>7538</v>
      </c>
      <c r="G979" s="1" t="s">
        <v>7539</v>
      </c>
    </row>
    <row r="980" spans="1:7">
      <c r="A980" s="1">
        <v>979</v>
      </c>
      <c r="B980" s="1" t="s">
        <v>7540</v>
      </c>
      <c r="D980" s="1" t="s">
        <v>7527</v>
      </c>
      <c r="E980" s="1" t="s">
        <v>2538</v>
      </c>
      <c r="F980" s="1" t="s">
        <v>7541</v>
      </c>
      <c r="G980" s="1" t="s">
        <v>7542</v>
      </c>
    </row>
    <row r="981" spans="1:7">
      <c r="A981" s="1">
        <v>980</v>
      </c>
      <c r="B981" s="1" t="s">
        <v>7543</v>
      </c>
      <c r="D981" s="1" t="s">
        <v>7527</v>
      </c>
      <c r="E981" s="1" t="s">
        <v>7544</v>
      </c>
      <c r="F981" s="1" t="s">
        <v>7545</v>
      </c>
      <c r="G981" s="1" t="s">
        <v>7546</v>
      </c>
    </row>
    <row r="982" spans="1:7">
      <c r="A982" s="1">
        <v>981</v>
      </c>
      <c r="B982" s="1" t="s">
        <v>7547</v>
      </c>
      <c r="D982" s="1" t="s">
        <v>7527</v>
      </c>
      <c r="E982" s="1" t="s">
        <v>2530</v>
      </c>
      <c r="F982" s="1" t="s">
        <v>7548</v>
      </c>
      <c r="G982" s="1" t="s">
        <v>7549</v>
      </c>
    </row>
    <row r="983" spans="1:7">
      <c r="A983" s="1">
        <v>982</v>
      </c>
      <c r="B983" s="1" t="s">
        <v>7550</v>
      </c>
      <c r="D983" s="1" t="s">
        <v>7527</v>
      </c>
      <c r="E983" s="1" t="s">
        <v>2540</v>
      </c>
      <c r="F983" s="1" t="s">
        <v>7551</v>
      </c>
      <c r="G983" s="1" t="s">
        <v>7552</v>
      </c>
    </row>
    <row r="984" spans="1:7">
      <c r="A984" s="1">
        <v>983</v>
      </c>
      <c r="B984" s="1" t="s">
        <v>7553</v>
      </c>
      <c r="D984" s="1" t="s">
        <v>7527</v>
      </c>
      <c r="E984" s="1" t="s">
        <v>2532</v>
      </c>
      <c r="F984" s="1" t="s">
        <v>7554</v>
      </c>
      <c r="G984" s="1" t="s">
        <v>7555</v>
      </c>
    </row>
    <row r="985" spans="1:7">
      <c r="A985" s="1">
        <v>984</v>
      </c>
      <c r="B985" s="1" t="s">
        <v>7556</v>
      </c>
      <c r="D985" s="1" t="s">
        <v>7557</v>
      </c>
      <c r="E985" s="1" t="s">
        <v>7558</v>
      </c>
      <c r="F985" s="1" t="s">
        <v>7559</v>
      </c>
      <c r="G985" s="1" t="s">
        <v>7560</v>
      </c>
    </row>
    <row r="986" spans="1:7">
      <c r="A986" s="1">
        <v>985</v>
      </c>
      <c r="B986" s="1" t="s">
        <v>7561</v>
      </c>
      <c r="D986" s="1" t="s">
        <v>7557</v>
      </c>
      <c r="E986" s="1" t="s">
        <v>133</v>
      </c>
      <c r="F986" s="1" t="s">
        <v>7562</v>
      </c>
      <c r="G986" s="1" t="s">
        <v>7563</v>
      </c>
    </row>
    <row r="987" spans="1:7">
      <c r="A987" s="1">
        <v>986</v>
      </c>
      <c r="B987" s="1" t="s">
        <v>7564</v>
      </c>
      <c r="D987" s="1" t="s">
        <v>7557</v>
      </c>
      <c r="E987" s="1" t="s">
        <v>7565</v>
      </c>
      <c r="F987" s="1" t="s">
        <v>7566</v>
      </c>
      <c r="G987" s="1" t="s">
        <v>7567</v>
      </c>
    </row>
    <row r="988" spans="1:7">
      <c r="A988" s="1">
        <v>987</v>
      </c>
      <c r="B988" s="1" t="s">
        <v>7568</v>
      </c>
      <c r="D988" s="1" t="s">
        <v>7557</v>
      </c>
      <c r="E988" s="1" t="s">
        <v>7569</v>
      </c>
      <c r="F988" s="1" t="s">
        <v>7570</v>
      </c>
      <c r="G988" s="1" t="s">
        <v>7571</v>
      </c>
    </row>
    <row r="989" spans="1:7">
      <c r="A989" s="1">
        <v>988</v>
      </c>
      <c r="B989" s="1" t="s">
        <v>7572</v>
      </c>
      <c r="D989" s="1" t="s">
        <v>7557</v>
      </c>
      <c r="E989" s="1" t="s">
        <v>7573</v>
      </c>
      <c r="F989" s="1" t="s">
        <v>7574</v>
      </c>
      <c r="G989" s="1" t="s">
        <v>7575</v>
      </c>
    </row>
    <row r="990" spans="1:7">
      <c r="A990" s="1">
        <v>989</v>
      </c>
      <c r="B990" s="1" t="s">
        <v>7576</v>
      </c>
      <c r="D990" s="1" t="s">
        <v>7557</v>
      </c>
      <c r="E990" s="1" t="s">
        <v>7577</v>
      </c>
      <c r="F990" s="1" t="s">
        <v>7578</v>
      </c>
      <c r="G990" s="1" t="s">
        <v>7579</v>
      </c>
    </row>
    <row r="991" spans="1:7">
      <c r="A991" s="1">
        <v>990</v>
      </c>
      <c r="B991" s="1" t="s">
        <v>7580</v>
      </c>
      <c r="D991" s="1" t="s">
        <v>7557</v>
      </c>
      <c r="E991" s="1" t="s">
        <v>7581</v>
      </c>
      <c r="F991" s="1" t="s">
        <v>7582</v>
      </c>
      <c r="G991" s="1" t="s">
        <v>7583</v>
      </c>
    </row>
    <row r="992" spans="1:7">
      <c r="A992" s="1">
        <v>991</v>
      </c>
      <c r="B992" s="1" t="s">
        <v>7584</v>
      </c>
      <c r="D992" s="1" t="s">
        <v>7585</v>
      </c>
      <c r="E992" s="1" t="s">
        <v>7586</v>
      </c>
      <c r="F992" s="1" t="s">
        <v>7587</v>
      </c>
      <c r="G992" s="1" t="s">
        <v>7588</v>
      </c>
    </row>
    <row r="993" spans="1:7">
      <c r="A993" s="1">
        <v>992</v>
      </c>
      <c r="B993" s="1" t="s">
        <v>7589</v>
      </c>
      <c r="D993" s="1" t="s">
        <v>7585</v>
      </c>
      <c r="E993" s="1" t="s">
        <v>7590</v>
      </c>
      <c r="F993" s="1" t="s">
        <v>7591</v>
      </c>
      <c r="G993" s="1" t="s">
        <v>7592</v>
      </c>
    </row>
    <row r="994" spans="1:7">
      <c r="A994" s="1">
        <v>993</v>
      </c>
      <c r="B994" s="1" t="s">
        <v>7593</v>
      </c>
      <c r="D994" s="1" t="s">
        <v>7585</v>
      </c>
      <c r="E994" s="1" t="s">
        <v>7594</v>
      </c>
      <c r="F994" s="1" t="s">
        <v>7595</v>
      </c>
      <c r="G994" s="1" t="s">
        <v>7596</v>
      </c>
    </row>
    <row r="995" spans="1:7">
      <c r="A995" s="1">
        <v>994</v>
      </c>
      <c r="B995" s="1" t="s">
        <v>7597</v>
      </c>
      <c r="D995" s="1" t="s">
        <v>7585</v>
      </c>
      <c r="E995" s="1" t="s">
        <v>7598</v>
      </c>
      <c r="F995" s="1" t="s">
        <v>7599</v>
      </c>
      <c r="G995" s="1" t="s">
        <v>7600</v>
      </c>
    </row>
    <row r="996" spans="1:7">
      <c r="A996" s="1">
        <v>995</v>
      </c>
      <c r="B996" s="1" t="s">
        <v>7601</v>
      </c>
      <c r="D996" s="1" t="s">
        <v>7585</v>
      </c>
      <c r="E996" s="1" t="s">
        <v>7602</v>
      </c>
      <c r="F996" s="1" t="s">
        <v>7603</v>
      </c>
      <c r="G996" s="1" t="s">
        <v>7604</v>
      </c>
    </row>
    <row r="997" spans="1:7">
      <c r="A997" s="1">
        <v>996</v>
      </c>
      <c r="B997" s="1" t="s">
        <v>7605</v>
      </c>
      <c r="D997" s="1" t="s">
        <v>7585</v>
      </c>
      <c r="E997" s="1" t="s">
        <v>7606</v>
      </c>
      <c r="F997" s="1" t="s">
        <v>7607</v>
      </c>
      <c r="G997" s="1" t="s">
        <v>7608</v>
      </c>
    </row>
    <row r="998" spans="1:7">
      <c r="A998" s="1">
        <v>997</v>
      </c>
      <c r="B998" s="1" t="s">
        <v>7609</v>
      </c>
      <c r="D998" s="1" t="s">
        <v>7585</v>
      </c>
      <c r="E998" s="1" t="s">
        <v>7610</v>
      </c>
      <c r="F998" s="1" t="s">
        <v>3732</v>
      </c>
      <c r="G998" s="1" t="s">
        <v>3733</v>
      </c>
    </row>
    <row r="999" spans="1:7">
      <c r="A999" s="1">
        <v>998</v>
      </c>
      <c r="B999" s="1" t="s">
        <v>7611</v>
      </c>
      <c r="D999" s="1" t="s">
        <v>7612</v>
      </c>
      <c r="E999" s="1" t="s">
        <v>7613</v>
      </c>
      <c r="F999" s="1" t="s">
        <v>7614</v>
      </c>
      <c r="G999" s="1" t="s">
        <v>7615</v>
      </c>
    </row>
    <row r="1000" spans="1:7">
      <c r="A1000" s="1">
        <v>999</v>
      </c>
      <c r="B1000" s="1" t="s">
        <v>7616</v>
      </c>
      <c r="D1000" s="1" t="s">
        <v>7612</v>
      </c>
      <c r="E1000" s="1" t="s">
        <v>7617</v>
      </c>
      <c r="F1000" s="1" t="s">
        <v>7618</v>
      </c>
      <c r="G1000" s="1" t="s">
        <v>7619</v>
      </c>
    </row>
    <row r="1001" spans="1:7">
      <c r="A1001" s="1">
        <v>1000</v>
      </c>
      <c r="B1001" s="1" t="s">
        <v>7620</v>
      </c>
      <c r="D1001" s="1" t="s">
        <v>7612</v>
      </c>
      <c r="E1001" s="1" t="s">
        <v>7621</v>
      </c>
      <c r="F1001" s="1" t="s">
        <v>7622</v>
      </c>
      <c r="G1001" s="1" t="s">
        <v>7623</v>
      </c>
    </row>
    <row r="1002" spans="1:7">
      <c r="A1002" s="1">
        <v>1001</v>
      </c>
      <c r="B1002" s="1" t="s">
        <v>7624</v>
      </c>
      <c r="D1002" s="1" t="s">
        <v>7612</v>
      </c>
      <c r="E1002" s="1" t="s">
        <v>7625</v>
      </c>
      <c r="F1002" s="1" t="s">
        <v>7626</v>
      </c>
      <c r="G1002" s="1" t="s">
        <v>7627</v>
      </c>
    </row>
    <row r="1003" spans="1:7">
      <c r="A1003" s="1">
        <v>1002</v>
      </c>
      <c r="B1003" s="1" t="s">
        <v>7628</v>
      </c>
      <c r="D1003" s="1" t="s">
        <v>7612</v>
      </c>
      <c r="E1003" s="1" t="s">
        <v>7629</v>
      </c>
      <c r="F1003" s="1" t="s">
        <v>7630</v>
      </c>
      <c r="G1003" s="1" t="s">
        <v>7631</v>
      </c>
    </row>
    <row r="1004" spans="1:7">
      <c r="A1004" s="1">
        <v>1003</v>
      </c>
      <c r="B1004" s="1" t="s">
        <v>7632</v>
      </c>
      <c r="D1004" s="1" t="s">
        <v>7612</v>
      </c>
      <c r="E1004" s="1" t="s">
        <v>7633</v>
      </c>
      <c r="F1004" s="1" t="s">
        <v>7634</v>
      </c>
      <c r="G1004" s="1" t="s">
        <v>7635</v>
      </c>
    </row>
    <row r="1005" spans="1:7">
      <c r="A1005" s="1">
        <v>1004</v>
      </c>
      <c r="B1005" s="1" t="s">
        <v>7636</v>
      </c>
      <c r="D1005" s="1" t="s">
        <v>7612</v>
      </c>
      <c r="E1005" s="1" t="s">
        <v>7637</v>
      </c>
      <c r="F1005" s="1" t="s">
        <v>7638</v>
      </c>
      <c r="G1005" s="1" t="s">
        <v>7639</v>
      </c>
    </row>
    <row r="1006" spans="1:7">
      <c r="A1006" s="1">
        <v>1005</v>
      </c>
      <c r="B1006" s="1" t="s">
        <v>7640</v>
      </c>
      <c r="D1006" s="1" t="s">
        <v>7641</v>
      </c>
      <c r="E1006" s="1" t="s">
        <v>7642</v>
      </c>
      <c r="F1006" s="1" t="s">
        <v>7643</v>
      </c>
      <c r="G1006" s="1" t="s">
        <v>7644</v>
      </c>
    </row>
    <row r="1007" spans="1:7">
      <c r="A1007" s="1">
        <v>1006</v>
      </c>
      <c r="B1007" s="1" t="s">
        <v>7645</v>
      </c>
      <c r="D1007" s="1" t="s">
        <v>7641</v>
      </c>
      <c r="E1007" s="1" t="s">
        <v>7646</v>
      </c>
      <c r="F1007" s="1" t="s">
        <v>7647</v>
      </c>
      <c r="G1007" s="1" t="s">
        <v>7648</v>
      </c>
    </row>
    <row r="1008" spans="1:7">
      <c r="A1008" s="1">
        <v>1007</v>
      </c>
      <c r="B1008" s="1" t="s">
        <v>7649</v>
      </c>
      <c r="D1008" s="1" t="s">
        <v>7641</v>
      </c>
      <c r="E1008" s="1" t="s">
        <v>7650</v>
      </c>
      <c r="F1008" s="1" t="s">
        <v>7651</v>
      </c>
      <c r="G1008" s="1" t="s">
        <v>7652</v>
      </c>
    </row>
    <row r="1009" spans="1:7">
      <c r="A1009" s="1">
        <v>1008</v>
      </c>
      <c r="B1009" s="1" t="s">
        <v>7653</v>
      </c>
      <c r="D1009" s="1" t="s">
        <v>7641</v>
      </c>
      <c r="E1009" s="1" t="s">
        <v>7654</v>
      </c>
      <c r="F1009" s="1" t="s">
        <v>7655</v>
      </c>
      <c r="G1009" s="1" t="s">
        <v>7656</v>
      </c>
    </row>
    <row r="1010" spans="1:7">
      <c r="A1010" s="1">
        <v>1009</v>
      </c>
      <c r="B1010" s="1" t="s">
        <v>7657</v>
      </c>
      <c r="D1010" s="1" t="s">
        <v>7641</v>
      </c>
      <c r="E1010" s="1" t="s">
        <v>7658</v>
      </c>
      <c r="F1010" s="1" t="s">
        <v>7659</v>
      </c>
      <c r="G1010" s="1" t="s">
        <v>7660</v>
      </c>
    </row>
    <row r="1011" spans="1:7">
      <c r="A1011" s="1">
        <v>1010</v>
      </c>
      <c r="B1011" s="1" t="s">
        <v>7661</v>
      </c>
      <c r="D1011" s="1" t="s">
        <v>7641</v>
      </c>
      <c r="E1011" s="1" t="s">
        <v>7662</v>
      </c>
      <c r="F1011" s="1" t="s">
        <v>7663</v>
      </c>
      <c r="G1011" s="1" t="s">
        <v>7664</v>
      </c>
    </row>
    <row r="1012" spans="1:7">
      <c r="A1012" s="1">
        <v>1011</v>
      </c>
      <c r="B1012" s="1" t="s">
        <v>7665</v>
      </c>
      <c r="D1012" s="1" t="s">
        <v>7666</v>
      </c>
      <c r="E1012" s="1" t="s">
        <v>3947</v>
      </c>
      <c r="F1012" s="1" t="s">
        <v>7667</v>
      </c>
      <c r="G1012" s="1" t="s">
        <v>7668</v>
      </c>
    </row>
    <row r="1013" spans="1:7">
      <c r="A1013" s="1">
        <v>1012</v>
      </c>
      <c r="B1013" s="1" t="s">
        <v>7669</v>
      </c>
      <c r="D1013" s="1" t="s">
        <v>7666</v>
      </c>
      <c r="E1013" s="1" t="s">
        <v>7670</v>
      </c>
      <c r="F1013" s="1" t="s">
        <v>7671</v>
      </c>
      <c r="G1013" s="1" t="s">
        <v>7672</v>
      </c>
    </row>
    <row r="1014" spans="1:7">
      <c r="A1014" s="1">
        <v>1013</v>
      </c>
      <c r="B1014" s="1" t="s">
        <v>7673</v>
      </c>
      <c r="D1014" s="1" t="s">
        <v>7666</v>
      </c>
      <c r="E1014" s="1" t="s">
        <v>7674</v>
      </c>
      <c r="F1014" s="1" t="s">
        <v>7675</v>
      </c>
      <c r="G1014" s="1" t="s">
        <v>7676</v>
      </c>
    </row>
    <row r="1015" spans="1:7">
      <c r="A1015" s="1">
        <v>1014</v>
      </c>
      <c r="B1015" s="1" t="s">
        <v>7677</v>
      </c>
      <c r="D1015" s="1" t="s">
        <v>7666</v>
      </c>
      <c r="E1015" s="1" t="s">
        <v>7678</v>
      </c>
      <c r="F1015" s="1" t="s">
        <v>7679</v>
      </c>
      <c r="G1015" s="1" t="s">
        <v>7680</v>
      </c>
    </row>
    <row r="1016" spans="1:7">
      <c r="A1016" s="1">
        <v>1015</v>
      </c>
      <c r="B1016" s="1" t="s">
        <v>7681</v>
      </c>
      <c r="D1016" s="1" t="s">
        <v>7666</v>
      </c>
      <c r="E1016" s="1" t="s">
        <v>3945</v>
      </c>
      <c r="F1016" s="1" t="s">
        <v>7682</v>
      </c>
      <c r="G1016" s="1" t="s">
        <v>7683</v>
      </c>
    </row>
    <row r="1017" spans="1:7">
      <c r="A1017" s="1">
        <v>1016</v>
      </c>
      <c r="B1017" s="1" t="s">
        <v>7684</v>
      </c>
      <c r="D1017" s="1" t="s">
        <v>7666</v>
      </c>
      <c r="E1017" s="1" t="s">
        <v>3944</v>
      </c>
      <c r="F1017" s="1" t="s">
        <v>7685</v>
      </c>
      <c r="G1017" s="1" t="s">
        <v>7686</v>
      </c>
    </row>
    <row r="1018" spans="1:7">
      <c r="A1018" s="1">
        <v>1017</v>
      </c>
      <c r="B1018" s="1" t="s">
        <v>7687</v>
      </c>
      <c r="D1018" s="1" t="s">
        <v>7666</v>
      </c>
      <c r="E1018" s="1" t="s">
        <v>3946</v>
      </c>
      <c r="F1018" s="1" t="s">
        <v>7688</v>
      </c>
      <c r="G1018" s="1" t="s">
        <v>7689</v>
      </c>
    </row>
    <row r="1019" spans="1:7">
      <c r="A1019" s="1">
        <v>1018</v>
      </c>
      <c r="B1019" s="1" t="s">
        <v>7690</v>
      </c>
      <c r="D1019" s="1" t="s">
        <v>7666</v>
      </c>
      <c r="E1019" s="1" t="s">
        <v>7691</v>
      </c>
      <c r="F1019" s="1" t="s">
        <v>7692</v>
      </c>
      <c r="G1019" s="1" t="s">
        <v>7693</v>
      </c>
    </row>
    <row r="1020" spans="1:7">
      <c r="A1020" s="1">
        <v>1019</v>
      </c>
      <c r="B1020" s="1" t="s">
        <v>7694</v>
      </c>
      <c r="D1020" s="1" t="s">
        <v>7666</v>
      </c>
      <c r="E1020" s="1" t="s">
        <v>7695</v>
      </c>
      <c r="F1020" s="1" t="s">
        <v>7696</v>
      </c>
      <c r="G1020" s="1" t="s">
        <v>7697</v>
      </c>
    </row>
    <row r="1021" spans="1:7">
      <c r="A1021" s="1">
        <v>1020</v>
      </c>
      <c r="B1021" s="1" t="s">
        <v>7698</v>
      </c>
      <c r="D1021" s="1" t="s">
        <v>7666</v>
      </c>
      <c r="E1021" s="1" t="s">
        <v>7699</v>
      </c>
      <c r="F1021" s="1" t="s">
        <v>7700</v>
      </c>
      <c r="G1021" s="1" t="s">
        <v>7701</v>
      </c>
    </row>
    <row r="1022" spans="1:7">
      <c r="A1022" s="1">
        <v>1021</v>
      </c>
      <c r="B1022" s="1" t="s">
        <v>7702</v>
      </c>
      <c r="D1022" s="1" t="s">
        <v>7703</v>
      </c>
      <c r="E1022" s="1" t="s">
        <v>1706</v>
      </c>
      <c r="F1022" s="1" t="s">
        <v>7704</v>
      </c>
      <c r="G1022" s="1" t="s">
        <v>7705</v>
      </c>
    </row>
    <row r="1023" spans="1:7">
      <c r="A1023" s="1">
        <v>1022</v>
      </c>
      <c r="B1023" s="1" t="s">
        <v>7706</v>
      </c>
      <c r="D1023" s="1" t="s">
        <v>7703</v>
      </c>
      <c r="E1023" s="1" t="s">
        <v>1705</v>
      </c>
      <c r="F1023" s="1" t="s">
        <v>7707</v>
      </c>
      <c r="G1023" s="1" t="s">
        <v>7708</v>
      </c>
    </row>
    <row r="1024" spans="1:7">
      <c r="A1024" s="1">
        <v>1023</v>
      </c>
      <c r="B1024" s="1" t="s">
        <v>7709</v>
      </c>
      <c r="D1024" s="1" t="s">
        <v>7703</v>
      </c>
      <c r="E1024" s="1" t="s">
        <v>1707</v>
      </c>
      <c r="F1024" s="1" t="s">
        <v>7710</v>
      </c>
      <c r="G1024" s="1" t="s">
        <v>7711</v>
      </c>
    </row>
    <row r="1025" spans="1:7">
      <c r="A1025" s="1">
        <v>1024</v>
      </c>
      <c r="B1025" s="1" t="s">
        <v>7712</v>
      </c>
      <c r="D1025" s="1" t="s">
        <v>7713</v>
      </c>
      <c r="E1025" s="1" t="s">
        <v>514</v>
      </c>
      <c r="F1025" s="1" t="s">
        <v>7714</v>
      </c>
      <c r="G1025" s="1" t="s">
        <v>7715</v>
      </c>
    </row>
    <row r="1026" spans="1:7">
      <c r="A1026" s="1">
        <v>1025</v>
      </c>
      <c r="B1026" s="1" t="s">
        <v>7716</v>
      </c>
      <c r="D1026" s="1" t="s">
        <v>7713</v>
      </c>
      <c r="E1026" s="1" t="s">
        <v>7717</v>
      </c>
      <c r="F1026" s="1" t="s">
        <v>521</v>
      </c>
      <c r="G1026" s="1" t="s">
        <v>522</v>
      </c>
    </row>
    <row r="1027" spans="1:7">
      <c r="A1027" s="1">
        <v>1026</v>
      </c>
      <c r="B1027" s="1" t="s">
        <v>7718</v>
      </c>
      <c r="D1027" s="1" t="s">
        <v>7713</v>
      </c>
      <c r="E1027" s="1" t="s">
        <v>7719</v>
      </c>
      <c r="F1027" s="1" t="s">
        <v>518</v>
      </c>
      <c r="G1027" s="1" t="s">
        <v>519</v>
      </c>
    </row>
    <row r="1028" spans="1:7">
      <c r="A1028" s="1">
        <v>1027</v>
      </c>
      <c r="B1028" s="1" t="s">
        <v>7720</v>
      </c>
      <c r="D1028" s="1" t="s">
        <v>7713</v>
      </c>
      <c r="E1028" s="1" t="s">
        <v>511</v>
      </c>
      <c r="F1028" s="1" t="s">
        <v>512</v>
      </c>
      <c r="G1028" s="1" t="s">
        <v>513</v>
      </c>
    </row>
    <row r="1029" spans="1:7">
      <c r="A1029" s="1">
        <v>1028</v>
      </c>
      <c r="B1029" s="1" t="s">
        <v>7721</v>
      </c>
      <c r="D1029" s="1" t="s">
        <v>7722</v>
      </c>
      <c r="E1029" s="1" t="s">
        <v>526</v>
      </c>
      <c r="F1029" s="1" t="s">
        <v>7714</v>
      </c>
      <c r="G1029" s="1" t="s">
        <v>7715</v>
      </c>
    </row>
    <row r="1030" spans="1:7">
      <c r="A1030" s="1">
        <v>1029</v>
      </c>
      <c r="B1030" s="1" t="s">
        <v>7723</v>
      </c>
      <c r="D1030" s="1" t="s">
        <v>7722</v>
      </c>
      <c r="E1030" s="1" t="s">
        <v>7724</v>
      </c>
      <c r="F1030" s="1" t="s">
        <v>521</v>
      </c>
      <c r="G1030" s="1" t="s">
        <v>522</v>
      </c>
    </row>
    <row r="1031" spans="1:7">
      <c r="A1031" s="1">
        <v>1030</v>
      </c>
      <c r="B1031" s="1" t="s">
        <v>7725</v>
      </c>
      <c r="D1031" s="1" t="s">
        <v>7722</v>
      </c>
      <c r="E1031" s="1" t="s">
        <v>7726</v>
      </c>
      <c r="F1031" s="1" t="s">
        <v>518</v>
      </c>
      <c r="G1031" s="1" t="s">
        <v>519</v>
      </c>
    </row>
    <row r="1032" spans="1:7">
      <c r="A1032" s="1">
        <v>1031</v>
      </c>
      <c r="B1032" s="1" t="s">
        <v>7727</v>
      </c>
      <c r="D1032" s="1" t="s">
        <v>7722</v>
      </c>
      <c r="E1032" s="1" t="s">
        <v>525</v>
      </c>
      <c r="F1032" s="1" t="s">
        <v>512</v>
      </c>
      <c r="G1032" s="1" t="s">
        <v>513</v>
      </c>
    </row>
    <row r="1033" spans="1:7">
      <c r="A1033" s="1">
        <v>1032</v>
      </c>
      <c r="B1033" s="1" t="s">
        <v>7728</v>
      </c>
      <c r="D1033" s="1" t="s">
        <v>7729</v>
      </c>
      <c r="E1033" s="1" t="s">
        <v>531</v>
      </c>
      <c r="F1033" s="1" t="s">
        <v>532</v>
      </c>
      <c r="G1033" s="1" t="s">
        <v>533</v>
      </c>
    </row>
    <row r="1034" spans="1:7">
      <c r="A1034" s="1">
        <v>1033</v>
      </c>
      <c r="B1034" s="1" t="s">
        <v>7730</v>
      </c>
      <c r="D1034" s="1" t="s">
        <v>7731</v>
      </c>
      <c r="E1034" s="1" t="s">
        <v>7732</v>
      </c>
      <c r="F1034" s="1" t="s">
        <v>7733</v>
      </c>
      <c r="G1034" s="1" t="s">
        <v>7734</v>
      </c>
    </row>
    <row r="1035" spans="1:7">
      <c r="A1035" s="1">
        <v>1034</v>
      </c>
      <c r="B1035" s="1" t="s">
        <v>7735</v>
      </c>
      <c r="D1035" s="1" t="s">
        <v>7731</v>
      </c>
      <c r="E1035" s="1" t="s">
        <v>7736</v>
      </c>
      <c r="F1035" s="1" t="s">
        <v>7737</v>
      </c>
      <c r="G1035" s="1" t="s">
        <v>7738</v>
      </c>
    </row>
    <row r="1036" spans="1:7">
      <c r="A1036" s="1">
        <v>1035</v>
      </c>
      <c r="B1036" s="1" t="s">
        <v>7739</v>
      </c>
      <c r="D1036" s="1" t="s">
        <v>7731</v>
      </c>
      <c r="E1036" s="1" t="s">
        <v>7740</v>
      </c>
      <c r="F1036" s="1" t="s">
        <v>7741</v>
      </c>
      <c r="G1036" s="1" t="s">
        <v>7742</v>
      </c>
    </row>
    <row r="1037" spans="1:7">
      <c r="A1037" s="1">
        <v>1036</v>
      </c>
      <c r="B1037" s="1" t="s">
        <v>7743</v>
      </c>
      <c r="D1037" s="1" t="s">
        <v>7731</v>
      </c>
      <c r="E1037" s="1" t="s">
        <v>7744</v>
      </c>
      <c r="F1037" s="1" t="s">
        <v>7745</v>
      </c>
      <c r="G1037" s="1" t="s">
        <v>7746</v>
      </c>
    </row>
    <row r="1038" spans="1:7">
      <c r="A1038" s="1">
        <v>1037</v>
      </c>
      <c r="B1038" s="1" t="s">
        <v>7747</v>
      </c>
      <c r="D1038" s="1" t="s">
        <v>7748</v>
      </c>
      <c r="E1038" s="1" t="s">
        <v>4031</v>
      </c>
      <c r="F1038" s="1" t="s">
        <v>7749</v>
      </c>
      <c r="G1038" s="1" t="s">
        <v>7750</v>
      </c>
    </row>
    <row r="1039" spans="1:7">
      <c r="A1039" s="1">
        <v>1038</v>
      </c>
      <c r="B1039" s="1" t="s">
        <v>7751</v>
      </c>
      <c r="D1039" s="1" t="s">
        <v>7748</v>
      </c>
      <c r="E1039" s="1" t="s">
        <v>4033</v>
      </c>
      <c r="F1039" s="1" t="s">
        <v>7752</v>
      </c>
      <c r="G1039" s="1" t="s">
        <v>7753</v>
      </c>
    </row>
    <row r="1040" spans="1:7">
      <c r="A1040" s="1">
        <v>1039</v>
      </c>
      <c r="B1040" s="1" t="s">
        <v>7754</v>
      </c>
      <c r="D1040" s="1" t="s">
        <v>7748</v>
      </c>
      <c r="E1040" s="1" t="s">
        <v>4037</v>
      </c>
      <c r="F1040" s="1" t="s">
        <v>7755</v>
      </c>
      <c r="G1040" s="1" t="s">
        <v>7756</v>
      </c>
    </row>
    <row r="1041" spans="1:7">
      <c r="A1041" s="1">
        <v>1040</v>
      </c>
      <c r="B1041" s="1" t="s">
        <v>7757</v>
      </c>
      <c r="D1041" s="1" t="s">
        <v>7748</v>
      </c>
      <c r="E1041" s="1" t="s">
        <v>4041</v>
      </c>
      <c r="F1041" s="1" t="s">
        <v>7758</v>
      </c>
      <c r="G1041" s="1" t="s">
        <v>7759</v>
      </c>
    </row>
    <row r="1042" spans="1:7">
      <c r="A1042" s="1">
        <v>1041</v>
      </c>
      <c r="B1042" s="1" t="s">
        <v>7760</v>
      </c>
      <c r="D1042" s="1" t="s">
        <v>7748</v>
      </c>
      <c r="E1042" s="1" t="s">
        <v>4043</v>
      </c>
      <c r="F1042" s="1" t="s">
        <v>7761</v>
      </c>
      <c r="G1042" s="1" t="s">
        <v>7762</v>
      </c>
    </row>
    <row r="1043" spans="1:7">
      <c r="A1043" s="1">
        <v>1042</v>
      </c>
      <c r="B1043" s="1" t="s">
        <v>7763</v>
      </c>
      <c r="D1043" s="1" t="s">
        <v>7748</v>
      </c>
      <c r="E1043" s="1" t="s">
        <v>4047</v>
      </c>
      <c r="F1043" s="1" t="s">
        <v>7764</v>
      </c>
      <c r="G1043" s="1" t="s">
        <v>7765</v>
      </c>
    </row>
    <row r="1044" spans="1:7">
      <c r="A1044" s="1">
        <v>1043</v>
      </c>
      <c r="B1044" s="1" t="s">
        <v>7766</v>
      </c>
      <c r="D1044" s="1" t="s">
        <v>7748</v>
      </c>
      <c r="E1044" s="1" t="s">
        <v>4051</v>
      </c>
      <c r="F1044" s="1" t="s">
        <v>7767</v>
      </c>
      <c r="G1044" s="1" t="s">
        <v>7768</v>
      </c>
    </row>
    <row r="1045" spans="1:7">
      <c r="A1045" s="1">
        <v>1044</v>
      </c>
      <c r="B1045" s="1" t="s">
        <v>7769</v>
      </c>
      <c r="D1045" s="1" t="s">
        <v>7748</v>
      </c>
      <c r="E1045" s="1" t="s">
        <v>4055</v>
      </c>
      <c r="F1045" s="1" t="s">
        <v>7770</v>
      </c>
      <c r="G1045" s="1" t="s">
        <v>7771</v>
      </c>
    </row>
    <row r="1046" spans="1:7">
      <c r="A1046" s="1">
        <v>1045</v>
      </c>
      <c r="B1046" s="1" t="s">
        <v>7772</v>
      </c>
      <c r="D1046" s="1" t="s">
        <v>7748</v>
      </c>
      <c r="E1046" s="1" t="s">
        <v>1326</v>
      </c>
      <c r="F1046" s="1" t="s">
        <v>7773</v>
      </c>
      <c r="G1046" s="1" t="s">
        <v>7774</v>
      </c>
    </row>
    <row r="1047" spans="1:7">
      <c r="A1047" s="1">
        <v>1046</v>
      </c>
      <c r="B1047" s="1" t="s">
        <v>7775</v>
      </c>
      <c r="D1047" s="1" t="s">
        <v>7748</v>
      </c>
      <c r="E1047" s="1" t="s">
        <v>1330</v>
      </c>
      <c r="F1047" s="1" t="s">
        <v>7776</v>
      </c>
      <c r="G1047" s="1" t="s">
        <v>7777</v>
      </c>
    </row>
    <row r="1048" spans="1:7">
      <c r="A1048" s="1">
        <v>1047</v>
      </c>
      <c r="B1048" s="1" t="s">
        <v>7778</v>
      </c>
      <c r="D1048" s="1" t="s">
        <v>7748</v>
      </c>
      <c r="E1048" s="1" t="s">
        <v>1334</v>
      </c>
      <c r="F1048" s="1" t="s">
        <v>7779</v>
      </c>
      <c r="G1048" s="1" t="s">
        <v>7780</v>
      </c>
    </row>
    <row r="1049" spans="1:7">
      <c r="A1049" s="1">
        <v>1048</v>
      </c>
      <c r="B1049" s="1" t="s">
        <v>7781</v>
      </c>
      <c r="D1049" s="1" t="s">
        <v>7782</v>
      </c>
      <c r="E1049" s="1" t="s">
        <v>7783</v>
      </c>
      <c r="F1049" s="1" t="s">
        <v>7784</v>
      </c>
      <c r="G1049" s="1" t="s">
        <v>7785</v>
      </c>
    </row>
    <row r="1050" spans="1:7">
      <c r="A1050" s="1">
        <v>1049</v>
      </c>
      <c r="B1050" s="1" t="s">
        <v>7786</v>
      </c>
      <c r="D1050" s="1" t="s">
        <v>7782</v>
      </c>
      <c r="E1050" s="1" t="s">
        <v>1338</v>
      </c>
      <c r="F1050" s="1" t="s">
        <v>7787</v>
      </c>
      <c r="G1050" s="1" t="s">
        <v>7788</v>
      </c>
    </row>
    <row r="1051" spans="1:7">
      <c r="A1051" s="1">
        <v>1050</v>
      </c>
      <c r="B1051" s="1" t="s">
        <v>7789</v>
      </c>
      <c r="D1051" s="1" t="s">
        <v>7782</v>
      </c>
      <c r="E1051" s="1" t="s">
        <v>1482</v>
      </c>
      <c r="F1051" s="1" t="s">
        <v>7790</v>
      </c>
      <c r="G1051" s="1" t="s">
        <v>7791</v>
      </c>
    </row>
    <row r="1052" spans="1:7">
      <c r="A1052" s="1">
        <v>1051</v>
      </c>
      <c r="B1052" s="1" t="s">
        <v>7792</v>
      </c>
      <c r="D1052" s="1" t="s">
        <v>7782</v>
      </c>
      <c r="E1052" s="1" t="s">
        <v>1486</v>
      </c>
      <c r="F1052" s="1" t="s">
        <v>7793</v>
      </c>
      <c r="G1052" s="1" t="s">
        <v>7794</v>
      </c>
    </row>
    <row r="1053" spans="1:7">
      <c r="A1053" s="1">
        <v>1052</v>
      </c>
      <c r="B1053" s="1" t="s">
        <v>7795</v>
      </c>
      <c r="D1053" s="1" t="s">
        <v>7782</v>
      </c>
      <c r="E1053" s="1" t="s">
        <v>1490</v>
      </c>
      <c r="F1053" s="1" t="s">
        <v>7796</v>
      </c>
      <c r="G1053" s="1" t="s">
        <v>7797</v>
      </c>
    </row>
    <row r="1054" spans="1:7">
      <c r="A1054" s="1">
        <v>1053</v>
      </c>
      <c r="B1054" s="1" t="s">
        <v>7798</v>
      </c>
      <c r="D1054" s="1" t="s">
        <v>7782</v>
      </c>
      <c r="E1054" s="1" t="s">
        <v>1494</v>
      </c>
      <c r="F1054" s="1" t="s">
        <v>7799</v>
      </c>
      <c r="G1054" s="1" t="s">
        <v>7800</v>
      </c>
    </row>
    <row r="1055" spans="1:7">
      <c r="A1055" s="1">
        <v>1054</v>
      </c>
      <c r="B1055" s="1" t="s">
        <v>7801</v>
      </c>
      <c r="D1055" s="1" t="s">
        <v>7782</v>
      </c>
      <c r="E1055" s="1" t="s">
        <v>1498</v>
      </c>
      <c r="F1055" s="1" t="s">
        <v>7802</v>
      </c>
      <c r="G1055" s="1" t="s">
        <v>7803</v>
      </c>
    </row>
    <row r="1056" spans="1:7">
      <c r="A1056" s="1">
        <v>1055</v>
      </c>
      <c r="B1056" s="1" t="s">
        <v>7804</v>
      </c>
      <c r="D1056" s="1" t="s">
        <v>7782</v>
      </c>
      <c r="E1056" s="1" t="s">
        <v>1502</v>
      </c>
      <c r="F1056" s="1" t="s">
        <v>7805</v>
      </c>
      <c r="G1056" s="1" t="s">
        <v>7806</v>
      </c>
    </row>
    <row r="1057" spans="1:7">
      <c r="A1057" s="1">
        <v>1056</v>
      </c>
      <c r="B1057" s="1" t="s">
        <v>7807</v>
      </c>
      <c r="D1057" s="1" t="s">
        <v>7782</v>
      </c>
      <c r="E1057" s="1" t="s">
        <v>1506</v>
      </c>
      <c r="F1057" s="1" t="s">
        <v>7808</v>
      </c>
      <c r="G1057" s="1" t="s">
        <v>7809</v>
      </c>
    </row>
    <row r="1058" spans="1:7">
      <c r="A1058" s="1">
        <v>1057</v>
      </c>
      <c r="B1058" s="1" t="s">
        <v>7810</v>
      </c>
      <c r="D1058" s="1" t="s">
        <v>7782</v>
      </c>
      <c r="E1058" s="1" t="s">
        <v>1510</v>
      </c>
      <c r="F1058" s="1" t="s">
        <v>7811</v>
      </c>
      <c r="G1058" s="1" t="s">
        <v>7812</v>
      </c>
    </row>
    <row r="1059" spans="1:7">
      <c r="A1059" s="1">
        <v>1058</v>
      </c>
      <c r="B1059" s="1" t="s">
        <v>7813</v>
      </c>
      <c r="D1059" s="1" t="s">
        <v>7782</v>
      </c>
      <c r="E1059" s="1" t="s">
        <v>7814</v>
      </c>
      <c r="F1059" s="1" t="s">
        <v>7815</v>
      </c>
      <c r="G1059" s="1" t="s">
        <v>7816</v>
      </c>
    </row>
    <row r="1060" spans="1:7">
      <c r="A1060" s="1">
        <v>1059</v>
      </c>
      <c r="B1060" s="1" t="s">
        <v>7817</v>
      </c>
      <c r="D1060" s="1" t="s">
        <v>7782</v>
      </c>
      <c r="E1060" s="1" t="s">
        <v>1514</v>
      </c>
      <c r="F1060" s="1" t="s">
        <v>7818</v>
      </c>
      <c r="G1060" s="1" t="s">
        <v>7819</v>
      </c>
    </row>
    <row r="1061" spans="1:7">
      <c r="A1061" s="1">
        <v>1060</v>
      </c>
      <c r="B1061" s="1" t="s">
        <v>7820</v>
      </c>
      <c r="D1061" s="1" t="s">
        <v>7782</v>
      </c>
      <c r="E1061" s="1" t="s">
        <v>1518</v>
      </c>
      <c r="F1061" s="1" t="s">
        <v>7821</v>
      </c>
      <c r="G1061" s="1" t="s">
        <v>7822</v>
      </c>
    </row>
    <row r="1062" spans="1:7">
      <c r="A1062" s="1">
        <v>1061</v>
      </c>
      <c r="B1062" s="1" t="s">
        <v>7823</v>
      </c>
      <c r="D1062" s="1" t="s">
        <v>7782</v>
      </c>
      <c r="E1062" s="1" t="s">
        <v>1522</v>
      </c>
      <c r="F1062" s="1" t="s">
        <v>7824</v>
      </c>
      <c r="G1062" s="1" t="s">
        <v>7825</v>
      </c>
    </row>
    <row r="1063" spans="1:7">
      <c r="A1063" s="1">
        <v>1062</v>
      </c>
      <c r="B1063" s="1" t="s">
        <v>7826</v>
      </c>
      <c r="D1063" s="1" t="s">
        <v>7782</v>
      </c>
      <c r="E1063" s="1" t="s">
        <v>1526</v>
      </c>
      <c r="F1063" s="1" t="s">
        <v>7827</v>
      </c>
      <c r="G1063" s="1" t="s">
        <v>7828</v>
      </c>
    </row>
    <row r="1064" spans="1:7">
      <c r="A1064" s="1">
        <v>1063</v>
      </c>
      <c r="B1064" s="1" t="s">
        <v>7829</v>
      </c>
      <c r="D1064" s="1" t="s">
        <v>7782</v>
      </c>
      <c r="E1064" s="1" t="s">
        <v>1530</v>
      </c>
      <c r="F1064" s="1" t="s">
        <v>7830</v>
      </c>
      <c r="G1064" s="1" t="s">
        <v>7831</v>
      </c>
    </row>
    <row r="1065" spans="1:7">
      <c r="A1065" s="1">
        <v>1064</v>
      </c>
      <c r="B1065" s="1" t="s">
        <v>7832</v>
      </c>
      <c r="D1065" s="1" t="s">
        <v>7782</v>
      </c>
      <c r="E1065" s="1" t="s">
        <v>1534</v>
      </c>
      <c r="F1065" s="1" t="s">
        <v>7833</v>
      </c>
      <c r="G1065" s="1" t="s">
        <v>7834</v>
      </c>
    </row>
    <row r="1066" spans="1:7">
      <c r="A1066" s="1">
        <v>1065</v>
      </c>
      <c r="B1066" s="1" t="s">
        <v>7835</v>
      </c>
      <c r="D1066" s="1" t="s">
        <v>7782</v>
      </c>
      <c r="E1066" s="1" t="s">
        <v>1538</v>
      </c>
      <c r="F1066" s="1" t="s">
        <v>7836</v>
      </c>
      <c r="G1066" s="1" t="s">
        <v>7837</v>
      </c>
    </row>
    <row r="1067" spans="1:7">
      <c r="A1067" s="1">
        <v>1066</v>
      </c>
      <c r="B1067" s="1" t="s">
        <v>7838</v>
      </c>
      <c r="D1067" s="1" t="s">
        <v>7782</v>
      </c>
      <c r="E1067" s="1" t="s">
        <v>7839</v>
      </c>
      <c r="F1067" s="1" t="s">
        <v>7840</v>
      </c>
      <c r="G1067" s="1" t="s">
        <v>7841</v>
      </c>
    </row>
    <row r="1068" spans="1:7">
      <c r="A1068" s="1">
        <v>1067</v>
      </c>
      <c r="B1068" s="1" t="s">
        <v>7842</v>
      </c>
      <c r="D1068" s="1" t="s">
        <v>7782</v>
      </c>
      <c r="E1068" s="1" t="s">
        <v>7843</v>
      </c>
      <c r="F1068" s="1" t="s">
        <v>7844</v>
      </c>
      <c r="G1068" s="1" t="s">
        <v>7845</v>
      </c>
    </row>
    <row r="1069" spans="1:7">
      <c r="A1069" s="1">
        <v>1068</v>
      </c>
      <c r="B1069" s="1" t="s">
        <v>7846</v>
      </c>
      <c r="D1069" s="1" t="s">
        <v>7782</v>
      </c>
      <c r="E1069" s="1" t="s">
        <v>7847</v>
      </c>
      <c r="F1069" s="1" t="s">
        <v>7848</v>
      </c>
      <c r="G1069" s="1" t="s">
        <v>7849</v>
      </c>
    </row>
    <row r="1070" spans="1:7">
      <c r="A1070" s="1">
        <v>1069</v>
      </c>
      <c r="B1070" s="1" t="s">
        <v>7850</v>
      </c>
      <c r="D1070" s="1" t="s">
        <v>7851</v>
      </c>
      <c r="E1070" s="1" t="s">
        <v>2011</v>
      </c>
      <c r="F1070" s="1" t="s">
        <v>7852</v>
      </c>
      <c r="G1070" s="1" t="s">
        <v>7853</v>
      </c>
    </row>
    <row r="1071" spans="1:7">
      <c r="A1071" s="1">
        <v>1070</v>
      </c>
      <c r="B1071" s="1" t="s">
        <v>7854</v>
      </c>
      <c r="D1071" s="1" t="s">
        <v>7851</v>
      </c>
      <c r="E1071" s="1" t="s">
        <v>7855</v>
      </c>
      <c r="F1071" s="1" t="s">
        <v>7856</v>
      </c>
      <c r="G1071" s="1" t="s">
        <v>7857</v>
      </c>
    </row>
    <row r="1072" spans="1:7">
      <c r="A1072" s="1">
        <v>1071</v>
      </c>
      <c r="B1072" s="1" t="s">
        <v>7858</v>
      </c>
      <c r="D1072" s="1" t="s">
        <v>7851</v>
      </c>
      <c r="E1072" s="1" t="s">
        <v>7859</v>
      </c>
      <c r="F1072" s="1" t="s">
        <v>7860</v>
      </c>
      <c r="G1072" s="1" t="s">
        <v>7861</v>
      </c>
    </row>
    <row r="1073" spans="1:7">
      <c r="A1073" s="1">
        <v>1072</v>
      </c>
      <c r="B1073" s="1" t="s">
        <v>7862</v>
      </c>
      <c r="D1073" s="1" t="s">
        <v>7851</v>
      </c>
      <c r="E1073" s="1" t="s">
        <v>7863</v>
      </c>
      <c r="F1073" s="1" t="s">
        <v>7864</v>
      </c>
      <c r="G1073" s="1" t="s">
        <v>7865</v>
      </c>
    </row>
    <row r="1074" spans="1:7">
      <c r="A1074" s="1">
        <v>1073</v>
      </c>
      <c r="B1074" s="1" t="s">
        <v>7866</v>
      </c>
      <c r="D1074" s="1" t="s">
        <v>7851</v>
      </c>
      <c r="E1074" s="1" t="s">
        <v>7867</v>
      </c>
      <c r="F1074" s="1" t="s">
        <v>7868</v>
      </c>
      <c r="G1074" s="1" t="s">
        <v>7869</v>
      </c>
    </row>
    <row r="1075" spans="1:7">
      <c r="A1075" s="1">
        <v>1074</v>
      </c>
      <c r="B1075" s="1" t="s">
        <v>7870</v>
      </c>
      <c r="D1075" s="1" t="s">
        <v>7851</v>
      </c>
      <c r="E1075" s="1" t="s">
        <v>7871</v>
      </c>
      <c r="F1075" s="1" t="s">
        <v>7872</v>
      </c>
      <c r="G1075" s="1" t="s">
        <v>7873</v>
      </c>
    </row>
    <row r="1076" spans="1:7">
      <c r="A1076" s="1">
        <v>1075</v>
      </c>
      <c r="B1076" s="1" t="s">
        <v>7874</v>
      </c>
      <c r="D1076" s="1" t="s">
        <v>7851</v>
      </c>
      <c r="E1076" s="1" t="s">
        <v>7875</v>
      </c>
      <c r="F1076" s="1" t="s">
        <v>7876</v>
      </c>
      <c r="G1076" s="1" t="s">
        <v>7877</v>
      </c>
    </row>
    <row r="1077" spans="1:7">
      <c r="A1077" s="1">
        <v>1076</v>
      </c>
      <c r="B1077" s="1" t="s">
        <v>7878</v>
      </c>
      <c r="D1077" s="1" t="s">
        <v>7879</v>
      </c>
      <c r="E1077" s="1" t="s">
        <v>7880</v>
      </c>
      <c r="F1077" s="1" t="s">
        <v>7881</v>
      </c>
      <c r="G1077" s="1" t="s">
        <v>7882</v>
      </c>
    </row>
    <row r="1078" spans="1:7">
      <c r="A1078" s="1">
        <v>1077</v>
      </c>
      <c r="B1078" s="1" t="s">
        <v>7883</v>
      </c>
      <c r="D1078" s="1" t="s">
        <v>7879</v>
      </c>
      <c r="E1078" s="1" t="s">
        <v>7884</v>
      </c>
      <c r="F1078" s="1" t="s">
        <v>7885</v>
      </c>
      <c r="G1078" s="1" t="s">
        <v>7886</v>
      </c>
    </row>
    <row r="1079" spans="1:7">
      <c r="A1079" s="1">
        <v>1078</v>
      </c>
      <c r="B1079" s="1" t="s">
        <v>7887</v>
      </c>
      <c r="D1079" s="1" t="s">
        <v>7879</v>
      </c>
      <c r="E1079" s="1" t="s">
        <v>7888</v>
      </c>
      <c r="F1079" s="1" t="s">
        <v>7889</v>
      </c>
      <c r="G1079" s="1" t="s">
        <v>7890</v>
      </c>
    </row>
    <row r="1080" spans="1:7">
      <c r="A1080" s="1">
        <v>1079</v>
      </c>
      <c r="B1080" s="1" t="s">
        <v>7891</v>
      </c>
      <c r="D1080" s="1" t="s">
        <v>7879</v>
      </c>
      <c r="E1080" s="1" t="s">
        <v>7892</v>
      </c>
      <c r="F1080" s="1" t="s">
        <v>7893</v>
      </c>
      <c r="G1080" s="1" t="s">
        <v>7894</v>
      </c>
    </row>
    <row r="1081" spans="1:7">
      <c r="A1081" s="1">
        <v>1080</v>
      </c>
      <c r="B1081" s="1" t="s">
        <v>7895</v>
      </c>
      <c r="D1081" s="1" t="s">
        <v>7879</v>
      </c>
      <c r="E1081" s="1" t="s">
        <v>7896</v>
      </c>
      <c r="F1081" s="1" t="s">
        <v>7897</v>
      </c>
      <c r="G1081" s="1" t="s">
        <v>7898</v>
      </c>
    </row>
    <row r="1082" spans="1:7">
      <c r="A1082" s="1">
        <v>1081</v>
      </c>
      <c r="B1082" s="1" t="s">
        <v>7899</v>
      </c>
      <c r="D1082" s="1" t="s">
        <v>7879</v>
      </c>
      <c r="E1082" s="1" t="s">
        <v>7900</v>
      </c>
      <c r="F1082" s="1" t="s">
        <v>7901</v>
      </c>
      <c r="G1082" s="1" t="s">
        <v>7902</v>
      </c>
    </row>
    <row r="1083" spans="1:7">
      <c r="A1083" s="1">
        <v>1082</v>
      </c>
      <c r="B1083" s="1" t="s">
        <v>7903</v>
      </c>
      <c r="D1083" s="1" t="s">
        <v>7879</v>
      </c>
      <c r="E1083" s="1" t="s">
        <v>7904</v>
      </c>
      <c r="F1083" s="1" t="s">
        <v>7905</v>
      </c>
      <c r="G1083" s="1" t="s">
        <v>7906</v>
      </c>
    </row>
    <row r="1084" spans="1:7">
      <c r="A1084" s="1">
        <v>1083</v>
      </c>
      <c r="B1084" s="1" t="s">
        <v>7907</v>
      </c>
      <c r="D1084" s="1" t="s">
        <v>7879</v>
      </c>
      <c r="E1084" s="1" t="s">
        <v>7908</v>
      </c>
      <c r="F1084" s="1" t="s">
        <v>7909</v>
      </c>
      <c r="G1084" s="1" t="s">
        <v>7910</v>
      </c>
    </row>
    <row r="1085" spans="1:7">
      <c r="A1085" s="1">
        <v>1084</v>
      </c>
      <c r="B1085" s="1" t="s">
        <v>7911</v>
      </c>
      <c r="D1085" s="1" t="s">
        <v>7879</v>
      </c>
      <c r="E1085" s="1" t="s">
        <v>7912</v>
      </c>
      <c r="F1085" s="1" t="s">
        <v>7913</v>
      </c>
      <c r="G1085" s="1" t="s">
        <v>7914</v>
      </c>
    </row>
    <row r="1086" spans="1:7">
      <c r="A1086" s="1">
        <v>1085</v>
      </c>
      <c r="B1086" s="1" t="s">
        <v>7915</v>
      </c>
      <c r="D1086" s="1" t="s">
        <v>7916</v>
      </c>
      <c r="E1086" s="1" t="s">
        <v>7917</v>
      </c>
      <c r="F1086" s="1" t="s">
        <v>7918</v>
      </c>
      <c r="G1086" s="1" t="s">
        <v>7919</v>
      </c>
    </row>
    <row r="1087" spans="1:7">
      <c r="A1087" s="1">
        <v>1086</v>
      </c>
      <c r="B1087" s="1" t="s">
        <v>7920</v>
      </c>
      <c r="D1087" s="1" t="s">
        <v>7916</v>
      </c>
      <c r="E1087" s="1" t="s">
        <v>7921</v>
      </c>
      <c r="F1087" s="1" t="s">
        <v>7922</v>
      </c>
      <c r="G1087" s="1" t="s">
        <v>7923</v>
      </c>
    </row>
    <row r="1088" spans="1:7">
      <c r="A1088" s="1">
        <v>1087</v>
      </c>
      <c r="B1088" s="1" t="s">
        <v>7924</v>
      </c>
      <c r="D1088" s="1" t="s">
        <v>7916</v>
      </c>
      <c r="E1088" s="1" t="s">
        <v>7925</v>
      </c>
      <c r="F1088" s="1" t="s">
        <v>7926</v>
      </c>
      <c r="G1088" s="1" t="s">
        <v>7927</v>
      </c>
    </row>
    <row r="1089" spans="1:7">
      <c r="A1089" s="1">
        <v>1088</v>
      </c>
      <c r="B1089" s="1" t="s">
        <v>7928</v>
      </c>
      <c r="D1089" s="1" t="s">
        <v>7916</v>
      </c>
      <c r="E1089" s="1" t="s">
        <v>7929</v>
      </c>
      <c r="F1089" s="1" t="s">
        <v>7930</v>
      </c>
      <c r="G1089" s="1" t="s">
        <v>7931</v>
      </c>
    </row>
    <row r="1090" spans="1:7">
      <c r="A1090" s="1">
        <v>1089</v>
      </c>
      <c r="B1090" s="1" t="s">
        <v>7932</v>
      </c>
      <c r="D1090" s="1" t="s">
        <v>7916</v>
      </c>
      <c r="E1090" s="1" t="s">
        <v>7933</v>
      </c>
      <c r="F1090" s="1" t="s">
        <v>7934</v>
      </c>
      <c r="G1090" s="1" t="s">
        <v>7935</v>
      </c>
    </row>
    <row r="1091" spans="1:7">
      <c r="A1091" s="1">
        <v>1090</v>
      </c>
      <c r="B1091" s="1" t="s">
        <v>7936</v>
      </c>
      <c r="D1091" s="1" t="s">
        <v>7916</v>
      </c>
      <c r="E1091" s="1" t="s">
        <v>7937</v>
      </c>
      <c r="F1091" s="1" t="s">
        <v>7938</v>
      </c>
      <c r="G1091" s="1" t="s">
        <v>7939</v>
      </c>
    </row>
    <row r="1092" spans="1:7">
      <c r="A1092" s="1">
        <v>1091</v>
      </c>
      <c r="B1092" s="1" t="s">
        <v>7940</v>
      </c>
      <c r="D1092" s="1" t="s">
        <v>7916</v>
      </c>
      <c r="E1092" s="1" t="s">
        <v>7941</v>
      </c>
      <c r="F1092" s="1" t="s">
        <v>7942</v>
      </c>
      <c r="G1092" s="1" t="s">
        <v>7943</v>
      </c>
    </row>
    <row r="1093" spans="1:7">
      <c r="A1093" s="1">
        <v>1092</v>
      </c>
      <c r="B1093" s="1" t="s">
        <v>7944</v>
      </c>
      <c r="D1093" s="1" t="s">
        <v>7916</v>
      </c>
      <c r="E1093" s="1" t="s">
        <v>7945</v>
      </c>
      <c r="F1093" s="1" t="s">
        <v>7946</v>
      </c>
      <c r="G1093" s="1" t="s">
        <v>7947</v>
      </c>
    </row>
    <row r="1094" spans="1:7">
      <c r="A1094" s="1">
        <v>1093</v>
      </c>
      <c r="B1094" s="1" t="s">
        <v>7948</v>
      </c>
      <c r="D1094" s="1" t="s">
        <v>7949</v>
      </c>
      <c r="E1094" s="1" t="s">
        <v>2020</v>
      </c>
      <c r="F1094" s="1" t="s">
        <v>7950</v>
      </c>
      <c r="G1094" s="1" t="s">
        <v>7951</v>
      </c>
    </row>
    <row r="1095" spans="1:7">
      <c r="A1095" s="1">
        <v>1094</v>
      </c>
      <c r="B1095" s="1" t="s">
        <v>7952</v>
      </c>
      <c r="D1095" s="1" t="s">
        <v>7949</v>
      </c>
      <c r="E1095" s="1" t="s">
        <v>7953</v>
      </c>
      <c r="F1095" s="1" t="s">
        <v>7954</v>
      </c>
      <c r="G1095" s="1" t="s">
        <v>7955</v>
      </c>
    </row>
    <row r="1096" spans="1:7">
      <c r="A1096" s="1">
        <v>1095</v>
      </c>
      <c r="B1096" s="1" t="s">
        <v>7956</v>
      </c>
      <c r="D1096" s="1" t="s">
        <v>7949</v>
      </c>
      <c r="E1096" s="1" t="s">
        <v>7957</v>
      </c>
      <c r="F1096" s="1" t="s">
        <v>7958</v>
      </c>
      <c r="G1096" s="1" t="s">
        <v>7959</v>
      </c>
    </row>
    <row r="1097" spans="1:7">
      <c r="A1097" s="1">
        <v>1096</v>
      </c>
      <c r="B1097" s="1" t="s">
        <v>7960</v>
      </c>
      <c r="D1097" s="1" t="s">
        <v>7949</v>
      </c>
      <c r="E1097" s="1" t="s">
        <v>7961</v>
      </c>
      <c r="F1097" s="1" t="s">
        <v>7962</v>
      </c>
      <c r="G1097" s="1" t="s">
        <v>7963</v>
      </c>
    </row>
    <row r="1098" spans="1:7">
      <c r="A1098" s="1">
        <v>1097</v>
      </c>
      <c r="B1098" s="1" t="s">
        <v>7964</v>
      </c>
      <c r="D1098" s="1" t="s">
        <v>7949</v>
      </c>
      <c r="E1098" s="1" t="s">
        <v>2024</v>
      </c>
      <c r="F1098" s="1" t="s">
        <v>7965</v>
      </c>
      <c r="G1098" s="1" t="s">
        <v>7966</v>
      </c>
    </row>
    <row r="1099" spans="1:7">
      <c r="A1099" s="1">
        <v>1098</v>
      </c>
      <c r="B1099" s="1" t="s">
        <v>7967</v>
      </c>
      <c r="D1099" s="1" t="s">
        <v>7949</v>
      </c>
      <c r="E1099" s="1" t="s">
        <v>2021</v>
      </c>
      <c r="F1099" s="1" t="s">
        <v>7968</v>
      </c>
      <c r="G1099" s="1" t="s">
        <v>7969</v>
      </c>
    </row>
    <row r="1100" spans="1:7">
      <c r="A1100" s="1">
        <v>1099</v>
      </c>
      <c r="B1100" s="1" t="s">
        <v>7970</v>
      </c>
      <c r="D1100" s="1" t="s">
        <v>7949</v>
      </c>
      <c r="E1100" s="1" t="s">
        <v>7971</v>
      </c>
      <c r="F1100" s="1" t="s">
        <v>7972</v>
      </c>
      <c r="G1100" s="1" t="s">
        <v>7973</v>
      </c>
    </row>
    <row r="1101" spans="1:7">
      <c r="A1101" s="1">
        <v>1100</v>
      </c>
      <c r="B1101" s="1" t="s">
        <v>7974</v>
      </c>
      <c r="D1101" s="1" t="s">
        <v>7949</v>
      </c>
      <c r="E1101" s="1" t="s">
        <v>7975</v>
      </c>
      <c r="F1101" s="1" t="s">
        <v>7976</v>
      </c>
      <c r="G1101" s="1" t="s">
        <v>7977</v>
      </c>
    </row>
    <row r="1102" spans="1:7">
      <c r="A1102" s="1">
        <v>1101</v>
      </c>
      <c r="B1102" s="1" t="s">
        <v>7978</v>
      </c>
      <c r="D1102" s="1" t="s">
        <v>7949</v>
      </c>
      <c r="E1102" s="1" t="s">
        <v>7979</v>
      </c>
      <c r="F1102" s="1" t="s">
        <v>7980</v>
      </c>
      <c r="G1102" s="1" t="s">
        <v>7981</v>
      </c>
    </row>
    <row r="1103" spans="1:7">
      <c r="A1103" s="1">
        <v>1102</v>
      </c>
      <c r="B1103" s="1" t="s">
        <v>7982</v>
      </c>
      <c r="D1103" s="1" t="s">
        <v>7983</v>
      </c>
      <c r="E1103" s="1" t="s">
        <v>7984</v>
      </c>
      <c r="F1103" s="1" t="s">
        <v>7985</v>
      </c>
      <c r="G1103" s="1" t="s">
        <v>7986</v>
      </c>
    </row>
    <row r="1104" spans="1:7">
      <c r="A1104" s="1">
        <v>1103</v>
      </c>
      <c r="B1104" s="1" t="s">
        <v>7987</v>
      </c>
      <c r="D1104" s="1" t="s">
        <v>7983</v>
      </c>
      <c r="E1104" s="1" t="s">
        <v>7988</v>
      </c>
      <c r="F1104" s="1" t="s">
        <v>7989</v>
      </c>
      <c r="G1104" s="1" t="s">
        <v>7990</v>
      </c>
    </row>
    <row r="1105" spans="1:7">
      <c r="A1105" s="1">
        <v>1104</v>
      </c>
      <c r="B1105" s="1" t="s">
        <v>7991</v>
      </c>
      <c r="D1105" s="1" t="s">
        <v>7992</v>
      </c>
      <c r="E1105" s="1" t="s">
        <v>7993</v>
      </c>
      <c r="F1105" s="1" t="s">
        <v>7994</v>
      </c>
      <c r="G1105" s="1" t="s">
        <v>7995</v>
      </c>
    </row>
    <row r="1106" spans="1:7">
      <c r="A1106" s="1">
        <v>1105</v>
      </c>
      <c r="B1106" s="1" t="s">
        <v>7996</v>
      </c>
      <c r="D1106" s="1" t="s">
        <v>7997</v>
      </c>
      <c r="E1106" s="1" t="s">
        <v>7998</v>
      </c>
      <c r="F1106" s="1" t="s">
        <v>7999</v>
      </c>
      <c r="G1106" s="1" t="s">
        <v>8000</v>
      </c>
    </row>
    <row r="1107" spans="1:7">
      <c r="A1107" s="1">
        <v>1106</v>
      </c>
      <c r="B1107" s="1" t="s">
        <v>8001</v>
      </c>
      <c r="D1107" s="1" t="s">
        <v>7997</v>
      </c>
      <c r="E1107" s="1" t="s">
        <v>8002</v>
      </c>
      <c r="F1107" s="1" t="s">
        <v>8003</v>
      </c>
      <c r="G1107" s="1" t="s">
        <v>8004</v>
      </c>
    </row>
    <row r="1108" spans="1:7">
      <c r="A1108" s="1">
        <v>1107</v>
      </c>
      <c r="B1108" s="1" t="s">
        <v>8005</v>
      </c>
      <c r="D1108" s="1" t="s">
        <v>7997</v>
      </c>
      <c r="E1108" s="1" t="s">
        <v>8006</v>
      </c>
      <c r="F1108" s="1" t="s">
        <v>8007</v>
      </c>
      <c r="G1108" s="1" t="s">
        <v>8008</v>
      </c>
    </row>
    <row r="1109" spans="1:7">
      <c r="A1109" s="1">
        <v>1108</v>
      </c>
      <c r="B1109" s="1" t="s">
        <v>8009</v>
      </c>
      <c r="D1109" s="1" t="s">
        <v>8010</v>
      </c>
      <c r="E1109" s="1" t="s">
        <v>8011</v>
      </c>
      <c r="F1109" s="1" t="s">
        <v>8012</v>
      </c>
      <c r="G1109" s="1" t="s">
        <v>8013</v>
      </c>
    </row>
    <row r="1110" spans="1:7">
      <c r="A1110" s="1">
        <v>1109</v>
      </c>
      <c r="B1110" s="1" t="s">
        <v>8014</v>
      </c>
      <c r="D1110" s="1" t="s">
        <v>8015</v>
      </c>
      <c r="E1110" s="1" t="s">
        <v>536</v>
      </c>
      <c r="F1110" s="1" t="s">
        <v>537</v>
      </c>
      <c r="G1110" s="1" t="s">
        <v>538</v>
      </c>
    </row>
    <row r="1111" spans="1:7">
      <c r="A1111" s="1">
        <v>1110</v>
      </c>
      <c r="B1111" s="1" t="s">
        <v>8016</v>
      </c>
      <c r="D1111" s="1" t="s">
        <v>8017</v>
      </c>
      <c r="E1111" s="1" t="s">
        <v>1710</v>
      </c>
      <c r="F1111" s="1" t="s">
        <v>8018</v>
      </c>
      <c r="G1111" s="1" t="s">
        <v>8019</v>
      </c>
    </row>
    <row r="1112" spans="1:7">
      <c r="A1112" s="1">
        <v>1111</v>
      </c>
      <c r="B1112" s="1" t="s">
        <v>8020</v>
      </c>
      <c r="D1112" s="1" t="s">
        <v>8021</v>
      </c>
      <c r="E1112" s="1" t="s">
        <v>1715</v>
      </c>
      <c r="F1112" s="1" t="s">
        <v>8022</v>
      </c>
      <c r="G1112" s="1" t="s">
        <v>8023</v>
      </c>
    </row>
    <row r="1113" spans="1:7">
      <c r="A1113" s="1">
        <v>1112</v>
      </c>
      <c r="B1113" s="1" t="s">
        <v>8024</v>
      </c>
      <c r="D1113" s="1" t="s">
        <v>8021</v>
      </c>
      <c r="E1113" s="1" t="s">
        <v>1716</v>
      </c>
      <c r="F1113" s="1" t="s">
        <v>8018</v>
      </c>
      <c r="G1113" s="1" t="s">
        <v>8019</v>
      </c>
    </row>
    <row r="1114" spans="1:7">
      <c r="A1114" s="1">
        <v>1113</v>
      </c>
      <c r="B1114" s="1" t="s">
        <v>8025</v>
      </c>
      <c r="D1114" s="1" t="s">
        <v>8026</v>
      </c>
      <c r="E1114" s="1" t="s">
        <v>967</v>
      </c>
      <c r="F1114" s="1" t="s">
        <v>8022</v>
      </c>
      <c r="G1114" s="1" t="s">
        <v>8023</v>
      </c>
    </row>
    <row r="1115" spans="1:7">
      <c r="A1115" s="1">
        <v>1114</v>
      </c>
      <c r="B1115" s="1" t="s">
        <v>8027</v>
      </c>
      <c r="D1115" s="1" t="s">
        <v>8026</v>
      </c>
      <c r="E1115" s="1" t="s">
        <v>964</v>
      </c>
      <c r="F1115" s="1" t="s">
        <v>8018</v>
      </c>
      <c r="G1115" s="1" t="s">
        <v>8019</v>
      </c>
    </row>
    <row r="1116" spans="1:7">
      <c r="A1116" s="1">
        <v>1115</v>
      </c>
      <c r="B1116" s="1" t="s">
        <v>8028</v>
      </c>
      <c r="D1116" s="1" t="s">
        <v>8029</v>
      </c>
      <c r="E1116" s="1" t="s">
        <v>3591</v>
      </c>
      <c r="F1116" s="1" t="s">
        <v>8030</v>
      </c>
      <c r="G1116" s="1" t="s">
        <v>8031</v>
      </c>
    </row>
    <row r="1117" spans="1:7">
      <c r="A1117" s="1">
        <v>1116</v>
      </c>
      <c r="B1117" s="1" t="s">
        <v>8032</v>
      </c>
      <c r="D1117" s="1" t="s">
        <v>8029</v>
      </c>
      <c r="E1117" s="1" t="s">
        <v>3285</v>
      </c>
      <c r="F1117" s="1" t="s">
        <v>8022</v>
      </c>
      <c r="G1117" s="1" t="s">
        <v>8023</v>
      </c>
    </row>
    <row r="1118" spans="1:7">
      <c r="A1118" s="1">
        <v>1117</v>
      </c>
      <c r="B1118" s="1" t="s">
        <v>8033</v>
      </c>
      <c r="D1118" s="1" t="s">
        <v>8029</v>
      </c>
      <c r="E1118" s="1" t="s">
        <v>8034</v>
      </c>
      <c r="F1118" s="1" t="s">
        <v>8035</v>
      </c>
      <c r="G1118" s="1" t="s">
        <v>8036</v>
      </c>
    </row>
    <row r="1119" spans="1:7">
      <c r="A1119" s="1">
        <v>1118</v>
      </c>
      <c r="B1119" s="1" t="s">
        <v>8037</v>
      </c>
      <c r="D1119" s="1" t="s">
        <v>8029</v>
      </c>
      <c r="E1119" s="1" t="s">
        <v>3275</v>
      </c>
      <c r="F1119" s="1" t="s">
        <v>8038</v>
      </c>
      <c r="G1119" s="1" t="s">
        <v>8039</v>
      </c>
    </row>
    <row r="1120" spans="1:7">
      <c r="A1120" s="1">
        <v>1119</v>
      </c>
      <c r="B1120" s="1" t="s">
        <v>8040</v>
      </c>
      <c r="D1120" s="1" t="s">
        <v>8029</v>
      </c>
      <c r="E1120" s="1" t="s">
        <v>3286</v>
      </c>
      <c r="F1120" s="1" t="s">
        <v>8018</v>
      </c>
      <c r="G1120" s="1" t="s">
        <v>8019</v>
      </c>
    </row>
    <row r="1121" spans="1:7">
      <c r="A1121" s="1">
        <v>1120</v>
      </c>
      <c r="B1121" s="1" t="s">
        <v>8041</v>
      </c>
      <c r="D1121" s="1" t="s">
        <v>8029</v>
      </c>
      <c r="E1121" s="1" t="s">
        <v>3279</v>
      </c>
      <c r="F1121" s="1" t="s">
        <v>8042</v>
      </c>
      <c r="G1121" s="1" t="s">
        <v>8043</v>
      </c>
    </row>
    <row r="1122" spans="1:7">
      <c r="A1122" s="1">
        <v>1121</v>
      </c>
      <c r="B1122" s="1" t="s">
        <v>8044</v>
      </c>
      <c r="D1122" s="1" t="s">
        <v>8029</v>
      </c>
      <c r="E1122" s="1" t="s">
        <v>3280</v>
      </c>
      <c r="F1122" s="1" t="s">
        <v>8045</v>
      </c>
      <c r="G1122" s="1" t="s">
        <v>8046</v>
      </c>
    </row>
    <row r="1123" spans="1:7">
      <c r="A1123" s="1">
        <v>1122</v>
      </c>
      <c r="B1123" s="1" t="s">
        <v>8047</v>
      </c>
      <c r="D1123" s="1" t="s">
        <v>8029</v>
      </c>
      <c r="E1123" s="1" t="s">
        <v>8048</v>
      </c>
      <c r="F1123" s="1" t="s">
        <v>8049</v>
      </c>
      <c r="G1123" s="1" t="s">
        <v>8050</v>
      </c>
    </row>
    <row r="1124" spans="1:7">
      <c r="A1124" s="1">
        <v>1123</v>
      </c>
      <c r="B1124" s="1" t="s">
        <v>8051</v>
      </c>
      <c r="D1124" s="1" t="s">
        <v>8029</v>
      </c>
      <c r="E1124" s="1" t="s">
        <v>3283</v>
      </c>
      <c r="F1124" s="1" t="s">
        <v>8052</v>
      </c>
      <c r="G1124" s="1" t="s">
        <v>8053</v>
      </c>
    </row>
    <row r="1125" spans="1:7">
      <c r="A1125" s="1">
        <v>1124</v>
      </c>
      <c r="B1125" s="1" t="s">
        <v>8054</v>
      </c>
      <c r="D1125" s="1" t="s">
        <v>8029</v>
      </c>
      <c r="E1125" s="1" t="s">
        <v>3278</v>
      </c>
      <c r="F1125" s="1" t="s">
        <v>8055</v>
      </c>
      <c r="G1125" s="1" t="s">
        <v>8056</v>
      </c>
    </row>
    <row r="1126" spans="1:7">
      <c r="A1126" s="1">
        <v>1125</v>
      </c>
      <c r="B1126" s="1" t="s">
        <v>8057</v>
      </c>
      <c r="D1126" s="1" t="s">
        <v>8029</v>
      </c>
      <c r="E1126" s="1" t="s">
        <v>3287</v>
      </c>
      <c r="F1126" s="1" t="s">
        <v>8058</v>
      </c>
      <c r="G1126" s="1" t="s">
        <v>8059</v>
      </c>
    </row>
    <row r="1127" spans="1:7">
      <c r="A1127" s="1">
        <v>1126</v>
      </c>
      <c r="B1127" s="1" t="s">
        <v>8060</v>
      </c>
      <c r="D1127" s="1" t="s">
        <v>8029</v>
      </c>
      <c r="E1127" s="1" t="s">
        <v>3284</v>
      </c>
      <c r="F1127" s="1" t="s">
        <v>8061</v>
      </c>
      <c r="G1127" s="1" t="s">
        <v>8062</v>
      </c>
    </row>
    <row r="1128" spans="1:7">
      <c r="A1128" s="1">
        <v>1127</v>
      </c>
      <c r="B1128" s="1" t="s">
        <v>8063</v>
      </c>
      <c r="D1128" s="1" t="s">
        <v>8064</v>
      </c>
      <c r="E1128" s="1" t="s">
        <v>8065</v>
      </c>
      <c r="F1128" s="1" t="s">
        <v>8030</v>
      </c>
      <c r="G1128" s="1" t="s">
        <v>8031</v>
      </c>
    </row>
    <row r="1129" spans="1:7">
      <c r="A1129" s="1">
        <v>1128</v>
      </c>
      <c r="B1129" s="1" t="s">
        <v>8066</v>
      </c>
      <c r="D1129" s="1" t="s">
        <v>8064</v>
      </c>
      <c r="E1129" s="1" t="s">
        <v>8067</v>
      </c>
      <c r="F1129" s="1" t="s">
        <v>8035</v>
      </c>
      <c r="G1129" s="1" t="s">
        <v>8036</v>
      </c>
    </row>
    <row r="1130" spans="1:7">
      <c r="A1130" s="1">
        <v>1129</v>
      </c>
      <c r="B1130" s="1" t="s">
        <v>8068</v>
      </c>
      <c r="D1130" s="1" t="s">
        <v>8064</v>
      </c>
      <c r="E1130" s="1" t="s">
        <v>8069</v>
      </c>
      <c r="F1130" s="1" t="s">
        <v>8070</v>
      </c>
      <c r="G1130" s="1" t="s">
        <v>8071</v>
      </c>
    </row>
    <row r="1131" spans="1:7">
      <c r="A1131" s="1">
        <v>1130</v>
      </c>
      <c r="B1131" s="1" t="s">
        <v>8072</v>
      </c>
      <c r="D1131" s="1" t="s">
        <v>8064</v>
      </c>
      <c r="E1131" s="1" t="s">
        <v>8073</v>
      </c>
      <c r="F1131" s="1" t="s">
        <v>8074</v>
      </c>
      <c r="G1131" s="1" t="s">
        <v>8075</v>
      </c>
    </row>
    <row r="1132" spans="1:7">
      <c r="A1132" s="1">
        <v>1131</v>
      </c>
      <c r="B1132" s="1" t="s">
        <v>8076</v>
      </c>
      <c r="D1132" s="1" t="s">
        <v>8064</v>
      </c>
      <c r="E1132" s="1" t="s">
        <v>8077</v>
      </c>
      <c r="F1132" s="1" t="s">
        <v>8078</v>
      </c>
      <c r="G1132" s="1" t="s">
        <v>8079</v>
      </c>
    </row>
    <row r="1133" spans="1:7">
      <c r="A1133" s="1">
        <v>1132</v>
      </c>
      <c r="B1133" s="1" t="s">
        <v>8080</v>
      </c>
      <c r="D1133" s="1" t="s">
        <v>8064</v>
      </c>
      <c r="E1133" s="1" t="s">
        <v>8081</v>
      </c>
      <c r="F1133" s="1" t="s">
        <v>8018</v>
      </c>
      <c r="G1133" s="1" t="s">
        <v>8019</v>
      </c>
    </row>
    <row r="1134" spans="1:7">
      <c r="A1134" s="1">
        <v>1133</v>
      </c>
      <c r="B1134" s="1" t="s">
        <v>8082</v>
      </c>
      <c r="D1134" s="1" t="s">
        <v>8064</v>
      </c>
      <c r="E1134" s="1" t="s">
        <v>8083</v>
      </c>
      <c r="F1134" s="1" t="s">
        <v>8049</v>
      </c>
      <c r="G1134" s="1" t="s">
        <v>8050</v>
      </c>
    </row>
    <row r="1135" spans="1:7">
      <c r="A1135" s="1">
        <v>1134</v>
      </c>
      <c r="B1135" s="1" t="s">
        <v>8084</v>
      </c>
      <c r="D1135" s="1" t="s">
        <v>8064</v>
      </c>
      <c r="E1135" s="1" t="s">
        <v>8085</v>
      </c>
      <c r="F1135" s="1" t="s">
        <v>8086</v>
      </c>
      <c r="G1135" s="1" t="s">
        <v>8087</v>
      </c>
    </row>
    <row r="1136" spans="1:7">
      <c r="A1136" s="1">
        <v>1135</v>
      </c>
      <c r="B1136" s="1" t="s">
        <v>8088</v>
      </c>
      <c r="D1136" s="1" t="s">
        <v>8064</v>
      </c>
      <c r="E1136" s="1" t="s">
        <v>8089</v>
      </c>
      <c r="F1136" s="1" t="s">
        <v>8058</v>
      </c>
      <c r="G1136" s="1" t="s">
        <v>8059</v>
      </c>
    </row>
    <row r="1137" spans="1:7">
      <c r="A1137" s="1">
        <v>1136</v>
      </c>
      <c r="B1137" s="1" t="s">
        <v>8090</v>
      </c>
      <c r="D1137" s="1" t="s">
        <v>8064</v>
      </c>
      <c r="E1137" s="1" t="s">
        <v>8091</v>
      </c>
      <c r="F1137" s="1" t="s">
        <v>8092</v>
      </c>
      <c r="G1137" s="1" t="s">
        <v>8093</v>
      </c>
    </row>
    <row r="1138" spans="1:7">
      <c r="A1138" s="1">
        <v>1137</v>
      </c>
      <c r="B1138" s="1" t="s">
        <v>8094</v>
      </c>
      <c r="D1138" s="1" t="s">
        <v>8095</v>
      </c>
      <c r="E1138" s="1" t="s">
        <v>8096</v>
      </c>
      <c r="F1138" s="1" t="s">
        <v>8030</v>
      </c>
      <c r="G1138" s="1" t="s">
        <v>8031</v>
      </c>
    </row>
    <row r="1139" spans="1:7">
      <c r="A1139" s="1">
        <v>1138</v>
      </c>
      <c r="B1139" s="1" t="s">
        <v>8097</v>
      </c>
      <c r="D1139" s="1" t="s">
        <v>8095</v>
      </c>
      <c r="E1139" s="1" t="s">
        <v>8098</v>
      </c>
      <c r="F1139" s="1" t="s">
        <v>8099</v>
      </c>
      <c r="G1139" s="1" t="s">
        <v>8100</v>
      </c>
    </row>
    <row r="1140" spans="1:7">
      <c r="A1140" s="1">
        <v>1139</v>
      </c>
      <c r="B1140" s="1" t="s">
        <v>8101</v>
      </c>
      <c r="D1140" s="1" t="s">
        <v>8095</v>
      </c>
      <c r="E1140" s="1" t="s">
        <v>8102</v>
      </c>
      <c r="F1140" s="1" t="s">
        <v>8022</v>
      </c>
      <c r="G1140" s="1" t="s">
        <v>8023</v>
      </c>
    </row>
    <row r="1141" spans="1:7">
      <c r="A1141" s="1">
        <v>1140</v>
      </c>
      <c r="B1141" s="1" t="s">
        <v>8103</v>
      </c>
      <c r="D1141" s="1" t="s">
        <v>8095</v>
      </c>
      <c r="E1141" s="1" t="s">
        <v>8104</v>
      </c>
      <c r="F1141" s="1" t="s">
        <v>8035</v>
      </c>
      <c r="G1141" s="1" t="s">
        <v>8036</v>
      </c>
    </row>
    <row r="1142" spans="1:7">
      <c r="A1142" s="1">
        <v>1141</v>
      </c>
      <c r="B1142" s="1" t="s">
        <v>8105</v>
      </c>
      <c r="D1142" s="1" t="s">
        <v>8095</v>
      </c>
      <c r="E1142" s="1" t="s">
        <v>8106</v>
      </c>
      <c r="F1142" s="1" t="s">
        <v>8018</v>
      </c>
      <c r="G1142" s="1" t="s">
        <v>8019</v>
      </c>
    </row>
    <row r="1143" spans="1:7">
      <c r="A1143" s="1">
        <v>1142</v>
      </c>
      <c r="B1143" s="1" t="s">
        <v>8107</v>
      </c>
      <c r="D1143" s="1" t="s">
        <v>8095</v>
      </c>
      <c r="E1143" s="1" t="s">
        <v>8108</v>
      </c>
      <c r="F1143" s="1" t="s">
        <v>8042</v>
      </c>
      <c r="G1143" s="1" t="s">
        <v>8043</v>
      </c>
    </row>
    <row r="1144" spans="1:7">
      <c r="A1144" s="1">
        <v>1143</v>
      </c>
      <c r="B1144" s="1" t="s">
        <v>8109</v>
      </c>
      <c r="D1144" s="1" t="s">
        <v>8095</v>
      </c>
      <c r="E1144" s="1" t="s">
        <v>8110</v>
      </c>
      <c r="F1144" s="1" t="s">
        <v>8111</v>
      </c>
      <c r="G1144" s="1" t="s">
        <v>8112</v>
      </c>
    </row>
    <row r="1145" spans="1:7">
      <c r="A1145" s="1">
        <v>1144</v>
      </c>
      <c r="B1145" s="1" t="s">
        <v>8113</v>
      </c>
      <c r="D1145" s="1" t="s">
        <v>8095</v>
      </c>
      <c r="E1145" s="1" t="s">
        <v>8114</v>
      </c>
      <c r="F1145" s="1" t="s">
        <v>8115</v>
      </c>
      <c r="G1145" s="1" t="s">
        <v>8116</v>
      </c>
    </row>
    <row r="1146" spans="1:7">
      <c r="A1146" s="1">
        <v>1145</v>
      </c>
      <c r="B1146" s="1" t="s">
        <v>8117</v>
      </c>
      <c r="D1146" s="1" t="s">
        <v>8095</v>
      </c>
      <c r="E1146" s="1" t="s">
        <v>8118</v>
      </c>
      <c r="F1146" s="1" t="s">
        <v>8049</v>
      </c>
      <c r="G1146" s="1" t="s">
        <v>8050</v>
      </c>
    </row>
    <row r="1147" spans="1:7">
      <c r="A1147" s="1">
        <v>1146</v>
      </c>
      <c r="B1147" s="1" t="s">
        <v>8119</v>
      </c>
      <c r="D1147" s="1" t="s">
        <v>8095</v>
      </c>
      <c r="E1147" s="1" t="s">
        <v>8120</v>
      </c>
      <c r="F1147" s="1" t="s">
        <v>8052</v>
      </c>
      <c r="G1147" s="1" t="s">
        <v>8053</v>
      </c>
    </row>
    <row r="1148" spans="1:7">
      <c r="A1148" s="1">
        <v>1147</v>
      </c>
      <c r="B1148" s="1" t="s">
        <v>8121</v>
      </c>
      <c r="D1148" s="1" t="s">
        <v>8095</v>
      </c>
      <c r="E1148" s="1" t="s">
        <v>8122</v>
      </c>
      <c r="F1148" s="1" t="s">
        <v>8055</v>
      </c>
      <c r="G1148" s="1" t="s">
        <v>8056</v>
      </c>
    </row>
    <row r="1149" spans="1:7">
      <c r="A1149" s="1">
        <v>1148</v>
      </c>
      <c r="B1149" s="1" t="s">
        <v>8123</v>
      </c>
      <c r="D1149" s="1" t="s">
        <v>8095</v>
      </c>
      <c r="E1149" s="1" t="s">
        <v>8124</v>
      </c>
      <c r="F1149" s="1" t="s">
        <v>8058</v>
      </c>
      <c r="G1149" s="1" t="s">
        <v>8059</v>
      </c>
    </row>
    <row r="1150" spans="1:7">
      <c r="A1150" s="1">
        <v>1149</v>
      </c>
      <c r="B1150" s="1" t="s">
        <v>8125</v>
      </c>
      <c r="D1150" s="1" t="s">
        <v>8095</v>
      </c>
      <c r="E1150" s="1" t="s">
        <v>8126</v>
      </c>
      <c r="F1150" s="1" t="s">
        <v>8061</v>
      </c>
      <c r="G1150" s="1" t="s">
        <v>8062</v>
      </c>
    </row>
    <row r="1151" spans="1:7">
      <c r="A1151" s="1">
        <v>1150</v>
      </c>
      <c r="B1151" s="1" t="s">
        <v>8127</v>
      </c>
      <c r="D1151" s="1" t="s">
        <v>8095</v>
      </c>
      <c r="E1151" s="1" t="s">
        <v>8128</v>
      </c>
      <c r="F1151" s="1" t="s">
        <v>8129</v>
      </c>
      <c r="G1151" s="1" t="s">
        <v>8130</v>
      </c>
    </row>
    <row r="1152" spans="1:7">
      <c r="A1152" s="1">
        <v>1151</v>
      </c>
      <c r="B1152" s="1" t="s">
        <v>8131</v>
      </c>
      <c r="D1152" s="1" t="s">
        <v>8132</v>
      </c>
      <c r="E1152" s="1" t="s">
        <v>8133</v>
      </c>
      <c r="F1152" s="1" t="s">
        <v>8030</v>
      </c>
      <c r="G1152" s="1" t="s">
        <v>8031</v>
      </c>
    </row>
    <row r="1153" spans="1:7">
      <c r="A1153" s="1">
        <v>1152</v>
      </c>
      <c r="B1153" s="1" t="s">
        <v>8134</v>
      </c>
      <c r="D1153" s="1" t="s">
        <v>8132</v>
      </c>
      <c r="E1153" s="1" t="s">
        <v>8135</v>
      </c>
      <c r="F1153" s="1" t="s">
        <v>8099</v>
      </c>
      <c r="G1153" s="1" t="s">
        <v>8100</v>
      </c>
    </row>
    <row r="1154" spans="1:7">
      <c r="A1154" s="1">
        <v>1153</v>
      </c>
      <c r="B1154" s="1" t="s">
        <v>8136</v>
      </c>
      <c r="D1154" s="1" t="s">
        <v>8132</v>
      </c>
      <c r="E1154" s="1" t="s">
        <v>8137</v>
      </c>
      <c r="F1154" s="1" t="s">
        <v>8022</v>
      </c>
      <c r="G1154" s="1" t="s">
        <v>8023</v>
      </c>
    </row>
    <row r="1155" spans="1:7">
      <c r="A1155" s="1">
        <v>1154</v>
      </c>
      <c r="B1155" s="1" t="s">
        <v>8138</v>
      </c>
      <c r="D1155" s="1" t="s">
        <v>8132</v>
      </c>
      <c r="E1155" s="1" t="s">
        <v>8139</v>
      </c>
      <c r="F1155" s="1" t="s">
        <v>8035</v>
      </c>
      <c r="G1155" s="1" t="s">
        <v>8036</v>
      </c>
    </row>
    <row r="1156" spans="1:7">
      <c r="A1156" s="1">
        <v>1155</v>
      </c>
      <c r="B1156" s="1" t="s">
        <v>8140</v>
      </c>
      <c r="D1156" s="1" t="s">
        <v>8132</v>
      </c>
      <c r="E1156" s="1" t="s">
        <v>8141</v>
      </c>
      <c r="F1156" s="1" t="s">
        <v>8018</v>
      </c>
      <c r="G1156" s="1" t="s">
        <v>8019</v>
      </c>
    </row>
    <row r="1157" spans="1:7">
      <c r="A1157" s="1">
        <v>1156</v>
      </c>
      <c r="B1157" s="1" t="s">
        <v>8142</v>
      </c>
      <c r="D1157" s="1" t="s">
        <v>8132</v>
      </c>
      <c r="E1157" s="1" t="s">
        <v>8143</v>
      </c>
      <c r="F1157" s="1" t="s">
        <v>8042</v>
      </c>
      <c r="G1157" s="1" t="s">
        <v>8043</v>
      </c>
    </row>
    <row r="1158" spans="1:7">
      <c r="A1158" s="1">
        <v>1157</v>
      </c>
      <c r="B1158" s="1" t="s">
        <v>8144</v>
      </c>
      <c r="D1158" s="1" t="s">
        <v>8132</v>
      </c>
      <c r="E1158" s="1" t="s">
        <v>8145</v>
      </c>
      <c r="F1158" s="1" t="s">
        <v>8111</v>
      </c>
      <c r="G1158" s="1" t="s">
        <v>8112</v>
      </c>
    </row>
    <row r="1159" spans="1:7">
      <c r="A1159" s="1">
        <v>1158</v>
      </c>
      <c r="B1159" s="1" t="s">
        <v>8146</v>
      </c>
      <c r="D1159" s="1" t="s">
        <v>8132</v>
      </c>
      <c r="E1159" s="1" t="s">
        <v>8147</v>
      </c>
      <c r="F1159" s="1" t="s">
        <v>8115</v>
      </c>
      <c r="G1159" s="1" t="s">
        <v>8116</v>
      </c>
    </row>
    <row r="1160" spans="1:7">
      <c r="A1160" s="1">
        <v>1159</v>
      </c>
      <c r="B1160" s="1" t="s">
        <v>8148</v>
      </c>
      <c r="D1160" s="1" t="s">
        <v>8132</v>
      </c>
      <c r="E1160" s="1" t="s">
        <v>8149</v>
      </c>
      <c r="F1160" s="1" t="s">
        <v>8049</v>
      </c>
      <c r="G1160" s="1" t="s">
        <v>8050</v>
      </c>
    </row>
    <row r="1161" spans="1:7">
      <c r="A1161" s="1">
        <v>1160</v>
      </c>
      <c r="B1161" s="1" t="s">
        <v>8150</v>
      </c>
      <c r="D1161" s="1" t="s">
        <v>8132</v>
      </c>
      <c r="E1161" s="1" t="s">
        <v>8151</v>
      </c>
      <c r="F1161" s="1" t="s">
        <v>8052</v>
      </c>
      <c r="G1161" s="1" t="s">
        <v>8053</v>
      </c>
    </row>
    <row r="1162" spans="1:7">
      <c r="A1162" s="1">
        <v>1161</v>
      </c>
      <c r="B1162" s="1" t="s">
        <v>8152</v>
      </c>
      <c r="D1162" s="1" t="s">
        <v>8132</v>
      </c>
      <c r="E1162" s="1" t="s">
        <v>8153</v>
      </c>
      <c r="F1162" s="1" t="s">
        <v>8058</v>
      </c>
      <c r="G1162" s="1" t="s">
        <v>8059</v>
      </c>
    </row>
    <row r="1163" spans="1:7">
      <c r="A1163" s="1">
        <v>1162</v>
      </c>
      <c r="B1163" s="1" t="s">
        <v>8154</v>
      </c>
      <c r="D1163" s="1" t="s">
        <v>8132</v>
      </c>
      <c r="E1163" s="1" t="s">
        <v>8155</v>
      </c>
      <c r="F1163" s="1" t="s">
        <v>8061</v>
      </c>
      <c r="G1163" s="1" t="s">
        <v>8062</v>
      </c>
    </row>
    <row r="1164" spans="1:7">
      <c r="A1164" s="1">
        <v>1163</v>
      </c>
      <c r="B1164" s="1" t="s">
        <v>8156</v>
      </c>
      <c r="D1164" s="1" t="s">
        <v>8132</v>
      </c>
      <c r="E1164" s="1" t="s">
        <v>8157</v>
      </c>
      <c r="F1164" s="1" t="s">
        <v>8129</v>
      </c>
      <c r="G1164" s="1" t="s">
        <v>8130</v>
      </c>
    </row>
    <row r="1165" spans="1:7">
      <c r="A1165" s="1">
        <v>1164</v>
      </c>
      <c r="B1165" s="1" t="s">
        <v>8158</v>
      </c>
      <c r="D1165" s="1" t="s">
        <v>8159</v>
      </c>
      <c r="E1165" s="1" t="s">
        <v>1727</v>
      </c>
      <c r="F1165" s="1" t="s">
        <v>8042</v>
      </c>
      <c r="G1165" s="1" t="s">
        <v>8043</v>
      </c>
    </row>
    <row r="1166" spans="1:7">
      <c r="A1166" s="1">
        <v>1165</v>
      </c>
      <c r="B1166" s="1" t="s">
        <v>8160</v>
      </c>
      <c r="D1166" s="1" t="s">
        <v>8159</v>
      </c>
      <c r="E1166" s="1" t="s">
        <v>1730</v>
      </c>
      <c r="F1166" s="1" t="s">
        <v>8111</v>
      </c>
      <c r="G1166" s="1" t="s">
        <v>8112</v>
      </c>
    </row>
    <row r="1167" spans="1:7">
      <c r="A1167" s="1">
        <v>1166</v>
      </c>
      <c r="B1167" s="1" t="s">
        <v>8161</v>
      </c>
      <c r="D1167" s="1" t="s">
        <v>8159</v>
      </c>
      <c r="E1167" s="1" t="s">
        <v>1733</v>
      </c>
      <c r="F1167" s="1" t="s">
        <v>8115</v>
      </c>
      <c r="G1167" s="1" t="s">
        <v>8116</v>
      </c>
    </row>
    <row r="1168" spans="1:7">
      <c r="A1168" s="1">
        <v>1167</v>
      </c>
      <c r="B1168" s="1" t="s">
        <v>8162</v>
      </c>
      <c r="D1168" s="1" t="s">
        <v>8159</v>
      </c>
      <c r="E1168" s="1" t="s">
        <v>1740</v>
      </c>
      <c r="F1168" s="1" t="s">
        <v>8058</v>
      </c>
      <c r="G1168" s="1" t="s">
        <v>8059</v>
      </c>
    </row>
    <row r="1169" spans="1:7">
      <c r="A1169" s="1">
        <v>1168</v>
      </c>
      <c r="B1169" s="1" t="s">
        <v>8163</v>
      </c>
      <c r="D1169" s="1" t="s">
        <v>8159</v>
      </c>
      <c r="E1169" s="1" t="s">
        <v>1724</v>
      </c>
      <c r="F1169" s="1" t="s">
        <v>8055</v>
      </c>
      <c r="G1169" s="1" t="s">
        <v>8056</v>
      </c>
    </row>
    <row r="1170" spans="1:7">
      <c r="A1170" s="1">
        <v>1169</v>
      </c>
      <c r="B1170" s="1" t="s">
        <v>8164</v>
      </c>
      <c r="D1170" s="1" t="s">
        <v>8159</v>
      </c>
      <c r="E1170" s="1" t="s">
        <v>1739</v>
      </c>
      <c r="F1170" s="1" t="s">
        <v>8052</v>
      </c>
      <c r="G1170" s="1" t="s">
        <v>8053</v>
      </c>
    </row>
    <row r="1171" spans="1:7">
      <c r="A1171" s="1">
        <v>1170</v>
      </c>
      <c r="B1171" s="1" t="s">
        <v>8165</v>
      </c>
      <c r="D1171" s="1" t="s">
        <v>8159</v>
      </c>
      <c r="E1171" s="1" t="s">
        <v>1723</v>
      </c>
      <c r="F1171" s="1" t="s">
        <v>8061</v>
      </c>
      <c r="G1171" s="1" t="s">
        <v>8062</v>
      </c>
    </row>
    <row r="1172" spans="1:7">
      <c r="A1172" s="1">
        <v>1171</v>
      </c>
      <c r="B1172" s="1" t="s">
        <v>8166</v>
      </c>
      <c r="D1172" s="1" t="s">
        <v>8159</v>
      </c>
      <c r="E1172" s="1" t="s">
        <v>1736</v>
      </c>
      <c r="F1172" s="1" t="s">
        <v>8099</v>
      </c>
      <c r="G1172" s="1" t="s">
        <v>8100</v>
      </c>
    </row>
    <row r="1173" spans="1:7">
      <c r="A1173" s="1">
        <v>1172</v>
      </c>
      <c r="B1173" s="1" t="s">
        <v>8167</v>
      </c>
      <c r="D1173" s="1" t="s">
        <v>8168</v>
      </c>
      <c r="E1173" s="1" t="s">
        <v>970</v>
      </c>
      <c r="F1173" s="1" t="s">
        <v>8042</v>
      </c>
      <c r="G1173" s="1" t="s">
        <v>8043</v>
      </c>
    </row>
    <row r="1174" spans="1:7">
      <c r="A1174" s="1">
        <v>1173</v>
      </c>
      <c r="B1174" s="1" t="s">
        <v>8169</v>
      </c>
      <c r="D1174" s="1" t="s">
        <v>8168</v>
      </c>
      <c r="E1174" s="1" t="s">
        <v>955</v>
      </c>
      <c r="F1174" s="1" t="s">
        <v>8115</v>
      </c>
      <c r="G1174" s="1" t="s">
        <v>8116</v>
      </c>
    </row>
    <row r="1175" spans="1:7">
      <c r="A1175" s="1">
        <v>1174</v>
      </c>
      <c r="B1175" s="1" t="s">
        <v>8170</v>
      </c>
      <c r="D1175" s="1" t="s">
        <v>8168</v>
      </c>
      <c r="E1175" s="1" t="s">
        <v>8171</v>
      </c>
      <c r="F1175" s="1" t="s">
        <v>8111</v>
      </c>
      <c r="G1175" s="1" t="s">
        <v>8112</v>
      </c>
    </row>
    <row r="1176" spans="1:7">
      <c r="A1176" s="1">
        <v>1175</v>
      </c>
      <c r="B1176" s="1" t="s">
        <v>8172</v>
      </c>
      <c r="D1176" s="1" t="s">
        <v>8168</v>
      </c>
      <c r="E1176" s="1" t="s">
        <v>8173</v>
      </c>
      <c r="F1176" s="1" t="s">
        <v>8058</v>
      </c>
      <c r="G1176" s="1" t="s">
        <v>8059</v>
      </c>
    </row>
    <row r="1177" spans="1:7">
      <c r="A1177" s="1">
        <v>1176</v>
      </c>
      <c r="B1177" s="1" t="s">
        <v>8174</v>
      </c>
      <c r="D1177" s="1" t="s">
        <v>8168</v>
      </c>
      <c r="E1177" s="1" t="s">
        <v>8175</v>
      </c>
      <c r="F1177" s="1" t="s">
        <v>8052</v>
      </c>
      <c r="G1177" s="1" t="s">
        <v>8053</v>
      </c>
    </row>
    <row r="1178" spans="1:7">
      <c r="A1178" s="1">
        <v>1177</v>
      </c>
      <c r="B1178" s="1" t="s">
        <v>8176</v>
      </c>
      <c r="D1178" s="1" t="s">
        <v>8168</v>
      </c>
      <c r="E1178" s="1" t="s">
        <v>8177</v>
      </c>
      <c r="F1178" s="1" t="s">
        <v>8061</v>
      </c>
      <c r="G1178" s="1" t="s">
        <v>8062</v>
      </c>
    </row>
    <row r="1179" spans="1:7">
      <c r="A1179" s="1">
        <v>1178</v>
      </c>
      <c r="B1179" s="1" t="s">
        <v>8178</v>
      </c>
      <c r="D1179" s="1" t="s">
        <v>8168</v>
      </c>
      <c r="E1179" s="1" t="s">
        <v>8179</v>
      </c>
      <c r="F1179" s="1" t="s">
        <v>8099</v>
      </c>
      <c r="G1179" s="1" t="s">
        <v>8100</v>
      </c>
    </row>
    <row r="1180" spans="1:7">
      <c r="A1180" s="1">
        <v>1179</v>
      </c>
      <c r="B1180" s="1" t="s">
        <v>8180</v>
      </c>
      <c r="D1180" s="1" t="s">
        <v>8181</v>
      </c>
      <c r="E1180" s="1" t="s">
        <v>8182</v>
      </c>
      <c r="F1180" s="1" t="s">
        <v>8035</v>
      </c>
      <c r="G1180" s="1" t="s">
        <v>8036</v>
      </c>
    </row>
    <row r="1181" spans="1:7">
      <c r="A1181" s="1">
        <v>1180</v>
      </c>
      <c r="B1181" s="1" t="s">
        <v>8183</v>
      </c>
      <c r="D1181" s="1" t="s">
        <v>8181</v>
      </c>
      <c r="E1181" s="1" t="s">
        <v>8184</v>
      </c>
      <c r="F1181" s="1" t="s">
        <v>8030</v>
      </c>
      <c r="G1181" s="1" t="s">
        <v>8031</v>
      </c>
    </row>
    <row r="1182" spans="1:7">
      <c r="A1182" s="1">
        <v>1181</v>
      </c>
      <c r="B1182" s="1" t="s">
        <v>8185</v>
      </c>
      <c r="D1182" s="1" t="s">
        <v>8181</v>
      </c>
      <c r="E1182" s="1" t="s">
        <v>8186</v>
      </c>
      <c r="F1182" s="1" t="s">
        <v>8049</v>
      </c>
      <c r="G1182" s="1" t="s">
        <v>8050</v>
      </c>
    </row>
    <row r="1183" spans="1:7">
      <c r="A1183" s="1">
        <v>1182</v>
      </c>
      <c r="B1183" s="1" t="s">
        <v>8187</v>
      </c>
      <c r="D1183" s="1" t="s">
        <v>8188</v>
      </c>
      <c r="E1183" s="1" t="s">
        <v>3584</v>
      </c>
      <c r="F1183" s="1" t="s">
        <v>8030</v>
      </c>
      <c r="G1183" s="1" t="s">
        <v>8031</v>
      </c>
    </row>
    <row r="1184" spans="1:7">
      <c r="A1184" s="1">
        <v>1183</v>
      </c>
      <c r="B1184" s="1" t="s">
        <v>8189</v>
      </c>
      <c r="D1184" s="1" t="s">
        <v>8188</v>
      </c>
      <c r="E1184" s="1" t="s">
        <v>8190</v>
      </c>
      <c r="F1184" s="1" t="s">
        <v>8035</v>
      </c>
      <c r="G1184" s="1" t="s">
        <v>8036</v>
      </c>
    </row>
    <row r="1185" spans="1:7">
      <c r="A1185" s="1">
        <v>1184</v>
      </c>
      <c r="B1185" s="1" t="s">
        <v>8191</v>
      </c>
      <c r="D1185" s="1" t="s">
        <v>8188</v>
      </c>
      <c r="E1185" s="1" t="s">
        <v>76</v>
      </c>
      <c r="F1185" s="1" t="s">
        <v>8049</v>
      </c>
      <c r="G1185" s="1" t="s">
        <v>8050</v>
      </c>
    </row>
    <row r="1186" spans="1:7">
      <c r="A1186" s="1">
        <v>1185</v>
      </c>
      <c r="B1186" s="1" t="s">
        <v>8192</v>
      </c>
      <c r="D1186" s="1" t="s">
        <v>8193</v>
      </c>
      <c r="E1186" s="1" t="s">
        <v>3587</v>
      </c>
      <c r="F1186" s="1" t="s">
        <v>8030</v>
      </c>
      <c r="G1186" s="1" t="s">
        <v>8031</v>
      </c>
    </row>
    <row r="1187" spans="1:7">
      <c r="A1187" s="1">
        <v>1186</v>
      </c>
      <c r="B1187" s="1" t="s">
        <v>8194</v>
      </c>
      <c r="D1187" s="1" t="s">
        <v>8193</v>
      </c>
      <c r="E1187" s="1" t="s">
        <v>8195</v>
      </c>
      <c r="F1187" s="1" t="s">
        <v>8035</v>
      </c>
      <c r="G1187" s="1" t="s">
        <v>8036</v>
      </c>
    </row>
    <row r="1188" spans="1:7">
      <c r="A1188" s="1">
        <v>1187</v>
      </c>
      <c r="B1188" s="1" t="s">
        <v>8196</v>
      </c>
      <c r="D1188" s="1" t="s">
        <v>8193</v>
      </c>
      <c r="E1188" s="1" t="s">
        <v>8197</v>
      </c>
      <c r="F1188" s="1" t="s">
        <v>8049</v>
      </c>
      <c r="G1188" s="1" t="s">
        <v>8050</v>
      </c>
    </row>
    <row r="1189" spans="1:7">
      <c r="A1189" s="1">
        <v>1188</v>
      </c>
      <c r="B1189" s="1" t="s">
        <v>8198</v>
      </c>
      <c r="D1189" s="1" t="s">
        <v>8199</v>
      </c>
      <c r="E1189" s="1" t="s">
        <v>8200</v>
      </c>
      <c r="F1189" s="1" t="s">
        <v>1359</v>
      </c>
      <c r="G1189" s="1" t="s">
        <v>1360</v>
      </c>
    </row>
    <row r="1190" spans="1:7">
      <c r="A1190" s="1">
        <v>1189</v>
      </c>
      <c r="B1190" s="1" t="s">
        <v>8201</v>
      </c>
      <c r="D1190" s="1" t="s">
        <v>8199</v>
      </c>
      <c r="E1190" s="1" t="s">
        <v>1270</v>
      </c>
      <c r="F1190" s="1" t="s">
        <v>8202</v>
      </c>
      <c r="G1190" s="1" t="s">
        <v>8203</v>
      </c>
    </row>
    <row r="1191" spans="1:7">
      <c r="A1191" s="1">
        <v>1190</v>
      </c>
      <c r="B1191" s="1" t="s">
        <v>8204</v>
      </c>
      <c r="D1191" s="1" t="s">
        <v>8199</v>
      </c>
      <c r="E1191" s="1" t="s">
        <v>1274</v>
      </c>
      <c r="F1191" s="1" t="s">
        <v>8202</v>
      </c>
      <c r="G1191" s="1" t="s">
        <v>8203</v>
      </c>
    </row>
    <row r="1192" spans="1:7">
      <c r="A1192" s="1">
        <v>1191</v>
      </c>
      <c r="B1192" s="1" t="s">
        <v>8205</v>
      </c>
      <c r="D1192" s="1" t="s">
        <v>8199</v>
      </c>
      <c r="E1192" s="1" t="s">
        <v>1278</v>
      </c>
      <c r="F1192" s="1" t="s">
        <v>8206</v>
      </c>
      <c r="G1192" s="1" t="s">
        <v>8207</v>
      </c>
    </row>
    <row r="1193" spans="1:7">
      <c r="A1193" s="1">
        <v>1192</v>
      </c>
      <c r="B1193" s="1" t="s">
        <v>8208</v>
      </c>
      <c r="D1193" s="1" t="s">
        <v>8199</v>
      </c>
      <c r="E1193" s="1" t="s">
        <v>4073</v>
      </c>
      <c r="F1193" s="1" t="s">
        <v>1351</v>
      </c>
      <c r="G1193" s="1" t="s">
        <v>1352</v>
      </c>
    </row>
    <row r="1194" spans="1:7">
      <c r="A1194" s="1">
        <v>1193</v>
      </c>
      <c r="B1194" s="1" t="s">
        <v>8209</v>
      </c>
      <c r="D1194" s="1" t="s">
        <v>8199</v>
      </c>
      <c r="E1194" s="1" t="s">
        <v>1282</v>
      </c>
      <c r="F1194" s="1" t="s">
        <v>8210</v>
      </c>
      <c r="G1194" s="1" t="s">
        <v>8211</v>
      </c>
    </row>
    <row r="1195" spans="1:7">
      <c r="A1195" s="1">
        <v>1194</v>
      </c>
      <c r="B1195" s="1" t="s">
        <v>8212</v>
      </c>
      <c r="D1195" s="1" t="s">
        <v>8199</v>
      </c>
      <c r="E1195" s="1" t="s">
        <v>1302</v>
      </c>
      <c r="F1195" s="1" t="s">
        <v>8213</v>
      </c>
      <c r="G1195" s="1" t="s">
        <v>8214</v>
      </c>
    </row>
    <row r="1196" spans="1:7">
      <c r="A1196" s="1">
        <v>1195</v>
      </c>
      <c r="B1196" s="1" t="s">
        <v>8215</v>
      </c>
      <c r="D1196" s="1" t="s">
        <v>8199</v>
      </c>
      <c r="E1196" s="1" t="s">
        <v>4068</v>
      </c>
      <c r="F1196" s="1" t="s">
        <v>1327</v>
      </c>
      <c r="G1196" s="1" t="s">
        <v>1328</v>
      </c>
    </row>
    <row r="1197" spans="1:7">
      <c r="A1197" s="1">
        <v>1196</v>
      </c>
      <c r="B1197" s="1" t="s">
        <v>8216</v>
      </c>
      <c r="D1197" s="1" t="s">
        <v>8199</v>
      </c>
      <c r="E1197" s="1" t="s">
        <v>1306</v>
      </c>
      <c r="F1197" s="1" t="s">
        <v>8217</v>
      </c>
      <c r="G1197" s="1" t="s">
        <v>8218</v>
      </c>
    </row>
    <row r="1198" spans="1:7">
      <c r="A1198" s="1">
        <v>1197</v>
      </c>
      <c r="B1198" s="1" t="s">
        <v>8219</v>
      </c>
      <c r="D1198" s="1" t="s">
        <v>8199</v>
      </c>
      <c r="E1198" s="1" t="s">
        <v>1310</v>
      </c>
      <c r="F1198" s="1" t="s">
        <v>8220</v>
      </c>
      <c r="G1198" s="1" t="s">
        <v>8221</v>
      </c>
    </row>
    <row r="1199" spans="1:7">
      <c r="A1199" s="1">
        <v>1198</v>
      </c>
      <c r="B1199" s="1" t="s">
        <v>8222</v>
      </c>
      <c r="D1199" s="1" t="s">
        <v>8199</v>
      </c>
      <c r="E1199" s="1" t="s">
        <v>8223</v>
      </c>
      <c r="F1199" s="1" t="s">
        <v>8224</v>
      </c>
      <c r="G1199" s="1" t="s">
        <v>8225</v>
      </c>
    </row>
    <row r="1200" spans="1:7">
      <c r="A1200" s="1">
        <v>1199</v>
      </c>
      <c r="B1200" s="1" t="s">
        <v>8226</v>
      </c>
      <c r="D1200" s="1" t="s">
        <v>8199</v>
      </c>
      <c r="E1200" s="1" t="s">
        <v>8227</v>
      </c>
      <c r="F1200" s="1" t="s">
        <v>8228</v>
      </c>
      <c r="G1200" s="1" t="s">
        <v>8229</v>
      </c>
    </row>
    <row r="1201" spans="1:7">
      <c r="A1201" s="1">
        <v>1200</v>
      </c>
      <c r="B1201" s="1" t="s">
        <v>8230</v>
      </c>
      <c r="D1201" s="1" t="s">
        <v>8199</v>
      </c>
      <c r="E1201" s="1" t="s">
        <v>4076</v>
      </c>
      <c r="F1201" s="1" t="s">
        <v>1339</v>
      </c>
      <c r="G1201" s="1" t="s">
        <v>1340</v>
      </c>
    </row>
    <row r="1202" spans="1:7">
      <c r="A1202" s="1">
        <v>1201</v>
      </c>
      <c r="B1202" s="1" t="s">
        <v>8231</v>
      </c>
      <c r="D1202" s="1" t="s">
        <v>8199</v>
      </c>
      <c r="E1202" s="1" t="s">
        <v>1266</v>
      </c>
      <c r="F1202" s="1" t="s">
        <v>8232</v>
      </c>
      <c r="G1202" s="1" t="s">
        <v>8233</v>
      </c>
    </row>
    <row r="1203" spans="1:7">
      <c r="A1203" s="1">
        <v>1202</v>
      </c>
      <c r="B1203" s="1" t="s">
        <v>8234</v>
      </c>
      <c r="D1203" s="1" t="s">
        <v>8199</v>
      </c>
      <c r="E1203" s="1" t="s">
        <v>1286</v>
      </c>
      <c r="F1203" s="1" t="s">
        <v>8235</v>
      </c>
      <c r="G1203" s="1" t="s">
        <v>8236</v>
      </c>
    </row>
    <row r="1204" spans="1:7">
      <c r="A1204" s="1">
        <v>1203</v>
      </c>
      <c r="B1204" s="1" t="s">
        <v>8237</v>
      </c>
      <c r="D1204" s="1" t="s">
        <v>8199</v>
      </c>
      <c r="E1204" s="1" t="s">
        <v>1298</v>
      </c>
      <c r="F1204" s="1" t="s">
        <v>8238</v>
      </c>
      <c r="G1204" s="1" t="s">
        <v>8239</v>
      </c>
    </row>
    <row r="1205" spans="1:7">
      <c r="A1205" s="1">
        <v>1204</v>
      </c>
      <c r="B1205" s="1" t="s">
        <v>8240</v>
      </c>
      <c r="D1205" s="1" t="s">
        <v>8199</v>
      </c>
      <c r="E1205" s="1" t="s">
        <v>1294</v>
      </c>
      <c r="F1205" s="1" t="s">
        <v>1295</v>
      </c>
      <c r="G1205" s="1" t="s">
        <v>1296</v>
      </c>
    </row>
    <row r="1206" spans="1:7">
      <c r="A1206" s="1">
        <v>1205</v>
      </c>
      <c r="B1206" s="1" t="s">
        <v>8241</v>
      </c>
      <c r="D1206" s="1" t="s">
        <v>8199</v>
      </c>
      <c r="E1206" s="1" t="s">
        <v>1290</v>
      </c>
      <c r="F1206" s="1" t="s">
        <v>8242</v>
      </c>
      <c r="G1206" s="1" t="s">
        <v>8243</v>
      </c>
    </row>
    <row r="1207" spans="1:7">
      <c r="A1207" s="1">
        <v>1206</v>
      </c>
      <c r="B1207" s="1" t="s">
        <v>8244</v>
      </c>
      <c r="D1207" s="1" t="s">
        <v>8199</v>
      </c>
      <c r="E1207" s="1" t="s">
        <v>8245</v>
      </c>
      <c r="F1207" s="1" t="s">
        <v>8246</v>
      </c>
      <c r="G1207" s="1" t="s">
        <v>8247</v>
      </c>
    </row>
    <row r="1208" spans="1:7">
      <c r="A1208" s="1">
        <v>1207</v>
      </c>
      <c r="B1208" s="1" t="s">
        <v>8248</v>
      </c>
      <c r="D1208" s="1" t="s">
        <v>8199</v>
      </c>
      <c r="E1208" s="1" t="s">
        <v>1314</v>
      </c>
      <c r="F1208" s="1" t="s">
        <v>8249</v>
      </c>
      <c r="G1208" s="1" t="s">
        <v>8250</v>
      </c>
    </row>
    <row r="1209" spans="1:7">
      <c r="A1209" s="1">
        <v>1208</v>
      </c>
      <c r="B1209" s="1" t="s">
        <v>8251</v>
      </c>
      <c r="D1209" s="1" t="s">
        <v>8199</v>
      </c>
      <c r="E1209" s="1" t="s">
        <v>1318</v>
      </c>
      <c r="F1209" s="1" t="s">
        <v>8252</v>
      </c>
      <c r="G1209" s="1" t="s">
        <v>8253</v>
      </c>
    </row>
    <row r="1210" spans="1:7">
      <c r="A1210" s="1">
        <v>1209</v>
      </c>
      <c r="B1210" s="1" t="s">
        <v>8254</v>
      </c>
      <c r="D1210" s="1" t="s">
        <v>8199</v>
      </c>
      <c r="E1210" s="1" t="s">
        <v>3684</v>
      </c>
      <c r="F1210" s="1" t="s">
        <v>8255</v>
      </c>
      <c r="G1210" s="1" t="s">
        <v>8256</v>
      </c>
    </row>
    <row r="1211" spans="1:7">
      <c r="A1211" s="1">
        <v>1210</v>
      </c>
      <c r="B1211" s="1" t="s">
        <v>8257</v>
      </c>
      <c r="D1211" s="1" t="s">
        <v>8199</v>
      </c>
      <c r="E1211" s="1" t="s">
        <v>3685</v>
      </c>
      <c r="F1211" s="1" t="s">
        <v>8258</v>
      </c>
      <c r="G1211" s="1" t="s">
        <v>8259</v>
      </c>
    </row>
    <row r="1212" spans="1:7">
      <c r="A1212" s="1">
        <v>1211</v>
      </c>
      <c r="B1212" s="1" t="s">
        <v>8260</v>
      </c>
      <c r="D1212" s="1" t="s">
        <v>8199</v>
      </c>
      <c r="E1212" s="1" t="s">
        <v>1322</v>
      </c>
      <c r="F1212" s="1" t="s">
        <v>8261</v>
      </c>
      <c r="G1212" s="1" t="s">
        <v>8262</v>
      </c>
    </row>
    <row r="1213" spans="1:7">
      <c r="A1213" s="1">
        <v>1212</v>
      </c>
      <c r="B1213" s="1" t="s">
        <v>8263</v>
      </c>
      <c r="D1213" s="1" t="s">
        <v>8264</v>
      </c>
      <c r="E1213" s="1" t="s">
        <v>8265</v>
      </c>
      <c r="F1213" s="1" t="s">
        <v>1359</v>
      </c>
      <c r="G1213" s="1" t="s">
        <v>1360</v>
      </c>
    </row>
    <row r="1214" spans="1:7">
      <c r="A1214" s="1">
        <v>1213</v>
      </c>
      <c r="B1214" s="1" t="s">
        <v>8266</v>
      </c>
      <c r="D1214" s="1" t="s">
        <v>8264</v>
      </c>
      <c r="E1214" s="1" t="s">
        <v>8267</v>
      </c>
      <c r="F1214" s="1" t="s">
        <v>8202</v>
      </c>
      <c r="G1214" s="1" t="s">
        <v>8203</v>
      </c>
    </row>
    <row r="1215" spans="1:7">
      <c r="A1215" s="1">
        <v>1214</v>
      </c>
      <c r="B1215" s="1" t="s">
        <v>8268</v>
      </c>
      <c r="D1215" s="1" t="s">
        <v>8264</v>
      </c>
      <c r="E1215" s="1" t="s">
        <v>8269</v>
      </c>
      <c r="F1215" s="1" t="s">
        <v>8202</v>
      </c>
      <c r="G1215" s="1" t="s">
        <v>8203</v>
      </c>
    </row>
    <row r="1216" spans="1:7">
      <c r="A1216" s="1">
        <v>1215</v>
      </c>
      <c r="B1216" s="1" t="s">
        <v>8270</v>
      </c>
      <c r="D1216" s="1" t="s">
        <v>8264</v>
      </c>
      <c r="E1216" s="1" t="s">
        <v>8271</v>
      </c>
      <c r="F1216" s="1" t="s">
        <v>8206</v>
      </c>
      <c r="G1216" s="1" t="s">
        <v>8207</v>
      </c>
    </row>
    <row r="1217" spans="1:7">
      <c r="A1217" s="1">
        <v>1216</v>
      </c>
      <c r="B1217" s="1" t="s">
        <v>8272</v>
      </c>
      <c r="D1217" s="1" t="s">
        <v>8264</v>
      </c>
      <c r="E1217" s="1" t="s">
        <v>8273</v>
      </c>
      <c r="F1217" s="1" t="s">
        <v>1351</v>
      </c>
      <c r="G1217" s="1" t="s">
        <v>1352</v>
      </c>
    </row>
    <row r="1218" spans="1:7">
      <c r="A1218" s="1">
        <v>1217</v>
      </c>
      <c r="B1218" s="1" t="s">
        <v>8274</v>
      </c>
      <c r="D1218" s="1" t="s">
        <v>8264</v>
      </c>
      <c r="E1218" s="1" t="s">
        <v>8275</v>
      </c>
      <c r="F1218" s="1" t="s">
        <v>8210</v>
      </c>
      <c r="G1218" s="1" t="s">
        <v>8211</v>
      </c>
    </row>
    <row r="1219" spans="1:7">
      <c r="A1219" s="1">
        <v>1218</v>
      </c>
      <c r="B1219" s="1" t="s">
        <v>8276</v>
      </c>
      <c r="D1219" s="1" t="s">
        <v>8264</v>
      </c>
      <c r="E1219" s="1" t="s">
        <v>8277</v>
      </c>
      <c r="F1219" s="1" t="s">
        <v>8213</v>
      </c>
      <c r="G1219" s="1" t="s">
        <v>8214</v>
      </c>
    </row>
    <row r="1220" spans="1:7">
      <c r="A1220" s="1">
        <v>1219</v>
      </c>
      <c r="B1220" s="1" t="s">
        <v>8278</v>
      </c>
      <c r="D1220" s="1" t="s">
        <v>8264</v>
      </c>
      <c r="E1220" s="1" t="s">
        <v>8279</v>
      </c>
      <c r="F1220" s="1" t="s">
        <v>1327</v>
      </c>
      <c r="G1220" s="1" t="s">
        <v>1328</v>
      </c>
    </row>
    <row r="1221" spans="1:7">
      <c r="A1221" s="1">
        <v>1220</v>
      </c>
      <c r="B1221" s="1" t="s">
        <v>8280</v>
      </c>
      <c r="D1221" s="1" t="s">
        <v>8264</v>
      </c>
      <c r="E1221" s="1" t="s">
        <v>8281</v>
      </c>
      <c r="F1221" s="1" t="s">
        <v>8217</v>
      </c>
      <c r="G1221" s="1" t="s">
        <v>8218</v>
      </c>
    </row>
    <row r="1222" spans="1:7">
      <c r="A1222" s="1">
        <v>1221</v>
      </c>
      <c r="B1222" s="1" t="s">
        <v>8282</v>
      </c>
      <c r="D1222" s="1" t="s">
        <v>8264</v>
      </c>
      <c r="E1222" s="1" t="s">
        <v>8283</v>
      </c>
      <c r="F1222" s="1" t="s">
        <v>8220</v>
      </c>
      <c r="G1222" s="1" t="s">
        <v>8221</v>
      </c>
    </row>
    <row r="1223" spans="1:7">
      <c r="A1223" s="1">
        <v>1222</v>
      </c>
      <c r="B1223" s="1" t="s">
        <v>8284</v>
      </c>
      <c r="D1223" s="1" t="s">
        <v>8264</v>
      </c>
      <c r="E1223" s="1" t="s">
        <v>8285</v>
      </c>
      <c r="F1223" s="1" t="s">
        <v>8224</v>
      </c>
      <c r="G1223" s="1" t="s">
        <v>8225</v>
      </c>
    </row>
    <row r="1224" spans="1:7">
      <c r="A1224" s="1">
        <v>1223</v>
      </c>
      <c r="B1224" s="1" t="s">
        <v>8286</v>
      </c>
      <c r="D1224" s="1" t="s">
        <v>8264</v>
      </c>
      <c r="E1224" s="1" t="s">
        <v>8287</v>
      </c>
      <c r="F1224" s="1" t="s">
        <v>8228</v>
      </c>
      <c r="G1224" s="1" t="s">
        <v>8229</v>
      </c>
    </row>
    <row r="1225" spans="1:7">
      <c r="A1225" s="1">
        <v>1224</v>
      </c>
      <c r="B1225" s="1" t="s">
        <v>8288</v>
      </c>
      <c r="D1225" s="1" t="s">
        <v>8264</v>
      </c>
      <c r="E1225" s="1" t="s">
        <v>8289</v>
      </c>
      <c r="F1225" s="1" t="s">
        <v>1339</v>
      </c>
      <c r="G1225" s="1" t="s">
        <v>1340</v>
      </c>
    </row>
    <row r="1226" spans="1:7">
      <c r="A1226" s="1">
        <v>1225</v>
      </c>
      <c r="B1226" s="1" t="s">
        <v>8290</v>
      </c>
      <c r="D1226" s="1" t="s">
        <v>8264</v>
      </c>
      <c r="E1226" s="1" t="s">
        <v>8291</v>
      </c>
      <c r="F1226" s="1" t="s">
        <v>8232</v>
      </c>
      <c r="G1226" s="1" t="s">
        <v>8233</v>
      </c>
    </row>
    <row r="1227" spans="1:7">
      <c r="A1227" s="1">
        <v>1226</v>
      </c>
      <c r="B1227" s="1" t="s">
        <v>8292</v>
      </c>
      <c r="D1227" s="1" t="s">
        <v>8264</v>
      </c>
      <c r="E1227" s="1" t="s">
        <v>8293</v>
      </c>
      <c r="F1227" s="1" t="s">
        <v>8235</v>
      </c>
      <c r="G1227" s="1" t="s">
        <v>8236</v>
      </c>
    </row>
    <row r="1228" spans="1:7">
      <c r="A1228" s="1">
        <v>1227</v>
      </c>
      <c r="B1228" s="1" t="s">
        <v>8294</v>
      </c>
      <c r="D1228" s="1" t="s">
        <v>8264</v>
      </c>
      <c r="E1228" s="1" t="s">
        <v>8295</v>
      </c>
      <c r="F1228" s="1" t="s">
        <v>8238</v>
      </c>
      <c r="G1228" s="1" t="s">
        <v>8239</v>
      </c>
    </row>
    <row r="1229" spans="1:7">
      <c r="A1229" s="1">
        <v>1228</v>
      </c>
      <c r="B1229" s="1" t="s">
        <v>8296</v>
      </c>
      <c r="D1229" s="1" t="s">
        <v>8264</v>
      </c>
      <c r="E1229" s="1" t="s">
        <v>8297</v>
      </c>
      <c r="F1229" s="1" t="s">
        <v>1295</v>
      </c>
      <c r="G1229" s="1" t="s">
        <v>1296</v>
      </c>
    </row>
    <row r="1230" spans="1:7">
      <c r="A1230" s="1">
        <v>1229</v>
      </c>
      <c r="B1230" s="1" t="s">
        <v>8298</v>
      </c>
      <c r="D1230" s="1" t="s">
        <v>8264</v>
      </c>
      <c r="E1230" s="1" t="s">
        <v>8299</v>
      </c>
      <c r="F1230" s="1" t="s">
        <v>8242</v>
      </c>
      <c r="G1230" s="1" t="s">
        <v>8243</v>
      </c>
    </row>
    <row r="1231" spans="1:7">
      <c r="A1231" s="1">
        <v>1230</v>
      </c>
      <c r="B1231" s="1" t="s">
        <v>8300</v>
      </c>
      <c r="D1231" s="1" t="s">
        <v>8264</v>
      </c>
      <c r="E1231" s="1" t="s">
        <v>8301</v>
      </c>
      <c r="F1231" s="1" t="s">
        <v>8246</v>
      </c>
      <c r="G1231" s="1" t="s">
        <v>8247</v>
      </c>
    </row>
    <row r="1232" spans="1:7">
      <c r="A1232" s="1">
        <v>1231</v>
      </c>
      <c r="B1232" s="1" t="s">
        <v>8302</v>
      </c>
      <c r="D1232" s="1" t="s">
        <v>8264</v>
      </c>
      <c r="E1232" s="1" t="s">
        <v>8303</v>
      </c>
      <c r="F1232" s="1" t="s">
        <v>8249</v>
      </c>
      <c r="G1232" s="1" t="s">
        <v>8250</v>
      </c>
    </row>
    <row r="1233" spans="1:7">
      <c r="A1233" s="1">
        <v>1232</v>
      </c>
      <c r="B1233" s="1" t="s">
        <v>8304</v>
      </c>
      <c r="D1233" s="1" t="s">
        <v>8264</v>
      </c>
      <c r="E1233" s="1" t="s">
        <v>8305</v>
      </c>
      <c r="F1233" s="1" t="s">
        <v>8252</v>
      </c>
      <c r="G1233" s="1" t="s">
        <v>8253</v>
      </c>
    </row>
    <row r="1234" spans="1:7">
      <c r="A1234" s="1">
        <v>1233</v>
      </c>
      <c r="B1234" s="1" t="s">
        <v>8306</v>
      </c>
      <c r="D1234" s="1" t="s">
        <v>8264</v>
      </c>
      <c r="E1234" s="1" t="s">
        <v>8307</v>
      </c>
      <c r="F1234" s="1" t="s">
        <v>8255</v>
      </c>
      <c r="G1234" s="1" t="s">
        <v>8256</v>
      </c>
    </row>
    <row r="1235" spans="1:7">
      <c r="A1235" s="1">
        <v>1234</v>
      </c>
      <c r="B1235" s="1" t="s">
        <v>8308</v>
      </c>
      <c r="D1235" s="1" t="s">
        <v>8264</v>
      </c>
      <c r="E1235" s="1" t="s">
        <v>8309</v>
      </c>
      <c r="F1235" s="1" t="s">
        <v>8258</v>
      </c>
      <c r="G1235" s="1" t="s">
        <v>8259</v>
      </c>
    </row>
    <row r="1236" spans="1:7">
      <c r="A1236" s="1">
        <v>1235</v>
      </c>
      <c r="B1236" s="1" t="s">
        <v>8310</v>
      </c>
      <c r="D1236" s="1" t="s">
        <v>8264</v>
      </c>
      <c r="E1236" s="1" t="s">
        <v>8311</v>
      </c>
      <c r="F1236" s="1" t="s">
        <v>8261</v>
      </c>
      <c r="G1236" s="1" t="s">
        <v>8262</v>
      </c>
    </row>
    <row r="1237" spans="1:7">
      <c r="A1237" s="1">
        <v>1236</v>
      </c>
      <c r="B1237" s="1" t="s">
        <v>8312</v>
      </c>
      <c r="D1237" s="1" t="s">
        <v>8313</v>
      </c>
      <c r="E1237" s="1" t="s">
        <v>3576</v>
      </c>
      <c r="F1237" s="1" t="s">
        <v>8314</v>
      </c>
      <c r="G1237" s="1" t="s">
        <v>8315</v>
      </c>
    </row>
    <row r="1238" spans="1:7">
      <c r="A1238" s="1">
        <v>1237</v>
      </c>
      <c r="B1238" s="1" t="s">
        <v>8316</v>
      </c>
      <c r="D1238" s="1" t="s">
        <v>8313</v>
      </c>
      <c r="E1238" s="1" t="s">
        <v>3575</v>
      </c>
      <c r="F1238" s="1" t="s">
        <v>8317</v>
      </c>
      <c r="G1238" s="1" t="s">
        <v>8318</v>
      </c>
    </row>
    <row r="1239" spans="1:7">
      <c r="A1239" s="1">
        <v>1238</v>
      </c>
      <c r="B1239" s="1" t="s">
        <v>8319</v>
      </c>
      <c r="D1239" s="1" t="s">
        <v>8313</v>
      </c>
      <c r="E1239" s="1" t="s">
        <v>3574</v>
      </c>
      <c r="F1239" s="1" t="s">
        <v>8320</v>
      </c>
      <c r="G1239" s="1" t="s">
        <v>8321</v>
      </c>
    </row>
    <row r="1240" spans="1:7">
      <c r="A1240" s="1">
        <v>1239</v>
      </c>
      <c r="B1240" s="1" t="s">
        <v>8322</v>
      </c>
      <c r="D1240" s="1" t="s">
        <v>8313</v>
      </c>
      <c r="E1240" s="1" t="s">
        <v>8323</v>
      </c>
      <c r="F1240" s="1" t="s">
        <v>8324</v>
      </c>
      <c r="G1240" s="1" t="s">
        <v>8325</v>
      </c>
    </row>
    <row r="1241" spans="1:7">
      <c r="A1241" s="1">
        <v>1240</v>
      </c>
      <c r="B1241" s="1" t="s">
        <v>8326</v>
      </c>
      <c r="D1241" s="1" t="s">
        <v>8313</v>
      </c>
      <c r="E1241" s="1" t="s">
        <v>8327</v>
      </c>
      <c r="F1241" s="1" t="s">
        <v>8328</v>
      </c>
      <c r="G1241" s="1" t="s">
        <v>8329</v>
      </c>
    </row>
    <row r="1242" spans="1:7">
      <c r="A1242" s="1">
        <v>1241</v>
      </c>
      <c r="B1242" s="1" t="s">
        <v>8330</v>
      </c>
      <c r="D1242" s="1" t="s">
        <v>8313</v>
      </c>
      <c r="E1242" s="1" t="s">
        <v>3577</v>
      </c>
      <c r="F1242" s="1" t="s">
        <v>8331</v>
      </c>
      <c r="G1242" s="1" t="s">
        <v>8332</v>
      </c>
    </row>
    <row r="1243" spans="1:7">
      <c r="A1243" s="1">
        <v>1242</v>
      </c>
      <c r="B1243" s="1" t="s">
        <v>8333</v>
      </c>
      <c r="D1243" s="1" t="s">
        <v>8313</v>
      </c>
      <c r="E1243" s="1" t="s">
        <v>8334</v>
      </c>
      <c r="F1243" s="1" t="s">
        <v>8335</v>
      </c>
      <c r="G1243" s="1" t="s">
        <v>8336</v>
      </c>
    </row>
    <row r="1244" spans="1:7">
      <c r="A1244" s="1">
        <v>1243</v>
      </c>
      <c r="B1244" s="1" t="s">
        <v>8337</v>
      </c>
      <c r="D1244" s="1" t="s">
        <v>8338</v>
      </c>
      <c r="E1244" s="1" t="s">
        <v>541</v>
      </c>
      <c r="F1244" s="1" t="s">
        <v>8339</v>
      </c>
      <c r="G1244" s="1" t="s">
        <v>8340</v>
      </c>
    </row>
    <row r="1245" spans="1:7">
      <c r="A1245" s="1">
        <v>1244</v>
      </c>
      <c r="B1245" s="1" t="s">
        <v>8341</v>
      </c>
      <c r="D1245" s="1" t="s">
        <v>8338</v>
      </c>
      <c r="E1245" s="1" t="s">
        <v>553</v>
      </c>
      <c r="F1245" s="1" t="s">
        <v>8342</v>
      </c>
      <c r="G1245" s="1" t="s">
        <v>8343</v>
      </c>
    </row>
    <row r="1246" spans="1:7">
      <c r="A1246" s="1">
        <v>1245</v>
      </c>
      <c r="B1246" s="1" t="s">
        <v>8344</v>
      </c>
      <c r="D1246" s="1" t="s">
        <v>8338</v>
      </c>
      <c r="E1246" s="1" t="s">
        <v>544</v>
      </c>
      <c r="F1246" s="1" t="s">
        <v>8345</v>
      </c>
      <c r="G1246" s="1" t="s">
        <v>8346</v>
      </c>
    </row>
    <row r="1247" spans="1:7">
      <c r="A1247" s="1">
        <v>1246</v>
      </c>
      <c r="B1247" s="1" t="s">
        <v>8347</v>
      </c>
      <c r="D1247" s="1" t="s">
        <v>8338</v>
      </c>
      <c r="E1247" s="1" t="s">
        <v>562</v>
      </c>
      <c r="F1247" s="1" t="s">
        <v>8348</v>
      </c>
      <c r="G1247" s="1" t="s">
        <v>8349</v>
      </c>
    </row>
    <row r="1248" spans="1:7">
      <c r="A1248" s="1">
        <v>1247</v>
      </c>
      <c r="B1248" s="1" t="s">
        <v>8350</v>
      </c>
      <c r="D1248" s="1" t="s">
        <v>8338</v>
      </c>
      <c r="E1248" s="1" t="s">
        <v>556</v>
      </c>
      <c r="F1248" s="1" t="s">
        <v>557</v>
      </c>
      <c r="G1248" s="1" t="s">
        <v>558</v>
      </c>
    </row>
    <row r="1249" spans="1:7">
      <c r="A1249" s="1">
        <v>1248</v>
      </c>
      <c r="B1249" s="1" t="s">
        <v>8351</v>
      </c>
      <c r="D1249" s="1" t="s">
        <v>8338</v>
      </c>
      <c r="E1249" s="1" t="s">
        <v>547</v>
      </c>
      <c r="F1249" s="1" t="s">
        <v>8352</v>
      </c>
      <c r="G1249" s="1" t="s">
        <v>8353</v>
      </c>
    </row>
    <row r="1250" spans="1:7">
      <c r="A1250" s="1">
        <v>1249</v>
      </c>
      <c r="B1250" s="1" t="s">
        <v>8354</v>
      </c>
      <c r="D1250" s="1" t="s">
        <v>8338</v>
      </c>
      <c r="E1250" s="1" t="s">
        <v>550</v>
      </c>
      <c r="F1250" s="1" t="s">
        <v>8355</v>
      </c>
      <c r="G1250" s="1" t="s">
        <v>8356</v>
      </c>
    </row>
    <row r="1251" spans="1:7">
      <c r="A1251" s="1">
        <v>1250</v>
      </c>
      <c r="B1251" s="1" t="s">
        <v>8357</v>
      </c>
      <c r="D1251" s="1" t="s">
        <v>8338</v>
      </c>
      <c r="E1251" s="1" t="s">
        <v>559</v>
      </c>
      <c r="F1251" s="1" t="s">
        <v>8358</v>
      </c>
      <c r="G1251" s="1" t="s">
        <v>8359</v>
      </c>
    </row>
    <row r="1252" spans="1:7">
      <c r="A1252" s="1">
        <v>1251</v>
      </c>
      <c r="B1252" s="1" t="s">
        <v>8360</v>
      </c>
      <c r="D1252" s="1" t="s">
        <v>8361</v>
      </c>
      <c r="E1252" s="1" t="s">
        <v>8362</v>
      </c>
      <c r="F1252" s="1" t="s">
        <v>8363</v>
      </c>
      <c r="G1252" s="1" t="s">
        <v>8364</v>
      </c>
    </row>
    <row r="1253" spans="1:7">
      <c r="A1253" s="1">
        <v>1252</v>
      </c>
      <c r="B1253" s="1" t="s">
        <v>8365</v>
      </c>
      <c r="D1253" s="1" t="s">
        <v>8361</v>
      </c>
      <c r="E1253" s="1" t="s">
        <v>8366</v>
      </c>
      <c r="F1253" s="1" t="s">
        <v>8367</v>
      </c>
      <c r="G1253" s="1" t="s">
        <v>8368</v>
      </c>
    </row>
    <row r="1254" spans="1:7">
      <c r="A1254" s="1">
        <v>1253</v>
      </c>
      <c r="B1254" s="1" t="s">
        <v>8369</v>
      </c>
      <c r="D1254" s="1" t="s">
        <v>8361</v>
      </c>
      <c r="E1254" s="1" t="s">
        <v>8370</v>
      </c>
      <c r="F1254" s="1" t="s">
        <v>8371</v>
      </c>
      <c r="G1254" s="1" t="s">
        <v>8372</v>
      </c>
    </row>
    <row r="1255" spans="1:7">
      <c r="A1255" s="1">
        <v>1254</v>
      </c>
      <c r="B1255" s="1" t="s">
        <v>8373</v>
      </c>
      <c r="D1255" s="1" t="s">
        <v>8361</v>
      </c>
      <c r="E1255" s="1" t="s">
        <v>8374</v>
      </c>
      <c r="F1255" s="1" t="s">
        <v>8375</v>
      </c>
      <c r="G1255" s="1" t="s">
        <v>8376</v>
      </c>
    </row>
    <row r="1256" spans="1:7">
      <c r="A1256" s="1">
        <v>1255</v>
      </c>
      <c r="B1256" s="1" t="s">
        <v>8377</v>
      </c>
      <c r="D1256" s="1" t="s">
        <v>8361</v>
      </c>
      <c r="E1256" s="1" t="s">
        <v>8378</v>
      </c>
      <c r="F1256" s="1" t="s">
        <v>8379</v>
      </c>
      <c r="G1256" s="1" t="s">
        <v>8380</v>
      </c>
    </row>
    <row r="1257" spans="1:7">
      <c r="A1257" s="1">
        <v>1256</v>
      </c>
      <c r="B1257" s="1" t="s">
        <v>8381</v>
      </c>
      <c r="D1257" s="1" t="s">
        <v>8361</v>
      </c>
      <c r="E1257" s="1" t="s">
        <v>8382</v>
      </c>
      <c r="F1257" s="1" t="s">
        <v>8383</v>
      </c>
      <c r="G1257" s="1" t="s">
        <v>8384</v>
      </c>
    </row>
    <row r="1258" spans="1:7">
      <c r="A1258" s="1">
        <v>1257</v>
      </c>
      <c r="B1258" s="1" t="s">
        <v>8385</v>
      </c>
      <c r="D1258" s="1" t="s">
        <v>8386</v>
      </c>
      <c r="E1258" s="1" t="s">
        <v>32</v>
      </c>
      <c r="F1258" s="1" t="s">
        <v>8387</v>
      </c>
      <c r="G1258" s="1" t="s">
        <v>8388</v>
      </c>
    </row>
    <row r="1259" spans="1:7">
      <c r="A1259" s="1">
        <v>1258</v>
      </c>
      <c r="B1259" s="1" t="s">
        <v>8389</v>
      </c>
      <c r="D1259" s="1" t="s">
        <v>8386</v>
      </c>
      <c r="E1259" s="1" t="s">
        <v>28</v>
      </c>
      <c r="F1259" s="1" t="s">
        <v>8390</v>
      </c>
      <c r="G1259" s="1" t="s">
        <v>8391</v>
      </c>
    </row>
    <row r="1260" spans="1:7">
      <c r="A1260" s="1">
        <v>1259</v>
      </c>
      <c r="B1260" s="1" t="s">
        <v>8392</v>
      </c>
      <c r="D1260" s="1" t="s">
        <v>8386</v>
      </c>
      <c r="E1260" s="1" t="s">
        <v>36</v>
      </c>
      <c r="F1260" s="1" t="s">
        <v>8393</v>
      </c>
      <c r="G1260" s="1" t="s">
        <v>8394</v>
      </c>
    </row>
    <row r="1261" spans="1:7">
      <c r="A1261" s="1">
        <v>1260</v>
      </c>
      <c r="B1261" s="1" t="s">
        <v>8395</v>
      </c>
      <c r="D1261" s="1" t="s">
        <v>8396</v>
      </c>
      <c r="E1261" s="1" t="s">
        <v>8397</v>
      </c>
      <c r="F1261" s="1" t="s">
        <v>8398</v>
      </c>
      <c r="G1261" s="1" t="s">
        <v>8399</v>
      </c>
    </row>
    <row r="1262" spans="1:7">
      <c r="A1262" s="1">
        <v>1261</v>
      </c>
      <c r="B1262" s="1" t="s">
        <v>8400</v>
      </c>
      <c r="D1262" s="1" t="s">
        <v>8396</v>
      </c>
      <c r="E1262" s="1" t="s">
        <v>8401</v>
      </c>
      <c r="F1262" s="1" t="s">
        <v>8402</v>
      </c>
      <c r="G1262" s="1" t="s">
        <v>8403</v>
      </c>
    </row>
    <row r="1263" spans="1:7">
      <c r="A1263" s="1">
        <v>1262</v>
      </c>
      <c r="B1263" s="1" t="s">
        <v>8404</v>
      </c>
      <c r="D1263" s="1" t="s">
        <v>8396</v>
      </c>
      <c r="E1263" s="1" t="s">
        <v>8405</v>
      </c>
      <c r="F1263" s="1" t="s">
        <v>8406</v>
      </c>
      <c r="G1263" s="1" t="s">
        <v>8407</v>
      </c>
    </row>
    <row r="1264" spans="1:7">
      <c r="A1264" s="1">
        <v>1263</v>
      </c>
      <c r="B1264" s="1" t="s">
        <v>8408</v>
      </c>
      <c r="D1264" s="1" t="s">
        <v>8396</v>
      </c>
      <c r="E1264" s="1" t="s">
        <v>8409</v>
      </c>
      <c r="F1264" s="1" t="s">
        <v>8410</v>
      </c>
      <c r="G1264" s="1" t="s">
        <v>8411</v>
      </c>
    </row>
    <row r="1265" spans="1:7">
      <c r="A1265" s="1">
        <v>1264</v>
      </c>
      <c r="B1265" s="1" t="s">
        <v>8412</v>
      </c>
      <c r="D1265" s="1" t="s">
        <v>8396</v>
      </c>
      <c r="E1265" s="1" t="s">
        <v>8413</v>
      </c>
      <c r="F1265" s="1" t="s">
        <v>8414</v>
      </c>
      <c r="G1265" s="1" t="s">
        <v>8415</v>
      </c>
    </row>
    <row r="1266" spans="1:7">
      <c r="A1266" s="1">
        <v>1265</v>
      </c>
      <c r="B1266" s="1" t="s">
        <v>8416</v>
      </c>
      <c r="D1266" s="1" t="s">
        <v>8396</v>
      </c>
      <c r="E1266" s="1" t="s">
        <v>8417</v>
      </c>
      <c r="F1266" s="1" t="s">
        <v>8418</v>
      </c>
      <c r="G1266" s="1" t="s">
        <v>8419</v>
      </c>
    </row>
    <row r="1267" spans="1:7">
      <c r="A1267" s="1">
        <v>1266</v>
      </c>
      <c r="B1267" s="1" t="s">
        <v>8420</v>
      </c>
      <c r="D1267" s="1" t="s">
        <v>8396</v>
      </c>
      <c r="E1267" s="1" t="s">
        <v>8421</v>
      </c>
      <c r="F1267" s="1" t="s">
        <v>8422</v>
      </c>
      <c r="G1267" s="1" t="s">
        <v>8423</v>
      </c>
    </row>
    <row r="1268" spans="1:7">
      <c r="A1268" s="1">
        <v>1267</v>
      </c>
      <c r="B1268" s="1" t="s">
        <v>8424</v>
      </c>
      <c r="D1268" s="1" t="s">
        <v>8396</v>
      </c>
      <c r="E1268" s="1" t="s">
        <v>8425</v>
      </c>
      <c r="F1268" s="1" t="s">
        <v>8426</v>
      </c>
      <c r="G1268" s="1" t="s">
        <v>8427</v>
      </c>
    </row>
    <row r="1269" spans="1:7">
      <c r="A1269" s="1">
        <v>1268</v>
      </c>
      <c r="B1269" s="1" t="s">
        <v>8428</v>
      </c>
      <c r="D1269" s="1" t="s">
        <v>8396</v>
      </c>
      <c r="E1269" s="1" t="s">
        <v>8429</v>
      </c>
      <c r="F1269" s="1" t="s">
        <v>8430</v>
      </c>
      <c r="G1269" s="1" t="s">
        <v>8431</v>
      </c>
    </row>
    <row r="1270" spans="1:7">
      <c r="A1270" s="1">
        <v>1269</v>
      </c>
      <c r="B1270" s="1" t="s">
        <v>8432</v>
      </c>
      <c r="D1270" s="1" t="s">
        <v>8396</v>
      </c>
      <c r="E1270" s="1" t="s">
        <v>8433</v>
      </c>
      <c r="F1270" s="1" t="s">
        <v>8434</v>
      </c>
      <c r="G1270" s="1" t="s">
        <v>8435</v>
      </c>
    </row>
    <row r="1271" spans="1:7">
      <c r="A1271" s="1">
        <v>1270</v>
      </c>
      <c r="B1271" s="1" t="s">
        <v>8436</v>
      </c>
      <c r="D1271" s="1" t="s">
        <v>8437</v>
      </c>
      <c r="E1271" s="1" t="s">
        <v>1350</v>
      </c>
      <c r="F1271" s="1" t="s">
        <v>8398</v>
      </c>
      <c r="G1271" s="1" t="s">
        <v>8399</v>
      </c>
    </row>
    <row r="1272" spans="1:7">
      <c r="A1272" s="1">
        <v>1271</v>
      </c>
      <c r="B1272" s="1" t="s">
        <v>8438</v>
      </c>
      <c r="D1272" s="1" t="s">
        <v>8437</v>
      </c>
      <c r="E1272" s="1" t="s">
        <v>1354</v>
      </c>
      <c r="F1272" s="1" t="s">
        <v>8402</v>
      </c>
      <c r="G1272" s="1" t="s">
        <v>8403</v>
      </c>
    </row>
    <row r="1273" spans="1:7">
      <c r="A1273" s="1">
        <v>1272</v>
      </c>
      <c r="B1273" s="1" t="s">
        <v>8439</v>
      </c>
      <c r="D1273" s="1" t="s">
        <v>8437</v>
      </c>
      <c r="E1273" s="1" t="s">
        <v>8440</v>
      </c>
      <c r="F1273" s="1" t="s">
        <v>8406</v>
      </c>
      <c r="G1273" s="1" t="s">
        <v>8407</v>
      </c>
    </row>
    <row r="1274" spans="1:7">
      <c r="A1274" s="1">
        <v>1273</v>
      </c>
      <c r="B1274" s="1" t="s">
        <v>8441</v>
      </c>
      <c r="D1274" s="1" t="s">
        <v>8437</v>
      </c>
      <c r="E1274" s="1" t="s">
        <v>8442</v>
      </c>
      <c r="F1274" s="1" t="s">
        <v>8410</v>
      </c>
      <c r="G1274" s="1" t="s">
        <v>8411</v>
      </c>
    </row>
    <row r="1275" spans="1:7">
      <c r="A1275" s="1">
        <v>1274</v>
      </c>
      <c r="B1275" s="1" t="s">
        <v>8443</v>
      </c>
      <c r="D1275" s="1" t="s">
        <v>8437</v>
      </c>
      <c r="E1275" s="1" t="s">
        <v>8444</v>
      </c>
      <c r="F1275" s="1" t="s">
        <v>8414</v>
      </c>
      <c r="G1275" s="1" t="s">
        <v>8415</v>
      </c>
    </row>
    <row r="1276" spans="1:7">
      <c r="A1276" s="1">
        <v>1275</v>
      </c>
      <c r="B1276" s="1" t="s">
        <v>8445</v>
      </c>
      <c r="D1276" s="1" t="s">
        <v>8437</v>
      </c>
      <c r="E1276" s="1" t="s">
        <v>8446</v>
      </c>
      <c r="F1276" s="1" t="s">
        <v>8418</v>
      </c>
      <c r="G1276" s="1" t="s">
        <v>8419</v>
      </c>
    </row>
    <row r="1277" spans="1:7">
      <c r="A1277" s="1">
        <v>1276</v>
      </c>
      <c r="B1277" s="1" t="s">
        <v>8447</v>
      </c>
      <c r="D1277" s="1" t="s">
        <v>8437</v>
      </c>
      <c r="E1277" s="1" t="s">
        <v>8448</v>
      </c>
      <c r="F1277" s="1" t="s">
        <v>8422</v>
      </c>
      <c r="G1277" s="1" t="s">
        <v>8423</v>
      </c>
    </row>
    <row r="1278" spans="1:7">
      <c r="A1278" s="1">
        <v>1277</v>
      </c>
      <c r="B1278" s="1" t="s">
        <v>8449</v>
      </c>
      <c r="D1278" s="1" t="s">
        <v>8437</v>
      </c>
      <c r="E1278" s="1" t="s">
        <v>8450</v>
      </c>
      <c r="F1278" s="1" t="s">
        <v>8426</v>
      </c>
      <c r="G1278" s="1" t="s">
        <v>8427</v>
      </c>
    </row>
    <row r="1279" spans="1:7">
      <c r="A1279" s="1">
        <v>1278</v>
      </c>
      <c r="B1279" s="1" t="s">
        <v>8451</v>
      </c>
      <c r="D1279" s="1" t="s">
        <v>8437</v>
      </c>
      <c r="E1279" s="1" t="s">
        <v>8452</v>
      </c>
      <c r="F1279" s="1" t="s">
        <v>8430</v>
      </c>
      <c r="G1279" s="1" t="s">
        <v>8431</v>
      </c>
    </row>
    <row r="1280" spans="1:7">
      <c r="A1280" s="1">
        <v>1279</v>
      </c>
      <c r="B1280" s="1" t="s">
        <v>8453</v>
      </c>
      <c r="D1280" s="1" t="s">
        <v>8437</v>
      </c>
      <c r="E1280" s="1" t="s">
        <v>8454</v>
      </c>
      <c r="F1280" s="1" t="s">
        <v>8434</v>
      </c>
      <c r="G1280" s="1" t="s">
        <v>8435</v>
      </c>
    </row>
    <row r="1281" spans="1:7">
      <c r="A1281" s="1">
        <v>1280</v>
      </c>
      <c r="B1281" s="1" t="s">
        <v>8455</v>
      </c>
      <c r="D1281" s="1" t="s">
        <v>8456</v>
      </c>
      <c r="E1281" s="1" t="s">
        <v>1574</v>
      </c>
      <c r="F1281" s="1" t="s">
        <v>8398</v>
      </c>
      <c r="G1281" s="1" t="s">
        <v>8399</v>
      </c>
    </row>
    <row r="1282" spans="1:7">
      <c r="A1282" s="1">
        <v>1281</v>
      </c>
      <c r="B1282" s="1" t="s">
        <v>8457</v>
      </c>
      <c r="D1282" s="1" t="s">
        <v>8456</v>
      </c>
      <c r="E1282" s="1" t="s">
        <v>8458</v>
      </c>
      <c r="F1282" s="1" t="s">
        <v>8402</v>
      </c>
      <c r="G1282" s="1" t="s">
        <v>8403</v>
      </c>
    </row>
    <row r="1283" spans="1:7">
      <c r="A1283" s="1">
        <v>1282</v>
      </c>
      <c r="B1283" s="1" t="s">
        <v>8459</v>
      </c>
      <c r="D1283" s="1" t="s">
        <v>8456</v>
      </c>
      <c r="E1283" s="1" t="s">
        <v>8460</v>
      </c>
      <c r="F1283" s="1" t="s">
        <v>8406</v>
      </c>
      <c r="G1283" s="1" t="s">
        <v>8407</v>
      </c>
    </row>
    <row r="1284" spans="1:7">
      <c r="A1284" s="1">
        <v>1283</v>
      </c>
      <c r="B1284" s="1" t="s">
        <v>8461</v>
      </c>
      <c r="D1284" s="1" t="s">
        <v>8456</v>
      </c>
      <c r="E1284" s="1" t="s">
        <v>8462</v>
      </c>
      <c r="F1284" s="1" t="s">
        <v>8410</v>
      </c>
      <c r="G1284" s="1" t="s">
        <v>8411</v>
      </c>
    </row>
    <row r="1285" spans="1:7">
      <c r="A1285" s="1">
        <v>1284</v>
      </c>
      <c r="B1285" s="1" t="s">
        <v>8463</v>
      </c>
      <c r="D1285" s="1" t="s">
        <v>8456</v>
      </c>
      <c r="E1285" s="1" t="s">
        <v>8464</v>
      </c>
      <c r="F1285" s="1" t="s">
        <v>8414</v>
      </c>
      <c r="G1285" s="1" t="s">
        <v>8415</v>
      </c>
    </row>
    <row r="1286" spans="1:7">
      <c r="A1286" s="1">
        <v>1285</v>
      </c>
      <c r="B1286" s="1" t="s">
        <v>8465</v>
      </c>
      <c r="D1286" s="1" t="s">
        <v>8456</v>
      </c>
      <c r="E1286" s="1" t="s">
        <v>8466</v>
      </c>
      <c r="F1286" s="1" t="s">
        <v>8418</v>
      </c>
      <c r="G1286" s="1" t="s">
        <v>8419</v>
      </c>
    </row>
    <row r="1287" spans="1:7">
      <c r="A1287" s="1">
        <v>1286</v>
      </c>
      <c r="B1287" s="1" t="s">
        <v>8467</v>
      </c>
      <c r="D1287" s="1" t="s">
        <v>8456</v>
      </c>
      <c r="E1287" s="1" t="s">
        <v>8468</v>
      </c>
      <c r="F1287" s="1" t="s">
        <v>8422</v>
      </c>
      <c r="G1287" s="1" t="s">
        <v>8423</v>
      </c>
    </row>
    <row r="1288" spans="1:7">
      <c r="A1288" s="1">
        <v>1287</v>
      </c>
      <c r="B1288" s="1" t="s">
        <v>8469</v>
      </c>
      <c r="D1288" s="1" t="s">
        <v>8456</v>
      </c>
      <c r="E1288" s="1" t="s">
        <v>8470</v>
      </c>
      <c r="F1288" s="1" t="s">
        <v>8426</v>
      </c>
      <c r="G1288" s="1" t="s">
        <v>8427</v>
      </c>
    </row>
    <row r="1289" spans="1:7">
      <c r="A1289" s="1">
        <v>1288</v>
      </c>
      <c r="B1289" s="1" t="s">
        <v>8471</v>
      </c>
      <c r="D1289" s="1" t="s">
        <v>8456</v>
      </c>
      <c r="E1289" s="1" t="s">
        <v>8472</v>
      </c>
      <c r="F1289" s="1" t="s">
        <v>8430</v>
      </c>
      <c r="G1289" s="1" t="s">
        <v>8431</v>
      </c>
    </row>
    <row r="1290" spans="1:7">
      <c r="A1290" s="1">
        <v>1289</v>
      </c>
      <c r="B1290" s="1" t="s">
        <v>8473</v>
      </c>
      <c r="D1290" s="1" t="s">
        <v>8456</v>
      </c>
      <c r="E1290" s="1" t="s">
        <v>8474</v>
      </c>
      <c r="F1290" s="1" t="s">
        <v>8434</v>
      </c>
      <c r="G1290" s="1" t="s">
        <v>8435</v>
      </c>
    </row>
    <row r="1291" spans="1:7">
      <c r="A1291" s="1">
        <v>1290</v>
      </c>
      <c r="B1291" s="1" t="s">
        <v>8475</v>
      </c>
      <c r="D1291" s="1" t="s">
        <v>8476</v>
      </c>
      <c r="E1291" s="1" t="s">
        <v>8477</v>
      </c>
      <c r="F1291" s="1" t="s">
        <v>8398</v>
      </c>
      <c r="G1291" s="1" t="s">
        <v>8399</v>
      </c>
    </row>
    <row r="1292" spans="1:7">
      <c r="A1292" s="1">
        <v>1291</v>
      </c>
      <c r="B1292" s="1" t="s">
        <v>8478</v>
      </c>
      <c r="D1292" s="1" t="s">
        <v>8476</v>
      </c>
      <c r="E1292" s="1" t="s">
        <v>8479</v>
      </c>
      <c r="F1292" s="1" t="s">
        <v>8402</v>
      </c>
      <c r="G1292" s="1" t="s">
        <v>8403</v>
      </c>
    </row>
    <row r="1293" spans="1:7">
      <c r="A1293" s="1">
        <v>1292</v>
      </c>
      <c r="B1293" s="1" t="s">
        <v>8480</v>
      </c>
      <c r="D1293" s="1" t="s">
        <v>8476</v>
      </c>
      <c r="E1293" s="1" t="s">
        <v>8481</v>
      </c>
      <c r="F1293" s="1" t="s">
        <v>8406</v>
      </c>
      <c r="G1293" s="1" t="s">
        <v>8407</v>
      </c>
    </row>
    <row r="1294" spans="1:7">
      <c r="A1294" s="1">
        <v>1293</v>
      </c>
      <c r="B1294" s="1" t="s">
        <v>8482</v>
      </c>
      <c r="D1294" s="1" t="s">
        <v>8476</v>
      </c>
      <c r="E1294" s="1" t="s">
        <v>8483</v>
      </c>
      <c r="F1294" s="1" t="s">
        <v>8410</v>
      </c>
      <c r="G1294" s="1" t="s">
        <v>8411</v>
      </c>
    </row>
    <row r="1295" spans="1:7">
      <c r="A1295" s="1">
        <v>1294</v>
      </c>
      <c r="B1295" s="1" t="s">
        <v>8484</v>
      </c>
      <c r="D1295" s="1" t="s">
        <v>8476</v>
      </c>
      <c r="E1295" s="1" t="s">
        <v>8485</v>
      </c>
      <c r="F1295" s="1" t="s">
        <v>8414</v>
      </c>
      <c r="G1295" s="1" t="s">
        <v>8415</v>
      </c>
    </row>
    <row r="1296" spans="1:7">
      <c r="A1296" s="1">
        <v>1295</v>
      </c>
      <c r="B1296" s="1" t="s">
        <v>8486</v>
      </c>
      <c r="D1296" s="1" t="s">
        <v>8476</v>
      </c>
      <c r="E1296" s="1" t="s">
        <v>8487</v>
      </c>
      <c r="F1296" s="1" t="s">
        <v>8418</v>
      </c>
      <c r="G1296" s="1" t="s">
        <v>8419</v>
      </c>
    </row>
    <row r="1297" spans="1:7">
      <c r="A1297" s="1">
        <v>1296</v>
      </c>
      <c r="B1297" s="1" t="s">
        <v>8488</v>
      </c>
      <c r="D1297" s="1" t="s">
        <v>8476</v>
      </c>
      <c r="E1297" s="1" t="s">
        <v>8489</v>
      </c>
      <c r="F1297" s="1" t="s">
        <v>8422</v>
      </c>
      <c r="G1297" s="1" t="s">
        <v>8423</v>
      </c>
    </row>
    <row r="1298" spans="1:7">
      <c r="A1298" s="1">
        <v>1297</v>
      </c>
      <c r="B1298" s="1" t="s">
        <v>8490</v>
      </c>
      <c r="D1298" s="1" t="s">
        <v>8476</v>
      </c>
      <c r="E1298" s="1" t="s">
        <v>8491</v>
      </c>
      <c r="F1298" s="1" t="s">
        <v>8426</v>
      </c>
      <c r="G1298" s="1" t="s">
        <v>8427</v>
      </c>
    </row>
    <row r="1299" spans="1:7">
      <c r="A1299" s="1">
        <v>1298</v>
      </c>
      <c r="B1299" s="1" t="s">
        <v>8492</v>
      </c>
      <c r="D1299" s="1" t="s">
        <v>8476</v>
      </c>
      <c r="E1299" s="1" t="s">
        <v>8493</v>
      </c>
      <c r="F1299" s="1" t="s">
        <v>8430</v>
      </c>
      <c r="G1299" s="1" t="s">
        <v>8431</v>
      </c>
    </row>
    <row r="1300" spans="1:7">
      <c r="A1300" s="1">
        <v>1299</v>
      </c>
      <c r="B1300" s="1" t="s">
        <v>8494</v>
      </c>
      <c r="D1300" s="1" t="s">
        <v>8476</v>
      </c>
      <c r="E1300" s="1" t="s">
        <v>8495</v>
      </c>
      <c r="F1300" s="1" t="s">
        <v>8434</v>
      </c>
      <c r="G1300" s="1" t="s">
        <v>8435</v>
      </c>
    </row>
    <row r="1301" spans="1:7">
      <c r="A1301" s="1">
        <v>1300</v>
      </c>
      <c r="B1301" s="1" t="s">
        <v>8496</v>
      </c>
      <c r="D1301" s="1" t="s">
        <v>8497</v>
      </c>
      <c r="E1301" s="1" t="s">
        <v>1045</v>
      </c>
      <c r="F1301" s="1" t="s">
        <v>8398</v>
      </c>
      <c r="G1301" s="1" t="s">
        <v>8399</v>
      </c>
    </row>
    <row r="1302" spans="1:7">
      <c r="A1302" s="1">
        <v>1301</v>
      </c>
      <c r="B1302" s="1" t="s">
        <v>8498</v>
      </c>
      <c r="D1302" s="1" t="s">
        <v>8497</v>
      </c>
      <c r="E1302" s="1" t="s">
        <v>1048</v>
      </c>
      <c r="F1302" s="1" t="s">
        <v>8402</v>
      </c>
      <c r="G1302" s="1" t="s">
        <v>8403</v>
      </c>
    </row>
    <row r="1303" spans="1:7">
      <c r="A1303" s="1">
        <v>1302</v>
      </c>
      <c r="B1303" s="1" t="s">
        <v>8499</v>
      </c>
      <c r="D1303" s="1" t="s">
        <v>8497</v>
      </c>
      <c r="E1303" s="1" t="s">
        <v>8500</v>
      </c>
      <c r="F1303" s="1" t="s">
        <v>8406</v>
      </c>
      <c r="G1303" s="1" t="s">
        <v>8407</v>
      </c>
    </row>
    <row r="1304" spans="1:7">
      <c r="A1304" s="1">
        <v>1303</v>
      </c>
      <c r="B1304" s="1" t="s">
        <v>8501</v>
      </c>
      <c r="D1304" s="1" t="s">
        <v>8497</v>
      </c>
      <c r="E1304" s="1" t="s">
        <v>8502</v>
      </c>
      <c r="F1304" s="1" t="s">
        <v>8410</v>
      </c>
      <c r="G1304" s="1" t="s">
        <v>8411</v>
      </c>
    </row>
    <row r="1305" spans="1:7">
      <c r="A1305" s="1">
        <v>1304</v>
      </c>
      <c r="B1305" s="1" t="s">
        <v>8503</v>
      </c>
      <c r="D1305" s="1" t="s">
        <v>8497</v>
      </c>
      <c r="E1305" s="1" t="s">
        <v>8504</v>
      </c>
      <c r="F1305" s="1" t="s">
        <v>8414</v>
      </c>
      <c r="G1305" s="1" t="s">
        <v>8415</v>
      </c>
    </row>
    <row r="1306" spans="1:7">
      <c r="A1306" s="1">
        <v>1305</v>
      </c>
      <c r="B1306" s="1" t="s">
        <v>8505</v>
      </c>
      <c r="D1306" s="1" t="s">
        <v>8497</v>
      </c>
      <c r="E1306" s="1" t="s">
        <v>1054</v>
      </c>
      <c r="F1306" s="1" t="s">
        <v>8418</v>
      </c>
      <c r="G1306" s="1" t="s">
        <v>8419</v>
      </c>
    </row>
    <row r="1307" spans="1:7">
      <c r="A1307" s="1">
        <v>1306</v>
      </c>
      <c r="B1307" s="1" t="s">
        <v>8506</v>
      </c>
      <c r="D1307" s="1" t="s">
        <v>8497</v>
      </c>
      <c r="E1307" s="1" t="s">
        <v>1051</v>
      </c>
      <c r="F1307" s="1" t="s">
        <v>8422</v>
      </c>
      <c r="G1307" s="1" t="s">
        <v>8423</v>
      </c>
    </row>
    <row r="1308" spans="1:7">
      <c r="A1308" s="1">
        <v>1307</v>
      </c>
      <c r="B1308" s="1" t="s">
        <v>8507</v>
      </c>
      <c r="D1308" s="1" t="s">
        <v>8497</v>
      </c>
      <c r="E1308" s="1" t="s">
        <v>8508</v>
      </c>
      <c r="F1308" s="1" t="s">
        <v>8426</v>
      </c>
      <c r="G1308" s="1" t="s">
        <v>8427</v>
      </c>
    </row>
    <row r="1309" spans="1:7">
      <c r="A1309" s="1">
        <v>1308</v>
      </c>
      <c r="B1309" s="1" t="s">
        <v>8509</v>
      </c>
      <c r="D1309" s="1" t="s">
        <v>8497</v>
      </c>
      <c r="E1309" s="1" t="s">
        <v>8510</v>
      </c>
      <c r="F1309" s="1" t="s">
        <v>8430</v>
      </c>
      <c r="G1309" s="1" t="s">
        <v>8431</v>
      </c>
    </row>
    <row r="1310" spans="1:7">
      <c r="A1310" s="1">
        <v>1309</v>
      </c>
      <c r="B1310" s="1" t="s">
        <v>8511</v>
      </c>
      <c r="D1310" s="1" t="s">
        <v>8497</v>
      </c>
      <c r="E1310" s="1" t="s">
        <v>8512</v>
      </c>
      <c r="F1310" s="1" t="s">
        <v>8434</v>
      </c>
      <c r="G1310" s="1" t="s">
        <v>8435</v>
      </c>
    </row>
    <row r="1311" spans="1:7">
      <c r="A1311" s="1">
        <v>1310</v>
      </c>
      <c r="B1311" s="1" t="s">
        <v>8513</v>
      </c>
      <c r="D1311" s="1" t="s">
        <v>8514</v>
      </c>
      <c r="E1311" s="1" t="s">
        <v>8515</v>
      </c>
      <c r="F1311" s="1" t="s">
        <v>8398</v>
      </c>
      <c r="G1311" s="1" t="s">
        <v>8399</v>
      </c>
    </row>
    <row r="1312" spans="1:7">
      <c r="A1312" s="1">
        <v>1311</v>
      </c>
      <c r="B1312" s="1" t="s">
        <v>8516</v>
      </c>
      <c r="D1312" s="1" t="s">
        <v>8514</v>
      </c>
      <c r="E1312" s="1" t="s">
        <v>8517</v>
      </c>
      <c r="F1312" s="1" t="s">
        <v>8402</v>
      </c>
      <c r="G1312" s="1" t="s">
        <v>8403</v>
      </c>
    </row>
    <row r="1313" spans="1:7">
      <c r="A1313" s="1">
        <v>1312</v>
      </c>
      <c r="B1313" s="1" t="s">
        <v>8518</v>
      </c>
      <c r="D1313" s="1" t="s">
        <v>8514</v>
      </c>
      <c r="E1313" s="1" t="s">
        <v>8519</v>
      </c>
      <c r="F1313" s="1" t="s">
        <v>8406</v>
      </c>
      <c r="G1313" s="1" t="s">
        <v>8407</v>
      </c>
    </row>
    <row r="1314" spans="1:7">
      <c r="A1314" s="1">
        <v>1313</v>
      </c>
      <c r="B1314" s="1" t="s">
        <v>8520</v>
      </c>
      <c r="D1314" s="1" t="s">
        <v>8514</v>
      </c>
      <c r="E1314" s="1" t="s">
        <v>8521</v>
      </c>
      <c r="F1314" s="1" t="s">
        <v>8410</v>
      </c>
      <c r="G1314" s="1" t="s">
        <v>8411</v>
      </c>
    </row>
    <row r="1315" spans="1:7">
      <c r="A1315" s="1">
        <v>1314</v>
      </c>
      <c r="B1315" s="1" t="s">
        <v>8522</v>
      </c>
      <c r="D1315" s="1" t="s">
        <v>8514</v>
      </c>
      <c r="E1315" s="1" t="s">
        <v>8523</v>
      </c>
      <c r="F1315" s="1" t="s">
        <v>8414</v>
      </c>
      <c r="G1315" s="1" t="s">
        <v>8415</v>
      </c>
    </row>
    <row r="1316" spans="1:7">
      <c r="A1316" s="1">
        <v>1315</v>
      </c>
      <c r="B1316" s="1" t="s">
        <v>8524</v>
      </c>
      <c r="D1316" s="1" t="s">
        <v>8514</v>
      </c>
      <c r="E1316" s="1" t="s">
        <v>8525</v>
      </c>
      <c r="F1316" s="1" t="s">
        <v>8418</v>
      </c>
      <c r="G1316" s="1" t="s">
        <v>8419</v>
      </c>
    </row>
    <row r="1317" spans="1:7">
      <c r="A1317" s="1">
        <v>1316</v>
      </c>
      <c r="B1317" s="1" t="s">
        <v>8526</v>
      </c>
      <c r="D1317" s="1" t="s">
        <v>8514</v>
      </c>
      <c r="E1317" s="1" t="s">
        <v>8527</v>
      </c>
      <c r="F1317" s="1" t="s">
        <v>8422</v>
      </c>
      <c r="G1317" s="1" t="s">
        <v>8423</v>
      </c>
    </row>
    <row r="1318" spans="1:7">
      <c r="A1318" s="1">
        <v>1317</v>
      </c>
      <c r="B1318" s="1" t="s">
        <v>8528</v>
      </c>
      <c r="D1318" s="1" t="s">
        <v>8514</v>
      </c>
      <c r="E1318" s="1" t="s">
        <v>8529</v>
      </c>
      <c r="F1318" s="1" t="s">
        <v>8426</v>
      </c>
      <c r="G1318" s="1" t="s">
        <v>8427</v>
      </c>
    </row>
    <row r="1319" spans="1:7">
      <c r="A1319" s="1">
        <v>1318</v>
      </c>
      <c r="B1319" s="1" t="s">
        <v>8530</v>
      </c>
      <c r="D1319" s="1" t="s">
        <v>8514</v>
      </c>
      <c r="E1319" s="1" t="s">
        <v>8531</v>
      </c>
      <c r="F1319" s="1" t="s">
        <v>8430</v>
      </c>
      <c r="G1319" s="1" t="s">
        <v>8431</v>
      </c>
    </row>
    <row r="1320" spans="1:7">
      <c r="A1320" s="1">
        <v>1319</v>
      </c>
      <c r="B1320" s="1" t="s">
        <v>8532</v>
      </c>
      <c r="D1320" s="1" t="s">
        <v>8514</v>
      </c>
      <c r="E1320" s="1" t="s">
        <v>8533</v>
      </c>
      <c r="F1320" s="1" t="s">
        <v>8434</v>
      </c>
      <c r="G1320" s="1" t="s">
        <v>8435</v>
      </c>
    </row>
    <row r="1321" spans="1:7">
      <c r="A1321" s="1">
        <v>1320</v>
      </c>
      <c r="B1321" s="1" t="s">
        <v>8534</v>
      </c>
      <c r="D1321" s="1" t="s">
        <v>8535</v>
      </c>
      <c r="E1321" s="1" t="s">
        <v>777</v>
      </c>
      <c r="F1321" s="1" t="s">
        <v>8398</v>
      </c>
      <c r="G1321" s="1" t="s">
        <v>8399</v>
      </c>
    </row>
    <row r="1322" spans="1:7">
      <c r="A1322" s="1">
        <v>1321</v>
      </c>
      <c r="B1322" s="1" t="s">
        <v>8536</v>
      </c>
      <c r="D1322" s="1" t="s">
        <v>8535</v>
      </c>
      <c r="E1322" s="1" t="s">
        <v>781</v>
      </c>
      <c r="F1322" s="1" t="s">
        <v>8402</v>
      </c>
      <c r="G1322" s="1" t="s">
        <v>8403</v>
      </c>
    </row>
    <row r="1323" spans="1:7">
      <c r="A1323" s="1">
        <v>1322</v>
      </c>
      <c r="B1323" s="1" t="s">
        <v>8537</v>
      </c>
      <c r="D1323" s="1" t="s">
        <v>8535</v>
      </c>
      <c r="E1323" s="1" t="s">
        <v>8538</v>
      </c>
      <c r="F1323" s="1" t="s">
        <v>8406</v>
      </c>
      <c r="G1323" s="1" t="s">
        <v>8407</v>
      </c>
    </row>
    <row r="1324" spans="1:7">
      <c r="A1324" s="1">
        <v>1323</v>
      </c>
      <c r="B1324" s="1" t="s">
        <v>8539</v>
      </c>
      <c r="D1324" s="1" t="s">
        <v>8535</v>
      </c>
      <c r="E1324" s="1" t="s">
        <v>8540</v>
      </c>
      <c r="F1324" s="1" t="s">
        <v>8410</v>
      </c>
      <c r="G1324" s="1" t="s">
        <v>8411</v>
      </c>
    </row>
    <row r="1325" spans="1:7">
      <c r="A1325" s="1">
        <v>1324</v>
      </c>
      <c r="B1325" s="1" t="s">
        <v>8541</v>
      </c>
      <c r="D1325" s="1" t="s">
        <v>8535</v>
      </c>
      <c r="E1325" s="1" t="s">
        <v>8542</v>
      </c>
      <c r="F1325" s="1" t="s">
        <v>8414</v>
      </c>
      <c r="G1325" s="1" t="s">
        <v>8415</v>
      </c>
    </row>
    <row r="1326" spans="1:7">
      <c r="A1326" s="1">
        <v>1325</v>
      </c>
      <c r="B1326" s="1" t="s">
        <v>8543</v>
      </c>
      <c r="D1326" s="1" t="s">
        <v>8535</v>
      </c>
      <c r="E1326" s="1" t="s">
        <v>789</v>
      </c>
      <c r="F1326" s="1" t="s">
        <v>8418</v>
      </c>
      <c r="G1326" s="1" t="s">
        <v>8419</v>
      </c>
    </row>
    <row r="1327" spans="1:7">
      <c r="A1327" s="1">
        <v>1326</v>
      </c>
      <c r="B1327" s="1" t="s">
        <v>8544</v>
      </c>
      <c r="D1327" s="1" t="s">
        <v>8535</v>
      </c>
      <c r="E1327" s="1" t="s">
        <v>785</v>
      </c>
      <c r="F1327" s="1" t="s">
        <v>8422</v>
      </c>
      <c r="G1327" s="1" t="s">
        <v>8423</v>
      </c>
    </row>
    <row r="1328" spans="1:7">
      <c r="A1328" s="1">
        <v>1327</v>
      </c>
      <c r="B1328" s="1" t="s">
        <v>8545</v>
      </c>
      <c r="D1328" s="1" t="s">
        <v>8535</v>
      </c>
      <c r="E1328" s="1" t="s">
        <v>8546</v>
      </c>
      <c r="F1328" s="1" t="s">
        <v>8426</v>
      </c>
      <c r="G1328" s="1" t="s">
        <v>8427</v>
      </c>
    </row>
    <row r="1329" spans="1:7">
      <c r="A1329" s="1">
        <v>1328</v>
      </c>
      <c r="B1329" s="1" t="s">
        <v>8547</v>
      </c>
      <c r="D1329" s="1" t="s">
        <v>8535</v>
      </c>
      <c r="E1329" s="1" t="s">
        <v>8548</v>
      </c>
      <c r="F1329" s="1" t="s">
        <v>8430</v>
      </c>
      <c r="G1329" s="1" t="s">
        <v>8431</v>
      </c>
    </row>
    <row r="1330" spans="1:7">
      <c r="A1330" s="1">
        <v>1329</v>
      </c>
      <c r="B1330" s="1" t="s">
        <v>8549</v>
      </c>
      <c r="D1330" s="1" t="s">
        <v>8535</v>
      </c>
      <c r="E1330" s="1" t="s">
        <v>8550</v>
      </c>
      <c r="F1330" s="1" t="s">
        <v>8434</v>
      </c>
      <c r="G1330" s="1" t="s">
        <v>8435</v>
      </c>
    </row>
    <row r="1331" spans="1:7">
      <c r="A1331" s="1">
        <v>1330</v>
      </c>
      <c r="B1331" s="1" t="s">
        <v>8551</v>
      </c>
      <c r="D1331" s="1" t="s">
        <v>8552</v>
      </c>
      <c r="E1331" s="1" t="s">
        <v>8553</v>
      </c>
      <c r="F1331" s="1" t="s">
        <v>8398</v>
      </c>
      <c r="G1331" s="1" t="s">
        <v>8399</v>
      </c>
    </row>
    <row r="1332" spans="1:7">
      <c r="A1332" s="1">
        <v>1331</v>
      </c>
      <c r="B1332" s="1" t="s">
        <v>8554</v>
      </c>
      <c r="D1332" s="1" t="s">
        <v>8552</v>
      </c>
      <c r="E1332" s="1" t="s">
        <v>8555</v>
      </c>
      <c r="F1332" s="1" t="s">
        <v>8402</v>
      </c>
      <c r="G1332" s="1" t="s">
        <v>8403</v>
      </c>
    </row>
    <row r="1333" spans="1:7">
      <c r="A1333" s="1">
        <v>1332</v>
      </c>
      <c r="B1333" s="1" t="s">
        <v>8556</v>
      </c>
      <c r="D1333" s="1" t="s">
        <v>8552</v>
      </c>
      <c r="E1333" s="1" t="s">
        <v>8557</v>
      </c>
      <c r="F1333" s="1" t="s">
        <v>8406</v>
      </c>
      <c r="G1333" s="1" t="s">
        <v>8407</v>
      </c>
    </row>
    <row r="1334" spans="1:7">
      <c r="A1334" s="1">
        <v>1333</v>
      </c>
      <c r="B1334" s="1" t="s">
        <v>8558</v>
      </c>
      <c r="D1334" s="1" t="s">
        <v>8552</v>
      </c>
      <c r="E1334" s="1" t="s">
        <v>8559</v>
      </c>
      <c r="F1334" s="1" t="s">
        <v>8410</v>
      </c>
      <c r="G1334" s="1" t="s">
        <v>8411</v>
      </c>
    </row>
    <row r="1335" spans="1:7">
      <c r="A1335" s="1">
        <v>1334</v>
      </c>
      <c r="B1335" s="1" t="s">
        <v>8560</v>
      </c>
      <c r="D1335" s="1" t="s">
        <v>8552</v>
      </c>
      <c r="E1335" s="1" t="s">
        <v>8561</v>
      </c>
      <c r="F1335" s="1" t="s">
        <v>8414</v>
      </c>
      <c r="G1335" s="1" t="s">
        <v>8415</v>
      </c>
    </row>
    <row r="1336" spans="1:7">
      <c r="A1336" s="1">
        <v>1335</v>
      </c>
      <c r="B1336" s="1" t="s">
        <v>8562</v>
      </c>
      <c r="D1336" s="1" t="s">
        <v>8552</v>
      </c>
      <c r="E1336" s="1" t="s">
        <v>8563</v>
      </c>
      <c r="F1336" s="1" t="s">
        <v>8418</v>
      </c>
      <c r="G1336" s="1" t="s">
        <v>8419</v>
      </c>
    </row>
    <row r="1337" spans="1:7">
      <c r="A1337" s="1">
        <v>1336</v>
      </c>
      <c r="B1337" s="1" t="s">
        <v>8564</v>
      </c>
      <c r="D1337" s="1" t="s">
        <v>8552</v>
      </c>
      <c r="E1337" s="1" t="s">
        <v>8565</v>
      </c>
      <c r="F1337" s="1" t="s">
        <v>8422</v>
      </c>
      <c r="G1337" s="1" t="s">
        <v>8423</v>
      </c>
    </row>
    <row r="1338" spans="1:7">
      <c r="A1338" s="1">
        <v>1337</v>
      </c>
      <c r="B1338" s="1" t="s">
        <v>8566</v>
      </c>
      <c r="D1338" s="1" t="s">
        <v>8552</v>
      </c>
      <c r="E1338" s="1" t="s">
        <v>8567</v>
      </c>
      <c r="F1338" s="1" t="s">
        <v>8426</v>
      </c>
      <c r="G1338" s="1" t="s">
        <v>8427</v>
      </c>
    </row>
    <row r="1339" spans="1:7">
      <c r="A1339" s="1">
        <v>1338</v>
      </c>
      <c r="B1339" s="1" t="s">
        <v>8568</v>
      </c>
      <c r="D1339" s="1" t="s">
        <v>8552</v>
      </c>
      <c r="E1339" s="1" t="s">
        <v>8569</v>
      </c>
      <c r="F1339" s="1" t="s">
        <v>8430</v>
      </c>
      <c r="G1339" s="1" t="s">
        <v>8431</v>
      </c>
    </row>
    <row r="1340" spans="1:7">
      <c r="A1340" s="1">
        <v>1339</v>
      </c>
      <c r="B1340" s="1" t="s">
        <v>8570</v>
      </c>
      <c r="D1340" s="1" t="s">
        <v>8552</v>
      </c>
      <c r="E1340" s="1" t="s">
        <v>8571</v>
      </c>
      <c r="F1340" s="1" t="s">
        <v>8434</v>
      </c>
      <c r="G1340" s="1" t="s">
        <v>8435</v>
      </c>
    </row>
    <row r="1341" spans="1:7">
      <c r="A1341" s="1">
        <v>1340</v>
      </c>
      <c r="B1341" s="1" t="s">
        <v>8572</v>
      </c>
      <c r="D1341" s="1" t="s">
        <v>8573</v>
      </c>
      <c r="E1341" s="1" t="s">
        <v>8574</v>
      </c>
      <c r="F1341" s="1" t="s">
        <v>8398</v>
      </c>
      <c r="G1341" s="1" t="s">
        <v>8399</v>
      </c>
    </row>
    <row r="1342" spans="1:7">
      <c r="A1342" s="1">
        <v>1341</v>
      </c>
      <c r="B1342" s="1" t="s">
        <v>8575</v>
      </c>
      <c r="D1342" s="1" t="s">
        <v>8573</v>
      </c>
      <c r="E1342" s="1" t="s">
        <v>8576</v>
      </c>
      <c r="F1342" s="1" t="s">
        <v>8402</v>
      </c>
      <c r="G1342" s="1" t="s">
        <v>8403</v>
      </c>
    </row>
    <row r="1343" spans="1:7">
      <c r="A1343" s="1">
        <v>1342</v>
      </c>
      <c r="B1343" s="1" t="s">
        <v>8577</v>
      </c>
      <c r="D1343" s="1" t="s">
        <v>8573</v>
      </c>
      <c r="E1343" s="1" t="s">
        <v>8578</v>
      </c>
      <c r="F1343" s="1" t="s">
        <v>8406</v>
      </c>
      <c r="G1343" s="1" t="s">
        <v>8407</v>
      </c>
    </row>
    <row r="1344" spans="1:7">
      <c r="A1344" s="1">
        <v>1343</v>
      </c>
      <c r="B1344" s="1" t="s">
        <v>8579</v>
      </c>
      <c r="D1344" s="1" t="s">
        <v>8573</v>
      </c>
      <c r="E1344" s="1" t="s">
        <v>8580</v>
      </c>
      <c r="F1344" s="1" t="s">
        <v>8410</v>
      </c>
      <c r="G1344" s="1" t="s">
        <v>8411</v>
      </c>
    </row>
    <row r="1345" spans="1:7">
      <c r="A1345" s="1">
        <v>1344</v>
      </c>
      <c r="B1345" s="1" t="s">
        <v>8581</v>
      </c>
      <c r="D1345" s="1" t="s">
        <v>8573</v>
      </c>
      <c r="E1345" s="1" t="s">
        <v>8582</v>
      </c>
      <c r="F1345" s="1" t="s">
        <v>8414</v>
      </c>
      <c r="G1345" s="1" t="s">
        <v>8415</v>
      </c>
    </row>
    <row r="1346" spans="1:7">
      <c r="A1346" s="1">
        <v>1345</v>
      </c>
      <c r="B1346" s="1" t="s">
        <v>8583</v>
      </c>
      <c r="D1346" s="1" t="s">
        <v>8573</v>
      </c>
      <c r="E1346" s="1" t="s">
        <v>8584</v>
      </c>
      <c r="F1346" s="1" t="s">
        <v>8418</v>
      </c>
      <c r="G1346" s="1" t="s">
        <v>8419</v>
      </c>
    </row>
    <row r="1347" spans="1:7">
      <c r="A1347" s="1">
        <v>1346</v>
      </c>
      <c r="B1347" s="1" t="s">
        <v>8585</v>
      </c>
      <c r="D1347" s="1" t="s">
        <v>8573</v>
      </c>
      <c r="E1347" s="1" t="s">
        <v>8586</v>
      </c>
      <c r="F1347" s="1" t="s">
        <v>8422</v>
      </c>
      <c r="G1347" s="1" t="s">
        <v>8423</v>
      </c>
    </row>
    <row r="1348" spans="1:7">
      <c r="A1348" s="1">
        <v>1347</v>
      </c>
      <c r="B1348" s="1" t="s">
        <v>8587</v>
      </c>
      <c r="D1348" s="1" t="s">
        <v>8573</v>
      </c>
      <c r="E1348" s="1" t="s">
        <v>8588</v>
      </c>
      <c r="F1348" s="1" t="s">
        <v>8426</v>
      </c>
      <c r="G1348" s="1" t="s">
        <v>8427</v>
      </c>
    </row>
    <row r="1349" spans="1:7">
      <c r="A1349" s="1">
        <v>1348</v>
      </c>
      <c r="B1349" s="1" t="s">
        <v>8589</v>
      </c>
      <c r="D1349" s="1" t="s">
        <v>8573</v>
      </c>
      <c r="E1349" s="1" t="s">
        <v>8590</v>
      </c>
      <c r="F1349" s="1" t="s">
        <v>8430</v>
      </c>
      <c r="G1349" s="1" t="s">
        <v>8431</v>
      </c>
    </row>
    <row r="1350" spans="1:7">
      <c r="A1350" s="1">
        <v>1349</v>
      </c>
      <c r="B1350" s="1" t="s">
        <v>8591</v>
      </c>
      <c r="D1350" s="1" t="s">
        <v>8573</v>
      </c>
      <c r="E1350" s="1" t="s">
        <v>8592</v>
      </c>
      <c r="F1350" s="1" t="s">
        <v>8434</v>
      </c>
      <c r="G1350" s="1" t="s">
        <v>8435</v>
      </c>
    </row>
    <row r="1351" spans="1:7">
      <c r="A1351" s="1">
        <v>1350</v>
      </c>
      <c r="B1351" s="1" t="s">
        <v>8593</v>
      </c>
      <c r="D1351" s="1" t="s">
        <v>8594</v>
      </c>
      <c r="E1351" s="1" t="s">
        <v>143</v>
      </c>
      <c r="F1351" s="1" t="s">
        <v>8398</v>
      </c>
      <c r="G1351" s="1" t="s">
        <v>8399</v>
      </c>
    </row>
    <row r="1352" spans="1:7">
      <c r="A1352" s="1">
        <v>1351</v>
      </c>
      <c r="B1352" s="1" t="s">
        <v>8595</v>
      </c>
      <c r="D1352" s="1" t="s">
        <v>8594</v>
      </c>
      <c r="E1352" s="1" t="s">
        <v>145</v>
      </c>
      <c r="F1352" s="1" t="s">
        <v>8402</v>
      </c>
      <c r="G1352" s="1" t="s">
        <v>8403</v>
      </c>
    </row>
    <row r="1353" spans="1:7">
      <c r="A1353" s="1">
        <v>1352</v>
      </c>
      <c r="B1353" s="1" t="s">
        <v>8596</v>
      </c>
      <c r="D1353" s="1" t="s">
        <v>8594</v>
      </c>
      <c r="E1353" s="1" t="s">
        <v>8597</v>
      </c>
      <c r="F1353" s="1" t="s">
        <v>8406</v>
      </c>
      <c r="G1353" s="1" t="s">
        <v>8407</v>
      </c>
    </row>
    <row r="1354" spans="1:7">
      <c r="A1354" s="1">
        <v>1353</v>
      </c>
      <c r="B1354" s="1" t="s">
        <v>8598</v>
      </c>
      <c r="D1354" s="1" t="s">
        <v>8594</v>
      </c>
      <c r="E1354" s="1" t="s">
        <v>8599</v>
      </c>
      <c r="F1354" s="1" t="s">
        <v>8410</v>
      </c>
      <c r="G1354" s="1" t="s">
        <v>8411</v>
      </c>
    </row>
    <row r="1355" spans="1:7">
      <c r="A1355" s="1">
        <v>1354</v>
      </c>
      <c r="B1355" s="1" t="s">
        <v>8600</v>
      </c>
      <c r="D1355" s="1" t="s">
        <v>8594</v>
      </c>
      <c r="E1355" s="1" t="s">
        <v>8601</v>
      </c>
      <c r="F1355" s="1" t="s">
        <v>8414</v>
      </c>
      <c r="G1355" s="1" t="s">
        <v>8415</v>
      </c>
    </row>
    <row r="1356" spans="1:7">
      <c r="A1356" s="1">
        <v>1355</v>
      </c>
      <c r="B1356" s="1" t="s">
        <v>8602</v>
      </c>
      <c r="D1356" s="1" t="s">
        <v>8594</v>
      </c>
      <c r="E1356" s="1" t="s">
        <v>149</v>
      </c>
      <c r="F1356" s="1" t="s">
        <v>8418</v>
      </c>
      <c r="G1356" s="1" t="s">
        <v>8419</v>
      </c>
    </row>
    <row r="1357" spans="1:7">
      <c r="A1357" s="1">
        <v>1356</v>
      </c>
      <c r="B1357" s="1" t="s">
        <v>8603</v>
      </c>
      <c r="D1357" s="1" t="s">
        <v>8594</v>
      </c>
      <c r="E1357" s="1" t="s">
        <v>147</v>
      </c>
      <c r="F1357" s="1" t="s">
        <v>8422</v>
      </c>
      <c r="G1357" s="1" t="s">
        <v>8423</v>
      </c>
    </row>
    <row r="1358" spans="1:7">
      <c r="A1358" s="1">
        <v>1357</v>
      </c>
      <c r="B1358" s="1" t="s">
        <v>8604</v>
      </c>
      <c r="D1358" s="1" t="s">
        <v>8594</v>
      </c>
      <c r="E1358" s="1" t="s">
        <v>8605</v>
      </c>
      <c r="F1358" s="1" t="s">
        <v>8426</v>
      </c>
      <c r="G1358" s="1" t="s">
        <v>8427</v>
      </c>
    </row>
    <row r="1359" spans="1:7">
      <c r="A1359" s="1">
        <v>1358</v>
      </c>
      <c r="B1359" s="1" t="s">
        <v>8606</v>
      </c>
      <c r="D1359" s="1" t="s">
        <v>8594</v>
      </c>
      <c r="E1359" s="1" t="s">
        <v>8607</v>
      </c>
      <c r="F1359" s="1" t="s">
        <v>8430</v>
      </c>
      <c r="G1359" s="1" t="s">
        <v>8431</v>
      </c>
    </row>
    <row r="1360" spans="1:7">
      <c r="A1360" s="1">
        <v>1359</v>
      </c>
      <c r="B1360" s="1" t="s">
        <v>8608</v>
      </c>
      <c r="D1360" s="1" t="s">
        <v>8594</v>
      </c>
      <c r="E1360" s="1" t="s">
        <v>8609</v>
      </c>
      <c r="F1360" s="1" t="s">
        <v>8434</v>
      </c>
      <c r="G1360" s="1" t="s">
        <v>8435</v>
      </c>
    </row>
    <row r="1361" spans="1:7">
      <c r="A1361" s="1">
        <v>1360</v>
      </c>
      <c r="B1361" s="1" t="s">
        <v>8610</v>
      </c>
      <c r="D1361" s="1" t="s">
        <v>8611</v>
      </c>
      <c r="E1361" s="1" t="s">
        <v>8612</v>
      </c>
      <c r="F1361" s="1" t="s">
        <v>8398</v>
      </c>
      <c r="G1361" s="1" t="s">
        <v>8399</v>
      </c>
    </row>
    <row r="1362" spans="1:7">
      <c r="A1362" s="1">
        <v>1361</v>
      </c>
      <c r="B1362" s="1" t="s">
        <v>8613</v>
      </c>
      <c r="D1362" s="1" t="s">
        <v>8611</v>
      </c>
      <c r="E1362" s="1" t="s">
        <v>414</v>
      </c>
      <c r="F1362" s="1" t="s">
        <v>8402</v>
      </c>
      <c r="G1362" s="1" t="s">
        <v>8403</v>
      </c>
    </row>
    <row r="1363" spans="1:7">
      <c r="A1363" s="1">
        <v>1362</v>
      </c>
      <c r="B1363" s="1" t="s">
        <v>8614</v>
      </c>
      <c r="D1363" s="1" t="s">
        <v>8611</v>
      </c>
      <c r="E1363" s="1" t="s">
        <v>8615</v>
      </c>
      <c r="F1363" s="1" t="s">
        <v>8406</v>
      </c>
      <c r="G1363" s="1" t="s">
        <v>8407</v>
      </c>
    </row>
    <row r="1364" spans="1:7">
      <c r="A1364" s="1">
        <v>1363</v>
      </c>
      <c r="B1364" s="1" t="s">
        <v>8616</v>
      </c>
      <c r="D1364" s="1" t="s">
        <v>8611</v>
      </c>
      <c r="E1364" s="1" t="s">
        <v>8617</v>
      </c>
      <c r="F1364" s="1" t="s">
        <v>8410</v>
      </c>
      <c r="G1364" s="1" t="s">
        <v>8411</v>
      </c>
    </row>
    <row r="1365" spans="1:7">
      <c r="A1365" s="1">
        <v>1364</v>
      </c>
      <c r="B1365" s="1" t="s">
        <v>8618</v>
      </c>
      <c r="D1365" s="1" t="s">
        <v>8611</v>
      </c>
      <c r="E1365" s="1" t="s">
        <v>8619</v>
      </c>
      <c r="F1365" s="1" t="s">
        <v>8414</v>
      </c>
      <c r="G1365" s="1" t="s">
        <v>8415</v>
      </c>
    </row>
    <row r="1366" spans="1:7">
      <c r="A1366" s="1">
        <v>1365</v>
      </c>
      <c r="B1366" s="1" t="s">
        <v>8620</v>
      </c>
      <c r="D1366" s="1" t="s">
        <v>8611</v>
      </c>
      <c r="E1366" s="1" t="s">
        <v>8621</v>
      </c>
      <c r="F1366" s="1" t="s">
        <v>8418</v>
      </c>
      <c r="G1366" s="1" t="s">
        <v>8419</v>
      </c>
    </row>
    <row r="1367" spans="1:7">
      <c r="A1367" s="1">
        <v>1366</v>
      </c>
      <c r="B1367" s="1" t="s">
        <v>8622</v>
      </c>
      <c r="D1367" s="1" t="s">
        <v>8611</v>
      </c>
      <c r="E1367" s="1" t="s">
        <v>418</v>
      </c>
      <c r="F1367" s="1" t="s">
        <v>8422</v>
      </c>
      <c r="G1367" s="1" t="s">
        <v>8423</v>
      </c>
    </row>
    <row r="1368" spans="1:7">
      <c r="A1368" s="1">
        <v>1367</v>
      </c>
      <c r="B1368" s="1" t="s">
        <v>8623</v>
      </c>
      <c r="D1368" s="1" t="s">
        <v>8611</v>
      </c>
      <c r="E1368" s="1" t="s">
        <v>8624</v>
      </c>
      <c r="F1368" s="1" t="s">
        <v>8426</v>
      </c>
      <c r="G1368" s="1" t="s">
        <v>8427</v>
      </c>
    </row>
    <row r="1369" spans="1:7">
      <c r="A1369" s="1">
        <v>1368</v>
      </c>
      <c r="B1369" s="1" t="s">
        <v>8625</v>
      </c>
      <c r="D1369" s="1" t="s">
        <v>8611</v>
      </c>
      <c r="E1369" s="1" t="s">
        <v>8626</v>
      </c>
      <c r="F1369" s="1" t="s">
        <v>8430</v>
      </c>
      <c r="G1369" s="1" t="s">
        <v>8431</v>
      </c>
    </row>
    <row r="1370" spans="1:7">
      <c r="A1370" s="1">
        <v>1369</v>
      </c>
      <c r="B1370" s="1" t="s">
        <v>8627</v>
      </c>
      <c r="D1370" s="1" t="s">
        <v>8611</v>
      </c>
      <c r="E1370" s="1" t="s">
        <v>8628</v>
      </c>
      <c r="F1370" s="1" t="s">
        <v>8434</v>
      </c>
      <c r="G1370" s="1" t="s">
        <v>8435</v>
      </c>
    </row>
    <row r="1371" spans="1:7">
      <c r="A1371" s="1">
        <v>1370</v>
      </c>
      <c r="B1371" s="1" t="s">
        <v>8629</v>
      </c>
      <c r="D1371" s="1" t="s">
        <v>8630</v>
      </c>
      <c r="E1371" s="1" t="s">
        <v>8631</v>
      </c>
      <c r="F1371" s="1" t="s">
        <v>8398</v>
      </c>
      <c r="G1371" s="1" t="s">
        <v>8399</v>
      </c>
    </row>
    <row r="1372" spans="1:7">
      <c r="A1372" s="1">
        <v>1371</v>
      </c>
      <c r="B1372" s="1" t="s">
        <v>8632</v>
      </c>
      <c r="D1372" s="1" t="s">
        <v>8630</v>
      </c>
      <c r="E1372" s="1" t="s">
        <v>8633</v>
      </c>
      <c r="F1372" s="1" t="s">
        <v>8402</v>
      </c>
      <c r="G1372" s="1" t="s">
        <v>8403</v>
      </c>
    </row>
    <row r="1373" spans="1:7">
      <c r="A1373" s="1">
        <v>1372</v>
      </c>
      <c r="B1373" s="1" t="s">
        <v>8634</v>
      </c>
      <c r="D1373" s="1" t="s">
        <v>8630</v>
      </c>
      <c r="E1373" s="1" t="s">
        <v>8635</v>
      </c>
      <c r="F1373" s="1" t="s">
        <v>8406</v>
      </c>
      <c r="G1373" s="1" t="s">
        <v>8407</v>
      </c>
    </row>
    <row r="1374" spans="1:7">
      <c r="A1374" s="1">
        <v>1373</v>
      </c>
      <c r="B1374" s="1" t="s">
        <v>8636</v>
      </c>
      <c r="D1374" s="1" t="s">
        <v>8630</v>
      </c>
      <c r="E1374" s="1" t="s">
        <v>8637</v>
      </c>
      <c r="F1374" s="1" t="s">
        <v>8410</v>
      </c>
      <c r="G1374" s="1" t="s">
        <v>8411</v>
      </c>
    </row>
    <row r="1375" spans="1:7">
      <c r="A1375" s="1">
        <v>1374</v>
      </c>
      <c r="B1375" s="1" t="s">
        <v>8638</v>
      </c>
      <c r="D1375" s="1" t="s">
        <v>8630</v>
      </c>
      <c r="E1375" s="1" t="s">
        <v>8639</v>
      </c>
      <c r="F1375" s="1" t="s">
        <v>8414</v>
      </c>
      <c r="G1375" s="1" t="s">
        <v>8415</v>
      </c>
    </row>
    <row r="1376" spans="1:7">
      <c r="A1376" s="1">
        <v>1375</v>
      </c>
      <c r="B1376" s="1" t="s">
        <v>8640</v>
      </c>
      <c r="D1376" s="1" t="s">
        <v>8630</v>
      </c>
      <c r="E1376" s="1" t="s">
        <v>8641</v>
      </c>
      <c r="F1376" s="1" t="s">
        <v>8418</v>
      </c>
      <c r="G1376" s="1" t="s">
        <v>8419</v>
      </c>
    </row>
    <row r="1377" spans="1:7">
      <c r="A1377" s="1">
        <v>1376</v>
      </c>
      <c r="B1377" s="1" t="s">
        <v>8642</v>
      </c>
      <c r="D1377" s="1" t="s">
        <v>8630</v>
      </c>
      <c r="E1377" s="1" t="s">
        <v>8643</v>
      </c>
      <c r="F1377" s="1" t="s">
        <v>8422</v>
      </c>
      <c r="G1377" s="1" t="s">
        <v>8423</v>
      </c>
    </row>
    <row r="1378" spans="1:7">
      <c r="A1378" s="1">
        <v>1377</v>
      </c>
      <c r="B1378" s="1" t="s">
        <v>8644</v>
      </c>
      <c r="D1378" s="1" t="s">
        <v>8630</v>
      </c>
      <c r="E1378" s="1" t="s">
        <v>8645</v>
      </c>
      <c r="F1378" s="1" t="s">
        <v>8426</v>
      </c>
      <c r="G1378" s="1" t="s">
        <v>8427</v>
      </c>
    </row>
    <row r="1379" spans="1:7">
      <c r="A1379" s="1">
        <v>1378</v>
      </c>
      <c r="B1379" s="1" t="s">
        <v>8646</v>
      </c>
      <c r="D1379" s="1" t="s">
        <v>8630</v>
      </c>
      <c r="E1379" s="1" t="s">
        <v>8647</v>
      </c>
      <c r="F1379" s="1" t="s">
        <v>8430</v>
      </c>
      <c r="G1379" s="1" t="s">
        <v>8431</v>
      </c>
    </row>
    <row r="1380" spans="1:7">
      <c r="A1380" s="1">
        <v>1379</v>
      </c>
      <c r="B1380" s="1" t="s">
        <v>8648</v>
      </c>
      <c r="D1380" s="1" t="s">
        <v>8630</v>
      </c>
      <c r="E1380" s="1" t="s">
        <v>8649</v>
      </c>
      <c r="F1380" s="1" t="s">
        <v>8434</v>
      </c>
      <c r="G1380" s="1" t="s">
        <v>8435</v>
      </c>
    </row>
    <row r="1381" spans="1:7">
      <c r="A1381" s="1">
        <v>1380</v>
      </c>
      <c r="B1381" s="1" t="s">
        <v>8650</v>
      </c>
      <c r="D1381" s="1" t="s">
        <v>8651</v>
      </c>
      <c r="E1381" s="1" t="s">
        <v>8652</v>
      </c>
      <c r="F1381" s="1" t="s">
        <v>8398</v>
      </c>
      <c r="G1381" s="1" t="s">
        <v>8399</v>
      </c>
    </row>
    <row r="1382" spans="1:7">
      <c r="A1382" s="1">
        <v>1381</v>
      </c>
      <c r="B1382" s="1" t="s">
        <v>8653</v>
      </c>
      <c r="D1382" s="1" t="s">
        <v>8651</v>
      </c>
      <c r="E1382" s="1" t="s">
        <v>8654</v>
      </c>
      <c r="F1382" s="1" t="s">
        <v>8402</v>
      </c>
      <c r="G1382" s="1" t="s">
        <v>8403</v>
      </c>
    </row>
    <row r="1383" spans="1:7">
      <c r="A1383" s="1">
        <v>1382</v>
      </c>
      <c r="B1383" s="1" t="s">
        <v>8655</v>
      </c>
      <c r="D1383" s="1" t="s">
        <v>8651</v>
      </c>
      <c r="E1383" s="1" t="s">
        <v>8656</v>
      </c>
      <c r="F1383" s="1" t="s">
        <v>8406</v>
      </c>
      <c r="G1383" s="1" t="s">
        <v>8407</v>
      </c>
    </row>
    <row r="1384" spans="1:7">
      <c r="A1384" s="1">
        <v>1383</v>
      </c>
      <c r="B1384" s="1" t="s">
        <v>8657</v>
      </c>
      <c r="D1384" s="1" t="s">
        <v>8651</v>
      </c>
      <c r="E1384" s="1" t="s">
        <v>8658</v>
      </c>
      <c r="F1384" s="1" t="s">
        <v>8410</v>
      </c>
      <c r="G1384" s="1" t="s">
        <v>8411</v>
      </c>
    </row>
    <row r="1385" spans="1:7">
      <c r="A1385" s="1">
        <v>1384</v>
      </c>
      <c r="B1385" s="1" t="s">
        <v>8659</v>
      </c>
      <c r="D1385" s="1" t="s">
        <v>8651</v>
      </c>
      <c r="E1385" s="1" t="s">
        <v>8660</v>
      </c>
      <c r="F1385" s="1" t="s">
        <v>8414</v>
      </c>
      <c r="G1385" s="1" t="s">
        <v>8415</v>
      </c>
    </row>
    <row r="1386" spans="1:7">
      <c r="A1386" s="1">
        <v>1385</v>
      </c>
      <c r="B1386" s="1" t="s">
        <v>8661</v>
      </c>
      <c r="D1386" s="1" t="s">
        <v>8651</v>
      </c>
      <c r="E1386" s="1" t="s">
        <v>8662</v>
      </c>
      <c r="F1386" s="1" t="s">
        <v>8418</v>
      </c>
      <c r="G1386" s="1" t="s">
        <v>8419</v>
      </c>
    </row>
    <row r="1387" spans="1:7">
      <c r="A1387" s="1">
        <v>1386</v>
      </c>
      <c r="B1387" s="1" t="s">
        <v>8663</v>
      </c>
      <c r="D1387" s="1" t="s">
        <v>8651</v>
      </c>
      <c r="E1387" s="1" t="s">
        <v>8664</v>
      </c>
      <c r="F1387" s="1" t="s">
        <v>8422</v>
      </c>
      <c r="G1387" s="1" t="s">
        <v>8423</v>
      </c>
    </row>
    <row r="1388" spans="1:7">
      <c r="A1388" s="1">
        <v>1387</v>
      </c>
      <c r="B1388" s="1" t="s">
        <v>8665</v>
      </c>
      <c r="D1388" s="1" t="s">
        <v>8651</v>
      </c>
      <c r="E1388" s="1" t="s">
        <v>8666</v>
      </c>
      <c r="F1388" s="1" t="s">
        <v>8426</v>
      </c>
      <c r="G1388" s="1" t="s">
        <v>8427</v>
      </c>
    </row>
    <row r="1389" spans="1:7">
      <c r="A1389" s="1">
        <v>1388</v>
      </c>
      <c r="B1389" s="1" t="s">
        <v>8667</v>
      </c>
      <c r="D1389" s="1" t="s">
        <v>8651</v>
      </c>
      <c r="E1389" s="1" t="s">
        <v>8668</v>
      </c>
      <c r="F1389" s="1" t="s">
        <v>8430</v>
      </c>
      <c r="G1389" s="1" t="s">
        <v>8431</v>
      </c>
    </row>
    <row r="1390" spans="1:7">
      <c r="A1390" s="1">
        <v>1389</v>
      </c>
      <c r="B1390" s="1" t="s">
        <v>8669</v>
      </c>
      <c r="D1390" s="1" t="s">
        <v>8651</v>
      </c>
      <c r="E1390" s="1" t="s">
        <v>8670</v>
      </c>
      <c r="F1390" s="1" t="s">
        <v>8434</v>
      </c>
      <c r="G1390" s="1" t="s">
        <v>8435</v>
      </c>
    </row>
    <row r="1391" spans="1:7">
      <c r="A1391" s="1">
        <v>1390</v>
      </c>
      <c r="B1391" s="1" t="s">
        <v>8671</v>
      </c>
      <c r="D1391" s="1" t="s">
        <v>8672</v>
      </c>
      <c r="E1391" s="1" t="s">
        <v>8673</v>
      </c>
      <c r="F1391" s="1" t="s">
        <v>8398</v>
      </c>
      <c r="G1391" s="1" t="s">
        <v>8399</v>
      </c>
    </row>
    <row r="1392" spans="1:7">
      <c r="A1392" s="1">
        <v>1391</v>
      </c>
      <c r="B1392" s="1" t="s">
        <v>8674</v>
      </c>
      <c r="D1392" s="1" t="s">
        <v>8672</v>
      </c>
      <c r="E1392" s="1" t="s">
        <v>8675</v>
      </c>
      <c r="F1392" s="1" t="s">
        <v>8402</v>
      </c>
      <c r="G1392" s="1" t="s">
        <v>8403</v>
      </c>
    </row>
    <row r="1393" spans="1:7">
      <c r="A1393" s="1">
        <v>1392</v>
      </c>
      <c r="B1393" s="1" t="s">
        <v>8676</v>
      </c>
      <c r="D1393" s="1" t="s">
        <v>8672</v>
      </c>
      <c r="E1393" s="1" t="s">
        <v>8677</v>
      </c>
      <c r="F1393" s="1" t="s">
        <v>8406</v>
      </c>
      <c r="G1393" s="1" t="s">
        <v>8407</v>
      </c>
    </row>
    <row r="1394" spans="1:7">
      <c r="A1394" s="1">
        <v>1393</v>
      </c>
      <c r="B1394" s="1" t="s">
        <v>8678</v>
      </c>
      <c r="D1394" s="1" t="s">
        <v>8672</v>
      </c>
      <c r="E1394" s="1" t="s">
        <v>8679</v>
      </c>
      <c r="F1394" s="1" t="s">
        <v>8410</v>
      </c>
      <c r="G1394" s="1" t="s">
        <v>8411</v>
      </c>
    </row>
    <row r="1395" spans="1:7">
      <c r="A1395" s="1">
        <v>1394</v>
      </c>
      <c r="B1395" s="1" t="s">
        <v>8680</v>
      </c>
      <c r="D1395" s="1" t="s">
        <v>8672</v>
      </c>
      <c r="E1395" s="1" t="s">
        <v>8681</v>
      </c>
      <c r="F1395" s="1" t="s">
        <v>8414</v>
      </c>
      <c r="G1395" s="1" t="s">
        <v>8415</v>
      </c>
    </row>
    <row r="1396" spans="1:7">
      <c r="A1396" s="1">
        <v>1395</v>
      </c>
      <c r="B1396" s="1" t="s">
        <v>8682</v>
      </c>
      <c r="D1396" s="1" t="s">
        <v>8672</v>
      </c>
      <c r="E1396" s="1" t="s">
        <v>8683</v>
      </c>
      <c r="F1396" s="1" t="s">
        <v>8418</v>
      </c>
      <c r="G1396" s="1" t="s">
        <v>8419</v>
      </c>
    </row>
    <row r="1397" spans="1:7">
      <c r="A1397" s="1">
        <v>1396</v>
      </c>
      <c r="B1397" s="1" t="s">
        <v>8684</v>
      </c>
      <c r="D1397" s="1" t="s">
        <v>8672</v>
      </c>
      <c r="E1397" s="1" t="s">
        <v>8685</v>
      </c>
      <c r="F1397" s="1" t="s">
        <v>8422</v>
      </c>
      <c r="G1397" s="1" t="s">
        <v>8423</v>
      </c>
    </row>
    <row r="1398" spans="1:7">
      <c r="A1398" s="1">
        <v>1397</v>
      </c>
      <c r="B1398" s="1" t="s">
        <v>8686</v>
      </c>
      <c r="D1398" s="1" t="s">
        <v>8672</v>
      </c>
      <c r="E1398" s="1" t="s">
        <v>8687</v>
      </c>
      <c r="F1398" s="1" t="s">
        <v>8426</v>
      </c>
      <c r="G1398" s="1" t="s">
        <v>8427</v>
      </c>
    </row>
    <row r="1399" spans="1:7">
      <c r="A1399" s="1">
        <v>1398</v>
      </c>
      <c r="B1399" s="1" t="s">
        <v>8688</v>
      </c>
      <c r="D1399" s="1" t="s">
        <v>8672</v>
      </c>
      <c r="E1399" s="1" t="s">
        <v>8689</v>
      </c>
      <c r="F1399" s="1" t="s">
        <v>8430</v>
      </c>
      <c r="G1399" s="1" t="s">
        <v>8431</v>
      </c>
    </row>
    <row r="1400" spans="1:7">
      <c r="A1400" s="1">
        <v>1399</v>
      </c>
      <c r="B1400" s="1" t="s">
        <v>8690</v>
      </c>
      <c r="D1400" s="1" t="s">
        <v>8672</v>
      </c>
      <c r="E1400" s="1" t="s">
        <v>8691</v>
      </c>
      <c r="F1400" s="1" t="s">
        <v>8434</v>
      </c>
      <c r="G1400" s="1" t="s">
        <v>8435</v>
      </c>
    </row>
    <row r="1401" spans="1:7">
      <c r="A1401" s="1">
        <v>1400</v>
      </c>
      <c r="B1401" s="1" t="s">
        <v>8692</v>
      </c>
      <c r="D1401" s="1" t="s">
        <v>8693</v>
      </c>
      <c r="E1401" s="1" t="s">
        <v>1548</v>
      </c>
      <c r="F1401" s="1" t="s">
        <v>8398</v>
      </c>
      <c r="G1401" s="1" t="s">
        <v>8399</v>
      </c>
    </row>
    <row r="1402" spans="1:7">
      <c r="A1402" s="1">
        <v>1401</v>
      </c>
      <c r="B1402" s="1" t="s">
        <v>8694</v>
      </c>
      <c r="D1402" s="1" t="s">
        <v>8693</v>
      </c>
      <c r="E1402" s="1" t="s">
        <v>1549</v>
      </c>
      <c r="F1402" s="1" t="s">
        <v>8402</v>
      </c>
      <c r="G1402" s="1" t="s">
        <v>8403</v>
      </c>
    </row>
    <row r="1403" spans="1:7">
      <c r="A1403" s="1">
        <v>1402</v>
      </c>
      <c r="B1403" s="1" t="s">
        <v>8695</v>
      </c>
      <c r="D1403" s="1" t="s">
        <v>8693</v>
      </c>
      <c r="E1403" s="1" t="s">
        <v>8696</v>
      </c>
      <c r="F1403" s="1" t="s">
        <v>8406</v>
      </c>
      <c r="G1403" s="1" t="s">
        <v>8407</v>
      </c>
    </row>
    <row r="1404" spans="1:7">
      <c r="A1404" s="1">
        <v>1403</v>
      </c>
      <c r="B1404" s="1" t="s">
        <v>8697</v>
      </c>
      <c r="D1404" s="1" t="s">
        <v>8693</v>
      </c>
      <c r="E1404" s="1" t="s">
        <v>8698</v>
      </c>
      <c r="F1404" s="1" t="s">
        <v>8410</v>
      </c>
      <c r="G1404" s="1" t="s">
        <v>8411</v>
      </c>
    </row>
    <row r="1405" spans="1:7">
      <c r="A1405" s="1">
        <v>1404</v>
      </c>
      <c r="B1405" s="1" t="s">
        <v>8699</v>
      </c>
      <c r="D1405" s="1" t="s">
        <v>8693</v>
      </c>
      <c r="E1405" s="1" t="s">
        <v>8700</v>
      </c>
      <c r="F1405" s="1" t="s">
        <v>8414</v>
      </c>
      <c r="G1405" s="1" t="s">
        <v>8415</v>
      </c>
    </row>
    <row r="1406" spans="1:7">
      <c r="A1406" s="1">
        <v>1405</v>
      </c>
      <c r="B1406" s="1" t="s">
        <v>8701</v>
      </c>
      <c r="D1406" s="1" t="s">
        <v>8693</v>
      </c>
      <c r="E1406" s="1" t="s">
        <v>1551</v>
      </c>
      <c r="F1406" s="1" t="s">
        <v>8418</v>
      </c>
      <c r="G1406" s="1" t="s">
        <v>8419</v>
      </c>
    </row>
    <row r="1407" spans="1:7">
      <c r="A1407" s="1">
        <v>1406</v>
      </c>
      <c r="B1407" s="1" t="s">
        <v>8702</v>
      </c>
      <c r="D1407" s="1" t="s">
        <v>8693</v>
      </c>
      <c r="E1407" s="1" t="s">
        <v>1550</v>
      </c>
      <c r="F1407" s="1" t="s">
        <v>8422</v>
      </c>
      <c r="G1407" s="1" t="s">
        <v>8423</v>
      </c>
    </row>
    <row r="1408" spans="1:7">
      <c r="A1408" s="1">
        <v>1407</v>
      </c>
      <c r="B1408" s="1" t="s">
        <v>8703</v>
      </c>
      <c r="D1408" s="1" t="s">
        <v>8693</v>
      </c>
      <c r="E1408" s="1" t="s">
        <v>8704</v>
      </c>
      <c r="F1408" s="1" t="s">
        <v>8426</v>
      </c>
      <c r="G1408" s="1" t="s">
        <v>8427</v>
      </c>
    </row>
    <row r="1409" spans="1:7">
      <c r="A1409" s="1">
        <v>1408</v>
      </c>
      <c r="B1409" s="1" t="s">
        <v>8705</v>
      </c>
      <c r="D1409" s="1" t="s">
        <v>8693</v>
      </c>
      <c r="E1409" s="1" t="s">
        <v>8706</v>
      </c>
      <c r="F1409" s="1" t="s">
        <v>8430</v>
      </c>
      <c r="G1409" s="1" t="s">
        <v>8431</v>
      </c>
    </row>
    <row r="1410" spans="1:7">
      <c r="A1410" s="1">
        <v>1409</v>
      </c>
      <c r="B1410" s="1" t="s">
        <v>8707</v>
      </c>
      <c r="D1410" s="1" t="s">
        <v>8693</v>
      </c>
      <c r="E1410" s="1" t="s">
        <v>8708</v>
      </c>
      <c r="F1410" s="1" t="s">
        <v>8434</v>
      </c>
      <c r="G1410" s="1" t="s">
        <v>8435</v>
      </c>
    </row>
    <row r="1411" spans="1:7">
      <c r="A1411" s="1">
        <v>1410</v>
      </c>
      <c r="B1411" s="1" t="s">
        <v>8709</v>
      </c>
      <c r="D1411" s="1" t="s">
        <v>8710</v>
      </c>
      <c r="E1411" s="1" t="s">
        <v>8711</v>
      </c>
      <c r="F1411" s="1" t="s">
        <v>8398</v>
      </c>
      <c r="G1411" s="1" t="s">
        <v>8399</v>
      </c>
    </row>
    <row r="1412" spans="1:7">
      <c r="A1412" s="1">
        <v>1411</v>
      </c>
      <c r="B1412" s="1" t="s">
        <v>8712</v>
      </c>
      <c r="D1412" s="1" t="s">
        <v>8710</v>
      </c>
      <c r="E1412" s="1" t="s">
        <v>8713</v>
      </c>
      <c r="F1412" s="1" t="s">
        <v>8402</v>
      </c>
      <c r="G1412" s="1" t="s">
        <v>8403</v>
      </c>
    </row>
    <row r="1413" spans="1:7">
      <c r="A1413" s="1">
        <v>1412</v>
      </c>
      <c r="B1413" s="1" t="s">
        <v>8714</v>
      </c>
      <c r="D1413" s="1" t="s">
        <v>8710</v>
      </c>
      <c r="E1413" s="1" t="s">
        <v>8715</v>
      </c>
      <c r="F1413" s="1" t="s">
        <v>8406</v>
      </c>
      <c r="G1413" s="1" t="s">
        <v>8407</v>
      </c>
    </row>
    <row r="1414" spans="1:7">
      <c r="A1414" s="1">
        <v>1413</v>
      </c>
      <c r="B1414" s="1" t="s">
        <v>8716</v>
      </c>
      <c r="D1414" s="1" t="s">
        <v>8710</v>
      </c>
      <c r="E1414" s="1" t="s">
        <v>8717</v>
      </c>
      <c r="F1414" s="1" t="s">
        <v>8410</v>
      </c>
      <c r="G1414" s="1" t="s">
        <v>8411</v>
      </c>
    </row>
    <row r="1415" spans="1:7">
      <c r="A1415" s="1">
        <v>1414</v>
      </c>
      <c r="B1415" s="1" t="s">
        <v>8718</v>
      </c>
      <c r="D1415" s="1" t="s">
        <v>8710</v>
      </c>
      <c r="E1415" s="1" t="s">
        <v>8719</v>
      </c>
      <c r="F1415" s="1" t="s">
        <v>8414</v>
      </c>
      <c r="G1415" s="1" t="s">
        <v>8415</v>
      </c>
    </row>
    <row r="1416" spans="1:7">
      <c r="A1416" s="1">
        <v>1415</v>
      </c>
      <c r="B1416" s="1" t="s">
        <v>8720</v>
      </c>
      <c r="D1416" s="1" t="s">
        <v>8710</v>
      </c>
      <c r="E1416" s="1" t="s">
        <v>8721</v>
      </c>
      <c r="F1416" s="1" t="s">
        <v>8418</v>
      </c>
      <c r="G1416" s="1" t="s">
        <v>8419</v>
      </c>
    </row>
    <row r="1417" spans="1:7">
      <c r="A1417" s="1">
        <v>1416</v>
      </c>
      <c r="B1417" s="1" t="s">
        <v>8722</v>
      </c>
      <c r="D1417" s="1" t="s">
        <v>8710</v>
      </c>
      <c r="E1417" s="1" t="s">
        <v>8723</v>
      </c>
      <c r="F1417" s="1" t="s">
        <v>8422</v>
      </c>
      <c r="G1417" s="1" t="s">
        <v>8423</v>
      </c>
    </row>
    <row r="1418" spans="1:7">
      <c r="A1418" s="1">
        <v>1417</v>
      </c>
      <c r="B1418" s="1" t="s">
        <v>8724</v>
      </c>
      <c r="D1418" s="1" t="s">
        <v>8710</v>
      </c>
      <c r="E1418" s="1" t="s">
        <v>8725</v>
      </c>
      <c r="F1418" s="1" t="s">
        <v>8426</v>
      </c>
      <c r="G1418" s="1" t="s">
        <v>8427</v>
      </c>
    </row>
    <row r="1419" spans="1:7">
      <c r="A1419" s="1">
        <v>1418</v>
      </c>
      <c r="B1419" s="1" t="s">
        <v>8726</v>
      </c>
      <c r="D1419" s="1" t="s">
        <v>8710</v>
      </c>
      <c r="E1419" s="1" t="s">
        <v>8727</v>
      </c>
      <c r="F1419" s="1" t="s">
        <v>8430</v>
      </c>
      <c r="G1419" s="1" t="s">
        <v>8431</v>
      </c>
    </row>
    <row r="1420" spans="1:7">
      <c r="A1420" s="1">
        <v>1419</v>
      </c>
      <c r="B1420" s="1" t="s">
        <v>8728</v>
      </c>
      <c r="D1420" s="1" t="s">
        <v>8710</v>
      </c>
      <c r="E1420" s="1" t="s">
        <v>8729</v>
      </c>
      <c r="F1420" s="1" t="s">
        <v>8434</v>
      </c>
      <c r="G1420" s="1" t="s">
        <v>8435</v>
      </c>
    </row>
    <row r="1421" spans="1:7">
      <c r="A1421" s="1">
        <v>1420</v>
      </c>
      <c r="B1421" s="1" t="s">
        <v>8730</v>
      </c>
      <c r="D1421" s="1" t="s">
        <v>8731</v>
      </c>
      <c r="E1421" s="1" t="s">
        <v>8732</v>
      </c>
      <c r="F1421" s="1" t="s">
        <v>8398</v>
      </c>
      <c r="G1421" s="1" t="s">
        <v>8399</v>
      </c>
    </row>
    <row r="1422" spans="1:7">
      <c r="A1422" s="1">
        <v>1421</v>
      </c>
      <c r="B1422" s="1" t="s">
        <v>8733</v>
      </c>
      <c r="D1422" s="1" t="s">
        <v>8731</v>
      </c>
      <c r="E1422" s="1" t="s">
        <v>8734</v>
      </c>
      <c r="F1422" s="1" t="s">
        <v>8402</v>
      </c>
      <c r="G1422" s="1" t="s">
        <v>8403</v>
      </c>
    </row>
    <row r="1423" spans="1:7">
      <c r="A1423" s="1">
        <v>1422</v>
      </c>
      <c r="B1423" s="1" t="s">
        <v>8735</v>
      </c>
      <c r="D1423" s="1" t="s">
        <v>8731</v>
      </c>
      <c r="E1423" s="1" t="s">
        <v>8736</v>
      </c>
      <c r="F1423" s="1" t="s">
        <v>8406</v>
      </c>
      <c r="G1423" s="1" t="s">
        <v>8407</v>
      </c>
    </row>
    <row r="1424" spans="1:7">
      <c r="A1424" s="1">
        <v>1423</v>
      </c>
      <c r="B1424" s="1" t="s">
        <v>8737</v>
      </c>
      <c r="D1424" s="1" t="s">
        <v>8731</v>
      </c>
      <c r="E1424" s="1" t="s">
        <v>8738</v>
      </c>
      <c r="F1424" s="1" t="s">
        <v>8410</v>
      </c>
      <c r="G1424" s="1" t="s">
        <v>8411</v>
      </c>
    </row>
    <row r="1425" spans="1:7">
      <c r="A1425" s="1">
        <v>1424</v>
      </c>
      <c r="B1425" s="1" t="s">
        <v>8739</v>
      </c>
      <c r="D1425" s="1" t="s">
        <v>8731</v>
      </c>
      <c r="E1425" s="1" t="s">
        <v>8740</v>
      </c>
      <c r="F1425" s="1" t="s">
        <v>8414</v>
      </c>
      <c r="G1425" s="1" t="s">
        <v>8415</v>
      </c>
    </row>
    <row r="1426" spans="1:7">
      <c r="A1426" s="1">
        <v>1425</v>
      </c>
      <c r="B1426" s="1" t="s">
        <v>8741</v>
      </c>
      <c r="D1426" s="1" t="s">
        <v>8731</v>
      </c>
      <c r="E1426" s="1" t="s">
        <v>8742</v>
      </c>
      <c r="F1426" s="1" t="s">
        <v>8418</v>
      </c>
      <c r="G1426" s="1" t="s">
        <v>8419</v>
      </c>
    </row>
    <row r="1427" spans="1:7">
      <c r="A1427" s="1">
        <v>1426</v>
      </c>
      <c r="B1427" s="1" t="s">
        <v>8743</v>
      </c>
      <c r="D1427" s="1" t="s">
        <v>8731</v>
      </c>
      <c r="E1427" s="1" t="s">
        <v>8744</v>
      </c>
      <c r="F1427" s="1" t="s">
        <v>8422</v>
      </c>
      <c r="G1427" s="1" t="s">
        <v>8423</v>
      </c>
    </row>
    <row r="1428" spans="1:7">
      <c r="A1428" s="1">
        <v>1427</v>
      </c>
      <c r="B1428" s="1" t="s">
        <v>8745</v>
      </c>
      <c r="D1428" s="1" t="s">
        <v>8731</v>
      </c>
      <c r="E1428" s="1" t="s">
        <v>8746</v>
      </c>
      <c r="F1428" s="1" t="s">
        <v>8426</v>
      </c>
      <c r="G1428" s="1" t="s">
        <v>8427</v>
      </c>
    </row>
    <row r="1429" spans="1:7">
      <c r="A1429" s="1">
        <v>1428</v>
      </c>
      <c r="B1429" s="1" t="s">
        <v>8747</v>
      </c>
      <c r="D1429" s="1" t="s">
        <v>8731</v>
      </c>
      <c r="E1429" s="1" t="s">
        <v>8748</v>
      </c>
      <c r="F1429" s="1" t="s">
        <v>8430</v>
      </c>
      <c r="G1429" s="1" t="s">
        <v>8431</v>
      </c>
    </row>
    <row r="1430" spans="1:7">
      <c r="A1430" s="1">
        <v>1429</v>
      </c>
      <c r="B1430" s="1" t="s">
        <v>8749</v>
      </c>
      <c r="D1430" s="1" t="s">
        <v>8731</v>
      </c>
      <c r="E1430" s="1" t="s">
        <v>8750</v>
      </c>
      <c r="F1430" s="1" t="s">
        <v>8434</v>
      </c>
      <c r="G1430" s="1" t="s">
        <v>8435</v>
      </c>
    </row>
    <row r="1431" spans="1:7">
      <c r="A1431" s="1">
        <v>1430</v>
      </c>
      <c r="B1431" s="1" t="s">
        <v>8751</v>
      </c>
      <c r="D1431" s="1" t="s">
        <v>8752</v>
      </c>
      <c r="E1431" s="1" t="s">
        <v>8753</v>
      </c>
      <c r="F1431" s="1" t="s">
        <v>8398</v>
      </c>
      <c r="G1431" s="1" t="s">
        <v>8399</v>
      </c>
    </row>
    <row r="1432" spans="1:7">
      <c r="A1432" s="1">
        <v>1431</v>
      </c>
      <c r="B1432" s="1" t="s">
        <v>8754</v>
      </c>
      <c r="D1432" s="1" t="s">
        <v>8752</v>
      </c>
      <c r="E1432" s="1" t="s">
        <v>8755</v>
      </c>
      <c r="F1432" s="1" t="s">
        <v>8402</v>
      </c>
      <c r="G1432" s="1" t="s">
        <v>8403</v>
      </c>
    </row>
    <row r="1433" spans="1:7">
      <c r="A1433" s="1">
        <v>1432</v>
      </c>
      <c r="B1433" s="1" t="s">
        <v>8756</v>
      </c>
      <c r="D1433" s="1" t="s">
        <v>8752</v>
      </c>
      <c r="E1433" s="1" t="s">
        <v>8757</v>
      </c>
      <c r="F1433" s="1" t="s">
        <v>8406</v>
      </c>
      <c r="G1433" s="1" t="s">
        <v>8407</v>
      </c>
    </row>
    <row r="1434" spans="1:7">
      <c r="A1434" s="1">
        <v>1433</v>
      </c>
      <c r="B1434" s="1" t="s">
        <v>8758</v>
      </c>
      <c r="D1434" s="1" t="s">
        <v>8752</v>
      </c>
      <c r="E1434" s="1" t="s">
        <v>8759</v>
      </c>
      <c r="F1434" s="1" t="s">
        <v>8410</v>
      </c>
      <c r="G1434" s="1" t="s">
        <v>8411</v>
      </c>
    </row>
    <row r="1435" spans="1:7">
      <c r="A1435" s="1">
        <v>1434</v>
      </c>
      <c r="B1435" s="1" t="s">
        <v>8760</v>
      </c>
      <c r="D1435" s="1" t="s">
        <v>8752</v>
      </c>
      <c r="E1435" s="1" t="s">
        <v>8761</v>
      </c>
      <c r="F1435" s="1" t="s">
        <v>8414</v>
      </c>
      <c r="G1435" s="1" t="s">
        <v>8415</v>
      </c>
    </row>
    <row r="1436" spans="1:7">
      <c r="A1436" s="1">
        <v>1435</v>
      </c>
      <c r="B1436" s="1" t="s">
        <v>8762</v>
      </c>
      <c r="D1436" s="1" t="s">
        <v>8752</v>
      </c>
      <c r="E1436" s="1" t="s">
        <v>8763</v>
      </c>
      <c r="F1436" s="1" t="s">
        <v>8418</v>
      </c>
      <c r="G1436" s="1" t="s">
        <v>8419</v>
      </c>
    </row>
    <row r="1437" spans="1:7">
      <c r="A1437" s="1">
        <v>1436</v>
      </c>
      <c r="B1437" s="1" t="s">
        <v>8764</v>
      </c>
      <c r="D1437" s="1" t="s">
        <v>8752</v>
      </c>
      <c r="E1437" s="1" t="s">
        <v>8765</v>
      </c>
      <c r="F1437" s="1" t="s">
        <v>8422</v>
      </c>
      <c r="G1437" s="1" t="s">
        <v>8423</v>
      </c>
    </row>
    <row r="1438" spans="1:7">
      <c r="A1438" s="1">
        <v>1437</v>
      </c>
      <c r="B1438" s="1" t="s">
        <v>8766</v>
      </c>
      <c r="D1438" s="1" t="s">
        <v>8752</v>
      </c>
      <c r="E1438" s="1" t="s">
        <v>8767</v>
      </c>
      <c r="F1438" s="1" t="s">
        <v>8426</v>
      </c>
      <c r="G1438" s="1" t="s">
        <v>8427</v>
      </c>
    </row>
    <row r="1439" spans="1:7">
      <c r="A1439" s="1">
        <v>1438</v>
      </c>
      <c r="B1439" s="1" t="s">
        <v>8768</v>
      </c>
      <c r="D1439" s="1" t="s">
        <v>8752</v>
      </c>
      <c r="E1439" s="1" t="s">
        <v>8769</v>
      </c>
      <c r="F1439" s="1" t="s">
        <v>8430</v>
      </c>
      <c r="G1439" s="1" t="s">
        <v>8431</v>
      </c>
    </row>
    <row r="1440" spans="1:7">
      <c r="A1440" s="1">
        <v>1439</v>
      </c>
      <c r="B1440" s="1" t="s">
        <v>8770</v>
      </c>
      <c r="D1440" s="1" t="s">
        <v>8752</v>
      </c>
      <c r="E1440" s="1" t="s">
        <v>8771</v>
      </c>
      <c r="F1440" s="1" t="s">
        <v>8434</v>
      </c>
      <c r="G1440" s="1" t="s">
        <v>8435</v>
      </c>
    </row>
    <row r="1441" spans="1:7">
      <c r="A1441" s="1">
        <v>1440</v>
      </c>
      <c r="B1441" s="1" t="s">
        <v>8772</v>
      </c>
      <c r="D1441" s="1" t="s">
        <v>8773</v>
      </c>
      <c r="E1441" s="1" t="s">
        <v>8774</v>
      </c>
      <c r="F1441" s="1" t="s">
        <v>8398</v>
      </c>
      <c r="G1441" s="1" t="s">
        <v>8399</v>
      </c>
    </row>
    <row r="1442" spans="1:7">
      <c r="A1442" s="1">
        <v>1441</v>
      </c>
      <c r="B1442" s="1" t="s">
        <v>8775</v>
      </c>
      <c r="D1442" s="1" t="s">
        <v>8773</v>
      </c>
      <c r="E1442" s="1" t="s">
        <v>8776</v>
      </c>
      <c r="F1442" s="1" t="s">
        <v>8402</v>
      </c>
      <c r="G1442" s="1" t="s">
        <v>8403</v>
      </c>
    </row>
    <row r="1443" spans="1:7">
      <c r="A1443" s="1">
        <v>1442</v>
      </c>
      <c r="B1443" s="1" t="s">
        <v>8777</v>
      </c>
      <c r="D1443" s="1" t="s">
        <v>8773</v>
      </c>
      <c r="E1443" s="1" t="s">
        <v>8778</v>
      </c>
      <c r="F1443" s="1" t="s">
        <v>8406</v>
      </c>
      <c r="G1443" s="1" t="s">
        <v>8407</v>
      </c>
    </row>
    <row r="1444" spans="1:7">
      <c r="A1444" s="1">
        <v>1443</v>
      </c>
      <c r="B1444" s="1" t="s">
        <v>8779</v>
      </c>
      <c r="D1444" s="1" t="s">
        <v>8773</v>
      </c>
      <c r="E1444" s="1" t="s">
        <v>8780</v>
      </c>
      <c r="F1444" s="1" t="s">
        <v>8410</v>
      </c>
      <c r="G1444" s="1" t="s">
        <v>8411</v>
      </c>
    </row>
    <row r="1445" spans="1:7">
      <c r="A1445" s="1">
        <v>1444</v>
      </c>
      <c r="B1445" s="1" t="s">
        <v>8781</v>
      </c>
      <c r="D1445" s="1" t="s">
        <v>8773</v>
      </c>
      <c r="E1445" s="1" t="s">
        <v>8782</v>
      </c>
      <c r="F1445" s="1" t="s">
        <v>8414</v>
      </c>
      <c r="G1445" s="1" t="s">
        <v>8415</v>
      </c>
    </row>
    <row r="1446" spans="1:7">
      <c r="A1446" s="1">
        <v>1445</v>
      </c>
      <c r="B1446" s="1" t="s">
        <v>8783</v>
      </c>
      <c r="D1446" s="1" t="s">
        <v>8773</v>
      </c>
      <c r="E1446" s="1" t="s">
        <v>8784</v>
      </c>
      <c r="F1446" s="1" t="s">
        <v>8418</v>
      </c>
      <c r="G1446" s="1" t="s">
        <v>8419</v>
      </c>
    </row>
    <row r="1447" spans="1:7">
      <c r="A1447" s="1">
        <v>1446</v>
      </c>
      <c r="B1447" s="1" t="s">
        <v>8785</v>
      </c>
      <c r="D1447" s="1" t="s">
        <v>8773</v>
      </c>
      <c r="E1447" s="1" t="s">
        <v>8786</v>
      </c>
      <c r="F1447" s="1" t="s">
        <v>8422</v>
      </c>
      <c r="G1447" s="1" t="s">
        <v>8423</v>
      </c>
    </row>
    <row r="1448" spans="1:7">
      <c r="A1448" s="1">
        <v>1447</v>
      </c>
      <c r="B1448" s="1" t="s">
        <v>8787</v>
      </c>
      <c r="D1448" s="1" t="s">
        <v>8773</v>
      </c>
      <c r="E1448" s="1" t="s">
        <v>8788</v>
      </c>
      <c r="F1448" s="1" t="s">
        <v>8426</v>
      </c>
      <c r="G1448" s="1" t="s">
        <v>8427</v>
      </c>
    </row>
    <row r="1449" spans="1:7">
      <c r="A1449" s="1">
        <v>1448</v>
      </c>
      <c r="B1449" s="1" t="s">
        <v>8789</v>
      </c>
      <c r="D1449" s="1" t="s">
        <v>8773</v>
      </c>
      <c r="E1449" s="1" t="s">
        <v>8790</v>
      </c>
      <c r="F1449" s="1" t="s">
        <v>8430</v>
      </c>
      <c r="G1449" s="1" t="s">
        <v>8431</v>
      </c>
    </row>
    <row r="1450" spans="1:7">
      <c r="A1450" s="1">
        <v>1449</v>
      </c>
      <c r="B1450" s="1" t="s">
        <v>8791</v>
      </c>
      <c r="D1450" s="1" t="s">
        <v>8773</v>
      </c>
      <c r="E1450" s="1" t="s">
        <v>8792</v>
      </c>
      <c r="F1450" s="1" t="s">
        <v>8434</v>
      </c>
      <c r="G1450" s="1" t="s">
        <v>8435</v>
      </c>
    </row>
    <row r="1451" spans="1:7">
      <c r="A1451" s="1">
        <v>1450</v>
      </c>
      <c r="B1451" s="1" t="s">
        <v>8793</v>
      </c>
      <c r="D1451" s="1" t="s">
        <v>8794</v>
      </c>
      <c r="E1451" s="1" t="s">
        <v>8795</v>
      </c>
      <c r="F1451" s="1" t="s">
        <v>8398</v>
      </c>
      <c r="G1451" s="1" t="s">
        <v>8399</v>
      </c>
    </row>
    <row r="1452" spans="1:7">
      <c r="A1452" s="1">
        <v>1451</v>
      </c>
      <c r="B1452" s="1" t="s">
        <v>8796</v>
      </c>
      <c r="D1452" s="1" t="s">
        <v>8794</v>
      </c>
      <c r="E1452" s="1" t="s">
        <v>8797</v>
      </c>
      <c r="F1452" s="1" t="s">
        <v>8402</v>
      </c>
      <c r="G1452" s="1" t="s">
        <v>8403</v>
      </c>
    </row>
    <row r="1453" spans="1:7">
      <c r="A1453" s="1">
        <v>1452</v>
      </c>
      <c r="B1453" s="1" t="s">
        <v>8798</v>
      </c>
      <c r="D1453" s="1" t="s">
        <v>8794</v>
      </c>
      <c r="E1453" s="1" t="s">
        <v>8799</v>
      </c>
      <c r="F1453" s="1" t="s">
        <v>8406</v>
      </c>
      <c r="G1453" s="1" t="s">
        <v>8407</v>
      </c>
    </row>
    <row r="1454" spans="1:7">
      <c r="A1454" s="1">
        <v>1453</v>
      </c>
      <c r="B1454" s="1" t="s">
        <v>8800</v>
      </c>
      <c r="D1454" s="1" t="s">
        <v>8794</v>
      </c>
      <c r="E1454" s="1" t="s">
        <v>8801</v>
      </c>
      <c r="F1454" s="1" t="s">
        <v>8410</v>
      </c>
      <c r="G1454" s="1" t="s">
        <v>8411</v>
      </c>
    </row>
    <row r="1455" spans="1:7">
      <c r="A1455" s="1">
        <v>1454</v>
      </c>
      <c r="B1455" s="1" t="s">
        <v>8802</v>
      </c>
      <c r="D1455" s="1" t="s">
        <v>8794</v>
      </c>
      <c r="E1455" s="1" t="s">
        <v>8803</v>
      </c>
      <c r="F1455" s="1" t="s">
        <v>8414</v>
      </c>
      <c r="G1455" s="1" t="s">
        <v>8415</v>
      </c>
    </row>
    <row r="1456" spans="1:7">
      <c r="A1456" s="1">
        <v>1455</v>
      </c>
      <c r="B1456" s="1" t="s">
        <v>8804</v>
      </c>
      <c r="D1456" s="1" t="s">
        <v>8794</v>
      </c>
      <c r="E1456" s="1" t="s">
        <v>8805</v>
      </c>
      <c r="F1456" s="1" t="s">
        <v>8418</v>
      </c>
      <c r="G1456" s="1" t="s">
        <v>8419</v>
      </c>
    </row>
    <row r="1457" spans="1:7">
      <c r="A1457" s="1">
        <v>1456</v>
      </c>
      <c r="B1457" s="1" t="s">
        <v>8806</v>
      </c>
      <c r="D1457" s="1" t="s">
        <v>8794</v>
      </c>
      <c r="E1457" s="1" t="s">
        <v>8807</v>
      </c>
      <c r="F1457" s="1" t="s">
        <v>8422</v>
      </c>
      <c r="G1457" s="1" t="s">
        <v>8423</v>
      </c>
    </row>
    <row r="1458" spans="1:7">
      <c r="A1458" s="1">
        <v>1457</v>
      </c>
      <c r="B1458" s="1" t="s">
        <v>8808</v>
      </c>
      <c r="D1458" s="1" t="s">
        <v>8794</v>
      </c>
      <c r="E1458" s="1" t="s">
        <v>8809</v>
      </c>
      <c r="F1458" s="1" t="s">
        <v>8426</v>
      </c>
      <c r="G1458" s="1" t="s">
        <v>8427</v>
      </c>
    </row>
    <row r="1459" spans="1:7">
      <c r="A1459" s="1">
        <v>1458</v>
      </c>
      <c r="B1459" s="1" t="s">
        <v>8810</v>
      </c>
      <c r="D1459" s="1" t="s">
        <v>8794</v>
      </c>
      <c r="E1459" s="1" t="s">
        <v>8811</v>
      </c>
      <c r="F1459" s="1" t="s">
        <v>8430</v>
      </c>
      <c r="G1459" s="1" t="s">
        <v>8431</v>
      </c>
    </row>
    <row r="1460" spans="1:7">
      <c r="A1460" s="1">
        <v>1459</v>
      </c>
      <c r="B1460" s="1" t="s">
        <v>8812</v>
      </c>
      <c r="D1460" s="1" t="s">
        <v>8794</v>
      </c>
      <c r="E1460" s="1" t="s">
        <v>8813</v>
      </c>
      <c r="F1460" s="1" t="s">
        <v>8434</v>
      </c>
      <c r="G1460" s="1" t="s">
        <v>8435</v>
      </c>
    </row>
    <row r="1461" spans="1:7">
      <c r="A1461" s="1">
        <v>1460</v>
      </c>
      <c r="B1461" s="1" t="s">
        <v>8814</v>
      </c>
      <c r="D1461" s="1" t="s">
        <v>8815</v>
      </c>
      <c r="E1461" s="1" t="s">
        <v>8816</v>
      </c>
      <c r="F1461" s="1" t="s">
        <v>8398</v>
      </c>
      <c r="G1461" s="1" t="s">
        <v>8399</v>
      </c>
    </row>
    <row r="1462" spans="1:7">
      <c r="A1462" s="1">
        <v>1461</v>
      </c>
      <c r="B1462" s="1" t="s">
        <v>8817</v>
      </c>
      <c r="D1462" s="1" t="s">
        <v>8815</v>
      </c>
      <c r="E1462" s="1" t="s">
        <v>8818</v>
      </c>
      <c r="F1462" s="1" t="s">
        <v>8402</v>
      </c>
      <c r="G1462" s="1" t="s">
        <v>8403</v>
      </c>
    </row>
    <row r="1463" spans="1:7">
      <c r="A1463" s="1">
        <v>1462</v>
      </c>
      <c r="B1463" s="1" t="s">
        <v>8819</v>
      </c>
      <c r="D1463" s="1" t="s">
        <v>8815</v>
      </c>
      <c r="E1463" s="1" t="s">
        <v>8820</v>
      </c>
      <c r="F1463" s="1" t="s">
        <v>8406</v>
      </c>
      <c r="G1463" s="1" t="s">
        <v>8407</v>
      </c>
    </row>
    <row r="1464" spans="1:7">
      <c r="A1464" s="1">
        <v>1463</v>
      </c>
      <c r="B1464" s="1" t="s">
        <v>8821</v>
      </c>
      <c r="D1464" s="1" t="s">
        <v>8815</v>
      </c>
      <c r="E1464" s="1" t="s">
        <v>8822</v>
      </c>
      <c r="F1464" s="1" t="s">
        <v>8410</v>
      </c>
      <c r="G1464" s="1" t="s">
        <v>8411</v>
      </c>
    </row>
    <row r="1465" spans="1:7">
      <c r="A1465" s="1">
        <v>1464</v>
      </c>
      <c r="B1465" s="1" t="s">
        <v>8823</v>
      </c>
      <c r="D1465" s="1" t="s">
        <v>8815</v>
      </c>
      <c r="E1465" s="1" t="s">
        <v>8824</v>
      </c>
      <c r="F1465" s="1" t="s">
        <v>8414</v>
      </c>
      <c r="G1465" s="1" t="s">
        <v>8415</v>
      </c>
    </row>
    <row r="1466" spans="1:7">
      <c r="A1466" s="1">
        <v>1465</v>
      </c>
      <c r="B1466" s="1" t="s">
        <v>8825</v>
      </c>
      <c r="D1466" s="1" t="s">
        <v>8815</v>
      </c>
      <c r="E1466" s="1" t="s">
        <v>8826</v>
      </c>
      <c r="F1466" s="1" t="s">
        <v>8418</v>
      </c>
      <c r="G1466" s="1" t="s">
        <v>8419</v>
      </c>
    </row>
    <row r="1467" spans="1:7">
      <c r="A1467" s="1">
        <v>1466</v>
      </c>
      <c r="B1467" s="1" t="s">
        <v>8827</v>
      </c>
      <c r="D1467" s="1" t="s">
        <v>8815</v>
      </c>
      <c r="E1467" s="1" t="s">
        <v>8828</v>
      </c>
      <c r="F1467" s="1" t="s">
        <v>8422</v>
      </c>
      <c r="G1467" s="1" t="s">
        <v>8423</v>
      </c>
    </row>
    <row r="1468" spans="1:7">
      <c r="A1468" s="1">
        <v>1467</v>
      </c>
      <c r="B1468" s="1" t="s">
        <v>8829</v>
      </c>
      <c r="D1468" s="1" t="s">
        <v>8815</v>
      </c>
      <c r="E1468" s="1" t="s">
        <v>8830</v>
      </c>
      <c r="F1468" s="1" t="s">
        <v>8426</v>
      </c>
      <c r="G1468" s="1" t="s">
        <v>8427</v>
      </c>
    </row>
    <row r="1469" spans="1:7">
      <c r="A1469" s="1">
        <v>1468</v>
      </c>
      <c r="B1469" s="1" t="s">
        <v>8831</v>
      </c>
      <c r="D1469" s="1" t="s">
        <v>8815</v>
      </c>
      <c r="E1469" s="1" t="s">
        <v>8832</v>
      </c>
      <c r="F1469" s="1" t="s">
        <v>8430</v>
      </c>
      <c r="G1469" s="1" t="s">
        <v>8431</v>
      </c>
    </row>
    <row r="1470" spans="1:7">
      <c r="A1470" s="1">
        <v>1469</v>
      </c>
      <c r="B1470" s="1" t="s">
        <v>8833</v>
      </c>
      <c r="D1470" s="1" t="s">
        <v>8815</v>
      </c>
      <c r="E1470" s="1" t="s">
        <v>8834</v>
      </c>
      <c r="F1470" s="1" t="s">
        <v>8434</v>
      </c>
      <c r="G1470" s="1" t="s">
        <v>8435</v>
      </c>
    </row>
    <row r="1471" spans="1:7">
      <c r="A1471" s="1">
        <v>1470</v>
      </c>
      <c r="B1471" s="1" t="s">
        <v>8835</v>
      </c>
      <c r="D1471" s="1" t="s">
        <v>8836</v>
      </c>
      <c r="E1471" s="1" t="s">
        <v>8837</v>
      </c>
      <c r="F1471" s="1" t="s">
        <v>8398</v>
      </c>
      <c r="G1471" s="1" t="s">
        <v>8399</v>
      </c>
    </row>
    <row r="1472" spans="1:7">
      <c r="A1472" s="1">
        <v>1471</v>
      </c>
      <c r="B1472" s="1" t="s">
        <v>8838</v>
      </c>
      <c r="D1472" s="1" t="s">
        <v>8836</v>
      </c>
      <c r="E1472" s="1" t="s">
        <v>8839</v>
      </c>
      <c r="F1472" s="1" t="s">
        <v>8402</v>
      </c>
      <c r="G1472" s="1" t="s">
        <v>8403</v>
      </c>
    </row>
    <row r="1473" spans="1:7">
      <c r="A1473" s="1">
        <v>1472</v>
      </c>
      <c r="B1473" s="1" t="s">
        <v>8840</v>
      </c>
      <c r="D1473" s="1" t="s">
        <v>8836</v>
      </c>
      <c r="E1473" s="1" t="s">
        <v>8841</v>
      </c>
      <c r="F1473" s="1" t="s">
        <v>8406</v>
      </c>
      <c r="G1473" s="1" t="s">
        <v>8407</v>
      </c>
    </row>
    <row r="1474" spans="1:7">
      <c r="A1474" s="1">
        <v>1473</v>
      </c>
      <c r="B1474" s="1" t="s">
        <v>8842</v>
      </c>
      <c r="D1474" s="1" t="s">
        <v>8836</v>
      </c>
      <c r="E1474" s="1" t="s">
        <v>8843</v>
      </c>
      <c r="F1474" s="1" t="s">
        <v>8410</v>
      </c>
      <c r="G1474" s="1" t="s">
        <v>8411</v>
      </c>
    </row>
    <row r="1475" spans="1:7">
      <c r="A1475" s="1">
        <v>1474</v>
      </c>
      <c r="B1475" s="1" t="s">
        <v>8844</v>
      </c>
      <c r="D1475" s="1" t="s">
        <v>8836</v>
      </c>
      <c r="E1475" s="1" t="s">
        <v>8845</v>
      </c>
      <c r="F1475" s="1" t="s">
        <v>8414</v>
      </c>
      <c r="G1475" s="1" t="s">
        <v>8415</v>
      </c>
    </row>
    <row r="1476" spans="1:7">
      <c r="A1476" s="1">
        <v>1475</v>
      </c>
      <c r="B1476" s="1" t="s">
        <v>8846</v>
      </c>
      <c r="D1476" s="1" t="s">
        <v>8836</v>
      </c>
      <c r="E1476" s="1" t="s">
        <v>8847</v>
      </c>
      <c r="F1476" s="1" t="s">
        <v>8418</v>
      </c>
      <c r="G1476" s="1" t="s">
        <v>8419</v>
      </c>
    </row>
    <row r="1477" spans="1:7">
      <c r="A1477" s="1">
        <v>1476</v>
      </c>
      <c r="B1477" s="1" t="s">
        <v>8848</v>
      </c>
      <c r="D1477" s="1" t="s">
        <v>8836</v>
      </c>
      <c r="E1477" s="1" t="s">
        <v>8849</v>
      </c>
      <c r="F1477" s="1" t="s">
        <v>8422</v>
      </c>
      <c r="G1477" s="1" t="s">
        <v>8423</v>
      </c>
    </row>
    <row r="1478" spans="1:7">
      <c r="A1478" s="1">
        <v>1477</v>
      </c>
      <c r="B1478" s="1" t="s">
        <v>8850</v>
      </c>
      <c r="D1478" s="1" t="s">
        <v>8836</v>
      </c>
      <c r="E1478" s="1" t="s">
        <v>8851</v>
      </c>
      <c r="F1478" s="1" t="s">
        <v>8426</v>
      </c>
      <c r="G1478" s="1" t="s">
        <v>8427</v>
      </c>
    </row>
    <row r="1479" spans="1:7">
      <c r="A1479" s="1">
        <v>1478</v>
      </c>
      <c r="B1479" s="1" t="s">
        <v>8852</v>
      </c>
      <c r="D1479" s="1" t="s">
        <v>8836</v>
      </c>
      <c r="E1479" s="1" t="s">
        <v>8853</v>
      </c>
      <c r="F1479" s="1" t="s">
        <v>8430</v>
      </c>
      <c r="G1479" s="1" t="s">
        <v>8431</v>
      </c>
    </row>
    <row r="1480" spans="1:7">
      <c r="A1480" s="1">
        <v>1479</v>
      </c>
      <c r="B1480" s="1" t="s">
        <v>8854</v>
      </c>
      <c r="D1480" s="1" t="s">
        <v>8836</v>
      </c>
      <c r="E1480" s="1" t="s">
        <v>8855</v>
      </c>
      <c r="F1480" s="1" t="s">
        <v>8434</v>
      </c>
      <c r="G1480" s="1" t="s">
        <v>8435</v>
      </c>
    </row>
    <row r="1481" spans="1:7">
      <c r="A1481" s="1">
        <v>1480</v>
      </c>
      <c r="B1481" s="1" t="s">
        <v>8856</v>
      </c>
      <c r="D1481" s="1" t="s">
        <v>8857</v>
      </c>
      <c r="E1481" s="1" t="s">
        <v>8858</v>
      </c>
      <c r="F1481" s="1" t="s">
        <v>8398</v>
      </c>
      <c r="G1481" s="1" t="s">
        <v>8399</v>
      </c>
    </row>
    <row r="1482" spans="1:7">
      <c r="A1482" s="1">
        <v>1481</v>
      </c>
      <c r="B1482" s="1" t="s">
        <v>8859</v>
      </c>
      <c r="D1482" s="1" t="s">
        <v>8857</v>
      </c>
      <c r="E1482" s="1" t="s">
        <v>8860</v>
      </c>
      <c r="F1482" s="1" t="s">
        <v>8402</v>
      </c>
      <c r="G1482" s="1" t="s">
        <v>8403</v>
      </c>
    </row>
    <row r="1483" spans="1:7">
      <c r="A1483" s="1">
        <v>1482</v>
      </c>
      <c r="B1483" s="1" t="s">
        <v>8861</v>
      </c>
      <c r="D1483" s="1" t="s">
        <v>8857</v>
      </c>
      <c r="E1483" s="1" t="s">
        <v>8862</v>
      </c>
      <c r="F1483" s="1" t="s">
        <v>8406</v>
      </c>
      <c r="G1483" s="1" t="s">
        <v>8407</v>
      </c>
    </row>
    <row r="1484" spans="1:7">
      <c r="A1484" s="1">
        <v>1483</v>
      </c>
      <c r="B1484" s="1" t="s">
        <v>8863</v>
      </c>
      <c r="D1484" s="1" t="s">
        <v>8857</v>
      </c>
      <c r="E1484" s="1" t="s">
        <v>8864</v>
      </c>
      <c r="F1484" s="1" t="s">
        <v>8410</v>
      </c>
      <c r="G1484" s="1" t="s">
        <v>8411</v>
      </c>
    </row>
    <row r="1485" spans="1:7">
      <c r="A1485" s="1">
        <v>1484</v>
      </c>
      <c r="B1485" s="1" t="s">
        <v>8865</v>
      </c>
      <c r="D1485" s="1" t="s">
        <v>8857</v>
      </c>
      <c r="E1485" s="1" t="s">
        <v>8866</v>
      </c>
      <c r="F1485" s="1" t="s">
        <v>8414</v>
      </c>
      <c r="G1485" s="1" t="s">
        <v>8415</v>
      </c>
    </row>
    <row r="1486" spans="1:7">
      <c r="A1486" s="1">
        <v>1485</v>
      </c>
      <c r="B1486" s="1" t="s">
        <v>8867</v>
      </c>
      <c r="D1486" s="1" t="s">
        <v>8857</v>
      </c>
      <c r="E1486" s="1" t="s">
        <v>8868</v>
      </c>
      <c r="F1486" s="1" t="s">
        <v>8418</v>
      </c>
      <c r="G1486" s="1" t="s">
        <v>8419</v>
      </c>
    </row>
    <row r="1487" spans="1:7">
      <c r="A1487" s="1">
        <v>1486</v>
      </c>
      <c r="B1487" s="1" t="s">
        <v>8869</v>
      </c>
      <c r="D1487" s="1" t="s">
        <v>8857</v>
      </c>
      <c r="E1487" s="1" t="s">
        <v>8870</v>
      </c>
      <c r="F1487" s="1" t="s">
        <v>8422</v>
      </c>
      <c r="G1487" s="1" t="s">
        <v>8423</v>
      </c>
    </row>
    <row r="1488" spans="1:7">
      <c r="A1488" s="1">
        <v>1487</v>
      </c>
      <c r="B1488" s="1" t="s">
        <v>8871</v>
      </c>
      <c r="D1488" s="1" t="s">
        <v>8857</v>
      </c>
      <c r="E1488" s="1" t="s">
        <v>8872</v>
      </c>
      <c r="F1488" s="1" t="s">
        <v>8426</v>
      </c>
      <c r="G1488" s="1" t="s">
        <v>8427</v>
      </c>
    </row>
    <row r="1489" spans="1:7">
      <c r="A1489" s="1">
        <v>1488</v>
      </c>
      <c r="B1489" s="1" t="s">
        <v>8873</v>
      </c>
      <c r="D1489" s="1" t="s">
        <v>8857</v>
      </c>
      <c r="E1489" s="1" t="s">
        <v>8874</v>
      </c>
      <c r="F1489" s="1" t="s">
        <v>8430</v>
      </c>
      <c r="G1489" s="1" t="s">
        <v>8431</v>
      </c>
    </row>
    <row r="1490" spans="1:7">
      <c r="A1490" s="1">
        <v>1489</v>
      </c>
      <c r="B1490" s="1" t="s">
        <v>8875</v>
      </c>
      <c r="D1490" s="1" t="s">
        <v>8857</v>
      </c>
      <c r="E1490" s="1" t="s">
        <v>8876</v>
      </c>
      <c r="F1490" s="1" t="s">
        <v>8434</v>
      </c>
      <c r="G1490" s="1" t="s">
        <v>8435</v>
      </c>
    </row>
    <row r="1491" spans="1:7">
      <c r="A1491" s="1">
        <v>1490</v>
      </c>
      <c r="B1491" s="1" t="s">
        <v>8877</v>
      </c>
      <c r="D1491" s="1" t="s">
        <v>8878</v>
      </c>
      <c r="E1491" s="1" t="s">
        <v>8879</v>
      </c>
      <c r="F1491" s="1" t="s">
        <v>8398</v>
      </c>
      <c r="G1491" s="1" t="s">
        <v>8399</v>
      </c>
    </row>
    <row r="1492" spans="1:7">
      <c r="A1492" s="1">
        <v>1491</v>
      </c>
      <c r="B1492" s="1" t="s">
        <v>8880</v>
      </c>
      <c r="D1492" s="1" t="s">
        <v>8878</v>
      </c>
      <c r="E1492" s="1" t="s">
        <v>8881</v>
      </c>
      <c r="F1492" s="1" t="s">
        <v>8402</v>
      </c>
      <c r="G1492" s="1" t="s">
        <v>8403</v>
      </c>
    </row>
    <row r="1493" spans="1:7">
      <c r="A1493" s="1">
        <v>1492</v>
      </c>
      <c r="B1493" s="1" t="s">
        <v>8882</v>
      </c>
      <c r="D1493" s="1" t="s">
        <v>8878</v>
      </c>
      <c r="E1493" s="1" t="s">
        <v>8883</v>
      </c>
      <c r="F1493" s="1" t="s">
        <v>8406</v>
      </c>
      <c r="G1493" s="1" t="s">
        <v>8407</v>
      </c>
    </row>
    <row r="1494" spans="1:7">
      <c r="A1494" s="1">
        <v>1493</v>
      </c>
      <c r="B1494" s="1" t="s">
        <v>8884</v>
      </c>
      <c r="D1494" s="1" t="s">
        <v>8878</v>
      </c>
      <c r="E1494" s="1" t="s">
        <v>8885</v>
      </c>
      <c r="F1494" s="1" t="s">
        <v>8410</v>
      </c>
      <c r="G1494" s="1" t="s">
        <v>8411</v>
      </c>
    </row>
    <row r="1495" spans="1:7">
      <c r="A1495" s="1">
        <v>1494</v>
      </c>
      <c r="B1495" s="1" t="s">
        <v>8886</v>
      </c>
      <c r="D1495" s="1" t="s">
        <v>8878</v>
      </c>
      <c r="E1495" s="1" t="s">
        <v>8887</v>
      </c>
      <c r="F1495" s="1" t="s">
        <v>8414</v>
      </c>
      <c r="G1495" s="1" t="s">
        <v>8415</v>
      </c>
    </row>
    <row r="1496" spans="1:7">
      <c r="A1496" s="1">
        <v>1495</v>
      </c>
      <c r="B1496" s="1" t="s">
        <v>8888</v>
      </c>
      <c r="D1496" s="1" t="s">
        <v>8878</v>
      </c>
      <c r="E1496" s="1" t="s">
        <v>8889</v>
      </c>
      <c r="F1496" s="1" t="s">
        <v>8418</v>
      </c>
      <c r="G1496" s="1" t="s">
        <v>8419</v>
      </c>
    </row>
    <row r="1497" spans="1:7">
      <c r="A1497" s="1">
        <v>1496</v>
      </c>
      <c r="B1497" s="1" t="s">
        <v>8890</v>
      </c>
      <c r="D1497" s="1" t="s">
        <v>8878</v>
      </c>
      <c r="E1497" s="1" t="s">
        <v>8891</v>
      </c>
      <c r="F1497" s="1" t="s">
        <v>8422</v>
      </c>
      <c r="G1497" s="1" t="s">
        <v>8423</v>
      </c>
    </row>
    <row r="1498" spans="1:7">
      <c r="A1498" s="1">
        <v>1497</v>
      </c>
      <c r="B1498" s="1" t="s">
        <v>8892</v>
      </c>
      <c r="D1498" s="1" t="s">
        <v>8878</v>
      </c>
      <c r="E1498" s="1" t="s">
        <v>8893</v>
      </c>
      <c r="F1498" s="1" t="s">
        <v>8426</v>
      </c>
      <c r="G1498" s="1" t="s">
        <v>8427</v>
      </c>
    </row>
    <row r="1499" spans="1:7">
      <c r="A1499" s="1">
        <v>1498</v>
      </c>
      <c r="B1499" s="1" t="s">
        <v>8894</v>
      </c>
      <c r="D1499" s="1" t="s">
        <v>8878</v>
      </c>
      <c r="E1499" s="1" t="s">
        <v>8895</v>
      </c>
      <c r="F1499" s="1" t="s">
        <v>8430</v>
      </c>
      <c r="G1499" s="1" t="s">
        <v>8431</v>
      </c>
    </row>
    <row r="1500" spans="1:7">
      <c r="A1500" s="1">
        <v>1499</v>
      </c>
      <c r="B1500" s="1" t="s">
        <v>8896</v>
      </c>
      <c r="D1500" s="1" t="s">
        <v>8878</v>
      </c>
      <c r="E1500" s="1" t="s">
        <v>8897</v>
      </c>
      <c r="F1500" s="1" t="s">
        <v>8434</v>
      </c>
      <c r="G1500" s="1" t="s">
        <v>8435</v>
      </c>
    </row>
    <row r="1501" spans="1:7">
      <c r="A1501" s="1">
        <v>1500</v>
      </c>
      <c r="B1501" s="1" t="s">
        <v>8898</v>
      </c>
      <c r="D1501" s="1" t="s">
        <v>8899</v>
      </c>
      <c r="E1501" s="1" t="s">
        <v>8900</v>
      </c>
      <c r="F1501" s="1" t="s">
        <v>8398</v>
      </c>
      <c r="G1501" s="1" t="s">
        <v>8399</v>
      </c>
    </row>
    <row r="1502" spans="1:7">
      <c r="A1502" s="1">
        <v>1501</v>
      </c>
      <c r="B1502" s="1" t="s">
        <v>8901</v>
      </c>
      <c r="D1502" s="1" t="s">
        <v>8899</v>
      </c>
      <c r="E1502" s="1" t="s">
        <v>8902</v>
      </c>
      <c r="F1502" s="1" t="s">
        <v>8402</v>
      </c>
      <c r="G1502" s="1" t="s">
        <v>8403</v>
      </c>
    </row>
    <row r="1503" spans="1:7">
      <c r="A1503" s="1">
        <v>1502</v>
      </c>
      <c r="B1503" s="1" t="s">
        <v>8903</v>
      </c>
      <c r="D1503" s="1" t="s">
        <v>8899</v>
      </c>
      <c r="E1503" s="1" t="s">
        <v>8904</v>
      </c>
      <c r="F1503" s="1" t="s">
        <v>8406</v>
      </c>
      <c r="G1503" s="1" t="s">
        <v>8407</v>
      </c>
    </row>
    <row r="1504" spans="1:7">
      <c r="A1504" s="1">
        <v>1503</v>
      </c>
      <c r="B1504" s="1" t="s">
        <v>8905</v>
      </c>
      <c r="D1504" s="1" t="s">
        <v>8899</v>
      </c>
      <c r="E1504" s="1" t="s">
        <v>8906</v>
      </c>
      <c r="F1504" s="1" t="s">
        <v>8410</v>
      </c>
      <c r="G1504" s="1" t="s">
        <v>8411</v>
      </c>
    </row>
    <row r="1505" spans="1:7">
      <c r="A1505" s="1">
        <v>1504</v>
      </c>
      <c r="B1505" s="1" t="s">
        <v>8907</v>
      </c>
      <c r="D1505" s="1" t="s">
        <v>8899</v>
      </c>
      <c r="E1505" s="1" t="s">
        <v>8908</v>
      </c>
      <c r="F1505" s="1" t="s">
        <v>8414</v>
      </c>
      <c r="G1505" s="1" t="s">
        <v>8415</v>
      </c>
    </row>
    <row r="1506" spans="1:7">
      <c r="A1506" s="1">
        <v>1505</v>
      </c>
      <c r="B1506" s="1" t="s">
        <v>8909</v>
      </c>
      <c r="D1506" s="1" t="s">
        <v>8899</v>
      </c>
      <c r="E1506" s="1" t="s">
        <v>8910</v>
      </c>
      <c r="F1506" s="1" t="s">
        <v>8418</v>
      </c>
      <c r="G1506" s="1" t="s">
        <v>8419</v>
      </c>
    </row>
    <row r="1507" spans="1:7">
      <c r="A1507" s="1">
        <v>1506</v>
      </c>
      <c r="B1507" s="1" t="s">
        <v>8911</v>
      </c>
      <c r="D1507" s="1" t="s">
        <v>8899</v>
      </c>
      <c r="E1507" s="1" t="s">
        <v>8912</v>
      </c>
      <c r="F1507" s="1" t="s">
        <v>8422</v>
      </c>
      <c r="G1507" s="1" t="s">
        <v>8423</v>
      </c>
    </row>
    <row r="1508" spans="1:7">
      <c r="A1508" s="1">
        <v>1507</v>
      </c>
      <c r="B1508" s="1" t="s">
        <v>8913</v>
      </c>
      <c r="D1508" s="1" t="s">
        <v>8899</v>
      </c>
      <c r="E1508" s="1" t="s">
        <v>8914</v>
      </c>
      <c r="F1508" s="1" t="s">
        <v>8426</v>
      </c>
      <c r="G1508" s="1" t="s">
        <v>8427</v>
      </c>
    </row>
    <row r="1509" spans="1:7">
      <c r="A1509" s="1">
        <v>1508</v>
      </c>
      <c r="B1509" s="1" t="s">
        <v>8915</v>
      </c>
      <c r="D1509" s="1" t="s">
        <v>8899</v>
      </c>
      <c r="E1509" s="1" t="s">
        <v>8916</v>
      </c>
      <c r="F1509" s="1" t="s">
        <v>8430</v>
      </c>
      <c r="G1509" s="1" t="s">
        <v>8431</v>
      </c>
    </row>
    <row r="1510" spans="1:7">
      <c r="A1510" s="1">
        <v>1509</v>
      </c>
      <c r="B1510" s="1" t="s">
        <v>8917</v>
      </c>
      <c r="D1510" s="1" t="s">
        <v>8899</v>
      </c>
      <c r="E1510" s="1" t="s">
        <v>8918</v>
      </c>
      <c r="F1510" s="1" t="s">
        <v>8434</v>
      </c>
      <c r="G1510" s="1" t="s">
        <v>8435</v>
      </c>
    </row>
    <row r="1511" spans="1:7">
      <c r="A1511" s="1">
        <v>1510</v>
      </c>
      <c r="B1511" s="1" t="s">
        <v>8919</v>
      </c>
      <c r="D1511" s="1" t="s">
        <v>8920</v>
      </c>
      <c r="E1511" s="1" t="s">
        <v>8921</v>
      </c>
      <c r="F1511" s="1" t="s">
        <v>8398</v>
      </c>
      <c r="G1511" s="1" t="s">
        <v>8399</v>
      </c>
    </row>
    <row r="1512" spans="1:7">
      <c r="A1512" s="1">
        <v>1511</v>
      </c>
      <c r="B1512" s="1" t="s">
        <v>8922</v>
      </c>
      <c r="D1512" s="1" t="s">
        <v>8920</v>
      </c>
      <c r="E1512" s="1" t="s">
        <v>8923</v>
      </c>
      <c r="F1512" s="1" t="s">
        <v>8402</v>
      </c>
      <c r="G1512" s="1" t="s">
        <v>8403</v>
      </c>
    </row>
    <row r="1513" spans="1:7">
      <c r="A1513" s="1">
        <v>1512</v>
      </c>
      <c r="B1513" s="1" t="s">
        <v>8924</v>
      </c>
      <c r="D1513" s="1" t="s">
        <v>8920</v>
      </c>
      <c r="E1513" s="1" t="s">
        <v>8925</v>
      </c>
      <c r="F1513" s="1" t="s">
        <v>8406</v>
      </c>
      <c r="G1513" s="1" t="s">
        <v>8407</v>
      </c>
    </row>
    <row r="1514" spans="1:7">
      <c r="A1514" s="1">
        <v>1513</v>
      </c>
      <c r="B1514" s="1" t="s">
        <v>8926</v>
      </c>
      <c r="D1514" s="1" t="s">
        <v>8920</v>
      </c>
      <c r="E1514" s="1" t="s">
        <v>8927</v>
      </c>
      <c r="F1514" s="1" t="s">
        <v>8410</v>
      </c>
      <c r="G1514" s="1" t="s">
        <v>8411</v>
      </c>
    </row>
    <row r="1515" spans="1:7">
      <c r="A1515" s="1">
        <v>1514</v>
      </c>
      <c r="B1515" s="1" t="s">
        <v>8928</v>
      </c>
      <c r="D1515" s="1" t="s">
        <v>8920</v>
      </c>
      <c r="E1515" s="1" t="s">
        <v>8929</v>
      </c>
      <c r="F1515" s="1" t="s">
        <v>8414</v>
      </c>
      <c r="G1515" s="1" t="s">
        <v>8415</v>
      </c>
    </row>
    <row r="1516" spans="1:7">
      <c r="A1516" s="1">
        <v>1515</v>
      </c>
      <c r="B1516" s="1" t="s">
        <v>8930</v>
      </c>
      <c r="D1516" s="1" t="s">
        <v>8920</v>
      </c>
      <c r="E1516" s="1" t="s">
        <v>8931</v>
      </c>
      <c r="F1516" s="1" t="s">
        <v>8418</v>
      </c>
      <c r="G1516" s="1" t="s">
        <v>8419</v>
      </c>
    </row>
    <row r="1517" spans="1:7">
      <c r="A1517" s="1">
        <v>1516</v>
      </c>
      <c r="B1517" s="1" t="s">
        <v>8932</v>
      </c>
      <c r="D1517" s="1" t="s">
        <v>8920</v>
      </c>
      <c r="E1517" s="1" t="s">
        <v>8933</v>
      </c>
      <c r="F1517" s="1" t="s">
        <v>8422</v>
      </c>
      <c r="G1517" s="1" t="s">
        <v>8423</v>
      </c>
    </row>
    <row r="1518" spans="1:7">
      <c r="A1518" s="1">
        <v>1517</v>
      </c>
      <c r="B1518" s="1" t="s">
        <v>8934</v>
      </c>
      <c r="D1518" s="1" t="s">
        <v>8920</v>
      </c>
      <c r="E1518" s="1" t="s">
        <v>8935</v>
      </c>
      <c r="F1518" s="1" t="s">
        <v>8426</v>
      </c>
      <c r="G1518" s="1" t="s">
        <v>8427</v>
      </c>
    </row>
    <row r="1519" spans="1:7">
      <c r="A1519" s="1">
        <v>1518</v>
      </c>
      <c r="B1519" s="1" t="s">
        <v>8936</v>
      </c>
      <c r="D1519" s="1" t="s">
        <v>8920</v>
      </c>
      <c r="E1519" s="1" t="s">
        <v>8937</v>
      </c>
      <c r="F1519" s="1" t="s">
        <v>8430</v>
      </c>
      <c r="G1519" s="1" t="s">
        <v>8431</v>
      </c>
    </row>
    <row r="1520" spans="1:7">
      <c r="A1520" s="1">
        <v>1519</v>
      </c>
      <c r="B1520" s="1" t="s">
        <v>8938</v>
      </c>
      <c r="D1520" s="1" t="s">
        <v>8920</v>
      </c>
      <c r="E1520" s="1" t="s">
        <v>8939</v>
      </c>
      <c r="F1520" s="1" t="s">
        <v>8434</v>
      </c>
      <c r="G1520" s="1" t="s">
        <v>8435</v>
      </c>
    </row>
    <row r="1521" spans="1:7">
      <c r="A1521" s="1">
        <v>1520</v>
      </c>
      <c r="B1521" s="1" t="s">
        <v>8940</v>
      </c>
      <c r="D1521" s="1" t="s">
        <v>8941</v>
      </c>
      <c r="E1521" s="1" t="s">
        <v>8942</v>
      </c>
      <c r="F1521" s="1" t="s">
        <v>8398</v>
      </c>
      <c r="G1521" s="1" t="s">
        <v>8399</v>
      </c>
    </row>
    <row r="1522" spans="1:7">
      <c r="A1522" s="1">
        <v>1521</v>
      </c>
      <c r="B1522" s="1" t="s">
        <v>8943</v>
      </c>
      <c r="D1522" s="1" t="s">
        <v>8941</v>
      </c>
      <c r="E1522" s="1" t="s">
        <v>8944</v>
      </c>
      <c r="F1522" s="1" t="s">
        <v>8402</v>
      </c>
      <c r="G1522" s="1" t="s">
        <v>8403</v>
      </c>
    </row>
    <row r="1523" spans="1:7">
      <c r="A1523" s="1">
        <v>1522</v>
      </c>
      <c r="B1523" s="1" t="s">
        <v>8945</v>
      </c>
      <c r="D1523" s="1" t="s">
        <v>8941</v>
      </c>
      <c r="E1523" s="1" t="s">
        <v>8946</v>
      </c>
      <c r="F1523" s="1" t="s">
        <v>8406</v>
      </c>
      <c r="G1523" s="1" t="s">
        <v>8407</v>
      </c>
    </row>
    <row r="1524" spans="1:7">
      <c r="A1524" s="1">
        <v>1523</v>
      </c>
      <c r="B1524" s="1" t="s">
        <v>8947</v>
      </c>
      <c r="D1524" s="1" t="s">
        <v>8941</v>
      </c>
      <c r="E1524" s="1" t="s">
        <v>8948</v>
      </c>
      <c r="F1524" s="1" t="s">
        <v>8410</v>
      </c>
      <c r="G1524" s="1" t="s">
        <v>8411</v>
      </c>
    </row>
    <row r="1525" spans="1:7">
      <c r="A1525" s="1">
        <v>1524</v>
      </c>
      <c r="B1525" s="1" t="s">
        <v>8949</v>
      </c>
      <c r="D1525" s="1" t="s">
        <v>8941</v>
      </c>
      <c r="E1525" s="1" t="s">
        <v>8950</v>
      </c>
      <c r="F1525" s="1" t="s">
        <v>8414</v>
      </c>
      <c r="G1525" s="1" t="s">
        <v>8415</v>
      </c>
    </row>
    <row r="1526" spans="1:7">
      <c r="A1526" s="1">
        <v>1525</v>
      </c>
      <c r="B1526" s="1" t="s">
        <v>8951</v>
      </c>
      <c r="D1526" s="1" t="s">
        <v>8941</v>
      </c>
      <c r="E1526" s="1" t="s">
        <v>8952</v>
      </c>
      <c r="F1526" s="1" t="s">
        <v>8418</v>
      </c>
      <c r="G1526" s="1" t="s">
        <v>8419</v>
      </c>
    </row>
    <row r="1527" spans="1:7">
      <c r="A1527" s="1">
        <v>1526</v>
      </c>
      <c r="B1527" s="1" t="s">
        <v>8953</v>
      </c>
      <c r="D1527" s="1" t="s">
        <v>8941</v>
      </c>
      <c r="E1527" s="1" t="s">
        <v>8954</v>
      </c>
      <c r="F1527" s="1" t="s">
        <v>8422</v>
      </c>
      <c r="G1527" s="1" t="s">
        <v>8423</v>
      </c>
    </row>
    <row r="1528" spans="1:7">
      <c r="A1528" s="1">
        <v>1527</v>
      </c>
      <c r="B1528" s="1" t="s">
        <v>8955</v>
      </c>
      <c r="D1528" s="1" t="s">
        <v>8941</v>
      </c>
      <c r="E1528" s="1" t="s">
        <v>8956</v>
      </c>
      <c r="F1528" s="1" t="s">
        <v>8426</v>
      </c>
      <c r="G1528" s="1" t="s">
        <v>8427</v>
      </c>
    </row>
    <row r="1529" spans="1:7">
      <c r="A1529" s="1">
        <v>1528</v>
      </c>
      <c r="B1529" s="1" t="s">
        <v>8957</v>
      </c>
      <c r="D1529" s="1" t="s">
        <v>8941</v>
      </c>
      <c r="E1529" s="1" t="s">
        <v>8958</v>
      </c>
      <c r="F1529" s="1" t="s">
        <v>8430</v>
      </c>
      <c r="G1529" s="1" t="s">
        <v>8431</v>
      </c>
    </row>
    <row r="1530" spans="1:7">
      <c r="A1530" s="1">
        <v>1529</v>
      </c>
      <c r="B1530" s="1" t="s">
        <v>8959</v>
      </c>
      <c r="D1530" s="1" t="s">
        <v>8941</v>
      </c>
      <c r="E1530" s="1" t="s">
        <v>8960</v>
      </c>
      <c r="F1530" s="1" t="s">
        <v>8434</v>
      </c>
      <c r="G1530" s="1" t="s">
        <v>8435</v>
      </c>
    </row>
    <row r="1531" spans="1:7">
      <c r="A1531" s="1">
        <v>1530</v>
      </c>
      <c r="B1531" s="1" t="s">
        <v>8961</v>
      </c>
      <c r="D1531" s="1" t="s">
        <v>8962</v>
      </c>
      <c r="E1531" s="1" t="s">
        <v>8963</v>
      </c>
      <c r="F1531" s="1" t="s">
        <v>8398</v>
      </c>
      <c r="G1531" s="1" t="s">
        <v>8399</v>
      </c>
    </row>
    <row r="1532" spans="1:7">
      <c r="A1532" s="1">
        <v>1531</v>
      </c>
      <c r="B1532" s="1" t="s">
        <v>8964</v>
      </c>
      <c r="D1532" s="1" t="s">
        <v>8962</v>
      </c>
      <c r="E1532" s="1" t="s">
        <v>8965</v>
      </c>
      <c r="F1532" s="1" t="s">
        <v>8402</v>
      </c>
      <c r="G1532" s="1" t="s">
        <v>8403</v>
      </c>
    </row>
    <row r="1533" spans="1:7">
      <c r="A1533" s="1">
        <v>1532</v>
      </c>
      <c r="B1533" s="1" t="s">
        <v>8966</v>
      </c>
      <c r="D1533" s="1" t="s">
        <v>8962</v>
      </c>
      <c r="E1533" s="1" t="s">
        <v>8967</v>
      </c>
      <c r="F1533" s="1" t="s">
        <v>8406</v>
      </c>
      <c r="G1533" s="1" t="s">
        <v>8407</v>
      </c>
    </row>
    <row r="1534" spans="1:7">
      <c r="A1534" s="1">
        <v>1533</v>
      </c>
      <c r="B1534" s="1" t="s">
        <v>8968</v>
      </c>
      <c r="D1534" s="1" t="s">
        <v>8962</v>
      </c>
      <c r="E1534" s="1" t="s">
        <v>8969</v>
      </c>
      <c r="F1534" s="1" t="s">
        <v>8410</v>
      </c>
      <c r="G1534" s="1" t="s">
        <v>8411</v>
      </c>
    </row>
    <row r="1535" spans="1:7">
      <c r="A1535" s="1">
        <v>1534</v>
      </c>
      <c r="B1535" s="1" t="s">
        <v>8970</v>
      </c>
      <c r="D1535" s="1" t="s">
        <v>8962</v>
      </c>
      <c r="E1535" s="1" t="s">
        <v>8971</v>
      </c>
      <c r="F1535" s="1" t="s">
        <v>8414</v>
      </c>
      <c r="G1535" s="1" t="s">
        <v>8415</v>
      </c>
    </row>
    <row r="1536" spans="1:7">
      <c r="A1536" s="1">
        <v>1535</v>
      </c>
      <c r="B1536" s="1" t="s">
        <v>8972</v>
      </c>
      <c r="D1536" s="1" t="s">
        <v>8962</v>
      </c>
      <c r="E1536" s="1" t="s">
        <v>8973</v>
      </c>
      <c r="F1536" s="1" t="s">
        <v>8418</v>
      </c>
      <c r="G1536" s="1" t="s">
        <v>8419</v>
      </c>
    </row>
    <row r="1537" spans="1:7">
      <c r="A1537" s="1">
        <v>1536</v>
      </c>
      <c r="B1537" s="1" t="s">
        <v>8974</v>
      </c>
      <c r="D1537" s="1" t="s">
        <v>8962</v>
      </c>
      <c r="E1537" s="1" t="s">
        <v>8975</v>
      </c>
      <c r="F1537" s="1" t="s">
        <v>8422</v>
      </c>
      <c r="G1537" s="1" t="s">
        <v>8423</v>
      </c>
    </row>
    <row r="1538" spans="1:7">
      <c r="A1538" s="1">
        <v>1537</v>
      </c>
      <c r="B1538" s="1" t="s">
        <v>8976</v>
      </c>
      <c r="D1538" s="1" t="s">
        <v>8962</v>
      </c>
      <c r="E1538" s="1" t="s">
        <v>8977</v>
      </c>
      <c r="F1538" s="1" t="s">
        <v>8426</v>
      </c>
      <c r="G1538" s="1" t="s">
        <v>8427</v>
      </c>
    </row>
    <row r="1539" spans="1:7">
      <c r="A1539" s="1">
        <v>1538</v>
      </c>
      <c r="B1539" s="1" t="s">
        <v>8978</v>
      </c>
      <c r="D1539" s="1" t="s">
        <v>8962</v>
      </c>
      <c r="E1539" s="1" t="s">
        <v>8979</v>
      </c>
      <c r="F1539" s="1" t="s">
        <v>8430</v>
      </c>
      <c r="G1539" s="1" t="s">
        <v>8431</v>
      </c>
    </row>
    <row r="1540" spans="1:7">
      <c r="A1540" s="1">
        <v>1539</v>
      </c>
      <c r="B1540" s="1" t="s">
        <v>8980</v>
      </c>
      <c r="D1540" s="1" t="s">
        <v>8962</v>
      </c>
      <c r="E1540" s="1" t="s">
        <v>8981</v>
      </c>
      <c r="F1540" s="1" t="s">
        <v>8434</v>
      </c>
      <c r="G1540" s="1" t="s">
        <v>8435</v>
      </c>
    </row>
    <row r="1541" spans="1:7">
      <c r="A1541" s="1">
        <v>1540</v>
      </c>
      <c r="B1541" s="1" t="s">
        <v>8982</v>
      </c>
      <c r="D1541" s="1" t="s">
        <v>8983</v>
      </c>
      <c r="E1541" s="1" t="s">
        <v>8984</v>
      </c>
      <c r="F1541" s="1" t="s">
        <v>8398</v>
      </c>
      <c r="G1541" s="1" t="s">
        <v>8399</v>
      </c>
    </row>
    <row r="1542" spans="1:7">
      <c r="A1542" s="1">
        <v>1541</v>
      </c>
      <c r="B1542" s="1" t="s">
        <v>8985</v>
      </c>
      <c r="D1542" s="1" t="s">
        <v>8983</v>
      </c>
      <c r="E1542" s="1" t="s">
        <v>8986</v>
      </c>
      <c r="F1542" s="1" t="s">
        <v>8402</v>
      </c>
      <c r="G1542" s="1" t="s">
        <v>8403</v>
      </c>
    </row>
    <row r="1543" spans="1:7">
      <c r="A1543" s="1">
        <v>1542</v>
      </c>
      <c r="B1543" s="1" t="s">
        <v>8987</v>
      </c>
      <c r="D1543" s="1" t="s">
        <v>8983</v>
      </c>
      <c r="E1543" s="1" t="s">
        <v>8988</v>
      </c>
      <c r="F1543" s="1" t="s">
        <v>8406</v>
      </c>
      <c r="G1543" s="1" t="s">
        <v>8407</v>
      </c>
    </row>
    <row r="1544" spans="1:7">
      <c r="A1544" s="1">
        <v>1543</v>
      </c>
      <c r="B1544" s="1" t="s">
        <v>8989</v>
      </c>
      <c r="D1544" s="1" t="s">
        <v>8983</v>
      </c>
      <c r="E1544" s="1" t="s">
        <v>8990</v>
      </c>
      <c r="F1544" s="1" t="s">
        <v>8410</v>
      </c>
      <c r="G1544" s="1" t="s">
        <v>8411</v>
      </c>
    </row>
    <row r="1545" spans="1:7">
      <c r="A1545" s="1">
        <v>1544</v>
      </c>
      <c r="B1545" s="1" t="s">
        <v>8991</v>
      </c>
      <c r="D1545" s="1" t="s">
        <v>8983</v>
      </c>
      <c r="E1545" s="1" t="s">
        <v>8992</v>
      </c>
      <c r="F1545" s="1" t="s">
        <v>8414</v>
      </c>
      <c r="G1545" s="1" t="s">
        <v>8415</v>
      </c>
    </row>
    <row r="1546" spans="1:7">
      <c r="A1546" s="1">
        <v>1545</v>
      </c>
      <c r="B1546" s="1" t="s">
        <v>8993</v>
      </c>
      <c r="D1546" s="1" t="s">
        <v>8983</v>
      </c>
      <c r="E1546" s="1" t="s">
        <v>8994</v>
      </c>
      <c r="F1546" s="1" t="s">
        <v>8418</v>
      </c>
      <c r="G1546" s="1" t="s">
        <v>8419</v>
      </c>
    </row>
    <row r="1547" spans="1:7">
      <c r="A1547" s="1">
        <v>1546</v>
      </c>
      <c r="B1547" s="1" t="s">
        <v>8995</v>
      </c>
      <c r="D1547" s="1" t="s">
        <v>8983</v>
      </c>
      <c r="E1547" s="1" t="s">
        <v>8996</v>
      </c>
      <c r="F1547" s="1" t="s">
        <v>8422</v>
      </c>
      <c r="G1547" s="1" t="s">
        <v>8423</v>
      </c>
    </row>
    <row r="1548" spans="1:7">
      <c r="A1548" s="1">
        <v>1547</v>
      </c>
      <c r="B1548" s="1" t="s">
        <v>8997</v>
      </c>
      <c r="D1548" s="1" t="s">
        <v>8983</v>
      </c>
      <c r="E1548" s="1" t="s">
        <v>8998</v>
      </c>
      <c r="F1548" s="1" t="s">
        <v>8426</v>
      </c>
      <c r="G1548" s="1" t="s">
        <v>8427</v>
      </c>
    </row>
    <row r="1549" spans="1:7">
      <c r="A1549" s="1">
        <v>1548</v>
      </c>
      <c r="B1549" s="1" t="s">
        <v>8999</v>
      </c>
      <c r="D1549" s="1" t="s">
        <v>8983</v>
      </c>
      <c r="E1549" s="1" t="s">
        <v>9000</v>
      </c>
      <c r="F1549" s="1" t="s">
        <v>8430</v>
      </c>
      <c r="G1549" s="1" t="s">
        <v>8431</v>
      </c>
    </row>
    <row r="1550" spans="1:7">
      <c r="A1550" s="1">
        <v>1549</v>
      </c>
      <c r="B1550" s="1" t="s">
        <v>9001</v>
      </c>
      <c r="D1550" s="1" t="s">
        <v>8983</v>
      </c>
      <c r="E1550" s="1" t="s">
        <v>9002</v>
      </c>
      <c r="F1550" s="1" t="s">
        <v>8434</v>
      </c>
      <c r="G1550" s="1" t="s">
        <v>8435</v>
      </c>
    </row>
    <row r="1551" spans="1:7">
      <c r="A1551" s="1">
        <v>1550</v>
      </c>
      <c r="B1551" s="1" t="s">
        <v>9003</v>
      </c>
      <c r="D1551" s="1" t="s">
        <v>9004</v>
      </c>
      <c r="E1551" s="1" t="s">
        <v>9005</v>
      </c>
      <c r="F1551" s="1" t="s">
        <v>8398</v>
      </c>
      <c r="G1551" s="1" t="s">
        <v>8399</v>
      </c>
    </row>
    <row r="1552" spans="1:7">
      <c r="A1552" s="1">
        <v>1551</v>
      </c>
      <c r="B1552" s="1" t="s">
        <v>9006</v>
      </c>
      <c r="D1552" s="1" t="s">
        <v>9004</v>
      </c>
      <c r="E1552" s="1" t="s">
        <v>9007</v>
      </c>
      <c r="F1552" s="1" t="s">
        <v>8402</v>
      </c>
      <c r="G1552" s="1" t="s">
        <v>8403</v>
      </c>
    </row>
    <row r="1553" spans="1:7">
      <c r="A1553" s="1">
        <v>1552</v>
      </c>
      <c r="B1553" s="1" t="s">
        <v>9008</v>
      </c>
      <c r="D1553" s="1" t="s">
        <v>9004</v>
      </c>
      <c r="E1553" s="1" t="s">
        <v>9009</v>
      </c>
      <c r="F1553" s="1" t="s">
        <v>8406</v>
      </c>
      <c r="G1553" s="1" t="s">
        <v>8407</v>
      </c>
    </row>
    <row r="1554" spans="1:7">
      <c r="A1554" s="1">
        <v>1553</v>
      </c>
      <c r="B1554" s="1" t="s">
        <v>9010</v>
      </c>
      <c r="D1554" s="1" t="s">
        <v>9004</v>
      </c>
      <c r="E1554" s="1" t="s">
        <v>9011</v>
      </c>
      <c r="F1554" s="1" t="s">
        <v>8410</v>
      </c>
      <c r="G1554" s="1" t="s">
        <v>8411</v>
      </c>
    </row>
    <row r="1555" spans="1:7">
      <c r="A1555" s="1">
        <v>1554</v>
      </c>
      <c r="B1555" s="1" t="s">
        <v>9012</v>
      </c>
      <c r="D1555" s="1" t="s">
        <v>9004</v>
      </c>
      <c r="E1555" s="1" t="s">
        <v>9013</v>
      </c>
      <c r="F1555" s="1" t="s">
        <v>8414</v>
      </c>
      <c r="G1555" s="1" t="s">
        <v>8415</v>
      </c>
    </row>
    <row r="1556" spans="1:7">
      <c r="A1556" s="1">
        <v>1555</v>
      </c>
      <c r="B1556" s="1" t="s">
        <v>9014</v>
      </c>
      <c r="D1556" s="1" t="s">
        <v>9004</v>
      </c>
      <c r="E1556" s="1" t="s">
        <v>9015</v>
      </c>
      <c r="F1556" s="1" t="s">
        <v>8418</v>
      </c>
      <c r="G1556" s="1" t="s">
        <v>8419</v>
      </c>
    </row>
    <row r="1557" spans="1:7">
      <c r="A1557" s="1">
        <v>1556</v>
      </c>
      <c r="B1557" s="1" t="s">
        <v>9016</v>
      </c>
      <c r="D1557" s="1" t="s">
        <v>9004</v>
      </c>
      <c r="E1557" s="1" t="s">
        <v>9017</v>
      </c>
      <c r="F1557" s="1" t="s">
        <v>8422</v>
      </c>
      <c r="G1557" s="1" t="s">
        <v>8423</v>
      </c>
    </row>
    <row r="1558" spans="1:7">
      <c r="A1558" s="1">
        <v>1557</v>
      </c>
      <c r="B1558" s="1" t="s">
        <v>9018</v>
      </c>
      <c r="D1558" s="1" t="s">
        <v>9004</v>
      </c>
      <c r="E1558" s="1" t="s">
        <v>9019</v>
      </c>
      <c r="F1558" s="1" t="s">
        <v>8426</v>
      </c>
      <c r="G1558" s="1" t="s">
        <v>8427</v>
      </c>
    </row>
    <row r="1559" spans="1:7">
      <c r="A1559" s="1">
        <v>1558</v>
      </c>
      <c r="B1559" s="1" t="s">
        <v>9020</v>
      </c>
      <c r="D1559" s="1" t="s">
        <v>9004</v>
      </c>
      <c r="E1559" s="1" t="s">
        <v>9021</v>
      </c>
      <c r="F1559" s="1" t="s">
        <v>8430</v>
      </c>
      <c r="G1559" s="1" t="s">
        <v>8431</v>
      </c>
    </row>
    <row r="1560" spans="1:7">
      <c r="A1560" s="1">
        <v>1559</v>
      </c>
      <c r="B1560" s="1" t="s">
        <v>9022</v>
      </c>
      <c r="D1560" s="1" t="s">
        <v>9004</v>
      </c>
      <c r="E1560" s="1" t="s">
        <v>9023</v>
      </c>
      <c r="F1560" s="1" t="s">
        <v>8434</v>
      </c>
      <c r="G1560" s="1" t="s">
        <v>8435</v>
      </c>
    </row>
    <row r="1561" spans="1:7">
      <c r="A1561" s="1">
        <v>1560</v>
      </c>
      <c r="B1561" s="1" t="s">
        <v>9024</v>
      </c>
      <c r="D1561" s="1" t="s">
        <v>9025</v>
      </c>
      <c r="E1561" s="1" t="s">
        <v>9026</v>
      </c>
      <c r="F1561" s="1" t="s">
        <v>8398</v>
      </c>
      <c r="G1561" s="1" t="s">
        <v>8399</v>
      </c>
    </row>
    <row r="1562" spans="1:7">
      <c r="A1562" s="1">
        <v>1561</v>
      </c>
      <c r="B1562" s="1" t="s">
        <v>9027</v>
      </c>
      <c r="D1562" s="1" t="s">
        <v>9025</v>
      </c>
      <c r="E1562" s="1" t="s">
        <v>9028</v>
      </c>
      <c r="F1562" s="1" t="s">
        <v>8402</v>
      </c>
      <c r="G1562" s="1" t="s">
        <v>8403</v>
      </c>
    </row>
    <row r="1563" spans="1:7">
      <c r="A1563" s="1">
        <v>1562</v>
      </c>
      <c r="B1563" s="1" t="s">
        <v>9029</v>
      </c>
      <c r="D1563" s="1" t="s">
        <v>9025</v>
      </c>
      <c r="E1563" s="1" t="s">
        <v>9030</v>
      </c>
      <c r="F1563" s="1" t="s">
        <v>8406</v>
      </c>
      <c r="G1563" s="1" t="s">
        <v>8407</v>
      </c>
    </row>
    <row r="1564" spans="1:7">
      <c r="A1564" s="1">
        <v>1563</v>
      </c>
      <c r="B1564" s="1" t="s">
        <v>9031</v>
      </c>
      <c r="D1564" s="1" t="s">
        <v>9025</v>
      </c>
      <c r="E1564" s="1" t="s">
        <v>9032</v>
      </c>
      <c r="F1564" s="1" t="s">
        <v>8410</v>
      </c>
      <c r="G1564" s="1" t="s">
        <v>8411</v>
      </c>
    </row>
    <row r="1565" spans="1:7">
      <c r="A1565" s="1">
        <v>1564</v>
      </c>
      <c r="B1565" s="1" t="s">
        <v>9033</v>
      </c>
      <c r="D1565" s="1" t="s">
        <v>9025</v>
      </c>
      <c r="E1565" s="1" t="s">
        <v>9034</v>
      </c>
      <c r="F1565" s="1" t="s">
        <v>8414</v>
      </c>
      <c r="G1565" s="1" t="s">
        <v>8415</v>
      </c>
    </row>
    <row r="1566" spans="1:7">
      <c r="A1566" s="1">
        <v>1565</v>
      </c>
      <c r="B1566" s="1" t="s">
        <v>9035</v>
      </c>
      <c r="D1566" s="1" t="s">
        <v>9025</v>
      </c>
      <c r="E1566" s="1" t="s">
        <v>9036</v>
      </c>
      <c r="F1566" s="1" t="s">
        <v>8418</v>
      </c>
      <c r="G1566" s="1" t="s">
        <v>8419</v>
      </c>
    </row>
    <row r="1567" spans="1:7">
      <c r="A1567" s="1">
        <v>1566</v>
      </c>
      <c r="B1567" s="1" t="s">
        <v>9037</v>
      </c>
      <c r="D1567" s="1" t="s">
        <v>9025</v>
      </c>
      <c r="E1567" s="1" t="s">
        <v>9038</v>
      </c>
      <c r="F1567" s="1" t="s">
        <v>8422</v>
      </c>
      <c r="G1567" s="1" t="s">
        <v>8423</v>
      </c>
    </row>
    <row r="1568" spans="1:7">
      <c r="A1568" s="1">
        <v>1567</v>
      </c>
      <c r="B1568" s="1" t="s">
        <v>9039</v>
      </c>
      <c r="D1568" s="1" t="s">
        <v>9025</v>
      </c>
      <c r="E1568" s="1" t="s">
        <v>9040</v>
      </c>
      <c r="F1568" s="1" t="s">
        <v>8426</v>
      </c>
      <c r="G1568" s="1" t="s">
        <v>8427</v>
      </c>
    </row>
    <row r="1569" spans="1:7">
      <c r="A1569" s="1">
        <v>1568</v>
      </c>
      <c r="B1569" s="1" t="s">
        <v>9041</v>
      </c>
      <c r="D1569" s="1" t="s">
        <v>9025</v>
      </c>
      <c r="E1569" s="1" t="s">
        <v>9042</v>
      </c>
      <c r="F1569" s="1" t="s">
        <v>8430</v>
      </c>
      <c r="G1569" s="1" t="s">
        <v>8431</v>
      </c>
    </row>
    <row r="1570" spans="1:7">
      <c r="A1570" s="1">
        <v>1569</v>
      </c>
      <c r="B1570" s="1" t="s">
        <v>9043</v>
      </c>
      <c r="D1570" s="1" t="s">
        <v>9025</v>
      </c>
      <c r="E1570" s="1" t="s">
        <v>9044</v>
      </c>
      <c r="F1570" s="1" t="s">
        <v>8434</v>
      </c>
      <c r="G1570" s="1" t="s">
        <v>8435</v>
      </c>
    </row>
    <row r="1571" spans="1:7">
      <c r="A1571" s="1">
        <v>1570</v>
      </c>
      <c r="B1571" s="1" t="s">
        <v>9045</v>
      </c>
      <c r="D1571" s="1" t="s">
        <v>9046</v>
      </c>
      <c r="E1571" s="1" t="s">
        <v>9047</v>
      </c>
      <c r="F1571" s="1" t="s">
        <v>8398</v>
      </c>
      <c r="G1571" s="1" t="s">
        <v>8399</v>
      </c>
    </row>
    <row r="1572" spans="1:7">
      <c r="A1572" s="1">
        <v>1571</v>
      </c>
      <c r="B1572" s="1" t="s">
        <v>9048</v>
      </c>
      <c r="D1572" s="1" t="s">
        <v>9046</v>
      </c>
      <c r="E1572" s="1" t="s">
        <v>9049</v>
      </c>
      <c r="F1572" s="1" t="s">
        <v>8402</v>
      </c>
      <c r="G1572" s="1" t="s">
        <v>8403</v>
      </c>
    </row>
    <row r="1573" spans="1:7">
      <c r="A1573" s="1">
        <v>1572</v>
      </c>
      <c r="B1573" s="1" t="s">
        <v>9050</v>
      </c>
      <c r="D1573" s="1" t="s">
        <v>9046</v>
      </c>
      <c r="E1573" s="1" t="s">
        <v>9051</v>
      </c>
      <c r="F1573" s="1" t="s">
        <v>8406</v>
      </c>
      <c r="G1573" s="1" t="s">
        <v>8407</v>
      </c>
    </row>
    <row r="1574" spans="1:7">
      <c r="A1574" s="1">
        <v>1573</v>
      </c>
      <c r="B1574" s="1" t="s">
        <v>9052</v>
      </c>
      <c r="D1574" s="1" t="s">
        <v>9046</v>
      </c>
      <c r="E1574" s="1" t="s">
        <v>9053</v>
      </c>
      <c r="F1574" s="1" t="s">
        <v>8410</v>
      </c>
      <c r="G1574" s="1" t="s">
        <v>8411</v>
      </c>
    </row>
    <row r="1575" spans="1:7">
      <c r="A1575" s="1">
        <v>1574</v>
      </c>
      <c r="B1575" s="1" t="s">
        <v>9054</v>
      </c>
      <c r="D1575" s="1" t="s">
        <v>9046</v>
      </c>
      <c r="E1575" s="1" t="s">
        <v>9055</v>
      </c>
      <c r="F1575" s="1" t="s">
        <v>8414</v>
      </c>
      <c r="G1575" s="1" t="s">
        <v>8415</v>
      </c>
    </row>
    <row r="1576" spans="1:7">
      <c r="A1576" s="1">
        <v>1575</v>
      </c>
      <c r="B1576" s="1" t="s">
        <v>9056</v>
      </c>
      <c r="D1576" s="1" t="s">
        <v>9046</v>
      </c>
      <c r="E1576" s="1" t="s">
        <v>9057</v>
      </c>
      <c r="F1576" s="1" t="s">
        <v>8418</v>
      </c>
      <c r="G1576" s="1" t="s">
        <v>8419</v>
      </c>
    </row>
    <row r="1577" spans="1:7">
      <c r="A1577" s="1">
        <v>1576</v>
      </c>
      <c r="B1577" s="1" t="s">
        <v>9058</v>
      </c>
      <c r="D1577" s="1" t="s">
        <v>9046</v>
      </c>
      <c r="E1577" s="1" t="s">
        <v>9059</v>
      </c>
      <c r="F1577" s="1" t="s">
        <v>8422</v>
      </c>
      <c r="G1577" s="1" t="s">
        <v>8423</v>
      </c>
    </row>
    <row r="1578" spans="1:7">
      <c r="A1578" s="1">
        <v>1577</v>
      </c>
      <c r="B1578" s="1" t="s">
        <v>9060</v>
      </c>
      <c r="D1578" s="1" t="s">
        <v>9046</v>
      </c>
      <c r="E1578" s="1" t="s">
        <v>9061</v>
      </c>
      <c r="F1578" s="1" t="s">
        <v>8426</v>
      </c>
      <c r="G1578" s="1" t="s">
        <v>8427</v>
      </c>
    </row>
    <row r="1579" spans="1:7">
      <c r="A1579" s="1">
        <v>1578</v>
      </c>
      <c r="B1579" s="1" t="s">
        <v>9062</v>
      </c>
      <c r="D1579" s="1" t="s">
        <v>9046</v>
      </c>
      <c r="E1579" s="1" t="s">
        <v>9063</v>
      </c>
      <c r="F1579" s="1" t="s">
        <v>8430</v>
      </c>
      <c r="G1579" s="1" t="s">
        <v>8431</v>
      </c>
    </row>
    <row r="1580" spans="1:7">
      <c r="A1580" s="1">
        <v>1579</v>
      </c>
      <c r="B1580" s="1" t="s">
        <v>9064</v>
      </c>
      <c r="D1580" s="1" t="s">
        <v>9046</v>
      </c>
      <c r="E1580" s="1" t="s">
        <v>9065</v>
      </c>
      <c r="F1580" s="1" t="s">
        <v>8434</v>
      </c>
      <c r="G1580" s="1" t="s">
        <v>8435</v>
      </c>
    </row>
    <row r="1581" spans="1:7">
      <c r="A1581" s="1">
        <v>1580</v>
      </c>
      <c r="B1581" s="1" t="s">
        <v>9066</v>
      </c>
      <c r="D1581" s="1" t="s">
        <v>9067</v>
      </c>
      <c r="E1581" s="1" t="s">
        <v>9068</v>
      </c>
      <c r="F1581" s="1" t="s">
        <v>8398</v>
      </c>
      <c r="G1581" s="1" t="s">
        <v>8399</v>
      </c>
    </row>
    <row r="1582" spans="1:7">
      <c r="A1582" s="1">
        <v>1581</v>
      </c>
      <c r="B1582" s="1" t="s">
        <v>9069</v>
      </c>
      <c r="D1582" s="1" t="s">
        <v>9067</v>
      </c>
      <c r="E1582" s="1" t="s">
        <v>9070</v>
      </c>
      <c r="F1582" s="1" t="s">
        <v>8402</v>
      </c>
      <c r="G1582" s="1" t="s">
        <v>8403</v>
      </c>
    </row>
    <row r="1583" spans="1:7">
      <c r="A1583" s="1">
        <v>1582</v>
      </c>
      <c r="B1583" s="1" t="s">
        <v>9071</v>
      </c>
      <c r="D1583" s="1" t="s">
        <v>9067</v>
      </c>
      <c r="E1583" s="1" t="s">
        <v>9072</v>
      </c>
      <c r="F1583" s="1" t="s">
        <v>8406</v>
      </c>
      <c r="G1583" s="1" t="s">
        <v>8407</v>
      </c>
    </row>
    <row r="1584" spans="1:7">
      <c r="A1584" s="1">
        <v>1583</v>
      </c>
      <c r="B1584" s="1" t="s">
        <v>9073</v>
      </c>
      <c r="D1584" s="1" t="s">
        <v>9067</v>
      </c>
      <c r="E1584" s="1" t="s">
        <v>9074</v>
      </c>
      <c r="F1584" s="1" t="s">
        <v>8410</v>
      </c>
      <c r="G1584" s="1" t="s">
        <v>8411</v>
      </c>
    </row>
    <row r="1585" spans="1:7">
      <c r="A1585" s="1">
        <v>1584</v>
      </c>
      <c r="B1585" s="1" t="s">
        <v>9075</v>
      </c>
      <c r="D1585" s="1" t="s">
        <v>9067</v>
      </c>
      <c r="E1585" s="1" t="s">
        <v>9076</v>
      </c>
      <c r="F1585" s="1" t="s">
        <v>8414</v>
      </c>
      <c r="G1585" s="1" t="s">
        <v>8415</v>
      </c>
    </row>
    <row r="1586" spans="1:7">
      <c r="A1586" s="1">
        <v>1585</v>
      </c>
      <c r="B1586" s="1" t="s">
        <v>9077</v>
      </c>
      <c r="D1586" s="1" t="s">
        <v>9067</v>
      </c>
      <c r="E1586" s="1" t="s">
        <v>9078</v>
      </c>
      <c r="F1586" s="1" t="s">
        <v>8418</v>
      </c>
      <c r="G1586" s="1" t="s">
        <v>8419</v>
      </c>
    </row>
    <row r="1587" spans="1:7">
      <c r="A1587" s="1">
        <v>1586</v>
      </c>
      <c r="B1587" s="1" t="s">
        <v>9079</v>
      </c>
      <c r="D1587" s="1" t="s">
        <v>9067</v>
      </c>
      <c r="E1587" s="1" t="s">
        <v>9080</v>
      </c>
      <c r="F1587" s="1" t="s">
        <v>8422</v>
      </c>
      <c r="G1587" s="1" t="s">
        <v>8423</v>
      </c>
    </row>
    <row r="1588" spans="1:7">
      <c r="A1588" s="1">
        <v>1587</v>
      </c>
      <c r="B1588" s="1" t="s">
        <v>9081</v>
      </c>
      <c r="D1588" s="1" t="s">
        <v>9067</v>
      </c>
      <c r="E1588" s="1" t="s">
        <v>9082</v>
      </c>
      <c r="F1588" s="1" t="s">
        <v>8426</v>
      </c>
      <c r="G1588" s="1" t="s">
        <v>8427</v>
      </c>
    </row>
    <row r="1589" spans="1:7">
      <c r="A1589" s="1">
        <v>1588</v>
      </c>
      <c r="B1589" s="1" t="s">
        <v>9083</v>
      </c>
      <c r="D1589" s="1" t="s">
        <v>9067</v>
      </c>
      <c r="E1589" s="1" t="s">
        <v>9084</v>
      </c>
      <c r="F1589" s="1" t="s">
        <v>8430</v>
      </c>
      <c r="G1589" s="1" t="s">
        <v>8431</v>
      </c>
    </row>
    <row r="1590" spans="1:7">
      <c r="A1590" s="1">
        <v>1589</v>
      </c>
      <c r="B1590" s="1" t="s">
        <v>9085</v>
      </c>
      <c r="D1590" s="1" t="s">
        <v>9067</v>
      </c>
      <c r="E1590" s="1" t="s">
        <v>9086</v>
      </c>
      <c r="F1590" s="1" t="s">
        <v>8434</v>
      </c>
      <c r="G1590" s="1" t="s">
        <v>8435</v>
      </c>
    </row>
    <row r="1591" spans="1:7">
      <c r="A1591" s="1">
        <v>1590</v>
      </c>
      <c r="B1591" s="1" t="s">
        <v>9087</v>
      </c>
      <c r="D1591" s="1" t="s">
        <v>9088</v>
      </c>
      <c r="E1591" s="1" t="s">
        <v>9089</v>
      </c>
      <c r="F1591" s="1" t="s">
        <v>8398</v>
      </c>
      <c r="G1591" s="1" t="s">
        <v>8399</v>
      </c>
    </row>
    <row r="1592" spans="1:7">
      <c r="A1592" s="1">
        <v>1591</v>
      </c>
      <c r="B1592" s="1" t="s">
        <v>9090</v>
      </c>
      <c r="D1592" s="1" t="s">
        <v>9088</v>
      </c>
      <c r="E1592" s="1" t="s">
        <v>9091</v>
      </c>
      <c r="F1592" s="1" t="s">
        <v>8402</v>
      </c>
      <c r="G1592" s="1" t="s">
        <v>8403</v>
      </c>
    </row>
    <row r="1593" spans="1:7">
      <c r="A1593" s="1">
        <v>1592</v>
      </c>
      <c r="B1593" s="1" t="s">
        <v>9092</v>
      </c>
      <c r="D1593" s="1" t="s">
        <v>9088</v>
      </c>
      <c r="E1593" s="1" t="s">
        <v>9093</v>
      </c>
      <c r="F1593" s="1" t="s">
        <v>8406</v>
      </c>
      <c r="G1593" s="1" t="s">
        <v>8407</v>
      </c>
    </row>
    <row r="1594" spans="1:7">
      <c r="A1594" s="1">
        <v>1593</v>
      </c>
      <c r="B1594" s="1" t="s">
        <v>9094</v>
      </c>
      <c r="D1594" s="1" t="s">
        <v>9088</v>
      </c>
      <c r="E1594" s="1" t="s">
        <v>9095</v>
      </c>
      <c r="F1594" s="1" t="s">
        <v>8410</v>
      </c>
      <c r="G1594" s="1" t="s">
        <v>8411</v>
      </c>
    </row>
    <row r="1595" spans="1:7">
      <c r="A1595" s="1">
        <v>1594</v>
      </c>
      <c r="B1595" s="1" t="s">
        <v>9096</v>
      </c>
      <c r="D1595" s="1" t="s">
        <v>9088</v>
      </c>
      <c r="E1595" s="1" t="s">
        <v>9097</v>
      </c>
      <c r="F1595" s="1" t="s">
        <v>8414</v>
      </c>
      <c r="G1595" s="1" t="s">
        <v>8415</v>
      </c>
    </row>
    <row r="1596" spans="1:7">
      <c r="A1596" s="1">
        <v>1595</v>
      </c>
      <c r="B1596" s="1" t="s">
        <v>9098</v>
      </c>
      <c r="D1596" s="1" t="s">
        <v>9088</v>
      </c>
      <c r="E1596" s="1" t="s">
        <v>9099</v>
      </c>
      <c r="F1596" s="1" t="s">
        <v>8418</v>
      </c>
      <c r="G1596" s="1" t="s">
        <v>8419</v>
      </c>
    </row>
    <row r="1597" spans="1:7">
      <c r="A1597" s="1">
        <v>1596</v>
      </c>
      <c r="B1597" s="1" t="s">
        <v>9100</v>
      </c>
      <c r="D1597" s="1" t="s">
        <v>9088</v>
      </c>
      <c r="E1597" s="1" t="s">
        <v>9101</v>
      </c>
      <c r="F1597" s="1" t="s">
        <v>8422</v>
      </c>
      <c r="G1597" s="1" t="s">
        <v>8423</v>
      </c>
    </row>
    <row r="1598" spans="1:7">
      <c r="A1598" s="1">
        <v>1597</v>
      </c>
      <c r="B1598" s="1" t="s">
        <v>9102</v>
      </c>
      <c r="D1598" s="1" t="s">
        <v>9088</v>
      </c>
      <c r="E1598" s="1" t="s">
        <v>9103</v>
      </c>
      <c r="F1598" s="1" t="s">
        <v>8426</v>
      </c>
      <c r="G1598" s="1" t="s">
        <v>8427</v>
      </c>
    </row>
    <row r="1599" spans="1:7">
      <c r="A1599" s="1">
        <v>1598</v>
      </c>
      <c r="B1599" s="1" t="s">
        <v>9104</v>
      </c>
      <c r="D1599" s="1" t="s">
        <v>9088</v>
      </c>
      <c r="E1599" s="1" t="s">
        <v>9105</v>
      </c>
      <c r="F1599" s="1" t="s">
        <v>8430</v>
      </c>
      <c r="G1599" s="1" t="s">
        <v>8431</v>
      </c>
    </row>
    <row r="1600" spans="1:7">
      <c r="A1600" s="1">
        <v>1599</v>
      </c>
      <c r="B1600" s="1" t="s">
        <v>9106</v>
      </c>
      <c r="D1600" s="1" t="s">
        <v>9088</v>
      </c>
      <c r="E1600" s="1" t="s">
        <v>9107</v>
      </c>
      <c r="F1600" s="1" t="s">
        <v>8434</v>
      </c>
      <c r="G1600" s="1" t="s">
        <v>8435</v>
      </c>
    </row>
    <row r="1601" spans="1:7">
      <c r="A1601" s="1">
        <v>1600</v>
      </c>
      <c r="B1601" s="1" t="s">
        <v>9108</v>
      </c>
      <c r="D1601" s="1" t="s">
        <v>9109</v>
      </c>
      <c r="E1601" s="1" t="s">
        <v>9110</v>
      </c>
      <c r="F1601" s="1" t="s">
        <v>8398</v>
      </c>
      <c r="G1601" s="1" t="s">
        <v>8399</v>
      </c>
    </row>
    <row r="1602" spans="1:7">
      <c r="A1602" s="1">
        <v>1601</v>
      </c>
      <c r="B1602" s="1" t="s">
        <v>9111</v>
      </c>
      <c r="D1602" s="1" t="s">
        <v>9109</v>
      </c>
      <c r="E1602" s="1" t="s">
        <v>9112</v>
      </c>
      <c r="F1602" s="1" t="s">
        <v>8402</v>
      </c>
      <c r="G1602" s="1" t="s">
        <v>8403</v>
      </c>
    </row>
    <row r="1603" spans="1:7">
      <c r="A1603" s="1">
        <v>1602</v>
      </c>
      <c r="B1603" s="1" t="s">
        <v>9113</v>
      </c>
      <c r="D1603" s="1" t="s">
        <v>9109</v>
      </c>
      <c r="E1603" s="1" t="s">
        <v>9114</v>
      </c>
      <c r="F1603" s="1" t="s">
        <v>8406</v>
      </c>
      <c r="G1603" s="1" t="s">
        <v>8407</v>
      </c>
    </row>
    <row r="1604" spans="1:7">
      <c r="A1604" s="1">
        <v>1603</v>
      </c>
      <c r="B1604" s="1" t="s">
        <v>9115</v>
      </c>
      <c r="D1604" s="1" t="s">
        <v>9109</v>
      </c>
      <c r="E1604" s="1" t="s">
        <v>9116</v>
      </c>
      <c r="F1604" s="1" t="s">
        <v>8410</v>
      </c>
      <c r="G1604" s="1" t="s">
        <v>8411</v>
      </c>
    </row>
    <row r="1605" spans="1:7">
      <c r="A1605" s="1">
        <v>1604</v>
      </c>
      <c r="B1605" s="1" t="s">
        <v>9117</v>
      </c>
      <c r="D1605" s="1" t="s">
        <v>9109</v>
      </c>
      <c r="E1605" s="1" t="s">
        <v>9118</v>
      </c>
      <c r="F1605" s="1" t="s">
        <v>8414</v>
      </c>
      <c r="G1605" s="1" t="s">
        <v>8415</v>
      </c>
    </row>
    <row r="1606" spans="1:7">
      <c r="A1606" s="1">
        <v>1605</v>
      </c>
      <c r="B1606" s="1" t="s">
        <v>9119</v>
      </c>
      <c r="D1606" s="1" t="s">
        <v>9109</v>
      </c>
      <c r="E1606" s="1" t="s">
        <v>9120</v>
      </c>
      <c r="F1606" s="1" t="s">
        <v>8418</v>
      </c>
      <c r="G1606" s="1" t="s">
        <v>8419</v>
      </c>
    </row>
    <row r="1607" spans="1:7">
      <c r="A1607" s="1">
        <v>1606</v>
      </c>
      <c r="B1607" s="1" t="s">
        <v>9121</v>
      </c>
      <c r="D1607" s="1" t="s">
        <v>9109</v>
      </c>
      <c r="E1607" s="1" t="s">
        <v>9122</v>
      </c>
      <c r="F1607" s="1" t="s">
        <v>8422</v>
      </c>
      <c r="G1607" s="1" t="s">
        <v>8423</v>
      </c>
    </row>
    <row r="1608" spans="1:7">
      <c r="A1608" s="1">
        <v>1607</v>
      </c>
      <c r="B1608" s="1" t="s">
        <v>9123</v>
      </c>
      <c r="D1608" s="1" t="s">
        <v>9109</v>
      </c>
      <c r="E1608" s="1" t="s">
        <v>9124</v>
      </c>
      <c r="F1608" s="1" t="s">
        <v>8426</v>
      </c>
      <c r="G1608" s="1" t="s">
        <v>8427</v>
      </c>
    </row>
    <row r="1609" spans="1:7">
      <c r="A1609" s="1">
        <v>1608</v>
      </c>
      <c r="B1609" s="1" t="s">
        <v>9125</v>
      </c>
      <c r="D1609" s="1" t="s">
        <v>9109</v>
      </c>
      <c r="E1609" s="1" t="s">
        <v>9126</v>
      </c>
      <c r="F1609" s="1" t="s">
        <v>8430</v>
      </c>
      <c r="G1609" s="1" t="s">
        <v>8431</v>
      </c>
    </row>
    <row r="1610" spans="1:7">
      <c r="A1610" s="1">
        <v>1609</v>
      </c>
      <c r="B1610" s="1" t="s">
        <v>9127</v>
      </c>
      <c r="D1610" s="1" t="s">
        <v>9109</v>
      </c>
      <c r="E1610" s="1" t="s">
        <v>9128</v>
      </c>
      <c r="F1610" s="1" t="s">
        <v>8434</v>
      </c>
      <c r="G1610" s="1" t="s">
        <v>8435</v>
      </c>
    </row>
    <row r="1611" spans="1:7">
      <c r="A1611" s="1">
        <v>1610</v>
      </c>
      <c r="B1611" s="1" t="s">
        <v>9129</v>
      </c>
      <c r="D1611" s="1" t="s">
        <v>9130</v>
      </c>
      <c r="E1611" s="1" t="s">
        <v>9131</v>
      </c>
      <c r="F1611" s="1" t="s">
        <v>8398</v>
      </c>
      <c r="G1611" s="1" t="s">
        <v>8399</v>
      </c>
    </row>
    <row r="1612" spans="1:7">
      <c r="A1612" s="1">
        <v>1611</v>
      </c>
      <c r="B1612" s="1" t="s">
        <v>9132</v>
      </c>
      <c r="D1612" s="1" t="s">
        <v>9130</v>
      </c>
      <c r="E1612" s="1" t="s">
        <v>9133</v>
      </c>
      <c r="F1612" s="1" t="s">
        <v>8402</v>
      </c>
      <c r="G1612" s="1" t="s">
        <v>8403</v>
      </c>
    </row>
    <row r="1613" spans="1:7">
      <c r="A1613" s="1">
        <v>1612</v>
      </c>
      <c r="B1613" s="1" t="s">
        <v>9134</v>
      </c>
      <c r="D1613" s="1" t="s">
        <v>9130</v>
      </c>
      <c r="E1613" s="1" t="s">
        <v>9135</v>
      </c>
      <c r="F1613" s="1" t="s">
        <v>8406</v>
      </c>
      <c r="G1613" s="1" t="s">
        <v>8407</v>
      </c>
    </row>
    <row r="1614" spans="1:7">
      <c r="A1614" s="1">
        <v>1613</v>
      </c>
      <c r="B1614" s="1" t="s">
        <v>9136</v>
      </c>
      <c r="D1614" s="1" t="s">
        <v>9130</v>
      </c>
      <c r="E1614" s="1" t="s">
        <v>9137</v>
      </c>
      <c r="F1614" s="1" t="s">
        <v>8410</v>
      </c>
      <c r="G1614" s="1" t="s">
        <v>8411</v>
      </c>
    </row>
    <row r="1615" spans="1:7">
      <c r="A1615" s="1">
        <v>1614</v>
      </c>
      <c r="B1615" s="1" t="s">
        <v>9138</v>
      </c>
      <c r="D1615" s="1" t="s">
        <v>9130</v>
      </c>
      <c r="E1615" s="1" t="s">
        <v>9139</v>
      </c>
      <c r="F1615" s="1" t="s">
        <v>8414</v>
      </c>
      <c r="G1615" s="1" t="s">
        <v>8415</v>
      </c>
    </row>
    <row r="1616" spans="1:7">
      <c r="A1616" s="1">
        <v>1615</v>
      </c>
      <c r="B1616" s="1" t="s">
        <v>9140</v>
      </c>
      <c r="D1616" s="1" t="s">
        <v>9130</v>
      </c>
      <c r="E1616" s="1" t="s">
        <v>9141</v>
      </c>
      <c r="F1616" s="1" t="s">
        <v>8418</v>
      </c>
      <c r="G1616" s="1" t="s">
        <v>8419</v>
      </c>
    </row>
    <row r="1617" spans="1:7">
      <c r="A1617" s="1">
        <v>1616</v>
      </c>
      <c r="B1617" s="1" t="s">
        <v>9142</v>
      </c>
      <c r="D1617" s="1" t="s">
        <v>9130</v>
      </c>
      <c r="E1617" s="1" t="s">
        <v>9143</v>
      </c>
      <c r="F1617" s="1" t="s">
        <v>8422</v>
      </c>
      <c r="G1617" s="1" t="s">
        <v>8423</v>
      </c>
    </row>
    <row r="1618" spans="1:7">
      <c r="A1618" s="1">
        <v>1617</v>
      </c>
      <c r="B1618" s="1" t="s">
        <v>9144</v>
      </c>
      <c r="D1618" s="1" t="s">
        <v>9130</v>
      </c>
      <c r="E1618" s="1" t="s">
        <v>9145</v>
      </c>
      <c r="F1618" s="1" t="s">
        <v>8426</v>
      </c>
      <c r="G1618" s="1" t="s">
        <v>8427</v>
      </c>
    </row>
    <row r="1619" spans="1:7">
      <c r="A1619" s="1">
        <v>1618</v>
      </c>
      <c r="B1619" s="1" t="s">
        <v>9146</v>
      </c>
      <c r="D1619" s="1" t="s">
        <v>9130</v>
      </c>
      <c r="E1619" s="1" t="s">
        <v>9147</v>
      </c>
      <c r="F1619" s="1" t="s">
        <v>8430</v>
      </c>
      <c r="G1619" s="1" t="s">
        <v>8431</v>
      </c>
    </row>
    <row r="1620" spans="1:7">
      <c r="A1620" s="1">
        <v>1619</v>
      </c>
      <c r="B1620" s="1" t="s">
        <v>9148</v>
      </c>
      <c r="D1620" s="1" t="s">
        <v>9130</v>
      </c>
      <c r="E1620" s="1" t="s">
        <v>9149</v>
      </c>
      <c r="F1620" s="1" t="s">
        <v>8434</v>
      </c>
      <c r="G1620" s="1" t="s">
        <v>8435</v>
      </c>
    </row>
    <row r="1621" spans="1:7">
      <c r="A1621" s="1">
        <v>1620</v>
      </c>
      <c r="B1621" s="1" t="s">
        <v>9150</v>
      </c>
      <c r="D1621" s="1" t="s">
        <v>9151</v>
      </c>
      <c r="E1621" s="1" t="s">
        <v>9152</v>
      </c>
      <c r="F1621" s="1" t="s">
        <v>8398</v>
      </c>
      <c r="G1621" s="1" t="s">
        <v>8399</v>
      </c>
    </row>
    <row r="1622" spans="1:7">
      <c r="A1622" s="1">
        <v>1621</v>
      </c>
      <c r="B1622" s="1" t="s">
        <v>9153</v>
      </c>
      <c r="D1622" s="1" t="s">
        <v>9151</v>
      </c>
      <c r="E1622" s="1" t="s">
        <v>9154</v>
      </c>
      <c r="F1622" s="1" t="s">
        <v>8402</v>
      </c>
      <c r="G1622" s="1" t="s">
        <v>8403</v>
      </c>
    </row>
    <row r="1623" spans="1:7">
      <c r="A1623" s="1">
        <v>1622</v>
      </c>
      <c r="B1623" s="1" t="s">
        <v>9155</v>
      </c>
      <c r="D1623" s="1" t="s">
        <v>9151</v>
      </c>
      <c r="E1623" s="1" t="s">
        <v>9156</v>
      </c>
      <c r="F1623" s="1" t="s">
        <v>8406</v>
      </c>
      <c r="G1623" s="1" t="s">
        <v>8407</v>
      </c>
    </row>
    <row r="1624" spans="1:7">
      <c r="A1624" s="1">
        <v>1623</v>
      </c>
      <c r="B1624" s="1" t="s">
        <v>9157</v>
      </c>
      <c r="D1624" s="1" t="s">
        <v>9151</v>
      </c>
      <c r="E1624" s="1" t="s">
        <v>9158</v>
      </c>
      <c r="F1624" s="1" t="s">
        <v>8410</v>
      </c>
      <c r="G1624" s="1" t="s">
        <v>8411</v>
      </c>
    </row>
    <row r="1625" spans="1:7">
      <c r="A1625" s="1">
        <v>1624</v>
      </c>
      <c r="B1625" s="1" t="s">
        <v>9159</v>
      </c>
      <c r="D1625" s="1" t="s">
        <v>9151</v>
      </c>
      <c r="E1625" s="1" t="s">
        <v>9160</v>
      </c>
      <c r="F1625" s="1" t="s">
        <v>8414</v>
      </c>
      <c r="G1625" s="1" t="s">
        <v>8415</v>
      </c>
    </row>
    <row r="1626" spans="1:7">
      <c r="A1626" s="1">
        <v>1625</v>
      </c>
      <c r="B1626" s="1" t="s">
        <v>9161</v>
      </c>
      <c r="D1626" s="1" t="s">
        <v>9151</v>
      </c>
      <c r="E1626" s="1" t="s">
        <v>9162</v>
      </c>
      <c r="F1626" s="1" t="s">
        <v>8418</v>
      </c>
      <c r="G1626" s="1" t="s">
        <v>8419</v>
      </c>
    </row>
    <row r="1627" spans="1:7">
      <c r="A1627" s="1">
        <v>1626</v>
      </c>
      <c r="B1627" s="1" t="s">
        <v>9163</v>
      </c>
      <c r="D1627" s="1" t="s">
        <v>9151</v>
      </c>
      <c r="E1627" s="1" t="s">
        <v>9164</v>
      </c>
      <c r="F1627" s="1" t="s">
        <v>8422</v>
      </c>
      <c r="G1627" s="1" t="s">
        <v>8423</v>
      </c>
    </row>
    <row r="1628" spans="1:7">
      <c r="A1628" s="1">
        <v>1627</v>
      </c>
      <c r="B1628" s="1" t="s">
        <v>9165</v>
      </c>
      <c r="D1628" s="1" t="s">
        <v>9151</v>
      </c>
      <c r="E1628" s="1" t="s">
        <v>9166</v>
      </c>
      <c r="F1628" s="1" t="s">
        <v>8426</v>
      </c>
      <c r="G1628" s="1" t="s">
        <v>8427</v>
      </c>
    </row>
    <row r="1629" spans="1:7">
      <c r="A1629" s="1">
        <v>1628</v>
      </c>
      <c r="B1629" s="1" t="s">
        <v>9167</v>
      </c>
      <c r="D1629" s="1" t="s">
        <v>9151</v>
      </c>
      <c r="E1629" s="1" t="s">
        <v>9168</v>
      </c>
      <c r="F1629" s="1" t="s">
        <v>8430</v>
      </c>
      <c r="G1629" s="1" t="s">
        <v>8431</v>
      </c>
    </row>
    <row r="1630" spans="1:7">
      <c r="A1630" s="1">
        <v>1629</v>
      </c>
      <c r="B1630" s="1" t="s">
        <v>9169</v>
      </c>
      <c r="D1630" s="1" t="s">
        <v>9151</v>
      </c>
      <c r="E1630" s="1" t="s">
        <v>9170</v>
      </c>
      <c r="F1630" s="1" t="s">
        <v>8434</v>
      </c>
      <c r="G1630" s="1" t="s">
        <v>8435</v>
      </c>
    </row>
    <row r="1631" spans="1:7">
      <c r="A1631" s="1">
        <v>1630</v>
      </c>
      <c r="B1631" s="1" t="s">
        <v>9171</v>
      </c>
      <c r="D1631" s="1" t="s">
        <v>9172</v>
      </c>
      <c r="E1631" s="1" t="s">
        <v>9173</v>
      </c>
      <c r="F1631" s="1" t="s">
        <v>8398</v>
      </c>
      <c r="G1631" s="1" t="s">
        <v>8399</v>
      </c>
    </row>
    <row r="1632" spans="1:7">
      <c r="A1632" s="1">
        <v>1631</v>
      </c>
      <c r="B1632" s="1" t="s">
        <v>9174</v>
      </c>
      <c r="D1632" s="1" t="s">
        <v>9172</v>
      </c>
      <c r="E1632" s="1" t="s">
        <v>9175</v>
      </c>
      <c r="F1632" s="1" t="s">
        <v>8402</v>
      </c>
      <c r="G1632" s="1" t="s">
        <v>8403</v>
      </c>
    </row>
    <row r="1633" spans="1:7">
      <c r="A1633" s="1">
        <v>1632</v>
      </c>
      <c r="B1633" s="1" t="s">
        <v>9176</v>
      </c>
      <c r="D1633" s="1" t="s">
        <v>9172</v>
      </c>
      <c r="E1633" s="1" t="s">
        <v>9177</v>
      </c>
      <c r="F1633" s="1" t="s">
        <v>8406</v>
      </c>
      <c r="G1633" s="1" t="s">
        <v>8407</v>
      </c>
    </row>
    <row r="1634" spans="1:7">
      <c r="A1634" s="1">
        <v>1633</v>
      </c>
      <c r="B1634" s="1" t="s">
        <v>9178</v>
      </c>
      <c r="D1634" s="1" t="s">
        <v>9172</v>
      </c>
      <c r="E1634" s="1" t="s">
        <v>9179</v>
      </c>
      <c r="F1634" s="1" t="s">
        <v>8410</v>
      </c>
      <c r="G1634" s="1" t="s">
        <v>8411</v>
      </c>
    </row>
    <row r="1635" spans="1:7">
      <c r="A1635" s="1">
        <v>1634</v>
      </c>
      <c r="B1635" s="1" t="s">
        <v>9180</v>
      </c>
      <c r="D1635" s="1" t="s">
        <v>9172</v>
      </c>
      <c r="E1635" s="1" t="s">
        <v>9181</v>
      </c>
      <c r="F1635" s="1" t="s">
        <v>8414</v>
      </c>
      <c r="G1635" s="1" t="s">
        <v>8415</v>
      </c>
    </row>
    <row r="1636" spans="1:7">
      <c r="A1636" s="1">
        <v>1635</v>
      </c>
      <c r="B1636" s="1" t="s">
        <v>9182</v>
      </c>
      <c r="D1636" s="1" t="s">
        <v>9172</v>
      </c>
      <c r="E1636" s="1" t="s">
        <v>9183</v>
      </c>
      <c r="F1636" s="1" t="s">
        <v>8418</v>
      </c>
      <c r="G1636" s="1" t="s">
        <v>8419</v>
      </c>
    </row>
    <row r="1637" spans="1:7">
      <c r="A1637" s="1">
        <v>1636</v>
      </c>
      <c r="B1637" s="1" t="s">
        <v>9184</v>
      </c>
      <c r="D1637" s="1" t="s">
        <v>9172</v>
      </c>
      <c r="E1637" s="1" t="s">
        <v>9185</v>
      </c>
      <c r="F1637" s="1" t="s">
        <v>8422</v>
      </c>
      <c r="G1637" s="1" t="s">
        <v>8423</v>
      </c>
    </row>
    <row r="1638" spans="1:7">
      <c r="A1638" s="1">
        <v>1637</v>
      </c>
      <c r="B1638" s="1" t="s">
        <v>9186</v>
      </c>
      <c r="D1638" s="1" t="s">
        <v>9172</v>
      </c>
      <c r="E1638" s="1" t="s">
        <v>9187</v>
      </c>
      <c r="F1638" s="1" t="s">
        <v>8426</v>
      </c>
      <c r="G1638" s="1" t="s">
        <v>8427</v>
      </c>
    </row>
    <row r="1639" spans="1:7">
      <c r="A1639" s="1">
        <v>1638</v>
      </c>
      <c r="B1639" s="1" t="s">
        <v>9188</v>
      </c>
      <c r="D1639" s="1" t="s">
        <v>9172</v>
      </c>
      <c r="E1639" s="1" t="s">
        <v>9189</v>
      </c>
      <c r="F1639" s="1" t="s">
        <v>8430</v>
      </c>
      <c r="G1639" s="1" t="s">
        <v>8431</v>
      </c>
    </row>
    <row r="1640" spans="1:7">
      <c r="A1640" s="1">
        <v>1639</v>
      </c>
      <c r="B1640" s="1" t="s">
        <v>9190</v>
      </c>
      <c r="D1640" s="1" t="s">
        <v>9172</v>
      </c>
      <c r="E1640" s="1" t="s">
        <v>9191</v>
      </c>
      <c r="F1640" s="1" t="s">
        <v>8434</v>
      </c>
      <c r="G1640" s="1" t="s">
        <v>8435</v>
      </c>
    </row>
    <row r="1641" spans="1:7">
      <c r="A1641" s="1">
        <v>1640</v>
      </c>
      <c r="B1641" s="1" t="s">
        <v>9192</v>
      </c>
      <c r="D1641" s="1" t="s">
        <v>9193</v>
      </c>
      <c r="E1641" s="1" t="s">
        <v>9194</v>
      </c>
      <c r="F1641" s="1" t="s">
        <v>8398</v>
      </c>
      <c r="G1641" s="1" t="s">
        <v>8399</v>
      </c>
    </row>
    <row r="1642" spans="1:7">
      <c r="A1642" s="1">
        <v>1641</v>
      </c>
      <c r="B1642" s="1" t="s">
        <v>9195</v>
      </c>
      <c r="D1642" s="1" t="s">
        <v>9193</v>
      </c>
      <c r="E1642" s="1" t="s">
        <v>9196</v>
      </c>
      <c r="F1642" s="1" t="s">
        <v>8402</v>
      </c>
      <c r="G1642" s="1" t="s">
        <v>8403</v>
      </c>
    </row>
    <row r="1643" spans="1:7">
      <c r="A1643" s="1">
        <v>1642</v>
      </c>
      <c r="B1643" s="1" t="s">
        <v>9197</v>
      </c>
      <c r="D1643" s="1" t="s">
        <v>9193</v>
      </c>
      <c r="E1643" s="1" t="s">
        <v>9198</v>
      </c>
      <c r="F1643" s="1" t="s">
        <v>8406</v>
      </c>
      <c r="G1643" s="1" t="s">
        <v>8407</v>
      </c>
    </row>
    <row r="1644" spans="1:7">
      <c r="A1644" s="1">
        <v>1643</v>
      </c>
      <c r="B1644" s="1" t="s">
        <v>9199</v>
      </c>
      <c r="D1644" s="1" t="s">
        <v>9193</v>
      </c>
      <c r="E1644" s="1" t="s">
        <v>9200</v>
      </c>
      <c r="F1644" s="1" t="s">
        <v>8410</v>
      </c>
      <c r="G1644" s="1" t="s">
        <v>8411</v>
      </c>
    </row>
    <row r="1645" spans="1:7">
      <c r="A1645" s="1">
        <v>1644</v>
      </c>
      <c r="B1645" s="1" t="s">
        <v>9201</v>
      </c>
      <c r="D1645" s="1" t="s">
        <v>9193</v>
      </c>
      <c r="E1645" s="1" t="s">
        <v>9202</v>
      </c>
      <c r="F1645" s="1" t="s">
        <v>8414</v>
      </c>
      <c r="G1645" s="1" t="s">
        <v>8415</v>
      </c>
    </row>
    <row r="1646" spans="1:7">
      <c r="A1646" s="1">
        <v>1645</v>
      </c>
      <c r="B1646" s="1" t="s">
        <v>9203</v>
      </c>
      <c r="D1646" s="1" t="s">
        <v>9193</v>
      </c>
      <c r="E1646" s="1" t="s">
        <v>9204</v>
      </c>
      <c r="F1646" s="1" t="s">
        <v>8418</v>
      </c>
      <c r="G1646" s="1" t="s">
        <v>8419</v>
      </c>
    </row>
    <row r="1647" spans="1:7">
      <c r="A1647" s="1">
        <v>1646</v>
      </c>
      <c r="B1647" s="1" t="s">
        <v>9205</v>
      </c>
      <c r="D1647" s="1" t="s">
        <v>9193</v>
      </c>
      <c r="E1647" s="1" t="s">
        <v>9206</v>
      </c>
      <c r="F1647" s="1" t="s">
        <v>8422</v>
      </c>
      <c r="G1647" s="1" t="s">
        <v>8423</v>
      </c>
    </row>
    <row r="1648" spans="1:7">
      <c r="A1648" s="1">
        <v>1647</v>
      </c>
      <c r="B1648" s="1" t="s">
        <v>9207</v>
      </c>
      <c r="D1648" s="1" t="s">
        <v>9193</v>
      </c>
      <c r="E1648" s="1" t="s">
        <v>9208</v>
      </c>
      <c r="F1648" s="1" t="s">
        <v>8426</v>
      </c>
      <c r="G1648" s="1" t="s">
        <v>8427</v>
      </c>
    </row>
    <row r="1649" spans="1:7">
      <c r="A1649" s="1">
        <v>1648</v>
      </c>
      <c r="B1649" s="1" t="s">
        <v>9209</v>
      </c>
      <c r="D1649" s="1" t="s">
        <v>9193</v>
      </c>
      <c r="E1649" s="1" t="s">
        <v>9210</v>
      </c>
      <c r="F1649" s="1" t="s">
        <v>8430</v>
      </c>
      <c r="G1649" s="1" t="s">
        <v>8431</v>
      </c>
    </row>
    <row r="1650" spans="1:7">
      <c r="A1650" s="1">
        <v>1649</v>
      </c>
      <c r="B1650" s="1" t="s">
        <v>9211</v>
      </c>
      <c r="D1650" s="1" t="s">
        <v>9193</v>
      </c>
      <c r="E1650" s="1" t="s">
        <v>9212</v>
      </c>
      <c r="F1650" s="1" t="s">
        <v>8434</v>
      </c>
      <c r="G1650" s="1" t="s">
        <v>8435</v>
      </c>
    </row>
    <row r="1651" spans="1:7">
      <c r="A1651" s="1">
        <v>1650</v>
      </c>
      <c r="B1651" s="1" t="s">
        <v>9213</v>
      </c>
      <c r="D1651" s="1" t="s">
        <v>9214</v>
      </c>
      <c r="E1651" s="1" t="s">
        <v>9215</v>
      </c>
      <c r="F1651" s="1" t="s">
        <v>8398</v>
      </c>
      <c r="G1651" s="1" t="s">
        <v>8399</v>
      </c>
    </row>
    <row r="1652" spans="1:7">
      <c r="A1652" s="1">
        <v>1651</v>
      </c>
      <c r="B1652" s="1" t="s">
        <v>9216</v>
      </c>
      <c r="D1652" s="1" t="s">
        <v>9214</v>
      </c>
      <c r="E1652" s="1" t="s">
        <v>9217</v>
      </c>
      <c r="F1652" s="1" t="s">
        <v>8402</v>
      </c>
      <c r="G1652" s="1" t="s">
        <v>8403</v>
      </c>
    </row>
    <row r="1653" spans="1:7">
      <c r="A1653" s="1">
        <v>1652</v>
      </c>
      <c r="B1653" s="1" t="s">
        <v>9218</v>
      </c>
      <c r="D1653" s="1" t="s">
        <v>9214</v>
      </c>
      <c r="E1653" s="1" t="s">
        <v>9219</v>
      </c>
      <c r="F1653" s="1" t="s">
        <v>8406</v>
      </c>
      <c r="G1653" s="1" t="s">
        <v>8407</v>
      </c>
    </row>
    <row r="1654" spans="1:7">
      <c r="A1654" s="1">
        <v>1653</v>
      </c>
      <c r="B1654" s="1" t="s">
        <v>9220</v>
      </c>
      <c r="D1654" s="1" t="s">
        <v>9214</v>
      </c>
      <c r="E1654" s="1" t="s">
        <v>9221</v>
      </c>
      <c r="F1654" s="1" t="s">
        <v>8410</v>
      </c>
      <c r="G1654" s="1" t="s">
        <v>8411</v>
      </c>
    </row>
    <row r="1655" spans="1:7">
      <c r="A1655" s="1">
        <v>1654</v>
      </c>
      <c r="B1655" s="1" t="s">
        <v>9222</v>
      </c>
      <c r="D1655" s="1" t="s">
        <v>9214</v>
      </c>
      <c r="E1655" s="1" t="s">
        <v>9223</v>
      </c>
      <c r="F1655" s="1" t="s">
        <v>8414</v>
      </c>
      <c r="G1655" s="1" t="s">
        <v>8415</v>
      </c>
    </row>
    <row r="1656" spans="1:7">
      <c r="A1656" s="1">
        <v>1655</v>
      </c>
      <c r="B1656" s="1" t="s">
        <v>9224</v>
      </c>
      <c r="D1656" s="1" t="s">
        <v>9214</v>
      </c>
      <c r="E1656" s="1" t="s">
        <v>9225</v>
      </c>
      <c r="F1656" s="1" t="s">
        <v>8418</v>
      </c>
      <c r="G1656" s="1" t="s">
        <v>8419</v>
      </c>
    </row>
    <row r="1657" spans="1:7">
      <c r="A1657" s="1">
        <v>1656</v>
      </c>
      <c r="B1657" s="1" t="s">
        <v>9226</v>
      </c>
      <c r="D1657" s="1" t="s">
        <v>9214</v>
      </c>
      <c r="E1657" s="1" t="s">
        <v>9227</v>
      </c>
      <c r="F1657" s="1" t="s">
        <v>8422</v>
      </c>
      <c r="G1657" s="1" t="s">
        <v>8423</v>
      </c>
    </row>
    <row r="1658" spans="1:7">
      <c r="A1658" s="1">
        <v>1657</v>
      </c>
      <c r="B1658" s="1" t="s">
        <v>9228</v>
      </c>
      <c r="D1658" s="1" t="s">
        <v>9214</v>
      </c>
      <c r="E1658" s="1" t="s">
        <v>9229</v>
      </c>
      <c r="F1658" s="1" t="s">
        <v>8426</v>
      </c>
      <c r="G1658" s="1" t="s">
        <v>8427</v>
      </c>
    </row>
    <row r="1659" spans="1:7">
      <c r="A1659" s="1">
        <v>1658</v>
      </c>
      <c r="B1659" s="1" t="s">
        <v>9230</v>
      </c>
      <c r="D1659" s="1" t="s">
        <v>9214</v>
      </c>
      <c r="E1659" s="1" t="s">
        <v>9231</v>
      </c>
      <c r="F1659" s="1" t="s">
        <v>8430</v>
      </c>
      <c r="G1659" s="1" t="s">
        <v>8431</v>
      </c>
    </row>
    <row r="1660" spans="1:7">
      <c r="A1660" s="1">
        <v>1659</v>
      </c>
      <c r="B1660" s="1" t="s">
        <v>9232</v>
      </c>
      <c r="D1660" s="1" t="s">
        <v>9214</v>
      </c>
      <c r="E1660" s="1" t="s">
        <v>9233</v>
      </c>
      <c r="F1660" s="1" t="s">
        <v>8434</v>
      </c>
      <c r="G1660" s="1" t="s">
        <v>8435</v>
      </c>
    </row>
    <row r="1661" spans="1:7">
      <c r="A1661" s="1">
        <v>1660</v>
      </c>
      <c r="B1661" s="1" t="s">
        <v>9234</v>
      </c>
      <c r="D1661" s="1" t="s">
        <v>9235</v>
      </c>
      <c r="E1661" s="1" t="s">
        <v>9236</v>
      </c>
      <c r="F1661" s="1" t="s">
        <v>8398</v>
      </c>
      <c r="G1661" s="1" t="s">
        <v>8399</v>
      </c>
    </row>
    <row r="1662" spans="1:7">
      <c r="A1662" s="1">
        <v>1661</v>
      </c>
      <c r="B1662" s="1" t="s">
        <v>9237</v>
      </c>
      <c r="D1662" s="1" t="s">
        <v>9235</v>
      </c>
      <c r="E1662" s="1" t="s">
        <v>9238</v>
      </c>
      <c r="F1662" s="1" t="s">
        <v>8402</v>
      </c>
      <c r="G1662" s="1" t="s">
        <v>8403</v>
      </c>
    </row>
    <row r="1663" spans="1:7">
      <c r="A1663" s="1">
        <v>1662</v>
      </c>
      <c r="B1663" s="1" t="s">
        <v>9239</v>
      </c>
      <c r="D1663" s="1" t="s">
        <v>9235</v>
      </c>
      <c r="E1663" s="1" t="s">
        <v>9240</v>
      </c>
      <c r="F1663" s="1" t="s">
        <v>8406</v>
      </c>
      <c r="G1663" s="1" t="s">
        <v>8407</v>
      </c>
    </row>
    <row r="1664" spans="1:7">
      <c r="A1664" s="1">
        <v>1663</v>
      </c>
      <c r="B1664" s="1" t="s">
        <v>9241</v>
      </c>
      <c r="D1664" s="1" t="s">
        <v>9235</v>
      </c>
      <c r="E1664" s="1" t="s">
        <v>9242</v>
      </c>
      <c r="F1664" s="1" t="s">
        <v>8410</v>
      </c>
      <c r="G1664" s="1" t="s">
        <v>8411</v>
      </c>
    </row>
    <row r="1665" spans="1:7">
      <c r="A1665" s="1">
        <v>1664</v>
      </c>
      <c r="B1665" s="1" t="s">
        <v>9243</v>
      </c>
      <c r="D1665" s="1" t="s">
        <v>9235</v>
      </c>
      <c r="E1665" s="1" t="s">
        <v>9244</v>
      </c>
      <c r="F1665" s="1" t="s">
        <v>8414</v>
      </c>
      <c r="G1665" s="1" t="s">
        <v>8415</v>
      </c>
    </row>
    <row r="1666" spans="1:7">
      <c r="A1666" s="1">
        <v>1665</v>
      </c>
      <c r="B1666" s="1" t="s">
        <v>9245</v>
      </c>
      <c r="D1666" s="1" t="s">
        <v>9235</v>
      </c>
      <c r="E1666" s="1" t="s">
        <v>9246</v>
      </c>
      <c r="F1666" s="1" t="s">
        <v>8418</v>
      </c>
      <c r="G1666" s="1" t="s">
        <v>8419</v>
      </c>
    </row>
    <row r="1667" spans="1:7">
      <c r="A1667" s="1">
        <v>1666</v>
      </c>
      <c r="B1667" s="1" t="s">
        <v>9247</v>
      </c>
      <c r="D1667" s="1" t="s">
        <v>9235</v>
      </c>
      <c r="E1667" s="1" t="s">
        <v>9248</v>
      </c>
      <c r="F1667" s="1" t="s">
        <v>8422</v>
      </c>
      <c r="G1667" s="1" t="s">
        <v>8423</v>
      </c>
    </row>
    <row r="1668" spans="1:7">
      <c r="A1668" s="1">
        <v>1667</v>
      </c>
      <c r="B1668" s="1" t="s">
        <v>9249</v>
      </c>
      <c r="D1668" s="1" t="s">
        <v>9235</v>
      </c>
      <c r="E1668" s="1" t="s">
        <v>9250</v>
      </c>
      <c r="F1668" s="1" t="s">
        <v>8426</v>
      </c>
      <c r="G1668" s="1" t="s">
        <v>8427</v>
      </c>
    </row>
    <row r="1669" spans="1:7">
      <c r="A1669" s="1">
        <v>1668</v>
      </c>
      <c r="B1669" s="1" t="s">
        <v>9251</v>
      </c>
      <c r="D1669" s="1" t="s">
        <v>9235</v>
      </c>
      <c r="E1669" s="1" t="s">
        <v>9252</v>
      </c>
      <c r="F1669" s="1" t="s">
        <v>8430</v>
      </c>
      <c r="G1669" s="1" t="s">
        <v>8431</v>
      </c>
    </row>
    <row r="1670" spans="1:7">
      <c r="A1670" s="1">
        <v>1669</v>
      </c>
      <c r="B1670" s="1" t="s">
        <v>9253</v>
      </c>
      <c r="D1670" s="1" t="s">
        <v>9235</v>
      </c>
      <c r="E1670" s="1" t="s">
        <v>9254</v>
      </c>
      <c r="F1670" s="1" t="s">
        <v>8434</v>
      </c>
      <c r="G1670" s="1" t="s">
        <v>8435</v>
      </c>
    </row>
    <row r="1671" spans="1:7">
      <c r="A1671" s="1">
        <v>1670</v>
      </c>
      <c r="B1671" s="1" t="s">
        <v>9255</v>
      </c>
      <c r="D1671" s="1" t="s">
        <v>9256</v>
      </c>
      <c r="E1671" s="1" t="s">
        <v>9257</v>
      </c>
      <c r="F1671" s="1" t="s">
        <v>8398</v>
      </c>
      <c r="G1671" s="1" t="s">
        <v>8399</v>
      </c>
    </row>
    <row r="1672" spans="1:7">
      <c r="A1672" s="1">
        <v>1671</v>
      </c>
      <c r="B1672" s="1" t="s">
        <v>9258</v>
      </c>
      <c r="D1672" s="1" t="s">
        <v>9256</v>
      </c>
      <c r="E1672" s="1" t="s">
        <v>9259</v>
      </c>
      <c r="F1672" s="1" t="s">
        <v>8402</v>
      </c>
      <c r="G1672" s="1" t="s">
        <v>8403</v>
      </c>
    </row>
    <row r="1673" spans="1:7">
      <c r="A1673" s="1">
        <v>1672</v>
      </c>
      <c r="B1673" s="1" t="s">
        <v>9260</v>
      </c>
      <c r="D1673" s="1" t="s">
        <v>9256</v>
      </c>
      <c r="E1673" s="1" t="s">
        <v>9261</v>
      </c>
      <c r="F1673" s="1" t="s">
        <v>8406</v>
      </c>
      <c r="G1673" s="1" t="s">
        <v>8407</v>
      </c>
    </row>
    <row r="1674" spans="1:7">
      <c r="A1674" s="1">
        <v>1673</v>
      </c>
      <c r="B1674" s="1" t="s">
        <v>9262</v>
      </c>
      <c r="D1674" s="1" t="s">
        <v>9256</v>
      </c>
      <c r="E1674" s="1" t="s">
        <v>9263</v>
      </c>
      <c r="F1674" s="1" t="s">
        <v>8410</v>
      </c>
      <c r="G1674" s="1" t="s">
        <v>8411</v>
      </c>
    </row>
    <row r="1675" spans="1:7">
      <c r="A1675" s="1">
        <v>1674</v>
      </c>
      <c r="B1675" s="1" t="s">
        <v>9264</v>
      </c>
      <c r="D1675" s="1" t="s">
        <v>9256</v>
      </c>
      <c r="E1675" s="1" t="s">
        <v>9265</v>
      </c>
      <c r="F1675" s="1" t="s">
        <v>8414</v>
      </c>
      <c r="G1675" s="1" t="s">
        <v>8415</v>
      </c>
    </row>
    <row r="1676" spans="1:7">
      <c r="A1676" s="1">
        <v>1675</v>
      </c>
      <c r="B1676" s="1" t="s">
        <v>9266</v>
      </c>
      <c r="D1676" s="1" t="s">
        <v>9256</v>
      </c>
      <c r="E1676" s="1" t="s">
        <v>9267</v>
      </c>
      <c r="F1676" s="1" t="s">
        <v>8418</v>
      </c>
      <c r="G1676" s="1" t="s">
        <v>8419</v>
      </c>
    </row>
    <row r="1677" spans="1:7">
      <c r="A1677" s="1">
        <v>1676</v>
      </c>
      <c r="B1677" s="1" t="s">
        <v>9268</v>
      </c>
      <c r="D1677" s="1" t="s">
        <v>9256</v>
      </c>
      <c r="E1677" s="1" t="s">
        <v>9269</v>
      </c>
      <c r="F1677" s="1" t="s">
        <v>8422</v>
      </c>
      <c r="G1677" s="1" t="s">
        <v>8423</v>
      </c>
    </row>
    <row r="1678" spans="1:7">
      <c r="A1678" s="1">
        <v>1677</v>
      </c>
      <c r="B1678" s="1" t="s">
        <v>9270</v>
      </c>
      <c r="D1678" s="1" t="s">
        <v>9256</v>
      </c>
      <c r="E1678" s="1" t="s">
        <v>9271</v>
      </c>
      <c r="F1678" s="1" t="s">
        <v>8426</v>
      </c>
      <c r="G1678" s="1" t="s">
        <v>8427</v>
      </c>
    </row>
    <row r="1679" spans="1:7">
      <c r="A1679" s="1">
        <v>1678</v>
      </c>
      <c r="B1679" s="1" t="s">
        <v>9272</v>
      </c>
      <c r="D1679" s="1" t="s">
        <v>9256</v>
      </c>
      <c r="E1679" s="1" t="s">
        <v>9273</v>
      </c>
      <c r="F1679" s="1" t="s">
        <v>8430</v>
      </c>
      <c r="G1679" s="1" t="s">
        <v>8431</v>
      </c>
    </row>
    <row r="1680" spans="1:7">
      <c r="A1680" s="1">
        <v>1679</v>
      </c>
      <c r="B1680" s="1" t="s">
        <v>9274</v>
      </c>
      <c r="D1680" s="1" t="s">
        <v>9256</v>
      </c>
      <c r="E1680" s="1" t="s">
        <v>9275</v>
      </c>
      <c r="F1680" s="1" t="s">
        <v>8434</v>
      </c>
      <c r="G1680" s="1" t="s">
        <v>8435</v>
      </c>
    </row>
    <row r="1681" spans="1:7">
      <c r="A1681" s="1">
        <v>1680</v>
      </c>
      <c r="B1681" s="1" t="s">
        <v>9276</v>
      </c>
      <c r="D1681" s="1" t="s">
        <v>9277</v>
      </c>
      <c r="E1681" s="1" t="s">
        <v>9278</v>
      </c>
      <c r="F1681" s="1" t="s">
        <v>8398</v>
      </c>
      <c r="G1681" s="1" t="s">
        <v>8399</v>
      </c>
    </row>
    <row r="1682" spans="1:7">
      <c r="A1682" s="1">
        <v>1681</v>
      </c>
      <c r="B1682" s="1" t="s">
        <v>9279</v>
      </c>
      <c r="D1682" s="1" t="s">
        <v>9277</v>
      </c>
      <c r="E1682" s="1" t="s">
        <v>9280</v>
      </c>
      <c r="F1682" s="1" t="s">
        <v>8402</v>
      </c>
      <c r="G1682" s="1" t="s">
        <v>8403</v>
      </c>
    </row>
    <row r="1683" spans="1:7">
      <c r="A1683" s="1">
        <v>1682</v>
      </c>
      <c r="B1683" s="1" t="s">
        <v>9281</v>
      </c>
      <c r="D1683" s="1" t="s">
        <v>9277</v>
      </c>
      <c r="E1683" s="1" t="s">
        <v>9282</v>
      </c>
      <c r="F1683" s="1" t="s">
        <v>8406</v>
      </c>
      <c r="G1683" s="1" t="s">
        <v>8407</v>
      </c>
    </row>
    <row r="1684" spans="1:7">
      <c r="A1684" s="1">
        <v>1683</v>
      </c>
      <c r="B1684" s="1" t="s">
        <v>9283</v>
      </c>
      <c r="D1684" s="1" t="s">
        <v>9277</v>
      </c>
      <c r="E1684" s="1" t="s">
        <v>9284</v>
      </c>
      <c r="F1684" s="1" t="s">
        <v>8410</v>
      </c>
      <c r="G1684" s="1" t="s">
        <v>8411</v>
      </c>
    </row>
    <row r="1685" spans="1:7">
      <c r="A1685" s="1">
        <v>1684</v>
      </c>
      <c r="B1685" s="1" t="s">
        <v>9285</v>
      </c>
      <c r="D1685" s="1" t="s">
        <v>9277</v>
      </c>
      <c r="E1685" s="1" t="s">
        <v>9286</v>
      </c>
      <c r="F1685" s="1" t="s">
        <v>8414</v>
      </c>
      <c r="G1685" s="1" t="s">
        <v>8415</v>
      </c>
    </row>
    <row r="1686" spans="1:7">
      <c r="A1686" s="1">
        <v>1685</v>
      </c>
      <c r="B1686" s="1" t="s">
        <v>9287</v>
      </c>
      <c r="D1686" s="1" t="s">
        <v>9277</v>
      </c>
      <c r="E1686" s="1" t="s">
        <v>9288</v>
      </c>
      <c r="F1686" s="1" t="s">
        <v>8418</v>
      </c>
      <c r="G1686" s="1" t="s">
        <v>8419</v>
      </c>
    </row>
    <row r="1687" spans="1:7">
      <c r="A1687" s="1">
        <v>1686</v>
      </c>
      <c r="B1687" s="1" t="s">
        <v>9289</v>
      </c>
      <c r="D1687" s="1" t="s">
        <v>9277</v>
      </c>
      <c r="E1687" s="1" t="s">
        <v>9290</v>
      </c>
      <c r="F1687" s="1" t="s">
        <v>8422</v>
      </c>
      <c r="G1687" s="1" t="s">
        <v>8423</v>
      </c>
    </row>
    <row r="1688" spans="1:7">
      <c r="A1688" s="1">
        <v>1687</v>
      </c>
      <c r="B1688" s="1" t="s">
        <v>9291</v>
      </c>
      <c r="D1688" s="1" t="s">
        <v>9277</v>
      </c>
      <c r="E1688" s="1" t="s">
        <v>9292</v>
      </c>
      <c r="F1688" s="1" t="s">
        <v>8426</v>
      </c>
      <c r="G1688" s="1" t="s">
        <v>8427</v>
      </c>
    </row>
    <row r="1689" spans="1:7">
      <c r="A1689" s="1">
        <v>1688</v>
      </c>
      <c r="B1689" s="1" t="s">
        <v>9293</v>
      </c>
      <c r="D1689" s="1" t="s">
        <v>9277</v>
      </c>
      <c r="E1689" s="1" t="s">
        <v>9294</v>
      </c>
      <c r="F1689" s="1" t="s">
        <v>8430</v>
      </c>
      <c r="G1689" s="1" t="s">
        <v>8431</v>
      </c>
    </row>
    <row r="1690" spans="1:7">
      <c r="A1690" s="1">
        <v>1689</v>
      </c>
      <c r="B1690" s="1" t="s">
        <v>9295</v>
      </c>
      <c r="D1690" s="1" t="s">
        <v>9277</v>
      </c>
      <c r="E1690" s="1" t="s">
        <v>9296</v>
      </c>
      <c r="F1690" s="1" t="s">
        <v>8434</v>
      </c>
      <c r="G1690" s="1" t="s">
        <v>8435</v>
      </c>
    </row>
    <row r="1691" spans="1:7">
      <c r="A1691" s="1">
        <v>1690</v>
      </c>
      <c r="B1691" s="1" t="s">
        <v>9297</v>
      </c>
      <c r="D1691" s="1" t="s">
        <v>9298</v>
      </c>
      <c r="E1691" s="1" t="s">
        <v>9299</v>
      </c>
      <c r="F1691" s="1" t="s">
        <v>8398</v>
      </c>
      <c r="G1691" s="1" t="s">
        <v>8399</v>
      </c>
    </row>
    <row r="1692" spans="1:7">
      <c r="A1692" s="1">
        <v>1691</v>
      </c>
      <c r="B1692" s="1" t="s">
        <v>9300</v>
      </c>
      <c r="D1692" s="1" t="s">
        <v>9298</v>
      </c>
      <c r="E1692" s="1" t="s">
        <v>9301</v>
      </c>
      <c r="F1692" s="1" t="s">
        <v>8402</v>
      </c>
      <c r="G1692" s="1" t="s">
        <v>8403</v>
      </c>
    </row>
    <row r="1693" spans="1:7">
      <c r="A1693" s="1">
        <v>1692</v>
      </c>
      <c r="B1693" s="1" t="s">
        <v>9302</v>
      </c>
      <c r="D1693" s="1" t="s">
        <v>9298</v>
      </c>
      <c r="E1693" s="1" t="s">
        <v>9303</v>
      </c>
      <c r="F1693" s="1" t="s">
        <v>8406</v>
      </c>
      <c r="G1693" s="1" t="s">
        <v>8407</v>
      </c>
    </row>
    <row r="1694" spans="1:7">
      <c r="A1694" s="1">
        <v>1693</v>
      </c>
      <c r="B1694" s="1" t="s">
        <v>9304</v>
      </c>
      <c r="D1694" s="1" t="s">
        <v>9298</v>
      </c>
      <c r="E1694" s="1" t="s">
        <v>9305</v>
      </c>
      <c r="F1694" s="1" t="s">
        <v>8410</v>
      </c>
      <c r="G1694" s="1" t="s">
        <v>8411</v>
      </c>
    </row>
    <row r="1695" spans="1:7">
      <c r="A1695" s="1">
        <v>1694</v>
      </c>
      <c r="B1695" s="1" t="s">
        <v>9306</v>
      </c>
      <c r="D1695" s="1" t="s">
        <v>9298</v>
      </c>
      <c r="E1695" s="1" t="s">
        <v>9307</v>
      </c>
      <c r="F1695" s="1" t="s">
        <v>8414</v>
      </c>
      <c r="G1695" s="1" t="s">
        <v>8415</v>
      </c>
    </row>
    <row r="1696" spans="1:7">
      <c r="A1696" s="1">
        <v>1695</v>
      </c>
      <c r="B1696" s="1" t="s">
        <v>9308</v>
      </c>
      <c r="D1696" s="1" t="s">
        <v>9298</v>
      </c>
      <c r="E1696" s="1" t="s">
        <v>9309</v>
      </c>
      <c r="F1696" s="1" t="s">
        <v>8418</v>
      </c>
      <c r="G1696" s="1" t="s">
        <v>8419</v>
      </c>
    </row>
    <row r="1697" spans="1:7">
      <c r="A1697" s="1">
        <v>1696</v>
      </c>
      <c r="B1697" s="1" t="s">
        <v>9310</v>
      </c>
      <c r="D1697" s="1" t="s">
        <v>9298</v>
      </c>
      <c r="E1697" s="1" t="s">
        <v>9311</v>
      </c>
      <c r="F1697" s="1" t="s">
        <v>8422</v>
      </c>
      <c r="G1697" s="1" t="s">
        <v>8423</v>
      </c>
    </row>
    <row r="1698" spans="1:7">
      <c r="A1698" s="1">
        <v>1697</v>
      </c>
      <c r="B1698" s="1" t="s">
        <v>9312</v>
      </c>
      <c r="D1698" s="1" t="s">
        <v>9298</v>
      </c>
      <c r="E1698" s="1" t="s">
        <v>9313</v>
      </c>
      <c r="F1698" s="1" t="s">
        <v>8426</v>
      </c>
      <c r="G1698" s="1" t="s">
        <v>8427</v>
      </c>
    </row>
    <row r="1699" spans="1:7">
      <c r="A1699" s="1">
        <v>1698</v>
      </c>
      <c r="B1699" s="1" t="s">
        <v>9314</v>
      </c>
      <c r="D1699" s="1" t="s">
        <v>9298</v>
      </c>
      <c r="E1699" s="1" t="s">
        <v>9315</v>
      </c>
      <c r="F1699" s="1" t="s">
        <v>8430</v>
      </c>
      <c r="G1699" s="1" t="s">
        <v>8431</v>
      </c>
    </row>
    <row r="1700" spans="1:7">
      <c r="A1700" s="1">
        <v>1699</v>
      </c>
      <c r="B1700" s="1" t="s">
        <v>9316</v>
      </c>
      <c r="D1700" s="1" t="s">
        <v>9298</v>
      </c>
      <c r="E1700" s="1" t="s">
        <v>9317</v>
      </c>
      <c r="F1700" s="1" t="s">
        <v>8434</v>
      </c>
      <c r="G1700" s="1" t="s">
        <v>8435</v>
      </c>
    </row>
    <row r="1701" spans="1:7">
      <c r="A1701" s="1">
        <v>1700</v>
      </c>
      <c r="B1701" s="1" t="s">
        <v>9318</v>
      </c>
      <c r="D1701" s="1" t="s">
        <v>9319</v>
      </c>
      <c r="E1701" s="1" t="s">
        <v>9320</v>
      </c>
      <c r="F1701" s="1" t="s">
        <v>8398</v>
      </c>
      <c r="G1701" s="1" t="s">
        <v>8399</v>
      </c>
    </row>
    <row r="1702" spans="1:7">
      <c r="A1702" s="1">
        <v>1701</v>
      </c>
      <c r="B1702" s="1" t="s">
        <v>9321</v>
      </c>
      <c r="D1702" s="1" t="s">
        <v>9319</v>
      </c>
      <c r="E1702" s="1" t="s">
        <v>9322</v>
      </c>
      <c r="F1702" s="1" t="s">
        <v>8402</v>
      </c>
      <c r="G1702" s="1" t="s">
        <v>8403</v>
      </c>
    </row>
    <row r="1703" spans="1:7">
      <c r="A1703" s="1">
        <v>1702</v>
      </c>
      <c r="B1703" s="1" t="s">
        <v>9323</v>
      </c>
      <c r="D1703" s="1" t="s">
        <v>9319</v>
      </c>
      <c r="E1703" s="1" t="s">
        <v>9324</v>
      </c>
      <c r="F1703" s="1" t="s">
        <v>8406</v>
      </c>
      <c r="G1703" s="1" t="s">
        <v>8407</v>
      </c>
    </row>
    <row r="1704" spans="1:7">
      <c r="A1704" s="1">
        <v>1703</v>
      </c>
      <c r="B1704" s="1" t="s">
        <v>9325</v>
      </c>
      <c r="D1704" s="1" t="s">
        <v>9319</v>
      </c>
      <c r="E1704" s="1" t="s">
        <v>9326</v>
      </c>
      <c r="F1704" s="1" t="s">
        <v>8410</v>
      </c>
      <c r="G1704" s="1" t="s">
        <v>8411</v>
      </c>
    </row>
    <row r="1705" spans="1:7">
      <c r="A1705" s="1">
        <v>1704</v>
      </c>
      <c r="B1705" s="1" t="s">
        <v>9327</v>
      </c>
      <c r="D1705" s="1" t="s">
        <v>9319</v>
      </c>
      <c r="E1705" s="1" t="s">
        <v>9328</v>
      </c>
      <c r="F1705" s="1" t="s">
        <v>8414</v>
      </c>
      <c r="G1705" s="1" t="s">
        <v>8415</v>
      </c>
    </row>
    <row r="1706" spans="1:7">
      <c r="A1706" s="1">
        <v>1705</v>
      </c>
      <c r="B1706" s="1" t="s">
        <v>9329</v>
      </c>
      <c r="D1706" s="1" t="s">
        <v>9319</v>
      </c>
      <c r="E1706" s="1" t="s">
        <v>9330</v>
      </c>
      <c r="F1706" s="1" t="s">
        <v>8418</v>
      </c>
      <c r="G1706" s="1" t="s">
        <v>8419</v>
      </c>
    </row>
    <row r="1707" spans="1:7">
      <c r="A1707" s="1">
        <v>1706</v>
      </c>
      <c r="B1707" s="1" t="s">
        <v>9331</v>
      </c>
      <c r="D1707" s="1" t="s">
        <v>9319</v>
      </c>
      <c r="E1707" s="1" t="s">
        <v>9332</v>
      </c>
      <c r="F1707" s="1" t="s">
        <v>8422</v>
      </c>
      <c r="G1707" s="1" t="s">
        <v>8423</v>
      </c>
    </row>
    <row r="1708" spans="1:7">
      <c r="A1708" s="1">
        <v>1707</v>
      </c>
      <c r="B1708" s="1" t="s">
        <v>9333</v>
      </c>
      <c r="D1708" s="1" t="s">
        <v>9319</v>
      </c>
      <c r="E1708" s="1" t="s">
        <v>9334</v>
      </c>
      <c r="F1708" s="1" t="s">
        <v>8426</v>
      </c>
      <c r="G1708" s="1" t="s">
        <v>8427</v>
      </c>
    </row>
    <row r="1709" spans="1:7">
      <c r="A1709" s="1">
        <v>1708</v>
      </c>
      <c r="B1709" s="1" t="s">
        <v>9335</v>
      </c>
      <c r="D1709" s="1" t="s">
        <v>9319</v>
      </c>
      <c r="E1709" s="1" t="s">
        <v>9336</v>
      </c>
      <c r="F1709" s="1" t="s">
        <v>8430</v>
      </c>
      <c r="G1709" s="1" t="s">
        <v>8431</v>
      </c>
    </row>
    <row r="1710" spans="1:7">
      <c r="A1710" s="1">
        <v>1709</v>
      </c>
      <c r="B1710" s="1" t="s">
        <v>9337</v>
      </c>
      <c r="D1710" s="1" t="s">
        <v>9319</v>
      </c>
      <c r="E1710" s="1" t="s">
        <v>9338</v>
      </c>
      <c r="F1710" s="1" t="s">
        <v>8434</v>
      </c>
      <c r="G1710" s="1" t="s">
        <v>8435</v>
      </c>
    </row>
    <row r="1711" spans="1:7">
      <c r="A1711" s="1">
        <v>1710</v>
      </c>
      <c r="B1711" s="1" t="s">
        <v>9339</v>
      </c>
      <c r="D1711" s="1" t="s">
        <v>9340</v>
      </c>
      <c r="E1711" s="1" t="s">
        <v>9341</v>
      </c>
      <c r="F1711" s="1" t="s">
        <v>8398</v>
      </c>
      <c r="G1711" s="1" t="s">
        <v>8399</v>
      </c>
    </row>
    <row r="1712" spans="1:7">
      <c r="A1712" s="1">
        <v>1711</v>
      </c>
      <c r="B1712" s="1" t="s">
        <v>9342</v>
      </c>
      <c r="D1712" s="1" t="s">
        <v>9340</v>
      </c>
      <c r="E1712" s="1" t="s">
        <v>9343</v>
      </c>
      <c r="F1712" s="1" t="s">
        <v>8402</v>
      </c>
      <c r="G1712" s="1" t="s">
        <v>8403</v>
      </c>
    </row>
    <row r="1713" spans="1:7">
      <c r="A1713" s="1">
        <v>1712</v>
      </c>
      <c r="B1713" s="1" t="s">
        <v>9344</v>
      </c>
      <c r="D1713" s="1" t="s">
        <v>9340</v>
      </c>
      <c r="E1713" s="1" t="s">
        <v>9345</v>
      </c>
      <c r="F1713" s="1" t="s">
        <v>8406</v>
      </c>
      <c r="G1713" s="1" t="s">
        <v>8407</v>
      </c>
    </row>
    <row r="1714" spans="1:7">
      <c r="A1714" s="1">
        <v>1713</v>
      </c>
      <c r="B1714" s="1" t="s">
        <v>9346</v>
      </c>
      <c r="D1714" s="1" t="s">
        <v>9340</v>
      </c>
      <c r="E1714" s="1" t="s">
        <v>9347</v>
      </c>
      <c r="F1714" s="1" t="s">
        <v>8410</v>
      </c>
      <c r="G1714" s="1" t="s">
        <v>8411</v>
      </c>
    </row>
    <row r="1715" spans="1:7">
      <c r="A1715" s="1">
        <v>1714</v>
      </c>
      <c r="B1715" s="1" t="s">
        <v>9348</v>
      </c>
      <c r="D1715" s="1" t="s">
        <v>9340</v>
      </c>
      <c r="E1715" s="1" t="s">
        <v>9349</v>
      </c>
      <c r="F1715" s="1" t="s">
        <v>8414</v>
      </c>
      <c r="G1715" s="1" t="s">
        <v>8415</v>
      </c>
    </row>
    <row r="1716" spans="1:7">
      <c r="A1716" s="1">
        <v>1715</v>
      </c>
      <c r="B1716" s="1" t="s">
        <v>9350</v>
      </c>
      <c r="D1716" s="1" t="s">
        <v>9340</v>
      </c>
      <c r="E1716" s="1" t="s">
        <v>9351</v>
      </c>
      <c r="F1716" s="1" t="s">
        <v>8418</v>
      </c>
      <c r="G1716" s="1" t="s">
        <v>8419</v>
      </c>
    </row>
    <row r="1717" spans="1:7">
      <c r="A1717" s="1">
        <v>1716</v>
      </c>
      <c r="B1717" s="1" t="s">
        <v>9352</v>
      </c>
      <c r="D1717" s="1" t="s">
        <v>9340</v>
      </c>
      <c r="E1717" s="1" t="s">
        <v>9353</v>
      </c>
      <c r="F1717" s="1" t="s">
        <v>8422</v>
      </c>
      <c r="G1717" s="1" t="s">
        <v>8423</v>
      </c>
    </row>
    <row r="1718" spans="1:7">
      <c r="A1718" s="1">
        <v>1717</v>
      </c>
      <c r="B1718" s="1" t="s">
        <v>9354</v>
      </c>
      <c r="D1718" s="1" t="s">
        <v>9340</v>
      </c>
      <c r="E1718" s="1" t="s">
        <v>9355</v>
      </c>
      <c r="F1718" s="1" t="s">
        <v>8426</v>
      </c>
      <c r="G1718" s="1" t="s">
        <v>8427</v>
      </c>
    </row>
    <row r="1719" spans="1:7">
      <c r="A1719" s="1">
        <v>1718</v>
      </c>
      <c r="B1719" s="1" t="s">
        <v>9356</v>
      </c>
      <c r="D1719" s="1" t="s">
        <v>9340</v>
      </c>
      <c r="E1719" s="1" t="s">
        <v>9357</v>
      </c>
      <c r="F1719" s="1" t="s">
        <v>8430</v>
      </c>
      <c r="G1719" s="1" t="s">
        <v>8431</v>
      </c>
    </row>
    <row r="1720" spans="1:7">
      <c r="A1720" s="1">
        <v>1719</v>
      </c>
      <c r="B1720" s="1" t="s">
        <v>9358</v>
      </c>
      <c r="D1720" s="1" t="s">
        <v>9340</v>
      </c>
      <c r="E1720" s="1" t="s">
        <v>9359</v>
      </c>
      <c r="F1720" s="1" t="s">
        <v>8434</v>
      </c>
      <c r="G1720" s="1" t="s">
        <v>8435</v>
      </c>
    </row>
    <row r="1721" spans="1:7">
      <c r="A1721" s="1">
        <v>1720</v>
      </c>
      <c r="B1721" s="1" t="s">
        <v>9360</v>
      </c>
      <c r="D1721" s="1" t="s">
        <v>9361</v>
      </c>
      <c r="E1721" s="1" t="s">
        <v>9362</v>
      </c>
      <c r="F1721" s="1" t="s">
        <v>8398</v>
      </c>
      <c r="G1721" s="1" t="s">
        <v>8399</v>
      </c>
    </row>
    <row r="1722" spans="1:7">
      <c r="A1722" s="1">
        <v>1721</v>
      </c>
      <c r="B1722" s="1" t="s">
        <v>9363</v>
      </c>
      <c r="D1722" s="1" t="s">
        <v>9361</v>
      </c>
      <c r="E1722" s="1" t="s">
        <v>9364</v>
      </c>
      <c r="F1722" s="1" t="s">
        <v>8402</v>
      </c>
      <c r="G1722" s="1" t="s">
        <v>8403</v>
      </c>
    </row>
    <row r="1723" spans="1:7">
      <c r="A1723" s="1">
        <v>1722</v>
      </c>
      <c r="B1723" s="1" t="s">
        <v>9365</v>
      </c>
      <c r="D1723" s="1" t="s">
        <v>9361</v>
      </c>
      <c r="E1723" s="1" t="s">
        <v>9366</v>
      </c>
      <c r="F1723" s="1" t="s">
        <v>8406</v>
      </c>
      <c r="G1723" s="1" t="s">
        <v>8407</v>
      </c>
    </row>
    <row r="1724" spans="1:7">
      <c r="A1724" s="1">
        <v>1723</v>
      </c>
      <c r="B1724" s="1" t="s">
        <v>9367</v>
      </c>
      <c r="D1724" s="1" t="s">
        <v>9361</v>
      </c>
      <c r="E1724" s="1" t="s">
        <v>9368</v>
      </c>
      <c r="F1724" s="1" t="s">
        <v>8410</v>
      </c>
      <c r="G1724" s="1" t="s">
        <v>8411</v>
      </c>
    </row>
    <row r="1725" spans="1:7">
      <c r="A1725" s="1">
        <v>1724</v>
      </c>
      <c r="B1725" s="1" t="s">
        <v>9369</v>
      </c>
      <c r="D1725" s="1" t="s">
        <v>9361</v>
      </c>
      <c r="E1725" s="1" t="s">
        <v>9370</v>
      </c>
      <c r="F1725" s="1" t="s">
        <v>8414</v>
      </c>
      <c r="G1725" s="1" t="s">
        <v>8415</v>
      </c>
    </row>
    <row r="1726" spans="1:7">
      <c r="A1726" s="1">
        <v>1725</v>
      </c>
      <c r="B1726" s="1" t="s">
        <v>9371</v>
      </c>
      <c r="D1726" s="1" t="s">
        <v>9361</v>
      </c>
      <c r="E1726" s="1" t="s">
        <v>9372</v>
      </c>
      <c r="F1726" s="1" t="s">
        <v>8418</v>
      </c>
      <c r="G1726" s="1" t="s">
        <v>8419</v>
      </c>
    </row>
    <row r="1727" spans="1:7">
      <c r="A1727" s="1">
        <v>1726</v>
      </c>
      <c r="B1727" s="1" t="s">
        <v>9373</v>
      </c>
      <c r="D1727" s="1" t="s">
        <v>9361</v>
      </c>
      <c r="E1727" s="1" t="s">
        <v>9374</v>
      </c>
      <c r="F1727" s="1" t="s">
        <v>8422</v>
      </c>
      <c r="G1727" s="1" t="s">
        <v>8423</v>
      </c>
    </row>
    <row r="1728" spans="1:7">
      <c r="A1728" s="1">
        <v>1727</v>
      </c>
      <c r="B1728" s="1" t="s">
        <v>9375</v>
      </c>
      <c r="D1728" s="1" t="s">
        <v>9361</v>
      </c>
      <c r="E1728" s="1" t="s">
        <v>9376</v>
      </c>
      <c r="F1728" s="1" t="s">
        <v>8426</v>
      </c>
      <c r="G1728" s="1" t="s">
        <v>8427</v>
      </c>
    </row>
    <row r="1729" spans="1:7">
      <c r="A1729" s="1">
        <v>1728</v>
      </c>
      <c r="B1729" s="1" t="s">
        <v>9377</v>
      </c>
      <c r="D1729" s="1" t="s">
        <v>9361</v>
      </c>
      <c r="E1729" s="1" t="s">
        <v>9378</v>
      </c>
      <c r="F1729" s="1" t="s">
        <v>8430</v>
      </c>
      <c r="G1729" s="1" t="s">
        <v>8431</v>
      </c>
    </row>
    <row r="1730" spans="1:7">
      <c r="A1730" s="1">
        <v>1729</v>
      </c>
      <c r="B1730" s="1" t="s">
        <v>9379</v>
      </c>
      <c r="D1730" s="1" t="s">
        <v>9361</v>
      </c>
      <c r="E1730" s="1" t="s">
        <v>9380</v>
      </c>
      <c r="F1730" s="1" t="s">
        <v>8434</v>
      </c>
      <c r="G1730" s="1" t="s">
        <v>8435</v>
      </c>
    </row>
    <row r="1731" spans="1:7">
      <c r="A1731" s="1">
        <v>1730</v>
      </c>
      <c r="B1731" s="1" t="s">
        <v>9381</v>
      </c>
      <c r="D1731" s="1" t="s">
        <v>9382</v>
      </c>
      <c r="E1731" s="1" t="s">
        <v>9383</v>
      </c>
      <c r="F1731" s="1" t="s">
        <v>8398</v>
      </c>
      <c r="G1731" s="1" t="s">
        <v>8399</v>
      </c>
    </row>
    <row r="1732" spans="1:7">
      <c r="A1732" s="1">
        <v>1731</v>
      </c>
      <c r="B1732" s="1" t="s">
        <v>9384</v>
      </c>
      <c r="D1732" s="1" t="s">
        <v>9382</v>
      </c>
      <c r="E1732" s="1" t="s">
        <v>9385</v>
      </c>
      <c r="F1732" s="1" t="s">
        <v>8402</v>
      </c>
      <c r="G1732" s="1" t="s">
        <v>8403</v>
      </c>
    </row>
    <row r="1733" spans="1:7">
      <c r="A1733" s="1">
        <v>1732</v>
      </c>
      <c r="B1733" s="1" t="s">
        <v>9386</v>
      </c>
      <c r="D1733" s="1" t="s">
        <v>9382</v>
      </c>
      <c r="E1733" s="1" t="s">
        <v>9387</v>
      </c>
      <c r="F1733" s="1" t="s">
        <v>8406</v>
      </c>
      <c r="G1733" s="1" t="s">
        <v>8407</v>
      </c>
    </row>
    <row r="1734" spans="1:7">
      <c r="A1734" s="1">
        <v>1733</v>
      </c>
      <c r="B1734" s="1" t="s">
        <v>9388</v>
      </c>
      <c r="D1734" s="1" t="s">
        <v>9382</v>
      </c>
      <c r="E1734" s="1" t="s">
        <v>9389</v>
      </c>
      <c r="F1734" s="1" t="s">
        <v>8410</v>
      </c>
      <c r="G1734" s="1" t="s">
        <v>8411</v>
      </c>
    </row>
    <row r="1735" spans="1:7">
      <c r="A1735" s="1">
        <v>1734</v>
      </c>
      <c r="B1735" s="1" t="s">
        <v>9390</v>
      </c>
      <c r="D1735" s="1" t="s">
        <v>9382</v>
      </c>
      <c r="E1735" s="1" t="s">
        <v>9391</v>
      </c>
      <c r="F1735" s="1" t="s">
        <v>8414</v>
      </c>
      <c r="G1735" s="1" t="s">
        <v>8415</v>
      </c>
    </row>
    <row r="1736" spans="1:7">
      <c r="A1736" s="1">
        <v>1735</v>
      </c>
      <c r="B1736" s="1" t="s">
        <v>9392</v>
      </c>
      <c r="D1736" s="1" t="s">
        <v>9382</v>
      </c>
      <c r="E1736" s="1" t="s">
        <v>9393</v>
      </c>
      <c r="F1736" s="1" t="s">
        <v>8418</v>
      </c>
      <c r="G1736" s="1" t="s">
        <v>8419</v>
      </c>
    </row>
    <row r="1737" spans="1:7">
      <c r="A1737" s="1">
        <v>1736</v>
      </c>
      <c r="B1737" s="1" t="s">
        <v>9394</v>
      </c>
      <c r="D1737" s="1" t="s">
        <v>9382</v>
      </c>
      <c r="E1737" s="1" t="s">
        <v>9395</v>
      </c>
      <c r="F1737" s="1" t="s">
        <v>8422</v>
      </c>
      <c r="G1737" s="1" t="s">
        <v>8423</v>
      </c>
    </row>
    <row r="1738" spans="1:7">
      <c r="A1738" s="1">
        <v>1737</v>
      </c>
      <c r="B1738" s="1" t="s">
        <v>9396</v>
      </c>
      <c r="D1738" s="1" t="s">
        <v>9382</v>
      </c>
      <c r="E1738" s="1" t="s">
        <v>9397</v>
      </c>
      <c r="F1738" s="1" t="s">
        <v>8426</v>
      </c>
      <c r="G1738" s="1" t="s">
        <v>8427</v>
      </c>
    </row>
    <row r="1739" spans="1:7">
      <c r="A1739" s="1">
        <v>1738</v>
      </c>
      <c r="B1739" s="1" t="s">
        <v>9398</v>
      </c>
      <c r="D1739" s="1" t="s">
        <v>9382</v>
      </c>
      <c r="E1739" s="1" t="s">
        <v>9399</v>
      </c>
      <c r="F1739" s="1" t="s">
        <v>8430</v>
      </c>
      <c r="G1739" s="1" t="s">
        <v>8431</v>
      </c>
    </row>
    <row r="1740" spans="1:7">
      <c r="A1740" s="1">
        <v>1739</v>
      </c>
      <c r="B1740" s="1" t="s">
        <v>9400</v>
      </c>
      <c r="D1740" s="1" t="s">
        <v>9382</v>
      </c>
      <c r="E1740" s="1" t="s">
        <v>9401</v>
      </c>
      <c r="F1740" s="1" t="s">
        <v>8434</v>
      </c>
      <c r="G1740" s="1" t="s">
        <v>8435</v>
      </c>
    </row>
    <row r="1741" spans="1:7">
      <c r="A1741" s="1">
        <v>1740</v>
      </c>
      <c r="B1741" s="1" t="s">
        <v>9402</v>
      </c>
      <c r="D1741" s="1" t="s">
        <v>9403</v>
      </c>
      <c r="E1741" s="1" t="s">
        <v>9404</v>
      </c>
      <c r="F1741" s="1" t="s">
        <v>8398</v>
      </c>
      <c r="G1741" s="1" t="s">
        <v>8399</v>
      </c>
    </row>
    <row r="1742" spans="1:7">
      <c r="A1742" s="1">
        <v>1741</v>
      </c>
      <c r="B1742" s="1" t="s">
        <v>9405</v>
      </c>
      <c r="D1742" s="1" t="s">
        <v>9403</v>
      </c>
      <c r="E1742" s="1" t="s">
        <v>9406</v>
      </c>
      <c r="F1742" s="1" t="s">
        <v>8402</v>
      </c>
      <c r="G1742" s="1" t="s">
        <v>8403</v>
      </c>
    </row>
    <row r="1743" spans="1:7">
      <c r="A1743" s="1">
        <v>1742</v>
      </c>
      <c r="B1743" s="1" t="s">
        <v>9407</v>
      </c>
      <c r="D1743" s="1" t="s">
        <v>9403</v>
      </c>
      <c r="E1743" s="1" t="s">
        <v>9408</v>
      </c>
      <c r="F1743" s="1" t="s">
        <v>8406</v>
      </c>
      <c r="G1743" s="1" t="s">
        <v>8407</v>
      </c>
    </row>
    <row r="1744" spans="1:7">
      <c r="A1744" s="1">
        <v>1743</v>
      </c>
      <c r="B1744" s="1" t="s">
        <v>9409</v>
      </c>
      <c r="D1744" s="1" t="s">
        <v>9403</v>
      </c>
      <c r="E1744" s="1" t="s">
        <v>9410</v>
      </c>
      <c r="F1744" s="1" t="s">
        <v>8410</v>
      </c>
      <c r="G1744" s="1" t="s">
        <v>8411</v>
      </c>
    </row>
    <row r="1745" spans="1:7">
      <c r="A1745" s="1">
        <v>1744</v>
      </c>
      <c r="B1745" s="1" t="s">
        <v>9411</v>
      </c>
      <c r="D1745" s="1" t="s">
        <v>9403</v>
      </c>
      <c r="E1745" s="1" t="s">
        <v>9412</v>
      </c>
      <c r="F1745" s="1" t="s">
        <v>8414</v>
      </c>
      <c r="G1745" s="1" t="s">
        <v>8415</v>
      </c>
    </row>
    <row r="1746" spans="1:7">
      <c r="A1746" s="1">
        <v>1745</v>
      </c>
      <c r="B1746" s="1" t="s">
        <v>9413</v>
      </c>
      <c r="D1746" s="1" t="s">
        <v>9403</v>
      </c>
      <c r="E1746" s="1" t="s">
        <v>9414</v>
      </c>
      <c r="F1746" s="1" t="s">
        <v>8418</v>
      </c>
      <c r="G1746" s="1" t="s">
        <v>8419</v>
      </c>
    </row>
    <row r="1747" spans="1:7">
      <c r="A1747" s="1">
        <v>1746</v>
      </c>
      <c r="B1747" s="1" t="s">
        <v>9415</v>
      </c>
      <c r="D1747" s="1" t="s">
        <v>9403</v>
      </c>
      <c r="E1747" s="1" t="s">
        <v>9416</v>
      </c>
      <c r="F1747" s="1" t="s">
        <v>8422</v>
      </c>
      <c r="G1747" s="1" t="s">
        <v>8423</v>
      </c>
    </row>
    <row r="1748" spans="1:7">
      <c r="A1748" s="1">
        <v>1747</v>
      </c>
      <c r="B1748" s="1" t="s">
        <v>9417</v>
      </c>
      <c r="D1748" s="1" t="s">
        <v>9403</v>
      </c>
      <c r="E1748" s="1" t="s">
        <v>9418</v>
      </c>
      <c r="F1748" s="1" t="s">
        <v>8426</v>
      </c>
      <c r="G1748" s="1" t="s">
        <v>8427</v>
      </c>
    </row>
    <row r="1749" spans="1:7">
      <c r="A1749" s="1">
        <v>1748</v>
      </c>
      <c r="B1749" s="1" t="s">
        <v>9419</v>
      </c>
      <c r="D1749" s="1" t="s">
        <v>9403</v>
      </c>
      <c r="E1749" s="1" t="s">
        <v>9420</v>
      </c>
      <c r="F1749" s="1" t="s">
        <v>8430</v>
      </c>
      <c r="G1749" s="1" t="s">
        <v>8431</v>
      </c>
    </row>
    <row r="1750" spans="1:7">
      <c r="A1750" s="1">
        <v>1749</v>
      </c>
      <c r="B1750" s="1" t="s">
        <v>9421</v>
      </c>
      <c r="D1750" s="1" t="s">
        <v>9403</v>
      </c>
      <c r="E1750" s="1" t="s">
        <v>9422</v>
      </c>
      <c r="F1750" s="1" t="s">
        <v>8434</v>
      </c>
      <c r="G1750" s="1" t="s">
        <v>8435</v>
      </c>
    </row>
    <row r="1751" spans="1:7">
      <c r="A1751" s="1">
        <v>1750</v>
      </c>
      <c r="B1751" s="1" t="s">
        <v>9423</v>
      </c>
      <c r="D1751" s="1" t="s">
        <v>9424</v>
      </c>
      <c r="E1751" s="1" t="s">
        <v>9425</v>
      </c>
      <c r="F1751" s="1" t="s">
        <v>8398</v>
      </c>
      <c r="G1751" s="1" t="s">
        <v>8399</v>
      </c>
    </row>
    <row r="1752" spans="1:7">
      <c r="A1752" s="1">
        <v>1751</v>
      </c>
      <c r="B1752" s="1" t="s">
        <v>9426</v>
      </c>
      <c r="D1752" s="1" t="s">
        <v>9424</v>
      </c>
      <c r="E1752" s="1" t="s">
        <v>9427</v>
      </c>
      <c r="F1752" s="1" t="s">
        <v>8402</v>
      </c>
      <c r="G1752" s="1" t="s">
        <v>8403</v>
      </c>
    </row>
    <row r="1753" spans="1:7">
      <c r="A1753" s="1">
        <v>1752</v>
      </c>
      <c r="B1753" s="1" t="s">
        <v>9428</v>
      </c>
      <c r="D1753" s="1" t="s">
        <v>9424</v>
      </c>
      <c r="E1753" s="1" t="s">
        <v>9429</v>
      </c>
      <c r="F1753" s="1" t="s">
        <v>8406</v>
      </c>
      <c r="G1753" s="1" t="s">
        <v>8407</v>
      </c>
    </row>
    <row r="1754" spans="1:7">
      <c r="A1754" s="1">
        <v>1753</v>
      </c>
      <c r="B1754" s="1" t="s">
        <v>9430</v>
      </c>
      <c r="D1754" s="1" t="s">
        <v>9424</v>
      </c>
      <c r="E1754" s="1" t="s">
        <v>9431</v>
      </c>
      <c r="F1754" s="1" t="s">
        <v>8410</v>
      </c>
      <c r="G1754" s="1" t="s">
        <v>8411</v>
      </c>
    </row>
    <row r="1755" spans="1:7">
      <c r="A1755" s="1">
        <v>1754</v>
      </c>
      <c r="B1755" s="1" t="s">
        <v>9432</v>
      </c>
      <c r="D1755" s="1" t="s">
        <v>9424</v>
      </c>
      <c r="E1755" s="1" t="s">
        <v>9433</v>
      </c>
      <c r="F1755" s="1" t="s">
        <v>8414</v>
      </c>
      <c r="G1755" s="1" t="s">
        <v>8415</v>
      </c>
    </row>
    <row r="1756" spans="1:7">
      <c r="A1756" s="1">
        <v>1755</v>
      </c>
      <c r="B1756" s="1" t="s">
        <v>9434</v>
      </c>
      <c r="D1756" s="1" t="s">
        <v>9424</v>
      </c>
      <c r="E1756" s="1" t="s">
        <v>9435</v>
      </c>
      <c r="F1756" s="1" t="s">
        <v>8418</v>
      </c>
      <c r="G1756" s="1" t="s">
        <v>8419</v>
      </c>
    </row>
    <row r="1757" spans="1:7">
      <c r="A1757" s="1">
        <v>1756</v>
      </c>
      <c r="B1757" s="1" t="s">
        <v>9436</v>
      </c>
      <c r="D1757" s="1" t="s">
        <v>9424</v>
      </c>
      <c r="E1757" s="1" t="s">
        <v>9437</v>
      </c>
      <c r="F1757" s="1" t="s">
        <v>8422</v>
      </c>
      <c r="G1757" s="1" t="s">
        <v>8423</v>
      </c>
    </row>
    <row r="1758" spans="1:7">
      <c r="A1758" s="1">
        <v>1757</v>
      </c>
      <c r="B1758" s="1" t="s">
        <v>9438</v>
      </c>
      <c r="D1758" s="1" t="s">
        <v>9424</v>
      </c>
      <c r="E1758" s="1" t="s">
        <v>9439</v>
      </c>
      <c r="F1758" s="1" t="s">
        <v>8426</v>
      </c>
      <c r="G1758" s="1" t="s">
        <v>8427</v>
      </c>
    </row>
    <row r="1759" spans="1:7">
      <c r="A1759" s="1">
        <v>1758</v>
      </c>
      <c r="B1759" s="1" t="s">
        <v>9440</v>
      </c>
      <c r="D1759" s="1" t="s">
        <v>9424</v>
      </c>
      <c r="E1759" s="1" t="s">
        <v>9441</v>
      </c>
      <c r="F1759" s="1" t="s">
        <v>8430</v>
      </c>
      <c r="G1759" s="1" t="s">
        <v>8431</v>
      </c>
    </row>
    <row r="1760" spans="1:7">
      <c r="A1760" s="1">
        <v>1759</v>
      </c>
      <c r="B1760" s="1" t="s">
        <v>9442</v>
      </c>
      <c r="D1760" s="1" t="s">
        <v>9424</v>
      </c>
      <c r="E1760" s="1" t="s">
        <v>9443</v>
      </c>
      <c r="F1760" s="1" t="s">
        <v>8434</v>
      </c>
      <c r="G1760" s="1" t="s">
        <v>8435</v>
      </c>
    </row>
    <row r="1761" spans="1:7">
      <c r="A1761" s="1">
        <v>1760</v>
      </c>
      <c r="B1761" s="1" t="s">
        <v>9444</v>
      </c>
      <c r="D1761" s="1" t="s">
        <v>9445</v>
      </c>
      <c r="E1761" s="1" t="s">
        <v>9446</v>
      </c>
      <c r="F1761" s="1" t="s">
        <v>8398</v>
      </c>
      <c r="G1761" s="1" t="s">
        <v>8399</v>
      </c>
    </row>
    <row r="1762" spans="1:7">
      <c r="A1762" s="1">
        <v>1761</v>
      </c>
      <c r="B1762" s="1" t="s">
        <v>9447</v>
      </c>
      <c r="D1762" s="1" t="s">
        <v>9445</v>
      </c>
      <c r="E1762" s="1" t="s">
        <v>9448</v>
      </c>
      <c r="F1762" s="1" t="s">
        <v>8402</v>
      </c>
      <c r="G1762" s="1" t="s">
        <v>8403</v>
      </c>
    </row>
    <row r="1763" spans="1:7">
      <c r="A1763" s="1">
        <v>1762</v>
      </c>
      <c r="B1763" s="1" t="s">
        <v>9449</v>
      </c>
      <c r="D1763" s="1" t="s">
        <v>9445</v>
      </c>
      <c r="E1763" s="1" t="s">
        <v>9450</v>
      </c>
      <c r="F1763" s="1" t="s">
        <v>8406</v>
      </c>
      <c r="G1763" s="1" t="s">
        <v>8407</v>
      </c>
    </row>
    <row r="1764" spans="1:7">
      <c r="A1764" s="1">
        <v>1763</v>
      </c>
      <c r="B1764" s="1" t="s">
        <v>9451</v>
      </c>
      <c r="D1764" s="1" t="s">
        <v>9445</v>
      </c>
      <c r="E1764" s="1" t="s">
        <v>9452</v>
      </c>
      <c r="F1764" s="1" t="s">
        <v>8410</v>
      </c>
      <c r="G1764" s="1" t="s">
        <v>8411</v>
      </c>
    </row>
    <row r="1765" spans="1:7">
      <c r="A1765" s="1">
        <v>1764</v>
      </c>
      <c r="B1765" s="1" t="s">
        <v>9453</v>
      </c>
      <c r="D1765" s="1" t="s">
        <v>9445</v>
      </c>
      <c r="E1765" s="1" t="s">
        <v>9454</v>
      </c>
      <c r="F1765" s="1" t="s">
        <v>8414</v>
      </c>
      <c r="G1765" s="1" t="s">
        <v>8415</v>
      </c>
    </row>
    <row r="1766" spans="1:7">
      <c r="A1766" s="1">
        <v>1765</v>
      </c>
      <c r="B1766" s="1" t="s">
        <v>9455</v>
      </c>
      <c r="D1766" s="1" t="s">
        <v>9445</v>
      </c>
      <c r="E1766" s="1" t="s">
        <v>9456</v>
      </c>
      <c r="F1766" s="1" t="s">
        <v>8418</v>
      </c>
      <c r="G1766" s="1" t="s">
        <v>8419</v>
      </c>
    </row>
    <row r="1767" spans="1:7">
      <c r="A1767" s="1">
        <v>1766</v>
      </c>
      <c r="B1767" s="1" t="s">
        <v>9457</v>
      </c>
      <c r="D1767" s="1" t="s">
        <v>9445</v>
      </c>
      <c r="E1767" s="1" t="s">
        <v>9458</v>
      </c>
      <c r="F1767" s="1" t="s">
        <v>8422</v>
      </c>
      <c r="G1767" s="1" t="s">
        <v>8423</v>
      </c>
    </row>
    <row r="1768" spans="1:7">
      <c r="A1768" s="1">
        <v>1767</v>
      </c>
      <c r="B1768" s="1" t="s">
        <v>9459</v>
      </c>
      <c r="D1768" s="1" t="s">
        <v>9445</v>
      </c>
      <c r="E1768" s="1" t="s">
        <v>9460</v>
      </c>
      <c r="F1768" s="1" t="s">
        <v>8426</v>
      </c>
      <c r="G1768" s="1" t="s">
        <v>8427</v>
      </c>
    </row>
    <row r="1769" spans="1:7">
      <c r="A1769" s="1">
        <v>1768</v>
      </c>
      <c r="B1769" s="1" t="s">
        <v>9461</v>
      </c>
      <c r="D1769" s="1" t="s">
        <v>9445</v>
      </c>
      <c r="E1769" s="1" t="s">
        <v>9462</v>
      </c>
      <c r="F1769" s="1" t="s">
        <v>8430</v>
      </c>
      <c r="G1769" s="1" t="s">
        <v>8431</v>
      </c>
    </row>
    <row r="1770" spans="1:7">
      <c r="A1770" s="1">
        <v>1769</v>
      </c>
      <c r="B1770" s="1" t="s">
        <v>9463</v>
      </c>
      <c r="D1770" s="1" t="s">
        <v>9445</v>
      </c>
      <c r="E1770" s="1" t="s">
        <v>9464</v>
      </c>
      <c r="F1770" s="1" t="s">
        <v>8434</v>
      </c>
      <c r="G1770" s="1" t="s">
        <v>8435</v>
      </c>
    </row>
    <row r="1771" spans="1:7">
      <c r="A1771" s="1">
        <v>1770</v>
      </c>
      <c r="B1771" s="1" t="s">
        <v>9465</v>
      </c>
      <c r="D1771" s="1" t="s">
        <v>9466</v>
      </c>
      <c r="E1771" s="1" t="s">
        <v>9467</v>
      </c>
      <c r="F1771" s="1" t="s">
        <v>8398</v>
      </c>
      <c r="G1771" s="1" t="s">
        <v>8399</v>
      </c>
    </row>
    <row r="1772" spans="1:7">
      <c r="A1772" s="1">
        <v>1771</v>
      </c>
      <c r="B1772" s="1" t="s">
        <v>9468</v>
      </c>
      <c r="D1772" s="1" t="s">
        <v>9466</v>
      </c>
      <c r="E1772" s="1" t="s">
        <v>9469</v>
      </c>
      <c r="F1772" s="1" t="s">
        <v>8402</v>
      </c>
      <c r="G1772" s="1" t="s">
        <v>8403</v>
      </c>
    </row>
    <row r="1773" spans="1:7">
      <c r="A1773" s="1">
        <v>1772</v>
      </c>
      <c r="B1773" s="1" t="s">
        <v>9470</v>
      </c>
      <c r="D1773" s="1" t="s">
        <v>9466</v>
      </c>
      <c r="E1773" s="1" t="s">
        <v>9471</v>
      </c>
      <c r="F1773" s="1" t="s">
        <v>8406</v>
      </c>
      <c r="G1773" s="1" t="s">
        <v>8407</v>
      </c>
    </row>
    <row r="1774" spans="1:7">
      <c r="A1774" s="1">
        <v>1773</v>
      </c>
      <c r="B1774" s="1" t="s">
        <v>9472</v>
      </c>
      <c r="D1774" s="1" t="s">
        <v>9466</v>
      </c>
      <c r="E1774" s="1" t="s">
        <v>9473</v>
      </c>
      <c r="F1774" s="1" t="s">
        <v>8410</v>
      </c>
      <c r="G1774" s="1" t="s">
        <v>8411</v>
      </c>
    </row>
    <row r="1775" spans="1:7">
      <c r="A1775" s="1">
        <v>1774</v>
      </c>
      <c r="B1775" s="1" t="s">
        <v>9474</v>
      </c>
      <c r="D1775" s="1" t="s">
        <v>9466</v>
      </c>
      <c r="E1775" s="1" t="s">
        <v>9475</v>
      </c>
      <c r="F1775" s="1" t="s">
        <v>8414</v>
      </c>
      <c r="G1775" s="1" t="s">
        <v>8415</v>
      </c>
    </row>
    <row r="1776" spans="1:7">
      <c r="A1776" s="1">
        <v>1775</v>
      </c>
      <c r="B1776" s="1" t="s">
        <v>9476</v>
      </c>
      <c r="D1776" s="1" t="s">
        <v>9466</v>
      </c>
      <c r="E1776" s="1" t="s">
        <v>9477</v>
      </c>
      <c r="F1776" s="1" t="s">
        <v>8418</v>
      </c>
      <c r="G1776" s="1" t="s">
        <v>8419</v>
      </c>
    </row>
    <row r="1777" spans="1:7">
      <c r="A1777" s="1">
        <v>1776</v>
      </c>
      <c r="B1777" s="1" t="s">
        <v>9478</v>
      </c>
      <c r="D1777" s="1" t="s">
        <v>9466</v>
      </c>
      <c r="E1777" s="1" t="s">
        <v>9479</v>
      </c>
      <c r="F1777" s="1" t="s">
        <v>8422</v>
      </c>
      <c r="G1777" s="1" t="s">
        <v>8423</v>
      </c>
    </row>
    <row r="1778" spans="1:7">
      <c r="A1778" s="1">
        <v>1777</v>
      </c>
      <c r="B1778" s="1" t="s">
        <v>9480</v>
      </c>
      <c r="D1778" s="1" t="s">
        <v>9466</v>
      </c>
      <c r="E1778" s="1" t="s">
        <v>9481</v>
      </c>
      <c r="F1778" s="1" t="s">
        <v>8426</v>
      </c>
      <c r="G1778" s="1" t="s">
        <v>8427</v>
      </c>
    </row>
    <row r="1779" spans="1:7">
      <c r="A1779" s="1">
        <v>1778</v>
      </c>
      <c r="B1779" s="1" t="s">
        <v>9482</v>
      </c>
      <c r="D1779" s="1" t="s">
        <v>9466</v>
      </c>
      <c r="E1779" s="1" t="s">
        <v>9483</v>
      </c>
      <c r="F1779" s="1" t="s">
        <v>8430</v>
      </c>
      <c r="G1779" s="1" t="s">
        <v>8431</v>
      </c>
    </row>
    <row r="1780" spans="1:7">
      <c r="A1780" s="1">
        <v>1779</v>
      </c>
      <c r="B1780" s="1" t="s">
        <v>9484</v>
      </c>
      <c r="D1780" s="1" t="s">
        <v>9466</v>
      </c>
      <c r="E1780" s="1" t="s">
        <v>9485</v>
      </c>
      <c r="F1780" s="1" t="s">
        <v>8434</v>
      </c>
      <c r="G1780" s="1" t="s">
        <v>8435</v>
      </c>
    </row>
    <row r="1781" spans="1:7">
      <c r="A1781" s="1">
        <v>1780</v>
      </c>
      <c r="B1781" s="1" t="s">
        <v>9486</v>
      </c>
      <c r="D1781" s="1" t="s">
        <v>9487</v>
      </c>
      <c r="E1781" s="1" t="s">
        <v>9488</v>
      </c>
      <c r="F1781" s="1" t="s">
        <v>8398</v>
      </c>
      <c r="G1781" s="1" t="s">
        <v>8399</v>
      </c>
    </row>
    <row r="1782" spans="1:7">
      <c r="A1782" s="1">
        <v>1781</v>
      </c>
      <c r="B1782" s="1" t="s">
        <v>9489</v>
      </c>
      <c r="D1782" s="1" t="s">
        <v>9487</v>
      </c>
      <c r="E1782" s="1" t="s">
        <v>9490</v>
      </c>
      <c r="F1782" s="1" t="s">
        <v>8402</v>
      </c>
      <c r="G1782" s="1" t="s">
        <v>8403</v>
      </c>
    </row>
    <row r="1783" spans="1:7">
      <c r="A1783" s="1">
        <v>1782</v>
      </c>
      <c r="B1783" s="1" t="s">
        <v>9491</v>
      </c>
      <c r="D1783" s="1" t="s">
        <v>9487</v>
      </c>
      <c r="E1783" s="1" t="s">
        <v>9492</v>
      </c>
      <c r="F1783" s="1" t="s">
        <v>8406</v>
      </c>
      <c r="G1783" s="1" t="s">
        <v>8407</v>
      </c>
    </row>
    <row r="1784" spans="1:7">
      <c r="A1784" s="1">
        <v>1783</v>
      </c>
      <c r="B1784" s="1" t="s">
        <v>9493</v>
      </c>
      <c r="D1784" s="1" t="s">
        <v>9487</v>
      </c>
      <c r="E1784" s="1" t="s">
        <v>9494</v>
      </c>
      <c r="F1784" s="1" t="s">
        <v>8410</v>
      </c>
      <c r="G1784" s="1" t="s">
        <v>8411</v>
      </c>
    </row>
    <row r="1785" spans="1:7">
      <c r="A1785" s="1">
        <v>1784</v>
      </c>
      <c r="B1785" s="1" t="s">
        <v>9495</v>
      </c>
      <c r="D1785" s="1" t="s">
        <v>9487</v>
      </c>
      <c r="E1785" s="1" t="s">
        <v>9496</v>
      </c>
      <c r="F1785" s="1" t="s">
        <v>8414</v>
      </c>
      <c r="G1785" s="1" t="s">
        <v>8415</v>
      </c>
    </row>
    <row r="1786" spans="1:7">
      <c r="A1786" s="1">
        <v>1785</v>
      </c>
      <c r="B1786" s="1" t="s">
        <v>9497</v>
      </c>
      <c r="D1786" s="1" t="s">
        <v>9487</v>
      </c>
      <c r="E1786" s="1" t="s">
        <v>9498</v>
      </c>
      <c r="F1786" s="1" t="s">
        <v>8418</v>
      </c>
      <c r="G1786" s="1" t="s">
        <v>8419</v>
      </c>
    </row>
    <row r="1787" spans="1:7">
      <c r="A1787" s="1">
        <v>1786</v>
      </c>
      <c r="B1787" s="1" t="s">
        <v>9499</v>
      </c>
      <c r="D1787" s="1" t="s">
        <v>9487</v>
      </c>
      <c r="E1787" s="1" t="s">
        <v>9500</v>
      </c>
      <c r="F1787" s="1" t="s">
        <v>8422</v>
      </c>
      <c r="G1787" s="1" t="s">
        <v>8423</v>
      </c>
    </row>
    <row r="1788" spans="1:7">
      <c r="A1788" s="1">
        <v>1787</v>
      </c>
      <c r="B1788" s="1" t="s">
        <v>9501</v>
      </c>
      <c r="D1788" s="1" t="s">
        <v>9487</v>
      </c>
      <c r="E1788" s="1" t="s">
        <v>9502</v>
      </c>
      <c r="F1788" s="1" t="s">
        <v>8426</v>
      </c>
      <c r="G1788" s="1" t="s">
        <v>8427</v>
      </c>
    </row>
    <row r="1789" spans="1:7">
      <c r="A1789" s="1">
        <v>1788</v>
      </c>
      <c r="B1789" s="1" t="s">
        <v>9503</v>
      </c>
      <c r="D1789" s="1" t="s">
        <v>9487</v>
      </c>
      <c r="E1789" s="1" t="s">
        <v>9504</v>
      </c>
      <c r="F1789" s="1" t="s">
        <v>8430</v>
      </c>
      <c r="G1789" s="1" t="s">
        <v>8431</v>
      </c>
    </row>
    <row r="1790" spans="1:7">
      <c r="A1790" s="1">
        <v>1789</v>
      </c>
      <c r="B1790" s="1" t="s">
        <v>9505</v>
      </c>
      <c r="D1790" s="1" t="s">
        <v>9487</v>
      </c>
      <c r="E1790" s="1" t="s">
        <v>9506</v>
      </c>
      <c r="F1790" s="1" t="s">
        <v>8434</v>
      </c>
      <c r="G1790" s="1" t="s">
        <v>8435</v>
      </c>
    </row>
    <row r="1791" spans="1:7">
      <c r="A1791" s="1">
        <v>1790</v>
      </c>
      <c r="B1791" s="1" t="s">
        <v>9507</v>
      </c>
      <c r="D1791" s="1" t="s">
        <v>9508</v>
      </c>
      <c r="E1791" s="1" t="s">
        <v>9509</v>
      </c>
      <c r="F1791" s="1" t="s">
        <v>8398</v>
      </c>
      <c r="G1791" s="1" t="s">
        <v>8399</v>
      </c>
    </row>
    <row r="1792" spans="1:7">
      <c r="A1792" s="1">
        <v>1791</v>
      </c>
      <c r="B1792" s="1" t="s">
        <v>9510</v>
      </c>
      <c r="D1792" s="1" t="s">
        <v>9508</v>
      </c>
      <c r="E1792" s="1" t="s">
        <v>9511</v>
      </c>
      <c r="F1792" s="1" t="s">
        <v>8402</v>
      </c>
      <c r="G1792" s="1" t="s">
        <v>8403</v>
      </c>
    </row>
    <row r="1793" spans="1:7">
      <c r="A1793" s="1">
        <v>1792</v>
      </c>
      <c r="B1793" s="1" t="s">
        <v>9512</v>
      </c>
      <c r="D1793" s="1" t="s">
        <v>9508</v>
      </c>
      <c r="E1793" s="1" t="s">
        <v>9513</v>
      </c>
      <c r="F1793" s="1" t="s">
        <v>8406</v>
      </c>
      <c r="G1793" s="1" t="s">
        <v>8407</v>
      </c>
    </row>
    <row r="1794" spans="1:7">
      <c r="A1794" s="1">
        <v>1793</v>
      </c>
      <c r="B1794" s="1" t="s">
        <v>9514</v>
      </c>
      <c r="D1794" s="1" t="s">
        <v>9508</v>
      </c>
      <c r="E1794" s="1" t="s">
        <v>9515</v>
      </c>
      <c r="F1794" s="1" t="s">
        <v>8410</v>
      </c>
      <c r="G1794" s="1" t="s">
        <v>8411</v>
      </c>
    </row>
    <row r="1795" spans="1:7">
      <c r="A1795" s="1">
        <v>1794</v>
      </c>
      <c r="B1795" s="1" t="s">
        <v>9516</v>
      </c>
      <c r="D1795" s="1" t="s">
        <v>9508</v>
      </c>
      <c r="E1795" s="1" t="s">
        <v>9517</v>
      </c>
      <c r="F1795" s="1" t="s">
        <v>8414</v>
      </c>
      <c r="G1795" s="1" t="s">
        <v>8415</v>
      </c>
    </row>
    <row r="1796" spans="1:7">
      <c r="A1796" s="1">
        <v>1795</v>
      </c>
      <c r="B1796" s="1" t="s">
        <v>9518</v>
      </c>
      <c r="D1796" s="1" t="s">
        <v>9508</v>
      </c>
      <c r="E1796" s="1" t="s">
        <v>9519</v>
      </c>
      <c r="F1796" s="1" t="s">
        <v>8418</v>
      </c>
      <c r="G1796" s="1" t="s">
        <v>8419</v>
      </c>
    </row>
    <row r="1797" spans="1:7">
      <c r="A1797" s="1">
        <v>1796</v>
      </c>
      <c r="B1797" s="1" t="s">
        <v>9520</v>
      </c>
      <c r="D1797" s="1" t="s">
        <v>9508</v>
      </c>
      <c r="E1797" s="1" t="s">
        <v>9521</v>
      </c>
      <c r="F1797" s="1" t="s">
        <v>8422</v>
      </c>
      <c r="G1797" s="1" t="s">
        <v>8423</v>
      </c>
    </row>
    <row r="1798" spans="1:7">
      <c r="A1798" s="1">
        <v>1797</v>
      </c>
      <c r="B1798" s="1" t="s">
        <v>9522</v>
      </c>
      <c r="D1798" s="1" t="s">
        <v>9508</v>
      </c>
      <c r="E1798" s="1" t="s">
        <v>9523</v>
      </c>
      <c r="F1798" s="1" t="s">
        <v>8426</v>
      </c>
      <c r="G1798" s="1" t="s">
        <v>8427</v>
      </c>
    </row>
    <row r="1799" spans="1:7">
      <c r="A1799" s="1">
        <v>1798</v>
      </c>
      <c r="B1799" s="1" t="s">
        <v>9524</v>
      </c>
      <c r="D1799" s="1" t="s">
        <v>9508</v>
      </c>
      <c r="E1799" s="1" t="s">
        <v>9525</v>
      </c>
      <c r="F1799" s="1" t="s">
        <v>8430</v>
      </c>
      <c r="G1799" s="1" t="s">
        <v>8431</v>
      </c>
    </row>
    <row r="1800" spans="1:7">
      <c r="A1800" s="1">
        <v>1799</v>
      </c>
      <c r="B1800" s="1" t="s">
        <v>9526</v>
      </c>
      <c r="D1800" s="1" t="s">
        <v>9508</v>
      </c>
      <c r="E1800" s="1" t="s">
        <v>9527</v>
      </c>
      <c r="F1800" s="1" t="s">
        <v>8434</v>
      </c>
      <c r="G1800" s="1" t="s">
        <v>8435</v>
      </c>
    </row>
    <row r="1801" spans="1:7">
      <c r="A1801" s="1">
        <v>1800</v>
      </c>
      <c r="B1801" s="1" t="s">
        <v>9528</v>
      </c>
      <c r="D1801" s="1" t="s">
        <v>9529</v>
      </c>
      <c r="E1801" s="1" t="s">
        <v>2041</v>
      </c>
      <c r="F1801" s="1" t="s">
        <v>8398</v>
      </c>
      <c r="G1801" s="1" t="s">
        <v>8399</v>
      </c>
    </row>
    <row r="1802" spans="1:7">
      <c r="A1802" s="1">
        <v>1801</v>
      </c>
      <c r="B1802" s="1" t="s">
        <v>9530</v>
      </c>
      <c r="D1802" s="1" t="s">
        <v>9529</v>
      </c>
      <c r="E1802" s="1" t="s">
        <v>2040</v>
      </c>
      <c r="F1802" s="1" t="s">
        <v>8402</v>
      </c>
      <c r="G1802" s="1" t="s">
        <v>8403</v>
      </c>
    </row>
    <row r="1803" spans="1:7">
      <c r="A1803" s="1">
        <v>1802</v>
      </c>
      <c r="B1803" s="1" t="s">
        <v>9531</v>
      </c>
      <c r="D1803" s="1" t="s">
        <v>9529</v>
      </c>
      <c r="E1803" s="1" t="s">
        <v>9532</v>
      </c>
      <c r="F1803" s="1" t="s">
        <v>8406</v>
      </c>
      <c r="G1803" s="1" t="s">
        <v>8407</v>
      </c>
    </row>
    <row r="1804" spans="1:7">
      <c r="A1804" s="1">
        <v>1803</v>
      </c>
      <c r="B1804" s="1" t="s">
        <v>9533</v>
      </c>
      <c r="D1804" s="1" t="s">
        <v>9529</v>
      </c>
      <c r="E1804" s="1" t="s">
        <v>9534</v>
      </c>
      <c r="F1804" s="1" t="s">
        <v>8410</v>
      </c>
      <c r="G1804" s="1" t="s">
        <v>8411</v>
      </c>
    </row>
    <row r="1805" spans="1:7">
      <c r="A1805" s="1">
        <v>1804</v>
      </c>
      <c r="B1805" s="1" t="s">
        <v>9535</v>
      </c>
      <c r="D1805" s="1" t="s">
        <v>9529</v>
      </c>
      <c r="E1805" s="1" t="s">
        <v>9536</v>
      </c>
      <c r="F1805" s="1" t="s">
        <v>8414</v>
      </c>
      <c r="G1805" s="1" t="s">
        <v>8415</v>
      </c>
    </row>
    <row r="1806" spans="1:7">
      <c r="A1806" s="1">
        <v>1805</v>
      </c>
      <c r="B1806" s="1" t="s">
        <v>9537</v>
      </c>
      <c r="D1806" s="1" t="s">
        <v>9529</v>
      </c>
      <c r="E1806" s="1" t="s">
        <v>9538</v>
      </c>
      <c r="F1806" s="1" t="s">
        <v>8418</v>
      </c>
      <c r="G1806" s="1" t="s">
        <v>8419</v>
      </c>
    </row>
    <row r="1807" spans="1:7">
      <c r="A1807" s="1">
        <v>1806</v>
      </c>
      <c r="B1807" s="1" t="s">
        <v>9539</v>
      </c>
      <c r="D1807" s="1" t="s">
        <v>9529</v>
      </c>
      <c r="E1807" s="1" t="s">
        <v>2044</v>
      </c>
      <c r="F1807" s="1" t="s">
        <v>8422</v>
      </c>
      <c r="G1807" s="1" t="s">
        <v>8423</v>
      </c>
    </row>
    <row r="1808" spans="1:7">
      <c r="A1808" s="1">
        <v>1807</v>
      </c>
      <c r="B1808" s="1" t="s">
        <v>9540</v>
      </c>
      <c r="D1808" s="1" t="s">
        <v>9529</v>
      </c>
      <c r="E1808" s="1" t="s">
        <v>9541</v>
      </c>
      <c r="F1808" s="1" t="s">
        <v>8426</v>
      </c>
      <c r="G1808" s="1" t="s">
        <v>8427</v>
      </c>
    </row>
    <row r="1809" spans="1:7">
      <c r="A1809" s="1">
        <v>1808</v>
      </c>
      <c r="B1809" s="1" t="s">
        <v>9542</v>
      </c>
      <c r="D1809" s="1" t="s">
        <v>9529</v>
      </c>
      <c r="E1809" s="1" t="s">
        <v>9543</v>
      </c>
      <c r="F1809" s="1" t="s">
        <v>8430</v>
      </c>
      <c r="G1809" s="1" t="s">
        <v>8431</v>
      </c>
    </row>
    <row r="1810" spans="1:7">
      <c r="A1810" s="1">
        <v>1809</v>
      </c>
      <c r="B1810" s="1" t="s">
        <v>9544</v>
      </c>
      <c r="D1810" s="1" t="s">
        <v>9529</v>
      </c>
      <c r="E1810" s="1" t="s">
        <v>9545</v>
      </c>
      <c r="F1810" s="1" t="s">
        <v>8434</v>
      </c>
      <c r="G1810" s="1" t="s">
        <v>8435</v>
      </c>
    </row>
    <row r="1811" spans="1:7">
      <c r="A1811" s="1">
        <v>1810</v>
      </c>
      <c r="B1811" s="1" t="s">
        <v>9546</v>
      </c>
      <c r="D1811" s="1" t="s">
        <v>9547</v>
      </c>
      <c r="E1811" s="1" t="s">
        <v>3605</v>
      </c>
      <c r="F1811" s="1" t="s">
        <v>9548</v>
      </c>
      <c r="G1811" s="1" t="s">
        <v>9549</v>
      </c>
    </row>
    <row r="1812" spans="1:7">
      <c r="A1812" s="1">
        <v>1811</v>
      </c>
      <c r="B1812" s="1" t="s">
        <v>9550</v>
      </c>
      <c r="D1812" s="1" t="s">
        <v>9547</v>
      </c>
      <c r="E1812" s="1" t="s">
        <v>3606</v>
      </c>
      <c r="F1812" s="1" t="s">
        <v>9551</v>
      </c>
      <c r="G1812" s="1" t="s">
        <v>9552</v>
      </c>
    </row>
    <row r="1813" spans="1:7">
      <c r="A1813" s="1">
        <v>1812</v>
      </c>
      <c r="B1813" s="1" t="s">
        <v>9553</v>
      </c>
      <c r="D1813" s="1" t="s">
        <v>9547</v>
      </c>
      <c r="E1813" s="1" t="s">
        <v>3607</v>
      </c>
      <c r="F1813" s="1" t="s">
        <v>9554</v>
      </c>
      <c r="G1813" s="1" t="s">
        <v>9555</v>
      </c>
    </row>
    <row r="1814" spans="1:7">
      <c r="A1814" s="1">
        <v>1813</v>
      </c>
      <c r="B1814" s="1" t="s">
        <v>9556</v>
      </c>
      <c r="D1814" s="1" t="s">
        <v>9547</v>
      </c>
      <c r="E1814" s="1" t="s">
        <v>9557</v>
      </c>
      <c r="F1814" s="1" t="s">
        <v>9558</v>
      </c>
      <c r="G1814" s="1" t="s">
        <v>9559</v>
      </c>
    </row>
    <row r="1815" spans="1:7">
      <c r="A1815" s="1">
        <v>1814</v>
      </c>
      <c r="B1815" s="1" t="s">
        <v>9560</v>
      </c>
      <c r="D1815" s="1" t="s">
        <v>9547</v>
      </c>
      <c r="E1815" s="1" t="s">
        <v>3608</v>
      </c>
      <c r="F1815" s="1" t="s">
        <v>1373</v>
      </c>
      <c r="G1815" s="1" t="s">
        <v>1374</v>
      </c>
    </row>
    <row r="1816" spans="1:7">
      <c r="A1816" s="1">
        <v>1815</v>
      </c>
      <c r="B1816" s="1" t="s">
        <v>9561</v>
      </c>
      <c r="D1816" s="1" t="s">
        <v>9547</v>
      </c>
      <c r="E1816" s="1" t="s">
        <v>9562</v>
      </c>
      <c r="F1816" s="1" t="s">
        <v>9563</v>
      </c>
      <c r="G1816" s="1" t="s">
        <v>9564</v>
      </c>
    </row>
    <row r="1817" spans="1:7">
      <c r="A1817" s="1">
        <v>1816</v>
      </c>
      <c r="B1817" s="1" t="s">
        <v>9565</v>
      </c>
      <c r="D1817" s="1" t="s">
        <v>9547</v>
      </c>
      <c r="E1817" s="1" t="s">
        <v>3609</v>
      </c>
      <c r="F1817" s="1" t="s">
        <v>9566</v>
      </c>
      <c r="G1817" s="1" t="s">
        <v>9567</v>
      </c>
    </row>
    <row r="1818" spans="1:7">
      <c r="A1818" s="1">
        <v>1817</v>
      </c>
      <c r="B1818" s="1" t="s">
        <v>9568</v>
      </c>
      <c r="D1818" s="1" t="s">
        <v>9569</v>
      </c>
      <c r="E1818" s="1" t="s">
        <v>9570</v>
      </c>
      <c r="F1818" s="1" t="s">
        <v>9571</v>
      </c>
      <c r="G1818" s="1" t="s">
        <v>9572</v>
      </c>
    </row>
    <row r="1819" spans="1:7">
      <c r="A1819" s="1">
        <v>1818</v>
      </c>
      <c r="B1819" s="1" t="s">
        <v>9573</v>
      </c>
      <c r="D1819" s="1" t="s">
        <v>9569</v>
      </c>
      <c r="E1819" s="1" t="s">
        <v>9574</v>
      </c>
      <c r="F1819" s="1" t="s">
        <v>9575</v>
      </c>
      <c r="G1819" s="1" t="s">
        <v>9576</v>
      </c>
    </row>
    <row r="1820" spans="1:7">
      <c r="A1820" s="1">
        <v>1819</v>
      </c>
      <c r="B1820" s="1" t="s">
        <v>9577</v>
      </c>
      <c r="D1820" s="1" t="s">
        <v>9569</v>
      </c>
      <c r="E1820" s="1" t="s">
        <v>9578</v>
      </c>
      <c r="F1820" s="1" t="s">
        <v>9579</v>
      </c>
      <c r="G1820" s="1" t="s">
        <v>9580</v>
      </c>
    </row>
    <row r="1821" spans="1:7">
      <c r="A1821" s="1">
        <v>1820</v>
      </c>
      <c r="B1821" s="1" t="s">
        <v>9581</v>
      </c>
      <c r="D1821" s="1" t="s">
        <v>9569</v>
      </c>
      <c r="E1821" s="1" t="s">
        <v>9582</v>
      </c>
      <c r="F1821" s="1" t="s">
        <v>9583</v>
      </c>
      <c r="G1821" s="1" t="s">
        <v>9584</v>
      </c>
    </row>
    <row r="1822" spans="1:7">
      <c r="A1822" s="1">
        <v>1821</v>
      </c>
      <c r="B1822" s="1" t="s">
        <v>9585</v>
      </c>
      <c r="D1822" s="1" t="s">
        <v>9569</v>
      </c>
      <c r="E1822" s="1" t="s">
        <v>9586</v>
      </c>
      <c r="F1822" s="1" t="s">
        <v>1396</v>
      </c>
      <c r="G1822" s="1" t="s">
        <v>1397</v>
      </c>
    </row>
    <row r="1823" spans="1:7">
      <c r="A1823" s="1">
        <v>1822</v>
      </c>
      <c r="B1823" s="1" t="s">
        <v>9587</v>
      </c>
      <c r="D1823" s="1" t="s">
        <v>9569</v>
      </c>
      <c r="E1823" s="1" t="s">
        <v>9588</v>
      </c>
      <c r="F1823" s="1" t="s">
        <v>9589</v>
      </c>
      <c r="G1823" s="1" t="s">
        <v>9590</v>
      </c>
    </row>
    <row r="1824" spans="1:7">
      <c r="A1824" s="1">
        <v>1823</v>
      </c>
      <c r="B1824" s="1" t="s">
        <v>9591</v>
      </c>
      <c r="D1824" s="1" t="s">
        <v>9569</v>
      </c>
      <c r="E1824" s="1" t="s">
        <v>9592</v>
      </c>
      <c r="F1824" s="1" t="s">
        <v>9593</v>
      </c>
      <c r="G1824" s="1" t="s">
        <v>9594</v>
      </c>
    </row>
    <row r="1825" spans="1:7">
      <c r="A1825" s="1">
        <v>1824</v>
      </c>
      <c r="B1825" s="1" t="s">
        <v>9595</v>
      </c>
      <c r="D1825" s="1" t="s">
        <v>9596</v>
      </c>
      <c r="E1825" s="1" t="s">
        <v>2750</v>
      </c>
      <c r="F1825" s="1" t="s">
        <v>2055</v>
      </c>
      <c r="G1825" s="1" t="s">
        <v>2056</v>
      </c>
    </row>
    <row r="1826" spans="1:7">
      <c r="A1826" s="1">
        <v>1825</v>
      </c>
      <c r="B1826" s="1" t="s">
        <v>9597</v>
      </c>
      <c r="D1826" s="1" t="s">
        <v>9596</v>
      </c>
      <c r="E1826" s="1" t="s">
        <v>2752</v>
      </c>
      <c r="F1826" s="1" t="s">
        <v>2051</v>
      </c>
      <c r="G1826" s="1" t="s">
        <v>2052</v>
      </c>
    </row>
    <row r="1827" spans="1:7">
      <c r="A1827" s="1">
        <v>1826</v>
      </c>
      <c r="B1827" s="1" t="s">
        <v>9598</v>
      </c>
      <c r="D1827" s="1" t="s">
        <v>9596</v>
      </c>
      <c r="E1827" s="1" t="s">
        <v>2754</v>
      </c>
      <c r="F1827" s="1" t="s">
        <v>2063</v>
      </c>
      <c r="G1827" s="1" t="s">
        <v>2064</v>
      </c>
    </row>
    <row r="1828" spans="1:7">
      <c r="A1828" s="1">
        <v>1827</v>
      </c>
      <c r="B1828" s="1" t="s">
        <v>9599</v>
      </c>
      <c r="D1828" s="1" t="s">
        <v>9596</v>
      </c>
      <c r="E1828" s="1" t="s">
        <v>2756</v>
      </c>
      <c r="F1828" s="1" t="s">
        <v>2059</v>
      </c>
      <c r="G1828" s="1" t="s">
        <v>2060</v>
      </c>
    </row>
    <row r="1829" spans="1:7">
      <c r="A1829" s="1">
        <v>1828</v>
      </c>
      <c r="B1829" s="1" t="s">
        <v>9600</v>
      </c>
      <c r="D1829" s="1" t="s">
        <v>9596</v>
      </c>
      <c r="E1829" s="1" t="s">
        <v>2758</v>
      </c>
      <c r="F1829" s="1" t="s">
        <v>2131</v>
      </c>
      <c r="G1829" s="1" t="s">
        <v>2132</v>
      </c>
    </row>
    <row r="1830" spans="1:7">
      <c r="A1830" s="1">
        <v>1829</v>
      </c>
      <c r="B1830" s="1" t="s">
        <v>9601</v>
      </c>
      <c r="D1830" s="1" t="s">
        <v>9596</v>
      </c>
      <c r="E1830" s="1" t="s">
        <v>2760</v>
      </c>
      <c r="F1830" s="1" t="s">
        <v>2111</v>
      </c>
      <c r="G1830" s="1" t="s">
        <v>2112</v>
      </c>
    </row>
    <row r="1831" spans="1:7">
      <c r="A1831" s="1">
        <v>1830</v>
      </c>
      <c r="B1831" s="1" t="s">
        <v>9602</v>
      </c>
      <c r="D1831" s="1" t="s">
        <v>9596</v>
      </c>
      <c r="E1831" s="1" t="s">
        <v>2762</v>
      </c>
      <c r="F1831" s="1" t="s">
        <v>2107</v>
      </c>
      <c r="G1831" s="1" t="s">
        <v>2108</v>
      </c>
    </row>
    <row r="1832" spans="1:7">
      <c r="A1832" s="1">
        <v>1831</v>
      </c>
      <c r="B1832" s="1" t="s">
        <v>9603</v>
      </c>
      <c r="D1832" s="1" t="s">
        <v>9596</v>
      </c>
      <c r="E1832" s="1" t="s">
        <v>2764</v>
      </c>
      <c r="F1832" s="1" t="s">
        <v>2151</v>
      </c>
      <c r="G1832" s="1" t="s">
        <v>2152</v>
      </c>
    </row>
    <row r="1833" spans="1:7">
      <c r="A1833" s="1">
        <v>1832</v>
      </c>
      <c r="B1833" s="1" t="s">
        <v>9604</v>
      </c>
      <c r="D1833" s="1" t="s">
        <v>9596</v>
      </c>
      <c r="E1833" s="1" t="s">
        <v>2766</v>
      </c>
      <c r="F1833" s="1" t="s">
        <v>2099</v>
      </c>
      <c r="G1833" s="1" t="s">
        <v>2100</v>
      </c>
    </row>
    <row r="1834" spans="1:7">
      <c r="A1834" s="1">
        <v>1833</v>
      </c>
      <c r="B1834" s="1" t="s">
        <v>9605</v>
      </c>
      <c r="D1834" s="1" t="s">
        <v>9596</v>
      </c>
      <c r="E1834" s="1" t="s">
        <v>2768</v>
      </c>
      <c r="F1834" s="1" t="s">
        <v>2103</v>
      </c>
      <c r="G1834" s="1" t="s">
        <v>2104</v>
      </c>
    </row>
    <row r="1835" spans="1:7">
      <c r="A1835" s="1">
        <v>1834</v>
      </c>
      <c r="B1835" s="1" t="s">
        <v>9606</v>
      </c>
      <c r="D1835" s="1" t="s">
        <v>9596</v>
      </c>
      <c r="E1835" s="1" t="s">
        <v>2770</v>
      </c>
      <c r="F1835" s="1" t="s">
        <v>2163</v>
      </c>
      <c r="G1835" s="1" t="s">
        <v>2164</v>
      </c>
    </row>
    <row r="1836" spans="1:7">
      <c r="A1836" s="1">
        <v>1835</v>
      </c>
      <c r="B1836" s="1" t="s">
        <v>9607</v>
      </c>
      <c r="D1836" s="1" t="s">
        <v>9596</v>
      </c>
      <c r="E1836" s="1" t="s">
        <v>2772</v>
      </c>
      <c r="F1836" s="1" t="s">
        <v>2123</v>
      </c>
      <c r="G1836" s="1" t="s">
        <v>2124</v>
      </c>
    </row>
    <row r="1837" spans="1:7">
      <c r="A1837" s="1">
        <v>1836</v>
      </c>
      <c r="B1837" s="1" t="s">
        <v>9608</v>
      </c>
      <c r="D1837" s="1" t="s">
        <v>9596</v>
      </c>
      <c r="E1837" s="1" t="s">
        <v>2774</v>
      </c>
      <c r="F1837" s="1" t="s">
        <v>2083</v>
      </c>
      <c r="G1837" s="1" t="s">
        <v>2084</v>
      </c>
    </row>
    <row r="1838" spans="1:7">
      <c r="A1838" s="1">
        <v>1837</v>
      </c>
      <c r="B1838" s="1" t="s">
        <v>9609</v>
      </c>
      <c r="D1838" s="1" t="s">
        <v>9596</v>
      </c>
      <c r="E1838" s="1" t="s">
        <v>2776</v>
      </c>
      <c r="F1838" s="1" t="s">
        <v>2075</v>
      </c>
      <c r="G1838" s="1" t="s">
        <v>2076</v>
      </c>
    </row>
    <row r="1839" spans="1:7">
      <c r="A1839" s="1">
        <v>1838</v>
      </c>
      <c r="B1839" s="1" t="s">
        <v>9610</v>
      </c>
      <c r="D1839" s="1" t="s">
        <v>9596</v>
      </c>
      <c r="E1839" s="1" t="s">
        <v>2778</v>
      </c>
      <c r="F1839" s="1" t="s">
        <v>2079</v>
      </c>
      <c r="G1839" s="1" t="s">
        <v>2080</v>
      </c>
    </row>
    <row r="1840" spans="1:7">
      <c r="A1840" s="1">
        <v>1839</v>
      </c>
      <c r="B1840" s="1" t="s">
        <v>9611</v>
      </c>
      <c r="D1840" s="1" t="s">
        <v>9596</v>
      </c>
      <c r="E1840" s="1" t="s">
        <v>2780</v>
      </c>
      <c r="F1840" s="1" t="s">
        <v>2147</v>
      </c>
      <c r="G1840" s="1" t="s">
        <v>2148</v>
      </c>
    </row>
    <row r="1841" spans="1:7">
      <c r="A1841" s="1">
        <v>1840</v>
      </c>
      <c r="B1841" s="1" t="s">
        <v>9612</v>
      </c>
      <c r="D1841" s="1" t="s">
        <v>9596</v>
      </c>
      <c r="E1841" s="1" t="s">
        <v>2782</v>
      </c>
      <c r="F1841" s="1" t="s">
        <v>2095</v>
      </c>
      <c r="G1841" s="1" t="s">
        <v>2096</v>
      </c>
    </row>
    <row r="1842" spans="1:7">
      <c r="A1842" s="1">
        <v>1841</v>
      </c>
      <c r="B1842" s="1" t="s">
        <v>9613</v>
      </c>
      <c r="D1842" s="1" t="s">
        <v>9596</v>
      </c>
      <c r="E1842" s="1" t="s">
        <v>2784</v>
      </c>
      <c r="F1842" s="1" t="s">
        <v>2087</v>
      </c>
      <c r="G1842" s="1" t="s">
        <v>2088</v>
      </c>
    </row>
    <row r="1843" spans="1:7">
      <c r="A1843" s="1">
        <v>1842</v>
      </c>
      <c r="B1843" s="1" t="s">
        <v>9614</v>
      </c>
      <c r="D1843" s="1" t="s">
        <v>9596</v>
      </c>
      <c r="E1843" s="1" t="s">
        <v>2786</v>
      </c>
      <c r="F1843" s="1" t="s">
        <v>2091</v>
      </c>
      <c r="G1843" s="1" t="s">
        <v>2092</v>
      </c>
    </row>
    <row r="1844" spans="1:7">
      <c r="A1844" s="1">
        <v>1843</v>
      </c>
      <c r="B1844" s="1" t="s">
        <v>9615</v>
      </c>
      <c r="D1844" s="1" t="s">
        <v>9596</v>
      </c>
      <c r="E1844" s="1" t="s">
        <v>2788</v>
      </c>
      <c r="F1844" s="1" t="s">
        <v>2135</v>
      </c>
      <c r="G1844" s="1" t="s">
        <v>2136</v>
      </c>
    </row>
    <row r="1845" spans="1:7">
      <c r="A1845" s="1">
        <v>1844</v>
      </c>
      <c r="B1845" s="1" t="s">
        <v>9616</v>
      </c>
      <c r="D1845" s="1" t="s">
        <v>9596</v>
      </c>
      <c r="E1845" s="1" t="s">
        <v>2790</v>
      </c>
      <c r="F1845" s="1" t="s">
        <v>2155</v>
      </c>
      <c r="G1845" s="1" t="s">
        <v>2156</v>
      </c>
    </row>
    <row r="1846" spans="1:7">
      <c r="A1846" s="1">
        <v>1845</v>
      </c>
      <c r="B1846" s="1" t="s">
        <v>9617</v>
      </c>
      <c r="D1846" s="1" t="s">
        <v>9596</v>
      </c>
      <c r="E1846" s="1" t="s">
        <v>2792</v>
      </c>
      <c r="F1846" s="1" t="s">
        <v>2159</v>
      </c>
      <c r="G1846" s="1" t="s">
        <v>2160</v>
      </c>
    </row>
    <row r="1847" spans="1:7">
      <c r="A1847" s="1">
        <v>1846</v>
      </c>
      <c r="B1847" s="1" t="s">
        <v>9618</v>
      </c>
      <c r="D1847" s="1" t="s">
        <v>9596</v>
      </c>
      <c r="E1847" s="1" t="s">
        <v>2794</v>
      </c>
      <c r="F1847" s="1" t="s">
        <v>2127</v>
      </c>
      <c r="G1847" s="1" t="s">
        <v>2128</v>
      </c>
    </row>
    <row r="1848" spans="1:7">
      <c r="A1848" s="1">
        <v>1847</v>
      </c>
      <c r="B1848" s="1" t="s">
        <v>9619</v>
      </c>
      <c r="D1848" s="1" t="s">
        <v>9596</v>
      </c>
      <c r="E1848" s="1" t="s">
        <v>2796</v>
      </c>
      <c r="F1848" s="1" t="s">
        <v>2143</v>
      </c>
      <c r="G1848" s="1" t="s">
        <v>2144</v>
      </c>
    </row>
    <row r="1849" spans="1:7">
      <c r="A1849" s="1">
        <v>1848</v>
      </c>
      <c r="B1849" s="1" t="s">
        <v>9620</v>
      </c>
      <c r="D1849" s="1" t="s">
        <v>9596</v>
      </c>
      <c r="E1849" s="1" t="s">
        <v>2798</v>
      </c>
      <c r="F1849" s="1" t="s">
        <v>2139</v>
      </c>
      <c r="G1849" s="1" t="s">
        <v>2140</v>
      </c>
    </row>
    <row r="1850" spans="1:7">
      <c r="A1850" s="1">
        <v>1849</v>
      </c>
      <c r="B1850" s="1" t="s">
        <v>9621</v>
      </c>
      <c r="D1850" s="1" t="s">
        <v>9596</v>
      </c>
      <c r="E1850" s="1" t="s">
        <v>2800</v>
      </c>
      <c r="F1850" s="1" t="s">
        <v>2071</v>
      </c>
      <c r="G1850" s="1" t="s">
        <v>2072</v>
      </c>
    </row>
    <row r="1851" spans="1:7">
      <c r="A1851" s="1">
        <v>1850</v>
      </c>
      <c r="B1851" s="1" t="s">
        <v>9622</v>
      </c>
      <c r="D1851" s="1" t="s">
        <v>9596</v>
      </c>
      <c r="E1851" s="1" t="s">
        <v>2802</v>
      </c>
      <c r="F1851" s="1" t="s">
        <v>2067</v>
      </c>
      <c r="G1851" s="1" t="s">
        <v>2068</v>
      </c>
    </row>
    <row r="1852" spans="1:7">
      <c r="A1852" s="1">
        <v>1851</v>
      </c>
      <c r="B1852" s="1" t="s">
        <v>9623</v>
      </c>
      <c r="D1852" s="1" t="s">
        <v>9596</v>
      </c>
      <c r="E1852" s="1" t="s">
        <v>2804</v>
      </c>
      <c r="F1852" s="1" t="s">
        <v>2119</v>
      </c>
      <c r="G1852" s="1" t="s">
        <v>2120</v>
      </c>
    </row>
    <row r="1853" spans="1:7">
      <c r="A1853" s="1">
        <v>1852</v>
      </c>
      <c r="B1853" s="1" t="s">
        <v>9624</v>
      </c>
      <c r="D1853" s="1" t="s">
        <v>9596</v>
      </c>
      <c r="E1853" s="1" t="s">
        <v>2806</v>
      </c>
      <c r="F1853" s="1" t="s">
        <v>2115</v>
      </c>
      <c r="G1853" s="1" t="s">
        <v>2116</v>
      </c>
    </row>
    <row r="1854" spans="1:7">
      <c r="A1854" s="1">
        <v>1853</v>
      </c>
      <c r="B1854" s="1" t="s">
        <v>9625</v>
      </c>
      <c r="D1854" s="1" t="s">
        <v>9596</v>
      </c>
      <c r="E1854" s="1" t="s">
        <v>2810</v>
      </c>
      <c r="F1854" s="1" t="s">
        <v>2183</v>
      </c>
      <c r="G1854" s="1" t="s">
        <v>2184</v>
      </c>
    </row>
    <row r="1855" spans="1:7">
      <c r="A1855" s="1">
        <v>1854</v>
      </c>
      <c r="B1855" s="1" t="s">
        <v>9626</v>
      </c>
      <c r="D1855" s="1" t="s">
        <v>9596</v>
      </c>
      <c r="E1855" s="1" t="s">
        <v>2812</v>
      </c>
      <c r="F1855" s="1" t="s">
        <v>2179</v>
      </c>
      <c r="G1855" s="1" t="s">
        <v>2180</v>
      </c>
    </row>
    <row r="1856" spans="1:7">
      <c r="A1856" s="1">
        <v>1855</v>
      </c>
      <c r="B1856" s="1" t="s">
        <v>9627</v>
      </c>
      <c r="D1856" s="1" t="s">
        <v>9596</v>
      </c>
      <c r="E1856" s="1" t="s">
        <v>2814</v>
      </c>
      <c r="F1856" s="1" t="s">
        <v>2203</v>
      </c>
      <c r="G1856" s="1" t="s">
        <v>2204</v>
      </c>
    </row>
    <row r="1857" spans="1:7">
      <c r="A1857" s="1">
        <v>1856</v>
      </c>
      <c r="B1857" s="1" t="s">
        <v>9628</v>
      </c>
      <c r="D1857" s="1" t="s">
        <v>9596</v>
      </c>
      <c r="E1857" s="1" t="s">
        <v>2816</v>
      </c>
      <c r="F1857" s="1" t="s">
        <v>2187</v>
      </c>
      <c r="G1857" s="1" t="s">
        <v>2188</v>
      </c>
    </row>
    <row r="1858" spans="1:7">
      <c r="A1858" s="1">
        <v>1857</v>
      </c>
      <c r="B1858" s="1" t="s">
        <v>9629</v>
      </c>
      <c r="D1858" s="1" t="s">
        <v>9596</v>
      </c>
      <c r="E1858" s="1" t="s">
        <v>2818</v>
      </c>
      <c r="F1858" s="1" t="s">
        <v>2211</v>
      </c>
      <c r="G1858" s="1" t="s">
        <v>2212</v>
      </c>
    </row>
    <row r="1859" spans="1:7">
      <c r="A1859" s="1">
        <v>1858</v>
      </c>
      <c r="B1859" s="1" t="s">
        <v>9630</v>
      </c>
      <c r="D1859" s="1" t="s">
        <v>9596</v>
      </c>
      <c r="E1859" s="1" t="s">
        <v>2820</v>
      </c>
      <c r="F1859" s="1" t="s">
        <v>2199</v>
      </c>
      <c r="G1859" s="1" t="s">
        <v>2200</v>
      </c>
    </row>
    <row r="1860" spans="1:7">
      <c r="A1860" s="1">
        <v>1859</v>
      </c>
      <c r="B1860" s="1" t="s">
        <v>9631</v>
      </c>
      <c r="D1860" s="1" t="s">
        <v>9596</v>
      </c>
      <c r="E1860" s="1" t="s">
        <v>9632</v>
      </c>
      <c r="F1860" s="1" t="s">
        <v>2171</v>
      </c>
      <c r="G1860" s="1" t="s">
        <v>2172</v>
      </c>
    </row>
    <row r="1861" spans="1:7">
      <c r="A1861" s="1">
        <v>1860</v>
      </c>
      <c r="B1861" s="1" t="s">
        <v>9633</v>
      </c>
      <c r="D1861" s="1" t="s">
        <v>9596</v>
      </c>
      <c r="E1861" s="1" t="s">
        <v>9634</v>
      </c>
      <c r="F1861" s="1" t="s">
        <v>2167</v>
      </c>
      <c r="G1861" s="1" t="s">
        <v>2168</v>
      </c>
    </row>
    <row r="1862" spans="1:7">
      <c r="A1862" s="1">
        <v>1861</v>
      </c>
      <c r="B1862" s="1" t="s">
        <v>9635</v>
      </c>
      <c r="D1862" s="1" t="s">
        <v>9596</v>
      </c>
      <c r="E1862" s="1" t="s">
        <v>9636</v>
      </c>
      <c r="F1862" s="1" t="s">
        <v>2195</v>
      </c>
      <c r="G1862" s="1" t="s">
        <v>2196</v>
      </c>
    </row>
    <row r="1863" spans="1:7">
      <c r="A1863" s="1">
        <v>1862</v>
      </c>
      <c r="B1863" s="1" t="s">
        <v>9637</v>
      </c>
      <c r="D1863" s="1" t="s">
        <v>9596</v>
      </c>
      <c r="E1863" s="1" t="s">
        <v>9638</v>
      </c>
      <c r="F1863" s="1" t="s">
        <v>2191</v>
      </c>
      <c r="G1863" s="1" t="s">
        <v>2192</v>
      </c>
    </row>
    <row r="1864" spans="1:7">
      <c r="A1864" s="1">
        <v>1863</v>
      </c>
      <c r="B1864" s="1" t="s">
        <v>9639</v>
      </c>
      <c r="D1864" s="1" t="s">
        <v>9596</v>
      </c>
      <c r="E1864" s="1" t="s">
        <v>2823</v>
      </c>
      <c r="F1864" s="1" t="s">
        <v>2207</v>
      </c>
      <c r="G1864" s="1" t="s">
        <v>2208</v>
      </c>
    </row>
    <row r="1865" spans="1:7">
      <c r="A1865" s="1">
        <v>1864</v>
      </c>
      <c r="B1865" s="1" t="s">
        <v>9640</v>
      </c>
      <c r="D1865" s="1" t="s">
        <v>9596</v>
      </c>
      <c r="E1865" s="1" t="s">
        <v>2824</v>
      </c>
      <c r="F1865" s="1" t="s">
        <v>2175</v>
      </c>
      <c r="G1865" s="1" t="s">
        <v>2176</v>
      </c>
    </row>
    <row r="1866" spans="1:7">
      <c r="A1866" s="1">
        <v>1865</v>
      </c>
      <c r="B1866" s="1" t="s">
        <v>9641</v>
      </c>
      <c r="D1866" s="1" t="s">
        <v>9596</v>
      </c>
      <c r="E1866" s="1" t="s">
        <v>2825</v>
      </c>
      <c r="F1866" s="1" t="s">
        <v>2243</v>
      </c>
      <c r="G1866" s="1" t="s">
        <v>2244</v>
      </c>
    </row>
    <row r="1867" spans="1:7">
      <c r="A1867" s="1">
        <v>1866</v>
      </c>
      <c r="B1867" s="1" t="s">
        <v>9642</v>
      </c>
      <c r="D1867" s="1" t="s">
        <v>9596</v>
      </c>
      <c r="E1867" s="1" t="s">
        <v>2826</v>
      </c>
      <c r="F1867" s="1" t="s">
        <v>2239</v>
      </c>
      <c r="G1867" s="1" t="s">
        <v>2240</v>
      </c>
    </row>
    <row r="1868" spans="1:7">
      <c r="A1868" s="1">
        <v>1867</v>
      </c>
      <c r="B1868" s="1" t="s">
        <v>9643</v>
      </c>
      <c r="D1868" s="1" t="s">
        <v>9596</v>
      </c>
      <c r="E1868" s="1" t="s">
        <v>2827</v>
      </c>
      <c r="F1868" s="1" t="s">
        <v>2215</v>
      </c>
      <c r="G1868" s="1" t="s">
        <v>2216</v>
      </c>
    </row>
    <row r="1869" spans="1:7">
      <c r="A1869" s="1">
        <v>1868</v>
      </c>
      <c r="B1869" s="1" t="s">
        <v>9644</v>
      </c>
      <c r="D1869" s="1" t="s">
        <v>9596</v>
      </c>
      <c r="E1869" s="1" t="s">
        <v>2830</v>
      </c>
      <c r="F1869" s="1" t="s">
        <v>2235</v>
      </c>
      <c r="G1869" s="1" t="s">
        <v>2236</v>
      </c>
    </row>
    <row r="1870" spans="1:7">
      <c r="A1870" s="1">
        <v>1869</v>
      </c>
      <c r="B1870" s="1" t="s">
        <v>9645</v>
      </c>
      <c r="D1870" s="1" t="s">
        <v>9596</v>
      </c>
      <c r="E1870" s="1" t="s">
        <v>2831</v>
      </c>
      <c r="F1870" s="1" t="s">
        <v>2231</v>
      </c>
      <c r="G1870" s="1" t="s">
        <v>2232</v>
      </c>
    </row>
    <row r="1871" spans="1:7">
      <c r="A1871" s="1">
        <v>1870</v>
      </c>
      <c r="B1871" s="1" t="s">
        <v>9646</v>
      </c>
      <c r="D1871" s="1" t="s">
        <v>9596</v>
      </c>
      <c r="E1871" s="1" t="s">
        <v>2832</v>
      </c>
      <c r="F1871" s="1" t="s">
        <v>2223</v>
      </c>
      <c r="G1871" s="1" t="s">
        <v>2224</v>
      </c>
    </row>
    <row r="1872" spans="1:7">
      <c r="A1872" s="1">
        <v>1871</v>
      </c>
      <c r="B1872" s="1" t="s">
        <v>9647</v>
      </c>
      <c r="D1872" s="1" t="s">
        <v>9596</v>
      </c>
      <c r="E1872" s="1" t="s">
        <v>2833</v>
      </c>
      <c r="F1872" s="1" t="s">
        <v>2219</v>
      </c>
      <c r="G1872" s="1" t="s">
        <v>2220</v>
      </c>
    </row>
    <row r="1873" spans="1:7">
      <c r="A1873" s="1">
        <v>1872</v>
      </c>
      <c r="B1873" s="1" t="s">
        <v>9648</v>
      </c>
      <c r="D1873" s="1" t="s">
        <v>9596</v>
      </c>
      <c r="E1873" s="1" t="s">
        <v>2834</v>
      </c>
      <c r="F1873" s="1" t="s">
        <v>2227</v>
      </c>
      <c r="G1873" s="1" t="s">
        <v>2228</v>
      </c>
    </row>
    <row r="1874" spans="1:7">
      <c r="A1874" s="1">
        <v>1873</v>
      </c>
      <c r="B1874" s="1" t="s">
        <v>9649</v>
      </c>
      <c r="D1874" s="1" t="s">
        <v>9596</v>
      </c>
      <c r="E1874" s="1" t="s">
        <v>2835</v>
      </c>
      <c r="F1874" s="1" t="s">
        <v>9650</v>
      </c>
      <c r="G1874" s="1" t="s">
        <v>9651</v>
      </c>
    </row>
    <row r="1875" spans="1:7">
      <c r="A1875" s="1">
        <v>1874</v>
      </c>
      <c r="B1875" s="1" t="s">
        <v>9652</v>
      </c>
      <c r="D1875" s="1" t="s">
        <v>9596</v>
      </c>
      <c r="E1875" s="1" t="s">
        <v>2836</v>
      </c>
      <c r="F1875" s="1" t="s">
        <v>9653</v>
      </c>
      <c r="G1875" s="1" t="s">
        <v>9654</v>
      </c>
    </row>
    <row r="1876" spans="1:7">
      <c r="A1876" s="1">
        <v>1875</v>
      </c>
      <c r="B1876" s="1" t="s">
        <v>9655</v>
      </c>
      <c r="D1876" s="1" t="s">
        <v>9596</v>
      </c>
      <c r="E1876" s="1" t="s">
        <v>2840</v>
      </c>
      <c r="F1876" s="1" t="s">
        <v>9656</v>
      </c>
      <c r="G1876" s="1" t="s">
        <v>9657</v>
      </c>
    </row>
    <row r="1877" spans="1:7">
      <c r="A1877" s="1">
        <v>1876</v>
      </c>
      <c r="B1877" s="1" t="s">
        <v>9658</v>
      </c>
      <c r="D1877" s="1" t="s">
        <v>9596</v>
      </c>
      <c r="E1877" s="1" t="s">
        <v>2842</v>
      </c>
      <c r="F1877" s="1" t="s">
        <v>9659</v>
      </c>
      <c r="G1877" s="1" t="s">
        <v>9660</v>
      </c>
    </row>
    <row r="1878" spans="1:7">
      <c r="A1878" s="1">
        <v>1877</v>
      </c>
      <c r="B1878" s="1" t="s">
        <v>9661</v>
      </c>
      <c r="D1878" s="1" t="s">
        <v>9596</v>
      </c>
      <c r="E1878" s="1" t="s">
        <v>2837</v>
      </c>
      <c r="F1878" s="1" t="s">
        <v>9662</v>
      </c>
      <c r="G1878" s="1" t="s">
        <v>9663</v>
      </c>
    </row>
    <row r="1879" spans="1:7">
      <c r="A1879" s="1">
        <v>1878</v>
      </c>
      <c r="B1879" s="1" t="s">
        <v>9664</v>
      </c>
      <c r="D1879" s="1" t="s">
        <v>9596</v>
      </c>
      <c r="E1879" s="1" t="s">
        <v>2841</v>
      </c>
      <c r="F1879" s="1" t="s">
        <v>9665</v>
      </c>
      <c r="G1879" s="1" t="s">
        <v>9666</v>
      </c>
    </row>
    <row r="1880" spans="1:7">
      <c r="A1880" s="1">
        <v>1879</v>
      </c>
      <c r="B1880" s="1" t="s">
        <v>9667</v>
      </c>
      <c r="D1880" s="1" t="s">
        <v>9668</v>
      </c>
      <c r="E1880" s="1" t="s">
        <v>2853</v>
      </c>
      <c r="F1880" s="1" t="s">
        <v>2055</v>
      </c>
      <c r="G1880" s="1" t="s">
        <v>2056</v>
      </c>
    </row>
    <row r="1881" spans="1:7">
      <c r="A1881" s="1">
        <v>1880</v>
      </c>
      <c r="B1881" s="1" t="s">
        <v>9669</v>
      </c>
      <c r="D1881" s="1" t="s">
        <v>9668</v>
      </c>
      <c r="E1881" s="1" t="s">
        <v>2854</v>
      </c>
      <c r="F1881" s="1" t="s">
        <v>2051</v>
      </c>
      <c r="G1881" s="1" t="s">
        <v>2052</v>
      </c>
    </row>
    <row r="1882" spans="1:7">
      <c r="A1882" s="1">
        <v>1881</v>
      </c>
      <c r="B1882" s="1" t="s">
        <v>9670</v>
      </c>
      <c r="D1882" s="1" t="s">
        <v>9668</v>
      </c>
      <c r="E1882" s="1" t="s">
        <v>2855</v>
      </c>
      <c r="F1882" s="1" t="s">
        <v>2063</v>
      </c>
      <c r="G1882" s="1" t="s">
        <v>2064</v>
      </c>
    </row>
    <row r="1883" spans="1:7">
      <c r="A1883" s="1">
        <v>1882</v>
      </c>
      <c r="B1883" s="1" t="s">
        <v>9671</v>
      </c>
      <c r="D1883" s="1" t="s">
        <v>9668</v>
      </c>
      <c r="E1883" s="1" t="s">
        <v>2858</v>
      </c>
      <c r="F1883" s="1" t="s">
        <v>2059</v>
      </c>
      <c r="G1883" s="1" t="s">
        <v>2060</v>
      </c>
    </row>
    <row r="1884" spans="1:7">
      <c r="A1884" s="1">
        <v>1883</v>
      </c>
      <c r="B1884" s="1" t="s">
        <v>9672</v>
      </c>
      <c r="D1884" s="1" t="s">
        <v>9668</v>
      </c>
      <c r="E1884" s="1" t="s">
        <v>2859</v>
      </c>
      <c r="F1884" s="1" t="s">
        <v>2131</v>
      </c>
      <c r="G1884" s="1" t="s">
        <v>2132</v>
      </c>
    </row>
    <row r="1885" spans="1:7">
      <c r="A1885" s="1">
        <v>1884</v>
      </c>
      <c r="B1885" s="1" t="s">
        <v>9673</v>
      </c>
      <c r="D1885" s="1" t="s">
        <v>9668</v>
      </c>
      <c r="E1885" s="1" t="s">
        <v>2860</v>
      </c>
      <c r="F1885" s="1" t="s">
        <v>2111</v>
      </c>
      <c r="G1885" s="1" t="s">
        <v>2112</v>
      </c>
    </row>
    <row r="1886" spans="1:7">
      <c r="A1886" s="1">
        <v>1885</v>
      </c>
      <c r="B1886" s="1" t="s">
        <v>9674</v>
      </c>
      <c r="D1886" s="1" t="s">
        <v>9668</v>
      </c>
      <c r="E1886" s="1" t="s">
        <v>2861</v>
      </c>
      <c r="F1886" s="1" t="s">
        <v>2107</v>
      </c>
      <c r="G1886" s="1" t="s">
        <v>2108</v>
      </c>
    </row>
    <row r="1887" spans="1:7">
      <c r="A1887" s="1">
        <v>1886</v>
      </c>
      <c r="B1887" s="1" t="s">
        <v>9675</v>
      </c>
      <c r="D1887" s="1" t="s">
        <v>9668</v>
      </c>
      <c r="E1887" s="1" t="s">
        <v>2864</v>
      </c>
      <c r="F1887" s="1" t="s">
        <v>2301</v>
      </c>
      <c r="G1887" s="1" t="s">
        <v>2302</v>
      </c>
    </row>
    <row r="1888" spans="1:7">
      <c r="A1888" s="1">
        <v>1887</v>
      </c>
      <c r="B1888" s="1" t="s">
        <v>9676</v>
      </c>
      <c r="D1888" s="1" t="s">
        <v>9668</v>
      </c>
      <c r="E1888" s="1" t="s">
        <v>2865</v>
      </c>
      <c r="F1888" s="1" t="s">
        <v>2151</v>
      </c>
      <c r="G1888" s="1" t="s">
        <v>2152</v>
      </c>
    </row>
    <row r="1889" spans="1:7">
      <c r="A1889" s="1">
        <v>1888</v>
      </c>
      <c r="B1889" s="1" t="s">
        <v>9677</v>
      </c>
      <c r="D1889" s="1" t="s">
        <v>9668</v>
      </c>
      <c r="E1889" s="1" t="s">
        <v>2866</v>
      </c>
      <c r="F1889" s="1" t="s">
        <v>2099</v>
      </c>
      <c r="G1889" s="1" t="s">
        <v>2100</v>
      </c>
    </row>
    <row r="1890" spans="1:7">
      <c r="A1890" s="1">
        <v>1889</v>
      </c>
      <c r="B1890" s="1" t="s">
        <v>9678</v>
      </c>
      <c r="D1890" s="1" t="s">
        <v>9668</v>
      </c>
      <c r="E1890" s="1" t="s">
        <v>2867</v>
      </c>
      <c r="F1890" s="1" t="s">
        <v>2103</v>
      </c>
      <c r="G1890" s="1" t="s">
        <v>2104</v>
      </c>
    </row>
    <row r="1891" spans="1:7">
      <c r="A1891" s="1">
        <v>1890</v>
      </c>
      <c r="B1891" s="1" t="s">
        <v>9679</v>
      </c>
      <c r="D1891" s="1" t="s">
        <v>9668</v>
      </c>
      <c r="E1891" s="1" t="s">
        <v>2868</v>
      </c>
      <c r="F1891" s="1" t="s">
        <v>2163</v>
      </c>
      <c r="G1891" s="1" t="s">
        <v>2164</v>
      </c>
    </row>
    <row r="1892" spans="1:7">
      <c r="A1892" s="1">
        <v>1891</v>
      </c>
      <c r="B1892" s="1" t="s">
        <v>9680</v>
      </c>
      <c r="D1892" s="1" t="s">
        <v>9668</v>
      </c>
      <c r="E1892" s="1" t="s">
        <v>2869</v>
      </c>
      <c r="F1892" s="1" t="s">
        <v>2123</v>
      </c>
      <c r="G1892" s="1" t="s">
        <v>2124</v>
      </c>
    </row>
    <row r="1893" spans="1:7">
      <c r="A1893" s="1">
        <v>1892</v>
      </c>
      <c r="B1893" s="1" t="s">
        <v>9681</v>
      </c>
      <c r="D1893" s="1" t="s">
        <v>9668</v>
      </c>
      <c r="E1893" s="1" t="s">
        <v>2870</v>
      </c>
      <c r="F1893" s="1" t="s">
        <v>2083</v>
      </c>
      <c r="G1893" s="1" t="s">
        <v>2084</v>
      </c>
    </row>
    <row r="1894" spans="1:7">
      <c r="A1894" s="1">
        <v>1893</v>
      </c>
      <c r="B1894" s="1" t="s">
        <v>9682</v>
      </c>
      <c r="D1894" s="1" t="s">
        <v>9668</v>
      </c>
      <c r="E1894" s="1" t="s">
        <v>2871</v>
      </c>
      <c r="F1894" s="1" t="s">
        <v>2075</v>
      </c>
      <c r="G1894" s="1" t="s">
        <v>2076</v>
      </c>
    </row>
    <row r="1895" spans="1:7">
      <c r="A1895" s="1">
        <v>1894</v>
      </c>
      <c r="B1895" s="1" t="s">
        <v>9683</v>
      </c>
      <c r="D1895" s="1" t="s">
        <v>9668</v>
      </c>
      <c r="E1895" s="1" t="s">
        <v>9684</v>
      </c>
      <c r="F1895" s="1" t="s">
        <v>2079</v>
      </c>
      <c r="G1895" s="1" t="s">
        <v>2080</v>
      </c>
    </row>
    <row r="1896" spans="1:7">
      <c r="A1896" s="1">
        <v>1895</v>
      </c>
      <c r="B1896" s="1" t="s">
        <v>9685</v>
      </c>
      <c r="D1896" s="1" t="s">
        <v>9668</v>
      </c>
      <c r="E1896" s="1" t="s">
        <v>9686</v>
      </c>
      <c r="F1896" s="1" t="s">
        <v>2147</v>
      </c>
      <c r="G1896" s="1" t="s">
        <v>2148</v>
      </c>
    </row>
    <row r="1897" spans="1:7">
      <c r="A1897" s="1">
        <v>1896</v>
      </c>
      <c r="B1897" s="1" t="s">
        <v>9687</v>
      </c>
      <c r="D1897" s="1" t="s">
        <v>9668</v>
      </c>
      <c r="E1897" s="1" t="s">
        <v>9688</v>
      </c>
      <c r="F1897" s="1" t="s">
        <v>2135</v>
      </c>
      <c r="G1897" s="1" t="s">
        <v>2136</v>
      </c>
    </row>
    <row r="1898" spans="1:7">
      <c r="A1898" s="1">
        <v>1897</v>
      </c>
      <c r="B1898" s="1" t="s">
        <v>9689</v>
      </c>
      <c r="D1898" s="1" t="s">
        <v>9668</v>
      </c>
      <c r="E1898" s="1" t="s">
        <v>9690</v>
      </c>
      <c r="F1898" s="1" t="s">
        <v>2155</v>
      </c>
      <c r="G1898" s="1" t="s">
        <v>2156</v>
      </c>
    </row>
    <row r="1899" spans="1:7">
      <c r="A1899" s="1">
        <v>1898</v>
      </c>
      <c r="B1899" s="1" t="s">
        <v>9691</v>
      </c>
      <c r="D1899" s="1" t="s">
        <v>9668</v>
      </c>
      <c r="E1899" s="1" t="s">
        <v>9692</v>
      </c>
      <c r="F1899" s="1" t="s">
        <v>2159</v>
      </c>
      <c r="G1899" s="1" t="s">
        <v>2160</v>
      </c>
    </row>
    <row r="1900" spans="1:7">
      <c r="A1900" s="1">
        <v>1899</v>
      </c>
      <c r="B1900" s="1" t="s">
        <v>9693</v>
      </c>
      <c r="D1900" s="1" t="s">
        <v>9668</v>
      </c>
      <c r="E1900" s="1" t="s">
        <v>9694</v>
      </c>
      <c r="F1900" s="1" t="s">
        <v>2127</v>
      </c>
      <c r="G1900" s="1" t="s">
        <v>2128</v>
      </c>
    </row>
    <row r="1901" spans="1:7">
      <c r="A1901" s="1">
        <v>1900</v>
      </c>
      <c r="B1901" s="1" t="s">
        <v>9695</v>
      </c>
      <c r="D1901" s="1" t="s">
        <v>9668</v>
      </c>
      <c r="E1901" s="1" t="s">
        <v>9696</v>
      </c>
      <c r="F1901" s="1" t="s">
        <v>2143</v>
      </c>
      <c r="G1901" s="1" t="s">
        <v>2144</v>
      </c>
    </row>
    <row r="1902" spans="1:7">
      <c r="A1902" s="1">
        <v>1901</v>
      </c>
      <c r="B1902" s="1" t="s">
        <v>9697</v>
      </c>
      <c r="D1902" s="1" t="s">
        <v>9668</v>
      </c>
      <c r="E1902" s="1" t="s">
        <v>9698</v>
      </c>
      <c r="F1902" s="1" t="s">
        <v>2139</v>
      </c>
      <c r="G1902" s="1" t="s">
        <v>2140</v>
      </c>
    </row>
    <row r="1903" spans="1:7">
      <c r="A1903" s="1">
        <v>1902</v>
      </c>
      <c r="B1903" s="1" t="s">
        <v>9699</v>
      </c>
      <c r="D1903" s="1" t="s">
        <v>9668</v>
      </c>
      <c r="E1903" s="1" t="s">
        <v>9700</v>
      </c>
      <c r="F1903" s="1" t="s">
        <v>2071</v>
      </c>
      <c r="G1903" s="1" t="s">
        <v>2072</v>
      </c>
    </row>
    <row r="1904" spans="1:7">
      <c r="A1904" s="1">
        <v>1903</v>
      </c>
      <c r="B1904" s="1" t="s">
        <v>9701</v>
      </c>
      <c r="D1904" s="1" t="s">
        <v>9668</v>
      </c>
      <c r="E1904" s="1" t="s">
        <v>9702</v>
      </c>
      <c r="F1904" s="1" t="s">
        <v>2067</v>
      </c>
      <c r="G1904" s="1" t="s">
        <v>2068</v>
      </c>
    </row>
    <row r="1905" spans="1:7">
      <c r="A1905" s="1">
        <v>1904</v>
      </c>
      <c r="B1905" s="1" t="s">
        <v>9703</v>
      </c>
      <c r="D1905" s="1" t="s">
        <v>9668</v>
      </c>
      <c r="E1905" s="1" t="s">
        <v>9704</v>
      </c>
      <c r="F1905" s="1" t="s">
        <v>2115</v>
      </c>
      <c r="G1905" s="1" t="s">
        <v>2116</v>
      </c>
    </row>
    <row r="1906" spans="1:7">
      <c r="A1906" s="1">
        <v>1905</v>
      </c>
      <c r="B1906" s="1" t="s">
        <v>9705</v>
      </c>
      <c r="D1906" s="1" t="s">
        <v>9668</v>
      </c>
      <c r="E1906" s="1" t="s">
        <v>9706</v>
      </c>
      <c r="F1906" s="1" t="s">
        <v>2183</v>
      </c>
      <c r="G1906" s="1" t="s">
        <v>2184</v>
      </c>
    </row>
    <row r="1907" spans="1:7">
      <c r="A1907" s="1">
        <v>1906</v>
      </c>
      <c r="B1907" s="1" t="s">
        <v>9707</v>
      </c>
      <c r="D1907" s="1" t="s">
        <v>9668</v>
      </c>
      <c r="E1907" s="1" t="s">
        <v>9708</v>
      </c>
      <c r="F1907" s="1" t="s">
        <v>2179</v>
      </c>
      <c r="G1907" s="1" t="s">
        <v>2180</v>
      </c>
    </row>
    <row r="1908" spans="1:7">
      <c r="A1908" s="1">
        <v>1907</v>
      </c>
      <c r="B1908" s="1" t="s">
        <v>9709</v>
      </c>
      <c r="D1908" s="1" t="s">
        <v>9668</v>
      </c>
      <c r="E1908" s="1" t="s">
        <v>9710</v>
      </c>
      <c r="F1908" s="1" t="s">
        <v>2203</v>
      </c>
      <c r="G1908" s="1" t="s">
        <v>2204</v>
      </c>
    </row>
    <row r="1909" spans="1:7">
      <c r="A1909" s="1">
        <v>1908</v>
      </c>
      <c r="B1909" s="1" t="s">
        <v>9711</v>
      </c>
      <c r="D1909" s="1" t="s">
        <v>9668</v>
      </c>
      <c r="E1909" s="1" t="s">
        <v>9712</v>
      </c>
      <c r="F1909" s="1" t="s">
        <v>2187</v>
      </c>
      <c r="G1909" s="1" t="s">
        <v>2188</v>
      </c>
    </row>
    <row r="1910" spans="1:7">
      <c r="A1910" s="1">
        <v>1909</v>
      </c>
      <c r="B1910" s="1" t="s">
        <v>9713</v>
      </c>
      <c r="D1910" s="1" t="s">
        <v>9668</v>
      </c>
      <c r="E1910" s="1" t="s">
        <v>9714</v>
      </c>
      <c r="F1910" s="1" t="s">
        <v>2211</v>
      </c>
      <c r="G1910" s="1" t="s">
        <v>2212</v>
      </c>
    </row>
    <row r="1911" spans="1:7">
      <c r="A1911" s="1">
        <v>1910</v>
      </c>
      <c r="B1911" s="1" t="s">
        <v>9715</v>
      </c>
      <c r="D1911" s="1" t="s">
        <v>9668</v>
      </c>
      <c r="E1911" s="1" t="s">
        <v>9716</v>
      </c>
      <c r="F1911" s="1" t="s">
        <v>2199</v>
      </c>
      <c r="G1911" s="1" t="s">
        <v>2200</v>
      </c>
    </row>
    <row r="1912" spans="1:7">
      <c r="A1912" s="1">
        <v>1911</v>
      </c>
      <c r="B1912" s="1" t="s">
        <v>9717</v>
      </c>
      <c r="D1912" s="1" t="s">
        <v>9668</v>
      </c>
      <c r="E1912" s="1" t="s">
        <v>9718</v>
      </c>
      <c r="F1912" s="1" t="s">
        <v>2171</v>
      </c>
      <c r="G1912" s="1" t="s">
        <v>2172</v>
      </c>
    </row>
    <row r="1913" spans="1:7">
      <c r="A1913" s="1">
        <v>1912</v>
      </c>
      <c r="B1913" s="1" t="s">
        <v>9719</v>
      </c>
      <c r="D1913" s="1" t="s">
        <v>9668</v>
      </c>
      <c r="E1913" s="1" t="s">
        <v>9720</v>
      </c>
      <c r="F1913" s="1" t="s">
        <v>2167</v>
      </c>
      <c r="G1913" s="1" t="s">
        <v>2168</v>
      </c>
    </row>
    <row r="1914" spans="1:7">
      <c r="A1914" s="1">
        <v>1913</v>
      </c>
      <c r="B1914" s="1" t="s">
        <v>9721</v>
      </c>
      <c r="D1914" s="1" t="s">
        <v>9668</v>
      </c>
      <c r="E1914" s="1" t="s">
        <v>9722</v>
      </c>
      <c r="F1914" s="1" t="s">
        <v>2351</v>
      </c>
      <c r="G1914" s="1" t="s">
        <v>2352</v>
      </c>
    </row>
    <row r="1915" spans="1:7">
      <c r="A1915" s="1">
        <v>1914</v>
      </c>
      <c r="B1915" s="1" t="s">
        <v>9723</v>
      </c>
      <c r="D1915" s="1" t="s">
        <v>9668</v>
      </c>
      <c r="E1915" s="1" t="s">
        <v>9724</v>
      </c>
      <c r="F1915" s="1" t="s">
        <v>2195</v>
      </c>
      <c r="G1915" s="1" t="s">
        <v>2196</v>
      </c>
    </row>
    <row r="1916" spans="1:7">
      <c r="A1916" s="1">
        <v>1915</v>
      </c>
      <c r="B1916" s="1" t="s">
        <v>9725</v>
      </c>
      <c r="D1916" s="1" t="s">
        <v>9668</v>
      </c>
      <c r="E1916" s="1" t="s">
        <v>9726</v>
      </c>
      <c r="F1916" s="1" t="s">
        <v>2191</v>
      </c>
      <c r="G1916" s="1" t="s">
        <v>2192</v>
      </c>
    </row>
    <row r="1917" spans="1:7">
      <c r="A1917" s="1">
        <v>1916</v>
      </c>
      <c r="B1917" s="1" t="s">
        <v>9727</v>
      </c>
      <c r="D1917" s="1" t="s">
        <v>9668</v>
      </c>
      <c r="E1917" s="1" t="s">
        <v>9728</v>
      </c>
      <c r="F1917" s="1" t="s">
        <v>2207</v>
      </c>
      <c r="G1917" s="1" t="s">
        <v>2208</v>
      </c>
    </row>
    <row r="1918" spans="1:7">
      <c r="A1918" s="1">
        <v>1917</v>
      </c>
      <c r="B1918" s="1" t="s">
        <v>9729</v>
      </c>
      <c r="D1918" s="1" t="s">
        <v>9668</v>
      </c>
      <c r="E1918" s="1" t="s">
        <v>9730</v>
      </c>
      <c r="F1918" s="1" t="s">
        <v>2175</v>
      </c>
      <c r="G1918" s="1" t="s">
        <v>2176</v>
      </c>
    </row>
    <row r="1919" spans="1:7">
      <c r="A1919" s="1">
        <v>1918</v>
      </c>
      <c r="B1919" s="1" t="s">
        <v>9731</v>
      </c>
      <c r="D1919" s="1" t="s">
        <v>9668</v>
      </c>
      <c r="E1919" s="1" t="s">
        <v>9732</v>
      </c>
      <c r="F1919" s="1" t="s">
        <v>2243</v>
      </c>
      <c r="G1919" s="1" t="s">
        <v>2244</v>
      </c>
    </row>
    <row r="1920" spans="1:7">
      <c r="A1920" s="1">
        <v>1919</v>
      </c>
      <c r="B1920" s="1" t="s">
        <v>9733</v>
      </c>
      <c r="D1920" s="1" t="s">
        <v>9668</v>
      </c>
      <c r="E1920" s="1" t="s">
        <v>9734</v>
      </c>
      <c r="F1920" s="1" t="s">
        <v>2239</v>
      </c>
      <c r="G1920" s="1" t="s">
        <v>2240</v>
      </c>
    </row>
    <row r="1921" spans="1:7">
      <c r="A1921" s="1">
        <v>1920</v>
      </c>
      <c r="B1921" s="1" t="s">
        <v>9735</v>
      </c>
      <c r="D1921" s="1" t="s">
        <v>9668</v>
      </c>
      <c r="E1921" s="1" t="s">
        <v>9736</v>
      </c>
      <c r="F1921" s="1" t="s">
        <v>2215</v>
      </c>
      <c r="G1921" s="1" t="s">
        <v>2216</v>
      </c>
    </row>
    <row r="1922" spans="1:7">
      <c r="A1922" s="1">
        <v>1921</v>
      </c>
      <c r="B1922" s="1" t="s">
        <v>9737</v>
      </c>
      <c r="D1922" s="1" t="s">
        <v>9668</v>
      </c>
      <c r="E1922" s="1" t="s">
        <v>9738</v>
      </c>
      <c r="F1922" s="1" t="s">
        <v>2235</v>
      </c>
      <c r="G1922" s="1" t="s">
        <v>2236</v>
      </c>
    </row>
    <row r="1923" spans="1:7">
      <c r="A1923" s="1">
        <v>1922</v>
      </c>
      <c r="B1923" s="1" t="s">
        <v>9739</v>
      </c>
      <c r="D1923" s="1" t="s">
        <v>9668</v>
      </c>
      <c r="E1923" s="1" t="s">
        <v>9740</v>
      </c>
      <c r="F1923" s="1" t="s">
        <v>2231</v>
      </c>
      <c r="G1923" s="1" t="s">
        <v>2232</v>
      </c>
    </row>
    <row r="1924" spans="1:7">
      <c r="A1924" s="1">
        <v>1923</v>
      </c>
      <c r="B1924" s="1" t="s">
        <v>9741</v>
      </c>
      <c r="D1924" s="1" t="s">
        <v>9668</v>
      </c>
      <c r="E1924" s="1" t="s">
        <v>9742</v>
      </c>
      <c r="F1924" s="1" t="s">
        <v>2223</v>
      </c>
      <c r="G1924" s="1" t="s">
        <v>2224</v>
      </c>
    </row>
    <row r="1925" spans="1:7">
      <c r="A1925" s="1">
        <v>1924</v>
      </c>
      <c r="B1925" s="1" t="s">
        <v>9743</v>
      </c>
      <c r="D1925" s="1" t="s">
        <v>9668</v>
      </c>
      <c r="E1925" s="1" t="s">
        <v>9744</v>
      </c>
      <c r="F1925" s="1" t="s">
        <v>2219</v>
      </c>
      <c r="G1925" s="1" t="s">
        <v>2220</v>
      </c>
    </row>
    <row r="1926" spans="1:7">
      <c r="A1926" s="1">
        <v>1925</v>
      </c>
      <c r="B1926" s="1" t="s">
        <v>9745</v>
      </c>
      <c r="D1926" s="1" t="s">
        <v>9668</v>
      </c>
      <c r="E1926" s="1" t="s">
        <v>9746</v>
      </c>
      <c r="F1926" s="1" t="s">
        <v>2371</v>
      </c>
      <c r="G1926" s="1" t="s">
        <v>2372</v>
      </c>
    </row>
    <row r="1927" spans="1:7">
      <c r="A1927" s="1">
        <v>1926</v>
      </c>
      <c r="B1927" s="1" t="s">
        <v>9747</v>
      </c>
      <c r="D1927" s="1" t="s">
        <v>9668</v>
      </c>
      <c r="E1927" s="1" t="s">
        <v>9748</v>
      </c>
      <c r="F1927" s="1" t="s">
        <v>2227</v>
      </c>
      <c r="G1927" s="1" t="s">
        <v>2228</v>
      </c>
    </row>
    <row r="1928" spans="1:7">
      <c r="A1928" s="1">
        <v>1927</v>
      </c>
      <c r="B1928" s="1" t="s">
        <v>9749</v>
      </c>
      <c r="D1928" s="1" t="s">
        <v>9668</v>
      </c>
      <c r="E1928" s="1" t="s">
        <v>9750</v>
      </c>
      <c r="F1928" s="1" t="s">
        <v>9650</v>
      </c>
      <c r="G1928" s="1" t="s">
        <v>9651</v>
      </c>
    </row>
    <row r="1929" spans="1:7">
      <c r="A1929" s="1">
        <v>1928</v>
      </c>
      <c r="B1929" s="1" t="s">
        <v>9751</v>
      </c>
      <c r="D1929" s="1" t="s">
        <v>9668</v>
      </c>
      <c r="E1929" s="1" t="s">
        <v>9752</v>
      </c>
      <c r="F1929" s="1" t="s">
        <v>9653</v>
      </c>
      <c r="G1929" s="1" t="s">
        <v>9654</v>
      </c>
    </row>
    <row r="1930" spans="1:7">
      <c r="A1930" s="1">
        <v>1929</v>
      </c>
      <c r="B1930" s="1" t="s">
        <v>9753</v>
      </c>
      <c r="D1930" s="1" t="s">
        <v>9668</v>
      </c>
      <c r="E1930" s="1" t="s">
        <v>9754</v>
      </c>
      <c r="F1930" s="1" t="s">
        <v>9656</v>
      </c>
      <c r="G1930" s="1" t="s">
        <v>9657</v>
      </c>
    </row>
    <row r="1931" spans="1:7">
      <c r="A1931" s="1">
        <v>1930</v>
      </c>
      <c r="B1931" s="1" t="s">
        <v>9755</v>
      </c>
      <c r="D1931" s="1" t="s">
        <v>9668</v>
      </c>
      <c r="E1931" s="1" t="s">
        <v>9756</v>
      </c>
      <c r="F1931" s="1" t="s">
        <v>9659</v>
      </c>
      <c r="G1931" s="1" t="s">
        <v>9660</v>
      </c>
    </row>
    <row r="1932" spans="1:7">
      <c r="A1932" s="1">
        <v>1931</v>
      </c>
      <c r="B1932" s="1" t="s">
        <v>9757</v>
      </c>
      <c r="D1932" s="1" t="s">
        <v>9668</v>
      </c>
      <c r="E1932" s="1" t="s">
        <v>9758</v>
      </c>
      <c r="F1932" s="1" t="s">
        <v>9662</v>
      </c>
      <c r="G1932" s="1" t="s">
        <v>9663</v>
      </c>
    </row>
    <row r="1933" spans="1:7">
      <c r="A1933" s="1">
        <v>1932</v>
      </c>
      <c r="B1933" s="1" t="s">
        <v>9759</v>
      </c>
      <c r="D1933" s="1" t="s">
        <v>9668</v>
      </c>
      <c r="E1933" s="1" t="s">
        <v>9760</v>
      </c>
      <c r="F1933" s="1" t="s">
        <v>9665</v>
      </c>
      <c r="G1933" s="1" t="s">
        <v>9666</v>
      </c>
    </row>
    <row r="1934" spans="1:7">
      <c r="A1934" s="1">
        <v>1933</v>
      </c>
      <c r="B1934" s="1" t="s">
        <v>9761</v>
      </c>
      <c r="D1934" s="1" t="s">
        <v>9762</v>
      </c>
      <c r="E1934" s="1" t="s">
        <v>9763</v>
      </c>
      <c r="F1934" s="1" t="s">
        <v>2055</v>
      </c>
      <c r="G1934" s="1" t="s">
        <v>2056</v>
      </c>
    </row>
    <row r="1935" spans="1:7">
      <c r="A1935" s="1">
        <v>1934</v>
      </c>
      <c r="B1935" s="1" t="s">
        <v>9764</v>
      </c>
      <c r="D1935" s="1" t="s">
        <v>9762</v>
      </c>
      <c r="E1935" s="1" t="s">
        <v>9765</v>
      </c>
      <c r="F1935" s="1" t="s">
        <v>2051</v>
      </c>
      <c r="G1935" s="1" t="s">
        <v>2052</v>
      </c>
    </row>
    <row r="1936" spans="1:7">
      <c r="A1936" s="1">
        <v>1935</v>
      </c>
      <c r="B1936" s="1" t="s">
        <v>9766</v>
      </c>
      <c r="D1936" s="1" t="s">
        <v>9762</v>
      </c>
      <c r="E1936" s="1" t="s">
        <v>9767</v>
      </c>
      <c r="F1936" s="1" t="s">
        <v>2063</v>
      </c>
      <c r="G1936" s="1" t="s">
        <v>2064</v>
      </c>
    </row>
    <row r="1937" spans="1:7">
      <c r="A1937" s="1">
        <v>1936</v>
      </c>
      <c r="B1937" s="1" t="s">
        <v>9768</v>
      </c>
      <c r="D1937" s="1" t="s">
        <v>9762</v>
      </c>
      <c r="E1937" s="1" t="s">
        <v>9769</v>
      </c>
      <c r="F1937" s="1" t="s">
        <v>2059</v>
      </c>
      <c r="G1937" s="1" t="s">
        <v>2060</v>
      </c>
    </row>
    <row r="1938" spans="1:7">
      <c r="A1938" s="1">
        <v>1937</v>
      </c>
      <c r="B1938" s="1" t="s">
        <v>9770</v>
      </c>
      <c r="D1938" s="1" t="s">
        <v>9762</v>
      </c>
      <c r="E1938" s="1" t="s">
        <v>9771</v>
      </c>
      <c r="F1938" s="1" t="s">
        <v>2099</v>
      </c>
      <c r="G1938" s="1" t="s">
        <v>2100</v>
      </c>
    </row>
    <row r="1939" spans="1:7">
      <c r="A1939" s="1">
        <v>1938</v>
      </c>
      <c r="B1939" s="1" t="s">
        <v>9772</v>
      </c>
      <c r="D1939" s="1" t="s">
        <v>9762</v>
      </c>
      <c r="E1939" s="1" t="s">
        <v>9773</v>
      </c>
      <c r="F1939" s="1" t="s">
        <v>2411</v>
      </c>
      <c r="G1939" s="1" t="s">
        <v>2412</v>
      </c>
    </row>
    <row r="1940" spans="1:7">
      <c r="A1940" s="1">
        <v>1939</v>
      </c>
      <c r="B1940" s="1" t="s">
        <v>9774</v>
      </c>
      <c r="D1940" s="1" t="s">
        <v>9762</v>
      </c>
      <c r="E1940" s="1" t="s">
        <v>9775</v>
      </c>
      <c r="F1940" s="1" t="s">
        <v>2075</v>
      </c>
      <c r="G1940" s="1" t="s">
        <v>2076</v>
      </c>
    </row>
    <row r="1941" spans="1:7">
      <c r="A1941" s="1">
        <v>1940</v>
      </c>
      <c r="B1941" s="1" t="s">
        <v>9776</v>
      </c>
      <c r="D1941" s="1" t="s">
        <v>9762</v>
      </c>
      <c r="E1941" s="1" t="s">
        <v>9777</v>
      </c>
      <c r="F1941" s="1" t="s">
        <v>2079</v>
      </c>
      <c r="G1941" s="1" t="s">
        <v>2080</v>
      </c>
    </row>
    <row r="1942" spans="1:7">
      <c r="A1942" s="1">
        <v>1941</v>
      </c>
      <c r="B1942" s="1" t="s">
        <v>9778</v>
      </c>
      <c r="D1942" s="1" t="s">
        <v>9762</v>
      </c>
      <c r="E1942" s="1" t="s">
        <v>9779</v>
      </c>
      <c r="F1942" s="1" t="s">
        <v>2433</v>
      </c>
      <c r="G1942" s="1" t="s">
        <v>2434</v>
      </c>
    </row>
    <row r="1943" spans="1:7">
      <c r="A1943" s="1">
        <v>1942</v>
      </c>
      <c r="B1943" s="1" t="s">
        <v>9780</v>
      </c>
      <c r="D1943" s="1" t="s">
        <v>9762</v>
      </c>
      <c r="E1943" s="1" t="s">
        <v>9781</v>
      </c>
      <c r="F1943" s="1" t="s">
        <v>2425</v>
      </c>
      <c r="G1943" s="1" t="s">
        <v>2426</v>
      </c>
    </row>
    <row r="1944" spans="1:7">
      <c r="A1944" s="1">
        <v>1943</v>
      </c>
      <c r="B1944" s="1" t="s">
        <v>9782</v>
      </c>
      <c r="D1944" s="1" t="s">
        <v>9762</v>
      </c>
      <c r="E1944" s="1" t="s">
        <v>9783</v>
      </c>
      <c r="F1944" s="1" t="s">
        <v>2429</v>
      </c>
      <c r="G1944" s="1" t="s">
        <v>2430</v>
      </c>
    </row>
    <row r="1945" spans="1:7">
      <c r="A1945" s="1">
        <v>1944</v>
      </c>
      <c r="B1945" s="1" t="s">
        <v>9784</v>
      </c>
      <c r="D1945" s="1" t="s">
        <v>9762</v>
      </c>
      <c r="E1945" s="1" t="s">
        <v>9785</v>
      </c>
      <c r="F1945" s="1" t="s">
        <v>2071</v>
      </c>
      <c r="G1945" s="1" t="s">
        <v>2072</v>
      </c>
    </row>
    <row r="1946" spans="1:7">
      <c r="A1946" s="1">
        <v>1945</v>
      </c>
      <c r="B1946" s="1" t="s">
        <v>9786</v>
      </c>
      <c r="D1946" s="1" t="s">
        <v>9762</v>
      </c>
      <c r="E1946" s="1" t="s">
        <v>9787</v>
      </c>
      <c r="F1946" s="1" t="s">
        <v>2417</v>
      </c>
      <c r="G1946" s="1" t="s">
        <v>2418</v>
      </c>
    </row>
    <row r="1947" spans="1:7">
      <c r="A1947" s="1">
        <v>1946</v>
      </c>
      <c r="B1947" s="1" t="s">
        <v>9788</v>
      </c>
      <c r="D1947" s="1" t="s">
        <v>9762</v>
      </c>
      <c r="E1947" s="1" t="s">
        <v>9789</v>
      </c>
      <c r="F1947" s="1" t="s">
        <v>2067</v>
      </c>
      <c r="G1947" s="1" t="s">
        <v>2068</v>
      </c>
    </row>
    <row r="1948" spans="1:7">
      <c r="A1948" s="1">
        <v>1947</v>
      </c>
      <c r="B1948" s="1" t="s">
        <v>9790</v>
      </c>
      <c r="D1948" s="1" t="s">
        <v>9762</v>
      </c>
      <c r="E1948" s="1" t="s">
        <v>9791</v>
      </c>
      <c r="F1948" s="1" t="s">
        <v>2405</v>
      </c>
      <c r="G1948" s="1" t="s">
        <v>2406</v>
      </c>
    </row>
    <row r="1949" spans="1:7">
      <c r="A1949" s="1">
        <v>1948</v>
      </c>
      <c r="B1949" s="1" t="s">
        <v>9792</v>
      </c>
      <c r="D1949" s="1" t="s">
        <v>9762</v>
      </c>
      <c r="E1949" s="1" t="s">
        <v>9793</v>
      </c>
      <c r="F1949" s="1" t="s">
        <v>2421</v>
      </c>
      <c r="G1949" s="1" t="s">
        <v>2422</v>
      </c>
    </row>
    <row r="1950" spans="1:7">
      <c r="A1950" s="1">
        <v>1949</v>
      </c>
      <c r="B1950" s="1" t="s">
        <v>9794</v>
      </c>
      <c r="D1950" s="1" t="s">
        <v>9762</v>
      </c>
      <c r="E1950" s="1" t="s">
        <v>9795</v>
      </c>
      <c r="F1950" s="1" t="s">
        <v>2115</v>
      </c>
      <c r="G1950" s="1" t="s">
        <v>2116</v>
      </c>
    </row>
    <row r="1951" spans="1:7">
      <c r="A1951" s="1">
        <v>1950</v>
      </c>
      <c r="B1951" s="1" t="s">
        <v>9796</v>
      </c>
      <c r="D1951" s="1" t="s">
        <v>9762</v>
      </c>
      <c r="E1951" s="1" t="s">
        <v>9797</v>
      </c>
      <c r="F1951" s="1" t="s">
        <v>2183</v>
      </c>
      <c r="G1951" s="1" t="s">
        <v>2184</v>
      </c>
    </row>
    <row r="1952" spans="1:7">
      <c r="A1952" s="1">
        <v>1951</v>
      </c>
      <c r="B1952" s="1" t="s">
        <v>9798</v>
      </c>
      <c r="D1952" s="1" t="s">
        <v>9762</v>
      </c>
      <c r="E1952" s="1" t="s">
        <v>9799</v>
      </c>
      <c r="F1952" s="1" t="s">
        <v>2179</v>
      </c>
      <c r="G1952" s="1" t="s">
        <v>2180</v>
      </c>
    </row>
    <row r="1953" spans="1:7">
      <c r="A1953" s="1">
        <v>1952</v>
      </c>
      <c r="B1953" s="1" t="s">
        <v>9800</v>
      </c>
      <c r="D1953" s="1" t="s">
        <v>9762</v>
      </c>
      <c r="E1953" s="1" t="s">
        <v>9801</v>
      </c>
      <c r="F1953" s="1" t="s">
        <v>2187</v>
      </c>
      <c r="G1953" s="1" t="s">
        <v>2188</v>
      </c>
    </row>
    <row r="1954" spans="1:7">
      <c r="A1954" s="1">
        <v>1953</v>
      </c>
      <c r="B1954" s="1" t="s">
        <v>9802</v>
      </c>
      <c r="D1954" s="1" t="s">
        <v>9762</v>
      </c>
      <c r="E1954" s="1" t="s">
        <v>9803</v>
      </c>
      <c r="F1954" s="1" t="s">
        <v>2199</v>
      </c>
      <c r="G1954" s="1" t="s">
        <v>2200</v>
      </c>
    </row>
    <row r="1955" spans="1:7">
      <c r="A1955" s="1">
        <v>1954</v>
      </c>
      <c r="B1955" s="1" t="s">
        <v>9804</v>
      </c>
      <c r="D1955" s="1" t="s">
        <v>9762</v>
      </c>
      <c r="E1955" s="1" t="s">
        <v>9805</v>
      </c>
      <c r="F1955" s="1" t="s">
        <v>2171</v>
      </c>
      <c r="G1955" s="1" t="s">
        <v>2172</v>
      </c>
    </row>
    <row r="1956" spans="1:7">
      <c r="A1956" s="1">
        <v>1955</v>
      </c>
      <c r="B1956" s="1" t="s">
        <v>9806</v>
      </c>
      <c r="D1956" s="1" t="s">
        <v>9762</v>
      </c>
      <c r="E1956" s="1" t="s">
        <v>9807</v>
      </c>
      <c r="F1956" s="1" t="s">
        <v>2167</v>
      </c>
      <c r="G1956" s="1" t="s">
        <v>2168</v>
      </c>
    </row>
    <row r="1957" spans="1:7">
      <c r="A1957" s="1">
        <v>1956</v>
      </c>
      <c r="B1957" s="1" t="s">
        <v>9808</v>
      </c>
      <c r="D1957" s="1" t="s">
        <v>9762</v>
      </c>
      <c r="E1957" s="1" t="s">
        <v>9809</v>
      </c>
      <c r="F1957" s="1" t="s">
        <v>2195</v>
      </c>
      <c r="G1957" s="1" t="s">
        <v>2196</v>
      </c>
    </row>
    <row r="1958" spans="1:7">
      <c r="A1958" s="1">
        <v>1957</v>
      </c>
      <c r="B1958" s="1" t="s">
        <v>9810</v>
      </c>
      <c r="D1958" s="1" t="s">
        <v>9762</v>
      </c>
      <c r="E1958" s="1" t="s">
        <v>9811</v>
      </c>
      <c r="F1958" s="1" t="s">
        <v>2191</v>
      </c>
      <c r="G1958" s="1" t="s">
        <v>2192</v>
      </c>
    </row>
    <row r="1959" spans="1:7">
      <c r="A1959" s="1">
        <v>1958</v>
      </c>
      <c r="B1959" s="1" t="s">
        <v>9812</v>
      </c>
      <c r="D1959" s="1" t="s">
        <v>9762</v>
      </c>
      <c r="E1959" s="1" t="s">
        <v>9813</v>
      </c>
      <c r="F1959" s="1" t="s">
        <v>2441</v>
      </c>
      <c r="G1959" s="1" t="s">
        <v>2442</v>
      </c>
    </row>
    <row r="1960" spans="1:7">
      <c r="A1960" s="1">
        <v>1959</v>
      </c>
      <c r="B1960" s="1" t="s">
        <v>9814</v>
      </c>
      <c r="D1960" s="1" t="s">
        <v>9762</v>
      </c>
      <c r="E1960" s="1" t="s">
        <v>9815</v>
      </c>
      <c r="F1960" s="1" t="s">
        <v>2243</v>
      </c>
      <c r="G1960" s="1" t="s">
        <v>2244</v>
      </c>
    </row>
    <row r="1961" spans="1:7">
      <c r="A1961" s="1">
        <v>1960</v>
      </c>
      <c r="B1961" s="1" t="s">
        <v>9816</v>
      </c>
      <c r="D1961" s="1" t="s">
        <v>9762</v>
      </c>
      <c r="E1961" s="1" t="s">
        <v>9817</v>
      </c>
      <c r="F1961" s="1" t="s">
        <v>2215</v>
      </c>
      <c r="G1961" s="1" t="s">
        <v>2216</v>
      </c>
    </row>
    <row r="1962" spans="1:7">
      <c r="A1962" s="1">
        <v>1961</v>
      </c>
      <c r="B1962" s="1" t="s">
        <v>9818</v>
      </c>
      <c r="D1962" s="1" t="s">
        <v>9762</v>
      </c>
      <c r="E1962" s="1" t="s">
        <v>3742</v>
      </c>
      <c r="F1962" s="1" t="s">
        <v>2235</v>
      </c>
      <c r="G1962" s="1" t="s">
        <v>2236</v>
      </c>
    </row>
    <row r="1963" spans="1:7">
      <c r="A1963" s="1">
        <v>1962</v>
      </c>
      <c r="B1963" s="1" t="s">
        <v>9819</v>
      </c>
      <c r="D1963" s="1" t="s">
        <v>9762</v>
      </c>
      <c r="E1963" s="1" t="s">
        <v>3743</v>
      </c>
      <c r="F1963" s="1" t="s">
        <v>2231</v>
      </c>
      <c r="G1963" s="1" t="s">
        <v>2232</v>
      </c>
    </row>
    <row r="1964" spans="1:7">
      <c r="A1964" s="1">
        <v>1963</v>
      </c>
      <c r="B1964" s="1" t="s">
        <v>9820</v>
      </c>
      <c r="D1964" s="1" t="s">
        <v>9762</v>
      </c>
      <c r="E1964" s="1" t="s">
        <v>3744</v>
      </c>
      <c r="F1964" s="1" t="s">
        <v>2223</v>
      </c>
      <c r="G1964" s="1" t="s">
        <v>2224</v>
      </c>
    </row>
    <row r="1965" spans="1:7">
      <c r="A1965" s="1">
        <v>1964</v>
      </c>
      <c r="B1965" s="1" t="s">
        <v>9821</v>
      </c>
      <c r="D1965" s="1" t="s">
        <v>9762</v>
      </c>
      <c r="E1965" s="1" t="s">
        <v>3745</v>
      </c>
      <c r="F1965" s="1" t="s">
        <v>2219</v>
      </c>
      <c r="G1965" s="1" t="s">
        <v>2220</v>
      </c>
    </row>
    <row r="1966" spans="1:7">
      <c r="A1966" s="1">
        <v>1965</v>
      </c>
      <c r="B1966" s="1" t="s">
        <v>9822</v>
      </c>
      <c r="D1966" s="1" t="s">
        <v>9762</v>
      </c>
      <c r="E1966" s="1" t="s">
        <v>3746</v>
      </c>
      <c r="F1966" s="1" t="s">
        <v>2227</v>
      </c>
      <c r="G1966" s="1" t="s">
        <v>2228</v>
      </c>
    </row>
    <row r="1967" spans="1:7">
      <c r="A1967" s="1">
        <v>1966</v>
      </c>
      <c r="B1967" s="1" t="s">
        <v>9823</v>
      </c>
      <c r="D1967" s="1" t="s">
        <v>9762</v>
      </c>
      <c r="E1967" s="1" t="s">
        <v>3747</v>
      </c>
      <c r="F1967" s="1" t="s">
        <v>2471</v>
      </c>
      <c r="G1967" s="1" t="s">
        <v>2472</v>
      </c>
    </row>
    <row r="1968" spans="1:7">
      <c r="A1968" s="1">
        <v>1967</v>
      </c>
      <c r="B1968" s="1" t="s">
        <v>9824</v>
      </c>
      <c r="D1968" s="1" t="s">
        <v>9762</v>
      </c>
      <c r="E1968" s="1" t="s">
        <v>3748</v>
      </c>
      <c r="F1968" s="1" t="s">
        <v>9650</v>
      </c>
      <c r="G1968" s="1" t="s">
        <v>9651</v>
      </c>
    </row>
    <row r="1969" spans="1:7">
      <c r="A1969" s="1">
        <v>1968</v>
      </c>
      <c r="B1969" s="1" t="s">
        <v>9825</v>
      </c>
      <c r="D1969" s="1" t="s">
        <v>9762</v>
      </c>
      <c r="E1969" s="1" t="s">
        <v>9826</v>
      </c>
      <c r="F1969" s="1" t="s">
        <v>9653</v>
      </c>
      <c r="G1969" s="1" t="s">
        <v>9654</v>
      </c>
    </row>
    <row r="1970" spans="1:7">
      <c r="A1970" s="1">
        <v>1969</v>
      </c>
      <c r="B1970" s="1" t="s">
        <v>9827</v>
      </c>
      <c r="D1970" s="1" t="s">
        <v>9762</v>
      </c>
      <c r="E1970" s="1" t="s">
        <v>9828</v>
      </c>
      <c r="F1970" s="1" t="s">
        <v>9656</v>
      </c>
      <c r="G1970" s="1" t="s">
        <v>9657</v>
      </c>
    </row>
    <row r="1971" spans="1:7">
      <c r="A1971" s="1">
        <v>1970</v>
      </c>
      <c r="B1971" s="1" t="s">
        <v>9829</v>
      </c>
      <c r="D1971" s="1" t="s">
        <v>9762</v>
      </c>
      <c r="E1971" s="1" t="s">
        <v>9830</v>
      </c>
      <c r="F1971" s="1" t="s">
        <v>9659</v>
      </c>
      <c r="G1971" s="1" t="s">
        <v>9660</v>
      </c>
    </row>
    <row r="1972" spans="1:7">
      <c r="A1972" s="1">
        <v>1971</v>
      </c>
      <c r="B1972" s="1" t="s">
        <v>9831</v>
      </c>
      <c r="D1972" s="1" t="s">
        <v>9762</v>
      </c>
      <c r="E1972" s="1" t="s">
        <v>9832</v>
      </c>
      <c r="F1972" s="1" t="s">
        <v>9662</v>
      </c>
      <c r="G1972" s="1" t="s">
        <v>9663</v>
      </c>
    </row>
    <row r="1973" spans="1:7">
      <c r="A1973" s="1">
        <v>1972</v>
      </c>
      <c r="B1973" s="1" t="s">
        <v>9833</v>
      </c>
      <c r="D1973" s="1" t="s">
        <v>9762</v>
      </c>
      <c r="E1973" s="1" t="s">
        <v>9834</v>
      </c>
      <c r="F1973" s="1" t="s">
        <v>9665</v>
      </c>
      <c r="G1973" s="1" t="s">
        <v>9666</v>
      </c>
    </row>
    <row r="1974" spans="1:7">
      <c r="A1974" s="1">
        <v>1973</v>
      </c>
      <c r="B1974" s="1" t="s">
        <v>9835</v>
      </c>
      <c r="D1974" s="1" t="s">
        <v>9836</v>
      </c>
      <c r="E1974" s="1" t="s">
        <v>9837</v>
      </c>
      <c r="F1974" s="1" t="s">
        <v>2063</v>
      </c>
      <c r="G1974" s="1" t="s">
        <v>2064</v>
      </c>
    </row>
    <row r="1975" spans="1:7">
      <c r="A1975" s="1">
        <v>1974</v>
      </c>
      <c r="B1975" s="1" t="s">
        <v>9838</v>
      </c>
      <c r="D1975" s="1" t="s">
        <v>9836</v>
      </c>
      <c r="E1975" s="1" t="s">
        <v>9839</v>
      </c>
      <c r="F1975" s="1" t="s">
        <v>2059</v>
      </c>
      <c r="G1975" s="1" t="s">
        <v>2060</v>
      </c>
    </row>
    <row r="1976" spans="1:7">
      <c r="A1976" s="1">
        <v>1975</v>
      </c>
      <c r="B1976" s="1" t="s">
        <v>9840</v>
      </c>
      <c r="D1976" s="1" t="s">
        <v>9836</v>
      </c>
      <c r="E1976" s="1" t="s">
        <v>9841</v>
      </c>
      <c r="F1976" s="1" t="s">
        <v>2075</v>
      </c>
      <c r="G1976" s="1" t="s">
        <v>2076</v>
      </c>
    </row>
    <row r="1977" spans="1:7">
      <c r="A1977" s="1">
        <v>1976</v>
      </c>
      <c r="B1977" s="1" t="s">
        <v>9842</v>
      </c>
      <c r="D1977" s="1" t="s">
        <v>9836</v>
      </c>
      <c r="E1977" s="1" t="s">
        <v>9843</v>
      </c>
      <c r="F1977" s="1" t="s">
        <v>2491</v>
      </c>
      <c r="G1977" s="1" t="s">
        <v>2492</v>
      </c>
    </row>
    <row r="1978" spans="1:7">
      <c r="A1978" s="1">
        <v>1977</v>
      </c>
      <c r="B1978" s="1" t="s">
        <v>9844</v>
      </c>
      <c r="D1978" s="1" t="s">
        <v>9836</v>
      </c>
      <c r="E1978" s="1" t="s">
        <v>9845</v>
      </c>
      <c r="F1978" s="1" t="s">
        <v>2497</v>
      </c>
      <c r="G1978" s="1" t="s">
        <v>2498</v>
      </c>
    </row>
    <row r="1979" spans="1:7">
      <c r="A1979" s="1">
        <v>1978</v>
      </c>
      <c r="B1979" s="1" t="s">
        <v>9846</v>
      </c>
      <c r="D1979" s="1" t="s">
        <v>9836</v>
      </c>
      <c r="E1979" s="1" t="s">
        <v>9847</v>
      </c>
      <c r="F1979" s="1" t="s">
        <v>2494</v>
      </c>
      <c r="G1979" s="1" t="s">
        <v>2495</v>
      </c>
    </row>
    <row r="1980" spans="1:7">
      <c r="A1980" s="1">
        <v>1979</v>
      </c>
      <c r="B1980" s="1" t="s">
        <v>9848</v>
      </c>
      <c r="D1980" s="1" t="s">
        <v>9836</v>
      </c>
      <c r="E1980" s="1" t="s">
        <v>9849</v>
      </c>
      <c r="F1980" s="1" t="s">
        <v>2521</v>
      </c>
      <c r="G1980" s="1" t="s">
        <v>2522</v>
      </c>
    </row>
    <row r="1981" spans="1:7">
      <c r="A1981" s="1">
        <v>1980</v>
      </c>
      <c r="B1981" s="1" t="s">
        <v>9850</v>
      </c>
      <c r="D1981" s="1" t="s">
        <v>9836</v>
      </c>
      <c r="E1981" s="1" t="s">
        <v>9851</v>
      </c>
      <c r="F1981" s="1" t="s">
        <v>2518</v>
      </c>
      <c r="G1981" s="1" t="s">
        <v>2519</v>
      </c>
    </row>
    <row r="1982" spans="1:7">
      <c r="A1982" s="1">
        <v>1981</v>
      </c>
      <c r="B1982" s="1" t="s">
        <v>9852</v>
      </c>
      <c r="D1982" s="1" t="s">
        <v>9836</v>
      </c>
      <c r="E1982" s="1" t="s">
        <v>9853</v>
      </c>
      <c r="F1982" s="1" t="s">
        <v>2512</v>
      </c>
      <c r="G1982" s="1" t="s">
        <v>2513</v>
      </c>
    </row>
    <row r="1983" spans="1:7">
      <c r="A1983" s="1">
        <v>1982</v>
      </c>
      <c r="B1983" s="1" t="s">
        <v>9854</v>
      </c>
      <c r="D1983" s="1" t="s">
        <v>9836</v>
      </c>
      <c r="E1983" s="1" t="s">
        <v>9855</v>
      </c>
      <c r="F1983" s="1" t="s">
        <v>2503</v>
      </c>
      <c r="G1983" s="1" t="s">
        <v>2504</v>
      </c>
    </row>
    <row r="1984" spans="1:7">
      <c r="A1984" s="1">
        <v>1983</v>
      </c>
      <c r="B1984" s="1" t="s">
        <v>9856</v>
      </c>
      <c r="D1984" s="1" t="s">
        <v>9836</v>
      </c>
      <c r="E1984" s="1" t="s">
        <v>9857</v>
      </c>
      <c r="F1984" s="1" t="s">
        <v>2500</v>
      </c>
      <c r="G1984" s="1" t="s">
        <v>2501</v>
      </c>
    </row>
    <row r="1985" spans="1:7">
      <c r="A1985" s="1">
        <v>1984</v>
      </c>
      <c r="B1985" s="1" t="s">
        <v>9858</v>
      </c>
      <c r="D1985" s="1" t="s">
        <v>9836</v>
      </c>
      <c r="E1985" s="1" t="s">
        <v>9859</v>
      </c>
      <c r="F1985" s="1" t="s">
        <v>2509</v>
      </c>
      <c r="G1985" s="1" t="s">
        <v>2510</v>
      </c>
    </row>
    <row r="1986" spans="1:7">
      <c r="A1986" s="1">
        <v>1985</v>
      </c>
      <c r="B1986" s="1" t="s">
        <v>9860</v>
      </c>
      <c r="D1986" s="1" t="s">
        <v>9836</v>
      </c>
      <c r="E1986" s="1" t="s">
        <v>9861</v>
      </c>
      <c r="F1986" s="1" t="s">
        <v>2515</v>
      </c>
      <c r="G1986" s="1" t="s">
        <v>2516</v>
      </c>
    </row>
    <row r="1987" spans="1:7">
      <c r="A1987" s="1">
        <v>1986</v>
      </c>
      <c r="B1987" s="1" t="s">
        <v>9862</v>
      </c>
      <c r="D1987" s="1" t="s">
        <v>9836</v>
      </c>
      <c r="E1987" s="1" t="s">
        <v>9863</v>
      </c>
      <c r="F1987" s="1" t="s">
        <v>2506</v>
      </c>
      <c r="G1987" s="1" t="s">
        <v>2507</v>
      </c>
    </row>
    <row r="1988" spans="1:7">
      <c r="A1988" s="1">
        <v>1987</v>
      </c>
      <c r="B1988" s="1" t="s">
        <v>9864</v>
      </c>
      <c r="D1988" s="1" t="s">
        <v>9836</v>
      </c>
      <c r="E1988" s="1" t="s">
        <v>9865</v>
      </c>
      <c r="F1988" s="1" t="s">
        <v>9650</v>
      </c>
      <c r="G1988" s="1" t="s">
        <v>9651</v>
      </c>
    </row>
    <row r="1989" spans="1:7">
      <c r="A1989" s="1">
        <v>1988</v>
      </c>
      <c r="B1989" s="1" t="s">
        <v>9866</v>
      </c>
      <c r="D1989" s="1" t="s">
        <v>9836</v>
      </c>
      <c r="E1989" s="1" t="s">
        <v>9867</v>
      </c>
      <c r="F1989" s="1" t="s">
        <v>9653</v>
      </c>
      <c r="G1989" s="1" t="s">
        <v>9654</v>
      </c>
    </row>
    <row r="1990" spans="1:7">
      <c r="A1990" s="1">
        <v>1989</v>
      </c>
      <c r="B1990" s="1" t="s">
        <v>9868</v>
      </c>
      <c r="D1990" s="1" t="s">
        <v>9869</v>
      </c>
      <c r="E1990" s="1" t="s">
        <v>9870</v>
      </c>
      <c r="F1990" s="1" t="s">
        <v>2055</v>
      </c>
      <c r="G1990" s="1" t="s">
        <v>2056</v>
      </c>
    </row>
    <row r="1991" spans="1:7">
      <c r="A1991" s="1">
        <v>1990</v>
      </c>
      <c r="B1991" s="1" t="s">
        <v>9871</v>
      </c>
      <c r="D1991" s="1" t="s">
        <v>9869</v>
      </c>
      <c r="E1991" s="1" t="s">
        <v>9872</v>
      </c>
      <c r="F1991" s="1" t="s">
        <v>2051</v>
      </c>
      <c r="G1991" s="1" t="s">
        <v>2052</v>
      </c>
    </row>
    <row r="1992" spans="1:7">
      <c r="A1992" s="1">
        <v>1991</v>
      </c>
      <c r="B1992" s="1" t="s">
        <v>9873</v>
      </c>
      <c r="D1992" s="1" t="s">
        <v>9869</v>
      </c>
      <c r="E1992" s="1" t="s">
        <v>9874</v>
      </c>
      <c r="F1992" s="1" t="s">
        <v>2583</v>
      </c>
      <c r="G1992" s="1" t="s">
        <v>2584</v>
      </c>
    </row>
    <row r="1993" spans="1:7">
      <c r="A1993" s="1">
        <v>1992</v>
      </c>
      <c r="B1993" s="1" t="s">
        <v>9875</v>
      </c>
      <c r="D1993" s="1" t="s">
        <v>9869</v>
      </c>
      <c r="E1993" s="1" t="s">
        <v>9876</v>
      </c>
      <c r="F1993" s="1" t="s">
        <v>2131</v>
      </c>
      <c r="G1993" s="1" t="s">
        <v>2132</v>
      </c>
    </row>
    <row r="1994" spans="1:7">
      <c r="A1994" s="1">
        <v>1993</v>
      </c>
      <c r="B1994" s="1" t="s">
        <v>9877</v>
      </c>
      <c r="D1994" s="1" t="s">
        <v>9869</v>
      </c>
      <c r="E1994" s="1" t="s">
        <v>9878</v>
      </c>
      <c r="F1994" s="1" t="s">
        <v>2549</v>
      </c>
      <c r="G1994" s="1" t="s">
        <v>2550</v>
      </c>
    </row>
    <row r="1995" spans="1:7">
      <c r="A1995" s="1">
        <v>1994</v>
      </c>
      <c r="B1995" s="1" t="s">
        <v>9879</v>
      </c>
      <c r="D1995" s="1" t="s">
        <v>9869</v>
      </c>
      <c r="E1995" s="1" t="s">
        <v>9880</v>
      </c>
      <c r="F1995" s="1" t="s">
        <v>2111</v>
      </c>
      <c r="G1995" s="1" t="s">
        <v>2112</v>
      </c>
    </row>
    <row r="1996" spans="1:7">
      <c r="A1996" s="1">
        <v>1995</v>
      </c>
      <c r="B1996" s="1" t="s">
        <v>9881</v>
      </c>
      <c r="D1996" s="1" t="s">
        <v>9869</v>
      </c>
      <c r="E1996" s="1" t="s">
        <v>9882</v>
      </c>
      <c r="F1996" s="1" t="s">
        <v>2579</v>
      </c>
      <c r="G1996" s="1" t="s">
        <v>2580</v>
      </c>
    </row>
    <row r="1997" spans="1:7">
      <c r="A1997" s="1">
        <v>1996</v>
      </c>
      <c r="B1997" s="1" t="s">
        <v>9883</v>
      </c>
      <c r="D1997" s="1" t="s">
        <v>9869</v>
      </c>
      <c r="E1997" s="1" t="s">
        <v>9884</v>
      </c>
      <c r="F1997" s="1" t="s">
        <v>2099</v>
      </c>
      <c r="G1997" s="1" t="s">
        <v>2100</v>
      </c>
    </row>
    <row r="1998" spans="1:7">
      <c r="A1998" s="1">
        <v>1997</v>
      </c>
      <c r="B1998" s="1" t="s">
        <v>9885</v>
      </c>
      <c r="D1998" s="1" t="s">
        <v>9869</v>
      </c>
      <c r="E1998" s="1" t="s">
        <v>9886</v>
      </c>
      <c r="F1998" s="1" t="s">
        <v>2411</v>
      </c>
      <c r="G1998" s="1" t="s">
        <v>2412</v>
      </c>
    </row>
    <row r="1999" spans="1:7">
      <c r="A1999" s="1">
        <v>1998</v>
      </c>
      <c r="B1999" s="1" t="s">
        <v>9887</v>
      </c>
      <c r="D1999" s="1" t="s">
        <v>9869</v>
      </c>
      <c r="E1999" s="1" t="s">
        <v>9888</v>
      </c>
      <c r="F1999" s="1" t="s">
        <v>2591</v>
      </c>
      <c r="G1999" s="1" t="s">
        <v>2592</v>
      </c>
    </row>
    <row r="2000" spans="1:7">
      <c r="A2000" s="1">
        <v>1999</v>
      </c>
      <c r="B2000" s="1" t="s">
        <v>9889</v>
      </c>
      <c r="D2000" s="1" t="s">
        <v>9869</v>
      </c>
      <c r="E2000" s="1" t="s">
        <v>9890</v>
      </c>
      <c r="F2000" s="1" t="s">
        <v>2597</v>
      </c>
      <c r="G2000" s="1" t="s">
        <v>2598</v>
      </c>
    </row>
    <row r="2001" spans="1:7">
      <c r="A2001" s="1">
        <v>2000</v>
      </c>
      <c r="B2001" s="1" t="s">
        <v>9891</v>
      </c>
      <c r="D2001" s="1" t="s">
        <v>9869</v>
      </c>
      <c r="E2001" s="1" t="s">
        <v>9892</v>
      </c>
      <c r="F2001" s="1" t="s">
        <v>2601</v>
      </c>
      <c r="G2001" s="1" t="s">
        <v>2602</v>
      </c>
    </row>
    <row r="2002" spans="1:7">
      <c r="A2002" s="1">
        <v>2001</v>
      </c>
      <c r="B2002" s="1" t="s">
        <v>9893</v>
      </c>
      <c r="D2002" s="1" t="s">
        <v>9869</v>
      </c>
      <c r="E2002" s="1" t="s">
        <v>9894</v>
      </c>
      <c r="F2002" s="1" t="s">
        <v>2617</v>
      </c>
      <c r="G2002" s="1" t="s">
        <v>2618</v>
      </c>
    </row>
    <row r="2003" spans="1:7">
      <c r="A2003" s="1">
        <v>2002</v>
      </c>
      <c r="B2003" s="1" t="s">
        <v>9895</v>
      </c>
      <c r="D2003" s="1" t="s">
        <v>9869</v>
      </c>
      <c r="E2003" s="1" t="s">
        <v>9896</v>
      </c>
      <c r="F2003" s="1" t="s">
        <v>2613</v>
      </c>
      <c r="G2003" s="1" t="s">
        <v>2614</v>
      </c>
    </row>
    <row r="2004" spans="1:7">
      <c r="A2004" s="1">
        <v>2003</v>
      </c>
      <c r="B2004" s="1" t="s">
        <v>9897</v>
      </c>
      <c r="D2004" s="1" t="s">
        <v>9869</v>
      </c>
      <c r="E2004" s="1" t="s">
        <v>9898</v>
      </c>
      <c r="F2004" s="1" t="s">
        <v>2075</v>
      </c>
      <c r="G2004" s="1" t="s">
        <v>2076</v>
      </c>
    </row>
    <row r="2005" spans="1:7">
      <c r="A2005" s="1">
        <v>2004</v>
      </c>
      <c r="B2005" s="1" t="s">
        <v>9899</v>
      </c>
      <c r="D2005" s="1" t="s">
        <v>9869</v>
      </c>
      <c r="E2005" s="1" t="s">
        <v>9900</v>
      </c>
      <c r="F2005" s="1" t="s">
        <v>2079</v>
      </c>
      <c r="G2005" s="1" t="s">
        <v>2080</v>
      </c>
    </row>
    <row r="2006" spans="1:7">
      <c r="A2006" s="1">
        <v>2005</v>
      </c>
      <c r="B2006" s="1" t="s">
        <v>9901</v>
      </c>
      <c r="D2006" s="1" t="s">
        <v>9869</v>
      </c>
      <c r="E2006" s="1" t="s">
        <v>9902</v>
      </c>
      <c r="F2006" s="1" t="s">
        <v>2571</v>
      </c>
      <c r="G2006" s="1" t="s">
        <v>2572</v>
      </c>
    </row>
    <row r="2007" spans="1:7">
      <c r="A2007" s="1">
        <v>2006</v>
      </c>
      <c r="B2007" s="1" t="s">
        <v>9903</v>
      </c>
      <c r="D2007" s="1" t="s">
        <v>9869</v>
      </c>
      <c r="E2007" s="1" t="s">
        <v>9904</v>
      </c>
      <c r="F2007" s="1" t="s">
        <v>2541</v>
      </c>
      <c r="G2007" s="1" t="s">
        <v>2542</v>
      </c>
    </row>
    <row r="2008" spans="1:7">
      <c r="A2008" s="1">
        <v>2007</v>
      </c>
      <c r="B2008" s="1" t="s">
        <v>9905</v>
      </c>
      <c r="D2008" s="1" t="s">
        <v>9869</v>
      </c>
      <c r="E2008" s="1" t="s">
        <v>9906</v>
      </c>
      <c r="F2008" s="1" t="s">
        <v>2559</v>
      </c>
      <c r="G2008" s="1" t="s">
        <v>2560</v>
      </c>
    </row>
    <row r="2009" spans="1:7">
      <c r="A2009" s="1">
        <v>2008</v>
      </c>
      <c r="B2009" s="1" t="s">
        <v>9907</v>
      </c>
      <c r="D2009" s="1" t="s">
        <v>9869</v>
      </c>
      <c r="E2009" s="1" t="s">
        <v>9908</v>
      </c>
      <c r="F2009" s="1" t="s">
        <v>2605</v>
      </c>
      <c r="G2009" s="1" t="s">
        <v>2606</v>
      </c>
    </row>
    <row r="2010" spans="1:7">
      <c r="A2010" s="1">
        <v>2009</v>
      </c>
      <c r="B2010" s="1" t="s">
        <v>9909</v>
      </c>
      <c r="D2010" s="1" t="s">
        <v>9869</v>
      </c>
      <c r="E2010" s="1" t="s">
        <v>9910</v>
      </c>
      <c r="F2010" s="1" t="s">
        <v>2575</v>
      </c>
      <c r="G2010" s="1" t="s">
        <v>2576</v>
      </c>
    </row>
    <row r="2011" spans="1:7">
      <c r="A2011" s="1">
        <v>2010</v>
      </c>
      <c r="B2011" s="1" t="s">
        <v>9911</v>
      </c>
      <c r="D2011" s="1" t="s">
        <v>9869</v>
      </c>
      <c r="E2011" s="1" t="s">
        <v>9912</v>
      </c>
      <c r="F2011" s="1" t="s">
        <v>2425</v>
      </c>
      <c r="G2011" s="1" t="s">
        <v>2426</v>
      </c>
    </row>
    <row r="2012" spans="1:7">
      <c r="A2012" s="1">
        <v>2011</v>
      </c>
      <c r="B2012" s="1" t="s">
        <v>9913</v>
      </c>
      <c r="D2012" s="1" t="s">
        <v>9869</v>
      </c>
      <c r="E2012" s="1" t="s">
        <v>9914</v>
      </c>
      <c r="F2012" s="1" t="s">
        <v>2567</v>
      </c>
      <c r="G2012" s="1" t="s">
        <v>2568</v>
      </c>
    </row>
    <row r="2013" spans="1:7">
      <c r="A2013" s="1">
        <v>2012</v>
      </c>
      <c r="B2013" s="1" t="s">
        <v>9915</v>
      </c>
      <c r="D2013" s="1" t="s">
        <v>9869</v>
      </c>
      <c r="E2013" s="1" t="s">
        <v>9916</v>
      </c>
      <c r="F2013" s="1" t="s">
        <v>2587</v>
      </c>
      <c r="G2013" s="1" t="s">
        <v>2588</v>
      </c>
    </row>
    <row r="2014" spans="1:7">
      <c r="A2014" s="1">
        <v>2013</v>
      </c>
      <c r="B2014" s="1" t="s">
        <v>9917</v>
      </c>
      <c r="D2014" s="1" t="s">
        <v>9869</v>
      </c>
      <c r="E2014" s="1" t="s">
        <v>9918</v>
      </c>
      <c r="F2014" s="1" t="s">
        <v>2071</v>
      </c>
      <c r="G2014" s="1" t="s">
        <v>2072</v>
      </c>
    </row>
    <row r="2015" spans="1:7">
      <c r="A2015" s="1">
        <v>2014</v>
      </c>
      <c r="B2015" s="1" t="s">
        <v>9919</v>
      </c>
      <c r="D2015" s="1" t="s">
        <v>9869</v>
      </c>
      <c r="E2015" s="1" t="s">
        <v>9920</v>
      </c>
      <c r="F2015" s="1" t="s">
        <v>2417</v>
      </c>
      <c r="G2015" s="1" t="s">
        <v>2418</v>
      </c>
    </row>
    <row r="2016" spans="1:7">
      <c r="A2016" s="1">
        <v>2015</v>
      </c>
      <c r="B2016" s="1" t="s">
        <v>9921</v>
      </c>
      <c r="D2016" s="1" t="s">
        <v>9869</v>
      </c>
      <c r="E2016" s="1" t="s">
        <v>9922</v>
      </c>
      <c r="F2016" s="1" t="s">
        <v>2067</v>
      </c>
      <c r="G2016" s="1" t="s">
        <v>2068</v>
      </c>
    </row>
    <row r="2017" spans="1:7">
      <c r="A2017" s="1">
        <v>2016</v>
      </c>
      <c r="B2017" s="1" t="s">
        <v>9923</v>
      </c>
      <c r="D2017" s="1" t="s">
        <v>9869</v>
      </c>
      <c r="E2017" s="1" t="s">
        <v>9924</v>
      </c>
      <c r="F2017" s="1" t="s">
        <v>2621</v>
      </c>
      <c r="G2017" s="1" t="s">
        <v>2622</v>
      </c>
    </row>
    <row r="2018" spans="1:7">
      <c r="A2018" s="1">
        <v>2017</v>
      </c>
      <c r="B2018" s="1" t="s">
        <v>9925</v>
      </c>
      <c r="D2018" s="1" t="s">
        <v>9869</v>
      </c>
      <c r="E2018" s="1" t="s">
        <v>9926</v>
      </c>
      <c r="F2018" s="1" t="s">
        <v>2609</v>
      </c>
      <c r="G2018" s="1" t="s">
        <v>2610</v>
      </c>
    </row>
    <row r="2019" spans="1:7">
      <c r="A2019" s="1">
        <v>2018</v>
      </c>
      <c r="B2019" s="1" t="s">
        <v>9927</v>
      </c>
      <c r="D2019" s="1" t="s">
        <v>9869</v>
      </c>
      <c r="E2019" s="1" t="s">
        <v>9928</v>
      </c>
      <c r="F2019" s="1" t="s">
        <v>2421</v>
      </c>
      <c r="G2019" s="1" t="s">
        <v>2422</v>
      </c>
    </row>
    <row r="2020" spans="1:7">
      <c r="A2020" s="1">
        <v>2019</v>
      </c>
      <c r="B2020" s="1" t="s">
        <v>9929</v>
      </c>
      <c r="D2020" s="1" t="s">
        <v>9869</v>
      </c>
      <c r="E2020" s="1" t="s">
        <v>9930</v>
      </c>
      <c r="F2020" s="1" t="s">
        <v>2115</v>
      </c>
      <c r="G2020" s="1" t="s">
        <v>2116</v>
      </c>
    </row>
    <row r="2021" spans="1:7">
      <c r="A2021" s="1">
        <v>2020</v>
      </c>
      <c r="B2021" s="1" t="s">
        <v>9931</v>
      </c>
      <c r="D2021" s="1" t="s">
        <v>9869</v>
      </c>
      <c r="E2021" s="1" t="s">
        <v>9932</v>
      </c>
      <c r="F2021" s="1" t="s">
        <v>2639</v>
      </c>
      <c r="G2021" s="1" t="s">
        <v>2640</v>
      </c>
    </row>
    <row r="2022" spans="1:7">
      <c r="A2022" s="1">
        <v>2021</v>
      </c>
      <c r="B2022" s="1" t="s">
        <v>9933</v>
      </c>
      <c r="D2022" s="1" t="s">
        <v>9869</v>
      </c>
      <c r="E2022" s="1" t="s">
        <v>9934</v>
      </c>
      <c r="F2022" s="1" t="s">
        <v>2635</v>
      </c>
      <c r="G2022" s="1" t="s">
        <v>2636</v>
      </c>
    </row>
    <row r="2023" spans="1:7">
      <c r="A2023" s="1">
        <v>2022</v>
      </c>
      <c r="B2023" s="1" t="s">
        <v>9935</v>
      </c>
      <c r="D2023" s="1" t="s">
        <v>9869</v>
      </c>
      <c r="E2023" s="1" t="s">
        <v>9936</v>
      </c>
      <c r="F2023" s="1" t="s">
        <v>2673</v>
      </c>
      <c r="G2023" s="1" t="s">
        <v>2674</v>
      </c>
    </row>
    <row r="2024" spans="1:7">
      <c r="A2024" s="1">
        <v>2023</v>
      </c>
      <c r="B2024" s="1" t="s">
        <v>9937</v>
      </c>
      <c r="D2024" s="1" t="s">
        <v>9869</v>
      </c>
      <c r="E2024" s="1" t="s">
        <v>9938</v>
      </c>
      <c r="F2024" s="1" t="s">
        <v>2717</v>
      </c>
      <c r="G2024" s="1" t="s">
        <v>2718</v>
      </c>
    </row>
    <row r="2025" spans="1:7">
      <c r="A2025" s="1">
        <v>2024</v>
      </c>
      <c r="B2025" s="1" t="s">
        <v>9939</v>
      </c>
      <c r="D2025" s="1" t="s">
        <v>9869</v>
      </c>
      <c r="E2025" s="1" t="s">
        <v>9940</v>
      </c>
      <c r="F2025" s="1" t="s">
        <v>2665</v>
      </c>
      <c r="G2025" s="1" t="s">
        <v>2666</v>
      </c>
    </row>
    <row r="2026" spans="1:7">
      <c r="A2026" s="1">
        <v>2025</v>
      </c>
      <c r="B2026" s="1" t="s">
        <v>9941</v>
      </c>
      <c r="D2026" s="1" t="s">
        <v>9869</v>
      </c>
      <c r="E2026" s="1" t="s">
        <v>9942</v>
      </c>
      <c r="F2026" s="1" t="s">
        <v>2661</v>
      </c>
      <c r="G2026" s="1" t="s">
        <v>2662</v>
      </c>
    </row>
    <row r="2027" spans="1:7">
      <c r="A2027" s="1">
        <v>2026</v>
      </c>
      <c r="B2027" s="1" t="s">
        <v>9943</v>
      </c>
      <c r="D2027" s="1" t="s">
        <v>9869</v>
      </c>
      <c r="E2027" s="1" t="s">
        <v>9944</v>
      </c>
      <c r="F2027" s="1" t="s">
        <v>2709</v>
      </c>
      <c r="G2027" s="1" t="s">
        <v>2710</v>
      </c>
    </row>
    <row r="2028" spans="1:7">
      <c r="A2028" s="1">
        <v>2027</v>
      </c>
      <c r="B2028" s="1" t="s">
        <v>9945</v>
      </c>
      <c r="D2028" s="1" t="s">
        <v>9869</v>
      </c>
      <c r="E2028" s="1" t="s">
        <v>9946</v>
      </c>
      <c r="F2028" s="1" t="s">
        <v>2521</v>
      </c>
      <c r="G2028" s="1" t="s">
        <v>2522</v>
      </c>
    </row>
    <row r="2029" spans="1:7">
      <c r="A2029" s="1">
        <v>2028</v>
      </c>
      <c r="B2029" s="1" t="s">
        <v>9947</v>
      </c>
      <c r="D2029" s="1" t="s">
        <v>9869</v>
      </c>
      <c r="E2029" s="1" t="s">
        <v>9948</v>
      </c>
      <c r="F2029" s="1" t="s">
        <v>2643</v>
      </c>
      <c r="G2029" s="1" t="s">
        <v>2644</v>
      </c>
    </row>
    <row r="2030" spans="1:7">
      <c r="A2030" s="1">
        <v>2029</v>
      </c>
      <c r="B2030" s="1" t="s">
        <v>9949</v>
      </c>
      <c r="D2030" s="1" t="s">
        <v>9869</v>
      </c>
      <c r="E2030" s="1" t="s">
        <v>9950</v>
      </c>
      <c r="F2030" s="1" t="s">
        <v>2657</v>
      </c>
      <c r="G2030" s="1" t="s">
        <v>2658</v>
      </c>
    </row>
    <row r="2031" spans="1:7">
      <c r="A2031" s="1">
        <v>2030</v>
      </c>
      <c r="B2031" s="1" t="s">
        <v>9951</v>
      </c>
      <c r="D2031" s="1" t="s">
        <v>9869</v>
      </c>
      <c r="E2031" s="1" t="s">
        <v>9952</v>
      </c>
      <c r="F2031" s="1" t="s">
        <v>2681</v>
      </c>
      <c r="G2031" s="1" t="s">
        <v>2682</v>
      </c>
    </row>
    <row r="2032" spans="1:7">
      <c r="A2032" s="1">
        <v>2031</v>
      </c>
      <c r="B2032" s="1" t="s">
        <v>9953</v>
      </c>
      <c r="D2032" s="1" t="s">
        <v>9869</v>
      </c>
      <c r="E2032" s="1" t="s">
        <v>9954</v>
      </c>
      <c r="F2032" s="1" t="s">
        <v>2685</v>
      </c>
      <c r="G2032" s="1" t="s">
        <v>2686</v>
      </c>
    </row>
    <row r="2033" spans="1:7">
      <c r="A2033" s="1">
        <v>2032</v>
      </c>
      <c r="B2033" s="1" t="s">
        <v>9955</v>
      </c>
      <c r="D2033" s="1" t="s">
        <v>9869</v>
      </c>
      <c r="E2033" s="1" t="s">
        <v>9956</v>
      </c>
      <c r="F2033" s="1" t="s">
        <v>2689</v>
      </c>
      <c r="G2033" s="1" t="s">
        <v>2690</v>
      </c>
    </row>
    <row r="2034" spans="1:7">
      <c r="A2034" s="1">
        <v>2033</v>
      </c>
      <c r="B2034" s="1" t="s">
        <v>9957</v>
      </c>
      <c r="D2034" s="1" t="s">
        <v>9869</v>
      </c>
      <c r="E2034" s="1" t="s">
        <v>9958</v>
      </c>
      <c r="F2034" s="1" t="s">
        <v>2693</v>
      </c>
      <c r="G2034" s="1" t="s">
        <v>2694</v>
      </c>
    </row>
    <row r="2035" spans="1:7">
      <c r="A2035" s="1">
        <v>2034</v>
      </c>
      <c r="B2035" s="1" t="s">
        <v>9959</v>
      </c>
      <c r="D2035" s="1" t="s">
        <v>9869</v>
      </c>
      <c r="E2035" s="1" t="s">
        <v>9960</v>
      </c>
      <c r="F2035" s="1" t="s">
        <v>2697</v>
      </c>
      <c r="G2035" s="1" t="s">
        <v>2698</v>
      </c>
    </row>
    <row r="2036" spans="1:7">
      <c r="A2036" s="1">
        <v>2035</v>
      </c>
      <c r="B2036" s="1" t="s">
        <v>9961</v>
      </c>
      <c r="D2036" s="1" t="s">
        <v>9869</v>
      </c>
      <c r="E2036" s="1" t="s">
        <v>9962</v>
      </c>
      <c r="F2036" s="1" t="s">
        <v>2701</v>
      </c>
      <c r="G2036" s="1" t="s">
        <v>2702</v>
      </c>
    </row>
    <row r="2037" spans="1:7">
      <c r="A2037" s="1">
        <v>2036</v>
      </c>
      <c r="B2037" s="1" t="s">
        <v>9963</v>
      </c>
      <c r="D2037" s="1" t="s">
        <v>9869</v>
      </c>
      <c r="E2037" s="1" t="s">
        <v>9964</v>
      </c>
      <c r="F2037" s="1" t="s">
        <v>2627</v>
      </c>
      <c r="G2037" s="1" t="s">
        <v>2628</v>
      </c>
    </row>
    <row r="2038" spans="1:7">
      <c r="A2038" s="1">
        <v>2037</v>
      </c>
      <c r="B2038" s="1" t="s">
        <v>9965</v>
      </c>
      <c r="D2038" s="1" t="s">
        <v>9869</v>
      </c>
      <c r="E2038" s="1" t="s">
        <v>9966</v>
      </c>
      <c r="F2038" s="1" t="s">
        <v>2705</v>
      </c>
      <c r="G2038" s="1" t="s">
        <v>2706</v>
      </c>
    </row>
    <row r="2039" spans="1:7">
      <c r="A2039" s="1">
        <v>2038</v>
      </c>
      <c r="B2039" s="1" t="s">
        <v>9967</v>
      </c>
      <c r="D2039" s="1" t="s">
        <v>9869</v>
      </c>
      <c r="E2039" s="1" t="s">
        <v>9968</v>
      </c>
      <c r="F2039" s="1" t="s">
        <v>2725</v>
      </c>
      <c r="G2039" s="1" t="s">
        <v>2726</v>
      </c>
    </row>
    <row r="2040" spans="1:7">
      <c r="A2040" s="1">
        <v>2039</v>
      </c>
      <c r="B2040" s="1" t="s">
        <v>9969</v>
      </c>
      <c r="D2040" s="1" t="s">
        <v>9869</v>
      </c>
      <c r="E2040" s="1" t="s">
        <v>9970</v>
      </c>
      <c r="F2040" s="1" t="s">
        <v>2721</v>
      </c>
      <c r="G2040" s="1" t="s">
        <v>2722</v>
      </c>
    </row>
    <row r="2041" spans="1:7">
      <c r="A2041" s="1">
        <v>2040</v>
      </c>
      <c r="B2041" s="1" t="s">
        <v>9971</v>
      </c>
      <c r="D2041" s="1" t="s">
        <v>9869</v>
      </c>
      <c r="E2041" s="1" t="s">
        <v>9972</v>
      </c>
      <c r="F2041" s="1" t="s">
        <v>2713</v>
      </c>
      <c r="G2041" s="1" t="s">
        <v>2714</v>
      </c>
    </row>
    <row r="2042" spans="1:7">
      <c r="A2042" s="1">
        <v>2041</v>
      </c>
      <c r="B2042" s="1" t="s">
        <v>9973</v>
      </c>
      <c r="D2042" s="1" t="s">
        <v>9869</v>
      </c>
      <c r="E2042" s="1" t="s">
        <v>9974</v>
      </c>
      <c r="F2042" s="1" t="s">
        <v>2503</v>
      </c>
      <c r="G2042" s="1" t="s">
        <v>2504</v>
      </c>
    </row>
    <row r="2043" spans="1:7">
      <c r="A2043" s="1">
        <v>2042</v>
      </c>
      <c r="B2043" s="1" t="s">
        <v>9975</v>
      </c>
      <c r="D2043" s="1" t="s">
        <v>9869</v>
      </c>
      <c r="E2043" s="1" t="s">
        <v>9976</v>
      </c>
      <c r="F2043" s="1" t="s">
        <v>2677</v>
      </c>
      <c r="G2043" s="1" t="s">
        <v>2678</v>
      </c>
    </row>
    <row r="2044" spans="1:7">
      <c r="A2044" s="1">
        <v>2043</v>
      </c>
      <c r="B2044" s="1" t="s">
        <v>9977</v>
      </c>
      <c r="D2044" s="1" t="s">
        <v>9869</v>
      </c>
      <c r="E2044" s="1" t="s">
        <v>9978</v>
      </c>
      <c r="F2044" s="1" t="s">
        <v>2669</v>
      </c>
      <c r="G2044" s="1" t="s">
        <v>2670</v>
      </c>
    </row>
    <row r="2045" spans="1:7">
      <c r="A2045" s="1">
        <v>2044</v>
      </c>
      <c r="B2045" s="1" t="s">
        <v>9979</v>
      </c>
      <c r="D2045" s="1" t="s">
        <v>9869</v>
      </c>
      <c r="E2045" s="1" t="s">
        <v>9980</v>
      </c>
      <c r="F2045" s="1" t="s">
        <v>2653</v>
      </c>
      <c r="G2045" s="1" t="s">
        <v>2654</v>
      </c>
    </row>
    <row r="2046" spans="1:7">
      <c r="A2046" s="1">
        <v>2045</v>
      </c>
      <c r="B2046" s="1" t="s">
        <v>9981</v>
      </c>
      <c r="D2046" s="1" t="s">
        <v>9869</v>
      </c>
      <c r="E2046" s="1" t="s">
        <v>9982</v>
      </c>
      <c r="F2046" s="1" t="s">
        <v>2649</v>
      </c>
      <c r="G2046" s="1" t="s">
        <v>2650</v>
      </c>
    </row>
    <row r="2047" spans="1:7">
      <c r="A2047" s="1">
        <v>2046</v>
      </c>
      <c r="B2047" s="1" t="s">
        <v>9983</v>
      </c>
      <c r="D2047" s="1" t="s">
        <v>9869</v>
      </c>
      <c r="E2047" s="1" t="s">
        <v>9984</v>
      </c>
      <c r="F2047" s="1" t="s">
        <v>2729</v>
      </c>
      <c r="G2047" s="1" t="s">
        <v>2730</v>
      </c>
    </row>
    <row r="2048" spans="1:7">
      <c r="A2048" s="1">
        <v>2047</v>
      </c>
      <c r="B2048" s="1" t="s">
        <v>9985</v>
      </c>
      <c r="D2048" s="1" t="s">
        <v>9869</v>
      </c>
      <c r="E2048" s="1" t="s">
        <v>9986</v>
      </c>
      <c r="F2048" s="1" t="s">
        <v>2631</v>
      </c>
      <c r="G2048" s="1" t="s">
        <v>2632</v>
      </c>
    </row>
    <row r="2049" spans="1:7">
      <c r="A2049" s="1">
        <v>2048</v>
      </c>
      <c r="B2049" s="1" t="s">
        <v>9987</v>
      </c>
      <c r="D2049" s="1" t="s">
        <v>9869</v>
      </c>
      <c r="E2049" s="1" t="s">
        <v>9988</v>
      </c>
      <c r="F2049" s="1" t="s">
        <v>9650</v>
      </c>
      <c r="G2049" s="1" t="s">
        <v>9651</v>
      </c>
    </row>
    <row r="2050" spans="1:7">
      <c r="A2050" s="1">
        <v>2049</v>
      </c>
      <c r="B2050" s="1" t="s">
        <v>9989</v>
      </c>
      <c r="D2050" s="1" t="s">
        <v>9869</v>
      </c>
      <c r="E2050" s="1" t="s">
        <v>9990</v>
      </c>
      <c r="F2050" s="1" t="s">
        <v>9653</v>
      </c>
      <c r="G2050" s="1" t="s">
        <v>9654</v>
      </c>
    </row>
    <row r="2051" spans="1:7">
      <c r="A2051" s="1">
        <v>2050</v>
      </c>
      <c r="B2051" s="1" t="s">
        <v>9991</v>
      </c>
      <c r="D2051" s="1" t="s">
        <v>9869</v>
      </c>
      <c r="E2051" s="1" t="s">
        <v>9992</v>
      </c>
      <c r="F2051" s="1" t="s">
        <v>9656</v>
      </c>
      <c r="G2051" s="1" t="s">
        <v>9657</v>
      </c>
    </row>
    <row r="2052" spans="1:7">
      <c r="A2052" s="1">
        <v>2051</v>
      </c>
      <c r="B2052" s="1" t="s">
        <v>9993</v>
      </c>
      <c r="D2052" s="1" t="s">
        <v>9869</v>
      </c>
      <c r="E2052" s="1" t="s">
        <v>9994</v>
      </c>
      <c r="F2052" s="1" t="s">
        <v>9659</v>
      </c>
      <c r="G2052" s="1" t="s">
        <v>9660</v>
      </c>
    </row>
    <row r="2053" spans="1:7">
      <c r="A2053" s="1">
        <v>2052</v>
      </c>
      <c r="B2053" s="1" t="s">
        <v>9995</v>
      </c>
      <c r="D2053" s="1" t="s">
        <v>9869</v>
      </c>
      <c r="E2053" s="1" t="s">
        <v>9996</v>
      </c>
      <c r="F2053" s="1" t="s">
        <v>9662</v>
      </c>
      <c r="G2053" s="1" t="s">
        <v>9663</v>
      </c>
    </row>
    <row r="2054" spans="1:7">
      <c r="A2054" s="1">
        <v>2053</v>
      </c>
      <c r="B2054" s="1" t="s">
        <v>9997</v>
      </c>
      <c r="D2054" s="1" t="s">
        <v>9869</v>
      </c>
      <c r="E2054" s="1" t="s">
        <v>9998</v>
      </c>
      <c r="F2054" s="1" t="s">
        <v>9665</v>
      </c>
      <c r="G2054" s="1" t="s">
        <v>9666</v>
      </c>
    </row>
    <row r="2055" spans="1:7">
      <c r="A2055" s="1">
        <v>2054</v>
      </c>
      <c r="B2055" s="1" t="s">
        <v>9999</v>
      </c>
      <c r="D2055" s="1" t="s">
        <v>10000</v>
      </c>
      <c r="E2055" s="1" t="s">
        <v>10001</v>
      </c>
      <c r="F2055" s="1" t="s">
        <v>2055</v>
      </c>
      <c r="G2055" s="1" t="s">
        <v>2056</v>
      </c>
    </row>
    <row r="2056" spans="1:7">
      <c r="A2056" s="1">
        <v>2055</v>
      </c>
      <c r="B2056" s="1" t="s">
        <v>10002</v>
      </c>
      <c r="D2056" s="1" t="s">
        <v>10000</v>
      </c>
      <c r="E2056" s="1" t="s">
        <v>10003</v>
      </c>
      <c r="F2056" s="1" t="s">
        <v>2051</v>
      </c>
      <c r="G2056" s="1" t="s">
        <v>2052</v>
      </c>
    </row>
    <row r="2057" spans="1:7">
      <c r="A2057" s="1">
        <v>2056</v>
      </c>
      <c r="B2057" s="1" t="s">
        <v>10004</v>
      </c>
      <c r="D2057" s="1" t="s">
        <v>10000</v>
      </c>
      <c r="E2057" s="1" t="s">
        <v>10005</v>
      </c>
      <c r="F2057" s="1" t="s">
        <v>2549</v>
      </c>
      <c r="G2057" s="1" t="s">
        <v>2550</v>
      </c>
    </row>
    <row r="2058" spans="1:7">
      <c r="A2058" s="1">
        <v>2057</v>
      </c>
      <c r="B2058" s="1" t="s">
        <v>10006</v>
      </c>
      <c r="D2058" s="1" t="s">
        <v>10000</v>
      </c>
      <c r="E2058" s="1" t="s">
        <v>10007</v>
      </c>
      <c r="F2058" s="1" t="s">
        <v>2111</v>
      </c>
      <c r="G2058" s="1" t="s">
        <v>2112</v>
      </c>
    </row>
    <row r="2059" spans="1:7">
      <c r="A2059" s="1">
        <v>2058</v>
      </c>
      <c r="B2059" s="1" t="s">
        <v>10008</v>
      </c>
      <c r="D2059" s="1" t="s">
        <v>10000</v>
      </c>
      <c r="E2059" s="1" t="s">
        <v>10009</v>
      </c>
      <c r="F2059" s="1" t="s">
        <v>2579</v>
      </c>
      <c r="G2059" s="1" t="s">
        <v>2580</v>
      </c>
    </row>
    <row r="2060" spans="1:7">
      <c r="A2060" s="1">
        <v>2059</v>
      </c>
      <c r="B2060" s="1" t="s">
        <v>10010</v>
      </c>
      <c r="D2060" s="1" t="s">
        <v>10000</v>
      </c>
      <c r="E2060" s="1" t="s">
        <v>10011</v>
      </c>
      <c r="F2060" s="1" t="s">
        <v>2099</v>
      </c>
      <c r="G2060" s="1" t="s">
        <v>2100</v>
      </c>
    </row>
    <row r="2061" spans="1:7">
      <c r="A2061" s="1">
        <v>2060</v>
      </c>
      <c r="B2061" s="1" t="s">
        <v>10012</v>
      </c>
      <c r="D2061" s="1" t="s">
        <v>10000</v>
      </c>
      <c r="E2061" s="1" t="s">
        <v>10013</v>
      </c>
      <c r="F2061" s="1" t="s">
        <v>2411</v>
      </c>
      <c r="G2061" s="1" t="s">
        <v>2412</v>
      </c>
    </row>
    <row r="2062" spans="1:7">
      <c r="A2062" s="1">
        <v>2061</v>
      </c>
      <c r="B2062" s="1" t="s">
        <v>10014</v>
      </c>
      <c r="D2062" s="1" t="s">
        <v>10000</v>
      </c>
      <c r="E2062" s="1" t="s">
        <v>10015</v>
      </c>
      <c r="F2062" s="1" t="s">
        <v>2075</v>
      </c>
      <c r="G2062" s="1" t="s">
        <v>2076</v>
      </c>
    </row>
    <row r="2063" spans="1:7">
      <c r="A2063" s="1">
        <v>2062</v>
      </c>
      <c r="B2063" s="1" t="s">
        <v>10016</v>
      </c>
      <c r="D2063" s="1" t="s">
        <v>10000</v>
      </c>
      <c r="E2063" s="1" t="s">
        <v>10017</v>
      </c>
      <c r="F2063" s="1" t="s">
        <v>2079</v>
      </c>
      <c r="G2063" s="1" t="s">
        <v>2080</v>
      </c>
    </row>
    <row r="2064" spans="1:7">
      <c r="A2064" s="1">
        <v>2063</v>
      </c>
      <c r="B2064" s="1" t="s">
        <v>10018</v>
      </c>
      <c r="D2064" s="1" t="s">
        <v>10000</v>
      </c>
      <c r="E2064" s="1" t="s">
        <v>10019</v>
      </c>
      <c r="F2064" s="1" t="s">
        <v>2571</v>
      </c>
      <c r="G2064" s="1" t="s">
        <v>2572</v>
      </c>
    </row>
    <row r="2065" spans="1:7">
      <c r="A2065" s="1">
        <v>2064</v>
      </c>
      <c r="B2065" s="1" t="s">
        <v>10020</v>
      </c>
      <c r="D2065" s="1" t="s">
        <v>10000</v>
      </c>
      <c r="E2065" s="1" t="s">
        <v>10021</v>
      </c>
      <c r="F2065" s="1" t="s">
        <v>2541</v>
      </c>
      <c r="G2065" s="1" t="s">
        <v>2542</v>
      </c>
    </row>
    <row r="2066" spans="1:7">
      <c r="A2066" s="1">
        <v>2065</v>
      </c>
      <c r="B2066" s="1" t="s">
        <v>10022</v>
      </c>
      <c r="D2066" s="1" t="s">
        <v>10000</v>
      </c>
      <c r="E2066" s="1" t="s">
        <v>10023</v>
      </c>
      <c r="F2066" s="1" t="s">
        <v>2559</v>
      </c>
      <c r="G2066" s="1" t="s">
        <v>2560</v>
      </c>
    </row>
    <row r="2067" spans="1:7">
      <c r="A2067" s="1">
        <v>2066</v>
      </c>
      <c r="B2067" s="1" t="s">
        <v>10024</v>
      </c>
      <c r="D2067" s="1" t="s">
        <v>10000</v>
      </c>
      <c r="E2067" s="1" t="s">
        <v>10025</v>
      </c>
      <c r="F2067" s="1" t="s">
        <v>2575</v>
      </c>
      <c r="G2067" s="1" t="s">
        <v>2576</v>
      </c>
    </row>
    <row r="2068" spans="1:7">
      <c r="A2068" s="1">
        <v>2067</v>
      </c>
      <c r="B2068" s="1" t="s">
        <v>10026</v>
      </c>
      <c r="D2068" s="1" t="s">
        <v>10000</v>
      </c>
      <c r="E2068" s="1" t="s">
        <v>10027</v>
      </c>
      <c r="F2068" s="1" t="s">
        <v>2425</v>
      </c>
      <c r="G2068" s="1" t="s">
        <v>2426</v>
      </c>
    </row>
    <row r="2069" spans="1:7">
      <c r="A2069" s="1">
        <v>2068</v>
      </c>
      <c r="B2069" s="1" t="s">
        <v>10028</v>
      </c>
      <c r="D2069" s="1" t="s">
        <v>10000</v>
      </c>
      <c r="E2069" s="1" t="s">
        <v>10029</v>
      </c>
      <c r="F2069" s="1" t="s">
        <v>2429</v>
      </c>
      <c r="G2069" s="1" t="s">
        <v>2430</v>
      </c>
    </row>
    <row r="2070" spans="1:7">
      <c r="A2070" s="1">
        <v>2069</v>
      </c>
      <c r="B2070" s="1" t="s">
        <v>10030</v>
      </c>
      <c r="D2070" s="1" t="s">
        <v>10000</v>
      </c>
      <c r="E2070" s="1" t="s">
        <v>10031</v>
      </c>
      <c r="F2070" s="1" t="s">
        <v>2071</v>
      </c>
      <c r="G2070" s="1" t="s">
        <v>2072</v>
      </c>
    </row>
    <row r="2071" spans="1:7">
      <c r="A2071" s="1">
        <v>2070</v>
      </c>
      <c r="B2071" s="1" t="s">
        <v>10032</v>
      </c>
      <c r="D2071" s="1" t="s">
        <v>10000</v>
      </c>
      <c r="E2071" s="1" t="s">
        <v>10033</v>
      </c>
      <c r="F2071" s="1" t="s">
        <v>2417</v>
      </c>
      <c r="G2071" s="1" t="s">
        <v>2418</v>
      </c>
    </row>
    <row r="2072" spans="1:7">
      <c r="A2072" s="1">
        <v>2071</v>
      </c>
      <c r="B2072" s="1" t="s">
        <v>10034</v>
      </c>
      <c r="D2072" s="1" t="s">
        <v>10000</v>
      </c>
      <c r="E2072" s="1" t="s">
        <v>10035</v>
      </c>
      <c r="F2072" s="1" t="s">
        <v>2067</v>
      </c>
      <c r="G2072" s="1" t="s">
        <v>2068</v>
      </c>
    </row>
    <row r="2073" spans="1:7">
      <c r="A2073" s="1">
        <v>2072</v>
      </c>
      <c r="B2073" s="1" t="s">
        <v>10036</v>
      </c>
      <c r="D2073" s="1" t="s">
        <v>10000</v>
      </c>
      <c r="E2073" s="1" t="s">
        <v>10037</v>
      </c>
      <c r="F2073" s="1" t="s">
        <v>2421</v>
      </c>
      <c r="G2073" s="1" t="s">
        <v>2422</v>
      </c>
    </row>
    <row r="2074" spans="1:7">
      <c r="A2074" s="1">
        <v>2073</v>
      </c>
      <c r="B2074" s="1" t="s">
        <v>10038</v>
      </c>
      <c r="D2074" s="1" t="s">
        <v>10000</v>
      </c>
      <c r="E2074" s="1" t="s">
        <v>10039</v>
      </c>
      <c r="F2074" s="1" t="s">
        <v>2115</v>
      </c>
      <c r="G2074" s="1" t="s">
        <v>2116</v>
      </c>
    </row>
    <row r="2075" spans="1:7">
      <c r="A2075" s="1">
        <v>2074</v>
      </c>
      <c r="B2075" s="1" t="s">
        <v>10040</v>
      </c>
      <c r="D2075" s="1" t="s">
        <v>10000</v>
      </c>
      <c r="E2075" s="1" t="s">
        <v>10041</v>
      </c>
      <c r="F2075" s="1" t="s">
        <v>2639</v>
      </c>
      <c r="G2075" s="1" t="s">
        <v>2640</v>
      </c>
    </row>
    <row r="2076" spans="1:7">
      <c r="A2076" s="1">
        <v>2075</v>
      </c>
      <c r="B2076" s="1" t="s">
        <v>10042</v>
      </c>
      <c r="D2076" s="1" t="s">
        <v>10000</v>
      </c>
      <c r="E2076" s="1" t="s">
        <v>10043</v>
      </c>
      <c r="F2076" s="1" t="s">
        <v>2635</v>
      </c>
      <c r="G2076" s="1" t="s">
        <v>2636</v>
      </c>
    </row>
    <row r="2077" spans="1:7">
      <c r="A2077" s="1">
        <v>2076</v>
      </c>
      <c r="B2077" s="1" t="s">
        <v>10044</v>
      </c>
      <c r="D2077" s="1" t="s">
        <v>10000</v>
      </c>
      <c r="E2077" s="1" t="s">
        <v>10045</v>
      </c>
      <c r="F2077" s="1" t="s">
        <v>2521</v>
      </c>
      <c r="G2077" s="1" t="s">
        <v>2522</v>
      </c>
    </row>
    <row r="2078" spans="1:7">
      <c r="A2078" s="1">
        <v>2077</v>
      </c>
      <c r="B2078" s="1" t="s">
        <v>10046</v>
      </c>
      <c r="D2078" s="1" t="s">
        <v>10000</v>
      </c>
      <c r="E2078" s="1" t="s">
        <v>10047</v>
      </c>
      <c r="F2078" s="1" t="s">
        <v>2643</v>
      </c>
      <c r="G2078" s="1" t="s">
        <v>2644</v>
      </c>
    </row>
    <row r="2079" spans="1:7">
      <c r="A2079" s="1">
        <v>2078</v>
      </c>
      <c r="B2079" s="1" t="s">
        <v>10048</v>
      </c>
      <c r="D2079" s="1" t="s">
        <v>10000</v>
      </c>
      <c r="E2079" s="1" t="s">
        <v>10049</v>
      </c>
      <c r="F2079" s="1" t="s">
        <v>2657</v>
      </c>
      <c r="G2079" s="1" t="s">
        <v>2658</v>
      </c>
    </row>
    <row r="2080" spans="1:7">
      <c r="A2080" s="1">
        <v>2079</v>
      </c>
      <c r="B2080" s="1" t="s">
        <v>10050</v>
      </c>
      <c r="D2080" s="1" t="s">
        <v>10000</v>
      </c>
      <c r="E2080" s="1" t="s">
        <v>10051</v>
      </c>
      <c r="F2080" s="1" t="s">
        <v>2627</v>
      </c>
      <c r="G2080" s="1" t="s">
        <v>2628</v>
      </c>
    </row>
    <row r="2081" spans="1:7">
      <c r="A2081" s="1">
        <v>2080</v>
      </c>
      <c r="B2081" s="1" t="s">
        <v>10052</v>
      </c>
      <c r="D2081" s="1" t="s">
        <v>10000</v>
      </c>
      <c r="E2081" s="1" t="s">
        <v>10053</v>
      </c>
      <c r="F2081" s="1" t="s">
        <v>2503</v>
      </c>
      <c r="G2081" s="1" t="s">
        <v>2504</v>
      </c>
    </row>
    <row r="2082" spans="1:7">
      <c r="A2082" s="1">
        <v>2081</v>
      </c>
      <c r="B2082" s="1" t="s">
        <v>10054</v>
      </c>
      <c r="D2082" s="1" t="s">
        <v>10000</v>
      </c>
      <c r="E2082" s="1" t="s">
        <v>10055</v>
      </c>
      <c r="F2082" s="1" t="s">
        <v>2653</v>
      </c>
      <c r="G2082" s="1" t="s">
        <v>2654</v>
      </c>
    </row>
    <row r="2083" spans="1:7">
      <c r="A2083" s="1">
        <v>2082</v>
      </c>
      <c r="B2083" s="1" t="s">
        <v>10056</v>
      </c>
      <c r="D2083" s="1" t="s">
        <v>10000</v>
      </c>
      <c r="E2083" s="1" t="s">
        <v>10057</v>
      </c>
      <c r="F2083" s="1" t="s">
        <v>2649</v>
      </c>
      <c r="G2083" s="1" t="s">
        <v>2650</v>
      </c>
    </row>
    <row r="2084" spans="1:7">
      <c r="A2084" s="1">
        <v>2083</v>
      </c>
      <c r="B2084" s="1" t="s">
        <v>10058</v>
      </c>
      <c r="D2084" s="1" t="s">
        <v>10000</v>
      </c>
      <c r="E2084" s="1" t="s">
        <v>10059</v>
      </c>
      <c r="F2084" s="1" t="s">
        <v>2807</v>
      </c>
      <c r="G2084" s="1" t="s">
        <v>2808</v>
      </c>
    </row>
    <row r="2085" spans="1:7">
      <c r="A2085" s="1">
        <v>2084</v>
      </c>
      <c r="B2085" s="1" t="s">
        <v>10060</v>
      </c>
      <c r="D2085" s="1" t="s">
        <v>10000</v>
      </c>
      <c r="E2085" s="1" t="s">
        <v>10061</v>
      </c>
      <c r="F2085" s="1" t="s">
        <v>2631</v>
      </c>
      <c r="G2085" s="1" t="s">
        <v>2632</v>
      </c>
    </row>
    <row r="2086" spans="1:7">
      <c r="A2086" s="1">
        <v>2085</v>
      </c>
      <c r="B2086" s="1" t="s">
        <v>10062</v>
      </c>
      <c r="D2086" s="1" t="s">
        <v>10000</v>
      </c>
      <c r="E2086" s="1" t="s">
        <v>10063</v>
      </c>
      <c r="F2086" s="1" t="s">
        <v>9650</v>
      </c>
      <c r="G2086" s="1" t="s">
        <v>9651</v>
      </c>
    </row>
    <row r="2087" spans="1:7">
      <c r="A2087" s="1">
        <v>2086</v>
      </c>
      <c r="B2087" s="1" t="s">
        <v>10064</v>
      </c>
      <c r="D2087" s="1" t="s">
        <v>10000</v>
      </c>
      <c r="E2087" s="1" t="s">
        <v>10065</v>
      </c>
      <c r="F2087" s="1" t="s">
        <v>9653</v>
      </c>
      <c r="G2087" s="1" t="s">
        <v>9654</v>
      </c>
    </row>
    <row r="2088" spans="1:7">
      <c r="A2088" s="1">
        <v>2087</v>
      </c>
      <c r="B2088" s="1" t="s">
        <v>10066</v>
      </c>
      <c r="D2088" s="1" t="s">
        <v>10000</v>
      </c>
      <c r="E2088" s="1" t="s">
        <v>10067</v>
      </c>
      <c r="F2088" s="1" t="s">
        <v>9656</v>
      </c>
      <c r="G2088" s="1" t="s">
        <v>9657</v>
      </c>
    </row>
    <row r="2089" spans="1:7">
      <c r="A2089" s="1">
        <v>2088</v>
      </c>
      <c r="B2089" s="1" t="s">
        <v>10068</v>
      </c>
      <c r="D2089" s="1" t="s">
        <v>10000</v>
      </c>
      <c r="E2089" s="1" t="s">
        <v>10069</v>
      </c>
      <c r="F2089" s="1" t="s">
        <v>9659</v>
      </c>
      <c r="G2089" s="1" t="s">
        <v>9660</v>
      </c>
    </row>
    <row r="2090" spans="1:7">
      <c r="A2090" s="1">
        <v>2089</v>
      </c>
      <c r="B2090" s="1" t="s">
        <v>10070</v>
      </c>
      <c r="D2090" s="1" t="s">
        <v>10000</v>
      </c>
      <c r="E2090" s="1" t="s">
        <v>10071</v>
      </c>
      <c r="F2090" s="1" t="s">
        <v>9662</v>
      </c>
      <c r="G2090" s="1" t="s">
        <v>9663</v>
      </c>
    </row>
    <row r="2091" spans="1:7">
      <c r="A2091" s="1">
        <v>2090</v>
      </c>
      <c r="B2091" s="1" t="s">
        <v>10072</v>
      </c>
      <c r="D2091" s="1" t="s">
        <v>10000</v>
      </c>
      <c r="E2091" s="1" t="s">
        <v>10073</v>
      </c>
      <c r="F2091" s="1" t="s">
        <v>9665</v>
      </c>
      <c r="G2091" s="1" t="s">
        <v>9666</v>
      </c>
    </row>
    <row r="2092" spans="1:7">
      <c r="A2092" s="1">
        <v>2091</v>
      </c>
      <c r="B2092" s="1" t="s">
        <v>10074</v>
      </c>
      <c r="D2092" s="1" t="s">
        <v>10075</v>
      </c>
      <c r="E2092" s="1" t="s">
        <v>1836</v>
      </c>
      <c r="F2092" s="1" t="s">
        <v>2549</v>
      </c>
      <c r="G2092" s="1" t="s">
        <v>2550</v>
      </c>
    </row>
    <row r="2093" spans="1:7">
      <c r="A2093" s="1">
        <v>2092</v>
      </c>
      <c r="B2093" s="1" t="s">
        <v>10076</v>
      </c>
      <c r="D2093" s="1" t="s">
        <v>10075</v>
      </c>
      <c r="E2093" s="1" t="s">
        <v>1865</v>
      </c>
      <c r="F2093" s="1" t="s">
        <v>2111</v>
      </c>
      <c r="G2093" s="1" t="s">
        <v>2112</v>
      </c>
    </row>
    <row r="2094" spans="1:7">
      <c r="A2094" s="1">
        <v>2093</v>
      </c>
      <c r="B2094" s="1" t="s">
        <v>10077</v>
      </c>
      <c r="D2094" s="1" t="s">
        <v>10075</v>
      </c>
      <c r="E2094" s="1" t="s">
        <v>1679</v>
      </c>
      <c r="F2094" s="1" t="s">
        <v>2099</v>
      </c>
      <c r="G2094" s="1" t="s">
        <v>2100</v>
      </c>
    </row>
    <row r="2095" spans="1:7">
      <c r="A2095" s="1">
        <v>2094</v>
      </c>
      <c r="B2095" s="1" t="s">
        <v>10078</v>
      </c>
      <c r="D2095" s="1" t="s">
        <v>10075</v>
      </c>
      <c r="E2095" s="1" t="s">
        <v>1877</v>
      </c>
      <c r="F2095" s="1" t="s">
        <v>2411</v>
      </c>
      <c r="G2095" s="1" t="s">
        <v>2412</v>
      </c>
    </row>
    <row r="2096" spans="1:7">
      <c r="A2096" s="1">
        <v>2095</v>
      </c>
      <c r="B2096" s="1" t="s">
        <v>10079</v>
      </c>
      <c r="D2096" s="1" t="s">
        <v>10075</v>
      </c>
      <c r="E2096" s="1" t="s">
        <v>1888</v>
      </c>
      <c r="F2096" s="1" t="s">
        <v>2838</v>
      </c>
      <c r="G2096" s="1" t="s">
        <v>2839</v>
      </c>
    </row>
    <row r="2097" spans="1:7">
      <c r="A2097" s="1">
        <v>2096</v>
      </c>
      <c r="B2097" s="1" t="s">
        <v>10080</v>
      </c>
      <c r="D2097" s="1" t="s">
        <v>10075</v>
      </c>
      <c r="E2097" s="1" t="s">
        <v>10081</v>
      </c>
      <c r="F2097" s="1" t="s">
        <v>2075</v>
      </c>
      <c r="G2097" s="1" t="s">
        <v>2076</v>
      </c>
    </row>
    <row r="2098" spans="1:7">
      <c r="A2098" s="1">
        <v>2097</v>
      </c>
      <c r="B2098" s="1" t="s">
        <v>10082</v>
      </c>
      <c r="D2098" s="1" t="s">
        <v>10075</v>
      </c>
      <c r="E2098" s="1" t="s">
        <v>10083</v>
      </c>
      <c r="F2098" s="1" t="s">
        <v>2079</v>
      </c>
      <c r="G2098" s="1" t="s">
        <v>2080</v>
      </c>
    </row>
    <row r="2099" spans="1:7">
      <c r="A2099" s="1">
        <v>2098</v>
      </c>
      <c r="B2099" s="1" t="s">
        <v>10084</v>
      </c>
      <c r="D2099" s="1" t="s">
        <v>10075</v>
      </c>
      <c r="E2099" s="1" t="s">
        <v>10085</v>
      </c>
      <c r="F2099" s="1" t="s">
        <v>2559</v>
      </c>
      <c r="G2099" s="1" t="s">
        <v>2560</v>
      </c>
    </row>
    <row r="2100" spans="1:7">
      <c r="A2100" s="1">
        <v>2099</v>
      </c>
      <c r="B2100" s="1" t="s">
        <v>10086</v>
      </c>
      <c r="D2100" s="1" t="s">
        <v>10075</v>
      </c>
      <c r="E2100" s="1" t="s">
        <v>10087</v>
      </c>
      <c r="F2100" s="1" t="s">
        <v>2844</v>
      </c>
      <c r="G2100" s="1" t="s">
        <v>2845</v>
      </c>
    </row>
    <row r="2101" spans="1:7">
      <c r="A2101" s="1">
        <v>2100</v>
      </c>
      <c r="B2101" s="1" t="s">
        <v>10088</v>
      </c>
      <c r="D2101" s="1" t="s">
        <v>10075</v>
      </c>
      <c r="E2101" s="1" t="s">
        <v>10089</v>
      </c>
      <c r="F2101" s="1" t="s">
        <v>2425</v>
      </c>
      <c r="G2101" s="1" t="s">
        <v>2426</v>
      </c>
    </row>
    <row r="2102" spans="1:7">
      <c r="A2102" s="1">
        <v>2101</v>
      </c>
      <c r="B2102" s="1" t="s">
        <v>10090</v>
      </c>
      <c r="D2102" s="1" t="s">
        <v>10075</v>
      </c>
      <c r="E2102" s="1" t="s">
        <v>10091</v>
      </c>
      <c r="F2102" s="1" t="s">
        <v>2429</v>
      </c>
      <c r="G2102" s="1" t="s">
        <v>2430</v>
      </c>
    </row>
    <row r="2103" spans="1:7">
      <c r="A2103" s="1">
        <v>2102</v>
      </c>
      <c r="B2103" s="1" t="s">
        <v>10092</v>
      </c>
      <c r="D2103" s="1" t="s">
        <v>10075</v>
      </c>
      <c r="E2103" s="1" t="s">
        <v>10093</v>
      </c>
      <c r="F2103" s="1" t="s">
        <v>2071</v>
      </c>
      <c r="G2103" s="1" t="s">
        <v>2072</v>
      </c>
    </row>
    <row r="2104" spans="1:7">
      <c r="A2104" s="1">
        <v>2103</v>
      </c>
      <c r="B2104" s="1" t="s">
        <v>10094</v>
      </c>
      <c r="D2104" s="1" t="s">
        <v>10075</v>
      </c>
      <c r="E2104" s="1" t="s">
        <v>10095</v>
      </c>
      <c r="F2104" s="1" t="s">
        <v>2417</v>
      </c>
      <c r="G2104" s="1" t="s">
        <v>2418</v>
      </c>
    </row>
    <row r="2105" spans="1:7">
      <c r="A2105" s="1">
        <v>2104</v>
      </c>
      <c r="B2105" s="1" t="s">
        <v>10096</v>
      </c>
      <c r="D2105" s="1" t="s">
        <v>10075</v>
      </c>
      <c r="E2105" s="1" t="s">
        <v>10097</v>
      </c>
      <c r="F2105" s="1" t="s">
        <v>2067</v>
      </c>
      <c r="G2105" s="1" t="s">
        <v>2068</v>
      </c>
    </row>
    <row r="2106" spans="1:7">
      <c r="A2106" s="1">
        <v>2105</v>
      </c>
      <c r="B2106" s="1" t="s">
        <v>10098</v>
      </c>
      <c r="D2106" s="1" t="s">
        <v>10075</v>
      </c>
      <c r="E2106" s="1" t="s">
        <v>10099</v>
      </c>
      <c r="F2106" s="1" t="s">
        <v>2421</v>
      </c>
      <c r="G2106" s="1" t="s">
        <v>2422</v>
      </c>
    </row>
    <row r="2107" spans="1:7">
      <c r="A2107" s="1">
        <v>2106</v>
      </c>
      <c r="B2107" s="1" t="s">
        <v>10100</v>
      </c>
      <c r="D2107" s="1" t="s">
        <v>10075</v>
      </c>
      <c r="E2107" s="1" t="s">
        <v>10101</v>
      </c>
      <c r="F2107" s="1" t="s">
        <v>2828</v>
      </c>
      <c r="G2107" s="1" t="s">
        <v>2829</v>
      </c>
    </row>
    <row r="2108" spans="1:7">
      <c r="A2108" s="1">
        <v>2107</v>
      </c>
      <c r="B2108" s="1" t="s">
        <v>10102</v>
      </c>
      <c r="D2108" s="1" t="s">
        <v>10075</v>
      </c>
      <c r="E2108" s="1" t="s">
        <v>10103</v>
      </c>
      <c r="F2108" s="1" t="s">
        <v>2115</v>
      </c>
      <c r="G2108" s="1" t="s">
        <v>2116</v>
      </c>
    </row>
    <row r="2109" spans="1:7">
      <c r="A2109" s="1">
        <v>2108</v>
      </c>
      <c r="B2109" s="1" t="s">
        <v>10104</v>
      </c>
      <c r="D2109" s="1" t="s">
        <v>10075</v>
      </c>
      <c r="E2109" s="1" t="s">
        <v>2046</v>
      </c>
      <c r="F2109" s="1" t="s">
        <v>2521</v>
      </c>
      <c r="G2109" s="1" t="s">
        <v>2522</v>
      </c>
    </row>
    <row r="2110" spans="1:7">
      <c r="A2110" s="1">
        <v>2109</v>
      </c>
      <c r="B2110" s="1" t="s">
        <v>10105</v>
      </c>
      <c r="D2110" s="1" t="s">
        <v>10075</v>
      </c>
      <c r="E2110" s="1" t="s">
        <v>2883</v>
      </c>
      <c r="F2110" s="1" t="s">
        <v>2643</v>
      </c>
      <c r="G2110" s="1" t="s">
        <v>2644</v>
      </c>
    </row>
    <row r="2111" spans="1:7">
      <c r="A2111" s="1">
        <v>2110</v>
      </c>
      <c r="B2111" s="1" t="s">
        <v>10106</v>
      </c>
      <c r="D2111" s="1" t="s">
        <v>10075</v>
      </c>
      <c r="E2111" s="1" t="s">
        <v>2913</v>
      </c>
      <c r="F2111" s="1" t="s">
        <v>2847</v>
      </c>
      <c r="G2111" s="1" t="s">
        <v>2848</v>
      </c>
    </row>
    <row r="2112" spans="1:7">
      <c r="A2112" s="1">
        <v>2111</v>
      </c>
      <c r="B2112" s="1" t="s">
        <v>10107</v>
      </c>
      <c r="D2112" s="1" t="s">
        <v>10075</v>
      </c>
      <c r="E2112" s="1" t="s">
        <v>10108</v>
      </c>
      <c r="F2112" s="1" t="s">
        <v>2512</v>
      </c>
      <c r="G2112" s="1" t="s">
        <v>2513</v>
      </c>
    </row>
    <row r="2113" spans="1:7">
      <c r="A2113" s="1">
        <v>2112</v>
      </c>
      <c r="B2113" s="1" t="s">
        <v>10109</v>
      </c>
      <c r="D2113" s="1" t="s">
        <v>10075</v>
      </c>
      <c r="E2113" s="1" t="s">
        <v>2934</v>
      </c>
      <c r="F2113" s="1" t="s">
        <v>2851</v>
      </c>
      <c r="G2113" s="1" t="s">
        <v>2852</v>
      </c>
    </row>
    <row r="2114" spans="1:7">
      <c r="A2114" s="1">
        <v>2113</v>
      </c>
      <c r="B2114" s="1" t="s">
        <v>10110</v>
      </c>
      <c r="D2114" s="1" t="s">
        <v>10075</v>
      </c>
      <c r="E2114" s="1" t="s">
        <v>10111</v>
      </c>
      <c r="F2114" s="1" t="s">
        <v>2503</v>
      </c>
      <c r="G2114" s="1" t="s">
        <v>2504</v>
      </c>
    </row>
    <row r="2115" spans="1:7">
      <c r="A2115" s="1">
        <v>2114</v>
      </c>
      <c r="B2115" s="1" t="s">
        <v>10112</v>
      </c>
      <c r="D2115" s="1" t="s">
        <v>10075</v>
      </c>
      <c r="E2115" s="1" t="s">
        <v>10113</v>
      </c>
      <c r="F2115" s="1" t="s">
        <v>2500</v>
      </c>
      <c r="G2115" s="1" t="s">
        <v>2501</v>
      </c>
    </row>
    <row r="2116" spans="1:7">
      <c r="A2116" s="1">
        <v>2115</v>
      </c>
      <c r="B2116" s="1" t="s">
        <v>10114</v>
      </c>
      <c r="D2116" s="1" t="s">
        <v>10075</v>
      </c>
      <c r="E2116" s="1" t="s">
        <v>1762</v>
      </c>
      <c r="F2116" s="1" t="s">
        <v>2653</v>
      </c>
      <c r="G2116" s="1" t="s">
        <v>2654</v>
      </c>
    </row>
    <row r="2117" spans="1:7">
      <c r="A2117" s="1">
        <v>2116</v>
      </c>
      <c r="B2117" s="1" t="s">
        <v>10115</v>
      </c>
      <c r="D2117" s="1" t="s">
        <v>10075</v>
      </c>
      <c r="E2117" s="1" t="s">
        <v>10116</v>
      </c>
      <c r="F2117" s="1" t="s">
        <v>2649</v>
      </c>
      <c r="G2117" s="1" t="s">
        <v>2650</v>
      </c>
    </row>
    <row r="2118" spans="1:7">
      <c r="A2118" s="1">
        <v>2117</v>
      </c>
      <c r="B2118" s="1" t="s">
        <v>10117</v>
      </c>
      <c r="D2118" s="1" t="s">
        <v>10075</v>
      </c>
      <c r="E2118" s="1" t="s">
        <v>10118</v>
      </c>
      <c r="F2118" s="1" t="s">
        <v>2631</v>
      </c>
      <c r="G2118" s="1" t="s">
        <v>2632</v>
      </c>
    </row>
    <row r="2119" spans="1:7">
      <c r="A2119" s="1">
        <v>2118</v>
      </c>
      <c r="B2119" s="1" t="s">
        <v>10119</v>
      </c>
      <c r="D2119" s="1" t="s">
        <v>10075</v>
      </c>
      <c r="E2119" s="1" t="s">
        <v>3304</v>
      </c>
      <c r="F2119" s="1" t="s">
        <v>2862</v>
      </c>
      <c r="G2119" s="1" t="s">
        <v>2863</v>
      </c>
    </row>
    <row r="2120" spans="1:7">
      <c r="A2120" s="1">
        <v>2119</v>
      </c>
      <c r="B2120" s="1" t="s">
        <v>10120</v>
      </c>
      <c r="D2120" s="1" t="s">
        <v>10075</v>
      </c>
      <c r="E2120" s="1" t="s">
        <v>10121</v>
      </c>
      <c r="F2120" s="1" t="s">
        <v>2856</v>
      </c>
      <c r="G2120" s="1" t="s">
        <v>2857</v>
      </c>
    </row>
    <row r="2121" spans="1:7">
      <c r="A2121" s="1">
        <v>2120</v>
      </c>
      <c r="B2121" s="1" t="s">
        <v>10122</v>
      </c>
      <c r="D2121" s="1" t="s">
        <v>10075</v>
      </c>
      <c r="E2121" s="1" t="s">
        <v>10123</v>
      </c>
      <c r="F2121" s="1" t="s">
        <v>9650</v>
      </c>
      <c r="G2121" s="1" t="s">
        <v>9651</v>
      </c>
    </row>
    <row r="2122" spans="1:7">
      <c r="A2122" s="1">
        <v>2121</v>
      </c>
      <c r="B2122" s="1" t="s">
        <v>10124</v>
      </c>
      <c r="D2122" s="1" t="s">
        <v>10075</v>
      </c>
      <c r="E2122" s="1" t="s">
        <v>10125</v>
      </c>
      <c r="F2122" s="1" t="s">
        <v>9653</v>
      </c>
      <c r="G2122" s="1" t="s">
        <v>9654</v>
      </c>
    </row>
    <row r="2123" spans="1:7">
      <c r="A2123" s="1">
        <v>2122</v>
      </c>
      <c r="B2123" s="1" t="s">
        <v>10126</v>
      </c>
      <c r="D2123" s="1" t="s">
        <v>10075</v>
      </c>
      <c r="E2123" s="1" t="s">
        <v>10127</v>
      </c>
      <c r="F2123" s="1" t="s">
        <v>9656</v>
      </c>
      <c r="G2123" s="1" t="s">
        <v>9657</v>
      </c>
    </row>
    <row r="2124" spans="1:7">
      <c r="A2124" s="1">
        <v>2123</v>
      </c>
      <c r="B2124" s="1" t="s">
        <v>10128</v>
      </c>
      <c r="D2124" s="1" t="s">
        <v>10075</v>
      </c>
      <c r="E2124" s="1" t="s">
        <v>10129</v>
      </c>
      <c r="F2124" s="1" t="s">
        <v>9659</v>
      </c>
      <c r="G2124" s="1" t="s">
        <v>9660</v>
      </c>
    </row>
    <row r="2125" spans="1:7">
      <c r="A2125" s="1">
        <v>2124</v>
      </c>
      <c r="B2125" s="1" t="s">
        <v>10130</v>
      </c>
      <c r="D2125" s="1" t="s">
        <v>10075</v>
      </c>
      <c r="E2125" s="1" t="s">
        <v>10131</v>
      </c>
      <c r="F2125" s="1" t="s">
        <v>9662</v>
      </c>
      <c r="G2125" s="1" t="s">
        <v>9663</v>
      </c>
    </row>
    <row r="2126" spans="1:7">
      <c r="A2126" s="1">
        <v>2125</v>
      </c>
      <c r="B2126" s="1" t="s">
        <v>10132</v>
      </c>
      <c r="D2126" s="1" t="s">
        <v>10075</v>
      </c>
      <c r="E2126" s="1" t="s">
        <v>10133</v>
      </c>
      <c r="F2126" s="1" t="s">
        <v>9665</v>
      </c>
      <c r="G2126" s="1" t="s">
        <v>9666</v>
      </c>
    </row>
    <row r="2127" spans="1:7">
      <c r="A2127" s="1">
        <v>2126</v>
      </c>
      <c r="B2127" s="1" t="s">
        <v>10134</v>
      </c>
      <c r="D2127" s="1" t="s">
        <v>10135</v>
      </c>
      <c r="E2127" s="1" t="s">
        <v>1434</v>
      </c>
      <c r="F2127" s="1" t="s">
        <v>10136</v>
      </c>
      <c r="G2127" s="1" t="s">
        <v>10137</v>
      </c>
    </row>
    <row r="2128" spans="1:7">
      <c r="A2128" s="1">
        <v>2127</v>
      </c>
      <c r="B2128" s="1" t="s">
        <v>10138</v>
      </c>
      <c r="D2128" s="1" t="s">
        <v>10135</v>
      </c>
      <c r="E2128" s="1" t="s">
        <v>10139</v>
      </c>
      <c r="F2128" s="1" t="s">
        <v>10140</v>
      </c>
      <c r="G2128" s="1" t="s">
        <v>10141</v>
      </c>
    </row>
    <row r="2129" spans="1:7">
      <c r="A2129" s="1">
        <v>2128</v>
      </c>
      <c r="B2129" s="1" t="s">
        <v>10142</v>
      </c>
      <c r="D2129" s="1" t="s">
        <v>10135</v>
      </c>
      <c r="E2129" s="1" t="s">
        <v>1435</v>
      </c>
      <c r="F2129" s="1" t="s">
        <v>10143</v>
      </c>
      <c r="G2129" s="1" t="s">
        <v>10144</v>
      </c>
    </row>
    <row r="2130" spans="1:7">
      <c r="A2130" s="1">
        <v>2129</v>
      </c>
      <c r="B2130" s="1" t="s">
        <v>10145</v>
      </c>
      <c r="D2130" s="1" t="s">
        <v>10135</v>
      </c>
      <c r="E2130" s="1" t="s">
        <v>1441</v>
      </c>
      <c r="F2130" s="1" t="s">
        <v>10146</v>
      </c>
      <c r="G2130" s="1" t="s">
        <v>10147</v>
      </c>
    </row>
    <row r="2131" spans="1:7">
      <c r="A2131" s="1">
        <v>2130</v>
      </c>
      <c r="B2131" s="1" t="s">
        <v>10148</v>
      </c>
      <c r="D2131" s="1" t="s">
        <v>10135</v>
      </c>
      <c r="E2131" s="1" t="s">
        <v>1438</v>
      </c>
      <c r="F2131" s="1" t="s">
        <v>10149</v>
      </c>
      <c r="G2131" s="1" t="s">
        <v>10150</v>
      </c>
    </row>
    <row r="2132" spans="1:7">
      <c r="A2132" s="1">
        <v>2131</v>
      </c>
      <c r="B2132" s="1" t="s">
        <v>10151</v>
      </c>
      <c r="D2132" s="1" t="s">
        <v>10135</v>
      </c>
      <c r="E2132" s="1" t="s">
        <v>1444</v>
      </c>
      <c r="F2132" s="1" t="s">
        <v>10152</v>
      </c>
      <c r="G2132" s="1" t="s">
        <v>10153</v>
      </c>
    </row>
    <row r="2133" spans="1:7">
      <c r="A2133" s="1">
        <v>2132</v>
      </c>
      <c r="B2133" s="1" t="s">
        <v>10154</v>
      </c>
      <c r="D2133" s="1" t="s">
        <v>10135</v>
      </c>
      <c r="E2133" s="1" t="s">
        <v>1436</v>
      </c>
      <c r="F2133" s="1" t="s">
        <v>10155</v>
      </c>
      <c r="G2133" s="1" t="s">
        <v>10156</v>
      </c>
    </row>
    <row r="2134" spans="1:7">
      <c r="A2134" s="1">
        <v>2133</v>
      </c>
      <c r="B2134" s="1" t="s">
        <v>10157</v>
      </c>
      <c r="D2134" s="1" t="s">
        <v>10135</v>
      </c>
      <c r="E2134" s="1" t="s">
        <v>1432</v>
      </c>
      <c r="F2134" s="1" t="s">
        <v>1425</v>
      </c>
      <c r="G2134" s="1" t="s">
        <v>1426</v>
      </c>
    </row>
    <row r="2135" spans="1:7">
      <c r="A2135" s="1">
        <v>2134</v>
      </c>
      <c r="B2135" s="1" t="s">
        <v>10158</v>
      </c>
      <c r="D2135" s="1" t="s">
        <v>10135</v>
      </c>
      <c r="E2135" s="1" t="s">
        <v>1437</v>
      </c>
      <c r="F2135" s="1" t="s">
        <v>10159</v>
      </c>
      <c r="G2135" s="1" t="s">
        <v>10160</v>
      </c>
    </row>
    <row r="2136" spans="1:7">
      <c r="A2136" s="1">
        <v>2135</v>
      </c>
      <c r="B2136" s="1" t="s">
        <v>10161</v>
      </c>
      <c r="D2136" s="1" t="s">
        <v>10135</v>
      </c>
      <c r="E2136" s="1" t="s">
        <v>1447</v>
      </c>
      <c r="F2136" s="1" t="s">
        <v>10162</v>
      </c>
      <c r="G2136" s="1" t="s">
        <v>10163</v>
      </c>
    </row>
    <row r="2137" spans="1:7">
      <c r="A2137" s="1">
        <v>2136</v>
      </c>
      <c r="B2137" s="1" t="s">
        <v>10164</v>
      </c>
      <c r="D2137" s="1" t="s">
        <v>10135</v>
      </c>
      <c r="E2137" s="1" t="s">
        <v>1433</v>
      </c>
      <c r="F2137" s="1" t="s">
        <v>10165</v>
      </c>
      <c r="G2137" s="1" t="s">
        <v>10166</v>
      </c>
    </row>
    <row r="2138" spans="1:7">
      <c r="A2138" s="1">
        <v>2137</v>
      </c>
      <c r="B2138" s="1" t="s">
        <v>10167</v>
      </c>
      <c r="D2138" s="1" t="s">
        <v>10168</v>
      </c>
      <c r="E2138" s="1" t="s">
        <v>1455</v>
      </c>
      <c r="F2138" s="1" t="s">
        <v>10136</v>
      </c>
      <c r="G2138" s="1" t="s">
        <v>10137</v>
      </c>
    </row>
    <row r="2139" spans="1:7">
      <c r="A2139" s="1">
        <v>2138</v>
      </c>
      <c r="B2139" s="1" t="s">
        <v>10169</v>
      </c>
      <c r="D2139" s="1" t="s">
        <v>10168</v>
      </c>
      <c r="E2139" s="1" t="s">
        <v>3694</v>
      </c>
      <c r="F2139" s="1" t="s">
        <v>10140</v>
      </c>
      <c r="G2139" s="1" t="s">
        <v>10141</v>
      </c>
    </row>
    <row r="2140" spans="1:7">
      <c r="A2140" s="1">
        <v>2139</v>
      </c>
      <c r="B2140" s="1" t="s">
        <v>10170</v>
      </c>
      <c r="D2140" s="1" t="s">
        <v>10168</v>
      </c>
      <c r="E2140" s="1" t="s">
        <v>1456</v>
      </c>
      <c r="F2140" s="1" t="s">
        <v>10143</v>
      </c>
      <c r="G2140" s="1" t="s">
        <v>10144</v>
      </c>
    </row>
    <row r="2141" spans="1:7">
      <c r="A2141" s="1">
        <v>2140</v>
      </c>
      <c r="B2141" s="1" t="s">
        <v>10171</v>
      </c>
      <c r="D2141" s="1" t="s">
        <v>10168</v>
      </c>
      <c r="E2141" s="1" t="s">
        <v>1462</v>
      </c>
      <c r="F2141" s="1" t="s">
        <v>10146</v>
      </c>
      <c r="G2141" s="1" t="s">
        <v>10147</v>
      </c>
    </row>
    <row r="2142" spans="1:7">
      <c r="A2142" s="1">
        <v>2141</v>
      </c>
      <c r="B2142" s="1" t="s">
        <v>10172</v>
      </c>
      <c r="D2142" s="1" t="s">
        <v>10168</v>
      </c>
      <c r="E2142" s="1" t="s">
        <v>1461</v>
      </c>
      <c r="F2142" s="1" t="s">
        <v>10149</v>
      </c>
      <c r="G2142" s="1" t="s">
        <v>10150</v>
      </c>
    </row>
    <row r="2143" spans="1:7">
      <c r="A2143" s="1">
        <v>2142</v>
      </c>
      <c r="B2143" s="1" t="s">
        <v>10173</v>
      </c>
      <c r="D2143" s="1" t="s">
        <v>10168</v>
      </c>
      <c r="E2143" s="1" t="s">
        <v>1463</v>
      </c>
      <c r="F2143" s="1" t="s">
        <v>10152</v>
      </c>
      <c r="G2143" s="1" t="s">
        <v>10153</v>
      </c>
    </row>
    <row r="2144" spans="1:7">
      <c r="A2144" s="1">
        <v>2143</v>
      </c>
      <c r="B2144" s="1" t="s">
        <v>10174</v>
      </c>
      <c r="D2144" s="1" t="s">
        <v>10168</v>
      </c>
      <c r="E2144" s="1" t="s">
        <v>1458</v>
      </c>
      <c r="F2144" s="1" t="s">
        <v>10155</v>
      </c>
      <c r="G2144" s="1" t="s">
        <v>10156</v>
      </c>
    </row>
    <row r="2145" spans="1:7">
      <c r="A2145" s="1">
        <v>2144</v>
      </c>
      <c r="B2145" s="1" t="s">
        <v>10175</v>
      </c>
      <c r="D2145" s="1" t="s">
        <v>10168</v>
      </c>
      <c r="E2145" s="1" t="s">
        <v>1457</v>
      </c>
      <c r="F2145" s="1" t="s">
        <v>1425</v>
      </c>
      <c r="G2145" s="1" t="s">
        <v>1426</v>
      </c>
    </row>
    <row r="2146" spans="1:7">
      <c r="A2146" s="1">
        <v>2145</v>
      </c>
      <c r="B2146" s="1" t="s">
        <v>10176</v>
      </c>
      <c r="D2146" s="1" t="s">
        <v>10168</v>
      </c>
      <c r="E2146" s="1" t="s">
        <v>1459</v>
      </c>
      <c r="F2146" s="1" t="s">
        <v>10159</v>
      </c>
      <c r="G2146" s="1" t="s">
        <v>10160</v>
      </c>
    </row>
    <row r="2147" spans="1:7">
      <c r="A2147" s="1">
        <v>2146</v>
      </c>
      <c r="B2147" s="1" t="s">
        <v>10177</v>
      </c>
      <c r="D2147" s="1" t="s">
        <v>10168</v>
      </c>
      <c r="E2147" s="1" t="s">
        <v>1464</v>
      </c>
      <c r="F2147" s="1" t="s">
        <v>10162</v>
      </c>
      <c r="G2147" s="1" t="s">
        <v>10163</v>
      </c>
    </row>
    <row r="2148" spans="1:7">
      <c r="A2148" s="1">
        <v>2147</v>
      </c>
      <c r="B2148" s="1" t="s">
        <v>10178</v>
      </c>
      <c r="D2148" s="1" t="s">
        <v>10168</v>
      </c>
      <c r="E2148" s="1" t="s">
        <v>1460</v>
      </c>
      <c r="F2148" s="1" t="s">
        <v>10165</v>
      </c>
      <c r="G2148" s="1" t="s">
        <v>10166</v>
      </c>
    </row>
    <row r="2149" spans="1:7">
      <c r="A2149" s="1">
        <v>2148</v>
      </c>
      <c r="B2149" s="1" t="s">
        <v>10179</v>
      </c>
      <c r="D2149" s="1" t="s">
        <v>10180</v>
      </c>
      <c r="E2149" s="1" t="s">
        <v>1468</v>
      </c>
      <c r="F2149" s="1" t="s">
        <v>10136</v>
      </c>
      <c r="G2149" s="1" t="s">
        <v>10137</v>
      </c>
    </row>
    <row r="2150" spans="1:7">
      <c r="A2150" s="1">
        <v>2149</v>
      </c>
      <c r="B2150" s="1" t="s">
        <v>10181</v>
      </c>
      <c r="D2150" s="1" t="s">
        <v>10180</v>
      </c>
      <c r="E2150" s="1" t="s">
        <v>3695</v>
      </c>
      <c r="F2150" s="1" t="s">
        <v>10140</v>
      </c>
      <c r="G2150" s="1" t="s">
        <v>10141</v>
      </c>
    </row>
    <row r="2151" spans="1:7">
      <c r="A2151" s="1">
        <v>2150</v>
      </c>
      <c r="B2151" s="1" t="s">
        <v>10182</v>
      </c>
      <c r="D2151" s="1" t="s">
        <v>10180</v>
      </c>
      <c r="E2151" s="1" t="s">
        <v>1469</v>
      </c>
      <c r="F2151" s="1" t="s">
        <v>10143</v>
      </c>
      <c r="G2151" s="1" t="s">
        <v>10144</v>
      </c>
    </row>
    <row r="2152" spans="1:7">
      <c r="A2152" s="1">
        <v>2151</v>
      </c>
      <c r="B2152" s="1" t="s">
        <v>10183</v>
      </c>
      <c r="D2152" s="1" t="s">
        <v>10180</v>
      </c>
      <c r="E2152" s="1" t="s">
        <v>1475</v>
      </c>
      <c r="F2152" s="1" t="s">
        <v>10146</v>
      </c>
      <c r="G2152" s="1" t="s">
        <v>10147</v>
      </c>
    </row>
    <row r="2153" spans="1:7">
      <c r="A2153" s="1">
        <v>2152</v>
      </c>
      <c r="B2153" s="1" t="s">
        <v>10184</v>
      </c>
      <c r="D2153" s="1" t="s">
        <v>10180</v>
      </c>
      <c r="E2153" s="1" t="s">
        <v>1474</v>
      </c>
      <c r="F2153" s="1" t="s">
        <v>10149</v>
      </c>
      <c r="G2153" s="1" t="s">
        <v>10150</v>
      </c>
    </row>
    <row r="2154" spans="1:7">
      <c r="A2154" s="1">
        <v>2153</v>
      </c>
      <c r="B2154" s="1" t="s">
        <v>10185</v>
      </c>
      <c r="D2154" s="1" t="s">
        <v>10180</v>
      </c>
      <c r="E2154" s="1" t="s">
        <v>1476</v>
      </c>
      <c r="F2154" s="1" t="s">
        <v>10152</v>
      </c>
      <c r="G2154" s="1" t="s">
        <v>10153</v>
      </c>
    </row>
    <row r="2155" spans="1:7">
      <c r="A2155" s="1">
        <v>2154</v>
      </c>
      <c r="B2155" s="1" t="s">
        <v>10186</v>
      </c>
      <c r="D2155" s="1" t="s">
        <v>10180</v>
      </c>
      <c r="E2155" s="1" t="s">
        <v>1471</v>
      </c>
      <c r="F2155" s="1" t="s">
        <v>10155</v>
      </c>
      <c r="G2155" s="1" t="s">
        <v>10156</v>
      </c>
    </row>
    <row r="2156" spans="1:7">
      <c r="A2156" s="1">
        <v>2155</v>
      </c>
      <c r="B2156" s="1" t="s">
        <v>10187</v>
      </c>
      <c r="D2156" s="1" t="s">
        <v>10180</v>
      </c>
      <c r="E2156" s="1" t="s">
        <v>1470</v>
      </c>
      <c r="F2156" s="1" t="s">
        <v>1425</v>
      </c>
      <c r="G2156" s="1" t="s">
        <v>1426</v>
      </c>
    </row>
    <row r="2157" spans="1:7">
      <c r="A2157" s="1">
        <v>2156</v>
      </c>
      <c r="B2157" s="1" t="s">
        <v>10188</v>
      </c>
      <c r="D2157" s="1" t="s">
        <v>10180</v>
      </c>
      <c r="E2157" s="1" t="s">
        <v>1472</v>
      </c>
      <c r="F2157" s="1" t="s">
        <v>10159</v>
      </c>
      <c r="G2157" s="1" t="s">
        <v>10160</v>
      </c>
    </row>
    <row r="2158" spans="1:7">
      <c r="A2158" s="1">
        <v>2157</v>
      </c>
      <c r="B2158" s="1" t="s">
        <v>10189</v>
      </c>
      <c r="D2158" s="1" t="s">
        <v>10180</v>
      </c>
      <c r="E2158" s="1" t="s">
        <v>1477</v>
      </c>
      <c r="F2158" s="1" t="s">
        <v>10162</v>
      </c>
      <c r="G2158" s="1" t="s">
        <v>10163</v>
      </c>
    </row>
    <row r="2159" spans="1:7">
      <c r="A2159" s="1">
        <v>2158</v>
      </c>
      <c r="B2159" s="1" t="s">
        <v>10190</v>
      </c>
      <c r="D2159" s="1" t="s">
        <v>10180</v>
      </c>
      <c r="E2159" s="1" t="s">
        <v>1473</v>
      </c>
      <c r="F2159" s="1" t="s">
        <v>10165</v>
      </c>
      <c r="G2159" s="1" t="s">
        <v>10166</v>
      </c>
    </row>
    <row r="2160" spans="1:7">
      <c r="A2160" s="1">
        <v>2159</v>
      </c>
      <c r="B2160" s="1" t="s">
        <v>10191</v>
      </c>
      <c r="D2160" s="1" t="s">
        <v>10192</v>
      </c>
      <c r="E2160" s="1" t="s">
        <v>3755</v>
      </c>
      <c r="F2160" s="1" t="s">
        <v>10193</v>
      </c>
      <c r="G2160" s="1" t="s">
        <v>10194</v>
      </c>
    </row>
    <row r="2161" spans="1:7">
      <c r="A2161" s="1">
        <v>2160</v>
      </c>
      <c r="B2161" s="1" t="s">
        <v>10195</v>
      </c>
      <c r="D2161" s="1" t="s">
        <v>10192</v>
      </c>
      <c r="E2161" s="1" t="s">
        <v>10196</v>
      </c>
      <c r="F2161" s="1" t="s">
        <v>10197</v>
      </c>
      <c r="G2161" s="1" t="s">
        <v>10198</v>
      </c>
    </row>
    <row r="2162" spans="1:7">
      <c r="A2162" s="1">
        <v>2161</v>
      </c>
      <c r="B2162" s="1" t="s">
        <v>10199</v>
      </c>
      <c r="D2162" s="1" t="s">
        <v>10192</v>
      </c>
      <c r="E2162" s="1" t="s">
        <v>10200</v>
      </c>
      <c r="F2162" s="1" t="s">
        <v>10201</v>
      </c>
      <c r="G2162" s="1" t="s">
        <v>10202</v>
      </c>
    </row>
    <row r="2163" spans="1:7">
      <c r="A2163" s="1">
        <v>2162</v>
      </c>
      <c r="B2163" s="1" t="s">
        <v>10203</v>
      </c>
      <c r="D2163" s="1" t="s">
        <v>10192</v>
      </c>
      <c r="E2163" s="1" t="s">
        <v>10204</v>
      </c>
      <c r="F2163" s="1" t="s">
        <v>10205</v>
      </c>
      <c r="G2163" s="1" t="s">
        <v>10206</v>
      </c>
    </row>
    <row r="2164" spans="1:7">
      <c r="A2164" s="1">
        <v>2163</v>
      </c>
      <c r="B2164" s="1" t="s">
        <v>10207</v>
      </c>
      <c r="D2164" s="1" t="s">
        <v>10192</v>
      </c>
      <c r="E2164" s="1" t="s">
        <v>10208</v>
      </c>
      <c r="F2164" s="1" t="s">
        <v>10209</v>
      </c>
      <c r="G2164" s="1" t="s">
        <v>10210</v>
      </c>
    </row>
    <row r="2165" spans="1:7">
      <c r="A2165" s="1">
        <v>2164</v>
      </c>
      <c r="B2165" s="1" t="s">
        <v>10211</v>
      </c>
      <c r="D2165" s="1" t="s">
        <v>10212</v>
      </c>
      <c r="E2165" s="1" t="s">
        <v>567</v>
      </c>
      <c r="F2165" s="1" t="s">
        <v>568</v>
      </c>
      <c r="G2165" s="1" t="s">
        <v>569</v>
      </c>
    </row>
    <row r="2166" spans="1:7">
      <c r="A2166" s="1">
        <v>2165</v>
      </c>
      <c r="B2166" s="1" t="s">
        <v>10213</v>
      </c>
      <c r="D2166" s="1" t="s">
        <v>10214</v>
      </c>
      <c r="E2166" s="1" t="s">
        <v>572</v>
      </c>
      <c r="F2166" s="1" t="s">
        <v>573</v>
      </c>
      <c r="G2166" s="1" t="s">
        <v>574</v>
      </c>
    </row>
    <row r="2167" spans="1:7">
      <c r="A2167" s="1">
        <v>2166</v>
      </c>
      <c r="B2167" s="1" t="s">
        <v>10215</v>
      </c>
      <c r="D2167" s="1" t="s">
        <v>10216</v>
      </c>
      <c r="E2167" s="1" t="s">
        <v>3670</v>
      </c>
      <c r="F2167" s="1" t="s">
        <v>10217</v>
      </c>
      <c r="G2167" s="1" t="s">
        <v>10218</v>
      </c>
    </row>
    <row r="2168" spans="1:7">
      <c r="A2168" s="1">
        <v>2167</v>
      </c>
      <c r="B2168" s="1" t="s">
        <v>10219</v>
      </c>
      <c r="D2168" s="1" t="s">
        <v>10216</v>
      </c>
      <c r="E2168" s="1" t="s">
        <v>3669</v>
      </c>
      <c r="F2168" s="1" t="s">
        <v>10220</v>
      </c>
      <c r="G2168" s="1" t="s">
        <v>10221</v>
      </c>
    </row>
    <row r="2169" spans="1:7">
      <c r="A2169" s="1">
        <v>2168</v>
      </c>
      <c r="B2169" s="1" t="s">
        <v>10222</v>
      </c>
      <c r="D2169" s="1" t="s">
        <v>10223</v>
      </c>
      <c r="E2169" s="1" t="s">
        <v>10224</v>
      </c>
      <c r="F2169" s="1" t="s">
        <v>3749</v>
      </c>
      <c r="G2169" s="1" t="s">
        <v>3750</v>
      </c>
    </row>
    <row r="2170" spans="1:7">
      <c r="A2170" s="1">
        <v>2169</v>
      </c>
      <c r="B2170" s="1" t="s">
        <v>10225</v>
      </c>
      <c r="D2170" s="1" t="s">
        <v>10223</v>
      </c>
      <c r="E2170" s="1" t="s">
        <v>10226</v>
      </c>
      <c r="F2170" s="1" t="s">
        <v>10227</v>
      </c>
      <c r="G2170" s="1" t="s">
        <v>10228</v>
      </c>
    </row>
    <row r="2171" spans="1:7">
      <c r="A2171" s="1">
        <v>2170</v>
      </c>
      <c r="B2171" s="1" t="s">
        <v>10229</v>
      </c>
      <c r="D2171" s="1" t="s">
        <v>10223</v>
      </c>
      <c r="E2171" s="1" t="s">
        <v>10230</v>
      </c>
      <c r="F2171" s="1" t="s">
        <v>10231</v>
      </c>
      <c r="G2171" s="1" t="s">
        <v>10232</v>
      </c>
    </row>
    <row r="2172" spans="1:7">
      <c r="A2172" s="1">
        <v>2171</v>
      </c>
      <c r="B2172" s="1" t="s">
        <v>10233</v>
      </c>
      <c r="D2172" s="1" t="s">
        <v>10223</v>
      </c>
      <c r="E2172" s="1" t="s">
        <v>10234</v>
      </c>
      <c r="F2172" s="1" t="s">
        <v>10235</v>
      </c>
      <c r="G2172" s="1" t="s">
        <v>10236</v>
      </c>
    </row>
    <row r="2173" spans="1:7">
      <c r="A2173" s="1">
        <v>2172</v>
      </c>
      <c r="B2173" s="1" t="s">
        <v>10237</v>
      </c>
      <c r="D2173" s="1" t="s">
        <v>10223</v>
      </c>
      <c r="E2173" s="1" t="s">
        <v>10238</v>
      </c>
      <c r="F2173" s="1" t="s">
        <v>10239</v>
      </c>
      <c r="G2173" s="1" t="s">
        <v>10240</v>
      </c>
    </row>
    <row r="2174" spans="1:7">
      <c r="A2174" s="1">
        <v>2173</v>
      </c>
      <c r="B2174" s="1" t="s">
        <v>10241</v>
      </c>
      <c r="D2174" s="1" t="s">
        <v>10223</v>
      </c>
      <c r="E2174" s="1" t="s">
        <v>10242</v>
      </c>
      <c r="F2174" s="1" t="s">
        <v>10243</v>
      </c>
      <c r="G2174" s="1" t="s">
        <v>10244</v>
      </c>
    </row>
    <row r="2175" spans="1:7">
      <c r="A2175" s="1">
        <v>2174</v>
      </c>
      <c r="B2175" s="1" t="s">
        <v>10245</v>
      </c>
      <c r="D2175" s="1" t="s">
        <v>10223</v>
      </c>
      <c r="E2175" s="1" t="s">
        <v>10246</v>
      </c>
      <c r="F2175" s="1" t="s">
        <v>10247</v>
      </c>
      <c r="G2175" s="1" t="s">
        <v>10248</v>
      </c>
    </row>
    <row r="2176" spans="1:7">
      <c r="A2176" s="1">
        <v>2175</v>
      </c>
      <c r="B2176" s="1" t="s">
        <v>10249</v>
      </c>
      <c r="D2176" s="1" t="s">
        <v>10250</v>
      </c>
      <c r="E2176" s="1" t="s">
        <v>2880</v>
      </c>
      <c r="F2176" s="1" t="s">
        <v>10251</v>
      </c>
      <c r="G2176" s="1" t="s">
        <v>10252</v>
      </c>
    </row>
    <row r="2177" spans="1:7">
      <c r="A2177" s="1">
        <v>2176</v>
      </c>
      <c r="B2177" s="1" t="s">
        <v>10253</v>
      </c>
      <c r="D2177" s="1" t="s">
        <v>10250</v>
      </c>
      <c r="E2177" s="1" t="s">
        <v>2877</v>
      </c>
      <c r="F2177" s="1" t="s">
        <v>10254</v>
      </c>
      <c r="G2177" s="1" t="s">
        <v>10255</v>
      </c>
    </row>
    <row r="2178" spans="1:7">
      <c r="A2178" s="1">
        <v>2177</v>
      </c>
      <c r="B2178" s="1" t="s">
        <v>10256</v>
      </c>
      <c r="D2178" s="1" t="s">
        <v>10250</v>
      </c>
      <c r="E2178" s="1" t="s">
        <v>10257</v>
      </c>
      <c r="F2178" s="1" t="s">
        <v>10258</v>
      </c>
      <c r="G2178" s="1" t="s">
        <v>10259</v>
      </c>
    </row>
    <row r="2179" spans="1:7">
      <c r="A2179" s="1">
        <v>2178</v>
      </c>
      <c r="B2179" s="1" t="s">
        <v>10260</v>
      </c>
      <c r="D2179" s="1" t="s">
        <v>10250</v>
      </c>
      <c r="E2179" s="1" t="s">
        <v>10261</v>
      </c>
      <c r="F2179" s="1" t="s">
        <v>10262</v>
      </c>
      <c r="G2179" s="1" t="s">
        <v>10263</v>
      </c>
    </row>
    <row r="2180" spans="1:7">
      <c r="A2180" s="1">
        <v>2179</v>
      </c>
      <c r="B2180" s="1" t="s">
        <v>10264</v>
      </c>
      <c r="D2180" s="1" t="s">
        <v>10250</v>
      </c>
      <c r="E2180" s="1" t="s">
        <v>10265</v>
      </c>
      <c r="F2180" s="1" t="s">
        <v>10266</v>
      </c>
      <c r="G2180" s="1" t="s">
        <v>10267</v>
      </c>
    </row>
    <row r="2181" spans="1:7">
      <c r="A2181" s="1">
        <v>2180</v>
      </c>
      <c r="B2181" s="1" t="s">
        <v>10268</v>
      </c>
      <c r="D2181" s="1" t="s">
        <v>10250</v>
      </c>
      <c r="E2181" s="1" t="s">
        <v>10269</v>
      </c>
      <c r="F2181" s="1" t="s">
        <v>10270</v>
      </c>
      <c r="G2181" s="1" t="s">
        <v>10271</v>
      </c>
    </row>
    <row r="2182" spans="1:7">
      <c r="A2182" s="1">
        <v>2181</v>
      </c>
      <c r="B2182" s="1" t="s">
        <v>10272</v>
      </c>
      <c r="D2182" s="1" t="s">
        <v>10250</v>
      </c>
      <c r="E2182" s="1" t="s">
        <v>2881</v>
      </c>
      <c r="F2182" s="1" t="s">
        <v>10273</v>
      </c>
      <c r="G2182" s="1" t="s">
        <v>10274</v>
      </c>
    </row>
    <row r="2183" spans="1:7">
      <c r="A2183" s="1">
        <v>2182</v>
      </c>
      <c r="B2183" s="1" t="s">
        <v>10275</v>
      </c>
      <c r="D2183" s="1" t="s">
        <v>10250</v>
      </c>
      <c r="E2183" s="1" t="s">
        <v>10276</v>
      </c>
      <c r="F2183" s="1" t="s">
        <v>10277</v>
      </c>
      <c r="G2183" s="1" t="s">
        <v>10278</v>
      </c>
    </row>
    <row r="2184" spans="1:7">
      <c r="A2184" s="1">
        <v>2183</v>
      </c>
      <c r="B2184" s="1" t="s">
        <v>10279</v>
      </c>
      <c r="D2184" s="1" t="s">
        <v>10250</v>
      </c>
      <c r="E2184" s="1" t="s">
        <v>10280</v>
      </c>
      <c r="F2184" s="1" t="s">
        <v>10281</v>
      </c>
      <c r="G2184" s="1" t="s">
        <v>10282</v>
      </c>
    </row>
    <row r="2185" spans="1:7">
      <c r="A2185" s="1">
        <v>2184</v>
      </c>
      <c r="B2185" s="1" t="s">
        <v>10283</v>
      </c>
      <c r="D2185" s="1" t="s">
        <v>10250</v>
      </c>
      <c r="E2185" s="1" t="s">
        <v>10284</v>
      </c>
      <c r="F2185" s="1" t="s">
        <v>10285</v>
      </c>
      <c r="G2185" s="1" t="s">
        <v>10286</v>
      </c>
    </row>
    <row r="2186" spans="1:7">
      <c r="A2186" s="1">
        <v>2185</v>
      </c>
      <c r="B2186" s="1" t="s">
        <v>10287</v>
      </c>
      <c r="D2186" s="1" t="s">
        <v>10288</v>
      </c>
      <c r="E2186" s="1" t="s">
        <v>10289</v>
      </c>
      <c r="F2186" s="1" t="s">
        <v>7011</v>
      </c>
      <c r="G2186" s="1" t="s">
        <v>7012</v>
      </c>
    </row>
    <row r="2187" spans="1:7">
      <c r="A2187" s="1">
        <v>2186</v>
      </c>
      <c r="B2187" s="1" t="s">
        <v>10290</v>
      </c>
      <c r="D2187" s="1" t="s">
        <v>10288</v>
      </c>
      <c r="E2187" s="1" t="s">
        <v>10291</v>
      </c>
      <c r="F2187" s="1" t="s">
        <v>7007</v>
      </c>
      <c r="G2187" s="1" t="s">
        <v>7008</v>
      </c>
    </row>
    <row r="2188" spans="1:7">
      <c r="A2188" s="1">
        <v>2187</v>
      </c>
      <c r="B2188" s="1" t="s">
        <v>10292</v>
      </c>
      <c r="D2188" s="1" t="s">
        <v>10288</v>
      </c>
      <c r="E2188" s="1" t="s">
        <v>10293</v>
      </c>
      <c r="F2188" s="1" t="s">
        <v>7015</v>
      </c>
      <c r="G2188" s="1" t="s">
        <v>7016</v>
      </c>
    </row>
    <row r="2189" spans="1:7">
      <c r="A2189" s="1">
        <v>2188</v>
      </c>
      <c r="B2189" s="1" t="s">
        <v>10294</v>
      </c>
      <c r="D2189" s="1" t="s">
        <v>10288</v>
      </c>
      <c r="E2189" s="1" t="s">
        <v>10295</v>
      </c>
      <c r="F2189" s="1" t="s">
        <v>7024</v>
      </c>
      <c r="G2189" s="1" t="s">
        <v>7025</v>
      </c>
    </row>
    <row r="2190" spans="1:7">
      <c r="A2190" s="1">
        <v>2189</v>
      </c>
      <c r="B2190" s="1" t="s">
        <v>10296</v>
      </c>
      <c r="D2190" s="1" t="s">
        <v>10288</v>
      </c>
      <c r="E2190" s="1" t="s">
        <v>10297</v>
      </c>
      <c r="F2190" s="1" t="s">
        <v>7021</v>
      </c>
      <c r="G2190" s="1" t="s">
        <v>7022</v>
      </c>
    </row>
    <row r="2191" spans="1:7">
      <c r="A2191" s="1">
        <v>2190</v>
      </c>
      <c r="B2191" s="1" t="s">
        <v>10298</v>
      </c>
      <c r="D2191" s="1" t="s">
        <v>10288</v>
      </c>
      <c r="E2191" s="1" t="s">
        <v>10299</v>
      </c>
      <c r="F2191" s="1" t="s">
        <v>7018</v>
      </c>
      <c r="G2191" s="1" t="s">
        <v>7019</v>
      </c>
    </row>
    <row r="2192" spans="1:7">
      <c r="A2192" s="1">
        <v>2191</v>
      </c>
      <c r="B2192" s="1" t="s">
        <v>10300</v>
      </c>
      <c r="D2192" s="1" t="s">
        <v>10301</v>
      </c>
      <c r="E2192" s="1" t="s">
        <v>10302</v>
      </c>
      <c r="F2192" s="1" t="s">
        <v>10303</v>
      </c>
      <c r="G2192" s="1" t="s">
        <v>10304</v>
      </c>
    </row>
    <row r="2193" spans="1:7">
      <c r="A2193" s="1">
        <v>2192</v>
      </c>
      <c r="B2193" s="1" t="s">
        <v>10305</v>
      </c>
      <c r="D2193" s="1" t="s">
        <v>10301</v>
      </c>
      <c r="E2193" s="1" t="s">
        <v>10306</v>
      </c>
      <c r="F2193" s="1" t="s">
        <v>10307</v>
      </c>
      <c r="G2193" s="1" t="s">
        <v>10308</v>
      </c>
    </row>
    <row r="2194" spans="1:7">
      <c r="A2194" s="1">
        <v>2193</v>
      </c>
      <c r="B2194" s="1" t="s">
        <v>10309</v>
      </c>
      <c r="D2194" s="1" t="s">
        <v>10301</v>
      </c>
      <c r="E2194" s="1" t="s">
        <v>10310</v>
      </c>
      <c r="F2194" s="1" t="s">
        <v>10311</v>
      </c>
      <c r="G2194" s="1" t="s">
        <v>10312</v>
      </c>
    </row>
    <row r="2195" spans="1:7">
      <c r="A2195" s="1">
        <v>2194</v>
      </c>
      <c r="B2195" s="1" t="s">
        <v>10313</v>
      </c>
      <c r="D2195" s="1" t="s">
        <v>10301</v>
      </c>
      <c r="E2195" s="1" t="s">
        <v>10314</v>
      </c>
      <c r="F2195" s="1" t="s">
        <v>10315</v>
      </c>
      <c r="G2195" s="1" t="s">
        <v>10316</v>
      </c>
    </row>
    <row r="2196" spans="1:7">
      <c r="A2196" s="1">
        <v>2195</v>
      </c>
      <c r="B2196" s="1" t="s">
        <v>10317</v>
      </c>
      <c r="D2196" s="1" t="s">
        <v>10301</v>
      </c>
      <c r="E2196" s="1" t="s">
        <v>10318</v>
      </c>
      <c r="F2196" s="1" t="s">
        <v>10319</v>
      </c>
      <c r="G2196" s="1" t="s">
        <v>10320</v>
      </c>
    </row>
    <row r="2197" spans="1:7">
      <c r="A2197" s="1">
        <v>2196</v>
      </c>
      <c r="B2197" s="1" t="s">
        <v>10321</v>
      </c>
      <c r="D2197" s="1" t="s">
        <v>10301</v>
      </c>
      <c r="E2197" s="1" t="s">
        <v>10322</v>
      </c>
      <c r="F2197" s="1" t="s">
        <v>10323</v>
      </c>
      <c r="G2197" s="1" t="s">
        <v>10324</v>
      </c>
    </row>
    <row r="2198" spans="1:7">
      <c r="A2198" s="1">
        <v>2197</v>
      </c>
      <c r="B2198" s="1" t="s">
        <v>10325</v>
      </c>
      <c r="D2198" s="1" t="s">
        <v>10301</v>
      </c>
      <c r="E2198" s="1" t="s">
        <v>10326</v>
      </c>
      <c r="F2198" s="1" t="s">
        <v>10327</v>
      </c>
      <c r="G2198" s="1" t="s">
        <v>10328</v>
      </c>
    </row>
    <row r="2199" spans="1:7">
      <c r="A2199" s="1">
        <v>2198</v>
      </c>
      <c r="B2199" s="1" t="s">
        <v>10329</v>
      </c>
      <c r="D2199" s="1" t="s">
        <v>10301</v>
      </c>
      <c r="E2199" s="1" t="s">
        <v>10330</v>
      </c>
      <c r="F2199" s="1" t="s">
        <v>10331</v>
      </c>
      <c r="G2199" s="1" t="s">
        <v>10332</v>
      </c>
    </row>
    <row r="2200" spans="1:7">
      <c r="A2200" s="1">
        <v>2199</v>
      </c>
      <c r="B2200" s="1" t="s">
        <v>10333</v>
      </c>
      <c r="D2200" s="1" t="s">
        <v>10301</v>
      </c>
      <c r="E2200" s="1" t="s">
        <v>10334</v>
      </c>
      <c r="F2200" s="1" t="s">
        <v>10335</v>
      </c>
      <c r="G2200" s="1" t="s">
        <v>10336</v>
      </c>
    </row>
    <row r="2201" spans="1:7">
      <c r="A2201" s="1">
        <v>2200</v>
      </c>
      <c r="B2201" s="1" t="s">
        <v>10337</v>
      </c>
      <c r="D2201" s="1" t="s">
        <v>10301</v>
      </c>
      <c r="E2201" s="1" t="s">
        <v>10338</v>
      </c>
      <c r="F2201" s="1" t="s">
        <v>10339</v>
      </c>
      <c r="G2201" s="1" t="s">
        <v>10340</v>
      </c>
    </row>
    <row r="2202" spans="1:7">
      <c r="A2202" s="1">
        <v>2201</v>
      </c>
      <c r="B2202" s="1" t="s">
        <v>10341</v>
      </c>
      <c r="D2202" s="1" t="s">
        <v>10301</v>
      </c>
      <c r="E2202" s="1" t="s">
        <v>10342</v>
      </c>
      <c r="F2202" s="1" t="s">
        <v>10343</v>
      </c>
      <c r="G2202" s="1" t="s">
        <v>10344</v>
      </c>
    </row>
    <row r="2203" spans="1:7">
      <c r="A2203" s="1">
        <v>2202</v>
      </c>
      <c r="B2203" s="1" t="s">
        <v>10345</v>
      </c>
      <c r="D2203" s="1" t="s">
        <v>10346</v>
      </c>
      <c r="E2203" s="1" t="s">
        <v>597</v>
      </c>
      <c r="F2203" s="1" t="s">
        <v>10347</v>
      </c>
      <c r="G2203" s="1" t="s">
        <v>10348</v>
      </c>
    </row>
    <row r="2204" spans="1:7">
      <c r="A2204" s="1">
        <v>2203</v>
      </c>
      <c r="B2204" s="1" t="s">
        <v>10349</v>
      </c>
      <c r="D2204" s="1" t="s">
        <v>10346</v>
      </c>
      <c r="E2204" s="1" t="s">
        <v>594</v>
      </c>
      <c r="F2204" s="1" t="s">
        <v>595</v>
      </c>
      <c r="G2204" s="1" t="s">
        <v>596</v>
      </c>
    </row>
    <row r="2205" spans="1:7">
      <c r="A2205" s="1">
        <v>2204</v>
      </c>
      <c r="B2205" s="1" t="s">
        <v>10350</v>
      </c>
      <c r="D2205" s="1" t="s">
        <v>10346</v>
      </c>
      <c r="E2205" s="1" t="s">
        <v>600</v>
      </c>
      <c r="F2205" s="1" t="s">
        <v>10193</v>
      </c>
      <c r="G2205" s="1" t="s">
        <v>10194</v>
      </c>
    </row>
    <row r="2206" spans="1:7">
      <c r="A2206" s="1">
        <v>2205</v>
      </c>
      <c r="B2206" s="1" t="s">
        <v>10351</v>
      </c>
      <c r="D2206" s="1" t="s">
        <v>10346</v>
      </c>
      <c r="E2206" s="1" t="s">
        <v>602</v>
      </c>
      <c r="F2206" s="1" t="s">
        <v>10352</v>
      </c>
      <c r="G2206" s="1" t="s">
        <v>10353</v>
      </c>
    </row>
    <row r="2207" spans="1:7">
      <c r="A2207" s="1">
        <v>2206</v>
      </c>
      <c r="B2207" s="1" t="s">
        <v>10354</v>
      </c>
      <c r="D2207" s="1" t="s">
        <v>10346</v>
      </c>
      <c r="E2207" s="1" t="s">
        <v>601</v>
      </c>
      <c r="F2207" s="1" t="s">
        <v>10209</v>
      </c>
      <c r="G2207" s="1" t="s">
        <v>10210</v>
      </c>
    </row>
    <row r="2208" spans="1:7">
      <c r="A2208" s="1">
        <v>2207</v>
      </c>
      <c r="B2208" s="1" t="s">
        <v>10355</v>
      </c>
      <c r="D2208" s="1" t="s">
        <v>10356</v>
      </c>
      <c r="E2208" s="1" t="s">
        <v>609</v>
      </c>
      <c r="F2208" s="1" t="s">
        <v>10193</v>
      </c>
      <c r="G2208" s="1" t="s">
        <v>10194</v>
      </c>
    </row>
    <row r="2209" spans="1:7">
      <c r="A2209" s="1">
        <v>2208</v>
      </c>
      <c r="B2209" s="1" t="s">
        <v>10357</v>
      </c>
      <c r="D2209" s="1" t="s">
        <v>10356</v>
      </c>
      <c r="E2209" s="1" t="s">
        <v>614</v>
      </c>
      <c r="F2209" s="1" t="s">
        <v>10352</v>
      </c>
      <c r="G2209" s="1" t="s">
        <v>10353</v>
      </c>
    </row>
    <row r="2210" spans="1:7">
      <c r="A2210" s="1">
        <v>2209</v>
      </c>
      <c r="B2210" s="1" t="s">
        <v>10358</v>
      </c>
      <c r="D2210" s="1" t="s">
        <v>10356</v>
      </c>
      <c r="E2210" s="1" t="s">
        <v>610</v>
      </c>
      <c r="F2210" s="1" t="s">
        <v>611</v>
      </c>
      <c r="G2210" s="1" t="s">
        <v>612</v>
      </c>
    </row>
    <row r="2211" spans="1:7">
      <c r="A2211" s="1">
        <v>2210</v>
      </c>
      <c r="B2211" s="1" t="s">
        <v>10359</v>
      </c>
      <c r="D2211" s="1" t="s">
        <v>10356</v>
      </c>
      <c r="E2211" s="1" t="s">
        <v>608</v>
      </c>
      <c r="F2211" s="1" t="s">
        <v>10347</v>
      </c>
      <c r="G2211" s="1" t="s">
        <v>10348</v>
      </c>
    </row>
    <row r="2212" spans="1:7">
      <c r="A2212" s="1">
        <v>2211</v>
      </c>
      <c r="B2212" s="1" t="s">
        <v>10360</v>
      </c>
      <c r="D2212" s="1" t="s">
        <v>10356</v>
      </c>
      <c r="E2212" s="1" t="s">
        <v>607</v>
      </c>
      <c r="F2212" s="1" t="s">
        <v>595</v>
      </c>
      <c r="G2212" s="1" t="s">
        <v>596</v>
      </c>
    </row>
    <row r="2213" spans="1:7">
      <c r="A2213" s="1">
        <v>2212</v>
      </c>
      <c r="B2213" s="1" t="s">
        <v>10361</v>
      </c>
      <c r="D2213" s="1" t="s">
        <v>10356</v>
      </c>
      <c r="E2213" s="1" t="s">
        <v>613</v>
      </c>
      <c r="F2213" s="1" t="s">
        <v>10209</v>
      </c>
      <c r="G2213" s="1" t="s">
        <v>10210</v>
      </c>
    </row>
    <row r="2214" spans="1:7">
      <c r="A2214" s="1">
        <v>2213</v>
      </c>
      <c r="B2214" s="1" t="s">
        <v>10362</v>
      </c>
      <c r="D2214" s="1" t="s">
        <v>10363</v>
      </c>
      <c r="E2214" s="1" t="s">
        <v>10364</v>
      </c>
      <c r="F2214" s="1" t="s">
        <v>618</v>
      </c>
      <c r="G2214" s="1" t="s">
        <v>619</v>
      </c>
    </row>
    <row r="2215" spans="1:7">
      <c r="A2215" s="1">
        <v>2214</v>
      </c>
      <c r="B2215" s="1" t="s">
        <v>10365</v>
      </c>
      <c r="D2215" s="1" t="s">
        <v>10363</v>
      </c>
      <c r="E2215" s="1" t="s">
        <v>10366</v>
      </c>
      <c r="F2215" s="1" t="s">
        <v>621</v>
      </c>
      <c r="G2215" s="1" t="s">
        <v>622</v>
      </c>
    </row>
    <row r="2216" spans="1:7">
      <c r="A2216" s="1">
        <v>2215</v>
      </c>
      <c r="B2216" s="1" t="s">
        <v>10367</v>
      </c>
      <c r="D2216" s="1" t="s">
        <v>10363</v>
      </c>
      <c r="E2216" s="1" t="s">
        <v>10368</v>
      </c>
      <c r="F2216" s="1" t="s">
        <v>627</v>
      </c>
      <c r="G2216" s="1" t="s">
        <v>628</v>
      </c>
    </row>
    <row r="2217" spans="1:7">
      <c r="A2217" s="1">
        <v>2216</v>
      </c>
      <c r="B2217" s="1" t="s">
        <v>10369</v>
      </c>
      <c r="D2217" s="1" t="s">
        <v>10363</v>
      </c>
      <c r="E2217" s="1" t="s">
        <v>10370</v>
      </c>
      <c r="F2217" s="1" t="s">
        <v>636</v>
      </c>
      <c r="G2217" s="1" t="s">
        <v>637</v>
      </c>
    </row>
    <row r="2218" spans="1:7">
      <c r="A2218" s="1">
        <v>2217</v>
      </c>
      <c r="B2218" s="1" t="s">
        <v>10371</v>
      </c>
      <c r="D2218" s="1" t="s">
        <v>10363</v>
      </c>
      <c r="E2218" s="1" t="s">
        <v>10372</v>
      </c>
      <c r="F2218" s="1" t="s">
        <v>10373</v>
      </c>
      <c r="G2218" s="1" t="s">
        <v>10374</v>
      </c>
    </row>
    <row r="2219" spans="1:7">
      <c r="A2219" s="1">
        <v>2218</v>
      </c>
      <c r="B2219" s="1" t="s">
        <v>10375</v>
      </c>
      <c r="D2219" s="1" t="s">
        <v>10363</v>
      </c>
      <c r="E2219" s="1" t="s">
        <v>10376</v>
      </c>
      <c r="F2219" s="1" t="s">
        <v>10377</v>
      </c>
      <c r="G2219" s="1" t="s">
        <v>10378</v>
      </c>
    </row>
    <row r="2220" spans="1:7">
      <c r="A2220" s="1">
        <v>2219</v>
      </c>
      <c r="B2220" s="1" t="s">
        <v>10379</v>
      </c>
      <c r="D2220" s="1" t="s">
        <v>10363</v>
      </c>
      <c r="E2220" s="1" t="s">
        <v>10380</v>
      </c>
      <c r="F2220" s="1" t="s">
        <v>624</v>
      </c>
      <c r="G2220" s="1" t="s">
        <v>625</v>
      </c>
    </row>
    <row r="2221" spans="1:7">
      <c r="A2221" s="1">
        <v>2220</v>
      </c>
      <c r="B2221" s="1" t="s">
        <v>10381</v>
      </c>
      <c r="D2221" s="1" t="s">
        <v>10382</v>
      </c>
      <c r="E2221" s="1" t="s">
        <v>4005</v>
      </c>
      <c r="F2221" s="1" t="s">
        <v>10383</v>
      </c>
      <c r="G2221" s="1" t="s">
        <v>10384</v>
      </c>
    </row>
    <row r="2222" spans="1:7">
      <c r="A2222" s="1">
        <v>2221</v>
      </c>
      <c r="B2222" s="1" t="s">
        <v>10385</v>
      </c>
      <c r="D2222" s="1" t="s">
        <v>10382</v>
      </c>
      <c r="E2222" s="1" t="s">
        <v>3339</v>
      </c>
      <c r="F2222" s="1" t="s">
        <v>10386</v>
      </c>
      <c r="G2222" s="1" t="s">
        <v>10387</v>
      </c>
    </row>
    <row r="2223" spans="1:7">
      <c r="A2223" s="1">
        <v>2222</v>
      </c>
      <c r="B2223" s="1" t="s">
        <v>10388</v>
      </c>
      <c r="D2223" s="1" t="s">
        <v>10382</v>
      </c>
      <c r="E2223" s="1" t="s">
        <v>4009</v>
      </c>
      <c r="F2223" s="1" t="s">
        <v>10389</v>
      </c>
      <c r="G2223" s="1" t="s">
        <v>10390</v>
      </c>
    </row>
    <row r="2224" spans="1:7">
      <c r="A2224" s="1">
        <v>2223</v>
      </c>
      <c r="B2224" s="1" t="s">
        <v>10391</v>
      </c>
      <c r="D2224" s="1" t="s">
        <v>10382</v>
      </c>
      <c r="E2224" s="1" t="s">
        <v>3336</v>
      </c>
      <c r="F2224" s="1" t="s">
        <v>10392</v>
      </c>
      <c r="G2224" s="1" t="s">
        <v>10393</v>
      </c>
    </row>
    <row r="2225" spans="1:7">
      <c r="A2225" s="1">
        <v>2224</v>
      </c>
      <c r="B2225" s="1" t="s">
        <v>10394</v>
      </c>
      <c r="D2225" s="1" t="s">
        <v>10382</v>
      </c>
      <c r="E2225" s="1" t="s">
        <v>3997</v>
      </c>
      <c r="F2225" s="1" t="s">
        <v>10395</v>
      </c>
      <c r="G2225" s="1" t="s">
        <v>10396</v>
      </c>
    </row>
    <row r="2226" spans="1:7">
      <c r="A2226" s="1">
        <v>2225</v>
      </c>
      <c r="B2226" s="1" t="s">
        <v>10397</v>
      </c>
      <c r="D2226" s="1" t="s">
        <v>10382</v>
      </c>
      <c r="E2226" s="1" t="s">
        <v>4001</v>
      </c>
      <c r="F2226" s="1" t="s">
        <v>10398</v>
      </c>
      <c r="G2226" s="1" t="s">
        <v>10399</v>
      </c>
    </row>
    <row r="2227" spans="1:7">
      <c r="A2227" s="1">
        <v>2226</v>
      </c>
      <c r="B2227" s="1" t="s">
        <v>10400</v>
      </c>
      <c r="D2227" s="1" t="s">
        <v>10382</v>
      </c>
      <c r="E2227" s="1" t="s">
        <v>3341</v>
      </c>
      <c r="F2227" s="1" t="s">
        <v>10401</v>
      </c>
      <c r="G2227" s="1" t="s">
        <v>10402</v>
      </c>
    </row>
    <row r="2228" spans="1:7">
      <c r="A2228" s="1">
        <v>2227</v>
      </c>
      <c r="B2228" s="1" t="s">
        <v>10403</v>
      </c>
      <c r="D2228" s="1" t="s">
        <v>10382</v>
      </c>
      <c r="E2228" s="1" t="s">
        <v>3342</v>
      </c>
      <c r="F2228" s="1" t="s">
        <v>10404</v>
      </c>
      <c r="G2228" s="1" t="s">
        <v>10405</v>
      </c>
    </row>
    <row r="2229" spans="1:7">
      <c r="A2229" s="1">
        <v>2228</v>
      </c>
      <c r="B2229" s="1" t="s">
        <v>10406</v>
      </c>
      <c r="D2229" s="1" t="s">
        <v>10382</v>
      </c>
      <c r="E2229" s="1" t="s">
        <v>3340</v>
      </c>
      <c r="F2229" s="1" t="s">
        <v>10407</v>
      </c>
      <c r="G2229" s="1" t="s">
        <v>10408</v>
      </c>
    </row>
    <row r="2230" spans="1:7">
      <c r="A2230" s="1">
        <v>2229</v>
      </c>
      <c r="B2230" s="1" t="s">
        <v>10409</v>
      </c>
      <c r="D2230" s="1" t="s">
        <v>10382</v>
      </c>
      <c r="E2230" s="1" t="s">
        <v>3337</v>
      </c>
      <c r="F2230" s="1" t="s">
        <v>10410</v>
      </c>
      <c r="G2230" s="1" t="s">
        <v>10411</v>
      </c>
    </row>
    <row r="2231" spans="1:7">
      <c r="A2231" s="1">
        <v>2230</v>
      </c>
      <c r="B2231" s="1" t="s">
        <v>10412</v>
      </c>
      <c r="D2231" s="1" t="s">
        <v>10382</v>
      </c>
      <c r="E2231" s="1" t="s">
        <v>3338</v>
      </c>
      <c r="F2231" s="1" t="s">
        <v>10413</v>
      </c>
      <c r="G2231" s="1" t="s">
        <v>10414</v>
      </c>
    </row>
    <row r="2232" spans="1:7">
      <c r="A2232" s="1">
        <v>2231</v>
      </c>
      <c r="B2232" s="1" t="s">
        <v>10415</v>
      </c>
      <c r="D2232" s="1" t="s">
        <v>10382</v>
      </c>
      <c r="E2232" s="1" t="s">
        <v>10416</v>
      </c>
      <c r="F2232" s="1" t="s">
        <v>10417</v>
      </c>
      <c r="G2232" s="1" t="s">
        <v>10418</v>
      </c>
    </row>
    <row r="2233" spans="1:7">
      <c r="A2233" s="1">
        <v>2232</v>
      </c>
      <c r="B2233" s="1" t="s">
        <v>10419</v>
      </c>
      <c r="D2233" s="1" t="s">
        <v>10420</v>
      </c>
      <c r="E2233" s="1" t="s">
        <v>10421</v>
      </c>
      <c r="F2233" s="1" t="s">
        <v>10422</v>
      </c>
      <c r="G2233" s="1" t="s">
        <v>10423</v>
      </c>
    </row>
    <row r="2234" spans="1:7">
      <c r="A2234" s="1">
        <v>2233</v>
      </c>
      <c r="B2234" s="1" t="s">
        <v>10424</v>
      </c>
      <c r="D2234" s="1" t="s">
        <v>10420</v>
      </c>
      <c r="E2234" s="1" t="s">
        <v>10425</v>
      </c>
      <c r="F2234" s="1" t="s">
        <v>10426</v>
      </c>
      <c r="G2234" s="1" t="s">
        <v>10427</v>
      </c>
    </row>
    <row r="2235" spans="1:7">
      <c r="A2235" s="1">
        <v>2234</v>
      </c>
      <c r="B2235" s="1" t="s">
        <v>10428</v>
      </c>
      <c r="D2235" s="1" t="s">
        <v>10420</v>
      </c>
      <c r="E2235" s="1" t="s">
        <v>10429</v>
      </c>
      <c r="F2235" s="1" t="s">
        <v>10430</v>
      </c>
      <c r="G2235" s="1" t="s">
        <v>10431</v>
      </c>
    </row>
    <row r="2236" spans="1:7">
      <c r="A2236" s="1">
        <v>2235</v>
      </c>
      <c r="B2236" s="1" t="s">
        <v>10432</v>
      </c>
      <c r="D2236" s="1" t="s">
        <v>10420</v>
      </c>
      <c r="E2236" s="1" t="s">
        <v>10433</v>
      </c>
      <c r="F2236" s="1" t="s">
        <v>10434</v>
      </c>
      <c r="G2236" s="1" t="s">
        <v>10435</v>
      </c>
    </row>
    <row r="2237" spans="1:7">
      <c r="A2237" s="1">
        <v>2236</v>
      </c>
      <c r="B2237" s="1" t="s">
        <v>10436</v>
      </c>
      <c r="D2237" s="1" t="s">
        <v>10420</v>
      </c>
      <c r="E2237" s="1" t="s">
        <v>10437</v>
      </c>
      <c r="F2237" s="1" t="s">
        <v>10438</v>
      </c>
      <c r="G2237" s="1" t="s">
        <v>10439</v>
      </c>
    </row>
    <row r="2238" spans="1:7">
      <c r="A2238" s="1">
        <v>2237</v>
      </c>
      <c r="B2238" s="1" t="s">
        <v>10440</v>
      </c>
      <c r="D2238" s="1" t="s">
        <v>10420</v>
      </c>
      <c r="E2238" s="1" t="s">
        <v>10441</v>
      </c>
      <c r="F2238" s="1" t="s">
        <v>10442</v>
      </c>
      <c r="G2238" s="1" t="s">
        <v>10443</v>
      </c>
    </row>
    <row r="2239" spans="1:7">
      <c r="A2239" s="1">
        <v>2238</v>
      </c>
      <c r="B2239" s="1" t="s">
        <v>10444</v>
      </c>
      <c r="D2239" s="1" t="s">
        <v>10445</v>
      </c>
      <c r="E2239" s="1" t="s">
        <v>10446</v>
      </c>
      <c r="F2239" s="1" t="s">
        <v>10447</v>
      </c>
      <c r="G2239" s="1" t="s">
        <v>10448</v>
      </c>
    </row>
    <row r="2240" spans="1:7">
      <c r="A2240" s="1">
        <v>2239</v>
      </c>
      <c r="B2240" s="1" t="s">
        <v>10449</v>
      </c>
      <c r="D2240" s="1" t="s">
        <v>10450</v>
      </c>
      <c r="E2240" s="1" t="s">
        <v>10451</v>
      </c>
      <c r="F2240" s="1" t="s">
        <v>10452</v>
      </c>
      <c r="G2240" s="1" t="s">
        <v>10453</v>
      </c>
    </row>
    <row r="2241" spans="1:7">
      <c r="A2241" s="1">
        <v>2240</v>
      </c>
      <c r="B2241" s="1" t="s">
        <v>10454</v>
      </c>
      <c r="D2241" s="1" t="s">
        <v>10450</v>
      </c>
      <c r="E2241" s="1" t="s">
        <v>10455</v>
      </c>
      <c r="F2241" s="1" t="s">
        <v>10456</v>
      </c>
      <c r="G2241" s="1" t="s">
        <v>10457</v>
      </c>
    </row>
    <row r="2242" spans="1:7">
      <c r="A2242" s="1">
        <v>2241</v>
      </c>
      <c r="B2242" s="1" t="s">
        <v>10458</v>
      </c>
      <c r="D2242" s="1" t="s">
        <v>10450</v>
      </c>
      <c r="E2242" s="1" t="s">
        <v>10459</v>
      </c>
      <c r="F2242" s="1" t="s">
        <v>10460</v>
      </c>
      <c r="G2242" s="1" t="s">
        <v>10461</v>
      </c>
    </row>
    <row r="2243" spans="1:7">
      <c r="A2243" s="1">
        <v>2242</v>
      </c>
      <c r="B2243" s="1" t="s">
        <v>10462</v>
      </c>
      <c r="D2243" s="1" t="s">
        <v>10450</v>
      </c>
      <c r="E2243" s="1" t="s">
        <v>10463</v>
      </c>
      <c r="F2243" s="1" t="s">
        <v>10464</v>
      </c>
      <c r="G2243" s="1" t="s">
        <v>10465</v>
      </c>
    </row>
    <row r="2244" spans="1:7">
      <c r="A2244" s="1">
        <v>2243</v>
      </c>
      <c r="B2244" s="1" t="s">
        <v>10466</v>
      </c>
      <c r="D2244" s="1" t="s">
        <v>10450</v>
      </c>
      <c r="E2244" s="1" t="s">
        <v>10467</v>
      </c>
      <c r="F2244" s="1" t="s">
        <v>10468</v>
      </c>
      <c r="G2244" s="1" t="s">
        <v>10469</v>
      </c>
    </row>
    <row r="2245" spans="1:7">
      <c r="A2245" s="1">
        <v>2244</v>
      </c>
      <c r="B2245" s="1" t="s">
        <v>10470</v>
      </c>
      <c r="D2245" s="1" t="s">
        <v>10450</v>
      </c>
      <c r="E2245" s="1" t="s">
        <v>10471</v>
      </c>
      <c r="F2245" s="1" t="s">
        <v>10472</v>
      </c>
      <c r="G2245" s="1" t="s">
        <v>10473</v>
      </c>
    </row>
    <row r="2246" spans="1:7">
      <c r="A2246" s="1">
        <v>2245</v>
      </c>
      <c r="B2246" s="1" t="s">
        <v>10474</v>
      </c>
      <c r="D2246" s="1" t="s">
        <v>10450</v>
      </c>
      <c r="E2246" s="1" t="s">
        <v>10475</v>
      </c>
      <c r="F2246" s="1" t="s">
        <v>10476</v>
      </c>
      <c r="G2246" s="1" t="s">
        <v>10477</v>
      </c>
    </row>
    <row r="2247" spans="1:7">
      <c r="A2247" s="1">
        <v>2246</v>
      </c>
      <c r="B2247" s="1" t="s">
        <v>10478</v>
      </c>
      <c r="D2247" s="1" t="s">
        <v>10450</v>
      </c>
      <c r="E2247" s="1" t="s">
        <v>10479</v>
      </c>
      <c r="F2247" s="1" t="s">
        <v>10480</v>
      </c>
      <c r="G2247" s="1" t="s">
        <v>10481</v>
      </c>
    </row>
    <row r="2248" spans="1:7">
      <c r="A2248" s="1">
        <v>2247</v>
      </c>
      <c r="B2248" s="1" t="s">
        <v>10482</v>
      </c>
      <c r="D2248" s="1" t="s">
        <v>10450</v>
      </c>
      <c r="E2248" s="1" t="s">
        <v>10483</v>
      </c>
      <c r="F2248" s="1" t="s">
        <v>10484</v>
      </c>
      <c r="G2248" s="1" t="s">
        <v>10485</v>
      </c>
    </row>
    <row r="2249" spans="1:7">
      <c r="A2249" s="1">
        <v>2248</v>
      </c>
      <c r="B2249" s="1" t="s">
        <v>10486</v>
      </c>
      <c r="D2249" s="1" t="s">
        <v>10450</v>
      </c>
      <c r="E2249" s="1" t="s">
        <v>10487</v>
      </c>
      <c r="F2249" s="1" t="s">
        <v>10488</v>
      </c>
      <c r="G2249" s="1" t="s">
        <v>10489</v>
      </c>
    </row>
    <row r="2250" spans="1:7">
      <c r="A2250" s="1">
        <v>2249</v>
      </c>
      <c r="B2250" s="1" t="s">
        <v>10490</v>
      </c>
      <c r="D2250" s="1" t="s">
        <v>10491</v>
      </c>
      <c r="E2250" s="1" t="s">
        <v>10492</v>
      </c>
      <c r="F2250" s="1" t="s">
        <v>10493</v>
      </c>
      <c r="G2250" s="1" t="s">
        <v>10494</v>
      </c>
    </row>
    <row r="2251" spans="1:7">
      <c r="A2251" s="1">
        <v>2250</v>
      </c>
      <c r="B2251" s="1" t="s">
        <v>10495</v>
      </c>
      <c r="D2251" s="1" t="s">
        <v>10491</v>
      </c>
      <c r="E2251" s="1" t="s">
        <v>10496</v>
      </c>
      <c r="F2251" s="1" t="s">
        <v>10497</v>
      </c>
      <c r="G2251" s="1" t="s">
        <v>10498</v>
      </c>
    </row>
    <row r="2252" spans="1:7">
      <c r="A2252" s="1">
        <v>2251</v>
      </c>
      <c r="B2252" s="1" t="s">
        <v>10499</v>
      </c>
      <c r="D2252" s="1" t="s">
        <v>10500</v>
      </c>
      <c r="E2252" s="1" t="s">
        <v>10501</v>
      </c>
      <c r="F2252" s="1" t="s">
        <v>10502</v>
      </c>
      <c r="G2252" s="1" t="s">
        <v>10503</v>
      </c>
    </row>
    <row r="2253" spans="1:7">
      <c r="A2253" s="1">
        <v>2252</v>
      </c>
      <c r="B2253" s="1" t="s">
        <v>10504</v>
      </c>
      <c r="D2253" s="1" t="s">
        <v>10500</v>
      </c>
      <c r="E2253" s="1" t="s">
        <v>10505</v>
      </c>
      <c r="F2253" s="1" t="s">
        <v>10506</v>
      </c>
      <c r="G2253" s="1" t="s">
        <v>10507</v>
      </c>
    </row>
    <row r="2254" spans="1:7">
      <c r="A2254" s="1">
        <v>2253</v>
      </c>
      <c r="B2254" s="1" t="s">
        <v>10508</v>
      </c>
      <c r="D2254" s="1" t="s">
        <v>10509</v>
      </c>
      <c r="E2254" s="1" t="s">
        <v>10510</v>
      </c>
      <c r="F2254" s="1" t="s">
        <v>10511</v>
      </c>
      <c r="G2254" s="1" t="s">
        <v>10512</v>
      </c>
    </row>
    <row r="2255" spans="1:7">
      <c r="A2255" s="1">
        <v>2254</v>
      </c>
      <c r="B2255" s="1" t="s">
        <v>10513</v>
      </c>
      <c r="D2255" s="1" t="s">
        <v>10509</v>
      </c>
      <c r="E2255" s="1" t="s">
        <v>10514</v>
      </c>
      <c r="F2255" s="1" t="s">
        <v>10515</v>
      </c>
      <c r="G2255" s="1" t="s">
        <v>10516</v>
      </c>
    </row>
    <row r="2256" spans="1:7">
      <c r="A2256" s="1">
        <v>2255</v>
      </c>
      <c r="B2256" s="1" t="s">
        <v>10517</v>
      </c>
      <c r="D2256" s="1" t="s">
        <v>10509</v>
      </c>
      <c r="E2256" s="1" t="s">
        <v>10518</v>
      </c>
      <c r="F2256" s="1" t="s">
        <v>10519</v>
      </c>
      <c r="G2256" s="1" t="s">
        <v>10520</v>
      </c>
    </row>
    <row r="2257" spans="1:7">
      <c r="A2257" s="1">
        <v>2256</v>
      </c>
      <c r="B2257" s="1" t="s">
        <v>10521</v>
      </c>
      <c r="D2257" s="1" t="s">
        <v>10509</v>
      </c>
      <c r="E2257" s="1" t="s">
        <v>10522</v>
      </c>
      <c r="F2257" s="1" t="s">
        <v>10523</v>
      </c>
      <c r="G2257" s="1" t="s">
        <v>10524</v>
      </c>
    </row>
    <row r="2258" spans="1:7">
      <c r="A2258" s="1">
        <v>2257</v>
      </c>
      <c r="B2258" s="1" t="s">
        <v>10525</v>
      </c>
      <c r="D2258" s="1" t="s">
        <v>10509</v>
      </c>
      <c r="E2258" s="1" t="s">
        <v>10526</v>
      </c>
      <c r="F2258" s="1" t="s">
        <v>10527</v>
      </c>
      <c r="G2258" s="1" t="s">
        <v>10528</v>
      </c>
    </row>
    <row r="2259" spans="1:7">
      <c r="A2259" s="1">
        <v>2258</v>
      </c>
      <c r="B2259" s="1" t="s">
        <v>10529</v>
      </c>
      <c r="D2259" s="1" t="s">
        <v>10509</v>
      </c>
      <c r="E2259" s="1" t="s">
        <v>10530</v>
      </c>
      <c r="F2259" s="1" t="s">
        <v>10531</v>
      </c>
      <c r="G2259" s="1" t="s">
        <v>10532</v>
      </c>
    </row>
    <row r="2260" spans="1:7">
      <c r="A2260" s="1">
        <v>2259</v>
      </c>
      <c r="B2260" s="1" t="s">
        <v>10533</v>
      </c>
      <c r="D2260" s="1" t="s">
        <v>10534</v>
      </c>
      <c r="E2260" s="1" t="s">
        <v>10535</v>
      </c>
      <c r="F2260" s="1" t="s">
        <v>10536</v>
      </c>
      <c r="G2260" s="1" t="s">
        <v>10537</v>
      </c>
    </row>
    <row r="2261" spans="1:7">
      <c r="A2261" s="1">
        <v>2260</v>
      </c>
      <c r="B2261" s="1" t="s">
        <v>10538</v>
      </c>
      <c r="D2261" s="1" t="s">
        <v>10534</v>
      </c>
      <c r="E2261" s="1" t="s">
        <v>10539</v>
      </c>
      <c r="F2261" s="1" t="s">
        <v>10540</v>
      </c>
      <c r="G2261" s="1" t="s">
        <v>10541</v>
      </c>
    </row>
    <row r="2262" spans="1:7">
      <c r="A2262" s="1">
        <v>2261</v>
      </c>
      <c r="B2262" s="1" t="s">
        <v>10542</v>
      </c>
      <c r="D2262" s="1" t="s">
        <v>10543</v>
      </c>
      <c r="E2262" s="1" t="s">
        <v>10544</v>
      </c>
      <c r="F2262" s="1" t="s">
        <v>10545</v>
      </c>
      <c r="G2262" s="1" t="s">
        <v>10546</v>
      </c>
    </row>
    <row r="2263" spans="1:7">
      <c r="A2263" s="1">
        <v>2262</v>
      </c>
      <c r="B2263" s="1" t="s">
        <v>10547</v>
      </c>
      <c r="D2263" s="1" t="s">
        <v>10548</v>
      </c>
      <c r="E2263" s="1" t="s">
        <v>10549</v>
      </c>
      <c r="F2263" s="1" t="s">
        <v>10550</v>
      </c>
      <c r="G2263" s="1" t="s">
        <v>10551</v>
      </c>
    </row>
    <row r="2264" spans="1:7">
      <c r="A2264" s="1">
        <v>2263</v>
      </c>
      <c r="B2264" s="1" t="s">
        <v>10552</v>
      </c>
      <c r="D2264" s="1" t="s">
        <v>10548</v>
      </c>
      <c r="E2264" s="1" t="s">
        <v>10553</v>
      </c>
      <c r="F2264" s="1" t="s">
        <v>10554</v>
      </c>
      <c r="G2264" s="1" t="s">
        <v>10555</v>
      </c>
    </row>
    <row r="2265" spans="1:7">
      <c r="A2265" s="1">
        <v>2264</v>
      </c>
      <c r="B2265" s="1" t="s">
        <v>10556</v>
      </c>
      <c r="D2265" s="1" t="s">
        <v>10548</v>
      </c>
      <c r="E2265" s="1" t="s">
        <v>10557</v>
      </c>
      <c r="F2265" s="1" t="s">
        <v>10558</v>
      </c>
      <c r="G2265" s="1" t="s">
        <v>10559</v>
      </c>
    </row>
    <row r="2266" spans="1:7">
      <c r="A2266" s="1">
        <v>2265</v>
      </c>
      <c r="B2266" s="1" t="s">
        <v>10560</v>
      </c>
      <c r="D2266" s="1" t="s">
        <v>10548</v>
      </c>
      <c r="E2266" s="1" t="s">
        <v>10561</v>
      </c>
      <c r="F2266" s="1" t="s">
        <v>10562</v>
      </c>
      <c r="G2266" s="1" t="s">
        <v>10563</v>
      </c>
    </row>
    <row r="2267" spans="1:7">
      <c r="A2267" s="1">
        <v>2266</v>
      </c>
      <c r="B2267" s="1" t="s">
        <v>10564</v>
      </c>
      <c r="D2267" s="1" t="s">
        <v>10548</v>
      </c>
      <c r="E2267" s="1" t="s">
        <v>10565</v>
      </c>
      <c r="F2267" s="1" t="s">
        <v>10566</v>
      </c>
      <c r="G2267" s="1" t="s">
        <v>10567</v>
      </c>
    </row>
    <row r="2268" spans="1:7">
      <c r="A2268" s="1">
        <v>2267</v>
      </c>
      <c r="B2268" s="1" t="s">
        <v>10568</v>
      </c>
      <c r="D2268" s="1" t="s">
        <v>10548</v>
      </c>
      <c r="E2268" s="1" t="s">
        <v>10569</v>
      </c>
      <c r="F2268" s="1" t="s">
        <v>10570</v>
      </c>
      <c r="G2268" s="1" t="s">
        <v>10571</v>
      </c>
    </row>
    <row r="2269" spans="1:7">
      <c r="A2269" s="1">
        <v>2268</v>
      </c>
      <c r="B2269" s="1" t="s">
        <v>10572</v>
      </c>
      <c r="D2269" s="1" t="s">
        <v>10548</v>
      </c>
      <c r="E2269" s="1" t="s">
        <v>10573</v>
      </c>
      <c r="F2269" s="1" t="s">
        <v>10574</v>
      </c>
      <c r="G2269" s="1" t="s">
        <v>10575</v>
      </c>
    </row>
    <row r="2270" spans="1:7">
      <c r="A2270" s="1">
        <v>2269</v>
      </c>
      <c r="B2270" s="1" t="s">
        <v>10576</v>
      </c>
      <c r="D2270" s="1" t="s">
        <v>10548</v>
      </c>
      <c r="E2270" s="1" t="s">
        <v>10577</v>
      </c>
      <c r="F2270" s="1" t="s">
        <v>10578</v>
      </c>
      <c r="G2270" s="1" t="s">
        <v>10579</v>
      </c>
    </row>
    <row r="2271" spans="1:7">
      <c r="A2271" s="1">
        <v>2270</v>
      </c>
      <c r="B2271" s="1" t="s">
        <v>10580</v>
      </c>
      <c r="D2271" s="1" t="s">
        <v>10548</v>
      </c>
      <c r="E2271" s="1" t="s">
        <v>10581</v>
      </c>
      <c r="F2271" s="1" t="s">
        <v>10582</v>
      </c>
      <c r="G2271" s="1" t="s">
        <v>10583</v>
      </c>
    </row>
    <row r="2272" spans="1:7">
      <c r="A2272" s="1">
        <v>2271</v>
      </c>
      <c r="B2272" s="1" t="s">
        <v>10584</v>
      </c>
      <c r="D2272" s="1" t="s">
        <v>10548</v>
      </c>
      <c r="E2272" s="1" t="s">
        <v>3697</v>
      </c>
      <c r="F2272" s="1" t="s">
        <v>10585</v>
      </c>
      <c r="G2272" s="1" t="s">
        <v>10586</v>
      </c>
    </row>
    <row r="2273" spans="1:7">
      <c r="A2273" s="1">
        <v>2272</v>
      </c>
      <c r="B2273" s="1" t="s">
        <v>10587</v>
      </c>
      <c r="D2273" s="1" t="s">
        <v>10548</v>
      </c>
      <c r="E2273" s="1" t="s">
        <v>10588</v>
      </c>
      <c r="F2273" s="1" t="s">
        <v>10589</v>
      </c>
      <c r="G2273" s="1" t="s">
        <v>10590</v>
      </c>
    </row>
    <row r="2274" spans="1:7">
      <c r="A2274" s="1">
        <v>2273</v>
      </c>
      <c r="B2274" s="1" t="s">
        <v>10591</v>
      </c>
      <c r="D2274" s="1" t="s">
        <v>10548</v>
      </c>
      <c r="E2274" s="1" t="s">
        <v>10592</v>
      </c>
      <c r="F2274" s="1" t="s">
        <v>10593</v>
      </c>
      <c r="G2274" s="1" t="s">
        <v>10590</v>
      </c>
    </row>
    <row r="2275" spans="1:7">
      <c r="A2275" s="1">
        <v>2274</v>
      </c>
      <c r="B2275" s="1" t="s">
        <v>10594</v>
      </c>
      <c r="D2275" s="1" t="s">
        <v>10548</v>
      </c>
      <c r="E2275" s="1" t="s">
        <v>10595</v>
      </c>
      <c r="F2275" s="1" t="s">
        <v>10596</v>
      </c>
      <c r="G2275" s="1" t="s">
        <v>10597</v>
      </c>
    </row>
    <row r="2276" spans="1:7">
      <c r="A2276" s="1">
        <v>2275</v>
      </c>
      <c r="B2276" s="1" t="s">
        <v>10598</v>
      </c>
      <c r="D2276" s="1" t="s">
        <v>10548</v>
      </c>
      <c r="E2276" s="1" t="s">
        <v>10599</v>
      </c>
      <c r="F2276" s="1" t="s">
        <v>10600</v>
      </c>
      <c r="G2276" s="1" t="s">
        <v>10601</v>
      </c>
    </row>
    <row r="2277" spans="1:7">
      <c r="A2277" s="1">
        <v>2276</v>
      </c>
      <c r="B2277" s="1" t="s">
        <v>10602</v>
      </c>
      <c r="D2277" s="1" t="s">
        <v>10548</v>
      </c>
      <c r="E2277" s="1" t="s">
        <v>10603</v>
      </c>
      <c r="F2277" s="1" t="s">
        <v>10604</v>
      </c>
      <c r="G2277" s="1" t="s">
        <v>10605</v>
      </c>
    </row>
    <row r="2278" spans="1:7">
      <c r="A2278" s="1">
        <v>2277</v>
      </c>
      <c r="B2278" s="1" t="s">
        <v>10606</v>
      </c>
      <c r="D2278" s="1" t="s">
        <v>10548</v>
      </c>
      <c r="E2278" s="1" t="s">
        <v>10607</v>
      </c>
      <c r="F2278" s="1" t="s">
        <v>10608</v>
      </c>
      <c r="G2278" s="1" t="s">
        <v>10609</v>
      </c>
    </row>
    <row r="2279" spans="1:7">
      <c r="A2279" s="1">
        <v>2278</v>
      </c>
      <c r="B2279" s="1" t="s">
        <v>10610</v>
      </c>
      <c r="D2279" s="1" t="s">
        <v>10548</v>
      </c>
      <c r="E2279" s="1" t="s">
        <v>10611</v>
      </c>
      <c r="F2279" s="1" t="s">
        <v>10612</v>
      </c>
      <c r="G2279" s="1" t="s">
        <v>10613</v>
      </c>
    </row>
    <row r="2280" spans="1:7">
      <c r="A2280" s="1">
        <v>2279</v>
      </c>
      <c r="B2280" s="1" t="s">
        <v>10614</v>
      </c>
      <c r="D2280" s="1" t="s">
        <v>10615</v>
      </c>
      <c r="E2280" s="1" t="s">
        <v>10616</v>
      </c>
      <c r="F2280" s="1" t="s">
        <v>10550</v>
      </c>
      <c r="G2280" s="1" t="s">
        <v>10551</v>
      </c>
    </row>
    <row r="2281" spans="1:7">
      <c r="A2281" s="1">
        <v>2280</v>
      </c>
      <c r="B2281" s="1" t="s">
        <v>10617</v>
      </c>
      <c r="D2281" s="1" t="s">
        <v>10615</v>
      </c>
      <c r="E2281" s="1" t="s">
        <v>10618</v>
      </c>
      <c r="F2281" s="1" t="s">
        <v>10554</v>
      </c>
      <c r="G2281" s="1" t="s">
        <v>10555</v>
      </c>
    </row>
    <row r="2282" spans="1:7">
      <c r="A2282" s="1">
        <v>2281</v>
      </c>
      <c r="B2282" s="1" t="s">
        <v>10619</v>
      </c>
      <c r="D2282" s="1" t="s">
        <v>10615</v>
      </c>
      <c r="E2282" s="1" t="s">
        <v>10620</v>
      </c>
      <c r="F2282" s="1" t="s">
        <v>10558</v>
      </c>
      <c r="G2282" s="1" t="s">
        <v>10559</v>
      </c>
    </row>
    <row r="2283" spans="1:7">
      <c r="A2283" s="1">
        <v>2282</v>
      </c>
      <c r="B2283" s="1" t="s">
        <v>10621</v>
      </c>
      <c r="D2283" s="1" t="s">
        <v>10615</v>
      </c>
      <c r="E2283" s="1" t="s">
        <v>10622</v>
      </c>
      <c r="F2283" s="1" t="s">
        <v>10570</v>
      </c>
      <c r="G2283" s="1" t="s">
        <v>10571</v>
      </c>
    </row>
    <row r="2284" spans="1:7">
      <c r="A2284" s="1">
        <v>2283</v>
      </c>
      <c r="B2284" s="1" t="s">
        <v>10623</v>
      </c>
      <c r="D2284" s="1" t="s">
        <v>10615</v>
      </c>
      <c r="E2284" s="1" t="s">
        <v>10624</v>
      </c>
      <c r="F2284" s="1" t="s">
        <v>10574</v>
      </c>
      <c r="G2284" s="1" t="s">
        <v>10575</v>
      </c>
    </row>
    <row r="2285" spans="1:7">
      <c r="A2285" s="1">
        <v>2284</v>
      </c>
      <c r="B2285" s="1" t="s">
        <v>10625</v>
      </c>
      <c r="D2285" s="1" t="s">
        <v>10615</v>
      </c>
      <c r="E2285" s="1" t="s">
        <v>10626</v>
      </c>
      <c r="F2285" s="1" t="s">
        <v>1507</v>
      </c>
      <c r="G2285" s="1" t="s">
        <v>1508</v>
      </c>
    </row>
    <row r="2286" spans="1:7">
      <c r="A2286" s="1">
        <v>2285</v>
      </c>
      <c r="B2286" s="1" t="s">
        <v>10627</v>
      </c>
      <c r="D2286" s="1" t="s">
        <v>10615</v>
      </c>
      <c r="E2286" s="1" t="s">
        <v>10628</v>
      </c>
      <c r="F2286" s="1" t="s">
        <v>10578</v>
      </c>
      <c r="G2286" s="1" t="s">
        <v>10579</v>
      </c>
    </row>
    <row r="2287" spans="1:7">
      <c r="A2287" s="1">
        <v>2286</v>
      </c>
      <c r="B2287" s="1" t="s">
        <v>10629</v>
      </c>
      <c r="D2287" s="1" t="s">
        <v>10615</v>
      </c>
      <c r="E2287" s="1" t="s">
        <v>10630</v>
      </c>
      <c r="F2287" s="1" t="s">
        <v>10582</v>
      </c>
      <c r="G2287" s="1" t="s">
        <v>10583</v>
      </c>
    </row>
    <row r="2288" spans="1:7">
      <c r="A2288" s="1">
        <v>2287</v>
      </c>
      <c r="B2288" s="1" t="s">
        <v>10631</v>
      </c>
      <c r="D2288" s="1" t="s">
        <v>10615</v>
      </c>
      <c r="E2288" s="1" t="s">
        <v>3696</v>
      </c>
      <c r="F2288" s="1" t="s">
        <v>10585</v>
      </c>
      <c r="G2288" s="1" t="s">
        <v>10586</v>
      </c>
    </row>
    <row r="2289" spans="1:7">
      <c r="A2289" s="1">
        <v>2288</v>
      </c>
      <c r="B2289" s="1" t="s">
        <v>10632</v>
      </c>
      <c r="D2289" s="1" t="s">
        <v>10615</v>
      </c>
      <c r="E2289" s="1" t="s">
        <v>10633</v>
      </c>
      <c r="F2289" s="1" t="s">
        <v>10589</v>
      </c>
      <c r="G2289" s="1" t="s">
        <v>10590</v>
      </c>
    </row>
    <row r="2290" spans="1:7">
      <c r="A2290" s="1">
        <v>2289</v>
      </c>
      <c r="B2290" s="1" t="s">
        <v>10634</v>
      </c>
      <c r="D2290" s="1" t="s">
        <v>10615</v>
      </c>
      <c r="E2290" s="1" t="s">
        <v>10635</v>
      </c>
      <c r="F2290" s="1" t="s">
        <v>10593</v>
      </c>
      <c r="G2290" s="1" t="s">
        <v>10590</v>
      </c>
    </row>
    <row r="2291" spans="1:7">
      <c r="A2291" s="1">
        <v>2290</v>
      </c>
      <c r="B2291" s="1" t="s">
        <v>10636</v>
      </c>
      <c r="D2291" s="1" t="s">
        <v>10615</v>
      </c>
      <c r="E2291" s="1" t="s">
        <v>10637</v>
      </c>
      <c r="F2291" s="1" t="s">
        <v>10596</v>
      </c>
      <c r="G2291" s="1" t="s">
        <v>10597</v>
      </c>
    </row>
    <row r="2292" spans="1:7">
      <c r="A2292" s="1">
        <v>2291</v>
      </c>
      <c r="B2292" s="1" t="s">
        <v>10638</v>
      </c>
      <c r="D2292" s="1" t="s">
        <v>10615</v>
      </c>
      <c r="E2292" s="1" t="s">
        <v>10639</v>
      </c>
      <c r="F2292" s="1" t="s">
        <v>10600</v>
      </c>
      <c r="G2292" s="1" t="s">
        <v>10601</v>
      </c>
    </row>
    <row r="2293" spans="1:7">
      <c r="A2293" s="1">
        <v>2292</v>
      </c>
      <c r="B2293" s="1" t="s">
        <v>10640</v>
      </c>
      <c r="D2293" s="1" t="s">
        <v>10615</v>
      </c>
      <c r="E2293" s="1" t="s">
        <v>10641</v>
      </c>
      <c r="F2293" s="1" t="s">
        <v>10604</v>
      </c>
      <c r="G2293" s="1" t="s">
        <v>10605</v>
      </c>
    </row>
    <row r="2294" spans="1:7">
      <c r="A2294" s="1">
        <v>2293</v>
      </c>
      <c r="B2294" s="1" t="s">
        <v>10642</v>
      </c>
      <c r="D2294" s="1" t="s">
        <v>10615</v>
      </c>
      <c r="E2294" s="1" t="s">
        <v>10643</v>
      </c>
      <c r="F2294" s="1" t="s">
        <v>10608</v>
      </c>
      <c r="G2294" s="1" t="s">
        <v>10609</v>
      </c>
    </row>
    <row r="2295" spans="1:7">
      <c r="A2295" s="1">
        <v>2294</v>
      </c>
      <c r="B2295" s="1" t="s">
        <v>10644</v>
      </c>
      <c r="D2295" s="1" t="s">
        <v>10615</v>
      </c>
      <c r="E2295" s="1" t="s">
        <v>10645</v>
      </c>
      <c r="F2295" s="1" t="s">
        <v>10612</v>
      </c>
      <c r="G2295" s="1" t="s">
        <v>10613</v>
      </c>
    </row>
    <row r="2296" spans="1:7">
      <c r="A2296" s="1">
        <v>2295</v>
      </c>
      <c r="B2296" s="1" t="s">
        <v>10646</v>
      </c>
      <c r="D2296" s="1" t="s">
        <v>10647</v>
      </c>
      <c r="E2296" s="1" t="s">
        <v>10648</v>
      </c>
      <c r="F2296" s="1" t="s">
        <v>641</v>
      </c>
      <c r="G2296" s="1" t="s">
        <v>642</v>
      </c>
    </row>
    <row r="2297" spans="1:7">
      <c r="A2297" s="1">
        <v>2296</v>
      </c>
      <c r="B2297" s="1" t="s">
        <v>10649</v>
      </c>
      <c r="D2297" s="1" t="s">
        <v>10647</v>
      </c>
      <c r="E2297" s="1" t="s">
        <v>10650</v>
      </c>
      <c r="F2297" s="1" t="s">
        <v>644</v>
      </c>
      <c r="G2297" s="1" t="s">
        <v>645</v>
      </c>
    </row>
    <row r="2298" spans="1:7">
      <c r="A2298" s="1">
        <v>2297</v>
      </c>
      <c r="B2298" s="1" t="s">
        <v>10651</v>
      </c>
      <c r="D2298" s="1" t="s">
        <v>10647</v>
      </c>
      <c r="E2298" s="1" t="s">
        <v>10652</v>
      </c>
      <c r="F2298" s="1" t="s">
        <v>650</v>
      </c>
      <c r="G2298" s="1" t="s">
        <v>651</v>
      </c>
    </row>
    <row r="2299" spans="1:7">
      <c r="A2299" s="1">
        <v>2298</v>
      </c>
      <c r="B2299" s="1" t="s">
        <v>10653</v>
      </c>
      <c r="D2299" s="1" t="s">
        <v>10647</v>
      </c>
      <c r="E2299" s="1" t="s">
        <v>10654</v>
      </c>
      <c r="F2299" s="1" t="s">
        <v>659</v>
      </c>
      <c r="G2299" s="1" t="s">
        <v>660</v>
      </c>
    </row>
    <row r="2300" spans="1:7">
      <c r="A2300" s="1">
        <v>2299</v>
      </c>
      <c r="B2300" s="1" t="s">
        <v>10655</v>
      </c>
      <c r="D2300" s="1" t="s">
        <v>10647</v>
      </c>
      <c r="E2300" s="1" t="s">
        <v>10656</v>
      </c>
      <c r="F2300" s="1" t="s">
        <v>10657</v>
      </c>
      <c r="G2300" s="1" t="s">
        <v>10658</v>
      </c>
    </row>
    <row r="2301" spans="1:7">
      <c r="A2301" s="1">
        <v>2300</v>
      </c>
      <c r="B2301" s="1" t="s">
        <v>10659</v>
      </c>
      <c r="D2301" s="1" t="s">
        <v>10647</v>
      </c>
      <c r="E2301" s="1" t="s">
        <v>10660</v>
      </c>
      <c r="F2301" s="1" t="s">
        <v>647</v>
      </c>
      <c r="G2301" s="1" t="s">
        <v>648</v>
      </c>
    </row>
    <row r="2302" spans="1:7">
      <c r="A2302" s="1">
        <v>2301</v>
      </c>
      <c r="B2302" s="1" t="s">
        <v>10661</v>
      </c>
      <c r="D2302" s="1" t="s">
        <v>10647</v>
      </c>
      <c r="E2302" s="1" t="s">
        <v>10662</v>
      </c>
      <c r="F2302" s="1" t="s">
        <v>10663</v>
      </c>
      <c r="G2302" s="1" t="s">
        <v>10664</v>
      </c>
    </row>
    <row r="2303" spans="1:7">
      <c r="A2303" s="1">
        <v>2302</v>
      </c>
      <c r="B2303" s="1" t="s">
        <v>10665</v>
      </c>
      <c r="D2303" s="1" t="s">
        <v>10666</v>
      </c>
      <c r="E2303" s="1" t="s">
        <v>3260</v>
      </c>
      <c r="F2303" s="1" t="s">
        <v>667</v>
      </c>
      <c r="G2303" s="1" t="s">
        <v>668</v>
      </c>
    </row>
    <row r="2304" spans="1:7">
      <c r="A2304" s="1">
        <v>2303</v>
      </c>
      <c r="B2304" s="1" t="s">
        <v>10667</v>
      </c>
      <c r="D2304" s="1" t="s">
        <v>10666</v>
      </c>
      <c r="E2304" s="1" t="s">
        <v>10668</v>
      </c>
      <c r="F2304" s="1" t="s">
        <v>10669</v>
      </c>
      <c r="G2304" s="1" t="s">
        <v>10670</v>
      </c>
    </row>
    <row r="2305" spans="1:7">
      <c r="A2305" s="1">
        <v>2304</v>
      </c>
      <c r="B2305" s="1" t="s">
        <v>10671</v>
      </c>
      <c r="D2305" s="1" t="s">
        <v>10666</v>
      </c>
      <c r="E2305" s="1" t="s">
        <v>10672</v>
      </c>
      <c r="F2305" s="1" t="s">
        <v>10673</v>
      </c>
      <c r="G2305" s="1" t="s">
        <v>10674</v>
      </c>
    </row>
    <row r="2306" spans="1:7">
      <c r="A2306" s="1">
        <v>2305</v>
      </c>
      <c r="B2306" s="1" t="s">
        <v>10675</v>
      </c>
      <c r="D2306" s="1" t="s">
        <v>10666</v>
      </c>
      <c r="E2306" s="1" t="s">
        <v>10676</v>
      </c>
      <c r="F2306" s="1" t="s">
        <v>673</v>
      </c>
      <c r="G2306" s="1" t="s">
        <v>674</v>
      </c>
    </row>
    <row r="2307" spans="1:7">
      <c r="A2307" s="1">
        <v>2306</v>
      </c>
      <c r="B2307" s="1" t="s">
        <v>10677</v>
      </c>
      <c r="D2307" s="1" t="s">
        <v>10666</v>
      </c>
      <c r="E2307" s="1" t="s">
        <v>3332</v>
      </c>
      <c r="F2307" s="1" t="s">
        <v>10678</v>
      </c>
      <c r="G2307" s="1" t="s">
        <v>10679</v>
      </c>
    </row>
    <row r="2308" spans="1:7">
      <c r="A2308" s="1">
        <v>2307</v>
      </c>
      <c r="B2308" s="1" t="s">
        <v>10680</v>
      </c>
      <c r="D2308" s="1" t="s">
        <v>10666</v>
      </c>
      <c r="E2308" s="1" t="s">
        <v>3331</v>
      </c>
      <c r="F2308" s="1" t="s">
        <v>10681</v>
      </c>
      <c r="G2308" s="1" t="s">
        <v>10682</v>
      </c>
    </row>
    <row r="2309" spans="1:7">
      <c r="A2309" s="1">
        <v>2308</v>
      </c>
      <c r="B2309" s="1" t="s">
        <v>10683</v>
      </c>
      <c r="D2309" s="1" t="s">
        <v>10666</v>
      </c>
      <c r="E2309" s="1" t="s">
        <v>3333</v>
      </c>
      <c r="F2309" s="1" t="s">
        <v>10684</v>
      </c>
      <c r="G2309" s="1" t="s">
        <v>10685</v>
      </c>
    </row>
    <row r="2310" spans="1:7">
      <c r="A2310" s="1">
        <v>2309</v>
      </c>
      <c r="B2310" s="1" t="s">
        <v>10686</v>
      </c>
      <c r="D2310" s="1" t="s">
        <v>10687</v>
      </c>
      <c r="E2310" s="1" t="s">
        <v>10688</v>
      </c>
      <c r="F2310" s="1" t="s">
        <v>693</v>
      </c>
      <c r="G2310" s="1" t="s">
        <v>694</v>
      </c>
    </row>
    <row r="2311" spans="1:7">
      <c r="A2311" s="1">
        <v>2310</v>
      </c>
      <c r="B2311" s="1" t="s">
        <v>10689</v>
      </c>
      <c r="D2311" s="1" t="s">
        <v>10687</v>
      </c>
      <c r="E2311" s="1" t="s">
        <v>10690</v>
      </c>
      <c r="F2311" s="1" t="s">
        <v>667</v>
      </c>
      <c r="G2311" s="1" t="s">
        <v>668</v>
      </c>
    </row>
    <row r="2312" spans="1:7">
      <c r="A2312" s="1">
        <v>2311</v>
      </c>
      <c r="B2312" s="1" t="s">
        <v>10691</v>
      </c>
      <c r="D2312" s="1" t="s">
        <v>10687</v>
      </c>
      <c r="E2312" s="1" t="s">
        <v>10692</v>
      </c>
      <c r="F2312" s="1" t="s">
        <v>10669</v>
      </c>
      <c r="G2312" s="1" t="s">
        <v>10670</v>
      </c>
    </row>
    <row r="2313" spans="1:7">
      <c r="A2313" s="1">
        <v>2312</v>
      </c>
      <c r="B2313" s="1" t="s">
        <v>10693</v>
      </c>
      <c r="D2313" s="1" t="s">
        <v>10687</v>
      </c>
      <c r="E2313" s="1" t="s">
        <v>3230</v>
      </c>
      <c r="F2313" s="1" t="s">
        <v>10673</v>
      </c>
      <c r="G2313" s="1" t="s">
        <v>10674</v>
      </c>
    </row>
    <row r="2314" spans="1:7">
      <c r="A2314" s="1">
        <v>2313</v>
      </c>
      <c r="B2314" s="1" t="s">
        <v>10694</v>
      </c>
      <c r="D2314" s="1" t="s">
        <v>10687</v>
      </c>
      <c r="E2314" s="1" t="s">
        <v>3243</v>
      </c>
      <c r="F2314" s="1" t="s">
        <v>673</v>
      </c>
      <c r="G2314" s="1" t="s">
        <v>674</v>
      </c>
    </row>
    <row r="2315" spans="1:7">
      <c r="A2315" s="1">
        <v>2314</v>
      </c>
      <c r="B2315" s="1" t="s">
        <v>10695</v>
      </c>
      <c r="D2315" s="1" t="s">
        <v>10687</v>
      </c>
      <c r="E2315" s="1" t="s">
        <v>3249</v>
      </c>
      <c r="F2315" s="1" t="s">
        <v>10678</v>
      </c>
      <c r="G2315" s="1" t="s">
        <v>10679</v>
      </c>
    </row>
    <row r="2316" spans="1:7">
      <c r="A2316" s="1">
        <v>2315</v>
      </c>
      <c r="B2316" s="1" t="s">
        <v>10696</v>
      </c>
      <c r="D2316" s="1" t="s">
        <v>10687</v>
      </c>
      <c r="E2316" s="1" t="s">
        <v>3246</v>
      </c>
      <c r="F2316" s="1" t="s">
        <v>10681</v>
      </c>
      <c r="G2316" s="1" t="s">
        <v>10682</v>
      </c>
    </row>
    <row r="2317" spans="1:7">
      <c r="A2317" s="1">
        <v>2316</v>
      </c>
      <c r="B2317" s="1" t="s">
        <v>10697</v>
      </c>
      <c r="D2317" s="1" t="s">
        <v>10687</v>
      </c>
      <c r="E2317" s="1" t="s">
        <v>3250</v>
      </c>
      <c r="F2317" s="1" t="s">
        <v>10684</v>
      </c>
      <c r="G2317" s="1" t="s">
        <v>10685</v>
      </c>
    </row>
    <row r="2318" spans="1:7">
      <c r="A2318" s="1">
        <v>2317</v>
      </c>
      <c r="B2318" s="1" t="s">
        <v>10698</v>
      </c>
      <c r="D2318" s="1" t="s">
        <v>10699</v>
      </c>
      <c r="E2318" s="1" t="s">
        <v>698</v>
      </c>
      <c r="F2318" s="1" t="s">
        <v>699</v>
      </c>
      <c r="G2318" s="1" t="s">
        <v>700</v>
      </c>
    </row>
    <row r="2319" spans="1:7">
      <c r="A2319" s="1">
        <v>2318</v>
      </c>
      <c r="B2319" s="1" t="s">
        <v>10700</v>
      </c>
      <c r="D2319" s="1" t="s">
        <v>10701</v>
      </c>
      <c r="E2319" s="1" t="s">
        <v>10702</v>
      </c>
      <c r="F2319" s="1" t="s">
        <v>10703</v>
      </c>
      <c r="G2319" s="1" t="s">
        <v>10704</v>
      </c>
    </row>
    <row r="2320" spans="1:7">
      <c r="A2320" s="1">
        <v>2319</v>
      </c>
      <c r="B2320" s="1" t="s">
        <v>10705</v>
      </c>
      <c r="D2320" s="1" t="s">
        <v>10701</v>
      </c>
      <c r="E2320" s="1" t="s">
        <v>10706</v>
      </c>
      <c r="F2320" s="1" t="s">
        <v>1569</v>
      </c>
      <c r="G2320" s="1" t="s">
        <v>1570</v>
      </c>
    </row>
    <row r="2321" spans="1:7">
      <c r="A2321" s="1">
        <v>2320</v>
      </c>
      <c r="B2321" s="1" t="s">
        <v>10707</v>
      </c>
      <c r="D2321" s="1" t="s">
        <v>10701</v>
      </c>
      <c r="E2321" s="1" t="s">
        <v>10708</v>
      </c>
      <c r="F2321" s="1" t="s">
        <v>1572</v>
      </c>
      <c r="G2321" s="1" t="s">
        <v>1573</v>
      </c>
    </row>
    <row r="2322" spans="1:7">
      <c r="A2322" s="1">
        <v>2321</v>
      </c>
      <c r="B2322" s="1" t="s">
        <v>10709</v>
      </c>
      <c r="D2322" s="1" t="s">
        <v>10701</v>
      </c>
      <c r="E2322" s="1" t="s">
        <v>10710</v>
      </c>
      <c r="F2322" s="1" t="s">
        <v>10711</v>
      </c>
      <c r="G2322" s="1" t="s">
        <v>10712</v>
      </c>
    </row>
    <row r="2323" spans="1:7">
      <c r="A2323" s="1">
        <v>2322</v>
      </c>
      <c r="B2323" s="1" t="s">
        <v>10713</v>
      </c>
      <c r="D2323" s="1" t="s">
        <v>10701</v>
      </c>
      <c r="E2323" s="1" t="s">
        <v>10714</v>
      </c>
      <c r="F2323" s="1" t="s">
        <v>10715</v>
      </c>
      <c r="G2323" s="1" t="s">
        <v>10716</v>
      </c>
    </row>
    <row r="2324" spans="1:7">
      <c r="A2324" s="1">
        <v>2323</v>
      </c>
      <c r="B2324" s="1" t="s">
        <v>10717</v>
      </c>
      <c r="D2324" s="1" t="s">
        <v>10718</v>
      </c>
      <c r="E2324" s="1" t="s">
        <v>2288</v>
      </c>
      <c r="F2324" s="1" t="s">
        <v>10719</v>
      </c>
      <c r="G2324" s="1" t="s">
        <v>10720</v>
      </c>
    </row>
    <row r="2325" spans="1:7">
      <c r="A2325" s="1">
        <v>2324</v>
      </c>
      <c r="B2325" s="1" t="s">
        <v>10721</v>
      </c>
      <c r="D2325" s="1" t="s">
        <v>10718</v>
      </c>
      <c r="E2325" s="1" t="s">
        <v>2296</v>
      </c>
      <c r="F2325" s="1" t="s">
        <v>10703</v>
      </c>
      <c r="G2325" s="1" t="s">
        <v>10704</v>
      </c>
    </row>
    <row r="2326" spans="1:7">
      <c r="A2326" s="1">
        <v>2325</v>
      </c>
      <c r="B2326" s="1" t="s">
        <v>10722</v>
      </c>
      <c r="D2326" s="1" t="s">
        <v>10718</v>
      </c>
      <c r="E2326" s="1" t="s">
        <v>2292</v>
      </c>
      <c r="F2326" s="1" t="s">
        <v>10723</v>
      </c>
      <c r="G2326" s="1" t="s">
        <v>10724</v>
      </c>
    </row>
    <row r="2327" spans="1:7">
      <c r="A2327" s="1">
        <v>2326</v>
      </c>
      <c r="B2327" s="1" t="s">
        <v>10725</v>
      </c>
      <c r="D2327" s="1" t="s">
        <v>10718</v>
      </c>
      <c r="E2327" s="1" t="s">
        <v>2294</v>
      </c>
      <c r="F2327" s="1" t="s">
        <v>1592</v>
      </c>
      <c r="G2327" s="1" t="s">
        <v>1593</v>
      </c>
    </row>
    <row r="2328" spans="1:7">
      <c r="A2328" s="1">
        <v>2327</v>
      </c>
      <c r="B2328" s="1" t="s">
        <v>10726</v>
      </c>
      <c r="D2328" s="1" t="s">
        <v>10718</v>
      </c>
      <c r="E2328" s="1" t="s">
        <v>2290</v>
      </c>
      <c r="F2328" s="1" t="s">
        <v>10727</v>
      </c>
      <c r="G2328" s="1" t="s">
        <v>10728</v>
      </c>
    </row>
    <row r="2329" spans="1:7">
      <c r="A2329" s="1">
        <v>2328</v>
      </c>
      <c r="B2329" s="1" t="s">
        <v>10729</v>
      </c>
      <c r="D2329" s="1" t="s">
        <v>10718</v>
      </c>
      <c r="E2329" s="1" t="s">
        <v>2300</v>
      </c>
      <c r="F2329" s="1" t="s">
        <v>1572</v>
      </c>
      <c r="G2329" s="1" t="s">
        <v>1573</v>
      </c>
    </row>
    <row r="2330" spans="1:7">
      <c r="A2330" s="1">
        <v>2329</v>
      </c>
      <c r="B2330" s="1" t="s">
        <v>10730</v>
      </c>
      <c r="D2330" s="1" t="s">
        <v>10718</v>
      </c>
      <c r="E2330" s="1" t="s">
        <v>2298</v>
      </c>
      <c r="F2330" s="1" t="s">
        <v>10731</v>
      </c>
      <c r="G2330" s="1" t="s">
        <v>10732</v>
      </c>
    </row>
    <row r="2331" spans="1:7">
      <c r="A2331" s="1">
        <v>2330</v>
      </c>
      <c r="B2331" s="1" t="s">
        <v>10733</v>
      </c>
      <c r="D2331" s="1" t="s">
        <v>10718</v>
      </c>
      <c r="E2331" s="1" t="s">
        <v>2304</v>
      </c>
      <c r="F2331" s="1" t="s">
        <v>10734</v>
      </c>
      <c r="G2331" s="1" t="s">
        <v>10735</v>
      </c>
    </row>
    <row r="2332" spans="1:7">
      <c r="A2332" s="1">
        <v>2331</v>
      </c>
      <c r="B2332" s="1" t="s">
        <v>10736</v>
      </c>
      <c r="D2332" s="1" t="s">
        <v>10718</v>
      </c>
      <c r="E2332" s="1" t="s">
        <v>2306</v>
      </c>
      <c r="F2332" s="1" t="s">
        <v>1605</v>
      </c>
      <c r="G2332" s="1" t="s">
        <v>1606</v>
      </c>
    </row>
    <row r="2333" spans="1:7">
      <c r="A2333" s="1">
        <v>2332</v>
      </c>
      <c r="B2333" s="1" t="s">
        <v>10737</v>
      </c>
      <c r="D2333" s="1" t="s">
        <v>10718</v>
      </c>
      <c r="E2333" s="1" t="s">
        <v>2308</v>
      </c>
      <c r="F2333" s="1" t="s">
        <v>10711</v>
      </c>
      <c r="G2333" s="1" t="s">
        <v>10712</v>
      </c>
    </row>
    <row r="2334" spans="1:7">
      <c r="A2334" s="1">
        <v>2333</v>
      </c>
      <c r="B2334" s="1" t="s">
        <v>10738</v>
      </c>
      <c r="D2334" s="1" t="s">
        <v>10718</v>
      </c>
      <c r="E2334" s="1" t="s">
        <v>2310</v>
      </c>
      <c r="F2334" s="1" t="s">
        <v>10715</v>
      </c>
      <c r="G2334" s="1" t="s">
        <v>10716</v>
      </c>
    </row>
    <row r="2335" spans="1:7">
      <c r="A2335" s="1">
        <v>2334</v>
      </c>
      <c r="B2335" s="1" t="s">
        <v>10739</v>
      </c>
      <c r="D2335" s="1" t="s">
        <v>10740</v>
      </c>
      <c r="E2335" s="1" t="s">
        <v>10741</v>
      </c>
      <c r="F2335" s="1" t="s">
        <v>10703</v>
      </c>
      <c r="G2335" s="1" t="s">
        <v>10704</v>
      </c>
    </row>
    <row r="2336" spans="1:7">
      <c r="A2336" s="1">
        <v>2335</v>
      </c>
      <c r="B2336" s="1" t="s">
        <v>10742</v>
      </c>
      <c r="D2336" s="1" t="s">
        <v>10740</v>
      </c>
      <c r="E2336" s="1" t="s">
        <v>10743</v>
      </c>
      <c r="F2336" s="1" t="s">
        <v>1578</v>
      </c>
      <c r="G2336" s="1" t="s">
        <v>1579</v>
      </c>
    </row>
    <row r="2337" spans="1:7">
      <c r="A2337" s="1">
        <v>2336</v>
      </c>
      <c r="B2337" s="1" t="s">
        <v>10744</v>
      </c>
      <c r="D2337" s="1" t="s">
        <v>10740</v>
      </c>
      <c r="E2337" s="1" t="s">
        <v>2692</v>
      </c>
      <c r="F2337" s="1" t="s">
        <v>1569</v>
      </c>
      <c r="G2337" s="1" t="s">
        <v>1570</v>
      </c>
    </row>
    <row r="2338" spans="1:7">
      <c r="A2338" s="1">
        <v>2337</v>
      </c>
      <c r="B2338" s="1" t="s">
        <v>10745</v>
      </c>
      <c r="D2338" s="1" t="s">
        <v>10740</v>
      </c>
      <c r="E2338" s="1" t="s">
        <v>10746</v>
      </c>
      <c r="F2338" s="1" t="s">
        <v>1572</v>
      </c>
      <c r="G2338" s="1" t="s">
        <v>1573</v>
      </c>
    </row>
    <row r="2339" spans="1:7">
      <c r="A2339" s="1">
        <v>2338</v>
      </c>
      <c r="B2339" s="1" t="s">
        <v>10747</v>
      </c>
      <c r="D2339" s="1" t="s">
        <v>10740</v>
      </c>
      <c r="E2339" s="1" t="s">
        <v>10748</v>
      </c>
      <c r="F2339" s="1" t="s">
        <v>10711</v>
      </c>
      <c r="G2339" s="1" t="s">
        <v>10712</v>
      </c>
    </row>
    <row r="2340" spans="1:7">
      <c r="A2340" s="1">
        <v>2339</v>
      </c>
      <c r="B2340" s="1" t="s">
        <v>10749</v>
      </c>
      <c r="D2340" s="1" t="s">
        <v>10740</v>
      </c>
      <c r="E2340" s="1" t="s">
        <v>10750</v>
      </c>
      <c r="F2340" s="1" t="s">
        <v>10715</v>
      </c>
      <c r="G2340" s="1" t="s">
        <v>10716</v>
      </c>
    </row>
    <row r="2341" spans="1:7">
      <c r="A2341" s="1">
        <v>2340</v>
      </c>
      <c r="B2341" s="1" t="s">
        <v>10751</v>
      </c>
      <c r="D2341" s="1" t="s">
        <v>10752</v>
      </c>
      <c r="E2341" s="1" t="s">
        <v>10753</v>
      </c>
      <c r="F2341" s="1" t="s">
        <v>10754</v>
      </c>
      <c r="G2341" s="1" t="s">
        <v>10755</v>
      </c>
    </row>
    <row r="2342" spans="1:7">
      <c r="A2342" s="1">
        <v>2341</v>
      </c>
      <c r="B2342" s="1" t="s">
        <v>10756</v>
      </c>
      <c r="D2342" s="1" t="s">
        <v>10757</v>
      </c>
      <c r="E2342" s="1" t="s">
        <v>2910</v>
      </c>
      <c r="F2342" s="1" t="s">
        <v>10758</v>
      </c>
      <c r="G2342" s="1" t="s">
        <v>10759</v>
      </c>
    </row>
    <row r="2343" spans="1:7">
      <c r="A2343" s="1">
        <v>2342</v>
      </c>
      <c r="B2343" s="1" t="s">
        <v>10760</v>
      </c>
      <c r="D2343" s="1" t="s">
        <v>10757</v>
      </c>
      <c r="E2343" s="1" t="s">
        <v>2898</v>
      </c>
      <c r="F2343" s="1" t="s">
        <v>10761</v>
      </c>
      <c r="G2343" s="1" t="s">
        <v>10762</v>
      </c>
    </row>
    <row r="2344" spans="1:7">
      <c r="A2344" s="1">
        <v>2343</v>
      </c>
      <c r="B2344" s="1" t="s">
        <v>10763</v>
      </c>
      <c r="D2344" s="1" t="s">
        <v>10757</v>
      </c>
      <c r="E2344" s="1" t="s">
        <v>2897</v>
      </c>
      <c r="F2344" s="1" t="s">
        <v>10764</v>
      </c>
      <c r="G2344" s="1" t="s">
        <v>10765</v>
      </c>
    </row>
    <row r="2345" spans="1:7">
      <c r="A2345" s="1">
        <v>2344</v>
      </c>
      <c r="B2345" s="1" t="s">
        <v>10766</v>
      </c>
      <c r="D2345" s="1" t="s">
        <v>10757</v>
      </c>
      <c r="E2345" s="1" t="s">
        <v>10767</v>
      </c>
      <c r="F2345" s="1" t="s">
        <v>10768</v>
      </c>
      <c r="G2345" s="1" t="s">
        <v>10769</v>
      </c>
    </row>
    <row r="2346" spans="1:7">
      <c r="A2346" s="1">
        <v>2345</v>
      </c>
      <c r="B2346" s="1" t="s">
        <v>10770</v>
      </c>
      <c r="D2346" s="1" t="s">
        <v>10757</v>
      </c>
      <c r="E2346" s="1" t="s">
        <v>10771</v>
      </c>
      <c r="F2346" s="1" t="s">
        <v>10772</v>
      </c>
      <c r="G2346" s="1" t="s">
        <v>10773</v>
      </c>
    </row>
    <row r="2347" spans="1:7">
      <c r="A2347" s="1">
        <v>2346</v>
      </c>
      <c r="B2347" s="1" t="s">
        <v>10774</v>
      </c>
      <c r="D2347" s="1" t="s">
        <v>10757</v>
      </c>
      <c r="E2347" s="1" t="s">
        <v>10775</v>
      </c>
      <c r="F2347" s="1" t="s">
        <v>10776</v>
      </c>
      <c r="G2347" s="1" t="s">
        <v>10777</v>
      </c>
    </row>
    <row r="2348" spans="1:7">
      <c r="A2348" s="1">
        <v>2347</v>
      </c>
      <c r="B2348" s="1" t="s">
        <v>10778</v>
      </c>
      <c r="D2348" s="1" t="s">
        <v>10757</v>
      </c>
      <c r="E2348" s="1" t="s">
        <v>10779</v>
      </c>
      <c r="F2348" s="1" t="s">
        <v>10780</v>
      </c>
      <c r="G2348" s="1" t="s">
        <v>10781</v>
      </c>
    </row>
    <row r="2349" spans="1:7">
      <c r="A2349" s="1">
        <v>2348</v>
      </c>
      <c r="B2349" s="1" t="s">
        <v>10782</v>
      </c>
      <c r="D2349" s="1" t="s">
        <v>10757</v>
      </c>
      <c r="E2349" s="1" t="s">
        <v>2911</v>
      </c>
      <c r="F2349" s="1" t="s">
        <v>10783</v>
      </c>
      <c r="G2349" s="1" t="s">
        <v>10784</v>
      </c>
    </row>
    <row r="2350" spans="1:7">
      <c r="A2350" s="1">
        <v>2349</v>
      </c>
      <c r="B2350" s="1" t="s">
        <v>10785</v>
      </c>
      <c r="D2350" s="1" t="s">
        <v>10757</v>
      </c>
      <c r="E2350" s="1" t="s">
        <v>10786</v>
      </c>
      <c r="F2350" s="1" t="s">
        <v>10787</v>
      </c>
      <c r="G2350" s="1" t="s">
        <v>10788</v>
      </c>
    </row>
    <row r="2351" spans="1:7">
      <c r="A2351" s="1">
        <v>2350</v>
      </c>
      <c r="B2351" s="1" t="s">
        <v>10789</v>
      </c>
      <c r="D2351" s="1" t="s">
        <v>10757</v>
      </c>
      <c r="E2351" s="1" t="s">
        <v>10790</v>
      </c>
      <c r="F2351" s="1" t="s">
        <v>10791</v>
      </c>
      <c r="G2351" s="1" t="s">
        <v>10792</v>
      </c>
    </row>
    <row r="2352" spans="1:7">
      <c r="A2352" s="1">
        <v>2351</v>
      </c>
      <c r="B2352" s="1" t="s">
        <v>10793</v>
      </c>
      <c r="D2352" s="1" t="s">
        <v>10757</v>
      </c>
      <c r="E2352" s="1" t="s">
        <v>2904</v>
      </c>
      <c r="F2352" s="1" t="s">
        <v>10794</v>
      </c>
      <c r="G2352" s="1" t="s">
        <v>10795</v>
      </c>
    </row>
    <row r="2353" spans="1:7">
      <c r="A2353" s="1">
        <v>2352</v>
      </c>
      <c r="B2353" s="1" t="s">
        <v>10796</v>
      </c>
      <c r="D2353" s="1" t="s">
        <v>10757</v>
      </c>
      <c r="E2353" s="1" t="s">
        <v>2901</v>
      </c>
      <c r="F2353" s="1" t="s">
        <v>10797</v>
      </c>
      <c r="G2353" s="1" t="s">
        <v>10798</v>
      </c>
    </row>
    <row r="2354" spans="1:7">
      <c r="A2354" s="1">
        <v>2353</v>
      </c>
      <c r="B2354" s="1" t="s">
        <v>10799</v>
      </c>
      <c r="D2354" s="1" t="s">
        <v>10757</v>
      </c>
      <c r="E2354" s="1" t="s">
        <v>2907</v>
      </c>
      <c r="F2354" s="1" t="s">
        <v>10800</v>
      </c>
      <c r="G2354" s="1" t="s">
        <v>10801</v>
      </c>
    </row>
    <row r="2355" spans="1:7">
      <c r="A2355" s="1">
        <v>2354</v>
      </c>
      <c r="B2355" s="1" t="s">
        <v>10802</v>
      </c>
      <c r="D2355" s="1" t="s">
        <v>10757</v>
      </c>
      <c r="E2355" s="1" t="s">
        <v>10803</v>
      </c>
      <c r="F2355" s="1" t="s">
        <v>10804</v>
      </c>
      <c r="G2355" s="1" t="s">
        <v>10805</v>
      </c>
    </row>
    <row r="2356" spans="1:7">
      <c r="A2356" s="1">
        <v>2355</v>
      </c>
      <c r="B2356" s="1" t="s">
        <v>10806</v>
      </c>
      <c r="D2356" s="1" t="s">
        <v>10807</v>
      </c>
      <c r="E2356" s="1" t="s">
        <v>10808</v>
      </c>
      <c r="F2356" s="1" t="s">
        <v>10809</v>
      </c>
      <c r="G2356" s="1" t="s">
        <v>10810</v>
      </c>
    </row>
    <row r="2357" spans="1:7">
      <c r="A2357" s="1">
        <v>2356</v>
      </c>
      <c r="B2357" s="1" t="s">
        <v>10811</v>
      </c>
      <c r="D2357" s="1" t="s">
        <v>10812</v>
      </c>
      <c r="E2357" s="1" t="s">
        <v>10813</v>
      </c>
      <c r="F2357" s="1" t="s">
        <v>10809</v>
      </c>
      <c r="G2357" s="1" t="s">
        <v>10810</v>
      </c>
    </row>
    <row r="2358" spans="1:7">
      <c r="A2358" s="1">
        <v>2357</v>
      </c>
      <c r="B2358" s="1" t="s">
        <v>10814</v>
      </c>
      <c r="D2358" s="1" t="s">
        <v>10815</v>
      </c>
      <c r="E2358" s="1" t="s">
        <v>10816</v>
      </c>
      <c r="F2358" s="1" t="s">
        <v>10817</v>
      </c>
      <c r="G2358" s="1" t="s">
        <v>10818</v>
      </c>
    </row>
    <row r="2359" spans="1:7">
      <c r="A2359" s="1">
        <v>2358</v>
      </c>
      <c r="B2359" s="1" t="s">
        <v>10819</v>
      </c>
      <c r="D2359" s="1" t="s">
        <v>10815</v>
      </c>
      <c r="E2359" s="1" t="s">
        <v>10820</v>
      </c>
      <c r="F2359" s="1" t="s">
        <v>10821</v>
      </c>
      <c r="G2359" s="1" t="s">
        <v>10822</v>
      </c>
    </row>
    <row r="2360" spans="1:7">
      <c r="A2360" s="1">
        <v>2359</v>
      </c>
      <c r="B2360" s="1" t="s">
        <v>10823</v>
      </c>
      <c r="D2360" s="1" t="s">
        <v>10815</v>
      </c>
      <c r="E2360" s="1" t="s">
        <v>10824</v>
      </c>
      <c r="F2360" s="1" t="s">
        <v>116</v>
      </c>
      <c r="G2360" s="1" t="s">
        <v>117</v>
      </c>
    </row>
    <row r="2361" spans="1:7">
      <c r="A2361" s="1">
        <v>2360</v>
      </c>
      <c r="B2361" s="1" t="s">
        <v>10825</v>
      </c>
      <c r="D2361" s="1" t="s">
        <v>10815</v>
      </c>
      <c r="E2361" s="1" t="s">
        <v>10826</v>
      </c>
      <c r="F2361" s="1" t="s">
        <v>10827</v>
      </c>
      <c r="G2361" s="1" t="s">
        <v>10828</v>
      </c>
    </row>
    <row r="2362" spans="1:7">
      <c r="A2362" s="1">
        <v>2361</v>
      </c>
      <c r="B2362" s="1" t="s">
        <v>10829</v>
      </c>
      <c r="D2362" s="1" t="s">
        <v>10815</v>
      </c>
      <c r="E2362" s="1" t="s">
        <v>10830</v>
      </c>
      <c r="F2362" s="1" t="s">
        <v>10831</v>
      </c>
      <c r="G2362" s="1" t="s">
        <v>10832</v>
      </c>
    </row>
    <row r="2363" spans="1:7">
      <c r="A2363" s="1">
        <v>2362</v>
      </c>
      <c r="B2363" s="1" t="s">
        <v>10833</v>
      </c>
      <c r="D2363" s="1" t="s">
        <v>10815</v>
      </c>
      <c r="E2363" s="1" t="s">
        <v>10834</v>
      </c>
      <c r="F2363" s="1" t="s">
        <v>10835</v>
      </c>
      <c r="G2363" s="1" t="s">
        <v>10836</v>
      </c>
    </row>
    <row r="2364" spans="1:7">
      <c r="A2364" s="1">
        <v>2363</v>
      </c>
      <c r="B2364" s="1" t="s">
        <v>10837</v>
      </c>
      <c r="D2364" s="1" t="s">
        <v>10815</v>
      </c>
      <c r="E2364" s="1" t="s">
        <v>10838</v>
      </c>
      <c r="F2364" s="1" t="s">
        <v>128</v>
      </c>
      <c r="G2364" s="1" t="s">
        <v>129</v>
      </c>
    </row>
    <row r="2365" spans="1:7">
      <c r="A2365" s="1">
        <v>2364</v>
      </c>
      <c r="B2365" s="1" t="s">
        <v>10839</v>
      </c>
      <c r="D2365" s="1" t="s">
        <v>10815</v>
      </c>
      <c r="E2365" s="1" t="s">
        <v>10840</v>
      </c>
      <c r="F2365" s="1" t="s">
        <v>10841</v>
      </c>
      <c r="G2365" s="1" t="s">
        <v>10842</v>
      </c>
    </row>
    <row r="2366" spans="1:7">
      <c r="A2366" s="1">
        <v>2365</v>
      </c>
      <c r="B2366" s="1" t="s">
        <v>10843</v>
      </c>
      <c r="D2366" s="1" t="s">
        <v>10815</v>
      </c>
      <c r="E2366" s="1" t="s">
        <v>10844</v>
      </c>
      <c r="F2366" s="1" t="s">
        <v>10845</v>
      </c>
      <c r="G2366" s="1" t="s">
        <v>10846</v>
      </c>
    </row>
    <row r="2367" spans="1:7">
      <c r="A2367" s="1">
        <v>2366</v>
      </c>
      <c r="B2367" s="1" t="s">
        <v>10847</v>
      </c>
      <c r="D2367" s="1" t="s">
        <v>10848</v>
      </c>
      <c r="E2367" s="1" t="s">
        <v>10849</v>
      </c>
      <c r="F2367" s="1" t="s">
        <v>10817</v>
      </c>
      <c r="G2367" s="1" t="s">
        <v>10818</v>
      </c>
    </row>
    <row r="2368" spans="1:7">
      <c r="A2368" s="1">
        <v>2367</v>
      </c>
      <c r="B2368" s="1" t="s">
        <v>10850</v>
      </c>
      <c r="D2368" s="1" t="s">
        <v>10848</v>
      </c>
      <c r="E2368" s="1" t="s">
        <v>10851</v>
      </c>
      <c r="F2368" s="1" t="s">
        <v>10821</v>
      </c>
      <c r="G2368" s="1" t="s">
        <v>10822</v>
      </c>
    </row>
    <row r="2369" spans="1:7">
      <c r="A2369" s="1">
        <v>2368</v>
      </c>
      <c r="B2369" s="1" t="s">
        <v>10852</v>
      </c>
      <c r="D2369" s="1" t="s">
        <v>10848</v>
      </c>
      <c r="E2369" s="1" t="s">
        <v>10853</v>
      </c>
      <c r="F2369" s="1" t="s">
        <v>116</v>
      </c>
      <c r="G2369" s="1" t="s">
        <v>117</v>
      </c>
    </row>
    <row r="2370" spans="1:7">
      <c r="A2370" s="1">
        <v>2369</v>
      </c>
      <c r="B2370" s="1" t="s">
        <v>10854</v>
      </c>
      <c r="D2370" s="1" t="s">
        <v>10848</v>
      </c>
      <c r="E2370" s="1" t="s">
        <v>10855</v>
      </c>
      <c r="F2370" s="1" t="s">
        <v>10827</v>
      </c>
      <c r="G2370" s="1" t="s">
        <v>10828</v>
      </c>
    </row>
    <row r="2371" spans="1:7">
      <c r="A2371" s="1">
        <v>2370</v>
      </c>
      <c r="B2371" s="1" t="s">
        <v>10856</v>
      </c>
      <c r="D2371" s="1" t="s">
        <v>10848</v>
      </c>
      <c r="E2371" s="1" t="s">
        <v>10857</v>
      </c>
      <c r="F2371" s="1" t="s">
        <v>10831</v>
      </c>
      <c r="G2371" s="1" t="s">
        <v>10832</v>
      </c>
    </row>
    <row r="2372" spans="1:7">
      <c r="A2372" s="1">
        <v>2371</v>
      </c>
      <c r="B2372" s="1" t="s">
        <v>10858</v>
      </c>
      <c r="D2372" s="1" t="s">
        <v>10848</v>
      </c>
      <c r="E2372" s="1" t="s">
        <v>10859</v>
      </c>
      <c r="F2372" s="1" t="s">
        <v>134</v>
      </c>
      <c r="G2372" s="1" t="s">
        <v>135</v>
      </c>
    </row>
    <row r="2373" spans="1:7">
      <c r="A2373" s="1">
        <v>2372</v>
      </c>
      <c r="B2373" s="1" t="s">
        <v>10860</v>
      </c>
      <c r="D2373" s="1" t="s">
        <v>10848</v>
      </c>
      <c r="E2373" s="1" t="s">
        <v>10861</v>
      </c>
      <c r="F2373" s="1" t="s">
        <v>10835</v>
      </c>
      <c r="G2373" s="1" t="s">
        <v>10836</v>
      </c>
    </row>
    <row r="2374" spans="1:7">
      <c r="A2374" s="1">
        <v>2373</v>
      </c>
      <c r="B2374" s="1" t="s">
        <v>10862</v>
      </c>
      <c r="D2374" s="1" t="s">
        <v>10848</v>
      </c>
      <c r="E2374" s="1" t="s">
        <v>10863</v>
      </c>
      <c r="F2374" s="1" t="s">
        <v>128</v>
      </c>
      <c r="G2374" s="1" t="s">
        <v>129</v>
      </c>
    </row>
    <row r="2375" spans="1:7">
      <c r="A2375" s="1">
        <v>2374</v>
      </c>
      <c r="B2375" s="1" t="s">
        <v>10864</v>
      </c>
      <c r="D2375" s="1" t="s">
        <v>10848</v>
      </c>
      <c r="E2375" s="1" t="s">
        <v>10865</v>
      </c>
      <c r="F2375" s="1" t="s">
        <v>10841</v>
      </c>
      <c r="G2375" s="1" t="s">
        <v>10842</v>
      </c>
    </row>
    <row r="2376" spans="1:7">
      <c r="A2376" s="1">
        <v>2375</v>
      </c>
      <c r="B2376" s="1" t="s">
        <v>10866</v>
      </c>
      <c r="D2376" s="1" t="s">
        <v>10848</v>
      </c>
      <c r="E2376" s="1" t="s">
        <v>10867</v>
      </c>
      <c r="F2376" s="1" t="s">
        <v>10845</v>
      </c>
      <c r="G2376" s="1" t="s">
        <v>10846</v>
      </c>
    </row>
    <row r="2377" spans="1:7">
      <c r="A2377" s="1">
        <v>2376</v>
      </c>
      <c r="B2377" s="1" t="s">
        <v>10868</v>
      </c>
      <c r="D2377" s="1" t="s">
        <v>10869</v>
      </c>
      <c r="E2377" s="1" t="s">
        <v>1627</v>
      </c>
      <c r="F2377" s="1" t="s">
        <v>1628</v>
      </c>
      <c r="G2377" s="1" t="s">
        <v>1629</v>
      </c>
    </row>
    <row r="2378" spans="1:7">
      <c r="A2378" s="1">
        <v>2377</v>
      </c>
      <c r="B2378" s="1" t="s">
        <v>10870</v>
      </c>
      <c r="D2378" s="1" t="s">
        <v>10869</v>
      </c>
      <c r="E2378" s="1" t="s">
        <v>1615</v>
      </c>
      <c r="F2378" s="1" t="s">
        <v>10871</v>
      </c>
      <c r="G2378" s="1" t="s">
        <v>10872</v>
      </c>
    </row>
    <row r="2379" spans="1:7">
      <c r="A2379" s="1">
        <v>2378</v>
      </c>
      <c r="B2379" s="1" t="s">
        <v>10873</v>
      </c>
      <c r="D2379" s="1" t="s">
        <v>10869</v>
      </c>
      <c r="E2379" s="1" t="s">
        <v>1636</v>
      </c>
      <c r="F2379" s="1" t="s">
        <v>1637</v>
      </c>
      <c r="G2379" s="1" t="s">
        <v>1638</v>
      </c>
    </row>
    <row r="2380" spans="1:7">
      <c r="A2380" s="1">
        <v>2379</v>
      </c>
      <c r="B2380" s="1" t="s">
        <v>10874</v>
      </c>
      <c r="D2380" s="1" t="s">
        <v>10869</v>
      </c>
      <c r="E2380" s="1" t="s">
        <v>1618</v>
      </c>
      <c r="F2380" s="1" t="s">
        <v>1619</v>
      </c>
      <c r="G2380" s="1" t="s">
        <v>1620</v>
      </c>
    </row>
    <row r="2381" spans="1:7">
      <c r="A2381" s="1">
        <v>2380</v>
      </c>
      <c r="B2381" s="1" t="s">
        <v>10875</v>
      </c>
      <c r="D2381" s="1" t="s">
        <v>10869</v>
      </c>
      <c r="E2381" s="1" t="s">
        <v>1621</v>
      </c>
      <c r="F2381" s="1" t="s">
        <v>10876</v>
      </c>
      <c r="G2381" s="1" t="s">
        <v>10877</v>
      </c>
    </row>
    <row r="2382" spans="1:7">
      <c r="A2382" s="1">
        <v>2381</v>
      </c>
      <c r="B2382" s="1" t="s">
        <v>10878</v>
      </c>
      <c r="D2382" s="1" t="s">
        <v>10869</v>
      </c>
      <c r="E2382" s="1" t="s">
        <v>1624</v>
      </c>
      <c r="F2382" s="1" t="s">
        <v>10879</v>
      </c>
      <c r="G2382" s="1" t="s">
        <v>10880</v>
      </c>
    </row>
    <row r="2383" spans="1:7">
      <c r="A2383" s="1">
        <v>2382</v>
      </c>
      <c r="B2383" s="1" t="s">
        <v>10881</v>
      </c>
      <c r="D2383" s="1" t="s">
        <v>10869</v>
      </c>
      <c r="E2383" s="1" t="s">
        <v>1633</v>
      </c>
      <c r="F2383" s="1" t="s">
        <v>1634</v>
      </c>
      <c r="G2383" s="1" t="s">
        <v>1635</v>
      </c>
    </row>
    <row r="2384" spans="1:7">
      <c r="A2384" s="1">
        <v>2383</v>
      </c>
      <c r="B2384" s="1" t="s">
        <v>10882</v>
      </c>
      <c r="D2384" s="1" t="s">
        <v>10869</v>
      </c>
      <c r="E2384" s="1" t="s">
        <v>1630</v>
      </c>
      <c r="F2384" s="1" t="s">
        <v>1631</v>
      </c>
      <c r="G2384" s="1" t="s">
        <v>1632</v>
      </c>
    </row>
    <row r="2385" spans="1:7">
      <c r="A2385" s="1">
        <v>2384</v>
      </c>
      <c r="B2385" s="1" t="s">
        <v>10883</v>
      </c>
      <c r="D2385" s="1" t="s">
        <v>10869</v>
      </c>
      <c r="E2385" s="1" t="s">
        <v>1642</v>
      </c>
      <c r="F2385" s="1" t="s">
        <v>10884</v>
      </c>
      <c r="G2385" s="1" t="s">
        <v>10885</v>
      </c>
    </row>
    <row r="2386" spans="1:7">
      <c r="A2386" s="1">
        <v>2385</v>
      </c>
      <c r="B2386" s="1" t="s">
        <v>10886</v>
      </c>
      <c r="D2386" s="1" t="s">
        <v>10869</v>
      </c>
      <c r="E2386" s="1" t="s">
        <v>1651</v>
      </c>
      <c r="F2386" s="1" t="s">
        <v>1652</v>
      </c>
      <c r="G2386" s="1" t="s">
        <v>1653</v>
      </c>
    </row>
    <row r="2387" spans="1:7">
      <c r="A2387" s="1">
        <v>2386</v>
      </c>
      <c r="B2387" s="1" t="s">
        <v>10887</v>
      </c>
      <c r="D2387" s="1" t="s">
        <v>10869</v>
      </c>
      <c r="E2387" s="1" t="s">
        <v>1639</v>
      </c>
      <c r="F2387" s="1" t="s">
        <v>10888</v>
      </c>
      <c r="G2387" s="1" t="s">
        <v>10889</v>
      </c>
    </row>
    <row r="2388" spans="1:7">
      <c r="A2388" s="1">
        <v>2387</v>
      </c>
      <c r="B2388" s="1" t="s">
        <v>10890</v>
      </c>
      <c r="D2388" s="1" t="s">
        <v>10869</v>
      </c>
      <c r="E2388" s="1" t="s">
        <v>1648</v>
      </c>
      <c r="F2388" s="1" t="s">
        <v>10891</v>
      </c>
      <c r="G2388" s="1" t="s">
        <v>10892</v>
      </c>
    </row>
    <row r="2389" spans="1:7">
      <c r="A2389" s="1">
        <v>2388</v>
      </c>
      <c r="B2389" s="1" t="s">
        <v>10893</v>
      </c>
      <c r="D2389" s="1" t="s">
        <v>10869</v>
      </c>
      <c r="E2389" s="1" t="s">
        <v>1645</v>
      </c>
      <c r="F2389" s="1" t="s">
        <v>10894</v>
      </c>
      <c r="G2389" s="1" t="s">
        <v>10895</v>
      </c>
    </row>
    <row r="2390" spans="1:7">
      <c r="A2390" s="1">
        <v>2389</v>
      </c>
      <c r="B2390" s="1" t="s">
        <v>10896</v>
      </c>
      <c r="D2390" s="1" t="s">
        <v>10897</v>
      </c>
      <c r="E2390" s="1" t="s">
        <v>10898</v>
      </c>
      <c r="F2390" s="1" t="s">
        <v>10899</v>
      </c>
      <c r="G2390" s="1" t="s">
        <v>10900</v>
      </c>
    </row>
    <row r="2391" spans="1:7">
      <c r="A2391" s="1">
        <v>2390</v>
      </c>
      <c r="B2391" s="1" t="s">
        <v>10901</v>
      </c>
      <c r="D2391" s="1" t="s">
        <v>10897</v>
      </c>
      <c r="E2391" s="1" t="s">
        <v>10902</v>
      </c>
      <c r="F2391" s="1" t="s">
        <v>10903</v>
      </c>
      <c r="G2391" s="1" t="s">
        <v>10904</v>
      </c>
    </row>
    <row r="2392" spans="1:7">
      <c r="A2392" s="1">
        <v>2391</v>
      </c>
      <c r="B2392" s="1" t="s">
        <v>10905</v>
      </c>
      <c r="D2392" s="1" t="s">
        <v>10897</v>
      </c>
      <c r="E2392" s="1" t="s">
        <v>10906</v>
      </c>
      <c r="F2392" s="1" t="s">
        <v>10907</v>
      </c>
      <c r="G2392" s="1" t="s">
        <v>10908</v>
      </c>
    </row>
    <row r="2393" spans="1:7">
      <c r="A2393" s="1">
        <v>2392</v>
      </c>
      <c r="B2393" s="1" t="s">
        <v>10909</v>
      </c>
      <c r="D2393" s="1" t="s">
        <v>10897</v>
      </c>
      <c r="E2393" s="1" t="s">
        <v>10910</v>
      </c>
      <c r="F2393" s="1" t="s">
        <v>10911</v>
      </c>
      <c r="G2393" s="1" t="s">
        <v>10912</v>
      </c>
    </row>
    <row r="2394" spans="1:7">
      <c r="A2394" s="1">
        <v>2393</v>
      </c>
      <c r="B2394" s="1" t="s">
        <v>10913</v>
      </c>
      <c r="D2394" s="1" t="s">
        <v>10897</v>
      </c>
      <c r="E2394" s="1" t="s">
        <v>10914</v>
      </c>
      <c r="F2394" s="1" t="s">
        <v>806</v>
      </c>
      <c r="G2394" s="1" t="s">
        <v>807</v>
      </c>
    </row>
    <row r="2395" spans="1:7">
      <c r="A2395" s="1">
        <v>2394</v>
      </c>
      <c r="B2395" s="1" t="s">
        <v>10915</v>
      </c>
      <c r="D2395" s="1" t="s">
        <v>10897</v>
      </c>
      <c r="E2395" s="1" t="s">
        <v>10916</v>
      </c>
      <c r="F2395" s="1" t="s">
        <v>10917</v>
      </c>
      <c r="G2395" s="1" t="s">
        <v>10918</v>
      </c>
    </row>
    <row r="2396" spans="1:7">
      <c r="A2396" s="1">
        <v>2395</v>
      </c>
      <c r="B2396" s="1" t="s">
        <v>10919</v>
      </c>
      <c r="D2396" s="1" t="s">
        <v>10897</v>
      </c>
      <c r="E2396" s="1" t="s">
        <v>2600</v>
      </c>
      <c r="F2396" s="1" t="s">
        <v>10920</v>
      </c>
      <c r="G2396" s="1" t="s">
        <v>10921</v>
      </c>
    </row>
    <row r="2397" spans="1:7">
      <c r="A2397" s="1">
        <v>2396</v>
      </c>
      <c r="B2397" s="1" t="s">
        <v>10922</v>
      </c>
      <c r="D2397" s="1" t="s">
        <v>10897</v>
      </c>
      <c r="E2397" s="1" t="s">
        <v>10923</v>
      </c>
      <c r="F2397" s="1" t="s">
        <v>10924</v>
      </c>
      <c r="G2397" s="1" t="s">
        <v>706</v>
      </c>
    </row>
    <row r="2398" spans="1:7">
      <c r="A2398" s="1">
        <v>2397</v>
      </c>
      <c r="B2398" s="1" t="s">
        <v>10925</v>
      </c>
      <c r="D2398" s="1" t="s">
        <v>10897</v>
      </c>
      <c r="E2398" s="1" t="s">
        <v>10926</v>
      </c>
      <c r="F2398" s="1" t="s">
        <v>10927</v>
      </c>
      <c r="G2398" s="1" t="s">
        <v>710</v>
      </c>
    </row>
    <row r="2399" spans="1:7">
      <c r="A2399" s="1">
        <v>2398</v>
      </c>
      <c r="B2399" s="1" t="s">
        <v>10928</v>
      </c>
      <c r="D2399" s="1" t="s">
        <v>10897</v>
      </c>
      <c r="E2399" s="1" t="s">
        <v>10929</v>
      </c>
      <c r="F2399" s="1" t="s">
        <v>10930</v>
      </c>
      <c r="G2399" s="1" t="s">
        <v>714</v>
      </c>
    </row>
    <row r="2400" spans="1:7">
      <c r="A2400" s="1">
        <v>2399</v>
      </c>
      <c r="B2400" s="1" t="s">
        <v>10931</v>
      </c>
      <c r="D2400" s="1" t="s">
        <v>10897</v>
      </c>
      <c r="E2400" s="1" t="s">
        <v>10932</v>
      </c>
      <c r="F2400" s="1" t="s">
        <v>10933</v>
      </c>
      <c r="G2400" s="1" t="s">
        <v>718</v>
      </c>
    </row>
    <row r="2401" spans="1:7">
      <c r="A2401" s="1">
        <v>2400</v>
      </c>
      <c r="B2401" s="1" t="s">
        <v>10934</v>
      </c>
      <c r="D2401" s="1" t="s">
        <v>10897</v>
      </c>
      <c r="E2401" s="1" t="s">
        <v>2604</v>
      </c>
      <c r="F2401" s="1" t="s">
        <v>10935</v>
      </c>
      <c r="G2401" s="1" t="s">
        <v>10936</v>
      </c>
    </row>
    <row r="2402" spans="1:7">
      <c r="A2402" s="1">
        <v>2401</v>
      </c>
      <c r="B2402" s="1" t="s">
        <v>10937</v>
      </c>
      <c r="D2402" s="1" t="s">
        <v>10897</v>
      </c>
      <c r="E2402" s="1" t="s">
        <v>10938</v>
      </c>
      <c r="F2402" s="1" t="s">
        <v>10939</v>
      </c>
      <c r="G2402" s="1" t="s">
        <v>722</v>
      </c>
    </row>
    <row r="2403" spans="1:7">
      <c r="A2403" s="1">
        <v>2402</v>
      </c>
      <c r="B2403" s="1" t="s">
        <v>10940</v>
      </c>
      <c r="D2403" s="1" t="s">
        <v>10897</v>
      </c>
      <c r="E2403" s="1" t="s">
        <v>10941</v>
      </c>
      <c r="F2403" s="1" t="s">
        <v>10942</v>
      </c>
      <c r="G2403" s="1" t="s">
        <v>10943</v>
      </c>
    </row>
    <row r="2404" spans="1:7">
      <c r="A2404" s="1">
        <v>2403</v>
      </c>
      <c r="B2404" s="1" t="s">
        <v>10944</v>
      </c>
      <c r="D2404" s="1" t="s">
        <v>10897</v>
      </c>
      <c r="E2404" s="1" t="s">
        <v>10945</v>
      </c>
      <c r="F2404" s="1" t="s">
        <v>10946</v>
      </c>
      <c r="G2404" s="1" t="s">
        <v>730</v>
      </c>
    </row>
    <row r="2405" spans="1:7">
      <c r="A2405" s="1">
        <v>2404</v>
      </c>
      <c r="B2405" s="1" t="s">
        <v>10947</v>
      </c>
      <c r="D2405" s="1" t="s">
        <v>10897</v>
      </c>
      <c r="E2405" s="1" t="s">
        <v>10948</v>
      </c>
      <c r="F2405" s="1" t="s">
        <v>10949</v>
      </c>
      <c r="G2405" s="1" t="s">
        <v>734</v>
      </c>
    </row>
    <row r="2406" spans="1:7">
      <c r="A2406" s="1">
        <v>2405</v>
      </c>
      <c r="B2406" s="1" t="s">
        <v>10950</v>
      </c>
      <c r="D2406" s="1" t="s">
        <v>10897</v>
      </c>
      <c r="E2406" s="1" t="s">
        <v>10951</v>
      </c>
      <c r="F2406" s="1" t="s">
        <v>10952</v>
      </c>
      <c r="G2406" s="1" t="s">
        <v>738</v>
      </c>
    </row>
    <row r="2407" spans="1:7">
      <c r="A2407" s="1">
        <v>2406</v>
      </c>
      <c r="B2407" s="1" t="s">
        <v>10953</v>
      </c>
      <c r="D2407" s="1" t="s">
        <v>10897</v>
      </c>
      <c r="E2407" s="1" t="s">
        <v>10954</v>
      </c>
      <c r="F2407" s="1" t="s">
        <v>10955</v>
      </c>
      <c r="G2407" s="1" t="s">
        <v>738</v>
      </c>
    </row>
    <row r="2408" spans="1:7">
      <c r="A2408" s="1">
        <v>2407</v>
      </c>
      <c r="B2408" s="1" t="s">
        <v>10956</v>
      </c>
      <c r="D2408" s="1" t="s">
        <v>10897</v>
      </c>
      <c r="E2408" s="1" t="s">
        <v>10957</v>
      </c>
      <c r="F2408" s="1" t="s">
        <v>10958</v>
      </c>
      <c r="G2408" s="1" t="s">
        <v>745</v>
      </c>
    </row>
    <row r="2409" spans="1:7">
      <c r="A2409" s="1">
        <v>2408</v>
      </c>
      <c r="B2409" s="1" t="s">
        <v>10959</v>
      </c>
      <c r="D2409" s="1" t="s">
        <v>10897</v>
      </c>
      <c r="E2409" s="1" t="s">
        <v>10960</v>
      </c>
      <c r="F2409" s="1" t="s">
        <v>10961</v>
      </c>
      <c r="G2409" s="1" t="s">
        <v>10962</v>
      </c>
    </row>
    <row r="2410" spans="1:7">
      <c r="A2410" s="1">
        <v>2409</v>
      </c>
      <c r="B2410" s="1" t="s">
        <v>10963</v>
      </c>
      <c r="D2410" s="1" t="s">
        <v>10897</v>
      </c>
      <c r="E2410" s="1" t="s">
        <v>10964</v>
      </c>
      <c r="F2410" s="1" t="s">
        <v>10965</v>
      </c>
      <c r="G2410" s="1" t="s">
        <v>749</v>
      </c>
    </row>
    <row r="2411" spans="1:7">
      <c r="A2411" s="1">
        <v>2410</v>
      </c>
      <c r="B2411" s="1" t="s">
        <v>10966</v>
      </c>
      <c r="D2411" s="1" t="s">
        <v>10897</v>
      </c>
      <c r="E2411" s="1" t="s">
        <v>10967</v>
      </c>
      <c r="F2411" s="1" t="s">
        <v>10968</v>
      </c>
      <c r="G2411" s="1" t="s">
        <v>753</v>
      </c>
    </row>
    <row r="2412" spans="1:7">
      <c r="A2412" s="1">
        <v>2411</v>
      </c>
      <c r="B2412" s="1" t="s">
        <v>10969</v>
      </c>
      <c r="D2412" s="1" t="s">
        <v>10897</v>
      </c>
      <c r="E2412" s="1" t="s">
        <v>10970</v>
      </c>
      <c r="F2412" s="1" t="s">
        <v>10971</v>
      </c>
      <c r="G2412" s="1" t="s">
        <v>753</v>
      </c>
    </row>
    <row r="2413" spans="1:7">
      <c r="A2413" s="1">
        <v>2412</v>
      </c>
      <c r="B2413" s="1" t="s">
        <v>10972</v>
      </c>
      <c r="D2413" s="1" t="s">
        <v>10897</v>
      </c>
      <c r="E2413" s="1" t="s">
        <v>10973</v>
      </c>
      <c r="F2413" s="1" t="s">
        <v>10974</v>
      </c>
      <c r="G2413" s="1" t="s">
        <v>760</v>
      </c>
    </row>
    <row r="2414" spans="1:7">
      <c r="A2414" s="1">
        <v>2413</v>
      </c>
      <c r="B2414" s="1" t="s">
        <v>10975</v>
      </c>
      <c r="D2414" s="1" t="s">
        <v>10897</v>
      </c>
      <c r="E2414" s="1" t="s">
        <v>10976</v>
      </c>
      <c r="F2414" s="1" t="s">
        <v>10977</v>
      </c>
      <c r="G2414" s="1" t="s">
        <v>764</v>
      </c>
    </row>
    <row r="2415" spans="1:7">
      <c r="A2415" s="1">
        <v>2414</v>
      </c>
      <c r="B2415" s="1" t="s">
        <v>10978</v>
      </c>
      <c r="D2415" s="1" t="s">
        <v>10897</v>
      </c>
      <c r="E2415" s="1" t="s">
        <v>10979</v>
      </c>
      <c r="F2415" s="1" t="s">
        <v>10980</v>
      </c>
      <c r="G2415" s="1" t="s">
        <v>760</v>
      </c>
    </row>
    <row r="2416" spans="1:7">
      <c r="A2416" s="1">
        <v>2415</v>
      </c>
      <c r="B2416" s="1" t="s">
        <v>10981</v>
      </c>
      <c r="D2416" s="1" t="s">
        <v>10897</v>
      </c>
      <c r="E2416" s="1" t="s">
        <v>10982</v>
      </c>
      <c r="F2416" s="1" t="s">
        <v>10983</v>
      </c>
      <c r="G2416" s="1" t="s">
        <v>771</v>
      </c>
    </row>
    <row r="2417" spans="1:7">
      <c r="A2417" s="1">
        <v>2416</v>
      </c>
      <c r="B2417" s="1" t="s">
        <v>10984</v>
      </c>
      <c r="D2417" s="1" t="s">
        <v>10897</v>
      </c>
      <c r="E2417" s="1" t="s">
        <v>10985</v>
      </c>
      <c r="F2417" s="1" t="s">
        <v>10986</v>
      </c>
      <c r="G2417" s="1" t="s">
        <v>775</v>
      </c>
    </row>
    <row r="2418" spans="1:7">
      <c r="A2418" s="1">
        <v>2417</v>
      </c>
      <c r="B2418" s="1" t="s">
        <v>10987</v>
      </c>
      <c r="D2418" s="1" t="s">
        <v>10897</v>
      </c>
      <c r="E2418" s="1" t="s">
        <v>10988</v>
      </c>
      <c r="F2418" s="1" t="s">
        <v>10989</v>
      </c>
      <c r="G2418" s="1" t="s">
        <v>779</v>
      </c>
    </row>
    <row r="2419" spans="1:7">
      <c r="A2419" s="1">
        <v>2418</v>
      </c>
      <c r="B2419" s="1" t="s">
        <v>10990</v>
      </c>
      <c r="D2419" s="1" t="s">
        <v>10897</v>
      </c>
      <c r="E2419" s="1" t="s">
        <v>10991</v>
      </c>
      <c r="F2419" s="1" t="s">
        <v>10992</v>
      </c>
      <c r="G2419" s="1" t="s">
        <v>10993</v>
      </c>
    </row>
    <row r="2420" spans="1:7">
      <c r="A2420" s="1">
        <v>2419</v>
      </c>
      <c r="B2420" s="1" t="s">
        <v>10994</v>
      </c>
      <c r="D2420" s="1" t="s">
        <v>10897</v>
      </c>
      <c r="E2420" s="1" t="s">
        <v>10995</v>
      </c>
      <c r="F2420" s="1" t="s">
        <v>10996</v>
      </c>
      <c r="G2420" s="1" t="s">
        <v>10997</v>
      </c>
    </row>
    <row r="2421" spans="1:7">
      <c r="A2421" s="1">
        <v>2420</v>
      </c>
      <c r="B2421" s="1" t="s">
        <v>10998</v>
      </c>
      <c r="D2421" s="1" t="s">
        <v>10999</v>
      </c>
      <c r="E2421" s="1" t="s">
        <v>11000</v>
      </c>
      <c r="F2421" s="1" t="s">
        <v>11001</v>
      </c>
      <c r="G2421" s="1" t="s">
        <v>11002</v>
      </c>
    </row>
    <row r="2422" spans="1:7">
      <c r="A2422" s="1">
        <v>2421</v>
      </c>
      <c r="B2422" s="1" t="s">
        <v>11003</v>
      </c>
      <c r="D2422" s="1" t="s">
        <v>10999</v>
      </c>
      <c r="E2422" s="1" t="s">
        <v>11004</v>
      </c>
      <c r="F2422" s="1" t="s">
        <v>11005</v>
      </c>
      <c r="G2422" s="1" t="s">
        <v>11006</v>
      </c>
    </row>
    <row r="2423" spans="1:7">
      <c r="A2423" s="1">
        <v>2422</v>
      </c>
      <c r="B2423" s="1" t="s">
        <v>11007</v>
      </c>
      <c r="D2423" s="1" t="s">
        <v>10999</v>
      </c>
      <c r="E2423" s="1" t="s">
        <v>11008</v>
      </c>
      <c r="F2423" s="1" t="s">
        <v>11009</v>
      </c>
      <c r="G2423" s="1" t="s">
        <v>11010</v>
      </c>
    </row>
    <row r="2424" spans="1:7">
      <c r="A2424" s="1">
        <v>2423</v>
      </c>
      <c r="B2424" s="1" t="s">
        <v>11011</v>
      </c>
      <c r="D2424" s="1" t="s">
        <v>10999</v>
      </c>
      <c r="E2424" s="1" t="s">
        <v>11012</v>
      </c>
      <c r="F2424" s="1" t="s">
        <v>11013</v>
      </c>
      <c r="G2424" s="1" t="s">
        <v>11014</v>
      </c>
    </row>
    <row r="2425" spans="1:7">
      <c r="A2425" s="1">
        <v>2424</v>
      </c>
      <c r="B2425" s="1" t="s">
        <v>11015</v>
      </c>
      <c r="D2425" s="1" t="s">
        <v>10999</v>
      </c>
      <c r="E2425" s="1" t="s">
        <v>11016</v>
      </c>
      <c r="F2425" s="1" t="s">
        <v>941</v>
      </c>
      <c r="G2425" s="1" t="s">
        <v>942</v>
      </c>
    </row>
    <row r="2426" spans="1:7">
      <c r="A2426" s="1">
        <v>2425</v>
      </c>
      <c r="B2426" s="1" t="s">
        <v>11017</v>
      </c>
      <c r="D2426" s="1" t="s">
        <v>10999</v>
      </c>
      <c r="E2426" s="1" t="s">
        <v>11018</v>
      </c>
      <c r="F2426" s="1" t="s">
        <v>11019</v>
      </c>
      <c r="G2426" s="1" t="s">
        <v>11020</v>
      </c>
    </row>
    <row r="2427" spans="1:7">
      <c r="A2427" s="1">
        <v>2426</v>
      </c>
      <c r="B2427" s="1" t="s">
        <v>11021</v>
      </c>
      <c r="D2427" s="1" t="s">
        <v>10999</v>
      </c>
      <c r="E2427" s="1" t="s">
        <v>11022</v>
      </c>
      <c r="F2427" s="1" t="s">
        <v>11023</v>
      </c>
      <c r="G2427" s="1" t="s">
        <v>813</v>
      </c>
    </row>
    <row r="2428" spans="1:7">
      <c r="A2428" s="1">
        <v>2427</v>
      </c>
      <c r="B2428" s="1" t="s">
        <v>11024</v>
      </c>
      <c r="D2428" s="1" t="s">
        <v>10999</v>
      </c>
      <c r="E2428" s="1" t="s">
        <v>11025</v>
      </c>
      <c r="F2428" s="1" t="s">
        <v>11026</v>
      </c>
      <c r="G2428" s="1" t="s">
        <v>820</v>
      </c>
    </row>
    <row r="2429" spans="1:7">
      <c r="A2429" s="1">
        <v>2428</v>
      </c>
      <c r="B2429" s="1" t="s">
        <v>11027</v>
      </c>
      <c r="D2429" s="1" t="s">
        <v>10999</v>
      </c>
      <c r="E2429" s="1" t="s">
        <v>11028</v>
      </c>
      <c r="F2429" s="1" t="s">
        <v>11029</v>
      </c>
      <c r="G2429" s="1" t="s">
        <v>813</v>
      </c>
    </row>
    <row r="2430" spans="1:7">
      <c r="A2430" s="1">
        <v>2429</v>
      </c>
      <c r="B2430" s="1" t="s">
        <v>11030</v>
      </c>
      <c r="D2430" s="1" t="s">
        <v>10999</v>
      </c>
      <c r="E2430" s="1" t="s">
        <v>2608</v>
      </c>
      <c r="F2430" s="1" t="s">
        <v>11031</v>
      </c>
      <c r="G2430" s="1" t="s">
        <v>11032</v>
      </c>
    </row>
    <row r="2431" spans="1:7">
      <c r="A2431" s="1">
        <v>2430</v>
      </c>
      <c r="B2431" s="1" t="s">
        <v>11033</v>
      </c>
      <c r="D2431" s="1" t="s">
        <v>10999</v>
      </c>
      <c r="E2431" s="1" t="s">
        <v>11034</v>
      </c>
      <c r="F2431" s="1" t="s">
        <v>11035</v>
      </c>
      <c r="G2431" s="1" t="s">
        <v>824</v>
      </c>
    </row>
    <row r="2432" spans="1:7">
      <c r="A2432" s="1">
        <v>2431</v>
      </c>
      <c r="B2432" s="1" t="s">
        <v>11036</v>
      </c>
      <c r="D2432" s="1" t="s">
        <v>10999</v>
      </c>
      <c r="E2432" s="1" t="s">
        <v>11037</v>
      </c>
      <c r="F2432" s="1" t="s">
        <v>11038</v>
      </c>
      <c r="G2432" s="1" t="s">
        <v>828</v>
      </c>
    </row>
    <row r="2433" spans="1:7">
      <c r="A2433" s="1">
        <v>2432</v>
      </c>
      <c r="B2433" s="1" t="s">
        <v>11039</v>
      </c>
      <c r="D2433" s="1" t="s">
        <v>10999</v>
      </c>
      <c r="E2433" s="1" t="s">
        <v>11040</v>
      </c>
      <c r="F2433" s="1" t="s">
        <v>11041</v>
      </c>
      <c r="G2433" s="1" t="s">
        <v>832</v>
      </c>
    </row>
    <row r="2434" spans="1:7">
      <c r="A2434" s="1">
        <v>2433</v>
      </c>
      <c r="B2434" s="1" t="s">
        <v>11042</v>
      </c>
      <c r="D2434" s="1" t="s">
        <v>10999</v>
      </c>
      <c r="E2434" s="1" t="s">
        <v>2612</v>
      </c>
      <c r="F2434" s="1" t="s">
        <v>11043</v>
      </c>
      <c r="G2434" s="1" t="s">
        <v>11044</v>
      </c>
    </row>
    <row r="2435" spans="1:7">
      <c r="A2435" s="1">
        <v>2434</v>
      </c>
      <c r="B2435" s="1" t="s">
        <v>11045</v>
      </c>
      <c r="D2435" s="1" t="s">
        <v>10999</v>
      </c>
      <c r="E2435" s="1" t="s">
        <v>11046</v>
      </c>
      <c r="F2435" s="1" t="s">
        <v>11047</v>
      </c>
      <c r="G2435" s="1" t="s">
        <v>820</v>
      </c>
    </row>
    <row r="2436" spans="1:7">
      <c r="A2436" s="1">
        <v>2435</v>
      </c>
      <c r="B2436" s="1" t="s">
        <v>11048</v>
      </c>
      <c r="D2436" s="1" t="s">
        <v>10999</v>
      </c>
      <c r="E2436" s="1" t="s">
        <v>11049</v>
      </c>
      <c r="F2436" s="1" t="s">
        <v>11050</v>
      </c>
      <c r="G2436" s="1" t="s">
        <v>11051</v>
      </c>
    </row>
    <row r="2437" spans="1:7">
      <c r="A2437" s="1">
        <v>2436</v>
      </c>
      <c r="B2437" s="1" t="s">
        <v>11052</v>
      </c>
      <c r="D2437" s="1" t="s">
        <v>10999</v>
      </c>
      <c r="E2437" s="1" t="s">
        <v>11053</v>
      </c>
      <c r="F2437" s="1" t="s">
        <v>11054</v>
      </c>
      <c r="G2437" s="1" t="s">
        <v>843</v>
      </c>
    </row>
    <row r="2438" spans="1:7">
      <c r="A2438" s="1">
        <v>2437</v>
      </c>
      <c r="B2438" s="1" t="s">
        <v>11055</v>
      </c>
      <c r="D2438" s="1" t="s">
        <v>10999</v>
      </c>
      <c r="E2438" s="1" t="s">
        <v>11056</v>
      </c>
      <c r="F2438" s="1" t="s">
        <v>11057</v>
      </c>
      <c r="G2438" s="1" t="s">
        <v>847</v>
      </c>
    </row>
    <row r="2439" spans="1:7">
      <c r="A2439" s="1">
        <v>2438</v>
      </c>
      <c r="B2439" s="1" t="s">
        <v>11058</v>
      </c>
      <c r="D2439" s="1" t="s">
        <v>10999</v>
      </c>
      <c r="E2439" s="1" t="s">
        <v>11059</v>
      </c>
      <c r="F2439" s="1" t="s">
        <v>11060</v>
      </c>
      <c r="G2439" s="1" t="s">
        <v>851</v>
      </c>
    </row>
    <row r="2440" spans="1:7">
      <c r="A2440" s="1">
        <v>2439</v>
      </c>
      <c r="B2440" s="1" t="s">
        <v>11061</v>
      </c>
      <c r="D2440" s="1" t="s">
        <v>10999</v>
      </c>
      <c r="E2440" s="1" t="s">
        <v>11062</v>
      </c>
      <c r="F2440" s="1" t="s">
        <v>11063</v>
      </c>
      <c r="G2440" s="1" t="s">
        <v>851</v>
      </c>
    </row>
    <row r="2441" spans="1:7">
      <c r="A2441" s="1">
        <v>2440</v>
      </c>
      <c r="B2441" s="1" t="s">
        <v>11064</v>
      </c>
      <c r="D2441" s="1" t="s">
        <v>10999</v>
      </c>
      <c r="E2441" s="1" t="s">
        <v>11065</v>
      </c>
      <c r="F2441" s="1" t="s">
        <v>11066</v>
      </c>
      <c r="G2441" s="1" t="s">
        <v>858</v>
      </c>
    </row>
    <row r="2442" spans="1:7">
      <c r="A2442" s="1">
        <v>2441</v>
      </c>
      <c r="B2442" s="1" t="s">
        <v>11067</v>
      </c>
      <c r="D2442" s="1" t="s">
        <v>10999</v>
      </c>
      <c r="E2442" s="1" t="s">
        <v>11068</v>
      </c>
      <c r="F2442" s="1" t="s">
        <v>11069</v>
      </c>
      <c r="G2442" s="1" t="s">
        <v>862</v>
      </c>
    </row>
    <row r="2443" spans="1:7">
      <c r="A2443" s="1">
        <v>2442</v>
      </c>
      <c r="B2443" s="1" t="s">
        <v>11070</v>
      </c>
      <c r="D2443" s="1" t="s">
        <v>10999</v>
      </c>
      <c r="E2443" s="1" t="s">
        <v>11071</v>
      </c>
      <c r="F2443" s="1" t="s">
        <v>11072</v>
      </c>
      <c r="G2443" s="1" t="s">
        <v>862</v>
      </c>
    </row>
    <row r="2444" spans="1:7">
      <c r="A2444" s="1">
        <v>2443</v>
      </c>
      <c r="B2444" s="1" t="s">
        <v>11073</v>
      </c>
      <c r="D2444" s="1" t="s">
        <v>10999</v>
      </c>
      <c r="E2444" s="1" t="s">
        <v>11074</v>
      </c>
      <c r="F2444" s="1" t="s">
        <v>11075</v>
      </c>
      <c r="G2444" s="1" t="s">
        <v>11076</v>
      </c>
    </row>
    <row r="2445" spans="1:7">
      <c r="A2445" s="1">
        <v>2444</v>
      </c>
      <c r="B2445" s="1" t="s">
        <v>11077</v>
      </c>
      <c r="D2445" s="1" t="s">
        <v>10999</v>
      </c>
      <c r="E2445" s="1" t="s">
        <v>11078</v>
      </c>
      <c r="F2445" s="1" t="s">
        <v>11079</v>
      </c>
      <c r="G2445" s="1" t="s">
        <v>869</v>
      </c>
    </row>
    <row r="2446" spans="1:7">
      <c r="A2446" s="1">
        <v>2445</v>
      </c>
      <c r="B2446" s="1" t="s">
        <v>11080</v>
      </c>
      <c r="D2446" s="1" t="s">
        <v>10999</v>
      </c>
      <c r="E2446" s="1" t="s">
        <v>11081</v>
      </c>
      <c r="F2446" s="1" t="s">
        <v>11082</v>
      </c>
      <c r="G2446" s="1" t="s">
        <v>873</v>
      </c>
    </row>
    <row r="2447" spans="1:7">
      <c r="A2447" s="1">
        <v>2446</v>
      </c>
      <c r="B2447" s="1" t="s">
        <v>11083</v>
      </c>
      <c r="D2447" s="1" t="s">
        <v>10999</v>
      </c>
      <c r="E2447" s="1" t="s">
        <v>11084</v>
      </c>
      <c r="F2447" s="1" t="s">
        <v>11085</v>
      </c>
      <c r="G2447" s="1" t="s">
        <v>873</v>
      </c>
    </row>
    <row r="2448" spans="1:7">
      <c r="A2448" s="1">
        <v>2447</v>
      </c>
      <c r="B2448" s="1" t="s">
        <v>11086</v>
      </c>
      <c r="D2448" s="1" t="s">
        <v>10999</v>
      </c>
      <c r="E2448" s="1" t="s">
        <v>11087</v>
      </c>
      <c r="F2448" s="1" t="s">
        <v>11088</v>
      </c>
      <c r="G2448" s="1" t="s">
        <v>880</v>
      </c>
    </row>
    <row r="2449" spans="1:7">
      <c r="A2449" s="1">
        <v>2448</v>
      </c>
      <c r="B2449" s="1" t="s">
        <v>11089</v>
      </c>
      <c r="D2449" s="1" t="s">
        <v>10999</v>
      </c>
      <c r="E2449" s="1" t="s">
        <v>3681</v>
      </c>
      <c r="F2449" s="1" t="s">
        <v>11090</v>
      </c>
      <c r="G2449" s="1" t="s">
        <v>11091</v>
      </c>
    </row>
    <row r="2450" spans="1:7">
      <c r="A2450" s="1">
        <v>2449</v>
      </c>
      <c r="B2450" s="1" t="s">
        <v>11092</v>
      </c>
      <c r="D2450" s="1" t="s">
        <v>10999</v>
      </c>
      <c r="E2450" s="1" t="s">
        <v>11093</v>
      </c>
      <c r="F2450" s="1" t="s">
        <v>11094</v>
      </c>
      <c r="G2450" s="1" t="s">
        <v>11091</v>
      </c>
    </row>
    <row r="2451" spans="1:7">
      <c r="A2451" s="1">
        <v>2450</v>
      </c>
      <c r="B2451" s="1" t="s">
        <v>11095</v>
      </c>
      <c r="D2451" s="1" t="s">
        <v>10999</v>
      </c>
      <c r="E2451" s="1" t="s">
        <v>11096</v>
      </c>
      <c r="F2451" s="1" t="s">
        <v>11097</v>
      </c>
      <c r="G2451" s="1" t="s">
        <v>884</v>
      </c>
    </row>
    <row r="2452" spans="1:7">
      <c r="A2452" s="1">
        <v>2451</v>
      </c>
      <c r="B2452" s="1" t="s">
        <v>11098</v>
      </c>
      <c r="D2452" s="1" t="s">
        <v>10999</v>
      </c>
      <c r="E2452" s="1" t="s">
        <v>11099</v>
      </c>
      <c r="F2452" s="1" t="s">
        <v>11100</v>
      </c>
      <c r="G2452" s="1" t="s">
        <v>884</v>
      </c>
    </row>
    <row r="2453" spans="1:7">
      <c r="A2453" s="1">
        <v>2452</v>
      </c>
      <c r="B2453" s="1" t="s">
        <v>11101</v>
      </c>
      <c r="D2453" s="1" t="s">
        <v>10999</v>
      </c>
      <c r="E2453" s="1" t="s">
        <v>11102</v>
      </c>
      <c r="F2453" s="1" t="s">
        <v>11103</v>
      </c>
      <c r="G2453" s="1" t="s">
        <v>888</v>
      </c>
    </row>
    <row r="2454" spans="1:7">
      <c r="A2454" s="1">
        <v>2453</v>
      </c>
      <c r="B2454" s="1" t="s">
        <v>11104</v>
      </c>
      <c r="D2454" s="1" t="s">
        <v>10999</v>
      </c>
      <c r="E2454" s="1" t="s">
        <v>11105</v>
      </c>
      <c r="F2454" s="1" t="s">
        <v>11106</v>
      </c>
      <c r="G2454" s="1" t="s">
        <v>884</v>
      </c>
    </row>
    <row r="2455" spans="1:7">
      <c r="A2455" s="1">
        <v>2454</v>
      </c>
      <c r="B2455" s="1" t="s">
        <v>11107</v>
      </c>
      <c r="D2455" s="1" t="s">
        <v>10999</v>
      </c>
      <c r="E2455" s="1" t="s">
        <v>11108</v>
      </c>
      <c r="F2455" s="1" t="s">
        <v>11109</v>
      </c>
      <c r="G2455" s="1" t="s">
        <v>895</v>
      </c>
    </row>
    <row r="2456" spans="1:7">
      <c r="A2456" s="1">
        <v>2455</v>
      </c>
      <c r="B2456" s="1" t="s">
        <v>11110</v>
      </c>
      <c r="D2456" s="1" t="s">
        <v>10999</v>
      </c>
      <c r="E2456" s="1" t="s">
        <v>11111</v>
      </c>
      <c r="F2456" s="1" t="s">
        <v>11112</v>
      </c>
      <c r="G2456" s="1" t="s">
        <v>899</v>
      </c>
    </row>
    <row r="2457" spans="1:7">
      <c r="A2457" s="1">
        <v>2456</v>
      </c>
      <c r="B2457" s="1" t="s">
        <v>11113</v>
      </c>
      <c r="D2457" s="1" t="s">
        <v>10999</v>
      </c>
      <c r="E2457" s="1" t="s">
        <v>11114</v>
      </c>
      <c r="F2457" s="1" t="s">
        <v>11115</v>
      </c>
      <c r="G2457" s="1" t="s">
        <v>11051</v>
      </c>
    </row>
    <row r="2458" spans="1:7">
      <c r="A2458" s="1">
        <v>2457</v>
      </c>
      <c r="B2458" s="1" t="s">
        <v>11116</v>
      </c>
      <c r="D2458" s="1" t="s">
        <v>10999</v>
      </c>
      <c r="E2458" s="1" t="s">
        <v>11117</v>
      </c>
      <c r="F2458" s="1" t="s">
        <v>11118</v>
      </c>
      <c r="G2458" s="1" t="s">
        <v>903</v>
      </c>
    </row>
    <row r="2459" spans="1:7">
      <c r="A2459" s="1">
        <v>2458</v>
      </c>
      <c r="B2459" s="1" t="s">
        <v>11119</v>
      </c>
      <c r="D2459" s="1" t="s">
        <v>10999</v>
      </c>
      <c r="E2459" s="1" t="s">
        <v>11120</v>
      </c>
      <c r="F2459" s="1" t="s">
        <v>11121</v>
      </c>
      <c r="G2459" s="1" t="s">
        <v>907</v>
      </c>
    </row>
    <row r="2460" spans="1:7">
      <c r="A2460" s="1">
        <v>2459</v>
      </c>
      <c r="B2460" s="1" t="s">
        <v>11122</v>
      </c>
      <c r="D2460" s="1" t="s">
        <v>10999</v>
      </c>
      <c r="E2460" s="1" t="s">
        <v>11123</v>
      </c>
      <c r="F2460" s="1" t="s">
        <v>918</v>
      </c>
      <c r="G2460" s="1" t="s">
        <v>915</v>
      </c>
    </row>
    <row r="2461" spans="1:7">
      <c r="A2461" s="1">
        <v>2460</v>
      </c>
      <c r="B2461" s="1" t="s">
        <v>11124</v>
      </c>
      <c r="D2461" s="1" t="s">
        <v>10999</v>
      </c>
      <c r="E2461" s="1" t="s">
        <v>11125</v>
      </c>
      <c r="F2461" s="1" t="s">
        <v>11126</v>
      </c>
      <c r="G2461" s="1" t="s">
        <v>11127</v>
      </c>
    </row>
    <row r="2462" spans="1:7">
      <c r="A2462" s="1">
        <v>2461</v>
      </c>
      <c r="B2462" s="1" t="s">
        <v>11128</v>
      </c>
      <c r="D2462" s="1" t="s">
        <v>10999</v>
      </c>
      <c r="E2462" s="1" t="s">
        <v>11129</v>
      </c>
      <c r="F2462" s="1" t="s">
        <v>11130</v>
      </c>
      <c r="G2462" s="1" t="s">
        <v>11131</v>
      </c>
    </row>
    <row r="2463" spans="1:7">
      <c r="A2463" s="1">
        <v>2462</v>
      </c>
      <c r="B2463" s="1" t="s">
        <v>11132</v>
      </c>
      <c r="D2463" s="1" t="s">
        <v>10999</v>
      </c>
      <c r="E2463" s="1" t="s">
        <v>11133</v>
      </c>
      <c r="F2463" s="1" t="s">
        <v>11134</v>
      </c>
      <c r="G2463" s="1" t="s">
        <v>11135</v>
      </c>
    </row>
    <row r="2464" spans="1:7">
      <c r="A2464" s="1">
        <v>2463</v>
      </c>
      <c r="B2464" s="1" t="s">
        <v>11136</v>
      </c>
      <c r="D2464" s="1" t="s">
        <v>11137</v>
      </c>
      <c r="E2464" s="1" t="s">
        <v>945</v>
      </c>
      <c r="F2464" s="1" t="s">
        <v>946</v>
      </c>
      <c r="G2464" s="1" t="s">
        <v>947</v>
      </c>
    </row>
    <row r="2465" spans="1:7">
      <c r="A2465" s="1">
        <v>2464</v>
      </c>
      <c r="B2465" s="1" t="s">
        <v>11138</v>
      </c>
      <c r="D2465" s="1" t="s">
        <v>11139</v>
      </c>
      <c r="E2465" s="1" t="s">
        <v>950</v>
      </c>
      <c r="F2465" s="1" t="s">
        <v>951</v>
      </c>
      <c r="G2465" s="1" t="s">
        <v>952</v>
      </c>
    </row>
    <row r="2466" spans="1:7">
      <c r="A2466" s="1">
        <v>2465</v>
      </c>
      <c r="B2466" s="1" t="s">
        <v>11140</v>
      </c>
      <c r="D2466" s="1" t="s">
        <v>11141</v>
      </c>
      <c r="E2466" s="1" t="s">
        <v>4023</v>
      </c>
      <c r="F2466" s="1" t="s">
        <v>11142</v>
      </c>
      <c r="G2466" s="1" t="s">
        <v>11143</v>
      </c>
    </row>
    <row r="2467" spans="1:7">
      <c r="A2467" s="1">
        <v>2466</v>
      </c>
      <c r="B2467" s="1" t="s">
        <v>11144</v>
      </c>
      <c r="D2467" s="1" t="s">
        <v>11141</v>
      </c>
      <c r="E2467" s="1" t="s">
        <v>3353</v>
      </c>
      <c r="F2467" s="1" t="s">
        <v>11145</v>
      </c>
      <c r="G2467" s="1" t="s">
        <v>11146</v>
      </c>
    </row>
    <row r="2468" spans="1:7">
      <c r="A2468" s="1">
        <v>2467</v>
      </c>
      <c r="B2468" s="1" t="s">
        <v>11147</v>
      </c>
      <c r="D2468" s="1" t="s">
        <v>11141</v>
      </c>
      <c r="E2468" s="1" t="s">
        <v>3354</v>
      </c>
      <c r="F2468" s="1" t="s">
        <v>11148</v>
      </c>
      <c r="G2468" s="1" t="s">
        <v>11149</v>
      </c>
    </row>
    <row r="2469" spans="1:7">
      <c r="A2469" s="1">
        <v>2468</v>
      </c>
      <c r="B2469" s="1" t="s">
        <v>11150</v>
      </c>
      <c r="D2469" s="1" t="s">
        <v>11141</v>
      </c>
      <c r="E2469" s="1" t="s">
        <v>4025</v>
      </c>
      <c r="F2469" s="1" t="s">
        <v>11151</v>
      </c>
      <c r="G2469" s="1" t="s">
        <v>11152</v>
      </c>
    </row>
    <row r="2470" spans="1:7">
      <c r="A2470" s="1">
        <v>2469</v>
      </c>
      <c r="B2470" s="1" t="s">
        <v>11153</v>
      </c>
      <c r="D2470" s="1" t="s">
        <v>11141</v>
      </c>
      <c r="E2470" s="1" t="s">
        <v>3350</v>
      </c>
      <c r="F2470" s="1" t="s">
        <v>11154</v>
      </c>
      <c r="G2470" s="1" t="s">
        <v>11155</v>
      </c>
    </row>
    <row r="2471" spans="1:7">
      <c r="A2471" s="1">
        <v>2470</v>
      </c>
      <c r="B2471" s="1" t="s">
        <v>11156</v>
      </c>
      <c r="D2471" s="1" t="s">
        <v>11141</v>
      </c>
      <c r="E2471" s="1" t="s">
        <v>4021</v>
      </c>
      <c r="F2471" s="1" t="s">
        <v>11157</v>
      </c>
      <c r="G2471" s="1" t="s">
        <v>11158</v>
      </c>
    </row>
    <row r="2472" spans="1:7">
      <c r="A2472" s="1">
        <v>2471</v>
      </c>
      <c r="B2472" s="1" t="s">
        <v>11159</v>
      </c>
      <c r="D2472" s="1" t="s">
        <v>11141</v>
      </c>
      <c r="E2472" s="1" t="s">
        <v>3356</v>
      </c>
      <c r="F2472" s="1" t="s">
        <v>11160</v>
      </c>
      <c r="G2472" s="1" t="s">
        <v>11161</v>
      </c>
    </row>
    <row r="2473" spans="1:7">
      <c r="A2473" s="1">
        <v>2472</v>
      </c>
      <c r="B2473" s="1" t="s">
        <v>11162</v>
      </c>
      <c r="D2473" s="1" t="s">
        <v>11141</v>
      </c>
      <c r="E2473" s="1" t="s">
        <v>3357</v>
      </c>
      <c r="F2473" s="1" t="s">
        <v>11163</v>
      </c>
      <c r="G2473" s="1" t="s">
        <v>11164</v>
      </c>
    </row>
    <row r="2474" spans="1:7">
      <c r="A2474" s="1">
        <v>2473</v>
      </c>
      <c r="B2474" s="1" t="s">
        <v>11165</v>
      </c>
      <c r="D2474" s="1" t="s">
        <v>11141</v>
      </c>
      <c r="E2474" s="1" t="s">
        <v>3355</v>
      </c>
      <c r="F2474" s="1" t="s">
        <v>11166</v>
      </c>
      <c r="G2474" s="1" t="s">
        <v>11167</v>
      </c>
    </row>
    <row r="2475" spans="1:7">
      <c r="A2475" s="1">
        <v>2474</v>
      </c>
      <c r="B2475" s="1" t="s">
        <v>11168</v>
      </c>
      <c r="D2475" s="1" t="s">
        <v>11141</v>
      </c>
      <c r="E2475" s="1" t="s">
        <v>3351</v>
      </c>
      <c r="F2475" s="1" t="s">
        <v>11169</v>
      </c>
      <c r="G2475" s="1" t="s">
        <v>11170</v>
      </c>
    </row>
    <row r="2476" spans="1:7">
      <c r="A2476" s="1">
        <v>2475</v>
      </c>
      <c r="B2476" s="1" t="s">
        <v>11171</v>
      </c>
      <c r="D2476" s="1" t="s">
        <v>11141</v>
      </c>
      <c r="E2476" s="1" t="s">
        <v>3352</v>
      </c>
      <c r="F2476" s="1" t="s">
        <v>11172</v>
      </c>
      <c r="G2476" s="1" t="s">
        <v>11173</v>
      </c>
    </row>
    <row r="2477" spans="1:7">
      <c r="A2477" s="1">
        <v>2476</v>
      </c>
      <c r="B2477" s="1" t="s">
        <v>11174</v>
      </c>
      <c r="D2477" s="1" t="s">
        <v>11141</v>
      </c>
      <c r="E2477" s="1" t="s">
        <v>11175</v>
      </c>
      <c r="F2477" s="1" t="s">
        <v>11176</v>
      </c>
      <c r="G2477" s="1" t="s">
        <v>11177</v>
      </c>
    </row>
    <row r="2478" spans="1:7">
      <c r="A2478" s="1">
        <v>2477</v>
      </c>
      <c r="B2478" s="1" t="s">
        <v>11178</v>
      </c>
      <c r="D2478" s="1" t="s">
        <v>11179</v>
      </c>
      <c r="E2478" s="1" t="s">
        <v>2230</v>
      </c>
      <c r="F2478" s="1" t="s">
        <v>11180</v>
      </c>
      <c r="G2478" s="1" t="s">
        <v>11181</v>
      </c>
    </row>
    <row r="2479" spans="1:7">
      <c r="A2479" s="1">
        <v>2478</v>
      </c>
      <c r="B2479" s="1" t="s">
        <v>11182</v>
      </c>
      <c r="D2479" s="1" t="s">
        <v>11179</v>
      </c>
      <c r="E2479" s="1" t="s">
        <v>2234</v>
      </c>
      <c r="F2479" s="1" t="s">
        <v>11183</v>
      </c>
      <c r="G2479" s="1" t="s">
        <v>11184</v>
      </c>
    </row>
    <row r="2480" spans="1:7">
      <c r="A2480" s="1">
        <v>2479</v>
      </c>
      <c r="B2480" s="1" t="s">
        <v>11185</v>
      </c>
      <c r="D2480" s="1" t="s">
        <v>11179</v>
      </c>
      <c r="E2480" s="1" t="s">
        <v>2242</v>
      </c>
      <c r="F2480" s="1" t="s">
        <v>11186</v>
      </c>
      <c r="G2480" s="1" t="s">
        <v>11187</v>
      </c>
    </row>
    <row r="2481" spans="1:7">
      <c r="A2481" s="1">
        <v>2480</v>
      </c>
      <c r="B2481" s="1" t="s">
        <v>11188</v>
      </c>
      <c r="D2481" s="1" t="s">
        <v>11179</v>
      </c>
      <c r="E2481" s="1" t="s">
        <v>3680</v>
      </c>
      <c r="F2481" s="1" t="s">
        <v>11189</v>
      </c>
      <c r="G2481" s="1" t="s">
        <v>11190</v>
      </c>
    </row>
    <row r="2482" spans="1:7">
      <c r="A2482" s="1">
        <v>2481</v>
      </c>
      <c r="B2482" s="1" t="s">
        <v>11191</v>
      </c>
      <c r="D2482" s="1" t="s">
        <v>11179</v>
      </c>
      <c r="E2482" s="1" t="s">
        <v>2238</v>
      </c>
      <c r="F2482" s="1" t="s">
        <v>962</v>
      </c>
      <c r="G2482" s="1" t="s">
        <v>963</v>
      </c>
    </row>
    <row r="2483" spans="1:7">
      <c r="A2483" s="1">
        <v>2482</v>
      </c>
      <c r="B2483" s="1" t="s">
        <v>11192</v>
      </c>
      <c r="D2483" s="1" t="s">
        <v>11179</v>
      </c>
      <c r="E2483" s="1" t="s">
        <v>2246</v>
      </c>
      <c r="F2483" s="1" t="s">
        <v>11193</v>
      </c>
      <c r="G2483" s="1" t="s">
        <v>11194</v>
      </c>
    </row>
    <row r="2484" spans="1:7">
      <c r="A2484" s="1">
        <v>2483</v>
      </c>
      <c r="B2484" s="1" t="s">
        <v>11195</v>
      </c>
      <c r="D2484" s="1" t="s">
        <v>11179</v>
      </c>
      <c r="E2484" s="1" t="s">
        <v>2250</v>
      </c>
      <c r="F2484" s="1" t="s">
        <v>971</v>
      </c>
      <c r="G2484" s="1" t="s">
        <v>972</v>
      </c>
    </row>
    <row r="2485" spans="1:7">
      <c r="A2485" s="1">
        <v>2484</v>
      </c>
      <c r="B2485" s="1" t="s">
        <v>11196</v>
      </c>
      <c r="D2485" s="1" t="s">
        <v>11197</v>
      </c>
      <c r="E2485" s="1" t="s">
        <v>11198</v>
      </c>
      <c r="F2485" s="1" t="s">
        <v>11199</v>
      </c>
      <c r="G2485" s="1" t="s">
        <v>11200</v>
      </c>
    </row>
    <row r="2486" spans="1:7">
      <c r="A2486" s="1">
        <v>2485</v>
      </c>
      <c r="B2486" s="1" t="s">
        <v>11201</v>
      </c>
      <c r="D2486" s="1" t="s">
        <v>11197</v>
      </c>
      <c r="E2486" s="1" t="s">
        <v>11202</v>
      </c>
      <c r="F2486" s="1" t="s">
        <v>11203</v>
      </c>
      <c r="G2486" s="1" t="s">
        <v>11204</v>
      </c>
    </row>
    <row r="2487" spans="1:7">
      <c r="A2487" s="1">
        <v>2486</v>
      </c>
      <c r="B2487" s="1" t="s">
        <v>11205</v>
      </c>
      <c r="D2487" s="1" t="s">
        <v>11197</v>
      </c>
      <c r="E2487" s="1" t="s">
        <v>11206</v>
      </c>
      <c r="F2487" s="1" t="s">
        <v>11207</v>
      </c>
      <c r="G2487" s="1" t="s">
        <v>11208</v>
      </c>
    </row>
    <row r="2488" spans="1:7">
      <c r="A2488" s="1">
        <v>2487</v>
      </c>
      <c r="B2488" s="1" t="s">
        <v>11209</v>
      </c>
      <c r="D2488" s="1" t="s">
        <v>11197</v>
      </c>
      <c r="E2488" s="1" t="s">
        <v>11210</v>
      </c>
      <c r="F2488" s="1" t="s">
        <v>11211</v>
      </c>
      <c r="G2488" s="1" t="s">
        <v>11212</v>
      </c>
    </row>
    <row r="2489" spans="1:7">
      <c r="A2489" s="1">
        <v>2488</v>
      </c>
      <c r="B2489" s="1" t="s">
        <v>11213</v>
      </c>
      <c r="D2489" s="1" t="s">
        <v>11197</v>
      </c>
      <c r="E2489" s="1" t="s">
        <v>11214</v>
      </c>
      <c r="F2489" s="1" t="s">
        <v>11215</v>
      </c>
      <c r="G2489" s="1" t="s">
        <v>11216</v>
      </c>
    </row>
    <row r="2490" spans="1:7">
      <c r="A2490" s="1">
        <v>2489</v>
      </c>
      <c r="B2490" s="1" t="s">
        <v>11217</v>
      </c>
      <c r="D2490" s="1" t="s">
        <v>11197</v>
      </c>
      <c r="E2490" s="1" t="s">
        <v>11218</v>
      </c>
      <c r="F2490" s="1" t="s">
        <v>11219</v>
      </c>
      <c r="G2490" s="1" t="s">
        <v>11220</v>
      </c>
    </row>
    <row r="2491" spans="1:7">
      <c r="A2491" s="1">
        <v>2490</v>
      </c>
      <c r="B2491" s="1" t="s">
        <v>11221</v>
      </c>
      <c r="D2491" s="1" t="s">
        <v>11222</v>
      </c>
      <c r="E2491" s="1" t="s">
        <v>2920</v>
      </c>
      <c r="F2491" s="1" t="s">
        <v>11223</v>
      </c>
      <c r="G2491" s="1" t="s">
        <v>11224</v>
      </c>
    </row>
    <row r="2492" spans="1:7">
      <c r="A2492" s="1">
        <v>2491</v>
      </c>
      <c r="B2492" s="1" t="s">
        <v>11225</v>
      </c>
      <c r="D2492" s="1" t="s">
        <v>11222</v>
      </c>
      <c r="E2492" s="1" t="s">
        <v>2919</v>
      </c>
      <c r="F2492" s="1" t="s">
        <v>11226</v>
      </c>
      <c r="G2492" s="1" t="s">
        <v>11227</v>
      </c>
    </row>
    <row r="2493" spans="1:7">
      <c r="A2493" s="1">
        <v>2492</v>
      </c>
      <c r="B2493" s="1" t="s">
        <v>11228</v>
      </c>
      <c r="D2493" s="1" t="s">
        <v>11222</v>
      </c>
      <c r="E2493" s="1" t="s">
        <v>11229</v>
      </c>
      <c r="F2493" s="1" t="s">
        <v>11230</v>
      </c>
      <c r="G2493" s="1" t="s">
        <v>11231</v>
      </c>
    </row>
    <row r="2494" spans="1:7">
      <c r="A2494" s="1">
        <v>2493</v>
      </c>
      <c r="B2494" s="1" t="s">
        <v>11232</v>
      </c>
      <c r="D2494" s="1" t="s">
        <v>11222</v>
      </c>
      <c r="E2494" s="1" t="s">
        <v>11233</v>
      </c>
      <c r="F2494" s="1" t="s">
        <v>11234</v>
      </c>
      <c r="G2494" s="1" t="s">
        <v>11235</v>
      </c>
    </row>
    <row r="2495" spans="1:7">
      <c r="A2495" s="1">
        <v>2494</v>
      </c>
      <c r="B2495" s="1" t="s">
        <v>11236</v>
      </c>
      <c r="D2495" s="1" t="s">
        <v>11222</v>
      </c>
      <c r="E2495" s="1" t="s">
        <v>11237</v>
      </c>
      <c r="F2495" s="1" t="s">
        <v>11238</v>
      </c>
      <c r="G2495" s="1" t="s">
        <v>11239</v>
      </c>
    </row>
    <row r="2496" spans="1:7">
      <c r="A2496" s="1">
        <v>2495</v>
      </c>
      <c r="B2496" s="1" t="s">
        <v>11240</v>
      </c>
      <c r="D2496" s="1" t="s">
        <v>11222</v>
      </c>
      <c r="E2496" s="1" t="s">
        <v>11241</v>
      </c>
      <c r="F2496" s="1" t="s">
        <v>11242</v>
      </c>
      <c r="G2496" s="1" t="s">
        <v>11243</v>
      </c>
    </row>
    <row r="2497" spans="1:7">
      <c r="A2497" s="1">
        <v>2496</v>
      </c>
      <c r="B2497" s="1" t="s">
        <v>11244</v>
      </c>
      <c r="D2497" s="1" t="s">
        <v>11222</v>
      </c>
      <c r="E2497" s="1" t="s">
        <v>11245</v>
      </c>
      <c r="F2497" s="1" t="s">
        <v>11246</v>
      </c>
      <c r="G2497" s="1" t="s">
        <v>11247</v>
      </c>
    </row>
    <row r="2498" spans="1:7">
      <c r="A2498" s="1">
        <v>2497</v>
      </c>
      <c r="B2498" s="1" t="s">
        <v>11248</v>
      </c>
      <c r="D2498" s="1" t="s">
        <v>11222</v>
      </c>
      <c r="E2498" s="1" t="s">
        <v>11249</v>
      </c>
      <c r="F2498" s="1" t="s">
        <v>11250</v>
      </c>
      <c r="G2498" s="1" t="s">
        <v>11251</v>
      </c>
    </row>
    <row r="2499" spans="1:7">
      <c r="A2499" s="1">
        <v>2498</v>
      </c>
      <c r="B2499" s="1" t="s">
        <v>11252</v>
      </c>
      <c r="D2499" s="1" t="s">
        <v>11253</v>
      </c>
      <c r="E2499" s="1" t="s">
        <v>978</v>
      </c>
      <c r="F2499" s="1" t="s">
        <v>979</v>
      </c>
      <c r="G2499" s="1" t="s">
        <v>980</v>
      </c>
    </row>
    <row r="2500" spans="1:7">
      <c r="A2500" s="1">
        <v>2499</v>
      </c>
      <c r="B2500" s="1" t="s">
        <v>11254</v>
      </c>
      <c r="D2500" s="1" t="s">
        <v>11255</v>
      </c>
      <c r="E2500" s="1" t="s">
        <v>11256</v>
      </c>
      <c r="F2500" s="1" t="s">
        <v>11257</v>
      </c>
      <c r="G2500" s="1" t="s">
        <v>11258</v>
      </c>
    </row>
    <row r="2501" spans="1:7">
      <c r="A2501" s="1">
        <v>2500</v>
      </c>
      <c r="B2501" s="1" t="s">
        <v>11259</v>
      </c>
      <c r="D2501" s="1" t="s">
        <v>11255</v>
      </c>
      <c r="E2501" s="1" t="s">
        <v>11260</v>
      </c>
      <c r="F2501" s="1" t="s">
        <v>11261</v>
      </c>
      <c r="G2501" s="1" t="s">
        <v>11262</v>
      </c>
    </row>
    <row r="2502" spans="1:7">
      <c r="A2502" s="1">
        <v>2501</v>
      </c>
      <c r="B2502" s="1" t="s">
        <v>11263</v>
      </c>
      <c r="D2502" s="1" t="s">
        <v>11255</v>
      </c>
      <c r="E2502" s="1" t="s">
        <v>11264</v>
      </c>
      <c r="F2502" s="1" t="s">
        <v>11265</v>
      </c>
      <c r="G2502" s="1" t="s">
        <v>11266</v>
      </c>
    </row>
    <row r="2503" spans="1:7">
      <c r="A2503" s="1">
        <v>2502</v>
      </c>
      <c r="B2503" s="1" t="s">
        <v>11267</v>
      </c>
      <c r="D2503" s="1" t="s">
        <v>11268</v>
      </c>
      <c r="E2503" s="1" t="s">
        <v>3709</v>
      </c>
      <c r="F2503" s="1" t="s">
        <v>11269</v>
      </c>
      <c r="G2503" s="1" t="s">
        <v>11270</v>
      </c>
    </row>
    <row r="2504" spans="1:7">
      <c r="A2504" s="1">
        <v>2503</v>
      </c>
      <c r="B2504" s="1" t="s">
        <v>11271</v>
      </c>
      <c r="D2504" s="1" t="s">
        <v>11268</v>
      </c>
      <c r="E2504" s="1" t="s">
        <v>11272</v>
      </c>
      <c r="F2504" s="1" t="s">
        <v>11273</v>
      </c>
      <c r="G2504" s="1" t="s">
        <v>11274</v>
      </c>
    </row>
    <row r="2505" spans="1:7">
      <c r="A2505" s="1">
        <v>2504</v>
      </c>
      <c r="B2505" s="1" t="s">
        <v>11275</v>
      </c>
      <c r="D2505" s="1" t="s">
        <v>11268</v>
      </c>
      <c r="E2505" s="1" t="s">
        <v>3711</v>
      </c>
      <c r="F2505" s="1" t="s">
        <v>11276</v>
      </c>
      <c r="G2505" s="1" t="s">
        <v>11277</v>
      </c>
    </row>
    <row r="2506" spans="1:7">
      <c r="A2506" s="1">
        <v>2505</v>
      </c>
      <c r="B2506" s="1" t="s">
        <v>11278</v>
      </c>
      <c r="D2506" s="1" t="s">
        <v>11268</v>
      </c>
      <c r="E2506" s="1" t="s">
        <v>3712</v>
      </c>
      <c r="F2506" s="1" t="s">
        <v>11279</v>
      </c>
      <c r="G2506" s="1" t="s">
        <v>11280</v>
      </c>
    </row>
    <row r="2507" spans="1:7">
      <c r="A2507" s="1">
        <v>2506</v>
      </c>
      <c r="B2507" s="1" t="s">
        <v>11281</v>
      </c>
      <c r="D2507" s="1" t="s">
        <v>11282</v>
      </c>
      <c r="E2507" s="1" t="s">
        <v>11283</v>
      </c>
      <c r="F2507" s="1" t="s">
        <v>11284</v>
      </c>
      <c r="G2507" s="1" t="s">
        <v>11285</v>
      </c>
    </row>
    <row r="2508" spans="1:7">
      <c r="A2508" s="1">
        <v>2507</v>
      </c>
      <c r="B2508" s="1" t="s">
        <v>11286</v>
      </c>
      <c r="D2508" s="1" t="s">
        <v>11282</v>
      </c>
      <c r="E2508" s="1" t="s">
        <v>3702</v>
      </c>
      <c r="F2508" s="1" t="s">
        <v>11287</v>
      </c>
      <c r="G2508" s="1" t="s">
        <v>11288</v>
      </c>
    </row>
    <row r="2509" spans="1:7">
      <c r="A2509" s="1">
        <v>2508</v>
      </c>
      <c r="B2509" s="1" t="s">
        <v>11289</v>
      </c>
      <c r="D2509" s="1" t="s">
        <v>11282</v>
      </c>
      <c r="E2509" s="1" t="s">
        <v>3703</v>
      </c>
      <c r="F2509" s="1" t="s">
        <v>11290</v>
      </c>
      <c r="G2509" s="1" t="s">
        <v>11291</v>
      </c>
    </row>
    <row r="2510" spans="1:7">
      <c r="A2510" s="1">
        <v>2509</v>
      </c>
      <c r="B2510" s="1" t="s">
        <v>11292</v>
      </c>
      <c r="D2510" s="1" t="s">
        <v>11282</v>
      </c>
      <c r="E2510" s="1" t="s">
        <v>3701</v>
      </c>
      <c r="F2510" s="1" t="s">
        <v>11293</v>
      </c>
      <c r="G2510" s="1" t="s">
        <v>11294</v>
      </c>
    </row>
    <row r="2511" spans="1:7">
      <c r="A2511" s="1">
        <v>2510</v>
      </c>
      <c r="B2511" s="1" t="s">
        <v>11295</v>
      </c>
      <c r="D2511" s="1" t="s">
        <v>11282</v>
      </c>
      <c r="E2511" s="1" t="s">
        <v>11296</v>
      </c>
      <c r="F2511" s="1" t="s">
        <v>11297</v>
      </c>
      <c r="G2511" s="1" t="s">
        <v>11298</v>
      </c>
    </row>
    <row r="2512" spans="1:7">
      <c r="A2512" s="1">
        <v>2511</v>
      </c>
      <c r="B2512" s="1" t="s">
        <v>11299</v>
      </c>
      <c r="D2512" s="1" t="s">
        <v>11282</v>
      </c>
      <c r="E2512" s="1" t="s">
        <v>3705</v>
      </c>
      <c r="F2512" s="1" t="s">
        <v>11293</v>
      </c>
      <c r="G2512" s="1" t="s">
        <v>11294</v>
      </c>
    </row>
    <row r="2513" spans="1:7">
      <c r="A2513" s="1">
        <v>2512</v>
      </c>
      <c r="B2513" s="1" t="s">
        <v>11300</v>
      </c>
      <c r="D2513" s="1" t="s">
        <v>11282</v>
      </c>
      <c r="E2513" s="1" t="s">
        <v>11301</v>
      </c>
      <c r="F2513" s="1" t="s">
        <v>11302</v>
      </c>
      <c r="G2513" s="1" t="s">
        <v>11303</v>
      </c>
    </row>
    <row r="2514" spans="1:7">
      <c r="A2514" s="1">
        <v>2513</v>
      </c>
      <c r="B2514" s="1" t="s">
        <v>11304</v>
      </c>
      <c r="D2514" s="1" t="s">
        <v>11282</v>
      </c>
      <c r="E2514" s="1" t="s">
        <v>11305</v>
      </c>
      <c r="F2514" s="1" t="s">
        <v>11306</v>
      </c>
      <c r="G2514" s="1" t="s">
        <v>11307</v>
      </c>
    </row>
    <row r="2515" spans="1:7">
      <c r="A2515" s="1">
        <v>2514</v>
      </c>
      <c r="B2515" s="1" t="s">
        <v>11308</v>
      </c>
      <c r="D2515" s="1" t="s">
        <v>11282</v>
      </c>
      <c r="E2515" s="1" t="s">
        <v>11309</v>
      </c>
      <c r="F2515" s="1" t="s">
        <v>11310</v>
      </c>
      <c r="G2515" s="1" t="s">
        <v>11311</v>
      </c>
    </row>
    <row r="2516" spans="1:7">
      <c r="A2516" s="1">
        <v>2515</v>
      </c>
      <c r="B2516" s="1" t="s">
        <v>11312</v>
      </c>
      <c r="D2516" s="1" t="s">
        <v>11282</v>
      </c>
      <c r="E2516" s="1" t="s">
        <v>3704</v>
      </c>
      <c r="F2516" s="1" t="s">
        <v>11313</v>
      </c>
      <c r="G2516" s="1" t="s">
        <v>11314</v>
      </c>
    </row>
    <row r="2517" spans="1:7">
      <c r="A2517" s="1">
        <v>2516</v>
      </c>
      <c r="B2517" s="1" t="s">
        <v>11315</v>
      </c>
      <c r="D2517" s="1" t="s">
        <v>11282</v>
      </c>
      <c r="E2517" s="1" t="s">
        <v>3706</v>
      </c>
      <c r="F2517" s="1" t="s">
        <v>11316</v>
      </c>
      <c r="G2517" s="1" t="s">
        <v>11317</v>
      </c>
    </row>
    <row r="2518" spans="1:7">
      <c r="A2518" s="1">
        <v>2517</v>
      </c>
      <c r="B2518" s="1" t="s">
        <v>11318</v>
      </c>
      <c r="D2518" s="1" t="s">
        <v>11282</v>
      </c>
      <c r="E2518" s="1" t="s">
        <v>3707</v>
      </c>
      <c r="F2518" s="1" t="s">
        <v>11319</v>
      </c>
      <c r="G2518" s="1" t="s">
        <v>11320</v>
      </c>
    </row>
    <row r="2519" spans="1:7">
      <c r="A2519" s="1">
        <v>2518</v>
      </c>
      <c r="B2519" s="1" t="s">
        <v>11321</v>
      </c>
      <c r="D2519" s="1" t="s">
        <v>11322</v>
      </c>
      <c r="E2519" s="1" t="s">
        <v>3194</v>
      </c>
      <c r="F2519" s="1" t="s">
        <v>11323</v>
      </c>
      <c r="G2519" s="1" t="s">
        <v>11324</v>
      </c>
    </row>
    <row r="2520" spans="1:7">
      <c r="A2520" s="1">
        <v>2519</v>
      </c>
      <c r="B2520" s="1" t="s">
        <v>11325</v>
      </c>
      <c r="D2520" s="1" t="s">
        <v>11322</v>
      </c>
      <c r="E2520" s="1" t="s">
        <v>3191</v>
      </c>
      <c r="F2520" s="1" t="s">
        <v>11326</v>
      </c>
      <c r="G2520" s="1" t="s">
        <v>11327</v>
      </c>
    </row>
    <row r="2521" spans="1:7">
      <c r="A2521" s="1">
        <v>2520</v>
      </c>
      <c r="B2521" s="1" t="s">
        <v>11328</v>
      </c>
      <c r="D2521" s="1" t="s">
        <v>11329</v>
      </c>
      <c r="E2521" s="1" t="s">
        <v>11330</v>
      </c>
      <c r="F2521" s="1" t="s">
        <v>11331</v>
      </c>
      <c r="G2521" s="1" t="s">
        <v>11332</v>
      </c>
    </row>
    <row r="2522" spans="1:7">
      <c r="A2522" s="1">
        <v>2521</v>
      </c>
      <c r="B2522" s="1" t="s">
        <v>11333</v>
      </c>
      <c r="D2522" s="1" t="s">
        <v>11329</v>
      </c>
      <c r="E2522" s="1" t="s">
        <v>11334</v>
      </c>
      <c r="F2522" s="1" t="s">
        <v>11335</v>
      </c>
      <c r="G2522" s="1" t="s">
        <v>11336</v>
      </c>
    </row>
    <row r="2523" spans="1:7">
      <c r="A2523" s="1">
        <v>2522</v>
      </c>
      <c r="B2523" s="1" t="s">
        <v>11337</v>
      </c>
      <c r="D2523" s="1" t="s">
        <v>11329</v>
      </c>
      <c r="E2523" s="1" t="s">
        <v>11338</v>
      </c>
      <c r="F2523" s="1" t="s">
        <v>11339</v>
      </c>
      <c r="G2523" s="1" t="s">
        <v>11340</v>
      </c>
    </row>
    <row r="2524" spans="1:7">
      <c r="A2524" s="1">
        <v>2523</v>
      </c>
      <c r="B2524" s="1" t="s">
        <v>11341</v>
      </c>
      <c r="D2524" s="1" t="s">
        <v>11329</v>
      </c>
      <c r="E2524" s="1" t="s">
        <v>11342</v>
      </c>
      <c r="F2524" s="1" t="s">
        <v>11343</v>
      </c>
      <c r="G2524" s="1" t="s">
        <v>11344</v>
      </c>
    </row>
    <row r="2525" spans="1:7">
      <c r="A2525" s="1">
        <v>2524</v>
      </c>
      <c r="B2525" s="1" t="s">
        <v>11345</v>
      </c>
      <c r="D2525" s="1" t="s">
        <v>11329</v>
      </c>
      <c r="E2525" s="1" t="s">
        <v>11346</v>
      </c>
      <c r="F2525" s="1" t="s">
        <v>11347</v>
      </c>
      <c r="G2525" s="1" t="s">
        <v>11348</v>
      </c>
    </row>
    <row r="2526" spans="1:7">
      <c r="A2526" s="1">
        <v>2525</v>
      </c>
      <c r="B2526" s="1" t="s">
        <v>11349</v>
      </c>
      <c r="D2526" s="1" t="s">
        <v>11329</v>
      </c>
      <c r="E2526" s="1" t="s">
        <v>11350</v>
      </c>
      <c r="F2526" s="1" t="s">
        <v>11351</v>
      </c>
      <c r="G2526" s="1" t="s">
        <v>11352</v>
      </c>
    </row>
    <row r="2527" spans="1:7">
      <c r="A2527" s="1">
        <v>2526</v>
      </c>
      <c r="B2527" s="1" t="s">
        <v>11353</v>
      </c>
      <c r="D2527" s="1" t="s">
        <v>11329</v>
      </c>
      <c r="E2527" s="1" t="s">
        <v>11354</v>
      </c>
      <c r="F2527" s="1" t="s">
        <v>11355</v>
      </c>
      <c r="G2527" s="1" t="s">
        <v>11356</v>
      </c>
    </row>
    <row r="2528" spans="1:7">
      <c r="A2528" s="1">
        <v>2527</v>
      </c>
      <c r="B2528" s="1" t="s">
        <v>11357</v>
      </c>
      <c r="D2528" s="1" t="s">
        <v>11329</v>
      </c>
      <c r="E2528" s="1" t="s">
        <v>11358</v>
      </c>
      <c r="F2528" s="1" t="s">
        <v>11359</v>
      </c>
      <c r="G2528" s="1" t="s">
        <v>11360</v>
      </c>
    </row>
    <row r="2529" spans="1:7">
      <c r="A2529" s="1">
        <v>2528</v>
      </c>
      <c r="B2529" s="1" t="s">
        <v>11361</v>
      </c>
      <c r="D2529" s="1" t="s">
        <v>11329</v>
      </c>
      <c r="E2529" s="1" t="s">
        <v>11362</v>
      </c>
      <c r="F2529" s="1" t="s">
        <v>11363</v>
      </c>
      <c r="G2529" s="1" t="s">
        <v>11364</v>
      </c>
    </row>
    <row r="2530" spans="1:7">
      <c r="A2530" s="1">
        <v>2529</v>
      </c>
      <c r="B2530" s="1" t="s">
        <v>11365</v>
      </c>
      <c r="D2530" s="1" t="s">
        <v>11329</v>
      </c>
      <c r="E2530" s="1" t="s">
        <v>11366</v>
      </c>
      <c r="F2530" s="1" t="s">
        <v>11367</v>
      </c>
      <c r="G2530" s="1" t="s">
        <v>11368</v>
      </c>
    </row>
    <row r="2531" spans="1:7">
      <c r="A2531" s="1">
        <v>2530</v>
      </c>
      <c r="B2531" s="1" t="s">
        <v>11369</v>
      </c>
      <c r="D2531" s="1" t="s">
        <v>11370</v>
      </c>
      <c r="E2531" s="1" t="s">
        <v>2932</v>
      </c>
      <c r="F2531" s="1" t="s">
        <v>11371</v>
      </c>
      <c r="G2531" s="1" t="s">
        <v>11372</v>
      </c>
    </row>
    <row r="2532" spans="1:7">
      <c r="A2532" s="1">
        <v>2531</v>
      </c>
      <c r="B2532" s="1" t="s">
        <v>11373</v>
      </c>
      <c r="D2532" s="1" t="s">
        <v>11370</v>
      </c>
      <c r="E2532" s="1" t="s">
        <v>2929</v>
      </c>
      <c r="F2532" s="1" t="s">
        <v>11374</v>
      </c>
      <c r="G2532" s="1" t="s">
        <v>11375</v>
      </c>
    </row>
    <row r="2533" spans="1:7">
      <c r="A2533" s="1">
        <v>2532</v>
      </c>
      <c r="B2533" s="1" t="s">
        <v>11376</v>
      </c>
      <c r="D2533" s="1" t="s">
        <v>11370</v>
      </c>
      <c r="E2533" s="1" t="s">
        <v>11377</v>
      </c>
      <c r="F2533" s="1" t="s">
        <v>11378</v>
      </c>
      <c r="G2533" s="1" t="s">
        <v>11379</v>
      </c>
    </row>
    <row r="2534" spans="1:7">
      <c r="A2534" s="1">
        <v>2533</v>
      </c>
      <c r="B2534" s="1" t="s">
        <v>11380</v>
      </c>
      <c r="D2534" s="1" t="s">
        <v>11370</v>
      </c>
      <c r="E2534" s="1" t="s">
        <v>11381</v>
      </c>
      <c r="F2534" s="1" t="s">
        <v>11382</v>
      </c>
      <c r="G2534" s="1" t="s">
        <v>11383</v>
      </c>
    </row>
    <row r="2535" spans="1:7">
      <c r="A2535" s="1">
        <v>2534</v>
      </c>
      <c r="B2535" s="1" t="s">
        <v>11384</v>
      </c>
      <c r="D2535" s="1" t="s">
        <v>11370</v>
      </c>
      <c r="E2535" s="1" t="s">
        <v>11385</v>
      </c>
      <c r="F2535" s="1" t="s">
        <v>11386</v>
      </c>
      <c r="G2535" s="1" t="s">
        <v>11387</v>
      </c>
    </row>
    <row r="2536" spans="1:7">
      <c r="A2536" s="1">
        <v>2535</v>
      </c>
      <c r="B2536" s="1" t="s">
        <v>11388</v>
      </c>
      <c r="D2536" s="1" t="s">
        <v>11370</v>
      </c>
      <c r="E2536" s="1" t="s">
        <v>11389</v>
      </c>
      <c r="F2536" s="1" t="s">
        <v>11390</v>
      </c>
      <c r="G2536" s="1" t="s">
        <v>11391</v>
      </c>
    </row>
    <row r="2537" spans="1:7">
      <c r="A2537" s="1">
        <v>2536</v>
      </c>
      <c r="B2537" s="1" t="s">
        <v>11392</v>
      </c>
      <c r="D2537" s="1" t="s">
        <v>11370</v>
      </c>
      <c r="E2537" s="1" t="s">
        <v>11393</v>
      </c>
      <c r="F2537" s="1" t="s">
        <v>11394</v>
      </c>
      <c r="G2537" s="1" t="s">
        <v>11395</v>
      </c>
    </row>
    <row r="2538" spans="1:7">
      <c r="A2538" s="1">
        <v>2537</v>
      </c>
      <c r="B2538" s="1" t="s">
        <v>11396</v>
      </c>
      <c r="D2538" s="1" t="s">
        <v>11370</v>
      </c>
      <c r="E2538" s="1" t="s">
        <v>11397</v>
      </c>
      <c r="F2538" s="1" t="s">
        <v>11398</v>
      </c>
      <c r="G2538" s="1" t="s">
        <v>11399</v>
      </c>
    </row>
    <row r="2539" spans="1:7">
      <c r="A2539" s="1">
        <v>2538</v>
      </c>
      <c r="B2539" s="1" t="s">
        <v>11400</v>
      </c>
      <c r="D2539" s="1" t="s">
        <v>11370</v>
      </c>
      <c r="E2539" s="1" t="s">
        <v>11401</v>
      </c>
      <c r="F2539" s="1" t="s">
        <v>11402</v>
      </c>
      <c r="G2539" s="1" t="s">
        <v>11403</v>
      </c>
    </row>
    <row r="2540" spans="1:7">
      <c r="A2540" s="1">
        <v>2539</v>
      </c>
      <c r="B2540" s="1" t="s">
        <v>11404</v>
      </c>
      <c r="D2540" s="1" t="s">
        <v>11405</v>
      </c>
      <c r="E2540" s="1" t="s">
        <v>11406</v>
      </c>
      <c r="F2540" s="1" t="s">
        <v>11407</v>
      </c>
      <c r="G2540" s="1" t="s">
        <v>11408</v>
      </c>
    </row>
    <row r="2541" spans="1:7">
      <c r="A2541" s="1">
        <v>2540</v>
      </c>
      <c r="B2541" s="1" t="s">
        <v>11409</v>
      </c>
      <c r="D2541" s="1" t="s">
        <v>11405</v>
      </c>
      <c r="E2541" s="1" t="s">
        <v>11410</v>
      </c>
      <c r="F2541" s="1" t="s">
        <v>11411</v>
      </c>
      <c r="G2541" s="1" t="s">
        <v>11412</v>
      </c>
    </row>
    <row r="2542" spans="1:7">
      <c r="A2542" s="1">
        <v>2541</v>
      </c>
      <c r="B2542" s="1" t="s">
        <v>11413</v>
      </c>
      <c r="D2542" s="1" t="s">
        <v>11405</v>
      </c>
      <c r="E2542" s="1" t="s">
        <v>11414</v>
      </c>
      <c r="F2542" s="1" t="s">
        <v>11415</v>
      </c>
      <c r="G2542" s="1" t="s">
        <v>11416</v>
      </c>
    </row>
    <row r="2543" spans="1:7">
      <c r="A2543" s="1">
        <v>2542</v>
      </c>
      <c r="B2543" s="1" t="s">
        <v>11417</v>
      </c>
      <c r="D2543" s="1" t="s">
        <v>11405</v>
      </c>
      <c r="E2543" s="1" t="s">
        <v>11418</v>
      </c>
      <c r="F2543" s="1" t="s">
        <v>11419</v>
      </c>
      <c r="G2543" s="1" t="s">
        <v>11420</v>
      </c>
    </row>
    <row r="2544" spans="1:7">
      <c r="A2544" s="1">
        <v>2543</v>
      </c>
      <c r="B2544" s="1" t="s">
        <v>11421</v>
      </c>
      <c r="D2544" s="1" t="s">
        <v>11405</v>
      </c>
      <c r="E2544" s="1" t="s">
        <v>11422</v>
      </c>
      <c r="F2544" s="1" t="s">
        <v>11423</v>
      </c>
      <c r="G2544" s="1" t="s">
        <v>11424</v>
      </c>
    </row>
    <row r="2545" spans="1:7">
      <c r="A2545" s="1">
        <v>2544</v>
      </c>
      <c r="B2545" s="1" t="s">
        <v>11425</v>
      </c>
      <c r="D2545" s="1" t="s">
        <v>11405</v>
      </c>
      <c r="E2545" s="1" t="s">
        <v>11426</v>
      </c>
      <c r="F2545" s="1" t="s">
        <v>11427</v>
      </c>
      <c r="G2545" s="1" t="s">
        <v>11428</v>
      </c>
    </row>
    <row r="2546" spans="1:7">
      <c r="A2546" s="1">
        <v>2545</v>
      </c>
      <c r="B2546" s="1" t="s">
        <v>11429</v>
      </c>
      <c r="D2546" s="1" t="s">
        <v>11430</v>
      </c>
      <c r="E2546" s="1" t="s">
        <v>11431</v>
      </c>
      <c r="F2546" s="1" t="s">
        <v>11432</v>
      </c>
      <c r="G2546" s="1" t="s">
        <v>11433</v>
      </c>
    </row>
    <row r="2547" spans="1:7">
      <c r="A2547" s="1">
        <v>2546</v>
      </c>
      <c r="B2547" s="1" t="s">
        <v>11434</v>
      </c>
      <c r="D2547" s="1" t="s">
        <v>11435</v>
      </c>
      <c r="E2547" s="1" t="s">
        <v>2554</v>
      </c>
      <c r="F2547" s="1" t="s">
        <v>4080</v>
      </c>
      <c r="G2547" s="1" t="s">
        <v>4081</v>
      </c>
    </row>
    <row r="2548" spans="1:7">
      <c r="A2548" s="1">
        <v>2547</v>
      </c>
      <c r="B2548" s="1" t="s">
        <v>11436</v>
      </c>
      <c r="D2548" s="1" t="s">
        <v>11435</v>
      </c>
      <c r="E2548" s="1" t="s">
        <v>2562</v>
      </c>
      <c r="F2548" s="1" t="s">
        <v>11437</v>
      </c>
      <c r="G2548" s="1" t="s">
        <v>11438</v>
      </c>
    </row>
    <row r="2549" spans="1:7">
      <c r="A2549" s="1">
        <v>2548</v>
      </c>
      <c r="B2549" s="1" t="s">
        <v>11439</v>
      </c>
      <c r="D2549" s="1" t="s">
        <v>11435</v>
      </c>
      <c r="E2549" s="1" t="s">
        <v>2564</v>
      </c>
      <c r="F2549" s="1" t="s">
        <v>11440</v>
      </c>
      <c r="G2549" s="1" t="s">
        <v>11441</v>
      </c>
    </row>
    <row r="2550" spans="1:7">
      <c r="A2550" s="1">
        <v>2549</v>
      </c>
      <c r="B2550" s="1" t="s">
        <v>11442</v>
      </c>
      <c r="D2550" s="1" t="s">
        <v>11435</v>
      </c>
      <c r="E2550" s="1" t="s">
        <v>2566</v>
      </c>
      <c r="F2550" s="1" t="s">
        <v>11443</v>
      </c>
      <c r="G2550" s="1" t="s">
        <v>11444</v>
      </c>
    </row>
    <row r="2551" spans="1:7">
      <c r="A2551" s="1">
        <v>2550</v>
      </c>
      <c r="B2551" s="1" t="s">
        <v>11445</v>
      </c>
      <c r="D2551" s="1" t="s">
        <v>11446</v>
      </c>
      <c r="E2551" s="1" t="s">
        <v>11447</v>
      </c>
      <c r="F2551" s="1" t="s">
        <v>11448</v>
      </c>
      <c r="G2551" s="1" t="s">
        <v>11449</v>
      </c>
    </row>
    <row r="2552" spans="1:7">
      <c r="A2552" s="1">
        <v>2551</v>
      </c>
      <c r="B2552" s="1" t="s">
        <v>11450</v>
      </c>
      <c r="D2552" s="1" t="s">
        <v>11446</v>
      </c>
      <c r="E2552" s="1" t="s">
        <v>11451</v>
      </c>
      <c r="F2552" s="1" t="s">
        <v>11452</v>
      </c>
      <c r="G2552" s="1" t="s">
        <v>11453</v>
      </c>
    </row>
    <row r="2553" spans="1:7">
      <c r="A2553" s="1">
        <v>2552</v>
      </c>
      <c r="B2553" s="1" t="s">
        <v>11454</v>
      </c>
      <c r="D2553" s="1" t="s">
        <v>11446</v>
      </c>
      <c r="E2553" s="1" t="s">
        <v>11455</v>
      </c>
      <c r="F2553" s="1" t="s">
        <v>11456</v>
      </c>
      <c r="G2553" s="1" t="s">
        <v>11457</v>
      </c>
    </row>
    <row r="2554" spans="1:7">
      <c r="A2554" s="1">
        <v>2553</v>
      </c>
      <c r="B2554" s="1" t="s">
        <v>11458</v>
      </c>
      <c r="D2554" s="1" t="s">
        <v>11459</v>
      </c>
      <c r="E2554" s="1" t="s">
        <v>11460</v>
      </c>
      <c r="F2554" s="1" t="s">
        <v>11461</v>
      </c>
      <c r="G2554" s="1" t="s">
        <v>11462</v>
      </c>
    </row>
    <row r="2555" spans="1:7">
      <c r="A2555" s="1">
        <v>2554</v>
      </c>
      <c r="B2555" s="1" t="s">
        <v>11463</v>
      </c>
      <c r="D2555" s="1" t="s">
        <v>11464</v>
      </c>
      <c r="E2555" s="1" t="s">
        <v>11465</v>
      </c>
      <c r="F2555" s="1" t="s">
        <v>11466</v>
      </c>
      <c r="G2555" s="1" t="s">
        <v>11467</v>
      </c>
    </row>
    <row r="2556" spans="1:7">
      <c r="A2556" s="1">
        <v>2555</v>
      </c>
      <c r="B2556" s="1" t="s">
        <v>11468</v>
      </c>
      <c r="D2556" s="1" t="s">
        <v>11464</v>
      </c>
      <c r="E2556" s="1" t="s">
        <v>11469</v>
      </c>
      <c r="F2556" s="1" t="s">
        <v>11470</v>
      </c>
      <c r="G2556" s="1" t="s">
        <v>11471</v>
      </c>
    </row>
    <row r="2557" spans="1:7">
      <c r="A2557" s="1">
        <v>2556</v>
      </c>
      <c r="B2557" s="1" t="s">
        <v>11472</v>
      </c>
      <c r="D2557" s="1" t="s">
        <v>11464</v>
      </c>
      <c r="E2557" s="1" t="s">
        <v>11473</v>
      </c>
      <c r="F2557" s="1" t="s">
        <v>990</v>
      </c>
      <c r="G2557" s="1" t="s">
        <v>991</v>
      </c>
    </row>
    <row r="2558" spans="1:7">
      <c r="A2558" s="1">
        <v>2557</v>
      </c>
      <c r="B2558" s="1" t="s">
        <v>11474</v>
      </c>
      <c r="D2558" s="1" t="s">
        <v>11475</v>
      </c>
      <c r="E2558" s="1" t="s">
        <v>11476</v>
      </c>
      <c r="F2558" s="1" t="s">
        <v>11477</v>
      </c>
      <c r="G2558" s="1" t="s">
        <v>11478</v>
      </c>
    </row>
    <row r="2559" spans="1:7">
      <c r="A2559" s="1">
        <v>2558</v>
      </c>
      <c r="B2559" s="1" t="s">
        <v>11479</v>
      </c>
      <c r="D2559" s="1" t="s">
        <v>11475</v>
      </c>
      <c r="E2559" s="1" t="s">
        <v>11480</v>
      </c>
      <c r="F2559" s="1" t="s">
        <v>11481</v>
      </c>
      <c r="G2559" s="1" t="s">
        <v>11482</v>
      </c>
    </row>
    <row r="2560" spans="1:7">
      <c r="A2560" s="1">
        <v>2559</v>
      </c>
      <c r="B2560" s="1" t="s">
        <v>11483</v>
      </c>
      <c r="D2560" s="1" t="s">
        <v>11484</v>
      </c>
      <c r="E2560" s="1" t="s">
        <v>11485</v>
      </c>
      <c r="F2560" s="1" t="s">
        <v>222</v>
      </c>
      <c r="G2560" s="1" t="s">
        <v>223</v>
      </c>
    </row>
    <row r="2561" spans="1:7">
      <c r="A2561" s="1">
        <v>2560</v>
      </c>
      <c r="B2561" s="1" t="s">
        <v>11486</v>
      </c>
      <c r="D2561" s="1" t="s">
        <v>11484</v>
      </c>
      <c r="E2561" s="1" t="s">
        <v>11487</v>
      </c>
      <c r="F2561" s="1" t="s">
        <v>226</v>
      </c>
      <c r="G2561" s="1" t="s">
        <v>227</v>
      </c>
    </row>
    <row r="2562" spans="1:7">
      <c r="A2562" s="1">
        <v>2561</v>
      </c>
      <c r="B2562" s="1" t="s">
        <v>11488</v>
      </c>
      <c r="D2562" s="1" t="s">
        <v>11484</v>
      </c>
      <c r="E2562" s="1" t="s">
        <v>11489</v>
      </c>
      <c r="F2562" s="1" t="s">
        <v>11477</v>
      </c>
      <c r="G2562" s="1" t="s">
        <v>11478</v>
      </c>
    </row>
    <row r="2563" spans="1:7">
      <c r="A2563" s="1">
        <v>2562</v>
      </c>
      <c r="B2563" s="1" t="s">
        <v>11490</v>
      </c>
      <c r="D2563" s="1" t="s">
        <v>11484</v>
      </c>
      <c r="E2563" s="1" t="s">
        <v>11491</v>
      </c>
      <c r="F2563" s="1" t="s">
        <v>11492</v>
      </c>
      <c r="G2563" s="1" t="s">
        <v>11493</v>
      </c>
    </row>
    <row r="2564" spans="1:7">
      <c r="A2564" s="1">
        <v>2563</v>
      </c>
      <c r="B2564" s="1" t="s">
        <v>11494</v>
      </c>
      <c r="D2564" s="1" t="s">
        <v>11484</v>
      </c>
      <c r="E2564" s="1" t="s">
        <v>11495</v>
      </c>
      <c r="F2564" s="1" t="s">
        <v>11481</v>
      </c>
      <c r="G2564" s="1" t="s">
        <v>11482</v>
      </c>
    </row>
    <row r="2565" spans="1:7">
      <c r="A2565" s="1">
        <v>2564</v>
      </c>
      <c r="B2565" s="1" t="s">
        <v>11496</v>
      </c>
      <c r="D2565" s="1" t="s">
        <v>11497</v>
      </c>
      <c r="E2565" s="1" t="s">
        <v>1773</v>
      </c>
      <c r="F2565" s="1" t="s">
        <v>11498</v>
      </c>
      <c r="G2565" s="1" t="s">
        <v>11499</v>
      </c>
    </row>
    <row r="2566" spans="1:7">
      <c r="A2566" s="1">
        <v>2565</v>
      </c>
      <c r="B2566" s="1" t="s">
        <v>11500</v>
      </c>
      <c r="D2566" s="1" t="s">
        <v>11497</v>
      </c>
      <c r="E2566" s="1" t="s">
        <v>1776</v>
      </c>
      <c r="F2566" s="1" t="s">
        <v>11501</v>
      </c>
      <c r="G2566" s="1" t="s">
        <v>11502</v>
      </c>
    </row>
    <row r="2567" spans="1:7">
      <c r="A2567" s="1">
        <v>2566</v>
      </c>
      <c r="B2567" s="1" t="s">
        <v>11503</v>
      </c>
      <c r="D2567" s="1" t="s">
        <v>11497</v>
      </c>
      <c r="E2567" s="1" t="s">
        <v>11504</v>
      </c>
      <c r="F2567" s="1" t="s">
        <v>11505</v>
      </c>
      <c r="G2567" s="1" t="s">
        <v>11506</v>
      </c>
    </row>
    <row r="2568" spans="1:7">
      <c r="A2568" s="1">
        <v>2567</v>
      </c>
      <c r="B2568" s="1" t="s">
        <v>11507</v>
      </c>
      <c r="D2568" s="1" t="s">
        <v>11497</v>
      </c>
      <c r="E2568" s="1" t="s">
        <v>1772</v>
      </c>
      <c r="F2568" s="1" t="s">
        <v>11508</v>
      </c>
      <c r="G2568" s="1" t="s">
        <v>11509</v>
      </c>
    </row>
    <row r="2569" spans="1:7">
      <c r="A2569" s="1">
        <v>2568</v>
      </c>
      <c r="B2569" s="1" t="s">
        <v>11510</v>
      </c>
      <c r="D2569" s="1" t="s">
        <v>11511</v>
      </c>
      <c r="E2569" s="1" t="s">
        <v>165</v>
      </c>
      <c r="F2569" s="1" t="s">
        <v>11498</v>
      </c>
      <c r="G2569" s="1" t="s">
        <v>11499</v>
      </c>
    </row>
    <row r="2570" spans="1:7">
      <c r="A2570" s="1">
        <v>2569</v>
      </c>
      <c r="B2570" s="1" t="s">
        <v>11512</v>
      </c>
      <c r="D2570" s="1" t="s">
        <v>11511</v>
      </c>
      <c r="E2570" s="1" t="s">
        <v>169</v>
      </c>
      <c r="F2570" s="1" t="s">
        <v>11501</v>
      </c>
      <c r="G2570" s="1" t="s">
        <v>11502</v>
      </c>
    </row>
    <row r="2571" spans="1:7">
      <c r="A2571" s="1">
        <v>2570</v>
      </c>
      <c r="B2571" s="1" t="s">
        <v>11513</v>
      </c>
      <c r="D2571" s="1" t="s">
        <v>11511</v>
      </c>
      <c r="E2571" s="1" t="s">
        <v>157</v>
      </c>
      <c r="F2571" s="1" t="s">
        <v>11505</v>
      </c>
      <c r="G2571" s="1" t="s">
        <v>11506</v>
      </c>
    </row>
    <row r="2572" spans="1:7">
      <c r="A2572" s="1">
        <v>2571</v>
      </c>
      <c r="B2572" s="1" t="s">
        <v>11514</v>
      </c>
      <c r="D2572" s="1" t="s">
        <v>11511</v>
      </c>
      <c r="E2572" s="1" t="s">
        <v>173</v>
      </c>
      <c r="F2572" s="1" t="s">
        <v>11508</v>
      </c>
      <c r="G2572" s="1" t="s">
        <v>11509</v>
      </c>
    </row>
    <row r="2573" spans="1:7">
      <c r="A2573" s="1">
        <v>2572</v>
      </c>
      <c r="B2573" s="1" t="s">
        <v>11515</v>
      </c>
      <c r="D2573" s="1" t="s">
        <v>11516</v>
      </c>
      <c r="E2573" s="1" t="s">
        <v>11517</v>
      </c>
      <c r="F2573" s="1" t="s">
        <v>11508</v>
      </c>
      <c r="G2573" s="1" t="s">
        <v>11509</v>
      </c>
    </row>
    <row r="2574" spans="1:7">
      <c r="A2574" s="1">
        <v>2573</v>
      </c>
      <c r="B2574" s="1" t="s">
        <v>11518</v>
      </c>
      <c r="D2574" s="1" t="s">
        <v>11516</v>
      </c>
      <c r="E2574" s="1" t="s">
        <v>11519</v>
      </c>
      <c r="F2574" s="1" t="s">
        <v>11520</v>
      </c>
      <c r="G2574" s="1" t="s">
        <v>11521</v>
      </c>
    </row>
    <row r="2575" spans="1:7">
      <c r="A2575" s="1">
        <v>2574</v>
      </c>
      <c r="B2575" s="1" t="s">
        <v>11522</v>
      </c>
      <c r="D2575" s="1" t="s">
        <v>11516</v>
      </c>
      <c r="E2575" s="1" t="s">
        <v>11523</v>
      </c>
      <c r="F2575" s="1" t="s">
        <v>11524</v>
      </c>
      <c r="G2575" s="1" t="s">
        <v>11525</v>
      </c>
    </row>
    <row r="2576" spans="1:7">
      <c r="A2576" s="1">
        <v>2575</v>
      </c>
      <c r="B2576" s="1" t="s">
        <v>11526</v>
      </c>
      <c r="D2576" s="1" t="s">
        <v>11516</v>
      </c>
      <c r="E2576" s="1" t="s">
        <v>11527</v>
      </c>
      <c r="F2576" s="1" t="s">
        <v>11528</v>
      </c>
      <c r="G2576" s="1" t="s">
        <v>11529</v>
      </c>
    </row>
    <row r="2577" spans="1:7">
      <c r="A2577" s="1">
        <v>2576</v>
      </c>
      <c r="B2577" s="1" t="s">
        <v>11530</v>
      </c>
      <c r="D2577" s="1" t="s">
        <v>11516</v>
      </c>
      <c r="E2577" s="1" t="s">
        <v>11531</v>
      </c>
      <c r="F2577" s="1" t="s">
        <v>11532</v>
      </c>
      <c r="G2577" s="1" t="s">
        <v>11533</v>
      </c>
    </row>
    <row r="2578" spans="1:7">
      <c r="A2578" s="1">
        <v>2577</v>
      </c>
      <c r="B2578" s="1" t="s">
        <v>11534</v>
      </c>
      <c r="D2578" s="1" t="s">
        <v>11516</v>
      </c>
      <c r="E2578" s="1" t="s">
        <v>11535</v>
      </c>
      <c r="F2578" s="1" t="s">
        <v>11536</v>
      </c>
      <c r="G2578" s="1" t="s">
        <v>11537</v>
      </c>
    </row>
    <row r="2579" spans="1:7">
      <c r="A2579" s="1">
        <v>2578</v>
      </c>
      <c r="B2579" s="1" t="s">
        <v>11538</v>
      </c>
      <c r="D2579" s="1" t="s">
        <v>11516</v>
      </c>
      <c r="E2579" s="1" t="s">
        <v>11539</v>
      </c>
      <c r="F2579" s="1" t="s">
        <v>11540</v>
      </c>
      <c r="G2579" s="1" t="s">
        <v>11541</v>
      </c>
    </row>
    <row r="2580" spans="1:7">
      <c r="A2580" s="1">
        <v>2579</v>
      </c>
      <c r="B2580" s="1" t="s">
        <v>11542</v>
      </c>
      <c r="D2580" s="1" t="s">
        <v>11543</v>
      </c>
      <c r="E2580" s="1" t="s">
        <v>11544</v>
      </c>
      <c r="F2580" s="1" t="s">
        <v>11498</v>
      </c>
      <c r="G2580" s="1" t="s">
        <v>11499</v>
      </c>
    </row>
    <row r="2581" spans="1:7">
      <c r="A2581" s="1">
        <v>2580</v>
      </c>
      <c r="B2581" s="1" t="s">
        <v>11545</v>
      </c>
      <c r="D2581" s="1" t="s">
        <v>11543</v>
      </c>
      <c r="E2581" s="1" t="s">
        <v>11546</v>
      </c>
      <c r="F2581" s="1" t="s">
        <v>11501</v>
      </c>
      <c r="G2581" s="1" t="s">
        <v>11502</v>
      </c>
    </row>
    <row r="2582" spans="1:7">
      <c r="A2582" s="1">
        <v>2581</v>
      </c>
      <c r="B2582" s="1" t="s">
        <v>11547</v>
      </c>
      <c r="D2582" s="1" t="s">
        <v>11543</v>
      </c>
      <c r="E2582" s="1" t="s">
        <v>11548</v>
      </c>
      <c r="F2582" s="1" t="s">
        <v>11505</v>
      </c>
      <c r="G2582" s="1" t="s">
        <v>11506</v>
      </c>
    </row>
    <row r="2583" spans="1:7">
      <c r="A2583" s="1">
        <v>2582</v>
      </c>
      <c r="B2583" s="1" t="s">
        <v>11549</v>
      </c>
      <c r="D2583" s="1" t="s">
        <v>11543</v>
      </c>
      <c r="E2583" s="1" t="s">
        <v>11550</v>
      </c>
      <c r="F2583" s="1" t="s">
        <v>11508</v>
      </c>
      <c r="G2583" s="1" t="s">
        <v>11509</v>
      </c>
    </row>
    <row r="2584" spans="1:7">
      <c r="A2584" s="1">
        <v>2583</v>
      </c>
      <c r="B2584" s="1" t="s">
        <v>11551</v>
      </c>
      <c r="D2584" s="1" t="s">
        <v>11543</v>
      </c>
      <c r="E2584" s="1" t="s">
        <v>11552</v>
      </c>
      <c r="F2584" s="1" t="s">
        <v>11553</v>
      </c>
      <c r="G2584" s="1" t="s">
        <v>11554</v>
      </c>
    </row>
    <row r="2585" spans="1:7">
      <c r="A2585" s="1">
        <v>2584</v>
      </c>
      <c r="B2585" s="1" t="s">
        <v>11555</v>
      </c>
      <c r="D2585" s="1" t="s">
        <v>11543</v>
      </c>
      <c r="E2585" s="1" t="s">
        <v>11556</v>
      </c>
      <c r="F2585" s="1" t="s">
        <v>11557</v>
      </c>
      <c r="G2585" s="1" t="s">
        <v>11558</v>
      </c>
    </row>
    <row r="2586" spans="1:7">
      <c r="A2586" s="1">
        <v>2585</v>
      </c>
      <c r="B2586" s="1" t="s">
        <v>11559</v>
      </c>
      <c r="D2586" s="1" t="s">
        <v>11543</v>
      </c>
      <c r="E2586" s="1" t="s">
        <v>11560</v>
      </c>
      <c r="F2586" s="1" t="s">
        <v>11561</v>
      </c>
      <c r="G2586" s="1" t="s">
        <v>11562</v>
      </c>
    </row>
    <row r="2587" spans="1:7">
      <c r="A2587" s="1">
        <v>2586</v>
      </c>
      <c r="B2587" s="1" t="s">
        <v>11563</v>
      </c>
      <c r="D2587" s="1" t="s">
        <v>11543</v>
      </c>
      <c r="E2587" s="1" t="s">
        <v>11564</v>
      </c>
      <c r="F2587" s="1" t="s">
        <v>11565</v>
      </c>
      <c r="G2587" s="1" t="s">
        <v>11566</v>
      </c>
    </row>
    <row r="2588" spans="1:7">
      <c r="A2588" s="1">
        <v>2587</v>
      </c>
      <c r="B2588" s="1" t="s">
        <v>11567</v>
      </c>
      <c r="D2588" s="1" t="s">
        <v>11543</v>
      </c>
      <c r="E2588" s="1" t="s">
        <v>11568</v>
      </c>
      <c r="F2588" s="1" t="s">
        <v>11569</v>
      </c>
      <c r="G2588" s="1" t="s">
        <v>11570</v>
      </c>
    </row>
    <row r="2589" spans="1:7">
      <c r="A2589" s="1">
        <v>2588</v>
      </c>
      <c r="B2589" s="1" t="s">
        <v>11571</v>
      </c>
      <c r="D2589" s="1" t="s">
        <v>11543</v>
      </c>
      <c r="E2589" s="1" t="s">
        <v>11572</v>
      </c>
      <c r="F2589" s="1" t="s">
        <v>11536</v>
      </c>
      <c r="G2589" s="1" t="s">
        <v>11537</v>
      </c>
    </row>
    <row r="2590" spans="1:7">
      <c r="A2590" s="1">
        <v>2589</v>
      </c>
      <c r="B2590" s="1" t="s">
        <v>11573</v>
      </c>
      <c r="D2590" s="1" t="s">
        <v>11543</v>
      </c>
      <c r="E2590" s="1" t="s">
        <v>11574</v>
      </c>
      <c r="F2590" s="1" t="s">
        <v>11540</v>
      </c>
      <c r="G2590" s="1" t="s">
        <v>11541</v>
      </c>
    </row>
    <row r="2591" spans="1:7">
      <c r="A2591" s="1">
        <v>2590</v>
      </c>
      <c r="B2591" s="1" t="s">
        <v>11575</v>
      </c>
      <c r="D2591" s="1" t="s">
        <v>11543</v>
      </c>
      <c r="E2591" s="1" t="s">
        <v>11576</v>
      </c>
      <c r="F2591" s="1" t="s">
        <v>11577</v>
      </c>
      <c r="G2591" s="1" t="s">
        <v>11578</v>
      </c>
    </row>
    <row r="2592" spans="1:7">
      <c r="A2592" s="1">
        <v>2591</v>
      </c>
      <c r="B2592" s="1" t="s">
        <v>11579</v>
      </c>
      <c r="D2592" s="1" t="s">
        <v>11580</v>
      </c>
      <c r="E2592" s="1" t="s">
        <v>11581</v>
      </c>
      <c r="F2592" s="1" t="s">
        <v>11498</v>
      </c>
      <c r="G2592" s="1" t="s">
        <v>11499</v>
      </c>
    </row>
    <row r="2593" spans="1:7">
      <c r="A2593" s="1">
        <v>2592</v>
      </c>
      <c r="B2593" s="1" t="s">
        <v>11582</v>
      </c>
      <c r="D2593" s="1" t="s">
        <v>11580</v>
      </c>
      <c r="E2593" s="1" t="s">
        <v>11583</v>
      </c>
      <c r="F2593" s="1" t="s">
        <v>11501</v>
      </c>
      <c r="G2593" s="1" t="s">
        <v>11502</v>
      </c>
    </row>
    <row r="2594" spans="1:7">
      <c r="A2594" s="1">
        <v>2593</v>
      </c>
      <c r="B2594" s="1" t="s">
        <v>11584</v>
      </c>
      <c r="D2594" s="1" t="s">
        <v>11580</v>
      </c>
      <c r="E2594" s="1" t="s">
        <v>11585</v>
      </c>
      <c r="F2594" s="1" t="s">
        <v>11505</v>
      </c>
      <c r="G2594" s="1" t="s">
        <v>11506</v>
      </c>
    </row>
    <row r="2595" spans="1:7">
      <c r="A2595" s="1">
        <v>2594</v>
      </c>
      <c r="B2595" s="1" t="s">
        <v>11586</v>
      </c>
      <c r="D2595" s="1" t="s">
        <v>11580</v>
      </c>
      <c r="E2595" s="1" t="s">
        <v>11587</v>
      </c>
      <c r="F2595" s="1" t="s">
        <v>11508</v>
      </c>
      <c r="G2595" s="1" t="s">
        <v>11509</v>
      </c>
    </row>
    <row r="2596" spans="1:7">
      <c r="A2596" s="1">
        <v>2595</v>
      </c>
      <c r="B2596" s="1" t="s">
        <v>11588</v>
      </c>
      <c r="D2596" s="1" t="s">
        <v>11580</v>
      </c>
      <c r="E2596" s="1" t="s">
        <v>11589</v>
      </c>
      <c r="F2596" s="1" t="s">
        <v>11553</v>
      </c>
      <c r="G2596" s="1" t="s">
        <v>11554</v>
      </c>
    </row>
    <row r="2597" spans="1:7">
      <c r="A2597" s="1">
        <v>2596</v>
      </c>
      <c r="B2597" s="1" t="s">
        <v>11590</v>
      </c>
      <c r="D2597" s="1" t="s">
        <v>11580</v>
      </c>
      <c r="E2597" s="1" t="s">
        <v>11591</v>
      </c>
      <c r="F2597" s="1" t="s">
        <v>11557</v>
      </c>
      <c r="G2597" s="1" t="s">
        <v>11558</v>
      </c>
    </row>
    <row r="2598" spans="1:7">
      <c r="A2598" s="1">
        <v>2597</v>
      </c>
      <c r="B2598" s="1" t="s">
        <v>11592</v>
      </c>
      <c r="D2598" s="1" t="s">
        <v>11580</v>
      </c>
      <c r="E2598" s="1" t="s">
        <v>11593</v>
      </c>
      <c r="F2598" s="1" t="s">
        <v>11561</v>
      </c>
      <c r="G2598" s="1" t="s">
        <v>11562</v>
      </c>
    </row>
    <row r="2599" spans="1:7">
      <c r="A2599" s="1">
        <v>2598</v>
      </c>
      <c r="B2599" s="1" t="s">
        <v>11594</v>
      </c>
      <c r="D2599" s="1" t="s">
        <v>11580</v>
      </c>
      <c r="E2599" s="1" t="s">
        <v>11595</v>
      </c>
      <c r="F2599" s="1" t="s">
        <v>11565</v>
      </c>
      <c r="G2599" s="1" t="s">
        <v>11566</v>
      </c>
    </row>
    <row r="2600" spans="1:7">
      <c r="A2600" s="1">
        <v>2599</v>
      </c>
      <c r="B2600" s="1" t="s">
        <v>11596</v>
      </c>
      <c r="D2600" s="1" t="s">
        <v>11580</v>
      </c>
      <c r="E2600" s="1" t="s">
        <v>11597</v>
      </c>
      <c r="F2600" s="1" t="s">
        <v>11536</v>
      </c>
      <c r="G2600" s="1" t="s">
        <v>11537</v>
      </c>
    </row>
    <row r="2601" spans="1:7">
      <c r="A2601" s="1">
        <v>2600</v>
      </c>
      <c r="B2601" s="1" t="s">
        <v>11598</v>
      </c>
      <c r="D2601" s="1" t="s">
        <v>11580</v>
      </c>
      <c r="E2601" s="1" t="s">
        <v>11599</v>
      </c>
      <c r="F2601" s="1" t="s">
        <v>11540</v>
      </c>
      <c r="G2601" s="1" t="s">
        <v>11541</v>
      </c>
    </row>
    <row r="2602" spans="1:7">
      <c r="A2602" s="1">
        <v>2601</v>
      </c>
      <c r="B2602" s="1" t="s">
        <v>11600</v>
      </c>
      <c r="D2602" s="1" t="s">
        <v>11580</v>
      </c>
      <c r="E2602" s="1" t="s">
        <v>11601</v>
      </c>
      <c r="F2602" s="1" t="s">
        <v>11577</v>
      </c>
      <c r="G2602" s="1" t="s">
        <v>11578</v>
      </c>
    </row>
    <row r="2603" spans="1:7">
      <c r="A2603" s="1">
        <v>2602</v>
      </c>
      <c r="B2603" s="1" t="s">
        <v>11602</v>
      </c>
      <c r="D2603" s="1" t="s">
        <v>11603</v>
      </c>
      <c r="E2603" s="1" t="s">
        <v>1793</v>
      </c>
      <c r="F2603" s="1" t="s">
        <v>11569</v>
      </c>
      <c r="G2603" s="1" t="s">
        <v>11570</v>
      </c>
    </row>
    <row r="2604" spans="1:7">
      <c r="A2604" s="1">
        <v>2603</v>
      </c>
      <c r="B2604" s="1" t="s">
        <v>11604</v>
      </c>
      <c r="D2604" s="1" t="s">
        <v>11603</v>
      </c>
      <c r="E2604" s="1" t="s">
        <v>1794</v>
      </c>
      <c r="F2604" s="1" t="s">
        <v>11536</v>
      </c>
      <c r="G2604" s="1" t="s">
        <v>11537</v>
      </c>
    </row>
    <row r="2605" spans="1:7">
      <c r="A2605" s="1">
        <v>2604</v>
      </c>
      <c r="B2605" s="1" t="s">
        <v>11605</v>
      </c>
      <c r="D2605" s="1" t="s">
        <v>11603</v>
      </c>
      <c r="E2605" s="1" t="s">
        <v>1790</v>
      </c>
      <c r="F2605" s="1" t="s">
        <v>11540</v>
      </c>
      <c r="G2605" s="1" t="s">
        <v>11541</v>
      </c>
    </row>
    <row r="2606" spans="1:7">
      <c r="A2606" s="1">
        <v>2605</v>
      </c>
      <c r="B2606" s="1" t="s">
        <v>11606</v>
      </c>
      <c r="D2606" s="1" t="s">
        <v>11607</v>
      </c>
      <c r="E2606" s="1" t="s">
        <v>177</v>
      </c>
      <c r="F2606" s="1" t="s">
        <v>11536</v>
      </c>
      <c r="G2606" s="1" t="s">
        <v>11537</v>
      </c>
    </row>
    <row r="2607" spans="1:7">
      <c r="A2607" s="1">
        <v>2606</v>
      </c>
      <c r="B2607" s="1" t="s">
        <v>11608</v>
      </c>
      <c r="D2607" s="1" t="s">
        <v>11607</v>
      </c>
      <c r="E2607" s="1" t="s">
        <v>185</v>
      </c>
      <c r="F2607" s="1" t="s">
        <v>11540</v>
      </c>
      <c r="G2607" s="1" t="s">
        <v>11541</v>
      </c>
    </row>
    <row r="2608" spans="1:7">
      <c r="A2608" s="1">
        <v>2607</v>
      </c>
      <c r="B2608" s="1" t="s">
        <v>11609</v>
      </c>
      <c r="D2608" s="1" t="s">
        <v>11610</v>
      </c>
      <c r="E2608" s="1" t="s">
        <v>1802</v>
      </c>
      <c r="F2608" s="1" t="s">
        <v>11557</v>
      </c>
      <c r="G2608" s="1" t="s">
        <v>11558</v>
      </c>
    </row>
    <row r="2609" spans="1:7">
      <c r="A2609" s="1">
        <v>2608</v>
      </c>
      <c r="B2609" s="1" t="s">
        <v>11611</v>
      </c>
      <c r="D2609" s="1" t="s">
        <v>11610</v>
      </c>
      <c r="E2609" s="1" t="s">
        <v>1805</v>
      </c>
      <c r="F2609" s="1" t="s">
        <v>11561</v>
      </c>
      <c r="G2609" s="1" t="s">
        <v>11562</v>
      </c>
    </row>
    <row r="2610" spans="1:7">
      <c r="A2610" s="1">
        <v>2609</v>
      </c>
      <c r="B2610" s="1" t="s">
        <v>11612</v>
      </c>
      <c r="D2610" s="1" t="s">
        <v>11610</v>
      </c>
      <c r="E2610" s="1" t="s">
        <v>2031</v>
      </c>
      <c r="F2610" s="1" t="s">
        <v>11553</v>
      </c>
      <c r="G2610" s="1" t="s">
        <v>11554</v>
      </c>
    </row>
    <row r="2611" spans="1:7">
      <c r="A2611" s="1">
        <v>2610</v>
      </c>
      <c r="B2611" s="1" t="s">
        <v>11613</v>
      </c>
      <c r="D2611" s="1" t="s">
        <v>11610</v>
      </c>
      <c r="E2611" s="1" t="s">
        <v>2032</v>
      </c>
      <c r="F2611" s="1" t="s">
        <v>11565</v>
      </c>
      <c r="G2611" s="1" t="s">
        <v>11566</v>
      </c>
    </row>
    <row r="2612" spans="1:7">
      <c r="A2612" s="1">
        <v>2611</v>
      </c>
      <c r="B2612" s="1" t="s">
        <v>11614</v>
      </c>
      <c r="D2612" s="1" t="s">
        <v>11615</v>
      </c>
      <c r="E2612" s="1" t="s">
        <v>189</v>
      </c>
      <c r="F2612" s="1" t="s">
        <v>11557</v>
      </c>
      <c r="G2612" s="1" t="s">
        <v>11558</v>
      </c>
    </row>
    <row r="2613" spans="1:7">
      <c r="A2613" s="1">
        <v>2612</v>
      </c>
      <c r="B2613" s="1" t="s">
        <v>11616</v>
      </c>
      <c r="D2613" s="1" t="s">
        <v>11615</v>
      </c>
      <c r="E2613" s="1" t="s">
        <v>193</v>
      </c>
      <c r="F2613" s="1" t="s">
        <v>11561</v>
      </c>
      <c r="G2613" s="1" t="s">
        <v>11562</v>
      </c>
    </row>
    <row r="2614" spans="1:7">
      <c r="A2614" s="1">
        <v>2613</v>
      </c>
      <c r="B2614" s="1" t="s">
        <v>11617</v>
      </c>
      <c r="D2614" s="1" t="s">
        <v>11615</v>
      </c>
      <c r="E2614" s="1" t="s">
        <v>11618</v>
      </c>
      <c r="F2614" s="1" t="s">
        <v>11553</v>
      </c>
      <c r="G2614" s="1" t="s">
        <v>11554</v>
      </c>
    </row>
    <row r="2615" spans="1:7">
      <c r="A2615" s="1">
        <v>2614</v>
      </c>
      <c r="B2615" s="1" t="s">
        <v>11619</v>
      </c>
      <c r="D2615" s="1" t="s">
        <v>11615</v>
      </c>
      <c r="E2615" s="1" t="s">
        <v>11620</v>
      </c>
      <c r="F2615" s="1" t="s">
        <v>11565</v>
      </c>
      <c r="G2615" s="1" t="s">
        <v>11566</v>
      </c>
    </row>
    <row r="2616" spans="1:7">
      <c r="A2616" s="1">
        <v>2615</v>
      </c>
      <c r="B2616" s="1" t="s">
        <v>11621</v>
      </c>
      <c r="D2616" s="1" t="s">
        <v>11622</v>
      </c>
      <c r="E2616" s="1" t="s">
        <v>11623</v>
      </c>
      <c r="F2616" s="1" t="s">
        <v>11624</v>
      </c>
      <c r="G2616" s="1" t="s">
        <v>11625</v>
      </c>
    </row>
    <row r="2617" spans="1:7">
      <c r="A2617" s="1">
        <v>2616</v>
      </c>
      <c r="B2617" s="1" t="s">
        <v>11626</v>
      </c>
      <c r="D2617" s="1" t="s">
        <v>11622</v>
      </c>
      <c r="E2617" s="1" t="s">
        <v>11627</v>
      </c>
      <c r="F2617" s="1" t="s">
        <v>11628</v>
      </c>
      <c r="G2617" s="1" t="s">
        <v>11629</v>
      </c>
    </row>
    <row r="2618" spans="1:7">
      <c r="A2618" s="1">
        <v>2617</v>
      </c>
      <c r="B2618" s="1" t="s">
        <v>11630</v>
      </c>
      <c r="D2618" s="1" t="s">
        <v>11622</v>
      </c>
      <c r="E2618" s="1" t="s">
        <v>11631</v>
      </c>
      <c r="F2618" s="1" t="s">
        <v>11632</v>
      </c>
      <c r="G2618" s="1" t="s">
        <v>11633</v>
      </c>
    </row>
    <row r="2619" spans="1:7">
      <c r="A2619" s="1">
        <v>2618</v>
      </c>
      <c r="B2619" s="1" t="s">
        <v>11634</v>
      </c>
      <c r="D2619" s="1" t="s">
        <v>11622</v>
      </c>
      <c r="E2619" s="1" t="s">
        <v>11635</v>
      </c>
      <c r="F2619" s="1" t="s">
        <v>11636</v>
      </c>
      <c r="G2619" s="1" t="s">
        <v>11637</v>
      </c>
    </row>
    <row r="2620" spans="1:7">
      <c r="A2620" s="1">
        <v>2619</v>
      </c>
      <c r="B2620" s="1" t="s">
        <v>11638</v>
      </c>
      <c r="D2620" s="1" t="s">
        <v>11622</v>
      </c>
      <c r="E2620" s="1" t="s">
        <v>11639</v>
      </c>
      <c r="F2620" s="1" t="s">
        <v>11640</v>
      </c>
      <c r="G2620" s="1" t="s">
        <v>11641</v>
      </c>
    </row>
    <row r="2621" spans="1:7">
      <c r="A2621" s="1">
        <v>2620</v>
      </c>
      <c r="B2621" s="1" t="s">
        <v>11642</v>
      </c>
      <c r="D2621" s="1" t="s">
        <v>11622</v>
      </c>
      <c r="E2621" s="1" t="s">
        <v>11643</v>
      </c>
      <c r="F2621" s="1" t="s">
        <v>11644</v>
      </c>
      <c r="G2621" s="1" t="s">
        <v>11645</v>
      </c>
    </row>
    <row r="2622" spans="1:7">
      <c r="A2622" s="1">
        <v>2621</v>
      </c>
      <c r="B2622" s="1" t="s">
        <v>11646</v>
      </c>
      <c r="D2622" s="1" t="s">
        <v>11622</v>
      </c>
      <c r="E2622" s="1" t="s">
        <v>11647</v>
      </c>
      <c r="F2622" s="1" t="s">
        <v>11648</v>
      </c>
      <c r="G2622" s="1" t="s">
        <v>11649</v>
      </c>
    </row>
    <row r="2623" spans="1:7">
      <c r="A2623" s="1">
        <v>2622</v>
      </c>
      <c r="B2623" s="1" t="s">
        <v>11650</v>
      </c>
      <c r="D2623" s="1" t="s">
        <v>11622</v>
      </c>
      <c r="E2623" s="1" t="s">
        <v>11651</v>
      </c>
      <c r="F2623" s="1" t="s">
        <v>11652</v>
      </c>
      <c r="G2623" s="1" t="s">
        <v>11653</v>
      </c>
    </row>
    <row r="2624" spans="1:7">
      <c r="A2624" s="1">
        <v>2623</v>
      </c>
      <c r="B2624" s="1" t="s">
        <v>11654</v>
      </c>
      <c r="D2624" s="1" t="s">
        <v>11622</v>
      </c>
      <c r="E2624" s="1" t="s">
        <v>11655</v>
      </c>
      <c r="F2624" s="1" t="s">
        <v>11656</v>
      </c>
      <c r="G2624" s="1" t="s">
        <v>11657</v>
      </c>
    </row>
    <row r="2625" spans="1:7">
      <c r="A2625" s="1">
        <v>2624</v>
      </c>
      <c r="B2625" s="1" t="s">
        <v>11658</v>
      </c>
      <c r="D2625" s="1" t="s">
        <v>11622</v>
      </c>
      <c r="E2625" s="1" t="s">
        <v>11659</v>
      </c>
      <c r="F2625" s="1" t="s">
        <v>11660</v>
      </c>
      <c r="G2625" s="1" t="s">
        <v>11661</v>
      </c>
    </row>
    <row r="2626" spans="1:7">
      <c r="A2626" s="1">
        <v>2625</v>
      </c>
      <c r="B2626" s="1" t="s">
        <v>11662</v>
      </c>
      <c r="D2626" s="1" t="s">
        <v>11622</v>
      </c>
      <c r="E2626" s="1" t="s">
        <v>11663</v>
      </c>
      <c r="F2626" s="1" t="s">
        <v>11664</v>
      </c>
      <c r="G2626" s="1" t="s">
        <v>11665</v>
      </c>
    </row>
    <row r="2627" spans="1:7">
      <c r="A2627" s="1">
        <v>2626</v>
      </c>
      <c r="B2627" s="1" t="s">
        <v>11666</v>
      </c>
      <c r="D2627" s="1" t="s">
        <v>11622</v>
      </c>
      <c r="E2627" s="1" t="s">
        <v>11667</v>
      </c>
      <c r="F2627" s="1" t="s">
        <v>11668</v>
      </c>
      <c r="G2627" s="1" t="s">
        <v>11669</v>
      </c>
    </row>
    <row r="2628" spans="1:7">
      <c r="A2628" s="1">
        <v>2627</v>
      </c>
      <c r="B2628" s="1" t="s">
        <v>11670</v>
      </c>
      <c r="D2628" s="1" t="s">
        <v>11622</v>
      </c>
      <c r="E2628" s="1" t="s">
        <v>11671</v>
      </c>
      <c r="F2628" s="1" t="s">
        <v>11672</v>
      </c>
      <c r="G2628" s="1" t="s">
        <v>11673</v>
      </c>
    </row>
    <row r="2629" spans="1:7">
      <c r="A2629" s="1">
        <v>2628</v>
      </c>
      <c r="B2629" s="1" t="s">
        <v>11674</v>
      </c>
      <c r="D2629" s="1" t="s">
        <v>11675</v>
      </c>
      <c r="E2629" s="1" t="s">
        <v>11676</v>
      </c>
      <c r="F2629" s="1" t="s">
        <v>11677</v>
      </c>
      <c r="G2629" s="1" t="s">
        <v>11678</v>
      </c>
    </row>
    <row r="2630" spans="1:7">
      <c r="A2630" s="1">
        <v>2629</v>
      </c>
      <c r="B2630" s="1" t="s">
        <v>11679</v>
      </c>
      <c r="D2630" s="1" t="s">
        <v>11680</v>
      </c>
      <c r="E2630" s="1" t="s">
        <v>11681</v>
      </c>
      <c r="F2630" s="1" t="s">
        <v>2950</v>
      </c>
      <c r="G2630" s="1" t="s">
        <v>2951</v>
      </c>
    </row>
    <row r="2631" spans="1:7">
      <c r="A2631" s="1">
        <v>2630</v>
      </c>
      <c r="B2631" s="1" t="s">
        <v>11682</v>
      </c>
      <c r="D2631" s="1" t="s">
        <v>11680</v>
      </c>
      <c r="E2631" s="1" t="s">
        <v>11683</v>
      </c>
      <c r="F2631" s="1" t="s">
        <v>2944</v>
      </c>
      <c r="G2631" s="1" t="s">
        <v>2945</v>
      </c>
    </row>
    <row r="2632" spans="1:7">
      <c r="A2632" s="1">
        <v>2631</v>
      </c>
      <c r="B2632" s="1" t="s">
        <v>11684</v>
      </c>
      <c r="D2632" s="1" t="s">
        <v>11680</v>
      </c>
      <c r="E2632" s="1" t="s">
        <v>11685</v>
      </c>
      <c r="F2632" s="1" t="s">
        <v>11686</v>
      </c>
      <c r="G2632" s="1" t="s">
        <v>11687</v>
      </c>
    </row>
    <row r="2633" spans="1:7">
      <c r="A2633" s="1">
        <v>2632</v>
      </c>
      <c r="B2633" s="1" t="s">
        <v>11688</v>
      </c>
      <c r="D2633" s="1" t="s">
        <v>11680</v>
      </c>
      <c r="E2633" s="1" t="s">
        <v>11689</v>
      </c>
      <c r="F2633" s="1" t="s">
        <v>2938</v>
      </c>
      <c r="G2633" s="1" t="s">
        <v>2939</v>
      </c>
    </row>
    <row r="2634" spans="1:7">
      <c r="A2634" s="1">
        <v>2633</v>
      </c>
      <c r="B2634" s="1" t="s">
        <v>11690</v>
      </c>
      <c r="D2634" s="1" t="s">
        <v>11680</v>
      </c>
      <c r="E2634" s="1" t="s">
        <v>11691</v>
      </c>
      <c r="F2634" s="1" t="s">
        <v>11692</v>
      </c>
      <c r="G2634" s="1" t="s">
        <v>11693</v>
      </c>
    </row>
    <row r="2635" spans="1:7">
      <c r="A2635" s="1">
        <v>2634</v>
      </c>
      <c r="B2635" s="1" t="s">
        <v>11694</v>
      </c>
      <c r="D2635" s="1" t="s">
        <v>11680</v>
      </c>
      <c r="E2635" s="1" t="s">
        <v>11695</v>
      </c>
      <c r="F2635" s="1" t="s">
        <v>2941</v>
      </c>
      <c r="G2635" s="1" t="s">
        <v>2942</v>
      </c>
    </row>
    <row r="2636" spans="1:7">
      <c r="A2636" s="1">
        <v>2635</v>
      </c>
      <c r="B2636" s="1" t="s">
        <v>11696</v>
      </c>
      <c r="D2636" s="1" t="s">
        <v>11697</v>
      </c>
      <c r="E2636" s="1" t="s">
        <v>11698</v>
      </c>
      <c r="F2636" s="1" t="s">
        <v>11699</v>
      </c>
      <c r="G2636" s="1" t="s">
        <v>11700</v>
      </c>
    </row>
    <row r="2637" spans="1:7">
      <c r="A2637" s="1">
        <v>2636</v>
      </c>
      <c r="B2637" s="1" t="s">
        <v>11701</v>
      </c>
      <c r="D2637" s="1" t="s">
        <v>11697</v>
      </c>
      <c r="E2637" s="1" t="s">
        <v>11702</v>
      </c>
      <c r="F2637" s="1" t="s">
        <v>2967</v>
      </c>
      <c r="G2637" s="1" t="s">
        <v>2968</v>
      </c>
    </row>
    <row r="2638" spans="1:7">
      <c r="A2638" s="1">
        <v>2637</v>
      </c>
      <c r="B2638" s="1" t="s">
        <v>11703</v>
      </c>
      <c r="D2638" s="1" t="s">
        <v>11697</v>
      </c>
      <c r="E2638" s="1" t="s">
        <v>11704</v>
      </c>
      <c r="F2638" s="1" t="s">
        <v>11705</v>
      </c>
      <c r="G2638" s="1" t="s">
        <v>11706</v>
      </c>
    </row>
    <row r="2639" spans="1:7">
      <c r="A2639" s="1">
        <v>2638</v>
      </c>
      <c r="B2639" s="1" t="s">
        <v>11707</v>
      </c>
      <c r="D2639" s="1" t="s">
        <v>11697</v>
      </c>
      <c r="E2639" s="1" t="s">
        <v>11708</v>
      </c>
      <c r="F2639" s="1" t="s">
        <v>2958</v>
      </c>
      <c r="G2639" s="1" t="s">
        <v>2959</v>
      </c>
    </row>
    <row r="2640" spans="1:7">
      <c r="A2640" s="1">
        <v>2639</v>
      </c>
      <c r="B2640" s="1" t="s">
        <v>11709</v>
      </c>
      <c r="D2640" s="1" t="s">
        <v>11697</v>
      </c>
      <c r="E2640" s="1" t="s">
        <v>11710</v>
      </c>
      <c r="F2640" s="1" t="s">
        <v>11711</v>
      </c>
      <c r="G2640" s="1" t="s">
        <v>11712</v>
      </c>
    </row>
    <row r="2641" spans="1:7">
      <c r="A2641" s="1">
        <v>2640</v>
      </c>
      <c r="B2641" s="1" t="s">
        <v>11713</v>
      </c>
      <c r="D2641" s="1" t="s">
        <v>11697</v>
      </c>
      <c r="E2641" s="1" t="s">
        <v>11714</v>
      </c>
      <c r="F2641" s="1" t="s">
        <v>2964</v>
      </c>
      <c r="G2641" s="1" t="s">
        <v>2965</v>
      </c>
    </row>
    <row r="2642" spans="1:7">
      <c r="A2642" s="1">
        <v>2641</v>
      </c>
      <c r="B2642" s="1" t="s">
        <v>11715</v>
      </c>
      <c r="D2642" s="1" t="s">
        <v>11716</v>
      </c>
      <c r="E2642" s="1" t="s">
        <v>11717</v>
      </c>
      <c r="F2642" s="1" t="s">
        <v>11718</v>
      </c>
      <c r="G2642" s="1" t="s">
        <v>11719</v>
      </c>
    </row>
    <row r="2643" spans="1:7">
      <c r="A2643" s="1">
        <v>2642</v>
      </c>
      <c r="B2643" s="1" t="s">
        <v>11720</v>
      </c>
      <c r="D2643" s="1" t="s">
        <v>11716</v>
      </c>
      <c r="E2643" s="1" t="s">
        <v>11721</v>
      </c>
      <c r="F2643" s="1" t="s">
        <v>2987</v>
      </c>
      <c r="G2643" s="1" t="s">
        <v>2988</v>
      </c>
    </row>
    <row r="2644" spans="1:7">
      <c r="A2644" s="1">
        <v>2643</v>
      </c>
      <c r="B2644" s="1" t="s">
        <v>11722</v>
      </c>
      <c r="D2644" s="1" t="s">
        <v>11716</v>
      </c>
      <c r="E2644" s="1" t="s">
        <v>11723</v>
      </c>
      <c r="F2644" s="1" t="s">
        <v>11724</v>
      </c>
      <c r="G2644" s="1" t="s">
        <v>11725</v>
      </c>
    </row>
    <row r="2645" spans="1:7">
      <c r="A2645" s="1">
        <v>2644</v>
      </c>
      <c r="B2645" s="1" t="s">
        <v>11726</v>
      </c>
      <c r="D2645" s="1" t="s">
        <v>11716</v>
      </c>
      <c r="E2645" s="1" t="s">
        <v>11727</v>
      </c>
      <c r="F2645" s="1" t="s">
        <v>2978</v>
      </c>
      <c r="G2645" s="1" t="s">
        <v>2979</v>
      </c>
    </row>
    <row r="2646" spans="1:7">
      <c r="A2646" s="1">
        <v>2645</v>
      </c>
      <c r="B2646" s="1" t="s">
        <v>11728</v>
      </c>
      <c r="D2646" s="1" t="s">
        <v>11716</v>
      </c>
      <c r="E2646" s="1" t="s">
        <v>11729</v>
      </c>
      <c r="F2646" s="1" t="s">
        <v>11730</v>
      </c>
      <c r="G2646" s="1" t="s">
        <v>11731</v>
      </c>
    </row>
    <row r="2647" spans="1:7">
      <c r="A2647" s="1">
        <v>2646</v>
      </c>
      <c r="B2647" s="1" t="s">
        <v>11732</v>
      </c>
      <c r="D2647" s="1" t="s">
        <v>11716</v>
      </c>
      <c r="E2647" s="1" t="s">
        <v>11733</v>
      </c>
      <c r="F2647" s="1" t="s">
        <v>2984</v>
      </c>
      <c r="G2647" s="1" t="s">
        <v>2985</v>
      </c>
    </row>
    <row r="2648" spans="1:7">
      <c r="A2648" s="1">
        <v>2647</v>
      </c>
      <c r="B2648" s="1" t="s">
        <v>11734</v>
      </c>
      <c r="D2648" s="1" t="s">
        <v>11735</v>
      </c>
      <c r="E2648" s="1" t="s">
        <v>11736</v>
      </c>
      <c r="F2648" s="1" t="s">
        <v>3001</v>
      </c>
      <c r="G2648" s="1" t="s">
        <v>3002</v>
      </c>
    </row>
    <row r="2649" spans="1:7">
      <c r="A2649" s="1">
        <v>2648</v>
      </c>
      <c r="B2649" s="1" t="s">
        <v>11737</v>
      </c>
      <c r="D2649" s="1" t="s">
        <v>11735</v>
      </c>
      <c r="E2649" s="1" t="s">
        <v>11738</v>
      </c>
      <c r="F2649" s="1" t="s">
        <v>2998</v>
      </c>
      <c r="G2649" s="1" t="s">
        <v>2999</v>
      </c>
    </row>
    <row r="2650" spans="1:7">
      <c r="A2650" s="1">
        <v>2649</v>
      </c>
      <c r="B2650" s="1" t="s">
        <v>11739</v>
      </c>
      <c r="D2650" s="1" t="s">
        <v>11735</v>
      </c>
      <c r="E2650" s="1" t="s">
        <v>11740</v>
      </c>
      <c r="F2650" s="1" t="s">
        <v>11741</v>
      </c>
      <c r="G2650" s="1" t="s">
        <v>11742</v>
      </c>
    </row>
    <row r="2651" spans="1:7">
      <c r="A2651" s="1">
        <v>2650</v>
      </c>
      <c r="B2651" s="1" t="s">
        <v>11743</v>
      </c>
      <c r="D2651" s="1" t="s">
        <v>11744</v>
      </c>
      <c r="E2651" s="1" t="s">
        <v>11745</v>
      </c>
      <c r="F2651" s="1" t="s">
        <v>3012</v>
      </c>
      <c r="G2651" s="1" t="s">
        <v>3013</v>
      </c>
    </row>
    <row r="2652" spans="1:7">
      <c r="A2652" s="1">
        <v>2651</v>
      </c>
      <c r="B2652" s="1" t="s">
        <v>11746</v>
      </c>
      <c r="D2652" s="1" t="s">
        <v>11744</v>
      </c>
      <c r="E2652" s="1" t="s">
        <v>11747</v>
      </c>
      <c r="F2652" s="1" t="s">
        <v>3009</v>
      </c>
      <c r="G2652" s="1" t="s">
        <v>3010</v>
      </c>
    </row>
    <row r="2653" spans="1:7">
      <c r="A2653" s="1">
        <v>2652</v>
      </c>
      <c r="B2653" s="1" t="s">
        <v>11748</v>
      </c>
      <c r="D2653" s="1" t="s">
        <v>11744</v>
      </c>
      <c r="E2653" s="1" t="s">
        <v>11749</v>
      </c>
      <c r="F2653" s="1" t="s">
        <v>11750</v>
      </c>
      <c r="G2653" s="1" t="s">
        <v>11751</v>
      </c>
    </row>
    <row r="2654" spans="1:7">
      <c r="A2654" s="1">
        <v>2653</v>
      </c>
      <c r="B2654" s="1" t="s">
        <v>11752</v>
      </c>
      <c r="D2654" s="1" t="s">
        <v>11753</v>
      </c>
      <c r="E2654" s="1" t="s">
        <v>11754</v>
      </c>
      <c r="F2654" s="1" t="s">
        <v>3032</v>
      </c>
      <c r="G2654" s="1" t="s">
        <v>3033</v>
      </c>
    </row>
    <row r="2655" spans="1:7">
      <c r="A2655" s="1">
        <v>2654</v>
      </c>
      <c r="B2655" s="1" t="s">
        <v>11755</v>
      </c>
      <c r="D2655" s="1" t="s">
        <v>11753</v>
      </c>
      <c r="E2655" s="1" t="s">
        <v>11756</v>
      </c>
      <c r="F2655" s="1" t="s">
        <v>3026</v>
      </c>
      <c r="G2655" s="1" t="s">
        <v>3027</v>
      </c>
    </row>
    <row r="2656" spans="1:7">
      <c r="A2656" s="1">
        <v>2655</v>
      </c>
      <c r="B2656" s="1" t="s">
        <v>11757</v>
      </c>
      <c r="D2656" s="1" t="s">
        <v>11753</v>
      </c>
      <c r="E2656" s="1" t="s">
        <v>11758</v>
      </c>
      <c r="F2656" s="1" t="s">
        <v>11759</v>
      </c>
      <c r="G2656" s="1" t="s">
        <v>11760</v>
      </c>
    </row>
    <row r="2657" spans="1:7">
      <c r="A2657" s="1">
        <v>2656</v>
      </c>
      <c r="B2657" s="1" t="s">
        <v>11761</v>
      </c>
      <c r="D2657" s="1" t="s">
        <v>11753</v>
      </c>
      <c r="E2657" s="1" t="s">
        <v>11762</v>
      </c>
      <c r="F2657" s="1" t="s">
        <v>3020</v>
      </c>
      <c r="G2657" s="1" t="s">
        <v>3021</v>
      </c>
    </row>
    <row r="2658" spans="1:7">
      <c r="A2658" s="1">
        <v>2657</v>
      </c>
      <c r="B2658" s="1" t="s">
        <v>11763</v>
      </c>
      <c r="D2658" s="1" t="s">
        <v>11753</v>
      </c>
      <c r="E2658" s="1" t="s">
        <v>11764</v>
      </c>
      <c r="F2658" s="1" t="s">
        <v>11765</v>
      </c>
      <c r="G2658" s="1" t="s">
        <v>11766</v>
      </c>
    </row>
    <row r="2659" spans="1:7">
      <c r="A2659" s="1">
        <v>2658</v>
      </c>
      <c r="B2659" s="1" t="s">
        <v>11767</v>
      </c>
      <c r="D2659" s="1" t="s">
        <v>11753</v>
      </c>
      <c r="E2659" s="1" t="s">
        <v>11768</v>
      </c>
      <c r="F2659" s="1" t="s">
        <v>3023</v>
      </c>
      <c r="G2659" s="1" t="s">
        <v>3024</v>
      </c>
    </row>
    <row r="2660" spans="1:7">
      <c r="A2660" s="1">
        <v>2659</v>
      </c>
      <c r="B2660" s="1" t="s">
        <v>11769</v>
      </c>
      <c r="D2660" s="1" t="s">
        <v>11770</v>
      </c>
      <c r="E2660" s="1" t="s">
        <v>3839</v>
      </c>
      <c r="F2660" s="1" t="s">
        <v>11771</v>
      </c>
      <c r="G2660" s="1" t="s">
        <v>11772</v>
      </c>
    </row>
    <row r="2661" spans="1:7">
      <c r="A2661" s="1">
        <v>2660</v>
      </c>
      <c r="B2661" s="1" t="s">
        <v>11773</v>
      </c>
      <c r="D2661" s="1" t="s">
        <v>11770</v>
      </c>
      <c r="E2661" s="1" t="s">
        <v>3845</v>
      </c>
      <c r="F2661" s="1" t="s">
        <v>3049</v>
      </c>
      <c r="G2661" s="1" t="s">
        <v>3050</v>
      </c>
    </row>
    <row r="2662" spans="1:7">
      <c r="A2662" s="1">
        <v>2661</v>
      </c>
      <c r="B2662" s="1" t="s">
        <v>11774</v>
      </c>
      <c r="D2662" s="1" t="s">
        <v>11770</v>
      </c>
      <c r="E2662" s="1" t="s">
        <v>3848</v>
      </c>
      <c r="F2662" s="1" t="s">
        <v>11775</v>
      </c>
      <c r="G2662" s="1" t="s">
        <v>11776</v>
      </c>
    </row>
    <row r="2663" spans="1:7">
      <c r="A2663" s="1">
        <v>2662</v>
      </c>
      <c r="B2663" s="1" t="s">
        <v>11777</v>
      </c>
      <c r="D2663" s="1" t="s">
        <v>11770</v>
      </c>
      <c r="E2663" s="1" t="s">
        <v>3836</v>
      </c>
      <c r="F2663" s="1" t="s">
        <v>3040</v>
      </c>
      <c r="G2663" s="1" t="s">
        <v>3041</v>
      </c>
    </row>
    <row r="2664" spans="1:7">
      <c r="A2664" s="1">
        <v>2663</v>
      </c>
      <c r="B2664" s="1" t="s">
        <v>11778</v>
      </c>
      <c r="D2664" s="1" t="s">
        <v>11770</v>
      </c>
      <c r="E2664" s="1" t="s">
        <v>11779</v>
      </c>
      <c r="F2664" s="1" t="s">
        <v>11780</v>
      </c>
      <c r="G2664" s="1" t="s">
        <v>11781</v>
      </c>
    </row>
    <row r="2665" spans="1:7">
      <c r="A2665" s="1">
        <v>2664</v>
      </c>
      <c r="B2665" s="1" t="s">
        <v>11782</v>
      </c>
      <c r="D2665" s="1" t="s">
        <v>11770</v>
      </c>
      <c r="E2665" s="1" t="s">
        <v>3842</v>
      </c>
      <c r="F2665" s="1" t="s">
        <v>3046</v>
      </c>
      <c r="G2665" s="1" t="s">
        <v>3047</v>
      </c>
    </row>
    <row r="2666" spans="1:7">
      <c r="A2666" s="1">
        <v>2665</v>
      </c>
      <c r="B2666" s="1" t="s">
        <v>11783</v>
      </c>
      <c r="D2666" s="1" t="s">
        <v>11784</v>
      </c>
      <c r="E2666" s="1" t="s">
        <v>11785</v>
      </c>
      <c r="F2666" s="1" t="s">
        <v>11786</v>
      </c>
      <c r="G2666" s="1" t="s">
        <v>11787</v>
      </c>
    </row>
    <row r="2667" spans="1:7">
      <c r="A2667" s="1">
        <v>2666</v>
      </c>
      <c r="B2667" s="1" t="s">
        <v>11788</v>
      </c>
      <c r="D2667" s="1" t="s">
        <v>11784</v>
      </c>
      <c r="E2667" s="1" t="s">
        <v>11789</v>
      </c>
      <c r="F2667" s="1" t="s">
        <v>3069</v>
      </c>
      <c r="G2667" s="1" t="s">
        <v>3070</v>
      </c>
    </row>
    <row r="2668" spans="1:7">
      <c r="A2668" s="1">
        <v>2667</v>
      </c>
      <c r="B2668" s="1" t="s">
        <v>11790</v>
      </c>
      <c r="D2668" s="1" t="s">
        <v>11784</v>
      </c>
      <c r="E2668" s="1" t="s">
        <v>11791</v>
      </c>
      <c r="F2668" s="1" t="s">
        <v>11792</v>
      </c>
      <c r="G2668" s="1" t="s">
        <v>11793</v>
      </c>
    </row>
    <row r="2669" spans="1:7">
      <c r="A2669" s="1">
        <v>2668</v>
      </c>
      <c r="B2669" s="1" t="s">
        <v>11794</v>
      </c>
      <c r="D2669" s="1" t="s">
        <v>11784</v>
      </c>
      <c r="E2669" s="1" t="s">
        <v>11795</v>
      </c>
      <c r="F2669" s="1" t="s">
        <v>3060</v>
      </c>
      <c r="G2669" s="1" t="s">
        <v>3061</v>
      </c>
    </row>
    <row r="2670" spans="1:7">
      <c r="A2670" s="1">
        <v>2669</v>
      </c>
      <c r="B2670" s="1" t="s">
        <v>11796</v>
      </c>
      <c r="D2670" s="1" t="s">
        <v>11784</v>
      </c>
      <c r="E2670" s="1" t="s">
        <v>11797</v>
      </c>
      <c r="F2670" s="1" t="s">
        <v>11798</v>
      </c>
      <c r="G2670" s="1" t="s">
        <v>11799</v>
      </c>
    </row>
    <row r="2671" spans="1:7">
      <c r="A2671" s="1">
        <v>2670</v>
      </c>
      <c r="B2671" s="1" t="s">
        <v>11800</v>
      </c>
      <c r="D2671" s="1" t="s">
        <v>11784</v>
      </c>
      <c r="E2671" s="1" t="s">
        <v>11801</v>
      </c>
      <c r="F2671" s="1" t="s">
        <v>3066</v>
      </c>
      <c r="G2671" s="1" t="s">
        <v>3067</v>
      </c>
    </row>
    <row r="2672" spans="1:7">
      <c r="A2672" s="1">
        <v>2671</v>
      </c>
      <c r="B2672" s="1" t="s">
        <v>11802</v>
      </c>
      <c r="D2672" s="1" t="s">
        <v>11803</v>
      </c>
      <c r="E2672" s="1" t="s">
        <v>11804</v>
      </c>
      <c r="F2672" s="1" t="s">
        <v>11805</v>
      </c>
      <c r="G2672" s="1" t="s">
        <v>11806</v>
      </c>
    </row>
    <row r="2673" spans="1:7">
      <c r="A2673" s="1">
        <v>2672</v>
      </c>
      <c r="B2673" s="1" t="s">
        <v>11807</v>
      </c>
      <c r="D2673" s="1" t="s">
        <v>11803</v>
      </c>
      <c r="E2673" s="1" t="s">
        <v>11808</v>
      </c>
      <c r="F2673" s="1" t="s">
        <v>3089</v>
      </c>
      <c r="G2673" s="1" t="s">
        <v>3090</v>
      </c>
    </row>
    <row r="2674" spans="1:7">
      <c r="A2674" s="1">
        <v>2673</v>
      </c>
      <c r="B2674" s="1" t="s">
        <v>11809</v>
      </c>
      <c r="D2674" s="1" t="s">
        <v>11803</v>
      </c>
      <c r="E2674" s="1" t="s">
        <v>11810</v>
      </c>
      <c r="F2674" s="1" t="s">
        <v>11811</v>
      </c>
      <c r="G2674" s="1" t="s">
        <v>11812</v>
      </c>
    </row>
    <row r="2675" spans="1:7">
      <c r="A2675" s="1">
        <v>2674</v>
      </c>
      <c r="B2675" s="1" t="s">
        <v>11813</v>
      </c>
      <c r="D2675" s="1" t="s">
        <v>11803</v>
      </c>
      <c r="E2675" s="1" t="s">
        <v>11814</v>
      </c>
      <c r="F2675" s="1" t="s">
        <v>3080</v>
      </c>
      <c r="G2675" s="1" t="s">
        <v>3081</v>
      </c>
    </row>
    <row r="2676" spans="1:7">
      <c r="A2676" s="1">
        <v>2675</v>
      </c>
      <c r="B2676" s="1" t="s">
        <v>11815</v>
      </c>
      <c r="D2676" s="1" t="s">
        <v>11803</v>
      </c>
      <c r="E2676" s="1" t="s">
        <v>11816</v>
      </c>
      <c r="F2676" s="1" t="s">
        <v>11817</v>
      </c>
      <c r="G2676" s="1" t="s">
        <v>11818</v>
      </c>
    </row>
    <row r="2677" spans="1:7">
      <c r="A2677" s="1">
        <v>2676</v>
      </c>
      <c r="B2677" s="1" t="s">
        <v>11819</v>
      </c>
      <c r="D2677" s="1" t="s">
        <v>11803</v>
      </c>
      <c r="E2677" s="1" t="s">
        <v>11820</v>
      </c>
      <c r="F2677" s="1" t="s">
        <v>3086</v>
      </c>
      <c r="G2677" s="1" t="s">
        <v>3087</v>
      </c>
    </row>
    <row r="2678" spans="1:7">
      <c r="A2678" s="1">
        <v>2677</v>
      </c>
      <c r="B2678" s="1" t="s">
        <v>11821</v>
      </c>
      <c r="D2678" s="1" t="s">
        <v>11822</v>
      </c>
      <c r="E2678" s="1" t="s">
        <v>11823</v>
      </c>
      <c r="F2678" s="1" t="s">
        <v>11711</v>
      </c>
      <c r="G2678" s="1" t="s">
        <v>11712</v>
      </c>
    </row>
    <row r="2679" spans="1:7">
      <c r="A2679" s="1">
        <v>2678</v>
      </c>
      <c r="B2679" s="1" t="s">
        <v>11824</v>
      </c>
      <c r="D2679" s="1" t="s">
        <v>11822</v>
      </c>
      <c r="E2679" s="1" t="s">
        <v>11825</v>
      </c>
      <c r="F2679" s="1" t="s">
        <v>11826</v>
      </c>
      <c r="G2679" s="1" t="s">
        <v>11827</v>
      </c>
    </row>
    <row r="2680" spans="1:7">
      <c r="A2680" s="1">
        <v>2679</v>
      </c>
      <c r="B2680" s="1" t="s">
        <v>11828</v>
      </c>
      <c r="D2680" s="1" t="s">
        <v>11822</v>
      </c>
      <c r="E2680" s="1" t="s">
        <v>11829</v>
      </c>
      <c r="F2680" s="1" t="s">
        <v>3112</v>
      </c>
      <c r="G2680" s="1" t="s">
        <v>3113</v>
      </c>
    </row>
    <row r="2681" spans="1:7">
      <c r="A2681" s="1">
        <v>2680</v>
      </c>
      <c r="B2681" s="1" t="s">
        <v>11830</v>
      </c>
      <c r="D2681" s="1" t="s">
        <v>11822</v>
      </c>
      <c r="E2681" s="1" t="s">
        <v>11831</v>
      </c>
      <c r="F2681" s="1" t="s">
        <v>11832</v>
      </c>
      <c r="G2681" s="1" t="s">
        <v>11833</v>
      </c>
    </row>
    <row r="2682" spans="1:7">
      <c r="A2682" s="1">
        <v>2681</v>
      </c>
      <c r="B2682" s="1" t="s">
        <v>11834</v>
      </c>
      <c r="D2682" s="1" t="s">
        <v>11822</v>
      </c>
      <c r="E2682" s="1" t="s">
        <v>11835</v>
      </c>
      <c r="F2682" s="1" t="s">
        <v>11836</v>
      </c>
      <c r="G2682" s="1" t="s">
        <v>11837</v>
      </c>
    </row>
    <row r="2683" spans="1:7">
      <c r="A2683" s="1">
        <v>2682</v>
      </c>
      <c r="B2683" s="1" t="s">
        <v>11838</v>
      </c>
      <c r="D2683" s="1" t="s">
        <v>11822</v>
      </c>
      <c r="E2683" s="1" t="s">
        <v>11839</v>
      </c>
      <c r="F2683" s="1" t="s">
        <v>3100</v>
      </c>
      <c r="G2683" s="1" t="s">
        <v>3101</v>
      </c>
    </row>
    <row r="2684" spans="1:7">
      <c r="A2684" s="1">
        <v>2683</v>
      </c>
      <c r="B2684" s="1" t="s">
        <v>11840</v>
      </c>
      <c r="D2684" s="1" t="s">
        <v>11822</v>
      </c>
      <c r="E2684" s="1" t="s">
        <v>11841</v>
      </c>
      <c r="F2684" s="1" t="s">
        <v>3106</v>
      </c>
      <c r="G2684" s="1" t="s">
        <v>3107</v>
      </c>
    </row>
    <row r="2685" spans="1:7">
      <c r="A2685" s="1">
        <v>2684</v>
      </c>
      <c r="B2685" s="1" t="s">
        <v>11842</v>
      </c>
      <c r="D2685" s="1" t="s">
        <v>11843</v>
      </c>
      <c r="E2685" s="1" t="s">
        <v>11844</v>
      </c>
      <c r="F2685" s="1" t="s">
        <v>11845</v>
      </c>
      <c r="G2685" s="1" t="s">
        <v>11846</v>
      </c>
    </row>
    <row r="2686" spans="1:7">
      <c r="A2686" s="1">
        <v>2685</v>
      </c>
      <c r="B2686" s="1" t="s">
        <v>11847</v>
      </c>
      <c r="D2686" s="1" t="s">
        <v>11843</v>
      </c>
      <c r="E2686" s="1" t="s">
        <v>11848</v>
      </c>
      <c r="F2686" s="1" t="s">
        <v>3132</v>
      </c>
      <c r="G2686" s="1" t="s">
        <v>3133</v>
      </c>
    </row>
    <row r="2687" spans="1:7">
      <c r="A2687" s="1">
        <v>2686</v>
      </c>
      <c r="B2687" s="1" t="s">
        <v>11849</v>
      </c>
      <c r="D2687" s="1" t="s">
        <v>11843</v>
      </c>
      <c r="E2687" s="1" t="s">
        <v>11850</v>
      </c>
      <c r="F2687" s="1" t="s">
        <v>11851</v>
      </c>
      <c r="G2687" s="1" t="s">
        <v>11852</v>
      </c>
    </row>
    <row r="2688" spans="1:7">
      <c r="A2688" s="1">
        <v>2687</v>
      </c>
      <c r="B2688" s="1" t="s">
        <v>11853</v>
      </c>
      <c r="D2688" s="1" t="s">
        <v>11843</v>
      </c>
      <c r="E2688" s="1" t="s">
        <v>11854</v>
      </c>
      <c r="F2688" s="1" t="s">
        <v>3123</v>
      </c>
      <c r="G2688" s="1" t="s">
        <v>3124</v>
      </c>
    </row>
    <row r="2689" spans="1:7">
      <c r="A2689" s="1">
        <v>2688</v>
      </c>
      <c r="B2689" s="1" t="s">
        <v>11855</v>
      </c>
      <c r="D2689" s="1" t="s">
        <v>11843</v>
      </c>
      <c r="E2689" s="1" t="s">
        <v>11856</v>
      </c>
      <c r="F2689" s="1" t="s">
        <v>11857</v>
      </c>
      <c r="G2689" s="1" t="s">
        <v>11858</v>
      </c>
    </row>
    <row r="2690" spans="1:7">
      <c r="A2690" s="1">
        <v>2689</v>
      </c>
      <c r="B2690" s="1" t="s">
        <v>11859</v>
      </c>
      <c r="D2690" s="1" t="s">
        <v>11843</v>
      </c>
      <c r="E2690" s="1" t="s">
        <v>11860</v>
      </c>
      <c r="F2690" s="1" t="s">
        <v>3129</v>
      </c>
      <c r="G2690" s="1" t="s">
        <v>3130</v>
      </c>
    </row>
    <row r="2691" spans="1:7">
      <c r="A2691" s="1">
        <v>2690</v>
      </c>
      <c r="B2691" s="1" t="s">
        <v>11861</v>
      </c>
      <c r="D2691" s="1" t="s">
        <v>11862</v>
      </c>
      <c r="E2691" s="1" t="s">
        <v>3862</v>
      </c>
      <c r="F2691" s="1" t="s">
        <v>11863</v>
      </c>
      <c r="G2691" s="1" t="s">
        <v>11864</v>
      </c>
    </row>
    <row r="2692" spans="1:7">
      <c r="A2692" s="1">
        <v>2691</v>
      </c>
      <c r="B2692" s="1" t="s">
        <v>11865</v>
      </c>
      <c r="D2692" s="1" t="s">
        <v>11862</v>
      </c>
      <c r="E2692" s="1" t="s">
        <v>3868</v>
      </c>
      <c r="F2692" s="1" t="s">
        <v>3152</v>
      </c>
      <c r="G2692" s="1" t="s">
        <v>3153</v>
      </c>
    </row>
    <row r="2693" spans="1:7">
      <c r="A2693" s="1">
        <v>2692</v>
      </c>
      <c r="B2693" s="1" t="s">
        <v>11866</v>
      </c>
      <c r="D2693" s="1" t="s">
        <v>11862</v>
      </c>
      <c r="E2693" s="1" t="s">
        <v>3871</v>
      </c>
      <c r="F2693" s="1" t="s">
        <v>11867</v>
      </c>
      <c r="G2693" s="1" t="s">
        <v>11868</v>
      </c>
    </row>
    <row r="2694" spans="1:7">
      <c r="A2694" s="1">
        <v>2693</v>
      </c>
      <c r="B2694" s="1" t="s">
        <v>11869</v>
      </c>
      <c r="D2694" s="1" t="s">
        <v>11862</v>
      </c>
      <c r="E2694" s="1" t="s">
        <v>3859</v>
      </c>
      <c r="F2694" s="1" t="s">
        <v>3143</v>
      </c>
      <c r="G2694" s="1" t="s">
        <v>3144</v>
      </c>
    </row>
    <row r="2695" spans="1:7">
      <c r="A2695" s="1">
        <v>2694</v>
      </c>
      <c r="B2695" s="1" t="s">
        <v>11870</v>
      </c>
      <c r="D2695" s="1" t="s">
        <v>11862</v>
      </c>
      <c r="E2695" s="1" t="s">
        <v>3874</v>
      </c>
      <c r="F2695" s="1" t="s">
        <v>11871</v>
      </c>
      <c r="G2695" s="1" t="s">
        <v>11872</v>
      </c>
    </row>
    <row r="2696" spans="1:7">
      <c r="A2696" s="1">
        <v>2695</v>
      </c>
      <c r="B2696" s="1" t="s">
        <v>11873</v>
      </c>
      <c r="D2696" s="1" t="s">
        <v>11862</v>
      </c>
      <c r="E2696" s="1" t="s">
        <v>3865</v>
      </c>
      <c r="F2696" s="1" t="s">
        <v>3149</v>
      </c>
      <c r="G2696" s="1" t="s">
        <v>3150</v>
      </c>
    </row>
    <row r="2697" spans="1:7">
      <c r="A2697" s="1">
        <v>2696</v>
      </c>
      <c r="B2697" s="1" t="s">
        <v>11874</v>
      </c>
      <c r="D2697" s="1" t="s">
        <v>11875</v>
      </c>
      <c r="E2697" s="1" t="s">
        <v>3911</v>
      </c>
      <c r="F2697" s="1" t="s">
        <v>11876</v>
      </c>
      <c r="G2697" s="1" t="s">
        <v>11877</v>
      </c>
    </row>
    <row r="2698" spans="1:7">
      <c r="A2698" s="1">
        <v>2697</v>
      </c>
      <c r="B2698" s="1" t="s">
        <v>11878</v>
      </c>
      <c r="D2698" s="1" t="s">
        <v>11875</v>
      </c>
      <c r="E2698" s="1" t="s">
        <v>3914</v>
      </c>
      <c r="F2698" s="1" t="s">
        <v>3175</v>
      </c>
      <c r="G2698" s="1" t="s">
        <v>3176</v>
      </c>
    </row>
    <row r="2699" spans="1:7">
      <c r="A2699" s="1">
        <v>2698</v>
      </c>
      <c r="B2699" s="1" t="s">
        <v>11879</v>
      </c>
      <c r="D2699" s="1" t="s">
        <v>11875</v>
      </c>
      <c r="E2699" s="1" t="s">
        <v>11880</v>
      </c>
      <c r="F2699" s="1" t="s">
        <v>11881</v>
      </c>
      <c r="G2699" s="1" t="s">
        <v>11882</v>
      </c>
    </row>
    <row r="2700" spans="1:7">
      <c r="A2700" s="1">
        <v>2699</v>
      </c>
      <c r="B2700" s="1" t="s">
        <v>11883</v>
      </c>
      <c r="D2700" s="1" t="s">
        <v>11875</v>
      </c>
      <c r="E2700" s="1" t="s">
        <v>3913</v>
      </c>
      <c r="F2700" s="1" t="s">
        <v>11884</v>
      </c>
      <c r="G2700" s="1" t="s">
        <v>11885</v>
      </c>
    </row>
    <row r="2701" spans="1:7">
      <c r="A2701" s="1">
        <v>2700</v>
      </c>
      <c r="B2701" s="1" t="s">
        <v>11886</v>
      </c>
      <c r="D2701" s="1" t="s">
        <v>11875</v>
      </c>
      <c r="E2701" s="1" t="s">
        <v>3910</v>
      </c>
      <c r="F2701" s="1" t="s">
        <v>3163</v>
      </c>
      <c r="G2701" s="1" t="s">
        <v>3164</v>
      </c>
    </row>
    <row r="2702" spans="1:7">
      <c r="A2702" s="1">
        <v>2701</v>
      </c>
      <c r="B2702" s="1" t="s">
        <v>11887</v>
      </c>
      <c r="D2702" s="1" t="s">
        <v>11875</v>
      </c>
      <c r="E2702" s="1" t="s">
        <v>11888</v>
      </c>
      <c r="F2702" s="1" t="s">
        <v>11889</v>
      </c>
      <c r="G2702" s="1" t="s">
        <v>11890</v>
      </c>
    </row>
    <row r="2703" spans="1:7">
      <c r="A2703" s="1">
        <v>2702</v>
      </c>
      <c r="B2703" s="1" t="s">
        <v>11891</v>
      </c>
      <c r="D2703" s="1" t="s">
        <v>11875</v>
      </c>
      <c r="E2703" s="1" t="s">
        <v>3912</v>
      </c>
      <c r="F2703" s="1" t="s">
        <v>3169</v>
      </c>
      <c r="G2703" s="1" t="s">
        <v>3170</v>
      </c>
    </row>
    <row r="2704" spans="1:7">
      <c r="A2704" s="1">
        <v>2703</v>
      </c>
      <c r="B2704" s="1" t="s">
        <v>11892</v>
      </c>
      <c r="D2704" s="1" t="s">
        <v>11893</v>
      </c>
      <c r="E2704" s="1" t="s">
        <v>11894</v>
      </c>
      <c r="F2704" s="1" t="s">
        <v>11895</v>
      </c>
      <c r="G2704" s="1" t="s">
        <v>11896</v>
      </c>
    </row>
    <row r="2705" spans="1:7">
      <c r="A2705" s="1">
        <v>2704</v>
      </c>
      <c r="B2705" s="1" t="s">
        <v>11897</v>
      </c>
      <c r="D2705" s="1" t="s">
        <v>11893</v>
      </c>
      <c r="E2705" s="1" t="s">
        <v>11898</v>
      </c>
      <c r="F2705" s="1" t="s">
        <v>3195</v>
      </c>
      <c r="G2705" s="1" t="s">
        <v>3196</v>
      </c>
    </row>
    <row r="2706" spans="1:7">
      <c r="A2706" s="1">
        <v>2705</v>
      </c>
      <c r="B2706" s="1" t="s">
        <v>11899</v>
      </c>
      <c r="D2706" s="1" t="s">
        <v>11893</v>
      </c>
      <c r="E2706" s="1" t="s">
        <v>11900</v>
      </c>
      <c r="F2706" s="1" t="s">
        <v>11901</v>
      </c>
      <c r="G2706" s="1" t="s">
        <v>11902</v>
      </c>
    </row>
    <row r="2707" spans="1:7">
      <c r="A2707" s="1">
        <v>2706</v>
      </c>
      <c r="B2707" s="1" t="s">
        <v>11903</v>
      </c>
      <c r="D2707" s="1" t="s">
        <v>11893</v>
      </c>
      <c r="E2707" s="1" t="s">
        <v>11904</v>
      </c>
      <c r="F2707" s="1" t="s">
        <v>3186</v>
      </c>
      <c r="G2707" s="1" t="s">
        <v>3187</v>
      </c>
    </row>
    <row r="2708" spans="1:7">
      <c r="A2708" s="1">
        <v>2707</v>
      </c>
      <c r="B2708" s="1" t="s">
        <v>11905</v>
      </c>
      <c r="D2708" s="1" t="s">
        <v>11893</v>
      </c>
      <c r="E2708" s="1" t="s">
        <v>11906</v>
      </c>
      <c r="F2708" s="1" t="s">
        <v>11907</v>
      </c>
      <c r="G2708" s="1" t="s">
        <v>11908</v>
      </c>
    </row>
    <row r="2709" spans="1:7">
      <c r="A2709" s="1">
        <v>2708</v>
      </c>
      <c r="B2709" s="1" t="s">
        <v>11909</v>
      </c>
      <c r="D2709" s="1" t="s">
        <v>11893</v>
      </c>
      <c r="E2709" s="1" t="s">
        <v>11910</v>
      </c>
      <c r="F2709" s="1" t="s">
        <v>3192</v>
      </c>
      <c r="G2709" s="1" t="s">
        <v>3193</v>
      </c>
    </row>
    <row r="2710" spans="1:7">
      <c r="A2710" s="1">
        <v>2709</v>
      </c>
      <c r="B2710" s="1" t="s">
        <v>11911</v>
      </c>
      <c r="D2710" s="1" t="s">
        <v>11912</v>
      </c>
      <c r="E2710" s="1" t="s">
        <v>1818</v>
      </c>
      <c r="F2710" s="1" t="s">
        <v>11913</v>
      </c>
      <c r="G2710" s="1" t="s">
        <v>11914</v>
      </c>
    </row>
    <row r="2711" spans="1:7">
      <c r="A2711" s="1">
        <v>2710</v>
      </c>
      <c r="B2711" s="1" t="s">
        <v>11915</v>
      </c>
      <c r="D2711" s="1" t="s">
        <v>11916</v>
      </c>
      <c r="E2711" s="1" t="s">
        <v>1823</v>
      </c>
      <c r="F2711" s="1" t="s">
        <v>11917</v>
      </c>
      <c r="G2711" s="1" t="s">
        <v>11918</v>
      </c>
    </row>
    <row r="2712" spans="1:7">
      <c r="A2712" s="1">
        <v>2711</v>
      </c>
      <c r="B2712" s="1" t="s">
        <v>11919</v>
      </c>
      <c r="D2712" s="1" t="s">
        <v>11920</v>
      </c>
      <c r="E2712" s="1" t="s">
        <v>11921</v>
      </c>
      <c r="F2712" s="1" t="s">
        <v>11922</v>
      </c>
      <c r="G2712" s="1" t="s">
        <v>11923</v>
      </c>
    </row>
    <row r="2713" spans="1:7">
      <c r="A2713" s="1">
        <v>2712</v>
      </c>
      <c r="B2713" s="1" t="s">
        <v>11924</v>
      </c>
      <c r="D2713" s="1" t="s">
        <v>11920</v>
      </c>
      <c r="E2713" s="1" t="s">
        <v>11925</v>
      </c>
      <c r="F2713" s="1" t="s">
        <v>11926</v>
      </c>
      <c r="G2713" s="1" t="s">
        <v>11927</v>
      </c>
    </row>
    <row r="2714" spans="1:7">
      <c r="A2714" s="1">
        <v>2713</v>
      </c>
      <c r="B2714" s="1" t="s">
        <v>11928</v>
      </c>
      <c r="D2714" s="1" t="s">
        <v>11920</v>
      </c>
      <c r="E2714" s="1" t="s">
        <v>11929</v>
      </c>
      <c r="F2714" s="1" t="s">
        <v>11930</v>
      </c>
      <c r="G2714" s="1" t="s">
        <v>11931</v>
      </c>
    </row>
    <row r="2715" spans="1:7">
      <c r="A2715" s="1">
        <v>2714</v>
      </c>
      <c r="B2715" s="1" t="s">
        <v>11932</v>
      </c>
      <c r="D2715" s="1" t="s">
        <v>11920</v>
      </c>
      <c r="E2715" s="1" t="s">
        <v>11933</v>
      </c>
      <c r="F2715" s="1" t="s">
        <v>1052</v>
      </c>
      <c r="G2715" s="1" t="s">
        <v>1053</v>
      </c>
    </row>
    <row r="2716" spans="1:7">
      <c r="A2716" s="1">
        <v>2715</v>
      </c>
      <c r="B2716" s="1" t="s">
        <v>11934</v>
      </c>
      <c r="D2716" s="1" t="s">
        <v>11920</v>
      </c>
      <c r="E2716" s="1" t="s">
        <v>11935</v>
      </c>
      <c r="F2716" s="1" t="s">
        <v>11936</v>
      </c>
      <c r="G2716" s="1" t="s">
        <v>11937</v>
      </c>
    </row>
    <row r="2717" spans="1:7">
      <c r="A2717" s="1">
        <v>2716</v>
      </c>
      <c r="B2717" s="1" t="s">
        <v>11938</v>
      </c>
      <c r="D2717" s="1" t="s">
        <v>11920</v>
      </c>
      <c r="E2717" s="1" t="s">
        <v>2616</v>
      </c>
      <c r="F2717" s="1" t="s">
        <v>11939</v>
      </c>
      <c r="G2717" s="1" t="s">
        <v>11940</v>
      </c>
    </row>
    <row r="2718" spans="1:7">
      <c r="A2718" s="1">
        <v>2717</v>
      </c>
      <c r="B2718" s="1" t="s">
        <v>11941</v>
      </c>
      <c r="D2718" s="1" t="s">
        <v>11920</v>
      </c>
      <c r="E2718" s="1" t="s">
        <v>11942</v>
      </c>
      <c r="F2718" s="1" t="s">
        <v>11943</v>
      </c>
      <c r="G2718" s="1" t="s">
        <v>996</v>
      </c>
    </row>
    <row r="2719" spans="1:7">
      <c r="A2719" s="1">
        <v>2718</v>
      </c>
      <c r="B2719" s="1" t="s">
        <v>11944</v>
      </c>
      <c r="D2719" s="1" t="s">
        <v>11920</v>
      </c>
      <c r="E2719" s="1" t="s">
        <v>11945</v>
      </c>
      <c r="F2719" s="1" t="s">
        <v>11946</v>
      </c>
      <c r="G2719" s="1" t="s">
        <v>999</v>
      </c>
    </row>
    <row r="2720" spans="1:7">
      <c r="A2720" s="1">
        <v>2719</v>
      </c>
      <c r="B2720" s="1" t="s">
        <v>11947</v>
      </c>
      <c r="D2720" s="1" t="s">
        <v>11920</v>
      </c>
      <c r="E2720" s="1" t="s">
        <v>11948</v>
      </c>
      <c r="F2720" s="1" t="s">
        <v>11949</v>
      </c>
      <c r="G2720" s="1" t="s">
        <v>1002</v>
      </c>
    </row>
    <row r="2721" spans="1:7">
      <c r="A2721" s="1">
        <v>2720</v>
      </c>
      <c r="B2721" s="1" t="s">
        <v>11950</v>
      </c>
      <c r="D2721" s="1" t="s">
        <v>11920</v>
      </c>
      <c r="E2721" s="1" t="s">
        <v>11951</v>
      </c>
      <c r="F2721" s="1" t="s">
        <v>11952</v>
      </c>
      <c r="G2721" s="1" t="s">
        <v>1005</v>
      </c>
    </row>
    <row r="2722" spans="1:7">
      <c r="A2722" s="1">
        <v>2721</v>
      </c>
      <c r="B2722" s="1" t="s">
        <v>11953</v>
      </c>
      <c r="D2722" s="1" t="s">
        <v>11920</v>
      </c>
      <c r="E2722" s="1" t="s">
        <v>2620</v>
      </c>
      <c r="F2722" s="1" t="s">
        <v>11954</v>
      </c>
      <c r="G2722" s="1" t="s">
        <v>11955</v>
      </c>
    </row>
    <row r="2723" spans="1:7">
      <c r="A2723" s="1">
        <v>2722</v>
      </c>
      <c r="B2723" s="1" t="s">
        <v>11956</v>
      </c>
      <c r="D2723" s="1" t="s">
        <v>11920</v>
      </c>
      <c r="E2723" s="1" t="s">
        <v>11957</v>
      </c>
      <c r="F2723" s="1" t="s">
        <v>11958</v>
      </c>
      <c r="G2723" s="1" t="s">
        <v>1008</v>
      </c>
    </row>
    <row r="2724" spans="1:7">
      <c r="A2724" s="1">
        <v>2723</v>
      </c>
      <c r="B2724" s="1" t="s">
        <v>11959</v>
      </c>
      <c r="D2724" s="1" t="s">
        <v>11920</v>
      </c>
      <c r="E2724" s="1" t="s">
        <v>11960</v>
      </c>
      <c r="F2724" s="1" t="s">
        <v>11961</v>
      </c>
      <c r="G2724" s="1" t="s">
        <v>11962</v>
      </c>
    </row>
    <row r="2725" spans="1:7">
      <c r="A2725" s="1">
        <v>2724</v>
      </c>
      <c r="B2725" s="1" t="s">
        <v>11963</v>
      </c>
      <c r="D2725" s="1" t="s">
        <v>11920</v>
      </c>
      <c r="E2725" s="1" t="s">
        <v>11964</v>
      </c>
      <c r="F2725" s="1" t="s">
        <v>11965</v>
      </c>
      <c r="G2725" s="1" t="s">
        <v>1014</v>
      </c>
    </row>
    <row r="2726" spans="1:7">
      <c r="A2726" s="1">
        <v>2725</v>
      </c>
      <c r="B2726" s="1" t="s">
        <v>11966</v>
      </c>
      <c r="D2726" s="1" t="s">
        <v>11920</v>
      </c>
      <c r="E2726" s="1" t="s">
        <v>11967</v>
      </c>
      <c r="F2726" s="1" t="s">
        <v>11968</v>
      </c>
      <c r="G2726" s="1" t="s">
        <v>1017</v>
      </c>
    </row>
    <row r="2727" spans="1:7">
      <c r="A2727" s="1">
        <v>2726</v>
      </c>
      <c r="B2727" s="1" t="s">
        <v>11969</v>
      </c>
      <c r="D2727" s="1" t="s">
        <v>11920</v>
      </c>
      <c r="E2727" s="1" t="s">
        <v>11970</v>
      </c>
      <c r="F2727" s="1" t="s">
        <v>11971</v>
      </c>
      <c r="G2727" s="1" t="s">
        <v>1020</v>
      </c>
    </row>
    <row r="2728" spans="1:7">
      <c r="A2728" s="1">
        <v>2727</v>
      </c>
      <c r="B2728" s="1" t="s">
        <v>11972</v>
      </c>
      <c r="D2728" s="1" t="s">
        <v>11920</v>
      </c>
      <c r="E2728" s="1" t="s">
        <v>11973</v>
      </c>
      <c r="F2728" s="1" t="s">
        <v>11974</v>
      </c>
      <c r="G2728" s="1" t="s">
        <v>1020</v>
      </c>
    </row>
    <row r="2729" spans="1:7">
      <c r="A2729" s="1">
        <v>2728</v>
      </c>
      <c r="B2729" s="1" t="s">
        <v>11975</v>
      </c>
      <c r="D2729" s="1" t="s">
        <v>11920</v>
      </c>
      <c r="E2729" s="1" t="s">
        <v>11976</v>
      </c>
      <c r="F2729" s="1" t="s">
        <v>11977</v>
      </c>
      <c r="G2729" s="1" t="s">
        <v>1025</v>
      </c>
    </row>
    <row r="2730" spans="1:7">
      <c r="A2730" s="1">
        <v>2729</v>
      </c>
      <c r="B2730" s="1" t="s">
        <v>11978</v>
      </c>
      <c r="D2730" s="1" t="s">
        <v>11920</v>
      </c>
      <c r="E2730" s="1" t="s">
        <v>11979</v>
      </c>
      <c r="F2730" s="1" t="s">
        <v>11980</v>
      </c>
      <c r="G2730" s="1" t="s">
        <v>11981</v>
      </c>
    </row>
    <row r="2731" spans="1:7">
      <c r="A2731" s="1">
        <v>2730</v>
      </c>
      <c r="B2731" s="1" t="s">
        <v>11982</v>
      </c>
      <c r="D2731" s="1" t="s">
        <v>11920</v>
      </c>
      <c r="E2731" s="1" t="s">
        <v>11983</v>
      </c>
      <c r="F2731" s="1" t="s">
        <v>11984</v>
      </c>
      <c r="G2731" s="1" t="s">
        <v>1028</v>
      </c>
    </row>
    <row r="2732" spans="1:7">
      <c r="A2732" s="1">
        <v>2731</v>
      </c>
      <c r="B2732" s="1" t="s">
        <v>11985</v>
      </c>
      <c r="D2732" s="1" t="s">
        <v>11920</v>
      </c>
      <c r="E2732" s="1" t="s">
        <v>11986</v>
      </c>
      <c r="F2732" s="1" t="s">
        <v>11987</v>
      </c>
      <c r="G2732" s="1" t="s">
        <v>1031</v>
      </c>
    </row>
    <row r="2733" spans="1:7">
      <c r="A2733" s="1">
        <v>2732</v>
      </c>
      <c r="B2733" s="1" t="s">
        <v>11988</v>
      </c>
      <c r="D2733" s="1" t="s">
        <v>11920</v>
      </c>
      <c r="E2733" s="1" t="s">
        <v>11989</v>
      </c>
      <c r="F2733" s="1" t="s">
        <v>11990</v>
      </c>
      <c r="G2733" s="1" t="s">
        <v>1031</v>
      </c>
    </row>
    <row r="2734" spans="1:7">
      <c r="A2734" s="1">
        <v>2733</v>
      </c>
      <c r="B2734" s="1" t="s">
        <v>11991</v>
      </c>
      <c r="D2734" s="1" t="s">
        <v>11920</v>
      </c>
      <c r="E2734" s="1" t="s">
        <v>11992</v>
      </c>
      <c r="F2734" s="1" t="s">
        <v>11993</v>
      </c>
      <c r="G2734" s="1" t="s">
        <v>1036</v>
      </c>
    </row>
    <row r="2735" spans="1:7">
      <c r="A2735" s="1">
        <v>2734</v>
      </c>
      <c r="B2735" s="1" t="s">
        <v>11994</v>
      </c>
      <c r="D2735" s="1" t="s">
        <v>11920</v>
      </c>
      <c r="E2735" s="1" t="s">
        <v>11995</v>
      </c>
      <c r="F2735" s="1" t="s">
        <v>11996</v>
      </c>
      <c r="G2735" s="1" t="s">
        <v>1039</v>
      </c>
    </row>
    <row r="2736" spans="1:7">
      <c r="A2736" s="1">
        <v>2735</v>
      </c>
      <c r="B2736" s="1" t="s">
        <v>11997</v>
      </c>
      <c r="D2736" s="1" t="s">
        <v>11920</v>
      </c>
      <c r="E2736" s="1" t="s">
        <v>11998</v>
      </c>
      <c r="F2736" s="1" t="s">
        <v>11999</v>
      </c>
      <c r="G2736" s="1" t="s">
        <v>1036</v>
      </c>
    </row>
    <row r="2737" spans="1:7">
      <c r="A2737" s="1">
        <v>2736</v>
      </c>
      <c r="B2737" s="1" t="s">
        <v>12000</v>
      </c>
      <c r="D2737" s="1" t="s">
        <v>11920</v>
      </c>
      <c r="E2737" s="1" t="s">
        <v>12001</v>
      </c>
      <c r="F2737" s="1" t="s">
        <v>12002</v>
      </c>
      <c r="G2737" s="1" t="s">
        <v>1044</v>
      </c>
    </row>
    <row r="2738" spans="1:7">
      <c r="A2738" s="1">
        <v>2737</v>
      </c>
      <c r="B2738" s="1" t="s">
        <v>12003</v>
      </c>
      <c r="D2738" s="1" t="s">
        <v>11920</v>
      </c>
      <c r="E2738" s="1" t="s">
        <v>12004</v>
      </c>
      <c r="F2738" s="1" t="s">
        <v>12005</v>
      </c>
      <c r="G2738" s="1" t="s">
        <v>1047</v>
      </c>
    </row>
    <row r="2739" spans="1:7">
      <c r="A2739" s="1">
        <v>2738</v>
      </c>
      <c r="B2739" s="1" t="s">
        <v>12006</v>
      </c>
      <c r="D2739" s="1" t="s">
        <v>11920</v>
      </c>
      <c r="E2739" s="1" t="s">
        <v>12007</v>
      </c>
      <c r="F2739" s="1" t="s">
        <v>12008</v>
      </c>
      <c r="G2739" s="1" t="s">
        <v>1050</v>
      </c>
    </row>
    <row r="2740" spans="1:7">
      <c r="A2740" s="1">
        <v>2739</v>
      </c>
      <c r="B2740" s="1" t="s">
        <v>12009</v>
      </c>
      <c r="D2740" s="1" t="s">
        <v>11920</v>
      </c>
      <c r="E2740" s="1" t="s">
        <v>12010</v>
      </c>
      <c r="F2740" s="1" t="s">
        <v>12011</v>
      </c>
      <c r="G2740" s="1" t="s">
        <v>12012</v>
      </c>
    </row>
    <row r="2741" spans="1:7">
      <c r="A2741" s="1">
        <v>2740</v>
      </c>
      <c r="B2741" s="1" t="s">
        <v>12013</v>
      </c>
      <c r="D2741" s="1" t="s">
        <v>11920</v>
      </c>
      <c r="E2741" s="1" t="s">
        <v>12014</v>
      </c>
      <c r="F2741" s="1" t="s">
        <v>12015</v>
      </c>
      <c r="G2741" s="1" t="s">
        <v>12016</v>
      </c>
    </row>
    <row r="2742" spans="1:7">
      <c r="A2742" s="1">
        <v>2741</v>
      </c>
      <c r="B2742" s="1" t="s">
        <v>12017</v>
      </c>
      <c r="D2742" s="1" t="s">
        <v>12018</v>
      </c>
      <c r="E2742" s="1" t="s">
        <v>12019</v>
      </c>
      <c r="F2742" s="1" t="s">
        <v>12020</v>
      </c>
      <c r="G2742" s="1" t="s">
        <v>12021</v>
      </c>
    </row>
    <row r="2743" spans="1:7">
      <c r="A2743" s="1">
        <v>2742</v>
      </c>
      <c r="B2743" s="1" t="s">
        <v>12022</v>
      </c>
      <c r="D2743" s="1" t="s">
        <v>12018</v>
      </c>
      <c r="E2743" s="1" t="s">
        <v>12023</v>
      </c>
      <c r="F2743" s="1" t="s">
        <v>12024</v>
      </c>
      <c r="G2743" s="1" t="s">
        <v>12025</v>
      </c>
    </row>
    <row r="2744" spans="1:7">
      <c r="A2744" s="1">
        <v>2743</v>
      </c>
      <c r="B2744" s="1" t="s">
        <v>12026</v>
      </c>
      <c r="D2744" s="1" t="s">
        <v>12018</v>
      </c>
      <c r="E2744" s="1" t="s">
        <v>12027</v>
      </c>
      <c r="F2744" s="1" t="s">
        <v>12028</v>
      </c>
      <c r="G2744" s="1" t="s">
        <v>12029</v>
      </c>
    </row>
    <row r="2745" spans="1:7">
      <c r="A2745" s="1">
        <v>2744</v>
      </c>
      <c r="B2745" s="1" t="s">
        <v>12030</v>
      </c>
      <c r="D2745" s="1" t="s">
        <v>12018</v>
      </c>
      <c r="E2745" s="1" t="s">
        <v>12031</v>
      </c>
      <c r="F2745" s="1" t="s">
        <v>1147</v>
      </c>
      <c r="G2745" s="1" t="s">
        <v>1148</v>
      </c>
    </row>
    <row r="2746" spans="1:7">
      <c r="A2746" s="1">
        <v>2745</v>
      </c>
      <c r="B2746" s="1" t="s">
        <v>12032</v>
      </c>
      <c r="D2746" s="1" t="s">
        <v>12018</v>
      </c>
      <c r="E2746" s="1" t="s">
        <v>12033</v>
      </c>
      <c r="F2746" s="1" t="s">
        <v>12034</v>
      </c>
      <c r="G2746" s="1" t="s">
        <v>12035</v>
      </c>
    </row>
    <row r="2747" spans="1:7">
      <c r="A2747" s="1">
        <v>2746</v>
      </c>
      <c r="B2747" s="1" t="s">
        <v>12036</v>
      </c>
      <c r="D2747" s="1" t="s">
        <v>12018</v>
      </c>
      <c r="E2747" s="1" t="s">
        <v>12037</v>
      </c>
      <c r="F2747" s="1" t="s">
        <v>12038</v>
      </c>
      <c r="G2747" s="1" t="s">
        <v>1076</v>
      </c>
    </row>
    <row r="2748" spans="1:7">
      <c r="A2748" s="1">
        <v>2747</v>
      </c>
      <c r="B2748" s="1" t="s">
        <v>12039</v>
      </c>
      <c r="D2748" s="1" t="s">
        <v>12018</v>
      </c>
      <c r="E2748" s="1" t="s">
        <v>12040</v>
      </c>
      <c r="F2748" s="1" t="s">
        <v>12041</v>
      </c>
      <c r="G2748" s="1" t="s">
        <v>1081</v>
      </c>
    </row>
    <row r="2749" spans="1:7">
      <c r="A2749" s="1">
        <v>2748</v>
      </c>
      <c r="B2749" s="1" t="s">
        <v>12042</v>
      </c>
      <c r="D2749" s="1" t="s">
        <v>12018</v>
      </c>
      <c r="E2749" s="1" t="s">
        <v>12043</v>
      </c>
      <c r="F2749" s="1" t="s">
        <v>12044</v>
      </c>
      <c r="G2749" s="1" t="s">
        <v>1076</v>
      </c>
    </row>
    <row r="2750" spans="1:7">
      <c r="A2750" s="1">
        <v>2749</v>
      </c>
      <c r="B2750" s="1" t="s">
        <v>12045</v>
      </c>
      <c r="D2750" s="1" t="s">
        <v>12018</v>
      </c>
      <c r="E2750" s="1" t="s">
        <v>2624</v>
      </c>
      <c r="F2750" s="1" t="s">
        <v>12046</v>
      </c>
      <c r="G2750" s="1" t="s">
        <v>12047</v>
      </c>
    </row>
    <row r="2751" spans="1:7">
      <c r="A2751" s="1">
        <v>2750</v>
      </c>
      <c r="B2751" s="1" t="s">
        <v>12048</v>
      </c>
      <c r="D2751" s="1" t="s">
        <v>12018</v>
      </c>
      <c r="E2751" s="1" t="s">
        <v>12049</v>
      </c>
      <c r="F2751" s="1" t="s">
        <v>12050</v>
      </c>
      <c r="G2751" s="1" t="s">
        <v>1084</v>
      </c>
    </row>
    <row r="2752" spans="1:7">
      <c r="A2752" s="1">
        <v>2751</v>
      </c>
      <c r="B2752" s="1" t="s">
        <v>12051</v>
      </c>
      <c r="D2752" s="1" t="s">
        <v>12018</v>
      </c>
      <c r="E2752" s="1" t="s">
        <v>12052</v>
      </c>
      <c r="F2752" s="1" t="s">
        <v>12053</v>
      </c>
      <c r="G2752" s="1" t="s">
        <v>1087</v>
      </c>
    </row>
    <row r="2753" spans="1:7">
      <c r="A2753" s="1">
        <v>2752</v>
      </c>
      <c r="B2753" s="1" t="s">
        <v>12054</v>
      </c>
      <c r="D2753" s="1" t="s">
        <v>12018</v>
      </c>
      <c r="E2753" s="1" t="s">
        <v>12055</v>
      </c>
      <c r="F2753" s="1" t="s">
        <v>12056</v>
      </c>
      <c r="G2753" s="1" t="s">
        <v>1090</v>
      </c>
    </row>
    <row r="2754" spans="1:7">
      <c r="A2754" s="1">
        <v>2753</v>
      </c>
      <c r="B2754" s="1" t="s">
        <v>12057</v>
      </c>
      <c r="D2754" s="1" t="s">
        <v>12018</v>
      </c>
      <c r="E2754" s="1" t="s">
        <v>2626</v>
      </c>
      <c r="F2754" s="1" t="s">
        <v>12058</v>
      </c>
      <c r="G2754" s="1" t="s">
        <v>12059</v>
      </c>
    </row>
    <row r="2755" spans="1:7">
      <c r="A2755" s="1">
        <v>2754</v>
      </c>
      <c r="B2755" s="1" t="s">
        <v>12060</v>
      </c>
      <c r="D2755" s="1" t="s">
        <v>12018</v>
      </c>
      <c r="E2755" s="1" t="s">
        <v>12061</v>
      </c>
      <c r="F2755" s="1" t="s">
        <v>12062</v>
      </c>
      <c r="G2755" s="1" t="s">
        <v>1081</v>
      </c>
    </row>
    <row r="2756" spans="1:7">
      <c r="A2756" s="1">
        <v>2755</v>
      </c>
      <c r="B2756" s="1" t="s">
        <v>12063</v>
      </c>
      <c r="D2756" s="1" t="s">
        <v>12018</v>
      </c>
      <c r="E2756" s="1" t="s">
        <v>12064</v>
      </c>
      <c r="F2756" s="1" t="s">
        <v>12065</v>
      </c>
      <c r="G2756" s="1" t="s">
        <v>12066</v>
      </c>
    </row>
    <row r="2757" spans="1:7">
      <c r="A2757" s="1">
        <v>2756</v>
      </c>
      <c r="B2757" s="1" t="s">
        <v>12067</v>
      </c>
      <c r="D2757" s="1" t="s">
        <v>12018</v>
      </c>
      <c r="E2757" s="1" t="s">
        <v>12068</v>
      </c>
      <c r="F2757" s="1" t="s">
        <v>12069</v>
      </c>
      <c r="G2757" s="1" t="s">
        <v>1098</v>
      </c>
    </row>
    <row r="2758" spans="1:7">
      <c r="A2758" s="1">
        <v>2757</v>
      </c>
      <c r="B2758" s="1" t="s">
        <v>12070</v>
      </c>
      <c r="D2758" s="1" t="s">
        <v>12018</v>
      </c>
      <c r="E2758" s="1" t="s">
        <v>12071</v>
      </c>
      <c r="F2758" s="1" t="s">
        <v>12072</v>
      </c>
      <c r="G2758" s="1" t="s">
        <v>1101</v>
      </c>
    </row>
    <row r="2759" spans="1:7">
      <c r="A2759" s="1">
        <v>2758</v>
      </c>
      <c r="B2759" s="1" t="s">
        <v>12073</v>
      </c>
      <c r="D2759" s="1" t="s">
        <v>12018</v>
      </c>
      <c r="E2759" s="1" t="s">
        <v>12074</v>
      </c>
      <c r="F2759" s="1" t="s">
        <v>12075</v>
      </c>
      <c r="G2759" s="1" t="s">
        <v>1104</v>
      </c>
    </row>
    <row r="2760" spans="1:7">
      <c r="A2760" s="1">
        <v>2759</v>
      </c>
      <c r="B2760" s="1" t="s">
        <v>12076</v>
      </c>
      <c r="D2760" s="1" t="s">
        <v>12018</v>
      </c>
      <c r="E2760" s="1" t="s">
        <v>12077</v>
      </c>
      <c r="F2760" s="1" t="s">
        <v>12078</v>
      </c>
      <c r="G2760" s="1" t="s">
        <v>1104</v>
      </c>
    </row>
    <row r="2761" spans="1:7">
      <c r="A2761" s="1">
        <v>2760</v>
      </c>
      <c r="B2761" s="1" t="s">
        <v>12079</v>
      </c>
      <c r="D2761" s="1" t="s">
        <v>12018</v>
      </c>
      <c r="E2761" s="1" t="s">
        <v>12080</v>
      </c>
      <c r="F2761" s="1" t="s">
        <v>12081</v>
      </c>
      <c r="G2761" s="1" t="s">
        <v>1109</v>
      </c>
    </row>
    <row r="2762" spans="1:7">
      <c r="A2762" s="1">
        <v>2761</v>
      </c>
      <c r="B2762" s="1" t="s">
        <v>12082</v>
      </c>
      <c r="D2762" s="1" t="s">
        <v>12018</v>
      </c>
      <c r="E2762" s="1" t="s">
        <v>12083</v>
      </c>
      <c r="F2762" s="1" t="s">
        <v>12084</v>
      </c>
      <c r="G2762" s="1" t="s">
        <v>1112</v>
      </c>
    </row>
    <row r="2763" spans="1:7">
      <c r="A2763" s="1">
        <v>2762</v>
      </c>
      <c r="B2763" s="1" t="s">
        <v>12085</v>
      </c>
      <c r="D2763" s="1" t="s">
        <v>12018</v>
      </c>
      <c r="E2763" s="1" t="s">
        <v>12086</v>
      </c>
      <c r="F2763" s="1" t="s">
        <v>12087</v>
      </c>
      <c r="G2763" s="1" t="s">
        <v>1112</v>
      </c>
    </row>
    <row r="2764" spans="1:7">
      <c r="A2764" s="1">
        <v>2763</v>
      </c>
      <c r="B2764" s="1" t="s">
        <v>12088</v>
      </c>
      <c r="D2764" s="1" t="s">
        <v>12018</v>
      </c>
      <c r="E2764" s="1" t="s">
        <v>12089</v>
      </c>
      <c r="F2764" s="1" t="s">
        <v>12090</v>
      </c>
      <c r="G2764" s="1" t="s">
        <v>12091</v>
      </c>
    </row>
    <row r="2765" spans="1:7">
      <c r="A2765" s="1">
        <v>2764</v>
      </c>
      <c r="B2765" s="1" t="s">
        <v>12092</v>
      </c>
      <c r="D2765" s="1" t="s">
        <v>12018</v>
      </c>
      <c r="E2765" s="1" t="s">
        <v>12093</v>
      </c>
      <c r="F2765" s="1" t="s">
        <v>12094</v>
      </c>
      <c r="G2765" s="1" t="s">
        <v>1117</v>
      </c>
    </row>
    <row r="2766" spans="1:7">
      <c r="A2766" s="1">
        <v>2765</v>
      </c>
      <c r="B2766" s="1" t="s">
        <v>12095</v>
      </c>
      <c r="D2766" s="1" t="s">
        <v>12018</v>
      </c>
      <c r="E2766" s="1" t="s">
        <v>12096</v>
      </c>
      <c r="F2766" s="1" t="s">
        <v>12097</v>
      </c>
      <c r="G2766" s="1" t="s">
        <v>1120</v>
      </c>
    </row>
    <row r="2767" spans="1:7">
      <c r="A2767" s="1">
        <v>2766</v>
      </c>
      <c r="B2767" s="1" t="s">
        <v>12098</v>
      </c>
      <c r="D2767" s="1" t="s">
        <v>12018</v>
      </c>
      <c r="E2767" s="1" t="s">
        <v>12099</v>
      </c>
      <c r="F2767" s="1" t="s">
        <v>12100</v>
      </c>
      <c r="G2767" s="1" t="s">
        <v>1120</v>
      </c>
    </row>
    <row r="2768" spans="1:7">
      <c r="A2768" s="1">
        <v>2767</v>
      </c>
      <c r="B2768" s="1" t="s">
        <v>12101</v>
      </c>
      <c r="D2768" s="1" t="s">
        <v>12018</v>
      </c>
      <c r="E2768" s="1" t="s">
        <v>12102</v>
      </c>
      <c r="F2768" s="1" t="s">
        <v>12103</v>
      </c>
      <c r="G2768" s="1" t="s">
        <v>1125</v>
      </c>
    </row>
    <row r="2769" spans="1:7">
      <c r="A2769" s="1">
        <v>2768</v>
      </c>
      <c r="B2769" s="1" t="s">
        <v>12104</v>
      </c>
      <c r="D2769" s="1" t="s">
        <v>12018</v>
      </c>
      <c r="E2769" s="1" t="s">
        <v>12105</v>
      </c>
      <c r="F2769" s="1" t="s">
        <v>12106</v>
      </c>
      <c r="G2769" s="1" t="s">
        <v>12107</v>
      </c>
    </row>
    <row r="2770" spans="1:7">
      <c r="A2770" s="1">
        <v>2769</v>
      </c>
      <c r="B2770" s="1" t="s">
        <v>12108</v>
      </c>
      <c r="D2770" s="1" t="s">
        <v>12018</v>
      </c>
      <c r="E2770" s="1" t="s">
        <v>12109</v>
      </c>
      <c r="F2770" s="1" t="s">
        <v>12110</v>
      </c>
      <c r="G2770" s="1" t="s">
        <v>12107</v>
      </c>
    </row>
    <row r="2771" spans="1:7">
      <c r="A2771" s="1">
        <v>2770</v>
      </c>
      <c r="B2771" s="1" t="s">
        <v>12111</v>
      </c>
      <c r="D2771" s="1" t="s">
        <v>12018</v>
      </c>
      <c r="E2771" s="1" t="s">
        <v>12112</v>
      </c>
      <c r="F2771" s="1" t="s">
        <v>12113</v>
      </c>
      <c r="G2771" s="1" t="s">
        <v>1128</v>
      </c>
    </row>
    <row r="2772" spans="1:7">
      <c r="A2772" s="1">
        <v>2771</v>
      </c>
      <c r="B2772" s="1" t="s">
        <v>12114</v>
      </c>
      <c r="D2772" s="1" t="s">
        <v>12018</v>
      </c>
      <c r="E2772" s="1" t="s">
        <v>12115</v>
      </c>
      <c r="F2772" s="1" t="s">
        <v>12116</v>
      </c>
      <c r="G2772" s="1" t="s">
        <v>1128</v>
      </c>
    </row>
    <row r="2773" spans="1:7">
      <c r="A2773" s="1">
        <v>2772</v>
      </c>
      <c r="B2773" s="1" t="s">
        <v>12117</v>
      </c>
      <c r="D2773" s="1" t="s">
        <v>12018</v>
      </c>
      <c r="E2773" s="1" t="s">
        <v>12118</v>
      </c>
      <c r="F2773" s="1" t="s">
        <v>12119</v>
      </c>
      <c r="G2773" s="1" t="s">
        <v>1131</v>
      </c>
    </row>
    <row r="2774" spans="1:7">
      <c r="A2774" s="1">
        <v>2773</v>
      </c>
      <c r="B2774" s="1" t="s">
        <v>12120</v>
      </c>
      <c r="D2774" s="1" t="s">
        <v>12018</v>
      </c>
      <c r="E2774" s="1" t="s">
        <v>12121</v>
      </c>
      <c r="F2774" s="1" t="s">
        <v>12122</v>
      </c>
      <c r="G2774" s="1" t="s">
        <v>1128</v>
      </c>
    </row>
    <row r="2775" spans="1:7">
      <c r="A2775" s="1">
        <v>2774</v>
      </c>
      <c r="B2775" s="1" t="s">
        <v>12123</v>
      </c>
      <c r="D2775" s="1" t="s">
        <v>12018</v>
      </c>
      <c r="E2775" s="1" t="s">
        <v>12124</v>
      </c>
      <c r="F2775" s="1" t="s">
        <v>12125</v>
      </c>
      <c r="G2775" s="1" t="s">
        <v>1136</v>
      </c>
    </row>
    <row r="2776" spans="1:7">
      <c r="A2776" s="1">
        <v>2775</v>
      </c>
      <c r="B2776" s="1" t="s">
        <v>12126</v>
      </c>
      <c r="D2776" s="1" t="s">
        <v>12018</v>
      </c>
      <c r="E2776" s="1" t="s">
        <v>12127</v>
      </c>
      <c r="F2776" s="1" t="s">
        <v>12128</v>
      </c>
      <c r="G2776" s="1" t="s">
        <v>1139</v>
      </c>
    </row>
    <row r="2777" spans="1:7">
      <c r="A2777" s="1">
        <v>2776</v>
      </c>
      <c r="B2777" s="1" t="s">
        <v>12129</v>
      </c>
      <c r="D2777" s="1" t="s">
        <v>12018</v>
      </c>
      <c r="E2777" s="1" t="s">
        <v>12130</v>
      </c>
      <c r="F2777" s="1" t="s">
        <v>12131</v>
      </c>
      <c r="G2777" s="1" t="s">
        <v>12066</v>
      </c>
    </row>
    <row r="2778" spans="1:7">
      <c r="A2778" s="1">
        <v>2777</v>
      </c>
      <c r="B2778" s="1" t="s">
        <v>12132</v>
      </c>
      <c r="D2778" s="1" t="s">
        <v>12018</v>
      </c>
      <c r="E2778" s="1" t="s">
        <v>12133</v>
      </c>
      <c r="F2778" s="1" t="s">
        <v>12134</v>
      </c>
      <c r="G2778" s="1" t="s">
        <v>1142</v>
      </c>
    </row>
    <row r="2779" spans="1:7">
      <c r="A2779" s="1">
        <v>2778</v>
      </c>
      <c r="B2779" s="1" t="s">
        <v>12135</v>
      </c>
      <c r="D2779" s="1" t="s">
        <v>12018</v>
      </c>
      <c r="E2779" s="1" t="s">
        <v>12136</v>
      </c>
      <c r="F2779" s="1" t="s">
        <v>12137</v>
      </c>
      <c r="G2779" s="1" t="s">
        <v>1145</v>
      </c>
    </row>
    <row r="2780" spans="1:7">
      <c r="A2780" s="1">
        <v>2779</v>
      </c>
      <c r="B2780" s="1" t="s">
        <v>12138</v>
      </c>
      <c r="D2780" s="1" t="s">
        <v>12018</v>
      </c>
      <c r="E2780" s="1" t="s">
        <v>12139</v>
      </c>
      <c r="F2780" s="1" t="s">
        <v>1156</v>
      </c>
      <c r="G2780" s="1" t="s">
        <v>1154</v>
      </c>
    </row>
    <row r="2781" spans="1:7">
      <c r="A2781" s="1">
        <v>2780</v>
      </c>
      <c r="B2781" s="1" t="s">
        <v>12140</v>
      </c>
      <c r="D2781" s="1" t="s">
        <v>12018</v>
      </c>
      <c r="E2781" s="1" t="s">
        <v>12141</v>
      </c>
      <c r="F2781" s="1" t="s">
        <v>12142</v>
      </c>
      <c r="G2781" s="1" t="s">
        <v>12143</v>
      </c>
    </row>
    <row r="2782" spans="1:7">
      <c r="A2782" s="1">
        <v>2781</v>
      </c>
      <c r="B2782" s="1" t="s">
        <v>12144</v>
      </c>
      <c r="D2782" s="1" t="s">
        <v>12018</v>
      </c>
      <c r="E2782" s="1" t="s">
        <v>12145</v>
      </c>
      <c r="F2782" s="1" t="s">
        <v>12146</v>
      </c>
      <c r="G2782" s="1" t="s">
        <v>12147</v>
      </c>
    </row>
    <row r="2783" spans="1:7">
      <c r="A2783" s="1">
        <v>2782</v>
      </c>
      <c r="B2783" s="1" t="s">
        <v>12148</v>
      </c>
      <c r="D2783" s="1" t="s">
        <v>12018</v>
      </c>
      <c r="E2783" s="1" t="s">
        <v>12149</v>
      </c>
      <c r="F2783" s="1" t="s">
        <v>12150</v>
      </c>
      <c r="G2783" s="1" t="s">
        <v>12151</v>
      </c>
    </row>
    <row r="2784" spans="1:7">
      <c r="A2784" s="1">
        <v>2783</v>
      </c>
      <c r="B2784" s="1" t="s">
        <v>12152</v>
      </c>
      <c r="D2784" s="1" t="s">
        <v>12153</v>
      </c>
      <c r="E2784" s="1" t="s">
        <v>2570</v>
      </c>
      <c r="F2784" s="1" t="s">
        <v>12154</v>
      </c>
      <c r="G2784" s="1" t="s">
        <v>12155</v>
      </c>
    </row>
    <row r="2785" spans="1:7">
      <c r="A2785" s="1">
        <v>2784</v>
      </c>
      <c r="B2785" s="1" t="s">
        <v>12156</v>
      </c>
      <c r="D2785" s="1" t="s">
        <v>12153</v>
      </c>
      <c r="E2785" s="1" t="s">
        <v>2574</v>
      </c>
      <c r="F2785" s="1" t="s">
        <v>12157</v>
      </c>
      <c r="G2785" s="1" t="s">
        <v>12158</v>
      </c>
    </row>
    <row r="2786" spans="1:7">
      <c r="A2786" s="1">
        <v>2785</v>
      </c>
      <c r="B2786" s="1" t="s">
        <v>12159</v>
      </c>
      <c r="D2786" s="1" t="s">
        <v>12153</v>
      </c>
      <c r="E2786" s="1" t="s">
        <v>2578</v>
      </c>
      <c r="F2786" s="1" t="s">
        <v>12160</v>
      </c>
      <c r="G2786" s="1" t="s">
        <v>12161</v>
      </c>
    </row>
    <row r="2787" spans="1:7">
      <c r="A2787" s="1">
        <v>2786</v>
      </c>
      <c r="B2787" s="1" t="s">
        <v>12162</v>
      </c>
      <c r="D2787" s="1" t="s">
        <v>12153</v>
      </c>
      <c r="E2787" s="1" t="s">
        <v>2582</v>
      </c>
      <c r="F2787" s="1" t="s">
        <v>12163</v>
      </c>
      <c r="G2787" s="1" t="s">
        <v>12164</v>
      </c>
    </row>
    <row r="2788" spans="1:7">
      <c r="A2788" s="1">
        <v>2787</v>
      </c>
      <c r="B2788" s="1" t="s">
        <v>12165</v>
      </c>
      <c r="D2788" s="1" t="s">
        <v>12153</v>
      </c>
      <c r="E2788" s="1" t="s">
        <v>2590</v>
      </c>
      <c r="F2788" s="1" t="s">
        <v>12166</v>
      </c>
      <c r="G2788" s="1" t="s">
        <v>12167</v>
      </c>
    </row>
    <row r="2789" spans="1:7">
      <c r="A2789" s="1">
        <v>2788</v>
      </c>
      <c r="B2789" s="1" t="s">
        <v>12168</v>
      </c>
      <c r="D2789" s="1" t="s">
        <v>12169</v>
      </c>
      <c r="E2789" s="1" t="s">
        <v>3983</v>
      </c>
      <c r="F2789" s="1" t="s">
        <v>12170</v>
      </c>
      <c r="G2789" s="1" t="s">
        <v>12171</v>
      </c>
    </row>
    <row r="2790" spans="1:7">
      <c r="A2790" s="1">
        <v>2789</v>
      </c>
      <c r="B2790" s="1" t="s">
        <v>12172</v>
      </c>
      <c r="D2790" s="1" t="s">
        <v>12169</v>
      </c>
      <c r="E2790" s="1" t="s">
        <v>3328</v>
      </c>
      <c r="F2790" s="1" t="s">
        <v>12173</v>
      </c>
      <c r="G2790" s="1" t="s">
        <v>12174</v>
      </c>
    </row>
    <row r="2791" spans="1:7">
      <c r="A2791" s="1">
        <v>2790</v>
      </c>
      <c r="B2791" s="1" t="s">
        <v>12175</v>
      </c>
      <c r="D2791" s="1" t="s">
        <v>12169</v>
      </c>
      <c r="E2791" s="1" t="s">
        <v>3325</v>
      </c>
      <c r="F2791" s="1" t="s">
        <v>12176</v>
      </c>
      <c r="G2791" s="1" t="s">
        <v>12177</v>
      </c>
    </row>
    <row r="2792" spans="1:7">
      <c r="A2792" s="1">
        <v>2791</v>
      </c>
      <c r="B2792" s="1" t="s">
        <v>12178</v>
      </c>
      <c r="D2792" s="1" t="s">
        <v>12169</v>
      </c>
      <c r="E2792" s="1" t="s">
        <v>3977</v>
      </c>
      <c r="F2792" s="1" t="s">
        <v>12179</v>
      </c>
      <c r="G2792" s="1" t="s">
        <v>12180</v>
      </c>
    </row>
    <row r="2793" spans="1:7">
      <c r="A2793" s="1">
        <v>2792</v>
      </c>
      <c r="B2793" s="1" t="s">
        <v>12181</v>
      </c>
      <c r="D2793" s="1" t="s">
        <v>12169</v>
      </c>
      <c r="E2793" s="1" t="s">
        <v>3980</v>
      </c>
      <c r="F2793" s="1" t="s">
        <v>12182</v>
      </c>
      <c r="G2793" s="1" t="s">
        <v>12183</v>
      </c>
    </row>
    <row r="2794" spans="1:7">
      <c r="A2794" s="1">
        <v>2793</v>
      </c>
      <c r="B2794" s="1" t="s">
        <v>12184</v>
      </c>
      <c r="D2794" s="1" t="s">
        <v>12169</v>
      </c>
      <c r="E2794" s="1" t="s">
        <v>3329</v>
      </c>
      <c r="F2794" s="1" t="s">
        <v>12185</v>
      </c>
      <c r="G2794" s="1" t="s">
        <v>12186</v>
      </c>
    </row>
    <row r="2795" spans="1:7">
      <c r="A2795" s="1">
        <v>2794</v>
      </c>
      <c r="B2795" s="1" t="s">
        <v>12187</v>
      </c>
      <c r="D2795" s="1" t="s">
        <v>12169</v>
      </c>
      <c r="E2795" s="1" t="s">
        <v>3326</v>
      </c>
      <c r="F2795" s="1" t="s">
        <v>12188</v>
      </c>
      <c r="G2795" s="1" t="s">
        <v>12189</v>
      </c>
    </row>
    <row r="2796" spans="1:7">
      <c r="A2796" s="1">
        <v>2795</v>
      </c>
      <c r="B2796" s="1" t="s">
        <v>12190</v>
      </c>
      <c r="D2796" s="1" t="s">
        <v>12169</v>
      </c>
      <c r="E2796" s="1" t="s">
        <v>3327</v>
      </c>
      <c r="F2796" s="1" t="s">
        <v>12191</v>
      </c>
      <c r="G2796" s="1" t="s">
        <v>12192</v>
      </c>
    </row>
    <row r="2797" spans="1:7">
      <c r="A2797" s="1">
        <v>2796</v>
      </c>
      <c r="B2797" s="1" t="s">
        <v>12193</v>
      </c>
      <c r="D2797" s="1" t="s">
        <v>12169</v>
      </c>
      <c r="E2797" s="1" t="s">
        <v>12194</v>
      </c>
      <c r="F2797" s="1" t="s">
        <v>12195</v>
      </c>
      <c r="G2797" s="1" t="s">
        <v>12196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3163"/>
  <sheetViews>
    <sheetView workbookViewId="0">
      <selection activeCell="E43" sqref="E43"/>
    </sheetView>
  </sheetViews>
  <sheetFormatPr defaultColWidth="9" defaultRowHeight="13.5"/>
  <cols>
    <col min="1" max="8" width="9.00833333333333" style="1" customWidth="1"/>
    <col min="9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S1" s="3"/>
    </row>
    <row r="2" spans="1:19">
      <c r="A2" s="1">
        <v>1</v>
      </c>
      <c r="B2" s="1" t="s">
        <v>12197</v>
      </c>
      <c r="D2" s="1" t="s">
        <v>4086</v>
      </c>
      <c r="E2" s="1" t="s">
        <v>3226</v>
      </c>
      <c r="F2" s="1" t="s">
        <v>4102</v>
      </c>
      <c r="G2" s="1" t="s">
        <v>4103</v>
      </c>
      <c r="I2" s="1" t="str">
        <f>IFERROR(IF(OR(MID(G2,FIND(":",G2)-1,1)="""",MID(G2,FIND(":",G2)-1,1)="}",MID(G2,FIND(":",G2)-1,1)=")",MID(G2,FIND(":",G2)-1,1)="]"),"",RIGHT(G2,LEN(G2)-FIND(":",G2)-1)),"")</f>
        <v>运行的进程太多</v>
      </c>
      <c r="J2" s="1" t="str">
        <f>IF(AND(I2="",H2=""),G2,IF(H2="",I2,H2&amp;": "&amp;I2))</f>
        <v>运行的进程太多</v>
      </c>
      <c r="K2" s="1" t="str">
        <f>IFERROR(IF(OR(MID(F2,FIND(":",F2)-1,1)="""",MID(F2,FIND(":",F2)-1,1)="}",MID(F2,FIND(":",F2)-1,1)=")",MID(F2,FIND(":",F2)-1,1)="]"),"",RIGHT(F2,LEN(F2)-FIND(":",F2)-1)),"")</f>
        <v>Too many processes running</v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AIX: 运行的进程太多</v>
      </c>
      <c r="Q2" s="1" t="str">
        <f>IF(P2&lt;&gt;G2,"校验","")</f>
        <v/>
      </c>
      <c r="R2" s="1" t="e">
        <f>INDEX('6.0.35'!I:I,MATCH(F2,'6.0.35'!K:K,0))</f>
        <v>#N/A</v>
      </c>
      <c r="S2" s="1">
        <f>INDEX('6.0.35'!J:J,MATCH(F2,'6.0.35'!F:F,0))</f>
        <v>0</v>
      </c>
    </row>
    <row r="3" spans="1:7">
      <c r="A3" s="1">
        <v>2</v>
      </c>
      <c r="B3" s="1" t="s">
        <v>12198</v>
      </c>
      <c r="D3" s="1" t="s">
        <v>4086</v>
      </c>
      <c r="E3" s="1" t="s">
        <v>3223</v>
      </c>
      <c r="F3" s="1" t="s">
        <v>4099</v>
      </c>
      <c r="G3" s="1" t="s">
        <v>4100</v>
      </c>
    </row>
    <row r="4" spans="1:7">
      <c r="A4" s="1">
        <v>3</v>
      </c>
      <c r="B4" s="1" t="s">
        <v>12199</v>
      </c>
      <c r="D4" s="1" t="s">
        <v>4086</v>
      </c>
      <c r="E4" s="1" t="s">
        <v>3220</v>
      </c>
      <c r="F4" s="1" t="s">
        <v>4105</v>
      </c>
      <c r="G4" s="1" t="s">
        <v>4106</v>
      </c>
    </row>
    <row r="5" spans="1:7">
      <c r="A5" s="1">
        <v>4</v>
      </c>
      <c r="B5" s="1" t="s">
        <v>12200</v>
      </c>
      <c r="D5" s="1" t="s">
        <v>4086</v>
      </c>
      <c r="E5" s="1" t="s">
        <v>3205</v>
      </c>
      <c r="F5" s="1" t="s">
        <v>4096</v>
      </c>
      <c r="G5" s="1" t="s">
        <v>4097</v>
      </c>
    </row>
    <row r="6" spans="1:7">
      <c r="A6" s="1">
        <v>5</v>
      </c>
      <c r="B6" s="1" t="s">
        <v>12201</v>
      </c>
      <c r="D6" s="1" t="s">
        <v>4086</v>
      </c>
      <c r="E6" s="1" t="s">
        <v>3217</v>
      </c>
      <c r="F6" s="1" t="s">
        <v>4093</v>
      </c>
      <c r="G6" s="1" t="s">
        <v>4094</v>
      </c>
    </row>
    <row r="7" spans="1:7">
      <c r="A7" s="1">
        <v>6</v>
      </c>
      <c r="B7" s="1" t="s">
        <v>12202</v>
      </c>
      <c r="D7" s="1" t="s">
        <v>4086</v>
      </c>
      <c r="E7" s="1" t="s">
        <v>3208</v>
      </c>
      <c r="F7" s="1" t="s">
        <v>4108</v>
      </c>
      <c r="G7" s="1" t="s">
        <v>4109</v>
      </c>
    </row>
    <row r="8" spans="1:7">
      <c r="A8" s="1">
        <v>7</v>
      </c>
      <c r="B8" s="1" t="s">
        <v>12203</v>
      </c>
      <c r="D8" s="1" t="s">
        <v>4086</v>
      </c>
      <c r="E8" s="1" t="s">
        <v>3211</v>
      </c>
      <c r="F8" s="1" t="s">
        <v>4111</v>
      </c>
      <c r="G8" s="1" t="s">
        <v>4112</v>
      </c>
    </row>
    <row r="9" spans="1:7">
      <c r="A9" s="1">
        <v>8</v>
      </c>
      <c r="B9" s="1" t="s">
        <v>12204</v>
      </c>
      <c r="D9" s="1" t="s">
        <v>4086</v>
      </c>
      <c r="E9" s="1" t="s">
        <v>3214</v>
      </c>
      <c r="F9" s="1" t="s">
        <v>4090</v>
      </c>
      <c r="G9" s="1" t="s">
        <v>4091</v>
      </c>
    </row>
    <row r="10" spans="1:7">
      <c r="A10" s="1">
        <v>9</v>
      </c>
      <c r="B10" s="1" t="s">
        <v>12205</v>
      </c>
      <c r="D10" s="1" t="s">
        <v>4086</v>
      </c>
      <c r="E10" s="1" t="s">
        <v>3360</v>
      </c>
      <c r="F10" s="1" t="s">
        <v>4087</v>
      </c>
      <c r="G10" s="1" t="s">
        <v>4088</v>
      </c>
    </row>
    <row r="11" spans="1:7">
      <c r="A11" s="1">
        <v>10</v>
      </c>
      <c r="B11" s="1" t="s">
        <v>12206</v>
      </c>
      <c r="D11" s="1" t="s">
        <v>4086</v>
      </c>
      <c r="E11" s="1" t="s">
        <v>4114</v>
      </c>
      <c r="F11" s="1" t="s">
        <v>4115</v>
      </c>
      <c r="G11" s="1" t="s">
        <v>4116</v>
      </c>
    </row>
    <row r="12" spans="1:7">
      <c r="A12" s="1">
        <v>11</v>
      </c>
      <c r="B12" s="1" t="s">
        <v>12207</v>
      </c>
      <c r="D12" s="1" t="s">
        <v>4118</v>
      </c>
      <c r="E12" s="1" t="s">
        <v>4119</v>
      </c>
      <c r="F12" s="1" t="s">
        <v>12208</v>
      </c>
      <c r="G12" s="1" t="s">
        <v>12209</v>
      </c>
    </row>
    <row r="13" spans="1:7">
      <c r="A13" s="1">
        <v>12</v>
      </c>
      <c r="B13" s="1" t="s">
        <v>12210</v>
      </c>
      <c r="D13" s="1" t="s">
        <v>4118</v>
      </c>
      <c r="E13" s="1" t="s">
        <v>4123</v>
      </c>
      <c r="F13" s="1" t="s">
        <v>12211</v>
      </c>
      <c r="G13" s="1" t="s">
        <v>12212</v>
      </c>
    </row>
    <row r="14" spans="1:7">
      <c r="A14" s="1">
        <v>13</v>
      </c>
      <c r="B14" s="1" t="s">
        <v>12213</v>
      </c>
      <c r="D14" s="1" t="s">
        <v>4118</v>
      </c>
      <c r="E14" s="1" t="s">
        <v>213</v>
      </c>
      <c r="F14" s="1" t="s">
        <v>12214</v>
      </c>
      <c r="G14" s="1" t="s">
        <v>12215</v>
      </c>
    </row>
    <row r="15" spans="1:7">
      <c r="A15" s="1">
        <v>14</v>
      </c>
      <c r="B15" s="1" t="s">
        <v>12216</v>
      </c>
      <c r="D15" s="1" t="s">
        <v>4118</v>
      </c>
      <c r="E15" s="1" t="s">
        <v>215</v>
      </c>
      <c r="F15" s="1" t="s">
        <v>12217</v>
      </c>
      <c r="G15" s="1" t="s">
        <v>12218</v>
      </c>
    </row>
    <row r="16" spans="1:7">
      <c r="A16" s="1">
        <v>15</v>
      </c>
      <c r="B16" s="1" t="s">
        <v>12219</v>
      </c>
      <c r="D16" s="1" t="s">
        <v>4118</v>
      </c>
      <c r="E16" s="1" t="s">
        <v>219</v>
      </c>
      <c r="F16" s="1" t="s">
        <v>12220</v>
      </c>
      <c r="G16" s="1" t="s">
        <v>12221</v>
      </c>
    </row>
    <row r="17" spans="1:7">
      <c r="A17" s="1">
        <v>16</v>
      </c>
      <c r="B17" s="1" t="s">
        <v>12222</v>
      </c>
      <c r="D17" s="1" t="s">
        <v>4118</v>
      </c>
      <c r="E17" s="1" t="s">
        <v>221</v>
      </c>
      <c r="F17" s="1" t="s">
        <v>12223</v>
      </c>
      <c r="G17" s="1" t="s">
        <v>12224</v>
      </c>
    </row>
    <row r="18" spans="1:7">
      <c r="A18" s="1">
        <v>17</v>
      </c>
      <c r="B18" s="1" t="s">
        <v>12225</v>
      </c>
      <c r="D18" s="1" t="s">
        <v>4118</v>
      </c>
      <c r="E18" s="1" t="s">
        <v>225</v>
      </c>
      <c r="F18" s="1" t="s">
        <v>12226</v>
      </c>
      <c r="G18" s="1" t="s">
        <v>12227</v>
      </c>
    </row>
    <row r="19" spans="1:7">
      <c r="A19" s="1">
        <v>18</v>
      </c>
      <c r="B19" s="1" t="s">
        <v>12228</v>
      </c>
      <c r="D19" s="1" t="s">
        <v>4118</v>
      </c>
      <c r="E19" s="1" t="s">
        <v>4142</v>
      </c>
      <c r="F19" s="1" t="s">
        <v>12229</v>
      </c>
      <c r="G19" s="1" t="s">
        <v>12230</v>
      </c>
    </row>
    <row r="20" spans="1:7">
      <c r="A20" s="1">
        <v>19</v>
      </c>
      <c r="B20" s="1" t="s">
        <v>12231</v>
      </c>
      <c r="D20" s="1" t="s">
        <v>4118</v>
      </c>
      <c r="E20" s="1" t="s">
        <v>4146</v>
      </c>
      <c r="F20" s="1" t="s">
        <v>12232</v>
      </c>
      <c r="G20" s="1" t="s">
        <v>12233</v>
      </c>
    </row>
    <row r="21" spans="1:7">
      <c r="A21" s="1">
        <v>20</v>
      </c>
      <c r="B21" s="1" t="s">
        <v>12234</v>
      </c>
      <c r="D21" s="1" t="s">
        <v>4118</v>
      </c>
      <c r="E21" s="1" t="s">
        <v>4150</v>
      </c>
      <c r="F21" s="1" t="s">
        <v>12235</v>
      </c>
      <c r="G21" s="1" t="s">
        <v>12236</v>
      </c>
    </row>
    <row r="22" spans="1:7">
      <c r="A22" s="1">
        <v>21</v>
      </c>
      <c r="B22" s="1" t="s">
        <v>12237</v>
      </c>
      <c r="D22" s="1" t="s">
        <v>4118</v>
      </c>
      <c r="E22" s="1" t="s">
        <v>4154</v>
      </c>
      <c r="F22" s="1" t="s">
        <v>12238</v>
      </c>
      <c r="G22" s="1" t="s">
        <v>12239</v>
      </c>
    </row>
    <row r="23" spans="1:7">
      <c r="A23" s="1">
        <v>22</v>
      </c>
      <c r="B23" s="1" t="s">
        <v>12240</v>
      </c>
      <c r="D23" s="1" t="s">
        <v>4118</v>
      </c>
      <c r="E23" s="1" t="s">
        <v>4158</v>
      </c>
      <c r="F23" s="1" t="s">
        <v>12241</v>
      </c>
      <c r="G23" s="1" t="s">
        <v>12242</v>
      </c>
    </row>
    <row r="24" spans="1:7">
      <c r="A24" s="1">
        <v>23</v>
      </c>
      <c r="B24" s="1" t="s">
        <v>12243</v>
      </c>
      <c r="D24" s="1" t="s">
        <v>4118</v>
      </c>
      <c r="E24" s="1" t="s">
        <v>4162</v>
      </c>
      <c r="F24" s="1" t="s">
        <v>12244</v>
      </c>
      <c r="G24" s="1" t="s">
        <v>12245</v>
      </c>
    </row>
    <row r="25" spans="1:7">
      <c r="A25" s="1">
        <v>24</v>
      </c>
      <c r="B25" s="1" t="s">
        <v>12246</v>
      </c>
      <c r="D25" s="1" t="s">
        <v>4118</v>
      </c>
      <c r="E25" s="1" t="s">
        <v>4166</v>
      </c>
      <c r="F25" s="1" t="s">
        <v>12247</v>
      </c>
      <c r="G25" s="1" t="s">
        <v>12248</v>
      </c>
    </row>
    <row r="26" spans="1:7">
      <c r="A26" s="1">
        <v>25</v>
      </c>
      <c r="B26" s="1" t="s">
        <v>12249</v>
      </c>
      <c r="D26" s="1" t="s">
        <v>4118</v>
      </c>
      <c r="E26" s="1" t="s">
        <v>4170</v>
      </c>
      <c r="F26" s="1" t="s">
        <v>12250</v>
      </c>
      <c r="G26" s="1" t="s">
        <v>12251</v>
      </c>
    </row>
    <row r="27" spans="1:7">
      <c r="A27" s="1">
        <v>26</v>
      </c>
      <c r="B27" s="1" t="s">
        <v>12252</v>
      </c>
      <c r="D27" s="1" t="s">
        <v>4118</v>
      </c>
      <c r="E27" s="1" t="s">
        <v>1342</v>
      </c>
      <c r="F27" s="1" t="s">
        <v>12253</v>
      </c>
      <c r="G27" s="1" t="s">
        <v>12254</v>
      </c>
    </row>
    <row r="28" spans="1:7">
      <c r="A28" s="1">
        <v>27</v>
      </c>
      <c r="B28" s="1" t="s">
        <v>12255</v>
      </c>
      <c r="D28" s="1" t="s">
        <v>4118</v>
      </c>
      <c r="E28" s="1" t="s">
        <v>1346</v>
      </c>
      <c r="F28" s="1" t="s">
        <v>12256</v>
      </c>
      <c r="G28" s="1" t="s">
        <v>12257</v>
      </c>
    </row>
    <row r="29" spans="1:7">
      <c r="A29" s="1">
        <v>28</v>
      </c>
      <c r="B29" s="1" t="s">
        <v>12258</v>
      </c>
      <c r="D29" s="1" t="s">
        <v>4118</v>
      </c>
      <c r="E29" s="1" t="s">
        <v>4180</v>
      </c>
      <c r="F29" s="1" t="s">
        <v>12259</v>
      </c>
      <c r="G29" s="1" t="s">
        <v>12260</v>
      </c>
    </row>
    <row r="30" spans="1:7">
      <c r="A30" s="1">
        <v>29</v>
      </c>
      <c r="B30" s="1" t="s">
        <v>12261</v>
      </c>
      <c r="D30" s="1" t="s">
        <v>4118</v>
      </c>
      <c r="E30" s="1" t="s">
        <v>4184</v>
      </c>
      <c r="F30" s="1" t="s">
        <v>12262</v>
      </c>
      <c r="G30" s="1" t="s">
        <v>12263</v>
      </c>
    </row>
    <row r="31" spans="1:7">
      <c r="A31" s="1">
        <v>30</v>
      </c>
      <c r="B31" s="1" t="s">
        <v>12264</v>
      </c>
      <c r="D31" s="1" t="s">
        <v>4118</v>
      </c>
      <c r="E31" s="1" t="s">
        <v>4196</v>
      </c>
      <c r="F31" s="1" t="s">
        <v>12265</v>
      </c>
      <c r="G31" s="1" t="s">
        <v>12266</v>
      </c>
    </row>
    <row r="32" spans="1:7">
      <c r="A32" s="1">
        <v>31</v>
      </c>
      <c r="B32" s="1" t="s">
        <v>12267</v>
      </c>
      <c r="D32" s="1" t="s">
        <v>4118</v>
      </c>
      <c r="E32" s="1" t="s">
        <v>4192</v>
      </c>
      <c r="F32" s="1" t="s">
        <v>12268</v>
      </c>
      <c r="G32" s="1" t="s">
        <v>12269</v>
      </c>
    </row>
    <row r="33" spans="1:7">
      <c r="A33" s="1">
        <v>32</v>
      </c>
      <c r="B33" s="1" t="s">
        <v>12270</v>
      </c>
      <c r="D33" s="1" t="s">
        <v>4118</v>
      </c>
      <c r="E33" s="1" t="s">
        <v>4188</v>
      </c>
      <c r="F33" s="1" t="s">
        <v>12271</v>
      </c>
      <c r="G33" s="1" t="s">
        <v>12272</v>
      </c>
    </row>
    <row r="34" spans="1:7">
      <c r="A34" s="1">
        <v>33</v>
      </c>
      <c r="B34" s="1" t="s">
        <v>12273</v>
      </c>
      <c r="D34" s="1" t="s">
        <v>4200</v>
      </c>
      <c r="E34" s="1" t="s">
        <v>1085</v>
      </c>
      <c r="F34" s="1" t="s">
        <v>12208</v>
      </c>
      <c r="G34" s="1" t="s">
        <v>12209</v>
      </c>
    </row>
    <row r="35" spans="1:7">
      <c r="A35" s="1">
        <v>34</v>
      </c>
      <c r="B35" s="1" t="s">
        <v>12274</v>
      </c>
      <c r="D35" s="1" t="s">
        <v>4200</v>
      </c>
      <c r="E35" s="1" t="s">
        <v>1088</v>
      </c>
      <c r="F35" s="1" t="s">
        <v>12211</v>
      </c>
      <c r="G35" s="1" t="s">
        <v>12212</v>
      </c>
    </row>
    <row r="36" spans="1:7">
      <c r="A36" s="1">
        <v>35</v>
      </c>
      <c r="B36" s="1" t="s">
        <v>12275</v>
      </c>
      <c r="D36" s="1" t="s">
        <v>4200</v>
      </c>
      <c r="E36" s="1" t="s">
        <v>4207</v>
      </c>
      <c r="F36" s="1" t="s">
        <v>12214</v>
      </c>
      <c r="G36" s="1" t="s">
        <v>12215</v>
      </c>
    </row>
    <row r="37" spans="1:7">
      <c r="A37" s="1">
        <v>36</v>
      </c>
      <c r="B37" s="1" t="s">
        <v>12276</v>
      </c>
      <c r="D37" s="1" t="s">
        <v>4200</v>
      </c>
      <c r="E37" s="1" t="s">
        <v>1091</v>
      </c>
      <c r="F37" s="1" t="s">
        <v>12217</v>
      </c>
      <c r="G37" s="1" t="s">
        <v>12218</v>
      </c>
    </row>
    <row r="38" spans="1:7">
      <c r="A38" s="1">
        <v>37</v>
      </c>
      <c r="B38" s="1" t="s">
        <v>12277</v>
      </c>
      <c r="D38" s="1" t="s">
        <v>4200</v>
      </c>
      <c r="E38" s="1" t="s">
        <v>1093</v>
      </c>
      <c r="F38" s="1" t="s">
        <v>12220</v>
      </c>
      <c r="G38" s="1" t="s">
        <v>12221</v>
      </c>
    </row>
    <row r="39" spans="1:7">
      <c r="A39" s="1">
        <v>38</v>
      </c>
      <c r="B39" s="1" t="s">
        <v>12278</v>
      </c>
      <c r="D39" s="1" t="s">
        <v>4200</v>
      </c>
      <c r="E39" s="1" t="s">
        <v>1096</v>
      </c>
      <c r="F39" s="1" t="s">
        <v>12223</v>
      </c>
      <c r="G39" s="1" t="s">
        <v>12224</v>
      </c>
    </row>
    <row r="40" spans="1:7">
      <c r="A40" s="1">
        <v>39</v>
      </c>
      <c r="B40" s="1" t="s">
        <v>12279</v>
      </c>
      <c r="D40" s="1" t="s">
        <v>4200</v>
      </c>
      <c r="E40" s="1" t="s">
        <v>1099</v>
      </c>
      <c r="F40" s="1" t="s">
        <v>12226</v>
      </c>
      <c r="G40" s="1" t="s">
        <v>12227</v>
      </c>
    </row>
    <row r="41" spans="1:7">
      <c r="A41" s="1">
        <v>40</v>
      </c>
      <c r="B41" s="1" t="s">
        <v>12280</v>
      </c>
      <c r="D41" s="1" t="s">
        <v>4200</v>
      </c>
      <c r="E41" s="1" t="s">
        <v>1102</v>
      </c>
      <c r="F41" s="1" t="s">
        <v>12229</v>
      </c>
      <c r="G41" s="1" t="s">
        <v>12230</v>
      </c>
    </row>
    <row r="42" spans="1:7">
      <c r="A42" s="1">
        <v>41</v>
      </c>
      <c r="B42" s="1" t="s">
        <v>12281</v>
      </c>
      <c r="D42" s="1" t="s">
        <v>4200</v>
      </c>
      <c r="E42" s="1" t="s">
        <v>1105</v>
      </c>
      <c r="F42" s="1" t="s">
        <v>12232</v>
      </c>
      <c r="G42" s="1" t="s">
        <v>12233</v>
      </c>
    </row>
    <row r="43" spans="1:7">
      <c r="A43" s="1">
        <v>42</v>
      </c>
      <c r="B43" s="1" t="s">
        <v>12282</v>
      </c>
      <c r="D43" s="1" t="s">
        <v>4200</v>
      </c>
      <c r="E43" s="1" t="s">
        <v>1107</v>
      </c>
      <c r="F43" s="1" t="s">
        <v>12235</v>
      </c>
      <c r="G43" s="1" t="s">
        <v>12236</v>
      </c>
    </row>
    <row r="44" spans="1:7">
      <c r="A44" s="1">
        <v>43</v>
      </c>
      <c r="B44" s="1" t="s">
        <v>12283</v>
      </c>
      <c r="D44" s="1" t="s">
        <v>4200</v>
      </c>
      <c r="E44" s="1" t="s">
        <v>1110</v>
      </c>
      <c r="F44" s="1" t="s">
        <v>12238</v>
      </c>
      <c r="G44" s="1" t="s">
        <v>12239</v>
      </c>
    </row>
    <row r="45" spans="1:7">
      <c r="A45" s="1">
        <v>44</v>
      </c>
      <c r="B45" s="1" t="s">
        <v>12284</v>
      </c>
      <c r="D45" s="1" t="s">
        <v>4200</v>
      </c>
      <c r="E45" s="1" t="s">
        <v>1113</v>
      </c>
      <c r="F45" s="1" t="s">
        <v>12241</v>
      </c>
      <c r="G45" s="1" t="s">
        <v>12242</v>
      </c>
    </row>
    <row r="46" spans="1:7">
      <c r="A46" s="1">
        <v>45</v>
      </c>
      <c r="B46" s="1" t="s">
        <v>12285</v>
      </c>
      <c r="D46" s="1" t="s">
        <v>4200</v>
      </c>
      <c r="E46" s="1" t="s">
        <v>1115</v>
      </c>
      <c r="F46" s="1" t="s">
        <v>12244</v>
      </c>
      <c r="G46" s="1" t="s">
        <v>12245</v>
      </c>
    </row>
    <row r="47" spans="1:7">
      <c r="A47" s="1">
        <v>46</v>
      </c>
      <c r="B47" s="1" t="s">
        <v>12286</v>
      </c>
      <c r="D47" s="1" t="s">
        <v>4200</v>
      </c>
      <c r="E47" s="1" t="s">
        <v>1118</v>
      </c>
      <c r="F47" s="1" t="s">
        <v>12247</v>
      </c>
      <c r="G47" s="1" t="s">
        <v>12248</v>
      </c>
    </row>
    <row r="48" spans="1:7">
      <c r="A48" s="1">
        <v>47</v>
      </c>
      <c r="B48" s="1" t="s">
        <v>12287</v>
      </c>
      <c r="D48" s="1" t="s">
        <v>4200</v>
      </c>
      <c r="E48" s="1" t="s">
        <v>1121</v>
      </c>
      <c r="F48" s="1" t="s">
        <v>12250</v>
      </c>
      <c r="G48" s="1" t="s">
        <v>12251</v>
      </c>
    </row>
    <row r="49" spans="1:7">
      <c r="A49" s="1">
        <v>48</v>
      </c>
      <c r="B49" s="1" t="s">
        <v>12288</v>
      </c>
      <c r="D49" s="1" t="s">
        <v>4200</v>
      </c>
      <c r="E49" s="1" t="s">
        <v>1123</v>
      </c>
      <c r="F49" s="1" t="s">
        <v>12253</v>
      </c>
      <c r="G49" s="1" t="s">
        <v>12254</v>
      </c>
    </row>
    <row r="50" spans="1:7">
      <c r="A50" s="1">
        <v>49</v>
      </c>
      <c r="B50" s="1" t="s">
        <v>12289</v>
      </c>
      <c r="D50" s="1" t="s">
        <v>4200</v>
      </c>
      <c r="E50" s="1" t="s">
        <v>4250</v>
      </c>
      <c r="F50" s="1" t="s">
        <v>12256</v>
      </c>
      <c r="G50" s="1" t="s">
        <v>12257</v>
      </c>
    </row>
    <row r="51" spans="1:7">
      <c r="A51" s="1">
        <v>50</v>
      </c>
      <c r="B51" s="1" t="s">
        <v>12290</v>
      </c>
      <c r="D51" s="1" t="s">
        <v>4200</v>
      </c>
      <c r="E51" s="1" t="s">
        <v>4254</v>
      </c>
      <c r="F51" s="1" t="s">
        <v>12259</v>
      </c>
      <c r="G51" s="1" t="s">
        <v>12260</v>
      </c>
    </row>
    <row r="52" spans="1:7">
      <c r="A52" s="1">
        <v>51</v>
      </c>
      <c r="B52" s="1" t="s">
        <v>12291</v>
      </c>
      <c r="D52" s="1" t="s">
        <v>4200</v>
      </c>
      <c r="E52" s="1" t="s">
        <v>1126</v>
      </c>
      <c r="F52" s="1" t="s">
        <v>12262</v>
      </c>
      <c r="G52" s="1" t="s">
        <v>12263</v>
      </c>
    </row>
    <row r="53" spans="1:7">
      <c r="A53" s="1">
        <v>52</v>
      </c>
      <c r="B53" s="1" t="s">
        <v>12292</v>
      </c>
      <c r="D53" s="1" t="s">
        <v>4200</v>
      </c>
      <c r="E53" s="1" t="s">
        <v>1132</v>
      </c>
      <c r="F53" s="1" t="s">
        <v>12265</v>
      </c>
      <c r="G53" s="1" t="s">
        <v>12266</v>
      </c>
    </row>
    <row r="54" spans="1:7">
      <c r="A54" s="1">
        <v>53</v>
      </c>
      <c r="B54" s="1" t="s">
        <v>12293</v>
      </c>
      <c r="D54" s="1" t="s">
        <v>4200</v>
      </c>
      <c r="E54" s="1" t="s">
        <v>1129</v>
      </c>
      <c r="F54" s="1" t="s">
        <v>12268</v>
      </c>
      <c r="G54" s="1" t="s">
        <v>12269</v>
      </c>
    </row>
    <row r="55" spans="1:7">
      <c r="A55" s="1">
        <v>54</v>
      </c>
      <c r="B55" s="1" t="s">
        <v>12294</v>
      </c>
      <c r="D55" s="1" t="s">
        <v>4200</v>
      </c>
      <c r="E55" s="1" t="s">
        <v>1134</v>
      </c>
      <c r="F55" s="1" t="s">
        <v>12271</v>
      </c>
      <c r="G55" s="1" t="s">
        <v>12272</v>
      </c>
    </row>
    <row r="56" spans="1:7">
      <c r="A56" s="1">
        <v>55</v>
      </c>
      <c r="B56" s="1" t="s">
        <v>12295</v>
      </c>
      <c r="D56" s="1" t="s">
        <v>4270</v>
      </c>
      <c r="E56" s="1" t="s">
        <v>1169</v>
      </c>
      <c r="F56" s="1" t="s">
        <v>12208</v>
      </c>
      <c r="G56" s="1" t="s">
        <v>12209</v>
      </c>
    </row>
    <row r="57" spans="1:7">
      <c r="A57" s="1">
        <v>56</v>
      </c>
      <c r="B57" s="1" t="s">
        <v>12296</v>
      </c>
      <c r="D57" s="1" t="s">
        <v>4270</v>
      </c>
      <c r="E57" s="1" t="s">
        <v>4274</v>
      </c>
      <c r="F57" s="1" t="s">
        <v>12211</v>
      </c>
      <c r="G57" s="1" t="s">
        <v>12212</v>
      </c>
    </row>
    <row r="58" spans="1:7">
      <c r="A58" s="1">
        <v>57</v>
      </c>
      <c r="B58" s="1" t="s">
        <v>12297</v>
      </c>
      <c r="D58" s="1" t="s">
        <v>4270</v>
      </c>
      <c r="E58" s="1" t="s">
        <v>4278</v>
      </c>
      <c r="F58" s="1" t="s">
        <v>12214</v>
      </c>
      <c r="G58" s="1" t="s">
        <v>12215</v>
      </c>
    </row>
    <row r="59" spans="1:7">
      <c r="A59" s="1">
        <v>58</v>
      </c>
      <c r="B59" s="1" t="s">
        <v>12298</v>
      </c>
      <c r="D59" s="1" t="s">
        <v>4270</v>
      </c>
      <c r="E59" s="1" t="s">
        <v>4282</v>
      </c>
      <c r="F59" s="1" t="s">
        <v>12217</v>
      </c>
      <c r="G59" s="1" t="s">
        <v>12218</v>
      </c>
    </row>
    <row r="60" spans="1:7">
      <c r="A60" s="1">
        <v>59</v>
      </c>
      <c r="B60" s="1" t="s">
        <v>12299</v>
      </c>
      <c r="D60" s="1" t="s">
        <v>4270</v>
      </c>
      <c r="E60" s="1" t="s">
        <v>4286</v>
      </c>
      <c r="F60" s="1" t="s">
        <v>12220</v>
      </c>
      <c r="G60" s="1" t="s">
        <v>12221</v>
      </c>
    </row>
    <row r="61" spans="1:7">
      <c r="A61" s="1">
        <v>60</v>
      </c>
      <c r="B61" s="1" t="s">
        <v>12300</v>
      </c>
      <c r="D61" s="1" t="s">
        <v>4270</v>
      </c>
      <c r="E61" s="1" t="s">
        <v>4290</v>
      </c>
      <c r="F61" s="1" t="s">
        <v>12223</v>
      </c>
      <c r="G61" s="1" t="s">
        <v>12224</v>
      </c>
    </row>
    <row r="62" spans="1:7">
      <c r="A62" s="1">
        <v>61</v>
      </c>
      <c r="B62" s="1" t="s">
        <v>12301</v>
      </c>
      <c r="D62" s="1" t="s">
        <v>4270</v>
      </c>
      <c r="E62" s="1" t="s">
        <v>4294</v>
      </c>
      <c r="F62" s="1" t="s">
        <v>12226</v>
      </c>
      <c r="G62" s="1" t="s">
        <v>12227</v>
      </c>
    </row>
    <row r="63" spans="1:7">
      <c r="A63" s="1">
        <v>62</v>
      </c>
      <c r="B63" s="1" t="s">
        <v>12302</v>
      </c>
      <c r="D63" s="1" t="s">
        <v>4270</v>
      </c>
      <c r="E63" s="1" t="s">
        <v>4298</v>
      </c>
      <c r="F63" s="1" t="s">
        <v>12229</v>
      </c>
      <c r="G63" s="1" t="s">
        <v>12230</v>
      </c>
    </row>
    <row r="64" spans="1:7">
      <c r="A64" s="1">
        <v>63</v>
      </c>
      <c r="B64" s="1" t="s">
        <v>12303</v>
      </c>
      <c r="D64" s="1" t="s">
        <v>4270</v>
      </c>
      <c r="E64" s="1" t="s">
        <v>4302</v>
      </c>
      <c r="F64" s="1" t="s">
        <v>12232</v>
      </c>
      <c r="G64" s="1" t="s">
        <v>12233</v>
      </c>
    </row>
    <row r="65" spans="1:7">
      <c r="A65" s="1">
        <v>64</v>
      </c>
      <c r="B65" s="1" t="s">
        <v>12304</v>
      </c>
      <c r="D65" s="1" t="s">
        <v>4270</v>
      </c>
      <c r="E65" s="1" t="s">
        <v>4306</v>
      </c>
      <c r="F65" s="1" t="s">
        <v>12235</v>
      </c>
      <c r="G65" s="1" t="s">
        <v>12236</v>
      </c>
    </row>
    <row r="66" spans="1:7">
      <c r="A66" s="1">
        <v>65</v>
      </c>
      <c r="B66" s="1" t="s">
        <v>12305</v>
      </c>
      <c r="D66" s="1" t="s">
        <v>4270</v>
      </c>
      <c r="E66" s="1" t="s">
        <v>4310</v>
      </c>
      <c r="F66" s="1" t="s">
        <v>12238</v>
      </c>
      <c r="G66" s="1" t="s">
        <v>12239</v>
      </c>
    </row>
    <row r="67" spans="1:7">
      <c r="A67" s="1">
        <v>66</v>
      </c>
      <c r="B67" s="1" t="s">
        <v>12306</v>
      </c>
      <c r="D67" s="1" t="s">
        <v>4270</v>
      </c>
      <c r="E67" s="1" t="s">
        <v>4314</v>
      </c>
      <c r="F67" s="1" t="s">
        <v>12241</v>
      </c>
      <c r="G67" s="1" t="s">
        <v>12242</v>
      </c>
    </row>
    <row r="68" spans="1:7">
      <c r="A68" s="1">
        <v>67</v>
      </c>
      <c r="B68" s="1" t="s">
        <v>12307</v>
      </c>
      <c r="D68" s="1" t="s">
        <v>4270</v>
      </c>
      <c r="E68" s="1" t="s">
        <v>4318</v>
      </c>
      <c r="F68" s="1" t="s">
        <v>12244</v>
      </c>
      <c r="G68" s="1" t="s">
        <v>12245</v>
      </c>
    </row>
    <row r="69" spans="1:7">
      <c r="A69" s="1">
        <v>68</v>
      </c>
      <c r="B69" s="1" t="s">
        <v>12308</v>
      </c>
      <c r="D69" s="1" t="s">
        <v>4270</v>
      </c>
      <c r="E69" s="1" t="s">
        <v>4322</v>
      </c>
      <c r="F69" s="1" t="s">
        <v>12247</v>
      </c>
      <c r="G69" s="1" t="s">
        <v>12248</v>
      </c>
    </row>
    <row r="70" spans="1:7">
      <c r="A70" s="1">
        <v>69</v>
      </c>
      <c r="B70" s="1" t="s">
        <v>12309</v>
      </c>
      <c r="D70" s="1" t="s">
        <v>4270</v>
      </c>
      <c r="E70" s="1" t="s">
        <v>4326</v>
      </c>
      <c r="F70" s="1" t="s">
        <v>12250</v>
      </c>
      <c r="G70" s="1" t="s">
        <v>12251</v>
      </c>
    </row>
    <row r="71" spans="1:7">
      <c r="A71" s="1">
        <v>70</v>
      </c>
      <c r="B71" s="1" t="s">
        <v>12310</v>
      </c>
      <c r="D71" s="1" t="s">
        <v>4270</v>
      </c>
      <c r="E71" s="1" t="s">
        <v>4330</v>
      </c>
      <c r="F71" s="1" t="s">
        <v>12253</v>
      </c>
      <c r="G71" s="1" t="s">
        <v>12254</v>
      </c>
    </row>
    <row r="72" spans="1:7">
      <c r="A72" s="1">
        <v>71</v>
      </c>
      <c r="B72" s="1" t="s">
        <v>12311</v>
      </c>
      <c r="D72" s="1" t="s">
        <v>4270</v>
      </c>
      <c r="E72" s="1" t="s">
        <v>4334</v>
      </c>
      <c r="F72" s="1" t="s">
        <v>12256</v>
      </c>
      <c r="G72" s="1" t="s">
        <v>12257</v>
      </c>
    </row>
    <row r="73" spans="1:7">
      <c r="A73" s="1">
        <v>72</v>
      </c>
      <c r="B73" s="1" t="s">
        <v>12312</v>
      </c>
      <c r="D73" s="1" t="s">
        <v>4270</v>
      </c>
      <c r="E73" s="1" t="s">
        <v>4338</v>
      </c>
      <c r="F73" s="1" t="s">
        <v>12259</v>
      </c>
      <c r="G73" s="1" t="s">
        <v>12260</v>
      </c>
    </row>
    <row r="74" spans="1:7">
      <c r="A74" s="1">
        <v>73</v>
      </c>
      <c r="B74" s="1" t="s">
        <v>12313</v>
      </c>
      <c r="D74" s="1" t="s">
        <v>4270</v>
      </c>
      <c r="E74" s="1" t="s">
        <v>4342</v>
      </c>
      <c r="F74" s="1" t="s">
        <v>12262</v>
      </c>
      <c r="G74" s="1" t="s">
        <v>12263</v>
      </c>
    </row>
    <row r="75" spans="1:7">
      <c r="A75" s="1">
        <v>74</v>
      </c>
      <c r="B75" s="1" t="s">
        <v>12314</v>
      </c>
      <c r="D75" s="1" t="s">
        <v>4270</v>
      </c>
      <c r="E75" s="1" t="s">
        <v>4354</v>
      </c>
      <c r="F75" s="1" t="s">
        <v>12265</v>
      </c>
      <c r="G75" s="1" t="s">
        <v>12266</v>
      </c>
    </row>
    <row r="76" spans="1:7">
      <c r="A76" s="1">
        <v>75</v>
      </c>
      <c r="B76" s="1" t="s">
        <v>12315</v>
      </c>
      <c r="D76" s="1" t="s">
        <v>4270</v>
      </c>
      <c r="E76" s="1" t="s">
        <v>4350</v>
      </c>
      <c r="F76" s="1" t="s">
        <v>12268</v>
      </c>
      <c r="G76" s="1" t="s">
        <v>12269</v>
      </c>
    </row>
    <row r="77" spans="1:7">
      <c r="A77" s="1">
        <v>76</v>
      </c>
      <c r="B77" s="1" t="s">
        <v>12316</v>
      </c>
      <c r="D77" s="1" t="s">
        <v>4270</v>
      </c>
      <c r="E77" s="1" t="s">
        <v>4346</v>
      </c>
      <c r="F77" s="1" t="s">
        <v>12271</v>
      </c>
      <c r="G77" s="1" t="s">
        <v>12272</v>
      </c>
    </row>
    <row r="78" spans="1:7">
      <c r="A78" s="1">
        <v>77</v>
      </c>
      <c r="B78" s="1" t="s">
        <v>12317</v>
      </c>
      <c r="D78" s="1" t="s">
        <v>4358</v>
      </c>
      <c r="E78" s="1" t="s">
        <v>4359</v>
      </c>
      <c r="F78" s="1" t="s">
        <v>12208</v>
      </c>
      <c r="G78" s="1" t="s">
        <v>12209</v>
      </c>
    </row>
    <row r="79" spans="1:7">
      <c r="A79" s="1">
        <v>78</v>
      </c>
      <c r="B79" s="1" t="s">
        <v>12318</v>
      </c>
      <c r="D79" s="1" t="s">
        <v>4358</v>
      </c>
      <c r="E79" s="1" t="s">
        <v>4363</v>
      </c>
      <c r="F79" s="1" t="s">
        <v>12211</v>
      </c>
      <c r="G79" s="1" t="s">
        <v>12212</v>
      </c>
    </row>
    <row r="80" spans="1:7">
      <c r="A80" s="1">
        <v>79</v>
      </c>
      <c r="B80" s="1" t="s">
        <v>12319</v>
      </c>
      <c r="D80" s="1" t="s">
        <v>4358</v>
      </c>
      <c r="E80" s="1" t="s">
        <v>4367</v>
      </c>
      <c r="F80" s="1" t="s">
        <v>12214</v>
      </c>
      <c r="G80" s="1" t="s">
        <v>12215</v>
      </c>
    </row>
    <row r="81" spans="1:7">
      <c r="A81" s="1">
        <v>80</v>
      </c>
      <c r="B81" s="1" t="s">
        <v>12320</v>
      </c>
      <c r="D81" s="1" t="s">
        <v>4358</v>
      </c>
      <c r="E81" s="1" t="s">
        <v>4371</v>
      </c>
      <c r="F81" s="1" t="s">
        <v>12217</v>
      </c>
      <c r="G81" s="1" t="s">
        <v>12218</v>
      </c>
    </row>
    <row r="82" spans="1:7">
      <c r="A82" s="1">
        <v>81</v>
      </c>
      <c r="B82" s="1" t="s">
        <v>12321</v>
      </c>
      <c r="D82" s="1" t="s">
        <v>4358</v>
      </c>
      <c r="E82" s="1" t="s">
        <v>4375</v>
      </c>
      <c r="F82" s="1" t="s">
        <v>12220</v>
      </c>
      <c r="G82" s="1" t="s">
        <v>12221</v>
      </c>
    </row>
    <row r="83" spans="1:7">
      <c r="A83" s="1">
        <v>82</v>
      </c>
      <c r="B83" s="1" t="s">
        <v>12322</v>
      </c>
      <c r="D83" s="1" t="s">
        <v>4358</v>
      </c>
      <c r="E83" s="1" t="s">
        <v>4379</v>
      </c>
      <c r="F83" s="1" t="s">
        <v>12223</v>
      </c>
      <c r="G83" s="1" t="s">
        <v>12224</v>
      </c>
    </row>
    <row r="84" spans="1:7">
      <c r="A84" s="1">
        <v>83</v>
      </c>
      <c r="B84" s="1" t="s">
        <v>12323</v>
      </c>
      <c r="D84" s="1" t="s">
        <v>4358</v>
      </c>
      <c r="E84" s="1" t="s">
        <v>4383</v>
      </c>
      <c r="F84" s="1" t="s">
        <v>12226</v>
      </c>
      <c r="G84" s="1" t="s">
        <v>12227</v>
      </c>
    </row>
    <row r="85" spans="1:7">
      <c r="A85" s="1">
        <v>84</v>
      </c>
      <c r="B85" s="1" t="s">
        <v>12324</v>
      </c>
      <c r="D85" s="1" t="s">
        <v>4358</v>
      </c>
      <c r="E85" s="1" t="s">
        <v>811</v>
      </c>
      <c r="F85" s="1" t="s">
        <v>12229</v>
      </c>
      <c r="G85" s="1" t="s">
        <v>12230</v>
      </c>
    </row>
    <row r="86" spans="1:7">
      <c r="A86" s="1">
        <v>85</v>
      </c>
      <c r="B86" s="1" t="s">
        <v>12325</v>
      </c>
      <c r="D86" s="1" t="s">
        <v>4358</v>
      </c>
      <c r="E86" s="1" t="s">
        <v>815</v>
      </c>
      <c r="F86" s="1" t="s">
        <v>12232</v>
      </c>
      <c r="G86" s="1" t="s">
        <v>12233</v>
      </c>
    </row>
    <row r="87" spans="1:7">
      <c r="A87" s="1">
        <v>86</v>
      </c>
      <c r="B87" s="1" t="s">
        <v>12326</v>
      </c>
      <c r="D87" s="1" t="s">
        <v>4358</v>
      </c>
      <c r="E87" s="1" t="s">
        <v>818</v>
      </c>
      <c r="F87" s="1" t="s">
        <v>12235</v>
      </c>
      <c r="G87" s="1" t="s">
        <v>12236</v>
      </c>
    </row>
    <row r="88" spans="1:7">
      <c r="A88" s="1">
        <v>87</v>
      </c>
      <c r="B88" s="1" t="s">
        <v>12327</v>
      </c>
      <c r="D88" s="1" t="s">
        <v>4358</v>
      </c>
      <c r="E88" s="1" t="s">
        <v>4396</v>
      </c>
      <c r="F88" s="1" t="s">
        <v>12238</v>
      </c>
      <c r="G88" s="1" t="s">
        <v>12239</v>
      </c>
    </row>
    <row r="89" spans="1:7">
      <c r="A89" s="1">
        <v>88</v>
      </c>
      <c r="B89" s="1" t="s">
        <v>12328</v>
      </c>
      <c r="D89" s="1" t="s">
        <v>4358</v>
      </c>
      <c r="E89" s="1" t="s">
        <v>822</v>
      </c>
      <c r="F89" s="1" t="s">
        <v>12241</v>
      </c>
      <c r="G89" s="1" t="s">
        <v>12242</v>
      </c>
    </row>
    <row r="90" spans="1:7">
      <c r="A90" s="1">
        <v>89</v>
      </c>
      <c r="B90" s="1" t="s">
        <v>12329</v>
      </c>
      <c r="D90" s="1" t="s">
        <v>4358</v>
      </c>
      <c r="E90" s="1" t="s">
        <v>826</v>
      </c>
      <c r="F90" s="1" t="s">
        <v>12244</v>
      </c>
      <c r="G90" s="1" t="s">
        <v>12245</v>
      </c>
    </row>
    <row r="91" spans="1:7">
      <c r="A91" s="1">
        <v>90</v>
      </c>
      <c r="B91" s="1" t="s">
        <v>12330</v>
      </c>
      <c r="D91" s="1" t="s">
        <v>4358</v>
      </c>
      <c r="E91" s="1" t="s">
        <v>830</v>
      </c>
      <c r="F91" s="1" t="s">
        <v>12247</v>
      </c>
      <c r="G91" s="1" t="s">
        <v>12248</v>
      </c>
    </row>
    <row r="92" spans="1:7">
      <c r="A92" s="1">
        <v>91</v>
      </c>
      <c r="B92" s="1" t="s">
        <v>12331</v>
      </c>
      <c r="D92" s="1" t="s">
        <v>4358</v>
      </c>
      <c r="E92" s="1" t="s">
        <v>4409</v>
      </c>
      <c r="F92" s="1" t="s">
        <v>12250</v>
      </c>
      <c r="G92" s="1" t="s">
        <v>12251</v>
      </c>
    </row>
    <row r="93" spans="1:7">
      <c r="A93" s="1">
        <v>92</v>
      </c>
      <c r="B93" s="1" t="s">
        <v>12332</v>
      </c>
      <c r="D93" s="1" t="s">
        <v>4358</v>
      </c>
      <c r="E93" s="1" t="s">
        <v>834</v>
      </c>
      <c r="F93" s="1" t="s">
        <v>12253</v>
      </c>
      <c r="G93" s="1" t="s">
        <v>12254</v>
      </c>
    </row>
    <row r="94" spans="1:7">
      <c r="A94" s="1">
        <v>93</v>
      </c>
      <c r="B94" s="1" t="s">
        <v>12333</v>
      </c>
      <c r="D94" s="1" t="s">
        <v>4358</v>
      </c>
      <c r="E94" s="1" t="s">
        <v>837</v>
      </c>
      <c r="F94" s="1" t="s">
        <v>12256</v>
      </c>
      <c r="G94" s="1" t="s">
        <v>12257</v>
      </c>
    </row>
    <row r="95" spans="1:7">
      <c r="A95" s="1">
        <v>94</v>
      </c>
      <c r="B95" s="1" t="s">
        <v>12334</v>
      </c>
      <c r="D95" s="1" t="s">
        <v>4358</v>
      </c>
      <c r="E95" s="1" t="s">
        <v>841</v>
      </c>
      <c r="F95" s="1" t="s">
        <v>12259</v>
      </c>
      <c r="G95" s="1" t="s">
        <v>12260</v>
      </c>
    </row>
    <row r="96" spans="1:7">
      <c r="A96" s="1">
        <v>95</v>
      </c>
      <c r="B96" s="1" t="s">
        <v>12335</v>
      </c>
      <c r="D96" s="1" t="s">
        <v>4358</v>
      </c>
      <c r="E96" s="1" t="s">
        <v>845</v>
      </c>
      <c r="F96" s="1" t="s">
        <v>12262</v>
      </c>
      <c r="G96" s="1" t="s">
        <v>12263</v>
      </c>
    </row>
    <row r="97" spans="1:7">
      <c r="A97" s="1">
        <v>96</v>
      </c>
      <c r="B97" s="1" t="s">
        <v>12336</v>
      </c>
      <c r="D97" s="1" t="s">
        <v>4358</v>
      </c>
      <c r="E97" s="1" t="s">
        <v>853</v>
      </c>
      <c r="F97" s="1" t="s">
        <v>12265</v>
      </c>
      <c r="G97" s="1" t="s">
        <v>12266</v>
      </c>
    </row>
    <row r="98" spans="1:7">
      <c r="A98" s="1">
        <v>97</v>
      </c>
      <c r="B98" s="1" t="s">
        <v>12337</v>
      </c>
      <c r="D98" s="1" t="s">
        <v>4358</v>
      </c>
      <c r="E98" s="1" t="s">
        <v>849</v>
      </c>
      <c r="F98" s="1" t="s">
        <v>12268</v>
      </c>
      <c r="G98" s="1" t="s">
        <v>12269</v>
      </c>
    </row>
    <row r="99" spans="1:7">
      <c r="A99" s="1">
        <v>98</v>
      </c>
      <c r="B99" s="1" t="s">
        <v>12338</v>
      </c>
      <c r="D99" s="1" t="s">
        <v>4358</v>
      </c>
      <c r="E99" s="1" t="s">
        <v>856</v>
      </c>
      <c r="F99" s="1" t="s">
        <v>12271</v>
      </c>
      <c r="G99" s="1" t="s">
        <v>12272</v>
      </c>
    </row>
    <row r="100" spans="1:7">
      <c r="A100" s="1">
        <v>99</v>
      </c>
      <c r="B100" s="1" t="s">
        <v>12339</v>
      </c>
      <c r="D100" s="1" t="s">
        <v>4434</v>
      </c>
      <c r="E100" s="1" t="s">
        <v>4435</v>
      </c>
      <c r="F100" s="1" t="s">
        <v>12208</v>
      </c>
      <c r="G100" s="1" t="s">
        <v>12209</v>
      </c>
    </row>
    <row r="101" spans="1:7">
      <c r="A101" s="1">
        <v>100</v>
      </c>
      <c r="B101" s="1" t="s">
        <v>12340</v>
      </c>
      <c r="D101" s="1" t="s">
        <v>4434</v>
      </c>
      <c r="E101" s="1" t="s">
        <v>4439</v>
      </c>
      <c r="F101" s="1" t="s">
        <v>12211</v>
      </c>
      <c r="G101" s="1" t="s">
        <v>12212</v>
      </c>
    </row>
    <row r="102" spans="1:7">
      <c r="A102" s="1">
        <v>101</v>
      </c>
      <c r="B102" s="1" t="s">
        <v>12341</v>
      </c>
      <c r="D102" s="1" t="s">
        <v>4434</v>
      </c>
      <c r="E102" s="1" t="s">
        <v>4443</v>
      </c>
      <c r="F102" s="1" t="s">
        <v>12214</v>
      </c>
      <c r="G102" s="1" t="s">
        <v>12215</v>
      </c>
    </row>
    <row r="103" spans="1:7">
      <c r="A103" s="1">
        <v>102</v>
      </c>
      <c r="B103" s="1" t="s">
        <v>12342</v>
      </c>
      <c r="D103" s="1" t="s">
        <v>4434</v>
      </c>
      <c r="E103" s="1" t="s">
        <v>4447</v>
      </c>
      <c r="F103" s="1" t="s">
        <v>12217</v>
      </c>
      <c r="G103" s="1" t="s">
        <v>12218</v>
      </c>
    </row>
    <row r="104" spans="1:7">
      <c r="A104" s="1">
        <v>103</v>
      </c>
      <c r="B104" s="1" t="s">
        <v>12343</v>
      </c>
      <c r="D104" s="1" t="s">
        <v>4434</v>
      </c>
      <c r="E104" s="1" t="s">
        <v>4451</v>
      </c>
      <c r="F104" s="1" t="s">
        <v>12220</v>
      </c>
      <c r="G104" s="1" t="s">
        <v>12221</v>
      </c>
    </row>
    <row r="105" spans="1:7">
      <c r="A105" s="1">
        <v>104</v>
      </c>
      <c r="B105" s="1" t="s">
        <v>12344</v>
      </c>
      <c r="D105" s="1" t="s">
        <v>4434</v>
      </c>
      <c r="E105" s="1" t="s">
        <v>4455</v>
      </c>
      <c r="F105" s="1" t="s">
        <v>12223</v>
      </c>
      <c r="G105" s="1" t="s">
        <v>12224</v>
      </c>
    </row>
    <row r="106" spans="1:7">
      <c r="A106" s="1">
        <v>105</v>
      </c>
      <c r="B106" s="1" t="s">
        <v>12345</v>
      </c>
      <c r="D106" s="1" t="s">
        <v>4434</v>
      </c>
      <c r="E106" s="1" t="s">
        <v>4459</v>
      </c>
      <c r="F106" s="1" t="s">
        <v>12226</v>
      </c>
      <c r="G106" s="1" t="s">
        <v>12227</v>
      </c>
    </row>
    <row r="107" spans="1:7">
      <c r="A107" s="1">
        <v>106</v>
      </c>
      <c r="B107" s="1" t="s">
        <v>12346</v>
      </c>
      <c r="D107" s="1" t="s">
        <v>4434</v>
      </c>
      <c r="E107" s="1" t="s">
        <v>4463</v>
      </c>
      <c r="F107" s="1" t="s">
        <v>12229</v>
      </c>
      <c r="G107" s="1" t="s">
        <v>12230</v>
      </c>
    </row>
    <row r="108" spans="1:7">
      <c r="A108" s="1">
        <v>107</v>
      </c>
      <c r="B108" s="1" t="s">
        <v>12347</v>
      </c>
      <c r="D108" s="1" t="s">
        <v>4434</v>
      </c>
      <c r="E108" s="1" t="s">
        <v>4467</v>
      </c>
      <c r="F108" s="1" t="s">
        <v>12232</v>
      </c>
      <c r="G108" s="1" t="s">
        <v>12233</v>
      </c>
    </row>
    <row r="109" spans="1:7">
      <c r="A109" s="1">
        <v>108</v>
      </c>
      <c r="B109" s="1" t="s">
        <v>12348</v>
      </c>
      <c r="D109" s="1" t="s">
        <v>4434</v>
      </c>
      <c r="E109" s="1" t="s">
        <v>4471</v>
      </c>
      <c r="F109" s="1" t="s">
        <v>12235</v>
      </c>
      <c r="G109" s="1" t="s">
        <v>12236</v>
      </c>
    </row>
    <row r="110" spans="1:7">
      <c r="A110" s="1">
        <v>109</v>
      </c>
      <c r="B110" s="1" t="s">
        <v>12349</v>
      </c>
      <c r="D110" s="1" t="s">
        <v>4434</v>
      </c>
      <c r="E110" s="1" t="s">
        <v>4475</v>
      </c>
      <c r="F110" s="1" t="s">
        <v>12238</v>
      </c>
      <c r="G110" s="1" t="s">
        <v>12239</v>
      </c>
    </row>
    <row r="111" spans="1:7">
      <c r="A111" s="1">
        <v>110</v>
      </c>
      <c r="B111" s="1" t="s">
        <v>12350</v>
      </c>
      <c r="D111" s="1" t="s">
        <v>4434</v>
      </c>
      <c r="E111" s="1" t="s">
        <v>4479</v>
      </c>
      <c r="F111" s="1" t="s">
        <v>12241</v>
      </c>
      <c r="G111" s="1" t="s">
        <v>12242</v>
      </c>
    </row>
    <row r="112" spans="1:7">
      <c r="A112" s="1">
        <v>111</v>
      </c>
      <c r="B112" s="1" t="s">
        <v>12351</v>
      </c>
      <c r="D112" s="1" t="s">
        <v>4434</v>
      </c>
      <c r="E112" s="1" t="s">
        <v>4483</v>
      </c>
      <c r="F112" s="1" t="s">
        <v>12244</v>
      </c>
      <c r="G112" s="1" t="s">
        <v>12245</v>
      </c>
    </row>
    <row r="113" spans="1:7">
      <c r="A113" s="1">
        <v>112</v>
      </c>
      <c r="B113" s="1" t="s">
        <v>12352</v>
      </c>
      <c r="D113" s="1" t="s">
        <v>4434</v>
      </c>
      <c r="E113" s="1" t="s">
        <v>4487</v>
      </c>
      <c r="F113" s="1" t="s">
        <v>12247</v>
      </c>
      <c r="G113" s="1" t="s">
        <v>12248</v>
      </c>
    </row>
    <row r="114" spans="1:7">
      <c r="A114" s="1">
        <v>113</v>
      </c>
      <c r="B114" s="1" t="s">
        <v>12353</v>
      </c>
      <c r="D114" s="1" t="s">
        <v>4434</v>
      </c>
      <c r="E114" s="1" t="s">
        <v>4491</v>
      </c>
      <c r="F114" s="1" t="s">
        <v>12250</v>
      </c>
      <c r="G114" s="1" t="s">
        <v>12251</v>
      </c>
    </row>
    <row r="115" spans="1:7">
      <c r="A115" s="1">
        <v>114</v>
      </c>
      <c r="B115" s="1" t="s">
        <v>12354</v>
      </c>
      <c r="D115" s="1" t="s">
        <v>4434</v>
      </c>
      <c r="E115" s="1" t="s">
        <v>4495</v>
      </c>
      <c r="F115" s="1" t="s">
        <v>12253</v>
      </c>
      <c r="G115" s="1" t="s">
        <v>12254</v>
      </c>
    </row>
    <row r="116" spans="1:7">
      <c r="A116" s="1">
        <v>115</v>
      </c>
      <c r="B116" s="1" t="s">
        <v>12355</v>
      </c>
      <c r="D116" s="1" t="s">
        <v>4434</v>
      </c>
      <c r="E116" s="1" t="s">
        <v>4499</v>
      </c>
      <c r="F116" s="1" t="s">
        <v>12256</v>
      </c>
      <c r="G116" s="1" t="s">
        <v>12257</v>
      </c>
    </row>
    <row r="117" spans="1:7">
      <c r="A117" s="1">
        <v>116</v>
      </c>
      <c r="B117" s="1" t="s">
        <v>12356</v>
      </c>
      <c r="D117" s="1" t="s">
        <v>4434</v>
      </c>
      <c r="E117" s="1" t="s">
        <v>4503</v>
      </c>
      <c r="F117" s="1" t="s">
        <v>12259</v>
      </c>
      <c r="G117" s="1" t="s">
        <v>12260</v>
      </c>
    </row>
    <row r="118" spans="1:7">
      <c r="A118" s="1">
        <v>117</v>
      </c>
      <c r="B118" s="1" t="s">
        <v>12357</v>
      </c>
      <c r="D118" s="1" t="s">
        <v>4434</v>
      </c>
      <c r="E118" s="1" t="s">
        <v>4507</v>
      </c>
      <c r="F118" s="1" t="s">
        <v>12262</v>
      </c>
      <c r="G118" s="1" t="s">
        <v>12263</v>
      </c>
    </row>
    <row r="119" spans="1:7">
      <c r="A119" s="1">
        <v>118</v>
      </c>
      <c r="B119" s="1" t="s">
        <v>12358</v>
      </c>
      <c r="D119" s="1" t="s">
        <v>4434</v>
      </c>
      <c r="E119" s="1" t="s">
        <v>4519</v>
      </c>
      <c r="F119" s="1" t="s">
        <v>12265</v>
      </c>
      <c r="G119" s="1" t="s">
        <v>12266</v>
      </c>
    </row>
    <row r="120" spans="1:7">
      <c r="A120" s="1">
        <v>119</v>
      </c>
      <c r="B120" s="1" t="s">
        <v>12359</v>
      </c>
      <c r="D120" s="1" t="s">
        <v>4434</v>
      </c>
      <c r="E120" s="1" t="s">
        <v>4515</v>
      </c>
      <c r="F120" s="1" t="s">
        <v>12268</v>
      </c>
      <c r="G120" s="1" t="s">
        <v>12269</v>
      </c>
    </row>
    <row r="121" spans="1:7">
      <c r="A121" s="1">
        <v>120</v>
      </c>
      <c r="B121" s="1" t="s">
        <v>12360</v>
      </c>
      <c r="D121" s="1" t="s">
        <v>4434</v>
      </c>
      <c r="E121" s="1" t="s">
        <v>4511</v>
      </c>
      <c r="F121" s="1" t="s">
        <v>12271</v>
      </c>
      <c r="G121" s="1" t="s">
        <v>12272</v>
      </c>
    </row>
    <row r="122" spans="1:7">
      <c r="A122" s="1">
        <v>121</v>
      </c>
      <c r="B122" s="1" t="s">
        <v>12361</v>
      </c>
      <c r="D122" s="1" t="s">
        <v>4523</v>
      </c>
      <c r="E122" s="1" t="s">
        <v>4524</v>
      </c>
      <c r="F122" s="1" t="s">
        <v>12208</v>
      </c>
      <c r="G122" s="1" t="s">
        <v>12209</v>
      </c>
    </row>
    <row r="123" spans="1:7">
      <c r="A123" s="1">
        <v>122</v>
      </c>
      <c r="B123" s="1" t="s">
        <v>12362</v>
      </c>
      <c r="D123" s="1" t="s">
        <v>4523</v>
      </c>
      <c r="E123" s="1" t="s">
        <v>4528</v>
      </c>
      <c r="F123" s="1" t="s">
        <v>12211</v>
      </c>
      <c r="G123" s="1" t="s">
        <v>12212</v>
      </c>
    </row>
    <row r="124" spans="1:7">
      <c r="A124" s="1">
        <v>123</v>
      </c>
      <c r="B124" s="1" t="s">
        <v>12363</v>
      </c>
      <c r="D124" s="1" t="s">
        <v>4523</v>
      </c>
      <c r="E124" s="1" t="s">
        <v>4532</v>
      </c>
      <c r="F124" s="1" t="s">
        <v>12214</v>
      </c>
      <c r="G124" s="1" t="s">
        <v>12215</v>
      </c>
    </row>
    <row r="125" spans="1:7">
      <c r="A125" s="1">
        <v>124</v>
      </c>
      <c r="B125" s="1" t="s">
        <v>12364</v>
      </c>
      <c r="D125" s="1" t="s">
        <v>4523</v>
      </c>
      <c r="E125" s="1" t="s">
        <v>4536</v>
      </c>
      <c r="F125" s="1" t="s">
        <v>12217</v>
      </c>
      <c r="G125" s="1" t="s">
        <v>12218</v>
      </c>
    </row>
    <row r="126" spans="1:7">
      <c r="A126" s="1">
        <v>125</v>
      </c>
      <c r="B126" s="1" t="s">
        <v>12365</v>
      </c>
      <c r="D126" s="1" t="s">
        <v>4523</v>
      </c>
      <c r="E126" s="1" t="s">
        <v>4540</v>
      </c>
      <c r="F126" s="1" t="s">
        <v>12220</v>
      </c>
      <c r="G126" s="1" t="s">
        <v>12221</v>
      </c>
    </row>
    <row r="127" spans="1:7">
      <c r="A127" s="1">
        <v>126</v>
      </c>
      <c r="B127" s="1" t="s">
        <v>12366</v>
      </c>
      <c r="D127" s="1" t="s">
        <v>4523</v>
      </c>
      <c r="E127" s="1" t="s">
        <v>4544</v>
      </c>
      <c r="F127" s="1" t="s">
        <v>12223</v>
      </c>
      <c r="G127" s="1" t="s">
        <v>12224</v>
      </c>
    </row>
    <row r="128" spans="1:7">
      <c r="A128" s="1">
        <v>127</v>
      </c>
      <c r="B128" s="1" t="s">
        <v>12367</v>
      </c>
      <c r="D128" s="1" t="s">
        <v>4523</v>
      </c>
      <c r="E128" s="1" t="s">
        <v>4548</v>
      </c>
      <c r="F128" s="1" t="s">
        <v>12226</v>
      </c>
      <c r="G128" s="1" t="s">
        <v>12227</v>
      </c>
    </row>
    <row r="129" spans="1:7">
      <c r="A129" s="1">
        <v>128</v>
      </c>
      <c r="B129" s="1" t="s">
        <v>12368</v>
      </c>
      <c r="D129" s="1" t="s">
        <v>4523</v>
      </c>
      <c r="E129" s="1" t="s">
        <v>4552</v>
      </c>
      <c r="F129" s="1" t="s">
        <v>12229</v>
      </c>
      <c r="G129" s="1" t="s">
        <v>12230</v>
      </c>
    </row>
    <row r="130" spans="1:7">
      <c r="A130" s="1">
        <v>129</v>
      </c>
      <c r="B130" s="1" t="s">
        <v>12369</v>
      </c>
      <c r="D130" s="1" t="s">
        <v>4523</v>
      </c>
      <c r="E130" s="1" t="s">
        <v>4556</v>
      </c>
      <c r="F130" s="1" t="s">
        <v>12232</v>
      </c>
      <c r="G130" s="1" t="s">
        <v>12233</v>
      </c>
    </row>
    <row r="131" spans="1:7">
      <c r="A131" s="1">
        <v>130</v>
      </c>
      <c r="B131" s="1" t="s">
        <v>12370</v>
      </c>
      <c r="D131" s="1" t="s">
        <v>4523</v>
      </c>
      <c r="E131" s="1" t="s">
        <v>4560</v>
      </c>
      <c r="F131" s="1" t="s">
        <v>12235</v>
      </c>
      <c r="G131" s="1" t="s">
        <v>12236</v>
      </c>
    </row>
    <row r="132" spans="1:7">
      <c r="A132" s="1">
        <v>131</v>
      </c>
      <c r="B132" s="1" t="s">
        <v>12371</v>
      </c>
      <c r="D132" s="1" t="s">
        <v>4523</v>
      </c>
      <c r="E132" s="1" t="s">
        <v>4564</v>
      </c>
      <c r="F132" s="1" t="s">
        <v>12238</v>
      </c>
      <c r="G132" s="1" t="s">
        <v>12239</v>
      </c>
    </row>
    <row r="133" spans="1:7">
      <c r="A133" s="1">
        <v>132</v>
      </c>
      <c r="B133" s="1" t="s">
        <v>12372</v>
      </c>
      <c r="D133" s="1" t="s">
        <v>4523</v>
      </c>
      <c r="E133" s="1" t="s">
        <v>4568</v>
      </c>
      <c r="F133" s="1" t="s">
        <v>12241</v>
      </c>
      <c r="G133" s="1" t="s">
        <v>12242</v>
      </c>
    </row>
    <row r="134" spans="1:7">
      <c r="A134" s="1">
        <v>133</v>
      </c>
      <c r="B134" s="1" t="s">
        <v>12373</v>
      </c>
      <c r="D134" s="1" t="s">
        <v>4523</v>
      </c>
      <c r="E134" s="1" t="s">
        <v>4572</v>
      </c>
      <c r="F134" s="1" t="s">
        <v>12244</v>
      </c>
      <c r="G134" s="1" t="s">
        <v>12245</v>
      </c>
    </row>
    <row r="135" spans="1:7">
      <c r="A135" s="1">
        <v>134</v>
      </c>
      <c r="B135" s="1" t="s">
        <v>12374</v>
      </c>
      <c r="D135" s="1" t="s">
        <v>4523</v>
      </c>
      <c r="E135" s="1" t="s">
        <v>4576</v>
      </c>
      <c r="F135" s="1" t="s">
        <v>12247</v>
      </c>
      <c r="G135" s="1" t="s">
        <v>12248</v>
      </c>
    </row>
    <row r="136" spans="1:7">
      <c r="A136" s="1">
        <v>135</v>
      </c>
      <c r="B136" s="1" t="s">
        <v>12375</v>
      </c>
      <c r="D136" s="1" t="s">
        <v>4523</v>
      </c>
      <c r="E136" s="1" t="s">
        <v>4580</v>
      </c>
      <c r="F136" s="1" t="s">
        <v>12250</v>
      </c>
      <c r="G136" s="1" t="s">
        <v>12251</v>
      </c>
    </row>
    <row r="137" spans="1:7">
      <c r="A137" s="1">
        <v>136</v>
      </c>
      <c r="B137" s="1" t="s">
        <v>12376</v>
      </c>
      <c r="D137" s="1" t="s">
        <v>4523</v>
      </c>
      <c r="E137" s="1" t="s">
        <v>4584</v>
      </c>
      <c r="F137" s="1" t="s">
        <v>12253</v>
      </c>
      <c r="G137" s="1" t="s">
        <v>12254</v>
      </c>
    </row>
    <row r="138" spans="1:7">
      <c r="A138" s="1">
        <v>137</v>
      </c>
      <c r="B138" s="1" t="s">
        <v>12377</v>
      </c>
      <c r="D138" s="1" t="s">
        <v>4523</v>
      </c>
      <c r="E138" s="1" t="s">
        <v>4588</v>
      </c>
      <c r="F138" s="1" t="s">
        <v>12256</v>
      </c>
      <c r="G138" s="1" t="s">
        <v>12257</v>
      </c>
    </row>
    <row r="139" spans="1:7">
      <c r="A139" s="1">
        <v>138</v>
      </c>
      <c r="B139" s="1" t="s">
        <v>12378</v>
      </c>
      <c r="D139" s="1" t="s">
        <v>4523</v>
      </c>
      <c r="E139" s="1" t="s">
        <v>4592</v>
      </c>
      <c r="F139" s="1" t="s">
        <v>12259</v>
      </c>
      <c r="G139" s="1" t="s">
        <v>12260</v>
      </c>
    </row>
    <row r="140" spans="1:7">
      <c r="A140" s="1">
        <v>139</v>
      </c>
      <c r="B140" s="1" t="s">
        <v>12379</v>
      </c>
      <c r="D140" s="1" t="s">
        <v>4523</v>
      </c>
      <c r="E140" s="1" t="s">
        <v>4596</v>
      </c>
      <c r="F140" s="1" t="s">
        <v>12262</v>
      </c>
      <c r="G140" s="1" t="s">
        <v>12263</v>
      </c>
    </row>
    <row r="141" spans="1:7">
      <c r="A141" s="1">
        <v>140</v>
      </c>
      <c r="B141" s="1" t="s">
        <v>12380</v>
      </c>
      <c r="D141" s="1" t="s">
        <v>4523</v>
      </c>
      <c r="E141" s="1" t="s">
        <v>4608</v>
      </c>
      <c r="F141" s="1" t="s">
        <v>12265</v>
      </c>
      <c r="G141" s="1" t="s">
        <v>12266</v>
      </c>
    </row>
    <row r="142" spans="1:7">
      <c r="A142" s="1">
        <v>141</v>
      </c>
      <c r="B142" s="1" t="s">
        <v>12381</v>
      </c>
      <c r="D142" s="1" t="s">
        <v>4523</v>
      </c>
      <c r="E142" s="1" t="s">
        <v>4604</v>
      </c>
      <c r="F142" s="1" t="s">
        <v>12268</v>
      </c>
      <c r="G142" s="1" t="s">
        <v>12269</v>
      </c>
    </row>
    <row r="143" spans="1:7">
      <c r="A143" s="1">
        <v>142</v>
      </c>
      <c r="B143" s="1" t="s">
        <v>12382</v>
      </c>
      <c r="D143" s="1" t="s">
        <v>4523</v>
      </c>
      <c r="E143" s="1" t="s">
        <v>4600</v>
      </c>
      <c r="F143" s="1" t="s">
        <v>12271</v>
      </c>
      <c r="G143" s="1" t="s">
        <v>12272</v>
      </c>
    </row>
    <row r="144" spans="1:7">
      <c r="A144" s="1">
        <v>143</v>
      </c>
      <c r="B144" s="1" t="s">
        <v>12383</v>
      </c>
      <c r="D144" s="1" t="s">
        <v>4612</v>
      </c>
      <c r="E144" s="1" t="s">
        <v>3714</v>
      </c>
      <c r="F144" s="1" t="s">
        <v>12384</v>
      </c>
      <c r="G144" s="1" t="s">
        <v>12385</v>
      </c>
    </row>
    <row r="145" spans="1:7">
      <c r="A145" s="1">
        <v>144</v>
      </c>
      <c r="B145" s="1" t="s">
        <v>12386</v>
      </c>
      <c r="D145" s="1" t="s">
        <v>4612</v>
      </c>
      <c r="E145" s="1" t="s">
        <v>3715</v>
      </c>
      <c r="F145" s="1" t="s">
        <v>12387</v>
      </c>
      <c r="G145" s="1" t="s">
        <v>12388</v>
      </c>
    </row>
    <row r="146" spans="1:7">
      <c r="A146" s="1">
        <v>145</v>
      </c>
      <c r="B146" s="1" t="s">
        <v>12389</v>
      </c>
      <c r="D146" s="1" t="s">
        <v>4612</v>
      </c>
      <c r="E146" s="1" t="s">
        <v>3716</v>
      </c>
      <c r="F146" s="1" t="s">
        <v>12390</v>
      </c>
      <c r="G146" s="1" t="s">
        <v>12391</v>
      </c>
    </row>
    <row r="147" spans="1:7">
      <c r="A147" s="1">
        <v>146</v>
      </c>
      <c r="B147" s="1" t="s">
        <v>12392</v>
      </c>
      <c r="D147" s="1" t="s">
        <v>4612</v>
      </c>
      <c r="E147" s="1" t="s">
        <v>3717</v>
      </c>
      <c r="F147" s="1" t="s">
        <v>12393</v>
      </c>
      <c r="G147" s="1" t="s">
        <v>12394</v>
      </c>
    </row>
    <row r="148" spans="1:7">
      <c r="A148" s="1">
        <v>147</v>
      </c>
      <c r="B148" s="1" t="s">
        <v>12395</v>
      </c>
      <c r="D148" s="1" t="s">
        <v>4612</v>
      </c>
      <c r="E148" s="1" t="s">
        <v>3718</v>
      </c>
      <c r="F148" s="1" t="s">
        <v>12396</v>
      </c>
      <c r="G148" s="1" t="s">
        <v>12397</v>
      </c>
    </row>
    <row r="149" spans="1:7">
      <c r="A149" s="1">
        <v>148</v>
      </c>
      <c r="B149" s="1" t="s">
        <v>12398</v>
      </c>
      <c r="D149" s="1" t="s">
        <v>4612</v>
      </c>
      <c r="E149" s="1" t="s">
        <v>3719</v>
      </c>
      <c r="F149" s="1" t="s">
        <v>12399</v>
      </c>
      <c r="G149" s="1" t="s">
        <v>12400</v>
      </c>
    </row>
    <row r="150" spans="1:7">
      <c r="A150" s="1">
        <v>149</v>
      </c>
      <c r="B150" s="1" t="s">
        <v>12401</v>
      </c>
      <c r="D150" s="1" t="s">
        <v>4612</v>
      </c>
      <c r="E150" s="1" t="s">
        <v>4631</v>
      </c>
      <c r="F150" s="1" t="s">
        <v>12402</v>
      </c>
      <c r="G150" s="1" t="s">
        <v>12403</v>
      </c>
    </row>
    <row r="151" spans="1:7">
      <c r="A151" s="1">
        <v>150</v>
      </c>
      <c r="B151" s="1" t="s">
        <v>12404</v>
      </c>
      <c r="D151" s="1" t="s">
        <v>4612</v>
      </c>
      <c r="E151" s="1" t="s">
        <v>3720</v>
      </c>
      <c r="F151" s="1" t="s">
        <v>12405</v>
      </c>
      <c r="G151" s="1" t="s">
        <v>12406</v>
      </c>
    </row>
    <row r="152" spans="1:7">
      <c r="A152" s="1">
        <v>151</v>
      </c>
      <c r="B152" s="1" t="s">
        <v>12407</v>
      </c>
      <c r="D152" s="1" t="s">
        <v>4612</v>
      </c>
      <c r="E152" s="1" t="s">
        <v>3721</v>
      </c>
      <c r="F152" s="1" t="s">
        <v>12408</v>
      </c>
      <c r="G152" s="1" t="s">
        <v>12409</v>
      </c>
    </row>
    <row r="153" spans="1:7">
      <c r="A153" s="1">
        <v>152</v>
      </c>
      <c r="B153" s="1" t="s">
        <v>12410</v>
      </c>
      <c r="D153" s="1" t="s">
        <v>4612</v>
      </c>
      <c r="E153" s="1" t="s">
        <v>4641</v>
      </c>
      <c r="F153" s="1" t="s">
        <v>12411</v>
      </c>
      <c r="G153" s="1" t="s">
        <v>12412</v>
      </c>
    </row>
    <row r="154" spans="1:7">
      <c r="A154" s="1">
        <v>153</v>
      </c>
      <c r="B154" s="1" t="s">
        <v>12413</v>
      </c>
      <c r="D154" s="1" t="s">
        <v>4612</v>
      </c>
      <c r="E154" s="1" t="s">
        <v>4645</v>
      </c>
      <c r="F154" s="1" t="s">
        <v>12414</v>
      </c>
      <c r="G154" s="1" t="s">
        <v>12415</v>
      </c>
    </row>
    <row r="155" spans="1:7">
      <c r="A155" s="1">
        <v>154</v>
      </c>
      <c r="B155" s="1" t="s">
        <v>12416</v>
      </c>
      <c r="D155" s="1" t="s">
        <v>4612</v>
      </c>
      <c r="E155" s="1" t="s">
        <v>4649</v>
      </c>
      <c r="F155" s="1" t="s">
        <v>12417</v>
      </c>
      <c r="G155" s="1" t="s">
        <v>12418</v>
      </c>
    </row>
    <row r="156" spans="1:7">
      <c r="A156" s="1">
        <v>155</v>
      </c>
      <c r="B156" s="1" t="s">
        <v>12419</v>
      </c>
      <c r="D156" s="1" t="s">
        <v>4612</v>
      </c>
      <c r="E156" s="1" t="s">
        <v>4653</v>
      </c>
      <c r="F156" s="1" t="s">
        <v>12420</v>
      </c>
      <c r="G156" s="1" t="s">
        <v>12421</v>
      </c>
    </row>
    <row r="157" spans="1:7">
      <c r="A157" s="1">
        <v>156</v>
      </c>
      <c r="B157" s="1" t="s">
        <v>12422</v>
      </c>
      <c r="D157" s="1" t="s">
        <v>4612</v>
      </c>
      <c r="E157" s="1" t="s">
        <v>4657</v>
      </c>
      <c r="F157" s="1" t="s">
        <v>12423</v>
      </c>
      <c r="G157" s="1" t="s">
        <v>12424</v>
      </c>
    </row>
    <row r="158" spans="1:7">
      <c r="A158" s="1">
        <v>157</v>
      </c>
      <c r="B158" s="1" t="s">
        <v>12425</v>
      </c>
      <c r="D158" s="1" t="s">
        <v>4612</v>
      </c>
      <c r="E158" s="1" t="s">
        <v>4661</v>
      </c>
      <c r="F158" s="1" t="s">
        <v>12426</v>
      </c>
      <c r="G158" s="1" t="s">
        <v>12427</v>
      </c>
    </row>
    <row r="159" spans="1:7">
      <c r="A159" s="1">
        <v>158</v>
      </c>
      <c r="B159" s="1" t="s">
        <v>12428</v>
      </c>
      <c r="D159" s="1" t="s">
        <v>4612</v>
      </c>
      <c r="E159" s="1" t="s">
        <v>4665</v>
      </c>
      <c r="F159" s="1" t="s">
        <v>12429</v>
      </c>
      <c r="G159" s="1" t="s">
        <v>12430</v>
      </c>
    </row>
    <row r="160" spans="1:7">
      <c r="A160" s="1">
        <v>159</v>
      </c>
      <c r="B160" s="1" t="s">
        <v>12431</v>
      </c>
      <c r="D160" s="1" t="s">
        <v>4612</v>
      </c>
      <c r="E160" s="1" t="s">
        <v>4669</v>
      </c>
      <c r="F160" s="1" t="s">
        <v>12432</v>
      </c>
      <c r="G160" s="1" t="s">
        <v>12433</v>
      </c>
    </row>
    <row r="161" spans="1:7">
      <c r="A161" s="1">
        <v>160</v>
      </c>
      <c r="B161" s="1" t="s">
        <v>12434</v>
      </c>
      <c r="D161" s="1" t="s">
        <v>4612</v>
      </c>
      <c r="E161" s="1" t="s">
        <v>4673</v>
      </c>
      <c r="F161" s="1" t="s">
        <v>12435</v>
      </c>
      <c r="G161" s="1" t="s">
        <v>12436</v>
      </c>
    </row>
    <row r="162" spans="1:7">
      <c r="A162" s="1">
        <v>161</v>
      </c>
      <c r="B162" s="1" t="s">
        <v>12437</v>
      </c>
      <c r="D162" s="1" t="s">
        <v>4612</v>
      </c>
      <c r="E162" s="1" t="s">
        <v>4677</v>
      </c>
      <c r="F162" s="1" t="s">
        <v>12438</v>
      </c>
      <c r="G162" s="1" t="s">
        <v>12439</v>
      </c>
    </row>
    <row r="163" spans="1:7">
      <c r="A163" s="1">
        <v>162</v>
      </c>
      <c r="B163" s="1" t="s">
        <v>12440</v>
      </c>
      <c r="D163" s="1" t="s">
        <v>4612</v>
      </c>
      <c r="E163" s="1" t="s">
        <v>3626</v>
      </c>
      <c r="F163" s="1" t="s">
        <v>12441</v>
      </c>
      <c r="G163" s="1" t="s">
        <v>12442</v>
      </c>
    </row>
    <row r="164" spans="1:7">
      <c r="A164" s="1">
        <v>163</v>
      </c>
      <c r="B164" s="1" t="s">
        <v>12443</v>
      </c>
      <c r="D164" s="1" t="s">
        <v>4612</v>
      </c>
      <c r="E164" s="1" t="s">
        <v>4684</v>
      </c>
      <c r="F164" s="1" t="s">
        <v>12444</v>
      </c>
      <c r="G164" s="1" t="s">
        <v>12445</v>
      </c>
    </row>
    <row r="165" spans="1:7">
      <c r="A165" s="1">
        <v>164</v>
      </c>
      <c r="B165" s="1" t="s">
        <v>12446</v>
      </c>
      <c r="D165" s="1" t="s">
        <v>4612</v>
      </c>
      <c r="E165" s="1" t="s">
        <v>3482</v>
      </c>
      <c r="F165" s="1" t="s">
        <v>12447</v>
      </c>
      <c r="G165" s="1" t="s">
        <v>12448</v>
      </c>
    </row>
    <row r="166" spans="1:7">
      <c r="A166" s="1">
        <v>165</v>
      </c>
      <c r="B166" s="1" t="s">
        <v>12449</v>
      </c>
      <c r="D166" s="1" t="s">
        <v>4691</v>
      </c>
      <c r="E166" s="1" t="s">
        <v>4692</v>
      </c>
      <c r="F166" s="1" t="s">
        <v>12450</v>
      </c>
      <c r="G166" s="1" t="s">
        <v>12451</v>
      </c>
    </row>
    <row r="167" spans="1:7">
      <c r="A167" s="1">
        <v>166</v>
      </c>
      <c r="B167" s="1" t="s">
        <v>12452</v>
      </c>
      <c r="D167" s="1" t="s">
        <v>4691</v>
      </c>
      <c r="E167" s="1" t="s">
        <v>4696</v>
      </c>
      <c r="F167" s="1" t="s">
        <v>12453</v>
      </c>
      <c r="G167" s="1" t="s">
        <v>12454</v>
      </c>
    </row>
    <row r="168" spans="1:7">
      <c r="A168" s="1">
        <v>167</v>
      </c>
      <c r="B168" s="1" t="s">
        <v>12455</v>
      </c>
      <c r="D168" s="1" t="s">
        <v>4691</v>
      </c>
      <c r="E168" s="1" t="s">
        <v>4700</v>
      </c>
      <c r="F168" s="1" t="s">
        <v>12456</v>
      </c>
      <c r="G168" s="1" t="s">
        <v>12457</v>
      </c>
    </row>
    <row r="169" spans="1:7">
      <c r="A169" s="1">
        <v>168</v>
      </c>
      <c r="B169" s="1" t="s">
        <v>12458</v>
      </c>
      <c r="D169" s="1" t="s">
        <v>4691</v>
      </c>
      <c r="E169" s="1" t="s">
        <v>4704</v>
      </c>
      <c r="F169" s="1" t="s">
        <v>12459</v>
      </c>
      <c r="G169" s="1" t="s">
        <v>12460</v>
      </c>
    </row>
    <row r="170" spans="1:7">
      <c r="A170" s="1">
        <v>169</v>
      </c>
      <c r="B170" s="1" t="s">
        <v>12461</v>
      </c>
      <c r="D170" s="1" t="s">
        <v>4691</v>
      </c>
      <c r="E170" s="1" t="s">
        <v>4708</v>
      </c>
      <c r="F170" s="1" t="s">
        <v>12462</v>
      </c>
      <c r="G170" s="1" t="s">
        <v>12463</v>
      </c>
    </row>
    <row r="171" spans="1:7">
      <c r="A171" s="1">
        <v>170</v>
      </c>
      <c r="B171" s="1" t="s">
        <v>12464</v>
      </c>
      <c r="D171" s="1" t="s">
        <v>4691</v>
      </c>
      <c r="E171" s="1" t="s">
        <v>4712</v>
      </c>
      <c r="F171" s="1" t="s">
        <v>12465</v>
      </c>
      <c r="G171" s="1" t="s">
        <v>12466</v>
      </c>
    </row>
    <row r="172" spans="1:7">
      <c r="A172" s="1">
        <v>171</v>
      </c>
      <c r="B172" s="1" t="s">
        <v>12467</v>
      </c>
      <c r="D172" s="1" t="s">
        <v>4691</v>
      </c>
      <c r="E172" s="1" t="s">
        <v>4716</v>
      </c>
      <c r="F172" s="1" t="s">
        <v>12468</v>
      </c>
      <c r="G172" s="1" t="s">
        <v>12469</v>
      </c>
    </row>
    <row r="173" spans="1:7">
      <c r="A173" s="1">
        <v>172</v>
      </c>
      <c r="B173" s="1" t="s">
        <v>12470</v>
      </c>
      <c r="D173" s="1" t="s">
        <v>4691</v>
      </c>
      <c r="E173" s="1" t="s">
        <v>4720</v>
      </c>
      <c r="F173" s="1" t="s">
        <v>12471</v>
      </c>
      <c r="G173" s="1" t="s">
        <v>12472</v>
      </c>
    </row>
    <row r="174" spans="1:7">
      <c r="A174" s="1">
        <v>173</v>
      </c>
      <c r="B174" s="1" t="s">
        <v>12473</v>
      </c>
      <c r="D174" s="1" t="s">
        <v>4691</v>
      </c>
      <c r="E174" s="1" t="s">
        <v>4724</v>
      </c>
      <c r="F174" s="1" t="s">
        <v>12474</v>
      </c>
      <c r="G174" s="1" t="s">
        <v>12475</v>
      </c>
    </row>
    <row r="175" spans="1:7">
      <c r="A175" s="1">
        <v>174</v>
      </c>
      <c r="B175" s="1" t="s">
        <v>12476</v>
      </c>
      <c r="D175" s="1" t="s">
        <v>4691</v>
      </c>
      <c r="E175" s="1" t="s">
        <v>4728</v>
      </c>
      <c r="F175" s="1" t="s">
        <v>12477</v>
      </c>
      <c r="G175" s="1" t="s">
        <v>12478</v>
      </c>
    </row>
    <row r="176" spans="1:7">
      <c r="A176" s="1">
        <v>175</v>
      </c>
      <c r="B176" s="1" t="s">
        <v>12479</v>
      </c>
      <c r="D176" s="1" t="s">
        <v>4691</v>
      </c>
      <c r="E176" s="1" t="s">
        <v>4732</v>
      </c>
      <c r="F176" s="1" t="s">
        <v>12480</v>
      </c>
      <c r="G176" s="1" t="s">
        <v>12481</v>
      </c>
    </row>
    <row r="177" spans="1:7">
      <c r="A177" s="1">
        <v>176</v>
      </c>
      <c r="B177" s="1" t="s">
        <v>12482</v>
      </c>
      <c r="D177" s="1" t="s">
        <v>4691</v>
      </c>
      <c r="E177" s="1" t="s">
        <v>4736</v>
      </c>
      <c r="F177" s="1" t="s">
        <v>12483</v>
      </c>
      <c r="G177" s="1" t="s">
        <v>12484</v>
      </c>
    </row>
    <row r="178" spans="1:7">
      <c r="A178" s="1">
        <v>177</v>
      </c>
      <c r="B178" s="1" t="s">
        <v>12485</v>
      </c>
      <c r="D178" s="1" t="s">
        <v>4691</v>
      </c>
      <c r="E178" s="1" t="s">
        <v>4740</v>
      </c>
      <c r="F178" s="1" t="s">
        <v>12486</v>
      </c>
      <c r="G178" s="1" t="s">
        <v>12487</v>
      </c>
    </row>
    <row r="179" spans="1:7">
      <c r="A179" s="1">
        <v>178</v>
      </c>
      <c r="B179" s="1" t="s">
        <v>12488</v>
      </c>
      <c r="D179" s="1" t="s">
        <v>4691</v>
      </c>
      <c r="E179" s="1" t="s">
        <v>4744</v>
      </c>
      <c r="F179" s="1" t="s">
        <v>12489</v>
      </c>
      <c r="G179" s="1" t="s">
        <v>12490</v>
      </c>
    </row>
    <row r="180" spans="1:7">
      <c r="A180" s="1">
        <v>179</v>
      </c>
      <c r="B180" s="1" t="s">
        <v>12491</v>
      </c>
      <c r="D180" s="1" t="s">
        <v>4691</v>
      </c>
      <c r="E180" s="1" t="s">
        <v>4748</v>
      </c>
      <c r="F180" s="1" t="s">
        <v>12492</v>
      </c>
      <c r="G180" s="1" t="s">
        <v>12493</v>
      </c>
    </row>
    <row r="181" spans="1:7">
      <c r="A181" s="1">
        <v>180</v>
      </c>
      <c r="B181" s="1" t="s">
        <v>12494</v>
      </c>
      <c r="D181" s="1" t="s">
        <v>4691</v>
      </c>
      <c r="E181" s="1" t="s">
        <v>4752</v>
      </c>
      <c r="F181" s="1" t="s">
        <v>12495</v>
      </c>
      <c r="G181" s="1" t="s">
        <v>12496</v>
      </c>
    </row>
    <row r="182" spans="1:7">
      <c r="A182" s="1">
        <v>181</v>
      </c>
      <c r="B182" s="1" t="s">
        <v>12497</v>
      </c>
      <c r="D182" s="1" t="s">
        <v>4691</v>
      </c>
      <c r="E182" s="1" t="s">
        <v>4756</v>
      </c>
      <c r="F182" s="1" t="s">
        <v>12498</v>
      </c>
      <c r="G182" s="1" t="s">
        <v>12499</v>
      </c>
    </row>
    <row r="183" spans="1:7">
      <c r="A183" s="1">
        <v>182</v>
      </c>
      <c r="B183" s="1" t="s">
        <v>12500</v>
      </c>
      <c r="D183" s="1" t="s">
        <v>4691</v>
      </c>
      <c r="E183" s="1" t="s">
        <v>4760</v>
      </c>
      <c r="F183" s="1" t="s">
        <v>12501</v>
      </c>
      <c r="G183" s="1" t="s">
        <v>12502</v>
      </c>
    </row>
    <row r="184" spans="1:7">
      <c r="A184" s="1">
        <v>183</v>
      </c>
      <c r="B184" s="1" t="s">
        <v>12503</v>
      </c>
      <c r="D184" s="1" t="s">
        <v>4691</v>
      </c>
      <c r="E184" s="1" t="s">
        <v>4764</v>
      </c>
      <c r="F184" s="1" t="s">
        <v>12504</v>
      </c>
      <c r="G184" s="1" t="s">
        <v>12505</v>
      </c>
    </row>
    <row r="185" spans="1:7">
      <c r="A185" s="1">
        <v>184</v>
      </c>
      <c r="B185" s="1" t="s">
        <v>12506</v>
      </c>
      <c r="D185" s="1" t="s">
        <v>4691</v>
      </c>
      <c r="E185" s="1" t="s">
        <v>4776</v>
      </c>
      <c r="F185" s="1" t="s">
        <v>12507</v>
      </c>
      <c r="G185" s="1" t="s">
        <v>12508</v>
      </c>
    </row>
    <row r="186" spans="1:7">
      <c r="A186" s="1">
        <v>185</v>
      </c>
      <c r="B186" s="1" t="s">
        <v>12509</v>
      </c>
      <c r="D186" s="1" t="s">
        <v>4691</v>
      </c>
      <c r="E186" s="1" t="s">
        <v>4772</v>
      </c>
      <c r="F186" s="1" t="s">
        <v>12510</v>
      </c>
      <c r="G186" s="1" t="s">
        <v>12511</v>
      </c>
    </row>
    <row r="187" spans="1:7">
      <c r="A187" s="1">
        <v>186</v>
      </c>
      <c r="B187" s="1" t="s">
        <v>12512</v>
      </c>
      <c r="D187" s="1" t="s">
        <v>4691</v>
      </c>
      <c r="E187" s="1" t="s">
        <v>4768</v>
      </c>
      <c r="F187" s="1" t="s">
        <v>12513</v>
      </c>
      <c r="G187" s="1" t="s">
        <v>12514</v>
      </c>
    </row>
    <row r="188" spans="1:7">
      <c r="A188" s="1">
        <v>187</v>
      </c>
      <c r="B188" s="1" t="s">
        <v>12515</v>
      </c>
      <c r="D188" s="1" t="s">
        <v>4780</v>
      </c>
      <c r="E188" s="1" t="s">
        <v>4781</v>
      </c>
      <c r="F188" s="1" t="s">
        <v>12450</v>
      </c>
      <c r="G188" s="1" t="s">
        <v>12451</v>
      </c>
    </row>
    <row r="189" spans="1:7">
      <c r="A189" s="1">
        <v>188</v>
      </c>
      <c r="B189" s="1" t="s">
        <v>12516</v>
      </c>
      <c r="D189" s="1" t="s">
        <v>4780</v>
      </c>
      <c r="E189" s="1" t="s">
        <v>4785</v>
      </c>
      <c r="F189" s="1" t="s">
        <v>12453</v>
      </c>
      <c r="G189" s="1" t="s">
        <v>12454</v>
      </c>
    </row>
    <row r="190" spans="1:7">
      <c r="A190" s="1">
        <v>189</v>
      </c>
      <c r="B190" s="1" t="s">
        <v>12517</v>
      </c>
      <c r="D190" s="1" t="s">
        <v>4780</v>
      </c>
      <c r="E190" s="1" t="s">
        <v>4789</v>
      </c>
      <c r="F190" s="1" t="s">
        <v>12456</v>
      </c>
      <c r="G190" s="1" t="s">
        <v>12457</v>
      </c>
    </row>
    <row r="191" spans="1:7">
      <c r="A191" s="1">
        <v>190</v>
      </c>
      <c r="B191" s="1" t="s">
        <v>12518</v>
      </c>
      <c r="D191" s="1" t="s">
        <v>4780</v>
      </c>
      <c r="E191" s="1" t="s">
        <v>4793</v>
      </c>
      <c r="F191" s="1" t="s">
        <v>12459</v>
      </c>
      <c r="G191" s="1" t="s">
        <v>12460</v>
      </c>
    </row>
    <row r="192" spans="1:7">
      <c r="A192" s="1">
        <v>191</v>
      </c>
      <c r="B192" s="1" t="s">
        <v>12519</v>
      </c>
      <c r="D192" s="1" t="s">
        <v>4780</v>
      </c>
      <c r="E192" s="1" t="s">
        <v>4797</v>
      </c>
      <c r="F192" s="1" t="s">
        <v>12462</v>
      </c>
      <c r="G192" s="1" t="s">
        <v>12463</v>
      </c>
    </row>
    <row r="193" spans="1:7">
      <c r="A193" s="1">
        <v>192</v>
      </c>
      <c r="B193" s="1" t="s">
        <v>12520</v>
      </c>
      <c r="D193" s="1" t="s">
        <v>4780</v>
      </c>
      <c r="E193" s="1" t="s">
        <v>4801</v>
      </c>
      <c r="F193" s="1" t="s">
        <v>12465</v>
      </c>
      <c r="G193" s="1" t="s">
        <v>12466</v>
      </c>
    </row>
    <row r="194" spans="1:7">
      <c r="A194" s="1">
        <v>193</v>
      </c>
      <c r="B194" s="1" t="s">
        <v>12521</v>
      </c>
      <c r="D194" s="1" t="s">
        <v>4780</v>
      </c>
      <c r="E194" s="1" t="s">
        <v>4805</v>
      </c>
      <c r="F194" s="1" t="s">
        <v>12468</v>
      </c>
      <c r="G194" s="1" t="s">
        <v>12469</v>
      </c>
    </row>
    <row r="195" spans="1:7">
      <c r="A195" s="1">
        <v>194</v>
      </c>
      <c r="B195" s="1" t="s">
        <v>12522</v>
      </c>
      <c r="D195" s="1" t="s">
        <v>4780</v>
      </c>
      <c r="E195" s="1" t="s">
        <v>4809</v>
      </c>
      <c r="F195" s="1" t="s">
        <v>12471</v>
      </c>
      <c r="G195" s="1" t="s">
        <v>12472</v>
      </c>
    </row>
    <row r="196" spans="1:7">
      <c r="A196" s="1">
        <v>195</v>
      </c>
      <c r="B196" s="1" t="s">
        <v>12523</v>
      </c>
      <c r="D196" s="1" t="s">
        <v>4780</v>
      </c>
      <c r="E196" s="1" t="s">
        <v>4813</v>
      </c>
      <c r="F196" s="1" t="s">
        <v>12474</v>
      </c>
      <c r="G196" s="1" t="s">
        <v>12475</v>
      </c>
    </row>
    <row r="197" spans="1:7">
      <c r="A197" s="1">
        <v>196</v>
      </c>
      <c r="B197" s="1" t="s">
        <v>12524</v>
      </c>
      <c r="D197" s="1" t="s">
        <v>4780</v>
      </c>
      <c r="E197" s="1" t="s">
        <v>4817</v>
      </c>
      <c r="F197" s="1" t="s">
        <v>12477</v>
      </c>
      <c r="G197" s="1" t="s">
        <v>12478</v>
      </c>
    </row>
    <row r="198" spans="1:7">
      <c r="A198" s="1">
        <v>197</v>
      </c>
      <c r="B198" s="1" t="s">
        <v>12525</v>
      </c>
      <c r="D198" s="1" t="s">
        <v>4780</v>
      </c>
      <c r="E198" s="1" t="s">
        <v>4821</v>
      </c>
      <c r="F198" s="1" t="s">
        <v>12480</v>
      </c>
      <c r="G198" s="1" t="s">
        <v>12481</v>
      </c>
    </row>
    <row r="199" spans="1:7">
      <c r="A199" s="1">
        <v>198</v>
      </c>
      <c r="B199" s="1" t="s">
        <v>12526</v>
      </c>
      <c r="D199" s="1" t="s">
        <v>4780</v>
      </c>
      <c r="E199" s="1" t="s">
        <v>4825</v>
      </c>
      <c r="F199" s="1" t="s">
        <v>12483</v>
      </c>
      <c r="G199" s="1" t="s">
        <v>12484</v>
      </c>
    </row>
    <row r="200" spans="1:7">
      <c r="A200" s="1">
        <v>199</v>
      </c>
      <c r="B200" s="1" t="s">
        <v>12527</v>
      </c>
      <c r="D200" s="1" t="s">
        <v>4780</v>
      </c>
      <c r="E200" s="1" t="s">
        <v>4829</v>
      </c>
      <c r="F200" s="1" t="s">
        <v>12486</v>
      </c>
      <c r="G200" s="1" t="s">
        <v>12487</v>
      </c>
    </row>
    <row r="201" spans="1:7">
      <c r="A201" s="1">
        <v>200</v>
      </c>
      <c r="B201" s="1" t="s">
        <v>12528</v>
      </c>
      <c r="D201" s="1" t="s">
        <v>4780</v>
      </c>
      <c r="E201" s="1" t="s">
        <v>4833</v>
      </c>
      <c r="F201" s="1" t="s">
        <v>12489</v>
      </c>
      <c r="G201" s="1" t="s">
        <v>12490</v>
      </c>
    </row>
    <row r="202" spans="1:7">
      <c r="A202" s="1">
        <v>201</v>
      </c>
      <c r="B202" s="1" t="s">
        <v>12529</v>
      </c>
      <c r="D202" s="1" t="s">
        <v>4780</v>
      </c>
      <c r="E202" s="1" t="s">
        <v>4837</v>
      </c>
      <c r="F202" s="1" t="s">
        <v>12492</v>
      </c>
      <c r="G202" s="1" t="s">
        <v>12493</v>
      </c>
    </row>
    <row r="203" spans="1:7">
      <c r="A203" s="1">
        <v>202</v>
      </c>
      <c r="B203" s="1" t="s">
        <v>12530</v>
      </c>
      <c r="D203" s="1" t="s">
        <v>4780</v>
      </c>
      <c r="E203" s="1" t="s">
        <v>4841</v>
      </c>
      <c r="F203" s="1" t="s">
        <v>12495</v>
      </c>
      <c r="G203" s="1" t="s">
        <v>12496</v>
      </c>
    </row>
    <row r="204" spans="1:7">
      <c r="A204" s="1">
        <v>203</v>
      </c>
      <c r="B204" s="1" t="s">
        <v>12531</v>
      </c>
      <c r="D204" s="1" t="s">
        <v>4780</v>
      </c>
      <c r="E204" s="1" t="s">
        <v>4845</v>
      </c>
      <c r="F204" s="1" t="s">
        <v>12498</v>
      </c>
      <c r="G204" s="1" t="s">
        <v>12499</v>
      </c>
    </row>
    <row r="205" spans="1:7">
      <c r="A205" s="1">
        <v>204</v>
      </c>
      <c r="B205" s="1" t="s">
        <v>12532</v>
      </c>
      <c r="D205" s="1" t="s">
        <v>4780</v>
      </c>
      <c r="E205" s="1" t="s">
        <v>4849</v>
      </c>
      <c r="F205" s="1" t="s">
        <v>12501</v>
      </c>
      <c r="G205" s="1" t="s">
        <v>12502</v>
      </c>
    </row>
    <row r="206" spans="1:7">
      <c r="A206" s="1">
        <v>205</v>
      </c>
      <c r="B206" s="1" t="s">
        <v>12533</v>
      </c>
      <c r="D206" s="1" t="s">
        <v>4780</v>
      </c>
      <c r="E206" s="1" t="s">
        <v>4853</v>
      </c>
      <c r="F206" s="1" t="s">
        <v>12504</v>
      </c>
      <c r="G206" s="1" t="s">
        <v>12505</v>
      </c>
    </row>
    <row r="207" spans="1:7">
      <c r="A207" s="1">
        <v>206</v>
      </c>
      <c r="B207" s="1" t="s">
        <v>12534</v>
      </c>
      <c r="D207" s="1" t="s">
        <v>4780</v>
      </c>
      <c r="E207" s="1" t="s">
        <v>4865</v>
      </c>
      <c r="F207" s="1" t="s">
        <v>12507</v>
      </c>
      <c r="G207" s="1" t="s">
        <v>12508</v>
      </c>
    </row>
    <row r="208" spans="1:7">
      <c r="A208" s="1">
        <v>207</v>
      </c>
      <c r="B208" s="1" t="s">
        <v>12535</v>
      </c>
      <c r="D208" s="1" t="s">
        <v>4780</v>
      </c>
      <c r="E208" s="1" t="s">
        <v>4861</v>
      </c>
      <c r="F208" s="1" t="s">
        <v>12510</v>
      </c>
      <c r="G208" s="1" t="s">
        <v>12511</v>
      </c>
    </row>
    <row r="209" spans="1:7">
      <c r="A209" s="1">
        <v>208</v>
      </c>
      <c r="B209" s="1" t="s">
        <v>12536</v>
      </c>
      <c r="D209" s="1" t="s">
        <v>4780</v>
      </c>
      <c r="E209" s="1" t="s">
        <v>4857</v>
      </c>
      <c r="F209" s="1" t="s">
        <v>12513</v>
      </c>
      <c r="G209" s="1" t="s">
        <v>12514</v>
      </c>
    </row>
    <row r="210" spans="1:7">
      <c r="A210" s="1">
        <v>209</v>
      </c>
      <c r="B210" s="1" t="s">
        <v>12537</v>
      </c>
      <c r="D210" s="1" t="s">
        <v>4869</v>
      </c>
      <c r="E210" s="1" t="s">
        <v>4870</v>
      </c>
      <c r="F210" s="1" t="s">
        <v>12450</v>
      </c>
      <c r="G210" s="1" t="s">
        <v>12451</v>
      </c>
    </row>
    <row r="211" spans="1:7">
      <c r="A211" s="1">
        <v>210</v>
      </c>
      <c r="B211" s="1" t="s">
        <v>12538</v>
      </c>
      <c r="D211" s="1" t="s">
        <v>4869</v>
      </c>
      <c r="E211" s="1" t="s">
        <v>4874</v>
      </c>
      <c r="F211" s="1" t="s">
        <v>12453</v>
      </c>
      <c r="G211" s="1" t="s">
        <v>12454</v>
      </c>
    </row>
    <row r="212" spans="1:7">
      <c r="A212" s="1">
        <v>211</v>
      </c>
      <c r="B212" s="1" t="s">
        <v>12539</v>
      </c>
      <c r="D212" s="1" t="s">
        <v>4869</v>
      </c>
      <c r="E212" s="1" t="s">
        <v>4878</v>
      </c>
      <c r="F212" s="1" t="s">
        <v>12456</v>
      </c>
      <c r="G212" s="1" t="s">
        <v>12457</v>
      </c>
    </row>
    <row r="213" spans="1:7">
      <c r="A213" s="1">
        <v>212</v>
      </c>
      <c r="B213" s="1" t="s">
        <v>12540</v>
      </c>
      <c r="D213" s="1" t="s">
        <v>4869</v>
      </c>
      <c r="E213" s="1" t="s">
        <v>4882</v>
      </c>
      <c r="F213" s="1" t="s">
        <v>12459</v>
      </c>
      <c r="G213" s="1" t="s">
        <v>12460</v>
      </c>
    </row>
    <row r="214" spans="1:7">
      <c r="A214" s="1">
        <v>213</v>
      </c>
      <c r="B214" s="1" t="s">
        <v>12541</v>
      </c>
      <c r="D214" s="1" t="s">
        <v>4869</v>
      </c>
      <c r="E214" s="1" t="s">
        <v>4886</v>
      </c>
      <c r="F214" s="1" t="s">
        <v>12462</v>
      </c>
      <c r="G214" s="1" t="s">
        <v>12463</v>
      </c>
    </row>
    <row r="215" spans="1:7">
      <c r="A215" s="1">
        <v>214</v>
      </c>
      <c r="B215" s="1" t="s">
        <v>12542</v>
      </c>
      <c r="D215" s="1" t="s">
        <v>4869</v>
      </c>
      <c r="E215" s="1" t="s">
        <v>4890</v>
      </c>
      <c r="F215" s="1" t="s">
        <v>12465</v>
      </c>
      <c r="G215" s="1" t="s">
        <v>12466</v>
      </c>
    </row>
    <row r="216" spans="1:7">
      <c r="A216" s="1">
        <v>215</v>
      </c>
      <c r="B216" s="1" t="s">
        <v>12543</v>
      </c>
      <c r="D216" s="1" t="s">
        <v>4869</v>
      </c>
      <c r="E216" s="1" t="s">
        <v>4894</v>
      </c>
      <c r="F216" s="1" t="s">
        <v>12468</v>
      </c>
      <c r="G216" s="1" t="s">
        <v>12469</v>
      </c>
    </row>
    <row r="217" spans="1:7">
      <c r="A217" s="1">
        <v>216</v>
      </c>
      <c r="B217" s="1" t="s">
        <v>12544</v>
      </c>
      <c r="D217" s="1" t="s">
        <v>4869</v>
      </c>
      <c r="E217" s="1" t="s">
        <v>4898</v>
      </c>
      <c r="F217" s="1" t="s">
        <v>12471</v>
      </c>
      <c r="G217" s="1" t="s">
        <v>12472</v>
      </c>
    </row>
    <row r="218" spans="1:7">
      <c r="A218" s="1">
        <v>217</v>
      </c>
      <c r="B218" s="1" t="s">
        <v>12545</v>
      </c>
      <c r="D218" s="1" t="s">
        <v>4869</v>
      </c>
      <c r="E218" s="1" t="s">
        <v>4902</v>
      </c>
      <c r="F218" s="1" t="s">
        <v>12474</v>
      </c>
      <c r="G218" s="1" t="s">
        <v>12475</v>
      </c>
    </row>
    <row r="219" spans="1:7">
      <c r="A219" s="1">
        <v>218</v>
      </c>
      <c r="B219" s="1" t="s">
        <v>12546</v>
      </c>
      <c r="D219" s="1" t="s">
        <v>4869</v>
      </c>
      <c r="E219" s="1" t="s">
        <v>4906</v>
      </c>
      <c r="F219" s="1" t="s">
        <v>12477</v>
      </c>
      <c r="G219" s="1" t="s">
        <v>12478</v>
      </c>
    </row>
    <row r="220" spans="1:7">
      <c r="A220" s="1">
        <v>219</v>
      </c>
      <c r="B220" s="1" t="s">
        <v>12547</v>
      </c>
      <c r="D220" s="1" t="s">
        <v>4869</v>
      </c>
      <c r="E220" s="1" t="s">
        <v>4910</v>
      </c>
      <c r="F220" s="1" t="s">
        <v>12480</v>
      </c>
      <c r="G220" s="1" t="s">
        <v>12481</v>
      </c>
    </row>
    <row r="221" spans="1:7">
      <c r="A221" s="1">
        <v>220</v>
      </c>
      <c r="B221" s="1" t="s">
        <v>12548</v>
      </c>
      <c r="D221" s="1" t="s">
        <v>4869</v>
      </c>
      <c r="E221" s="1" t="s">
        <v>4914</v>
      </c>
      <c r="F221" s="1" t="s">
        <v>12483</v>
      </c>
      <c r="G221" s="1" t="s">
        <v>12484</v>
      </c>
    </row>
    <row r="222" spans="1:7">
      <c r="A222" s="1">
        <v>221</v>
      </c>
      <c r="B222" s="1" t="s">
        <v>12549</v>
      </c>
      <c r="D222" s="1" t="s">
        <v>4869</v>
      </c>
      <c r="E222" s="1" t="s">
        <v>4918</v>
      </c>
      <c r="F222" s="1" t="s">
        <v>12486</v>
      </c>
      <c r="G222" s="1" t="s">
        <v>12487</v>
      </c>
    </row>
    <row r="223" spans="1:7">
      <c r="A223" s="1">
        <v>222</v>
      </c>
      <c r="B223" s="1" t="s">
        <v>12550</v>
      </c>
      <c r="D223" s="1" t="s">
        <v>4869</v>
      </c>
      <c r="E223" s="1" t="s">
        <v>4922</v>
      </c>
      <c r="F223" s="1" t="s">
        <v>12489</v>
      </c>
      <c r="G223" s="1" t="s">
        <v>12490</v>
      </c>
    </row>
    <row r="224" spans="1:7">
      <c r="A224" s="1">
        <v>223</v>
      </c>
      <c r="B224" s="1" t="s">
        <v>12551</v>
      </c>
      <c r="D224" s="1" t="s">
        <v>4869</v>
      </c>
      <c r="E224" s="1" t="s">
        <v>4926</v>
      </c>
      <c r="F224" s="1" t="s">
        <v>12492</v>
      </c>
      <c r="G224" s="1" t="s">
        <v>12493</v>
      </c>
    </row>
    <row r="225" spans="1:7">
      <c r="A225" s="1">
        <v>224</v>
      </c>
      <c r="B225" s="1" t="s">
        <v>12552</v>
      </c>
      <c r="D225" s="1" t="s">
        <v>4869</v>
      </c>
      <c r="E225" s="1" t="s">
        <v>4930</v>
      </c>
      <c r="F225" s="1" t="s">
        <v>12495</v>
      </c>
      <c r="G225" s="1" t="s">
        <v>12496</v>
      </c>
    </row>
    <row r="226" spans="1:7">
      <c r="A226" s="1">
        <v>225</v>
      </c>
      <c r="B226" s="1" t="s">
        <v>12553</v>
      </c>
      <c r="D226" s="1" t="s">
        <v>4869</v>
      </c>
      <c r="E226" s="1" t="s">
        <v>4934</v>
      </c>
      <c r="F226" s="1" t="s">
        <v>12498</v>
      </c>
      <c r="G226" s="1" t="s">
        <v>12499</v>
      </c>
    </row>
    <row r="227" spans="1:7">
      <c r="A227" s="1">
        <v>226</v>
      </c>
      <c r="B227" s="1" t="s">
        <v>12554</v>
      </c>
      <c r="D227" s="1" t="s">
        <v>4869</v>
      </c>
      <c r="E227" s="1" t="s">
        <v>4938</v>
      </c>
      <c r="F227" s="1" t="s">
        <v>12501</v>
      </c>
      <c r="G227" s="1" t="s">
        <v>12502</v>
      </c>
    </row>
    <row r="228" spans="1:7">
      <c r="A228" s="1">
        <v>227</v>
      </c>
      <c r="B228" s="1" t="s">
        <v>12555</v>
      </c>
      <c r="D228" s="1" t="s">
        <v>4869</v>
      </c>
      <c r="E228" s="1" t="s">
        <v>4942</v>
      </c>
      <c r="F228" s="1" t="s">
        <v>12504</v>
      </c>
      <c r="G228" s="1" t="s">
        <v>12505</v>
      </c>
    </row>
    <row r="229" spans="1:7">
      <c r="A229" s="1">
        <v>228</v>
      </c>
      <c r="B229" s="1" t="s">
        <v>12556</v>
      </c>
      <c r="D229" s="1" t="s">
        <v>4869</v>
      </c>
      <c r="E229" s="1" t="s">
        <v>4954</v>
      </c>
      <c r="F229" s="1" t="s">
        <v>12507</v>
      </c>
      <c r="G229" s="1" t="s">
        <v>12508</v>
      </c>
    </row>
    <row r="230" spans="1:7">
      <c r="A230" s="1">
        <v>229</v>
      </c>
      <c r="B230" s="1" t="s">
        <v>12557</v>
      </c>
      <c r="D230" s="1" t="s">
        <v>4869</v>
      </c>
      <c r="E230" s="1" t="s">
        <v>4950</v>
      </c>
      <c r="F230" s="1" t="s">
        <v>12510</v>
      </c>
      <c r="G230" s="1" t="s">
        <v>12511</v>
      </c>
    </row>
    <row r="231" spans="1:7">
      <c r="A231" s="1">
        <v>230</v>
      </c>
      <c r="B231" s="1" t="s">
        <v>12558</v>
      </c>
      <c r="D231" s="1" t="s">
        <v>4869</v>
      </c>
      <c r="E231" s="1" t="s">
        <v>4946</v>
      </c>
      <c r="F231" s="1" t="s">
        <v>12513</v>
      </c>
      <c r="G231" s="1" t="s">
        <v>12514</v>
      </c>
    </row>
    <row r="232" spans="1:7">
      <c r="A232" s="1">
        <v>231</v>
      </c>
      <c r="B232" s="1" t="s">
        <v>12559</v>
      </c>
      <c r="D232" s="1" t="s">
        <v>4958</v>
      </c>
      <c r="E232" s="1" t="s">
        <v>4959</v>
      </c>
      <c r="F232" s="1" t="s">
        <v>4960</v>
      </c>
      <c r="G232" s="1" t="s">
        <v>4961</v>
      </c>
    </row>
    <row r="233" spans="1:7">
      <c r="A233" s="1">
        <v>232</v>
      </c>
      <c r="B233" s="1" t="s">
        <v>12560</v>
      </c>
      <c r="D233" s="1" t="s">
        <v>4958</v>
      </c>
      <c r="E233" s="1" t="s">
        <v>3601</v>
      </c>
      <c r="F233" s="1" t="s">
        <v>4963</v>
      </c>
      <c r="G233" s="1" t="s">
        <v>4964</v>
      </c>
    </row>
    <row r="234" spans="1:7">
      <c r="A234" s="1">
        <v>233</v>
      </c>
      <c r="B234" s="1" t="s">
        <v>12561</v>
      </c>
      <c r="D234" s="1" t="s">
        <v>4958</v>
      </c>
      <c r="E234" s="1" t="s">
        <v>4966</v>
      </c>
      <c r="F234" s="1" t="s">
        <v>4967</v>
      </c>
      <c r="G234" s="1" t="s">
        <v>4968</v>
      </c>
    </row>
    <row r="235" spans="1:7">
      <c r="A235" s="1">
        <v>234</v>
      </c>
      <c r="B235" s="1" t="s">
        <v>12562</v>
      </c>
      <c r="D235" s="1" t="s">
        <v>4958</v>
      </c>
      <c r="E235" s="1" t="s">
        <v>4970</v>
      </c>
      <c r="F235" s="1" t="s">
        <v>4971</v>
      </c>
      <c r="G235" s="1" t="s">
        <v>4972</v>
      </c>
    </row>
    <row r="236" spans="1:7">
      <c r="A236" s="1">
        <v>235</v>
      </c>
      <c r="B236" s="1" t="s">
        <v>12563</v>
      </c>
      <c r="D236" s="1" t="s">
        <v>4958</v>
      </c>
      <c r="E236" s="1" t="s">
        <v>4974</v>
      </c>
      <c r="F236" s="1" t="s">
        <v>4975</v>
      </c>
      <c r="G236" s="1" t="s">
        <v>4976</v>
      </c>
    </row>
    <row r="237" spans="1:7">
      <c r="A237" s="1">
        <v>236</v>
      </c>
      <c r="B237" s="1" t="s">
        <v>12564</v>
      </c>
      <c r="D237" s="1" t="s">
        <v>4958</v>
      </c>
      <c r="E237" s="1" t="s">
        <v>4978</v>
      </c>
      <c r="F237" s="1" t="s">
        <v>4979</v>
      </c>
      <c r="G237" s="1" t="s">
        <v>4980</v>
      </c>
    </row>
    <row r="238" spans="1:7">
      <c r="A238" s="1">
        <v>237</v>
      </c>
      <c r="B238" s="1" t="s">
        <v>12565</v>
      </c>
      <c r="D238" s="1" t="s">
        <v>4958</v>
      </c>
      <c r="E238" s="1" t="s">
        <v>4982</v>
      </c>
      <c r="F238" s="1" t="s">
        <v>4983</v>
      </c>
      <c r="G238" s="1" t="s">
        <v>4984</v>
      </c>
    </row>
    <row r="239" spans="1:7">
      <c r="A239" s="1">
        <v>238</v>
      </c>
      <c r="B239" s="1" t="s">
        <v>12566</v>
      </c>
      <c r="D239" s="1" t="s">
        <v>4958</v>
      </c>
      <c r="E239" s="1" t="s">
        <v>4986</v>
      </c>
      <c r="F239" s="1" t="s">
        <v>4987</v>
      </c>
      <c r="G239" s="1" t="s">
        <v>4988</v>
      </c>
    </row>
    <row r="240" spans="1:7">
      <c r="A240" s="1">
        <v>239</v>
      </c>
      <c r="B240" s="1" t="s">
        <v>12567</v>
      </c>
      <c r="D240" s="1" t="s">
        <v>4958</v>
      </c>
      <c r="E240" s="1" t="s">
        <v>4990</v>
      </c>
      <c r="F240" s="1" t="s">
        <v>4991</v>
      </c>
      <c r="G240" s="1" t="s">
        <v>4992</v>
      </c>
    </row>
    <row r="241" spans="1:7">
      <c r="A241" s="1">
        <v>240</v>
      </c>
      <c r="B241" s="1" t="s">
        <v>12568</v>
      </c>
      <c r="D241" s="1" t="s">
        <v>4958</v>
      </c>
      <c r="E241" s="1" t="s">
        <v>4994</v>
      </c>
      <c r="F241" s="1" t="s">
        <v>4995</v>
      </c>
      <c r="G241" s="1" t="s">
        <v>4996</v>
      </c>
    </row>
    <row r="242" spans="1:7">
      <c r="A242" s="1">
        <v>241</v>
      </c>
      <c r="B242" s="1" t="s">
        <v>12569</v>
      </c>
      <c r="D242" s="1" t="s">
        <v>4958</v>
      </c>
      <c r="E242" s="1" t="s">
        <v>3649</v>
      </c>
      <c r="F242" s="1" t="s">
        <v>4998</v>
      </c>
      <c r="G242" s="1" t="s">
        <v>4999</v>
      </c>
    </row>
    <row r="243" spans="1:7">
      <c r="A243" s="1">
        <v>242</v>
      </c>
      <c r="B243" s="1" t="s">
        <v>12570</v>
      </c>
      <c r="D243" s="1" t="s">
        <v>4958</v>
      </c>
      <c r="E243" s="1" t="s">
        <v>5001</v>
      </c>
      <c r="F243" s="1" t="s">
        <v>5002</v>
      </c>
      <c r="G243" s="1" t="s">
        <v>5003</v>
      </c>
    </row>
    <row r="244" spans="1:7">
      <c r="A244" s="1">
        <v>243</v>
      </c>
      <c r="B244" s="1" t="s">
        <v>12571</v>
      </c>
      <c r="D244" s="1" t="s">
        <v>4958</v>
      </c>
      <c r="E244" s="1" t="s">
        <v>5005</v>
      </c>
      <c r="F244" s="1" t="s">
        <v>5006</v>
      </c>
      <c r="G244" s="1" t="s">
        <v>5007</v>
      </c>
    </row>
    <row r="245" spans="1:7">
      <c r="A245" s="1">
        <v>244</v>
      </c>
      <c r="B245" s="1" t="s">
        <v>12572</v>
      </c>
      <c r="D245" s="1" t="s">
        <v>4958</v>
      </c>
      <c r="E245" s="1" t="s">
        <v>3653</v>
      </c>
      <c r="F245" s="1" t="s">
        <v>5009</v>
      </c>
      <c r="G245" s="1" t="s">
        <v>5010</v>
      </c>
    </row>
    <row r="246" spans="1:7">
      <c r="A246" s="1">
        <v>245</v>
      </c>
      <c r="B246" s="1" t="s">
        <v>12573</v>
      </c>
      <c r="D246" s="1" t="s">
        <v>4958</v>
      </c>
      <c r="E246" s="1" t="s">
        <v>3654</v>
      </c>
      <c r="F246" s="1" t="s">
        <v>5012</v>
      </c>
      <c r="G246" s="1" t="s">
        <v>5013</v>
      </c>
    </row>
    <row r="247" spans="1:7">
      <c r="A247" s="1">
        <v>246</v>
      </c>
      <c r="B247" s="1" t="s">
        <v>12574</v>
      </c>
      <c r="D247" s="1" t="s">
        <v>4958</v>
      </c>
      <c r="E247" s="1" t="s">
        <v>3655</v>
      </c>
      <c r="F247" s="1" t="s">
        <v>5015</v>
      </c>
      <c r="G247" s="1" t="s">
        <v>5016</v>
      </c>
    </row>
    <row r="248" spans="1:7">
      <c r="A248" s="1">
        <v>247</v>
      </c>
      <c r="B248" s="1" t="s">
        <v>12575</v>
      </c>
      <c r="D248" s="1" t="s">
        <v>4958</v>
      </c>
      <c r="E248" s="1" t="s">
        <v>3656</v>
      </c>
      <c r="F248" s="1" t="s">
        <v>5018</v>
      </c>
      <c r="G248" s="1" t="s">
        <v>5019</v>
      </c>
    </row>
    <row r="249" spans="1:7">
      <c r="A249" s="1">
        <v>248</v>
      </c>
      <c r="B249" s="1" t="s">
        <v>12576</v>
      </c>
      <c r="D249" s="1" t="s">
        <v>4958</v>
      </c>
      <c r="E249" s="1" t="s">
        <v>3657</v>
      </c>
      <c r="F249" s="1" t="s">
        <v>5021</v>
      </c>
      <c r="G249" s="1" t="s">
        <v>5022</v>
      </c>
    </row>
    <row r="250" spans="1:7">
      <c r="A250" s="1">
        <v>249</v>
      </c>
      <c r="B250" s="1" t="s">
        <v>12577</v>
      </c>
      <c r="D250" s="1" t="s">
        <v>4958</v>
      </c>
      <c r="E250" s="1" t="s">
        <v>5024</v>
      </c>
      <c r="F250" s="1" t="s">
        <v>5025</v>
      </c>
      <c r="G250" s="1" t="s">
        <v>5026</v>
      </c>
    </row>
    <row r="251" spans="1:7">
      <c r="A251" s="1">
        <v>250</v>
      </c>
      <c r="B251" s="1" t="s">
        <v>12578</v>
      </c>
      <c r="D251" s="1" t="s">
        <v>4958</v>
      </c>
      <c r="E251" s="1" t="s">
        <v>5035</v>
      </c>
      <c r="F251" s="1" t="s">
        <v>5036</v>
      </c>
      <c r="G251" s="1" t="s">
        <v>5037</v>
      </c>
    </row>
    <row r="252" spans="1:7">
      <c r="A252" s="1">
        <v>251</v>
      </c>
      <c r="B252" s="1" t="s">
        <v>12579</v>
      </c>
      <c r="D252" s="1" t="s">
        <v>4958</v>
      </c>
      <c r="E252" s="1" t="s">
        <v>5031</v>
      </c>
      <c r="F252" s="1" t="s">
        <v>5032</v>
      </c>
      <c r="G252" s="1" t="s">
        <v>5033</v>
      </c>
    </row>
    <row r="253" spans="1:7">
      <c r="A253" s="1">
        <v>252</v>
      </c>
      <c r="B253" s="1" t="s">
        <v>12580</v>
      </c>
      <c r="D253" s="1" t="s">
        <v>4958</v>
      </c>
      <c r="E253" s="1" t="s">
        <v>3658</v>
      </c>
      <c r="F253" s="1" t="s">
        <v>5028</v>
      </c>
      <c r="G253" s="1" t="s">
        <v>5029</v>
      </c>
    </row>
    <row r="254" spans="1:7">
      <c r="A254" s="1">
        <v>253</v>
      </c>
      <c r="B254" s="1" t="s">
        <v>12581</v>
      </c>
      <c r="D254" s="1" t="s">
        <v>5039</v>
      </c>
      <c r="E254" s="1" t="s">
        <v>12582</v>
      </c>
      <c r="F254" s="1" t="s">
        <v>5061</v>
      </c>
      <c r="G254" s="1" t="s">
        <v>5062</v>
      </c>
    </row>
    <row r="255" spans="1:7">
      <c r="A255" s="1">
        <v>254</v>
      </c>
      <c r="B255" s="1" t="s">
        <v>12583</v>
      </c>
      <c r="D255" s="1" t="s">
        <v>5039</v>
      </c>
      <c r="E255" s="1" t="s">
        <v>12584</v>
      </c>
      <c r="F255" s="1" t="s">
        <v>5045</v>
      </c>
      <c r="G255" s="1" t="s">
        <v>5046</v>
      </c>
    </row>
    <row r="256" spans="1:7">
      <c r="A256" s="1">
        <v>255</v>
      </c>
      <c r="B256" s="1" t="s">
        <v>12585</v>
      </c>
      <c r="D256" s="1" t="s">
        <v>5039</v>
      </c>
      <c r="E256" s="1" t="s">
        <v>12586</v>
      </c>
      <c r="F256" s="1" t="s">
        <v>5049</v>
      </c>
      <c r="G256" s="1" t="s">
        <v>5050</v>
      </c>
    </row>
    <row r="257" spans="1:7">
      <c r="A257" s="1">
        <v>256</v>
      </c>
      <c r="B257" s="1" t="s">
        <v>12587</v>
      </c>
      <c r="D257" s="1" t="s">
        <v>5039</v>
      </c>
      <c r="E257" s="1" t="s">
        <v>12588</v>
      </c>
      <c r="F257" s="1" t="s">
        <v>5041</v>
      </c>
      <c r="G257" s="1" t="s">
        <v>5042</v>
      </c>
    </row>
    <row r="258" spans="1:7">
      <c r="A258" s="1">
        <v>257</v>
      </c>
      <c r="B258" s="1" t="s">
        <v>12589</v>
      </c>
      <c r="D258" s="1" t="s">
        <v>5039</v>
      </c>
      <c r="E258" s="1" t="s">
        <v>12590</v>
      </c>
      <c r="F258" s="1" t="s">
        <v>5053</v>
      </c>
      <c r="G258" s="1" t="s">
        <v>5054</v>
      </c>
    </row>
    <row r="259" spans="1:7">
      <c r="A259" s="1">
        <v>258</v>
      </c>
      <c r="B259" s="1" t="s">
        <v>12591</v>
      </c>
      <c r="D259" s="1" t="s">
        <v>5039</v>
      </c>
      <c r="E259" s="1" t="s">
        <v>12592</v>
      </c>
      <c r="F259" s="1" t="s">
        <v>5057</v>
      </c>
      <c r="G259" s="1" t="s">
        <v>5058</v>
      </c>
    </row>
    <row r="260" spans="1:7">
      <c r="A260" s="1">
        <v>259</v>
      </c>
      <c r="B260" s="1" t="s">
        <v>12593</v>
      </c>
      <c r="D260" s="1" t="s">
        <v>5039</v>
      </c>
      <c r="E260" s="1" t="s">
        <v>12594</v>
      </c>
      <c r="F260" s="1" t="s">
        <v>5065</v>
      </c>
      <c r="G260" s="1" t="s">
        <v>5066</v>
      </c>
    </row>
    <row r="261" spans="1:7">
      <c r="A261" s="1">
        <v>260</v>
      </c>
      <c r="B261" s="1" t="s">
        <v>12595</v>
      </c>
      <c r="D261" s="1" t="s">
        <v>5039</v>
      </c>
      <c r="E261" s="1" t="s">
        <v>12596</v>
      </c>
      <c r="F261" s="1" t="s">
        <v>5073</v>
      </c>
      <c r="G261" s="1" t="s">
        <v>5074</v>
      </c>
    </row>
    <row r="262" spans="1:7">
      <c r="A262" s="1">
        <v>261</v>
      </c>
      <c r="B262" s="1" t="s">
        <v>12597</v>
      </c>
      <c r="D262" s="1" t="s">
        <v>5039</v>
      </c>
      <c r="E262" s="1" t="s">
        <v>12598</v>
      </c>
      <c r="F262" s="1" t="s">
        <v>5077</v>
      </c>
      <c r="G262" s="1" t="s">
        <v>5078</v>
      </c>
    </row>
    <row r="263" spans="1:7">
      <c r="A263" s="1">
        <v>262</v>
      </c>
      <c r="B263" s="1" t="s">
        <v>12599</v>
      </c>
      <c r="D263" s="1" t="s">
        <v>5039</v>
      </c>
      <c r="E263" s="1" t="s">
        <v>12600</v>
      </c>
      <c r="F263" s="1" t="s">
        <v>5069</v>
      </c>
      <c r="G263" s="1" t="s">
        <v>5070</v>
      </c>
    </row>
    <row r="264" spans="1:7">
      <c r="A264" s="1">
        <v>263</v>
      </c>
      <c r="B264" s="1" t="s">
        <v>12601</v>
      </c>
      <c r="D264" s="1" t="s">
        <v>5080</v>
      </c>
      <c r="E264" s="1" t="s">
        <v>12602</v>
      </c>
      <c r="F264" s="1" t="s">
        <v>5086</v>
      </c>
      <c r="G264" s="1" t="s">
        <v>5087</v>
      </c>
    </row>
    <row r="265" spans="1:7">
      <c r="A265" s="1">
        <v>264</v>
      </c>
      <c r="B265" s="1" t="s">
        <v>12603</v>
      </c>
      <c r="D265" s="1" t="s">
        <v>5080</v>
      </c>
      <c r="E265" s="1" t="s">
        <v>12604</v>
      </c>
      <c r="F265" s="1" t="s">
        <v>5082</v>
      </c>
      <c r="G265" s="1" t="s">
        <v>5083</v>
      </c>
    </row>
    <row r="266" spans="1:7">
      <c r="A266" s="1">
        <v>265</v>
      </c>
      <c r="B266" s="1" t="s">
        <v>12605</v>
      </c>
      <c r="D266" s="1" t="s">
        <v>5080</v>
      </c>
      <c r="E266" s="1" t="s">
        <v>12606</v>
      </c>
      <c r="F266" s="1" t="s">
        <v>5094</v>
      </c>
      <c r="G266" s="1" t="s">
        <v>5095</v>
      </c>
    </row>
    <row r="267" spans="1:7">
      <c r="A267" s="1">
        <v>266</v>
      </c>
      <c r="B267" s="1" t="s">
        <v>12607</v>
      </c>
      <c r="D267" s="1" t="s">
        <v>5080</v>
      </c>
      <c r="E267" s="1" t="s">
        <v>10302</v>
      </c>
      <c r="F267" s="1" t="s">
        <v>5090</v>
      </c>
      <c r="G267" s="1" t="s">
        <v>5091</v>
      </c>
    </row>
    <row r="268" spans="1:7">
      <c r="A268" s="1">
        <v>267</v>
      </c>
      <c r="B268" s="1" t="s">
        <v>12608</v>
      </c>
      <c r="D268" s="1" t="s">
        <v>5097</v>
      </c>
      <c r="E268" s="1" t="s">
        <v>10322</v>
      </c>
      <c r="F268" s="1" t="s">
        <v>12609</v>
      </c>
      <c r="G268" s="1" t="s">
        <v>12610</v>
      </c>
    </row>
    <row r="269" spans="1:7">
      <c r="A269" s="1">
        <v>268</v>
      </c>
      <c r="B269" s="1" t="s">
        <v>12611</v>
      </c>
      <c r="D269" s="1" t="s">
        <v>5097</v>
      </c>
      <c r="E269" s="1" t="s">
        <v>10326</v>
      </c>
      <c r="F269" s="1" t="s">
        <v>12612</v>
      </c>
      <c r="G269" s="1" t="s">
        <v>12613</v>
      </c>
    </row>
    <row r="270" spans="1:7">
      <c r="A270" s="1">
        <v>269</v>
      </c>
      <c r="B270" s="1" t="s">
        <v>12614</v>
      </c>
      <c r="D270" s="1" t="s">
        <v>5097</v>
      </c>
      <c r="E270" s="1" t="s">
        <v>10330</v>
      </c>
      <c r="F270" s="1" t="s">
        <v>12615</v>
      </c>
      <c r="G270" s="1" t="s">
        <v>12616</v>
      </c>
    </row>
    <row r="271" spans="1:7">
      <c r="A271" s="1">
        <v>270</v>
      </c>
      <c r="B271" s="1" t="s">
        <v>12617</v>
      </c>
      <c r="D271" s="1" t="s">
        <v>5097</v>
      </c>
      <c r="E271" s="1" t="s">
        <v>10334</v>
      </c>
      <c r="F271" s="1" t="s">
        <v>12618</v>
      </c>
      <c r="G271" s="1" t="s">
        <v>12619</v>
      </c>
    </row>
    <row r="272" spans="1:7">
      <c r="A272" s="1">
        <v>271</v>
      </c>
      <c r="B272" s="1" t="s">
        <v>12620</v>
      </c>
      <c r="D272" s="1" t="s">
        <v>5106</v>
      </c>
      <c r="E272" s="1" t="s">
        <v>10451</v>
      </c>
      <c r="F272" s="1" t="s">
        <v>5116</v>
      </c>
      <c r="G272" s="1" t="s">
        <v>5117</v>
      </c>
    </row>
    <row r="273" spans="1:7">
      <c r="A273" s="1">
        <v>272</v>
      </c>
      <c r="B273" s="1" t="s">
        <v>12621</v>
      </c>
      <c r="D273" s="1" t="s">
        <v>5106</v>
      </c>
      <c r="E273" s="1" t="s">
        <v>10455</v>
      </c>
      <c r="F273" s="1" t="s">
        <v>5108</v>
      </c>
      <c r="G273" s="1" t="s">
        <v>5109</v>
      </c>
    </row>
    <row r="274" spans="1:7">
      <c r="A274" s="1">
        <v>273</v>
      </c>
      <c r="B274" s="1" t="s">
        <v>12622</v>
      </c>
      <c r="D274" s="1" t="s">
        <v>5106</v>
      </c>
      <c r="E274" s="1" t="s">
        <v>10463</v>
      </c>
      <c r="F274" s="1" t="s">
        <v>5112</v>
      </c>
      <c r="G274" s="1" t="s">
        <v>5113</v>
      </c>
    </row>
    <row r="275" spans="1:7">
      <c r="A275" s="1">
        <v>274</v>
      </c>
      <c r="B275" s="1" t="s">
        <v>12623</v>
      </c>
      <c r="D275" s="1" t="s">
        <v>5106</v>
      </c>
      <c r="E275" s="1" t="s">
        <v>10467</v>
      </c>
      <c r="F275" s="1" t="s">
        <v>5120</v>
      </c>
      <c r="G275" s="1" t="s">
        <v>5121</v>
      </c>
    </row>
    <row r="276" spans="1:7">
      <c r="A276" s="1">
        <v>275</v>
      </c>
      <c r="B276" s="1" t="s">
        <v>12624</v>
      </c>
      <c r="D276" s="1" t="s">
        <v>5123</v>
      </c>
      <c r="E276" s="1" t="s">
        <v>12625</v>
      </c>
      <c r="F276" s="1" t="s">
        <v>5125</v>
      </c>
      <c r="G276" s="1" t="s">
        <v>5126</v>
      </c>
    </row>
    <row r="277" spans="1:7">
      <c r="A277" s="1">
        <v>276</v>
      </c>
      <c r="B277" s="1" t="s">
        <v>12626</v>
      </c>
      <c r="D277" s="1" t="s">
        <v>5123</v>
      </c>
      <c r="E277" s="1" t="s">
        <v>12627</v>
      </c>
      <c r="F277" s="1" t="s">
        <v>5129</v>
      </c>
      <c r="G277" s="1" t="s">
        <v>5130</v>
      </c>
    </row>
    <row r="278" spans="1:7">
      <c r="A278" s="1">
        <v>277</v>
      </c>
      <c r="B278" s="1" t="s">
        <v>12628</v>
      </c>
      <c r="D278" s="1" t="s">
        <v>5132</v>
      </c>
      <c r="E278" s="1" t="s">
        <v>12629</v>
      </c>
      <c r="F278" s="1" t="s">
        <v>5134</v>
      </c>
      <c r="G278" s="1" t="s">
        <v>5135</v>
      </c>
    </row>
    <row r="279" spans="1:7">
      <c r="A279" s="1">
        <v>278</v>
      </c>
      <c r="B279" s="1" t="s">
        <v>12630</v>
      </c>
      <c r="D279" s="1" t="s">
        <v>5132</v>
      </c>
      <c r="E279" s="1" t="s">
        <v>12631</v>
      </c>
      <c r="F279" s="1" t="s">
        <v>5138</v>
      </c>
      <c r="G279" s="1" t="s">
        <v>5139</v>
      </c>
    </row>
    <row r="280" spans="1:7">
      <c r="A280" s="1">
        <v>279</v>
      </c>
      <c r="B280" s="1" t="s">
        <v>12632</v>
      </c>
      <c r="D280" s="1" t="s">
        <v>5141</v>
      </c>
      <c r="E280" s="1" t="s">
        <v>12633</v>
      </c>
      <c r="F280" s="1" t="s">
        <v>5163</v>
      </c>
      <c r="G280" s="1" t="s">
        <v>5164</v>
      </c>
    </row>
    <row r="281" spans="1:7">
      <c r="A281" s="1">
        <v>280</v>
      </c>
      <c r="B281" s="1" t="s">
        <v>12634</v>
      </c>
      <c r="D281" s="1" t="s">
        <v>5141</v>
      </c>
      <c r="E281" s="1" t="s">
        <v>12635</v>
      </c>
      <c r="F281" s="1" t="s">
        <v>5143</v>
      </c>
      <c r="G281" s="1" t="s">
        <v>5144</v>
      </c>
    </row>
    <row r="282" spans="1:7">
      <c r="A282" s="1">
        <v>281</v>
      </c>
      <c r="B282" s="1" t="s">
        <v>12636</v>
      </c>
      <c r="D282" s="1" t="s">
        <v>5141</v>
      </c>
      <c r="E282" s="1" t="s">
        <v>12637</v>
      </c>
      <c r="F282" s="1" t="s">
        <v>5151</v>
      </c>
      <c r="G282" s="1" t="s">
        <v>5152</v>
      </c>
    </row>
    <row r="283" spans="1:7">
      <c r="A283" s="1">
        <v>282</v>
      </c>
      <c r="B283" s="1" t="s">
        <v>12638</v>
      </c>
      <c r="D283" s="1" t="s">
        <v>5141</v>
      </c>
      <c r="E283" s="1" t="s">
        <v>12639</v>
      </c>
      <c r="F283" s="1" t="s">
        <v>5147</v>
      </c>
      <c r="G283" s="1" t="s">
        <v>5148</v>
      </c>
    </row>
    <row r="284" spans="1:7">
      <c r="A284" s="1">
        <v>283</v>
      </c>
      <c r="B284" s="1" t="s">
        <v>12640</v>
      </c>
      <c r="D284" s="1" t="s">
        <v>5141</v>
      </c>
      <c r="E284" s="1" t="s">
        <v>12641</v>
      </c>
      <c r="F284" s="1" t="s">
        <v>5155</v>
      </c>
      <c r="G284" s="1" t="s">
        <v>5156</v>
      </c>
    </row>
    <row r="285" spans="1:7">
      <c r="A285" s="1">
        <v>284</v>
      </c>
      <c r="B285" s="1" t="s">
        <v>12642</v>
      </c>
      <c r="D285" s="1" t="s">
        <v>5141</v>
      </c>
      <c r="E285" s="1" t="s">
        <v>12643</v>
      </c>
      <c r="F285" s="1" t="s">
        <v>5159</v>
      </c>
      <c r="G285" s="1" t="s">
        <v>5160</v>
      </c>
    </row>
    <row r="286" spans="1:7">
      <c r="A286" s="1">
        <v>285</v>
      </c>
      <c r="B286" s="1" t="s">
        <v>12644</v>
      </c>
      <c r="D286" s="1" t="s">
        <v>5141</v>
      </c>
      <c r="E286" s="1" t="s">
        <v>12645</v>
      </c>
      <c r="F286" s="1" t="s">
        <v>5167</v>
      </c>
      <c r="G286" s="1" t="s">
        <v>5168</v>
      </c>
    </row>
    <row r="287" spans="1:7">
      <c r="A287" s="1">
        <v>286</v>
      </c>
      <c r="B287" s="1" t="s">
        <v>12646</v>
      </c>
      <c r="D287" s="1" t="s">
        <v>5141</v>
      </c>
      <c r="E287" s="1" t="s">
        <v>12647</v>
      </c>
      <c r="F287" s="1" t="s">
        <v>5171</v>
      </c>
      <c r="G287" s="1" t="s">
        <v>5172</v>
      </c>
    </row>
    <row r="288" spans="1:7">
      <c r="A288" s="1">
        <v>287</v>
      </c>
      <c r="B288" s="1" t="s">
        <v>12648</v>
      </c>
      <c r="D288" s="1" t="s">
        <v>5141</v>
      </c>
      <c r="E288" s="1" t="s">
        <v>12649</v>
      </c>
      <c r="F288" s="1" t="s">
        <v>5175</v>
      </c>
      <c r="G288" s="1" t="s">
        <v>5176</v>
      </c>
    </row>
    <row r="289" spans="1:7">
      <c r="A289" s="1">
        <v>288</v>
      </c>
      <c r="B289" s="1" t="s">
        <v>12650</v>
      </c>
      <c r="D289" s="1" t="s">
        <v>5141</v>
      </c>
      <c r="E289" s="1" t="s">
        <v>12651</v>
      </c>
      <c r="F289" s="1" t="s">
        <v>5179</v>
      </c>
      <c r="G289" s="1" t="s">
        <v>5180</v>
      </c>
    </row>
    <row r="290" spans="1:7">
      <c r="A290" s="1">
        <v>289</v>
      </c>
      <c r="B290" s="1" t="s">
        <v>12652</v>
      </c>
      <c r="D290" s="1" t="s">
        <v>5182</v>
      </c>
      <c r="E290" s="1" t="s">
        <v>12653</v>
      </c>
      <c r="F290" s="1" t="s">
        <v>5184</v>
      </c>
      <c r="G290" s="1" t="s">
        <v>5185</v>
      </c>
    </row>
    <row r="291" spans="1:7">
      <c r="A291" s="1">
        <v>290</v>
      </c>
      <c r="B291" s="1" t="s">
        <v>12654</v>
      </c>
      <c r="D291" s="1" t="s">
        <v>5182</v>
      </c>
      <c r="E291" s="1" t="s">
        <v>12655</v>
      </c>
      <c r="F291" s="1" t="s">
        <v>5188</v>
      </c>
      <c r="G291" s="1" t="s">
        <v>5189</v>
      </c>
    </row>
    <row r="292" spans="1:7">
      <c r="A292" s="1">
        <v>291</v>
      </c>
      <c r="B292" s="1" t="s">
        <v>12656</v>
      </c>
      <c r="D292" s="1" t="s">
        <v>5191</v>
      </c>
      <c r="E292" s="1" t="s">
        <v>5199</v>
      </c>
      <c r="F292" s="1" t="s">
        <v>12657</v>
      </c>
      <c r="G292" s="1" t="s">
        <v>12658</v>
      </c>
    </row>
    <row r="293" spans="1:7">
      <c r="A293" s="1">
        <v>292</v>
      </c>
      <c r="B293" s="1" t="s">
        <v>12659</v>
      </c>
      <c r="D293" s="1" t="s">
        <v>5191</v>
      </c>
      <c r="E293" s="1" t="s">
        <v>5195</v>
      </c>
      <c r="F293" s="1" t="s">
        <v>12660</v>
      </c>
      <c r="G293" s="1" t="s">
        <v>12661</v>
      </c>
    </row>
    <row r="294" spans="1:7">
      <c r="A294" s="1">
        <v>293</v>
      </c>
      <c r="B294" s="1" t="s">
        <v>12662</v>
      </c>
      <c r="D294" s="1" t="s">
        <v>5191</v>
      </c>
      <c r="E294" s="1" t="s">
        <v>5203</v>
      </c>
      <c r="F294" s="1" t="s">
        <v>12663</v>
      </c>
      <c r="G294" s="1" t="s">
        <v>12664</v>
      </c>
    </row>
    <row r="295" spans="1:7">
      <c r="A295" s="1">
        <v>294</v>
      </c>
      <c r="B295" s="1" t="s">
        <v>12665</v>
      </c>
      <c r="D295" s="1" t="s">
        <v>5191</v>
      </c>
      <c r="E295" s="1" t="s">
        <v>1833</v>
      </c>
      <c r="F295" s="1" t="s">
        <v>12666</v>
      </c>
      <c r="G295" s="1" t="s">
        <v>12667</v>
      </c>
    </row>
    <row r="296" spans="1:7">
      <c r="A296" s="1">
        <v>295</v>
      </c>
      <c r="B296" s="1" t="s">
        <v>12668</v>
      </c>
      <c r="D296" s="1" t="s">
        <v>5191</v>
      </c>
      <c r="E296" s="1" t="s">
        <v>5221</v>
      </c>
      <c r="F296" s="1" t="s">
        <v>12669</v>
      </c>
      <c r="G296" s="1" t="s">
        <v>12670</v>
      </c>
    </row>
    <row r="297" spans="1:7">
      <c r="A297" s="1">
        <v>296</v>
      </c>
      <c r="B297" s="1" t="s">
        <v>12671</v>
      </c>
      <c r="D297" s="1" t="s">
        <v>5191</v>
      </c>
      <c r="E297" s="1" t="s">
        <v>5217</v>
      </c>
      <c r="F297" s="1" t="s">
        <v>12672</v>
      </c>
      <c r="G297" s="1" t="s">
        <v>12673</v>
      </c>
    </row>
    <row r="298" spans="1:7">
      <c r="A298" s="1">
        <v>297</v>
      </c>
      <c r="B298" s="1" t="s">
        <v>12674</v>
      </c>
      <c r="D298" s="1" t="s">
        <v>5191</v>
      </c>
      <c r="E298" s="1" t="s">
        <v>1834</v>
      </c>
      <c r="F298" s="1" t="s">
        <v>12675</v>
      </c>
      <c r="G298" s="1" t="s">
        <v>12676</v>
      </c>
    </row>
    <row r="299" spans="1:7">
      <c r="A299" s="1">
        <v>298</v>
      </c>
      <c r="B299" s="1" t="s">
        <v>12677</v>
      </c>
      <c r="D299" s="1" t="s">
        <v>5191</v>
      </c>
      <c r="E299" s="1" t="s">
        <v>69</v>
      </c>
      <c r="F299" s="1" t="s">
        <v>12678</v>
      </c>
      <c r="G299" s="1" t="s">
        <v>12679</v>
      </c>
    </row>
    <row r="300" spans="1:7">
      <c r="A300" s="1">
        <v>299</v>
      </c>
      <c r="B300" s="1" t="s">
        <v>12680</v>
      </c>
      <c r="D300" s="1" t="s">
        <v>5191</v>
      </c>
      <c r="E300" s="1" t="s">
        <v>5213</v>
      </c>
      <c r="F300" s="1" t="s">
        <v>12681</v>
      </c>
      <c r="G300" s="1" t="s">
        <v>12682</v>
      </c>
    </row>
    <row r="301" spans="1:7">
      <c r="A301" s="1">
        <v>300</v>
      </c>
      <c r="B301" s="1" t="s">
        <v>12683</v>
      </c>
      <c r="D301" s="1" t="s">
        <v>5225</v>
      </c>
      <c r="E301" s="1" t="s">
        <v>2638</v>
      </c>
      <c r="F301" s="1" t="s">
        <v>5241</v>
      </c>
      <c r="G301" s="1" t="s">
        <v>5242</v>
      </c>
    </row>
    <row r="302" spans="1:7">
      <c r="A302" s="1">
        <v>301</v>
      </c>
      <c r="B302" s="1" t="s">
        <v>12684</v>
      </c>
      <c r="D302" s="1" t="s">
        <v>5225</v>
      </c>
      <c r="E302" s="1" t="s">
        <v>2642</v>
      </c>
      <c r="F302" s="1" t="s">
        <v>5229</v>
      </c>
      <c r="G302" s="1" t="s">
        <v>5230</v>
      </c>
    </row>
    <row r="303" spans="1:7">
      <c r="A303" s="1">
        <v>302</v>
      </c>
      <c r="B303" s="1" t="s">
        <v>12685</v>
      </c>
      <c r="D303" s="1" t="s">
        <v>5225</v>
      </c>
      <c r="E303" s="1" t="s">
        <v>2646</v>
      </c>
      <c r="F303" s="1" t="s">
        <v>5232</v>
      </c>
      <c r="G303" s="1" t="s">
        <v>5233</v>
      </c>
    </row>
    <row r="304" spans="1:7">
      <c r="A304" s="1">
        <v>303</v>
      </c>
      <c r="B304" s="1" t="s">
        <v>12686</v>
      </c>
      <c r="D304" s="1" t="s">
        <v>5225</v>
      </c>
      <c r="E304" s="1" t="s">
        <v>2648</v>
      </c>
      <c r="F304" s="1" t="s">
        <v>5235</v>
      </c>
      <c r="G304" s="1" t="s">
        <v>5236</v>
      </c>
    </row>
    <row r="305" spans="1:7">
      <c r="A305" s="1">
        <v>304</v>
      </c>
      <c r="B305" s="1" t="s">
        <v>12687</v>
      </c>
      <c r="D305" s="1" t="s">
        <v>5225</v>
      </c>
      <c r="E305" s="1" t="s">
        <v>2652</v>
      </c>
      <c r="F305" s="1" t="s">
        <v>5238</v>
      </c>
      <c r="G305" s="1" t="s">
        <v>5239</v>
      </c>
    </row>
    <row r="306" spans="1:7">
      <c r="A306" s="1">
        <v>305</v>
      </c>
      <c r="B306" s="1" t="s">
        <v>12688</v>
      </c>
      <c r="D306" s="1" t="s">
        <v>5225</v>
      </c>
      <c r="E306" s="1" t="s">
        <v>2656</v>
      </c>
      <c r="F306" s="1" t="s">
        <v>5226</v>
      </c>
      <c r="G306" s="1" t="s">
        <v>5227</v>
      </c>
    </row>
    <row r="307" spans="1:7">
      <c r="A307" s="1">
        <v>306</v>
      </c>
      <c r="B307" s="1" t="s">
        <v>12689</v>
      </c>
      <c r="D307" s="1" t="s">
        <v>5244</v>
      </c>
      <c r="E307" s="1" t="s">
        <v>2493</v>
      </c>
      <c r="F307" s="1" t="s">
        <v>12690</v>
      </c>
      <c r="G307" s="1" t="s">
        <v>12691</v>
      </c>
    </row>
    <row r="308" spans="1:7">
      <c r="A308" s="1">
        <v>307</v>
      </c>
      <c r="B308" s="1" t="s">
        <v>12692</v>
      </c>
      <c r="D308" s="1" t="s">
        <v>5244</v>
      </c>
      <c r="E308" s="1" t="s">
        <v>2496</v>
      </c>
      <c r="F308" s="1" t="s">
        <v>12693</v>
      </c>
      <c r="G308" s="1" t="s">
        <v>12694</v>
      </c>
    </row>
    <row r="309" spans="1:7">
      <c r="A309" s="1">
        <v>308</v>
      </c>
      <c r="B309" s="1" t="s">
        <v>12695</v>
      </c>
      <c r="D309" s="1" t="s">
        <v>5244</v>
      </c>
      <c r="E309" s="1" t="s">
        <v>2499</v>
      </c>
      <c r="F309" s="1" t="s">
        <v>12696</v>
      </c>
      <c r="G309" s="1" t="s">
        <v>12697</v>
      </c>
    </row>
    <row r="310" spans="1:7">
      <c r="A310" s="1">
        <v>309</v>
      </c>
      <c r="B310" s="1" t="s">
        <v>12698</v>
      </c>
      <c r="D310" s="1" t="s">
        <v>5244</v>
      </c>
      <c r="E310" s="1" t="s">
        <v>2505</v>
      </c>
      <c r="F310" s="1" t="s">
        <v>12699</v>
      </c>
      <c r="G310" s="1" t="s">
        <v>12700</v>
      </c>
    </row>
    <row r="311" spans="1:7">
      <c r="A311" s="1">
        <v>310</v>
      </c>
      <c r="B311" s="1" t="s">
        <v>12701</v>
      </c>
      <c r="D311" s="1" t="s">
        <v>5244</v>
      </c>
      <c r="E311" s="1" t="s">
        <v>2502</v>
      </c>
      <c r="F311" s="1" t="s">
        <v>12702</v>
      </c>
      <c r="G311" s="1" t="s">
        <v>12703</v>
      </c>
    </row>
    <row r="312" spans="1:7">
      <c r="A312" s="1">
        <v>311</v>
      </c>
      <c r="B312" s="1" t="s">
        <v>12704</v>
      </c>
      <c r="D312" s="1" t="s">
        <v>5244</v>
      </c>
      <c r="E312" s="1" t="s">
        <v>2514</v>
      </c>
      <c r="F312" s="1" t="s">
        <v>12705</v>
      </c>
      <c r="G312" s="1" t="s">
        <v>12706</v>
      </c>
    </row>
    <row r="313" spans="1:7">
      <c r="A313" s="1">
        <v>312</v>
      </c>
      <c r="B313" s="1" t="s">
        <v>12707</v>
      </c>
      <c r="D313" s="1" t="s">
        <v>5244</v>
      </c>
      <c r="E313" s="1" t="s">
        <v>2517</v>
      </c>
      <c r="F313" s="1" t="s">
        <v>12708</v>
      </c>
      <c r="G313" s="1" t="s">
        <v>12709</v>
      </c>
    </row>
    <row r="314" spans="1:7">
      <c r="A314" s="1">
        <v>313</v>
      </c>
      <c r="B314" s="1" t="s">
        <v>12710</v>
      </c>
      <c r="D314" s="1" t="s">
        <v>5244</v>
      </c>
      <c r="E314" s="1" t="s">
        <v>2520</v>
      </c>
      <c r="F314" s="1" t="s">
        <v>12711</v>
      </c>
      <c r="G314" s="1" t="s">
        <v>12712</v>
      </c>
    </row>
    <row r="315" spans="1:7">
      <c r="A315" s="1">
        <v>314</v>
      </c>
      <c r="B315" s="1" t="s">
        <v>12713</v>
      </c>
      <c r="D315" s="1" t="s">
        <v>5244</v>
      </c>
      <c r="E315" s="1" t="s">
        <v>2523</v>
      </c>
      <c r="F315" s="1" t="s">
        <v>12714</v>
      </c>
      <c r="G315" s="1" t="s">
        <v>12715</v>
      </c>
    </row>
    <row r="316" spans="1:7">
      <c r="A316" s="1">
        <v>315</v>
      </c>
      <c r="B316" s="1" t="s">
        <v>12716</v>
      </c>
      <c r="D316" s="1" t="s">
        <v>5244</v>
      </c>
      <c r="E316" s="1" t="s">
        <v>2508</v>
      </c>
      <c r="F316" s="1" t="s">
        <v>12717</v>
      </c>
      <c r="G316" s="1" t="s">
        <v>12718</v>
      </c>
    </row>
    <row r="317" spans="1:7">
      <c r="A317" s="1">
        <v>316</v>
      </c>
      <c r="B317" s="1" t="s">
        <v>12719</v>
      </c>
      <c r="D317" s="1" t="s">
        <v>5244</v>
      </c>
      <c r="E317" s="1" t="s">
        <v>2511</v>
      </c>
      <c r="F317" s="1" t="s">
        <v>12720</v>
      </c>
      <c r="G317" s="1" t="s">
        <v>12721</v>
      </c>
    </row>
    <row r="318" spans="1:7">
      <c r="A318" s="1">
        <v>317</v>
      </c>
      <c r="B318" s="1" t="s">
        <v>12722</v>
      </c>
      <c r="D318" s="1" t="s">
        <v>5266</v>
      </c>
      <c r="E318" s="1" t="s">
        <v>2524</v>
      </c>
      <c r="F318" s="1" t="s">
        <v>12723</v>
      </c>
      <c r="G318" s="1" t="s">
        <v>12724</v>
      </c>
    </row>
    <row r="319" spans="1:7">
      <c r="A319" s="1">
        <v>318</v>
      </c>
      <c r="B319" s="1" t="s">
        <v>12725</v>
      </c>
      <c r="D319" s="1" t="s">
        <v>5268</v>
      </c>
      <c r="E319" s="1" t="s">
        <v>235</v>
      </c>
      <c r="F319" s="1" t="s">
        <v>5269</v>
      </c>
      <c r="G319" s="1" t="s">
        <v>5270</v>
      </c>
    </row>
    <row r="320" spans="1:7">
      <c r="A320" s="1">
        <v>319</v>
      </c>
      <c r="B320" s="1" t="s">
        <v>12726</v>
      </c>
      <c r="D320" s="1" t="s">
        <v>5268</v>
      </c>
      <c r="E320" s="1" t="s">
        <v>244</v>
      </c>
      <c r="F320" s="1" t="s">
        <v>12727</v>
      </c>
      <c r="G320" s="1" t="s">
        <v>12728</v>
      </c>
    </row>
    <row r="321" spans="1:7">
      <c r="A321" s="1">
        <v>320</v>
      </c>
      <c r="B321" s="1" t="s">
        <v>12729</v>
      </c>
      <c r="D321" s="1" t="s">
        <v>5268</v>
      </c>
      <c r="E321" s="1" t="s">
        <v>247</v>
      </c>
      <c r="F321" s="1" t="s">
        <v>5279</v>
      </c>
      <c r="G321" s="1" t="s">
        <v>5280</v>
      </c>
    </row>
    <row r="322" spans="1:7">
      <c r="A322" s="1">
        <v>321</v>
      </c>
      <c r="B322" s="1" t="s">
        <v>12730</v>
      </c>
      <c r="D322" s="1" t="s">
        <v>5268</v>
      </c>
      <c r="E322" s="1" t="s">
        <v>241</v>
      </c>
      <c r="F322" s="1" t="s">
        <v>5273</v>
      </c>
      <c r="G322" s="1" t="s">
        <v>5274</v>
      </c>
    </row>
    <row r="323" spans="1:7">
      <c r="A323" s="1">
        <v>322</v>
      </c>
      <c r="B323" s="1" t="s">
        <v>12731</v>
      </c>
      <c r="D323" s="1" t="s">
        <v>5268</v>
      </c>
      <c r="E323" s="1" t="s">
        <v>238</v>
      </c>
      <c r="F323" s="1" t="s">
        <v>239</v>
      </c>
      <c r="G323" s="1" t="s">
        <v>240</v>
      </c>
    </row>
    <row r="324" spans="1:7">
      <c r="A324" s="1">
        <v>323</v>
      </c>
      <c r="B324" s="1" t="s">
        <v>12732</v>
      </c>
      <c r="D324" s="1" t="s">
        <v>5282</v>
      </c>
      <c r="E324" s="1" t="s">
        <v>261</v>
      </c>
      <c r="F324" s="1" t="s">
        <v>12727</v>
      </c>
      <c r="G324" s="1" t="s">
        <v>12728</v>
      </c>
    </row>
    <row r="325" spans="1:7">
      <c r="A325" s="1">
        <v>324</v>
      </c>
      <c r="B325" s="1" t="s">
        <v>12733</v>
      </c>
      <c r="D325" s="1" t="s">
        <v>5282</v>
      </c>
      <c r="E325" s="1" t="s">
        <v>263</v>
      </c>
      <c r="F325" s="1" t="s">
        <v>5279</v>
      </c>
      <c r="G325" s="1" t="s">
        <v>5280</v>
      </c>
    </row>
    <row r="326" spans="1:7">
      <c r="A326" s="1">
        <v>325</v>
      </c>
      <c r="B326" s="1" t="s">
        <v>12734</v>
      </c>
      <c r="D326" s="1" t="s">
        <v>12735</v>
      </c>
      <c r="E326" s="1" t="s">
        <v>12736</v>
      </c>
      <c r="F326" s="1" t="s">
        <v>12727</v>
      </c>
      <c r="G326" s="1" t="s">
        <v>12728</v>
      </c>
    </row>
    <row r="327" spans="1:7">
      <c r="A327" s="1">
        <v>326</v>
      </c>
      <c r="B327" s="1" t="s">
        <v>12737</v>
      </c>
      <c r="D327" s="1" t="s">
        <v>12735</v>
      </c>
      <c r="E327" s="1" t="s">
        <v>12738</v>
      </c>
      <c r="F327" s="1" t="s">
        <v>5279</v>
      </c>
      <c r="G327" s="1" t="s">
        <v>5280</v>
      </c>
    </row>
    <row r="328" spans="1:7">
      <c r="A328" s="1">
        <v>327</v>
      </c>
      <c r="B328" s="1" t="s">
        <v>12739</v>
      </c>
      <c r="D328" s="1" t="s">
        <v>5289</v>
      </c>
      <c r="E328" s="1" t="s">
        <v>5298</v>
      </c>
      <c r="F328" s="1" t="s">
        <v>5299</v>
      </c>
      <c r="G328" s="1" t="s">
        <v>5300</v>
      </c>
    </row>
    <row r="329" spans="1:7">
      <c r="A329" s="1">
        <v>328</v>
      </c>
      <c r="B329" s="1" t="s">
        <v>12740</v>
      </c>
      <c r="D329" s="1" t="s">
        <v>5289</v>
      </c>
      <c r="E329" s="1" t="s">
        <v>5294</v>
      </c>
      <c r="F329" s="1" t="s">
        <v>5295</v>
      </c>
      <c r="G329" s="1" t="s">
        <v>5296</v>
      </c>
    </row>
    <row r="330" spans="1:7">
      <c r="A330" s="1">
        <v>329</v>
      </c>
      <c r="B330" s="1" t="s">
        <v>12741</v>
      </c>
      <c r="D330" s="1" t="s">
        <v>5289</v>
      </c>
      <c r="E330" s="1" t="s">
        <v>5302</v>
      </c>
      <c r="F330" s="1" t="s">
        <v>5303</v>
      </c>
      <c r="G330" s="1" t="s">
        <v>5304</v>
      </c>
    </row>
    <row r="331" spans="1:7">
      <c r="A331" s="1">
        <v>330</v>
      </c>
      <c r="B331" s="1" t="s">
        <v>12742</v>
      </c>
      <c r="D331" s="1" t="s">
        <v>5289</v>
      </c>
      <c r="E331" s="1" t="s">
        <v>5290</v>
      </c>
      <c r="F331" s="1" t="s">
        <v>5291</v>
      </c>
      <c r="G331" s="1" t="s">
        <v>5292</v>
      </c>
    </row>
    <row r="332" spans="1:7">
      <c r="A332" s="1">
        <v>331</v>
      </c>
      <c r="B332" s="1" t="s">
        <v>12743</v>
      </c>
      <c r="D332" s="1" t="s">
        <v>5289</v>
      </c>
      <c r="E332" s="1" t="s">
        <v>5314</v>
      </c>
      <c r="F332" s="1" t="s">
        <v>5315</v>
      </c>
      <c r="G332" s="1" t="s">
        <v>5316</v>
      </c>
    </row>
    <row r="333" spans="1:7">
      <c r="A333" s="1">
        <v>332</v>
      </c>
      <c r="B333" s="1" t="s">
        <v>12744</v>
      </c>
      <c r="D333" s="1" t="s">
        <v>5289</v>
      </c>
      <c r="E333" s="1" t="s">
        <v>5310</v>
      </c>
      <c r="F333" s="1" t="s">
        <v>5311</v>
      </c>
      <c r="G333" s="1" t="s">
        <v>5312</v>
      </c>
    </row>
    <row r="334" spans="1:7">
      <c r="A334" s="1">
        <v>333</v>
      </c>
      <c r="B334" s="1" t="s">
        <v>12745</v>
      </c>
      <c r="D334" s="1" t="s">
        <v>5289</v>
      </c>
      <c r="E334" s="1" t="s">
        <v>5306</v>
      </c>
      <c r="F334" s="1" t="s">
        <v>5307</v>
      </c>
      <c r="G334" s="1" t="s">
        <v>5308</v>
      </c>
    </row>
    <row r="335" spans="1:7">
      <c r="A335" s="1">
        <v>334</v>
      </c>
      <c r="B335" s="1" t="s">
        <v>12746</v>
      </c>
      <c r="D335" s="1" t="s">
        <v>5318</v>
      </c>
      <c r="E335" s="1" t="s">
        <v>5319</v>
      </c>
      <c r="F335" s="1" t="s">
        <v>5320</v>
      </c>
      <c r="G335" s="1" t="s">
        <v>5321</v>
      </c>
    </row>
    <row r="336" spans="1:7">
      <c r="A336" s="1">
        <v>335</v>
      </c>
      <c r="B336" s="1" t="s">
        <v>12747</v>
      </c>
      <c r="D336" s="1" t="s">
        <v>5318</v>
      </c>
      <c r="E336" s="1" t="s">
        <v>3185</v>
      </c>
      <c r="F336" s="1" t="s">
        <v>5323</v>
      </c>
      <c r="G336" s="1" t="s">
        <v>5324</v>
      </c>
    </row>
    <row r="337" spans="1:7">
      <c r="A337" s="1">
        <v>336</v>
      </c>
      <c r="B337" s="1" t="s">
        <v>12748</v>
      </c>
      <c r="D337" s="1" t="s">
        <v>5318</v>
      </c>
      <c r="E337" s="1" t="s">
        <v>3188</v>
      </c>
      <c r="F337" s="1" t="s">
        <v>5332</v>
      </c>
      <c r="G337" s="1" t="s">
        <v>5333</v>
      </c>
    </row>
    <row r="338" spans="1:7">
      <c r="A338" s="1">
        <v>337</v>
      </c>
      <c r="B338" s="1" t="s">
        <v>12749</v>
      </c>
      <c r="D338" s="1" t="s">
        <v>5318</v>
      </c>
      <c r="E338" s="1" t="s">
        <v>5335</v>
      </c>
      <c r="F338" s="1" t="s">
        <v>12750</v>
      </c>
      <c r="G338" s="1" t="s">
        <v>12751</v>
      </c>
    </row>
    <row r="339" spans="1:7">
      <c r="A339" s="1">
        <v>338</v>
      </c>
      <c r="B339" s="1" t="s">
        <v>12752</v>
      </c>
      <c r="D339" s="1" t="s">
        <v>5318</v>
      </c>
      <c r="E339" s="1" t="s">
        <v>5339</v>
      </c>
      <c r="F339" s="1" t="s">
        <v>5340</v>
      </c>
      <c r="G339" s="1" t="s">
        <v>5341</v>
      </c>
    </row>
    <row r="340" spans="1:7">
      <c r="A340" s="1">
        <v>339</v>
      </c>
      <c r="B340" s="1" t="s">
        <v>12753</v>
      </c>
      <c r="D340" s="1" t="s">
        <v>5318</v>
      </c>
      <c r="E340" s="1" t="s">
        <v>686</v>
      </c>
      <c r="F340" s="1" t="s">
        <v>12754</v>
      </c>
      <c r="G340" s="1" t="s">
        <v>12755</v>
      </c>
    </row>
    <row r="341" spans="1:7">
      <c r="A341" s="1">
        <v>340</v>
      </c>
      <c r="B341" s="1" t="s">
        <v>12756</v>
      </c>
      <c r="D341" s="1" t="s">
        <v>5318</v>
      </c>
      <c r="E341" s="1" t="s">
        <v>687</v>
      </c>
      <c r="F341" s="1" t="s">
        <v>5346</v>
      </c>
      <c r="G341" s="1" t="s">
        <v>5347</v>
      </c>
    </row>
    <row r="342" spans="1:7">
      <c r="A342" s="1">
        <v>341</v>
      </c>
      <c r="B342" s="1" t="s">
        <v>12757</v>
      </c>
      <c r="D342" s="1" t="s">
        <v>5318</v>
      </c>
      <c r="E342" s="1" t="s">
        <v>688</v>
      </c>
      <c r="F342" s="1" t="s">
        <v>5326</v>
      </c>
      <c r="G342" s="1" t="s">
        <v>5327</v>
      </c>
    </row>
    <row r="343" spans="1:7">
      <c r="A343" s="1">
        <v>342</v>
      </c>
      <c r="B343" s="1" t="s">
        <v>12758</v>
      </c>
      <c r="D343" s="1" t="s">
        <v>5318</v>
      </c>
      <c r="E343" s="1" t="s">
        <v>689</v>
      </c>
      <c r="F343" s="1" t="s">
        <v>5329</v>
      </c>
      <c r="G343" s="1" t="s">
        <v>5330</v>
      </c>
    </row>
    <row r="344" spans="1:7">
      <c r="A344" s="1">
        <v>343</v>
      </c>
      <c r="B344" s="1" t="s">
        <v>12759</v>
      </c>
      <c r="D344" s="1" t="s">
        <v>12760</v>
      </c>
      <c r="E344" s="1" t="s">
        <v>12761</v>
      </c>
      <c r="F344" s="1" t="s">
        <v>12762</v>
      </c>
      <c r="G344" s="1" t="s">
        <v>12763</v>
      </c>
    </row>
    <row r="345" spans="1:7">
      <c r="A345" s="1">
        <v>344</v>
      </c>
      <c r="B345" s="1" t="s">
        <v>12764</v>
      </c>
      <c r="D345" s="1" t="s">
        <v>12760</v>
      </c>
      <c r="E345" s="1" t="s">
        <v>12765</v>
      </c>
      <c r="F345" s="1" t="s">
        <v>12766</v>
      </c>
      <c r="G345" s="1" t="s">
        <v>12767</v>
      </c>
    </row>
    <row r="346" spans="1:7">
      <c r="A346" s="1">
        <v>345</v>
      </c>
      <c r="B346" s="1" t="s">
        <v>12768</v>
      </c>
      <c r="D346" s="1" t="s">
        <v>12760</v>
      </c>
      <c r="E346" s="1" t="s">
        <v>12769</v>
      </c>
      <c r="F346" s="1" t="s">
        <v>12770</v>
      </c>
      <c r="G346" s="1" t="s">
        <v>12771</v>
      </c>
    </row>
    <row r="347" spans="1:7">
      <c r="A347" s="1">
        <v>346</v>
      </c>
      <c r="B347" s="1" t="s">
        <v>12772</v>
      </c>
      <c r="D347" s="1" t="s">
        <v>12760</v>
      </c>
      <c r="E347" s="1" t="s">
        <v>12773</v>
      </c>
      <c r="F347" s="1" t="s">
        <v>12774</v>
      </c>
      <c r="G347" s="1" t="s">
        <v>12775</v>
      </c>
    </row>
    <row r="348" spans="1:7">
      <c r="A348" s="1">
        <v>347</v>
      </c>
      <c r="B348" s="1" t="s">
        <v>12776</v>
      </c>
      <c r="D348" s="1" t="s">
        <v>12760</v>
      </c>
      <c r="E348" s="1" t="s">
        <v>12777</v>
      </c>
      <c r="F348" s="1" t="s">
        <v>12778</v>
      </c>
      <c r="G348" s="1" t="s">
        <v>12779</v>
      </c>
    </row>
    <row r="349" spans="1:7">
      <c r="A349" s="1">
        <v>348</v>
      </c>
      <c r="B349" s="1" t="s">
        <v>12780</v>
      </c>
      <c r="D349" s="1" t="s">
        <v>12760</v>
      </c>
      <c r="E349" s="1" t="s">
        <v>12781</v>
      </c>
      <c r="F349" s="1" t="s">
        <v>12782</v>
      </c>
      <c r="G349" s="1" t="s">
        <v>12783</v>
      </c>
    </row>
    <row r="350" spans="1:7">
      <c r="A350" s="1">
        <v>349</v>
      </c>
      <c r="B350" s="1" t="s">
        <v>12784</v>
      </c>
      <c r="D350" s="1" t="s">
        <v>12760</v>
      </c>
      <c r="E350" s="1" t="s">
        <v>12785</v>
      </c>
      <c r="F350" s="1" t="s">
        <v>12786</v>
      </c>
      <c r="G350" s="1" t="s">
        <v>12787</v>
      </c>
    </row>
    <row r="351" spans="1:7">
      <c r="A351" s="1">
        <v>350</v>
      </c>
      <c r="B351" s="1" t="s">
        <v>12788</v>
      </c>
      <c r="D351" s="1" t="s">
        <v>5349</v>
      </c>
      <c r="E351" s="1" t="s">
        <v>10706</v>
      </c>
      <c r="F351" s="1" t="s">
        <v>12789</v>
      </c>
      <c r="G351" s="1" t="s">
        <v>12790</v>
      </c>
    </row>
    <row r="352" spans="1:7">
      <c r="A352" s="1">
        <v>351</v>
      </c>
      <c r="B352" s="1" t="s">
        <v>12791</v>
      </c>
      <c r="D352" s="1" t="s">
        <v>5349</v>
      </c>
      <c r="E352" s="1" t="s">
        <v>10708</v>
      </c>
      <c r="F352" s="1" t="s">
        <v>12792</v>
      </c>
      <c r="G352" s="1" t="s">
        <v>12793</v>
      </c>
    </row>
    <row r="353" spans="1:7">
      <c r="A353" s="1">
        <v>352</v>
      </c>
      <c r="B353" s="1" t="s">
        <v>12794</v>
      </c>
      <c r="D353" s="1" t="s">
        <v>12795</v>
      </c>
      <c r="E353" s="1" t="s">
        <v>12796</v>
      </c>
      <c r="F353" s="1" t="s">
        <v>12797</v>
      </c>
      <c r="G353" s="1" t="s">
        <v>12798</v>
      </c>
    </row>
    <row r="354" spans="1:7">
      <c r="A354" s="1">
        <v>353</v>
      </c>
      <c r="B354" s="1" t="s">
        <v>12799</v>
      </c>
      <c r="D354" s="1" t="s">
        <v>12795</v>
      </c>
      <c r="E354" s="1" t="s">
        <v>12800</v>
      </c>
      <c r="F354" s="1" t="s">
        <v>12797</v>
      </c>
      <c r="G354" s="1" t="s">
        <v>12798</v>
      </c>
    </row>
    <row r="355" spans="1:7">
      <c r="A355" s="1">
        <v>354</v>
      </c>
      <c r="B355" s="1" t="s">
        <v>12801</v>
      </c>
      <c r="D355" s="1" t="s">
        <v>12802</v>
      </c>
      <c r="E355" s="1" t="s">
        <v>12803</v>
      </c>
      <c r="F355" s="1" t="s">
        <v>12804</v>
      </c>
      <c r="G355" s="1" t="s">
        <v>12805</v>
      </c>
    </row>
    <row r="356" spans="1:7">
      <c r="A356" s="1">
        <v>355</v>
      </c>
      <c r="B356" s="1" t="s">
        <v>12806</v>
      </c>
      <c r="D356" s="1" t="s">
        <v>12802</v>
      </c>
      <c r="E356" s="1" t="s">
        <v>12807</v>
      </c>
      <c r="F356" s="1" t="s">
        <v>12808</v>
      </c>
      <c r="G356" s="1" t="s">
        <v>12809</v>
      </c>
    </row>
    <row r="357" spans="1:7">
      <c r="A357" s="1">
        <v>356</v>
      </c>
      <c r="B357" s="1" t="s">
        <v>12810</v>
      </c>
      <c r="D357" s="1" t="s">
        <v>12802</v>
      </c>
      <c r="E357" s="1" t="s">
        <v>12811</v>
      </c>
      <c r="F357" s="1" t="s">
        <v>12812</v>
      </c>
      <c r="G357" s="1" t="s">
        <v>12813</v>
      </c>
    </row>
    <row r="358" spans="1:7">
      <c r="A358" s="1">
        <v>357</v>
      </c>
      <c r="B358" s="1" t="s">
        <v>12814</v>
      </c>
      <c r="D358" s="1" t="s">
        <v>12802</v>
      </c>
      <c r="E358" s="1" t="s">
        <v>12815</v>
      </c>
      <c r="F358" s="1" t="s">
        <v>12816</v>
      </c>
      <c r="G358" s="1" t="s">
        <v>12817</v>
      </c>
    </row>
    <row r="359" spans="1:7">
      <c r="A359" s="1">
        <v>358</v>
      </c>
      <c r="B359" s="1" t="s">
        <v>12818</v>
      </c>
      <c r="D359" s="1" t="s">
        <v>12802</v>
      </c>
      <c r="E359" s="1" t="s">
        <v>12819</v>
      </c>
      <c r="F359" s="1" t="s">
        <v>12820</v>
      </c>
      <c r="G359" s="1" t="s">
        <v>12821</v>
      </c>
    </row>
    <row r="360" spans="1:7">
      <c r="A360" s="1">
        <v>359</v>
      </c>
      <c r="B360" s="1" t="s">
        <v>12822</v>
      </c>
      <c r="D360" s="1" t="s">
        <v>12802</v>
      </c>
      <c r="E360" s="1" t="s">
        <v>12823</v>
      </c>
      <c r="F360" s="1" t="s">
        <v>12824</v>
      </c>
      <c r="G360" s="1" t="s">
        <v>12825</v>
      </c>
    </row>
    <row r="361" spans="1:7">
      <c r="A361" s="1">
        <v>360</v>
      </c>
      <c r="B361" s="1" t="s">
        <v>12826</v>
      </c>
      <c r="D361" s="1" t="s">
        <v>12802</v>
      </c>
      <c r="E361" s="1" t="s">
        <v>12827</v>
      </c>
      <c r="F361" s="1" t="s">
        <v>12828</v>
      </c>
      <c r="G361" s="1" t="s">
        <v>12829</v>
      </c>
    </row>
    <row r="362" spans="1:7">
      <c r="A362" s="1">
        <v>361</v>
      </c>
      <c r="B362" s="1" t="s">
        <v>12830</v>
      </c>
      <c r="D362" s="1" t="s">
        <v>12802</v>
      </c>
      <c r="E362" s="1" t="s">
        <v>12831</v>
      </c>
      <c r="F362" s="1" t="s">
        <v>12832</v>
      </c>
      <c r="G362" s="1" t="s">
        <v>12833</v>
      </c>
    </row>
    <row r="363" spans="1:7">
      <c r="A363" s="1">
        <v>362</v>
      </c>
      <c r="B363" s="1" t="s">
        <v>12834</v>
      </c>
      <c r="D363" s="1" t="s">
        <v>5358</v>
      </c>
      <c r="E363" s="1" t="s">
        <v>12835</v>
      </c>
      <c r="F363" s="1" t="s">
        <v>12836</v>
      </c>
      <c r="G363" s="1" t="s">
        <v>12837</v>
      </c>
    </row>
    <row r="364" spans="1:7">
      <c r="A364" s="1">
        <v>363</v>
      </c>
      <c r="B364" s="1" t="s">
        <v>12838</v>
      </c>
      <c r="D364" s="1" t="s">
        <v>5358</v>
      </c>
      <c r="E364" s="1" t="s">
        <v>12839</v>
      </c>
      <c r="F364" s="1" t="s">
        <v>12840</v>
      </c>
      <c r="G364" s="1" t="s">
        <v>12841</v>
      </c>
    </row>
    <row r="365" spans="1:7">
      <c r="A365" s="1">
        <v>364</v>
      </c>
      <c r="B365" s="1" t="s">
        <v>12842</v>
      </c>
      <c r="D365" s="1" t="s">
        <v>5358</v>
      </c>
      <c r="E365" s="1" t="s">
        <v>12843</v>
      </c>
      <c r="F365" s="1" t="s">
        <v>12844</v>
      </c>
      <c r="G365" s="1" t="s">
        <v>12845</v>
      </c>
    </row>
    <row r="366" spans="1:7">
      <c r="A366" s="1">
        <v>365</v>
      </c>
      <c r="B366" s="1" t="s">
        <v>12846</v>
      </c>
      <c r="D366" s="1" t="s">
        <v>5358</v>
      </c>
      <c r="E366" s="1" t="s">
        <v>12847</v>
      </c>
      <c r="F366" s="1" t="s">
        <v>12848</v>
      </c>
      <c r="G366" s="1" t="s">
        <v>12849</v>
      </c>
    </row>
    <row r="367" spans="1:7">
      <c r="A367" s="1">
        <v>366</v>
      </c>
      <c r="B367" s="1" t="s">
        <v>12850</v>
      </c>
      <c r="D367" s="1" t="s">
        <v>5358</v>
      </c>
      <c r="E367" s="1" t="s">
        <v>12851</v>
      </c>
      <c r="F367" s="1" t="s">
        <v>12852</v>
      </c>
      <c r="G367" s="1" t="s">
        <v>12853</v>
      </c>
    </row>
    <row r="368" spans="1:7">
      <c r="A368" s="1">
        <v>367</v>
      </c>
      <c r="B368" s="1" t="s">
        <v>12854</v>
      </c>
      <c r="D368" s="1" t="s">
        <v>5358</v>
      </c>
      <c r="E368" s="1" t="s">
        <v>12855</v>
      </c>
      <c r="F368" s="1" t="s">
        <v>12856</v>
      </c>
      <c r="G368" s="1" t="s">
        <v>12857</v>
      </c>
    </row>
    <row r="369" spans="1:7">
      <c r="A369" s="1">
        <v>368</v>
      </c>
      <c r="B369" s="1" t="s">
        <v>12858</v>
      </c>
      <c r="D369" s="1" t="s">
        <v>5358</v>
      </c>
      <c r="E369" s="1" t="s">
        <v>12859</v>
      </c>
      <c r="F369" s="1" t="s">
        <v>12860</v>
      </c>
      <c r="G369" s="1" t="s">
        <v>12861</v>
      </c>
    </row>
    <row r="370" spans="1:7">
      <c r="A370" s="1">
        <v>369</v>
      </c>
      <c r="B370" s="1" t="s">
        <v>12862</v>
      </c>
      <c r="D370" s="1" t="s">
        <v>5387</v>
      </c>
      <c r="E370" s="1" t="s">
        <v>12863</v>
      </c>
      <c r="F370" s="1" t="s">
        <v>12864</v>
      </c>
      <c r="G370" s="1" t="s">
        <v>12865</v>
      </c>
    </row>
    <row r="371" spans="1:7">
      <c r="A371" s="1">
        <v>370</v>
      </c>
      <c r="B371" s="1" t="s">
        <v>12866</v>
      </c>
      <c r="D371" s="1" t="s">
        <v>5387</v>
      </c>
      <c r="E371" s="1" t="s">
        <v>12867</v>
      </c>
      <c r="F371" s="1" t="s">
        <v>12868</v>
      </c>
      <c r="G371" s="1" t="s">
        <v>12869</v>
      </c>
    </row>
    <row r="372" spans="1:7">
      <c r="A372" s="1">
        <v>371</v>
      </c>
      <c r="B372" s="1" t="s">
        <v>12870</v>
      </c>
      <c r="D372" s="1" t="s">
        <v>5387</v>
      </c>
      <c r="E372" s="1" t="s">
        <v>12871</v>
      </c>
      <c r="F372" s="1" t="s">
        <v>12872</v>
      </c>
      <c r="G372" s="1" t="s">
        <v>12873</v>
      </c>
    </row>
    <row r="373" spans="1:7">
      <c r="A373" s="1">
        <v>372</v>
      </c>
      <c r="B373" s="1" t="s">
        <v>12874</v>
      </c>
      <c r="D373" s="1" t="s">
        <v>5387</v>
      </c>
      <c r="E373" s="1" t="s">
        <v>12875</v>
      </c>
      <c r="F373" s="1" t="s">
        <v>12876</v>
      </c>
      <c r="G373" s="1" t="s">
        <v>12877</v>
      </c>
    </row>
    <row r="374" spans="1:7">
      <c r="A374" s="1">
        <v>373</v>
      </c>
      <c r="B374" s="1" t="s">
        <v>12878</v>
      </c>
      <c r="D374" s="1" t="s">
        <v>5387</v>
      </c>
      <c r="E374" s="1" t="s">
        <v>12879</v>
      </c>
      <c r="F374" s="1" t="s">
        <v>12880</v>
      </c>
      <c r="G374" s="1" t="s">
        <v>12881</v>
      </c>
    </row>
    <row r="375" spans="1:7">
      <c r="A375" s="1">
        <v>374</v>
      </c>
      <c r="B375" s="1" t="s">
        <v>12882</v>
      </c>
      <c r="D375" s="1" t="s">
        <v>5387</v>
      </c>
      <c r="E375" s="1" t="s">
        <v>12883</v>
      </c>
      <c r="F375" s="1" t="s">
        <v>12884</v>
      </c>
      <c r="G375" s="1" t="s">
        <v>12885</v>
      </c>
    </row>
    <row r="376" spans="1:7">
      <c r="A376" s="1">
        <v>375</v>
      </c>
      <c r="B376" s="1" t="s">
        <v>12886</v>
      </c>
      <c r="D376" s="1" t="s">
        <v>5387</v>
      </c>
      <c r="E376" s="1" t="s">
        <v>12887</v>
      </c>
      <c r="F376" s="1" t="s">
        <v>12888</v>
      </c>
      <c r="G376" s="1" t="s">
        <v>12889</v>
      </c>
    </row>
    <row r="377" spans="1:7">
      <c r="A377" s="1">
        <v>376</v>
      </c>
      <c r="B377" s="1" t="s">
        <v>12890</v>
      </c>
      <c r="D377" s="1" t="s">
        <v>5402</v>
      </c>
      <c r="E377" s="1" t="s">
        <v>5170</v>
      </c>
      <c r="F377" s="1" t="s">
        <v>12891</v>
      </c>
      <c r="G377" s="1" t="s">
        <v>12892</v>
      </c>
    </row>
    <row r="378" spans="1:7">
      <c r="A378" s="1">
        <v>377</v>
      </c>
      <c r="B378" s="1" t="s">
        <v>12893</v>
      </c>
      <c r="D378" s="1" t="s">
        <v>5402</v>
      </c>
      <c r="E378" s="1" t="s">
        <v>5174</v>
      </c>
      <c r="F378" s="1" t="s">
        <v>12894</v>
      </c>
      <c r="G378" s="1" t="s">
        <v>12895</v>
      </c>
    </row>
    <row r="379" spans="1:7">
      <c r="A379" s="1">
        <v>378</v>
      </c>
      <c r="B379" s="1" t="s">
        <v>12896</v>
      </c>
      <c r="D379" s="1" t="s">
        <v>5402</v>
      </c>
      <c r="E379" s="1" t="s">
        <v>5178</v>
      </c>
      <c r="F379" s="1" t="s">
        <v>12897</v>
      </c>
      <c r="G379" s="1" t="s">
        <v>12898</v>
      </c>
    </row>
    <row r="380" spans="1:7">
      <c r="A380" s="1">
        <v>379</v>
      </c>
      <c r="B380" s="1" t="s">
        <v>12899</v>
      </c>
      <c r="D380" s="1" t="s">
        <v>5402</v>
      </c>
      <c r="E380" s="1" t="s">
        <v>12900</v>
      </c>
      <c r="F380" s="1" t="s">
        <v>12901</v>
      </c>
      <c r="G380" s="1" t="s">
        <v>12902</v>
      </c>
    </row>
    <row r="381" spans="1:7">
      <c r="A381" s="1">
        <v>380</v>
      </c>
      <c r="B381" s="1" t="s">
        <v>12903</v>
      </c>
      <c r="D381" s="1" t="s">
        <v>5402</v>
      </c>
      <c r="E381" s="1" t="s">
        <v>12904</v>
      </c>
      <c r="F381" s="1" t="s">
        <v>12905</v>
      </c>
      <c r="G381" s="1" t="s">
        <v>12906</v>
      </c>
    </row>
    <row r="382" spans="1:7">
      <c r="A382" s="1">
        <v>381</v>
      </c>
      <c r="B382" s="1" t="s">
        <v>12907</v>
      </c>
      <c r="D382" s="1" t="s">
        <v>5402</v>
      </c>
      <c r="E382" s="1" t="s">
        <v>5183</v>
      </c>
      <c r="F382" s="1" t="s">
        <v>12908</v>
      </c>
      <c r="G382" s="1" t="s">
        <v>12909</v>
      </c>
    </row>
    <row r="383" spans="1:7">
      <c r="A383" s="1">
        <v>382</v>
      </c>
      <c r="B383" s="1" t="s">
        <v>12910</v>
      </c>
      <c r="D383" s="1" t="s">
        <v>5402</v>
      </c>
      <c r="E383" s="1" t="s">
        <v>5187</v>
      </c>
      <c r="F383" s="1" t="s">
        <v>12911</v>
      </c>
      <c r="G383" s="1" t="s">
        <v>12912</v>
      </c>
    </row>
    <row r="384" spans="1:7">
      <c r="A384" s="1">
        <v>383</v>
      </c>
      <c r="B384" s="1" t="s">
        <v>12913</v>
      </c>
      <c r="D384" s="1" t="s">
        <v>5402</v>
      </c>
      <c r="E384" s="1" t="s">
        <v>12914</v>
      </c>
      <c r="F384" s="1" t="s">
        <v>12915</v>
      </c>
      <c r="G384" s="1" t="s">
        <v>12916</v>
      </c>
    </row>
    <row r="385" spans="1:7">
      <c r="A385" s="1">
        <v>384</v>
      </c>
      <c r="B385" s="1" t="s">
        <v>12917</v>
      </c>
      <c r="D385" s="1" t="s">
        <v>5435</v>
      </c>
      <c r="E385" s="1" t="s">
        <v>12918</v>
      </c>
      <c r="F385" s="1" t="s">
        <v>12919</v>
      </c>
      <c r="G385" s="1" t="s">
        <v>12920</v>
      </c>
    </row>
    <row r="386" spans="1:7">
      <c r="A386" s="1">
        <v>385</v>
      </c>
      <c r="B386" s="1" t="s">
        <v>12921</v>
      </c>
      <c r="D386" s="1" t="s">
        <v>5435</v>
      </c>
      <c r="E386" s="1" t="s">
        <v>5555</v>
      </c>
      <c r="F386" s="1" t="s">
        <v>12922</v>
      </c>
      <c r="G386" s="1" t="s">
        <v>12923</v>
      </c>
    </row>
    <row r="387" spans="1:7">
      <c r="A387" s="1">
        <v>386</v>
      </c>
      <c r="B387" s="1" t="s">
        <v>12924</v>
      </c>
      <c r="D387" s="1" t="s">
        <v>5435</v>
      </c>
      <c r="E387" s="1" t="s">
        <v>5359</v>
      </c>
      <c r="F387" s="1" t="s">
        <v>12925</v>
      </c>
      <c r="G387" s="1" t="s">
        <v>12926</v>
      </c>
    </row>
    <row r="388" spans="1:7">
      <c r="A388" s="1">
        <v>387</v>
      </c>
      <c r="B388" s="1" t="s">
        <v>12927</v>
      </c>
      <c r="D388" s="1" t="s">
        <v>5435</v>
      </c>
      <c r="E388" s="1" t="s">
        <v>5363</v>
      </c>
      <c r="F388" s="1" t="s">
        <v>12928</v>
      </c>
      <c r="G388" s="1" t="s">
        <v>12929</v>
      </c>
    </row>
    <row r="389" spans="1:7">
      <c r="A389" s="1">
        <v>388</v>
      </c>
      <c r="B389" s="1" t="s">
        <v>12930</v>
      </c>
      <c r="D389" s="1" t="s">
        <v>5435</v>
      </c>
      <c r="E389" s="1" t="s">
        <v>5367</v>
      </c>
      <c r="F389" s="1" t="s">
        <v>12931</v>
      </c>
      <c r="G389" s="1" t="s">
        <v>12932</v>
      </c>
    </row>
    <row r="390" spans="1:7">
      <c r="A390" s="1">
        <v>389</v>
      </c>
      <c r="B390" s="1" t="s">
        <v>12933</v>
      </c>
      <c r="D390" s="1" t="s">
        <v>5435</v>
      </c>
      <c r="E390" s="1" t="s">
        <v>5383</v>
      </c>
      <c r="F390" s="1" t="s">
        <v>12934</v>
      </c>
      <c r="G390" s="1" t="s">
        <v>12935</v>
      </c>
    </row>
    <row r="391" spans="1:7">
      <c r="A391" s="1">
        <v>390</v>
      </c>
      <c r="B391" s="1" t="s">
        <v>12936</v>
      </c>
      <c r="D391" s="1" t="s">
        <v>5435</v>
      </c>
      <c r="E391" s="1" t="s">
        <v>5379</v>
      </c>
      <c r="F391" s="1" t="s">
        <v>12937</v>
      </c>
      <c r="G391" s="1" t="s">
        <v>12938</v>
      </c>
    </row>
    <row r="392" spans="1:7">
      <c r="A392" s="1">
        <v>391</v>
      </c>
      <c r="B392" s="1" t="s">
        <v>12939</v>
      </c>
      <c r="D392" s="1" t="s">
        <v>5435</v>
      </c>
      <c r="E392" s="1" t="s">
        <v>5371</v>
      </c>
      <c r="F392" s="1" t="s">
        <v>12940</v>
      </c>
      <c r="G392" s="1" t="s">
        <v>12941</v>
      </c>
    </row>
    <row r="393" spans="1:7">
      <c r="A393" s="1">
        <v>392</v>
      </c>
      <c r="B393" s="1" t="s">
        <v>12942</v>
      </c>
      <c r="D393" s="1" t="s">
        <v>5435</v>
      </c>
      <c r="E393" s="1" t="s">
        <v>5375</v>
      </c>
      <c r="F393" s="1" t="s">
        <v>12943</v>
      </c>
      <c r="G393" s="1" t="s">
        <v>12944</v>
      </c>
    </row>
    <row r="394" spans="1:7">
      <c r="A394" s="1">
        <v>393</v>
      </c>
      <c r="B394" s="1" t="s">
        <v>12945</v>
      </c>
      <c r="D394" s="1" t="s">
        <v>5458</v>
      </c>
      <c r="E394" s="1" t="s">
        <v>5390</v>
      </c>
      <c r="F394" s="1" t="s">
        <v>12946</v>
      </c>
      <c r="G394" s="1" t="s">
        <v>12947</v>
      </c>
    </row>
    <row r="395" spans="1:7">
      <c r="A395" s="1">
        <v>394</v>
      </c>
      <c r="B395" s="1" t="s">
        <v>12948</v>
      </c>
      <c r="D395" s="1" t="s">
        <v>5458</v>
      </c>
      <c r="E395" s="1" t="s">
        <v>5392</v>
      </c>
      <c r="F395" s="1" t="s">
        <v>12949</v>
      </c>
      <c r="G395" s="1" t="s">
        <v>12950</v>
      </c>
    </row>
    <row r="396" spans="1:7">
      <c r="A396" s="1">
        <v>395</v>
      </c>
      <c r="B396" s="1" t="s">
        <v>12951</v>
      </c>
      <c r="D396" s="1" t="s">
        <v>5458</v>
      </c>
      <c r="E396" s="1" t="s">
        <v>5400</v>
      </c>
      <c r="F396" s="1" t="s">
        <v>12952</v>
      </c>
      <c r="G396" s="1" t="s">
        <v>12953</v>
      </c>
    </row>
    <row r="397" spans="1:7">
      <c r="A397" s="1">
        <v>396</v>
      </c>
      <c r="B397" s="1" t="s">
        <v>12954</v>
      </c>
      <c r="D397" s="1" t="s">
        <v>5458</v>
      </c>
      <c r="E397" s="1" t="s">
        <v>5398</v>
      </c>
      <c r="F397" s="1" t="s">
        <v>12955</v>
      </c>
      <c r="G397" s="1" t="s">
        <v>12956</v>
      </c>
    </row>
    <row r="398" spans="1:7">
      <c r="A398" s="1">
        <v>397</v>
      </c>
      <c r="B398" s="1" t="s">
        <v>12957</v>
      </c>
      <c r="D398" s="1" t="s">
        <v>5458</v>
      </c>
      <c r="E398" s="1" t="s">
        <v>5394</v>
      </c>
      <c r="F398" s="1" t="s">
        <v>12958</v>
      </c>
      <c r="G398" s="1" t="s">
        <v>12959</v>
      </c>
    </row>
    <row r="399" spans="1:7">
      <c r="A399" s="1">
        <v>398</v>
      </c>
      <c r="B399" s="1" t="s">
        <v>12960</v>
      </c>
      <c r="D399" s="1" t="s">
        <v>5458</v>
      </c>
      <c r="E399" s="1" t="s">
        <v>5396</v>
      </c>
      <c r="F399" s="1" t="s">
        <v>12961</v>
      </c>
      <c r="G399" s="1" t="s">
        <v>12962</v>
      </c>
    </row>
    <row r="400" spans="1:7">
      <c r="A400" s="1">
        <v>399</v>
      </c>
      <c r="B400" s="1" t="s">
        <v>12963</v>
      </c>
      <c r="D400" s="1" t="s">
        <v>5458</v>
      </c>
      <c r="E400" s="1" t="s">
        <v>5403</v>
      </c>
      <c r="F400" s="1" t="s">
        <v>12964</v>
      </c>
      <c r="G400" s="1" t="s">
        <v>12965</v>
      </c>
    </row>
    <row r="401" spans="1:7">
      <c r="A401" s="1">
        <v>400</v>
      </c>
      <c r="B401" s="1" t="s">
        <v>12966</v>
      </c>
      <c r="D401" s="1" t="s">
        <v>5458</v>
      </c>
      <c r="E401" s="1" t="s">
        <v>5407</v>
      </c>
      <c r="F401" s="1" t="s">
        <v>12967</v>
      </c>
      <c r="G401" s="1" t="s">
        <v>12968</v>
      </c>
    </row>
    <row r="402" spans="1:7">
      <c r="A402" s="1">
        <v>401</v>
      </c>
      <c r="B402" s="1" t="s">
        <v>12969</v>
      </c>
      <c r="D402" s="1" t="s">
        <v>5491</v>
      </c>
      <c r="E402" s="1" t="s">
        <v>5411</v>
      </c>
      <c r="F402" s="1" t="s">
        <v>12970</v>
      </c>
      <c r="G402" s="1" t="s">
        <v>12971</v>
      </c>
    </row>
    <row r="403" spans="1:7">
      <c r="A403" s="1">
        <v>402</v>
      </c>
      <c r="B403" s="1" t="s">
        <v>12972</v>
      </c>
      <c r="D403" s="1" t="s">
        <v>5491</v>
      </c>
      <c r="E403" s="1" t="s">
        <v>5415</v>
      </c>
      <c r="F403" s="1" t="s">
        <v>12973</v>
      </c>
      <c r="G403" s="1" t="s">
        <v>12974</v>
      </c>
    </row>
    <row r="404" spans="1:7">
      <c r="A404" s="1">
        <v>403</v>
      </c>
      <c r="B404" s="1" t="s">
        <v>12975</v>
      </c>
      <c r="D404" s="1" t="s">
        <v>5491</v>
      </c>
      <c r="E404" s="1" t="s">
        <v>5423</v>
      </c>
      <c r="F404" s="1" t="s">
        <v>12976</v>
      </c>
      <c r="G404" s="1" t="s">
        <v>12977</v>
      </c>
    </row>
    <row r="405" spans="1:7">
      <c r="A405" s="1">
        <v>404</v>
      </c>
      <c r="B405" s="1" t="s">
        <v>12978</v>
      </c>
      <c r="D405" s="1" t="s">
        <v>5491</v>
      </c>
      <c r="E405" s="1" t="s">
        <v>5419</v>
      </c>
      <c r="F405" s="1" t="s">
        <v>12979</v>
      </c>
      <c r="G405" s="1" t="s">
        <v>12980</v>
      </c>
    </row>
    <row r="406" spans="1:7">
      <c r="A406" s="1">
        <v>405</v>
      </c>
      <c r="B406" s="1" t="s">
        <v>12981</v>
      </c>
      <c r="D406" s="1" t="s">
        <v>5491</v>
      </c>
      <c r="E406" s="1" t="s">
        <v>5427</v>
      </c>
      <c r="F406" s="1" t="s">
        <v>12982</v>
      </c>
      <c r="G406" s="1" t="s">
        <v>12983</v>
      </c>
    </row>
    <row r="407" spans="1:7">
      <c r="A407" s="1">
        <v>406</v>
      </c>
      <c r="B407" s="1" t="s">
        <v>12984</v>
      </c>
      <c r="D407" s="1" t="s">
        <v>5491</v>
      </c>
      <c r="E407" s="1" t="s">
        <v>5431</v>
      </c>
      <c r="F407" s="1" t="s">
        <v>12985</v>
      </c>
      <c r="G407" s="1" t="s">
        <v>12986</v>
      </c>
    </row>
    <row r="408" spans="1:7">
      <c r="A408" s="1">
        <v>407</v>
      </c>
      <c r="B408" s="1" t="s">
        <v>12987</v>
      </c>
      <c r="D408" s="1" t="s">
        <v>5491</v>
      </c>
      <c r="E408" s="1" t="s">
        <v>5436</v>
      </c>
      <c r="F408" s="1" t="s">
        <v>12988</v>
      </c>
      <c r="G408" s="1" t="s">
        <v>12989</v>
      </c>
    </row>
    <row r="409" spans="1:7">
      <c r="A409" s="1">
        <v>408</v>
      </c>
      <c r="B409" s="1" t="s">
        <v>12990</v>
      </c>
      <c r="D409" s="1" t="s">
        <v>5491</v>
      </c>
      <c r="E409" s="1" t="s">
        <v>5438</v>
      </c>
      <c r="F409" s="1" t="s">
        <v>12991</v>
      </c>
      <c r="G409" s="1" t="s">
        <v>12992</v>
      </c>
    </row>
    <row r="410" spans="1:7">
      <c r="A410" s="1">
        <v>409</v>
      </c>
      <c r="B410" s="1" t="s">
        <v>12993</v>
      </c>
      <c r="D410" s="1" t="s">
        <v>12994</v>
      </c>
      <c r="E410" s="1" t="s">
        <v>12995</v>
      </c>
      <c r="F410" s="1" t="s">
        <v>12996</v>
      </c>
      <c r="G410" s="1" t="s">
        <v>12997</v>
      </c>
    </row>
    <row r="411" spans="1:7">
      <c r="A411" s="1">
        <v>410</v>
      </c>
      <c r="B411" s="1" t="s">
        <v>12998</v>
      </c>
      <c r="D411" s="1" t="s">
        <v>12994</v>
      </c>
      <c r="E411" s="1" t="s">
        <v>12999</v>
      </c>
      <c r="F411" s="1" t="s">
        <v>13000</v>
      </c>
      <c r="G411" s="1" t="s">
        <v>13001</v>
      </c>
    </row>
    <row r="412" spans="1:7">
      <c r="A412" s="1">
        <v>411</v>
      </c>
      <c r="B412" s="1" t="s">
        <v>13002</v>
      </c>
      <c r="D412" s="1" t="s">
        <v>12994</v>
      </c>
      <c r="E412" s="1" t="s">
        <v>13003</v>
      </c>
      <c r="F412" s="1" t="s">
        <v>13004</v>
      </c>
      <c r="G412" s="1" t="s">
        <v>13005</v>
      </c>
    </row>
    <row r="413" spans="1:7">
      <c r="A413" s="1">
        <v>412</v>
      </c>
      <c r="B413" s="1" t="s">
        <v>13006</v>
      </c>
      <c r="D413" s="1" t="s">
        <v>12994</v>
      </c>
      <c r="E413" s="1" t="s">
        <v>13007</v>
      </c>
      <c r="F413" s="1" t="s">
        <v>13008</v>
      </c>
      <c r="G413" s="1" t="s">
        <v>13009</v>
      </c>
    </row>
    <row r="414" spans="1:7">
      <c r="A414" s="1">
        <v>413</v>
      </c>
      <c r="B414" s="1" t="s">
        <v>13010</v>
      </c>
      <c r="D414" s="1" t="s">
        <v>12994</v>
      </c>
      <c r="E414" s="1" t="s">
        <v>13011</v>
      </c>
      <c r="F414" s="1" t="s">
        <v>13012</v>
      </c>
      <c r="G414" s="1" t="s">
        <v>13013</v>
      </c>
    </row>
    <row r="415" spans="1:7">
      <c r="A415" s="1">
        <v>414</v>
      </c>
      <c r="B415" s="1" t="s">
        <v>13014</v>
      </c>
      <c r="D415" s="1" t="s">
        <v>12994</v>
      </c>
      <c r="E415" s="1" t="s">
        <v>13015</v>
      </c>
      <c r="F415" s="1" t="s">
        <v>13016</v>
      </c>
      <c r="G415" s="1" t="s">
        <v>13017</v>
      </c>
    </row>
    <row r="416" spans="1:7">
      <c r="A416" s="1">
        <v>415</v>
      </c>
      <c r="B416" s="1" t="s">
        <v>13018</v>
      </c>
      <c r="D416" s="1" t="s">
        <v>12994</v>
      </c>
      <c r="E416" s="1" t="s">
        <v>13019</v>
      </c>
      <c r="F416" s="1" t="s">
        <v>13020</v>
      </c>
      <c r="G416" s="1" t="s">
        <v>13021</v>
      </c>
    </row>
    <row r="417" spans="1:7">
      <c r="A417" s="1">
        <v>416</v>
      </c>
      <c r="B417" s="1" t="s">
        <v>13022</v>
      </c>
      <c r="D417" s="1" t="s">
        <v>12994</v>
      </c>
      <c r="E417" s="1" t="s">
        <v>13023</v>
      </c>
      <c r="F417" s="1" t="s">
        <v>13024</v>
      </c>
      <c r="G417" s="1" t="s">
        <v>13025</v>
      </c>
    </row>
    <row r="418" spans="1:7">
      <c r="A418" s="1">
        <v>417</v>
      </c>
      <c r="B418" s="1" t="s">
        <v>13026</v>
      </c>
      <c r="D418" s="1" t="s">
        <v>12994</v>
      </c>
      <c r="E418" s="1" t="s">
        <v>13027</v>
      </c>
      <c r="F418" s="1" t="s">
        <v>13028</v>
      </c>
      <c r="G418" s="1" t="s">
        <v>13029</v>
      </c>
    </row>
    <row r="419" spans="1:7">
      <c r="A419" s="1">
        <v>418</v>
      </c>
      <c r="B419" s="1" t="s">
        <v>13030</v>
      </c>
      <c r="D419" s="1" t="s">
        <v>12994</v>
      </c>
      <c r="E419" s="1" t="s">
        <v>13031</v>
      </c>
      <c r="F419" s="1" t="s">
        <v>13032</v>
      </c>
      <c r="G419" s="1" t="s">
        <v>13033</v>
      </c>
    </row>
    <row r="420" spans="1:7">
      <c r="A420" s="1">
        <v>419</v>
      </c>
      <c r="B420" s="1" t="s">
        <v>13034</v>
      </c>
      <c r="D420" s="1" t="s">
        <v>12994</v>
      </c>
      <c r="E420" s="1" t="s">
        <v>13035</v>
      </c>
      <c r="F420" s="1" t="s">
        <v>13036</v>
      </c>
      <c r="G420" s="1" t="s">
        <v>13037</v>
      </c>
    </row>
    <row r="421" spans="1:7">
      <c r="A421" s="1">
        <v>420</v>
      </c>
      <c r="B421" s="1" t="s">
        <v>13038</v>
      </c>
      <c r="D421" s="1" t="s">
        <v>5508</v>
      </c>
      <c r="E421" s="1" t="s">
        <v>13039</v>
      </c>
      <c r="F421" s="1" t="s">
        <v>13040</v>
      </c>
      <c r="G421" s="1" t="s">
        <v>13041</v>
      </c>
    </row>
    <row r="422" spans="1:7">
      <c r="A422" s="1">
        <v>421</v>
      </c>
      <c r="B422" s="1" t="s">
        <v>13042</v>
      </c>
      <c r="D422" s="1" t="s">
        <v>5508</v>
      </c>
      <c r="E422" s="1" t="s">
        <v>13043</v>
      </c>
      <c r="F422" s="1" t="s">
        <v>13044</v>
      </c>
      <c r="G422" s="1" t="s">
        <v>13045</v>
      </c>
    </row>
    <row r="423" spans="1:7">
      <c r="A423" s="1">
        <v>422</v>
      </c>
      <c r="B423" s="1" t="s">
        <v>13046</v>
      </c>
      <c r="D423" s="1" t="s">
        <v>5508</v>
      </c>
      <c r="E423" s="1" t="s">
        <v>13047</v>
      </c>
      <c r="F423" s="1" t="s">
        <v>13048</v>
      </c>
      <c r="G423" s="1" t="s">
        <v>13049</v>
      </c>
    </row>
    <row r="424" spans="1:7">
      <c r="A424" s="1">
        <v>423</v>
      </c>
      <c r="B424" s="1" t="s">
        <v>13050</v>
      </c>
      <c r="D424" s="1" t="s">
        <v>5508</v>
      </c>
      <c r="E424" s="1" t="s">
        <v>13051</v>
      </c>
      <c r="F424" s="1" t="s">
        <v>13052</v>
      </c>
      <c r="G424" s="1" t="s">
        <v>13053</v>
      </c>
    </row>
    <row r="425" spans="1:7">
      <c r="A425" s="1">
        <v>424</v>
      </c>
      <c r="B425" s="1" t="s">
        <v>13054</v>
      </c>
      <c r="D425" s="1" t="s">
        <v>5508</v>
      </c>
      <c r="E425" s="1" t="s">
        <v>13055</v>
      </c>
      <c r="F425" s="1" t="s">
        <v>13056</v>
      </c>
      <c r="G425" s="1" t="s">
        <v>13057</v>
      </c>
    </row>
    <row r="426" spans="1:7">
      <c r="A426" s="1">
        <v>425</v>
      </c>
      <c r="B426" s="1" t="s">
        <v>13058</v>
      </c>
      <c r="D426" s="1" t="s">
        <v>5508</v>
      </c>
      <c r="E426" s="1" t="s">
        <v>13059</v>
      </c>
      <c r="F426" s="1" t="s">
        <v>13060</v>
      </c>
      <c r="G426" s="1" t="s">
        <v>13061</v>
      </c>
    </row>
    <row r="427" spans="1:7">
      <c r="A427" s="1">
        <v>426</v>
      </c>
      <c r="B427" s="1" t="s">
        <v>13062</v>
      </c>
      <c r="D427" s="1" t="s">
        <v>5533</v>
      </c>
      <c r="E427" s="1" t="s">
        <v>13063</v>
      </c>
      <c r="F427" s="1" t="s">
        <v>13064</v>
      </c>
      <c r="G427" s="1" t="s">
        <v>13065</v>
      </c>
    </row>
    <row r="428" spans="1:7">
      <c r="A428" s="1">
        <v>427</v>
      </c>
      <c r="B428" s="1" t="s">
        <v>13066</v>
      </c>
      <c r="D428" s="1" t="s">
        <v>5533</v>
      </c>
      <c r="E428" s="1" t="s">
        <v>13067</v>
      </c>
      <c r="F428" s="1" t="s">
        <v>13068</v>
      </c>
      <c r="G428" s="1" t="s">
        <v>13069</v>
      </c>
    </row>
    <row r="429" spans="1:7">
      <c r="A429" s="1">
        <v>428</v>
      </c>
      <c r="B429" s="1" t="s">
        <v>13070</v>
      </c>
      <c r="D429" s="1" t="s">
        <v>5533</v>
      </c>
      <c r="E429" s="1" t="s">
        <v>13071</v>
      </c>
      <c r="F429" s="1" t="s">
        <v>13072</v>
      </c>
      <c r="G429" s="1" t="s">
        <v>13073</v>
      </c>
    </row>
    <row r="430" spans="1:7">
      <c r="A430" s="1">
        <v>429</v>
      </c>
      <c r="B430" s="1" t="s">
        <v>13074</v>
      </c>
      <c r="D430" s="1" t="s">
        <v>5533</v>
      </c>
      <c r="E430" s="1" t="s">
        <v>13075</v>
      </c>
      <c r="F430" s="1" t="s">
        <v>13076</v>
      </c>
      <c r="G430" s="1" t="s">
        <v>13077</v>
      </c>
    </row>
    <row r="431" spans="1:7">
      <c r="A431" s="1">
        <v>430</v>
      </c>
      <c r="B431" s="1" t="s">
        <v>13078</v>
      </c>
      <c r="D431" s="1" t="s">
        <v>5533</v>
      </c>
      <c r="E431" s="1" t="s">
        <v>13079</v>
      </c>
      <c r="F431" s="1" t="s">
        <v>13080</v>
      </c>
      <c r="G431" s="1" t="s">
        <v>13081</v>
      </c>
    </row>
    <row r="432" spans="1:7">
      <c r="A432" s="1">
        <v>431</v>
      </c>
      <c r="B432" s="1" t="s">
        <v>13082</v>
      </c>
      <c r="D432" s="1" t="s">
        <v>5554</v>
      </c>
      <c r="E432" s="1" t="s">
        <v>13083</v>
      </c>
      <c r="F432" s="1" t="s">
        <v>5551</v>
      </c>
      <c r="G432" s="1" t="s">
        <v>5552</v>
      </c>
    </row>
    <row r="433" spans="1:7">
      <c r="A433" s="1">
        <v>432</v>
      </c>
      <c r="B433" s="1" t="s">
        <v>13084</v>
      </c>
      <c r="D433" s="1" t="s">
        <v>5554</v>
      </c>
      <c r="E433" s="1" t="s">
        <v>13085</v>
      </c>
      <c r="F433" s="1" t="s">
        <v>5558</v>
      </c>
      <c r="G433" s="1" t="s">
        <v>5559</v>
      </c>
    </row>
    <row r="434" spans="1:7">
      <c r="A434" s="1">
        <v>433</v>
      </c>
      <c r="B434" s="1" t="s">
        <v>13086</v>
      </c>
      <c r="D434" s="1" t="s">
        <v>5561</v>
      </c>
      <c r="E434" s="1" t="s">
        <v>5575</v>
      </c>
      <c r="F434" s="1" t="s">
        <v>5576</v>
      </c>
      <c r="G434" s="1" t="s">
        <v>5577</v>
      </c>
    </row>
    <row r="435" spans="1:7">
      <c r="A435" s="1">
        <v>434</v>
      </c>
      <c r="B435" s="1" t="s">
        <v>13087</v>
      </c>
      <c r="D435" s="1" t="s">
        <v>5561</v>
      </c>
      <c r="E435" s="1" t="s">
        <v>5571</v>
      </c>
      <c r="F435" s="1" t="s">
        <v>5572</v>
      </c>
      <c r="G435" s="1" t="s">
        <v>5573</v>
      </c>
    </row>
    <row r="436" spans="1:7">
      <c r="A436" s="1">
        <v>435</v>
      </c>
      <c r="B436" s="1" t="s">
        <v>13088</v>
      </c>
      <c r="D436" s="1" t="s">
        <v>5561</v>
      </c>
      <c r="E436" s="1" t="s">
        <v>5579</v>
      </c>
      <c r="F436" s="1" t="s">
        <v>5580</v>
      </c>
      <c r="G436" s="1" t="s">
        <v>5581</v>
      </c>
    </row>
    <row r="437" spans="1:7">
      <c r="A437" s="1">
        <v>436</v>
      </c>
      <c r="B437" s="1" t="s">
        <v>13089</v>
      </c>
      <c r="D437" s="1" t="s">
        <v>5561</v>
      </c>
      <c r="E437" s="1" t="s">
        <v>1863</v>
      </c>
      <c r="F437" s="1" t="s">
        <v>5562</v>
      </c>
      <c r="G437" s="1" t="s">
        <v>5563</v>
      </c>
    </row>
    <row r="438" spans="1:7">
      <c r="A438" s="1">
        <v>437</v>
      </c>
      <c r="B438" s="1" t="s">
        <v>13090</v>
      </c>
      <c r="D438" s="1" t="s">
        <v>5561</v>
      </c>
      <c r="E438" s="1" t="s">
        <v>1852</v>
      </c>
      <c r="F438" s="1" t="s">
        <v>5565</v>
      </c>
      <c r="G438" s="1" t="s">
        <v>5566</v>
      </c>
    </row>
    <row r="439" spans="1:7">
      <c r="A439" s="1">
        <v>438</v>
      </c>
      <c r="B439" s="1" t="s">
        <v>13091</v>
      </c>
      <c r="D439" s="1" t="s">
        <v>5561</v>
      </c>
      <c r="E439" s="1" t="s">
        <v>1851</v>
      </c>
      <c r="F439" s="1" t="s">
        <v>5568</v>
      </c>
      <c r="G439" s="1" t="s">
        <v>5569</v>
      </c>
    </row>
    <row r="440" spans="1:7">
      <c r="A440" s="1">
        <v>439</v>
      </c>
      <c r="B440" s="1" t="s">
        <v>13092</v>
      </c>
      <c r="D440" s="1" t="s">
        <v>5561</v>
      </c>
      <c r="E440" s="1" t="s">
        <v>5600</v>
      </c>
      <c r="F440" s="1" t="s">
        <v>5601</v>
      </c>
      <c r="G440" s="1" t="s">
        <v>5602</v>
      </c>
    </row>
    <row r="441" spans="1:7">
      <c r="A441" s="1">
        <v>440</v>
      </c>
      <c r="B441" s="1" t="s">
        <v>13093</v>
      </c>
      <c r="D441" s="1" t="s">
        <v>5561</v>
      </c>
      <c r="E441" s="1" t="s">
        <v>5596</v>
      </c>
      <c r="F441" s="1" t="s">
        <v>5597</v>
      </c>
      <c r="G441" s="1" t="s">
        <v>5598</v>
      </c>
    </row>
    <row r="442" spans="1:7">
      <c r="A442" s="1">
        <v>441</v>
      </c>
      <c r="B442" s="1" t="s">
        <v>13094</v>
      </c>
      <c r="D442" s="1" t="s">
        <v>5561</v>
      </c>
      <c r="E442" s="1" t="s">
        <v>1855</v>
      </c>
      <c r="F442" s="1" t="s">
        <v>5586</v>
      </c>
      <c r="G442" s="1" t="s">
        <v>5587</v>
      </c>
    </row>
    <row r="443" spans="1:7">
      <c r="A443" s="1">
        <v>442</v>
      </c>
      <c r="B443" s="1" t="s">
        <v>13095</v>
      </c>
      <c r="D443" s="1" t="s">
        <v>5561</v>
      </c>
      <c r="E443" s="1" t="s">
        <v>1858</v>
      </c>
      <c r="F443" s="1" t="s">
        <v>5589</v>
      </c>
      <c r="G443" s="1" t="s">
        <v>5590</v>
      </c>
    </row>
    <row r="444" spans="1:7">
      <c r="A444" s="1">
        <v>443</v>
      </c>
      <c r="B444" s="1" t="s">
        <v>13096</v>
      </c>
      <c r="D444" s="1" t="s">
        <v>5561</v>
      </c>
      <c r="E444" s="1" t="s">
        <v>70</v>
      </c>
      <c r="F444" s="1" t="s">
        <v>5583</v>
      </c>
      <c r="G444" s="1" t="s">
        <v>5584</v>
      </c>
    </row>
    <row r="445" spans="1:7">
      <c r="A445" s="1">
        <v>444</v>
      </c>
      <c r="B445" s="1" t="s">
        <v>13097</v>
      </c>
      <c r="D445" s="1" t="s">
        <v>5561</v>
      </c>
      <c r="E445" s="1" t="s">
        <v>5592</v>
      </c>
      <c r="F445" s="1" t="s">
        <v>5593</v>
      </c>
      <c r="G445" s="1" t="s">
        <v>5594</v>
      </c>
    </row>
    <row r="446" spans="1:7">
      <c r="A446" s="1">
        <v>445</v>
      </c>
      <c r="B446" s="1" t="s">
        <v>13098</v>
      </c>
      <c r="D446" s="1" t="s">
        <v>5604</v>
      </c>
      <c r="E446" s="1" t="s">
        <v>5619</v>
      </c>
      <c r="F446" s="1" t="s">
        <v>13099</v>
      </c>
      <c r="G446" s="1" t="s">
        <v>13100</v>
      </c>
    </row>
    <row r="447" spans="1:7">
      <c r="A447" s="1">
        <v>446</v>
      </c>
      <c r="B447" s="1" t="s">
        <v>13101</v>
      </c>
      <c r="D447" s="1" t="s">
        <v>5604</v>
      </c>
      <c r="E447" s="1" t="s">
        <v>5615</v>
      </c>
      <c r="F447" s="1" t="s">
        <v>13102</v>
      </c>
      <c r="G447" s="1" t="s">
        <v>13103</v>
      </c>
    </row>
    <row r="448" spans="1:7">
      <c r="A448" s="1">
        <v>447</v>
      </c>
      <c r="B448" s="1" t="s">
        <v>13104</v>
      </c>
      <c r="D448" s="1" t="s">
        <v>5604</v>
      </c>
      <c r="E448" s="1" t="s">
        <v>5623</v>
      </c>
      <c r="F448" s="1" t="s">
        <v>13105</v>
      </c>
      <c r="G448" s="1" t="s">
        <v>13106</v>
      </c>
    </row>
    <row r="449" spans="1:7">
      <c r="A449" s="1">
        <v>448</v>
      </c>
      <c r="B449" s="1" t="s">
        <v>13107</v>
      </c>
      <c r="D449" s="1" t="s">
        <v>5604</v>
      </c>
      <c r="E449" s="1" t="s">
        <v>5605</v>
      </c>
      <c r="F449" s="1" t="s">
        <v>13108</v>
      </c>
      <c r="G449" s="1" t="s">
        <v>13109</v>
      </c>
    </row>
    <row r="450" spans="1:7">
      <c r="A450" s="1">
        <v>449</v>
      </c>
      <c r="B450" s="1" t="s">
        <v>13110</v>
      </c>
      <c r="D450" s="1" t="s">
        <v>5604</v>
      </c>
      <c r="E450" s="1" t="s">
        <v>1872</v>
      </c>
      <c r="F450" s="1" t="s">
        <v>13111</v>
      </c>
      <c r="G450" s="1" t="s">
        <v>13112</v>
      </c>
    </row>
    <row r="451" spans="1:7">
      <c r="A451" s="1">
        <v>450</v>
      </c>
      <c r="B451" s="1" t="s">
        <v>13113</v>
      </c>
      <c r="D451" s="1" t="s">
        <v>5604</v>
      </c>
      <c r="E451" s="1" t="s">
        <v>1871</v>
      </c>
      <c r="F451" s="1" t="s">
        <v>13114</v>
      </c>
      <c r="G451" s="1" t="s">
        <v>13115</v>
      </c>
    </row>
    <row r="452" spans="1:7">
      <c r="A452" s="1">
        <v>451</v>
      </c>
      <c r="B452" s="1" t="s">
        <v>13116</v>
      </c>
      <c r="D452" s="1" t="s">
        <v>5604</v>
      </c>
      <c r="E452" s="1" t="s">
        <v>5639</v>
      </c>
      <c r="F452" s="1" t="s">
        <v>13117</v>
      </c>
      <c r="G452" s="1" t="s">
        <v>13118</v>
      </c>
    </row>
    <row r="453" spans="1:7">
      <c r="A453" s="1">
        <v>452</v>
      </c>
      <c r="B453" s="1" t="s">
        <v>13119</v>
      </c>
      <c r="D453" s="1" t="s">
        <v>5604</v>
      </c>
      <c r="E453" s="1" t="s">
        <v>5635</v>
      </c>
      <c r="F453" s="1" t="s">
        <v>13120</v>
      </c>
      <c r="G453" s="1" t="s">
        <v>13121</v>
      </c>
    </row>
    <row r="454" spans="1:7">
      <c r="A454" s="1">
        <v>453</v>
      </c>
      <c r="B454" s="1" t="s">
        <v>13122</v>
      </c>
      <c r="D454" s="1" t="s">
        <v>5604</v>
      </c>
      <c r="E454" s="1" t="s">
        <v>5627</v>
      </c>
      <c r="F454" s="1" t="s">
        <v>13123</v>
      </c>
      <c r="G454" s="1" t="s">
        <v>13124</v>
      </c>
    </row>
    <row r="455" spans="1:7">
      <c r="A455" s="1">
        <v>454</v>
      </c>
      <c r="B455" s="1" t="s">
        <v>13125</v>
      </c>
      <c r="D455" s="1" t="s">
        <v>5604</v>
      </c>
      <c r="E455" s="1" t="s">
        <v>5631</v>
      </c>
      <c r="F455" s="1" t="s">
        <v>13126</v>
      </c>
      <c r="G455" s="1" t="s">
        <v>13127</v>
      </c>
    </row>
    <row r="456" spans="1:7">
      <c r="A456" s="1">
        <v>455</v>
      </c>
      <c r="B456" s="1" t="s">
        <v>13128</v>
      </c>
      <c r="D456" s="1" t="s">
        <v>5650</v>
      </c>
      <c r="E456" s="1" t="s">
        <v>5656</v>
      </c>
      <c r="F456" s="1" t="s">
        <v>13129</v>
      </c>
      <c r="G456" s="1" t="s">
        <v>13130</v>
      </c>
    </row>
    <row r="457" spans="1:7">
      <c r="A457" s="1">
        <v>456</v>
      </c>
      <c r="B457" s="1" t="s">
        <v>13131</v>
      </c>
      <c r="D457" s="1" t="s">
        <v>5650</v>
      </c>
      <c r="E457" s="1" t="s">
        <v>5654</v>
      </c>
      <c r="F457" s="1" t="s">
        <v>13132</v>
      </c>
      <c r="G457" s="1" t="s">
        <v>13133</v>
      </c>
    </row>
    <row r="458" spans="1:7">
      <c r="A458" s="1">
        <v>457</v>
      </c>
      <c r="B458" s="1" t="s">
        <v>13134</v>
      </c>
      <c r="D458" s="1" t="s">
        <v>5650</v>
      </c>
      <c r="E458" s="1" t="s">
        <v>5658</v>
      </c>
      <c r="F458" s="1" t="s">
        <v>13135</v>
      </c>
      <c r="G458" s="1" t="s">
        <v>13136</v>
      </c>
    </row>
    <row r="459" spans="1:7">
      <c r="A459" s="1">
        <v>458</v>
      </c>
      <c r="B459" s="1" t="s">
        <v>13137</v>
      </c>
      <c r="D459" s="1" t="s">
        <v>5650</v>
      </c>
      <c r="E459" s="1" t="s">
        <v>5651</v>
      </c>
      <c r="F459" s="1" t="s">
        <v>13138</v>
      </c>
      <c r="G459" s="1" t="s">
        <v>13139</v>
      </c>
    </row>
    <row r="460" spans="1:7">
      <c r="A460" s="1">
        <v>459</v>
      </c>
      <c r="B460" s="1" t="s">
        <v>13140</v>
      </c>
      <c r="D460" s="1" t="s">
        <v>5650</v>
      </c>
      <c r="E460" s="1" t="s">
        <v>1883</v>
      </c>
      <c r="F460" s="1" t="s">
        <v>13141</v>
      </c>
      <c r="G460" s="1" t="s">
        <v>13142</v>
      </c>
    </row>
    <row r="461" spans="1:7">
      <c r="A461" s="1">
        <v>460</v>
      </c>
      <c r="B461" s="1" t="s">
        <v>13143</v>
      </c>
      <c r="D461" s="1" t="s">
        <v>5650</v>
      </c>
      <c r="E461" s="1" t="s">
        <v>5666</v>
      </c>
      <c r="F461" s="1" t="s">
        <v>13144</v>
      </c>
      <c r="G461" s="1" t="s">
        <v>13145</v>
      </c>
    </row>
    <row r="462" spans="1:7">
      <c r="A462" s="1">
        <v>461</v>
      </c>
      <c r="B462" s="1" t="s">
        <v>13146</v>
      </c>
      <c r="D462" s="1" t="s">
        <v>5650</v>
      </c>
      <c r="E462" s="1" t="s">
        <v>5664</v>
      </c>
      <c r="F462" s="1" t="s">
        <v>13147</v>
      </c>
      <c r="G462" s="1" t="s">
        <v>13148</v>
      </c>
    </row>
    <row r="463" spans="1:7">
      <c r="A463" s="1">
        <v>462</v>
      </c>
      <c r="B463" s="1" t="s">
        <v>13149</v>
      </c>
      <c r="D463" s="1" t="s">
        <v>5650</v>
      </c>
      <c r="E463" s="1" t="s">
        <v>5660</v>
      </c>
      <c r="F463" s="1" t="s">
        <v>13150</v>
      </c>
      <c r="G463" s="1" t="s">
        <v>13151</v>
      </c>
    </row>
    <row r="464" spans="1:7">
      <c r="A464" s="1">
        <v>463</v>
      </c>
      <c r="B464" s="1" t="s">
        <v>13152</v>
      </c>
      <c r="D464" s="1" t="s">
        <v>5650</v>
      </c>
      <c r="E464" s="1" t="s">
        <v>5662</v>
      </c>
      <c r="F464" s="1" t="s">
        <v>13153</v>
      </c>
      <c r="G464" s="1" t="s">
        <v>13154</v>
      </c>
    </row>
    <row r="465" spans="1:7">
      <c r="A465" s="1">
        <v>464</v>
      </c>
      <c r="B465" s="1" t="s">
        <v>13155</v>
      </c>
      <c r="D465" s="1" t="s">
        <v>5668</v>
      </c>
      <c r="E465" s="1" t="s">
        <v>2170</v>
      </c>
      <c r="F465" s="1" t="s">
        <v>5669</v>
      </c>
      <c r="G465" s="1" t="s">
        <v>5670</v>
      </c>
    </row>
    <row r="466" spans="1:7">
      <c r="A466" s="1">
        <v>465</v>
      </c>
      <c r="B466" s="1" t="s">
        <v>13156</v>
      </c>
      <c r="D466" s="1" t="s">
        <v>5668</v>
      </c>
      <c r="E466" s="1" t="s">
        <v>2174</v>
      </c>
      <c r="F466" s="1" t="s">
        <v>274</v>
      </c>
      <c r="G466" s="1" t="s">
        <v>275</v>
      </c>
    </row>
    <row r="467" spans="1:7">
      <c r="A467" s="1">
        <v>466</v>
      </c>
      <c r="B467" s="1" t="s">
        <v>13157</v>
      </c>
      <c r="D467" s="1" t="s">
        <v>5668</v>
      </c>
      <c r="E467" s="1" t="s">
        <v>2178</v>
      </c>
      <c r="F467" s="1" t="s">
        <v>278</v>
      </c>
      <c r="G467" s="1" t="s">
        <v>279</v>
      </c>
    </row>
    <row r="468" spans="1:7">
      <c r="A468" s="1">
        <v>467</v>
      </c>
      <c r="B468" s="1" t="s">
        <v>13158</v>
      </c>
      <c r="D468" s="1" t="s">
        <v>5668</v>
      </c>
      <c r="E468" s="1" t="s">
        <v>2182</v>
      </c>
      <c r="F468" s="1" t="s">
        <v>282</v>
      </c>
      <c r="G468" s="1" t="s">
        <v>283</v>
      </c>
    </row>
    <row r="469" spans="1:7">
      <c r="A469" s="1">
        <v>468</v>
      </c>
      <c r="B469" s="1" t="s">
        <v>13159</v>
      </c>
      <c r="D469" s="1" t="s">
        <v>5675</v>
      </c>
      <c r="E469" s="1" t="s">
        <v>5133</v>
      </c>
      <c r="F469" s="1" t="s">
        <v>5689</v>
      </c>
      <c r="G469" s="1" t="s">
        <v>5690</v>
      </c>
    </row>
    <row r="470" spans="1:7">
      <c r="A470" s="1">
        <v>469</v>
      </c>
      <c r="B470" s="1" t="s">
        <v>13160</v>
      </c>
      <c r="D470" s="1" t="s">
        <v>5675</v>
      </c>
      <c r="E470" s="1" t="s">
        <v>5137</v>
      </c>
      <c r="F470" s="1" t="s">
        <v>5685</v>
      </c>
      <c r="G470" s="1" t="s">
        <v>5686</v>
      </c>
    </row>
    <row r="471" spans="1:7">
      <c r="A471" s="1">
        <v>470</v>
      </c>
      <c r="B471" s="1" t="s">
        <v>13161</v>
      </c>
      <c r="D471" s="1" t="s">
        <v>5675</v>
      </c>
      <c r="E471" s="1" t="s">
        <v>13162</v>
      </c>
      <c r="F471" s="1" t="s">
        <v>5693</v>
      </c>
      <c r="G471" s="1" t="s">
        <v>5694</v>
      </c>
    </row>
    <row r="472" spans="1:7">
      <c r="A472" s="1">
        <v>471</v>
      </c>
      <c r="B472" s="1" t="s">
        <v>13163</v>
      </c>
      <c r="D472" s="1" t="s">
        <v>5675</v>
      </c>
      <c r="E472" s="1" t="s">
        <v>7032</v>
      </c>
      <c r="F472" s="1" t="s">
        <v>5697</v>
      </c>
      <c r="G472" s="1" t="s">
        <v>5698</v>
      </c>
    </row>
    <row r="473" spans="1:7">
      <c r="A473" s="1">
        <v>472</v>
      </c>
      <c r="B473" s="1" t="s">
        <v>13164</v>
      </c>
      <c r="D473" s="1" t="s">
        <v>5675</v>
      </c>
      <c r="E473" s="1" t="s">
        <v>13165</v>
      </c>
      <c r="F473" s="1" t="s">
        <v>5681</v>
      </c>
      <c r="G473" s="1" t="s">
        <v>5682</v>
      </c>
    </row>
    <row r="474" spans="1:7">
      <c r="A474" s="1">
        <v>473</v>
      </c>
      <c r="B474" s="1" t="s">
        <v>13166</v>
      </c>
      <c r="D474" s="1" t="s">
        <v>5675</v>
      </c>
      <c r="E474" s="1" t="s">
        <v>7036</v>
      </c>
      <c r="F474" s="1" t="s">
        <v>5677</v>
      </c>
      <c r="G474" s="1" t="s">
        <v>5678</v>
      </c>
    </row>
    <row r="475" spans="1:7">
      <c r="A475" s="1">
        <v>474</v>
      </c>
      <c r="B475" s="1" t="s">
        <v>13167</v>
      </c>
      <c r="D475" s="1" t="s">
        <v>5675</v>
      </c>
      <c r="E475" s="1" t="s">
        <v>7040</v>
      </c>
      <c r="F475" s="1" t="s">
        <v>5709</v>
      </c>
      <c r="G475" s="1" t="s">
        <v>5710</v>
      </c>
    </row>
    <row r="476" spans="1:7">
      <c r="A476" s="1">
        <v>475</v>
      </c>
      <c r="B476" s="1" t="s">
        <v>13168</v>
      </c>
      <c r="D476" s="1" t="s">
        <v>5675</v>
      </c>
      <c r="E476" s="1" t="s">
        <v>7028</v>
      </c>
      <c r="F476" s="1" t="s">
        <v>5713</v>
      </c>
      <c r="G476" s="1" t="s">
        <v>5714</v>
      </c>
    </row>
    <row r="477" spans="1:7">
      <c r="A477" s="1">
        <v>476</v>
      </c>
      <c r="B477" s="1" t="s">
        <v>13169</v>
      </c>
      <c r="D477" s="1" t="s">
        <v>5675</v>
      </c>
      <c r="E477" s="1" t="s">
        <v>7044</v>
      </c>
      <c r="F477" s="1" t="s">
        <v>5701</v>
      </c>
      <c r="G477" s="1" t="s">
        <v>5702</v>
      </c>
    </row>
    <row r="478" spans="1:7">
      <c r="A478" s="1">
        <v>477</v>
      </c>
      <c r="B478" s="1" t="s">
        <v>13170</v>
      </c>
      <c r="D478" s="1" t="s">
        <v>5675</v>
      </c>
      <c r="E478" s="1" t="s">
        <v>7048</v>
      </c>
      <c r="F478" s="1" t="s">
        <v>5705</v>
      </c>
      <c r="G478" s="1" t="s">
        <v>5706</v>
      </c>
    </row>
    <row r="479" spans="1:7">
      <c r="A479" s="1">
        <v>478</v>
      </c>
      <c r="B479" s="1" t="s">
        <v>13171</v>
      </c>
      <c r="D479" s="1" t="s">
        <v>5716</v>
      </c>
      <c r="E479" s="1" t="s">
        <v>5719</v>
      </c>
      <c r="F479" s="1" t="s">
        <v>5720</v>
      </c>
      <c r="G479" s="1" t="s">
        <v>5721</v>
      </c>
    </row>
    <row r="480" spans="1:7">
      <c r="A480" s="1">
        <v>479</v>
      </c>
      <c r="B480" s="1" t="s">
        <v>13172</v>
      </c>
      <c r="D480" s="1" t="s">
        <v>5716</v>
      </c>
      <c r="E480" s="1" t="s">
        <v>5717</v>
      </c>
      <c r="F480" s="1" t="s">
        <v>1895</v>
      </c>
      <c r="G480" s="1" t="s">
        <v>1896</v>
      </c>
    </row>
    <row r="481" spans="1:7">
      <c r="A481" s="1">
        <v>480</v>
      </c>
      <c r="B481" s="1" t="s">
        <v>13173</v>
      </c>
      <c r="D481" s="1" t="s">
        <v>5723</v>
      </c>
      <c r="E481" s="1" t="s">
        <v>5732</v>
      </c>
      <c r="F481" s="1" t="s">
        <v>5733</v>
      </c>
      <c r="G481" s="1" t="s">
        <v>5734</v>
      </c>
    </row>
    <row r="482" spans="1:7">
      <c r="A482" s="1">
        <v>481</v>
      </c>
      <c r="B482" s="1" t="s">
        <v>13174</v>
      </c>
      <c r="D482" s="1" t="s">
        <v>5723</v>
      </c>
      <c r="E482" s="1" t="s">
        <v>5728</v>
      </c>
      <c r="F482" s="1" t="s">
        <v>5729</v>
      </c>
      <c r="G482" s="1" t="s">
        <v>5730</v>
      </c>
    </row>
    <row r="483" spans="1:7">
      <c r="A483" s="1">
        <v>482</v>
      </c>
      <c r="B483" s="1" t="s">
        <v>13175</v>
      </c>
      <c r="D483" s="1" t="s">
        <v>5723</v>
      </c>
      <c r="E483" s="1" t="s">
        <v>5736</v>
      </c>
      <c r="F483" s="1" t="s">
        <v>5737</v>
      </c>
      <c r="G483" s="1" t="s">
        <v>5738</v>
      </c>
    </row>
    <row r="484" spans="1:7">
      <c r="A484" s="1">
        <v>483</v>
      </c>
      <c r="B484" s="1" t="s">
        <v>13176</v>
      </c>
      <c r="D484" s="1" t="s">
        <v>5723</v>
      </c>
      <c r="E484" s="1" t="s">
        <v>5724</v>
      </c>
      <c r="F484" s="1" t="s">
        <v>5725</v>
      </c>
      <c r="G484" s="1" t="s">
        <v>5726</v>
      </c>
    </row>
    <row r="485" spans="1:7">
      <c r="A485" s="1">
        <v>484</v>
      </c>
      <c r="B485" s="1" t="s">
        <v>13177</v>
      </c>
      <c r="D485" s="1" t="s">
        <v>5723</v>
      </c>
      <c r="E485" s="1" t="s">
        <v>5751</v>
      </c>
      <c r="F485" s="1" t="s">
        <v>5752</v>
      </c>
      <c r="G485" s="1" t="s">
        <v>5753</v>
      </c>
    </row>
    <row r="486" spans="1:7">
      <c r="A486" s="1">
        <v>485</v>
      </c>
      <c r="B486" s="1" t="s">
        <v>13178</v>
      </c>
      <c r="D486" s="1" t="s">
        <v>5723</v>
      </c>
      <c r="E486" s="1" t="s">
        <v>5747</v>
      </c>
      <c r="F486" s="1" t="s">
        <v>5748</v>
      </c>
      <c r="G486" s="1" t="s">
        <v>5749</v>
      </c>
    </row>
    <row r="487" spans="1:7">
      <c r="A487" s="1">
        <v>486</v>
      </c>
      <c r="B487" s="1" t="s">
        <v>13179</v>
      </c>
      <c r="D487" s="1" t="s">
        <v>5723</v>
      </c>
      <c r="E487" s="1" t="s">
        <v>5740</v>
      </c>
      <c r="F487" s="1" t="s">
        <v>5741</v>
      </c>
      <c r="G487" s="1" t="s">
        <v>5742</v>
      </c>
    </row>
    <row r="488" spans="1:7">
      <c r="A488" s="1">
        <v>487</v>
      </c>
      <c r="B488" s="1" t="s">
        <v>13180</v>
      </c>
      <c r="D488" s="1" t="s">
        <v>5723</v>
      </c>
      <c r="E488" s="1" t="s">
        <v>3485</v>
      </c>
      <c r="F488" s="1" t="s">
        <v>5744</v>
      </c>
      <c r="G488" s="1" t="s">
        <v>5745</v>
      </c>
    </row>
    <row r="489" spans="1:7">
      <c r="A489" s="1">
        <v>488</v>
      </c>
      <c r="B489" s="1" t="s">
        <v>13181</v>
      </c>
      <c r="D489" s="1" t="s">
        <v>5755</v>
      </c>
      <c r="E489" s="1" t="s">
        <v>3502</v>
      </c>
      <c r="F489" s="1" t="s">
        <v>5762</v>
      </c>
      <c r="G489" s="1" t="s">
        <v>5763</v>
      </c>
    </row>
    <row r="490" spans="1:7">
      <c r="A490" s="1">
        <v>489</v>
      </c>
      <c r="B490" s="1" t="s">
        <v>13182</v>
      </c>
      <c r="D490" s="1" t="s">
        <v>5755</v>
      </c>
      <c r="E490" s="1" t="s">
        <v>3503</v>
      </c>
      <c r="F490" s="1" t="s">
        <v>5759</v>
      </c>
      <c r="G490" s="1" t="s">
        <v>5760</v>
      </c>
    </row>
    <row r="491" spans="1:7">
      <c r="A491" s="1">
        <v>490</v>
      </c>
      <c r="B491" s="1" t="s">
        <v>13183</v>
      </c>
      <c r="D491" s="1" t="s">
        <v>5755</v>
      </c>
      <c r="E491" s="1" t="s">
        <v>5765</v>
      </c>
      <c r="F491" s="1" t="s">
        <v>5766</v>
      </c>
      <c r="G491" s="1" t="s">
        <v>5767</v>
      </c>
    </row>
    <row r="492" spans="1:7">
      <c r="A492" s="1">
        <v>491</v>
      </c>
      <c r="B492" s="1" t="s">
        <v>13184</v>
      </c>
      <c r="D492" s="1" t="s">
        <v>5755</v>
      </c>
      <c r="E492" s="1" t="s">
        <v>3504</v>
      </c>
      <c r="F492" s="1" t="s">
        <v>5756</v>
      </c>
      <c r="G492" s="1" t="s">
        <v>5757</v>
      </c>
    </row>
    <row r="493" spans="1:7">
      <c r="A493" s="1">
        <v>492</v>
      </c>
      <c r="B493" s="1" t="s">
        <v>13185</v>
      </c>
      <c r="D493" s="1" t="s">
        <v>5755</v>
      </c>
      <c r="E493" s="1" t="s">
        <v>5780</v>
      </c>
      <c r="F493" s="1" t="s">
        <v>5781</v>
      </c>
      <c r="G493" s="1" t="s">
        <v>5782</v>
      </c>
    </row>
    <row r="494" spans="1:7">
      <c r="A494" s="1">
        <v>493</v>
      </c>
      <c r="B494" s="1" t="s">
        <v>13186</v>
      </c>
      <c r="D494" s="1" t="s">
        <v>5755</v>
      </c>
      <c r="E494" s="1" t="s">
        <v>3505</v>
      </c>
      <c r="F494" s="1" t="s">
        <v>5777</v>
      </c>
      <c r="G494" s="1" t="s">
        <v>5778</v>
      </c>
    </row>
    <row r="495" spans="1:7">
      <c r="A495" s="1">
        <v>494</v>
      </c>
      <c r="B495" s="1" t="s">
        <v>13187</v>
      </c>
      <c r="D495" s="1" t="s">
        <v>5755</v>
      </c>
      <c r="E495" s="1" t="s">
        <v>5769</v>
      </c>
      <c r="F495" s="1" t="s">
        <v>5770</v>
      </c>
      <c r="G495" s="1" t="s">
        <v>5771</v>
      </c>
    </row>
    <row r="496" spans="1:7">
      <c r="A496" s="1">
        <v>495</v>
      </c>
      <c r="B496" s="1" t="s">
        <v>13188</v>
      </c>
      <c r="D496" s="1" t="s">
        <v>5755</v>
      </c>
      <c r="E496" s="1" t="s">
        <v>5773</v>
      </c>
      <c r="F496" s="1" t="s">
        <v>5774</v>
      </c>
      <c r="G496" s="1" t="s">
        <v>5775</v>
      </c>
    </row>
    <row r="497" spans="1:7">
      <c r="A497" s="1">
        <v>496</v>
      </c>
      <c r="B497" s="1" t="s">
        <v>13189</v>
      </c>
      <c r="D497" s="1" t="s">
        <v>5784</v>
      </c>
      <c r="E497" s="1" t="s">
        <v>3517</v>
      </c>
      <c r="F497" s="1" t="s">
        <v>5791</v>
      </c>
      <c r="G497" s="1" t="s">
        <v>5792</v>
      </c>
    </row>
    <row r="498" spans="1:7">
      <c r="A498" s="1">
        <v>497</v>
      </c>
      <c r="B498" s="1" t="s">
        <v>13190</v>
      </c>
      <c r="D498" s="1" t="s">
        <v>5784</v>
      </c>
      <c r="E498" s="1" t="s">
        <v>3518</v>
      </c>
      <c r="F498" s="1" t="s">
        <v>5788</v>
      </c>
      <c r="G498" s="1" t="s">
        <v>5789</v>
      </c>
    </row>
    <row r="499" spans="1:7">
      <c r="A499" s="1">
        <v>498</v>
      </c>
      <c r="B499" s="1" t="s">
        <v>13191</v>
      </c>
      <c r="D499" s="1" t="s">
        <v>5784</v>
      </c>
      <c r="E499" s="1" t="s">
        <v>3519</v>
      </c>
      <c r="F499" s="1" t="s">
        <v>5794</v>
      </c>
      <c r="G499" s="1" t="s">
        <v>5795</v>
      </c>
    </row>
    <row r="500" spans="1:7">
      <c r="A500" s="1">
        <v>499</v>
      </c>
      <c r="B500" s="1" t="s">
        <v>13192</v>
      </c>
      <c r="D500" s="1" t="s">
        <v>5784</v>
      </c>
      <c r="E500" s="1" t="s">
        <v>3520</v>
      </c>
      <c r="F500" s="1" t="s">
        <v>5785</v>
      </c>
      <c r="G500" s="1" t="s">
        <v>5786</v>
      </c>
    </row>
    <row r="501" spans="1:7">
      <c r="A501" s="1">
        <v>500</v>
      </c>
      <c r="B501" s="1" t="s">
        <v>13193</v>
      </c>
      <c r="D501" s="1" t="s">
        <v>5784</v>
      </c>
      <c r="E501" s="1" t="s">
        <v>3523</v>
      </c>
      <c r="F501" s="1" t="s">
        <v>5806</v>
      </c>
      <c r="G501" s="1" t="s">
        <v>5807</v>
      </c>
    </row>
    <row r="502" spans="1:7">
      <c r="A502" s="1">
        <v>501</v>
      </c>
      <c r="B502" s="1" t="s">
        <v>13194</v>
      </c>
      <c r="D502" s="1" t="s">
        <v>5784</v>
      </c>
      <c r="E502" s="1" t="s">
        <v>3521</v>
      </c>
      <c r="F502" s="1" t="s">
        <v>5803</v>
      </c>
      <c r="G502" s="1" t="s">
        <v>5804</v>
      </c>
    </row>
    <row r="503" spans="1:7">
      <c r="A503" s="1">
        <v>502</v>
      </c>
      <c r="B503" s="1" t="s">
        <v>13195</v>
      </c>
      <c r="D503" s="1" t="s">
        <v>5784</v>
      </c>
      <c r="E503" s="1" t="s">
        <v>3522</v>
      </c>
      <c r="F503" s="1" t="s">
        <v>5797</v>
      </c>
      <c r="G503" s="1" t="s">
        <v>5798</v>
      </c>
    </row>
    <row r="504" spans="1:7">
      <c r="A504" s="1">
        <v>503</v>
      </c>
      <c r="B504" s="1" t="s">
        <v>13196</v>
      </c>
      <c r="D504" s="1" t="s">
        <v>5784</v>
      </c>
      <c r="E504" s="1" t="s">
        <v>3524</v>
      </c>
      <c r="F504" s="1" t="s">
        <v>5800</v>
      </c>
      <c r="G504" s="1" t="s">
        <v>5801</v>
      </c>
    </row>
    <row r="505" spans="1:7">
      <c r="A505" s="1">
        <v>504</v>
      </c>
      <c r="B505" s="1" t="s">
        <v>13197</v>
      </c>
      <c r="D505" s="1" t="s">
        <v>5809</v>
      </c>
      <c r="E505" s="1" t="s">
        <v>3535</v>
      </c>
      <c r="F505" s="1" t="s">
        <v>5817</v>
      </c>
      <c r="G505" s="1" t="s">
        <v>5818</v>
      </c>
    </row>
    <row r="506" spans="1:7">
      <c r="A506" s="1">
        <v>505</v>
      </c>
      <c r="B506" s="1" t="s">
        <v>13198</v>
      </c>
      <c r="D506" s="1" t="s">
        <v>5809</v>
      </c>
      <c r="E506" s="1" t="s">
        <v>3536</v>
      </c>
      <c r="F506" s="1" t="s">
        <v>5814</v>
      </c>
      <c r="G506" s="1" t="s">
        <v>5815</v>
      </c>
    </row>
    <row r="507" spans="1:7">
      <c r="A507" s="1">
        <v>506</v>
      </c>
      <c r="B507" s="1" t="s">
        <v>13199</v>
      </c>
      <c r="D507" s="1" t="s">
        <v>5809</v>
      </c>
      <c r="E507" s="1" t="s">
        <v>3537</v>
      </c>
      <c r="F507" s="1" t="s">
        <v>5820</v>
      </c>
      <c r="G507" s="1" t="s">
        <v>5821</v>
      </c>
    </row>
    <row r="508" spans="1:7">
      <c r="A508" s="1">
        <v>507</v>
      </c>
      <c r="B508" s="1" t="s">
        <v>13200</v>
      </c>
      <c r="D508" s="1" t="s">
        <v>5809</v>
      </c>
      <c r="E508" s="1" t="s">
        <v>5810</v>
      </c>
      <c r="F508" s="1" t="s">
        <v>5811</v>
      </c>
      <c r="G508" s="1" t="s">
        <v>5812</v>
      </c>
    </row>
    <row r="509" spans="1:7">
      <c r="A509" s="1">
        <v>508</v>
      </c>
      <c r="B509" s="1" t="s">
        <v>13201</v>
      </c>
      <c r="D509" s="1" t="s">
        <v>5809</v>
      </c>
      <c r="E509" s="1" t="s">
        <v>3538</v>
      </c>
      <c r="F509" s="1" t="s">
        <v>5834</v>
      </c>
      <c r="G509" s="1" t="s">
        <v>5835</v>
      </c>
    </row>
    <row r="510" spans="1:7">
      <c r="A510" s="1">
        <v>509</v>
      </c>
      <c r="B510" s="1" t="s">
        <v>13202</v>
      </c>
      <c r="D510" s="1" t="s">
        <v>5809</v>
      </c>
      <c r="E510" s="1" t="s">
        <v>5830</v>
      </c>
      <c r="F510" s="1" t="s">
        <v>5831</v>
      </c>
      <c r="G510" s="1" t="s">
        <v>5832</v>
      </c>
    </row>
    <row r="511" spans="1:7">
      <c r="A511" s="1">
        <v>510</v>
      </c>
      <c r="B511" s="1" t="s">
        <v>13203</v>
      </c>
      <c r="D511" s="1" t="s">
        <v>5809</v>
      </c>
      <c r="E511" s="1" t="s">
        <v>5823</v>
      </c>
      <c r="F511" s="1" t="s">
        <v>5824</v>
      </c>
      <c r="G511" s="1" t="s">
        <v>5825</v>
      </c>
    </row>
    <row r="512" spans="1:7">
      <c r="A512" s="1">
        <v>511</v>
      </c>
      <c r="B512" s="1" t="s">
        <v>13204</v>
      </c>
      <c r="D512" s="1" t="s">
        <v>5809</v>
      </c>
      <c r="E512" s="1" t="s">
        <v>3539</v>
      </c>
      <c r="F512" s="1" t="s">
        <v>5827</v>
      </c>
      <c r="G512" s="1" t="s">
        <v>5828</v>
      </c>
    </row>
    <row r="513" spans="1:7">
      <c r="A513" s="1">
        <v>512</v>
      </c>
      <c r="B513" s="1" t="s">
        <v>13205</v>
      </c>
      <c r="D513" s="1" t="s">
        <v>5837</v>
      </c>
      <c r="E513" s="1" t="s">
        <v>5846</v>
      </c>
      <c r="F513" s="1" t="s">
        <v>5847</v>
      </c>
      <c r="G513" s="1" t="s">
        <v>5848</v>
      </c>
    </row>
    <row r="514" spans="1:7">
      <c r="A514" s="1">
        <v>513</v>
      </c>
      <c r="B514" s="1" t="s">
        <v>13206</v>
      </c>
      <c r="D514" s="1" t="s">
        <v>5837</v>
      </c>
      <c r="E514" s="1" t="s">
        <v>5842</v>
      </c>
      <c r="F514" s="1" t="s">
        <v>5843</v>
      </c>
      <c r="G514" s="1" t="s">
        <v>5844</v>
      </c>
    </row>
    <row r="515" spans="1:7">
      <c r="A515" s="1">
        <v>514</v>
      </c>
      <c r="B515" s="1" t="s">
        <v>13207</v>
      </c>
      <c r="D515" s="1" t="s">
        <v>5837</v>
      </c>
      <c r="E515" s="1" t="s">
        <v>5850</v>
      </c>
      <c r="F515" s="1" t="s">
        <v>5851</v>
      </c>
      <c r="G515" s="1" t="s">
        <v>5852</v>
      </c>
    </row>
    <row r="516" spans="1:7">
      <c r="A516" s="1">
        <v>515</v>
      </c>
      <c r="B516" s="1" t="s">
        <v>13208</v>
      </c>
      <c r="D516" s="1" t="s">
        <v>5837</v>
      </c>
      <c r="E516" s="1" t="s">
        <v>5838</v>
      </c>
      <c r="F516" s="1" t="s">
        <v>5839</v>
      </c>
      <c r="G516" s="1" t="s">
        <v>5840</v>
      </c>
    </row>
    <row r="517" spans="1:7">
      <c r="A517" s="1">
        <v>516</v>
      </c>
      <c r="B517" s="1" t="s">
        <v>13209</v>
      </c>
      <c r="D517" s="1" t="s">
        <v>5837</v>
      </c>
      <c r="E517" s="1" t="s">
        <v>5865</v>
      </c>
      <c r="F517" s="1" t="s">
        <v>5866</v>
      </c>
      <c r="G517" s="1" t="s">
        <v>5867</v>
      </c>
    </row>
    <row r="518" spans="1:7">
      <c r="A518" s="1">
        <v>517</v>
      </c>
      <c r="B518" s="1" t="s">
        <v>13210</v>
      </c>
      <c r="D518" s="1" t="s">
        <v>5837</v>
      </c>
      <c r="E518" s="1" t="s">
        <v>5861</v>
      </c>
      <c r="F518" s="1" t="s">
        <v>5862</v>
      </c>
      <c r="G518" s="1" t="s">
        <v>5863</v>
      </c>
    </row>
    <row r="519" spans="1:7">
      <c r="A519" s="1">
        <v>518</v>
      </c>
      <c r="B519" s="1" t="s">
        <v>13211</v>
      </c>
      <c r="D519" s="1" t="s">
        <v>5837</v>
      </c>
      <c r="E519" s="1" t="s">
        <v>5854</v>
      </c>
      <c r="F519" s="1" t="s">
        <v>5855</v>
      </c>
      <c r="G519" s="1" t="s">
        <v>5856</v>
      </c>
    </row>
    <row r="520" spans="1:7">
      <c r="A520" s="1">
        <v>519</v>
      </c>
      <c r="B520" s="1" t="s">
        <v>13212</v>
      </c>
      <c r="D520" s="1" t="s">
        <v>5837</v>
      </c>
      <c r="E520" s="1" t="s">
        <v>3557</v>
      </c>
      <c r="F520" s="1" t="s">
        <v>5858</v>
      </c>
      <c r="G520" s="1" t="s">
        <v>5859</v>
      </c>
    </row>
    <row r="521" spans="1:7">
      <c r="A521" s="1">
        <v>520</v>
      </c>
      <c r="B521" s="1" t="s">
        <v>13213</v>
      </c>
      <c r="D521" s="1" t="s">
        <v>5869</v>
      </c>
      <c r="E521" s="1" t="s">
        <v>5878</v>
      </c>
      <c r="F521" s="1" t="s">
        <v>5879</v>
      </c>
      <c r="G521" s="1" t="s">
        <v>5880</v>
      </c>
    </row>
    <row r="522" spans="1:7">
      <c r="A522" s="1">
        <v>521</v>
      </c>
      <c r="B522" s="1" t="s">
        <v>13214</v>
      </c>
      <c r="D522" s="1" t="s">
        <v>5869</v>
      </c>
      <c r="E522" s="1" t="s">
        <v>5874</v>
      </c>
      <c r="F522" s="1" t="s">
        <v>5875</v>
      </c>
      <c r="G522" s="1" t="s">
        <v>5876</v>
      </c>
    </row>
    <row r="523" spans="1:7">
      <c r="A523" s="1">
        <v>522</v>
      </c>
      <c r="B523" s="1" t="s">
        <v>13215</v>
      </c>
      <c r="D523" s="1" t="s">
        <v>5869</v>
      </c>
      <c r="E523" s="1" t="s">
        <v>5882</v>
      </c>
      <c r="F523" s="1" t="s">
        <v>5883</v>
      </c>
      <c r="G523" s="1" t="s">
        <v>5884</v>
      </c>
    </row>
    <row r="524" spans="1:7">
      <c r="A524" s="1">
        <v>523</v>
      </c>
      <c r="B524" s="1" t="s">
        <v>13216</v>
      </c>
      <c r="D524" s="1" t="s">
        <v>5869</v>
      </c>
      <c r="E524" s="1" t="s">
        <v>5870</v>
      </c>
      <c r="F524" s="1" t="s">
        <v>5871</v>
      </c>
      <c r="G524" s="1" t="s">
        <v>5872</v>
      </c>
    </row>
    <row r="525" spans="1:7">
      <c r="A525" s="1">
        <v>524</v>
      </c>
      <c r="B525" s="1" t="s">
        <v>13217</v>
      </c>
      <c r="D525" s="1" t="s">
        <v>5869</v>
      </c>
      <c r="E525" s="1" t="s">
        <v>5898</v>
      </c>
      <c r="F525" s="1" t="s">
        <v>5899</v>
      </c>
      <c r="G525" s="1" t="s">
        <v>5900</v>
      </c>
    </row>
    <row r="526" spans="1:7">
      <c r="A526" s="1">
        <v>525</v>
      </c>
      <c r="B526" s="1" t="s">
        <v>13218</v>
      </c>
      <c r="D526" s="1" t="s">
        <v>5869</v>
      </c>
      <c r="E526" s="1" t="s">
        <v>5894</v>
      </c>
      <c r="F526" s="1" t="s">
        <v>5895</v>
      </c>
      <c r="G526" s="1" t="s">
        <v>5896</v>
      </c>
    </row>
    <row r="527" spans="1:7">
      <c r="A527" s="1">
        <v>526</v>
      </c>
      <c r="B527" s="1" t="s">
        <v>13219</v>
      </c>
      <c r="D527" s="1" t="s">
        <v>5869</v>
      </c>
      <c r="E527" s="1" t="s">
        <v>5886</v>
      </c>
      <c r="F527" s="1" t="s">
        <v>5887</v>
      </c>
      <c r="G527" s="1" t="s">
        <v>5888</v>
      </c>
    </row>
    <row r="528" spans="1:7">
      <c r="A528" s="1">
        <v>527</v>
      </c>
      <c r="B528" s="1" t="s">
        <v>13220</v>
      </c>
      <c r="D528" s="1" t="s">
        <v>5869</v>
      </c>
      <c r="E528" s="1" t="s">
        <v>5890</v>
      </c>
      <c r="F528" s="1" t="s">
        <v>5891</v>
      </c>
      <c r="G528" s="1" t="s">
        <v>5892</v>
      </c>
    </row>
    <row r="529" spans="1:7">
      <c r="A529" s="1">
        <v>528</v>
      </c>
      <c r="B529" s="1" t="s">
        <v>13221</v>
      </c>
      <c r="D529" s="1" t="s">
        <v>5902</v>
      </c>
      <c r="E529" s="1" t="s">
        <v>5911</v>
      </c>
      <c r="F529" s="1" t="s">
        <v>5879</v>
      </c>
      <c r="G529" s="1" t="s">
        <v>5880</v>
      </c>
    </row>
    <row r="530" spans="1:7">
      <c r="A530" s="1">
        <v>529</v>
      </c>
      <c r="B530" s="1" t="s">
        <v>13222</v>
      </c>
      <c r="D530" s="1" t="s">
        <v>5902</v>
      </c>
      <c r="E530" s="1" t="s">
        <v>5909</v>
      </c>
      <c r="F530" s="1" t="s">
        <v>5875</v>
      </c>
      <c r="G530" s="1" t="s">
        <v>5876</v>
      </c>
    </row>
    <row r="531" spans="1:7">
      <c r="A531" s="1">
        <v>530</v>
      </c>
      <c r="B531" s="1" t="s">
        <v>13223</v>
      </c>
      <c r="D531" s="1" t="s">
        <v>5902</v>
      </c>
      <c r="E531" s="1" t="s">
        <v>5913</v>
      </c>
      <c r="F531" s="1" t="s">
        <v>5883</v>
      </c>
      <c r="G531" s="1" t="s">
        <v>5884</v>
      </c>
    </row>
    <row r="532" spans="1:7">
      <c r="A532" s="1">
        <v>531</v>
      </c>
      <c r="B532" s="1" t="s">
        <v>13224</v>
      </c>
      <c r="D532" s="1" t="s">
        <v>5902</v>
      </c>
      <c r="E532" s="1" t="s">
        <v>5903</v>
      </c>
      <c r="F532" s="1" t="s">
        <v>5904</v>
      </c>
      <c r="G532" s="1" t="s">
        <v>5905</v>
      </c>
    </row>
    <row r="533" spans="1:7">
      <c r="A533" s="1">
        <v>532</v>
      </c>
      <c r="B533" s="1" t="s">
        <v>13225</v>
      </c>
      <c r="D533" s="1" t="s">
        <v>5902</v>
      </c>
      <c r="E533" s="1" t="s">
        <v>5907</v>
      </c>
      <c r="F533" s="1" t="s">
        <v>5871</v>
      </c>
      <c r="G533" s="1" t="s">
        <v>5872</v>
      </c>
    </row>
    <row r="534" spans="1:7">
      <c r="A534" s="1">
        <v>533</v>
      </c>
      <c r="B534" s="1" t="s">
        <v>13226</v>
      </c>
      <c r="D534" s="1" t="s">
        <v>5902</v>
      </c>
      <c r="E534" s="1" t="s">
        <v>5921</v>
      </c>
      <c r="F534" s="1" t="s">
        <v>5899</v>
      </c>
      <c r="G534" s="1" t="s">
        <v>5900</v>
      </c>
    </row>
    <row r="535" spans="1:7">
      <c r="A535" s="1">
        <v>534</v>
      </c>
      <c r="B535" s="1" t="s">
        <v>13227</v>
      </c>
      <c r="D535" s="1" t="s">
        <v>5902</v>
      </c>
      <c r="E535" s="1" t="s">
        <v>5919</v>
      </c>
      <c r="F535" s="1" t="s">
        <v>5895</v>
      </c>
      <c r="G535" s="1" t="s">
        <v>5896</v>
      </c>
    </row>
    <row r="536" spans="1:7">
      <c r="A536" s="1">
        <v>535</v>
      </c>
      <c r="B536" s="1" t="s">
        <v>13228</v>
      </c>
      <c r="D536" s="1" t="s">
        <v>5902</v>
      </c>
      <c r="E536" s="1" t="s">
        <v>5915</v>
      </c>
      <c r="F536" s="1" t="s">
        <v>5887</v>
      </c>
      <c r="G536" s="1" t="s">
        <v>5888</v>
      </c>
    </row>
    <row r="537" spans="1:7">
      <c r="A537" s="1">
        <v>536</v>
      </c>
      <c r="B537" s="1" t="s">
        <v>13229</v>
      </c>
      <c r="D537" s="1" t="s">
        <v>5902</v>
      </c>
      <c r="E537" s="1" t="s">
        <v>5917</v>
      </c>
      <c r="F537" s="1" t="s">
        <v>5891</v>
      </c>
      <c r="G537" s="1" t="s">
        <v>5892</v>
      </c>
    </row>
    <row r="538" spans="1:7">
      <c r="A538" s="1">
        <v>537</v>
      </c>
      <c r="B538" s="1" t="s">
        <v>13230</v>
      </c>
      <c r="D538" s="1" t="s">
        <v>5923</v>
      </c>
      <c r="E538" s="1" t="s">
        <v>5928</v>
      </c>
      <c r="F538" s="1" t="s">
        <v>5879</v>
      </c>
      <c r="G538" s="1" t="s">
        <v>5880</v>
      </c>
    </row>
    <row r="539" spans="1:7">
      <c r="A539" s="1">
        <v>538</v>
      </c>
      <c r="B539" s="1" t="s">
        <v>13231</v>
      </c>
      <c r="D539" s="1" t="s">
        <v>5923</v>
      </c>
      <c r="E539" s="1" t="s">
        <v>5926</v>
      </c>
      <c r="F539" s="1" t="s">
        <v>5875</v>
      </c>
      <c r="G539" s="1" t="s">
        <v>5876</v>
      </c>
    </row>
    <row r="540" spans="1:7">
      <c r="A540" s="1">
        <v>539</v>
      </c>
      <c r="B540" s="1" t="s">
        <v>13232</v>
      </c>
      <c r="D540" s="1" t="s">
        <v>5923</v>
      </c>
      <c r="E540" s="1" t="s">
        <v>5930</v>
      </c>
      <c r="F540" s="1" t="s">
        <v>5883</v>
      </c>
      <c r="G540" s="1" t="s">
        <v>5884</v>
      </c>
    </row>
    <row r="541" spans="1:7">
      <c r="A541" s="1">
        <v>540</v>
      </c>
      <c r="B541" s="1" t="s">
        <v>13233</v>
      </c>
      <c r="D541" s="1" t="s">
        <v>5923</v>
      </c>
      <c r="E541" s="1" t="s">
        <v>5924</v>
      </c>
      <c r="F541" s="1" t="s">
        <v>5871</v>
      </c>
      <c r="G541" s="1" t="s">
        <v>5872</v>
      </c>
    </row>
    <row r="542" spans="1:7">
      <c r="A542" s="1">
        <v>541</v>
      </c>
      <c r="B542" s="1" t="s">
        <v>13234</v>
      </c>
      <c r="D542" s="1" t="s">
        <v>5923</v>
      </c>
      <c r="E542" s="1" t="s">
        <v>5938</v>
      </c>
      <c r="F542" s="1" t="s">
        <v>5899</v>
      </c>
      <c r="G542" s="1" t="s">
        <v>5900</v>
      </c>
    </row>
    <row r="543" spans="1:7">
      <c r="A543" s="1">
        <v>542</v>
      </c>
      <c r="B543" s="1" t="s">
        <v>13235</v>
      </c>
      <c r="D543" s="1" t="s">
        <v>5923</v>
      </c>
      <c r="E543" s="1" t="s">
        <v>5936</v>
      </c>
      <c r="F543" s="1" t="s">
        <v>5895</v>
      </c>
      <c r="G543" s="1" t="s">
        <v>5896</v>
      </c>
    </row>
    <row r="544" spans="1:7">
      <c r="A544" s="1">
        <v>543</v>
      </c>
      <c r="B544" s="1" t="s">
        <v>13236</v>
      </c>
      <c r="D544" s="1" t="s">
        <v>5923</v>
      </c>
      <c r="E544" s="1" t="s">
        <v>5932</v>
      </c>
      <c r="F544" s="1" t="s">
        <v>5887</v>
      </c>
      <c r="G544" s="1" t="s">
        <v>5888</v>
      </c>
    </row>
    <row r="545" spans="1:7">
      <c r="A545" s="1">
        <v>544</v>
      </c>
      <c r="B545" s="1" t="s">
        <v>13237</v>
      </c>
      <c r="D545" s="1" t="s">
        <v>5923</v>
      </c>
      <c r="E545" s="1" t="s">
        <v>5934</v>
      </c>
      <c r="F545" s="1" t="s">
        <v>5891</v>
      </c>
      <c r="G545" s="1" t="s">
        <v>5892</v>
      </c>
    </row>
    <row r="546" spans="1:7">
      <c r="A546" s="1">
        <v>545</v>
      </c>
      <c r="B546" s="1" t="s">
        <v>13238</v>
      </c>
      <c r="D546" s="1" t="s">
        <v>5947</v>
      </c>
      <c r="E546" s="1" t="s">
        <v>5440</v>
      </c>
      <c r="F546" s="1" t="s">
        <v>5949</v>
      </c>
      <c r="G546" s="1" t="s">
        <v>5950</v>
      </c>
    </row>
    <row r="547" spans="1:7">
      <c r="A547" s="1">
        <v>546</v>
      </c>
      <c r="B547" s="1" t="s">
        <v>13239</v>
      </c>
      <c r="D547" s="1" t="s">
        <v>5952</v>
      </c>
      <c r="E547" s="1" t="s">
        <v>5442</v>
      </c>
      <c r="F547" s="1" t="s">
        <v>5958</v>
      </c>
      <c r="G547" s="1" t="s">
        <v>5959</v>
      </c>
    </row>
    <row r="548" spans="1:7">
      <c r="A548" s="1">
        <v>547</v>
      </c>
      <c r="B548" s="1" t="s">
        <v>13240</v>
      </c>
      <c r="D548" s="1" t="s">
        <v>5952</v>
      </c>
      <c r="E548" s="1" t="s">
        <v>5452</v>
      </c>
      <c r="F548" s="1" t="s">
        <v>5954</v>
      </c>
      <c r="G548" s="1" t="s">
        <v>5955</v>
      </c>
    </row>
    <row r="549" spans="1:7">
      <c r="A549" s="1">
        <v>548</v>
      </c>
      <c r="B549" s="1" t="s">
        <v>13241</v>
      </c>
      <c r="D549" s="1" t="s">
        <v>5952</v>
      </c>
      <c r="E549" s="1" t="s">
        <v>13242</v>
      </c>
      <c r="F549" s="1" t="s">
        <v>13243</v>
      </c>
      <c r="G549" s="1" t="s">
        <v>13244</v>
      </c>
    </row>
    <row r="550" spans="1:7">
      <c r="A550" s="1">
        <v>549</v>
      </c>
      <c r="B550" s="1" t="s">
        <v>13245</v>
      </c>
      <c r="D550" s="1" t="s">
        <v>5961</v>
      </c>
      <c r="E550" s="1" t="s">
        <v>5446</v>
      </c>
      <c r="F550" s="1" t="s">
        <v>5963</v>
      </c>
      <c r="G550" s="1" t="s">
        <v>5964</v>
      </c>
    </row>
    <row r="551" spans="1:7">
      <c r="A551" s="1">
        <v>550</v>
      </c>
      <c r="B551" s="1" t="s">
        <v>13246</v>
      </c>
      <c r="D551" s="1" t="s">
        <v>5961</v>
      </c>
      <c r="E551" s="1" t="s">
        <v>5448</v>
      </c>
      <c r="F551" s="1" t="s">
        <v>5975</v>
      </c>
      <c r="G551" s="1" t="s">
        <v>5976</v>
      </c>
    </row>
    <row r="552" spans="1:7">
      <c r="A552" s="1">
        <v>551</v>
      </c>
      <c r="B552" s="1" t="s">
        <v>13247</v>
      </c>
      <c r="D552" s="1" t="s">
        <v>5961</v>
      </c>
      <c r="E552" s="1" t="s">
        <v>5454</v>
      </c>
      <c r="F552" s="1" t="s">
        <v>5979</v>
      </c>
      <c r="G552" s="1" t="s">
        <v>5980</v>
      </c>
    </row>
    <row r="553" spans="1:7">
      <c r="A553" s="1">
        <v>552</v>
      </c>
      <c r="B553" s="1" t="s">
        <v>13248</v>
      </c>
      <c r="D553" s="1" t="s">
        <v>5961</v>
      </c>
      <c r="E553" s="1" t="s">
        <v>5456</v>
      </c>
      <c r="F553" s="1" t="s">
        <v>5967</v>
      </c>
      <c r="G553" s="1" t="s">
        <v>5968</v>
      </c>
    </row>
    <row r="554" spans="1:7">
      <c r="A554" s="1">
        <v>553</v>
      </c>
      <c r="B554" s="1" t="s">
        <v>13249</v>
      </c>
      <c r="D554" s="1" t="s">
        <v>5961</v>
      </c>
      <c r="E554" s="1" t="s">
        <v>5459</v>
      </c>
      <c r="F554" s="1" t="s">
        <v>5971</v>
      </c>
      <c r="G554" s="1" t="s">
        <v>5972</v>
      </c>
    </row>
    <row r="555" spans="1:7">
      <c r="A555" s="1">
        <v>554</v>
      </c>
      <c r="B555" s="1" t="s">
        <v>13250</v>
      </c>
      <c r="D555" s="1" t="s">
        <v>5982</v>
      </c>
      <c r="E555" s="1" t="s">
        <v>6224</v>
      </c>
      <c r="F555" s="1" t="s">
        <v>13251</v>
      </c>
      <c r="G555" s="1" t="s">
        <v>13252</v>
      </c>
    </row>
    <row r="556" spans="1:7">
      <c r="A556" s="1">
        <v>555</v>
      </c>
      <c r="B556" s="1" t="s">
        <v>13253</v>
      </c>
      <c r="D556" s="1" t="s">
        <v>5982</v>
      </c>
      <c r="E556" s="1" t="s">
        <v>6228</v>
      </c>
      <c r="F556" s="1" t="s">
        <v>13254</v>
      </c>
      <c r="G556" s="1" t="s">
        <v>13255</v>
      </c>
    </row>
    <row r="557" spans="1:7">
      <c r="A557" s="1">
        <v>556</v>
      </c>
      <c r="B557" s="1" t="s">
        <v>13256</v>
      </c>
      <c r="D557" s="1" t="s">
        <v>5982</v>
      </c>
      <c r="E557" s="1" t="s">
        <v>13257</v>
      </c>
      <c r="F557" s="1" t="s">
        <v>13258</v>
      </c>
      <c r="G557" s="1" t="s">
        <v>13259</v>
      </c>
    </row>
    <row r="558" spans="1:7">
      <c r="A558" s="1">
        <v>557</v>
      </c>
      <c r="B558" s="1" t="s">
        <v>13260</v>
      </c>
      <c r="D558" s="1" t="s">
        <v>5982</v>
      </c>
      <c r="E558" s="1" t="s">
        <v>13261</v>
      </c>
      <c r="F558" s="1" t="s">
        <v>13262</v>
      </c>
      <c r="G558" s="1" t="s">
        <v>13263</v>
      </c>
    </row>
    <row r="559" spans="1:7">
      <c r="A559" s="1">
        <v>558</v>
      </c>
      <c r="B559" s="1" t="s">
        <v>13264</v>
      </c>
      <c r="D559" s="1" t="s">
        <v>5982</v>
      </c>
      <c r="E559" s="1" t="s">
        <v>13265</v>
      </c>
      <c r="F559" s="1" t="s">
        <v>13266</v>
      </c>
      <c r="G559" s="1" t="s">
        <v>13267</v>
      </c>
    </row>
    <row r="560" spans="1:7">
      <c r="A560" s="1">
        <v>559</v>
      </c>
      <c r="B560" s="1" t="s">
        <v>13268</v>
      </c>
      <c r="D560" s="1" t="s">
        <v>5982</v>
      </c>
      <c r="E560" s="1" t="s">
        <v>13269</v>
      </c>
      <c r="F560" s="1" t="s">
        <v>13270</v>
      </c>
      <c r="G560" s="1" t="s">
        <v>13271</v>
      </c>
    </row>
    <row r="561" spans="1:7">
      <c r="A561" s="1">
        <v>560</v>
      </c>
      <c r="B561" s="1" t="s">
        <v>13272</v>
      </c>
      <c r="D561" s="1" t="s">
        <v>5982</v>
      </c>
      <c r="E561" s="1" t="s">
        <v>13273</v>
      </c>
      <c r="F561" s="1" t="s">
        <v>13274</v>
      </c>
      <c r="G561" s="1" t="s">
        <v>13275</v>
      </c>
    </row>
    <row r="562" spans="1:7">
      <c r="A562" s="1">
        <v>561</v>
      </c>
      <c r="B562" s="1" t="s">
        <v>13276</v>
      </c>
      <c r="D562" s="1" t="s">
        <v>5982</v>
      </c>
      <c r="E562" s="1" t="s">
        <v>13277</v>
      </c>
      <c r="F562" s="1" t="s">
        <v>13278</v>
      </c>
      <c r="G562" s="1" t="s">
        <v>13279</v>
      </c>
    </row>
    <row r="563" spans="1:7">
      <c r="A563" s="1">
        <v>562</v>
      </c>
      <c r="B563" s="1" t="s">
        <v>13280</v>
      </c>
      <c r="D563" s="1" t="s">
        <v>6019</v>
      </c>
      <c r="E563" s="1" t="s">
        <v>13281</v>
      </c>
      <c r="F563" s="1" t="s">
        <v>13282</v>
      </c>
      <c r="G563" s="1" t="s">
        <v>13283</v>
      </c>
    </row>
    <row r="564" spans="1:7">
      <c r="A564" s="1">
        <v>563</v>
      </c>
      <c r="B564" s="1" t="s">
        <v>13284</v>
      </c>
      <c r="D564" s="1" t="s">
        <v>6019</v>
      </c>
      <c r="E564" s="1" t="s">
        <v>13285</v>
      </c>
      <c r="F564" s="1" t="s">
        <v>13286</v>
      </c>
      <c r="G564" s="1" t="s">
        <v>13287</v>
      </c>
    </row>
    <row r="565" spans="1:7">
      <c r="A565" s="1">
        <v>564</v>
      </c>
      <c r="B565" s="1" t="s">
        <v>13288</v>
      </c>
      <c r="D565" s="1" t="s">
        <v>6028</v>
      </c>
      <c r="E565" s="1" t="s">
        <v>13289</v>
      </c>
      <c r="F565" s="1" t="s">
        <v>13290</v>
      </c>
      <c r="G565" s="1" t="s">
        <v>13291</v>
      </c>
    </row>
    <row r="566" spans="1:7">
      <c r="A566" s="1">
        <v>565</v>
      </c>
      <c r="B566" s="1" t="s">
        <v>13292</v>
      </c>
      <c r="D566" s="1" t="s">
        <v>6028</v>
      </c>
      <c r="E566" s="1" t="s">
        <v>6779</v>
      </c>
      <c r="F566" s="1" t="s">
        <v>13293</v>
      </c>
      <c r="G566" s="1" t="s">
        <v>13294</v>
      </c>
    </row>
    <row r="567" spans="1:7">
      <c r="A567" s="1">
        <v>566</v>
      </c>
      <c r="B567" s="1" t="s">
        <v>13295</v>
      </c>
      <c r="D567" s="1" t="s">
        <v>6028</v>
      </c>
      <c r="E567" s="1" t="s">
        <v>13296</v>
      </c>
      <c r="F567" s="1" t="s">
        <v>13297</v>
      </c>
      <c r="G567" s="1" t="s">
        <v>13298</v>
      </c>
    </row>
    <row r="568" spans="1:7">
      <c r="A568" s="1">
        <v>567</v>
      </c>
      <c r="B568" s="1" t="s">
        <v>13299</v>
      </c>
      <c r="D568" s="1" t="s">
        <v>6028</v>
      </c>
      <c r="E568" s="1" t="s">
        <v>13300</v>
      </c>
      <c r="F568" s="1" t="s">
        <v>13301</v>
      </c>
      <c r="G568" s="1" t="s">
        <v>13302</v>
      </c>
    </row>
    <row r="569" spans="1:7">
      <c r="A569" s="1">
        <v>568</v>
      </c>
      <c r="B569" s="1" t="s">
        <v>13303</v>
      </c>
      <c r="D569" s="1" t="s">
        <v>6028</v>
      </c>
      <c r="E569" s="1" t="s">
        <v>6758</v>
      </c>
      <c r="F569" s="1" t="s">
        <v>13304</v>
      </c>
      <c r="G569" s="1" t="s">
        <v>13305</v>
      </c>
    </row>
    <row r="570" spans="1:7">
      <c r="A570" s="1">
        <v>569</v>
      </c>
      <c r="B570" s="1" t="s">
        <v>13306</v>
      </c>
      <c r="D570" s="1" t="s">
        <v>6028</v>
      </c>
      <c r="E570" s="1" t="s">
        <v>13307</v>
      </c>
      <c r="F570" s="1" t="s">
        <v>13308</v>
      </c>
      <c r="G570" s="1" t="s">
        <v>13309</v>
      </c>
    </row>
    <row r="571" spans="1:7">
      <c r="A571" s="1">
        <v>570</v>
      </c>
      <c r="B571" s="1" t="s">
        <v>13310</v>
      </c>
      <c r="D571" s="1" t="s">
        <v>6028</v>
      </c>
      <c r="E571" s="1" t="s">
        <v>13311</v>
      </c>
      <c r="F571" s="1" t="s">
        <v>13312</v>
      </c>
      <c r="G571" s="1" t="s">
        <v>13313</v>
      </c>
    </row>
    <row r="572" spans="1:7">
      <c r="A572" s="1">
        <v>571</v>
      </c>
      <c r="B572" s="1" t="s">
        <v>13314</v>
      </c>
      <c r="D572" s="1" t="s">
        <v>6028</v>
      </c>
      <c r="E572" s="1" t="s">
        <v>13315</v>
      </c>
      <c r="F572" s="1" t="s">
        <v>13316</v>
      </c>
      <c r="G572" s="1" t="s">
        <v>13317</v>
      </c>
    </row>
    <row r="573" spans="1:7">
      <c r="A573" s="1">
        <v>572</v>
      </c>
      <c r="B573" s="1" t="s">
        <v>13318</v>
      </c>
      <c r="D573" s="1" t="s">
        <v>6028</v>
      </c>
      <c r="E573" s="1" t="s">
        <v>13319</v>
      </c>
      <c r="F573" s="1" t="s">
        <v>13320</v>
      </c>
      <c r="G573" s="1" t="s">
        <v>13321</v>
      </c>
    </row>
    <row r="574" spans="1:7">
      <c r="A574" s="1">
        <v>573</v>
      </c>
      <c r="B574" s="1" t="s">
        <v>13322</v>
      </c>
      <c r="D574" s="1" t="s">
        <v>6028</v>
      </c>
      <c r="E574" s="1" t="s">
        <v>6751</v>
      </c>
      <c r="F574" s="1" t="s">
        <v>13323</v>
      </c>
      <c r="G574" s="1" t="s">
        <v>13324</v>
      </c>
    </row>
    <row r="575" spans="1:7">
      <c r="A575" s="1">
        <v>574</v>
      </c>
      <c r="B575" s="1" t="s">
        <v>13325</v>
      </c>
      <c r="D575" s="1" t="s">
        <v>6028</v>
      </c>
      <c r="E575" s="1" t="s">
        <v>13326</v>
      </c>
      <c r="F575" s="1" t="s">
        <v>13327</v>
      </c>
      <c r="G575" s="1" t="s">
        <v>13328</v>
      </c>
    </row>
    <row r="576" spans="1:7">
      <c r="A576" s="1">
        <v>575</v>
      </c>
      <c r="B576" s="1" t="s">
        <v>13329</v>
      </c>
      <c r="D576" s="1" t="s">
        <v>6028</v>
      </c>
      <c r="E576" s="1" t="s">
        <v>6764</v>
      </c>
      <c r="F576" s="1" t="s">
        <v>13330</v>
      </c>
      <c r="G576" s="1" t="s">
        <v>13331</v>
      </c>
    </row>
    <row r="577" spans="1:7">
      <c r="A577" s="1">
        <v>576</v>
      </c>
      <c r="B577" s="1" t="s">
        <v>13332</v>
      </c>
      <c r="D577" s="1" t="s">
        <v>6028</v>
      </c>
      <c r="E577" s="1" t="s">
        <v>6760</v>
      </c>
      <c r="F577" s="1" t="s">
        <v>13333</v>
      </c>
      <c r="G577" s="1" t="s">
        <v>13334</v>
      </c>
    </row>
    <row r="578" spans="1:7">
      <c r="A578" s="1">
        <v>577</v>
      </c>
      <c r="B578" s="1" t="s">
        <v>13335</v>
      </c>
      <c r="D578" s="1" t="s">
        <v>6028</v>
      </c>
      <c r="E578" s="1" t="s">
        <v>6768</v>
      </c>
      <c r="F578" s="1" t="s">
        <v>13336</v>
      </c>
      <c r="G578" s="1" t="s">
        <v>13337</v>
      </c>
    </row>
    <row r="579" spans="1:7">
      <c r="A579" s="1">
        <v>578</v>
      </c>
      <c r="B579" s="1" t="s">
        <v>13338</v>
      </c>
      <c r="D579" s="1" t="s">
        <v>13339</v>
      </c>
      <c r="E579" s="1" t="s">
        <v>13340</v>
      </c>
      <c r="F579" s="1" t="s">
        <v>13341</v>
      </c>
      <c r="G579" s="1" t="s">
        <v>13342</v>
      </c>
    </row>
    <row r="580" spans="1:7">
      <c r="A580" s="1">
        <v>579</v>
      </c>
      <c r="B580" s="1" t="s">
        <v>13343</v>
      </c>
      <c r="D580" s="1" t="s">
        <v>13339</v>
      </c>
      <c r="E580" s="1" t="s">
        <v>13344</v>
      </c>
      <c r="F580" s="1" t="s">
        <v>13345</v>
      </c>
      <c r="G580" s="1" t="s">
        <v>13346</v>
      </c>
    </row>
    <row r="581" spans="1:7">
      <c r="A581" s="1">
        <v>580</v>
      </c>
      <c r="B581" s="1" t="s">
        <v>13347</v>
      </c>
      <c r="D581" s="1" t="s">
        <v>13339</v>
      </c>
      <c r="E581" s="1" t="s">
        <v>13348</v>
      </c>
      <c r="F581" s="1" t="s">
        <v>13349</v>
      </c>
      <c r="G581" s="1" t="s">
        <v>13350</v>
      </c>
    </row>
    <row r="582" spans="1:7">
      <c r="A582" s="1">
        <v>581</v>
      </c>
      <c r="B582" s="1" t="s">
        <v>13351</v>
      </c>
      <c r="D582" s="1" t="s">
        <v>13339</v>
      </c>
      <c r="E582" s="1" t="s">
        <v>13352</v>
      </c>
      <c r="F582" s="1" t="s">
        <v>13353</v>
      </c>
      <c r="G582" s="1" t="s">
        <v>13354</v>
      </c>
    </row>
    <row r="583" spans="1:7">
      <c r="A583" s="1">
        <v>582</v>
      </c>
      <c r="B583" s="1" t="s">
        <v>13355</v>
      </c>
      <c r="D583" s="1" t="s">
        <v>13339</v>
      </c>
      <c r="E583" s="1" t="s">
        <v>13356</v>
      </c>
      <c r="F583" s="1" t="s">
        <v>13357</v>
      </c>
      <c r="G583" s="1" t="s">
        <v>13358</v>
      </c>
    </row>
    <row r="584" spans="1:7">
      <c r="A584" s="1">
        <v>583</v>
      </c>
      <c r="B584" s="1" t="s">
        <v>13359</v>
      </c>
      <c r="D584" s="1" t="s">
        <v>13339</v>
      </c>
      <c r="E584" s="1" t="s">
        <v>13360</v>
      </c>
      <c r="F584" s="1" t="s">
        <v>13361</v>
      </c>
      <c r="G584" s="1" t="s">
        <v>13362</v>
      </c>
    </row>
    <row r="585" spans="1:7">
      <c r="A585" s="1">
        <v>584</v>
      </c>
      <c r="B585" s="1" t="s">
        <v>13363</v>
      </c>
      <c r="D585" s="1" t="s">
        <v>6085</v>
      </c>
      <c r="E585" s="1" t="s">
        <v>6094</v>
      </c>
      <c r="F585" s="1" t="s">
        <v>6095</v>
      </c>
      <c r="G585" s="1" t="s">
        <v>6096</v>
      </c>
    </row>
    <row r="586" spans="1:7">
      <c r="A586" s="1">
        <v>585</v>
      </c>
      <c r="B586" s="1" t="s">
        <v>13364</v>
      </c>
      <c r="D586" s="1" t="s">
        <v>6085</v>
      </c>
      <c r="E586" s="1" t="s">
        <v>6090</v>
      </c>
      <c r="F586" s="1" t="s">
        <v>6091</v>
      </c>
      <c r="G586" s="1" t="s">
        <v>6092</v>
      </c>
    </row>
    <row r="587" spans="1:7">
      <c r="A587" s="1">
        <v>586</v>
      </c>
      <c r="B587" s="1" t="s">
        <v>13365</v>
      </c>
      <c r="D587" s="1" t="s">
        <v>6085</v>
      </c>
      <c r="E587" s="1" t="s">
        <v>6086</v>
      </c>
      <c r="F587" s="1" t="s">
        <v>6087</v>
      </c>
      <c r="G587" s="1" t="s">
        <v>6088</v>
      </c>
    </row>
    <row r="588" spans="1:7">
      <c r="A588" s="1">
        <v>587</v>
      </c>
      <c r="B588" s="1" t="s">
        <v>13366</v>
      </c>
      <c r="D588" s="1" t="s">
        <v>6098</v>
      </c>
      <c r="E588" s="1" t="s">
        <v>6103</v>
      </c>
      <c r="F588" s="1" t="s">
        <v>6104</v>
      </c>
      <c r="G588" s="1" t="s">
        <v>6105</v>
      </c>
    </row>
    <row r="589" spans="1:7">
      <c r="A589" s="1">
        <v>588</v>
      </c>
      <c r="B589" s="1" t="s">
        <v>13367</v>
      </c>
      <c r="D589" s="1" t="s">
        <v>6098</v>
      </c>
      <c r="E589" s="1" t="s">
        <v>6099</v>
      </c>
      <c r="F589" s="1" t="s">
        <v>6100</v>
      </c>
      <c r="G589" s="1" t="s">
        <v>6101</v>
      </c>
    </row>
    <row r="590" spans="1:7">
      <c r="A590" s="1">
        <v>589</v>
      </c>
      <c r="B590" s="1" t="s">
        <v>13368</v>
      </c>
      <c r="D590" s="1" t="s">
        <v>6098</v>
      </c>
      <c r="E590" s="1" t="s">
        <v>6107</v>
      </c>
      <c r="F590" s="1" t="s">
        <v>6108</v>
      </c>
      <c r="G590" s="1" t="s">
        <v>6109</v>
      </c>
    </row>
    <row r="591" spans="1:7">
      <c r="A591" s="1">
        <v>590</v>
      </c>
      <c r="B591" s="1" t="s">
        <v>13369</v>
      </c>
      <c r="D591" s="1" t="s">
        <v>6098</v>
      </c>
      <c r="E591" s="1" t="s">
        <v>6119</v>
      </c>
      <c r="F591" s="1" t="s">
        <v>6120</v>
      </c>
      <c r="G591" s="1" t="s">
        <v>6121</v>
      </c>
    </row>
    <row r="592" spans="1:7">
      <c r="A592" s="1">
        <v>591</v>
      </c>
      <c r="B592" s="1" t="s">
        <v>13370</v>
      </c>
      <c r="D592" s="1" t="s">
        <v>6098</v>
      </c>
      <c r="E592" s="1" t="s">
        <v>6115</v>
      </c>
      <c r="F592" s="1" t="s">
        <v>6116</v>
      </c>
      <c r="G592" s="1" t="s">
        <v>6117</v>
      </c>
    </row>
    <row r="593" spans="1:7">
      <c r="A593" s="1">
        <v>592</v>
      </c>
      <c r="B593" s="1" t="s">
        <v>13371</v>
      </c>
      <c r="D593" s="1" t="s">
        <v>6098</v>
      </c>
      <c r="E593" s="1" t="s">
        <v>6111</v>
      </c>
      <c r="F593" s="1" t="s">
        <v>6112</v>
      </c>
      <c r="G593" s="1" t="s">
        <v>6113</v>
      </c>
    </row>
    <row r="594" spans="1:7">
      <c r="A594" s="1">
        <v>593</v>
      </c>
      <c r="B594" s="1" t="s">
        <v>13372</v>
      </c>
      <c r="D594" s="1" t="s">
        <v>6123</v>
      </c>
      <c r="E594" s="1" t="s">
        <v>1212</v>
      </c>
      <c r="F594" s="1" t="s">
        <v>6127</v>
      </c>
      <c r="G594" s="1" t="s">
        <v>6128</v>
      </c>
    </row>
    <row r="595" spans="1:7">
      <c r="A595" s="1">
        <v>594</v>
      </c>
      <c r="B595" s="1" t="s">
        <v>13373</v>
      </c>
      <c r="D595" s="1" t="s">
        <v>6123</v>
      </c>
      <c r="E595" s="1" t="s">
        <v>1216</v>
      </c>
      <c r="F595" s="1" t="s">
        <v>6130</v>
      </c>
      <c r="G595" s="1" t="s">
        <v>6131</v>
      </c>
    </row>
    <row r="596" spans="1:7">
      <c r="A596" s="1">
        <v>595</v>
      </c>
      <c r="B596" s="1" t="s">
        <v>13374</v>
      </c>
      <c r="D596" s="1" t="s">
        <v>6123</v>
      </c>
      <c r="E596" s="1" t="s">
        <v>1220</v>
      </c>
      <c r="F596" s="1" t="s">
        <v>6137</v>
      </c>
      <c r="G596" s="1" t="s">
        <v>6138</v>
      </c>
    </row>
    <row r="597" spans="1:7">
      <c r="A597" s="1">
        <v>596</v>
      </c>
      <c r="B597" s="1" t="s">
        <v>13375</v>
      </c>
      <c r="D597" s="1" t="s">
        <v>6123</v>
      </c>
      <c r="E597" s="1" t="s">
        <v>1224</v>
      </c>
      <c r="F597" s="1" t="s">
        <v>6140</v>
      </c>
      <c r="G597" s="1" t="s">
        <v>6141</v>
      </c>
    </row>
    <row r="598" spans="1:7">
      <c r="A598" s="1">
        <v>597</v>
      </c>
      <c r="B598" s="1" t="s">
        <v>13376</v>
      </c>
      <c r="D598" s="1" t="s">
        <v>6123</v>
      </c>
      <c r="E598" s="1" t="s">
        <v>1252</v>
      </c>
      <c r="F598" s="1" t="s">
        <v>1253</v>
      </c>
      <c r="G598" s="1" t="s">
        <v>1254</v>
      </c>
    </row>
    <row r="599" spans="1:7">
      <c r="A599" s="1">
        <v>598</v>
      </c>
      <c r="B599" s="1" t="s">
        <v>13377</v>
      </c>
      <c r="D599" s="1" t="s">
        <v>6123</v>
      </c>
      <c r="E599" s="1" t="s">
        <v>1228</v>
      </c>
      <c r="F599" s="1" t="s">
        <v>6134</v>
      </c>
      <c r="G599" s="1" t="s">
        <v>6135</v>
      </c>
    </row>
    <row r="600" spans="1:7">
      <c r="A600" s="1">
        <v>599</v>
      </c>
      <c r="B600" s="1" t="s">
        <v>13378</v>
      </c>
      <c r="D600" s="1" t="s">
        <v>6123</v>
      </c>
      <c r="E600" s="1" t="s">
        <v>1232</v>
      </c>
      <c r="F600" s="1" t="s">
        <v>6143</v>
      </c>
      <c r="G600" s="1" t="s">
        <v>6144</v>
      </c>
    </row>
    <row r="601" spans="1:7">
      <c r="A601" s="1">
        <v>600</v>
      </c>
      <c r="B601" s="1" t="s">
        <v>13379</v>
      </c>
      <c r="D601" s="1" t="s">
        <v>6123</v>
      </c>
      <c r="E601" s="1" t="s">
        <v>1236</v>
      </c>
      <c r="F601" s="1" t="s">
        <v>1237</v>
      </c>
      <c r="G601" s="1" t="s">
        <v>1238</v>
      </c>
    </row>
    <row r="602" spans="1:7">
      <c r="A602" s="1">
        <v>601</v>
      </c>
      <c r="B602" s="1" t="s">
        <v>13380</v>
      </c>
      <c r="D602" s="1" t="s">
        <v>6123</v>
      </c>
      <c r="E602" s="1" t="s">
        <v>1240</v>
      </c>
      <c r="F602" s="1" t="s">
        <v>6146</v>
      </c>
      <c r="G602" s="1" t="s">
        <v>6147</v>
      </c>
    </row>
    <row r="603" spans="1:7">
      <c r="A603" s="1">
        <v>602</v>
      </c>
      <c r="B603" s="1" t="s">
        <v>13381</v>
      </c>
      <c r="D603" s="1" t="s">
        <v>6123</v>
      </c>
      <c r="E603" s="1" t="s">
        <v>1244</v>
      </c>
      <c r="F603" s="1" t="s">
        <v>6149</v>
      </c>
      <c r="G603" s="1" t="s">
        <v>6150</v>
      </c>
    </row>
    <row r="604" spans="1:7">
      <c r="A604" s="1">
        <v>603</v>
      </c>
      <c r="B604" s="1" t="s">
        <v>13382</v>
      </c>
      <c r="D604" s="1" t="s">
        <v>6123</v>
      </c>
      <c r="E604" s="1" t="s">
        <v>1248</v>
      </c>
      <c r="F604" s="1" t="s">
        <v>6152</v>
      </c>
      <c r="G604" s="1" t="s">
        <v>6153</v>
      </c>
    </row>
    <row r="605" spans="1:7">
      <c r="A605" s="1">
        <v>604</v>
      </c>
      <c r="B605" s="1" t="s">
        <v>13383</v>
      </c>
      <c r="D605" s="1" t="s">
        <v>6123</v>
      </c>
      <c r="E605" s="1" t="s">
        <v>6155</v>
      </c>
      <c r="F605" s="1" t="s">
        <v>1261</v>
      </c>
      <c r="G605" s="1" t="s">
        <v>1262</v>
      </c>
    </row>
    <row r="606" spans="1:7">
      <c r="A606" s="1">
        <v>605</v>
      </c>
      <c r="B606" s="1" t="s">
        <v>13384</v>
      </c>
      <c r="D606" s="1" t="s">
        <v>6123</v>
      </c>
      <c r="E606" s="1" t="s">
        <v>6125</v>
      </c>
      <c r="F606" s="1" t="s">
        <v>1257</v>
      </c>
      <c r="G606" s="1" t="s">
        <v>1258</v>
      </c>
    </row>
    <row r="607" spans="1:7">
      <c r="A607" s="1">
        <v>606</v>
      </c>
      <c r="B607" s="1" t="s">
        <v>13385</v>
      </c>
      <c r="D607" s="1" t="s">
        <v>6157</v>
      </c>
      <c r="E607" s="1" t="s">
        <v>6158</v>
      </c>
      <c r="F607" s="1" t="s">
        <v>6159</v>
      </c>
      <c r="G607" s="1" t="s">
        <v>6160</v>
      </c>
    </row>
    <row r="608" spans="1:7">
      <c r="A608" s="1">
        <v>607</v>
      </c>
      <c r="B608" s="1" t="s">
        <v>13386</v>
      </c>
      <c r="D608" s="1" t="s">
        <v>6157</v>
      </c>
      <c r="E608" s="1" t="s">
        <v>6162</v>
      </c>
      <c r="F608" s="1" t="s">
        <v>6163</v>
      </c>
      <c r="G608" s="1" t="s">
        <v>6164</v>
      </c>
    </row>
    <row r="609" spans="1:7">
      <c r="A609" s="1">
        <v>608</v>
      </c>
      <c r="B609" s="1" t="s">
        <v>13387</v>
      </c>
      <c r="D609" s="1" t="s">
        <v>6166</v>
      </c>
      <c r="E609" s="1" t="s">
        <v>13388</v>
      </c>
      <c r="F609" s="1" t="s">
        <v>6168</v>
      </c>
      <c r="G609" s="1" t="s">
        <v>6169</v>
      </c>
    </row>
    <row r="610" spans="1:7">
      <c r="A610" s="1">
        <v>609</v>
      </c>
      <c r="B610" s="1" t="s">
        <v>13389</v>
      </c>
      <c r="D610" s="1" t="s">
        <v>6166</v>
      </c>
      <c r="E610" s="1" t="s">
        <v>13390</v>
      </c>
      <c r="F610" s="1" t="s">
        <v>6188</v>
      </c>
      <c r="G610" s="1" t="s">
        <v>6189</v>
      </c>
    </row>
    <row r="611" spans="1:7">
      <c r="A611" s="1">
        <v>610</v>
      </c>
      <c r="B611" s="1" t="s">
        <v>13391</v>
      </c>
      <c r="D611" s="1" t="s">
        <v>6166</v>
      </c>
      <c r="E611" s="1" t="s">
        <v>13392</v>
      </c>
      <c r="F611" s="1" t="s">
        <v>6172</v>
      </c>
      <c r="G611" s="1" t="s">
        <v>6173</v>
      </c>
    </row>
    <row r="612" spans="1:7">
      <c r="A612" s="1">
        <v>611</v>
      </c>
      <c r="B612" s="1" t="s">
        <v>13393</v>
      </c>
      <c r="D612" s="1" t="s">
        <v>6166</v>
      </c>
      <c r="E612" s="1" t="s">
        <v>13394</v>
      </c>
      <c r="F612" s="1" t="s">
        <v>6176</v>
      </c>
      <c r="G612" s="1" t="s">
        <v>6177</v>
      </c>
    </row>
    <row r="613" spans="1:7">
      <c r="A613" s="1">
        <v>612</v>
      </c>
      <c r="B613" s="1" t="s">
        <v>13395</v>
      </c>
      <c r="D613" s="1" t="s">
        <v>6166</v>
      </c>
      <c r="E613" s="1" t="s">
        <v>13396</v>
      </c>
      <c r="F613" s="1" t="s">
        <v>6180</v>
      </c>
      <c r="G613" s="1" t="s">
        <v>6181</v>
      </c>
    </row>
    <row r="614" spans="1:7">
      <c r="A614" s="1">
        <v>613</v>
      </c>
      <c r="B614" s="1" t="s">
        <v>13397</v>
      </c>
      <c r="D614" s="1" t="s">
        <v>6166</v>
      </c>
      <c r="E614" s="1" t="s">
        <v>13398</v>
      </c>
      <c r="F614" s="1" t="s">
        <v>6184</v>
      </c>
      <c r="G614" s="1" t="s">
        <v>6185</v>
      </c>
    </row>
    <row r="615" spans="1:7">
      <c r="A615" s="1">
        <v>614</v>
      </c>
      <c r="B615" s="1" t="s">
        <v>13399</v>
      </c>
      <c r="D615" s="1" t="s">
        <v>6166</v>
      </c>
      <c r="E615" s="1" t="s">
        <v>13400</v>
      </c>
      <c r="F615" s="1" t="s">
        <v>6196</v>
      </c>
      <c r="G615" s="1" t="s">
        <v>6197</v>
      </c>
    </row>
    <row r="616" spans="1:7">
      <c r="A616" s="1">
        <v>615</v>
      </c>
      <c r="B616" s="1" t="s">
        <v>13401</v>
      </c>
      <c r="D616" s="1" t="s">
        <v>6166</v>
      </c>
      <c r="E616" s="1" t="s">
        <v>13402</v>
      </c>
      <c r="F616" s="1" t="s">
        <v>6200</v>
      </c>
      <c r="G616" s="1" t="s">
        <v>6201</v>
      </c>
    </row>
    <row r="617" spans="1:7">
      <c r="A617" s="1">
        <v>616</v>
      </c>
      <c r="B617" s="1" t="s">
        <v>13403</v>
      </c>
      <c r="D617" s="1" t="s">
        <v>6166</v>
      </c>
      <c r="E617" s="1" t="s">
        <v>13404</v>
      </c>
      <c r="F617" s="1" t="s">
        <v>6204</v>
      </c>
      <c r="G617" s="1" t="s">
        <v>6205</v>
      </c>
    </row>
    <row r="618" spans="1:7">
      <c r="A618" s="1">
        <v>617</v>
      </c>
      <c r="B618" s="1" t="s">
        <v>13405</v>
      </c>
      <c r="D618" s="1" t="s">
        <v>6166</v>
      </c>
      <c r="E618" s="1" t="s">
        <v>13406</v>
      </c>
      <c r="F618" s="1" t="s">
        <v>6208</v>
      </c>
      <c r="G618" s="1" t="s">
        <v>6209</v>
      </c>
    </row>
    <row r="619" spans="1:7">
      <c r="A619" s="1">
        <v>618</v>
      </c>
      <c r="B619" s="1" t="s">
        <v>13407</v>
      </c>
      <c r="D619" s="1" t="s">
        <v>6166</v>
      </c>
      <c r="E619" s="1" t="s">
        <v>13408</v>
      </c>
      <c r="F619" s="1" t="s">
        <v>6212</v>
      </c>
      <c r="G619" s="1" t="s">
        <v>6213</v>
      </c>
    </row>
    <row r="620" spans="1:7">
      <c r="A620" s="1">
        <v>619</v>
      </c>
      <c r="B620" s="1" t="s">
        <v>13409</v>
      </c>
      <c r="D620" s="1" t="s">
        <v>6166</v>
      </c>
      <c r="E620" s="1" t="s">
        <v>13410</v>
      </c>
      <c r="F620" s="1" t="s">
        <v>6192</v>
      </c>
      <c r="G620" s="1" t="s">
        <v>6193</v>
      </c>
    </row>
    <row r="621" spans="1:7">
      <c r="A621" s="1">
        <v>620</v>
      </c>
      <c r="B621" s="1" t="s">
        <v>13411</v>
      </c>
      <c r="D621" s="1" t="s">
        <v>6215</v>
      </c>
      <c r="E621" s="1" t="s">
        <v>13412</v>
      </c>
      <c r="F621" s="1" t="s">
        <v>6217</v>
      </c>
      <c r="G621" s="1" t="s">
        <v>6218</v>
      </c>
    </row>
    <row r="622" spans="1:7">
      <c r="A622" s="1">
        <v>621</v>
      </c>
      <c r="B622" s="1" t="s">
        <v>13413</v>
      </c>
      <c r="D622" s="1" t="s">
        <v>6215</v>
      </c>
      <c r="E622" s="1" t="s">
        <v>13414</v>
      </c>
      <c r="F622" s="1" t="s">
        <v>6221</v>
      </c>
      <c r="G622" s="1" t="s">
        <v>6222</v>
      </c>
    </row>
    <row r="623" spans="1:7">
      <c r="A623" s="1">
        <v>622</v>
      </c>
      <c r="B623" s="1" t="s">
        <v>13415</v>
      </c>
      <c r="D623" s="1" t="s">
        <v>6215</v>
      </c>
      <c r="E623" s="1" t="s">
        <v>13416</v>
      </c>
      <c r="F623" s="1" t="s">
        <v>6225</v>
      </c>
      <c r="G623" s="1" t="s">
        <v>6226</v>
      </c>
    </row>
    <row r="624" spans="1:7">
      <c r="A624" s="1">
        <v>623</v>
      </c>
      <c r="B624" s="1" t="s">
        <v>13417</v>
      </c>
      <c r="D624" s="1" t="s">
        <v>6215</v>
      </c>
      <c r="E624" s="1" t="s">
        <v>13418</v>
      </c>
      <c r="F624" s="1" t="s">
        <v>6229</v>
      </c>
      <c r="G624" s="1" t="s">
        <v>6230</v>
      </c>
    </row>
    <row r="625" spans="1:7">
      <c r="A625" s="1">
        <v>624</v>
      </c>
      <c r="B625" s="1" t="s">
        <v>13419</v>
      </c>
      <c r="D625" s="1" t="s">
        <v>6232</v>
      </c>
      <c r="E625" s="1" t="s">
        <v>6243</v>
      </c>
      <c r="F625" s="1" t="s">
        <v>6244</v>
      </c>
      <c r="G625" s="1" t="s">
        <v>6245</v>
      </c>
    </row>
    <row r="626" spans="1:7">
      <c r="A626" s="1">
        <v>625</v>
      </c>
      <c r="B626" s="1" t="s">
        <v>13420</v>
      </c>
      <c r="D626" s="1" t="s">
        <v>6232</v>
      </c>
      <c r="E626" s="1" t="s">
        <v>6239</v>
      </c>
      <c r="F626" s="1" t="s">
        <v>6240</v>
      </c>
      <c r="G626" s="1" t="s">
        <v>6241</v>
      </c>
    </row>
    <row r="627" spans="1:7">
      <c r="A627" s="1">
        <v>626</v>
      </c>
      <c r="B627" s="1" t="s">
        <v>13421</v>
      </c>
      <c r="D627" s="1" t="s">
        <v>6232</v>
      </c>
      <c r="E627" s="1" t="s">
        <v>6247</v>
      </c>
      <c r="F627" s="1" t="s">
        <v>6248</v>
      </c>
      <c r="G627" s="1" t="s">
        <v>6249</v>
      </c>
    </row>
    <row r="628" spans="1:7">
      <c r="A628" s="1">
        <v>627</v>
      </c>
      <c r="B628" s="1" t="s">
        <v>13422</v>
      </c>
      <c r="D628" s="1" t="s">
        <v>6232</v>
      </c>
      <c r="E628" s="1" t="s">
        <v>1936</v>
      </c>
      <c r="F628" s="1" t="s">
        <v>6233</v>
      </c>
      <c r="G628" s="1" t="s">
        <v>6234</v>
      </c>
    </row>
    <row r="629" spans="1:7">
      <c r="A629" s="1">
        <v>628</v>
      </c>
      <c r="B629" s="1" t="s">
        <v>13423</v>
      </c>
      <c r="D629" s="1" t="s">
        <v>6232</v>
      </c>
      <c r="E629" s="1" t="s">
        <v>1933</v>
      </c>
      <c r="F629" s="1" t="s">
        <v>6236</v>
      </c>
      <c r="G629" s="1" t="s">
        <v>6237</v>
      </c>
    </row>
    <row r="630" spans="1:7">
      <c r="A630" s="1">
        <v>629</v>
      </c>
      <c r="B630" s="1" t="s">
        <v>13424</v>
      </c>
      <c r="D630" s="1" t="s">
        <v>6232</v>
      </c>
      <c r="E630" s="1" t="s">
        <v>6262</v>
      </c>
      <c r="F630" s="1" t="s">
        <v>6263</v>
      </c>
      <c r="G630" s="1" t="s">
        <v>6264</v>
      </c>
    </row>
    <row r="631" spans="1:7">
      <c r="A631" s="1">
        <v>630</v>
      </c>
      <c r="B631" s="1" t="s">
        <v>13425</v>
      </c>
      <c r="D631" s="1" t="s">
        <v>6232</v>
      </c>
      <c r="E631" s="1" t="s">
        <v>6258</v>
      </c>
      <c r="F631" s="1" t="s">
        <v>6259</v>
      </c>
      <c r="G631" s="1" t="s">
        <v>6260</v>
      </c>
    </row>
    <row r="632" spans="1:7">
      <c r="A632" s="1">
        <v>631</v>
      </c>
      <c r="B632" s="1" t="s">
        <v>13426</v>
      </c>
      <c r="D632" s="1" t="s">
        <v>6232</v>
      </c>
      <c r="E632" s="1" t="s">
        <v>1937</v>
      </c>
      <c r="F632" s="1" t="s">
        <v>6251</v>
      </c>
      <c r="G632" s="1" t="s">
        <v>6252</v>
      </c>
    </row>
    <row r="633" spans="1:7">
      <c r="A633" s="1">
        <v>632</v>
      </c>
      <c r="B633" s="1" t="s">
        <v>13427</v>
      </c>
      <c r="D633" s="1" t="s">
        <v>6232</v>
      </c>
      <c r="E633" s="1" t="s">
        <v>6254</v>
      </c>
      <c r="F633" s="1" t="s">
        <v>6255</v>
      </c>
      <c r="G633" s="1" t="s">
        <v>6256</v>
      </c>
    </row>
    <row r="634" spans="1:7">
      <c r="A634" s="1">
        <v>633</v>
      </c>
      <c r="B634" s="1" t="s">
        <v>13428</v>
      </c>
      <c r="D634" s="1" t="s">
        <v>6266</v>
      </c>
      <c r="E634" s="1" t="s">
        <v>6280</v>
      </c>
      <c r="F634" s="1" t="s">
        <v>6281</v>
      </c>
      <c r="G634" s="1" t="s">
        <v>6282</v>
      </c>
    </row>
    <row r="635" spans="1:7">
      <c r="A635" s="1">
        <v>634</v>
      </c>
      <c r="B635" s="1" t="s">
        <v>13429</v>
      </c>
      <c r="D635" s="1" t="s">
        <v>6266</v>
      </c>
      <c r="E635" s="1" t="s">
        <v>6276</v>
      </c>
      <c r="F635" s="1" t="s">
        <v>6277</v>
      </c>
      <c r="G635" s="1" t="s">
        <v>6278</v>
      </c>
    </row>
    <row r="636" spans="1:7">
      <c r="A636" s="1">
        <v>635</v>
      </c>
      <c r="B636" s="1" t="s">
        <v>13430</v>
      </c>
      <c r="D636" s="1" t="s">
        <v>6266</v>
      </c>
      <c r="E636" s="1" t="s">
        <v>6284</v>
      </c>
      <c r="F636" s="1" t="s">
        <v>6285</v>
      </c>
      <c r="G636" s="1" t="s">
        <v>6286</v>
      </c>
    </row>
    <row r="637" spans="1:7">
      <c r="A637" s="1">
        <v>636</v>
      </c>
      <c r="B637" s="1" t="s">
        <v>13431</v>
      </c>
      <c r="D637" s="1" t="s">
        <v>6266</v>
      </c>
      <c r="E637" s="1" t="s">
        <v>1948</v>
      </c>
      <c r="F637" s="1" t="s">
        <v>6267</v>
      </c>
      <c r="G637" s="1" t="s">
        <v>6268</v>
      </c>
    </row>
    <row r="638" spans="1:7">
      <c r="A638" s="1">
        <v>637</v>
      </c>
      <c r="B638" s="1" t="s">
        <v>13432</v>
      </c>
      <c r="D638" s="1" t="s">
        <v>6266</v>
      </c>
      <c r="E638" s="1" t="s">
        <v>1945</v>
      </c>
      <c r="F638" s="1" t="s">
        <v>6270</v>
      </c>
      <c r="G638" s="1" t="s">
        <v>6271</v>
      </c>
    </row>
    <row r="639" spans="1:7">
      <c r="A639" s="1">
        <v>638</v>
      </c>
      <c r="B639" s="1" t="s">
        <v>13433</v>
      </c>
      <c r="D639" s="1" t="s">
        <v>6266</v>
      </c>
      <c r="E639" s="1" t="s">
        <v>1944</v>
      </c>
      <c r="F639" s="1" t="s">
        <v>6273</v>
      </c>
      <c r="G639" s="1" t="s">
        <v>6274</v>
      </c>
    </row>
    <row r="640" spans="1:7">
      <c r="A640" s="1">
        <v>639</v>
      </c>
      <c r="B640" s="1" t="s">
        <v>13434</v>
      </c>
      <c r="D640" s="1" t="s">
        <v>6266</v>
      </c>
      <c r="E640" s="1" t="s">
        <v>6296</v>
      </c>
      <c r="F640" s="1" t="s">
        <v>6297</v>
      </c>
      <c r="G640" s="1" t="s">
        <v>6298</v>
      </c>
    </row>
    <row r="641" spans="1:7">
      <c r="A641" s="1">
        <v>640</v>
      </c>
      <c r="B641" s="1" t="s">
        <v>13435</v>
      </c>
      <c r="D641" s="1" t="s">
        <v>6266</v>
      </c>
      <c r="E641" s="1" t="s">
        <v>6292</v>
      </c>
      <c r="F641" s="1" t="s">
        <v>6293</v>
      </c>
      <c r="G641" s="1" t="s">
        <v>6294</v>
      </c>
    </row>
    <row r="642" spans="1:7">
      <c r="A642" s="1">
        <v>641</v>
      </c>
      <c r="B642" s="1" t="s">
        <v>13436</v>
      </c>
      <c r="D642" s="1" t="s">
        <v>6266</v>
      </c>
      <c r="E642" s="1" t="s">
        <v>6288</v>
      </c>
      <c r="F642" s="1" t="s">
        <v>6289</v>
      </c>
      <c r="G642" s="1" t="s">
        <v>6290</v>
      </c>
    </row>
    <row r="643" spans="1:7">
      <c r="A643" s="1">
        <v>642</v>
      </c>
      <c r="B643" s="1" t="s">
        <v>13437</v>
      </c>
      <c r="D643" s="1" t="s">
        <v>13438</v>
      </c>
      <c r="E643" s="1" t="s">
        <v>13439</v>
      </c>
      <c r="F643" s="1" t="s">
        <v>13440</v>
      </c>
      <c r="G643" s="1" t="s">
        <v>13441</v>
      </c>
    </row>
    <row r="644" spans="1:7">
      <c r="A644" s="1">
        <v>643</v>
      </c>
      <c r="B644" s="1" t="s">
        <v>13442</v>
      </c>
      <c r="D644" s="1" t="s">
        <v>13438</v>
      </c>
      <c r="E644" s="1" t="s">
        <v>13443</v>
      </c>
      <c r="F644" s="1" t="s">
        <v>13444</v>
      </c>
      <c r="G644" s="1" t="s">
        <v>13445</v>
      </c>
    </row>
    <row r="645" spans="1:7">
      <c r="A645" s="1">
        <v>644</v>
      </c>
      <c r="B645" s="1" t="s">
        <v>13446</v>
      </c>
      <c r="D645" s="1" t="s">
        <v>13438</v>
      </c>
      <c r="E645" s="1" t="s">
        <v>13447</v>
      </c>
      <c r="F645" s="1" t="s">
        <v>13448</v>
      </c>
      <c r="G645" s="1" t="s">
        <v>13449</v>
      </c>
    </row>
    <row r="646" spans="1:7">
      <c r="A646" s="1">
        <v>645</v>
      </c>
      <c r="B646" s="1" t="s">
        <v>13450</v>
      </c>
      <c r="D646" s="1" t="s">
        <v>13438</v>
      </c>
      <c r="E646" s="1" t="s">
        <v>13451</v>
      </c>
      <c r="F646" s="1" t="s">
        <v>13452</v>
      </c>
      <c r="G646" s="1" t="s">
        <v>13453</v>
      </c>
    </row>
    <row r="647" spans="1:7">
      <c r="A647" s="1">
        <v>646</v>
      </c>
      <c r="B647" s="1" t="s">
        <v>13454</v>
      </c>
      <c r="D647" s="1" t="s">
        <v>13438</v>
      </c>
      <c r="E647" s="1" t="s">
        <v>13455</v>
      </c>
      <c r="F647" s="1" t="s">
        <v>13456</v>
      </c>
      <c r="G647" s="1" t="s">
        <v>13457</v>
      </c>
    </row>
    <row r="648" spans="1:7">
      <c r="A648" s="1">
        <v>647</v>
      </c>
      <c r="B648" s="1" t="s">
        <v>13458</v>
      </c>
      <c r="D648" s="1" t="s">
        <v>13438</v>
      </c>
      <c r="E648" s="1" t="s">
        <v>13459</v>
      </c>
      <c r="F648" s="1" t="s">
        <v>13460</v>
      </c>
      <c r="G648" s="1" t="s">
        <v>13461</v>
      </c>
    </row>
    <row r="649" spans="1:7">
      <c r="A649" s="1">
        <v>648</v>
      </c>
      <c r="B649" s="1" t="s">
        <v>13462</v>
      </c>
      <c r="D649" s="1" t="s">
        <v>13438</v>
      </c>
      <c r="E649" s="1" t="s">
        <v>13463</v>
      </c>
      <c r="F649" s="1" t="s">
        <v>13464</v>
      </c>
      <c r="G649" s="1" t="s">
        <v>13465</v>
      </c>
    </row>
    <row r="650" spans="1:7">
      <c r="A650" s="1">
        <v>649</v>
      </c>
      <c r="B650" s="1" t="s">
        <v>13466</v>
      </c>
      <c r="D650" s="1" t="s">
        <v>13438</v>
      </c>
      <c r="E650" s="1" t="s">
        <v>13467</v>
      </c>
      <c r="F650" s="1" t="s">
        <v>13468</v>
      </c>
      <c r="G650" s="1" t="s">
        <v>13469</v>
      </c>
    </row>
    <row r="651" spans="1:7">
      <c r="A651" s="1">
        <v>650</v>
      </c>
      <c r="B651" s="1" t="s">
        <v>13470</v>
      </c>
      <c r="D651" s="1" t="s">
        <v>13438</v>
      </c>
      <c r="E651" s="1" t="s">
        <v>13471</v>
      </c>
      <c r="F651" s="1" t="s">
        <v>13472</v>
      </c>
      <c r="G651" s="1" t="s">
        <v>13473</v>
      </c>
    </row>
    <row r="652" spans="1:7">
      <c r="A652" s="1">
        <v>651</v>
      </c>
      <c r="B652" s="1" t="s">
        <v>13474</v>
      </c>
      <c r="D652" s="1" t="s">
        <v>13438</v>
      </c>
      <c r="E652" s="1" t="s">
        <v>13475</v>
      </c>
      <c r="F652" s="1" t="s">
        <v>13476</v>
      </c>
      <c r="G652" s="1" t="s">
        <v>13477</v>
      </c>
    </row>
    <row r="653" spans="1:7">
      <c r="A653" s="1">
        <v>652</v>
      </c>
      <c r="B653" s="1" t="s">
        <v>13478</v>
      </c>
      <c r="D653" s="1" t="s">
        <v>13438</v>
      </c>
      <c r="E653" s="1" t="s">
        <v>13479</v>
      </c>
      <c r="F653" s="1" t="s">
        <v>13480</v>
      </c>
      <c r="G653" s="1" t="s">
        <v>13481</v>
      </c>
    </row>
    <row r="654" spans="1:7">
      <c r="A654" s="1">
        <v>653</v>
      </c>
      <c r="B654" s="1" t="s">
        <v>13482</v>
      </c>
      <c r="D654" s="1" t="s">
        <v>13438</v>
      </c>
      <c r="E654" s="1" t="s">
        <v>13483</v>
      </c>
      <c r="F654" s="1" t="s">
        <v>13484</v>
      </c>
      <c r="G654" s="1" t="s">
        <v>13485</v>
      </c>
    </row>
    <row r="655" spans="1:7">
      <c r="A655" s="1">
        <v>654</v>
      </c>
      <c r="B655" s="1" t="s">
        <v>13486</v>
      </c>
      <c r="D655" s="1" t="s">
        <v>13438</v>
      </c>
      <c r="E655" s="1" t="s">
        <v>13487</v>
      </c>
      <c r="F655" s="1" t="s">
        <v>13488</v>
      </c>
      <c r="G655" s="1" t="s">
        <v>13489</v>
      </c>
    </row>
    <row r="656" spans="1:7">
      <c r="A656" s="1">
        <v>655</v>
      </c>
      <c r="B656" s="1" t="s">
        <v>13490</v>
      </c>
      <c r="D656" s="1" t="s">
        <v>13491</v>
      </c>
      <c r="E656" s="1" t="s">
        <v>13492</v>
      </c>
      <c r="F656" s="1" t="s">
        <v>13440</v>
      </c>
      <c r="G656" s="1" t="s">
        <v>13441</v>
      </c>
    </row>
    <row r="657" spans="1:7">
      <c r="A657" s="1">
        <v>656</v>
      </c>
      <c r="B657" s="1" t="s">
        <v>13493</v>
      </c>
      <c r="D657" s="1" t="s">
        <v>13491</v>
      </c>
      <c r="E657" s="1" t="s">
        <v>13494</v>
      </c>
      <c r="F657" s="1" t="s">
        <v>13444</v>
      </c>
      <c r="G657" s="1" t="s">
        <v>13445</v>
      </c>
    </row>
    <row r="658" spans="1:7">
      <c r="A658" s="1">
        <v>657</v>
      </c>
      <c r="B658" s="1" t="s">
        <v>13495</v>
      </c>
      <c r="D658" s="1" t="s">
        <v>13491</v>
      </c>
      <c r="E658" s="1" t="s">
        <v>13496</v>
      </c>
      <c r="F658" s="1" t="s">
        <v>13497</v>
      </c>
      <c r="G658" s="1" t="s">
        <v>13498</v>
      </c>
    </row>
    <row r="659" spans="1:7">
      <c r="A659" s="1">
        <v>658</v>
      </c>
      <c r="B659" s="1" t="s">
        <v>13499</v>
      </c>
      <c r="D659" s="1" t="s">
        <v>13491</v>
      </c>
      <c r="E659" s="1" t="s">
        <v>13500</v>
      </c>
      <c r="F659" s="1" t="s">
        <v>13501</v>
      </c>
      <c r="G659" s="1" t="s">
        <v>13502</v>
      </c>
    </row>
    <row r="660" spans="1:7">
      <c r="A660" s="1">
        <v>659</v>
      </c>
      <c r="B660" s="1" t="s">
        <v>13503</v>
      </c>
      <c r="D660" s="1" t="s">
        <v>13491</v>
      </c>
      <c r="E660" s="1" t="s">
        <v>13504</v>
      </c>
      <c r="F660" s="1" t="s">
        <v>13505</v>
      </c>
      <c r="G660" s="1" t="s">
        <v>13506</v>
      </c>
    </row>
    <row r="661" spans="1:7">
      <c r="A661" s="1">
        <v>660</v>
      </c>
      <c r="B661" s="1" t="s">
        <v>13507</v>
      </c>
      <c r="D661" s="1" t="s">
        <v>13491</v>
      </c>
      <c r="E661" s="1" t="s">
        <v>13508</v>
      </c>
      <c r="F661" s="1" t="s">
        <v>13509</v>
      </c>
      <c r="G661" s="1" t="s">
        <v>13510</v>
      </c>
    </row>
    <row r="662" spans="1:7">
      <c r="A662" s="1">
        <v>661</v>
      </c>
      <c r="B662" s="1" t="s">
        <v>13511</v>
      </c>
      <c r="D662" s="1" t="s">
        <v>13491</v>
      </c>
      <c r="E662" s="1" t="s">
        <v>13512</v>
      </c>
      <c r="F662" s="1" t="s">
        <v>13513</v>
      </c>
      <c r="G662" s="1" t="s">
        <v>13514</v>
      </c>
    </row>
    <row r="663" spans="1:7">
      <c r="A663" s="1">
        <v>662</v>
      </c>
      <c r="B663" s="1" t="s">
        <v>13515</v>
      </c>
      <c r="D663" s="1" t="s">
        <v>13491</v>
      </c>
      <c r="E663" s="1" t="s">
        <v>13516</v>
      </c>
      <c r="F663" s="1" t="s">
        <v>13517</v>
      </c>
      <c r="G663" s="1" t="s">
        <v>13518</v>
      </c>
    </row>
    <row r="664" spans="1:7">
      <c r="A664" s="1">
        <v>663</v>
      </c>
      <c r="B664" s="1" t="s">
        <v>13519</v>
      </c>
      <c r="D664" s="1" t="s">
        <v>13491</v>
      </c>
      <c r="E664" s="1" t="s">
        <v>13520</v>
      </c>
      <c r="F664" s="1" t="s">
        <v>13521</v>
      </c>
      <c r="G664" s="1" t="s">
        <v>13522</v>
      </c>
    </row>
    <row r="665" spans="1:7">
      <c r="A665" s="1">
        <v>664</v>
      </c>
      <c r="B665" s="1" t="s">
        <v>13523</v>
      </c>
      <c r="D665" s="1" t="s">
        <v>13491</v>
      </c>
      <c r="E665" s="1" t="s">
        <v>13524</v>
      </c>
      <c r="F665" s="1" t="s">
        <v>13525</v>
      </c>
      <c r="G665" s="1" t="s">
        <v>13526</v>
      </c>
    </row>
    <row r="666" spans="1:7">
      <c r="A666" s="1">
        <v>665</v>
      </c>
      <c r="B666" s="1" t="s">
        <v>13527</v>
      </c>
      <c r="D666" s="1" t="s">
        <v>6300</v>
      </c>
      <c r="E666" s="1" t="s">
        <v>13528</v>
      </c>
      <c r="F666" s="1" t="s">
        <v>3767</v>
      </c>
      <c r="G666" s="1" t="s">
        <v>3768</v>
      </c>
    </row>
    <row r="667" spans="1:7">
      <c r="A667" s="1">
        <v>666</v>
      </c>
      <c r="B667" s="1" t="s">
        <v>13529</v>
      </c>
      <c r="D667" s="1" t="s">
        <v>6300</v>
      </c>
      <c r="E667" s="1" t="s">
        <v>13530</v>
      </c>
      <c r="F667" s="1" t="s">
        <v>6304</v>
      </c>
      <c r="G667" s="1" t="s">
        <v>6305</v>
      </c>
    </row>
    <row r="668" spans="1:7">
      <c r="A668" s="1">
        <v>667</v>
      </c>
      <c r="B668" s="1" t="s">
        <v>13531</v>
      </c>
      <c r="D668" s="1" t="s">
        <v>6300</v>
      </c>
      <c r="E668" s="1" t="s">
        <v>13532</v>
      </c>
      <c r="F668" s="1" t="s">
        <v>6308</v>
      </c>
      <c r="G668" s="1" t="s">
        <v>6309</v>
      </c>
    </row>
    <row r="669" spans="1:7">
      <c r="A669" s="1">
        <v>668</v>
      </c>
      <c r="B669" s="1" t="s">
        <v>13533</v>
      </c>
      <c r="D669" s="1" t="s">
        <v>6300</v>
      </c>
      <c r="E669" s="1" t="s">
        <v>13534</v>
      </c>
      <c r="F669" s="1" t="s">
        <v>13535</v>
      </c>
      <c r="G669" s="1" t="s">
        <v>13536</v>
      </c>
    </row>
    <row r="670" spans="1:7">
      <c r="A670" s="1">
        <v>669</v>
      </c>
      <c r="B670" s="1" t="s">
        <v>13537</v>
      </c>
      <c r="D670" s="1" t="s">
        <v>6300</v>
      </c>
      <c r="E670" s="1" t="s">
        <v>13538</v>
      </c>
      <c r="F670" s="1" t="s">
        <v>13539</v>
      </c>
      <c r="G670" s="1" t="s">
        <v>13540</v>
      </c>
    </row>
    <row r="671" spans="1:7">
      <c r="A671" s="1">
        <v>670</v>
      </c>
      <c r="B671" s="1" t="s">
        <v>13541</v>
      </c>
      <c r="D671" s="1" t="s">
        <v>6300</v>
      </c>
      <c r="E671" s="1" t="s">
        <v>13542</v>
      </c>
      <c r="F671" s="1" t="s">
        <v>13543</v>
      </c>
      <c r="G671" s="1" t="s">
        <v>13544</v>
      </c>
    </row>
    <row r="672" spans="1:7">
      <c r="A672" s="1">
        <v>671</v>
      </c>
      <c r="B672" s="1" t="s">
        <v>13545</v>
      </c>
      <c r="D672" s="1" t="s">
        <v>6300</v>
      </c>
      <c r="E672" s="1" t="s">
        <v>13546</v>
      </c>
      <c r="F672" s="1" t="s">
        <v>13547</v>
      </c>
      <c r="G672" s="1" t="s">
        <v>13548</v>
      </c>
    </row>
    <row r="673" spans="1:7">
      <c r="A673" s="1">
        <v>672</v>
      </c>
      <c r="B673" s="1" t="s">
        <v>13549</v>
      </c>
      <c r="D673" s="1" t="s">
        <v>6300</v>
      </c>
      <c r="E673" s="1" t="s">
        <v>13550</v>
      </c>
      <c r="F673" s="1" t="s">
        <v>13551</v>
      </c>
      <c r="G673" s="1" t="s">
        <v>13552</v>
      </c>
    </row>
    <row r="674" spans="1:7">
      <c r="A674" s="1">
        <v>673</v>
      </c>
      <c r="B674" s="1" t="s">
        <v>13553</v>
      </c>
      <c r="D674" s="1" t="s">
        <v>6300</v>
      </c>
      <c r="E674" s="1" t="s">
        <v>13554</v>
      </c>
      <c r="F674" s="1" t="s">
        <v>13555</v>
      </c>
      <c r="G674" s="1" t="s">
        <v>13556</v>
      </c>
    </row>
    <row r="675" spans="1:7">
      <c r="A675" s="1">
        <v>674</v>
      </c>
      <c r="B675" s="1" t="s">
        <v>13557</v>
      </c>
      <c r="D675" s="1" t="s">
        <v>6300</v>
      </c>
      <c r="E675" s="1" t="s">
        <v>13558</v>
      </c>
      <c r="F675" s="1" t="s">
        <v>13559</v>
      </c>
      <c r="G675" s="1" t="s">
        <v>13560</v>
      </c>
    </row>
    <row r="676" spans="1:7">
      <c r="A676" s="1">
        <v>675</v>
      </c>
      <c r="B676" s="1" t="s">
        <v>13561</v>
      </c>
      <c r="D676" s="1" t="s">
        <v>6300</v>
      </c>
      <c r="E676" s="1" t="s">
        <v>13562</v>
      </c>
      <c r="F676" s="1" t="s">
        <v>13563</v>
      </c>
      <c r="G676" s="1" t="s">
        <v>13564</v>
      </c>
    </row>
    <row r="677" spans="1:7">
      <c r="A677" s="1">
        <v>676</v>
      </c>
      <c r="B677" s="1" t="s">
        <v>13565</v>
      </c>
      <c r="D677" s="1" t="s">
        <v>6300</v>
      </c>
      <c r="E677" s="1" t="s">
        <v>13566</v>
      </c>
      <c r="F677" s="1" t="s">
        <v>13567</v>
      </c>
      <c r="G677" s="1" t="s">
        <v>13568</v>
      </c>
    </row>
    <row r="678" spans="1:7">
      <c r="A678" s="1">
        <v>677</v>
      </c>
      <c r="B678" s="1" t="s">
        <v>13569</v>
      </c>
      <c r="D678" s="1" t="s">
        <v>6300</v>
      </c>
      <c r="E678" s="1" t="s">
        <v>13570</v>
      </c>
      <c r="F678" s="1" t="s">
        <v>6316</v>
      </c>
      <c r="G678" s="1" t="s">
        <v>6317</v>
      </c>
    </row>
    <row r="679" spans="1:7">
      <c r="A679" s="1">
        <v>678</v>
      </c>
      <c r="B679" s="1" t="s">
        <v>13571</v>
      </c>
      <c r="D679" s="1" t="s">
        <v>6319</v>
      </c>
      <c r="E679" s="1" t="s">
        <v>13572</v>
      </c>
      <c r="F679" s="1" t="s">
        <v>3767</v>
      </c>
      <c r="G679" s="1" t="s">
        <v>3768</v>
      </c>
    </row>
    <row r="680" spans="1:7">
      <c r="A680" s="1">
        <v>679</v>
      </c>
      <c r="B680" s="1" t="s">
        <v>13573</v>
      </c>
      <c r="D680" s="1" t="s">
        <v>6319</v>
      </c>
      <c r="E680" s="1" t="s">
        <v>13574</v>
      </c>
      <c r="F680" s="1" t="s">
        <v>6304</v>
      </c>
      <c r="G680" s="1" t="s">
        <v>6305</v>
      </c>
    </row>
    <row r="681" spans="1:7">
      <c r="A681" s="1">
        <v>680</v>
      </c>
      <c r="B681" s="1" t="s">
        <v>13575</v>
      </c>
      <c r="D681" s="1" t="s">
        <v>6319</v>
      </c>
      <c r="E681" s="1" t="s">
        <v>13576</v>
      </c>
      <c r="F681" s="1" t="s">
        <v>6339</v>
      </c>
      <c r="G681" s="1" t="s">
        <v>6340</v>
      </c>
    </row>
    <row r="682" spans="1:7">
      <c r="A682" s="1">
        <v>681</v>
      </c>
      <c r="B682" s="1" t="s">
        <v>13577</v>
      </c>
      <c r="D682" s="1" t="s">
        <v>6319</v>
      </c>
      <c r="E682" s="1" t="s">
        <v>13578</v>
      </c>
      <c r="F682" s="1" t="s">
        <v>13579</v>
      </c>
      <c r="G682" s="1" t="s">
        <v>13580</v>
      </c>
    </row>
    <row r="683" spans="1:7">
      <c r="A683" s="1">
        <v>682</v>
      </c>
      <c r="B683" s="1" t="s">
        <v>13581</v>
      </c>
      <c r="D683" s="1" t="s">
        <v>6319</v>
      </c>
      <c r="E683" s="1" t="s">
        <v>13582</v>
      </c>
      <c r="F683" s="1" t="s">
        <v>6335</v>
      </c>
      <c r="G683" s="1" t="s">
        <v>6336</v>
      </c>
    </row>
    <row r="684" spans="1:7">
      <c r="A684" s="1">
        <v>683</v>
      </c>
      <c r="B684" s="1" t="s">
        <v>13583</v>
      </c>
      <c r="D684" s="1" t="s">
        <v>6319</v>
      </c>
      <c r="E684" s="1" t="s">
        <v>13584</v>
      </c>
      <c r="F684" s="1" t="s">
        <v>3776</v>
      </c>
      <c r="G684" s="1" t="s">
        <v>3777</v>
      </c>
    </row>
    <row r="685" spans="1:7">
      <c r="A685" s="1">
        <v>684</v>
      </c>
      <c r="B685" s="1" t="s">
        <v>13585</v>
      </c>
      <c r="D685" s="1" t="s">
        <v>6319</v>
      </c>
      <c r="E685" s="1" t="s">
        <v>13586</v>
      </c>
      <c r="F685" s="1" t="s">
        <v>3779</v>
      </c>
      <c r="G685" s="1" t="s">
        <v>3780</v>
      </c>
    </row>
    <row r="686" spans="1:7">
      <c r="A686" s="1">
        <v>685</v>
      </c>
      <c r="B686" s="1" t="s">
        <v>13587</v>
      </c>
      <c r="D686" s="1" t="s">
        <v>6319</v>
      </c>
      <c r="E686" s="1" t="s">
        <v>13588</v>
      </c>
      <c r="F686" s="1" t="s">
        <v>3782</v>
      </c>
      <c r="G686" s="1" t="s">
        <v>3783</v>
      </c>
    </row>
    <row r="687" spans="1:7">
      <c r="A687" s="1">
        <v>686</v>
      </c>
      <c r="B687" s="1" t="s">
        <v>13589</v>
      </c>
      <c r="D687" s="1" t="s">
        <v>6319</v>
      </c>
      <c r="E687" s="1" t="s">
        <v>13590</v>
      </c>
      <c r="F687" s="1" t="s">
        <v>3785</v>
      </c>
      <c r="G687" s="1" t="s">
        <v>3786</v>
      </c>
    </row>
    <row r="688" spans="1:7">
      <c r="A688" s="1">
        <v>687</v>
      </c>
      <c r="B688" s="1" t="s">
        <v>13591</v>
      </c>
      <c r="D688" s="1" t="s">
        <v>6319</v>
      </c>
      <c r="E688" s="1" t="s">
        <v>13592</v>
      </c>
      <c r="F688" s="1" t="s">
        <v>3791</v>
      </c>
      <c r="G688" s="1" t="s">
        <v>3792</v>
      </c>
    </row>
    <row r="689" spans="1:7">
      <c r="A689" s="1">
        <v>688</v>
      </c>
      <c r="B689" s="1" t="s">
        <v>13593</v>
      </c>
      <c r="D689" s="1" t="s">
        <v>6342</v>
      </c>
      <c r="E689" s="1" t="s">
        <v>13594</v>
      </c>
      <c r="F689" s="1" t="s">
        <v>3796</v>
      </c>
      <c r="G689" s="1" t="s">
        <v>3797</v>
      </c>
    </row>
    <row r="690" spans="1:7">
      <c r="A690" s="1">
        <v>689</v>
      </c>
      <c r="B690" s="1" t="s">
        <v>13595</v>
      </c>
      <c r="D690" s="1" t="s">
        <v>6342</v>
      </c>
      <c r="E690" s="1" t="s">
        <v>13596</v>
      </c>
      <c r="F690" s="1" t="s">
        <v>6346</v>
      </c>
      <c r="G690" s="1" t="s">
        <v>6347</v>
      </c>
    </row>
    <row r="691" spans="1:7">
      <c r="A691" s="1">
        <v>690</v>
      </c>
      <c r="B691" s="1" t="s">
        <v>13597</v>
      </c>
      <c r="D691" s="1" t="s">
        <v>6342</v>
      </c>
      <c r="E691" s="1" t="s">
        <v>13598</v>
      </c>
      <c r="F691" s="1" t="s">
        <v>6350</v>
      </c>
      <c r="G691" s="1" t="s">
        <v>6351</v>
      </c>
    </row>
    <row r="692" spans="1:7">
      <c r="A692" s="1">
        <v>691</v>
      </c>
      <c r="B692" s="1" t="s">
        <v>13599</v>
      </c>
      <c r="D692" s="1" t="s">
        <v>6342</v>
      </c>
      <c r="E692" s="1" t="s">
        <v>13600</v>
      </c>
      <c r="F692" s="1" t="s">
        <v>13601</v>
      </c>
      <c r="G692" s="1" t="s">
        <v>13602</v>
      </c>
    </row>
    <row r="693" spans="1:7">
      <c r="A693" s="1">
        <v>692</v>
      </c>
      <c r="B693" s="1" t="s">
        <v>13603</v>
      </c>
      <c r="D693" s="1" t="s">
        <v>6342</v>
      </c>
      <c r="E693" s="1" t="s">
        <v>13604</v>
      </c>
      <c r="F693" s="1" t="s">
        <v>13605</v>
      </c>
      <c r="G693" s="1" t="s">
        <v>13606</v>
      </c>
    </row>
    <row r="694" spans="1:7">
      <c r="A694" s="1">
        <v>693</v>
      </c>
      <c r="B694" s="1" t="s">
        <v>13607</v>
      </c>
      <c r="D694" s="1" t="s">
        <v>6342</v>
      </c>
      <c r="E694" s="1" t="s">
        <v>13608</v>
      </c>
      <c r="F694" s="1" t="s">
        <v>13609</v>
      </c>
      <c r="G694" s="1" t="s">
        <v>13610</v>
      </c>
    </row>
    <row r="695" spans="1:7">
      <c r="A695" s="1">
        <v>694</v>
      </c>
      <c r="B695" s="1" t="s">
        <v>13611</v>
      </c>
      <c r="D695" s="1" t="s">
        <v>6342</v>
      </c>
      <c r="E695" s="1" t="s">
        <v>13612</v>
      </c>
      <c r="F695" s="1" t="s">
        <v>13613</v>
      </c>
      <c r="G695" s="1" t="s">
        <v>13614</v>
      </c>
    </row>
    <row r="696" spans="1:7">
      <c r="A696" s="1">
        <v>695</v>
      </c>
      <c r="B696" s="1" t="s">
        <v>13615</v>
      </c>
      <c r="D696" s="1" t="s">
        <v>6342</v>
      </c>
      <c r="E696" s="1" t="s">
        <v>13616</v>
      </c>
      <c r="F696" s="1" t="s">
        <v>13617</v>
      </c>
      <c r="G696" s="1" t="s">
        <v>13618</v>
      </c>
    </row>
    <row r="697" spans="1:7">
      <c r="A697" s="1">
        <v>696</v>
      </c>
      <c r="B697" s="1" t="s">
        <v>13619</v>
      </c>
      <c r="D697" s="1" t="s">
        <v>6342</v>
      </c>
      <c r="E697" s="1" t="s">
        <v>13620</v>
      </c>
      <c r="F697" s="1" t="s">
        <v>13621</v>
      </c>
      <c r="G697" s="1" t="s">
        <v>13622</v>
      </c>
    </row>
    <row r="698" spans="1:7">
      <c r="A698" s="1">
        <v>697</v>
      </c>
      <c r="B698" s="1" t="s">
        <v>13623</v>
      </c>
      <c r="D698" s="1" t="s">
        <v>6342</v>
      </c>
      <c r="E698" s="1" t="s">
        <v>13624</v>
      </c>
      <c r="F698" s="1" t="s">
        <v>13625</v>
      </c>
      <c r="G698" s="1" t="s">
        <v>13626</v>
      </c>
    </row>
    <row r="699" spans="1:7">
      <c r="A699" s="1">
        <v>698</v>
      </c>
      <c r="B699" s="1" t="s">
        <v>13627</v>
      </c>
      <c r="D699" s="1" t="s">
        <v>6342</v>
      </c>
      <c r="E699" s="1" t="s">
        <v>13628</v>
      </c>
      <c r="F699" s="1" t="s">
        <v>13629</v>
      </c>
      <c r="G699" s="1" t="s">
        <v>13630</v>
      </c>
    </row>
    <row r="700" spans="1:7">
      <c r="A700" s="1">
        <v>699</v>
      </c>
      <c r="B700" s="1" t="s">
        <v>13631</v>
      </c>
      <c r="D700" s="1" t="s">
        <v>6342</v>
      </c>
      <c r="E700" s="1" t="s">
        <v>13632</v>
      </c>
      <c r="F700" s="1" t="s">
        <v>13633</v>
      </c>
      <c r="G700" s="1" t="s">
        <v>13634</v>
      </c>
    </row>
    <row r="701" spans="1:7">
      <c r="A701" s="1">
        <v>700</v>
      </c>
      <c r="B701" s="1" t="s">
        <v>13635</v>
      </c>
      <c r="D701" s="1" t="s">
        <v>6342</v>
      </c>
      <c r="E701" s="1" t="s">
        <v>13636</v>
      </c>
      <c r="F701" s="1" t="s">
        <v>6358</v>
      </c>
      <c r="G701" s="1" t="s">
        <v>6359</v>
      </c>
    </row>
    <row r="702" spans="1:7">
      <c r="A702" s="1">
        <v>701</v>
      </c>
      <c r="B702" s="1" t="s">
        <v>13637</v>
      </c>
      <c r="D702" s="1" t="s">
        <v>6361</v>
      </c>
      <c r="E702" s="1" t="s">
        <v>13638</v>
      </c>
      <c r="F702" s="1" t="s">
        <v>3796</v>
      </c>
      <c r="G702" s="1" t="s">
        <v>3797</v>
      </c>
    </row>
    <row r="703" spans="1:7">
      <c r="A703" s="1">
        <v>702</v>
      </c>
      <c r="B703" s="1" t="s">
        <v>13639</v>
      </c>
      <c r="D703" s="1" t="s">
        <v>6361</v>
      </c>
      <c r="E703" s="1" t="s">
        <v>13640</v>
      </c>
      <c r="F703" s="1" t="s">
        <v>6346</v>
      </c>
      <c r="G703" s="1" t="s">
        <v>6347</v>
      </c>
    </row>
    <row r="704" spans="1:7">
      <c r="A704" s="1">
        <v>703</v>
      </c>
      <c r="B704" s="1" t="s">
        <v>13641</v>
      </c>
      <c r="D704" s="1" t="s">
        <v>6361</v>
      </c>
      <c r="E704" s="1" t="s">
        <v>13642</v>
      </c>
      <c r="F704" s="1" t="s">
        <v>6376</v>
      </c>
      <c r="G704" s="1" t="s">
        <v>6377</v>
      </c>
    </row>
    <row r="705" spans="1:7">
      <c r="A705" s="1">
        <v>704</v>
      </c>
      <c r="B705" s="1" t="s">
        <v>13643</v>
      </c>
      <c r="D705" s="1" t="s">
        <v>6361</v>
      </c>
      <c r="E705" s="1" t="s">
        <v>13644</v>
      </c>
      <c r="F705" s="1" t="s">
        <v>13645</v>
      </c>
      <c r="G705" s="1" t="s">
        <v>13646</v>
      </c>
    </row>
    <row r="706" spans="1:7">
      <c r="A706" s="1">
        <v>705</v>
      </c>
      <c r="B706" s="1" t="s">
        <v>13647</v>
      </c>
      <c r="D706" s="1" t="s">
        <v>6361</v>
      </c>
      <c r="E706" s="1" t="s">
        <v>13648</v>
      </c>
      <c r="F706" s="1" t="s">
        <v>6373</v>
      </c>
      <c r="G706" s="1" t="s">
        <v>6374</v>
      </c>
    </row>
    <row r="707" spans="1:7">
      <c r="A707" s="1">
        <v>706</v>
      </c>
      <c r="B707" s="1" t="s">
        <v>13649</v>
      </c>
      <c r="D707" s="1" t="s">
        <v>6361</v>
      </c>
      <c r="E707" s="1" t="s">
        <v>13650</v>
      </c>
      <c r="F707" s="1" t="s">
        <v>3805</v>
      </c>
      <c r="G707" s="1" t="s">
        <v>3806</v>
      </c>
    </row>
    <row r="708" spans="1:7">
      <c r="A708" s="1">
        <v>707</v>
      </c>
      <c r="B708" s="1" t="s">
        <v>13651</v>
      </c>
      <c r="D708" s="1" t="s">
        <v>6361</v>
      </c>
      <c r="E708" s="1" t="s">
        <v>13652</v>
      </c>
      <c r="F708" s="1" t="s">
        <v>3808</v>
      </c>
      <c r="G708" s="1" t="s">
        <v>3809</v>
      </c>
    </row>
    <row r="709" spans="1:7">
      <c r="A709" s="1">
        <v>708</v>
      </c>
      <c r="B709" s="1" t="s">
        <v>13653</v>
      </c>
      <c r="D709" s="1" t="s">
        <v>6361</v>
      </c>
      <c r="E709" s="1" t="s">
        <v>13654</v>
      </c>
      <c r="F709" s="1" t="s">
        <v>3811</v>
      </c>
      <c r="G709" s="1" t="s">
        <v>3812</v>
      </c>
    </row>
    <row r="710" spans="1:7">
      <c r="A710" s="1">
        <v>709</v>
      </c>
      <c r="B710" s="1" t="s">
        <v>13655</v>
      </c>
      <c r="D710" s="1" t="s">
        <v>6361</v>
      </c>
      <c r="E710" s="1" t="s">
        <v>13656</v>
      </c>
      <c r="F710" s="1" t="s">
        <v>3814</v>
      </c>
      <c r="G710" s="1" t="s">
        <v>3815</v>
      </c>
    </row>
    <row r="711" spans="1:7">
      <c r="A711" s="1">
        <v>710</v>
      </c>
      <c r="B711" s="1" t="s">
        <v>13657</v>
      </c>
      <c r="D711" s="1" t="s">
        <v>6361</v>
      </c>
      <c r="E711" s="1" t="s">
        <v>13658</v>
      </c>
      <c r="F711" s="1" t="s">
        <v>3820</v>
      </c>
      <c r="G711" s="1" t="s">
        <v>3821</v>
      </c>
    </row>
    <row r="712" spans="1:7">
      <c r="A712" s="1">
        <v>711</v>
      </c>
      <c r="B712" s="1" t="s">
        <v>13659</v>
      </c>
      <c r="D712" s="1" t="s">
        <v>13660</v>
      </c>
      <c r="E712" s="1" t="s">
        <v>13661</v>
      </c>
      <c r="F712" s="1" t="s">
        <v>13662</v>
      </c>
      <c r="G712" s="1" t="s">
        <v>13663</v>
      </c>
    </row>
    <row r="713" spans="1:7">
      <c r="A713" s="1">
        <v>712</v>
      </c>
      <c r="B713" s="1" t="s">
        <v>13664</v>
      </c>
      <c r="D713" s="1" t="s">
        <v>13660</v>
      </c>
      <c r="E713" s="1" t="s">
        <v>13665</v>
      </c>
      <c r="F713" s="1" t="s">
        <v>13666</v>
      </c>
      <c r="G713" s="1" t="s">
        <v>13667</v>
      </c>
    </row>
    <row r="714" spans="1:7">
      <c r="A714" s="1">
        <v>713</v>
      </c>
      <c r="B714" s="1" t="s">
        <v>13668</v>
      </c>
      <c r="D714" s="1" t="s">
        <v>13660</v>
      </c>
      <c r="E714" s="1" t="s">
        <v>13669</v>
      </c>
      <c r="F714" s="1" t="s">
        <v>13670</v>
      </c>
      <c r="G714" s="1" t="s">
        <v>13671</v>
      </c>
    </row>
    <row r="715" spans="1:7">
      <c r="A715" s="1">
        <v>714</v>
      </c>
      <c r="B715" s="1" t="s">
        <v>13672</v>
      </c>
      <c r="D715" s="1" t="s">
        <v>13660</v>
      </c>
      <c r="E715" s="1" t="s">
        <v>13673</v>
      </c>
      <c r="F715" s="1" t="s">
        <v>13674</v>
      </c>
      <c r="G715" s="1" t="s">
        <v>13675</v>
      </c>
    </row>
    <row r="716" spans="1:7">
      <c r="A716" s="1">
        <v>715</v>
      </c>
      <c r="B716" s="1" t="s">
        <v>13676</v>
      </c>
      <c r="D716" s="1" t="s">
        <v>13660</v>
      </c>
      <c r="E716" s="1" t="s">
        <v>13677</v>
      </c>
      <c r="F716" s="1" t="s">
        <v>13678</v>
      </c>
      <c r="G716" s="1" t="s">
        <v>13679</v>
      </c>
    </row>
    <row r="717" spans="1:7">
      <c r="A717" s="1">
        <v>716</v>
      </c>
      <c r="B717" s="1" t="s">
        <v>13680</v>
      </c>
      <c r="D717" s="1" t="s">
        <v>13660</v>
      </c>
      <c r="E717" s="1" t="s">
        <v>13681</v>
      </c>
      <c r="F717" s="1" t="s">
        <v>13682</v>
      </c>
      <c r="G717" s="1" t="s">
        <v>13683</v>
      </c>
    </row>
    <row r="718" spans="1:7">
      <c r="A718" s="1">
        <v>717</v>
      </c>
      <c r="B718" s="1" t="s">
        <v>13684</v>
      </c>
      <c r="D718" s="1" t="s">
        <v>13660</v>
      </c>
      <c r="E718" s="1" t="s">
        <v>13685</v>
      </c>
      <c r="F718" s="1" t="s">
        <v>13686</v>
      </c>
      <c r="G718" s="1" t="s">
        <v>13687</v>
      </c>
    </row>
    <row r="719" spans="1:7">
      <c r="A719" s="1">
        <v>718</v>
      </c>
      <c r="B719" s="1" t="s">
        <v>13688</v>
      </c>
      <c r="D719" s="1" t="s">
        <v>13660</v>
      </c>
      <c r="E719" s="1" t="s">
        <v>13689</v>
      </c>
      <c r="F719" s="1" t="s">
        <v>13690</v>
      </c>
      <c r="G719" s="1" t="s">
        <v>13691</v>
      </c>
    </row>
    <row r="720" spans="1:7">
      <c r="A720" s="1">
        <v>719</v>
      </c>
      <c r="B720" s="1" t="s">
        <v>13692</v>
      </c>
      <c r="D720" s="1" t="s">
        <v>13660</v>
      </c>
      <c r="E720" s="1" t="s">
        <v>13693</v>
      </c>
      <c r="F720" s="1" t="s">
        <v>13694</v>
      </c>
      <c r="G720" s="1" t="s">
        <v>13695</v>
      </c>
    </row>
    <row r="721" spans="1:7">
      <c r="A721" s="1">
        <v>720</v>
      </c>
      <c r="B721" s="1" t="s">
        <v>13696</v>
      </c>
      <c r="D721" s="1" t="s">
        <v>13660</v>
      </c>
      <c r="E721" s="1" t="s">
        <v>13697</v>
      </c>
      <c r="F721" s="1" t="s">
        <v>13698</v>
      </c>
      <c r="G721" s="1" t="s">
        <v>13699</v>
      </c>
    </row>
    <row r="722" spans="1:7">
      <c r="A722" s="1">
        <v>721</v>
      </c>
      <c r="B722" s="1" t="s">
        <v>13700</v>
      </c>
      <c r="D722" s="1" t="s">
        <v>13660</v>
      </c>
      <c r="E722" s="1" t="s">
        <v>13701</v>
      </c>
      <c r="F722" s="1" t="s">
        <v>13702</v>
      </c>
      <c r="G722" s="1" t="s">
        <v>13703</v>
      </c>
    </row>
    <row r="723" spans="1:7">
      <c r="A723" s="1">
        <v>722</v>
      </c>
      <c r="B723" s="1" t="s">
        <v>13704</v>
      </c>
      <c r="D723" s="1" t="s">
        <v>13660</v>
      </c>
      <c r="E723" s="1" t="s">
        <v>13705</v>
      </c>
      <c r="F723" s="1" t="s">
        <v>13706</v>
      </c>
      <c r="G723" s="1" t="s">
        <v>13707</v>
      </c>
    </row>
    <row r="724" spans="1:7">
      <c r="A724" s="1">
        <v>723</v>
      </c>
      <c r="B724" s="1" t="s">
        <v>13708</v>
      </c>
      <c r="D724" s="1" t="s">
        <v>13660</v>
      </c>
      <c r="E724" s="1" t="s">
        <v>13709</v>
      </c>
      <c r="F724" s="1" t="s">
        <v>13710</v>
      </c>
      <c r="G724" s="1" t="s">
        <v>13711</v>
      </c>
    </row>
    <row r="725" spans="1:7">
      <c r="A725" s="1">
        <v>724</v>
      </c>
      <c r="B725" s="1" t="s">
        <v>13712</v>
      </c>
      <c r="D725" s="1" t="s">
        <v>13713</v>
      </c>
      <c r="E725" s="1" t="s">
        <v>13714</v>
      </c>
      <c r="F725" s="1" t="s">
        <v>13662</v>
      </c>
      <c r="G725" s="1" t="s">
        <v>13663</v>
      </c>
    </row>
    <row r="726" spans="1:7">
      <c r="A726" s="1">
        <v>725</v>
      </c>
      <c r="B726" s="1" t="s">
        <v>13715</v>
      </c>
      <c r="D726" s="1" t="s">
        <v>13713</v>
      </c>
      <c r="E726" s="1" t="s">
        <v>13716</v>
      </c>
      <c r="F726" s="1" t="s">
        <v>13666</v>
      </c>
      <c r="G726" s="1" t="s">
        <v>13667</v>
      </c>
    </row>
    <row r="727" spans="1:7">
      <c r="A727" s="1">
        <v>726</v>
      </c>
      <c r="B727" s="1" t="s">
        <v>13717</v>
      </c>
      <c r="D727" s="1" t="s">
        <v>13713</v>
      </c>
      <c r="E727" s="1" t="s">
        <v>13718</v>
      </c>
      <c r="F727" s="1" t="s">
        <v>13719</v>
      </c>
      <c r="G727" s="1" t="s">
        <v>13720</v>
      </c>
    </row>
    <row r="728" spans="1:7">
      <c r="A728" s="1">
        <v>727</v>
      </c>
      <c r="B728" s="1" t="s">
        <v>13721</v>
      </c>
      <c r="D728" s="1" t="s">
        <v>13713</v>
      </c>
      <c r="E728" s="1" t="s">
        <v>13722</v>
      </c>
      <c r="F728" s="1" t="s">
        <v>13723</v>
      </c>
      <c r="G728" s="1" t="s">
        <v>13724</v>
      </c>
    </row>
    <row r="729" spans="1:7">
      <c r="A729" s="1">
        <v>728</v>
      </c>
      <c r="B729" s="1" t="s">
        <v>13725</v>
      </c>
      <c r="D729" s="1" t="s">
        <v>13713</v>
      </c>
      <c r="E729" s="1" t="s">
        <v>13726</v>
      </c>
      <c r="F729" s="1" t="s">
        <v>13727</v>
      </c>
      <c r="G729" s="1" t="s">
        <v>13728</v>
      </c>
    </row>
    <row r="730" spans="1:7">
      <c r="A730" s="1">
        <v>729</v>
      </c>
      <c r="B730" s="1" t="s">
        <v>13729</v>
      </c>
      <c r="D730" s="1" t="s">
        <v>13713</v>
      </c>
      <c r="E730" s="1" t="s">
        <v>13730</v>
      </c>
      <c r="F730" s="1" t="s">
        <v>13731</v>
      </c>
      <c r="G730" s="1" t="s">
        <v>13732</v>
      </c>
    </row>
    <row r="731" spans="1:7">
      <c r="A731" s="1">
        <v>730</v>
      </c>
      <c r="B731" s="1" t="s">
        <v>13733</v>
      </c>
      <c r="D731" s="1" t="s">
        <v>13713</v>
      </c>
      <c r="E731" s="1" t="s">
        <v>13734</v>
      </c>
      <c r="F731" s="1" t="s">
        <v>13735</v>
      </c>
      <c r="G731" s="1" t="s">
        <v>13736</v>
      </c>
    </row>
    <row r="732" spans="1:7">
      <c r="A732" s="1">
        <v>731</v>
      </c>
      <c r="B732" s="1" t="s">
        <v>13737</v>
      </c>
      <c r="D732" s="1" t="s">
        <v>13713</v>
      </c>
      <c r="E732" s="1" t="s">
        <v>13738</v>
      </c>
      <c r="F732" s="1" t="s">
        <v>13739</v>
      </c>
      <c r="G732" s="1" t="s">
        <v>13740</v>
      </c>
    </row>
    <row r="733" spans="1:7">
      <c r="A733" s="1">
        <v>732</v>
      </c>
      <c r="B733" s="1" t="s">
        <v>13741</v>
      </c>
      <c r="D733" s="1" t="s">
        <v>13713</v>
      </c>
      <c r="E733" s="1" t="s">
        <v>13742</v>
      </c>
      <c r="F733" s="1" t="s">
        <v>13743</v>
      </c>
      <c r="G733" s="1" t="s">
        <v>13744</v>
      </c>
    </row>
    <row r="734" spans="1:7">
      <c r="A734" s="1">
        <v>733</v>
      </c>
      <c r="B734" s="1" t="s">
        <v>13745</v>
      </c>
      <c r="D734" s="1" t="s">
        <v>13713</v>
      </c>
      <c r="E734" s="1" t="s">
        <v>13746</v>
      </c>
      <c r="F734" s="1" t="s">
        <v>13747</v>
      </c>
      <c r="G734" s="1" t="s">
        <v>13748</v>
      </c>
    </row>
    <row r="735" spans="1:7">
      <c r="A735" s="1">
        <v>734</v>
      </c>
      <c r="B735" s="1" t="s">
        <v>13749</v>
      </c>
      <c r="D735" s="1" t="s">
        <v>6379</v>
      </c>
      <c r="E735" s="1" t="s">
        <v>13750</v>
      </c>
      <c r="F735" s="1" t="s">
        <v>3825</v>
      </c>
      <c r="G735" s="1" t="s">
        <v>3826</v>
      </c>
    </row>
    <row r="736" spans="1:7">
      <c r="A736" s="1">
        <v>735</v>
      </c>
      <c r="B736" s="1" t="s">
        <v>13751</v>
      </c>
      <c r="D736" s="1" t="s">
        <v>6379</v>
      </c>
      <c r="E736" s="1" t="s">
        <v>13752</v>
      </c>
      <c r="F736" s="1" t="s">
        <v>6383</v>
      </c>
      <c r="G736" s="1" t="s">
        <v>6384</v>
      </c>
    </row>
    <row r="737" spans="1:7">
      <c r="A737" s="1">
        <v>736</v>
      </c>
      <c r="B737" s="1" t="s">
        <v>13753</v>
      </c>
      <c r="D737" s="1" t="s">
        <v>6379</v>
      </c>
      <c r="E737" s="1" t="s">
        <v>13754</v>
      </c>
      <c r="F737" s="1" t="s">
        <v>6387</v>
      </c>
      <c r="G737" s="1" t="s">
        <v>6388</v>
      </c>
    </row>
    <row r="738" spans="1:7">
      <c r="A738" s="1">
        <v>737</v>
      </c>
      <c r="B738" s="1" t="s">
        <v>13755</v>
      </c>
      <c r="D738" s="1" t="s">
        <v>6379</v>
      </c>
      <c r="E738" s="1" t="s">
        <v>13756</v>
      </c>
      <c r="F738" s="1" t="s">
        <v>13757</v>
      </c>
      <c r="G738" s="1" t="s">
        <v>13758</v>
      </c>
    </row>
    <row r="739" spans="1:7">
      <c r="A739" s="1">
        <v>738</v>
      </c>
      <c r="B739" s="1" t="s">
        <v>13759</v>
      </c>
      <c r="D739" s="1" t="s">
        <v>6379</v>
      </c>
      <c r="E739" s="1" t="s">
        <v>13760</v>
      </c>
      <c r="F739" s="1" t="s">
        <v>13761</v>
      </c>
      <c r="G739" s="1" t="s">
        <v>13762</v>
      </c>
    </row>
    <row r="740" spans="1:7">
      <c r="A740" s="1">
        <v>739</v>
      </c>
      <c r="B740" s="1" t="s">
        <v>13763</v>
      </c>
      <c r="D740" s="1" t="s">
        <v>6379</v>
      </c>
      <c r="E740" s="1" t="s">
        <v>13764</v>
      </c>
      <c r="F740" s="1" t="s">
        <v>13765</v>
      </c>
      <c r="G740" s="1" t="s">
        <v>13766</v>
      </c>
    </row>
    <row r="741" spans="1:7">
      <c r="A741" s="1">
        <v>740</v>
      </c>
      <c r="B741" s="1" t="s">
        <v>13767</v>
      </c>
      <c r="D741" s="1" t="s">
        <v>6379</v>
      </c>
      <c r="E741" s="1" t="s">
        <v>13768</v>
      </c>
      <c r="F741" s="1" t="s">
        <v>13769</v>
      </c>
      <c r="G741" s="1" t="s">
        <v>13770</v>
      </c>
    </row>
    <row r="742" spans="1:7">
      <c r="A742" s="1">
        <v>741</v>
      </c>
      <c r="B742" s="1" t="s">
        <v>13771</v>
      </c>
      <c r="D742" s="1" t="s">
        <v>6379</v>
      </c>
      <c r="E742" s="1" t="s">
        <v>13772</v>
      </c>
      <c r="F742" s="1" t="s">
        <v>13773</v>
      </c>
      <c r="G742" s="1" t="s">
        <v>13774</v>
      </c>
    </row>
    <row r="743" spans="1:7">
      <c r="A743" s="1">
        <v>742</v>
      </c>
      <c r="B743" s="1" t="s">
        <v>13775</v>
      </c>
      <c r="D743" s="1" t="s">
        <v>6379</v>
      </c>
      <c r="E743" s="1" t="s">
        <v>13776</v>
      </c>
      <c r="F743" s="1" t="s">
        <v>13777</v>
      </c>
      <c r="G743" s="1" t="s">
        <v>13778</v>
      </c>
    </row>
    <row r="744" spans="1:7">
      <c r="A744" s="1">
        <v>743</v>
      </c>
      <c r="B744" s="1" t="s">
        <v>13779</v>
      </c>
      <c r="D744" s="1" t="s">
        <v>6379</v>
      </c>
      <c r="E744" s="1" t="s">
        <v>13780</v>
      </c>
      <c r="F744" s="1" t="s">
        <v>13781</v>
      </c>
      <c r="G744" s="1" t="s">
        <v>13782</v>
      </c>
    </row>
    <row r="745" spans="1:7">
      <c r="A745" s="1">
        <v>744</v>
      </c>
      <c r="B745" s="1" t="s">
        <v>13783</v>
      </c>
      <c r="D745" s="1" t="s">
        <v>6379</v>
      </c>
      <c r="E745" s="1" t="s">
        <v>13784</v>
      </c>
      <c r="F745" s="1" t="s">
        <v>13785</v>
      </c>
      <c r="G745" s="1" t="s">
        <v>13786</v>
      </c>
    </row>
    <row r="746" spans="1:7">
      <c r="A746" s="1">
        <v>745</v>
      </c>
      <c r="B746" s="1" t="s">
        <v>13787</v>
      </c>
      <c r="D746" s="1" t="s">
        <v>6379</v>
      </c>
      <c r="E746" s="1" t="s">
        <v>13788</v>
      </c>
      <c r="F746" s="1" t="s">
        <v>13789</v>
      </c>
      <c r="G746" s="1" t="s">
        <v>13790</v>
      </c>
    </row>
    <row r="747" spans="1:7">
      <c r="A747" s="1">
        <v>746</v>
      </c>
      <c r="B747" s="1" t="s">
        <v>13791</v>
      </c>
      <c r="D747" s="1" t="s">
        <v>6379</v>
      </c>
      <c r="E747" s="1" t="s">
        <v>13792</v>
      </c>
      <c r="F747" s="1" t="s">
        <v>6395</v>
      </c>
      <c r="G747" s="1" t="s">
        <v>6396</v>
      </c>
    </row>
    <row r="748" spans="1:7">
      <c r="A748" s="1">
        <v>747</v>
      </c>
      <c r="B748" s="1" t="s">
        <v>13793</v>
      </c>
      <c r="D748" s="1" t="s">
        <v>6398</v>
      </c>
      <c r="E748" s="1" t="s">
        <v>13794</v>
      </c>
      <c r="F748" s="1" t="s">
        <v>3825</v>
      </c>
      <c r="G748" s="1" t="s">
        <v>3826</v>
      </c>
    </row>
    <row r="749" spans="1:7">
      <c r="A749" s="1">
        <v>748</v>
      </c>
      <c r="B749" s="1" t="s">
        <v>13795</v>
      </c>
      <c r="D749" s="1" t="s">
        <v>6398</v>
      </c>
      <c r="E749" s="1" t="s">
        <v>13796</v>
      </c>
      <c r="F749" s="1" t="s">
        <v>6383</v>
      </c>
      <c r="G749" s="1" t="s">
        <v>6384</v>
      </c>
    </row>
    <row r="750" spans="1:7">
      <c r="A750" s="1">
        <v>749</v>
      </c>
      <c r="B750" s="1" t="s">
        <v>13797</v>
      </c>
      <c r="D750" s="1" t="s">
        <v>6398</v>
      </c>
      <c r="E750" s="1" t="s">
        <v>13798</v>
      </c>
      <c r="F750" s="1" t="s">
        <v>6418</v>
      </c>
      <c r="G750" s="1" t="s">
        <v>6419</v>
      </c>
    </row>
    <row r="751" spans="1:7">
      <c r="A751" s="1">
        <v>750</v>
      </c>
      <c r="B751" s="1" t="s">
        <v>13799</v>
      </c>
      <c r="D751" s="1" t="s">
        <v>6398</v>
      </c>
      <c r="E751" s="1" t="s">
        <v>13800</v>
      </c>
      <c r="F751" s="1" t="s">
        <v>13801</v>
      </c>
      <c r="G751" s="1" t="s">
        <v>13802</v>
      </c>
    </row>
    <row r="752" spans="1:7">
      <c r="A752" s="1">
        <v>751</v>
      </c>
      <c r="B752" s="1" t="s">
        <v>13803</v>
      </c>
      <c r="D752" s="1" t="s">
        <v>6398</v>
      </c>
      <c r="E752" s="1" t="s">
        <v>13804</v>
      </c>
      <c r="F752" s="1" t="s">
        <v>6414</v>
      </c>
      <c r="G752" s="1" t="s">
        <v>6415</v>
      </c>
    </row>
    <row r="753" spans="1:7">
      <c r="A753" s="1">
        <v>752</v>
      </c>
      <c r="B753" s="1" t="s">
        <v>13805</v>
      </c>
      <c r="D753" s="1" t="s">
        <v>6398</v>
      </c>
      <c r="E753" s="1" t="s">
        <v>13806</v>
      </c>
      <c r="F753" s="1" t="s">
        <v>3834</v>
      </c>
      <c r="G753" s="1" t="s">
        <v>3835</v>
      </c>
    </row>
    <row r="754" spans="1:7">
      <c r="A754" s="1">
        <v>753</v>
      </c>
      <c r="B754" s="1" t="s">
        <v>13807</v>
      </c>
      <c r="D754" s="1" t="s">
        <v>6398</v>
      </c>
      <c r="E754" s="1" t="s">
        <v>13808</v>
      </c>
      <c r="F754" s="1" t="s">
        <v>3837</v>
      </c>
      <c r="G754" s="1" t="s">
        <v>3838</v>
      </c>
    </row>
    <row r="755" spans="1:7">
      <c r="A755" s="1">
        <v>754</v>
      </c>
      <c r="B755" s="1" t="s">
        <v>13809</v>
      </c>
      <c r="D755" s="1" t="s">
        <v>6398</v>
      </c>
      <c r="E755" s="1" t="s">
        <v>13810</v>
      </c>
      <c r="F755" s="1" t="s">
        <v>3840</v>
      </c>
      <c r="G755" s="1" t="s">
        <v>3841</v>
      </c>
    </row>
    <row r="756" spans="1:7">
      <c r="A756" s="1">
        <v>755</v>
      </c>
      <c r="B756" s="1" t="s">
        <v>13811</v>
      </c>
      <c r="D756" s="1" t="s">
        <v>6398</v>
      </c>
      <c r="E756" s="1" t="s">
        <v>13812</v>
      </c>
      <c r="F756" s="1" t="s">
        <v>3843</v>
      </c>
      <c r="G756" s="1" t="s">
        <v>3844</v>
      </c>
    </row>
    <row r="757" spans="1:7">
      <c r="A757" s="1">
        <v>756</v>
      </c>
      <c r="B757" s="1" t="s">
        <v>13813</v>
      </c>
      <c r="D757" s="1" t="s">
        <v>6398</v>
      </c>
      <c r="E757" s="1" t="s">
        <v>13814</v>
      </c>
      <c r="F757" s="1" t="s">
        <v>3849</v>
      </c>
      <c r="G757" s="1" t="s">
        <v>3850</v>
      </c>
    </row>
    <row r="758" spans="1:7">
      <c r="A758" s="1">
        <v>757</v>
      </c>
      <c r="B758" s="1" t="s">
        <v>13815</v>
      </c>
      <c r="D758" s="1" t="s">
        <v>6421</v>
      </c>
      <c r="E758" s="1" t="s">
        <v>13816</v>
      </c>
      <c r="F758" s="1" t="s">
        <v>3854</v>
      </c>
      <c r="G758" s="1" t="s">
        <v>3855</v>
      </c>
    </row>
    <row r="759" spans="1:7">
      <c r="A759" s="1">
        <v>758</v>
      </c>
      <c r="B759" s="1" t="s">
        <v>13817</v>
      </c>
      <c r="D759" s="1" t="s">
        <v>6421</v>
      </c>
      <c r="E759" s="1" t="s">
        <v>13818</v>
      </c>
      <c r="F759" s="1" t="s">
        <v>6424</v>
      </c>
      <c r="G759" s="1" t="s">
        <v>6425</v>
      </c>
    </row>
    <row r="760" spans="1:7">
      <c r="A760" s="1">
        <v>759</v>
      </c>
      <c r="B760" s="1" t="s">
        <v>13819</v>
      </c>
      <c r="D760" s="1" t="s">
        <v>6421</v>
      </c>
      <c r="E760" s="1" t="s">
        <v>13820</v>
      </c>
      <c r="F760" s="1" t="s">
        <v>6427</v>
      </c>
      <c r="G760" s="1" t="s">
        <v>6428</v>
      </c>
    </row>
    <row r="761" spans="1:7">
      <c r="A761" s="1">
        <v>760</v>
      </c>
      <c r="B761" s="1" t="s">
        <v>13821</v>
      </c>
      <c r="D761" s="1" t="s">
        <v>6421</v>
      </c>
      <c r="E761" s="1" t="s">
        <v>13822</v>
      </c>
      <c r="F761" s="1" t="s">
        <v>13823</v>
      </c>
      <c r="G761" s="1" t="s">
        <v>13824</v>
      </c>
    </row>
    <row r="762" spans="1:7">
      <c r="A762" s="1">
        <v>761</v>
      </c>
      <c r="B762" s="1" t="s">
        <v>13825</v>
      </c>
      <c r="D762" s="1" t="s">
        <v>6421</v>
      </c>
      <c r="E762" s="1" t="s">
        <v>13826</v>
      </c>
      <c r="F762" s="1" t="s">
        <v>13827</v>
      </c>
      <c r="G762" s="1" t="s">
        <v>13828</v>
      </c>
    </row>
    <row r="763" spans="1:7">
      <c r="A763" s="1">
        <v>762</v>
      </c>
      <c r="B763" s="1" t="s">
        <v>13829</v>
      </c>
      <c r="D763" s="1" t="s">
        <v>6421</v>
      </c>
      <c r="E763" s="1" t="s">
        <v>13830</v>
      </c>
      <c r="F763" s="1" t="s">
        <v>13831</v>
      </c>
      <c r="G763" s="1" t="s">
        <v>13832</v>
      </c>
    </row>
    <row r="764" spans="1:7">
      <c r="A764" s="1">
        <v>763</v>
      </c>
      <c r="B764" s="1" t="s">
        <v>13833</v>
      </c>
      <c r="D764" s="1" t="s">
        <v>6421</v>
      </c>
      <c r="E764" s="1" t="s">
        <v>13834</v>
      </c>
      <c r="F764" s="1" t="s">
        <v>13835</v>
      </c>
      <c r="G764" s="1" t="s">
        <v>13836</v>
      </c>
    </row>
    <row r="765" spans="1:7">
      <c r="A765" s="1">
        <v>764</v>
      </c>
      <c r="B765" s="1" t="s">
        <v>13837</v>
      </c>
      <c r="D765" s="1" t="s">
        <v>6421</v>
      </c>
      <c r="E765" s="1" t="s">
        <v>13838</v>
      </c>
      <c r="F765" s="1" t="s">
        <v>13839</v>
      </c>
      <c r="G765" s="1" t="s">
        <v>13840</v>
      </c>
    </row>
    <row r="766" spans="1:7">
      <c r="A766" s="1">
        <v>765</v>
      </c>
      <c r="B766" s="1" t="s">
        <v>13841</v>
      </c>
      <c r="D766" s="1" t="s">
        <v>6421</v>
      </c>
      <c r="E766" s="1" t="s">
        <v>13842</v>
      </c>
      <c r="F766" s="1" t="s">
        <v>13843</v>
      </c>
      <c r="G766" s="1" t="s">
        <v>13844</v>
      </c>
    </row>
    <row r="767" spans="1:7">
      <c r="A767" s="1">
        <v>766</v>
      </c>
      <c r="B767" s="1" t="s">
        <v>13845</v>
      </c>
      <c r="D767" s="1" t="s">
        <v>6421</v>
      </c>
      <c r="E767" s="1" t="s">
        <v>13846</v>
      </c>
      <c r="F767" s="1" t="s">
        <v>13847</v>
      </c>
      <c r="G767" s="1" t="s">
        <v>13848</v>
      </c>
    </row>
    <row r="768" spans="1:7">
      <c r="A768" s="1">
        <v>767</v>
      </c>
      <c r="B768" s="1" t="s">
        <v>13849</v>
      </c>
      <c r="D768" s="1" t="s">
        <v>6421</v>
      </c>
      <c r="E768" s="1" t="s">
        <v>13850</v>
      </c>
      <c r="F768" s="1" t="s">
        <v>13851</v>
      </c>
      <c r="G768" s="1" t="s">
        <v>13852</v>
      </c>
    </row>
    <row r="769" spans="1:7">
      <c r="A769" s="1">
        <v>768</v>
      </c>
      <c r="B769" s="1" t="s">
        <v>13853</v>
      </c>
      <c r="D769" s="1" t="s">
        <v>6421</v>
      </c>
      <c r="E769" s="1" t="s">
        <v>13854</v>
      </c>
      <c r="F769" s="1" t="s">
        <v>13855</v>
      </c>
      <c r="G769" s="1" t="s">
        <v>13856</v>
      </c>
    </row>
    <row r="770" spans="1:7">
      <c r="A770" s="1">
        <v>769</v>
      </c>
      <c r="B770" s="1" t="s">
        <v>13857</v>
      </c>
      <c r="D770" s="1" t="s">
        <v>6421</v>
      </c>
      <c r="E770" s="1" t="s">
        <v>13858</v>
      </c>
      <c r="F770" s="1" t="s">
        <v>6434</v>
      </c>
      <c r="G770" s="1" t="s">
        <v>6435</v>
      </c>
    </row>
    <row r="771" spans="1:7">
      <c r="A771" s="1">
        <v>770</v>
      </c>
      <c r="B771" s="1" t="s">
        <v>13859</v>
      </c>
      <c r="D771" s="1" t="s">
        <v>6437</v>
      </c>
      <c r="E771" s="1" t="s">
        <v>13860</v>
      </c>
      <c r="F771" s="1" t="s">
        <v>3854</v>
      </c>
      <c r="G771" s="1" t="s">
        <v>3855</v>
      </c>
    </row>
    <row r="772" spans="1:7">
      <c r="A772" s="1">
        <v>771</v>
      </c>
      <c r="B772" s="1" t="s">
        <v>13861</v>
      </c>
      <c r="D772" s="1" t="s">
        <v>6437</v>
      </c>
      <c r="E772" s="1" t="s">
        <v>13862</v>
      </c>
      <c r="F772" s="1" t="s">
        <v>6424</v>
      </c>
      <c r="G772" s="1" t="s">
        <v>6425</v>
      </c>
    </row>
    <row r="773" spans="1:7">
      <c r="A773" s="1">
        <v>772</v>
      </c>
      <c r="B773" s="1" t="s">
        <v>13863</v>
      </c>
      <c r="D773" s="1" t="s">
        <v>6437</v>
      </c>
      <c r="E773" s="1" t="s">
        <v>13864</v>
      </c>
      <c r="F773" s="1" t="s">
        <v>6457</v>
      </c>
      <c r="G773" s="1" t="s">
        <v>6458</v>
      </c>
    </row>
    <row r="774" spans="1:7">
      <c r="A774" s="1">
        <v>773</v>
      </c>
      <c r="B774" s="1" t="s">
        <v>13865</v>
      </c>
      <c r="D774" s="1" t="s">
        <v>6437</v>
      </c>
      <c r="E774" s="1" t="s">
        <v>13866</v>
      </c>
      <c r="F774" s="1" t="s">
        <v>13867</v>
      </c>
      <c r="G774" s="1" t="s">
        <v>13868</v>
      </c>
    </row>
    <row r="775" spans="1:7">
      <c r="A775" s="1">
        <v>774</v>
      </c>
      <c r="B775" s="1" t="s">
        <v>13869</v>
      </c>
      <c r="D775" s="1" t="s">
        <v>6437</v>
      </c>
      <c r="E775" s="1" t="s">
        <v>13870</v>
      </c>
      <c r="F775" s="1" t="s">
        <v>6453</v>
      </c>
      <c r="G775" s="1" t="s">
        <v>6454</v>
      </c>
    </row>
    <row r="776" spans="1:7">
      <c r="A776" s="1">
        <v>775</v>
      </c>
      <c r="B776" s="1" t="s">
        <v>13871</v>
      </c>
      <c r="D776" s="1" t="s">
        <v>6437</v>
      </c>
      <c r="E776" s="1" t="s">
        <v>13872</v>
      </c>
      <c r="F776" s="1" t="s">
        <v>3863</v>
      </c>
      <c r="G776" s="1" t="s">
        <v>3864</v>
      </c>
    </row>
    <row r="777" spans="1:7">
      <c r="A777" s="1">
        <v>776</v>
      </c>
      <c r="B777" s="1" t="s">
        <v>13873</v>
      </c>
      <c r="D777" s="1" t="s">
        <v>6437</v>
      </c>
      <c r="E777" s="1" t="s">
        <v>13874</v>
      </c>
      <c r="F777" s="1" t="s">
        <v>3866</v>
      </c>
      <c r="G777" s="1" t="s">
        <v>3867</v>
      </c>
    </row>
    <row r="778" spans="1:7">
      <c r="A778" s="1">
        <v>777</v>
      </c>
      <c r="B778" s="1" t="s">
        <v>13875</v>
      </c>
      <c r="D778" s="1" t="s">
        <v>6437</v>
      </c>
      <c r="E778" s="1" t="s">
        <v>13876</v>
      </c>
      <c r="F778" s="1" t="s">
        <v>3869</v>
      </c>
      <c r="G778" s="1" t="s">
        <v>3870</v>
      </c>
    </row>
    <row r="779" spans="1:7">
      <c r="A779" s="1">
        <v>778</v>
      </c>
      <c r="B779" s="1" t="s">
        <v>13877</v>
      </c>
      <c r="D779" s="1" t="s">
        <v>6437</v>
      </c>
      <c r="E779" s="1" t="s">
        <v>13878</v>
      </c>
      <c r="F779" s="1" t="s">
        <v>3872</v>
      </c>
      <c r="G779" s="1" t="s">
        <v>3873</v>
      </c>
    </row>
    <row r="780" spans="1:7">
      <c r="A780" s="1">
        <v>779</v>
      </c>
      <c r="B780" s="1" t="s">
        <v>13879</v>
      </c>
      <c r="D780" s="1" t="s">
        <v>6437</v>
      </c>
      <c r="E780" s="1" t="s">
        <v>13880</v>
      </c>
      <c r="F780" s="1" t="s">
        <v>3878</v>
      </c>
      <c r="G780" s="1" t="s">
        <v>3879</v>
      </c>
    </row>
    <row r="781" spans="1:7">
      <c r="A781" s="1">
        <v>780</v>
      </c>
      <c r="B781" s="1" t="s">
        <v>13881</v>
      </c>
      <c r="D781" s="1" t="s">
        <v>6460</v>
      </c>
      <c r="E781" s="1" t="s">
        <v>6465</v>
      </c>
      <c r="F781" s="1" t="s">
        <v>6466</v>
      </c>
      <c r="G781" s="1" t="s">
        <v>6467</v>
      </c>
    </row>
    <row r="782" spans="1:7">
      <c r="A782" s="1">
        <v>781</v>
      </c>
      <c r="B782" s="1" t="s">
        <v>13882</v>
      </c>
      <c r="D782" s="1" t="s">
        <v>6460</v>
      </c>
      <c r="E782" s="1" t="s">
        <v>6461</v>
      </c>
      <c r="F782" s="1" t="s">
        <v>6462</v>
      </c>
      <c r="G782" s="1" t="s">
        <v>6463</v>
      </c>
    </row>
    <row r="783" spans="1:7">
      <c r="A783" s="1">
        <v>782</v>
      </c>
      <c r="B783" s="1" t="s">
        <v>13883</v>
      </c>
      <c r="D783" s="1" t="s">
        <v>6460</v>
      </c>
      <c r="E783" s="1" t="s">
        <v>6469</v>
      </c>
      <c r="F783" s="1" t="s">
        <v>6470</v>
      </c>
      <c r="G783" s="1" t="s">
        <v>6471</v>
      </c>
    </row>
    <row r="784" spans="1:7">
      <c r="A784" s="1">
        <v>783</v>
      </c>
      <c r="B784" s="1" t="s">
        <v>13884</v>
      </c>
      <c r="D784" s="1" t="s">
        <v>6460</v>
      </c>
      <c r="E784" s="1" t="s">
        <v>6481</v>
      </c>
      <c r="F784" s="1" t="s">
        <v>6482</v>
      </c>
      <c r="G784" s="1" t="s">
        <v>6483</v>
      </c>
    </row>
    <row r="785" spans="1:7">
      <c r="A785" s="1">
        <v>784</v>
      </c>
      <c r="B785" s="1" t="s">
        <v>13885</v>
      </c>
      <c r="D785" s="1" t="s">
        <v>6460</v>
      </c>
      <c r="E785" s="1" t="s">
        <v>6477</v>
      </c>
      <c r="F785" s="1" t="s">
        <v>6478</v>
      </c>
      <c r="G785" s="1" t="s">
        <v>6479</v>
      </c>
    </row>
    <row r="786" spans="1:7">
      <c r="A786" s="1">
        <v>785</v>
      </c>
      <c r="B786" s="1" t="s">
        <v>13886</v>
      </c>
      <c r="D786" s="1" t="s">
        <v>6460</v>
      </c>
      <c r="E786" s="1" t="s">
        <v>6473</v>
      </c>
      <c r="F786" s="1" t="s">
        <v>6474</v>
      </c>
      <c r="G786" s="1" t="s">
        <v>6475</v>
      </c>
    </row>
    <row r="787" spans="1:7">
      <c r="A787" s="1">
        <v>786</v>
      </c>
      <c r="B787" s="1" t="s">
        <v>13887</v>
      </c>
      <c r="D787" s="1" t="s">
        <v>6485</v>
      </c>
      <c r="E787" s="1" t="s">
        <v>13888</v>
      </c>
      <c r="F787" s="1" t="s">
        <v>6486</v>
      </c>
      <c r="G787" s="1" t="s">
        <v>6487</v>
      </c>
    </row>
    <row r="788" spans="1:7">
      <c r="A788" s="1">
        <v>787</v>
      </c>
      <c r="B788" s="1" t="s">
        <v>13889</v>
      </c>
      <c r="D788" s="1" t="s">
        <v>6485</v>
      </c>
      <c r="E788" s="1" t="s">
        <v>13890</v>
      </c>
      <c r="F788" s="1" t="s">
        <v>6489</v>
      </c>
      <c r="G788" s="1" t="s">
        <v>6490</v>
      </c>
    </row>
    <row r="789" spans="1:7">
      <c r="A789" s="1">
        <v>788</v>
      </c>
      <c r="B789" s="1" t="s">
        <v>13891</v>
      </c>
      <c r="D789" s="1" t="s">
        <v>6485</v>
      </c>
      <c r="E789" s="1" t="s">
        <v>13892</v>
      </c>
      <c r="F789" s="1" t="s">
        <v>6525</v>
      </c>
      <c r="G789" s="1" t="s">
        <v>6526</v>
      </c>
    </row>
    <row r="790" spans="1:7">
      <c r="A790" s="1">
        <v>789</v>
      </c>
      <c r="B790" s="1" t="s">
        <v>13893</v>
      </c>
      <c r="D790" s="1" t="s">
        <v>6485</v>
      </c>
      <c r="E790" s="1" t="s">
        <v>13894</v>
      </c>
      <c r="F790" s="1" t="s">
        <v>13895</v>
      </c>
      <c r="G790" s="1" t="s">
        <v>13896</v>
      </c>
    </row>
    <row r="791" spans="1:7">
      <c r="A791" s="1">
        <v>790</v>
      </c>
      <c r="B791" s="1" t="s">
        <v>13897</v>
      </c>
      <c r="D791" s="1" t="s">
        <v>6485</v>
      </c>
      <c r="E791" s="1" t="s">
        <v>13898</v>
      </c>
      <c r="F791" s="1" t="s">
        <v>6521</v>
      </c>
      <c r="G791" s="1" t="s">
        <v>6522</v>
      </c>
    </row>
    <row r="792" spans="1:7">
      <c r="A792" s="1">
        <v>791</v>
      </c>
      <c r="B792" s="1" t="s">
        <v>13899</v>
      </c>
      <c r="D792" s="1" t="s">
        <v>6485</v>
      </c>
      <c r="E792" s="1" t="s">
        <v>13900</v>
      </c>
      <c r="F792" s="1" t="s">
        <v>13901</v>
      </c>
      <c r="G792" s="1" t="s">
        <v>13902</v>
      </c>
    </row>
    <row r="793" spans="1:7">
      <c r="A793" s="1">
        <v>792</v>
      </c>
      <c r="B793" s="1" t="s">
        <v>13903</v>
      </c>
      <c r="D793" s="1" t="s">
        <v>6485</v>
      </c>
      <c r="E793" s="1" t="s">
        <v>13904</v>
      </c>
      <c r="F793" s="1" t="s">
        <v>6507</v>
      </c>
      <c r="G793" s="1" t="s">
        <v>6508</v>
      </c>
    </row>
    <row r="794" spans="1:7">
      <c r="A794" s="1">
        <v>793</v>
      </c>
      <c r="B794" s="1" t="s">
        <v>13905</v>
      </c>
      <c r="D794" s="1" t="s">
        <v>6485</v>
      </c>
      <c r="E794" s="1" t="s">
        <v>13906</v>
      </c>
      <c r="F794" s="1" t="s">
        <v>6513</v>
      </c>
      <c r="G794" s="1" t="s">
        <v>6514</v>
      </c>
    </row>
    <row r="795" spans="1:7">
      <c r="A795" s="1">
        <v>794</v>
      </c>
      <c r="B795" s="1" t="s">
        <v>13907</v>
      </c>
      <c r="D795" s="1" t="s">
        <v>6485</v>
      </c>
      <c r="E795" s="1" t="s">
        <v>13908</v>
      </c>
      <c r="F795" s="1" t="s">
        <v>6504</v>
      </c>
      <c r="G795" s="1" t="s">
        <v>6505</v>
      </c>
    </row>
    <row r="796" spans="1:7">
      <c r="A796" s="1">
        <v>795</v>
      </c>
      <c r="B796" s="1" t="s">
        <v>13909</v>
      </c>
      <c r="D796" s="1" t="s">
        <v>6485</v>
      </c>
      <c r="E796" s="1" t="s">
        <v>13910</v>
      </c>
      <c r="F796" s="1" t="s">
        <v>6517</v>
      </c>
      <c r="G796" s="1" t="s">
        <v>6518</v>
      </c>
    </row>
    <row r="797" spans="1:7">
      <c r="A797" s="1">
        <v>796</v>
      </c>
      <c r="B797" s="1" t="s">
        <v>13911</v>
      </c>
      <c r="D797" s="1" t="s">
        <v>6528</v>
      </c>
      <c r="E797" s="1" t="s">
        <v>287</v>
      </c>
      <c r="F797" s="1" t="s">
        <v>6529</v>
      </c>
      <c r="G797" s="1" t="s">
        <v>6530</v>
      </c>
    </row>
    <row r="798" spans="1:7">
      <c r="A798" s="1">
        <v>797</v>
      </c>
      <c r="B798" s="1" t="s">
        <v>13912</v>
      </c>
      <c r="D798" s="1" t="s">
        <v>6528</v>
      </c>
      <c r="E798" s="1" t="s">
        <v>291</v>
      </c>
      <c r="F798" s="1" t="s">
        <v>292</v>
      </c>
      <c r="G798" s="1" t="s">
        <v>293</v>
      </c>
    </row>
    <row r="799" spans="1:7">
      <c r="A799" s="1">
        <v>798</v>
      </c>
      <c r="B799" s="1" t="s">
        <v>13913</v>
      </c>
      <c r="D799" s="1" t="s">
        <v>6528</v>
      </c>
      <c r="E799" s="1" t="s">
        <v>295</v>
      </c>
      <c r="F799" s="1" t="s">
        <v>6533</v>
      </c>
      <c r="G799" s="1" t="s">
        <v>6534</v>
      </c>
    </row>
    <row r="800" spans="1:7">
      <c r="A800" s="1">
        <v>799</v>
      </c>
      <c r="B800" s="1" t="s">
        <v>13914</v>
      </c>
      <c r="D800" s="1" t="s">
        <v>6536</v>
      </c>
      <c r="E800" s="1" t="s">
        <v>305</v>
      </c>
      <c r="F800" s="1" t="s">
        <v>13915</v>
      </c>
      <c r="G800" s="1" t="s">
        <v>13916</v>
      </c>
    </row>
    <row r="801" spans="1:7">
      <c r="A801" s="1">
        <v>800</v>
      </c>
      <c r="B801" s="1" t="s">
        <v>13917</v>
      </c>
      <c r="D801" s="1" t="s">
        <v>6536</v>
      </c>
      <c r="E801" s="1" t="s">
        <v>301</v>
      </c>
      <c r="F801" s="1" t="s">
        <v>13918</v>
      </c>
      <c r="G801" s="1" t="s">
        <v>13919</v>
      </c>
    </row>
    <row r="802" spans="1:7">
      <c r="A802" s="1">
        <v>801</v>
      </c>
      <c r="B802" s="1" t="s">
        <v>13920</v>
      </c>
      <c r="D802" s="1" t="s">
        <v>6536</v>
      </c>
      <c r="E802" s="1" t="s">
        <v>309</v>
      </c>
      <c r="F802" s="1" t="s">
        <v>13921</v>
      </c>
      <c r="G802" s="1" t="s">
        <v>13922</v>
      </c>
    </row>
    <row r="803" spans="1:7">
      <c r="A803" s="1">
        <v>802</v>
      </c>
      <c r="B803" s="1" t="s">
        <v>13923</v>
      </c>
      <c r="D803" s="1" t="s">
        <v>6536</v>
      </c>
      <c r="E803" s="1" t="s">
        <v>313</v>
      </c>
      <c r="F803" s="1" t="s">
        <v>13924</v>
      </c>
      <c r="G803" s="1" t="s">
        <v>13925</v>
      </c>
    </row>
    <row r="804" spans="1:7">
      <c r="A804" s="1">
        <v>803</v>
      </c>
      <c r="B804" s="1" t="s">
        <v>13926</v>
      </c>
      <c r="D804" s="1" t="s">
        <v>6536</v>
      </c>
      <c r="E804" s="1" t="s">
        <v>317</v>
      </c>
      <c r="F804" s="1" t="s">
        <v>13927</v>
      </c>
      <c r="G804" s="1" t="s">
        <v>13928</v>
      </c>
    </row>
    <row r="805" spans="1:7">
      <c r="A805" s="1">
        <v>804</v>
      </c>
      <c r="B805" s="1" t="s">
        <v>13929</v>
      </c>
      <c r="D805" s="1" t="s">
        <v>6536</v>
      </c>
      <c r="E805" s="1" t="s">
        <v>321</v>
      </c>
      <c r="F805" s="1" t="s">
        <v>13930</v>
      </c>
      <c r="G805" s="1" t="s">
        <v>13931</v>
      </c>
    </row>
    <row r="806" spans="1:7">
      <c r="A806" s="1">
        <v>805</v>
      </c>
      <c r="B806" s="1" t="s">
        <v>13932</v>
      </c>
      <c r="D806" s="1" t="s">
        <v>6536</v>
      </c>
      <c r="E806" s="1" t="s">
        <v>325</v>
      </c>
      <c r="F806" s="1" t="s">
        <v>13933</v>
      </c>
      <c r="G806" s="1" t="s">
        <v>13934</v>
      </c>
    </row>
    <row r="807" spans="1:7">
      <c r="A807" s="1">
        <v>806</v>
      </c>
      <c r="B807" s="1" t="s">
        <v>13935</v>
      </c>
      <c r="D807" s="1" t="s">
        <v>6536</v>
      </c>
      <c r="E807" s="1" t="s">
        <v>329</v>
      </c>
      <c r="F807" s="1" t="s">
        <v>13936</v>
      </c>
      <c r="G807" s="1" t="s">
        <v>13937</v>
      </c>
    </row>
    <row r="808" spans="1:7">
      <c r="A808" s="1">
        <v>807</v>
      </c>
      <c r="B808" s="1" t="s">
        <v>13938</v>
      </c>
      <c r="D808" s="1" t="s">
        <v>6536</v>
      </c>
      <c r="E808" s="1" t="s">
        <v>333</v>
      </c>
      <c r="F808" s="1" t="s">
        <v>13939</v>
      </c>
      <c r="G808" s="1" t="s">
        <v>13940</v>
      </c>
    </row>
    <row r="809" spans="1:7">
      <c r="A809" s="1">
        <v>808</v>
      </c>
      <c r="B809" s="1" t="s">
        <v>13941</v>
      </c>
      <c r="D809" s="1" t="s">
        <v>6536</v>
      </c>
      <c r="E809" s="1" t="s">
        <v>6540</v>
      </c>
      <c r="F809" s="1" t="s">
        <v>13942</v>
      </c>
      <c r="G809" s="1" t="s">
        <v>13943</v>
      </c>
    </row>
    <row r="810" spans="1:7">
      <c r="A810" s="1">
        <v>809</v>
      </c>
      <c r="B810" s="1" t="s">
        <v>13944</v>
      </c>
      <c r="D810" s="1" t="s">
        <v>6536</v>
      </c>
      <c r="E810" s="1" t="s">
        <v>337</v>
      </c>
      <c r="F810" s="1" t="s">
        <v>13945</v>
      </c>
      <c r="G810" s="1" t="s">
        <v>13946</v>
      </c>
    </row>
    <row r="811" spans="1:7">
      <c r="A811" s="1">
        <v>810</v>
      </c>
      <c r="B811" s="1" t="s">
        <v>13947</v>
      </c>
      <c r="D811" s="1" t="s">
        <v>6536</v>
      </c>
      <c r="E811" s="1" t="s">
        <v>341</v>
      </c>
      <c r="F811" s="1" t="s">
        <v>13948</v>
      </c>
      <c r="G811" s="1" t="s">
        <v>13949</v>
      </c>
    </row>
    <row r="812" spans="1:7">
      <c r="A812" s="1">
        <v>811</v>
      </c>
      <c r="B812" s="1" t="s">
        <v>13950</v>
      </c>
      <c r="D812" s="1" t="s">
        <v>6554</v>
      </c>
      <c r="E812" s="1" t="s">
        <v>13951</v>
      </c>
      <c r="F812" s="1" t="s">
        <v>6556</v>
      </c>
      <c r="G812" s="1" t="s">
        <v>6557</v>
      </c>
    </row>
    <row r="813" spans="1:7">
      <c r="A813" s="1">
        <v>812</v>
      </c>
      <c r="B813" s="1" t="s">
        <v>13952</v>
      </c>
      <c r="D813" s="1" t="s">
        <v>6554</v>
      </c>
      <c r="E813" s="1" t="s">
        <v>13953</v>
      </c>
      <c r="F813" s="1" t="s">
        <v>6560</v>
      </c>
      <c r="G813" s="1" t="s">
        <v>6561</v>
      </c>
    </row>
    <row r="814" spans="1:7">
      <c r="A814" s="1">
        <v>813</v>
      </c>
      <c r="B814" s="1" t="s">
        <v>13954</v>
      </c>
      <c r="D814" s="1" t="s">
        <v>6554</v>
      </c>
      <c r="E814" s="1" t="s">
        <v>13955</v>
      </c>
      <c r="F814" s="1" t="s">
        <v>6564</v>
      </c>
      <c r="G814" s="1" t="s">
        <v>6565</v>
      </c>
    </row>
    <row r="815" spans="1:7">
      <c r="A815" s="1">
        <v>814</v>
      </c>
      <c r="B815" s="1" t="s">
        <v>13956</v>
      </c>
      <c r="D815" s="1" t="s">
        <v>6554</v>
      </c>
      <c r="E815" s="1" t="s">
        <v>13957</v>
      </c>
      <c r="F815" s="1" t="s">
        <v>6568</v>
      </c>
      <c r="G815" s="1" t="s">
        <v>6569</v>
      </c>
    </row>
    <row r="816" spans="1:7">
      <c r="A816" s="1">
        <v>815</v>
      </c>
      <c r="B816" s="1" t="s">
        <v>13958</v>
      </c>
      <c r="D816" s="1" t="s">
        <v>6571</v>
      </c>
      <c r="E816" s="1" t="s">
        <v>353</v>
      </c>
      <c r="F816" s="1" t="s">
        <v>6572</v>
      </c>
      <c r="G816" s="1" t="s">
        <v>6573</v>
      </c>
    </row>
    <row r="817" spans="1:7">
      <c r="A817" s="1">
        <v>816</v>
      </c>
      <c r="B817" s="1" t="s">
        <v>13959</v>
      </c>
      <c r="D817" s="1" t="s">
        <v>6571</v>
      </c>
      <c r="E817" s="1" t="s">
        <v>356</v>
      </c>
      <c r="F817" s="1" t="s">
        <v>357</v>
      </c>
      <c r="G817" s="1" t="s">
        <v>6591</v>
      </c>
    </row>
    <row r="818" spans="1:7">
      <c r="A818" s="1">
        <v>817</v>
      </c>
      <c r="B818" s="1" t="s">
        <v>13960</v>
      </c>
      <c r="D818" s="1" t="s">
        <v>6571</v>
      </c>
      <c r="E818" s="1" t="s">
        <v>359</v>
      </c>
      <c r="F818" s="1" t="s">
        <v>360</v>
      </c>
      <c r="G818" s="1" t="s">
        <v>361</v>
      </c>
    </row>
    <row r="819" spans="1:7">
      <c r="A819" s="1">
        <v>818</v>
      </c>
      <c r="B819" s="1" t="s">
        <v>13961</v>
      </c>
      <c r="D819" s="1" t="s">
        <v>6571</v>
      </c>
      <c r="E819" s="1" t="s">
        <v>362</v>
      </c>
      <c r="F819" s="1" t="s">
        <v>6575</v>
      </c>
      <c r="G819" s="1" t="s">
        <v>6576</v>
      </c>
    </row>
    <row r="820" spans="1:7">
      <c r="A820" s="1">
        <v>819</v>
      </c>
      <c r="B820" s="1" t="s">
        <v>13962</v>
      </c>
      <c r="D820" s="1" t="s">
        <v>6571</v>
      </c>
      <c r="E820" s="1" t="s">
        <v>365</v>
      </c>
      <c r="F820" s="1" t="s">
        <v>6593</v>
      </c>
      <c r="G820" s="1" t="s">
        <v>6594</v>
      </c>
    </row>
    <row r="821" spans="1:7">
      <c r="A821" s="1">
        <v>820</v>
      </c>
      <c r="B821" s="1" t="s">
        <v>13963</v>
      </c>
      <c r="D821" s="1" t="s">
        <v>6571</v>
      </c>
      <c r="E821" s="1" t="s">
        <v>368</v>
      </c>
      <c r="F821" s="1" t="s">
        <v>6578</v>
      </c>
      <c r="G821" s="1" t="s">
        <v>6579</v>
      </c>
    </row>
    <row r="822" spans="1:7">
      <c r="A822" s="1">
        <v>821</v>
      </c>
      <c r="B822" s="1" t="s">
        <v>13964</v>
      </c>
      <c r="D822" s="1" t="s">
        <v>6571</v>
      </c>
      <c r="E822" s="1" t="s">
        <v>350</v>
      </c>
      <c r="F822" s="1" t="s">
        <v>6581</v>
      </c>
      <c r="G822" s="1" t="s">
        <v>6582</v>
      </c>
    </row>
    <row r="823" spans="1:7">
      <c r="A823" s="1">
        <v>822</v>
      </c>
      <c r="B823" s="1" t="s">
        <v>13965</v>
      </c>
      <c r="D823" s="1" t="s">
        <v>6571</v>
      </c>
      <c r="E823" s="1" t="s">
        <v>371</v>
      </c>
      <c r="F823" s="1" t="s">
        <v>6585</v>
      </c>
      <c r="G823" s="1" t="s">
        <v>6586</v>
      </c>
    </row>
    <row r="824" spans="1:7">
      <c r="A824" s="1">
        <v>823</v>
      </c>
      <c r="B824" s="1" t="s">
        <v>13966</v>
      </c>
      <c r="D824" s="1" t="s">
        <v>6571</v>
      </c>
      <c r="E824" s="1" t="s">
        <v>374</v>
      </c>
      <c r="F824" s="1" t="s">
        <v>6588</v>
      </c>
      <c r="G824" s="1" t="s">
        <v>6589</v>
      </c>
    </row>
    <row r="825" spans="1:7">
      <c r="A825" s="1">
        <v>824</v>
      </c>
      <c r="B825" s="1" t="s">
        <v>13967</v>
      </c>
      <c r="D825" s="1" t="s">
        <v>6571</v>
      </c>
      <c r="E825" s="1" t="s">
        <v>377</v>
      </c>
      <c r="F825" s="1" t="s">
        <v>6596</v>
      </c>
      <c r="G825" s="1" t="s">
        <v>6597</v>
      </c>
    </row>
    <row r="826" spans="1:7">
      <c r="A826" s="1">
        <v>825</v>
      </c>
      <c r="B826" s="1" t="s">
        <v>13968</v>
      </c>
      <c r="D826" s="1" t="s">
        <v>6571</v>
      </c>
      <c r="E826" s="1" t="s">
        <v>380</v>
      </c>
      <c r="F826" s="1" t="s">
        <v>6600</v>
      </c>
      <c r="G826" s="1" t="s">
        <v>6601</v>
      </c>
    </row>
    <row r="827" spans="1:7">
      <c r="A827" s="1">
        <v>826</v>
      </c>
      <c r="B827" s="1" t="s">
        <v>13969</v>
      </c>
      <c r="D827" s="1" t="s">
        <v>6571</v>
      </c>
      <c r="E827" s="1" t="s">
        <v>383</v>
      </c>
      <c r="F827" s="1" t="s">
        <v>384</v>
      </c>
      <c r="G827" s="1" t="s">
        <v>385</v>
      </c>
    </row>
    <row r="828" spans="1:7">
      <c r="A828" s="1">
        <v>827</v>
      </c>
      <c r="B828" s="1" t="s">
        <v>13970</v>
      </c>
      <c r="D828" s="1" t="s">
        <v>6603</v>
      </c>
      <c r="E828" s="1" t="s">
        <v>6626</v>
      </c>
      <c r="F828" s="1" t="s">
        <v>6627</v>
      </c>
      <c r="G828" s="1" t="s">
        <v>6628</v>
      </c>
    </row>
    <row r="829" spans="1:7">
      <c r="A829" s="1">
        <v>828</v>
      </c>
      <c r="B829" s="1" t="s">
        <v>13971</v>
      </c>
      <c r="D829" s="1" t="s">
        <v>6603</v>
      </c>
      <c r="E829" s="1" t="s">
        <v>6622</v>
      </c>
      <c r="F829" s="1" t="s">
        <v>6623</v>
      </c>
      <c r="G829" s="1" t="s">
        <v>6624</v>
      </c>
    </row>
    <row r="830" spans="1:7">
      <c r="A830" s="1">
        <v>829</v>
      </c>
      <c r="B830" s="1" t="s">
        <v>13972</v>
      </c>
      <c r="D830" s="1" t="s">
        <v>6603</v>
      </c>
      <c r="E830" s="1" t="s">
        <v>6630</v>
      </c>
      <c r="F830" s="1" t="s">
        <v>6631</v>
      </c>
      <c r="G830" s="1" t="s">
        <v>6632</v>
      </c>
    </row>
    <row r="831" spans="1:7">
      <c r="A831" s="1">
        <v>830</v>
      </c>
      <c r="B831" s="1" t="s">
        <v>13973</v>
      </c>
      <c r="D831" s="1" t="s">
        <v>6603</v>
      </c>
      <c r="E831" s="1" t="s">
        <v>2748</v>
      </c>
      <c r="F831" s="1" t="s">
        <v>13974</v>
      </c>
      <c r="G831" s="1" t="s">
        <v>13975</v>
      </c>
    </row>
    <row r="832" spans="1:7">
      <c r="A832" s="1">
        <v>831</v>
      </c>
      <c r="B832" s="1" t="s">
        <v>13976</v>
      </c>
      <c r="D832" s="1" t="s">
        <v>6603</v>
      </c>
      <c r="E832" s="1" t="s">
        <v>1963</v>
      </c>
      <c r="F832" s="1" t="s">
        <v>13977</v>
      </c>
      <c r="G832" s="1" t="s">
        <v>13978</v>
      </c>
    </row>
    <row r="833" spans="1:7">
      <c r="A833" s="1">
        <v>832</v>
      </c>
      <c r="B833" s="1" t="s">
        <v>13979</v>
      </c>
      <c r="D833" s="1" t="s">
        <v>6603</v>
      </c>
      <c r="E833" s="1" t="s">
        <v>1966</v>
      </c>
      <c r="F833" s="1" t="s">
        <v>13980</v>
      </c>
      <c r="G833" s="1" t="s">
        <v>13981</v>
      </c>
    </row>
    <row r="834" spans="1:7">
      <c r="A834" s="1">
        <v>833</v>
      </c>
      <c r="B834" s="1" t="s">
        <v>13982</v>
      </c>
      <c r="D834" s="1" t="s">
        <v>6603</v>
      </c>
      <c r="E834" s="1" t="s">
        <v>1973</v>
      </c>
      <c r="F834" s="1" t="s">
        <v>6613</v>
      </c>
      <c r="G834" s="1" t="s">
        <v>6614</v>
      </c>
    </row>
    <row r="835" spans="1:7">
      <c r="A835" s="1">
        <v>834</v>
      </c>
      <c r="B835" s="1" t="s">
        <v>13983</v>
      </c>
      <c r="D835" s="1" t="s">
        <v>6603</v>
      </c>
      <c r="E835" s="1" t="s">
        <v>1970</v>
      </c>
      <c r="F835" s="1" t="s">
        <v>6616</v>
      </c>
      <c r="G835" s="1" t="s">
        <v>6617</v>
      </c>
    </row>
    <row r="836" spans="1:7">
      <c r="A836" s="1">
        <v>835</v>
      </c>
      <c r="B836" s="1" t="s">
        <v>13984</v>
      </c>
      <c r="D836" s="1" t="s">
        <v>6603</v>
      </c>
      <c r="E836" s="1" t="s">
        <v>1969</v>
      </c>
      <c r="F836" s="1" t="s">
        <v>6619</v>
      </c>
      <c r="G836" s="1" t="s">
        <v>6620</v>
      </c>
    </row>
    <row r="837" spans="1:7">
      <c r="A837" s="1">
        <v>836</v>
      </c>
      <c r="B837" s="1" t="s">
        <v>13985</v>
      </c>
      <c r="D837" s="1" t="s">
        <v>6603</v>
      </c>
      <c r="E837" s="1" t="s">
        <v>6645</v>
      </c>
      <c r="F837" s="1" t="s">
        <v>6646</v>
      </c>
      <c r="G837" s="1" t="s">
        <v>6647</v>
      </c>
    </row>
    <row r="838" spans="1:7">
      <c r="A838" s="1">
        <v>837</v>
      </c>
      <c r="B838" s="1" t="s">
        <v>13986</v>
      </c>
      <c r="D838" s="1" t="s">
        <v>6603</v>
      </c>
      <c r="E838" s="1" t="s">
        <v>6641</v>
      </c>
      <c r="F838" s="1" t="s">
        <v>6642</v>
      </c>
      <c r="G838" s="1" t="s">
        <v>6643</v>
      </c>
    </row>
    <row r="839" spans="1:7">
      <c r="A839" s="1">
        <v>838</v>
      </c>
      <c r="B839" s="1" t="s">
        <v>13987</v>
      </c>
      <c r="D839" s="1" t="s">
        <v>6603</v>
      </c>
      <c r="E839" s="1" t="s">
        <v>1974</v>
      </c>
      <c r="F839" s="1" t="s">
        <v>6634</v>
      </c>
      <c r="G839" s="1" t="s">
        <v>6635</v>
      </c>
    </row>
    <row r="840" spans="1:7">
      <c r="A840" s="1">
        <v>839</v>
      </c>
      <c r="B840" s="1" t="s">
        <v>13988</v>
      </c>
      <c r="D840" s="1" t="s">
        <v>6603</v>
      </c>
      <c r="E840" s="1" t="s">
        <v>6637</v>
      </c>
      <c r="F840" s="1" t="s">
        <v>6638</v>
      </c>
      <c r="G840" s="1" t="s">
        <v>6639</v>
      </c>
    </row>
    <row r="841" spans="1:7">
      <c r="A841" s="1">
        <v>840</v>
      </c>
      <c r="B841" s="1" t="s">
        <v>13989</v>
      </c>
      <c r="D841" s="1" t="s">
        <v>6649</v>
      </c>
      <c r="E841" s="1" t="s">
        <v>6654</v>
      </c>
      <c r="F841" s="1" t="s">
        <v>13990</v>
      </c>
      <c r="G841" s="1" t="s">
        <v>6656</v>
      </c>
    </row>
    <row r="842" spans="1:7">
      <c r="A842" s="1">
        <v>841</v>
      </c>
      <c r="B842" s="1" t="s">
        <v>13991</v>
      </c>
      <c r="D842" s="1" t="s">
        <v>6649</v>
      </c>
      <c r="E842" s="1" t="s">
        <v>6650</v>
      </c>
      <c r="F842" s="1" t="s">
        <v>13992</v>
      </c>
      <c r="G842" s="1" t="s">
        <v>6652</v>
      </c>
    </row>
    <row r="843" spans="1:7">
      <c r="A843" s="1">
        <v>842</v>
      </c>
      <c r="B843" s="1" t="s">
        <v>13993</v>
      </c>
      <c r="D843" s="1" t="s">
        <v>6649</v>
      </c>
      <c r="E843" s="1" t="s">
        <v>6659</v>
      </c>
      <c r="F843" s="1" t="s">
        <v>13994</v>
      </c>
      <c r="G843" s="1" t="s">
        <v>6661</v>
      </c>
    </row>
    <row r="844" spans="1:7">
      <c r="A844" s="1">
        <v>843</v>
      </c>
      <c r="B844" s="1" t="s">
        <v>13995</v>
      </c>
      <c r="D844" s="1" t="s">
        <v>6649</v>
      </c>
      <c r="E844" s="1" t="s">
        <v>6663</v>
      </c>
      <c r="F844" s="1" t="s">
        <v>13996</v>
      </c>
      <c r="G844" s="1" t="s">
        <v>6665</v>
      </c>
    </row>
    <row r="845" spans="1:7">
      <c r="A845" s="1">
        <v>844</v>
      </c>
      <c r="B845" s="1" t="s">
        <v>13997</v>
      </c>
      <c r="D845" s="1" t="s">
        <v>6649</v>
      </c>
      <c r="E845" s="1" t="s">
        <v>3766</v>
      </c>
      <c r="F845" s="1" t="s">
        <v>13998</v>
      </c>
      <c r="G845" s="1" t="s">
        <v>6668</v>
      </c>
    </row>
    <row r="846" spans="1:7">
      <c r="A846" s="1">
        <v>845</v>
      </c>
      <c r="B846" s="1" t="s">
        <v>13999</v>
      </c>
      <c r="D846" s="1" t="s">
        <v>6649</v>
      </c>
      <c r="E846" s="1" t="s">
        <v>3769</v>
      </c>
      <c r="F846" s="1" t="s">
        <v>14000</v>
      </c>
      <c r="G846" s="1" t="s">
        <v>1664</v>
      </c>
    </row>
    <row r="847" spans="1:7">
      <c r="A847" s="1">
        <v>846</v>
      </c>
      <c r="B847" s="1" t="s">
        <v>14001</v>
      </c>
      <c r="D847" s="1" t="s">
        <v>6673</v>
      </c>
      <c r="E847" s="1" t="s">
        <v>11643</v>
      </c>
      <c r="F847" s="1" t="s">
        <v>6675</v>
      </c>
      <c r="G847" s="1" t="s">
        <v>6676</v>
      </c>
    </row>
    <row r="848" spans="1:7">
      <c r="A848" s="1">
        <v>847</v>
      </c>
      <c r="B848" s="1" t="s">
        <v>14002</v>
      </c>
      <c r="D848" s="1" t="s">
        <v>6673</v>
      </c>
      <c r="E848" s="1" t="s">
        <v>14003</v>
      </c>
      <c r="F848" s="1" t="s">
        <v>6687</v>
      </c>
      <c r="G848" s="1" t="s">
        <v>6688</v>
      </c>
    </row>
    <row r="849" spans="1:7">
      <c r="A849" s="1">
        <v>848</v>
      </c>
      <c r="B849" s="1" t="s">
        <v>14004</v>
      </c>
      <c r="D849" s="1" t="s">
        <v>6673</v>
      </c>
      <c r="E849" s="1" t="s">
        <v>14005</v>
      </c>
      <c r="F849" s="1" t="s">
        <v>6691</v>
      </c>
      <c r="G849" s="1" t="s">
        <v>6692</v>
      </c>
    </row>
    <row r="850" spans="1:7">
      <c r="A850" s="1">
        <v>849</v>
      </c>
      <c r="B850" s="1" t="s">
        <v>14006</v>
      </c>
      <c r="D850" s="1" t="s">
        <v>6673</v>
      </c>
      <c r="E850" s="1" t="s">
        <v>14007</v>
      </c>
      <c r="F850" s="1" t="s">
        <v>6679</v>
      </c>
      <c r="G850" s="1" t="s">
        <v>6680</v>
      </c>
    </row>
    <row r="851" spans="1:7">
      <c r="A851" s="1">
        <v>850</v>
      </c>
      <c r="B851" s="1" t="s">
        <v>14008</v>
      </c>
      <c r="D851" s="1" t="s">
        <v>6673</v>
      </c>
      <c r="E851" s="1" t="s">
        <v>5115</v>
      </c>
      <c r="F851" s="1" t="s">
        <v>6707</v>
      </c>
      <c r="G851" s="1" t="s">
        <v>6708</v>
      </c>
    </row>
    <row r="852" spans="1:7">
      <c r="A852" s="1">
        <v>851</v>
      </c>
      <c r="B852" s="1" t="s">
        <v>14009</v>
      </c>
      <c r="D852" s="1" t="s">
        <v>6673</v>
      </c>
      <c r="E852" s="1" t="s">
        <v>5107</v>
      </c>
      <c r="F852" s="1" t="s">
        <v>6695</v>
      </c>
      <c r="G852" s="1" t="s">
        <v>6696</v>
      </c>
    </row>
    <row r="853" spans="1:7">
      <c r="A853" s="1">
        <v>852</v>
      </c>
      <c r="B853" s="1" t="s">
        <v>14010</v>
      </c>
      <c r="D853" s="1" t="s">
        <v>6673</v>
      </c>
      <c r="E853" s="1" t="s">
        <v>5111</v>
      </c>
      <c r="F853" s="1" t="s">
        <v>6715</v>
      </c>
      <c r="G853" s="1" t="s">
        <v>6716</v>
      </c>
    </row>
    <row r="854" spans="1:7">
      <c r="A854" s="1">
        <v>853</v>
      </c>
      <c r="B854" s="1" t="s">
        <v>14011</v>
      </c>
      <c r="D854" s="1" t="s">
        <v>6673</v>
      </c>
      <c r="E854" s="1" t="s">
        <v>5119</v>
      </c>
      <c r="F854" s="1" t="s">
        <v>6719</v>
      </c>
      <c r="G854" s="1" t="s">
        <v>6720</v>
      </c>
    </row>
    <row r="855" spans="1:7">
      <c r="A855" s="1">
        <v>854</v>
      </c>
      <c r="B855" s="1" t="s">
        <v>14012</v>
      </c>
      <c r="D855" s="1" t="s">
        <v>6673</v>
      </c>
      <c r="E855" s="1" t="s">
        <v>14013</v>
      </c>
      <c r="F855" s="1" t="s">
        <v>6723</v>
      </c>
      <c r="G855" s="1" t="s">
        <v>6724</v>
      </c>
    </row>
    <row r="856" spans="1:7">
      <c r="A856" s="1">
        <v>855</v>
      </c>
      <c r="B856" s="1" t="s">
        <v>14014</v>
      </c>
      <c r="D856" s="1" t="s">
        <v>6673</v>
      </c>
      <c r="E856" s="1" t="s">
        <v>14015</v>
      </c>
      <c r="F856" s="1" t="s">
        <v>6731</v>
      </c>
      <c r="G856" s="1" t="s">
        <v>6732</v>
      </c>
    </row>
    <row r="857" spans="1:7">
      <c r="A857" s="1">
        <v>856</v>
      </c>
      <c r="B857" s="1" t="s">
        <v>14016</v>
      </c>
      <c r="D857" s="1" t="s">
        <v>6673</v>
      </c>
      <c r="E857" s="1" t="s">
        <v>8291</v>
      </c>
      <c r="F857" s="1" t="s">
        <v>6735</v>
      </c>
      <c r="G857" s="1" t="s">
        <v>6736</v>
      </c>
    </row>
    <row r="858" spans="1:7">
      <c r="A858" s="1">
        <v>857</v>
      </c>
      <c r="B858" s="1" t="s">
        <v>14017</v>
      </c>
      <c r="D858" s="1" t="s">
        <v>6673</v>
      </c>
      <c r="E858" s="1" t="s">
        <v>8267</v>
      </c>
      <c r="F858" s="1" t="s">
        <v>6743</v>
      </c>
      <c r="G858" s="1" t="s">
        <v>6744</v>
      </c>
    </row>
    <row r="859" spans="1:7">
      <c r="A859" s="1">
        <v>858</v>
      </c>
      <c r="B859" s="1" t="s">
        <v>14018</v>
      </c>
      <c r="D859" s="1" t="s">
        <v>6673</v>
      </c>
      <c r="E859" s="1" t="s">
        <v>8269</v>
      </c>
      <c r="F859" s="1" t="s">
        <v>6699</v>
      </c>
      <c r="G859" s="1" t="s">
        <v>6700</v>
      </c>
    </row>
    <row r="860" spans="1:7">
      <c r="A860" s="1">
        <v>859</v>
      </c>
      <c r="B860" s="1" t="s">
        <v>14019</v>
      </c>
      <c r="D860" s="1" t="s">
        <v>6673</v>
      </c>
      <c r="E860" s="1" t="s">
        <v>8271</v>
      </c>
      <c r="F860" s="1" t="s">
        <v>6703</v>
      </c>
      <c r="G860" s="1" t="s">
        <v>6704</v>
      </c>
    </row>
    <row r="861" spans="1:7">
      <c r="A861" s="1">
        <v>860</v>
      </c>
      <c r="B861" s="1" t="s">
        <v>14020</v>
      </c>
      <c r="D861" s="1" t="s">
        <v>6673</v>
      </c>
      <c r="E861" s="1" t="s">
        <v>8275</v>
      </c>
      <c r="F861" s="1" t="s">
        <v>6727</v>
      </c>
      <c r="G861" s="1" t="s">
        <v>6728</v>
      </c>
    </row>
    <row r="862" spans="1:7">
      <c r="A862" s="1">
        <v>861</v>
      </c>
      <c r="B862" s="1" t="s">
        <v>14021</v>
      </c>
      <c r="D862" s="1" t="s">
        <v>6673</v>
      </c>
      <c r="E862" s="1" t="s">
        <v>8293</v>
      </c>
      <c r="F862" s="1" t="s">
        <v>6739</v>
      </c>
      <c r="G862" s="1" t="s">
        <v>6740</v>
      </c>
    </row>
    <row r="863" spans="1:7">
      <c r="A863" s="1">
        <v>862</v>
      </c>
      <c r="B863" s="1" t="s">
        <v>14022</v>
      </c>
      <c r="D863" s="1" t="s">
        <v>6673</v>
      </c>
      <c r="E863" s="1" t="s">
        <v>8299</v>
      </c>
      <c r="F863" s="1" t="s">
        <v>6711</v>
      </c>
      <c r="G863" s="1" t="s">
        <v>6712</v>
      </c>
    </row>
    <row r="864" spans="1:7">
      <c r="A864" s="1">
        <v>863</v>
      </c>
      <c r="B864" s="1" t="s">
        <v>14023</v>
      </c>
      <c r="D864" s="1" t="s">
        <v>6673</v>
      </c>
      <c r="E864" s="1" t="s">
        <v>8297</v>
      </c>
      <c r="F864" s="1" t="s">
        <v>6747</v>
      </c>
      <c r="G864" s="1" t="s">
        <v>6748</v>
      </c>
    </row>
    <row r="865" spans="1:7">
      <c r="A865" s="1">
        <v>864</v>
      </c>
      <c r="B865" s="1" t="s">
        <v>14024</v>
      </c>
      <c r="D865" s="1" t="s">
        <v>6673</v>
      </c>
      <c r="E865" s="1" t="s">
        <v>8295</v>
      </c>
      <c r="F865" s="1" t="s">
        <v>6683</v>
      </c>
      <c r="G865" s="1" t="s">
        <v>6684</v>
      </c>
    </row>
    <row r="866" spans="1:7">
      <c r="A866" s="1">
        <v>865</v>
      </c>
      <c r="B866" s="1" t="s">
        <v>14025</v>
      </c>
      <c r="D866" s="1" t="s">
        <v>6750</v>
      </c>
      <c r="E866" s="1" t="s">
        <v>8309</v>
      </c>
      <c r="F866" s="1" t="s">
        <v>6765</v>
      </c>
      <c r="G866" s="1" t="s">
        <v>6766</v>
      </c>
    </row>
    <row r="867" spans="1:7">
      <c r="A867" s="1">
        <v>866</v>
      </c>
      <c r="B867" s="1" t="s">
        <v>14026</v>
      </c>
      <c r="D867" s="1" t="s">
        <v>6750</v>
      </c>
      <c r="E867" s="1" t="s">
        <v>8311</v>
      </c>
      <c r="F867" s="1" t="s">
        <v>6761</v>
      </c>
      <c r="G867" s="1" t="s">
        <v>6762</v>
      </c>
    </row>
    <row r="868" spans="1:7">
      <c r="A868" s="1">
        <v>867</v>
      </c>
      <c r="B868" s="1" t="s">
        <v>14027</v>
      </c>
      <c r="D868" s="1" t="s">
        <v>6750</v>
      </c>
      <c r="E868" s="1" t="s">
        <v>8289</v>
      </c>
      <c r="F868" s="1" t="s">
        <v>6769</v>
      </c>
      <c r="G868" s="1" t="s">
        <v>6770</v>
      </c>
    </row>
    <row r="869" spans="1:7">
      <c r="A869" s="1">
        <v>868</v>
      </c>
      <c r="B869" s="1" t="s">
        <v>14028</v>
      </c>
      <c r="D869" s="1" t="s">
        <v>6750</v>
      </c>
      <c r="E869" s="1" t="s">
        <v>8265</v>
      </c>
      <c r="F869" s="1" t="s">
        <v>6752</v>
      </c>
      <c r="G869" s="1" t="s">
        <v>6688</v>
      </c>
    </row>
    <row r="870" spans="1:7">
      <c r="A870" s="1">
        <v>869</v>
      </c>
      <c r="B870" s="1" t="s">
        <v>14029</v>
      </c>
      <c r="D870" s="1" t="s">
        <v>6750</v>
      </c>
      <c r="E870" s="1" t="s">
        <v>8279</v>
      </c>
      <c r="F870" s="1" t="s">
        <v>6707</v>
      </c>
      <c r="G870" s="1" t="s">
        <v>6708</v>
      </c>
    </row>
    <row r="871" spans="1:7">
      <c r="A871" s="1">
        <v>870</v>
      </c>
      <c r="B871" s="1" t="s">
        <v>14030</v>
      </c>
      <c r="D871" s="1" t="s">
        <v>6750</v>
      </c>
      <c r="E871" s="1" t="s">
        <v>14031</v>
      </c>
      <c r="F871" s="1" t="s">
        <v>6743</v>
      </c>
      <c r="G871" s="1" t="s">
        <v>6744</v>
      </c>
    </row>
    <row r="872" spans="1:7">
      <c r="A872" s="1">
        <v>871</v>
      </c>
      <c r="B872" s="1" t="s">
        <v>14032</v>
      </c>
      <c r="D872" s="1" t="s">
        <v>6750</v>
      </c>
      <c r="E872" s="1" t="s">
        <v>14033</v>
      </c>
      <c r="F872" s="1" t="s">
        <v>6747</v>
      </c>
      <c r="G872" s="1" t="s">
        <v>6748</v>
      </c>
    </row>
    <row r="873" spans="1:7">
      <c r="A873" s="1">
        <v>872</v>
      </c>
      <c r="B873" s="1" t="s">
        <v>14034</v>
      </c>
      <c r="D873" s="1" t="s">
        <v>6750</v>
      </c>
      <c r="E873" s="1" t="s">
        <v>14035</v>
      </c>
      <c r="F873" s="1" t="s">
        <v>6719</v>
      </c>
      <c r="G873" s="1" t="s">
        <v>6720</v>
      </c>
    </row>
    <row r="874" spans="1:7">
      <c r="A874" s="1">
        <v>873</v>
      </c>
      <c r="B874" s="1" t="s">
        <v>14036</v>
      </c>
      <c r="D874" s="1" t="s">
        <v>6750</v>
      </c>
      <c r="E874" s="1" t="s">
        <v>14037</v>
      </c>
      <c r="F874" s="1" t="s">
        <v>6715</v>
      </c>
      <c r="G874" s="1" t="s">
        <v>6716</v>
      </c>
    </row>
    <row r="875" spans="1:7">
      <c r="A875" s="1">
        <v>874</v>
      </c>
      <c r="B875" s="1" t="s">
        <v>14038</v>
      </c>
      <c r="D875" s="1" t="s">
        <v>6750</v>
      </c>
      <c r="E875" s="1" t="s">
        <v>14039</v>
      </c>
      <c r="F875" s="1" t="s">
        <v>6773</v>
      </c>
      <c r="G875" s="1" t="s">
        <v>6732</v>
      </c>
    </row>
    <row r="876" spans="1:7">
      <c r="A876" s="1">
        <v>875</v>
      </c>
      <c r="B876" s="1" t="s">
        <v>14040</v>
      </c>
      <c r="D876" s="1" t="s">
        <v>6750</v>
      </c>
      <c r="E876" s="1" t="s">
        <v>14041</v>
      </c>
      <c r="F876" s="1" t="s">
        <v>6776</v>
      </c>
      <c r="G876" s="1" t="s">
        <v>6777</v>
      </c>
    </row>
    <row r="877" spans="1:7">
      <c r="A877" s="1">
        <v>876</v>
      </c>
      <c r="B877" s="1" t="s">
        <v>14042</v>
      </c>
      <c r="D877" s="1" t="s">
        <v>6783</v>
      </c>
      <c r="E877" s="1" t="s">
        <v>6796</v>
      </c>
      <c r="F877" s="1" t="s">
        <v>6797</v>
      </c>
      <c r="G877" s="1" t="s">
        <v>6798</v>
      </c>
    </row>
    <row r="878" spans="1:7">
      <c r="A878" s="1">
        <v>877</v>
      </c>
      <c r="B878" s="1" t="s">
        <v>14043</v>
      </c>
      <c r="D878" s="1" t="s">
        <v>6783</v>
      </c>
      <c r="E878" s="1" t="s">
        <v>3953</v>
      </c>
      <c r="F878" s="1" t="s">
        <v>6800</v>
      </c>
      <c r="G878" s="1" t="s">
        <v>6801</v>
      </c>
    </row>
    <row r="879" spans="1:7">
      <c r="A879" s="1">
        <v>878</v>
      </c>
      <c r="B879" s="1" t="s">
        <v>14044</v>
      </c>
      <c r="D879" s="1" t="s">
        <v>6783</v>
      </c>
      <c r="E879" s="1" t="s">
        <v>3241</v>
      </c>
      <c r="F879" s="1" t="s">
        <v>6806</v>
      </c>
      <c r="G879" s="1" t="s">
        <v>6807</v>
      </c>
    </row>
    <row r="880" spans="1:7">
      <c r="A880" s="1">
        <v>879</v>
      </c>
      <c r="B880" s="1" t="s">
        <v>14045</v>
      </c>
      <c r="D880" s="1" t="s">
        <v>6783</v>
      </c>
      <c r="E880" s="1" t="s">
        <v>3240</v>
      </c>
      <c r="F880" s="1" t="s">
        <v>6803</v>
      </c>
      <c r="G880" s="1" t="s">
        <v>6804</v>
      </c>
    </row>
    <row r="881" spans="1:7">
      <c r="A881" s="1">
        <v>880</v>
      </c>
      <c r="B881" s="1" t="s">
        <v>14046</v>
      </c>
      <c r="D881" s="1" t="s">
        <v>6783</v>
      </c>
      <c r="E881" s="1" t="s">
        <v>3239</v>
      </c>
      <c r="F881" s="1" t="s">
        <v>6809</v>
      </c>
      <c r="G881" s="1" t="s">
        <v>6810</v>
      </c>
    </row>
    <row r="882" spans="1:7">
      <c r="A882" s="1">
        <v>881</v>
      </c>
      <c r="B882" s="1" t="s">
        <v>14047</v>
      </c>
      <c r="D882" s="1" t="s">
        <v>6783</v>
      </c>
      <c r="E882" s="1" t="s">
        <v>3235</v>
      </c>
      <c r="F882" s="1" t="s">
        <v>6793</v>
      </c>
      <c r="G882" s="1" t="s">
        <v>6794</v>
      </c>
    </row>
    <row r="883" spans="1:7">
      <c r="A883" s="1">
        <v>882</v>
      </c>
      <c r="B883" s="1" t="s">
        <v>14048</v>
      </c>
      <c r="D883" s="1" t="s">
        <v>6783</v>
      </c>
      <c r="E883" s="1" t="s">
        <v>3959</v>
      </c>
      <c r="F883" s="1" t="s">
        <v>6790</v>
      </c>
      <c r="G883" s="1" t="s">
        <v>6791</v>
      </c>
    </row>
    <row r="884" spans="1:7">
      <c r="A884" s="1">
        <v>883</v>
      </c>
      <c r="B884" s="1" t="s">
        <v>14049</v>
      </c>
      <c r="D884" s="1" t="s">
        <v>6783</v>
      </c>
      <c r="E884" s="1" t="s">
        <v>3236</v>
      </c>
      <c r="F884" s="1" t="s">
        <v>6812</v>
      </c>
      <c r="G884" s="1" t="s">
        <v>6813</v>
      </c>
    </row>
    <row r="885" spans="1:7">
      <c r="A885" s="1">
        <v>884</v>
      </c>
      <c r="B885" s="1" t="s">
        <v>14050</v>
      </c>
      <c r="D885" s="1" t="s">
        <v>6783</v>
      </c>
      <c r="E885" s="1" t="s">
        <v>3237</v>
      </c>
      <c r="F885" s="1" t="s">
        <v>6815</v>
      </c>
      <c r="G885" s="1" t="s">
        <v>6816</v>
      </c>
    </row>
    <row r="886" spans="1:7">
      <c r="A886" s="1">
        <v>885</v>
      </c>
      <c r="B886" s="1" t="s">
        <v>14051</v>
      </c>
      <c r="D886" s="1" t="s">
        <v>6783</v>
      </c>
      <c r="E886" s="1" t="s">
        <v>3238</v>
      </c>
      <c r="F886" s="1" t="s">
        <v>6787</v>
      </c>
      <c r="G886" s="1" t="s">
        <v>6788</v>
      </c>
    </row>
    <row r="887" spans="1:7">
      <c r="A887" s="1">
        <v>886</v>
      </c>
      <c r="B887" s="1" t="s">
        <v>14052</v>
      </c>
      <c r="D887" s="1" t="s">
        <v>6783</v>
      </c>
      <c r="E887" s="1" t="s">
        <v>3956</v>
      </c>
      <c r="F887" s="1" t="s">
        <v>6784</v>
      </c>
      <c r="G887" s="1" t="s">
        <v>6785</v>
      </c>
    </row>
    <row r="888" spans="1:7">
      <c r="A888" s="1">
        <v>887</v>
      </c>
      <c r="B888" s="1" t="s">
        <v>14053</v>
      </c>
      <c r="D888" s="1" t="s">
        <v>6783</v>
      </c>
      <c r="E888" s="1" t="s">
        <v>6818</v>
      </c>
      <c r="F888" s="1" t="s">
        <v>6819</v>
      </c>
      <c r="G888" s="1" t="s">
        <v>6820</v>
      </c>
    </row>
    <row r="889" spans="1:7">
      <c r="A889" s="1">
        <v>888</v>
      </c>
      <c r="B889" s="1" t="s">
        <v>14054</v>
      </c>
      <c r="D889" s="1" t="s">
        <v>6822</v>
      </c>
      <c r="E889" s="1" t="s">
        <v>14055</v>
      </c>
      <c r="F889" s="1" t="s">
        <v>14056</v>
      </c>
      <c r="G889" s="1" t="s">
        <v>14057</v>
      </c>
    </row>
    <row r="890" spans="1:7">
      <c r="A890" s="1">
        <v>889</v>
      </c>
      <c r="B890" s="1" t="s">
        <v>14058</v>
      </c>
      <c r="D890" s="1" t="s">
        <v>6822</v>
      </c>
      <c r="E890" s="1" t="s">
        <v>6020</v>
      </c>
      <c r="F890" s="1" t="s">
        <v>14059</v>
      </c>
      <c r="G890" s="1" t="s">
        <v>14060</v>
      </c>
    </row>
    <row r="891" spans="1:7">
      <c r="A891" s="1">
        <v>890</v>
      </c>
      <c r="B891" s="1" t="s">
        <v>14061</v>
      </c>
      <c r="D891" s="1" t="s">
        <v>6822</v>
      </c>
      <c r="E891" s="1" t="s">
        <v>6024</v>
      </c>
      <c r="F891" s="1" t="s">
        <v>14062</v>
      </c>
      <c r="G891" s="1" t="s">
        <v>14063</v>
      </c>
    </row>
    <row r="892" spans="1:7">
      <c r="A892" s="1">
        <v>891</v>
      </c>
      <c r="B892" s="1" t="s">
        <v>14064</v>
      </c>
      <c r="D892" s="1" t="s">
        <v>6822</v>
      </c>
      <c r="E892" s="1" t="s">
        <v>6033</v>
      </c>
      <c r="F892" s="1" t="s">
        <v>14065</v>
      </c>
      <c r="G892" s="1" t="s">
        <v>14066</v>
      </c>
    </row>
    <row r="893" spans="1:7">
      <c r="A893" s="1">
        <v>892</v>
      </c>
      <c r="B893" s="1" t="s">
        <v>14067</v>
      </c>
      <c r="D893" s="1" t="s">
        <v>6822</v>
      </c>
      <c r="E893" s="1" t="s">
        <v>6037</v>
      </c>
      <c r="F893" s="1" t="s">
        <v>14068</v>
      </c>
      <c r="G893" s="1" t="s">
        <v>14069</v>
      </c>
    </row>
    <row r="894" spans="1:7">
      <c r="A894" s="1">
        <v>893</v>
      </c>
      <c r="B894" s="1" t="s">
        <v>14070</v>
      </c>
      <c r="D894" s="1" t="s">
        <v>6822</v>
      </c>
      <c r="E894" s="1" t="s">
        <v>6077</v>
      </c>
      <c r="F894" s="1" t="s">
        <v>14071</v>
      </c>
      <c r="G894" s="1" t="s">
        <v>14072</v>
      </c>
    </row>
    <row r="895" spans="1:7">
      <c r="A895" s="1">
        <v>894</v>
      </c>
      <c r="B895" s="1" t="s">
        <v>14073</v>
      </c>
      <c r="D895" s="1" t="s">
        <v>6822</v>
      </c>
      <c r="E895" s="1" t="s">
        <v>6065</v>
      </c>
      <c r="F895" s="1" t="s">
        <v>14074</v>
      </c>
      <c r="G895" s="1" t="s">
        <v>14075</v>
      </c>
    </row>
    <row r="896" spans="1:7">
      <c r="A896" s="1">
        <v>895</v>
      </c>
      <c r="B896" s="1" t="s">
        <v>14076</v>
      </c>
      <c r="D896" s="1" t="s">
        <v>6822</v>
      </c>
      <c r="E896" s="1" t="s">
        <v>6069</v>
      </c>
      <c r="F896" s="1" t="s">
        <v>14077</v>
      </c>
      <c r="G896" s="1" t="s">
        <v>14078</v>
      </c>
    </row>
    <row r="897" spans="1:7">
      <c r="A897" s="1">
        <v>896</v>
      </c>
      <c r="B897" s="1" t="s">
        <v>14079</v>
      </c>
      <c r="D897" s="1" t="s">
        <v>6822</v>
      </c>
      <c r="E897" s="1" t="s">
        <v>6049</v>
      </c>
      <c r="F897" s="1" t="s">
        <v>14080</v>
      </c>
      <c r="G897" s="1" t="s">
        <v>14081</v>
      </c>
    </row>
    <row r="898" spans="1:7">
      <c r="A898" s="1">
        <v>897</v>
      </c>
      <c r="B898" s="1" t="s">
        <v>14082</v>
      </c>
      <c r="D898" s="1" t="s">
        <v>6822</v>
      </c>
      <c r="E898" s="1" t="s">
        <v>6073</v>
      </c>
      <c r="F898" s="1" t="s">
        <v>14083</v>
      </c>
      <c r="G898" s="1" t="s">
        <v>14084</v>
      </c>
    </row>
    <row r="899" spans="1:7">
      <c r="A899" s="1">
        <v>898</v>
      </c>
      <c r="B899" s="1" t="s">
        <v>14085</v>
      </c>
      <c r="D899" s="1" t="s">
        <v>6822</v>
      </c>
      <c r="E899" s="1" t="s">
        <v>6081</v>
      </c>
      <c r="F899" s="1" t="s">
        <v>14086</v>
      </c>
      <c r="G899" s="1" t="s">
        <v>14087</v>
      </c>
    </row>
    <row r="900" spans="1:7">
      <c r="A900" s="1">
        <v>899</v>
      </c>
      <c r="B900" s="1" t="s">
        <v>14088</v>
      </c>
      <c r="D900" s="1" t="s">
        <v>6867</v>
      </c>
      <c r="E900" s="1" t="s">
        <v>6041</v>
      </c>
      <c r="F900" s="1" t="s">
        <v>14089</v>
      </c>
      <c r="G900" s="1" t="s">
        <v>14090</v>
      </c>
    </row>
    <row r="901" spans="1:7">
      <c r="A901" s="1">
        <v>900</v>
      </c>
      <c r="B901" s="1" t="s">
        <v>14091</v>
      </c>
      <c r="D901" s="1" t="s">
        <v>6867</v>
      </c>
      <c r="E901" s="1" t="s">
        <v>6045</v>
      </c>
      <c r="F901" s="1" t="s">
        <v>14092</v>
      </c>
      <c r="G901" s="1" t="s">
        <v>14093</v>
      </c>
    </row>
    <row r="902" spans="1:7">
      <c r="A902" s="1">
        <v>901</v>
      </c>
      <c r="B902" s="1" t="s">
        <v>14094</v>
      </c>
      <c r="D902" s="1" t="s">
        <v>6867</v>
      </c>
      <c r="E902" s="1" t="s">
        <v>6053</v>
      </c>
      <c r="F902" s="1" t="s">
        <v>14095</v>
      </c>
      <c r="G902" s="1" t="s">
        <v>14096</v>
      </c>
    </row>
    <row r="903" spans="1:7">
      <c r="A903" s="1">
        <v>902</v>
      </c>
      <c r="B903" s="1" t="s">
        <v>14097</v>
      </c>
      <c r="D903" s="1" t="s">
        <v>6867</v>
      </c>
      <c r="E903" s="1" t="s">
        <v>6057</v>
      </c>
      <c r="F903" s="1" t="s">
        <v>14098</v>
      </c>
      <c r="G903" s="1" t="s">
        <v>14099</v>
      </c>
    </row>
    <row r="904" spans="1:7">
      <c r="A904" s="1">
        <v>903</v>
      </c>
      <c r="B904" s="1" t="s">
        <v>14100</v>
      </c>
      <c r="D904" s="1" t="s">
        <v>6867</v>
      </c>
      <c r="E904" s="1" t="s">
        <v>6029</v>
      </c>
      <c r="F904" s="1" t="s">
        <v>14101</v>
      </c>
      <c r="G904" s="1" t="s">
        <v>14102</v>
      </c>
    </row>
    <row r="905" spans="1:7">
      <c r="A905" s="1">
        <v>904</v>
      </c>
      <c r="B905" s="1" t="s">
        <v>14103</v>
      </c>
      <c r="D905" s="1" t="s">
        <v>6867</v>
      </c>
      <c r="E905" s="1" t="s">
        <v>6061</v>
      </c>
      <c r="F905" s="1" t="s">
        <v>14104</v>
      </c>
      <c r="G905" s="1" t="s">
        <v>14105</v>
      </c>
    </row>
    <row r="906" spans="1:7">
      <c r="A906" s="1">
        <v>905</v>
      </c>
      <c r="B906" s="1" t="s">
        <v>14106</v>
      </c>
      <c r="D906" s="1" t="s">
        <v>6867</v>
      </c>
      <c r="E906" s="1" t="s">
        <v>14107</v>
      </c>
      <c r="F906" s="1" t="s">
        <v>14108</v>
      </c>
      <c r="G906" s="1" t="s">
        <v>14109</v>
      </c>
    </row>
    <row r="907" spans="1:7">
      <c r="A907" s="1">
        <v>906</v>
      </c>
      <c r="B907" s="1" t="s">
        <v>14110</v>
      </c>
      <c r="D907" s="1" t="s">
        <v>6867</v>
      </c>
      <c r="E907" s="1" t="s">
        <v>14111</v>
      </c>
      <c r="F907" s="1" t="s">
        <v>14112</v>
      </c>
      <c r="G907" s="1" t="s">
        <v>14113</v>
      </c>
    </row>
    <row r="908" spans="1:7">
      <c r="A908" s="1">
        <v>907</v>
      </c>
      <c r="B908" s="1" t="s">
        <v>14114</v>
      </c>
      <c r="D908" s="1" t="s">
        <v>6867</v>
      </c>
      <c r="E908" s="1" t="s">
        <v>14115</v>
      </c>
      <c r="F908" s="1" t="s">
        <v>14116</v>
      </c>
      <c r="G908" s="1" t="s">
        <v>14117</v>
      </c>
    </row>
    <row r="909" spans="1:7">
      <c r="A909" s="1">
        <v>908</v>
      </c>
      <c r="B909" s="1" t="s">
        <v>14118</v>
      </c>
      <c r="D909" s="1" t="s">
        <v>6867</v>
      </c>
      <c r="E909" s="1" t="s">
        <v>14119</v>
      </c>
      <c r="F909" s="1" t="s">
        <v>14120</v>
      </c>
      <c r="G909" s="1" t="s">
        <v>14121</v>
      </c>
    </row>
    <row r="910" spans="1:7">
      <c r="A910" s="1">
        <v>909</v>
      </c>
      <c r="B910" s="1" t="s">
        <v>14122</v>
      </c>
      <c r="D910" s="1" t="s">
        <v>6867</v>
      </c>
      <c r="E910" s="1" t="s">
        <v>14123</v>
      </c>
      <c r="F910" s="1" t="s">
        <v>14124</v>
      </c>
      <c r="G910" s="1" t="s">
        <v>14125</v>
      </c>
    </row>
    <row r="911" spans="1:7">
      <c r="A911" s="1">
        <v>910</v>
      </c>
      <c r="B911" s="1" t="s">
        <v>14126</v>
      </c>
      <c r="D911" s="1" t="s">
        <v>6912</v>
      </c>
      <c r="E911" s="1" t="s">
        <v>14127</v>
      </c>
      <c r="F911" s="1" t="s">
        <v>14128</v>
      </c>
      <c r="G911" s="1" t="s">
        <v>14129</v>
      </c>
    </row>
    <row r="912" spans="1:7">
      <c r="A912" s="1">
        <v>911</v>
      </c>
      <c r="B912" s="1" t="s">
        <v>14130</v>
      </c>
      <c r="D912" s="1" t="s">
        <v>6912</v>
      </c>
      <c r="E912" s="1" t="s">
        <v>14131</v>
      </c>
      <c r="F912" s="1" t="s">
        <v>14132</v>
      </c>
      <c r="G912" s="1" t="s">
        <v>14133</v>
      </c>
    </row>
    <row r="913" spans="1:7">
      <c r="A913" s="1">
        <v>912</v>
      </c>
      <c r="B913" s="1" t="s">
        <v>14134</v>
      </c>
      <c r="D913" s="1" t="s">
        <v>6912</v>
      </c>
      <c r="E913" s="1" t="s">
        <v>14135</v>
      </c>
      <c r="F913" s="1" t="s">
        <v>14136</v>
      </c>
      <c r="G913" s="1" t="s">
        <v>14137</v>
      </c>
    </row>
    <row r="914" spans="1:7">
      <c r="A914" s="1">
        <v>913</v>
      </c>
      <c r="B914" s="1" t="s">
        <v>14138</v>
      </c>
      <c r="D914" s="1" t="s">
        <v>6912</v>
      </c>
      <c r="E914" s="1" t="s">
        <v>14139</v>
      </c>
      <c r="F914" s="1" t="s">
        <v>14140</v>
      </c>
      <c r="G914" s="1" t="s">
        <v>14141</v>
      </c>
    </row>
    <row r="915" spans="1:7">
      <c r="A915" s="1">
        <v>914</v>
      </c>
      <c r="B915" s="1" t="s">
        <v>14142</v>
      </c>
      <c r="D915" s="1" t="s">
        <v>6912</v>
      </c>
      <c r="E915" s="1" t="s">
        <v>14143</v>
      </c>
      <c r="F915" s="1" t="s">
        <v>14144</v>
      </c>
      <c r="G915" s="1" t="s">
        <v>14145</v>
      </c>
    </row>
    <row r="916" spans="1:7">
      <c r="A916" s="1">
        <v>915</v>
      </c>
      <c r="B916" s="1" t="s">
        <v>14146</v>
      </c>
      <c r="D916" s="1" t="s">
        <v>6912</v>
      </c>
      <c r="E916" s="1" t="s">
        <v>14147</v>
      </c>
      <c r="F916" s="1" t="s">
        <v>14148</v>
      </c>
      <c r="G916" s="1" t="s">
        <v>14149</v>
      </c>
    </row>
    <row r="917" spans="1:7">
      <c r="A917" s="1">
        <v>916</v>
      </c>
      <c r="B917" s="1" t="s">
        <v>14150</v>
      </c>
      <c r="D917" s="1" t="s">
        <v>6912</v>
      </c>
      <c r="E917" s="1" t="s">
        <v>14151</v>
      </c>
      <c r="F917" s="1" t="s">
        <v>14152</v>
      </c>
      <c r="G917" s="1" t="s">
        <v>14153</v>
      </c>
    </row>
    <row r="918" spans="1:7">
      <c r="A918" s="1">
        <v>917</v>
      </c>
      <c r="B918" s="1" t="s">
        <v>14154</v>
      </c>
      <c r="D918" s="1" t="s">
        <v>6912</v>
      </c>
      <c r="E918" s="1" t="s">
        <v>14155</v>
      </c>
      <c r="F918" s="1" t="s">
        <v>14156</v>
      </c>
      <c r="G918" s="1" t="s">
        <v>14157</v>
      </c>
    </row>
    <row r="919" spans="1:7">
      <c r="A919" s="1">
        <v>918</v>
      </c>
      <c r="B919" s="1" t="s">
        <v>14158</v>
      </c>
      <c r="D919" s="1" t="s">
        <v>6912</v>
      </c>
      <c r="E919" s="1" t="s">
        <v>14159</v>
      </c>
      <c r="F919" s="1" t="s">
        <v>14160</v>
      </c>
      <c r="G919" s="1" t="s">
        <v>14161</v>
      </c>
    </row>
    <row r="920" spans="1:7">
      <c r="A920" s="1">
        <v>919</v>
      </c>
      <c r="B920" s="1" t="s">
        <v>14162</v>
      </c>
      <c r="D920" s="1" t="s">
        <v>6912</v>
      </c>
      <c r="E920" s="1" t="s">
        <v>14163</v>
      </c>
      <c r="F920" s="1" t="s">
        <v>14164</v>
      </c>
      <c r="G920" s="1" t="s">
        <v>14165</v>
      </c>
    </row>
    <row r="921" spans="1:7">
      <c r="A921" s="1">
        <v>920</v>
      </c>
      <c r="B921" s="1" t="s">
        <v>14166</v>
      </c>
      <c r="D921" s="1" t="s">
        <v>6912</v>
      </c>
      <c r="E921" s="1" t="s">
        <v>14167</v>
      </c>
      <c r="F921" s="1" t="s">
        <v>14168</v>
      </c>
      <c r="G921" s="1" t="s">
        <v>14169</v>
      </c>
    </row>
    <row r="922" spans="1:7">
      <c r="A922" s="1">
        <v>921</v>
      </c>
      <c r="B922" s="1" t="s">
        <v>14170</v>
      </c>
      <c r="D922" s="1" t="s">
        <v>6957</v>
      </c>
      <c r="E922" s="1" t="s">
        <v>14171</v>
      </c>
      <c r="F922" s="1" t="s">
        <v>14172</v>
      </c>
      <c r="G922" s="1" t="s">
        <v>14173</v>
      </c>
    </row>
    <row r="923" spans="1:7">
      <c r="A923" s="1">
        <v>922</v>
      </c>
      <c r="B923" s="1" t="s">
        <v>14174</v>
      </c>
      <c r="D923" s="1" t="s">
        <v>6957</v>
      </c>
      <c r="E923" s="1" t="s">
        <v>14175</v>
      </c>
      <c r="F923" s="1" t="s">
        <v>14176</v>
      </c>
      <c r="G923" s="1" t="s">
        <v>14177</v>
      </c>
    </row>
    <row r="924" spans="1:7">
      <c r="A924" s="1">
        <v>923</v>
      </c>
      <c r="B924" s="1" t="s">
        <v>14178</v>
      </c>
      <c r="D924" s="1" t="s">
        <v>6957</v>
      </c>
      <c r="E924" s="1" t="s">
        <v>14179</v>
      </c>
      <c r="F924" s="1" t="s">
        <v>14180</v>
      </c>
      <c r="G924" s="1" t="s">
        <v>14181</v>
      </c>
    </row>
    <row r="925" spans="1:7">
      <c r="A925" s="1">
        <v>924</v>
      </c>
      <c r="B925" s="1" t="s">
        <v>14182</v>
      </c>
      <c r="D925" s="1" t="s">
        <v>6957</v>
      </c>
      <c r="E925" s="1" t="s">
        <v>14183</v>
      </c>
      <c r="F925" s="1" t="s">
        <v>14184</v>
      </c>
      <c r="G925" s="1" t="s">
        <v>14185</v>
      </c>
    </row>
    <row r="926" spans="1:7">
      <c r="A926" s="1">
        <v>925</v>
      </c>
      <c r="B926" s="1" t="s">
        <v>14186</v>
      </c>
      <c r="D926" s="1" t="s">
        <v>6957</v>
      </c>
      <c r="E926" s="1" t="s">
        <v>14187</v>
      </c>
      <c r="F926" s="1" t="s">
        <v>14188</v>
      </c>
      <c r="G926" s="1" t="s">
        <v>14181</v>
      </c>
    </row>
    <row r="927" spans="1:7">
      <c r="A927" s="1">
        <v>926</v>
      </c>
      <c r="B927" s="1" t="s">
        <v>14189</v>
      </c>
      <c r="D927" s="1" t="s">
        <v>6957</v>
      </c>
      <c r="E927" s="1" t="s">
        <v>14190</v>
      </c>
      <c r="F927" s="1" t="s">
        <v>14191</v>
      </c>
      <c r="G927" s="1" t="s">
        <v>14192</v>
      </c>
    </row>
    <row r="928" spans="1:7">
      <c r="A928" s="1">
        <v>927</v>
      </c>
      <c r="B928" s="1" t="s">
        <v>14193</v>
      </c>
      <c r="D928" s="1" t="s">
        <v>6982</v>
      </c>
      <c r="E928" s="1" t="s">
        <v>14194</v>
      </c>
      <c r="F928" s="1" t="s">
        <v>6984</v>
      </c>
      <c r="G928" s="1" t="s">
        <v>6985</v>
      </c>
    </row>
    <row r="929" spans="1:7">
      <c r="A929" s="1">
        <v>928</v>
      </c>
      <c r="B929" s="1" t="s">
        <v>14195</v>
      </c>
      <c r="D929" s="1" t="s">
        <v>6987</v>
      </c>
      <c r="E929" s="1" t="s">
        <v>398</v>
      </c>
      <c r="F929" s="1" t="s">
        <v>14196</v>
      </c>
      <c r="G929" s="1" t="s">
        <v>14197</v>
      </c>
    </row>
    <row r="930" spans="1:7">
      <c r="A930" s="1">
        <v>929</v>
      </c>
      <c r="B930" s="1" t="s">
        <v>14198</v>
      </c>
      <c r="D930" s="1" t="s">
        <v>6987</v>
      </c>
      <c r="E930" s="1" t="s">
        <v>6989</v>
      </c>
      <c r="F930" s="1" t="s">
        <v>14199</v>
      </c>
      <c r="G930" s="1" t="s">
        <v>14200</v>
      </c>
    </row>
    <row r="931" spans="1:7">
      <c r="A931" s="1">
        <v>930</v>
      </c>
      <c r="B931" s="1" t="s">
        <v>14201</v>
      </c>
      <c r="D931" s="1" t="s">
        <v>6987</v>
      </c>
      <c r="E931" s="1" t="s">
        <v>6993</v>
      </c>
      <c r="F931" s="1" t="s">
        <v>14202</v>
      </c>
      <c r="G931" s="1" t="s">
        <v>14203</v>
      </c>
    </row>
    <row r="932" spans="1:7">
      <c r="A932" s="1">
        <v>931</v>
      </c>
      <c r="B932" s="1" t="s">
        <v>14204</v>
      </c>
      <c r="D932" s="1" t="s">
        <v>6987</v>
      </c>
      <c r="E932" s="1" t="s">
        <v>394</v>
      </c>
      <c r="F932" s="1" t="s">
        <v>14205</v>
      </c>
      <c r="G932" s="1" t="s">
        <v>14206</v>
      </c>
    </row>
    <row r="933" spans="1:7">
      <c r="A933" s="1">
        <v>932</v>
      </c>
      <c r="B933" s="1" t="s">
        <v>14207</v>
      </c>
      <c r="D933" s="1" t="s">
        <v>6987</v>
      </c>
      <c r="E933" s="1" t="s">
        <v>402</v>
      </c>
      <c r="F933" s="1" t="s">
        <v>14208</v>
      </c>
      <c r="G933" s="1" t="s">
        <v>14209</v>
      </c>
    </row>
    <row r="934" spans="1:7">
      <c r="A934" s="1">
        <v>933</v>
      </c>
      <c r="B934" s="1" t="s">
        <v>14210</v>
      </c>
      <c r="D934" s="1" t="s">
        <v>6987</v>
      </c>
      <c r="E934" s="1" t="s">
        <v>406</v>
      </c>
      <c r="F934" s="1" t="s">
        <v>14211</v>
      </c>
      <c r="G934" s="1" t="s">
        <v>14212</v>
      </c>
    </row>
    <row r="935" spans="1:7">
      <c r="A935" s="1">
        <v>934</v>
      </c>
      <c r="B935" s="1" t="s">
        <v>14213</v>
      </c>
      <c r="D935" s="1" t="s">
        <v>6987</v>
      </c>
      <c r="E935" s="1" t="s">
        <v>410</v>
      </c>
      <c r="F935" s="1" t="s">
        <v>14214</v>
      </c>
      <c r="G935" s="1" t="s">
        <v>14215</v>
      </c>
    </row>
    <row r="936" spans="1:7">
      <c r="A936" s="1">
        <v>935</v>
      </c>
      <c r="B936" s="1" t="s">
        <v>14216</v>
      </c>
      <c r="D936" s="1" t="s">
        <v>7005</v>
      </c>
      <c r="E936" s="1" t="s">
        <v>6868</v>
      </c>
      <c r="F936" s="1" t="s">
        <v>14217</v>
      </c>
      <c r="G936" s="1" t="s">
        <v>14218</v>
      </c>
    </row>
    <row r="937" spans="1:7">
      <c r="A937" s="1">
        <v>936</v>
      </c>
      <c r="B937" s="1" t="s">
        <v>14219</v>
      </c>
      <c r="D937" s="1" t="s">
        <v>7005</v>
      </c>
      <c r="E937" s="1" t="s">
        <v>6872</v>
      </c>
      <c r="F937" s="1" t="s">
        <v>14220</v>
      </c>
      <c r="G937" s="1" t="s">
        <v>14221</v>
      </c>
    </row>
    <row r="938" spans="1:7">
      <c r="A938" s="1">
        <v>937</v>
      </c>
      <c r="B938" s="1" t="s">
        <v>14222</v>
      </c>
      <c r="D938" s="1" t="s">
        <v>7005</v>
      </c>
      <c r="E938" s="1" t="s">
        <v>6876</v>
      </c>
      <c r="F938" s="1" t="s">
        <v>14223</v>
      </c>
      <c r="G938" s="1" t="s">
        <v>14224</v>
      </c>
    </row>
    <row r="939" spans="1:7">
      <c r="A939" s="1">
        <v>938</v>
      </c>
      <c r="B939" s="1" t="s">
        <v>14225</v>
      </c>
      <c r="D939" s="1" t="s">
        <v>7005</v>
      </c>
      <c r="E939" s="1" t="s">
        <v>6888</v>
      </c>
      <c r="F939" s="1" t="s">
        <v>14226</v>
      </c>
      <c r="G939" s="1" t="s">
        <v>14227</v>
      </c>
    </row>
    <row r="940" spans="1:7">
      <c r="A940" s="1">
        <v>939</v>
      </c>
      <c r="B940" s="1" t="s">
        <v>14228</v>
      </c>
      <c r="D940" s="1" t="s">
        <v>7005</v>
      </c>
      <c r="E940" s="1" t="s">
        <v>6880</v>
      </c>
      <c r="F940" s="1" t="s">
        <v>14229</v>
      </c>
      <c r="G940" s="1" t="s">
        <v>14230</v>
      </c>
    </row>
    <row r="941" spans="1:7">
      <c r="A941" s="1">
        <v>940</v>
      </c>
      <c r="B941" s="1" t="s">
        <v>14231</v>
      </c>
      <c r="D941" s="1" t="s">
        <v>7005</v>
      </c>
      <c r="E941" s="1" t="s">
        <v>6884</v>
      </c>
      <c r="F941" s="1" t="s">
        <v>14232</v>
      </c>
      <c r="G941" s="1" t="s">
        <v>14233</v>
      </c>
    </row>
    <row r="942" spans="1:7">
      <c r="A942" s="1">
        <v>941</v>
      </c>
      <c r="B942" s="1" t="s">
        <v>14234</v>
      </c>
      <c r="D942" s="1" t="s">
        <v>7027</v>
      </c>
      <c r="E942" s="1" t="s">
        <v>14235</v>
      </c>
      <c r="F942" s="1" t="s">
        <v>7037</v>
      </c>
      <c r="G942" s="1" t="s">
        <v>7038</v>
      </c>
    </row>
    <row r="943" spans="1:7">
      <c r="A943" s="1">
        <v>942</v>
      </c>
      <c r="B943" s="1" t="s">
        <v>14236</v>
      </c>
      <c r="D943" s="1" t="s">
        <v>7027</v>
      </c>
      <c r="E943" s="1" t="s">
        <v>14237</v>
      </c>
      <c r="F943" s="1" t="s">
        <v>7041</v>
      </c>
      <c r="G943" s="1" t="s">
        <v>7042</v>
      </c>
    </row>
    <row r="944" spans="1:7">
      <c r="A944" s="1">
        <v>943</v>
      </c>
      <c r="B944" s="1" t="s">
        <v>14238</v>
      </c>
      <c r="D944" s="1" t="s">
        <v>7027</v>
      </c>
      <c r="E944" s="1" t="s">
        <v>14239</v>
      </c>
      <c r="F944" s="1" t="s">
        <v>7029</v>
      </c>
      <c r="G944" s="1" t="s">
        <v>7030</v>
      </c>
    </row>
    <row r="945" spans="1:7">
      <c r="A945" s="1">
        <v>944</v>
      </c>
      <c r="B945" s="1" t="s">
        <v>14240</v>
      </c>
      <c r="D945" s="1" t="s">
        <v>7027</v>
      </c>
      <c r="E945" s="1" t="s">
        <v>14241</v>
      </c>
      <c r="F945" s="1" t="s">
        <v>7045</v>
      </c>
      <c r="G945" s="1" t="s">
        <v>7046</v>
      </c>
    </row>
    <row r="946" spans="1:7">
      <c r="A946" s="1">
        <v>945</v>
      </c>
      <c r="B946" s="1" t="s">
        <v>14242</v>
      </c>
      <c r="D946" s="1" t="s">
        <v>7027</v>
      </c>
      <c r="E946" s="1" t="s">
        <v>14243</v>
      </c>
      <c r="F946" s="1" t="s">
        <v>7049</v>
      </c>
      <c r="G946" s="1" t="s">
        <v>7050</v>
      </c>
    </row>
    <row r="947" spans="1:7">
      <c r="A947" s="1">
        <v>946</v>
      </c>
      <c r="B947" s="1" t="s">
        <v>14244</v>
      </c>
      <c r="D947" s="1" t="s">
        <v>7027</v>
      </c>
      <c r="E947" s="1" t="s">
        <v>14245</v>
      </c>
      <c r="F947" s="1" t="s">
        <v>7033</v>
      </c>
      <c r="G947" s="1" t="s">
        <v>7034</v>
      </c>
    </row>
    <row r="948" spans="1:7">
      <c r="A948" s="1">
        <v>947</v>
      </c>
      <c r="B948" s="1" t="s">
        <v>14246</v>
      </c>
      <c r="D948" s="1" t="s">
        <v>7052</v>
      </c>
      <c r="E948" s="1" t="s">
        <v>2432</v>
      </c>
      <c r="F948" s="1" t="s">
        <v>7077</v>
      </c>
      <c r="G948" s="1" t="s">
        <v>7078</v>
      </c>
    </row>
    <row r="949" spans="1:7">
      <c r="A949" s="1">
        <v>948</v>
      </c>
      <c r="B949" s="1" t="s">
        <v>14247</v>
      </c>
      <c r="D949" s="1" t="s">
        <v>7052</v>
      </c>
      <c r="E949" s="1" t="s">
        <v>2436</v>
      </c>
      <c r="F949" s="1" t="s">
        <v>7056</v>
      </c>
      <c r="G949" s="1" t="s">
        <v>7057</v>
      </c>
    </row>
    <row r="950" spans="1:7">
      <c r="A950" s="1">
        <v>949</v>
      </c>
      <c r="B950" s="1" t="s">
        <v>14248</v>
      </c>
      <c r="D950" s="1" t="s">
        <v>7052</v>
      </c>
      <c r="E950" s="1" t="s">
        <v>2438</v>
      </c>
      <c r="F950" s="1" t="s">
        <v>7053</v>
      </c>
      <c r="G950" s="1" t="s">
        <v>7054</v>
      </c>
    </row>
    <row r="951" spans="1:7">
      <c r="A951" s="1">
        <v>950</v>
      </c>
      <c r="B951" s="1" t="s">
        <v>14249</v>
      </c>
      <c r="D951" s="1" t="s">
        <v>7052</v>
      </c>
      <c r="E951" s="1" t="s">
        <v>2440</v>
      </c>
      <c r="F951" s="1" t="s">
        <v>7059</v>
      </c>
      <c r="G951" s="1" t="s">
        <v>7060</v>
      </c>
    </row>
    <row r="952" spans="1:7">
      <c r="A952" s="1">
        <v>951</v>
      </c>
      <c r="B952" s="1" t="s">
        <v>14250</v>
      </c>
      <c r="D952" s="1" t="s">
        <v>7052</v>
      </c>
      <c r="E952" s="1" t="s">
        <v>2444</v>
      </c>
      <c r="F952" s="1" t="s">
        <v>7062</v>
      </c>
      <c r="G952" s="1" t="s">
        <v>7063</v>
      </c>
    </row>
    <row r="953" spans="1:7">
      <c r="A953" s="1">
        <v>952</v>
      </c>
      <c r="B953" s="1" t="s">
        <v>14251</v>
      </c>
      <c r="D953" s="1" t="s">
        <v>7052</v>
      </c>
      <c r="E953" s="1" t="s">
        <v>2446</v>
      </c>
      <c r="F953" s="1" t="s">
        <v>7065</v>
      </c>
      <c r="G953" s="1" t="s">
        <v>7066</v>
      </c>
    </row>
    <row r="954" spans="1:7">
      <c r="A954" s="1">
        <v>953</v>
      </c>
      <c r="B954" s="1" t="s">
        <v>14252</v>
      </c>
      <c r="D954" s="1" t="s">
        <v>7052</v>
      </c>
      <c r="E954" s="1" t="s">
        <v>2448</v>
      </c>
      <c r="F954" s="1" t="s">
        <v>7068</v>
      </c>
      <c r="G954" s="1" t="s">
        <v>7069</v>
      </c>
    </row>
    <row r="955" spans="1:7">
      <c r="A955" s="1">
        <v>954</v>
      </c>
      <c r="B955" s="1" t="s">
        <v>14253</v>
      </c>
      <c r="D955" s="1" t="s">
        <v>7052</v>
      </c>
      <c r="E955" s="1" t="s">
        <v>2428</v>
      </c>
      <c r="F955" s="1" t="s">
        <v>7071</v>
      </c>
      <c r="G955" s="1" t="s">
        <v>7072</v>
      </c>
    </row>
    <row r="956" spans="1:7">
      <c r="A956" s="1">
        <v>955</v>
      </c>
      <c r="B956" s="1" t="s">
        <v>14254</v>
      </c>
      <c r="D956" s="1" t="s">
        <v>7052</v>
      </c>
      <c r="E956" s="1" t="s">
        <v>2450</v>
      </c>
      <c r="F956" s="1" t="s">
        <v>7074</v>
      </c>
      <c r="G956" s="1" t="s">
        <v>7075</v>
      </c>
    </row>
    <row r="957" spans="1:7">
      <c r="A957" s="1">
        <v>956</v>
      </c>
      <c r="B957" s="1" t="s">
        <v>14255</v>
      </c>
      <c r="D957" s="1" t="s">
        <v>7080</v>
      </c>
      <c r="E957" s="1" t="s">
        <v>423</v>
      </c>
      <c r="F957" s="1" t="s">
        <v>14256</v>
      </c>
      <c r="G957" s="1" t="s">
        <v>14257</v>
      </c>
    </row>
    <row r="958" spans="1:7">
      <c r="A958" s="1">
        <v>957</v>
      </c>
      <c r="B958" s="1" t="s">
        <v>14258</v>
      </c>
      <c r="D958" s="1" t="s">
        <v>7080</v>
      </c>
      <c r="E958" s="1" t="s">
        <v>426</v>
      </c>
      <c r="F958" s="1" t="s">
        <v>7088</v>
      </c>
      <c r="G958" s="1" t="s">
        <v>7089</v>
      </c>
    </row>
    <row r="959" spans="1:7">
      <c r="A959" s="1">
        <v>958</v>
      </c>
      <c r="B959" s="1" t="s">
        <v>14259</v>
      </c>
      <c r="D959" s="1" t="s">
        <v>7080</v>
      </c>
      <c r="E959" s="1" t="s">
        <v>429</v>
      </c>
      <c r="F959" s="1" t="s">
        <v>7081</v>
      </c>
      <c r="G959" s="1" t="s">
        <v>7082</v>
      </c>
    </row>
    <row r="960" spans="1:7">
      <c r="A960" s="1">
        <v>959</v>
      </c>
      <c r="B960" s="1" t="s">
        <v>14260</v>
      </c>
      <c r="D960" s="1" t="s">
        <v>7080</v>
      </c>
      <c r="E960" s="1" t="s">
        <v>432</v>
      </c>
      <c r="F960" s="1" t="s">
        <v>433</v>
      </c>
      <c r="G960" s="1" t="s">
        <v>434</v>
      </c>
    </row>
    <row r="961" spans="1:7">
      <c r="A961" s="1">
        <v>960</v>
      </c>
      <c r="B961" s="1" t="s">
        <v>14261</v>
      </c>
      <c r="D961" s="1" t="s">
        <v>7091</v>
      </c>
      <c r="E961" s="1" t="s">
        <v>437</v>
      </c>
      <c r="F961" s="1" t="s">
        <v>14256</v>
      </c>
      <c r="G961" s="1" t="s">
        <v>14262</v>
      </c>
    </row>
    <row r="962" spans="1:7">
      <c r="A962" s="1">
        <v>961</v>
      </c>
      <c r="B962" s="1" t="s">
        <v>14263</v>
      </c>
      <c r="D962" s="1" t="s">
        <v>7091</v>
      </c>
      <c r="E962" s="1" t="s">
        <v>438</v>
      </c>
      <c r="F962" s="1" t="s">
        <v>7088</v>
      </c>
      <c r="G962" s="1" t="s">
        <v>7089</v>
      </c>
    </row>
    <row r="963" spans="1:7">
      <c r="A963" s="1">
        <v>962</v>
      </c>
      <c r="B963" s="1" t="s">
        <v>14264</v>
      </c>
      <c r="D963" s="1" t="s">
        <v>7091</v>
      </c>
      <c r="E963" s="1" t="s">
        <v>439</v>
      </c>
      <c r="F963" s="1" t="s">
        <v>7081</v>
      </c>
      <c r="G963" s="1" t="s">
        <v>7082</v>
      </c>
    </row>
    <row r="964" spans="1:7">
      <c r="A964" s="1">
        <v>963</v>
      </c>
      <c r="B964" s="1" t="s">
        <v>14265</v>
      </c>
      <c r="D964" s="1" t="s">
        <v>7091</v>
      </c>
      <c r="E964" s="1" t="s">
        <v>440</v>
      </c>
      <c r="F964" s="1" t="s">
        <v>433</v>
      </c>
      <c r="G964" s="1" t="s">
        <v>434</v>
      </c>
    </row>
    <row r="965" spans="1:7">
      <c r="A965" s="1">
        <v>964</v>
      </c>
      <c r="B965" s="1" t="s">
        <v>14266</v>
      </c>
      <c r="D965" s="1" t="s">
        <v>7103</v>
      </c>
      <c r="E965" s="1" t="s">
        <v>7108</v>
      </c>
      <c r="F965" s="1" t="s">
        <v>7109</v>
      </c>
      <c r="G965" s="1" t="s">
        <v>7110</v>
      </c>
    </row>
    <row r="966" spans="1:7">
      <c r="A966" s="1">
        <v>965</v>
      </c>
      <c r="B966" s="1" t="s">
        <v>14267</v>
      </c>
      <c r="D966" s="1" t="s">
        <v>7103</v>
      </c>
      <c r="E966" s="1" t="s">
        <v>7104</v>
      </c>
      <c r="F966" s="1" t="s">
        <v>7105</v>
      </c>
      <c r="G966" s="1" t="s">
        <v>7106</v>
      </c>
    </row>
    <row r="967" spans="1:7">
      <c r="A967" s="1">
        <v>966</v>
      </c>
      <c r="B967" s="1" t="s">
        <v>14268</v>
      </c>
      <c r="D967" s="1" t="s">
        <v>7103</v>
      </c>
      <c r="E967" s="1" t="s">
        <v>7112</v>
      </c>
      <c r="F967" s="1" t="s">
        <v>7113</v>
      </c>
      <c r="G967" s="1" t="s">
        <v>7114</v>
      </c>
    </row>
    <row r="968" spans="1:7">
      <c r="A968" s="1">
        <v>967</v>
      </c>
      <c r="B968" s="1" t="s">
        <v>14269</v>
      </c>
      <c r="D968" s="1" t="s">
        <v>7103</v>
      </c>
      <c r="E968" s="1" t="s">
        <v>7124</v>
      </c>
      <c r="F968" s="1" t="s">
        <v>7125</v>
      </c>
      <c r="G968" s="1" t="s">
        <v>7126</v>
      </c>
    </row>
    <row r="969" spans="1:7">
      <c r="A969" s="1">
        <v>968</v>
      </c>
      <c r="B969" s="1" t="s">
        <v>14270</v>
      </c>
      <c r="D969" s="1" t="s">
        <v>7103</v>
      </c>
      <c r="E969" s="1" t="s">
        <v>7120</v>
      </c>
      <c r="F969" s="1" t="s">
        <v>7121</v>
      </c>
      <c r="G969" s="1" t="s">
        <v>7122</v>
      </c>
    </row>
    <row r="970" spans="1:7">
      <c r="A970" s="1">
        <v>969</v>
      </c>
      <c r="B970" s="1" t="s">
        <v>14271</v>
      </c>
      <c r="D970" s="1" t="s">
        <v>7103</v>
      </c>
      <c r="E970" s="1" t="s">
        <v>7116</v>
      </c>
      <c r="F970" s="1" t="s">
        <v>7117</v>
      </c>
      <c r="G970" s="1" t="s">
        <v>7118</v>
      </c>
    </row>
    <row r="971" spans="1:7">
      <c r="A971" s="1">
        <v>970</v>
      </c>
      <c r="B971" s="1" t="s">
        <v>14272</v>
      </c>
      <c r="D971" s="1" t="s">
        <v>7128</v>
      </c>
      <c r="E971" s="1" t="s">
        <v>7142</v>
      </c>
      <c r="F971" s="1" t="s">
        <v>7143</v>
      </c>
      <c r="G971" s="1" t="s">
        <v>7144</v>
      </c>
    </row>
    <row r="972" spans="1:7">
      <c r="A972" s="1">
        <v>971</v>
      </c>
      <c r="B972" s="1" t="s">
        <v>14273</v>
      </c>
      <c r="D972" s="1" t="s">
        <v>7128</v>
      </c>
      <c r="E972" s="1" t="s">
        <v>7138</v>
      </c>
      <c r="F972" s="1" t="s">
        <v>7139</v>
      </c>
      <c r="G972" s="1" t="s">
        <v>7140</v>
      </c>
    </row>
    <row r="973" spans="1:7">
      <c r="A973" s="1">
        <v>972</v>
      </c>
      <c r="B973" s="1" t="s">
        <v>14274</v>
      </c>
      <c r="D973" s="1" t="s">
        <v>7128</v>
      </c>
      <c r="E973" s="1" t="s">
        <v>7146</v>
      </c>
      <c r="F973" s="1" t="s">
        <v>7147</v>
      </c>
      <c r="G973" s="1" t="s">
        <v>7148</v>
      </c>
    </row>
    <row r="974" spans="1:7">
      <c r="A974" s="1">
        <v>973</v>
      </c>
      <c r="B974" s="1" t="s">
        <v>14275</v>
      </c>
      <c r="D974" s="1" t="s">
        <v>7128</v>
      </c>
      <c r="E974" s="1" t="s">
        <v>1996</v>
      </c>
      <c r="F974" s="1" t="s">
        <v>7129</v>
      </c>
      <c r="G974" s="1" t="s">
        <v>7130</v>
      </c>
    </row>
    <row r="975" spans="1:7">
      <c r="A975" s="1">
        <v>974</v>
      </c>
      <c r="B975" s="1" t="s">
        <v>14276</v>
      </c>
      <c r="D975" s="1" t="s">
        <v>7128</v>
      </c>
      <c r="E975" s="1" t="s">
        <v>1993</v>
      </c>
      <c r="F975" s="1" t="s">
        <v>7132</v>
      </c>
      <c r="G975" s="1" t="s">
        <v>7133</v>
      </c>
    </row>
    <row r="976" spans="1:7">
      <c r="A976" s="1">
        <v>975</v>
      </c>
      <c r="B976" s="1" t="s">
        <v>14277</v>
      </c>
      <c r="D976" s="1" t="s">
        <v>7128</v>
      </c>
      <c r="E976" s="1" t="s">
        <v>1992</v>
      </c>
      <c r="F976" s="1" t="s">
        <v>7135</v>
      </c>
      <c r="G976" s="1" t="s">
        <v>7136</v>
      </c>
    </row>
    <row r="977" spans="1:7">
      <c r="A977" s="1">
        <v>976</v>
      </c>
      <c r="B977" s="1" t="s">
        <v>14278</v>
      </c>
      <c r="D977" s="1" t="s">
        <v>7128</v>
      </c>
      <c r="E977" s="1" t="s">
        <v>7158</v>
      </c>
      <c r="F977" s="1" t="s">
        <v>7159</v>
      </c>
      <c r="G977" s="1" t="s">
        <v>7160</v>
      </c>
    </row>
    <row r="978" spans="1:7">
      <c r="A978" s="1">
        <v>977</v>
      </c>
      <c r="B978" s="1" t="s">
        <v>14279</v>
      </c>
      <c r="D978" s="1" t="s">
        <v>7128</v>
      </c>
      <c r="E978" s="1" t="s">
        <v>7154</v>
      </c>
      <c r="F978" s="1" t="s">
        <v>7155</v>
      </c>
      <c r="G978" s="1" t="s">
        <v>7156</v>
      </c>
    </row>
    <row r="979" spans="1:7">
      <c r="A979" s="1">
        <v>978</v>
      </c>
      <c r="B979" s="1" t="s">
        <v>14280</v>
      </c>
      <c r="D979" s="1" t="s">
        <v>7128</v>
      </c>
      <c r="E979" s="1" t="s">
        <v>7150</v>
      </c>
      <c r="F979" s="1" t="s">
        <v>7151</v>
      </c>
      <c r="G979" s="1" t="s">
        <v>7152</v>
      </c>
    </row>
    <row r="980" spans="1:7">
      <c r="A980" s="1">
        <v>979</v>
      </c>
      <c r="B980" s="1" t="s">
        <v>14281</v>
      </c>
      <c r="D980" s="1" t="s">
        <v>7162</v>
      </c>
      <c r="E980" s="1" t="s">
        <v>7170</v>
      </c>
      <c r="F980" s="1" t="s">
        <v>7171</v>
      </c>
      <c r="G980" s="1" t="s">
        <v>7172</v>
      </c>
    </row>
    <row r="981" spans="1:7">
      <c r="A981" s="1">
        <v>980</v>
      </c>
      <c r="B981" s="1" t="s">
        <v>14282</v>
      </c>
      <c r="D981" s="1" t="s">
        <v>7162</v>
      </c>
      <c r="E981" s="1" t="s">
        <v>7166</v>
      </c>
      <c r="F981" s="1" t="s">
        <v>7167</v>
      </c>
      <c r="G981" s="1" t="s">
        <v>7168</v>
      </c>
    </row>
    <row r="982" spans="1:7">
      <c r="A982" s="1">
        <v>981</v>
      </c>
      <c r="B982" s="1" t="s">
        <v>14283</v>
      </c>
      <c r="D982" s="1" t="s">
        <v>7162</v>
      </c>
      <c r="E982" s="1" t="s">
        <v>7174</v>
      </c>
      <c r="F982" s="1" t="s">
        <v>7175</v>
      </c>
      <c r="G982" s="1" t="s">
        <v>7176</v>
      </c>
    </row>
    <row r="983" spans="1:7">
      <c r="A983" s="1">
        <v>982</v>
      </c>
      <c r="B983" s="1" t="s">
        <v>14284</v>
      </c>
      <c r="D983" s="1" t="s">
        <v>7162</v>
      </c>
      <c r="E983" s="1" t="s">
        <v>3901</v>
      </c>
      <c r="F983" s="1" t="s">
        <v>7163</v>
      </c>
      <c r="G983" s="1" t="s">
        <v>7164</v>
      </c>
    </row>
    <row r="984" spans="1:7">
      <c r="A984" s="1">
        <v>983</v>
      </c>
      <c r="B984" s="1" t="s">
        <v>14285</v>
      </c>
      <c r="D984" s="1" t="s">
        <v>7162</v>
      </c>
      <c r="E984" s="1" t="s">
        <v>7192</v>
      </c>
      <c r="F984" s="1" t="s">
        <v>7193</v>
      </c>
      <c r="G984" s="1" t="s">
        <v>7194</v>
      </c>
    </row>
    <row r="985" spans="1:7">
      <c r="A985" s="1">
        <v>984</v>
      </c>
      <c r="B985" s="1" t="s">
        <v>14286</v>
      </c>
      <c r="D985" s="1" t="s">
        <v>7162</v>
      </c>
      <c r="E985" s="1" t="s">
        <v>7188</v>
      </c>
      <c r="F985" s="1" t="s">
        <v>7189</v>
      </c>
      <c r="G985" s="1" t="s">
        <v>7190</v>
      </c>
    </row>
    <row r="986" spans="1:7">
      <c r="A986" s="1">
        <v>985</v>
      </c>
      <c r="B986" s="1" t="s">
        <v>14287</v>
      </c>
      <c r="D986" s="1" t="s">
        <v>7162</v>
      </c>
      <c r="E986" s="1" t="s">
        <v>3904</v>
      </c>
      <c r="F986" s="1" t="s">
        <v>7178</v>
      </c>
      <c r="G986" s="1" t="s">
        <v>7179</v>
      </c>
    </row>
    <row r="987" spans="1:7">
      <c r="A987" s="1">
        <v>986</v>
      </c>
      <c r="B987" s="1" t="s">
        <v>14288</v>
      </c>
      <c r="D987" s="1" t="s">
        <v>7162</v>
      </c>
      <c r="E987" s="1" t="s">
        <v>3905</v>
      </c>
      <c r="F987" s="1" t="s">
        <v>7181</v>
      </c>
      <c r="G987" s="1" t="s">
        <v>7182</v>
      </c>
    </row>
    <row r="988" spans="1:7">
      <c r="A988" s="1">
        <v>987</v>
      </c>
      <c r="B988" s="1" t="s">
        <v>14289</v>
      </c>
      <c r="D988" s="1" t="s">
        <v>7162</v>
      </c>
      <c r="E988" s="1" t="s">
        <v>7184</v>
      </c>
      <c r="F988" s="1" t="s">
        <v>7185</v>
      </c>
      <c r="G988" s="1" t="s">
        <v>7186</v>
      </c>
    </row>
    <row r="989" spans="1:7">
      <c r="A989" s="1">
        <v>988</v>
      </c>
      <c r="B989" s="1" t="s">
        <v>14290</v>
      </c>
      <c r="D989" s="1" t="s">
        <v>7196</v>
      </c>
      <c r="E989" s="1" t="s">
        <v>3258</v>
      </c>
      <c r="F989" s="1" t="s">
        <v>7206</v>
      </c>
      <c r="G989" s="1" t="s">
        <v>7207</v>
      </c>
    </row>
    <row r="990" spans="1:7">
      <c r="A990" s="1">
        <v>989</v>
      </c>
      <c r="B990" s="1" t="s">
        <v>14291</v>
      </c>
      <c r="D990" s="1" t="s">
        <v>7196</v>
      </c>
      <c r="E990" s="1" t="s">
        <v>3255</v>
      </c>
      <c r="F990" s="1" t="s">
        <v>7203</v>
      </c>
      <c r="G990" s="1" t="s">
        <v>7204</v>
      </c>
    </row>
    <row r="991" spans="1:7">
      <c r="A991" s="1">
        <v>990</v>
      </c>
      <c r="B991" s="1" t="s">
        <v>14292</v>
      </c>
      <c r="D991" s="1" t="s">
        <v>7196</v>
      </c>
      <c r="E991" s="1" t="s">
        <v>3256</v>
      </c>
      <c r="F991" s="1" t="s">
        <v>7209</v>
      </c>
      <c r="G991" s="1" t="s">
        <v>7210</v>
      </c>
    </row>
    <row r="992" spans="1:7">
      <c r="A992" s="1">
        <v>991</v>
      </c>
      <c r="B992" s="1" t="s">
        <v>14293</v>
      </c>
      <c r="D992" s="1" t="s">
        <v>7196</v>
      </c>
      <c r="E992" s="1" t="s">
        <v>3257</v>
      </c>
      <c r="F992" s="1" t="s">
        <v>7200</v>
      </c>
      <c r="G992" s="1" t="s">
        <v>7201</v>
      </c>
    </row>
    <row r="993" spans="1:7">
      <c r="A993" s="1">
        <v>992</v>
      </c>
      <c r="B993" s="1" t="s">
        <v>14294</v>
      </c>
      <c r="D993" s="1" t="s">
        <v>7196</v>
      </c>
      <c r="E993" s="1" t="s">
        <v>3968</v>
      </c>
      <c r="F993" s="1" t="s">
        <v>7197</v>
      </c>
      <c r="G993" s="1" t="s">
        <v>7198</v>
      </c>
    </row>
    <row r="994" spans="1:7">
      <c r="A994" s="1">
        <v>993</v>
      </c>
      <c r="B994" s="1" t="s">
        <v>14295</v>
      </c>
      <c r="D994" s="1" t="s">
        <v>7196</v>
      </c>
      <c r="E994" s="1" t="s">
        <v>7212</v>
      </c>
      <c r="F994" s="1" t="s">
        <v>7213</v>
      </c>
      <c r="G994" s="1" t="s">
        <v>7214</v>
      </c>
    </row>
    <row r="995" spans="1:7">
      <c r="A995" s="1">
        <v>994</v>
      </c>
      <c r="B995" s="1" t="s">
        <v>14296</v>
      </c>
      <c r="D995" s="1" t="s">
        <v>7216</v>
      </c>
      <c r="E995" s="1" t="s">
        <v>6187</v>
      </c>
      <c r="F995" s="1" t="s">
        <v>14297</v>
      </c>
      <c r="G995" s="1" t="s">
        <v>14298</v>
      </c>
    </row>
    <row r="996" spans="1:7">
      <c r="A996" s="1">
        <v>995</v>
      </c>
      <c r="B996" s="1" t="s">
        <v>14299</v>
      </c>
      <c r="D996" s="1" t="s">
        <v>7216</v>
      </c>
      <c r="E996" s="1" t="s">
        <v>6171</v>
      </c>
      <c r="F996" s="1" t="s">
        <v>14300</v>
      </c>
      <c r="G996" s="1" t="s">
        <v>14301</v>
      </c>
    </row>
    <row r="997" spans="1:7">
      <c r="A997" s="1">
        <v>996</v>
      </c>
      <c r="B997" s="1" t="s">
        <v>14302</v>
      </c>
      <c r="D997" s="1" t="s">
        <v>7216</v>
      </c>
      <c r="E997" s="1" t="s">
        <v>6179</v>
      </c>
      <c r="F997" s="1" t="s">
        <v>14303</v>
      </c>
      <c r="G997" s="1" t="s">
        <v>14304</v>
      </c>
    </row>
    <row r="998" spans="1:7">
      <c r="A998" s="1">
        <v>997</v>
      </c>
      <c r="B998" s="1" t="s">
        <v>14305</v>
      </c>
      <c r="D998" s="1" t="s">
        <v>7216</v>
      </c>
      <c r="E998" s="1" t="s">
        <v>6199</v>
      </c>
      <c r="F998" s="1" t="s">
        <v>14306</v>
      </c>
      <c r="G998" s="1" t="s">
        <v>14307</v>
      </c>
    </row>
    <row r="999" spans="1:7">
      <c r="A999" s="1">
        <v>998</v>
      </c>
      <c r="B999" s="1" t="s">
        <v>14308</v>
      </c>
      <c r="D999" s="1" t="s">
        <v>7216</v>
      </c>
      <c r="E999" s="1" t="s">
        <v>6207</v>
      </c>
      <c r="F999" s="1" t="s">
        <v>14309</v>
      </c>
      <c r="G999" s="1" t="s">
        <v>14310</v>
      </c>
    </row>
    <row r="1000" spans="1:7">
      <c r="A1000" s="1">
        <v>999</v>
      </c>
      <c r="B1000" s="1" t="s">
        <v>14311</v>
      </c>
      <c r="D1000" s="1" t="s">
        <v>7237</v>
      </c>
      <c r="E1000" s="1" t="s">
        <v>14312</v>
      </c>
      <c r="F1000" s="1" t="s">
        <v>14313</v>
      </c>
      <c r="G1000" s="1" t="s">
        <v>14314</v>
      </c>
    </row>
    <row r="1001" spans="1:7">
      <c r="A1001" s="1">
        <v>1000</v>
      </c>
      <c r="B1001" s="1" t="s">
        <v>14315</v>
      </c>
      <c r="D1001" s="1" t="s">
        <v>7237</v>
      </c>
      <c r="E1001" s="1" t="s">
        <v>14316</v>
      </c>
      <c r="F1001" s="1" t="s">
        <v>14317</v>
      </c>
      <c r="G1001" s="1" t="s">
        <v>14318</v>
      </c>
    </row>
    <row r="1002" spans="1:7">
      <c r="A1002" s="1">
        <v>1001</v>
      </c>
      <c r="B1002" s="1" t="s">
        <v>14319</v>
      </c>
      <c r="D1002" s="1" t="s">
        <v>7237</v>
      </c>
      <c r="E1002" s="1" t="s">
        <v>14320</v>
      </c>
      <c r="F1002" s="1" t="s">
        <v>14321</v>
      </c>
      <c r="G1002" s="1" t="s">
        <v>14322</v>
      </c>
    </row>
    <row r="1003" spans="1:7">
      <c r="A1003" s="1">
        <v>1002</v>
      </c>
      <c r="B1003" s="1" t="s">
        <v>14323</v>
      </c>
      <c r="D1003" s="1" t="s">
        <v>7237</v>
      </c>
      <c r="E1003" s="1" t="s">
        <v>14324</v>
      </c>
      <c r="F1003" s="1" t="s">
        <v>14325</v>
      </c>
      <c r="G1003" s="1" t="s">
        <v>14326</v>
      </c>
    </row>
    <row r="1004" spans="1:7">
      <c r="A1004" s="1">
        <v>1003</v>
      </c>
      <c r="B1004" s="1" t="s">
        <v>14327</v>
      </c>
      <c r="D1004" s="1" t="s">
        <v>7237</v>
      </c>
      <c r="E1004" s="1" t="s">
        <v>14328</v>
      </c>
      <c r="F1004" s="1" t="s">
        <v>14329</v>
      </c>
      <c r="G1004" s="1" t="s">
        <v>14330</v>
      </c>
    </row>
    <row r="1005" spans="1:7">
      <c r="A1005" s="1">
        <v>1004</v>
      </c>
      <c r="B1005" s="1" t="s">
        <v>14331</v>
      </c>
      <c r="D1005" s="1" t="s">
        <v>7248</v>
      </c>
      <c r="E1005" s="1" t="s">
        <v>14332</v>
      </c>
      <c r="F1005" s="1" t="s">
        <v>7250</v>
      </c>
      <c r="G1005" s="1" t="s">
        <v>7251</v>
      </c>
    </row>
    <row r="1006" spans="1:7">
      <c r="A1006" s="1">
        <v>1005</v>
      </c>
      <c r="B1006" s="1" t="s">
        <v>14333</v>
      </c>
      <c r="D1006" s="1" t="s">
        <v>7248</v>
      </c>
      <c r="E1006" s="1" t="s">
        <v>14334</v>
      </c>
      <c r="F1006" s="1" t="s">
        <v>7254</v>
      </c>
      <c r="G1006" s="1" t="s">
        <v>7255</v>
      </c>
    </row>
    <row r="1007" spans="1:7">
      <c r="A1007" s="1">
        <v>1006</v>
      </c>
      <c r="B1007" s="1" t="s">
        <v>14335</v>
      </c>
      <c r="D1007" s="1" t="s">
        <v>7257</v>
      </c>
      <c r="E1007" s="1" t="s">
        <v>2940</v>
      </c>
      <c r="F1007" s="1" t="s">
        <v>7258</v>
      </c>
      <c r="G1007" s="1" t="s">
        <v>7259</v>
      </c>
    </row>
    <row r="1008" spans="1:7">
      <c r="A1008" s="1">
        <v>1007</v>
      </c>
      <c r="B1008" s="1" t="s">
        <v>14336</v>
      </c>
      <c r="D1008" s="1" t="s">
        <v>7257</v>
      </c>
      <c r="E1008" s="1" t="s">
        <v>2952</v>
      </c>
      <c r="F1008" s="1" t="s">
        <v>7274</v>
      </c>
      <c r="G1008" s="1" t="s">
        <v>7275</v>
      </c>
    </row>
    <row r="1009" spans="1:7">
      <c r="A1009" s="1">
        <v>1008</v>
      </c>
      <c r="B1009" s="1" t="s">
        <v>14337</v>
      </c>
      <c r="D1009" s="1" t="s">
        <v>7257</v>
      </c>
      <c r="E1009" s="1" t="s">
        <v>2943</v>
      </c>
      <c r="F1009" s="1" t="s">
        <v>7271</v>
      </c>
      <c r="G1009" s="1" t="s">
        <v>7272</v>
      </c>
    </row>
    <row r="1010" spans="1:7">
      <c r="A1010" s="1">
        <v>1009</v>
      </c>
      <c r="B1010" s="1" t="s">
        <v>14338</v>
      </c>
      <c r="D1010" s="1" t="s">
        <v>7257</v>
      </c>
      <c r="E1010" s="1" t="s">
        <v>2946</v>
      </c>
      <c r="F1010" s="1" t="s">
        <v>7261</v>
      </c>
      <c r="G1010" s="1" t="s">
        <v>7262</v>
      </c>
    </row>
    <row r="1011" spans="1:7">
      <c r="A1011" s="1">
        <v>1010</v>
      </c>
      <c r="B1011" s="1" t="s">
        <v>14339</v>
      </c>
      <c r="D1011" s="1" t="s">
        <v>7257</v>
      </c>
      <c r="E1011" s="1" t="s">
        <v>2949</v>
      </c>
      <c r="F1011" s="1" t="s">
        <v>7264</v>
      </c>
      <c r="G1011" s="1" t="s">
        <v>7265</v>
      </c>
    </row>
    <row r="1012" spans="1:7">
      <c r="A1012" s="1">
        <v>1011</v>
      </c>
      <c r="B1012" s="1" t="s">
        <v>14340</v>
      </c>
      <c r="D1012" s="1" t="s">
        <v>7257</v>
      </c>
      <c r="E1012" s="1" t="s">
        <v>7267</v>
      </c>
      <c r="F1012" s="1" t="s">
        <v>7268</v>
      </c>
      <c r="G1012" s="1" t="s">
        <v>7269</v>
      </c>
    </row>
    <row r="1013" spans="1:7">
      <c r="A1013" s="1">
        <v>1012</v>
      </c>
      <c r="B1013" s="1" t="s">
        <v>14341</v>
      </c>
      <c r="D1013" s="1" t="s">
        <v>7277</v>
      </c>
      <c r="E1013" s="1" t="s">
        <v>7278</v>
      </c>
      <c r="F1013" s="1" t="s">
        <v>7279</v>
      </c>
      <c r="G1013" s="1" t="s">
        <v>7280</v>
      </c>
    </row>
    <row r="1014" spans="1:7">
      <c r="A1014" s="1">
        <v>1013</v>
      </c>
      <c r="B1014" s="1" t="s">
        <v>14342</v>
      </c>
      <c r="D1014" s="1" t="s">
        <v>7277</v>
      </c>
      <c r="E1014" s="1" t="s">
        <v>7298</v>
      </c>
      <c r="F1014" s="1" t="s">
        <v>7299</v>
      </c>
      <c r="G1014" s="1" t="s">
        <v>7300</v>
      </c>
    </row>
    <row r="1015" spans="1:7">
      <c r="A1015" s="1">
        <v>1014</v>
      </c>
      <c r="B1015" s="1" t="s">
        <v>14343</v>
      </c>
      <c r="D1015" s="1" t="s">
        <v>7277</v>
      </c>
      <c r="E1015" s="1" t="s">
        <v>7294</v>
      </c>
      <c r="F1015" s="1" t="s">
        <v>7295</v>
      </c>
      <c r="G1015" s="1" t="s">
        <v>7296</v>
      </c>
    </row>
    <row r="1016" spans="1:7">
      <c r="A1016" s="1">
        <v>1015</v>
      </c>
      <c r="B1016" s="1" t="s">
        <v>14344</v>
      </c>
      <c r="D1016" s="1" t="s">
        <v>7277</v>
      </c>
      <c r="E1016" s="1" t="s">
        <v>7282</v>
      </c>
      <c r="F1016" s="1" t="s">
        <v>7283</v>
      </c>
      <c r="G1016" s="1" t="s">
        <v>7284</v>
      </c>
    </row>
    <row r="1017" spans="1:7">
      <c r="A1017" s="1">
        <v>1016</v>
      </c>
      <c r="B1017" s="1" t="s">
        <v>14345</v>
      </c>
      <c r="D1017" s="1" t="s">
        <v>7277</v>
      </c>
      <c r="E1017" s="1" t="s">
        <v>7286</v>
      </c>
      <c r="F1017" s="1" t="s">
        <v>7287</v>
      </c>
      <c r="G1017" s="1" t="s">
        <v>7288</v>
      </c>
    </row>
    <row r="1018" spans="1:7">
      <c r="A1018" s="1">
        <v>1017</v>
      </c>
      <c r="B1018" s="1" t="s">
        <v>14346</v>
      </c>
      <c r="D1018" s="1" t="s">
        <v>7277</v>
      </c>
      <c r="E1018" s="1" t="s">
        <v>7290</v>
      </c>
      <c r="F1018" s="1" t="s">
        <v>7291</v>
      </c>
      <c r="G1018" s="1" t="s">
        <v>7292</v>
      </c>
    </row>
    <row r="1019" spans="1:7">
      <c r="A1019" s="1">
        <v>1018</v>
      </c>
      <c r="B1019" s="1" t="s">
        <v>14347</v>
      </c>
      <c r="D1019" s="1" t="s">
        <v>7302</v>
      </c>
      <c r="E1019" s="1" t="s">
        <v>7303</v>
      </c>
      <c r="F1019" s="1" t="s">
        <v>7304</v>
      </c>
      <c r="G1019" s="1" t="s">
        <v>7305</v>
      </c>
    </row>
    <row r="1020" spans="1:7">
      <c r="A1020" s="1">
        <v>1019</v>
      </c>
      <c r="B1020" s="1" t="s">
        <v>14348</v>
      </c>
      <c r="D1020" s="1" t="s">
        <v>7302</v>
      </c>
      <c r="E1020" s="1" t="s">
        <v>3042</v>
      </c>
      <c r="F1020" s="1" t="s">
        <v>7321</v>
      </c>
      <c r="G1020" s="1" t="s">
        <v>7322</v>
      </c>
    </row>
    <row r="1021" spans="1:7">
      <c r="A1021" s="1">
        <v>1020</v>
      </c>
      <c r="B1021" s="1" t="s">
        <v>14349</v>
      </c>
      <c r="D1021" s="1" t="s">
        <v>7302</v>
      </c>
      <c r="E1021" s="1" t="s">
        <v>7317</v>
      </c>
      <c r="F1021" s="1" t="s">
        <v>7318</v>
      </c>
      <c r="G1021" s="1" t="s">
        <v>7319</v>
      </c>
    </row>
    <row r="1022" spans="1:7">
      <c r="A1022" s="1">
        <v>1021</v>
      </c>
      <c r="B1022" s="1" t="s">
        <v>14350</v>
      </c>
      <c r="D1022" s="1" t="s">
        <v>7302</v>
      </c>
      <c r="E1022" s="1" t="s">
        <v>7307</v>
      </c>
      <c r="F1022" s="1" t="s">
        <v>7308</v>
      </c>
      <c r="G1022" s="1" t="s">
        <v>7309</v>
      </c>
    </row>
    <row r="1023" spans="1:7">
      <c r="A1023" s="1">
        <v>1022</v>
      </c>
      <c r="B1023" s="1" t="s">
        <v>14351</v>
      </c>
      <c r="D1023" s="1" t="s">
        <v>7302</v>
      </c>
      <c r="E1023" s="1" t="s">
        <v>3039</v>
      </c>
      <c r="F1023" s="1" t="s">
        <v>7311</v>
      </c>
      <c r="G1023" s="1" t="s">
        <v>7312</v>
      </c>
    </row>
    <row r="1024" spans="1:7">
      <c r="A1024" s="1">
        <v>1023</v>
      </c>
      <c r="B1024" s="1" t="s">
        <v>14352</v>
      </c>
      <c r="D1024" s="1" t="s">
        <v>7302</v>
      </c>
      <c r="E1024" s="1" t="s">
        <v>3045</v>
      </c>
      <c r="F1024" s="1" t="s">
        <v>7314</v>
      </c>
      <c r="G1024" s="1" t="s">
        <v>7315</v>
      </c>
    </row>
    <row r="1025" spans="1:7">
      <c r="A1025" s="1">
        <v>1024</v>
      </c>
      <c r="B1025" s="1" t="s">
        <v>14353</v>
      </c>
      <c r="D1025" s="1" t="s">
        <v>7324</v>
      </c>
      <c r="E1025" s="1" t="s">
        <v>7325</v>
      </c>
      <c r="F1025" s="1" t="s">
        <v>7326</v>
      </c>
      <c r="G1025" s="1" t="s">
        <v>7327</v>
      </c>
    </row>
    <row r="1026" spans="1:7">
      <c r="A1026" s="1">
        <v>1025</v>
      </c>
      <c r="B1026" s="1" t="s">
        <v>14354</v>
      </c>
      <c r="D1026" s="1" t="s">
        <v>7324</v>
      </c>
      <c r="E1026" s="1" t="s">
        <v>7345</v>
      </c>
      <c r="F1026" s="1" t="s">
        <v>7346</v>
      </c>
      <c r="G1026" s="1" t="s">
        <v>7347</v>
      </c>
    </row>
    <row r="1027" spans="1:7">
      <c r="A1027" s="1">
        <v>1026</v>
      </c>
      <c r="B1027" s="1" t="s">
        <v>14355</v>
      </c>
      <c r="D1027" s="1" t="s">
        <v>7324</v>
      </c>
      <c r="E1027" s="1" t="s">
        <v>7341</v>
      </c>
      <c r="F1027" s="1" t="s">
        <v>7342</v>
      </c>
      <c r="G1027" s="1" t="s">
        <v>7343</v>
      </c>
    </row>
    <row r="1028" spans="1:7">
      <c r="A1028" s="1">
        <v>1027</v>
      </c>
      <c r="B1028" s="1" t="s">
        <v>14356</v>
      </c>
      <c r="D1028" s="1" t="s">
        <v>7324</v>
      </c>
      <c r="E1028" s="1" t="s">
        <v>7329</v>
      </c>
      <c r="F1028" s="1" t="s">
        <v>7330</v>
      </c>
      <c r="G1028" s="1" t="s">
        <v>7331</v>
      </c>
    </row>
    <row r="1029" spans="1:7">
      <c r="A1029" s="1">
        <v>1028</v>
      </c>
      <c r="B1029" s="1" t="s">
        <v>14357</v>
      </c>
      <c r="D1029" s="1" t="s">
        <v>7324</v>
      </c>
      <c r="E1029" s="1" t="s">
        <v>7333</v>
      </c>
      <c r="F1029" s="1" t="s">
        <v>7334</v>
      </c>
      <c r="G1029" s="1" t="s">
        <v>7335</v>
      </c>
    </row>
    <row r="1030" spans="1:7">
      <c r="A1030" s="1">
        <v>1029</v>
      </c>
      <c r="B1030" s="1" t="s">
        <v>14358</v>
      </c>
      <c r="D1030" s="1" t="s">
        <v>7324</v>
      </c>
      <c r="E1030" s="1" t="s">
        <v>7337</v>
      </c>
      <c r="F1030" s="1" t="s">
        <v>7338</v>
      </c>
      <c r="G1030" s="1" t="s">
        <v>7339</v>
      </c>
    </row>
    <row r="1031" spans="1:7">
      <c r="A1031" s="1">
        <v>1030</v>
      </c>
      <c r="B1031" s="1" t="s">
        <v>14359</v>
      </c>
      <c r="D1031" s="1" t="s">
        <v>7349</v>
      </c>
      <c r="E1031" s="1" t="s">
        <v>14360</v>
      </c>
      <c r="F1031" s="1" t="s">
        <v>7351</v>
      </c>
      <c r="G1031" s="1" t="s">
        <v>7352</v>
      </c>
    </row>
    <row r="1032" spans="1:7">
      <c r="A1032" s="1">
        <v>1031</v>
      </c>
      <c r="B1032" s="1" t="s">
        <v>14361</v>
      </c>
      <c r="D1032" s="1" t="s">
        <v>7349</v>
      </c>
      <c r="E1032" s="1" t="s">
        <v>14362</v>
      </c>
      <c r="F1032" s="1" t="s">
        <v>7355</v>
      </c>
      <c r="G1032" s="1" t="s">
        <v>7356</v>
      </c>
    </row>
    <row r="1033" spans="1:7">
      <c r="A1033" s="1">
        <v>1032</v>
      </c>
      <c r="B1033" s="1" t="s">
        <v>14363</v>
      </c>
      <c r="D1033" s="1" t="s">
        <v>7358</v>
      </c>
      <c r="E1033" s="1" t="s">
        <v>14364</v>
      </c>
      <c r="F1033" s="1" t="s">
        <v>7360</v>
      </c>
      <c r="G1033" s="1" t="s">
        <v>7361</v>
      </c>
    </row>
    <row r="1034" spans="1:7">
      <c r="A1034" s="1">
        <v>1033</v>
      </c>
      <c r="B1034" s="1" t="s">
        <v>14365</v>
      </c>
      <c r="D1034" s="1" t="s">
        <v>7367</v>
      </c>
      <c r="E1034" s="1" t="s">
        <v>2460</v>
      </c>
      <c r="F1034" s="1" t="s">
        <v>14366</v>
      </c>
      <c r="G1034" s="1" t="s">
        <v>14367</v>
      </c>
    </row>
    <row r="1035" spans="1:7">
      <c r="A1035" s="1">
        <v>1034</v>
      </c>
      <c r="B1035" s="1" t="s">
        <v>14368</v>
      </c>
      <c r="D1035" s="1" t="s">
        <v>7367</v>
      </c>
      <c r="E1035" s="1" t="s">
        <v>2462</v>
      </c>
      <c r="F1035" s="1" t="s">
        <v>14369</v>
      </c>
      <c r="G1035" s="1" t="s">
        <v>14370</v>
      </c>
    </row>
    <row r="1036" spans="1:7">
      <c r="A1036" s="1">
        <v>1035</v>
      </c>
      <c r="B1036" s="1" t="s">
        <v>14371</v>
      </c>
      <c r="D1036" s="1" t="s">
        <v>7367</v>
      </c>
      <c r="E1036" s="1" t="s">
        <v>2464</v>
      </c>
      <c r="F1036" s="1" t="s">
        <v>14372</v>
      </c>
      <c r="G1036" s="1" t="s">
        <v>14373</v>
      </c>
    </row>
    <row r="1037" spans="1:7">
      <c r="A1037" s="1">
        <v>1036</v>
      </c>
      <c r="B1037" s="1" t="s">
        <v>14374</v>
      </c>
      <c r="D1037" s="1" t="s">
        <v>7367</v>
      </c>
      <c r="E1037" s="1" t="s">
        <v>2468</v>
      </c>
      <c r="F1037" s="1" t="s">
        <v>14375</v>
      </c>
      <c r="G1037" s="1" t="s">
        <v>14376</v>
      </c>
    </row>
    <row r="1038" spans="1:7">
      <c r="A1038" s="1">
        <v>1037</v>
      </c>
      <c r="B1038" s="1" t="s">
        <v>14377</v>
      </c>
      <c r="D1038" s="1" t="s">
        <v>7367</v>
      </c>
      <c r="E1038" s="1" t="s">
        <v>2466</v>
      </c>
      <c r="F1038" s="1" t="s">
        <v>14378</v>
      </c>
      <c r="G1038" s="1" t="s">
        <v>14379</v>
      </c>
    </row>
    <row r="1039" spans="1:7">
      <c r="A1039" s="1">
        <v>1038</v>
      </c>
      <c r="B1039" s="1" t="s">
        <v>14380</v>
      </c>
      <c r="D1039" s="1" t="s">
        <v>7367</v>
      </c>
      <c r="E1039" s="1" t="s">
        <v>2470</v>
      </c>
      <c r="F1039" s="1" t="s">
        <v>14381</v>
      </c>
      <c r="G1039" s="1" t="s">
        <v>14382</v>
      </c>
    </row>
    <row r="1040" spans="1:7">
      <c r="A1040" s="1">
        <v>1039</v>
      </c>
      <c r="B1040" s="1" t="s">
        <v>14383</v>
      </c>
      <c r="D1040" s="1" t="s">
        <v>7367</v>
      </c>
      <c r="E1040" s="1" t="s">
        <v>2474</v>
      </c>
      <c r="F1040" s="1" t="s">
        <v>14384</v>
      </c>
      <c r="G1040" s="1" t="s">
        <v>14385</v>
      </c>
    </row>
    <row r="1041" spans="1:7">
      <c r="A1041" s="1">
        <v>1040</v>
      </c>
      <c r="B1041" s="1" t="s">
        <v>14386</v>
      </c>
      <c r="D1041" s="1" t="s">
        <v>7367</v>
      </c>
      <c r="E1041" s="1" t="s">
        <v>2476</v>
      </c>
      <c r="F1041" s="1" t="s">
        <v>14387</v>
      </c>
      <c r="G1041" s="1" t="s">
        <v>14388</v>
      </c>
    </row>
    <row r="1042" spans="1:7">
      <c r="A1042" s="1">
        <v>1041</v>
      </c>
      <c r="B1042" s="1" t="s">
        <v>14389</v>
      </c>
      <c r="D1042" s="1" t="s">
        <v>7367</v>
      </c>
      <c r="E1042" s="1" t="s">
        <v>2480</v>
      </c>
      <c r="F1042" s="1" t="s">
        <v>14390</v>
      </c>
      <c r="G1042" s="1" t="s">
        <v>14391</v>
      </c>
    </row>
    <row r="1043" spans="1:7">
      <c r="A1043" s="1">
        <v>1042</v>
      </c>
      <c r="B1043" s="1" t="s">
        <v>14392</v>
      </c>
      <c r="D1043" s="1" t="s">
        <v>7367</v>
      </c>
      <c r="E1043" s="1" t="s">
        <v>2478</v>
      </c>
      <c r="F1043" s="1" t="s">
        <v>14393</v>
      </c>
      <c r="G1043" s="1" t="s">
        <v>14394</v>
      </c>
    </row>
    <row r="1044" spans="1:7">
      <c r="A1044" s="1">
        <v>1043</v>
      </c>
      <c r="B1044" s="1" t="s">
        <v>14395</v>
      </c>
      <c r="D1044" s="1" t="s">
        <v>7367</v>
      </c>
      <c r="E1044" s="1" t="s">
        <v>2482</v>
      </c>
      <c r="F1044" s="1" t="s">
        <v>14396</v>
      </c>
      <c r="G1044" s="1" t="s">
        <v>14397</v>
      </c>
    </row>
    <row r="1045" spans="1:7">
      <c r="A1045" s="1">
        <v>1044</v>
      </c>
      <c r="B1045" s="1" t="s">
        <v>14398</v>
      </c>
      <c r="D1045" s="1" t="s">
        <v>7367</v>
      </c>
      <c r="E1045" s="1" t="s">
        <v>2484</v>
      </c>
      <c r="F1045" s="1" t="s">
        <v>14399</v>
      </c>
      <c r="G1045" s="1" t="s">
        <v>14400</v>
      </c>
    </row>
    <row r="1046" spans="1:7">
      <c r="A1046" s="1">
        <v>1045</v>
      </c>
      <c r="B1046" s="1" t="s">
        <v>14401</v>
      </c>
      <c r="D1046" s="1" t="s">
        <v>7367</v>
      </c>
      <c r="E1046" s="1" t="s">
        <v>7377</v>
      </c>
      <c r="F1046" s="1" t="s">
        <v>14402</v>
      </c>
      <c r="G1046" s="1" t="s">
        <v>14403</v>
      </c>
    </row>
    <row r="1047" spans="1:7">
      <c r="A1047" s="1">
        <v>1046</v>
      </c>
      <c r="B1047" s="1" t="s">
        <v>14404</v>
      </c>
      <c r="D1047" s="1" t="s">
        <v>7367</v>
      </c>
      <c r="E1047" s="1" t="s">
        <v>7389</v>
      </c>
      <c r="F1047" s="1" t="s">
        <v>14405</v>
      </c>
      <c r="G1047" s="1" t="s">
        <v>14406</v>
      </c>
    </row>
    <row r="1048" spans="1:7">
      <c r="A1048" s="1">
        <v>1047</v>
      </c>
      <c r="B1048" s="1" t="s">
        <v>14407</v>
      </c>
      <c r="D1048" s="1" t="s">
        <v>7398</v>
      </c>
      <c r="E1048" s="1" t="s">
        <v>6559</v>
      </c>
      <c r="F1048" s="1" t="s">
        <v>14408</v>
      </c>
      <c r="G1048" s="1" t="s">
        <v>14409</v>
      </c>
    </row>
    <row r="1049" spans="1:7">
      <c r="A1049" s="1">
        <v>1048</v>
      </c>
      <c r="B1049" s="1" t="s">
        <v>14410</v>
      </c>
      <c r="D1049" s="1" t="s">
        <v>7398</v>
      </c>
      <c r="E1049" s="1" t="s">
        <v>6567</v>
      </c>
      <c r="F1049" s="1" t="s">
        <v>14411</v>
      </c>
      <c r="G1049" s="1" t="s">
        <v>14412</v>
      </c>
    </row>
    <row r="1050" spans="1:7">
      <c r="A1050" s="1">
        <v>1049</v>
      </c>
      <c r="B1050" s="1" t="s">
        <v>14413</v>
      </c>
      <c r="D1050" s="1" t="s">
        <v>7398</v>
      </c>
      <c r="E1050" s="1" t="s">
        <v>6563</v>
      </c>
      <c r="F1050" s="1" t="s">
        <v>14414</v>
      </c>
      <c r="G1050" s="1" t="s">
        <v>14415</v>
      </c>
    </row>
    <row r="1051" spans="1:7">
      <c r="A1051" s="1">
        <v>1050</v>
      </c>
      <c r="B1051" s="1" t="s">
        <v>14416</v>
      </c>
      <c r="D1051" s="1" t="s">
        <v>7411</v>
      </c>
      <c r="E1051" s="1" t="s">
        <v>14417</v>
      </c>
      <c r="F1051" s="1" t="s">
        <v>14418</v>
      </c>
      <c r="G1051" s="1" t="s">
        <v>14419</v>
      </c>
    </row>
    <row r="1052" spans="1:7">
      <c r="A1052" s="1">
        <v>1051</v>
      </c>
      <c r="B1052" s="1" t="s">
        <v>14420</v>
      </c>
      <c r="D1052" s="1" t="s">
        <v>7411</v>
      </c>
      <c r="E1052" s="1" t="s">
        <v>14421</v>
      </c>
      <c r="F1052" s="1" t="s">
        <v>14422</v>
      </c>
      <c r="G1052" s="1" t="s">
        <v>14423</v>
      </c>
    </row>
    <row r="1053" spans="1:7">
      <c r="A1053" s="1">
        <v>1052</v>
      </c>
      <c r="B1053" s="1" t="s">
        <v>14424</v>
      </c>
      <c r="D1053" s="1" t="s">
        <v>7411</v>
      </c>
      <c r="E1053" s="1" t="s">
        <v>7399</v>
      </c>
      <c r="F1053" s="1" t="s">
        <v>14425</v>
      </c>
      <c r="G1053" s="1" t="s">
        <v>14426</v>
      </c>
    </row>
    <row r="1054" spans="1:7">
      <c r="A1054" s="1">
        <v>1053</v>
      </c>
      <c r="B1054" s="1" t="s">
        <v>14427</v>
      </c>
      <c r="D1054" s="1" t="s">
        <v>7411</v>
      </c>
      <c r="E1054" s="1" t="s">
        <v>7407</v>
      </c>
      <c r="F1054" s="1" t="s">
        <v>14428</v>
      </c>
      <c r="G1054" s="1" t="s">
        <v>14429</v>
      </c>
    </row>
    <row r="1055" spans="1:7">
      <c r="A1055" s="1">
        <v>1054</v>
      </c>
      <c r="B1055" s="1" t="s">
        <v>14430</v>
      </c>
      <c r="D1055" s="1" t="s">
        <v>7411</v>
      </c>
      <c r="E1055" s="1" t="s">
        <v>7403</v>
      </c>
      <c r="F1055" s="1" t="s">
        <v>14431</v>
      </c>
      <c r="G1055" s="1" t="s">
        <v>14432</v>
      </c>
    </row>
    <row r="1056" spans="1:7">
      <c r="A1056" s="1">
        <v>1055</v>
      </c>
      <c r="B1056" s="1" t="s">
        <v>14433</v>
      </c>
      <c r="D1056" s="1" t="s">
        <v>7432</v>
      </c>
      <c r="E1056" s="1" t="s">
        <v>14434</v>
      </c>
      <c r="F1056" s="1" t="s">
        <v>7462</v>
      </c>
      <c r="G1056" s="1" t="s">
        <v>7463</v>
      </c>
    </row>
    <row r="1057" spans="1:7">
      <c r="A1057" s="1">
        <v>1056</v>
      </c>
      <c r="B1057" s="1" t="s">
        <v>14435</v>
      </c>
      <c r="D1057" s="1" t="s">
        <v>7432</v>
      </c>
      <c r="E1057" s="1" t="s">
        <v>14436</v>
      </c>
      <c r="F1057" s="1" t="s">
        <v>7466</v>
      </c>
      <c r="G1057" s="1" t="s">
        <v>7467</v>
      </c>
    </row>
    <row r="1058" spans="1:7">
      <c r="A1058" s="1">
        <v>1057</v>
      </c>
      <c r="B1058" s="1" t="s">
        <v>14437</v>
      </c>
      <c r="D1058" s="1" t="s">
        <v>7432</v>
      </c>
      <c r="E1058" s="1" t="s">
        <v>14438</v>
      </c>
      <c r="F1058" s="1" t="s">
        <v>7438</v>
      </c>
      <c r="G1058" s="1" t="s">
        <v>7439</v>
      </c>
    </row>
    <row r="1059" spans="1:7">
      <c r="A1059" s="1">
        <v>1058</v>
      </c>
      <c r="B1059" s="1" t="s">
        <v>14439</v>
      </c>
      <c r="D1059" s="1" t="s">
        <v>7432</v>
      </c>
      <c r="E1059" s="1" t="s">
        <v>14440</v>
      </c>
      <c r="F1059" s="1" t="s">
        <v>7442</v>
      </c>
      <c r="G1059" s="1" t="s">
        <v>7443</v>
      </c>
    </row>
    <row r="1060" spans="1:7">
      <c r="A1060" s="1">
        <v>1059</v>
      </c>
      <c r="B1060" s="1" t="s">
        <v>14441</v>
      </c>
      <c r="D1060" s="1" t="s">
        <v>7432</v>
      </c>
      <c r="E1060" s="1" t="s">
        <v>14442</v>
      </c>
      <c r="F1060" s="1" t="s">
        <v>7450</v>
      </c>
      <c r="G1060" s="1" t="s">
        <v>7451</v>
      </c>
    </row>
    <row r="1061" spans="1:7">
      <c r="A1061" s="1">
        <v>1060</v>
      </c>
      <c r="B1061" s="1" t="s">
        <v>14443</v>
      </c>
      <c r="D1061" s="1" t="s">
        <v>7432</v>
      </c>
      <c r="E1061" s="1" t="s">
        <v>14444</v>
      </c>
      <c r="F1061" s="1" t="s">
        <v>7434</v>
      </c>
      <c r="G1061" s="1" t="s">
        <v>7435</v>
      </c>
    </row>
    <row r="1062" spans="1:7">
      <c r="A1062" s="1">
        <v>1061</v>
      </c>
      <c r="B1062" s="1" t="s">
        <v>14445</v>
      </c>
      <c r="D1062" s="1" t="s">
        <v>7432</v>
      </c>
      <c r="E1062" s="1" t="s">
        <v>14446</v>
      </c>
      <c r="F1062" s="1" t="s">
        <v>7446</v>
      </c>
      <c r="G1062" s="1" t="s">
        <v>7447</v>
      </c>
    </row>
    <row r="1063" spans="1:7">
      <c r="A1063" s="1">
        <v>1062</v>
      </c>
      <c r="B1063" s="1" t="s">
        <v>14447</v>
      </c>
      <c r="D1063" s="1" t="s">
        <v>7432</v>
      </c>
      <c r="E1063" s="1" t="s">
        <v>14448</v>
      </c>
      <c r="F1063" s="1" t="s">
        <v>7454</v>
      </c>
      <c r="G1063" s="1" t="s">
        <v>7455</v>
      </c>
    </row>
    <row r="1064" spans="1:7">
      <c r="A1064" s="1">
        <v>1063</v>
      </c>
      <c r="B1064" s="1" t="s">
        <v>14449</v>
      </c>
      <c r="D1064" s="1" t="s">
        <v>7432</v>
      </c>
      <c r="E1064" s="1" t="s">
        <v>7359</v>
      </c>
      <c r="F1064" s="1" t="s">
        <v>7470</v>
      </c>
      <c r="G1064" s="1" t="s">
        <v>7471</v>
      </c>
    </row>
    <row r="1065" spans="1:7">
      <c r="A1065" s="1">
        <v>1064</v>
      </c>
      <c r="B1065" s="1" t="s">
        <v>14450</v>
      </c>
      <c r="D1065" s="1" t="s">
        <v>7432</v>
      </c>
      <c r="E1065" s="1" t="s">
        <v>14451</v>
      </c>
      <c r="F1065" s="1" t="s">
        <v>7458</v>
      </c>
      <c r="G1065" s="1" t="s">
        <v>7459</v>
      </c>
    </row>
    <row r="1066" spans="1:7">
      <c r="A1066" s="1">
        <v>1065</v>
      </c>
      <c r="B1066" s="1" t="s">
        <v>14452</v>
      </c>
      <c r="D1066" s="1" t="s">
        <v>7473</v>
      </c>
      <c r="E1066" s="1" t="s">
        <v>14453</v>
      </c>
      <c r="F1066" s="1" t="s">
        <v>7511</v>
      </c>
      <c r="G1066" s="1" t="s">
        <v>7512</v>
      </c>
    </row>
    <row r="1067" spans="1:7">
      <c r="A1067" s="1">
        <v>1066</v>
      </c>
      <c r="B1067" s="1" t="s">
        <v>14454</v>
      </c>
      <c r="D1067" s="1" t="s">
        <v>7473</v>
      </c>
      <c r="E1067" s="1" t="s">
        <v>14455</v>
      </c>
      <c r="F1067" s="1" t="s">
        <v>7515</v>
      </c>
      <c r="G1067" s="1" t="s">
        <v>7516</v>
      </c>
    </row>
    <row r="1068" spans="1:7">
      <c r="A1068" s="1">
        <v>1067</v>
      </c>
      <c r="B1068" s="1" t="s">
        <v>14456</v>
      </c>
      <c r="D1068" s="1" t="s">
        <v>7473</v>
      </c>
      <c r="E1068" s="1" t="s">
        <v>14457</v>
      </c>
      <c r="F1068" s="1" t="s">
        <v>7475</v>
      </c>
      <c r="G1068" s="1" t="s">
        <v>7476</v>
      </c>
    </row>
    <row r="1069" spans="1:7">
      <c r="A1069" s="1">
        <v>1068</v>
      </c>
      <c r="B1069" s="1" t="s">
        <v>14458</v>
      </c>
      <c r="D1069" s="1" t="s">
        <v>7473</v>
      </c>
      <c r="E1069" s="1" t="s">
        <v>14459</v>
      </c>
      <c r="F1069" s="1" t="s">
        <v>7479</v>
      </c>
      <c r="G1069" s="1" t="s">
        <v>7480</v>
      </c>
    </row>
    <row r="1070" spans="1:7">
      <c r="A1070" s="1">
        <v>1069</v>
      </c>
      <c r="B1070" s="1" t="s">
        <v>14460</v>
      </c>
      <c r="D1070" s="1" t="s">
        <v>7473</v>
      </c>
      <c r="E1070" s="1" t="s">
        <v>14461</v>
      </c>
      <c r="F1070" s="1" t="s">
        <v>7499</v>
      </c>
      <c r="G1070" s="1" t="s">
        <v>7500</v>
      </c>
    </row>
    <row r="1071" spans="1:7">
      <c r="A1071" s="1">
        <v>1070</v>
      </c>
      <c r="B1071" s="1" t="s">
        <v>14462</v>
      </c>
      <c r="D1071" s="1" t="s">
        <v>7473</v>
      </c>
      <c r="E1071" s="1" t="s">
        <v>14463</v>
      </c>
      <c r="F1071" s="1" t="s">
        <v>7491</v>
      </c>
      <c r="G1071" s="1" t="s">
        <v>7492</v>
      </c>
    </row>
    <row r="1072" spans="1:7">
      <c r="A1072" s="1">
        <v>1071</v>
      </c>
      <c r="B1072" s="1" t="s">
        <v>14464</v>
      </c>
      <c r="D1072" s="1" t="s">
        <v>7473</v>
      </c>
      <c r="E1072" s="1" t="s">
        <v>14465</v>
      </c>
      <c r="F1072" s="1" t="s">
        <v>7507</v>
      </c>
      <c r="G1072" s="1" t="s">
        <v>7508</v>
      </c>
    </row>
    <row r="1073" spans="1:7">
      <c r="A1073" s="1">
        <v>1072</v>
      </c>
      <c r="B1073" s="1" t="s">
        <v>14466</v>
      </c>
      <c r="D1073" s="1" t="s">
        <v>7473</v>
      </c>
      <c r="E1073" s="1" t="s">
        <v>14467</v>
      </c>
      <c r="F1073" s="1" t="s">
        <v>7483</v>
      </c>
      <c r="G1073" s="1" t="s">
        <v>7484</v>
      </c>
    </row>
    <row r="1074" spans="1:7">
      <c r="A1074" s="1">
        <v>1073</v>
      </c>
      <c r="B1074" s="1" t="s">
        <v>14468</v>
      </c>
      <c r="D1074" s="1" t="s">
        <v>7473</v>
      </c>
      <c r="E1074" s="1" t="s">
        <v>14469</v>
      </c>
      <c r="F1074" s="1" t="s">
        <v>7495</v>
      </c>
      <c r="G1074" s="1" t="s">
        <v>7496</v>
      </c>
    </row>
    <row r="1075" spans="1:7">
      <c r="A1075" s="1">
        <v>1074</v>
      </c>
      <c r="B1075" s="1" t="s">
        <v>14470</v>
      </c>
      <c r="D1075" s="1" t="s">
        <v>7473</v>
      </c>
      <c r="E1075" s="1" t="s">
        <v>14471</v>
      </c>
      <c r="F1075" s="1" t="s">
        <v>7487</v>
      </c>
      <c r="G1075" s="1" t="s">
        <v>7488</v>
      </c>
    </row>
    <row r="1076" spans="1:7">
      <c r="A1076" s="1">
        <v>1075</v>
      </c>
      <c r="B1076" s="1" t="s">
        <v>14472</v>
      </c>
      <c r="D1076" s="1" t="s">
        <v>7473</v>
      </c>
      <c r="E1076" s="1" t="s">
        <v>14473</v>
      </c>
      <c r="F1076" s="1" t="s">
        <v>7503</v>
      </c>
      <c r="G1076" s="1" t="s">
        <v>7504</v>
      </c>
    </row>
    <row r="1077" spans="1:7">
      <c r="A1077" s="1">
        <v>1076</v>
      </c>
      <c r="B1077" s="1" t="s">
        <v>14474</v>
      </c>
      <c r="D1077" s="1" t="s">
        <v>7518</v>
      </c>
      <c r="E1077" s="1" t="s">
        <v>14475</v>
      </c>
      <c r="F1077" s="1" t="s">
        <v>7520</v>
      </c>
      <c r="G1077" s="1" t="s">
        <v>7521</v>
      </c>
    </row>
    <row r="1078" spans="1:7">
      <c r="A1078" s="1">
        <v>1077</v>
      </c>
      <c r="B1078" s="1" t="s">
        <v>14476</v>
      </c>
      <c r="D1078" s="1" t="s">
        <v>7518</v>
      </c>
      <c r="E1078" s="1" t="s">
        <v>14477</v>
      </c>
      <c r="F1078" s="1" t="s">
        <v>7524</v>
      </c>
      <c r="G1078" s="1" t="s">
        <v>7525</v>
      </c>
    </row>
    <row r="1079" spans="1:7">
      <c r="A1079" s="1">
        <v>1078</v>
      </c>
      <c r="B1079" s="1" t="s">
        <v>14478</v>
      </c>
      <c r="D1079" s="1" t="s">
        <v>7527</v>
      </c>
      <c r="E1079" s="1" t="s">
        <v>7528</v>
      </c>
      <c r="F1079" s="1" t="s">
        <v>14479</v>
      </c>
      <c r="G1079" s="1" t="s">
        <v>14480</v>
      </c>
    </row>
    <row r="1080" spans="1:7">
      <c r="A1080" s="1">
        <v>1079</v>
      </c>
      <c r="B1080" s="1" t="s">
        <v>14481</v>
      </c>
      <c r="D1080" s="1" t="s">
        <v>7527</v>
      </c>
      <c r="E1080" s="1" t="s">
        <v>2528</v>
      </c>
      <c r="F1080" s="1" t="s">
        <v>14482</v>
      </c>
      <c r="G1080" s="1" t="s">
        <v>14483</v>
      </c>
    </row>
    <row r="1081" spans="1:7">
      <c r="A1081" s="1">
        <v>1080</v>
      </c>
      <c r="B1081" s="1" t="s">
        <v>14484</v>
      </c>
      <c r="D1081" s="1" t="s">
        <v>7527</v>
      </c>
      <c r="E1081" s="1" t="s">
        <v>2530</v>
      </c>
      <c r="F1081" s="1" t="s">
        <v>14485</v>
      </c>
      <c r="G1081" s="1" t="s">
        <v>14486</v>
      </c>
    </row>
    <row r="1082" spans="1:7">
      <c r="A1082" s="1">
        <v>1081</v>
      </c>
      <c r="B1082" s="1" t="s">
        <v>14487</v>
      </c>
      <c r="D1082" s="1" t="s">
        <v>7527</v>
      </c>
      <c r="E1082" s="1" t="s">
        <v>2532</v>
      </c>
      <c r="F1082" s="1" t="s">
        <v>14488</v>
      </c>
      <c r="G1082" s="1" t="s">
        <v>14489</v>
      </c>
    </row>
    <row r="1083" spans="1:7">
      <c r="A1083" s="1">
        <v>1082</v>
      </c>
      <c r="B1083" s="1" t="s">
        <v>14490</v>
      </c>
      <c r="D1083" s="1" t="s">
        <v>7527</v>
      </c>
      <c r="E1083" s="1" t="s">
        <v>2534</v>
      </c>
      <c r="F1083" s="1" t="s">
        <v>14491</v>
      </c>
      <c r="G1083" s="1" t="s">
        <v>14492</v>
      </c>
    </row>
    <row r="1084" spans="1:7">
      <c r="A1084" s="1">
        <v>1083</v>
      </c>
      <c r="B1084" s="1" t="s">
        <v>14493</v>
      </c>
      <c r="D1084" s="1" t="s">
        <v>7527</v>
      </c>
      <c r="E1084" s="1" t="s">
        <v>2536</v>
      </c>
      <c r="F1084" s="1" t="s">
        <v>14494</v>
      </c>
      <c r="G1084" s="1" t="s">
        <v>14495</v>
      </c>
    </row>
    <row r="1085" spans="1:7">
      <c r="A1085" s="1">
        <v>1084</v>
      </c>
      <c r="B1085" s="1" t="s">
        <v>14496</v>
      </c>
      <c r="D1085" s="1" t="s">
        <v>7527</v>
      </c>
      <c r="E1085" s="1" t="s">
        <v>2538</v>
      </c>
      <c r="F1085" s="1" t="s">
        <v>14497</v>
      </c>
      <c r="G1085" s="1" t="s">
        <v>14498</v>
      </c>
    </row>
    <row r="1086" spans="1:7">
      <c r="A1086" s="1">
        <v>1085</v>
      </c>
      <c r="B1086" s="1" t="s">
        <v>14499</v>
      </c>
      <c r="D1086" s="1" t="s">
        <v>7527</v>
      </c>
      <c r="E1086" s="1" t="s">
        <v>7544</v>
      </c>
      <c r="F1086" s="1" t="s">
        <v>14500</v>
      </c>
      <c r="G1086" s="1" t="s">
        <v>14501</v>
      </c>
    </row>
    <row r="1087" spans="1:7">
      <c r="A1087" s="1">
        <v>1086</v>
      </c>
      <c r="B1087" s="1" t="s">
        <v>14502</v>
      </c>
      <c r="D1087" s="1" t="s">
        <v>7527</v>
      </c>
      <c r="E1087" s="1" t="s">
        <v>2540</v>
      </c>
      <c r="F1087" s="1" t="s">
        <v>14503</v>
      </c>
      <c r="G1087" s="1" t="s">
        <v>14504</v>
      </c>
    </row>
    <row r="1088" spans="1:7">
      <c r="A1088" s="1">
        <v>1087</v>
      </c>
      <c r="B1088" s="1" t="s">
        <v>14505</v>
      </c>
      <c r="D1088" s="1" t="s">
        <v>7557</v>
      </c>
      <c r="E1088" s="1" t="s">
        <v>7558</v>
      </c>
      <c r="F1088" s="1" t="s">
        <v>14506</v>
      </c>
      <c r="G1088" s="1" t="s">
        <v>14507</v>
      </c>
    </row>
    <row r="1089" spans="1:7">
      <c r="A1089" s="1">
        <v>1088</v>
      </c>
      <c r="B1089" s="1" t="s">
        <v>14508</v>
      </c>
      <c r="D1089" s="1" t="s">
        <v>7557</v>
      </c>
      <c r="E1089" s="1" t="s">
        <v>133</v>
      </c>
      <c r="F1089" s="1" t="s">
        <v>14509</v>
      </c>
      <c r="G1089" s="1" t="s">
        <v>14510</v>
      </c>
    </row>
    <row r="1090" spans="1:7">
      <c r="A1090" s="1">
        <v>1089</v>
      </c>
      <c r="B1090" s="1" t="s">
        <v>14511</v>
      </c>
      <c r="D1090" s="1" t="s">
        <v>7557</v>
      </c>
      <c r="E1090" s="1" t="s">
        <v>7565</v>
      </c>
      <c r="F1090" s="1" t="s">
        <v>14512</v>
      </c>
      <c r="G1090" s="1" t="s">
        <v>14513</v>
      </c>
    </row>
    <row r="1091" spans="1:7">
      <c r="A1091" s="1">
        <v>1090</v>
      </c>
      <c r="B1091" s="1" t="s">
        <v>14514</v>
      </c>
      <c r="D1091" s="1" t="s">
        <v>7557</v>
      </c>
      <c r="E1091" s="1" t="s">
        <v>7569</v>
      </c>
      <c r="F1091" s="1" t="s">
        <v>14515</v>
      </c>
      <c r="G1091" s="1" t="s">
        <v>14516</v>
      </c>
    </row>
    <row r="1092" spans="1:7">
      <c r="A1092" s="1">
        <v>1091</v>
      </c>
      <c r="B1092" s="1" t="s">
        <v>14517</v>
      </c>
      <c r="D1092" s="1" t="s">
        <v>7557</v>
      </c>
      <c r="E1092" s="1" t="s">
        <v>7573</v>
      </c>
      <c r="F1092" s="1" t="s">
        <v>14518</v>
      </c>
      <c r="G1092" s="1" t="s">
        <v>14519</v>
      </c>
    </row>
    <row r="1093" spans="1:7">
      <c r="A1093" s="1">
        <v>1092</v>
      </c>
      <c r="B1093" s="1" t="s">
        <v>14520</v>
      </c>
      <c r="D1093" s="1" t="s">
        <v>7557</v>
      </c>
      <c r="E1093" s="1" t="s">
        <v>7577</v>
      </c>
      <c r="F1093" s="1" t="s">
        <v>14521</v>
      </c>
      <c r="G1093" s="1" t="s">
        <v>14522</v>
      </c>
    </row>
    <row r="1094" spans="1:7">
      <c r="A1094" s="1">
        <v>1093</v>
      </c>
      <c r="B1094" s="1" t="s">
        <v>14523</v>
      </c>
      <c r="D1094" s="1" t="s">
        <v>7557</v>
      </c>
      <c r="E1094" s="1" t="s">
        <v>7581</v>
      </c>
      <c r="F1094" s="1" t="s">
        <v>14524</v>
      </c>
      <c r="G1094" s="1" t="s">
        <v>14525</v>
      </c>
    </row>
    <row r="1095" spans="1:7">
      <c r="A1095" s="1">
        <v>1094</v>
      </c>
      <c r="B1095" s="1" t="s">
        <v>14526</v>
      </c>
      <c r="D1095" s="1" t="s">
        <v>7585</v>
      </c>
      <c r="E1095" s="1" t="s">
        <v>7610</v>
      </c>
      <c r="F1095" s="1" t="s">
        <v>14527</v>
      </c>
      <c r="G1095" s="1" t="s">
        <v>14528</v>
      </c>
    </row>
    <row r="1096" spans="1:7">
      <c r="A1096" s="1">
        <v>1095</v>
      </c>
      <c r="B1096" s="1" t="s">
        <v>14529</v>
      </c>
      <c r="D1096" s="1" t="s">
        <v>7585</v>
      </c>
      <c r="E1096" s="1" t="s">
        <v>7590</v>
      </c>
      <c r="F1096" s="1" t="s">
        <v>14530</v>
      </c>
      <c r="G1096" s="1" t="s">
        <v>14531</v>
      </c>
    </row>
    <row r="1097" spans="1:7">
      <c r="A1097" s="1">
        <v>1096</v>
      </c>
      <c r="B1097" s="1" t="s">
        <v>14532</v>
      </c>
      <c r="D1097" s="1" t="s">
        <v>7585</v>
      </c>
      <c r="E1097" s="1" t="s">
        <v>7586</v>
      </c>
      <c r="F1097" s="1" t="s">
        <v>14533</v>
      </c>
      <c r="G1097" s="1" t="s">
        <v>14534</v>
      </c>
    </row>
    <row r="1098" spans="1:7">
      <c r="A1098" s="1">
        <v>1097</v>
      </c>
      <c r="B1098" s="1" t="s">
        <v>14535</v>
      </c>
      <c r="D1098" s="1" t="s">
        <v>7585</v>
      </c>
      <c r="E1098" s="1" t="s">
        <v>7594</v>
      </c>
      <c r="F1098" s="1" t="s">
        <v>14536</v>
      </c>
      <c r="G1098" s="1" t="s">
        <v>14537</v>
      </c>
    </row>
    <row r="1099" spans="1:7">
      <c r="A1099" s="1">
        <v>1098</v>
      </c>
      <c r="B1099" s="1" t="s">
        <v>14538</v>
      </c>
      <c r="D1099" s="1" t="s">
        <v>7585</v>
      </c>
      <c r="E1099" s="1" t="s">
        <v>7606</v>
      </c>
      <c r="F1099" s="1" t="s">
        <v>14539</v>
      </c>
      <c r="G1099" s="1" t="s">
        <v>14540</v>
      </c>
    </row>
    <row r="1100" spans="1:7">
      <c r="A1100" s="1">
        <v>1099</v>
      </c>
      <c r="B1100" s="1" t="s">
        <v>14541</v>
      </c>
      <c r="D1100" s="1" t="s">
        <v>7585</v>
      </c>
      <c r="E1100" s="1" t="s">
        <v>7602</v>
      </c>
      <c r="F1100" s="1" t="s">
        <v>14542</v>
      </c>
      <c r="G1100" s="1" t="s">
        <v>14543</v>
      </c>
    </row>
    <row r="1101" spans="1:7">
      <c r="A1101" s="1">
        <v>1100</v>
      </c>
      <c r="B1101" s="1" t="s">
        <v>14544</v>
      </c>
      <c r="D1101" s="1" t="s">
        <v>7585</v>
      </c>
      <c r="E1101" s="1" t="s">
        <v>7598</v>
      </c>
      <c r="F1101" s="1" t="s">
        <v>14545</v>
      </c>
      <c r="G1101" s="1" t="s">
        <v>14546</v>
      </c>
    </row>
    <row r="1102" spans="1:7">
      <c r="A1102" s="1">
        <v>1101</v>
      </c>
      <c r="B1102" s="1" t="s">
        <v>14547</v>
      </c>
      <c r="D1102" s="1" t="s">
        <v>7612</v>
      </c>
      <c r="E1102" s="1" t="s">
        <v>14548</v>
      </c>
      <c r="F1102" s="1" t="s">
        <v>7638</v>
      </c>
      <c r="G1102" s="1" t="s">
        <v>7639</v>
      </c>
    </row>
    <row r="1103" spans="1:7">
      <c r="A1103" s="1">
        <v>1102</v>
      </c>
      <c r="B1103" s="1" t="s">
        <v>14549</v>
      </c>
      <c r="D1103" s="1" t="s">
        <v>7612</v>
      </c>
      <c r="E1103" s="1" t="s">
        <v>14550</v>
      </c>
      <c r="F1103" s="1" t="s">
        <v>7618</v>
      </c>
      <c r="G1103" s="1" t="s">
        <v>7619</v>
      </c>
    </row>
    <row r="1104" spans="1:7">
      <c r="A1104" s="1">
        <v>1103</v>
      </c>
      <c r="B1104" s="1" t="s">
        <v>14551</v>
      </c>
      <c r="D1104" s="1" t="s">
        <v>7612</v>
      </c>
      <c r="E1104" s="1" t="s">
        <v>14552</v>
      </c>
      <c r="F1104" s="1" t="s">
        <v>7614</v>
      </c>
      <c r="G1104" s="1" t="s">
        <v>7615</v>
      </c>
    </row>
    <row r="1105" spans="1:7">
      <c r="A1105" s="1">
        <v>1104</v>
      </c>
      <c r="B1105" s="1" t="s">
        <v>14553</v>
      </c>
      <c r="D1105" s="1" t="s">
        <v>7612</v>
      </c>
      <c r="E1105" s="1" t="s">
        <v>14554</v>
      </c>
      <c r="F1105" s="1" t="s">
        <v>7622</v>
      </c>
      <c r="G1105" s="1" t="s">
        <v>7623</v>
      </c>
    </row>
    <row r="1106" spans="1:7">
      <c r="A1106" s="1">
        <v>1105</v>
      </c>
      <c r="B1106" s="1" t="s">
        <v>14555</v>
      </c>
      <c r="D1106" s="1" t="s">
        <v>7612</v>
      </c>
      <c r="E1106" s="1" t="s">
        <v>14556</v>
      </c>
      <c r="F1106" s="1" t="s">
        <v>7634</v>
      </c>
      <c r="G1106" s="1" t="s">
        <v>7635</v>
      </c>
    </row>
    <row r="1107" spans="1:7">
      <c r="A1107" s="1">
        <v>1106</v>
      </c>
      <c r="B1107" s="1" t="s">
        <v>14557</v>
      </c>
      <c r="D1107" s="1" t="s">
        <v>7612</v>
      </c>
      <c r="E1107" s="1" t="s">
        <v>14558</v>
      </c>
      <c r="F1107" s="1" t="s">
        <v>7630</v>
      </c>
      <c r="G1107" s="1" t="s">
        <v>7631</v>
      </c>
    </row>
    <row r="1108" spans="1:7">
      <c r="A1108" s="1">
        <v>1107</v>
      </c>
      <c r="B1108" s="1" t="s">
        <v>14559</v>
      </c>
      <c r="D1108" s="1" t="s">
        <v>7612</v>
      </c>
      <c r="E1108" s="1" t="s">
        <v>14560</v>
      </c>
      <c r="F1108" s="1" t="s">
        <v>7626</v>
      </c>
      <c r="G1108" s="1" t="s">
        <v>7627</v>
      </c>
    </row>
    <row r="1109" spans="1:7">
      <c r="A1109" s="1">
        <v>1108</v>
      </c>
      <c r="B1109" s="1" t="s">
        <v>14561</v>
      </c>
      <c r="D1109" s="1" t="s">
        <v>7641</v>
      </c>
      <c r="E1109" s="1" t="s">
        <v>7646</v>
      </c>
      <c r="F1109" s="1" t="s">
        <v>7647</v>
      </c>
      <c r="G1109" s="1" t="s">
        <v>7648</v>
      </c>
    </row>
    <row r="1110" spans="1:7">
      <c r="A1110" s="1">
        <v>1109</v>
      </c>
      <c r="B1110" s="1" t="s">
        <v>14562</v>
      </c>
      <c r="D1110" s="1" t="s">
        <v>7641</v>
      </c>
      <c r="E1110" s="1" t="s">
        <v>7642</v>
      </c>
      <c r="F1110" s="1" t="s">
        <v>7643</v>
      </c>
      <c r="G1110" s="1" t="s">
        <v>7644</v>
      </c>
    </row>
    <row r="1111" spans="1:7">
      <c r="A1111" s="1">
        <v>1110</v>
      </c>
      <c r="B1111" s="1" t="s">
        <v>14563</v>
      </c>
      <c r="D1111" s="1" t="s">
        <v>7641</v>
      </c>
      <c r="E1111" s="1" t="s">
        <v>7650</v>
      </c>
      <c r="F1111" s="1" t="s">
        <v>7651</v>
      </c>
      <c r="G1111" s="1" t="s">
        <v>7652</v>
      </c>
    </row>
    <row r="1112" spans="1:7">
      <c r="A1112" s="1">
        <v>1111</v>
      </c>
      <c r="B1112" s="1" t="s">
        <v>14564</v>
      </c>
      <c r="D1112" s="1" t="s">
        <v>7641</v>
      </c>
      <c r="E1112" s="1" t="s">
        <v>7662</v>
      </c>
      <c r="F1112" s="1" t="s">
        <v>7663</v>
      </c>
      <c r="G1112" s="1" t="s">
        <v>7664</v>
      </c>
    </row>
    <row r="1113" spans="1:7">
      <c r="A1113" s="1">
        <v>1112</v>
      </c>
      <c r="B1113" s="1" t="s">
        <v>14565</v>
      </c>
      <c r="D1113" s="1" t="s">
        <v>7641</v>
      </c>
      <c r="E1113" s="1" t="s">
        <v>7658</v>
      </c>
      <c r="F1113" s="1" t="s">
        <v>7659</v>
      </c>
      <c r="G1113" s="1" t="s">
        <v>7660</v>
      </c>
    </row>
    <row r="1114" spans="1:7">
      <c r="A1114" s="1">
        <v>1113</v>
      </c>
      <c r="B1114" s="1" t="s">
        <v>14566</v>
      </c>
      <c r="D1114" s="1" t="s">
        <v>7641</v>
      </c>
      <c r="E1114" s="1" t="s">
        <v>7654</v>
      </c>
      <c r="F1114" s="1" t="s">
        <v>7655</v>
      </c>
      <c r="G1114" s="1" t="s">
        <v>7656</v>
      </c>
    </row>
    <row r="1115" spans="1:7">
      <c r="A1115" s="1">
        <v>1114</v>
      </c>
      <c r="B1115" s="1" t="s">
        <v>14567</v>
      </c>
      <c r="D1115" s="1" t="s">
        <v>7666</v>
      </c>
      <c r="E1115" s="1" t="s">
        <v>7674</v>
      </c>
      <c r="F1115" s="1" t="s">
        <v>7675</v>
      </c>
      <c r="G1115" s="1" t="s">
        <v>7676</v>
      </c>
    </row>
    <row r="1116" spans="1:7">
      <c r="A1116" s="1">
        <v>1115</v>
      </c>
      <c r="B1116" s="1" t="s">
        <v>14568</v>
      </c>
      <c r="D1116" s="1" t="s">
        <v>7666</v>
      </c>
      <c r="E1116" s="1" t="s">
        <v>7670</v>
      </c>
      <c r="F1116" s="1" t="s">
        <v>7671</v>
      </c>
      <c r="G1116" s="1" t="s">
        <v>7672</v>
      </c>
    </row>
    <row r="1117" spans="1:7">
      <c r="A1117" s="1">
        <v>1116</v>
      </c>
      <c r="B1117" s="1" t="s">
        <v>14569</v>
      </c>
      <c r="D1117" s="1" t="s">
        <v>7666</v>
      </c>
      <c r="E1117" s="1" t="s">
        <v>7678</v>
      </c>
      <c r="F1117" s="1" t="s">
        <v>7679</v>
      </c>
      <c r="G1117" s="1" t="s">
        <v>7680</v>
      </c>
    </row>
    <row r="1118" spans="1:7">
      <c r="A1118" s="1">
        <v>1117</v>
      </c>
      <c r="B1118" s="1" t="s">
        <v>14570</v>
      </c>
      <c r="D1118" s="1" t="s">
        <v>7666</v>
      </c>
      <c r="E1118" s="1" t="s">
        <v>3947</v>
      </c>
      <c r="F1118" s="1" t="s">
        <v>7667</v>
      </c>
      <c r="G1118" s="1" t="s">
        <v>7668</v>
      </c>
    </row>
    <row r="1119" spans="1:7">
      <c r="A1119" s="1">
        <v>1118</v>
      </c>
      <c r="B1119" s="1" t="s">
        <v>14571</v>
      </c>
      <c r="D1119" s="1" t="s">
        <v>7666</v>
      </c>
      <c r="E1119" s="1" t="s">
        <v>7699</v>
      </c>
      <c r="F1119" s="1" t="s">
        <v>7700</v>
      </c>
      <c r="G1119" s="1" t="s">
        <v>7701</v>
      </c>
    </row>
    <row r="1120" spans="1:7">
      <c r="A1120" s="1">
        <v>1119</v>
      </c>
      <c r="B1120" s="1" t="s">
        <v>14572</v>
      </c>
      <c r="D1120" s="1" t="s">
        <v>7666</v>
      </c>
      <c r="E1120" s="1" t="s">
        <v>7695</v>
      </c>
      <c r="F1120" s="1" t="s">
        <v>7696</v>
      </c>
      <c r="G1120" s="1" t="s">
        <v>7697</v>
      </c>
    </row>
    <row r="1121" spans="1:7">
      <c r="A1121" s="1">
        <v>1120</v>
      </c>
      <c r="B1121" s="1" t="s">
        <v>14573</v>
      </c>
      <c r="D1121" s="1" t="s">
        <v>7666</v>
      </c>
      <c r="E1121" s="1" t="s">
        <v>3945</v>
      </c>
      <c r="F1121" s="1" t="s">
        <v>7682</v>
      </c>
      <c r="G1121" s="1" t="s">
        <v>7683</v>
      </c>
    </row>
    <row r="1122" spans="1:7">
      <c r="A1122" s="1">
        <v>1121</v>
      </c>
      <c r="B1122" s="1" t="s">
        <v>14574</v>
      </c>
      <c r="D1122" s="1" t="s">
        <v>7666</v>
      </c>
      <c r="E1122" s="1" t="s">
        <v>3944</v>
      </c>
      <c r="F1122" s="1" t="s">
        <v>7685</v>
      </c>
      <c r="G1122" s="1" t="s">
        <v>7686</v>
      </c>
    </row>
    <row r="1123" spans="1:7">
      <c r="A1123" s="1">
        <v>1122</v>
      </c>
      <c r="B1123" s="1" t="s">
        <v>14575</v>
      </c>
      <c r="D1123" s="1" t="s">
        <v>7666</v>
      </c>
      <c r="E1123" s="1" t="s">
        <v>3946</v>
      </c>
      <c r="F1123" s="1" t="s">
        <v>7688</v>
      </c>
      <c r="G1123" s="1" t="s">
        <v>7689</v>
      </c>
    </row>
    <row r="1124" spans="1:7">
      <c r="A1124" s="1">
        <v>1123</v>
      </c>
      <c r="B1124" s="1" t="s">
        <v>14576</v>
      </c>
      <c r="D1124" s="1" t="s">
        <v>7666</v>
      </c>
      <c r="E1124" s="1" t="s">
        <v>7691</v>
      </c>
      <c r="F1124" s="1" t="s">
        <v>7692</v>
      </c>
      <c r="G1124" s="1" t="s">
        <v>7693</v>
      </c>
    </row>
    <row r="1125" spans="1:7">
      <c r="A1125" s="1">
        <v>1124</v>
      </c>
      <c r="B1125" s="1" t="s">
        <v>14577</v>
      </c>
      <c r="D1125" s="1" t="s">
        <v>7703</v>
      </c>
      <c r="E1125" s="1" t="s">
        <v>6892</v>
      </c>
      <c r="F1125" s="1" t="s">
        <v>14578</v>
      </c>
      <c r="G1125" s="1" t="s">
        <v>14579</v>
      </c>
    </row>
    <row r="1126" spans="1:7">
      <c r="A1126" s="1">
        <v>1125</v>
      </c>
      <c r="B1126" s="1" t="s">
        <v>14580</v>
      </c>
      <c r="D1126" s="1" t="s">
        <v>7703</v>
      </c>
      <c r="E1126" s="1" t="s">
        <v>6896</v>
      </c>
      <c r="F1126" s="1" t="s">
        <v>14581</v>
      </c>
      <c r="G1126" s="1" t="s">
        <v>14582</v>
      </c>
    </row>
    <row r="1127" spans="1:7">
      <c r="A1127" s="1">
        <v>1126</v>
      </c>
      <c r="B1127" s="1" t="s">
        <v>14583</v>
      </c>
      <c r="D1127" s="1" t="s">
        <v>7703</v>
      </c>
      <c r="E1127" s="1" t="s">
        <v>6900</v>
      </c>
      <c r="F1127" s="1" t="s">
        <v>14584</v>
      </c>
      <c r="G1127" s="1" t="s">
        <v>14585</v>
      </c>
    </row>
    <row r="1128" spans="1:7">
      <c r="A1128" s="1">
        <v>1127</v>
      </c>
      <c r="B1128" s="1" t="s">
        <v>14586</v>
      </c>
      <c r="D1128" s="1" t="s">
        <v>7713</v>
      </c>
      <c r="E1128" s="1" t="s">
        <v>511</v>
      </c>
      <c r="F1128" s="1" t="s">
        <v>512</v>
      </c>
      <c r="G1128" s="1" t="s">
        <v>513</v>
      </c>
    </row>
    <row r="1129" spans="1:7">
      <c r="A1129" s="1">
        <v>1128</v>
      </c>
      <c r="B1129" s="1" t="s">
        <v>14587</v>
      </c>
      <c r="D1129" s="1" t="s">
        <v>7713</v>
      </c>
      <c r="E1129" s="1" t="s">
        <v>514</v>
      </c>
      <c r="F1129" s="1" t="s">
        <v>14588</v>
      </c>
      <c r="G1129" s="1" t="s">
        <v>14589</v>
      </c>
    </row>
    <row r="1130" spans="1:7">
      <c r="A1130" s="1">
        <v>1129</v>
      </c>
      <c r="B1130" s="1" t="s">
        <v>14590</v>
      </c>
      <c r="D1130" s="1" t="s">
        <v>7713</v>
      </c>
      <c r="E1130" s="1" t="s">
        <v>7719</v>
      </c>
      <c r="F1130" s="1" t="s">
        <v>518</v>
      </c>
      <c r="G1130" s="1" t="s">
        <v>519</v>
      </c>
    </row>
    <row r="1131" spans="1:7">
      <c r="A1131" s="1">
        <v>1130</v>
      </c>
      <c r="B1131" s="1" t="s">
        <v>14591</v>
      </c>
      <c r="D1131" s="1" t="s">
        <v>7713</v>
      </c>
      <c r="E1131" s="1" t="s">
        <v>7717</v>
      </c>
      <c r="F1131" s="1" t="s">
        <v>521</v>
      </c>
      <c r="G1131" s="1" t="s">
        <v>522</v>
      </c>
    </row>
    <row r="1132" spans="1:7">
      <c r="A1132" s="1">
        <v>1131</v>
      </c>
      <c r="B1132" s="1" t="s">
        <v>14592</v>
      </c>
      <c r="D1132" s="1" t="s">
        <v>7722</v>
      </c>
      <c r="E1132" s="1" t="s">
        <v>525</v>
      </c>
      <c r="F1132" s="1" t="s">
        <v>512</v>
      </c>
      <c r="G1132" s="1" t="s">
        <v>513</v>
      </c>
    </row>
    <row r="1133" spans="1:7">
      <c r="A1133" s="1">
        <v>1132</v>
      </c>
      <c r="B1133" s="1" t="s">
        <v>14593</v>
      </c>
      <c r="D1133" s="1" t="s">
        <v>7722</v>
      </c>
      <c r="E1133" s="1" t="s">
        <v>526</v>
      </c>
      <c r="F1133" s="1" t="s">
        <v>14588</v>
      </c>
      <c r="G1133" s="1" t="s">
        <v>14589</v>
      </c>
    </row>
    <row r="1134" spans="1:7">
      <c r="A1134" s="1">
        <v>1133</v>
      </c>
      <c r="B1134" s="1" t="s">
        <v>14594</v>
      </c>
      <c r="D1134" s="1" t="s">
        <v>7722</v>
      </c>
      <c r="E1134" s="1" t="s">
        <v>7726</v>
      </c>
      <c r="F1134" s="1" t="s">
        <v>518</v>
      </c>
      <c r="G1134" s="1" t="s">
        <v>519</v>
      </c>
    </row>
    <row r="1135" spans="1:7">
      <c r="A1135" s="1">
        <v>1134</v>
      </c>
      <c r="B1135" s="1" t="s">
        <v>14595</v>
      </c>
      <c r="D1135" s="1" t="s">
        <v>7722</v>
      </c>
      <c r="E1135" s="1" t="s">
        <v>7724</v>
      </c>
      <c r="F1135" s="1" t="s">
        <v>521</v>
      </c>
      <c r="G1135" s="1" t="s">
        <v>522</v>
      </c>
    </row>
    <row r="1136" spans="1:7">
      <c r="A1136" s="1">
        <v>1135</v>
      </c>
      <c r="B1136" s="1" t="s">
        <v>14596</v>
      </c>
      <c r="D1136" s="1" t="s">
        <v>7722</v>
      </c>
      <c r="E1136" s="1" t="s">
        <v>7420</v>
      </c>
      <c r="F1136" s="1" t="s">
        <v>14597</v>
      </c>
      <c r="G1136" s="1" t="s">
        <v>14598</v>
      </c>
    </row>
    <row r="1137" spans="1:7">
      <c r="A1137" s="1">
        <v>1136</v>
      </c>
      <c r="B1137" s="1" t="s">
        <v>14599</v>
      </c>
      <c r="D1137" s="1" t="s">
        <v>7731</v>
      </c>
      <c r="E1137" s="1" t="s">
        <v>7732</v>
      </c>
      <c r="F1137" s="1" t="s">
        <v>7733</v>
      </c>
      <c r="G1137" s="1" t="s">
        <v>7734</v>
      </c>
    </row>
    <row r="1138" spans="1:7">
      <c r="A1138" s="1">
        <v>1137</v>
      </c>
      <c r="B1138" s="1" t="s">
        <v>14600</v>
      </c>
      <c r="D1138" s="1" t="s">
        <v>7731</v>
      </c>
      <c r="E1138" s="1" t="s">
        <v>7736</v>
      </c>
      <c r="F1138" s="1" t="s">
        <v>7737</v>
      </c>
      <c r="G1138" s="1" t="s">
        <v>7738</v>
      </c>
    </row>
    <row r="1139" spans="1:7">
      <c r="A1139" s="1">
        <v>1138</v>
      </c>
      <c r="B1139" s="1" t="s">
        <v>14601</v>
      </c>
      <c r="D1139" s="1" t="s">
        <v>7731</v>
      </c>
      <c r="E1139" s="1" t="s">
        <v>7740</v>
      </c>
      <c r="F1139" s="1" t="s">
        <v>14602</v>
      </c>
      <c r="G1139" s="1" t="s">
        <v>14603</v>
      </c>
    </row>
    <row r="1140" spans="1:7">
      <c r="A1140" s="1">
        <v>1139</v>
      </c>
      <c r="B1140" s="1" t="s">
        <v>14604</v>
      </c>
      <c r="D1140" s="1" t="s">
        <v>7731</v>
      </c>
      <c r="E1140" s="1" t="s">
        <v>7744</v>
      </c>
      <c r="F1140" s="1" t="s">
        <v>7745</v>
      </c>
      <c r="G1140" s="1" t="s">
        <v>7746</v>
      </c>
    </row>
    <row r="1141" spans="1:7">
      <c r="A1141" s="1">
        <v>1140</v>
      </c>
      <c r="B1141" s="1" t="s">
        <v>14605</v>
      </c>
      <c r="D1141" s="1" t="s">
        <v>7748</v>
      </c>
      <c r="E1141" s="1" t="s">
        <v>4031</v>
      </c>
      <c r="F1141" s="1" t="s">
        <v>14606</v>
      </c>
      <c r="G1141" s="1" t="s">
        <v>14607</v>
      </c>
    </row>
    <row r="1142" spans="1:7">
      <c r="A1142" s="1">
        <v>1141</v>
      </c>
      <c r="B1142" s="1" t="s">
        <v>14608</v>
      </c>
      <c r="D1142" s="1" t="s">
        <v>7748</v>
      </c>
      <c r="E1142" s="1" t="s">
        <v>4033</v>
      </c>
      <c r="F1142" s="1" t="s">
        <v>14609</v>
      </c>
      <c r="G1142" s="1" t="s">
        <v>14610</v>
      </c>
    </row>
    <row r="1143" spans="1:7">
      <c r="A1143" s="1">
        <v>1142</v>
      </c>
      <c r="B1143" s="1" t="s">
        <v>14611</v>
      </c>
      <c r="D1143" s="1" t="s">
        <v>7748</v>
      </c>
      <c r="E1143" s="1" t="s">
        <v>4037</v>
      </c>
      <c r="F1143" s="1" t="s">
        <v>14612</v>
      </c>
      <c r="G1143" s="1" t="s">
        <v>14613</v>
      </c>
    </row>
    <row r="1144" spans="1:7">
      <c r="A1144" s="1">
        <v>1143</v>
      </c>
      <c r="B1144" s="1" t="s">
        <v>14614</v>
      </c>
      <c r="D1144" s="1" t="s">
        <v>7748</v>
      </c>
      <c r="E1144" s="1" t="s">
        <v>4041</v>
      </c>
      <c r="F1144" s="1" t="s">
        <v>14615</v>
      </c>
      <c r="G1144" s="1" t="s">
        <v>14616</v>
      </c>
    </row>
    <row r="1145" spans="1:7">
      <c r="A1145" s="1">
        <v>1144</v>
      </c>
      <c r="B1145" s="1" t="s">
        <v>14617</v>
      </c>
      <c r="D1145" s="1" t="s">
        <v>7748</v>
      </c>
      <c r="E1145" s="1" t="s">
        <v>4043</v>
      </c>
      <c r="F1145" s="1" t="s">
        <v>14618</v>
      </c>
      <c r="G1145" s="1" t="s">
        <v>14619</v>
      </c>
    </row>
    <row r="1146" spans="1:7">
      <c r="A1146" s="1">
        <v>1145</v>
      </c>
      <c r="B1146" s="1" t="s">
        <v>14620</v>
      </c>
      <c r="D1146" s="1" t="s">
        <v>7748</v>
      </c>
      <c r="E1146" s="1" t="s">
        <v>4047</v>
      </c>
      <c r="F1146" s="1" t="s">
        <v>14621</v>
      </c>
      <c r="G1146" s="1" t="s">
        <v>14622</v>
      </c>
    </row>
    <row r="1147" spans="1:7">
      <c r="A1147" s="1">
        <v>1146</v>
      </c>
      <c r="B1147" s="1" t="s">
        <v>14623</v>
      </c>
      <c r="D1147" s="1" t="s">
        <v>7748</v>
      </c>
      <c r="E1147" s="1" t="s">
        <v>4051</v>
      </c>
      <c r="F1147" s="1" t="s">
        <v>14624</v>
      </c>
      <c r="G1147" s="1" t="s">
        <v>14625</v>
      </c>
    </row>
    <row r="1148" spans="1:7">
      <c r="A1148" s="1">
        <v>1147</v>
      </c>
      <c r="B1148" s="1" t="s">
        <v>14626</v>
      </c>
      <c r="D1148" s="1" t="s">
        <v>7748</v>
      </c>
      <c r="E1148" s="1" t="s">
        <v>4055</v>
      </c>
      <c r="F1148" s="1" t="s">
        <v>14627</v>
      </c>
      <c r="G1148" s="1" t="s">
        <v>14628</v>
      </c>
    </row>
    <row r="1149" spans="1:7">
      <c r="A1149" s="1">
        <v>1148</v>
      </c>
      <c r="B1149" s="1" t="s">
        <v>14629</v>
      </c>
      <c r="D1149" s="1" t="s">
        <v>7748</v>
      </c>
      <c r="E1149" s="1" t="s">
        <v>1326</v>
      </c>
      <c r="F1149" s="1" t="s">
        <v>14630</v>
      </c>
      <c r="G1149" s="1" t="s">
        <v>14631</v>
      </c>
    </row>
    <row r="1150" spans="1:7">
      <c r="A1150" s="1">
        <v>1149</v>
      </c>
      <c r="B1150" s="1" t="s">
        <v>14632</v>
      </c>
      <c r="D1150" s="1" t="s">
        <v>7748</v>
      </c>
      <c r="E1150" s="1" t="s">
        <v>1330</v>
      </c>
      <c r="F1150" s="1" t="s">
        <v>14633</v>
      </c>
      <c r="G1150" s="1" t="s">
        <v>14634</v>
      </c>
    </row>
    <row r="1151" spans="1:7">
      <c r="A1151" s="1">
        <v>1150</v>
      </c>
      <c r="B1151" s="1" t="s">
        <v>14635</v>
      </c>
      <c r="D1151" s="1" t="s">
        <v>7748</v>
      </c>
      <c r="E1151" s="1" t="s">
        <v>1334</v>
      </c>
      <c r="F1151" s="1" t="s">
        <v>14636</v>
      </c>
      <c r="G1151" s="1" t="s">
        <v>14637</v>
      </c>
    </row>
    <row r="1152" spans="1:7">
      <c r="A1152" s="1">
        <v>1151</v>
      </c>
      <c r="B1152" s="1" t="s">
        <v>14638</v>
      </c>
      <c r="D1152" s="1" t="s">
        <v>7782</v>
      </c>
      <c r="E1152" s="1" t="s">
        <v>7783</v>
      </c>
      <c r="F1152" s="1" t="s">
        <v>14639</v>
      </c>
      <c r="G1152" s="1" t="s">
        <v>14640</v>
      </c>
    </row>
    <row r="1153" spans="1:7">
      <c r="A1153" s="1">
        <v>1152</v>
      </c>
      <c r="B1153" s="1" t="s">
        <v>14641</v>
      </c>
      <c r="D1153" s="1" t="s">
        <v>7782</v>
      </c>
      <c r="E1153" s="1" t="s">
        <v>1338</v>
      </c>
      <c r="F1153" s="1" t="s">
        <v>14642</v>
      </c>
      <c r="G1153" s="1" t="s">
        <v>14643</v>
      </c>
    </row>
    <row r="1154" spans="1:7">
      <c r="A1154" s="1">
        <v>1153</v>
      </c>
      <c r="B1154" s="1" t="s">
        <v>14644</v>
      </c>
      <c r="D1154" s="1" t="s">
        <v>7782</v>
      </c>
      <c r="E1154" s="1" t="s">
        <v>1482</v>
      </c>
      <c r="F1154" s="1" t="s">
        <v>14645</v>
      </c>
      <c r="G1154" s="1" t="s">
        <v>14646</v>
      </c>
    </row>
    <row r="1155" spans="1:7">
      <c r="A1155" s="1">
        <v>1154</v>
      </c>
      <c r="B1155" s="1" t="s">
        <v>14647</v>
      </c>
      <c r="D1155" s="1" t="s">
        <v>7782</v>
      </c>
      <c r="E1155" s="1" t="s">
        <v>1486</v>
      </c>
      <c r="F1155" s="1" t="s">
        <v>14648</v>
      </c>
      <c r="G1155" s="1" t="s">
        <v>14649</v>
      </c>
    </row>
    <row r="1156" spans="1:7">
      <c r="A1156" s="1">
        <v>1155</v>
      </c>
      <c r="B1156" s="1" t="s">
        <v>14650</v>
      </c>
      <c r="D1156" s="1" t="s">
        <v>7782</v>
      </c>
      <c r="E1156" s="1" t="s">
        <v>1490</v>
      </c>
      <c r="F1156" s="1" t="s">
        <v>14651</v>
      </c>
      <c r="G1156" s="1" t="s">
        <v>14652</v>
      </c>
    </row>
    <row r="1157" spans="1:7">
      <c r="A1157" s="1">
        <v>1156</v>
      </c>
      <c r="B1157" s="1" t="s">
        <v>14653</v>
      </c>
      <c r="D1157" s="1" t="s">
        <v>7782</v>
      </c>
      <c r="E1157" s="1" t="s">
        <v>1494</v>
      </c>
      <c r="F1157" s="1" t="s">
        <v>14654</v>
      </c>
      <c r="G1157" s="1" t="s">
        <v>14655</v>
      </c>
    </row>
    <row r="1158" spans="1:7">
      <c r="A1158" s="1">
        <v>1157</v>
      </c>
      <c r="B1158" s="1" t="s">
        <v>14656</v>
      </c>
      <c r="D1158" s="1" t="s">
        <v>7782</v>
      </c>
      <c r="E1158" s="1" t="s">
        <v>1498</v>
      </c>
      <c r="F1158" s="1" t="s">
        <v>14657</v>
      </c>
      <c r="G1158" s="1" t="s">
        <v>14658</v>
      </c>
    </row>
    <row r="1159" spans="1:7">
      <c r="A1159" s="1">
        <v>1158</v>
      </c>
      <c r="B1159" s="1" t="s">
        <v>14659</v>
      </c>
      <c r="D1159" s="1" t="s">
        <v>7782</v>
      </c>
      <c r="E1159" s="1" t="s">
        <v>1502</v>
      </c>
      <c r="F1159" s="1" t="s">
        <v>14660</v>
      </c>
      <c r="G1159" s="1" t="s">
        <v>14661</v>
      </c>
    </row>
    <row r="1160" spans="1:7">
      <c r="A1160" s="1">
        <v>1159</v>
      </c>
      <c r="B1160" s="1" t="s">
        <v>14662</v>
      </c>
      <c r="D1160" s="1" t="s">
        <v>7782</v>
      </c>
      <c r="E1160" s="1" t="s">
        <v>1506</v>
      </c>
      <c r="F1160" s="1" t="s">
        <v>14663</v>
      </c>
      <c r="G1160" s="1" t="s">
        <v>14664</v>
      </c>
    </row>
    <row r="1161" spans="1:7">
      <c r="A1161" s="1">
        <v>1160</v>
      </c>
      <c r="B1161" s="1" t="s">
        <v>14665</v>
      </c>
      <c r="D1161" s="1" t="s">
        <v>7782</v>
      </c>
      <c r="E1161" s="1" t="s">
        <v>1510</v>
      </c>
      <c r="F1161" s="1" t="s">
        <v>14666</v>
      </c>
      <c r="G1161" s="1" t="s">
        <v>14667</v>
      </c>
    </row>
    <row r="1162" spans="1:7">
      <c r="A1162" s="1">
        <v>1161</v>
      </c>
      <c r="B1162" s="1" t="s">
        <v>14668</v>
      </c>
      <c r="D1162" s="1" t="s">
        <v>7782</v>
      </c>
      <c r="E1162" s="1" t="s">
        <v>7814</v>
      </c>
      <c r="F1162" s="1" t="s">
        <v>14669</v>
      </c>
      <c r="G1162" s="1" t="s">
        <v>14670</v>
      </c>
    </row>
    <row r="1163" spans="1:7">
      <c r="A1163" s="1">
        <v>1162</v>
      </c>
      <c r="B1163" s="1" t="s">
        <v>14671</v>
      </c>
      <c r="D1163" s="1" t="s">
        <v>7782</v>
      </c>
      <c r="E1163" s="1" t="s">
        <v>1514</v>
      </c>
      <c r="F1163" s="1" t="s">
        <v>14672</v>
      </c>
      <c r="G1163" s="1" t="s">
        <v>14673</v>
      </c>
    </row>
    <row r="1164" spans="1:7">
      <c r="A1164" s="1">
        <v>1163</v>
      </c>
      <c r="B1164" s="1" t="s">
        <v>14674</v>
      </c>
      <c r="D1164" s="1" t="s">
        <v>7782</v>
      </c>
      <c r="E1164" s="1" t="s">
        <v>1518</v>
      </c>
      <c r="F1164" s="1" t="s">
        <v>14675</v>
      </c>
      <c r="G1164" s="1" t="s">
        <v>14676</v>
      </c>
    </row>
    <row r="1165" spans="1:7">
      <c r="A1165" s="1">
        <v>1164</v>
      </c>
      <c r="B1165" s="1" t="s">
        <v>14677</v>
      </c>
      <c r="D1165" s="1" t="s">
        <v>7782</v>
      </c>
      <c r="E1165" s="1" t="s">
        <v>1522</v>
      </c>
      <c r="F1165" s="1" t="s">
        <v>14678</v>
      </c>
      <c r="G1165" s="1" t="s">
        <v>14679</v>
      </c>
    </row>
    <row r="1166" spans="1:7">
      <c r="A1166" s="1">
        <v>1165</v>
      </c>
      <c r="B1166" s="1" t="s">
        <v>14680</v>
      </c>
      <c r="D1166" s="1" t="s">
        <v>7782</v>
      </c>
      <c r="E1166" s="1" t="s">
        <v>1526</v>
      </c>
      <c r="F1166" s="1" t="s">
        <v>14681</v>
      </c>
      <c r="G1166" s="1" t="s">
        <v>14682</v>
      </c>
    </row>
    <row r="1167" spans="1:7">
      <c r="A1167" s="1">
        <v>1166</v>
      </c>
      <c r="B1167" s="1" t="s">
        <v>14683</v>
      </c>
      <c r="D1167" s="1" t="s">
        <v>7782</v>
      </c>
      <c r="E1167" s="1" t="s">
        <v>1530</v>
      </c>
      <c r="F1167" s="1" t="s">
        <v>14684</v>
      </c>
      <c r="G1167" s="1" t="s">
        <v>14685</v>
      </c>
    </row>
    <row r="1168" spans="1:7">
      <c r="A1168" s="1">
        <v>1167</v>
      </c>
      <c r="B1168" s="1" t="s">
        <v>14686</v>
      </c>
      <c r="D1168" s="1" t="s">
        <v>7782</v>
      </c>
      <c r="E1168" s="1" t="s">
        <v>1534</v>
      </c>
      <c r="F1168" s="1" t="s">
        <v>14687</v>
      </c>
      <c r="G1168" s="1" t="s">
        <v>14688</v>
      </c>
    </row>
    <row r="1169" spans="1:7">
      <c r="A1169" s="1">
        <v>1168</v>
      </c>
      <c r="B1169" s="1" t="s">
        <v>14689</v>
      </c>
      <c r="D1169" s="1" t="s">
        <v>7782</v>
      </c>
      <c r="E1169" s="1" t="s">
        <v>1538</v>
      </c>
      <c r="F1169" s="1" t="s">
        <v>14690</v>
      </c>
      <c r="G1169" s="1" t="s">
        <v>14691</v>
      </c>
    </row>
    <row r="1170" spans="1:7">
      <c r="A1170" s="1">
        <v>1169</v>
      </c>
      <c r="B1170" s="1" t="s">
        <v>14692</v>
      </c>
      <c r="D1170" s="1" t="s">
        <v>7782</v>
      </c>
      <c r="E1170" s="1" t="s">
        <v>7839</v>
      </c>
      <c r="F1170" s="1" t="s">
        <v>14693</v>
      </c>
      <c r="G1170" s="1" t="s">
        <v>14694</v>
      </c>
    </row>
    <row r="1171" spans="1:7">
      <c r="A1171" s="1">
        <v>1170</v>
      </c>
      <c r="B1171" s="1" t="s">
        <v>14695</v>
      </c>
      <c r="D1171" s="1" t="s">
        <v>7782</v>
      </c>
      <c r="E1171" s="1" t="s">
        <v>7843</v>
      </c>
      <c r="F1171" s="1" t="s">
        <v>14696</v>
      </c>
      <c r="G1171" s="1" t="s">
        <v>14697</v>
      </c>
    </row>
    <row r="1172" spans="1:7">
      <c r="A1172" s="1">
        <v>1171</v>
      </c>
      <c r="B1172" s="1" t="s">
        <v>14698</v>
      </c>
      <c r="D1172" s="1" t="s">
        <v>7782</v>
      </c>
      <c r="E1172" s="1" t="s">
        <v>7847</v>
      </c>
      <c r="F1172" s="1" t="s">
        <v>14699</v>
      </c>
      <c r="G1172" s="1" t="s">
        <v>14700</v>
      </c>
    </row>
    <row r="1173" spans="1:7">
      <c r="A1173" s="1">
        <v>1172</v>
      </c>
      <c r="B1173" s="1" t="s">
        <v>14701</v>
      </c>
      <c r="D1173" s="1" t="s">
        <v>7851</v>
      </c>
      <c r="E1173" s="1" t="s">
        <v>7859</v>
      </c>
      <c r="F1173" s="1" t="s">
        <v>14702</v>
      </c>
      <c r="G1173" s="1" t="s">
        <v>14703</v>
      </c>
    </row>
    <row r="1174" spans="1:7">
      <c r="A1174" s="1">
        <v>1173</v>
      </c>
      <c r="B1174" s="1" t="s">
        <v>14704</v>
      </c>
      <c r="D1174" s="1" t="s">
        <v>7851</v>
      </c>
      <c r="E1174" s="1" t="s">
        <v>7855</v>
      </c>
      <c r="F1174" s="1" t="s">
        <v>14705</v>
      </c>
      <c r="G1174" s="1" t="s">
        <v>14706</v>
      </c>
    </row>
    <row r="1175" spans="1:7">
      <c r="A1175" s="1">
        <v>1174</v>
      </c>
      <c r="B1175" s="1" t="s">
        <v>14707</v>
      </c>
      <c r="D1175" s="1" t="s">
        <v>7851</v>
      </c>
      <c r="E1175" s="1" t="s">
        <v>7863</v>
      </c>
      <c r="F1175" s="1" t="s">
        <v>14708</v>
      </c>
      <c r="G1175" s="1" t="s">
        <v>14709</v>
      </c>
    </row>
    <row r="1176" spans="1:7">
      <c r="A1176" s="1">
        <v>1175</v>
      </c>
      <c r="B1176" s="1" t="s">
        <v>14710</v>
      </c>
      <c r="D1176" s="1" t="s">
        <v>7851</v>
      </c>
      <c r="E1176" s="1" t="s">
        <v>2011</v>
      </c>
      <c r="F1176" s="1" t="s">
        <v>14711</v>
      </c>
      <c r="G1176" s="1" t="s">
        <v>14712</v>
      </c>
    </row>
    <row r="1177" spans="1:7">
      <c r="A1177" s="1">
        <v>1176</v>
      </c>
      <c r="B1177" s="1" t="s">
        <v>14713</v>
      </c>
      <c r="D1177" s="1" t="s">
        <v>7851</v>
      </c>
      <c r="E1177" s="1" t="s">
        <v>7875</v>
      </c>
      <c r="F1177" s="1" t="s">
        <v>14714</v>
      </c>
      <c r="G1177" s="1" t="s">
        <v>14715</v>
      </c>
    </row>
    <row r="1178" spans="1:7">
      <c r="A1178" s="1">
        <v>1177</v>
      </c>
      <c r="B1178" s="1" t="s">
        <v>14716</v>
      </c>
      <c r="D1178" s="1" t="s">
        <v>7851</v>
      </c>
      <c r="E1178" s="1" t="s">
        <v>7871</v>
      </c>
      <c r="F1178" s="1" t="s">
        <v>14717</v>
      </c>
      <c r="G1178" s="1" t="s">
        <v>14718</v>
      </c>
    </row>
    <row r="1179" spans="1:7">
      <c r="A1179" s="1">
        <v>1178</v>
      </c>
      <c r="B1179" s="1" t="s">
        <v>14719</v>
      </c>
      <c r="D1179" s="1" t="s">
        <v>7851</v>
      </c>
      <c r="E1179" s="1" t="s">
        <v>7867</v>
      </c>
      <c r="F1179" s="1" t="s">
        <v>14720</v>
      </c>
      <c r="G1179" s="1" t="s">
        <v>14721</v>
      </c>
    </row>
    <row r="1180" spans="1:7">
      <c r="A1180" s="1">
        <v>1179</v>
      </c>
      <c r="B1180" s="1" t="s">
        <v>14722</v>
      </c>
      <c r="D1180" s="1" t="s">
        <v>7879</v>
      </c>
      <c r="E1180" s="1" t="s">
        <v>7884</v>
      </c>
      <c r="F1180" s="1" t="s">
        <v>7885</v>
      </c>
      <c r="G1180" s="1" t="s">
        <v>7886</v>
      </c>
    </row>
    <row r="1181" spans="1:7">
      <c r="A1181" s="1">
        <v>1180</v>
      </c>
      <c r="B1181" s="1" t="s">
        <v>14723</v>
      </c>
      <c r="D1181" s="1" t="s">
        <v>7879</v>
      </c>
      <c r="E1181" s="1" t="s">
        <v>7880</v>
      </c>
      <c r="F1181" s="1" t="s">
        <v>7881</v>
      </c>
      <c r="G1181" s="1" t="s">
        <v>7882</v>
      </c>
    </row>
    <row r="1182" spans="1:7">
      <c r="A1182" s="1">
        <v>1181</v>
      </c>
      <c r="B1182" s="1" t="s">
        <v>14724</v>
      </c>
      <c r="D1182" s="1" t="s">
        <v>7879</v>
      </c>
      <c r="E1182" s="1" t="s">
        <v>7888</v>
      </c>
      <c r="F1182" s="1" t="s">
        <v>7889</v>
      </c>
      <c r="G1182" s="1" t="s">
        <v>7890</v>
      </c>
    </row>
    <row r="1183" spans="1:7">
      <c r="A1183" s="1">
        <v>1182</v>
      </c>
      <c r="B1183" s="1" t="s">
        <v>14725</v>
      </c>
      <c r="D1183" s="1" t="s">
        <v>7879</v>
      </c>
      <c r="E1183" s="1" t="s">
        <v>7896</v>
      </c>
      <c r="F1183" s="1" t="s">
        <v>7897</v>
      </c>
      <c r="G1183" s="1" t="s">
        <v>7898</v>
      </c>
    </row>
    <row r="1184" spans="1:7">
      <c r="A1184" s="1">
        <v>1183</v>
      </c>
      <c r="B1184" s="1" t="s">
        <v>14726</v>
      </c>
      <c r="D1184" s="1" t="s">
        <v>7879</v>
      </c>
      <c r="E1184" s="1" t="s">
        <v>7892</v>
      </c>
      <c r="F1184" s="1" t="s">
        <v>7893</v>
      </c>
      <c r="G1184" s="1" t="s">
        <v>7894</v>
      </c>
    </row>
    <row r="1185" spans="1:7">
      <c r="A1185" s="1">
        <v>1184</v>
      </c>
      <c r="B1185" s="1" t="s">
        <v>14727</v>
      </c>
      <c r="D1185" s="1" t="s">
        <v>7879</v>
      </c>
      <c r="E1185" s="1" t="s">
        <v>7908</v>
      </c>
      <c r="F1185" s="1" t="s">
        <v>7909</v>
      </c>
      <c r="G1185" s="1" t="s">
        <v>7910</v>
      </c>
    </row>
    <row r="1186" spans="1:7">
      <c r="A1186" s="1">
        <v>1185</v>
      </c>
      <c r="B1186" s="1" t="s">
        <v>14728</v>
      </c>
      <c r="D1186" s="1" t="s">
        <v>7879</v>
      </c>
      <c r="E1186" s="1" t="s">
        <v>7900</v>
      </c>
      <c r="F1186" s="1" t="s">
        <v>7901</v>
      </c>
      <c r="G1186" s="1" t="s">
        <v>7902</v>
      </c>
    </row>
    <row r="1187" spans="1:7">
      <c r="A1187" s="1">
        <v>1186</v>
      </c>
      <c r="B1187" s="1" t="s">
        <v>14729</v>
      </c>
      <c r="D1187" s="1" t="s">
        <v>7879</v>
      </c>
      <c r="E1187" s="1" t="s">
        <v>7904</v>
      </c>
      <c r="F1187" s="1" t="s">
        <v>7905</v>
      </c>
      <c r="G1187" s="1" t="s">
        <v>7906</v>
      </c>
    </row>
    <row r="1188" spans="1:7">
      <c r="A1188" s="1">
        <v>1187</v>
      </c>
      <c r="B1188" s="1" t="s">
        <v>14730</v>
      </c>
      <c r="D1188" s="1" t="s">
        <v>7879</v>
      </c>
      <c r="E1188" s="1" t="s">
        <v>7912</v>
      </c>
      <c r="F1188" s="1" t="s">
        <v>7913</v>
      </c>
      <c r="G1188" s="1" t="s">
        <v>7914</v>
      </c>
    </row>
    <row r="1189" spans="1:7">
      <c r="A1189" s="1">
        <v>1188</v>
      </c>
      <c r="B1189" s="1" t="s">
        <v>14731</v>
      </c>
      <c r="D1189" s="1" t="s">
        <v>7916</v>
      </c>
      <c r="E1189" s="1" t="s">
        <v>14732</v>
      </c>
      <c r="F1189" s="1" t="s">
        <v>14733</v>
      </c>
      <c r="G1189" s="1" t="s">
        <v>14734</v>
      </c>
    </row>
    <row r="1190" spans="1:7">
      <c r="A1190" s="1">
        <v>1189</v>
      </c>
      <c r="B1190" s="1" t="s">
        <v>14735</v>
      </c>
      <c r="D1190" s="1" t="s">
        <v>7916</v>
      </c>
      <c r="E1190" s="1" t="s">
        <v>14736</v>
      </c>
      <c r="F1190" s="1" t="s">
        <v>14737</v>
      </c>
      <c r="G1190" s="1" t="s">
        <v>14738</v>
      </c>
    </row>
    <row r="1191" spans="1:7">
      <c r="A1191" s="1">
        <v>1190</v>
      </c>
      <c r="B1191" s="1" t="s">
        <v>14739</v>
      </c>
      <c r="D1191" s="1" t="s">
        <v>7916</v>
      </c>
      <c r="E1191" s="1" t="s">
        <v>14740</v>
      </c>
      <c r="F1191" s="1" t="s">
        <v>14741</v>
      </c>
      <c r="G1191" s="1" t="s">
        <v>14742</v>
      </c>
    </row>
    <row r="1192" spans="1:7">
      <c r="A1192" s="1">
        <v>1191</v>
      </c>
      <c r="B1192" s="1" t="s">
        <v>14743</v>
      </c>
      <c r="D1192" s="1" t="s">
        <v>7916</v>
      </c>
      <c r="E1192" s="1" t="s">
        <v>14744</v>
      </c>
      <c r="F1192" s="1" t="s">
        <v>14745</v>
      </c>
      <c r="G1192" s="1" t="s">
        <v>14746</v>
      </c>
    </row>
    <row r="1193" spans="1:7">
      <c r="A1193" s="1">
        <v>1192</v>
      </c>
      <c r="B1193" s="1" t="s">
        <v>14747</v>
      </c>
      <c r="D1193" s="1" t="s">
        <v>7916</v>
      </c>
      <c r="E1193" s="1" t="s">
        <v>14748</v>
      </c>
      <c r="F1193" s="1" t="s">
        <v>14749</v>
      </c>
      <c r="G1193" s="1" t="s">
        <v>14750</v>
      </c>
    </row>
    <row r="1194" spans="1:7">
      <c r="A1194" s="1">
        <v>1193</v>
      </c>
      <c r="B1194" s="1" t="s">
        <v>14751</v>
      </c>
      <c r="D1194" s="1" t="s">
        <v>7916</v>
      </c>
      <c r="E1194" s="1" t="s">
        <v>14752</v>
      </c>
      <c r="F1194" s="1" t="s">
        <v>14753</v>
      </c>
      <c r="G1194" s="1" t="s">
        <v>14754</v>
      </c>
    </row>
    <row r="1195" spans="1:7">
      <c r="A1195" s="1">
        <v>1194</v>
      </c>
      <c r="B1195" s="1" t="s">
        <v>14755</v>
      </c>
      <c r="D1195" s="1" t="s">
        <v>7916</v>
      </c>
      <c r="E1195" s="1" t="s">
        <v>14756</v>
      </c>
      <c r="F1195" s="1" t="s">
        <v>14757</v>
      </c>
      <c r="G1195" s="1" t="s">
        <v>14758</v>
      </c>
    </row>
    <row r="1196" spans="1:7">
      <c r="A1196" s="1">
        <v>1195</v>
      </c>
      <c r="B1196" s="1" t="s">
        <v>14759</v>
      </c>
      <c r="D1196" s="1" t="s">
        <v>7916</v>
      </c>
      <c r="E1196" s="1" t="s">
        <v>14760</v>
      </c>
      <c r="F1196" s="1" t="s">
        <v>14761</v>
      </c>
      <c r="G1196" s="1" t="s">
        <v>14762</v>
      </c>
    </row>
    <row r="1197" spans="1:7">
      <c r="A1197" s="1">
        <v>1196</v>
      </c>
      <c r="B1197" s="1" t="s">
        <v>14763</v>
      </c>
      <c r="D1197" s="1" t="s">
        <v>14764</v>
      </c>
      <c r="E1197" s="1" t="s">
        <v>14765</v>
      </c>
      <c r="F1197" s="1" t="s">
        <v>14766</v>
      </c>
      <c r="G1197" s="1" t="s">
        <v>14767</v>
      </c>
    </row>
    <row r="1198" spans="1:7">
      <c r="A1198" s="1">
        <v>1197</v>
      </c>
      <c r="B1198" s="1" t="s">
        <v>14768</v>
      </c>
      <c r="D1198" s="1" t="s">
        <v>14764</v>
      </c>
      <c r="E1198" s="1" t="s">
        <v>14769</v>
      </c>
      <c r="F1198" s="1" t="s">
        <v>14770</v>
      </c>
      <c r="G1198" s="1" t="s">
        <v>14771</v>
      </c>
    </row>
    <row r="1199" spans="1:7">
      <c r="A1199" s="1">
        <v>1198</v>
      </c>
      <c r="B1199" s="1" t="s">
        <v>14772</v>
      </c>
      <c r="D1199" s="1" t="s">
        <v>14764</v>
      </c>
      <c r="E1199" s="1" t="s">
        <v>14773</v>
      </c>
      <c r="F1199" s="1" t="s">
        <v>14774</v>
      </c>
      <c r="G1199" s="1" t="s">
        <v>14775</v>
      </c>
    </row>
    <row r="1200" spans="1:7">
      <c r="A1200" s="1">
        <v>1199</v>
      </c>
      <c r="B1200" s="1" t="s">
        <v>14776</v>
      </c>
      <c r="D1200" s="1" t="s">
        <v>14764</v>
      </c>
      <c r="E1200" s="1" t="s">
        <v>14777</v>
      </c>
      <c r="F1200" s="1" t="s">
        <v>14778</v>
      </c>
      <c r="G1200" s="1" t="s">
        <v>14779</v>
      </c>
    </row>
    <row r="1201" spans="1:7">
      <c r="A1201" s="1">
        <v>1200</v>
      </c>
      <c r="B1201" s="1" t="s">
        <v>14780</v>
      </c>
      <c r="D1201" s="1" t="s">
        <v>14764</v>
      </c>
      <c r="E1201" s="1" t="s">
        <v>14781</v>
      </c>
      <c r="F1201" s="1" t="s">
        <v>14782</v>
      </c>
      <c r="G1201" s="1" t="s">
        <v>14783</v>
      </c>
    </row>
    <row r="1202" spans="1:7">
      <c r="A1202" s="1">
        <v>1201</v>
      </c>
      <c r="B1202" s="1" t="s">
        <v>14784</v>
      </c>
      <c r="D1202" s="1" t="s">
        <v>14764</v>
      </c>
      <c r="E1202" s="1" t="s">
        <v>14785</v>
      </c>
      <c r="F1202" s="1" t="s">
        <v>14786</v>
      </c>
      <c r="G1202" s="1" t="s">
        <v>14787</v>
      </c>
    </row>
    <row r="1203" spans="1:7">
      <c r="A1203" s="1">
        <v>1202</v>
      </c>
      <c r="B1203" s="1" t="s">
        <v>14788</v>
      </c>
      <c r="D1203" s="1" t="s">
        <v>14764</v>
      </c>
      <c r="E1203" s="1" t="s">
        <v>14789</v>
      </c>
      <c r="F1203" s="1" t="s">
        <v>14790</v>
      </c>
      <c r="G1203" s="1" t="s">
        <v>14791</v>
      </c>
    </row>
    <row r="1204" spans="1:7">
      <c r="A1204" s="1">
        <v>1203</v>
      </c>
      <c r="B1204" s="1" t="s">
        <v>14792</v>
      </c>
      <c r="D1204" s="1" t="s">
        <v>14764</v>
      </c>
      <c r="E1204" s="1" t="s">
        <v>14793</v>
      </c>
      <c r="F1204" s="1" t="s">
        <v>14794</v>
      </c>
      <c r="G1204" s="1" t="s">
        <v>14795</v>
      </c>
    </row>
    <row r="1205" spans="1:7">
      <c r="A1205" s="1">
        <v>1204</v>
      </c>
      <c r="B1205" s="1" t="s">
        <v>14796</v>
      </c>
      <c r="D1205" s="1" t="s">
        <v>7949</v>
      </c>
      <c r="E1205" s="1" t="s">
        <v>7957</v>
      </c>
      <c r="F1205" s="1" t="s">
        <v>7958</v>
      </c>
      <c r="G1205" s="1" t="s">
        <v>7959</v>
      </c>
    </row>
    <row r="1206" spans="1:7">
      <c r="A1206" s="1">
        <v>1205</v>
      </c>
      <c r="B1206" s="1" t="s">
        <v>14797</v>
      </c>
      <c r="D1206" s="1" t="s">
        <v>7949</v>
      </c>
      <c r="E1206" s="1" t="s">
        <v>7953</v>
      </c>
      <c r="F1206" s="1" t="s">
        <v>7954</v>
      </c>
      <c r="G1206" s="1" t="s">
        <v>7955</v>
      </c>
    </row>
    <row r="1207" spans="1:7">
      <c r="A1207" s="1">
        <v>1206</v>
      </c>
      <c r="B1207" s="1" t="s">
        <v>14798</v>
      </c>
      <c r="D1207" s="1" t="s">
        <v>7949</v>
      </c>
      <c r="E1207" s="1" t="s">
        <v>7961</v>
      </c>
      <c r="F1207" s="1" t="s">
        <v>7962</v>
      </c>
      <c r="G1207" s="1" t="s">
        <v>7963</v>
      </c>
    </row>
    <row r="1208" spans="1:7">
      <c r="A1208" s="1">
        <v>1207</v>
      </c>
      <c r="B1208" s="1" t="s">
        <v>14799</v>
      </c>
      <c r="D1208" s="1" t="s">
        <v>7949</v>
      </c>
      <c r="E1208" s="1" t="s">
        <v>2020</v>
      </c>
      <c r="F1208" s="1" t="s">
        <v>7950</v>
      </c>
      <c r="G1208" s="1" t="s">
        <v>7951</v>
      </c>
    </row>
    <row r="1209" spans="1:7">
      <c r="A1209" s="1">
        <v>1208</v>
      </c>
      <c r="B1209" s="1" t="s">
        <v>14800</v>
      </c>
      <c r="D1209" s="1" t="s">
        <v>7949</v>
      </c>
      <c r="E1209" s="1" t="s">
        <v>7979</v>
      </c>
      <c r="F1209" s="1" t="s">
        <v>7980</v>
      </c>
      <c r="G1209" s="1" t="s">
        <v>7981</v>
      </c>
    </row>
    <row r="1210" spans="1:7">
      <c r="A1210" s="1">
        <v>1209</v>
      </c>
      <c r="B1210" s="1" t="s">
        <v>14801</v>
      </c>
      <c r="D1210" s="1" t="s">
        <v>7949</v>
      </c>
      <c r="E1210" s="1" t="s">
        <v>7975</v>
      </c>
      <c r="F1210" s="1" t="s">
        <v>7976</v>
      </c>
      <c r="G1210" s="1" t="s">
        <v>7977</v>
      </c>
    </row>
    <row r="1211" spans="1:7">
      <c r="A1211" s="1">
        <v>1210</v>
      </c>
      <c r="B1211" s="1" t="s">
        <v>14802</v>
      </c>
      <c r="D1211" s="1" t="s">
        <v>7949</v>
      </c>
      <c r="E1211" s="1" t="s">
        <v>2021</v>
      </c>
      <c r="F1211" s="1" t="s">
        <v>7968</v>
      </c>
      <c r="G1211" s="1" t="s">
        <v>7969</v>
      </c>
    </row>
    <row r="1212" spans="1:7">
      <c r="A1212" s="1">
        <v>1211</v>
      </c>
      <c r="B1212" s="1" t="s">
        <v>14803</v>
      </c>
      <c r="D1212" s="1" t="s">
        <v>7949</v>
      </c>
      <c r="E1212" s="1" t="s">
        <v>2024</v>
      </c>
      <c r="F1212" s="1" t="s">
        <v>7965</v>
      </c>
      <c r="G1212" s="1" t="s">
        <v>7966</v>
      </c>
    </row>
    <row r="1213" spans="1:7">
      <c r="A1213" s="1">
        <v>1212</v>
      </c>
      <c r="B1213" s="1" t="s">
        <v>14804</v>
      </c>
      <c r="D1213" s="1" t="s">
        <v>7949</v>
      </c>
      <c r="E1213" s="1" t="s">
        <v>7971</v>
      </c>
      <c r="F1213" s="1" t="s">
        <v>7972</v>
      </c>
      <c r="G1213" s="1" t="s">
        <v>7973</v>
      </c>
    </row>
    <row r="1214" spans="1:7">
      <c r="A1214" s="1">
        <v>1213</v>
      </c>
      <c r="B1214" s="1" t="s">
        <v>14805</v>
      </c>
      <c r="D1214" s="1" t="s">
        <v>7983</v>
      </c>
      <c r="E1214" s="1" t="s">
        <v>7984</v>
      </c>
      <c r="F1214" s="1" t="s">
        <v>14806</v>
      </c>
      <c r="G1214" s="1" t="s">
        <v>14807</v>
      </c>
    </row>
    <row r="1215" spans="1:7">
      <c r="A1215" s="1">
        <v>1214</v>
      </c>
      <c r="B1215" s="1" t="s">
        <v>14808</v>
      </c>
      <c r="D1215" s="1" t="s">
        <v>7983</v>
      </c>
      <c r="E1215" s="1" t="s">
        <v>7988</v>
      </c>
      <c r="F1215" s="1" t="s">
        <v>14809</v>
      </c>
      <c r="G1215" s="1" t="s">
        <v>14810</v>
      </c>
    </row>
    <row r="1216" spans="1:7">
      <c r="A1216" s="1">
        <v>1215</v>
      </c>
      <c r="B1216" s="1" t="s">
        <v>14811</v>
      </c>
      <c r="D1216" s="1" t="s">
        <v>7992</v>
      </c>
      <c r="E1216" s="1" t="s">
        <v>7993</v>
      </c>
      <c r="F1216" s="1" t="s">
        <v>14812</v>
      </c>
      <c r="G1216" s="1" t="s">
        <v>7995</v>
      </c>
    </row>
    <row r="1217" spans="1:7">
      <c r="A1217" s="1">
        <v>1216</v>
      </c>
      <c r="B1217" s="1" t="s">
        <v>14813</v>
      </c>
      <c r="D1217" s="1" t="s">
        <v>7997</v>
      </c>
      <c r="E1217" s="1" t="s">
        <v>7998</v>
      </c>
      <c r="F1217" s="1" t="s">
        <v>7999</v>
      </c>
      <c r="G1217" s="1" t="s">
        <v>8000</v>
      </c>
    </row>
    <row r="1218" spans="1:7">
      <c r="A1218" s="1">
        <v>1217</v>
      </c>
      <c r="B1218" s="1" t="s">
        <v>14814</v>
      </c>
      <c r="D1218" s="1" t="s">
        <v>7997</v>
      </c>
      <c r="E1218" s="1" t="s">
        <v>8002</v>
      </c>
      <c r="F1218" s="1" t="s">
        <v>8003</v>
      </c>
      <c r="G1218" s="1" t="s">
        <v>8004</v>
      </c>
    </row>
    <row r="1219" spans="1:7">
      <c r="A1219" s="1">
        <v>1218</v>
      </c>
      <c r="B1219" s="1" t="s">
        <v>14815</v>
      </c>
      <c r="D1219" s="1" t="s">
        <v>7997</v>
      </c>
      <c r="E1219" s="1" t="s">
        <v>8006</v>
      </c>
      <c r="F1219" s="1" t="s">
        <v>8007</v>
      </c>
      <c r="G1219" s="1" t="s">
        <v>8008</v>
      </c>
    </row>
    <row r="1220" spans="1:7">
      <c r="A1220" s="1">
        <v>1219</v>
      </c>
      <c r="B1220" s="1" t="s">
        <v>14816</v>
      </c>
      <c r="D1220" s="1" t="s">
        <v>8010</v>
      </c>
      <c r="E1220" s="1" t="s">
        <v>8011</v>
      </c>
      <c r="F1220" s="1" t="s">
        <v>14817</v>
      </c>
      <c r="G1220" s="1" t="s">
        <v>14818</v>
      </c>
    </row>
    <row r="1221" spans="1:7">
      <c r="A1221" s="1">
        <v>1220</v>
      </c>
      <c r="B1221" s="1" t="s">
        <v>14819</v>
      </c>
      <c r="D1221" s="1" t="s">
        <v>8029</v>
      </c>
      <c r="E1221" s="1" t="s">
        <v>3280</v>
      </c>
      <c r="F1221" s="1" t="s">
        <v>8045</v>
      </c>
      <c r="G1221" s="1" t="s">
        <v>8046</v>
      </c>
    </row>
    <row r="1222" spans="1:7">
      <c r="A1222" s="1">
        <v>1221</v>
      </c>
      <c r="B1222" s="1" t="s">
        <v>14820</v>
      </c>
      <c r="D1222" s="1" t="s">
        <v>8029</v>
      </c>
      <c r="E1222" s="1" t="s">
        <v>3279</v>
      </c>
      <c r="F1222" s="1" t="s">
        <v>8042</v>
      </c>
      <c r="G1222" s="1" t="s">
        <v>8043</v>
      </c>
    </row>
    <row r="1223" spans="1:7">
      <c r="A1223" s="1">
        <v>1222</v>
      </c>
      <c r="B1223" s="1" t="s">
        <v>14821</v>
      </c>
      <c r="D1223" s="1" t="s">
        <v>8029</v>
      </c>
      <c r="E1223" s="1" t="s">
        <v>3275</v>
      </c>
      <c r="F1223" s="1" t="s">
        <v>8038</v>
      </c>
      <c r="G1223" s="1" t="s">
        <v>8039</v>
      </c>
    </row>
    <row r="1224" spans="1:7">
      <c r="A1224" s="1">
        <v>1223</v>
      </c>
      <c r="B1224" s="1" t="s">
        <v>14822</v>
      </c>
      <c r="D1224" s="1" t="s">
        <v>8029</v>
      </c>
      <c r="E1224" s="1" t="s">
        <v>3286</v>
      </c>
      <c r="F1224" s="1" t="s">
        <v>8018</v>
      </c>
      <c r="G1224" s="1" t="s">
        <v>8019</v>
      </c>
    </row>
    <row r="1225" spans="1:7">
      <c r="A1225" s="1">
        <v>1224</v>
      </c>
      <c r="B1225" s="1" t="s">
        <v>14823</v>
      </c>
      <c r="D1225" s="1" t="s">
        <v>8029</v>
      </c>
      <c r="E1225" s="1" t="s">
        <v>3285</v>
      </c>
      <c r="F1225" s="1" t="s">
        <v>8022</v>
      </c>
      <c r="G1225" s="1" t="s">
        <v>8023</v>
      </c>
    </row>
    <row r="1226" spans="1:7">
      <c r="A1226" s="1">
        <v>1225</v>
      </c>
      <c r="B1226" s="1" t="s">
        <v>14824</v>
      </c>
      <c r="D1226" s="1" t="s">
        <v>8029</v>
      </c>
      <c r="E1226" s="1" t="s">
        <v>3278</v>
      </c>
      <c r="F1226" s="1" t="s">
        <v>8055</v>
      </c>
      <c r="G1226" s="1" t="s">
        <v>8056</v>
      </c>
    </row>
    <row r="1227" spans="1:7">
      <c r="A1227" s="1">
        <v>1226</v>
      </c>
      <c r="B1227" s="1" t="s">
        <v>14825</v>
      </c>
      <c r="D1227" s="1" t="s">
        <v>8029</v>
      </c>
      <c r="E1227" s="1" t="s">
        <v>3287</v>
      </c>
      <c r="F1227" s="1" t="s">
        <v>8058</v>
      </c>
      <c r="G1227" s="1" t="s">
        <v>8059</v>
      </c>
    </row>
    <row r="1228" spans="1:7">
      <c r="A1228" s="1">
        <v>1227</v>
      </c>
      <c r="B1228" s="1" t="s">
        <v>14826</v>
      </c>
      <c r="D1228" s="1" t="s">
        <v>8029</v>
      </c>
      <c r="E1228" s="1" t="s">
        <v>3283</v>
      </c>
      <c r="F1228" s="1" t="s">
        <v>8052</v>
      </c>
      <c r="G1228" s="1" t="s">
        <v>8053</v>
      </c>
    </row>
    <row r="1229" spans="1:7">
      <c r="A1229" s="1">
        <v>1228</v>
      </c>
      <c r="B1229" s="1" t="s">
        <v>14827</v>
      </c>
      <c r="D1229" s="1" t="s">
        <v>8029</v>
      </c>
      <c r="E1229" s="1" t="s">
        <v>8034</v>
      </c>
      <c r="F1229" s="1" t="s">
        <v>8035</v>
      </c>
      <c r="G1229" s="1" t="s">
        <v>8036</v>
      </c>
    </row>
    <row r="1230" spans="1:7">
      <c r="A1230" s="1">
        <v>1229</v>
      </c>
      <c r="B1230" s="1" t="s">
        <v>14828</v>
      </c>
      <c r="D1230" s="1" t="s">
        <v>8029</v>
      </c>
      <c r="E1230" s="1" t="s">
        <v>3284</v>
      </c>
      <c r="F1230" s="1" t="s">
        <v>8061</v>
      </c>
      <c r="G1230" s="1" t="s">
        <v>8062</v>
      </c>
    </row>
    <row r="1231" spans="1:7">
      <c r="A1231" s="1">
        <v>1230</v>
      </c>
      <c r="B1231" s="1" t="s">
        <v>14829</v>
      </c>
      <c r="D1231" s="1" t="s">
        <v>8029</v>
      </c>
      <c r="E1231" s="1" t="s">
        <v>3591</v>
      </c>
      <c r="F1231" s="1" t="s">
        <v>8030</v>
      </c>
      <c r="G1231" s="1" t="s">
        <v>8031</v>
      </c>
    </row>
    <row r="1232" spans="1:7">
      <c r="A1232" s="1">
        <v>1231</v>
      </c>
      <c r="B1232" s="1" t="s">
        <v>14830</v>
      </c>
      <c r="D1232" s="1" t="s">
        <v>8029</v>
      </c>
      <c r="E1232" s="1" t="s">
        <v>8048</v>
      </c>
      <c r="F1232" s="1" t="s">
        <v>8049</v>
      </c>
      <c r="G1232" s="1" t="s">
        <v>8050</v>
      </c>
    </row>
    <row r="1233" spans="1:7">
      <c r="A1233" s="1">
        <v>1232</v>
      </c>
      <c r="B1233" s="1" t="s">
        <v>14831</v>
      </c>
      <c r="D1233" s="1" t="s">
        <v>8064</v>
      </c>
      <c r="E1233" s="1" t="s">
        <v>8073</v>
      </c>
      <c r="F1233" s="1" t="s">
        <v>8074</v>
      </c>
      <c r="G1233" s="1" t="s">
        <v>8075</v>
      </c>
    </row>
    <row r="1234" spans="1:7">
      <c r="A1234" s="1">
        <v>1233</v>
      </c>
      <c r="B1234" s="1" t="s">
        <v>14832</v>
      </c>
      <c r="D1234" s="1" t="s">
        <v>8064</v>
      </c>
      <c r="E1234" s="1" t="s">
        <v>8069</v>
      </c>
      <c r="F1234" s="1" t="s">
        <v>8070</v>
      </c>
      <c r="G1234" s="1" t="s">
        <v>8071</v>
      </c>
    </row>
    <row r="1235" spans="1:7">
      <c r="A1235" s="1">
        <v>1234</v>
      </c>
      <c r="B1235" s="1" t="s">
        <v>14833</v>
      </c>
      <c r="D1235" s="1" t="s">
        <v>8064</v>
      </c>
      <c r="E1235" s="1" t="s">
        <v>8077</v>
      </c>
      <c r="F1235" s="1" t="s">
        <v>8078</v>
      </c>
      <c r="G1235" s="1" t="s">
        <v>8079</v>
      </c>
    </row>
    <row r="1236" spans="1:7">
      <c r="A1236" s="1">
        <v>1235</v>
      </c>
      <c r="B1236" s="1" t="s">
        <v>14834</v>
      </c>
      <c r="D1236" s="1" t="s">
        <v>8064</v>
      </c>
      <c r="E1236" s="1" t="s">
        <v>8081</v>
      </c>
      <c r="F1236" s="1" t="s">
        <v>8018</v>
      </c>
      <c r="G1236" s="1" t="s">
        <v>8019</v>
      </c>
    </row>
    <row r="1237" spans="1:7">
      <c r="A1237" s="1">
        <v>1236</v>
      </c>
      <c r="B1237" s="1" t="s">
        <v>14835</v>
      </c>
      <c r="D1237" s="1" t="s">
        <v>8064</v>
      </c>
      <c r="E1237" s="1" t="s">
        <v>8091</v>
      </c>
      <c r="F1237" s="1" t="s">
        <v>8092</v>
      </c>
      <c r="G1237" s="1" t="s">
        <v>8093</v>
      </c>
    </row>
    <row r="1238" spans="1:7">
      <c r="A1238" s="1">
        <v>1237</v>
      </c>
      <c r="B1238" s="1" t="s">
        <v>14836</v>
      </c>
      <c r="D1238" s="1" t="s">
        <v>8064</v>
      </c>
      <c r="E1238" s="1" t="s">
        <v>8089</v>
      </c>
      <c r="F1238" s="1" t="s">
        <v>8058</v>
      </c>
      <c r="G1238" s="1" t="s">
        <v>8059</v>
      </c>
    </row>
    <row r="1239" spans="1:7">
      <c r="A1239" s="1">
        <v>1238</v>
      </c>
      <c r="B1239" s="1" t="s">
        <v>14837</v>
      </c>
      <c r="D1239" s="1" t="s">
        <v>8064</v>
      </c>
      <c r="E1239" s="1" t="s">
        <v>8067</v>
      </c>
      <c r="F1239" s="1" t="s">
        <v>8035</v>
      </c>
      <c r="G1239" s="1" t="s">
        <v>8036</v>
      </c>
    </row>
    <row r="1240" spans="1:7">
      <c r="A1240" s="1">
        <v>1239</v>
      </c>
      <c r="B1240" s="1" t="s">
        <v>14838</v>
      </c>
      <c r="D1240" s="1" t="s">
        <v>8064</v>
      </c>
      <c r="E1240" s="1" t="s">
        <v>8065</v>
      </c>
      <c r="F1240" s="1" t="s">
        <v>8030</v>
      </c>
      <c r="G1240" s="1" t="s">
        <v>8031</v>
      </c>
    </row>
    <row r="1241" spans="1:7">
      <c r="A1241" s="1">
        <v>1240</v>
      </c>
      <c r="B1241" s="1" t="s">
        <v>14839</v>
      </c>
      <c r="D1241" s="1" t="s">
        <v>8064</v>
      </c>
      <c r="E1241" s="1" t="s">
        <v>8083</v>
      </c>
      <c r="F1241" s="1" t="s">
        <v>8049</v>
      </c>
      <c r="G1241" s="1" t="s">
        <v>8050</v>
      </c>
    </row>
    <row r="1242" spans="1:7">
      <c r="A1242" s="1">
        <v>1241</v>
      </c>
      <c r="B1242" s="1" t="s">
        <v>14840</v>
      </c>
      <c r="D1242" s="1" t="s">
        <v>8064</v>
      </c>
      <c r="E1242" s="1" t="s">
        <v>8085</v>
      </c>
      <c r="F1242" s="1" t="s">
        <v>8086</v>
      </c>
      <c r="G1242" s="1" t="s">
        <v>8087</v>
      </c>
    </row>
    <row r="1243" spans="1:7">
      <c r="A1243" s="1">
        <v>1242</v>
      </c>
      <c r="B1243" s="1" t="s">
        <v>14841</v>
      </c>
      <c r="D1243" s="1" t="s">
        <v>8095</v>
      </c>
      <c r="E1243" s="1" t="s">
        <v>8108</v>
      </c>
      <c r="F1243" s="1" t="s">
        <v>8042</v>
      </c>
      <c r="G1243" s="1" t="s">
        <v>8043</v>
      </c>
    </row>
    <row r="1244" spans="1:7">
      <c r="A1244" s="1">
        <v>1243</v>
      </c>
      <c r="B1244" s="1" t="s">
        <v>14842</v>
      </c>
      <c r="D1244" s="1" t="s">
        <v>8095</v>
      </c>
      <c r="E1244" s="1" t="s">
        <v>8110</v>
      </c>
      <c r="F1244" s="1" t="s">
        <v>8111</v>
      </c>
      <c r="G1244" s="1" t="s">
        <v>8112</v>
      </c>
    </row>
    <row r="1245" spans="1:7">
      <c r="A1245" s="1">
        <v>1244</v>
      </c>
      <c r="B1245" s="1" t="s">
        <v>14843</v>
      </c>
      <c r="D1245" s="1" t="s">
        <v>8095</v>
      </c>
      <c r="E1245" s="1" t="s">
        <v>8114</v>
      </c>
      <c r="F1245" s="1" t="s">
        <v>8115</v>
      </c>
      <c r="G1245" s="1" t="s">
        <v>8116</v>
      </c>
    </row>
    <row r="1246" spans="1:7">
      <c r="A1246" s="1">
        <v>1245</v>
      </c>
      <c r="B1246" s="1" t="s">
        <v>14844</v>
      </c>
      <c r="D1246" s="1" t="s">
        <v>8095</v>
      </c>
      <c r="E1246" s="1" t="s">
        <v>8106</v>
      </c>
      <c r="F1246" s="1" t="s">
        <v>8018</v>
      </c>
      <c r="G1246" s="1" t="s">
        <v>8019</v>
      </c>
    </row>
    <row r="1247" spans="1:7">
      <c r="A1247" s="1">
        <v>1246</v>
      </c>
      <c r="B1247" s="1" t="s">
        <v>14845</v>
      </c>
      <c r="D1247" s="1" t="s">
        <v>8095</v>
      </c>
      <c r="E1247" s="1" t="s">
        <v>8102</v>
      </c>
      <c r="F1247" s="1" t="s">
        <v>8022</v>
      </c>
      <c r="G1247" s="1" t="s">
        <v>8023</v>
      </c>
    </row>
    <row r="1248" spans="1:7">
      <c r="A1248" s="1">
        <v>1247</v>
      </c>
      <c r="B1248" s="1" t="s">
        <v>14846</v>
      </c>
      <c r="D1248" s="1" t="s">
        <v>8095</v>
      </c>
      <c r="E1248" s="1" t="s">
        <v>8124</v>
      </c>
      <c r="F1248" s="1" t="s">
        <v>8058</v>
      </c>
      <c r="G1248" s="1" t="s">
        <v>8059</v>
      </c>
    </row>
    <row r="1249" spans="1:7">
      <c r="A1249" s="1">
        <v>1248</v>
      </c>
      <c r="B1249" s="1" t="s">
        <v>14847</v>
      </c>
      <c r="D1249" s="1" t="s">
        <v>8095</v>
      </c>
      <c r="E1249" s="1" t="s">
        <v>8122</v>
      </c>
      <c r="F1249" s="1" t="s">
        <v>8055</v>
      </c>
      <c r="G1249" s="1" t="s">
        <v>8056</v>
      </c>
    </row>
    <row r="1250" spans="1:7">
      <c r="A1250" s="1">
        <v>1249</v>
      </c>
      <c r="B1250" s="1" t="s">
        <v>14848</v>
      </c>
      <c r="D1250" s="1" t="s">
        <v>8095</v>
      </c>
      <c r="E1250" s="1" t="s">
        <v>8120</v>
      </c>
      <c r="F1250" s="1" t="s">
        <v>8052</v>
      </c>
      <c r="G1250" s="1" t="s">
        <v>8053</v>
      </c>
    </row>
    <row r="1251" spans="1:7">
      <c r="A1251" s="1">
        <v>1250</v>
      </c>
      <c r="B1251" s="1" t="s">
        <v>14849</v>
      </c>
      <c r="D1251" s="1" t="s">
        <v>8095</v>
      </c>
      <c r="E1251" s="1" t="s">
        <v>6831</v>
      </c>
      <c r="F1251" s="1" t="s">
        <v>14850</v>
      </c>
      <c r="G1251" s="1" t="s">
        <v>14851</v>
      </c>
    </row>
    <row r="1252" spans="1:7">
      <c r="A1252" s="1">
        <v>1251</v>
      </c>
      <c r="B1252" s="1" t="s">
        <v>14852</v>
      </c>
      <c r="D1252" s="1" t="s">
        <v>8095</v>
      </c>
      <c r="E1252" s="1" t="s">
        <v>8104</v>
      </c>
      <c r="F1252" s="1" t="s">
        <v>8035</v>
      </c>
      <c r="G1252" s="1" t="s">
        <v>8036</v>
      </c>
    </row>
    <row r="1253" spans="1:7">
      <c r="A1253" s="1">
        <v>1252</v>
      </c>
      <c r="B1253" s="1" t="s">
        <v>14853</v>
      </c>
      <c r="D1253" s="1" t="s">
        <v>8095</v>
      </c>
      <c r="E1253" s="1" t="s">
        <v>8126</v>
      </c>
      <c r="F1253" s="1" t="s">
        <v>8061</v>
      </c>
      <c r="G1253" s="1" t="s">
        <v>8062</v>
      </c>
    </row>
    <row r="1254" spans="1:7">
      <c r="A1254" s="1">
        <v>1253</v>
      </c>
      <c r="B1254" s="1" t="s">
        <v>14854</v>
      </c>
      <c r="D1254" s="1" t="s">
        <v>8095</v>
      </c>
      <c r="E1254" s="1" t="s">
        <v>8098</v>
      </c>
      <c r="F1254" s="1" t="s">
        <v>8099</v>
      </c>
      <c r="G1254" s="1" t="s">
        <v>8100</v>
      </c>
    </row>
    <row r="1255" spans="1:7">
      <c r="A1255" s="1">
        <v>1254</v>
      </c>
      <c r="B1255" s="1" t="s">
        <v>14855</v>
      </c>
      <c r="D1255" s="1" t="s">
        <v>8095</v>
      </c>
      <c r="E1255" s="1" t="s">
        <v>8096</v>
      </c>
      <c r="F1255" s="1" t="s">
        <v>8030</v>
      </c>
      <c r="G1255" s="1" t="s">
        <v>8031</v>
      </c>
    </row>
    <row r="1256" spans="1:7">
      <c r="A1256" s="1">
        <v>1255</v>
      </c>
      <c r="B1256" s="1" t="s">
        <v>14856</v>
      </c>
      <c r="D1256" s="1" t="s">
        <v>8095</v>
      </c>
      <c r="E1256" s="1" t="s">
        <v>8118</v>
      </c>
      <c r="F1256" s="1" t="s">
        <v>8049</v>
      </c>
      <c r="G1256" s="1" t="s">
        <v>8050</v>
      </c>
    </row>
    <row r="1257" spans="1:7">
      <c r="A1257" s="1">
        <v>1256</v>
      </c>
      <c r="B1257" s="1" t="s">
        <v>14857</v>
      </c>
      <c r="D1257" s="1" t="s">
        <v>8095</v>
      </c>
      <c r="E1257" s="1" t="s">
        <v>8128</v>
      </c>
      <c r="F1257" s="1" t="s">
        <v>8129</v>
      </c>
      <c r="G1257" s="1" t="s">
        <v>8130</v>
      </c>
    </row>
    <row r="1258" spans="1:7">
      <c r="A1258" s="1">
        <v>1257</v>
      </c>
      <c r="B1258" s="1" t="s">
        <v>14858</v>
      </c>
      <c r="D1258" s="1" t="s">
        <v>8132</v>
      </c>
      <c r="E1258" s="1" t="s">
        <v>8157</v>
      </c>
      <c r="F1258" s="1" t="s">
        <v>8129</v>
      </c>
      <c r="G1258" s="1" t="s">
        <v>8130</v>
      </c>
    </row>
    <row r="1259" spans="1:7">
      <c r="A1259" s="1">
        <v>1258</v>
      </c>
      <c r="B1259" s="1" t="s">
        <v>14859</v>
      </c>
      <c r="D1259" s="1" t="s">
        <v>8132</v>
      </c>
      <c r="E1259" s="1" t="s">
        <v>8143</v>
      </c>
      <c r="F1259" s="1" t="s">
        <v>8042</v>
      </c>
      <c r="G1259" s="1" t="s">
        <v>8043</v>
      </c>
    </row>
    <row r="1260" spans="1:7">
      <c r="A1260" s="1">
        <v>1259</v>
      </c>
      <c r="B1260" s="1" t="s">
        <v>14860</v>
      </c>
      <c r="D1260" s="1" t="s">
        <v>8132</v>
      </c>
      <c r="E1260" s="1" t="s">
        <v>8145</v>
      </c>
      <c r="F1260" s="1" t="s">
        <v>8111</v>
      </c>
      <c r="G1260" s="1" t="s">
        <v>8112</v>
      </c>
    </row>
    <row r="1261" spans="1:7">
      <c r="A1261" s="1">
        <v>1260</v>
      </c>
      <c r="B1261" s="1" t="s">
        <v>14861</v>
      </c>
      <c r="D1261" s="1" t="s">
        <v>8132</v>
      </c>
      <c r="E1261" s="1" t="s">
        <v>8147</v>
      </c>
      <c r="F1261" s="1" t="s">
        <v>8115</v>
      </c>
      <c r="G1261" s="1" t="s">
        <v>8116</v>
      </c>
    </row>
    <row r="1262" spans="1:7">
      <c r="A1262" s="1">
        <v>1261</v>
      </c>
      <c r="B1262" s="1" t="s">
        <v>14862</v>
      </c>
      <c r="D1262" s="1" t="s">
        <v>8132</v>
      </c>
      <c r="E1262" s="1" t="s">
        <v>8141</v>
      </c>
      <c r="F1262" s="1" t="s">
        <v>8018</v>
      </c>
      <c r="G1262" s="1" t="s">
        <v>8019</v>
      </c>
    </row>
    <row r="1263" spans="1:7">
      <c r="A1263" s="1">
        <v>1262</v>
      </c>
      <c r="B1263" s="1" t="s">
        <v>14863</v>
      </c>
      <c r="D1263" s="1" t="s">
        <v>8132</v>
      </c>
      <c r="E1263" s="1" t="s">
        <v>8137</v>
      </c>
      <c r="F1263" s="1" t="s">
        <v>8022</v>
      </c>
      <c r="G1263" s="1" t="s">
        <v>8023</v>
      </c>
    </row>
    <row r="1264" spans="1:7">
      <c r="A1264" s="1">
        <v>1263</v>
      </c>
      <c r="B1264" s="1" t="s">
        <v>14864</v>
      </c>
      <c r="D1264" s="1" t="s">
        <v>8132</v>
      </c>
      <c r="E1264" s="1" t="s">
        <v>8153</v>
      </c>
      <c r="F1264" s="1" t="s">
        <v>8058</v>
      </c>
      <c r="G1264" s="1" t="s">
        <v>8059</v>
      </c>
    </row>
    <row r="1265" spans="1:7">
      <c r="A1265" s="1">
        <v>1264</v>
      </c>
      <c r="B1265" s="1" t="s">
        <v>14865</v>
      </c>
      <c r="D1265" s="1" t="s">
        <v>8132</v>
      </c>
      <c r="E1265" s="1" t="s">
        <v>8151</v>
      </c>
      <c r="F1265" s="1" t="s">
        <v>8052</v>
      </c>
      <c r="G1265" s="1" t="s">
        <v>8053</v>
      </c>
    </row>
    <row r="1266" spans="1:7">
      <c r="A1266" s="1">
        <v>1265</v>
      </c>
      <c r="B1266" s="1" t="s">
        <v>14866</v>
      </c>
      <c r="D1266" s="1" t="s">
        <v>8132</v>
      </c>
      <c r="E1266" s="1" t="s">
        <v>6839</v>
      </c>
      <c r="F1266" s="1" t="s">
        <v>14850</v>
      </c>
      <c r="G1266" s="1" t="s">
        <v>14851</v>
      </c>
    </row>
    <row r="1267" spans="1:7">
      <c r="A1267" s="1">
        <v>1266</v>
      </c>
      <c r="B1267" s="1" t="s">
        <v>14867</v>
      </c>
      <c r="D1267" s="1" t="s">
        <v>8132</v>
      </c>
      <c r="E1267" s="1" t="s">
        <v>8139</v>
      </c>
      <c r="F1267" s="1" t="s">
        <v>8035</v>
      </c>
      <c r="G1267" s="1" t="s">
        <v>8036</v>
      </c>
    </row>
    <row r="1268" spans="1:7">
      <c r="A1268" s="1">
        <v>1267</v>
      </c>
      <c r="B1268" s="1" t="s">
        <v>14868</v>
      </c>
      <c r="D1268" s="1" t="s">
        <v>8132</v>
      </c>
      <c r="E1268" s="1" t="s">
        <v>8155</v>
      </c>
      <c r="F1268" s="1" t="s">
        <v>8061</v>
      </c>
      <c r="G1268" s="1" t="s">
        <v>8062</v>
      </c>
    </row>
    <row r="1269" spans="1:7">
      <c r="A1269" s="1">
        <v>1268</v>
      </c>
      <c r="B1269" s="1" t="s">
        <v>14869</v>
      </c>
      <c r="D1269" s="1" t="s">
        <v>8132</v>
      </c>
      <c r="E1269" s="1" t="s">
        <v>8135</v>
      </c>
      <c r="F1269" s="1" t="s">
        <v>8099</v>
      </c>
      <c r="G1269" s="1" t="s">
        <v>8100</v>
      </c>
    </row>
    <row r="1270" spans="1:7">
      <c r="A1270" s="1">
        <v>1269</v>
      </c>
      <c r="B1270" s="1" t="s">
        <v>14870</v>
      </c>
      <c r="D1270" s="1" t="s">
        <v>8132</v>
      </c>
      <c r="E1270" s="1" t="s">
        <v>8133</v>
      </c>
      <c r="F1270" s="1" t="s">
        <v>8030</v>
      </c>
      <c r="G1270" s="1" t="s">
        <v>8031</v>
      </c>
    </row>
    <row r="1271" spans="1:7">
      <c r="A1271" s="1">
        <v>1270</v>
      </c>
      <c r="B1271" s="1" t="s">
        <v>14871</v>
      </c>
      <c r="D1271" s="1" t="s">
        <v>8132</v>
      </c>
      <c r="E1271" s="1" t="s">
        <v>8149</v>
      </c>
      <c r="F1271" s="1" t="s">
        <v>8049</v>
      </c>
      <c r="G1271" s="1" t="s">
        <v>8050</v>
      </c>
    </row>
    <row r="1272" spans="1:7">
      <c r="A1272" s="1">
        <v>1271</v>
      </c>
      <c r="B1272" s="1" t="s">
        <v>14872</v>
      </c>
      <c r="D1272" s="1" t="s">
        <v>8132</v>
      </c>
      <c r="E1272" s="1" t="s">
        <v>7428</v>
      </c>
      <c r="F1272" s="1" t="s">
        <v>14873</v>
      </c>
      <c r="G1272" s="1" t="s">
        <v>14874</v>
      </c>
    </row>
    <row r="1273" spans="1:7">
      <c r="A1273" s="1">
        <v>1272</v>
      </c>
      <c r="B1273" s="1" t="s">
        <v>14875</v>
      </c>
      <c r="D1273" s="1" t="s">
        <v>8199</v>
      </c>
      <c r="E1273" s="1" t="s">
        <v>1266</v>
      </c>
      <c r="F1273" s="1" t="s">
        <v>8232</v>
      </c>
      <c r="G1273" s="1" t="s">
        <v>8233</v>
      </c>
    </row>
    <row r="1274" spans="1:7">
      <c r="A1274" s="1">
        <v>1273</v>
      </c>
      <c r="B1274" s="1" t="s">
        <v>14876</v>
      </c>
      <c r="D1274" s="1" t="s">
        <v>8199</v>
      </c>
      <c r="E1274" s="1" t="s">
        <v>8200</v>
      </c>
      <c r="F1274" s="1" t="s">
        <v>1359</v>
      </c>
      <c r="G1274" s="1" t="s">
        <v>1360</v>
      </c>
    </row>
    <row r="1275" spans="1:7">
      <c r="A1275" s="1">
        <v>1274</v>
      </c>
      <c r="B1275" s="1" t="s">
        <v>14877</v>
      </c>
      <c r="D1275" s="1" t="s">
        <v>8199</v>
      </c>
      <c r="E1275" s="1" t="s">
        <v>1270</v>
      </c>
      <c r="F1275" s="1" t="s">
        <v>8202</v>
      </c>
      <c r="G1275" s="1" t="s">
        <v>8203</v>
      </c>
    </row>
    <row r="1276" spans="1:7">
      <c r="A1276" s="1">
        <v>1275</v>
      </c>
      <c r="B1276" s="1" t="s">
        <v>14878</v>
      </c>
      <c r="D1276" s="1" t="s">
        <v>8199</v>
      </c>
      <c r="E1276" s="1" t="s">
        <v>1274</v>
      </c>
      <c r="F1276" s="1" t="s">
        <v>8202</v>
      </c>
      <c r="G1276" s="1" t="s">
        <v>8203</v>
      </c>
    </row>
    <row r="1277" spans="1:7">
      <c r="A1277" s="1">
        <v>1276</v>
      </c>
      <c r="B1277" s="1" t="s">
        <v>14879</v>
      </c>
      <c r="D1277" s="1" t="s">
        <v>8199</v>
      </c>
      <c r="E1277" s="1" t="s">
        <v>1278</v>
      </c>
      <c r="F1277" s="1" t="s">
        <v>8206</v>
      </c>
      <c r="G1277" s="1" t="s">
        <v>8207</v>
      </c>
    </row>
    <row r="1278" spans="1:7">
      <c r="A1278" s="1">
        <v>1277</v>
      </c>
      <c r="B1278" s="1" t="s">
        <v>14880</v>
      </c>
      <c r="D1278" s="1" t="s">
        <v>8199</v>
      </c>
      <c r="E1278" s="1" t="s">
        <v>1282</v>
      </c>
      <c r="F1278" s="1" t="s">
        <v>8210</v>
      </c>
      <c r="G1278" s="1" t="s">
        <v>8211</v>
      </c>
    </row>
    <row r="1279" spans="1:7">
      <c r="A1279" s="1">
        <v>1278</v>
      </c>
      <c r="B1279" s="1" t="s">
        <v>14881</v>
      </c>
      <c r="D1279" s="1" t="s">
        <v>8199</v>
      </c>
      <c r="E1279" s="1" t="s">
        <v>1286</v>
      </c>
      <c r="F1279" s="1" t="s">
        <v>8235</v>
      </c>
      <c r="G1279" s="1" t="s">
        <v>8236</v>
      </c>
    </row>
    <row r="1280" spans="1:7">
      <c r="A1280" s="1">
        <v>1279</v>
      </c>
      <c r="B1280" s="1" t="s">
        <v>14882</v>
      </c>
      <c r="D1280" s="1" t="s">
        <v>8199</v>
      </c>
      <c r="E1280" s="1" t="s">
        <v>1290</v>
      </c>
      <c r="F1280" s="1" t="s">
        <v>8242</v>
      </c>
      <c r="G1280" s="1" t="s">
        <v>8243</v>
      </c>
    </row>
    <row r="1281" spans="1:7">
      <c r="A1281" s="1">
        <v>1280</v>
      </c>
      <c r="B1281" s="1" t="s">
        <v>14883</v>
      </c>
      <c r="D1281" s="1" t="s">
        <v>8199</v>
      </c>
      <c r="E1281" s="1" t="s">
        <v>1294</v>
      </c>
      <c r="F1281" s="1" t="s">
        <v>1295</v>
      </c>
      <c r="G1281" s="1" t="s">
        <v>1296</v>
      </c>
    </row>
    <row r="1282" spans="1:7">
      <c r="A1282" s="1">
        <v>1281</v>
      </c>
      <c r="B1282" s="1" t="s">
        <v>14884</v>
      </c>
      <c r="D1282" s="1" t="s">
        <v>8199</v>
      </c>
      <c r="E1282" s="1" t="s">
        <v>1298</v>
      </c>
      <c r="F1282" s="1" t="s">
        <v>8238</v>
      </c>
      <c r="G1282" s="1" t="s">
        <v>8239</v>
      </c>
    </row>
    <row r="1283" spans="1:7">
      <c r="A1283" s="1">
        <v>1282</v>
      </c>
      <c r="B1283" s="1" t="s">
        <v>14885</v>
      </c>
      <c r="D1283" s="1" t="s">
        <v>8199</v>
      </c>
      <c r="E1283" s="1" t="s">
        <v>1302</v>
      </c>
      <c r="F1283" s="1" t="s">
        <v>8213</v>
      </c>
      <c r="G1283" s="1" t="s">
        <v>8214</v>
      </c>
    </row>
    <row r="1284" spans="1:7">
      <c r="A1284" s="1">
        <v>1283</v>
      </c>
      <c r="B1284" s="1" t="s">
        <v>14886</v>
      </c>
      <c r="D1284" s="1" t="s">
        <v>8199</v>
      </c>
      <c r="E1284" s="1" t="s">
        <v>4068</v>
      </c>
      <c r="F1284" s="1" t="s">
        <v>1327</v>
      </c>
      <c r="G1284" s="1" t="s">
        <v>1328</v>
      </c>
    </row>
    <row r="1285" spans="1:7">
      <c r="A1285" s="1">
        <v>1284</v>
      </c>
      <c r="B1285" s="1" t="s">
        <v>14887</v>
      </c>
      <c r="D1285" s="1" t="s">
        <v>8199</v>
      </c>
      <c r="E1285" s="1" t="s">
        <v>1306</v>
      </c>
      <c r="F1285" s="1" t="s">
        <v>8217</v>
      </c>
      <c r="G1285" s="1" t="s">
        <v>8218</v>
      </c>
    </row>
    <row r="1286" spans="1:7">
      <c r="A1286" s="1">
        <v>1285</v>
      </c>
      <c r="B1286" s="1" t="s">
        <v>14888</v>
      </c>
      <c r="D1286" s="1" t="s">
        <v>8199</v>
      </c>
      <c r="E1286" s="1" t="s">
        <v>1310</v>
      </c>
      <c r="F1286" s="1" t="s">
        <v>8220</v>
      </c>
      <c r="G1286" s="1" t="s">
        <v>8221</v>
      </c>
    </row>
    <row r="1287" spans="1:7">
      <c r="A1287" s="1">
        <v>1286</v>
      </c>
      <c r="B1287" s="1" t="s">
        <v>14889</v>
      </c>
      <c r="D1287" s="1" t="s">
        <v>8199</v>
      </c>
      <c r="E1287" s="1" t="s">
        <v>8223</v>
      </c>
      <c r="F1287" s="1" t="s">
        <v>8224</v>
      </c>
      <c r="G1287" s="1" t="s">
        <v>8225</v>
      </c>
    </row>
    <row r="1288" spans="1:7">
      <c r="A1288" s="1">
        <v>1287</v>
      </c>
      <c r="B1288" s="1" t="s">
        <v>14890</v>
      </c>
      <c r="D1288" s="1" t="s">
        <v>8199</v>
      </c>
      <c r="E1288" s="1" t="s">
        <v>8227</v>
      </c>
      <c r="F1288" s="1" t="s">
        <v>8228</v>
      </c>
      <c r="G1288" s="1" t="s">
        <v>8229</v>
      </c>
    </row>
    <row r="1289" spans="1:7">
      <c r="A1289" s="1">
        <v>1288</v>
      </c>
      <c r="B1289" s="1" t="s">
        <v>14891</v>
      </c>
      <c r="D1289" s="1" t="s">
        <v>8199</v>
      </c>
      <c r="E1289" s="1" t="s">
        <v>4073</v>
      </c>
      <c r="F1289" s="1" t="s">
        <v>1351</v>
      </c>
      <c r="G1289" s="1" t="s">
        <v>1352</v>
      </c>
    </row>
    <row r="1290" spans="1:7">
      <c r="A1290" s="1">
        <v>1289</v>
      </c>
      <c r="B1290" s="1" t="s">
        <v>14892</v>
      </c>
      <c r="D1290" s="1" t="s">
        <v>8199</v>
      </c>
      <c r="E1290" s="1" t="s">
        <v>8245</v>
      </c>
      <c r="F1290" s="1" t="s">
        <v>8246</v>
      </c>
      <c r="G1290" s="1" t="s">
        <v>8247</v>
      </c>
    </row>
    <row r="1291" spans="1:7">
      <c r="A1291" s="1">
        <v>1290</v>
      </c>
      <c r="B1291" s="1" t="s">
        <v>14893</v>
      </c>
      <c r="D1291" s="1" t="s">
        <v>8199</v>
      </c>
      <c r="E1291" s="1" t="s">
        <v>1314</v>
      </c>
      <c r="F1291" s="1" t="s">
        <v>8249</v>
      </c>
      <c r="G1291" s="1" t="s">
        <v>8250</v>
      </c>
    </row>
    <row r="1292" spans="1:7">
      <c r="A1292" s="1">
        <v>1291</v>
      </c>
      <c r="B1292" s="1" t="s">
        <v>14894</v>
      </c>
      <c r="D1292" s="1" t="s">
        <v>8199</v>
      </c>
      <c r="E1292" s="1" t="s">
        <v>1318</v>
      </c>
      <c r="F1292" s="1" t="s">
        <v>8252</v>
      </c>
      <c r="G1292" s="1" t="s">
        <v>8253</v>
      </c>
    </row>
    <row r="1293" spans="1:7">
      <c r="A1293" s="1">
        <v>1292</v>
      </c>
      <c r="B1293" s="1" t="s">
        <v>14895</v>
      </c>
      <c r="D1293" s="1" t="s">
        <v>8199</v>
      </c>
      <c r="E1293" s="1" t="s">
        <v>3684</v>
      </c>
      <c r="F1293" s="1" t="s">
        <v>8255</v>
      </c>
      <c r="G1293" s="1" t="s">
        <v>8256</v>
      </c>
    </row>
    <row r="1294" spans="1:7">
      <c r="A1294" s="1">
        <v>1293</v>
      </c>
      <c r="B1294" s="1" t="s">
        <v>14896</v>
      </c>
      <c r="D1294" s="1" t="s">
        <v>8199</v>
      </c>
      <c r="E1294" s="1" t="s">
        <v>3685</v>
      </c>
      <c r="F1294" s="1" t="s">
        <v>8258</v>
      </c>
      <c r="G1294" s="1" t="s">
        <v>8259</v>
      </c>
    </row>
    <row r="1295" spans="1:7">
      <c r="A1295" s="1">
        <v>1294</v>
      </c>
      <c r="B1295" s="1" t="s">
        <v>14897</v>
      </c>
      <c r="D1295" s="1" t="s">
        <v>8199</v>
      </c>
      <c r="E1295" s="1" t="s">
        <v>1322</v>
      </c>
      <c r="F1295" s="1" t="s">
        <v>8261</v>
      </c>
      <c r="G1295" s="1" t="s">
        <v>8262</v>
      </c>
    </row>
    <row r="1296" spans="1:7">
      <c r="A1296" s="1">
        <v>1295</v>
      </c>
      <c r="B1296" s="1" t="s">
        <v>14898</v>
      </c>
      <c r="D1296" s="1" t="s">
        <v>8199</v>
      </c>
      <c r="E1296" s="1" t="s">
        <v>4076</v>
      </c>
      <c r="F1296" s="1" t="s">
        <v>1339</v>
      </c>
      <c r="G1296" s="1" t="s">
        <v>1340</v>
      </c>
    </row>
    <row r="1297" spans="1:7">
      <c r="A1297" s="1">
        <v>1296</v>
      </c>
      <c r="B1297" s="1" t="s">
        <v>14899</v>
      </c>
      <c r="D1297" s="1" t="s">
        <v>8264</v>
      </c>
      <c r="E1297" s="1" t="s">
        <v>10475</v>
      </c>
      <c r="F1297" s="1" t="s">
        <v>8232</v>
      </c>
      <c r="G1297" s="1" t="s">
        <v>8233</v>
      </c>
    </row>
    <row r="1298" spans="1:7">
      <c r="A1298" s="1">
        <v>1297</v>
      </c>
      <c r="B1298" s="1" t="s">
        <v>14900</v>
      </c>
      <c r="D1298" s="1" t="s">
        <v>8264</v>
      </c>
      <c r="E1298" s="1" t="s">
        <v>6756</v>
      </c>
      <c r="F1298" s="1" t="s">
        <v>1359</v>
      </c>
      <c r="G1298" s="1" t="s">
        <v>1360</v>
      </c>
    </row>
    <row r="1299" spans="1:7">
      <c r="A1299" s="1">
        <v>1298</v>
      </c>
      <c r="B1299" s="1" t="s">
        <v>14901</v>
      </c>
      <c r="D1299" s="1" t="s">
        <v>8264</v>
      </c>
      <c r="E1299" s="1" t="s">
        <v>10483</v>
      </c>
      <c r="F1299" s="1" t="s">
        <v>8202</v>
      </c>
      <c r="G1299" s="1" t="s">
        <v>8203</v>
      </c>
    </row>
    <row r="1300" spans="1:7">
      <c r="A1300" s="1">
        <v>1299</v>
      </c>
      <c r="B1300" s="1" t="s">
        <v>14902</v>
      </c>
      <c r="D1300" s="1" t="s">
        <v>8264</v>
      </c>
      <c r="E1300" s="1" t="s">
        <v>10487</v>
      </c>
      <c r="F1300" s="1" t="s">
        <v>8202</v>
      </c>
      <c r="G1300" s="1" t="s">
        <v>8203</v>
      </c>
    </row>
    <row r="1301" spans="1:7">
      <c r="A1301" s="1">
        <v>1300</v>
      </c>
      <c r="B1301" s="1" t="s">
        <v>14903</v>
      </c>
      <c r="D1301" s="1" t="s">
        <v>8264</v>
      </c>
      <c r="E1301" s="1" t="s">
        <v>10492</v>
      </c>
      <c r="F1301" s="1" t="s">
        <v>8206</v>
      </c>
      <c r="G1301" s="1" t="s">
        <v>8207</v>
      </c>
    </row>
    <row r="1302" spans="1:7">
      <c r="A1302" s="1">
        <v>1301</v>
      </c>
      <c r="B1302" s="1" t="s">
        <v>14904</v>
      </c>
      <c r="D1302" s="1" t="s">
        <v>8264</v>
      </c>
      <c r="E1302" s="1" t="s">
        <v>10496</v>
      </c>
      <c r="F1302" s="1" t="s">
        <v>8210</v>
      </c>
      <c r="G1302" s="1" t="s">
        <v>8211</v>
      </c>
    </row>
    <row r="1303" spans="1:7">
      <c r="A1303" s="1">
        <v>1302</v>
      </c>
      <c r="B1303" s="1" t="s">
        <v>14905</v>
      </c>
      <c r="D1303" s="1" t="s">
        <v>8264</v>
      </c>
      <c r="E1303" s="1" t="s">
        <v>10501</v>
      </c>
      <c r="F1303" s="1" t="s">
        <v>8235</v>
      </c>
      <c r="G1303" s="1" t="s">
        <v>8236</v>
      </c>
    </row>
    <row r="1304" spans="1:7">
      <c r="A1304" s="1">
        <v>1303</v>
      </c>
      <c r="B1304" s="1" t="s">
        <v>14906</v>
      </c>
      <c r="D1304" s="1" t="s">
        <v>8264</v>
      </c>
      <c r="E1304" s="1" t="s">
        <v>10505</v>
      </c>
      <c r="F1304" s="1" t="s">
        <v>8242</v>
      </c>
      <c r="G1304" s="1" t="s">
        <v>8243</v>
      </c>
    </row>
    <row r="1305" spans="1:7">
      <c r="A1305" s="1">
        <v>1304</v>
      </c>
      <c r="B1305" s="1" t="s">
        <v>14907</v>
      </c>
      <c r="D1305" s="1" t="s">
        <v>8264</v>
      </c>
      <c r="E1305" s="1" t="s">
        <v>10518</v>
      </c>
      <c r="F1305" s="1" t="s">
        <v>1295</v>
      </c>
      <c r="G1305" s="1" t="s">
        <v>1296</v>
      </c>
    </row>
    <row r="1306" spans="1:7">
      <c r="A1306" s="1">
        <v>1305</v>
      </c>
      <c r="B1306" s="1" t="s">
        <v>14908</v>
      </c>
      <c r="D1306" s="1" t="s">
        <v>8264</v>
      </c>
      <c r="E1306" s="1" t="s">
        <v>10510</v>
      </c>
      <c r="F1306" s="1" t="s">
        <v>8238</v>
      </c>
      <c r="G1306" s="1" t="s">
        <v>8239</v>
      </c>
    </row>
    <row r="1307" spans="1:7">
      <c r="A1307" s="1">
        <v>1306</v>
      </c>
      <c r="B1307" s="1" t="s">
        <v>14909</v>
      </c>
      <c r="D1307" s="1" t="s">
        <v>8264</v>
      </c>
      <c r="E1307" s="1" t="s">
        <v>10514</v>
      </c>
      <c r="F1307" s="1" t="s">
        <v>8213</v>
      </c>
      <c r="G1307" s="1" t="s">
        <v>8214</v>
      </c>
    </row>
    <row r="1308" spans="1:7">
      <c r="A1308" s="1">
        <v>1307</v>
      </c>
      <c r="B1308" s="1" t="s">
        <v>14910</v>
      </c>
      <c r="D1308" s="1" t="s">
        <v>8264</v>
      </c>
      <c r="E1308" s="1" t="s">
        <v>14911</v>
      </c>
      <c r="F1308" s="1" t="s">
        <v>1327</v>
      </c>
      <c r="G1308" s="1" t="s">
        <v>1328</v>
      </c>
    </row>
    <row r="1309" spans="1:7">
      <c r="A1309" s="1">
        <v>1308</v>
      </c>
      <c r="B1309" s="1" t="s">
        <v>14912</v>
      </c>
      <c r="D1309" s="1" t="s">
        <v>8264</v>
      </c>
      <c r="E1309" s="1" t="s">
        <v>10522</v>
      </c>
      <c r="F1309" s="1" t="s">
        <v>8217</v>
      </c>
      <c r="G1309" s="1" t="s">
        <v>8218</v>
      </c>
    </row>
    <row r="1310" spans="1:7">
      <c r="A1310" s="1">
        <v>1309</v>
      </c>
      <c r="B1310" s="1" t="s">
        <v>14913</v>
      </c>
      <c r="D1310" s="1" t="s">
        <v>8264</v>
      </c>
      <c r="E1310" s="1" t="s">
        <v>10526</v>
      </c>
      <c r="F1310" s="1" t="s">
        <v>8220</v>
      </c>
      <c r="G1310" s="1" t="s">
        <v>8221</v>
      </c>
    </row>
    <row r="1311" spans="1:7">
      <c r="A1311" s="1">
        <v>1310</v>
      </c>
      <c r="B1311" s="1" t="s">
        <v>14914</v>
      </c>
      <c r="D1311" s="1" t="s">
        <v>8264</v>
      </c>
      <c r="E1311" s="1" t="s">
        <v>10530</v>
      </c>
      <c r="F1311" s="1" t="s">
        <v>8224</v>
      </c>
      <c r="G1311" s="1" t="s">
        <v>8225</v>
      </c>
    </row>
    <row r="1312" spans="1:7">
      <c r="A1312" s="1">
        <v>1311</v>
      </c>
      <c r="B1312" s="1" t="s">
        <v>14915</v>
      </c>
      <c r="D1312" s="1" t="s">
        <v>8264</v>
      </c>
      <c r="E1312" s="1" t="s">
        <v>10535</v>
      </c>
      <c r="F1312" s="1" t="s">
        <v>8228</v>
      </c>
      <c r="G1312" s="1" t="s">
        <v>8229</v>
      </c>
    </row>
    <row r="1313" spans="1:7">
      <c r="A1313" s="1">
        <v>1312</v>
      </c>
      <c r="B1313" s="1" t="s">
        <v>14916</v>
      </c>
      <c r="D1313" s="1" t="s">
        <v>8264</v>
      </c>
      <c r="E1313" s="1" t="s">
        <v>10539</v>
      </c>
      <c r="F1313" s="1" t="s">
        <v>1351</v>
      </c>
      <c r="G1313" s="1" t="s">
        <v>1352</v>
      </c>
    </row>
    <row r="1314" spans="1:7">
      <c r="A1314" s="1">
        <v>1313</v>
      </c>
      <c r="B1314" s="1" t="s">
        <v>14917</v>
      </c>
      <c r="D1314" s="1" t="s">
        <v>8264</v>
      </c>
      <c r="E1314" s="1" t="s">
        <v>14918</v>
      </c>
      <c r="F1314" s="1" t="s">
        <v>8246</v>
      </c>
      <c r="G1314" s="1" t="s">
        <v>8247</v>
      </c>
    </row>
    <row r="1315" spans="1:7">
      <c r="A1315" s="1">
        <v>1314</v>
      </c>
      <c r="B1315" s="1" t="s">
        <v>14919</v>
      </c>
      <c r="D1315" s="1" t="s">
        <v>8264</v>
      </c>
      <c r="E1315" s="1" t="s">
        <v>10544</v>
      </c>
      <c r="F1315" s="1" t="s">
        <v>8249</v>
      </c>
      <c r="G1315" s="1" t="s">
        <v>8250</v>
      </c>
    </row>
    <row r="1316" spans="1:7">
      <c r="A1316" s="1">
        <v>1315</v>
      </c>
      <c r="B1316" s="1" t="s">
        <v>14920</v>
      </c>
      <c r="D1316" s="1" t="s">
        <v>8264</v>
      </c>
      <c r="E1316" s="1" t="s">
        <v>14921</v>
      </c>
      <c r="F1316" s="1" t="s">
        <v>8252</v>
      </c>
      <c r="G1316" s="1" t="s">
        <v>8253</v>
      </c>
    </row>
    <row r="1317" spans="1:7">
      <c r="A1317" s="1">
        <v>1316</v>
      </c>
      <c r="B1317" s="1" t="s">
        <v>14922</v>
      </c>
      <c r="D1317" s="1" t="s">
        <v>8264</v>
      </c>
      <c r="E1317" s="1" t="s">
        <v>14923</v>
      </c>
      <c r="F1317" s="1" t="s">
        <v>8255</v>
      </c>
      <c r="G1317" s="1" t="s">
        <v>8256</v>
      </c>
    </row>
    <row r="1318" spans="1:7">
      <c r="A1318" s="1">
        <v>1317</v>
      </c>
      <c r="B1318" s="1" t="s">
        <v>14924</v>
      </c>
      <c r="D1318" s="1" t="s">
        <v>8264</v>
      </c>
      <c r="E1318" s="1" t="s">
        <v>14925</v>
      </c>
      <c r="F1318" s="1" t="s">
        <v>8258</v>
      </c>
      <c r="G1318" s="1" t="s">
        <v>8259</v>
      </c>
    </row>
    <row r="1319" spans="1:7">
      <c r="A1319" s="1">
        <v>1318</v>
      </c>
      <c r="B1319" s="1" t="s">
        <v>14926</v>
      </c>
      <c r="D1319" s="1" t="s">
        <v>8264</v>
      </c>
      <c r="E1319" s="1" t="s">
        <v>14927</v>
      </c>
      <c r="F1319" s="1" t="s">
        <v>8261</v>
      </c>
      <c r="G1319" s="1" t="s">
        <v>8262</v>
      </c>
    </row>
    <row r="1320" spans="1:7">
      <c r="A1320" s="1">
        <v>1319</v>
      </c>
      <c r="B1320" s="1" t="s">
        <v>14928</v>
      </c>
      <c r="D1320" s="1" t="s">
        <v>8264</v>
      </c>
      <c r="E1320" s="1" t="s">
        <v>14929</v>
      </c>
      <c r="F1320" s="1" t="s">
        <v>1339</v>
      </c>
      <c r="G1320" s="1" t="s">
        <v>1340</v>
      </c>
    </row>
    <row r="1321" spans="1:7">
      <c r="A1321" s="1">
        <v>1320</v>
      </c>
      <c r="B1321" s="1" t="s">
        <v>14930</v>
      </c>
      <c r="D1321" s="1" t="s">
        <v>8313</v>
      </c>
      <c r="E1321" s="1" t="s">
        <v>3574</v>
      </c>
      <c r="F1321" s="1" t="s">
        <v>8320</v>
      </c>
      <c r="G1321" s="1" t="s">
        <v>8321</v>
      </c>
    </row>
    <row r="1322" spans="1:7">
      <c r="A1322" s="1">
        <v>1321</v>
      </c>
      <c r="B1322" s="1" t="s">
        <v>14931</v>
      </c>
      <c r="D1322" s="1" t="s">
        <v>8313</v>
      </c>
      <c r="E1322" s="1" t="s">
        <v>3575</v>
      </c>
      <c r="F1322" s="1" t="s">
        <v>8317</v>
      </c>
      <c r="G1322" s="1" t="s">
        <v>8318</v>
      </c>
    </row>
    <row r="1323" spans="1:7">
      <c r="A1323" s="1">
        <v>1322</v>
      </c>
      <c r="B1323" s="1" t="s">
        <v>14932</v>
      </c>
      <c r="D1323" s="1" t="s">
        <v>8313</v>
      </c>
      <c r="E1323" s="1" t="s">
        <v>8323</v>
      </c>
      <c r="F1323" s="1" t="s">
        <v>8324</v>
      </c>
      <c r="G1323" s="1" t="s">
        <v>8325</v>
      </c>
    </row>
    <row r="1324" spans="1:7">
      <c r="A1324" s="1">
        <v>1323</v>
      </c>
      <c r="B1324" s="1" t="s">
        <v>14933</v>
      </c>
      <c r="D1324" s="1" t="s">
        <v>8313</v>
      </c>
      <c r="E1324" s="1" t="s">
        <v>3576</v>
      </c>
      <c r="F1324" s="1" t="s">
        <v>8314</v>
      </c>
      <c r="G1324" s="1" t="s">
        <v>8315</v>
      </c>
    </row>
    <row r="1325" spans="1:7">
      <c r="A1325" s="1">
        <v>1324</v>
      </c>
      <c r="B1325" s="1" t="s">
        <v>14934</v>
      </c>
      <c r="D1325" s="1" t="s">
        <v>8313</v>
      </c>
      <c r="E1325" s="1" t="s">
        <v>8334</v>
      </c>
      <c r="F1325" s="1" t="s">
        <v>8335</v>
      </c>
      <c r="G1325" s="1" t="s">
        <v>8336</v>
      </c>
    </row>
    <row r="1326" spans="1:7">
      <c r="A1326" s="1">
        <v>1325</v>
      </c>
      <c r="B1326" s="1" t="s">
        <v>14935</v>
      </c>
      <c r="D1326" s="1" t="s">
        <v>8313</v>
      </c>
      <c r="E1326" s="1" t="s">
        <v>3577</v>
      </c>
      <c r="F1326" s="1" t="s">
        <v>8331</v>
      </c>
      <c r="G1326" s="1" t="s">
        <v>8332</v>
      </c>
    </row>
    <row r="1327" spans="1:7">
      <c r="A1327" s="1">
        <v>1326</v>
      </c>
      <c r="B1327" s="1" t="s">
        <v>14936</v>
      </c>
      <c r="D1327" s="1" t="s">
        <v>8313</v>
      </c>
      <c r="E1327" s="1" t="s">
        <v>8327</v>
      </c>
      <c r="F1327" s="1" t="s">
        <v>8328</v>
      </c>
      <c r="G1327" s="1" t="s">
        <v>8329</v>
      </c>
    </row>
    <row r="1328" spans="1:7">
      <c r="A1328" s="1">
        <v>1327</v>
      </c>
      <c r="B1328" s="1" t="s">
        <v>14937</v>
      </c>
      <c r="D1328" s="1" t="s">
        <v>8338</v>
      </c>
      <c r="E1328" s="1" t="s">
        <v>541</v>
      </c>
      <c r="F1328" s="1" t="s">
        <v>8339</v>
      </c>
      <c r="G1328" s="1" t="s">
        <v>8340</v>
      </c>
    </row>
    <row r="1329" spans="1:7">
      <c r="A1329" s="1">
        <v>1328</v>
      </c>
      <c r="B1329" s="1" t="s">
        <v>14938</v>
      </c>
      <c r="D1329" s="1" t="s">
        <v>8338</v>
      </c>
      <c r="E1329" s="1" t="s">
        <v>544</v>
      </c>
      <c r="F1329" s="1" t="s">
        <v>8345</v>
      </c>
      <c r="G1329" s="1" t="s">
        <v>8346</v>
      </c>
    </row>
    <row r="1330" spans="1:7">
      <c r="A1330" s="1">
        <v>1329</v>
      </c>
      <c r="B1330" s="1" t="s">
        <v>14939</v>
      </c>
      <c r="D1330" s="1" t="s">
        <v>8338</v>
      </c>
      <c r="E1330" s="1" t="s">
        <v>547</v>
      </c>
      <c r="F1330" s="1" t="s">
        <v>8352</v>
      </c>
      <c r="G1330" s="1" t="s">
        <v>8353</v>
      </c>
    </row>
    <row r="1331" spans="1:7">
      <c r="A1331" s="1">
        <v>1330</v>
      </c>
      <c r="B1331" s="1" t="s">
        <v>14940</v>
      </c>
      <c r="D1331" s="1" t="s">
        <v>8338</v>
      </c>
      <c r="E1331" s="1" t="s">
        <v>550</v>
      </c>
      <c r="F1331" s="1" t="s">
        <v>8355</v>
      </c>
      <c r="G1331" s="1" t="s">
        <v>8356</v>
      </c>
    </row>
    <row r="1332" spans="1:7">
      <c r="A1332" s="1">
        <v>1331</v>
      </c>
      <c r="B1332" s="1" t="s">
        <v>14941</v>
      </c>
      <c r="D1332" s="1" t="s">
        <v>8338</v>
      </c>
      <c r="E1332" s="1" t="s">
        <v>553</v>
      </c>
      <c r="F1332" s="1" t="s">
        <v>8342</v>
      </c>
      <c r="G1332" s="1" t="s">
        <v>8343</v>
      </c>
    </row>
    <row r="1333" spans="1:7">
      <c r="A1333" s="1">
        <v>1332</v>
      </c>
      <c r="B1333" s="1" t="s">
        <v>14942</v>
      </c>
      <c r="D1333" s="1" t="s">
        <v>8338</v>
      </c>
      <c r="E1333" s="1" t="s">
        <v>556</v>
      </c>
      <c r="F1333" s="1" t="s">
        <v>557</v>
      </c>
      <c r="G1333" s="1" t="s">
        <v>558</v>
      </c>
    </row>
    <row r="1334" spans="1:7">
      <c r="A1334" s="1">
        <v>1333</v>
      </c>
      <c r="B1334" s="1" t="s">
        <v>14943</v>
      </c>
      <c r="D1334" s="1" t="s">
        <v>8338</v>
      </c>
      <c r="E1334" s="1" t="s">
        <v>559</v>
      </c>
      <c r="F1334" s="1" t="s">
        <v>14944</v>
      </c>
      <c r="G1334" s="1" t="s">
        <v>14945</v>
      </c>
    </row>
    <row r="1335" spans="1:7">
      <c r="A1335" s="1">
        <v>1334</v>
      </c>
      <c r="B1335" s="1" t="s">
        <v>14946</v>
      </c>
      <c r="D1335" s="1" t="s">
        <v>8338</v>
      </c>
      <c r="E1335" s="1" t="s">
        <v>562</v>
      </c>
      <c r="F1335" s="1" t="s">
        <v>8348</v>
      </c>
      <c r="G1335" s="1" t="s">
        <v>8349</v>
      </c>
    </row>
    <row r="1336" spans="1:7">
      <c r="A1336" s="1">
        <v>1335</v>
      </c>
      <c r="B1336" s="1" t="s">
        <v>14947</v>
      </c>
      <c r="D1336" s="1" t="s">
        <v>8361</v>
      </c>
      <c r="E1336" s="1" t="s">
        <v>14948</v>
      </c>
      <c r="F1336" s="1" t="s">
        <v>14949</v>
      </c>
      <c r="G1336" s="1" t="s">
        <v>14950</v>
      </c>
    </row>
    <row r="1337" spans="1:7">
      <c r="A1337" s="1">
        <v>1336</v>
      </c>
      <c r="B1337" s="1" t="s">
        <v>14951</v>
      </c>
      <c r="D1337" s="1" t="s">
        <v>8361</v>
      </c>
      <c r="E1337" s="1" t="s">
        <v>14952</v>
      </c>
      <c r="F1337" s="1" t="s">
        <v>14953</v>
      </c>
      <c r="G1337" s="1" t="s">
        <v>14954</v>
      </c>
    </row>
    <row r="1338" spans="1:7">
      <c r="A1338" s="1">
        <v>1337</v>
      </c>
      <c r="B1338" s="1" t="s">
        <v>14955</v>
      </c>
      <c r="D1338" s="1" t="s">
        <v>8361</v>
      </c>
      <c r="E1338" s="1" t="s">
        <v>14956</v>
      </c>
      <c r="F1338" s="1" t="s">
        <v>14957</v>
      </c>
      <c r="G1338" s="1" t="s">
        <v>14958</v>
      </c>
    </row>
    <row r="1339" spans="1:7">
      <c r="A1339" s="1">
        <v>1338</v>
      </c>
      <c r="B1339" s="1" t="s">
        <v>14959</v>
      </c>
      <c r="D1339" s="1" t="s">
        <v>8361</v>
      </c>
      <c r="E1339" s="1" t="s">
        <v>14960</v>
      </c>
      <c r="F1339" s="1" t="s">
        <v>14961</v>
      </c>
      <c r="G1339" s="1" t="s">
        <v>14962</v>
      </c>
    </row>
    <row r="1340" spans="1:7">
      <c r="A1340" s="1">
        <v>1339</v>
      </c>
      <c r="B1340" s="1" t="s">
        <v>14963</v>
      </c>
      <c r="D1340" s="1" t="s">
        <v>8361</v>
      </c>
      <c r="E1340" s="1" t="s">
        <v>14964</v>
      </c>
      <c r="F1340" s="1" t="s">
        <v>14965</v>
      </c>
      <c r="G1340" s="1" t="s">
        <v>14966</v>
      </c>
    </row>
    <row r="1341" spans="1:7">
      <c r="A1341" s="1">
        <v>1340</v>
      </c>
      <c r="B1341" s="1" t="s">
        <v>14967</v>
      </c>
      <c r="D1341" s="1" t="s">
        <v>8361</v>
      </c>
      <c r="E1341" s="1" t="s">
        <v>14968</v>
      </c>
      <c r="F1341" s="1" t="s">
        <v>14969</v>
      </c>
      <c r="G1341" s="1" t="s">
        <v>14970</v>
      </c>
    </row>
    <row r="1342" spans="1:7">
      <c r="A1342" s="1">
        <v>1341</v>
      </c>
      <c r="B1342" s="1" t="s">
        <v>14971</v>
      </c>
      <c r="D1342" s="1" t="s">
        <v>14972</v>
      </c>
      <c r="E1342" s="1" t="s">
        <v>7416</v>
      </c>
      <c r="F1342" s="1" t="s">
        <v>14973</v>
      </c>
      <c r="G1342" s="1" t="s">
        <v>14974</v>
      </c>
    </row>
    <row r="1343" spans="1:7">
      <c r="A1343" s="1">
        <v>1342</v>
      </c>
      <c r="B1343" s="1" t="s">
        <v>14975</v>
      </c>
      <c r="D1343" s="1" t="s">
        <v>8386</v>
      </c>
      <c r="E1343" s="1" t="s">
        <v>28</v>
      </c>
      <c r="F1343" s="1" t="s">
        <v>14976</v>
      </c>
      <c r="G1343" s="1" t="s">
        <v>14977</v>
      </c>
    </row>
    <row r="1344" spans="1:7">
      <c r="A1344" s="1">
        <v>1343</v>
      </c>
      <c r="B1344" s="1" t="s">
        <v>14978</v>
      </c>
      <c r="D1344" s="1" t="s">
        <v>8386</v>
      </c>
      <c r="E1344" s="1" t="s">
        <v>32</v>
      </c>
      <c r="F1344" s="1" t="s">
        <v>14979</v>
      </c>
      <c r="G1344" s="1" t="s">
        <v>14980</v>
      </c>
    </row>
    <row r="1345" spans="1:7">
      <c r="A1345" s="1">
        <v>1344</v>
      </c>
      <c r="B1345" s="1" t="s">
        <v>14981</v>
      </c>
      <c r="D1345" s="1" t="s">
        <v>8386</v>
      </c>
      <c r="E1345" s="1" t="s">
        <v>36</v>
      </c>
      <c r="F1345" s="1" t="s">
        <v>14982</v>
      </c>
      <c r="G1345" s="1" t="s">
        <v>14983</v>
      </c>
    </row>
    <row r="1346" spans="1:7">
      <c r="A1346" s="1">
        <v>1345</v>
      </c>
      <c r="B1346" s="1" t="s">
        <v>14984</v>
      </c>
      <c r="D1346" s="1" t="s">
        <v>8396</v>
      </c>
      <c r="E1346" s="1" t="s">
        <v>8409</v>
      </c>
      <c r="F1346" s="1" t="s">
        <v>14985</v>
      </c>
      <c r="G1346" s="1" t="s">
        <v>8411</v>
      </c>
    </row>
    <row r="1347" spans="1:7">
      <c r="A1347" s="1">
        <v>1346</v>
      </c>
      <c r="B1347" s="1" t="s">
        <v>14986</v>
      </c>
      <c r="D1347" s="1" t="s">
        <v>8396</v>
      </c>
      <c r="E1347" s="1" t="s">
        <v>8405</v>
      </c>
      <c r="F1347" s="1" t="s">
        <v>14987</v>
      </c>
      <c r="G1347" s="1" t="s">
        <v>8407</v>
      </c>
    </row>
    <row r="1348" spans="1:7">
      <c r="A1348" s="1">
        <v>1347</v>
      </c>
      <c r="B1348" s="1" t="s">
        <v>14988</v>
      </c>
      <c r="D1348" s="1" t="s">
        <v>8396</v>
      </c>
      <c r="E1348" s="1" t="s">
        <v>8413</v>
      </c>
      <c r="F1348" s="1" t="s">
        <v>14989</v>
      </c>
      <c r="G1348" s="1" t="s">
        <v>8415</v>
      </c>
    </row>
    <row r="1349" spans="1:7">
      <c r="A1349" s="1">
        <v>1348</v>
      </c>
      <c r="B1349" s="1" t="s">
        <v>14990</v>
      </c>
      <c r="D1349" s="1" t="s">
        <v>8396</v>
      </c>
      <c r="E1349" s="1" t="s">
        <v>8397</v>
      </c>
      <c r="F1349" s="1" t="s">
        <v>14991</v>
      </c>
      <c r="G1349" s="1" t="s">
        <v>8399</v>
      </c>
    </row>
    <row r="1350" spans="1:7">
      <c r="A1350" s="1">
        <v>1349</v>
      </c>
      <c r="B1350" s="1" t="s">
        <v>14992</v>
      </c>
      <c r="D1350" s="1" t="s">
        <v>8396</v>
      </c>
      <c r="E1350" s="1" t="s">
        <v>8401</v>
      </c>
      <c r="F1350" s="1" t="s">
        <v>14993</v>
      </c>
      <c r="G1350" s="1" t="s">
        <v>8403</v>
      </c>
    </row>
    <row r="1351" spans="1:7">
      <c r="A1351" s="1">
        <v>1350</v>
      </c>
      <c r="B1351" s="1" t="s">
        <v>14994</v>
      </c>
      <c r="D1351" s="1" t="s">
        <v>8396</v>
      </c>
      <c r="E1351" s="1" t="s">
        <v>8433</v>
      </c>
      <c r="F1351" s="1" t="s">
        <v>14995</v>
      </c>
      <c r="G1351" s="1" t="s">
        <v>8435</v>
      </c>
    </row>
    <row r="1352" spans="1:7">
      <c r="A1352" s="1">
        <v>1351</v>
      </c>
      <c r="B1352" s="1" t="s">
        <v>14996</v>
      </c>
      <c r="D1352" s="1" t="s">
        <v>8396</v>
      </c>
      <c r="E1352" s="1" t="s">
        <v>8429</v>
      </c>
      <c r="F1352" s="1" t="s">
        <v>14997</v>
      </c>
      <c r="G1352" s="1" t="s">
        <v>8431</v>
      </c>
    </row>
    <row r="1353" spans="1:7">
      <c r="A1353" s="1">
        <v>1352</v>
      </c>
      <c r="B1353" s="1" t="s">
        <v>14998</v>
      </c>
      <c r="D1353" s="1" t="s">
        <v>8396</v>
      </c>
      <c r="E1353" s="1" t="s">
        <v>8421</v>
      </c>
      <c r="F1353" s="1" t="s">
        <v>14999</v>
      </c>
      <c r="G1353" s="1" t="s">
        <v>8423</v>
      </c>
    </row>
    <row r="1354" spans="1:7">
      <c r="A1354" s="1">
        <v>1353</v>
      </c>
      <c r="B1354" s="1" t="s">
        <v>15000</v>
      </c>
      <c r="D1354" s="1" t="s">
        <v>8396</v>
      </c>
      <c r="E1354" s="1" t="s">
        <v>8417</v>
      </c>
      <c r="F1354" s="1" t="s">
        <v>15001</v>
      </c>
      <c r="G1354" s="1" t="s">
        <v>8419</v>
      </c>
    </row>
    <row r="1355" spans="1:7">
      <c r="A1355" s="1">
        <v>1354</v>
      </c>
      <c r="B1355" s="1" t="s">
        <v>15002</v>
      </c>
      <c r="D1355" s="1" t="s">
        <v>8396</v>
      </c>
      <c r="E1355" s="1" t="s">
        <v>8425</v>
      </c>
      <c r="F1355" s="1" t="s">
        <v>15003</v>
      </c>
      <c r="G1355" s="1" t="s">
        <v>8427</v>
      </c>
    </row>
    <row r="1356" spans="1:7">
      <c r="A1356" s="1">
        <v>1355</v>
      </c>
      <c r="B1356" s="1" t="s">
        <v>15004</v>
      </c>
      <c r="D1356" s="1" t="s">
        <v>8437</v>
      </c>
      <c r="E1356" s="1" t="s">
        <v>8442</v>
      </c>
      <c r="F1356" s="1" t="s">
        <v>14985</v>
      </c>
      <c r="G1356" s="1" t="s">
        <v>8411</v>
      </c>
    </row>
    <row r="1357" spans="1:7">
      <c r="A1357" s="1">
        <v>1356</v>
      </c>
      <c r="B1357" s="1" t="s">
        <v>15005</v>
      </c>
      <c r="D1357" s="1" t="s">
        <v>8437</v>
      </c>
      <c r="E1357" s="1" t="s">
        <v>8440</v>
      </c>
      <c r="F1357" s="1" t="s">
        <v>14987</v>
      </c>
      <c r="G1357" s="1" t="s">
        <v>8407</v>
      </c>
    </row>
    <row r="1358" spans="1:7">
      <c r="A1358" s="1">
        <v>1357</v>
      </c>
      <c r="B1358" s="1" t="s">
        <v>15006</v>
      </c>
      <c r="D1358" s="1" t="s">
        <v>8437</v>
      </c>
      <c r="E1358" s="1" t="s">
        <v>8444</v>
      </c>
      <c r="F1358" s="1" t="s">
        <v>14989</v>
      </c>
      <c r="G1358" s="1" t="s">
        <v>8415</v>
      </c>
    </row>
    <row r="1359" spans="1:7">
      <c r="A1359" s="1">
        <v>1358</v>
      </c>
      <c r="B1359" s="1" t="s">
        <v>15007</v>
      </c>
      <c r="D1359" s="1" t="s">
        <v>8437</v>
      </c>
      <c r="E1359" s="1" t="s">
        <v>1350</v>
      </c>
      <c r="F1359" s="1" t="s">
        <v>14991</v>
      </c>
      <c r="G1359" s="1" t="s">
        <v>8399</v>
      </c>
    </row>
    <row r="1360" spans="1:7">
      <c r="A1360" s="1">
        <v>1359</v>
      </c>
      <c r="B1360" s="1" t="s">
        <v>15008</v>
      </c>
      <c r="D1360" s="1" t="s">
        <v>8437</v>
      </c>
      <c r="E1360" s="1" t="s">
        <v>1354</v>
      </c>
      <c r="F1360" s="1" t="s">
        <v>14993</v>
      </c>
      <c r="G1360" s="1" t="s">
        <v>8403</v>
      </c>
    </row>
    <row r="1361" spans="1:7">
      <c r="A1361" s="1">
        <v>1360</v>
      </c>
      <c r="B1361" s="1" t="s">
        <v>15009</v>
      </c>
      <c r="D1361" s="1" t="s">
        <v>8437</v>
      </c>
      <c r="E1361" s="1" t="s">
        <v>8454</v>
      </c>
      <c r="F1361" s="1" t="s">
        <v>14995</v>
      </c>
      <c r="G1361" s="1" t="s">
        <v>8435</v>
      </c>
    </row>
    <row r="1362" spans="1:7">
      <c r="A1362" s="1">
        <v>1361</v>
      </c>
      <c r="B1362" s="1" t="s">
        <v>15010</v>
      </c>
      <c r="D1362" s="1" t="s">
        <v>8437</v>
      </c>
      <c r="E1362" s="1" t="s">
        <v>8452</v>
      </c>
      <c r="F1362" s="1" t="s">
        <v>14997</v>
      </c>
      <c r="G1362" s="1" t="s">
        <v>8431</v>
      </c>
    </row>
    <row r="1363" spans="1:7">
      <c r="A1363" s="1">
        <v>1362</v>
      </c>
      <c r="B1363" s="1" t="s">
        <v>15011</v>
      </c>
      <c r="D1363" s="1" t="s">
        <v>8437</v>
      </c>
      <c r="E1363" s="1" t="s">
        <v>8448</v>
      </c>
      <c r="F1363" s="1" t="s">
        <v>14999</v>
      </c>
      <c r="G1363" s="1" t="s">
        <v>8423</v>
      </c>
    </row>
    <row r="1364" spans="1:7">
      <c r="A1364" s="1">
        <v>1363</v>
      </c>
      <c r="B1364" s="1" t="s">
        <v>15012</v>
      </c>
      <c r="D1364" s="1" t="s">
        <v>8437</v>
      </c>
      <c r="E1364" s="1" t="s">
        <v>8446</v>
      </c>
      <c r="F1364" s="1" t="s">
        <v>15001</v>
      </c>
      <c r="G1364" s="1" t="s">
        <v>8419</v>
      </c>
    </row>
    <row r="1365" spans="1:7">
      <c r="A1365" s="1">
        <v>1364</v>
      </c>
      <c r="B1365" s="1" t="s">
        <v>15013</v>
      </c>
      <c r="D1365" s="1" t="s">
        <v>8437</v>
      </c>
      <c r="E1365" s="1" t="s">
        <v>8450</v>
      </c>
      <c r="F1365" s="1" t="s">
        <v>15003</v>
      </c>
      <c r="G1365" s="1" t="s">
        <v>8427</v>
      </c>
    </row>
    <row r="1366" spans="1:7">
      <c r="A1366" s="1">
        <v>1365</v>
      </c>
      <c r="B1366" s="1" t="s">
        <v>15014</v>
      </c>
      <c r="D1366" s="1" t="s">
        <v>8456</v>
      </c>
      <c r="E1366" s="1" t="s">
        <v>8462</v>
      </c>
      <c r="F1366" s="1" t="s">
        <v>14985</v>
      </c>
      <c r="G1366" s="1" t="s">
        <v>8411</v>
      </c>
    </row>
    <row r="1367" spans="1:7">
      <c r="A1367" s="1">
        <v>1366</v>
      </c>
      <c r="B1367" s="1" t="s">
        <v>15015</v>
      </c>
      <c r="D1367" s="1" t="s">
        <v>8456</v>
      </c>
      <c r="E1367" s="1" t="s">
        <v>8460</v>
      </c>
      <c r="F1367" s="1" t="s">
        <v>14987</v>
      </c>
      <c r="G1367" s="1" t="s">
        <v>8407</v>
      </c>
    </row>
    <row r="1368" spans="1:7">
      <c r="A1368" s="1">
        <v>1367</v>
      </c>
      <c r="B1368" s="1" t="s">
        <v>15016</v>
      </c>
      <c r="D1368" s="1" t="s">
        <v>8456</v>
      </c>
      <c r="E1368" s="1" t="s">
        <v>8464</v>
      </c>
      <c r="F1368" s="1" t="s">
        <v>14989</v>
      </c>
      <c r="G1368" s="1" t="s">
        <v>8415</v>
      </c>
    </row>
    <row r="1369" spans="1:7">
      <c r="A1369" s="1">
        <v>1368</v>
      </c>
      <c r="B1369" s="1" t="s">
        <v>15017</v>
      </c>
      <c r="D1369" s="1" t="s">
        <v>8456</v>
      </c>
      <c r="E1369" s="1" t="s">
        <v>1574</v>
      </c>
      <c r="F1369" s="1" t="s">
        <v>14991</v>
      </c>
      <c r="G1369" s="1" t="s">
        <v>8399</v>
      </c>
    </row>
    <row r="1370" spans="1:7">
      <c r="A1370" s="1">
        <v>1369</v>
      </c>
      <c r="B1370" s="1" t="s">
        <v>15018</v>
      </c>
      <c r="D1370" s="1" t="s">
        <v>8456</v>
      </c>
      <c r="E1370" s="1" t="s">
        <v>8458</v>
      </c>
      <c r="F1370" s="1" t="s">
        <v>14993</v>
      </c>
      <c r="G1370" s="1" t="s">
        <v>8403</v>
      </c>
    </row>
    <row r="1371" spans="1:7">
      <c r="A1371" s="1">
        <v>1370</v>
      </c>
      <c r="B1371" s="1" t="s">
        <v>15019</v>
      </c>
      <c r="D1371" s="1" t="s">
        <v>8456</v>
      </c>
      <c r="E1371" s="1" t="s">
        <v>8474</v>
      </c>
      <c r="F1371" s="1" t="s">
        <v>14995</v>
      </c>
      <c r="G1371" s="1" t="s">
        <v>8435</v>
      </c>
    </row>
    <row r="1372" spans="1:7">
      <c r="A1372" s="1">
        <v>1371</v>
      </c>
      <c r="B1372" s="1" t="s">
        <v>15020</v>
      </c>
      <c r="D1372" s="1" t="s">
        <v>8456</v>
      </c>
      <c r="E1372" s="1" t="s">
        <v>8472</v>
      </c>
      <c r="F1372" s="1" t="s">
        <v>14997</v>
      </c>
      <c r="G1372" s="1" t="s">
        <v>8431</v>
      </c>
    </row>
    <row r="1373" spans="1:7">
      <c r="A1373" s="1">
        <v>1372</v>
      </c>
      <c r="B1373" s="1" t="s">
        <v>15021</v>
      </c>
      <c r="D1373" s="1" t="s">
        <v>8456</v>
      </c>
      <c r="E1373" s="1" t="s">
        <v>8468</v>
      </c>
      <c r="F1373" s="1" t="s">
        <v>14999</v>
      </c>
      <c r="G1373" s="1" t="s">
        <v>8423</v>
      </c>
    </row>
    <row r="1374" spans="1:7">
      <c r="A1374" s="1">
        <v>1373</v>
      </c>
      <c r="B1374" s="1" t="s">
        <v>15022</v>
      </c>
      <c r="D1374" s="1" t="s">
        <v>8456</v>
      </c>
      <c r="E1374" s="1" t="s">
        <v>8466</v>
      </c>
      <c r="F1374" s="1" t="s">
        <v>15001</v>
      </c>
      <c r="G1374" s="1" t="s">
        <v>8419</v>
      </c>
    </row>
    <row r="1375" spans="1:7">
      <c r="A1375" s="1">
        <v>1374</v>
      </c>
      <c r="B1375" s="1" t="s">
        <v>15023</v>
      </c>
      <c r="D1375" s="1" t="s">
        <v>8456</v>
      </c>
      <c r="E1375" s="1" t="s">
        <v>8470</v>
      </c>
      <c r="F1375" s="1" t="s">
        <v>15003</v>
      </c>
      <c r="G1375" s="1" t="s">
        <v>8427</v>
      </c>
    </row>
    <row r="1376" spans="1:7">
      <c r="A1376" s="1">
        <v>1375</v>
      </c>
      <c r="B1376" s="1" t="s">
        <v>15024</v>
      </c>
      <c r="D1376" s="1" t="s">
        <v>8476</v>
      </c>
      <c r="E1376" s="1" t="s">
        <v>8483</v>
      </c>
      <c r="F1376" s="1" t="s">
        <v>14985</v>
      </c>
      <c r="G1376" s="1" t="s">
        <v>8411</v>
      </c>
    </row>
    <row r="1377" spans="1:7">
      <c r="A1377" s="1">
        <v>1376</v>
      </c>
      <c r="B1377" s="1" t="s">
        <v>15025</v>
      </c>
      <c r="D1377" s="1" t="s">
        <v>8476</v>
      </c>
      <c r="E1377" s="1" t="s">
        <v>8481</v>
      </c>
      <c r="F1377" s="1" t="s">
        <v>14987</v>
      </c>
      <c r="G1377" s="1" t="s">
        <v>8407</v>
      </c>
    </row>
    <row r="1378" spans="1:7">
      <c r="A1378" s="1">
        <v>1377</v>
      </c>
      <c r="B1378" s="1" t="s">
        <v>15026</v>
      </c>
      <c r="D1378" s="1" t="s">
        <v>8476</v>
      </c>
      <c r="E1378" s="1" t="s">
        <v>8485</v>
      </c>
      <c r="F1378" s="1" t="s">
        <v>14989</v>
      </c>
      <c r="G1378" s="1" t="s">
        <v>8415</v>
      </c>
    </row>
    <row r="1379" spans="1:7">
      <c r="A1379" s="1">
        <v>1378</v>
      </c>
      <c r="B1379" s="1" t="s">
        <v>15027</v>
      </c>
      <c r="D1379" s="1" t="s">
        <v>8476</v>
      </c>
      <c r="E1379" s="1" t="s">
        <v>8477</v>
      </c>
      <c r="F1379" s="1" t="s">
        <v>14991</v>
      </c>
      <c r="G1379" s="1" t="s">
        <v>8399</v>
      </c>
    </row>
    <row r="1380" spans="1:7">
      <c r="A1380" s="1">
        <v>1379</v>
      </c>
      <c r="B1380" s="1" t="s">
        <v>15028</v>
      </c>
      <c r="D1380" s="1" t="s">
        <v>8476</v>
      </c>
      <c r="E1380" s="1" t="s">
        <v>8479</v>
      </c>
      <c r="F1380" s="1" t="s">
        <v>14993</v>
      </c>
      <c r="G1380" s="1" t="s">
        <v>8403</v>
      </c>
    </row>
    <row r="1381" spans="1:7">
      <c r="A1381" s="1">
        <v>1380</v>
      </c>
      <c r="B1381" s="1" t="s">
        <v>15029</v>
      </c>
      <c r="D1381" s="1" t="s">
        <v>8476</v>
      </c>
      <c r="E1381" s="1" t="s">
        <v>8495</v>
      </c>
      <c r="F1381" s="1" t="s">
        <v>14995</v>
      </c>
      <c r="G1381" s="1" t="s">
        <v>8435</v>
      </c>
    </row>
    <row r="1382" spans="1:7">
      <c r="A1382" s="1">
        <v>1381</v>
      </c>
      <c r="B1382" s="1" t="s">
        <v>15030</v>
      </c>
      <c r="D1382" s="1" t="s">
        <v>8476</v>
      </c>
      <c r="E1382" s="1" t="s">
        <v>8493</v>
      </c>
      <c r="F1382" s="1" t="s">
        <v>14997</v>
      </c>
      <c r="G1382" s="1" t="s">
        <v>8431</v>
      </c>
    </row>
    <row r="1383" spans="1:7">
      <c r="A1383" s="1">
        <v>1382</v>
      </c>
      <c r="B1383" s="1" t="s">
        <v>15031</v>
      </c>
      <c r="D1383" s="1" t="s">
        <v>8476</v>
      </c>
      <c r="E1383" s="1" t="s">
        <v>8489</v>
      </c>
      <c r="F1383" s="1" t="s">
        <v>14999</v>
      </c>
      <c r="G1383" s="1" t="s">
        <v>8423</v>
      </c>
    </row>
    <row r="1384" spans="1:7">
      <c r="A1384" s="1">
        <v>1383</v>
      </c>
      <c r="B1384" s="1" t="s">
        <v>15032</v>
      </c>
      <c r="D1384" s="1" t="s">
        <v>8476</v>
      </c>
      <c r="E1384" s="1" t="s">
        <v>8487</v>
      </c>
      <c r="F1384" s="1" t="s">
        <v>15001</v>
      </c>
      <c r="G1384" s="1" t="s">
        <v>8419</v>
      </c>
    </row>
    <row r="1385" spans="1:7">
      <c r="A1385" s="1">
        <v>1384</v>
      </c>
      <c r="B1385" s="1" t="s">
        <v>15033</v>
      </c>
      <c r="D1385" s="1" t="s">
        <v>8476</v>
      </c>
      <c r="E1385" s="1" t="s">
        <v>8491</v>
      </c>
      <c r="F1385" s="1" t="s">
        <v>15003</v>
      </c>
      <c r="G1385" s="1" t="s">
        <v>8427</v>
      </c>
    </row>
    <row r="1386" spans="1:7">
      <c r="A1386" s="1">
        <v>1385</v>
      </c>
      <c r="B1386" s="1" t="s">
        <v>15034</v>
      </c>
      <c r="D1386" s="1" t="s">
        <v>8497</v>
      </c>
      <c r="E1386" s="1" t="s">
        <v>8502</v>
      </c>
      <c r="F1386" s="1" t="s">
        <v>14985</v>
      </c>
      <c r="G1386" s="1" t="s">
        <v>8411</v>
      </c>
    </row>
    <row r="1387" spans="1:7">
      <c r="A1387" s="1">
        <v>1386</v>
      </c>
      <c r="B1387" s="1" t="s">
        <v>15035</v>
      </c>
      <c r="D1387" s="1" t="s">
        <v>8497</v>
      </c>
      <c r="E1387" s="1" t="s">
        <v>8500</v>
      </c>
      <c r="F1387" s="1" t="s">
        <v>14987</v>
      </c>
      <c r="G1387" s="1" t="s">
        <v>8407</v>
      </c>
    </row>
    <row r="1388" spans="1:7">
      <c r="A1388" s="1">
        <v>1387</v>
      </c>
      <c r="B1388" s="1" t="s">
        <v>15036</v>
      </c>
      <c r="D1388" s="1" t="s">
        <v>8497</v>
      </c>
      <c r="E1388" s="1" t="s">
        <v>8504</v>
      </c>
      <c r="F1388" s="1" t="s">
        <v>14989</v>
      </c>
      <c r="G1388" s="1" t="s">
        <v>8415</v>
      </c>
    </row>
    <row r="1389" spans="1:7">
      <c r="A1389" s="1">
        <v>1388</v>
      </c>
      <c r="B1389" s="1" t="s">
        <v>15037</v>
      </c>
      <c r="D1389" s="1" t="s">
        <v>8497</v>
      </c>
      <c r="E1389" s="1" t="s">
        <v>1045</v>
      </c>
      <c r="F1389" s="1" t="s">
        <v>14991</v>
      </c>
      <c r="G1389" s="1" t="s">
        <v>8399</v>
      </c>
    </row>
    <row r="1390" spans="1:7">
      <c r="A1390" s="1">
        <v>1389</v>
      </c>
      <c r="B1390" s="1" t="s">
        <v>15038</v>
      </c>
      <c r="D1390" s="1" t="s">
        <v>8497</v>
      </c>
      <c r="E1390" s="1" t="s">
        <v>1048</v>
      </c>
      <c r="F1390" s="1" t="s">
        <v>14993</v>
      </c>
      <c r="G1390" s="1" t="s">
        <v>8403</v>
      </c>
    </row>
    <row r="1391" spans="1:7">
      <c r="A1391" s="1">
        <v>1390</v>
      </c>
      <c r="B1391" s="1" t="s">
        <v>15039</v>
      </c>
      <c r="D1391" s="1" t="s">
        <v>8497</v>
      </c>
      <c r="E1391" s="1" t="s">
        <v>8512</v>
      </c>
      <c r="F1391" s="1" t="s">
        <v>14995</v>
      </c>
      <c r="G1391" s="1" t="s">
        <v>8435</v>
      </c>
    </row>
    <row r="1392" spans="1:7">
      <c r="A1392" s="1">
        <v>1391</v>
      </c>
      <c r="B1392" s="1" t="s">
        <v>15040</v>
      </c>
      <c r="D1392" s="1" t="s">
        <v>8497</v>
      </c>
      <c r="E1392" s="1" t="s">
        <v>8510</v>
      </c>
      <c r="F1392" s="1" t="s">
        <v>14997</v>
      </c>
      <c r="G1392" s="1" t="s">
        <v>8431</v>
      </c>
    </row>
    <row r="1393" spans="1:7">
      <c r="A1393" s="1">
        <v>1392</v>
      </c>
      <c r="B1393" s="1" t="s">
        <v>15041</v>
      </c>
      <c r="D1393" s="1" t="s">
        <v>8497</v>
      </c>
      <c r="E1393" s="1" t="s">
        <v>1051</v>
      </c>
      <c r="F1393" s="1" t="s">
        <v>14999</v>
      </c>
      <c r="G1393" s="1" t="s">
        <v>8423</v>
      </c>
    </row>
    <row r="1394" spans="1:7">
      <c r="A1394" s="1">
        <v>1393</v>
      </c>
      <c r="B1394" s="1" t="s">
        <v>15042</v>
      </c>
      <c r="D1394" s="1" t="s">
        <v>8497</v>
      </c>
      <c r="E1394" s="1" t="s">
        <v>1054</v>
      </c>
      <c r="F1394" s="1" t="s">
        <v>15001</v>
      </c>
      <c r="G1394" s="1" t="s">
        <v>8419</v>
      </c>
    </row>
    <row r="1395" spans="1:7">
      <c r="A1395" s="1">
        <v>1394</v>
      </c>
      <c r="B1395" s="1" t="s">
        <v>15043</v>
      </c>
      <c r="D1395" s="1" t="s">
        <v>8497</v>
      </c>
      <c r="E1395" s="1" t="s">
        <v>8508</v>
      </c>
      <c r="F1395" s="1" t="s">
        <v>15003</v>
      </c>
      <c r="G1395" s="1" t="s">
        <v>8427</v>
      </c>
    </row>
    <row r="1396" spans="1:7">
      <c r="A1396" s="1">
        <v>1395</v>
      </c>
      <c r="B1396" s="1" t="s">
        <v>15044</v>
      </c>
      <c r="D1396" s="1" t="s">
        <v>8514</v>
      </c>
      <c r="E1396" s="1" t="s">
        <v>8521</v>
      </c>
      <c r="F1396" s="1" t="s">
        <v>14985</v>
      </c>
      <c r="G1396" s="1" t="s">
        <v>8411</v>
      </c>
    </row>
    <row r="1397" spans="1:7">
      <c r="A1397" s="1">
        <v>1396</v>
      </c>
      <c r="B1397" s="1" t="s">
        <v>15045</v>
      </c>
      <c r="D1397" s="1" t="s">
        <v>8514</v>
      </c>
      <c r="E1397" s="1" t="s">
        <v>8519</v>
      </c>
      <c r="F1397" s="1" t="s">
        <v>14987</v>
      </c>
      <c r="G1397" s="1" t="s">
        <v>8407</v>
      </c>
    </row>
    <row r="1398" spans="1:7">
      <c r="A1398" s="1">
        <v>1397</v>
      </c>
      <c r="B1398" s="1" t="s">
        <v>15046</v>
      </c>
      <c r="D1398" s="1" t="s">
        <v>8514</v>
      </c>
      <c r="E1398" s="1" t="s">
        <v>8523</v>
      </c>
      <c r="F1398" s="1" t="s">
        <v>14989</v>
      </c>
      <c r="G1398" s="1" t="s">
        <v>8415</v>
      </c>
    </row>
    <row r="1399" spans="1:7">
      <c r="A1399" s="1">
        <v>1398</v>
      </c>
      <c r="B1399" s="1" t="s">
        <v>15047</v>
      </c>
      <c r="D1399" s="1" t="s">
        <v>8514</v>
      </c>
      <c r="E1399" s="1" t="s">
        <v>8515</v>
      </c>
      <c r="F1399" s="1" t="s">
        <v>14991</v>
      </c>
      <c r="G1399" s="1" t="s">
        <v>8399</v>
      </c>
    </row>
    <row r="1400" spans="1:7">
      <c r="A1400" s="1">
        <v>1399</v>
      </c>
      <c r="B1400" s="1" t="s">
        <v>15048</v>
      </c>
      <c r="D1400" s="1" t="s">
        <v>8514</v>
      </c>
      <c r="E1400" s="1" t="s">
        <v>8517</v>
      </c>
      <c r="F1400" s="1" t="s">
        <v>14993</v>
      </c>
      <c r="G1400" s="1" t="s">
        <v>8403</v>
      </c>
    </row>
    <row r="1401" spans="1:7">
      <c r="A1401" s="1">
        <v>1400</v>
      </c>
      <c r="B1401" s="1" t="s">
        <v>15049</v>
      </c>
      <c r="D1401" s="1" t="s">
        <v>8514</v>
      </c>
      <c r="E1401" s="1" t="s">
        <v>8533</v>
      </c>
      <c r="F1401" s="1" t="s">
        <v>14995</v>
      </c>
      <c r="G1401" s="1" t="s">
        <v>8435</v>
      </c>
    </row>
    <row r="1402" spans="1:7">
      <c r="A1402" s="1">
        <v>1401</v>
      </c>
      <c r="B1402" s="1" t="s">
        <v>15050</v>
      </c>
      <c r="D1402" s="1" t="s">
        <v>8514</v>
      </c>
      <c r="E1402" s="1" t="s">
        <v>8531</v>
      </c>
      <c r="F1402" s="1" t="s">
        <v>14997</v>
      </c>
      <c r="G1402" s="1" t="s">
        <v>8431</v>
      </c>
    </row>
    <row r="1403" spans="1:7">
      <c r="A1403" s="1">
        <v>1402</v>
      </c>
      <c r="B1403" s="1" t="s">
        <v>15051</v>
      </c>
      <c r="D1403" s="1" t="s">
        <v>8514</v>
      </c>
      <c r="E1403" s="1" t="s">
        <v>8527</v>
      </c>
      <c r="F1403" s="1" t="s">
        <v>14999</v>
      </c>
      <c r="G1403" s="1" t="s">
        <v>8423</v>
      </c>
    </row>
    <row r="1404" spans="1:7">
      <c r="A1404" s="1">
        <v>1403</v>
      </c>
      <c r="B1404" s="1" t="s">
        <v>15052</v>
      </c>
      <c r="D1404" s="1" t="s">
        <v>8514</v>
      </c>
      <c r="E1404" s="1" t="s">
        <v>8525</v>
      </c>
      <c r="F1404" s="1" t="s">
        <v>15001</v>
      </c>
      <c r="G1404" s="1" t="s">
        <v>8419</v>
      </c>
    </row>
    <row r="1405" spans="1:7">
      <c r="A1405" s="1">
        <v>1404</v>
      </c>
      <c r="B1405" s="1" t="s">
        <v>15053</v>
      </c>
      <c r="D1405" s="1" t="s">
        <v>8514</v>
      </c>
      <c r="E1405" s="1" t="s">
        <v>8529</v>
      </c>
      <c r="F1405" s="1" t="s">
        <v>15003</v>
      </c>
      <c r="G1405" s="1" t="s">
        <v>8427</v>
      </c>
    </row>
    <row r="1406" spans="1:7">
      <c r="A1406" s="1">
        <v>1405</v>
      </c>
      <c r="B1406" s="1" t="s">
        <v>15054</v>
      </c>
      <c r="D1406" s="1" t="s">
        <v>8535</v>
      </c>
      <c r="E1406" s="1" t="s">
        <v>8540</v>
      </c>
      <c r="F1406" s="1" t="s">
        <v>14985</v>
      </c>
      <c r="G1406" s="1" t="s">
        <v>8411</v>
      </c>
    </row>
    <row r="1407" spans="1:7">
      <c r="A1407" s="1">
        <v>1406</v>
      </c>
      <c r="B1407" s="1" t="s">
        <v>15055</v>
      </c>
      <c r="D1407" s="1" t="s">
        <v>8535</v>
      </c>
      <c r="E1407" s="1" t="s">
        <v>8538</v>
      </c>
      <c r="F1407" s="1" t="s">
        <v>14987</v>
      </c>
      <c r="G1407" s="1" t="s">
        <v>8407</v>
      </c>
    </row>
    <row r="1408" spans="1:7">
      <c r="A1408" s="1">
        <v>1407</v>
      </c>
      <c r="B1408" s="1" t="s">
        <v>15056</v>
      </c>
      <c r="D1408" s="1" t="s">
        <v>8535</v>
      </c>
      <c r="E1408" s="1" t="s">
        <v>8542</v>
      </c>
      <c r="F1408" s="1" t="s">
        <v>14989</v>
      </c>
      <c r="G1408" s="1" t="s">
        <v>8415</v>
      </c>
    </row>
    <row r="1409" spans="1:7">
      <c r="A1409" s="1">
        <v>1408</v>
      </c>
      <c r="B1409" s="1" t="s">
        <v>15057</v>
      </c>
      <c r="D1409" s="1" t="s">
        <v>8535</v>
      </c>
      <c r="E1409" s="1" t="s">
        <v>777</v>
      </c>
      <c r="F1409" s="1" t="s">
        <v>14991</v>
      </c>
      <c r="G1409" s="1" t="s">
        <v>8399</v>
      </c>
    </row>
    <row r="1410" spans="1:7">
      <c r="A1410" s="1">
        <v>1409</v>
      </c>
      <c r="B1410" s="1" t="s">
        <v>15058</v>
      </c>
      <c r="D1410" s="1" t="s">
        <v>8535</v>
      </c>
      <c r="E1410" s="1" t="s">
        <v>781</v>
      </c>
      <c r="F1410" s="1" t="s">
        <v>14993</v>
      </c>
      <c r="G1410" s="1" t="s">
        <v>8403</v>
      </c>
    </row>
    <row r="1411" spans="1:7">
      <c r="A1411" s="1">
        <v>1410</v>
      </c>
      <c r="B1411" s="1" t="s">
        <v>15059</v>
      </c>
      <c r="D1411" s="1" t="s">
        <v>8535</v>
      </c>
      <c r="E1411" s="1" t="s">
        <v>8550</v>
      </c>
      <c r="F1411" s="1" t="s">
        <v>14995</v>
      </c>
      <c r="G1411" s="1" t="s">
        <v>8435</v>
      </c>
    </row>
    <row r="1412" spans="1:7">
      <c r="A1412" s="1">
        <v>1411</v>
      </c>
      <c r="B1412" s="1" t="s">
        <v>15060</v>
      </c>
      <c r="D1412" s="1" t="s">
        <v>8535</v>
      </c>
      <c r="E1412" s="1" t="s">
        <v>8548</v>
      </c>
      <c r="F1412" s="1" t="s">
        <v>14997</v>
      </c>
      <c r="G1412" s="1" t="s">
        <v>8431</v>
      </c>
    </row>
    <row r="1413" spans="1:7">
      <c r="A1413" s="1">
        <v>1412</v>
      </c>
      <c r="B1413" s="1" t="s">
        <v>15061</v>
      </c>
      <c r="D1413" s="1" t="s">
        <v>8535</v>
      </c>
      <c r="E1413" s="1" t="s">
        <v>785</v>
      </c>
      <c r="F1413" s="1" t="s">
        <v>14999</v>
      </c>
      <c r="G1413" s="1" t="s">
        <v>8423</v>
      </c>
    </row>
    <row r="1414" spans="1:7">
      <c r="A1414" s="1">
        <v>1413</v>
      </c>
      <c r="B1414" s="1" t="s">
        <v>15062</v>
      </c>
      <c r="D1414" s="1" t="s">
        <v>8535</v>
      </c>
      <c r="E1414" s="1" t="s">
        <v>789</v>
      </c>
      <c r="F1414" s="1" t="s">
        <v>15001</v>
      </c>
      <c r="G1414" s="1" t="s">
        <v>8419</v>
      </c>
    </row>
    <row r="1415" spans="1:7">
      <c r="A1415" s="1">
        <v>1414</v>
      </c>
      <c r="B1415" s="1" t="s">
        <v>15063</v>
      </c>
      <c r="D1415" s="1" t="s">
        <v>8535</v>
      </c>
      <c r="E1415" s="1" t="s">
        <v>8546</v>
      </c>
      <c r="F1415" s="1" t="s">
        <v>15003</v>
      </c>
      <c r="G1415" s="1" t="s">
        <v>8427</v>
      </c>
    </row>
    <row r="1416" spans="1:7">
      <c r="A1416" s="1">
        <v>1415</v>
      </c>
      <c r="B1416" s="1" t="s">
        <v>15064</v>
      </c>
      <c r="D1416" s="1" t="s">
        <v>8552</v>
      </c>
      <c r="E1416" s="1" t="s">
        <v>8559</v>
      </c>
      <c r="F1416" s="1" t="s">
        <v>14985</v>
      </c>
      <c r="G1416" s="1" t="s">
        <v>8411</v>
      </c>
    </row>
    <row r="1417" spans="1:7">
      <c r="A1417" s="1">
        <v>1416</v>
      </c>
      <c r="B1417" s="1" t="s">
        <v>15065</v>
      </c>
      <c r="D1417" s="1" t="s">
        <v>8552</v>
      </c>
      <c r="E1417" s="1" t="s">
        <v>8557</v>
      </c>
      <c r="F1417" s="1" t="s">
        <v>14987</v>
      </c>
      <c r="G1417" s="1" t="s">
        <v>8407</v>
      </c>
    </row>
    <row r="1418" spans="1:7">
      <c r="A1418" s="1">
        <v>1417</v>
      </c>
      <c r="B1418" s="1" t="s">
        <v>15066</v>
      </c>
      <c r="D1418" s="1" t="s">
        <v>8552</v>
      </c>
      <c r="E1418" s="1" t="s">
        <v>8561</v>
      </c>
      <c r="F1418" s="1" t="s">
        <v>14989</v>
      </c>
      <c r="G1418" s="1" t="s">
        <v>8415</v>
      </c>
    </row>
    <row r="1419" spans="1:7">
      <c r="A1419" s="1">
        <v>1418</v>
      </c>
      <c r="B1419" s="1" t="s">
        <v>15067</v>
      </c>
      <c r="D1419" s="1" t="s">
        <v>8552</v>
      </c>
      <c r="E1419" s="1" t="s">
        <v>8553</v>
      </c>
      <c r="F1419" s="1" t="s">
        <v>14991</v>
      </c>
      <c r="G1419" s="1" t="s">
        <v>8399</v>
      </c>
    </row>
    <row r="1420" spans="1:7">
      <c r="A1420" s="1">
        <v>1419</v>
      </c>
      <c r="B1420" s="1" t="s">
        <v>15068</v>
      </c>
      <c r="D1420" s="1" t="s">
        <v>8552</v>
      </c>
      <c r="E1420" s="1" t="s">
        <v>8555</v>
      </c>
      <c r="F1420" s="1" t="s">
        <v>14993</v>
      </c>
      <c r="G1420" s="1" t="s">
        <v>8403</v>
      </c>
    </row>
    <row r="1421" spans="1:7">
      <c r="A1421" s="1">
        <v>1420</v>
      </c>
      <c r="B1421" s="1" t="s">
        <v>15069</v>
      </c>
      <c r="D1421" s="1" t="s">
        <v>8552</v>
      </c>
      <c r="E1421" s="1" t="s">
        <v>8571</v>
      </c>
      <c r="F1421" s="1" t="s">
        <v>14995</v>
      </c>
      <c r="G1421" s="1" t="s">
        <v>8435</v>
      </c>
    </row>
    <row r="1422" spans="1:7">
      <c r="A1422" s="1">
        <v>1421</v>
      </c>
      <c r="B1422" s="1" t="s">
        <v>15070</v>
      </c>
      <c r="D1422" s="1" t="s">
        <v>8552</v>
      </c>
      <c r="E1422" s="1" t="s">
        <v>8569</v>
      </c>
      <c r="F1422" s="1" t="s">
        <v>14997</v>
      </c>
      <c r="G1422" s="1" t="s">
        <v>8431</v>
      </c>
    </row>
    <row r="1423" spans="1:7">
      <c r="A1423" s="1">
        <v>1422</v>
      </c>
      <c r="B1423" s="1" t="s">
        <v>15071</v>
      </c>
      <c r="D1423" s="1" t="s">
        <v>8552</v>
      </c>
      <c r="E1423" s="1" t="s">
        <v>8565</v>
      </c>
      <c r="F1423" s="1" t="s">
        <v>14999</v>
      </c>
      <c r="G1423" s="1" t="s">
        <v>8423</v>
      </c>
    </row>
    <row r="1424" spans="1:7">
      <c r="A1424" s="1">
        <v>1423</v>
      </c>
      <c r="B1424" s="1" t="s">
        <v>15072</v>
      </c>
      <c r="D1424" s="1" t="s">
        <v>8552</v>
      </c>
      <c r="E1424" s="1" t="s">
        <v>8563</v>
      </c>
      <c r="F1424" s="1" t="s">
        <v>15001</v>
      </c>
      <c r="G1424" s="1" t="s">
        <v>8419</v>
      </c>
    </row>
    <row r="1425" spans="1:7">
      <c r="A1425" s="1">
        <v>1424</v>
      </c>
      <c r="B1425" s="1" t="s">
        <v>15073</v>
      </c>
      <c r="D1425" s="1" t="s">
        <v>8552</v>
      </c>
      <c r="E1425" s="1" t="s">
        <v>8567</v>
      </c>
      <c r="F1425" s="1" t="s">
        <v>15003</v>
      </c>
      <c r="G1425" s="1" t="s">
        <v>8427</v>
      </c>
    </row>
    <row r="1426" spans="1:7">
      <c r="A1426" s="1">
        <v>1425</v>
      </c>
      <c r="B1426" s="1" t="s">
        <v>15074</v>
      </c>
      <c r="D1426" s="1" t="s">
        <v>8573</v>
      </c>
      <c r="E1426" s="1" t="s">
        <v>8580</v>
      </c>
      <c r="F1426" s="1" t="s">
        <v>14985</v>
      </c>
      <c r="G1426" s="1" t="s">
        <v>8411</v>
      </c>
    </row>
    <row r="1427" spans="1:7">
      <c r="A1427" s="1">
        <v>1426</v>
      </c>
      <c r="B1427" s="1" t="s">
        <v>15075</v>
      </c>
      <c r="D1427" s="1" t="s">
        <v>8573</v>
      </c>
      <c r="E1427" s="1" t="s">
        <v>8578</v>
      </c>
      <c r="F1427" s="1" t="s">
        <v>14987</v>
      </c>
      <c r="G1427" s="1" t="s">
        <v>8407</v>
      </c>
    </row>
    <row r="1428" spans="1:7">
      <c r="A1428" s="1">
        <v>1427</v>
      </c>
      <c r="B1428" s="1" t="s">
        <v>15076</v>
      </c>
      <c r="D1428" s="1" t="s">
        <v>8573</v>
      </c>
      <c r="E1428" s="1" t="s">
        <v>8582</v>
      </c>
      <c r="F1428" s="1" t="s">
        <v>14989</v>
      </c>
      <c r="G1428" s="1" t="s">
        <v>8415</v>
      </c>
    </row>
    <row r="1429" spans="1:7">
      <c r="A1429" s="1">
        <v>1428</v>
      </c>
      <c r="B1429" s="1" t="s">
        <v>15077</v>
      </c>
      <c r="D1429" s="1" t="s">
        <v>8573</v>
      </c>
      <c r="E1429" s="1" t="s">
        <v>8574</v>
      </c>
      <c r="F1429" s="1" t="s">
        <v>14991</v>
      </c>
      <c r="G1429" s="1" t="s">
        <v>8399</v>
      </c>
    </row>
    <row r="1430" spans="1:7">
      <c r="A1430" s="1">
        <v>1429</v>
      </c>
      <c r="B1430" s="1" t="s">
        <v>15078</v>
      </c>
      <c r="D1430" s="1" t="s">
        <v>8573</v>
      </c>
      <c r="E1430" s="1" t="s">
        <v>8576</v>
      </c>
      <c r="F1430" s="1" t="s">
        <v>14993</v>
      </c>
      <c r="G1430" s="1" t="s">
        <v>8403</v>
      </c>
    </row>
    <row r="1431" spans="1:7">
      <c r="A1431" s="1">
        <v>1430</v>
      </c>
      <c r="B1431" s="1" t="s">
        <v>15079</v>
      </c>
      <c r="D1431" s="1" t="s">
        <v>8573</v>
      </c>
      <c r="E1431" s="1" t="s">
        <v>8592</v>
      </c>
      <c r="F1431" s="1" t="s">
        <v>14995</v>
      </c>
      <c r="G1431" s="1" t="s">
        <v>8435</v>
      </c>
    </row>
    <row r="1432" spans="1:7">
      <c r="A1432" s="1">
        <v>1431</v>
      </c>
      <c r="B1432" s="1" t="s">
        <v>15080</v>
      </c>
      <c r="D1432" s="1" t="s">
        <v>8573</v>
      </c>
      <c r="E1432" s="1" t="s">
        <v>8590</v>
      </c>
      <c r="F1432" s="1" t="s">
        <v>14997</v>
      </c>
      <c r="G1432" s="1" t="s">
        <v>8431</v>
      </c>
    </row>
    <row r="1433" spans="1:7">
      <c r="A1433" s="1">
        <v>1432</v>
      </c>
      <c r="B1433" s="1" t="s">
        <v>15081</v>
      </c>
      <c r="D1433" s="1" t="s">
        <v>8573</v>
      </c>
      <c r="E1433" s="1" t="s">
        <v>8586</v>
      </c>
      <c r="F1433" s="1" t="s">
        <v>14999</v>
      </c>
      <c r="G1433" s="1" t="s">
        <v>8423</v>
      </c>
    </row>
    <row r="1434" spans="1:7">
      <c r="A1434" s="1">
        <v>1433</v>
      </c>
      <c r="B1434" s="1" t="s">
        <v>15082</v>
      </c>
      <c r="D1434" s="1" t="s">
        <v>8573</v>
      </c>
      <c r="E1434" s="1" t="s">
        <v>8584</v>
      </c>
      <c r="F1434" s="1" t="s">
        <v>15001</v>
      </c>
      <c r="G1434" s="1" t="s">
        <v>8419</v>
      </c>
    </row>
    <row r="1435" spans="1:7">
      <c r="A1435" s="1">
        <v>1434</v>
      </c>
      <c r="B1435" s="1" t="s">
        <v>15083</v>
      </c>
      <c r="D1435" s="1" t="s">
        <v>8573</v>
      </c>
      <c r="E1435" s="1" t="s">
        <v>8588</v>
      </c>
      <c r="F1435" s="1" t="s">
        <v>15003</v>
      </c>
      <c r="G1435" s="1" t="s">
        <v>8427</v>
      </c>
    </row>
    <row r="1436" spans="1:7">
      <c r="A1436" s="1">
        <v>1435</v>
      </c>
      <c r="B1436" s="1" t="s">
        <v>15084</v>
      </c>
      <c r="D1436" s="1" t="s">
        <v>8594</v>
      </c>
      <c r="E1436" s="1" t="s">
        <v>8599</v>
      </c>
      <c r="F1436" s="1" t="s">
        <v>14985</v>
      </c>
      <c r="G1436" s="1" t="s">
        <v>8411</v>
      </c>
    </row>
    <row r="1437" spans="1:7">
      <c r="A1437" s="1">
        <v>1436</v>
      </c>
      <c r="B1437" s="1" t="s">
        <v>15085</v>
      </c>
      <c r="D1437" s="1" t="s">
        <v>8594</v>
      </c>
      <c r="E1437" s="1" t="s">
        <v>8597</v>
      </c>
      <c r="F1437" s="1" t="s">
        <v>14987</v>
      </c>
      <c r="G1437" s="1" t="s">
        <v>8407</v>
      </c>
    </row>
    <row r="1438" spans="1:7">
      <c r="A1438" s="1">
        <v>1437</v>
      </c>
      <c r="B1438" s="1" t="s">
        <v>15086</v>
      </c>
      <c r="D1438" s="1" t="s">
        <v>8594</v>
      </c>
      <c r="E1438" s="1" t="s">
        <v>8601</v>
      </c>
      <c r="F1438" s="1" t="s">
        <v>14989</v>
      </c>
      <c r="G1438" s="1" t="s">
        <v>8415</v>
      </c>
    </row>
    <row r="1439" spans="1:7">
      <c r="A1439" s="1">
        <v>1438</v>
      </c>
      <c r="B1439" s="1" t="s">
        <v>15087</v>
      </c>
      <c r="D1439" s="1" t="s">
        <v>8594</v>
      </c>
      <c r="E1439" s="1" t="s">
        <v>143</v>
      </c>
      <c r="F1439" s="1" t="s">
        <v>14991</v>
      </c>
      <c r="G1439" s="1" t="s">
        <v>8399</v>
      </c>
    </row>
    <row r="1440" spans="1:7">
      <c r="A1440" s="1">
        <v>1439</v>
      </c>
      <c r="B1440" s="1" t="s">
        <v>15088</v>
      </c>
      <c r="D1440" s="1" t="s">
        <v>8594</v>
      </c>
      <c r="E1440" s="1" t="s">
        <v>145</v>
      </c>
      <c r="F1440" s="1" t="s">
        <v>14993</v>
      </c>
      <c r="G1440" s="1" t="s">
        <v>8403</v>
      </c>
    </row>
    <row r="1441" spans="1:7">
      <c r="A1441" s="1">
        <v>1440</v>
      </c>
      <c r="B1441" s="1" t="s">
        <v>15089</v>
      </c>
      <c r="D1441" s="1" t="s">
        <v>8594</v>
      </c>
      <c r="E1441" s="1" t="s">
        <v>8609</v>
      </c>
      <c r="F1441" s="1" t="s">
        <v>14995</v>
      </c>
      <c r="G1441" s="1" t="s">
        <v>8435</v>
      </c>
    </row>
    <row r="1442" spans="1:7">
      <c r="A1442" s="1">
        <v>1441</v>
      </c>
      <c r="B1442" s="1" t="s">
        <v>15090</v>
      </c>
      <c r="D1442" s="1" t="s">
        <v>8594</v>
      </c>
      <c r="E1442" s="1" t="s">
        <v>8607</v>
      </c>
      <c r="F1442" s="1" t="s">
        <v>14997</v>
      </c>
      <c r="G1442" s="1" t="s">
        <v>8431</v>
      </c>
    </row>
    <row r="1443" spans="1:7">
      <c r="A1443" s="1">
        <v>1442</v>
      </c>
      <c r="B1443" s="1" t="s">
        <v>15091</v>
      </c>
      <c r="D1443" s="1" t="s">
        <v>8594</v>
      </c>
      <c r="E1443" s="1" t="s">
        <v>147</v>
      </c>
      <c r="F1443" s="1" t="s">
        <v>14999</v>
      </c>
      <c r="G1443" s="1" t="s">
        <v>8423</v>
      </c>
    </row>
    <row r="1444" spans="1:7">
      <c r="A1444" s="1">
        <v>1443</v>
      </c>
      <c r="B1444" s="1" t="s">
        <v>15092</v>
      </c>
      <c r="D1444" s="1" t="s">
        <v>8594</v>
      </c>
      <c r="E1444" s="1" t="s">
        <v>149</v>
      </c>
      <c r="F1444" s="1" t="s">
        <v>15001</v>
      </c>
      <c r="G1444" s="1" t="s">
        <v>8419</v>
      </c>
    </row>
    <row r="1445" spans="1:7">
      <c r="A1445" s="1">
        <v>1444</v>
      </c>
      <c r="B1445" s="1" t="s">
        <v>15093</v>
      </c>
      <c r="D1445" s="1" t="s">
        <v>8594</v>
      </c>
      <c r="E1445" s="1" t="s">
        <v>8605</v>
      </c>
      <c r="F1445" s="1" t="s">
        <v>15003</v>
      </c>
      <c r="G1445" s="1" t="s">
        <v>8427</v>
      </c>
    </row>
    <row r="1446" spans="1:7">
      <c r="A1446" s="1">
        <v>1445</v>
      </c>
      <c r="B1446" s="1" t="s">
        <v>15094</v>
      </c>
      <c r="D1446" s="1" t="s">
        <v>8611</v>
      </c>
      <c r="E1446" s="1" t="s">
        <v>8617</v>
      </c>
      <c r="F1446" s="1" t="s">
        <v>14985</v>
      </c>
      <c r="G1446" s="1" t="s">
        <v>8411</v>
      </c>
    </row>
    <row r="1447" spans="1:7">
      <c r="A1447" s="1">
        <v>1446</v>
      </c>
      <c r="B1447" s="1" t="s">
        <v>15095</v>
      </c>
      <c r="D1447" s="1" t="s">
        <v>8611</v>
      </c>
      <c r="E1447" s="1" t="s">
        <v>8615</v>
      </c>
      <c r="F1447" s="1" t="s">
        <v>14987</v>
      </c>
      <c r="G1447" s="1" t="s">
        <v>8407</v>
      </c>
    </row>
    <row r="1448" spans="1:7">
      <c r="A1448" s="1">
        <v>1447</v>
      </c>
      <c r="B1448" s="1" t="s">
        <v>15096</v>
      </c>
      <c r="D1448" s="1" t="s">
        <v>8611</v>
      </c>
      <c r="E1448" s="1" t="s">
        <v>8619</v>
      </c>
      <c r="F1448" s="1" t="s">
        <v>14989</v>
      </c>
      <c r="G1448" s="1" t="s">
        <v>8415</v>
      </c>
    </row>
    <row r="1449" spans="1:7">
      <c r="A1449" s="1">
        <v>1448</v>
      </c>
      <c r="B1449" s="1" t="s">
        <v>15097</v>
      </c>
      <c r="D1449" s="1" t="s">
        <v>8611</v>
      </c>
      <c r="E1449" s="1" t="s">
        <v>8612</v>
      </c>
      <c r="F1449" s="1" t="s">
        <v>14991</v>
      </c>
      <c r="G1449" s="1" t="s">
        <v>8399</v>
      </c>
    </row>
    <row r="1450" spans="1:7">
      <c r="A1450" s="1">
        <v>1449</v>
      </c>
      <c r="B1450" s="1" t="s">
        <v>15098</v>
      </c>
      <c r="D1450" s="1" t="s">
        <v>8611</v>
      </c>
      <c r="E1450" s="1" t="s">
        <v>414</v>
      </c>
      <c r="F1450" s="1" t="s">
        <v>14993</v>
      </c>
      <c r="G1450" s="1" t="s">
        <v>8403</v>
      </c>
    </row>
    <row r="1451" spans="1:7">
      <c r="A1451" s="1">
        <v>1450</v>
      </c>
      <c r="B1451" s="1" t="s">
        <v>15099</v>
      </c>
      <c r="D1451" s="1" t="s">
        <v>8611</v>
      </c>
      <c r="E1451" s="1" t="s">
        <v>8628</v>
      </c>
      <c r="F1451" s="1" t="s">
        <v>14995</v>
      </c>
      <c r="G1451" s="1" t="s">
        <v>8435</v>
      </c>
    </row>
    <row r="1452" spans="1:7">
      <c r="A1452" s="1">
        <v>1451</v>
      </c>
      <c r="B1452" s="1" t="s">
        <v>15100</v>
      </c>
      <c r="D1452" s="1" t="s">
        <v>8611</v>
      </c>
      <c r="E1452" s="1" t="s">
        <v>8626</v>
      </c>
      <c r="F1452" s="1" t="s">
        <v>14997</v>
      </c>
      <c r="G1452" s="1" t="s">
        <v>8431</v>
      </c>
    </row>
    <row r="1453" spans="1:7">
      <c r="A1453" s="1">
        <v>1452</v>
      </c>
      <c r="B1453" s="1" t="s">
        <v>15101</v>
      </c>
      <c r="D1453" s="1" t="s">
        <v>8611</v>
      </c>
      <c r="E1453" s="1" t="s">
        <v>418</v>
      </c>
      <c r="F1453" s="1" t="s">
        <v>14999</v>
      </c>
      <c r="G1453" s="1" t="s">
        <v>8423</v>
      </c>
    </row>
    <row r="1454" spans="1:7">
      <c r="A1454" s="1">
        <v>1453</v>
      </c>
      <c r="B1454" s="1" t="s">
        <v>15102</v>
      </c>
      <c r="D1454" s="1" t="s">
        <v>8611</v>
      </c>
      <c r="E1454" s="1" t="s">
        <v>8621</v>
      </c>
      <c r="F1454" s="1" t="s">
        <v>15001</v>
      </c>
      <c r="G1454" s="1" t="s">
        <v>8419</v>
      </c>
    </row>
    <row r="1455" spans="1:7">
      <c r="A1455" s="1">
        <v>1454</v>
      </c>
      <c r="B1455" s="1" t="s">
        <v>15103</v>
      </c>
      <c r="D1455" s="1" t="s">
        <v>8611</v>
      </c>
      <c r="E1455" s="1" t="s">
        <v>8624</v>
      </c>
      <c r="F1455" s="1" t="s">
        <v>15003</v>
      </c>
      <c r="G1455" s="1" t="s">
        <v>8427</v>
      </c>
    </row>
    <row r="1456" spans="1:7">
      <c r="A1456" s="1">
        <v>1455</v>
      </c>
      <c r="B1456" s="1" t="s">
        <v>15104</v>
      </c>
      <c r="D1456" s="1" t="s">
        <v>8630</v>
      </c>
      <c r="E1456" s="1" t="s">
        <v>8637</v>
      </c>
      <c r="F1456" s="1" t="s">
        <v>14985</v>
      </c>
      <c r="G1456" s="1" t="s">
        <v>8411</v>
      </c>
    </row>
    <row r="1457" spans="1:7">
      <c r="A1457" s="1">
        <v>1456</v>
      </c>
      <c r="B1457" s="1" t="s">
        <v>15105</v>
      </c>
      <c r="D1457" s="1" t="s">
        <v>8630</v>
      </c>
      <c r="E1457" s="1" t="s">
        <v>8635</v>
      </c>
      <c r="F1457" s="1" t="s">
        <v>14987</v>
      </c>
      <c r="G1457" s="1" t="s">
        <v>8407</v>
      </c>
    </row>
    <row r="1458" spans="1:7">
      <c r="A1458" s="1">
        <v>1457</v>
      </c>
      <c r="B1458" s="1" t="s">
        <v>15106</v>
      </c>
      <c r="D1458" s="1" t="s">
        <v>8630</v>
      </c>
      <c r="E1458" s="1" t="s">
        <v>8639</v>
      </c>
      <c r="F1458" s="1" t="s">
        <v>14989</v>
      </c>
      <c r="G1458" s="1" t="s">
        <v>8415</v>
      </c>
    </row>
    <row r="1459" spans="1:7">
      <c r="A1459" s="1">
        <v>1458</v>
      </c>
      <c r="B1459" s="1" t="s">
        <v>15107</v>
      </c>
      <c r="D1459" s="1" t="s">
        <v>8630</v>
      </c>
      <c r="E1459" s="1" t="s">
        <v>8631</v>
      </c>
      <c r="F1459" s="1" t="s">
        <v>14991</v>
      </c>
      <c r="G1459" s="1" t="s">
        <v>8399</v>
      </c>
    </row>
    <row r="1460" spans="1:7">
      <c r="A1460" s="1">
        <v>1459</v>
      </c>
      <c r="B1460" s="1" t="s">
        <v>15108</v>
      </c>
      <c r="D1460" s="1" t="s">
        <v>8630</v>
      </c>
      <c r="E1460" s="1" t="s">
        <v>8633</v>
      </c>
      <c r="F1460" s="1" t="s">
        <v>14993</v>
      </c>
      <c r="G1460" s="1" t="s">
        <v>8403</v>
      </c>
    </row>
    <row r="1461" spans="1:7">
      <c r="A1461" s="1">
        <v>1460</v>
      </c>
      <c r="B1461" s="1" t="s">
        <v>15109</v>
      </c>
      <c r="D1461" s="1" t="s">
        <v>8630</v>
      </c>
      <c r="E1461" s="1" t="s">
        <v>8649</v>
      </c>
      <c r="F1461" s="1" t="s">
        <v>14995</v>
      </c>
      <c r="G1461" s="1" t="s">
        <v>8435</v>
      </c>
    </row>
    <row r="1462" spans="1:7">
      <c r="A1462" s="1">
        <v>1461</v>
      </c>
      <c r="B1462" s="1" t="s">
        <v>15110</v>
      </c>
      <c r="D1462" s="1" t="s">
        <v>8630</v>
      </c>
      <c r="E1462" s="1" t="s">
        <v>8647</v>
      </c>
      <c r="F1462" s="1" t="s">
        <v>14997</v>
      </c>
      <c r="G1462" s="1" t="s">
        <v>8431</v>
      </c>
    </row>
    <row r="1463" spans="1:7">
      <c r="A1463" s="1">
        <v>1462</v>
      </c>
      <c r="B1463" s="1" t="s">
        <v>15111</v>
      </c>
      <c r="D1463" s="1" t="s">
        <v>8630</v>
      </c>
      <c r="E1463" s="1" t="s">
        <v>8643</v>
      </c>
      <c r="F1463" s="1" t="s">
        <v>14999</v>
      </c>
      <c r="G1463" s="1" t="s">
        <v>8423</v>
      </c>
    </row>
    <row r="1464" spans="1:7">
      <c r="A1464" s="1">
        <v>1463</v>
      </c>
      <c r="B1464" s="1" t="s">
        <v>15112</v>
      </c>
      <c r="D1464" s="1" t="s">
        <v>8630</v>
      </c>
      <c r="E1464" s="1" t="s">
        <v>8641</v>
      </c>
      <c r="F1464" s="1" t="s">
        <v>15001</v>
      </c>
      <c r="G1464" s="1" t="s">
        <v>8419</v>
      </c>
    </row>
    <row r="1465" spans="1:7">
      <c r="A1465" s="1">
        <v>1464</v>
      </c>
      <c r="B1465" s="1" t="s">
        <v>15113</v>
      </c>
      <c r="D1465" s="1" t="s">
        <v>8630</v>
      </c>
      <c r="E1465" s="1" t="s">
        <v>8645</v>
      </c>
      <c r="F1465" s="1" t="s">
        <v>15003</v>
      </c>
      <c r="G1465" s="1" t="s">
        <v>8427</v>
      </c>
    </row>
    <row r="1466" spans="1:7">
      <c r="A1466" s="1">
        <v>1465</v>
      </c>
      <c r="B1466" s="1" t="s">
        <v>15114</v>
      </c>
      <c r="D1466" s="1" t="s">
        <v>8651</v>
      </c>
      <c r="E1466" s="1" t="s">
        <v>8658</v>
      </c>
      <c r="F1466" s="1" t="s">
        <v>14985</v>
      </c>
      <c r="G1466" s="1" t="s">
        <v>8411</v>
      </c>
    </row>
    <row r="1467" spans="1:7">
      <c r="A1467" s="1">
        <v>1466</v>
      </c>
      <c r="B1467" s="1" t="s">
        <v>15115</v>
      </c>
      <c r="D1467" s="1" t="s">
        <v>8651</v>
      </c>
      <c r="E1467" s="1" t="s">
        <v>8656</v>
      </c>
      <c r="F1467" s="1" t="s">
        <v>14987</v>
      </c>
      <c r="G1467" s="1" t="s">
        <v>8407</v>
      </c>
    </row>
    <row r="1468" spans="1:7">
      <c r="A1468" s="1">
        <v>1467</v>
      </c>
      <c r="B1468" s="1" t="s">
        <v>15116</v>
      </c>
      <c r="D1468" s="1" t="s">
        <v>8651</v>
      </c>
      <c r="E1468" s="1" t="s">
        <v>8660</v>
      </c>
      <c r="F1468" s="1" t="s">
        <v>14989</v>
      </c>
      <c r="G1468" s="1" t="s">
        <v>8415</v>
      </c>
    </row>
    <row r="1469" spans="1:7">
      <c r="A1469" s="1">
        <v>1468</v>
      </c>
      <c r="B1469" s="1" t="s">
        <v>15117</v>
      </c>
      <c r="D1469" s="1" t="s">
        <v>8651</v>
      </c>
      <c r="E1469" s="1" t="s">
        <v>8652</v>
      </c>
      <c r="F1469" s="1" t="s">
        <v>14991</v>
      </c>
      <c r="G1469" s="1" t="s">
        <v>8399</v>
      </c>
    </row>
    <row r="1470" spans="1:7">
      <c r="A1470" s="1">
        <v>1469</v>
      </c>
      <c r="B1470" s="1" t="s">
        <v>15118</v>
      </c>
      <c r="D1470" s="1" t="s">
        <v>8651</v>
      </c>
      <c r="E1470" s="1" t="s">
        <v>8654</v>
      </c>
      <c r="F1470" s="1" t="s">
        <v>14993</v>
      </c>
      <c r="G1470" s="1" t="s">
        <v>8403</v>
      </c>
    </row>
    <row r="1471" spans="1:7">
      <c r="A1471" s="1">
        <v>1470</v>
      </c>
      <c r="B1471" s="1" t="s">
        <v>15119</v>
      </c>
      <c r="D1471" s="1" t="s">
        <v>8651</v>
      </c>
      <c r="E1471" s="1" t="s">
        <v>8670</v>
      </c>
      <c r="F1471" s="1" t="s">
        <v>14995</v>
      </c>
      <c r="G1471" s="1" t="s">
        <v>8435</v>
      </c>
    </row>
    <row r="1472" spans="1:7">
      <c r="A1472" s="1">
        <v>1471</v>
      </c>
      <c r="B1472" s="1" t="s">
        <v>15120</v>
      </c>
      <c r="D1472" s="1" t="s">
        <v>8651</v>
      </c>
      <c r="E1472" s="1" t="s">
        <v>8668</v>
      </c>
      <c r="F1472" s="1" t="s">
        <v>14997</v>
      </c>
      <c r="G1472" s="1" t="s">
        <v>8431</v>
      </c>
    </row>
    <row r="1473" spans="1:7">
      <c r="A1473" s="1">
        <v>1472</v>
      </c>
      <c r="B1473" s="1" t="s">
        <v>15121</v>
      </c>
      <c r="D1473" s="1" t="s">
        <v>8651</v>
      </c>
      <c r="E1473" s="1" t="s">
        <v>8664</v>
      </c>
      <c r="F1473" s="1" t="s">
        <v>14999</v>
      </c>
      <c r="G1473" s="1" t="s">
        <v>8423</v>
      </c>
    </row>
    <row r="1474" spans="1:7">
      <c r="A1474" s="1">
        <v>1473</v>
      </c>
      <c r="B1474" s="1" t="s">
        <v>15122</v>
      </c>
      <c r="D1474" s="1" t="s">
        <v>8651</v>
      </c>
      <c r="E1474" s="1" t="s">
        <v>8662</v>
      </c>
      <c r="F1474" s="1" t="s">
        <v>15001</v>
      </c>
      <c r="G1474" s="1" t="s">
        <v>8419</v>
      </c>
    </row>
    <row r="1475" spans="1:7">
      <c r="A1475" s="1">
        <v>1474</v>
      </c>
      <c r="B1475" s="1" t="s">
        <v>15123</v>
      </c>
      <c r="D1475" s="1" t="s">
        <v>8651</v>
      </c>
      <c r="E1475" s="1" t="s">
        <v>8666</v>
      </c>
      <c r="F1475" s="1" t="s">
        <v>15003</v>
      </c>
      <c r="G1475" s="1" t="s">
        <v>8427</v>
      </c>
    </row>
    <row r="1476" spans="1:7">
      <c r="A1476" s="1">
        <v>1475</v>
      </c>
      <c r="B1476" s="1" t="s">
        <v>15124</v>
      </c>
      <c r="D1476" s="1" t="s">
        <v>8672</v>
      </c>
      <c r="E1476" s="1" t="s">
        <v>8679</v>
      </c>
      <c r="F1476" s="1" t="s">
        <v>14985</v>
      </c>
      <c r="G1476" s="1" t="s">
        <v>8411</v>
      </c>
    </row>
    <row r="1477" spans="1:7">
      <c r="A1477" s="1">
        <v>1476</v>
      </c>
      <c r="B1477" s="1" t="s">
        <v>15125</v>
      </c>
      <c r="D1477" s="1" t="s">
        <v>8672</v>
      </c>
      <c r="E1477" s="1" t="s">
        <v>8677</v>
      </c>
      <c r="F1477" s="1" t="s">
        <v>14987</v>
      </c>
      <c r="G1477" s="1" t="s">
        <v>8407</v>
      </c>
    </row>
    <row r="1478" spans="1:7">
      <c r="A1478" s="1">
        <v>1477</v>
      </c>
      <c r="B1478" s="1" t="s">
        <v>15126</v>
      </c>
      <c r="D1478" s="1" t="s">
        <v>8672</v>
      </c>
      <c r="E1478" s="1" t="s">
        <v>8681</v>
      </c>
      <c r="F1478" s="1" t="s">
        <v>14989</v>
      </c>
      <c r="G1478" s="1" t="s">
        <v>8415</v>
      </c>
    </row>
    <row r="1479" spans="1:7">
      <c r="A1479" s="1">
        <v>1478</v>
      </c>
      <c r="B1479" s="1" t="s">
        <v>15127</v>
      </c>
      <c r="D1479" s="1" t="s">
        <v>8672</v>
      </c>
      <c r="E1479" s="1" t="s">
        <v>8673</v>
      </c>
      <c r="F1479" s="1" t="s">
        <v>14991</v>
      </c>
      <c r="G1479" s="1" t="s">
        <v>8399</v>
      </c>
    </row>
    <row r="1480" spans="1:7">
      <c r="A1480" s="1">
        <v>1479</v>
      </c>
      <c r="B1480" s="1" t="s">
        <v>15128</v>
      </c>
      <c r="D1480" s="1" t="s">
        <v>8672</v>
      </c>
      <c r="E1480" s="1" t="s">
        <v>8675</v>
      </c>
      <c r="F1480" s="1" t="s">
        <v>14993</v>
      </c>
      <c r="G1480" s="1" t="s">
        <v>8403</v>
      </c>
    </row>
    <row r="1481" spans="1:7">
      <c r="A1481" s="1">
        <v>1480</v>
      </c>
      <c r="B1481" s="1" t="s">
        <v>15129</v>
      </c>
      <c r="D1481" s="1" t="s">
        <v>8672</v>
      </c>
      <c r="E1481" s="1" t="s">
        <v>8691</v>
      </c>
      <c r="F1481" s="1" t="s">
        <v>14995</v>
      </c>
      <c r="G1481" s="1" t="s">
        <v>8435</v>
      </c>
    </row>
    <row r="1482" spans="1:7">
      <c r="A1482" s="1">
        <v>1481</v>
      </c>
      <c r="B1482" s="1" t="s">
        <v>15130</v>
      </c>
      <c r="D1482" s="1" t="s">
        <v>8672</v>
      </c>
      <c r="E1482" s="1" t="s">
        <v>8689</v>
      </c>
      <c r="F1482" s="1" t="s">
        <v>14997</v>
      </c>
      <c r="G1482" s="1" t="s">
        <v>8431</v>
      </c>
    </row>
    <row r="1483" spans="1:7">
      <c r="A1483" s="1">
        <v>1482</v>
      </c>
      <c r="B1483" s="1" t="s">
        <v>15131</v>
      </c>
      <c r="D1483" s="1" t="s">
        <v>8672</v>
      </c>
      <c r="E1483" s="1" t="s">
        <v>8685</v>
      </c>
      <c r="F1483" s="1" t="s">
        <v>14999</v>
      </c>
      <c r="G1483" s="1" t="s">
        <v>8423</v>
      </c>
    </row>
    <row r="1484" spans="1:7">
      <c r="A1484" s="1">
        <v>1483</v>
      </c>
      <c r="B1484" s="1" t="s">
        <v>15132</v>
      </c>
      <c r="D1484" s="1" t="s">
        <v>8672</v>
      </c>
      <c r="E1484" s="1" t="s">
        <v>8683</v>
      </c>
      <c r="F1484" s="1" t="s">
        <v>15001</v>
      </c>
      <c r="G1484" s="1" t="s">
        <v>8419</v>
      </c>
    </row>
    <row r="1485" spans="1:7">
      <c r="A1485" s="1">
        <v>1484</v>
      </c>
      <c r="B1485" s="1" t="s">
        <v>15133</v>
      </c>
      <c r="D1485" s="1" t="s">
        <v>8672</v>
      </c>
      <c r="E1485" s="1" t="s">
        <v>8687</v>
      </c>
      <c r="F1485" s="1" t="s">
        <v>15003</v>
      </c>
      <c r="G1485" s="1" t="s">
        <v>8427</v>
      </c>
    </row>
    <row r="1486" spans="1:7">
      <c r="A1486" s="1">
        <v>1485</v>
      </c>
      <c r="B1486" s="1" t="s">
        <v>15134</v>
      </c>
      <c r="D1486" s="1" t="s">
        <v>8693</v>
      </c>
      <c r="E1486" s="1" t="s">
        <v>8698</v>
      </c>
      <c r="F1486" s="1" t="s">
        <v>14985</v>
      </c>
      <c r="G1486" s="1" t="s">
        <v>8411</v>
      </c>
    </row>
    <row r="1487" spans="1:7">
      <c r="A1487" s="1">
        <v>1486</v>
      </c>
      <c r="B1487" s="1" t="s">
        <v>15135</v>
      </c>
      <c r="D1487" s="1" t="s">
        <v>8693</v>
      </c>
      <c r="E1487" s="1" t="s">
        <v>8696</v>
      </c>
      <c r="F1487" s="1" t="s">
        <v>14987</v>
      </c>
      <c r="G1487" s="1" t="s">
        <v>8407</v>
      </c>
    </row>
    <row r="1488" spans="1:7">
      <c r="A1488" s="1">
        <v>1487</v>
      </c>
      <c r="B1488" s="1" t="s">
        <v>15136</v>
      </c>
      <c r="D1488" s="1" t="s">
        <v>8693</v>
      </c>
      <c r="E1488" s="1" t="s">
        <v>8700</v>
      </c>
      <c r="F1488" s="1" t="s">
        <v>14989</v>
      </c>
      <c r="G1488" s="1" t="s">
        <v>8415</v>
      </c>
    </row>
    <row r="1489" spans="1:7">
      <c r="A1489" s="1">
        <v>1488</v>
      </c>
      <c r="B1489" s="1" t="s">
        <v>15137</v>
      </c>
      <c r="D1489" s="1" t="s">
        <v>8693</v>
      </c>
      <c r="E1489" s="1" t="s">
        <v>1548</v>
      </c>
      <c r="F1489" s="1" t="s">
        <v>14991</v>
      </c>
      <c r="G1489" s="1" t="s">
        <v>8399</v>
      </c>
    </row>
    <row r="1490" spans="1:7">
      <c r="A1490" s="1">
        <v>1489</v>
      </c>
      <c r="B1490" s="1" t="s">
        <v>15138</v>
      </c>
      <c r="D1490" s="1" t="s">
        <v>8693</v>
      </c>
      <c r="E1490" s="1" t="s">
        <v>1549</v>
      </c>
      <c r="F1490" s="1" t="s">
        <v>14993</v>
      </c>
      <c r="G1490" s="1" t="s">
        <v>8403</v>
      </c>
    </row>
    <row r="1491" spans="1:7">
      <c r="A1491" s="1">
        <v>1490</v>
      </c>
      <c r="B1491" s="1" t="s">
        <v>15139</v>
      </c>
      <c r="D1491" s="1" t="s">
        <v>8693</v>
      </c>
      <c r="E1491" s="1" t="s">
        <v>8708</v>
      </c>
      <c r="F1491" s="1" t="s">
        <v>14995</v>
      </c>
      <c r="G1491" s="1" t="s">
        <v>8435</v>
      </c>
    </row>
    <row r="1492" spans="1:7">
      <c r="A1492" s="1">
        <v>1491</v>
      </c>
      <c r="B1492" s="1" t="s">
        <v>15140</v>
      </c>
      <c r="D1492" s="1" t="s">
        <v>8693</v>
      </c>
      <c r="E1492" s="1" t="s">
        <v>8706</v>
      </c>
      <c r="F1492" s="1" t="s">
        <v>14997</v>
      </c>
      <c r="G1492" s="1" t="s">
        <v>8431</v>
      </c>
    </row>
    <row r="1493" spans="1:7">
      <c r="A1493" s="1">
        <v>1492</v>
      </c>
      <c r="B1493" s="1" t="s">
        <v>15141</v>
      </c>
      <c r="D1493" s="1" t="s">
        <v>8693</v>
      </c>
      <c r="E1493" s="1" t="s">
        <v>1550</v>
      </c>
      <c r="F1493" s="1" t="s">
        <v>14999</v>
      </c>
      <c r="G1493" s="1" t="s">
        <v>8423</v>
      </c>
    </row>
    <row r="1494" spans="1:7">
      <c r="A1494" s="1">
        <v>1493</v>
      </c>
      <c r="B1494" s="1" t="s">
        <v>15142</v>
      </c>
      <c r="D1494" s="1" t="s">
        <v>8693</v>
      </c>
      <c r="E1494" s="1" t="s">
        <v>1551</v>
      </c>
      <c r="F1494" s="1" t="s">
        <v>15001</v>
      </c>
      <c r="G1494" s="1" t="s">
        <v>8419</v>
      </c>
    </row>
    <row r="1495" spans="1:7">
      <c r="A1495" s="1">
        <v>1494</v>
      </c>
      <c r="B1495" s="1" t="s">
        <v>15143</v>
      </c>
      <c r="D1495" s="1" t="s">
        <v>8693</v>
      </c>
      <c r="E1495" s="1" t="s">
        <v>8704</v>
      </c>
      <c r="F1495" s="1" t="s">
        <v>15003</v>
      </c>
      <c r="G1495" s="1" t="s">
        <v>8427</v>
      </c>
    </row>
    <row r="1496" spans="1:7">
      <c r="A1496" s="1">
        <v>1495</v>
      </c>
      <c r="B1496" s="1" t="s">
        <v>15144</v>
      </c>
      <c r="D1496" s="1" t="s">
        <v>8710</v>
      </c>
      <c r="E1496" s="1" t="s">
        <v>8717</v>
      </c>
      <c r="F1496" s="1" t="s">
        <v>14985</v>
      </c>
      <c r="G1496" s="1" t="s">
        <v>8411</v>
      </c>
    </row>
    <row r="1497" spans="1:7">
      <c r="A1497" s="1">
        <v>1496</v>
      </c>
      <c r="B1497" s="1" t="s">
        <v>15145</v>
      </c>
      <c r="D1497" s="1" t="s">
        <v>8710</v>
      </c>
      <c r="E1497" s="1" t="s">
        <v>8715</v>
      </c>
      <c r="F1497" s="1" t="s">
        <v>14987</v>
      </c>
      <c r="G1497" s="1" t="s">
        <v>8407</v>
      </c>
    </row>
    <row r="1498" spans="1:7">
      <c r="A1498" s="1">
        <v>1497</v>
      </c>
      <c r="B1498" s="1" t="s">
        <v>15146</v>
      </c>
      <c r="D1498" s="1" t="s">
        <v>8710</v>
      </c>
      <c r="E1498" s="1" t="s">
        <v>8719</v>
      </c>
      <c r="F1498" s="1" t="s">
        <v>14989</v>
      </c>
      <c r="G1498" s="1" t="s">
        <v>8415</v>
      </c>
    </row>
    <row r="1499" spans="1:7">
      <c r="A1499" s="1">
        <v>1498</v>
      </c>
      <c r="B1499" s="1" t="s">
        <v>15147</v>
      </c>
      <c r="D1499" s="1" t="s">
        <v>8710</v>
      </c>
      <c r="E1499" s="1" t="s">
        <v>8711</v>
      </c>
      <c r="F1499" s="1" t="s">
        <v>14991</v>
      </c>
      <c r="G1499" s="1" t="s">
        <v>8399</v>
      </c>
    </row>
    <row r="1500" spans="1:7">
      <c r="A1500" s="1">
        <v>1499</v>
      </c>
      <c r="B1500" s="1" t="s">
        <v>15148</v>
      </c>
      <c r="D1500" s="1" t="s">
        <v>8710</v>
      </c>
      <c r="E1500" s="1" t="s">
        <v>8713</v>
      </c>
      <c r="F1500" s="1" t="s">
        <v>14993</v>
      </c>
      <c r="G1500" s="1" t="s">
        <v>8403</v>
      </c>
    </row>
    <row r="1501" spans="1:7">
      <c r="A1501" s="1">
        <v>1500</v>
      </c>
      <c r="B1501" s="1" t="s">
        <v>15149</v>
      </c>
      <c r="D1501" s="1" t="s">
        <v>8710</v>
      </c>
      <c r="E1501" s="1" t="s">
        <v>8729</v>
      </c>
      <c r="F1501" s="1" t="s">
        <v>14995</v>
      </c>
      <c r="G1501" s="1" t="s">
        <v>8435</v>
      </c>
    </row>
    <row r="1502" spans="1:7">
      <c r="A1502" s="1">
        <v>1501</v>
      </c>
      <c r="B1502" s="1" t="s">
        <v>15150</v>
      </c>
      <c r="D1502" s="1" t="s">
        <v>8710</v>
      </c>
      <c r="E1502" s="1" t="s">
        <v>8727</v>
      </c>
      <c r="F1502" s="1" t="s">
        <v>14997</v>
      </c>
      <c r="G1502" s="1" t="s">
        <v>8431</v>
      </c>
    </row>
    <row r="1503" spans="1:7">
      <c r="A1503" s="1">
        <v>1502</v>
      </c>
      <c r="B1503" s="1" t="s">
        <v>15151</v>
      </c>
      <c r="D1503" s="1" t="s">
        <v>8710</v>
      </c>
      <c r="E1503" s="1" t="s">
        <v>8723</v>
      </c>
      <c r="F1503" s="1" t="s">
        <v>14999</v>
      </c>
      <c r="G1503" s="1" t="s">
        <v>8423</v>
      </c>
    </row>
    <row r="1504" spans="1:7">
      <c r="A1504" s="1">
        <v>1503</v>
      </c>
      <c r="B1504" s="1" t="s">
        <v>15152</v>
      </c>
      <c r="D1504" s="1" t="s">
        <v>8710</v>
      </c>
      <c r="E1504" s="1" t="s">
        <v>8721</v>
      </c>
      <c r="F1504" s="1" t="s">
        <v>15001</v>
      </c>
      <c r="G1504" s="1" t="s">
        <v>8419</v>
      </c>
    </row>
    <row r="1505" spans="1:7">
      <c r="A1505" s="1">
        <v>1504</v>
      </c>
      <c r="B1505" s="1" t="s">
        <v>15153</v>
      </c>
      <c r="D1505" s="1" t="s">
        <v>8710</v>
      </c>
      <c r="E1505" s="1" t="s">
        <v>8725</v>
      </c>
      <c r="F1505" s="1" t="s">
        <v>15003</v>
      </c>
      <c r="G1505" s="1" t="s">
        <v>8427</v>
      </c>
    </row>
    <row r="1506" spans="1:7">
      <c r="A1506" s="1">
        <v>1505</v>
      </c>
      <c r="B1506" s="1" t="s">
        <v>15154</v>
      </c>
      <c r="D1506" s="1" t="s">
        <v>8731</v>
      </c>
      <c r="E1506" s="1" t="s">
        <v>8738</v>
      </c>
      <c r="F1506" s="1" t="s">
        <v>14985</v>
      </c>
      <c r="G1506" s="1" t="s">
        <v>8411</v>
      </c>
    </row>
    <row r="1507" spans="1:7">
      <c r="A1507" s="1">
        <v>1506</v>
      </c>
      <c r="B1507" s="1" t="s">
        <v>15155</v>
      </c>
      <c r="D1507" s="1" t="s">
        <v>8731</v>
      </c>
      <c r="E1507" s="1" t="s">
        <v>8736</v>
      </c>
      <c r="F1507" s="1" t="s">
        <v>14987</v>
      </c>
      <c r="G1507" s="1" t="s">
        <v>8407</v>
      </c>
    </row>
    <row r="1508" spans="1:7">
      <c r="A1508" s="1">
        <v>1507</v>
      </c>
      <c r="B1508" s="1" t="s">
        <v>15156</v>
      </c>
      <c r="D1508" s="1" t="s">
        <v>8731</v>
      </c>
      <c r="E1508" s="1" t="s">
        <v>8740</v>
      </c>
      <c r="F1508" s="1" t="s">
        <v>14989</v>
      </c>
      <c r="G1508" s="1" t="s">
        <v>8415</v>
      </c>
    </row>
    <row r="1509" spans="1:7">
      <c r="A1509" s="1">
        <v>1508</v>
      </c>
      <c r="B1509" s="1" t="s">
        <v>15157</v>
      </c>
      <c r="D1509" s="1" t="s">
        <v>8731</v>
      </c>
      <c r="E1509" s="1" t="s">
        <v>8732</v>
      </c>
      <c r="F1509" s="1" t="s">
        <v>14991</v>
      </c>
      <c r="G1509" s="1" t="s">
        <v>8399</v>
      </c>
    </row>
    <row r="1510" spans="1:7">
      <c r="A1510" s="1">
        <v>1509</v>
      </c>
      <c r="B1510" s="1" t="s">
        <v>15158</v>
      </c>
      <c r="D1510" s="1" t="s">
        <v>8731</v>
      </c>
      <c r="E1510" s="1" t="s">
        <v>8734</v>
      </c>
      <c r="F1510" s="1" t="s">
        <v>14993</v>
      </c>
      <c r="G1510" s="1" t="s">
        <v>8403</v>
      </c>
    </row>
    <row r="1511" spans="1:7">
      <c r="A1511" s="1">
        <v>1510</v>
      </c>
      <c r="B1511" s="1" t="s">
        <v>15159</v>
      </c>
      <c r="D1511" s="1" t="s">
        <v>8731</v>
      </c>
      <c r="E1511" s="1" t="s">
        <v>8750</v>
      </c>
      <c r="F1511" s="1" t="s">
        <v>14995</v>
      </c>
      <c r="G1511" s="1" t="s">
        <v>8435</v>
      </c>
    </row>
    <row r="1512" spans="1:7">
      <c r="A1512" s="1">
        <v>1511</v>
      </c>
      <c r="B1512" s="1" t="s">
        <v>15160</v>
      </c>
      <c r="D1512" s="1" t="s">
        <v>8731</v>
      </c>
      <c r="E1512" s="1" t="s">
        <v>8748</v>
      </c>
      <c r="F1512" s="1" t="s">
        <v>14997</v>
      </c>
      <c r="G1512" s="1" t="s">
        <v>8431</v>
      </c>
    </row>
    <row r="1513" spans="1:7">
      <c r="A1513" s="1">
        <v>1512</v>
      </c>
      <c r="B1513" s="1" t="s">
        <v>15161</v>
      </c>
      <c r="D1513" s="1" t="s">
        <v>8731</v>
      </c>
      <c r="E1513" s="1" t="s">
        <v>8744</v>
      </c>
      <c r="F1513" s="1" t="s">
        <v>14999</v>
      </c>
      <c r="G1513" s="1" t="s">
        <v>8423</v>
      </c>
    </row>
    <row r="1514" spans="1:7">
      <c r="A1514" s="1">
        <v>1513</v>
      </c>
      <c r="B1514" s="1" t="s">
        <v>15162</v>
      </c>
      <c r="D1514" s="1" t="s">
        <v>8731</v>
      </c>
      <c r="E1514" s="1" t="s">
        <v>8742</v>
      </c>
      <c r="F1514" s="1" t="s">
        <v>15001</v>
      </c>
      <c r="G1514" s="1" t="s">
        <v>8419</v>
      </c>
    </row>
    <row r="1515" spans="1:7">
      <c r="A1515" s="1">
        <v>1514</v>
      </c>
      <c r="B1515" s="1" t="s">
        <v>15163</v>
      </c>
      <c r="D1515" s="1" t="s">
        <v>8731</v>
      </c>
      <c r="E1515" s="1" t="s">
        <v>8746</v>
      </c>
      <c r="F1515" s="1" t="s">
        <v>15003</v>
      </c>
      <c r="G1515" s="1" t="s">
        <v>8427</v>
      </c>
    </row>
    <row r="1516" spans="1:7">
      <c r="A1516" s="1">
        <v>1515</v>
      </c>
      <c r="B1516" s="1" t="s">
        <v>15164</v>
      </c>
      <c r="D1516" s="1" t="s">
        <v>8752</v>
      </c>
      <c r="E1516" s="1" t="s">
        <v>8759</v>
      </c>
      <c r="F1516" s="1" t="s">
        <v>14985</v>
      </c>
      <c r="G1516" s="1" t="s">
        <v>8411</v>
      </c>
    </row>
    <row r="1517" spans="1:7">
      <c r="A1517" s="1">
        <v>1516</v>
      </c>
      <c r="B1517" s="1" t="s">
        <v>15165</v>
      </c>
      <c r="D1517" s="1" t="s">
        <v>8752</v>
      </c>
      <c r="E1517" s="1" t="s">
        <v>8757</v>
      </c>
      <c r="F1517" s="1" t="s">
        <v>14987</v>
      </c>
      <c r="G1517" s="1" t="s">
        <v>8407</v>
      </c>
    </row>
    <row r="1518" spans="1:7">
      <c r="A1518" s="1">
        <v>1517</v>
      </c>
      <c r="B1518" s="1" t="s">
        <v>15166</v>
      </c>
      <c r="D1518" s="1" t="s">
        <v>8752</v>
      </c>
      <c r="E1518" s="1" t="s">
        <v>8761</v>
      </c>
      <c r="F1518" s="1" t="s">
        <v>14989</v>
      </c>
      <c r="G1518" s="1" t="s">
        <v>8415</v>
      </c>
    </row>
    <row r="1519" spans="1:7">
      <c r="A1519" s="1">
        <v>1518</v>
      </c>
      <c r="B1519" s="1" t="s">
        <v>15167</v>
      </c>
      <c r="D1519" s="1" t="s">
        <v>8752</v>
      </c>
      <c r="E1519" s="1" t="s">
        <v>8753</v>
      </c>
      <c r="F1519" s="1" t="s">
        <v>14991</v>
      </c>
      <c r="G1519" s="1" t="s">
        <v>8399</v>
      </c>
    </row>
    <row r="1520" spans="1:7">
      <c r="A1520" s="1">
        <v>1519</v>
      </c>
      <c r="B1520" s="1" t="s">
        <v>15168</v>
      </c>
      <c r="D1520" s="1" t="s">
        <v>8752</v>
      </c>
      <c r="E1520" s="1" t="s">
        <v>8755</v>
      </c>
      <c r="F1520" s="1" t="s">
        <v>14993</v>
      </c>
      <c r="G1520" s="1" t="s">
        <v>8403</v>
      </c>
    </row>
    <row r="1521" spans="1:7">
      <c r="A1521" s="1">
        <v>1520</v>
      </c>
      <c r="B1521" s="1" t="s">
        <v>15169</v>
      </c>
      <c r="D1521" s="1" t="s">
        <v>8752</v>
      </c>
      <c r="E1521" s="1" t="s">
        <v>8771</v>
      </c>
      <c r="F1521" s="1" t="s">
        <v>14995</v>
      </c>
      <c r="G1521" s="1" t="s">
        <v>8435</v>
      </c>
    </row>
    <row r="1522" spans="1:7">
      <c r="A1522" s="1">
        <v>1521</v>
      </c>
      <c r="B1522" s="1" t="s">
        <v>15170</v>
      </c>
      <c r="D1522" s="1" t="s">
        <v>8752</v>
      </c>
      <c r="E1522" s="1" t="s">
        <v>8769</v>
      </c>
      <c r="F1522" s="1" t="s">
        <v>14997</v>
      </c>
      <c r="G1522" s="1" t="s">
        <v>8431</v>
      </c>
    </row>
    <row r="1523" spans="1:7">
      <c r="A1523" s="1">
        <v>1522</v>
      </c>
      <c r="B1523" s="1" t="s">
        <v>15171</v>
      </c>
      <c r="D1523" s="1" t="s">
        <v>8752</v>
      </c>
      <c r="E1523" s="1" t="s">
        <v>8765</v>
      </c>
      <c r="F1523" s="1" t="s">
        <v>14999</v>
      </c>
      <c r="G1523" s="1" t="s">
        <v>8423</v>
      </c>
    </row>
    <row r="1524" spans="1:7">
      <c r="A1524" s="1">
        <v>1523</v>
      </c>
      <c r="B1524" s="1" t="s">
        <v>15172</v>
      </c>
      <c r="D1524" s="1" t="s">
        <v>8752</v>
      </c>
      <c r="E1524" s="1" t="s">
        <v>8763</v>
      </c>
      <c r="F1524" s="1" t="s">
        <v>15001</v>
      </c>
      <c r="G1524" s="1" t="s">
        <v>8419</v>
      </c>
    </row>
    <row r="1525" spans="1:7">
      <c r="A1525" s="1">
        <v>1524</v>
      </c>
      <c r="B1525" s="1" t="s">
        <v>15173</v>
      </c>
      <c r="D1525" s="1" t="s">
        <v>8752</v>
      </c>
      <c r="E1525" s="1" t="s">
        <v>8767</v>
      </c>
      <c r="F1525" s="1" t="s">
        <v>15003</v>
      </c>
      <c r="G1525" s="1" t="s">
        <v>8427</v>
      </c>
    </row>
    <row r="1526" spans="1:7">
      <c r="A1526" s="1">
        <v>1525</v>
      </c>
      <c r="B1526" s="1" t="s">
        <v>15174</v>
      </c>
      <c r="D1526" s="1" t="s">
        <v>8773</v>
      </c>
      <c r="E1526" s="1" t="s">
        <v>8780</v>
      </c>
      <c r="F1526" s="1" t="s">
        <v>14985</v>
      </c>
      <c r="G1526" s="1" t="s">
        <v>8411</v>
      </c>
    </row>
    <row r="1527" spans="1:7">
      <c r="A1527" s="1">
        <v>1526</v>
      </c>
      <c r="B1527" s="1" t="s">
        <v>15175</v>
      </c>
      <c r="D1527" s="1" t="s">
        <v>8773</v>
      </c>
      <c r="E1527" s="1" t="s">
        <v>8778</v>
      </c>
      <c r="F1527" s="1" t="s">
        <v>14987</v>
      </c>
      <c r="G1527" s="1" t="s">
        <v>8407</v>
      </c>
    </row>
    <row r="1528" spans="1:7">
      <c r="A1528" s="1">
        <v>1527</v>
      </c>
      <c r="B1528" s="1" t="s">
        <v>15176</v>
      </c>
      <c r="D1528" s="1" t="s">
        <v>8773</v>
      </c>
      <c r="E1528" s="1" t="s">
        <v>8782</v>
      </c>
      <c r="F1528" s="1" t="s">
        <v>14989</v>
      </c>
      <c r="G1528" s="1" t="s">
        <v>8415</v>
      </c>
    </row>
    <row r="1529" spans="1:7">
      <c r="A1529" s="1">
        <v>1528</v>
      </c>
      <c r="B1529" s="1" t="s">
        <v>15177</v>
      </c>
      <c r="D1529" s="1" t="s">
        <v>8773</v>
      </c>
      <c r="E1529" s="1" t="s">
        <v>8774</v>
      </c>
      <c r="F1529" s="1" t="s">
        <v>14991</v>
      </c>
      <c r="G1529" s="1" t="s">
        <v>8399</v>
      </c>
    </row>
    <row r="1530" spans="1:7">
      <c r="A1530" s="1">
        <v>1529</v>
      </c>
      <c r="B1530" s="1" t="s">
        <v>15178</v>
      </c>
      <c r="D1530" s="1" t="s">
        <v>8773</v>
      </c>
      <c r="E1530" s="1" t="s">
        <v>8776</v>
      </c>
      <c r="F1530" s="1" t="s">
        <v>14993</v>
      </c>
      <c r="G1530" s="1" t="s">
        <v>8403</v>
      </c>
    </row>
    <row r="1531" spans="1:7">
      <c r="A1531" s="1">
        <v>1530</v>
      </c>
      <c r="B1531" s="1" t="s">
        <v>15179</v>
      </c>
      <c r="D1531" s="1" t="s">
        <v>8773</v>
      </c>
      <c r="E1531" s="1" t="s">
        <v>8792</v>
      </c>
      <c r="F1531" s="1" t="s">
        <v>14995</v>
      </c>
      <c r="G1531" s="1" t="s">
        <v>8435</v>
      </c>
    </row>
    <row r="1532" spans="1:7">
      <c r="A1532" s="1">
        <v>1531</v>
      </c>
      <c r="B1532" s="1" t="s">
        <v>15180</v>
      </c>
      <c r="D1532" s="1" t="s">
        <v>8773</v>
      </c>
      <c r="E1532" s="1" t="s">
        <v>8790</v>
      </c>
      <c r="F1532" s="1" t="s">
        <v>14997</v>
      </c>
      <c r="G1532" s="1" t="s">
        <v>8431</v>
      </c>
    </row>
    <row r="1533" spans="1:7">
      <c r="A1533" s="1">
        <v>1532</v>
      </c>
      <c r="B1533" s="1" t="s">
        <v>15181</v>
      </c>
      <c r="D1533" s="1" t="s">
        <v>8773</v>
      </c>
      <c r="E1533" s="1" t="s">
        <v>8786</v>
      </c>
      <c r="F1533" s="1" t="s">
        <v>14999</v>
      </c>
      <c r="G1533" s="1" t="s">
        <v>8423</v>
      </c>
    </row>
    <row r="1534" spans="1:7">
      <c r="A1534" s="1">
        <v>1533</v>
      </c>
      <c r="B1534" s="1" t="s">
        <v>15182</v>
      </c>
      <c r="D1534" s="1" t="s">
        <v>8773</v>
      </c>
      <c r="E1534" s="1" t="s">
        <v>8784</v>
      </c>
      <c r="F1534" s="1" t="s">
        <v>15001</v>
      </c>
      <c r="G1534" s="1" t="s">
        <v>8419</v>
      </c>
    </row>
    <row r="1535" spans="1:7">
      <c r="A1535" s="1">
        <v>1534</v>
      </c>
      <c r="B1535" s="1" t="s">
        <v>15183</v>
      </c>
      <c r="D1535" s="1" t="s">
        <v>8773</v>
      </c>
      <c r="E1535" s="1" t="s">
        <v>8788</v>
      </c>
      <c r="F1535" s="1" t="s">
        <v>15003</v>
      </c>
      <c r="G1535" s="1" t="s">
        <v>8427</v>
      </c>
    </row>
    <row r="1536" spans="1:7">
      <c r="A1536" s="1">
        <v>1535</v>
      </c>
      <c r="B1536" s="1" t="s">
        <v>15184</v>
      </c>
      <c r="D1536" s="1" t="s">
        <v>8794</v>
      </c>
      <c r="E1536" s="1" t="s">
        <v>8801</v>
      </c>
      <c r="F1536" s="1" t="s">
        <v>14985</v>
      </c>
      <c r="G1536" s="1" t="s">
        <v>8411</v>
      </c>
    </row>
    <row r="1537" spans="1:7">
      <c r="A1537" s="1">
        <v>1536</v>
      </c>
      <c r="B1537" s="1" t="s">
        <v>15185</v>
      </c>
      <c r="D1537" s="1" t="s">
        <v>8794</v>
      </c>
      <c r="E1537" s="1" t="s">
        <v>8799</v>
      </c>
      <c r="F1537" s="1" t="s">
        <v>14987</v>
      </c>
      <c r="G1537" s="1" t="s">
        <v>8407</v>
      </c>
    </row>
    <row r="1538" spans="1:7">
      <c r="A1538" s="1">
        <v>1537</v>
      </c>
      <c r="B1538" s="1" t="s">
        <v>15186</v>
      </c>
      <c r="D1538" s="1" t="s">
        <v>8794</v>
      </c>
      <c r="E1538" s="1" t="s">
        <v>8803</v>
      </c>
      <c r="F1538" s="1" t="s">
        <v>14989</v>
      </c>
      <c r="G1538" s="1" t="s">
        <v>8415</v>
      </c>
    </row>
    <row r="1539" spans="1:7">
      <c r="A1539" s="1">
        <v>1538</v>
      </c>
      <c r="B1539" s="1" t="s">
        <v>15187</v>
      </c>
      <c r="D1539" s="1" t="s">
        <v>8794</v>
      </c>
      <c r="E1539" s="1" t="s">
        <v>8795</v>
      </c>
      <c r="F1539" s="1" t="s">
        <v>14991</v>
      </c>
      <c r="G1539" s="1" t="s">
        <v>8399</v>
      </c>
    </row>
    <row r="1540" spans="1:7">
      <c r="A1540" s="1">
        <v>1539</v>
      </c>
      <c r="B1540" s="1" t="s">
        <v>15188</v>
      </c>
      <c r="D1540" s="1" t="s">
        <v>8794</v>
      </c>
      <c r="E1540" s="1" t="s">
        <v>8797</v>
      </c>
      <c r="F1540" s="1" t="s">
        <v>14993</v>
      </c>
      <c r="G1540" s="1" t="s">
        <v>8403</v>
      </c>
    </row>
    <row r="1541" spans="1:7">
      <c r="A1541" s="1">
        <v>1540</v>
      </c>
      <c r="B1541" s="1" t="s">
        <v>15189</v>
      </c>
      <c r="D1541" s="1" t="s">
        <v>8794</v>
      </c>
      <c r="E1541" s="1" t="s">
        <v>8813</v>
      </c>
      <c r="F1541" s="1" t="s">
        <v>14995</v>
      </c>
      <c r="G1541" s="1" t="s">
        <v>8435</v>
      </c>
    </row>
    <row r="1542" spans="1:7">
      <c r="A1542" s="1">
        <v>1541</v>
      </c>
      <c r="B1542" s="1" t="s">
        <v>15190</v>
      </c>
      <c r="D1542" s="1" t="s">
        <v>8794</v>
      </c>
      <c r="E1542" s="1" t="s">
        <v>8811</v>
      </c>
      <c r="F1542" s="1" t="s">
        <v>14997</v>
      </c>
      <c r="G1542" s="1" t="s">
        <v>8431</v>
      </c>
    </row>
    <row r="1543" spans="1:7">
      <c r="A1543" s="1">
        <v>1542</v>
      </c>
      <c r="B1543" s="1" t="s">
        <v>15191</v>
      </c>
      <c r="D1543" s="1" t="s">
        <v>8794</v>
      </c>
      <c r="E1543" s="1" t="s">
        <v>8807</v>
      </c>
      <c r="F1543" s="1" t="s">
        <v>14999</v>
      </c>
      <c r="G1543" s="1" t="s">
        <v>8423</v>
      </c>
    </row>
    <row r="1544" spans="1:7">
      <c r="A1544" s="1">
        <v>1543</v>
      </c>
      <c r="B1544" s="1" t="s">
        <v>15192</v>
      </c>
      <c r="D1544" s="1" t="s">
        <v>8794</v>
      </c>
      <c r="E1544" s="1" t="s">
        <v>8805</v>
      </c>
      <c r="F1544" s="1" t="s">
        <v>15001</v>
      </c>
      <c r="G1544" s="1" t="s">
        <v>8419</v>
      </c>
    </row>
    <row r="1545" spans="1:7">
      <c r="A1545" s="1">
        <v>1544</v>
      </c>
      <c r="B1545" s="1" t="s">
        <v>15193</v>
      </c>
      <c r="D1545" s="1" t="s">
        <v>8794</v>
      </c>
      <c r="E1545" s="1" t="s">
        <v>8809</v>
      </c>
      <c r="F1545" s="1" t="s">
        <v>15003</v>
      </c>
      <c r="G1545" s="1" t="s">
        <v>8427</v>
      </c>
    </row>
    <row r="1546" spans="1:7">
      <c r="A1546" s="1">
        <v>1545</v>
      </c>
      <c r="B1546" s="1" t="s">
        <v>15194</v>
      </c>
      <c r="D1546" s="1" t="s">
        <v>8815</v>
      </c>
      <c r="E1546" s="1" t="s">
        <v>8822</v>
      </c>
      <c r="F1546" s="1" t="s">
        <v>14985</v>
      </c>
      <c r="G1546" s="1" t="s">
        <v>8411</v>
      </c>
    </row>
    <row r="1547" spans="1:7">
      <c r="A1547" s="1">
        <v>1546</v>
      </c>
      <c r="B1547" s="1" t="s">
        <v>15195</v>
      </c>
      <c r="D1547" s="1" t="s">
        <v>8815</v>
      </c>
      <c r="E1547" s="1" t="s">
        <v>8820</v>
      </c>
      <c r="F1547" s="1" t="s">
        <v>14987</v>
      </c>
      <c r="G1547" s="1" t="s">
        <v>8407</v>
      </c>
    </row>
    <row r="1548" spans="1:7">
      <c r="A1548" s="1">
        <v>1547</v>
      </c>
      <c r="B1548" s="1" t="s">
        <v>15196</v>
      </c>
      <c r="D1548" s="1" t="s">
        <v>8815</v>
      </c>
      <c r="E1548" s="1" t="s">
        <v>8824</v>
      </c>
      <c r="F1548" s="1" t="s">
        <v>14989</v>
      </c>
      <c r="G1548" s="1" t="s">
        <v>8415</v>
      </c>
    </row>
    <row r="1549" spans="1:7">
      <c r="A1549" s="1">
        <v>1548</v>
      </c>
      <c r="B1549" s="1" t="s">
        <v>15197</v>
      </c>
      <c r="D1549" s="1" t="s">
        <v>8815</v>
      </c>
      <c r="E1549" s="1" t="s">
        <v>8816</v>
      </c>
      <c r="F1549" s="1" t="s">
        <v>14991</v>
      </c>
      <c r="G1549" s="1" t="s">
        <v>8399</v>
      </c>
    </row>
    <row r="1550" spans="1:7">
      <c r="A1550" s="1">
        <v>1549</v>
      </c>
      <c r="B1550" s="1" t="s">
        <v>15198</v>
      </c>
      <c r="D1550" s="1" t="s">
        <v>8815</v>
      </c>
      <c r="E1550" s="1" t="s">
        <v>8818</v>
      </c>
      <c r="F1550" s="1" t="s">
        <v>14993</v>
      </c>
      <c r="G1550" s="1" t="s">
        <v>8403</v>
      </c>
    </row>
    <row r="1551" spans="1:7">
      <c r="A1551" s="1">
        <v>1550</v>
      </c>
      <c r="B1551" s="1" t="s">
        <v>15199</v>
      </c>
      <c r="D1551" s="1" t="s">
        <v>8815</v>
      </c>
      <c r="E1551" s="1" t="s">
        <v>8834</v>
      </c>
      <c r="F1551" s="1" t="s">
        <v>14995</v>
      </c>
      <c r="G1551" s="1" t="s">
        <v>8435</v>
      </c>
    </row>
    <row r="1552" spans="1:7">
      <c r="A1552" s="1">
        <v>1551</v>
      </c>
      <c r="B1552" s="1" t="s">
        <v>15200</v>
      </c>
      <c r="D1552" s="1" t="s">
        <v>8815</v>
      </c>
      <c r="E1552" s="1" t="s">
        <v>8832</v>
      </c>
      <c r="F1552" s="1" t="s">
        <v>14997</v>
      </c>
      <c r="G1552" s="1" t="s">
        <v>8431</v>
      </c>
    </row>
    <row r="1553" spans="1:7">
      <c r="A1553" s="1">
        <v>1552</v>
      </c>
      <c r="B1553" s="1" t="s">
        <v>15201</v>
      </c>
      <c r="D1553" s="1" t="s">
        <v>8815</v>
      </c>
      <c r="E1553" s="1" t="s">
        <v>8828</v>
      </c>
      <c r="F1553" s="1" t="s">
        <v>14999</v>
      </c>
      <c r="G1553" s="1" t="s">
        <v>8423</v>
      </c>
    </row>
    <row r="1554" spans="1:7">
      <c r="A1554" s="1">
        <v>1553</v>
      </c>
      <c r="B1554" s="1" t="s">
        <v>15202</v>
      </c>
      <c r="D1554" s="1" t="s">
        <v>8815</v>
      </c>
      <c r="E1554" s="1" t="s">
        <v>8826</v>
      </c>
      <c r="F1554" s="1" t="s">
        <v>15001</v>
      </c>
      <c r="G1554" s="1" t="s">
        <v>8419</v>
      </c>
    </row>
    <row r="1555" spans="1:7">
      <c r="A1555" s="1">
        <v>1554</v>
      </c>
      <c r="B1555" s="1" t="s">
        <v>15203</v>
      </c>
      <c r="D1555" s="1" t="s">
        <v>8815</v>
      </c>
      <c r="E1555" s="1" t="s">
        <v>8830</v>
      </c>
      <c r="F1555" s="1" t="s">
        <v>15003</v>
      </c>
      <c r="G1555" s="1" t="s">
        <v>8427</v>
      </c>
    </row>
    <row r="1556" spans="1:7">
      <c r="A1556" s="1">
        <v>1555</v>
      </c>
      <c r="B1556" s="1" t="s">
        <v>15204</v>
      </c>
      <c r="D1556" s="1" t="s">
        <v>8836</v>
      </c>
      <c r="E1556" s="1" t="s">
        <v>8843</v>
      </c>
      <c r="F1556" s="1" t="s">
        <v>14985</v>
      </c>
      <c r="G1556" s="1" t="s">
        <v>8411</v>
      </c>
    </row>
    <row r="1557" spans="1:7">
      <c r="A1557" s="1">
        <v>1556</v>
      </c>
      <c r="B1557" s="1" t="s">
        <v>15205</v>
      </c>
      <c r="D1557" s="1" t="s">
        <v>8836</v>
      </c>
      <c r="E1557" s="1" t="s">
        <v>8841</v>
      </c>
      <c r="F1557" s="1" t="s">
        <v>14987</v>
      </c>
      <c r="G1557" s="1" t="s">
        <v>8407</v>
      </c>
    </row>
    <row r="1558" spans="1:7">
      <c r="A1558" s="1">
        <v>1557</v>
      </c>
      <c r="B1558" s="1" t="s">
        <v>15206</v>
      </c>
      <c r="D1558" s="1" t="s">
        <v>8836</v>
      </c>
      <c r="E1558" s="1" t="s">
        <v>8845</v>
      </c>
      <c r="F1558" s="1" t="s">
        <v>14989</v>
      </c>
      <c r="G1558" s="1" t="s">
        <v>8415</v>
      </c>
    </row>
    <row r="1559" spans="1:7">
      <c r="A1559" s="1">
        <v>1558</v>
      </c>
      <c r="B1559" s="1" t="s">
        <v>15207</v>
      </c>
      <c r="D1559" s="1" t="s">
        <v>8836</v>
      </c>
      <c r="E1559" s="1" t="s">
        <v>8837</v>
      </c>
      <c r="F1559" s="1" t="s">
        <v>14991</v>
      </c>
      <c r="G1559" s="1" t="s">
        <v>8399</v>
      </c>
    </row>
    <row r="1560" spans="1:7">
      <c r="A1560" s="1">
        <v>1559</v>
      </c>
      <c r="B1560" s="1" t="s">
        <v>15208</v>
      </c>
      <c r="D1560" s="1" t="s">
        <v>8836</v>
      </c>
      <c r="E1560" s="1" t="s">
        <v>8839</v>
      </c>
      <c r="F1560" s="1" t="s">
        <v>14993</v>
      </c>
      <c r="G1560" s="1" t="s">
        <v>8403</v>
      </c>
    </row>
    <row r="1561" spans="1:7">
      <c r="A1561" s="1">
        <v>1560</v>
      </c>
      <c r="B1561" s="1" t="s">
        <v>15209</v>
      </c>
      <c r="D1561" s="1" t="s">
        <v>8836</v>
      </c>
      <c r="E1561" s="1" t="s">
        <v>8855</v>
      </c>
      <c r="F1561" s="1" t="s">
        <v>14995</v>
      </c>
      <c r="G1561" s="1" t="s">
        <v>8435</v>
      </c>
    </row>
    <row r="1562" spans="1:7">
      <c r="A1562" s="1">
        <v>1561</v>
      </c>
      <c r="B1562" s="1" t="s">
        <v>15210</v>
      </c>
      <c r="D1562" s="1" t="s">
        <v>8836</v>
      </c>
      <c r="E1562" s="1" t="s">
        <v>8853</v>
      </c>
      <c r="F1562" s="1" t="s">
        <v>14997</v>
      </c>
      <c r="G1562" s="1" t="s">
        <v>8431</v>
      </c>
    </row>
    <row r="1563" spans="1:7">
      <c r="A1563" s="1">
        <v>1562</v>
      </c>
      <c r="B1563" s="1" t="s">
        <v>15211</v>
      </c>
      <c r="D1563" s="1" t="s">
        <v>8836</v>
      </c>
      <c r="E1563" s="1" t="s">
        <v>8849</v>
      </c>
      <c r="F1563" s="1" t="s">
        <v>14999</v>
      </c>
      <c r="G1563" s="1" t="s">
        <v>8423</v>
      </c>
    </row>
    <row r="1564" spans="1:7">
      <c r="A1564" s="1">
        <v>1563</v>
      </c>
      <c r="B1564" s="1" t="s">
        <v>15212</v>
      </c>
      <c r="D1564" s="1" t="s">
        <v>8836</v>
      </c>
      <c r="E1564" s="1" t="s">
        <v>8847</v>
      </c>
      <c r="F1564" s="1" t="s">
        <v>15001</v>
      </c>
      <c r="G1564" s="1" t="s">
        <v>8419</v>
      </c>
    </row>
    <row r="1565" spans="1:7">
      <c r="A1565" s="1">
        <v>1564</v>
      </c>
      <c r="B1565" s="1" t="s">
        <v>15213</v>
      </c>
      <c r="D1565" s="1" t="s">
        <v>8836</v>
      </c>
      <c r="E1565" s="1" t="s">
        <v>8851</v>
      </c>
      <c r="F1565" s="1" t="s">
        <v>15003</v>
      </c>
      <c r="G1565" s="1" t="s">
        <v>8427</v>
      </c>
    </row>
    <row r="1566" spans="1:7">
      <c r="A1566" s="1">
        <v>1565</v>
      </c>
      <c r="B1566" s="1" t="s">
        <v>15214</v>
      </c>
      <c r="D1566" s="1" t="s">
        <v>8857</v>
      </c>
      <c r="E1566" s="1" t="s">
        <v>8864</v>
      </c>
      <c r="F1566" s="1" t="s">
        <v>14985</v>
      </c>
      <c r="G1566" s="1" t="s">
        <v>8411</v>
      </c>
    </row>
    <row r="1567" spans="1:7">
      <c r="A1567" s="1">
        <v>1566</v>
      </c>
      <c r="B1567" s="1" t="s">
        <v>15215</v>
      </c>
      <c r="D1567" s="1" t="s">
        <v>8857</v>
      </c>
      <c r="E1567" s="1" t="s">
        <v>8862</v>
      </c>
      <c r="F1567" s="1" t="s">
        <v>14987</v>
      </c>
      <c r="G1567" s="1" t="s">
        <v>8407</v>
      </c>
    </row>
    <row r="1568" spans="1:7">
      <c r="A1568" s="1">
        <v>1567</v>
      </c>
      <c r="B1568" s="1" t="s">
        <v>15216</v>
      </c>
      <c r="D1568" s="1" t="s">
        <v>8857</v>
      </c>
      <c r="E1568" s="1" t="s">
        <v>8866</v>
      </c>
      <c r="F1568" s="1" t="s">
        <v>14989</v>
      </c>
      <c r="G1568" s="1" t="s">
        <v>8415</v>
      </c>
    </row>
    <row r="1569" spans="1:7">
      <c r="A1569" s="1">
        <v>1568</v>
      </c>
      <c r="B1569" s="1" t="s">
        <v>15217</v>
      </c>
      <c r="D1569" s="1" t="s">
        <v>8857</v>
      </c>
      <c r="E1569" s="1" t="s">
        <v>8858</v>
      </c>
      <c r="F1569" s="1" t="s">
        <v>14991</v>
      </c>
      <c r="G1569" s="1" t="s">
        <v>8399</v>
      </c>
    </row>
    <row r="1570" spans="1:7">
      <c r="A1570" s="1">
        <v>1569</v>
      </c>
      <c r="B1570" s="1" t="s">
        <v>15218</v>
      </c>
      <c r="D1570" s="1" t="s">
        <v>8857</v>
      </c>
      <c r="E1570" s="1" t="s">
        <v>8860</v>
      </c>
      <c r="F1570" s="1" t="s">
        <v>14993</v>
      </c>
      <c r="G1570" s="1" t="s">
        <v>8403</v>
      </c>
    </row>
    <row r="1571" spans="1:7">
      <c r="A1571" s="1">
        <v>1570</v>
      </c>
      <c r="B1571" s="1" t="s">
        <v>15219</v>
      </c>
      <c r="D1571" s="1" t="s">
        <v>8857</v>
      </c>
      <c r="E1571" s="1" t="s">
        <v>8876</v>
      </c>
      <c r="F1571" s="1" t="s">
        <v>14995</v>
      </c>
      <c r="G1571" s="1" t="s">
        <v>8435</v>
      </c>
    </row>
    <row r="1572" spans="1:7">
      <c r="A1572" s="1">
        <v>1571</v>
      </c>
      <c r="B1572" s="1" t="s">
        <v>15220</v>
      </c>
      <c r="D1572" s="1" t="s">
        <v>8857</v>
      </c>
      <c r="E1572" s="1" t="s">
        <v>8874</v>
      </c>
      <c r="F1572" s="1" t="s">
        <v>14997</v>
      </c>
      <c r="G1572" s="1" t="s">
        <v>8431</v>
      </c>
    </row>
    <row r="1573" spans="1:7">
      <c r="A1573" s="1">
        <v>1572</v>
      </c>
      <c r="B1573" s="1" t="s">
        <v>15221</v>
      </c>
      <c r="D1573" s="1" t="s">
        <v>8857</v>
      </c>
      <c r="E1573" s="1" t="s">
        <v>8870</v>
      </c>
      <c r="F1573" s="1" t="s">
        <v>14999</v>
      </c>
      <c r="G1573" s="1" t="s">
        <v>8423</v>
      </c>
    </row>
    <row r="1574" spans="1:7">
      <c r="A1574" s="1">
        <v>1573</v>
      </c>
      <c r="B1574" s="1" t="s">
        <v>15222</v>
      </c>
      <c r="D1574" s="1" t="s">
        <v>8857</v>
      </c>
      <c r="E1574" s="1" t="s">
        <v>8868</v>
      </c>
      <c r="F1574" s="1" t="s">
        <v>15001</v>
      </c>
      <c r="G1574" s="1" t="s">
        <v>8419</v>
      </c>
    </row>
    <row r="1575" spans="1:7">
      <c r="A1575" s="1">
        <v>1574</v>
      </c>
      <c r="B1575" s="1" t="s">
        <v>15223</v>
      </c>
      <c r="D1575" s="1" t="s">
        <v>8857</v>
      </c>
      <c r="E1575" s="1" t="s">
        <v>8872</v>
      </c>
      <c r="F1575" s="1" t="s">
        <v>15003</v>
      </c>
      <c r="G1575" s="1" t="s">
        <v>8427</v>
      </c>
    </row>
    <row r="1576" spans="1:7">
      <c r="A1576" s="1">
        <v>1575</v>
      </c>
      <c r="B1576" s="1" t="s">
        <v>15224</v>
      </c>
      <c r="D1576" s="1" t="s">
        <v>8878</v>
      </c>
      <c r="E1576" s="1" t="s">
        <v>8885</v>
      </c>
      <c r="F1576" s="1" t="s">
        <v>14985</v>
      </c>
      <c r="G1576" s="1" t="s">
        <v>8411</v>
      </c>
    </row>
    <row r="1577" spans="1:7">
      <c r="A1577" s="1">
        <v>1576</v>
      </c>
      <c r="B1577" s="1" t="s">
        <v>15225</v>
      </c>
      <c r="D1577" s="1" t="s">
        <v>8878</v>
      </c>
      <c r="E1577" s="1" t="s">
        <v>8883</v>
      </c>
      <c r="F1577" s="1" t="s">
        <v>14987</v>
      </c>
      <c r="G1577" s="1" t="s">
        <v>8407</v>
      </c>
    </row>
    <row r="1578" spans="1:7">
      <c r="A1578" s="1">
        <v>1577</v>
      </c>
      <c r="B1578" s="1" t="s">
        <v>15226</v>
      </c>
      <c r="D1578" s="1" t="s">
        <v>8878</v>
      </c>
      <c r="E1578" s="1" t="s">
        <v>8887</v>
      </c>
      <c r="F1578" s="1" t="s">
        <v>14989</v>
      </c>
      <c r="G1578" s="1" t="s">
        <v>8415</v>
      </c>
    </row>
    <row r="1579" spans="1:7">
      <c r="A1579" s="1">
        <v>1578</v>
      </c>
      <c r="B1579" s="1" t="s">
        <v>15227</v>
      </c>
      <c r="D1579" s="1" t="s">
        <v>8878</v>
      </c>
      <c r="E1579" s="1" t="s">
        <v>8879</v>
      </c>
      <c r="F1579" s="1" t="s">
        <v>14991</v>
      </c>
      <c r="G1579" s="1" t="s">
        <v>8399</v>
      </c>
    </row>
    <row r="1580" spans="1:7">
      <c r="A1580" s="1">
        <v>1579</v>
      </c>
      <c r="B1580" s="1" t="s">
        <v>15228</v>
      </c>
      <c r="D1580" s="1" t="s">
        <v>8878</v>
      </c>
      <c r="E1580" s="1" t="s">
        <v>8881</v>
      </c>
      <c r="F1580" s="1" t="s">
        <v>14993</v>
      </c>
      <c r="G1580" s="1" t="s">
        <v>8403</v>
      </c>
    </row>
    <row r="1581" spans="1:7">
      <c r="A1581" s="1">
        <v>1580</v>
      </c>
      <c r="B1581" s="1" t="s">
        <v>15229</v>
      </c>
      <c r="D1581" s="1" t="s">
        <v>8878</v>
      </c>
      <c r="E1581" s="1" t="s">
        <v>8897</v>
      </c>
      <c r="F1581" s="1" t="s">
        <v>14995</v>
      </c>
      <c r="G1581" s="1" t="s">
        <v>8435</v>
      </c>
    </row>
    <row r="1582" spans="1:7">
      <c r="A1582" s="1">
        <v>1581</v>
      </c>
      <c r="B1582" s="1" t="s">
        <v>15230</v>
      </c>
      <c r="D1582" s="1" t="s">
        <v>8878</v>
      </c>
      <c r="E1582" s="1" t="s">
        <v>8895</v>
      </c>
      <c r="F1582" s="1" t="s">
        <v>14997</v>
      </c>
      <c r="G1582" s="1" t="s">
        <v>8431</v>
      </c>
    </row>
    <row r="1583" spans="1:7">
      <c r="A1583" s="1">
        <v>1582</v>
      </c>
      <c r="B1583" s="1" t="s">
        <v>15231</v>
      </c>
      <c r="D1583" s="1" t="s">
        <v>8878</v>
      </c>
      <c r="E1583" s="1" t="s">
        <v>8891</v>
      </c>
      <c r="F1583" s="1" t="s">
        <v>14999</v>
      </c>
      <c r="G1583" s="1" t="s">
        <v>8423</v>
      </c>
    </row>
    <row r="1584" spans="1:7">
      <c r="A1584" s="1">
        <v>1583</v>
      </c>
      <c r="B1584" s="1" t="s">
        <v>15232</v>
      </c>
      <c r="D1584" s="1" t="s">
        <v>8878</v>
      </c>
      <c r="E1584" s="1" t="s">
        <v>8889</v>
      </c>
      <c r="F1584" s="1" t="s">
        <v>15001</v>
      </c>
      <c r="G1584" s="1" t="s">
        <v>8419</v>
      </c>
    </row>
    <row r="1585" spans="1:7">
      <c r="A1585" s="1">
        <v>1584</v>
      </c>
      <c r="B1585" s="1" t="s">
        <v>15233</v>
      </c>
      <c r="D1585" s="1" t="s">
        <v>8878</v>
      </c>
      <c r="E1585" s="1" t="s">
        <v>8893</v>
      </c>
      <c r="F1585" s="1" t="s">
        <v>15003</v>
      </c>
      <c r="G1585" s="1" t="s">
        <v>8427</v>
      </c>
    </row>
    <row r="1586" spans="1:7">
      <c r="A1586" s="1">
        <v>1585</v>
      </c>
      <c r="B1586" s="1" t="s">
        <v>15234</v>
      </c>
      <c r="D1586" s="1" t="s">
        <v>8899</v>
      </c>
      <c r="E1586" s="1" t="s">
        <v>8906</v>
      </c>
      <c r="F1586" s="1" t="s">
        <v>14985</v>
      </c>
      <c r="G1586" s="1" t="s">
        <v>8411</v>
      </c>
    </row>
    <row r="1587" spans="1:7">
      <c r="A1587" s="1">
        <v>1586</v>
      </c>
      <c r="B1587" s="1" t="s">
        <v>15235</v>
      </c>
      <c r="D1587" s="1" t="s">
        <v>8899</v>
      </c>
      <c r="E1587" s="1" t="s">
        <v>8904</v>
      </c>
      <c r="F1587" s="1" t="s">
        <v>14987</v>
      </c>
      <c r="G1587" s="1" t="s">
        <v>8407</v>
      </c>
    </row>
    <row r="1588" spans="1:7">
      <c r="A1588" s="1">
        <v>1587</v>
      </c>
      <c r="B1588" s="1" t="s">
        <v>15236</v>
      </c>
      <c r="D1588" s="1" t="s">
        <v>8899</v>
      </c>
      <c r="E1588" s="1" t="s">
        <v>8908</v>
      </c>
      <c r="F1588" s="1" t="s">
        <v>14989</v>
      </c>
      <c r="G1588" s="1" t="s">
        <v>8415</v>
      </c>
    </row>
    <row r="1589" spans="1:7">
      <c r="A1589" s="1">
        <v>1588</v>
      </c>
      <c r="B1589" s="1" t="s">
        <v>15237</v>
      </c>
      <c r="D1589" s="1" t="s">
        <v>8899</v>
      </c>
      <c r="E1589" s="1" t="s">
        <v>8900</v>
      </c>
      <c r="F1589" s="1" t="s">
        <v>14991</v>
      </c>
      <c r="G1589" s="1" t="s">
        <v>8399</v>
      </c>
    </row>
    <row r="1590" spans="1:7">
      <c r="A1590" s="1">
        <v>1589</v>
      </c>
      <c r="B1590" s="1" t="s">
        <v>15238</v>
      </c>
      <c r="D1590" s="1" t="s">
        <v>8899</v>
      </c>
      <c r="E1590" s="1" t="s">
        <v>8902</v>
      </c>
      <c r="F1590" s="1" t="s">
        <v>14993</v>
      </c>
      <c r="G1590" s="1" t="s">
        <v>8403</v>
      </c>
    </row>
    <row r="1591" spans="1:7">
      <c r="A1591" s="1">
        <v>1590</v>
      </c>
      <c r="B1591" s="1" t="s">
        <v>15239</v>
      </c>
      <c r="D1591" s="1" t="s">
        <v>8899</v>
      </c>
      <c r="E1591" s="1" t="s">
        <v>8918</v>
      </c>
      <c r="F1591" s="1" t="s">
        <v>14995</v>
      </c>
      <c r="G1591" s="1" t="s">
        <v>8435</v>
      </c>
    </row>
    <row r="1592" spans="1:7">
      <c r="A1592" s="1">
        <v>1591</v>
      </c>
      <c r="B1592" s="1" t="s">
        <v>15240</v>
      </c>
      <c r="D1592" s="1" t="s">
        <v>8899</v>
      </c>
      <c r="E1592" s="1" t="s">
        <v>8916</v>
      </c>
      <c r="F1592" s="1" t="s">
        <v>14997</v>
      </c>
      <c r="G1592" s="1" t="s">
        <v>8431</v>
      </c>
    </row>
    <row r="1593" spans="1:7">
      <c r="A1593" s="1">
        <v>1592</v>
      </c>
      <c r="B1593" s="1" t="s">
        <v>15241</v>
      </c>
      <c r="D1593" s="1" t="s">
        <v>8899</v>
      </c>
      <c r="E1593" s="1" t="s">
        <v>8912</v>
      </c>
      <c r="F1593" s="1" t="s">
        <v>14999</v>
      </c>
      <c r="G1593" s="1" t="s">
        <v>8423</v>
      </c>
    </row>
    <row r="1594" spans="1:7">
      <c r="A1594" s="1">
        <v>1593</v>
      </c>
      <c r="B1594" s="1" t="s">
        <v>15242</v>
      </c>
      <c r="D1594" s="1" t="s">
        <v>8899</v>
      </c>
      <c r="E1594" s="1" t="s">
        <v>8910</v>
      </c>
      <c r="F1594" s="1" t="s">
        <v>15001</v>
      </c>
      <c r="G1594" s="1" t="s">
        <v>8419</v>
      </c>
    </row>
    <row r="1595" spans="1:7">
      <c r="A1595" s="1">
        <v>1594</v>
      </c>
      <c r="B1595" s="1" t="s">
        <v>15243</v>
      </c>
      <c r="D1595" s="1" t="s">
        <v>8899</v>
      </c>
      <c r="E1595" s="1" t="s">
        <v>8914</v>
      </c>
      <c r="F1595" s="1" t="s">
        <v>15003</v>
      </c>
      <c r="G1595" s="1" t="s">
        <v>8427</v>
      </c>
    </row>
    <row r="1596" spans="1:7">
      <c r="A1596" s="1">
        <v>1595</v>
      </c>
      <c r="B1596" s="1" t="s">
        <v>15244</v>
      </c>
      <c r="D1596" s="1" t="s">
        <v>8920</v>
      </c>
      <c r="E1596" s="1" t="s">
        <v>8927</v>
      </c>
      <c r="F1596" s="1" t="s">
        <v>14985</v>
      </c>
      <c r="G1596" s="1" t="s">
        <v>8411</v>
      </c>
    </row>
    <row r="1597" spans="1:7">
      <c r="A1597" s="1">
        <v>1596</v>
      </c>
      <c r="B1597" s="1" t="s">
        <v>15245</v>
      </c>
      <c r="D1597" s="1" t="s">
        <v>8920</v>
      </c>
      <c r="E1597" s="1" t="s">
        <v>8925</v>
      </c>
      <c r="F1597" s="1" t="s">
        <v>14987</v>
      </c>
      <c r="G1597" s="1" t="s">
        <v>8407</v>
      </c>
    </row>
    <row r="1598" spans="1:7">
      <c r="A1598" s="1">
        <v>1597</v>
      </c>
      <c r="B1598" s="1" t="s">
        <v>15246</v>
      </c>
      <c r="D1598" s="1" t="s">
        <v>8920</v>
      </c>
      <c r="E1598" s="1" t="s">
        <v>8929</v>
      </c>
      <c r="F1598" s="1" t="s">
        <v>14989</v>
      </c>
      <c r="G1598" s="1" t="s">
        <v>8415</v>
      </c>
    </row>
    <row r="1599" spans="1:7">
      <c r="A1599" s="1">
        <v>1598</v>
      </c>
      <c r="B1599" s="1" t="s">
        <v>15247</v>
      </c>
      <c r="D1599" s="1" t="s">
        <v>8920</v>
      </c>
      <c r="E1599" s="1" t="s">
        <v>8921</v>
      </c>
      <c r="F1599" s="1" t="s">
        <v>14991</v>
      </c>
      <c r="G1599" s="1" t="s">
        <v>8399</v>
      </c>
    </row>
    <row r="1600" spans="1:7">
      <c r="A1600" s="1">
        <v>1599</v>
      </c>
      <c r="B1600" s="1" t="s">
        <v>15248</v>
      </c>
      <c r="D1600" s="1" t="s">
        <v>8920</v>
      </c>
      <c r="E1600" s="1" t="s">
        <v>8923</v>
      </c>
      <c r="F1600" s="1" t="s">
        <v>14993</v>
      </c>
      <c r="G1600" s="1" t="s">
        <v>8403</v>
      </c>
    </row>
    <row r="1601" spans="1:7">
      <c r="A1601" s="1">
        <v>1600</v>
      </c>
      <c r="B1601" s="1" t="s">
        <v>15249</v>
      </c>
      <c r="D1601" s="1" t="s">
        <v>8920</v>
      </c>
      <c r="E1601" s="1" t="s">
        <v>8939</v>
      </c>
      <c r="F1601" s="1" t="s">
        <v>14995</v>
      </c>
      <c r="G1601" s="1" t="s">
        <v>8435</v>
      </c>
    </row>
    <row r="1602" spans="1:7">
      <c r="A1602" s="1">
        <v>1601</v>
      </c>
      <c r="B1602" s="1" t="s">
        <v>15250</v>
      </c>
      <c r="D1602" s="1" t="s">
        <v>8920</v>
      </c>
      <c r="E1602" s="1" t="s">
        <v>8937</v>
      </c>
      <c r="F1602" s="1" t="s">
        <v>14997</v>
      </c>
      <c r="G1602" s="1" t="s">
        <v>8431</v>
      </c>
    </row>
    <row r="1603" spans="1:7">
      <c r="A1603" s="1">
        <v>1602</v>
      </c>
      <c r="B1603" s="1" t="s">
        <v>15251</v>
      </c>
      <c r="D1603" s="1" t="s">
        <v>8920</v>
      </c>
      <c r="E1603" s="1" t="s">
        <v>8933</v>
      </c>
      <c r="F1603" s="1" t="s">
        <v>14999</v>
      </c>
      <c r="G1603" s="1" t="s">
        <v>8423</v>
      </c>
    </row>
    <row r="1604" spans="1:7">
      <c r="A1604" s="1">
        <v>1603</v>
      </c>
      <c r="B1604" s="1" t="s">
        <v>15252</v>
      </c>
      <c r="D1604" s="1" t="s">
        <v>8920</v>
      </c>
      <c r="E1604" s="1" t="s">
        <v>8931</v>
      </c>
      <c r="F1604" s="1" t="s">
        <v>15001</v>
      </c>
      <c r="G1604" s="1" t="s">
        <v>8419</v>
      </c>
    </row>
    <row r="1605" spans="1:7">
      <c r="A1605" s="1">
        <v>1604</v>
      </c>
      <c r="B1605" s="1" t="s">
        <v>15253</v>
      </c>
      <c r="D1605" s="1" t="s">
        <v>8920</v>
      </c>
      <c r="E1605" s="1" t="s">
        <v>8935</v>
      </c>
      <c r="F1605" s="1" t="s">
        <v>15003</v>
      </c>
      <c r="G1605" s="1" t="s">
        <v>8427</v>
      </c>
    </row>
    <row r="1606" spans="1:7">
      <c r="A1606" s="1">
        <v>1605</v>
      </c>
      <c r="B1606" s="1" t="s">
        <v>15254</v>
      </c>
      <c r="D1606" s="1" t="s">
        <v>8941</v>
      </c>
      <c r="E1606" s="1" t="s">
        <v>8948</v>
      </c>
      <c r="F1606" s="1" t="s">
        <v>14985</v>
      </c>
      <c r="G1606" s="1" t="s">
        <v>8411</v>
      </c>
    </row>
    <row r="1607" spans="1:7">
      <c r="A1607" s="1">
        <v>1606</v>
      </c>
      <c r="B1607" s="1" t="s">
        <v>15255</v>
      </c>
      <c r="D1607" s="1" t="s">
        <v>8941</v>
      </c>
      <c r="E1607" s="1" t="s">
        <v>8946</v>
      </c>
      <c r="F1607" s="1" t="s">
        <v>14987</v>
      </c>
      <c r="G1607" s="1" t="s">
        <v>8407</v>
      </c>
    </row>
    <row r="1608" spans="1:7">
      <c r="A1608" s="1">
        <v>1607</v>
      </c>
      <c r="B1608" s="1" t="s">
        <v>15256</v>
      </c>
      <c r="D1608" s="1" t="s">
        <v>8941</v>
      </c>
      <c r="E1608" s="1" t="s">
        <v>8950</v>
      </c>
      <c r="F1608" s="1" t="s">
        <v>14989</v>
      </c>
      <c r="G1608" s="1" t="s">
        <v>8415</v>
      </c>
    </row>
    <row r="1609" spans="1:7">
      <c r="A1609" s="1">
        <v>1608</v>
      </c>
      <c r="B1609" s="1" t="s">
        <v>15257</v>
      </c>
      <c r="D1609" s="1" t="s">
        <v>8941</v>
      </c>
      <c r="E1609" s="1" t="s">
        <v>8942</v>
      </c>
      <c r="F1609" s="1" t="s">
        <v>14991</v>
      </c>
      <c r="G1609" s="1" t="s">
        <v>8399</v>
      </c>
    </row>
    <row r="1610" spans="1:7">
      <c r="A1610" s="1">
        <v>1609</v>
      </c>
      <c r="B1610" s="1" t="s">
        <v>15258</v>
      </c>
      <c r="D1610" s="1" t="s">
        <v>8941</v>
      </c>
      <c r="E1610" s="1" t="s">
        <v>8944</v>
      </c>
      <c r="F1610" s="1" t="s">
        <v>14993</v>
      </c>
      <c r="G1610" s="1" t="s">
        <v>8403</v>
      </c>
    </row>
    <row r="1611" spans="1:7">
      <c r="A1611" s="1">
        <v>1610</v>
      </c>
      <c r="B1611" s="1" t="s">
        <v>15259</v>
      </c>
      <c r="D1611" s="1" t="s">
        <v>8941</v>
      </c>
      <c r="E1611" s="1" t="s">
        <v>8960</v>
      </c>
      <c r="F1611" s="1" t="s">
        <v>14995</v>
      </c>
      <c r="G1611" s="1" t="s">
        <v>8435</v>
      </c>
    </row>
    <row r="1612" spans="1:7">
      <c r="A1612" s="1">
        <v>1611</v>
      </c>
      <c r="B1612" s="1" t="s">
        <v>15260</v>
      </c>
      <c r="D1612" s="1" t="s">
        <v>8941</v>
      </c>
      <c r="E1612" s="1" t="s">
        <v>8958</v>
      </c>
      <c r="F1612" s="1" t="s">
        <v>14997</v>
      </c>
      <c r="G1612" s="1" t="s">
        <v>8431</v>
      </c>
    </row>
    <row r="1613" spans="1:7">
      <c r="A1613" s="1">
        <v>1612</v>
      </c>
      <c r="B1613" s="1" t="s">
        <v>15261</v>
      </c>
      <c r="D1613" s="1" t="s">
        <v>8941</v>
      </c>
      <c r="E1613" s="1" t="s">
        <v>8954</v>
      </c>
      <c r="F1613" s="1" t="s">
        <v>14999</v>
      </c>
      <c r="G1613" s="1" t="s">
        <v>8423</v>
      </c>
    </row>
    <row r="1614" spans="1:7">
      <c r="A1614" s="1">
        <v>1613</v>
      </c>
      <c r="B1614" s="1" t="s">
        <v>15262</v>
      </c>
      <c r="D1614" s="1" t="s">
        <v>8941</v>
      </c>
      <c r="E1614" s="1" t="s">
        <v>8952</v>
      </c>
      <c r="F1614" s="1" t="s">
        <v>15001</v>
      </c>
      <c r="G1614" s="1" t="s">
        <v>8419</v>
      </c>
    </row>
    <row r="1615" spans="1:7">
      <c r="A1615" s="1">
        <v>1614</v>
      </c>
      <c r="B1615" s="1" t="s">
        <v>15263</v>
      </c>
      <c r="D1615" s="1" t="s">
        <v>8941</v>
      </c>
      <c r="E1615" s="1" t="s">
        <v>8956</v>
      </c>
      <c r="F1615" s="1" t="s">
        <v>15003</v>
      </c>
      <c r="G1615" s="1" t="s">
        <v>8427</v>
      </c>
    </row>
    <row r="1616" spans="1:7">
      <c r="A1616" s="1">
        <v>1615</v>
      </c>
      <c r="B1616" s="1" t="s">
        <v>15264</v>
      </c>
      <c r="D1616" s="1" t="s">
        <v>8962</v>
      </c>
      <c r="E1616" s="1" t="s">
        <v>8969</v>
      </c>
      <c r="F1616" s="1" t="s">
        <v>14985</v>
      </c>
      <c r="G1616" s="1" t="s">
        <v>8411</v>
      </c>
    </row>
    <row r="1617" spans="1:7">
      <c r="A1617" s="1">
        <v>1616</v>
      </c>
      <c r="B1617" s="1" t="s">
        <v>15265</v>
      </c>
      <c r="D1617" s="1" t="s">
        <v>8962</v>
      </c>
      <c r="E1617" s="1" t="s">
        <v>8967</v>
      </c>
      <c r="F1617" s="1" t="s">
        <v>14987</v>
      </c>
      <c r="G1617" s="1" t="s">
        <v>8407</v>
      </c>
    </row>
    <row r="1618" spans="1:7">
      <c r="A1618" s="1">
        <v>1617</v>
      </c>
      <c r="B1618" s="1" t="s">
        <v>15266</v>
      </c>
      <c r="D1618" s="1" t="s">
        <v>8962</v>
      </c>
      <c r="E1618" s="1" t="s">
        <v>8971</v>
      </c>
      <c r="F1618" s="1" t="s">
        <v>14989</v>
      </c>
      <c r="G1618" s="1" t="s">
        <v>8415</v>
      </c>
    </row>
    <row r="1619" spans="1:7">
      <c r="A1619" s="1">
        <v>1618</v>
      </c>
      <c r="B1619" s="1" t="s">
        <v>15267</v>
      </c>
      <c r="D1619" s="1" t="s">
        <v>8962</v>
      </c>
      <c r="E1619" s="1" t="s">
        <v>8963</v>
      </c>
      <c r="F1619" s="1" t="s">
        <v>14991</v>
      </c>
      <c r="G1619" s="1" t="s">
        <v>8399</v>
      </c>
    </row>
    <row r="1620" spans="1:7">
      <c r="A1620" s="1">
        <v>1619</v>
      </c>
      <c r="B1620" s="1" t="s">
        <v>15268</v>
      </c>
      <c r="D1620" s="1" t="s">
        <v>8962</v>
      </c>
      <c r="E1620" s="1" t="s">
        <v>8965</v>
      </c>
      <c r="F1620" s="1" t="s">
        <v>14993</v>
      </c>
      <c r="G1620" s="1" t="s">
        <v>8403</v>
      </c>
    </row>
    <row r="1621" spans="1:7">
      <c r="A1621" s="1">
        <v>1620</v>
      </c>
      <c r="B1621" s="1" t="s">
        <v>15269</v>
      </c>
      <c r="D1621" s="1" t="s">
        <v>8962</v>
      </c>
      <c r="E1621" s="1" t="s">
        <v>8981</v>
      </c>
      <c r="F1621" s="1" t="s">
        <v>14995</v>
      </c>
      <c r="G1621" s="1" t="s">
        <v>8435</v>
      </c>
    </row>
    <row r="1622" spans="1:7">
      <c r="A1622" s="1">
        <v>1621</v>
      </c>
      <c r="B1622" s="1" t="s">
        <v>15270</v>
      </c>
      <c r="D1622" s="1" t="s">
        <v>8962</v>
      </c>
      <c r="E1622" s="1" t="s">
        <v>8979</v>
      </c>
      <c r="F1622" s="1" t="s">
        <v>14997</v>
      </c>
      <c r="G1622" s="1" t="s">
        <v>8431</v>
      </c>
    </row>
    <row r="1623" spans="1:7">
      <c r="A1623" s="1">
        <v>1622</v>
      </c>
      <c r="B1623" s="1" t="s">
        <v>15271</v>
      </c>
      <c r="D1623" s="1" t="s">
        <v>8962</v>
      </c>
      <c r="E1623" s="1" t="s">
        <v>8975</v>
      </c>
      <c r="F1623" s="1" t="s">
        <v>14999</v>
      </c>
      <c r="G1623" s="1" t="s">
        <v>8423</v>
      </c>
    </row>
    <row r="1624" spans="1:7">
      <c r="A1624" s="1">
        <v>1623</v>
      </c>
      <c r="B1624" s="1" t="s">
        <v>15272</v>
      </c>
      <c r="D1624" s="1" t="s">
        <v>8962</v>
      </c>
      <c r="E1624" s="1" t="s">
        <v>8973</v>
      </c>
      <c r="F1624" s="1" t="s">
        <v>15001</v>
      </c>
      <c r="G1624" s="1" t="s">
        <v>8419</v>
      </c>
    </row>
    <row r="1625" spans="1:7">
      <c r="A1625" s="1">
        <v>1624</v>
      </c>
      <c r="B1625" s="1" t="s">
        <v>15273</v>
      </c>
      <c r="D1625" s="1" t="s">
        <v>8962</v>
      </c>
      <c r="E1625" s="1" t="s">
        <v>8977</v>
      </c>
      <c r="F1625" s="1" t="s">
        <v>15003</v>
      </c>
      <c r="G1625" s="1" t="s">
        <v>8427</v>
      </c>
    </row>
    <row r="1626" spans="1:7">
      <c r="A1626" s="1">
        <v>1625</v>
      </c>
      <c r="B1626" s="1" t="s">
        <v>15274</v>
      </c>
      <c r="D1626" s="1" t="s">
        <v>8983</v>
      </c>
      <c r="E1626" s="1" t="s">
        <v>8990</v>
      </c>
      <c r="F1626" s="1" t="s">
        <v>14985</v>
      </c>
      <c r="G1626" s="1" t="s">
        <v>8411</v>
      </c>
    </row>
    <row r="1627" spans="1:7">
      <c r="A1627" s="1">
        <v>1626</v>
      </c>
      <c r="B1627" s="1" t="s">
        <v>15275</v>
      </c>
      <c r="D1627" s="1" t="s">
        <v>8983</v>
      </c>
      <c r="E1627" s="1" t="s">
        <v>8988</v>
      </c>
      <c r="F1627" s="1" t="s">
        <v>14987</v>
      </c>
      <c r="G1627" s="1" t="s">
        <v>8407</v>
      </c>
    </row>
    <row r="1628" spans="1:7">
      <c r="A1628" s="1">
        <v>1627</v>
      </c>
      <c r="B1628" s="1" t="s">
        <v>15276</v>
      </c>
      <c r="D1628" s="1" t="s">
        <v>8983</v>
      </c>
      <c r="E1628" s="1" t="s">
        <v>8992</v>
      </c>
      <c r="F1628" s="1" t="s">
        <v>14989</v>
      </c>
      <c r="G1628" s="1" t="s">
        <v>8415</v>
      </c>
    </row>
    <row r="1629" spans="1:7">
      <c r="A1629" s="1">
        <v>1628</v>
      </c>
      <c r="B1629" s="1" t="s">
        <v>15277</v>
      </c>
      <c r="D1629" s="1" t="s">
        <v>8983</v>
      </c>
      <c r="E1629" s="1" t="s">
        <v>8984</v>
      </c>
      <c r="F1629" s="1" t="s">
        <v>14991</v>
      </c>
      <c r="G1629" s="1" t="s">
        <v>8399</v>
      </c>
    </row>
    <row r="1630" spans="1:7">
      <c r="A1630" s="1">
        <v>1629</v>
      </c>
      <c r="B1630" s="1" t="s">
        <v>15278</v>
      </c>
      <c r="D1630" s="1" t="s">
        <v>8983</v>
      </c>
      <c r="E1630" s="1" t="s">
        <v>8986</v>
      </c>
      <c r="F1630" s="1" t="s">
        <v>14993</v>
      </c>
      <c r="G1630" s="1" t="s">
        <v>8403</v>
      </c>
    </row>
    <row r="1631" spans="1:7">
      <c r="A1631" s="1">
        <v>1630</v>
      </c>
      <c r="B1631" s="1" t="s">
        <v>15279</v>
      </c>
      <c r="D1631" s="1" t="s">
        <v>8983</v>
      </c>
      <c r="E1631" s="1" t="s">
        <v>9002</v>
      </c>
      <c r="F1631" s="1" t="s">
        <v>14995</v>
      </c>
      <c r="G1631" s="1" t="s">
        <v>8435</v>
      </c>
    </row>
    <row r="1632" spans="1:7">
      <c r="A1632" s="1">
        <v>1631</v>
      </c>
      <c r="B1632" s="1" t="s">
        <v>15280</v>
      </c>
      <c r="D1632" s="1" t="s">
        <v>8983</v>
      </c>
      <c r="E1632" s="1" t="s">
        <v>9000</v>
      </c>
      <c r="F1632" s="1" t="s">
        <v>14997</v>
      </c>
      <c r="G1632" s="1" t="s">
        <v>8431</v>
      </c>
    </row>
    <row r="1633" spans="1:7">
      <c r="A1633" s="1">
        <v>1632</v>
      </c>
      <c r="B1633" s="1" t="s">
        <v>15281</v>
      </c>
      <c r="D1633" s="1" t="s">
        <v>8983</v>
      </c>
      <c r="E1633" s="1" t="s">
        <v>8996</v>
      </c>
      <c r="F1633" s="1" t="s">
        <v>14999</v>
      </c>
      <c r="G1633" s="1" t="s">
        <v>8423</v>
      </c>
    </row>
    <row r="1634" spans="1:7">
      <c r="A1634" s="1">
        <v>1633</v>
      </c>
      <c r="B1634" s="1" t="s">
        <v>15282</v>
      </c>
      <c r="D1634" s="1" t="s">
        <v>8983</v>
      </c>
      <c r="E1634" s="1" t="s">
        <v>8994</v>
      </c>
      <c r="F1634" s="1" t="s">
        <v>15001</v>
      </c>
      <c r="G1634" s="1" t="s">
        <v>8419</v>
      </c>
    </row>
    <row r="1635" spans="1:7">
      <c r="A1635" s="1">
        <v>1634</v>
      </c>
      <c r="B1635" s="1" t="s">
        <v>15283</v>
      </c>
      <c r="D1635" s="1" t="s">
        <v>8983</v>
      </c>
      <c r="E1635" s="1" t="s">
        <v>8998</v>
      </c>
      <c r="F1635" s="1" t="s">
        <v>15003</v>
      </c>
      <c r="G1635" s="1" t="s">
        <v>8427</v>
      </c>
    </row>
    <row r="1636" spans="1:7">
      <c r="A1636" s="1">
        <v>1635</v>
      </c>
      <c r="B1636" s="1" t="s">
        <v>15284</v>
      </c>
      <c r="D1636" s="1" t="s">
        <v>9004</v>
      </c>
      <c r="E1636" s="1" t="s">
        <v>9011</v>
      </c>
      <c r="F1636" s="1" t="s">
        <v>14985</v>
      </c>
      <c r="G1636" s="1" t="s">
        <v>8411</v>
      </c>
    </row>
    <row r="1637" spans="1:7">
      <c r="A1637" s="1">
        <v>1636</v>
      </c>
      <c r="B1637" s="1" t="s">
        <v>15285</v>
      </c>
      <c r="D1637" s="1" t="s">
        <v>9004</v>
      </c>
      <c r="E1637" s="1" t="s">
        <v>9009</v>
      </c>
      <c r="F1637" s="1" t="s">
        <v>14987</v>
      </c>
      <c r="G1637" s="1" t="s">
        <v>8407</v>
      </c>
    </row>
    <row r="1638" spans="1:7">
      <c r="A1638" s="1">
        <v>1637</v>
      </c>
      <c r="B1638" s="1" t="s">
        <v>15286</v>
      </c>
      <c r="D1638" s="1" t="s">
        <v>9004</v>
      </c>
      <c r="E1638" s="1" t="s">
        <v>9013</v>
      </c>
      <c r="F1638" s="1" t="s">
        <v>14989</v>
      </c>
      <c r="G1638" s="1" t="s">
        <v>8415</v>
      </c>
    </row>
    <row r="1639" spans="1:7">
      <c r="A1639" s="1">
        <v>1638</v>
      </c>
      <c r="B1639" s="1" t="s">
        <v>15287</v>
      </c>
      <c r="D1639" s="1" t="s">
        <v>9004</v>
      </c>
      <c r="E1639" s="1" t="s">
        <v>9005</v>
      </c>
      <c r="F1639" s="1" t="s">
        <v>14991</v>
      </c>
      <c r="G1639" s="1" t="s">
        <v>8399</v>
      </c>
    </row>
    <row r="1640" spans="1:7">
      <c r="A1640" s="1">
        <v>1639</v>
      </c>
      <c r="B1640" s="1" t="s">
        <v>15288</v>
      </c>
      <c r="D1640" s="1" t="s">
        <v>9004</v>
      </c>
      <c r="E1640" s="1" t="s">
        <v>9007</v>
      </c>
      <c r="F1640" s="1" t="s">
        <v>14993</v>
      </c>
      <c r="G1640" s="1" t="s">
        <v>8403</v>
      </c>
    </row>
    <row r="1641" spans="1:7">
      <c r="A1641" s="1">
        <v>1640</v>
      </c>
      <c r="B1641" s="1" t="s">
        <v>15289</v>
      </c>
      <c r="D1641" s="1" t="s">
        <v>9004</v>
      </c>
      <c r="E1641" s="1" t="s">
        <v>9023</v>
      </c>
      <c r="F1641" s="1" t="s">
        <v>14995</v>
      </c>
      <c r="G1641" s="1" t="s">
        <v>8435</v>
      </c>
    </row>
    <row r="1642" spans="1:7">
      <c r="A1642" s="1">
        <v>1641</v>
      </c>
      <c r="B1642" s="1" t="s">
        <v>15290</v>
      </c>
      <c r="D1642" s="1" t="s">
        <v>9004</v>
      </c>
      <c r="E1642" s="1" t="s">
        <v>9021</v>
      </c>
      <c r="F1642" s="1" t="s">
        <v>14997</v>
      </c>
      <c r="G1642" s="1" t="s">
        <v>8431</v>
      </c>
    </row>
    <row r="1643" spans="1:7">
      <c r="A1643" s="1">
        <v>1642</v>
      </c>
      <c r="B1643" s="1" t="s">
        <v>15291</v>
      </c>
      <c r="D1643" s="1" t="s">
        <v>9004</v>
      </c>
      <c r="E1643" s="1" t="s">
        <v>9017</v>
      </c>
      <c r="F1643" s="1" t="s">
        <v>14999</v>
      </c>
      <c r="G1643" s="1" t="s">
        <v>8423</v>
      </c>
    </row>
    <row r="1644" spans="1:7">
      <c r="A1644" s="1">
        <v>1643</v>
      </c>
      <c r="B1644" s="1" t="s">
        <v>15292</v>
      </c>
      <c r="D1644" s="1" t="s">
        <v>9004</v>
      </c>
      <c r="E1644" s="1" t="s">
        <v>9015</v>
      </c>
      <c r="F1644" s="1" t="s">
        <v>15001</v>
      </c>
      <c r="G1644" s="1" t="s">
        <v>8419</v>
      </c>
    </row>
    <row r="1645" spans="1:7">
      <c r="A1645" s="1">
        <v>1644</v>
      </c>
      <c r="B1645" s="1" t="s">
        <v>15293</v>
      </c>
      <c r="D1645" s="1" t="s">
        <v>9004</v>
      </c>
      <c r="E1645" s="1" t="s">
        <v>9019</v>
      </c>
      <c r="F1645" s="1" t="s">
        <v>15003</v>
      </c>
      <c r="G1645" s="1" t="s">
        <v>8427</v>
      </c>
    </row>
    <row r="1646" spans="1:7">
      <c r="A1646" s="1">
        <v>1645</v>
      </c>
      <c r="B1646" s="1" t="s">
        <v>15294</v>
      </c>
      <c r="D1646" s="1" t="s">
        <v>9025</v>
      </c>
      <c r="E1646" s="1" t="s">
        <v>9032</v>
      </c>
      <c r="F1646" s="1" t="s">
        <v>14985</v>
      </c>
      <c r="G1646" s="1" t="s">
        <v>8411</v>
      </c>
    </row>
    <row r="1647" spans="1:7">
      <c r="A1647" s="1">
        <v>1646</v>
      </c>
      <c r="B1647" s="1" t="s">
        <v>15295</v>
      </c>
      <c r="D1647" s="1" t="s">
        <v>9025</v>
      </c>
      <c r="E1647" s="1" t="s">
        <v>9030</v>
      </c>
      <c r="F1647" s="1" t="s">
        <v>14987</v>
      </c>
      <c r="G1647" s="1" t="s">
        <v>8407</v>
      </c>
    </row>
    <row r="1648" spans="1:7">
      <c r="A1648" s="1">
        <v>1647</v>
      </c>
      <c r="B1648" s="1" t="s">
        <v>15296</v>
      </c>
      <c r="D1648" s="1" t="s">
        <v>9025</v>
      </c>
      <c r="E1648" s="1" t="s">
        <v>9034</v>
      </c>
      <c r="F1648" s="1" t="s">
        <v>14989</v>
      </c>
      <c r="G1648" s="1" t="s">
        <v>8415</v>
      </c>
    </row>
    <row r="1649" spans="1:7">
      <c r="A1649" s="1">
        <v>1648</v>
      </c>
      <c r="B1649" s="1" t="s">
        <v>15297</v>
      </c>
      <c r="D1649" s="1" t="s">
        <v>9025</v>
      </c>
      <c r="E1649" s="1" t="s">
        <v>9026</v>
      </c>
      <c r="F1649" s="1" t="s">
        <v>14991</v>
      </c>
      <c r="G1649" s="1" t="s">
        <v>8399</v>
      </c>
    </row>
    <row r="1650" spans="1:7">
      <c r="A1650" s="1">
        <v>1649</v>
      </c>
      <c r="B1650" s="1" t="s">
        <v>15298</v>
      </c>
      <c r="D1650" s="1" t="s">
        <v>9025</v>
      </c>
      <c r="E1650" s="1" t="s">
        <v>9028</v>
      </c>
      <c r="F1650" s="1" t="s">
        <v>14993</v>
      </c>
      <c r="G1650" s="1" t="s">
        <v>8403</v>
      </c>
    </row>
    <row r="1651" spans="1:7">
      <c r="A1651" s="1">
        <v>1650</v>
      </c>
      <c r="B1651" s="1" t="s">
        <v>15299</v>
      </c>
      <c r="D1651" s="1" t="s">
        <v>9025</v>
      </c>
      <c r="E1651" s="1" t="s">
        <v>9044</v>
      </c>
      <c r="F1651" s="1" t="s">
        <v>14995</v>
      </c>
      <c r="G1651" s="1" t="s">
        <v>8435</v>
      </c>
    </row>
    <row r="1652" spans="1:7">
      <c r="A1652" s="1">
        <v>1651</v>
      </c>
      <c r="B1652" s="1" t="s">
        <v>15300</v>
      </c>
      <c r="D1652" s="1" t="s">
        <v>9025</v>
      </c>
      <c r="E1652" s="1" t="s">
        <v>9042</v>
      </c>
      <c r="F1652" s="1" t="s">
        <v>14997</v>
      </c>
      <c r="G1652" s="1" t="s">
        <v>8431</v>
      </c>
    </row>
    <row r="1653" spans="1:7">
      <c r="A1653" s="1">
        <v>1652</v>
      </c>
      <c r="B1653" s="1" t="s">
        <v>15301</v>
      </c>
      <c r="D1653" s="1" t="s">
        <v>9025</v>
      </c>
      <c r="E1653" s="1" t="s">
        <v>9038</v>
      </c>
      <c r="F1653" s="1" t="s">
        <v>14999</v>
      </c>
      <c r="G1653" s="1" t="s">
        <v>8423</v>
      </c>
    </row>
    <row r="1654" spans="1:7">
      <c r="A1654" s="1">
        <v>1653</v>
      </c>
      <c r="B1654" s="1" t="s">
        <v>15302</v>
      </c>
      <c r="D1654" s="1" t="s">
        <v>9025</v>
      </c>
      <c r="E1654" s="1" t="s">
        <v>9036</v>
      </c>
      <c r="F1654" s="1" t="s">
        <v>15001</v>
      </c>
      <c r="G1654" s="1" t="s">
        <v>8419</v>
      </c>
    </row>
    <row r="1655" spans="1:7">
      <c r="A1655" s="1">
        <v>1654</v>
      </c>
      <c r="B1655" s="1" t="s">
        <v>15303</v>
      </c>
      <c r="D1655" s="1" t="s">
        <v>9025</v>
      </c>
      <c r="E1655" s="1" t="s">
        <v>9040</v>
      </c>
      <c r="F1655" s="1" t="s">
        <v>15003</v>
      </c>
      <c r="G1655" s="1" t="s">
        <v>8427</v>
      </c>
    </row>
    <row r="1656" spans="1:7">
      <c r="A1656" s="1">
        <v>1655</v>
      </c>
      <c r="B1656" s="1" t="s">
        <v>15304</v>
      </c>
      <c r="D1656" s="1" t="s">
        <v>9046</v>
      </c>
      <c r="E1656" s="1" t="s">
        <v>9053</v>
      </c>
      <c r="F1656" s="1" t="s">
        <v>14985</v>
      </c>
      <c r="G1656" s="1" t="s">
        <v>8411</v>
      </c>
    </row>
    <row r="1657" spans="1:7">
      <c r="A1657" s="1">
        <v>1656</v>
      </c>
      <c r="B1657" s="1" t="s">
        <v>15305</v>
      </c>
      <c r="D1657" s="1" t="s">
        <v>9046</v>
      </c>
      <c r="E1657" s="1" t="s">
        <v>9051</v>
      </c>
      <c r="F1657" s="1" t="s">
        <v>14987</v>
      </c>
      <c r="G1657" s="1" t="s">
        <v>8407</v>
      </c>
    </row>
    <row r="1658" spans="1:7">
      <c r="A1658" s="1">
        <v>1657</v>
      </c>
      <c r="B1658" s="1" t="s">
        <v>15306</v>
      </c>
      <c r="D1658" s="1" t="s">
        <v>9046</v>
      </c>
      <c r="E1658" s="1" t="s">
        <v>9055</v>
      </c>
      <c r="F1658" s="1" t="s">
        <v>14989</v>
      </c>
      <c r="G1658" s="1" t="s">
        <v>8415</v>
      </c>
    </row>
    <row r="1659" spans="1:7">
      <c r="A1659" s="1">
        <v>1658</v>
      </c>
      <c r="B1659" s="1" t="s">
        <v>15307</v>
      </c>
      <c r="D1659" s="1" t="s">
        <v>9046</v>
      </c>
      <c r="E1659" s="1" t="s">
        <v>9047</v>
      </c>
      <c r="F1659" s="1" t="s">
        <v>14991</v>
      </c>
      <c r="G1659" s="1" t="s">
        <v>8399</v>
      </c>
    </row>
    <row r="1660" spans="1:7">
      <c r="A1660" s="1">
        <v>1659</v>
      </c>
      <c r="B1660" s="1" t="s">
        <v>15308</v>
      </c>
      <c r="D1660" s="1" t="s">
        <v>9046</v>
      </c>
      <c r="E1660" s="1" t="s">
        <v>9049</v>
      </c>
      <c r="F1660" s="1" t="s">
        <v>14993</v>
      </c>
      <c r="G1660" s="1" t="s">
        <v>8403</v>
      </c>
    </row>
    <row r="1661" spans="1:7">
      <c r="A1661" s="1">
        <v>1660</v>
      </c>
      <c r="B1661" s="1" t="s">
        <v>15309</v>
      </c>
      <c r="D1661" s="1" t="s">
        <v>9046</v>
      </c>
      <c r="E1661" s="1" t="s">
        <v>9065</v>
      </c>
      <c r="F1661" s="1" t="s">
        <v>14995</v>
      </c>
      <c r="G1661" s="1" t="s">
        <v>8435</v>
      </c>
    </row>
    <row r="1662" spans="1:7">
      <c r="A1662" s="1">
        <v>1661</v>
      </c>
      <c r="B1662" s="1" t="s">
        <v>15310</v>
      </c>
      <c r="D1662" s="1" t="s">
        <v>9046</v>
      </c>
      <c r="E1662" s="1" t="s">
        <v>9063</v>
      </c>
      <c r="F1662" s="1" t="s">
        <v>14997</v>
      </c>
      <c r="G1662" s="1" t="s">
        <v>8431</v>
      </c>
    </row>
    <row r="1663" spans="1:7">
      <c r="A1663" s="1">
        <v>1662</v>
      </c>
      <c r="B1663" s="1" t="s">
        <v>15311</v>
      </c>
      <c r="D1663" s="1" t="s">
        <v>9046</v>
      </c>
      <c r="E1663" s="1" t="s">
        <v>9059</v>
      </c>
      <c r="F1663" s="1" t="s">
        <v>14999</v>
      </c>
      <c r="G1663" s="1" t="s">
        <v>8423</v>
      </c>
    </row>
    <row r="1664" spans="1:7">
      <c r="A1664" s="1">
        <v>1663</v>
      </c>
      <c r="B1664" s="1" t="s">
        <v>15312</v>
      </c>
      <c r="D1664" s="1" t="s">
        <v>9046</v>
      </c>
      <c r="E1664" s="1" t="s">
        <v>9057</v>
      </c>
      <c r="F1664" s="1" t="s">
        <v>15001</v>
      </c>
      <c r="G1664" s="1" t="s">
        <v>8419</v>
      </c>
    </row>
    <row r="1665" spans="1:7">
      <c r="A1665" s="1">
        <v>1664</v>
      </c>
      <c r="B1665" s="1" t="s">
        <v>15313</v>
      </c>
      <c r="D1665" s="1" t="s">
        <v>9046</v>
      </c>
      <c r="E1665" s="1" t="s">
        <v>9061</v>
      </c>
      <c r="F1665" s="1" t="s">
        <v>15003</v>
      </c>
      <c r="G1665" s="1" t="s">
        <v>8427</v>
      </c>
    </row>
    <row r="1666" spans="1:7">
      <c r="A1666" s="1">
        <v>1665</v>
      </c>
      <c r="B1666" s="1" t="s">
        <v>15314</v>
      </c>
      <c r="D1666" s="1" t="s">
        <v>9067</v>
      </c>
      <c r="E1666" s="1" t="s">
        <v>9074</v>
      </c>
      <c r="F1666" s="1" t="s">
        <v>14985</v>
      </c>
      <c r="G1666" s="1" t="s">
        <v>8411</v>
      </c>
    </row>
    <row r="1667" spans="1:7">
      <c r="A1667" s="1">
        <v>1666</v>
      </c>
      <c r="B1667" s="1" t="s">
        <v>15315</v>
      </c>
      <c r="D1667" s="1" t="s">
        <v>9067</v>
      </c>
      <c r="E1667" s="1" t="s">
        <v>9072</v>
      </c>
      <c r="F1667" s="1" t="s">
        <v>14987</v>
      </c>
      <c r="G1667" s="1" t="s">
        <v>8407</v>
      </c>
    </row>
    <row r="1668" spans="1:7">
      <c r="A1668" s="1">
        <v>1667</v>
      </c>
      <c r="B1668" s="1" t="s">
        <v>15316</v>
      </c>
      <c r="D1668" s="1" t="s">
        <v>9067</v>
      </c>
      <c r="E1668" s="1" t="s">
        <v>9076</v>
      </c>
      <c r="F1668" s="1" t="s">
        <v>14989</v>
      </c>
      <c r="G1668" s="1" t="s">
        <v>8415</v>
      </c>
    </row>
    <row r="1669" spans="1:7">
      <c r="A1669" s="1">
        <v>1668</v>
      </c>
      <c r="B1669" s="1" t="s">
        <v>15317</v>
      </c>
      <c r="D1669" s="1" t="s">
        <v>9067</v>
      </c>
      <c r="E1669" s="1" t="s">
        <v>9068</v>
      </c>
      <c r="F1669" s="1" t="s">
        <v>14991</v>
      </c>
      <c r="G1669" s="1" t="s">
        <v>8399</v>
      </c>
    </row>
    <row r="1670" spans="1:7">
      <c r="A1670" s="1">
        <v>1669</v>
      </c>
      <c r="B1670" s="1" t="s">
        <v>15318</v>
      </c>
      <c r="D1670" s="1" t="s">
        <v>9067</v>
      </c>
      <c r="E1670" s="1" t="s">
        <v>9070</v>
      </c>
      <c r="F1670" s="1" t="s">
        <v>14993</v>
      </c>
      <c r="G1670" s="1" t="s">
        <v>8403</v>
      </c>
    </row>
    <row r="1671" spans="1:7">
      <c r="A1671" s="1">
        <v>1670</v>
      </c>
      <c r="B1671" s="1" t="s">
        <v>15319</v>
      </c>
      <c r="D1671" s="1" t="s">
        <v>9067</v>
      </c>
      <c r="E1671" s="1" t="s">
        <v>9086</v>
      </c>
      <c r="F1671" s="1" t="s">
        <v>14995</v>
      </c>
      <c r="G1671" s="1" t="s">
        <v>8435</v>
      </c>
    </row>
    <row r="1672" spans="1:7">
      <c r="A1672" s="1">
        <v>1671</v>
      </c>
      <c r="B1672" s="1" t="s">
        <v>15320</v>
      </c>
      <c r="D1672" s="1" t="s">
        <v>9067</v>
      </c>
      <c r="E1672" s="1" t="s">
        <v>9084</v>
      </c>
      <c r="F1672" s="1" t="s">
        <v>14997</v>
      </c>
      <c r="G1672" s="1" t="s">
        <v>8431</v>
      </c>
    </row>
    <row r="1673" spans="1:7">
      <c r="A1673" s="1">
        <v>1672</v>
      </c>
      <c r="B1673" s="1" t="s">
        <v>15321</v>
      </c>
      <c r="D1673" s="1" t="s">
        <v>9067</v>
      </c>
      <c r="E1673" s="1" t="s">
        <v>9080</v>
      </c>
      <c r="F1673" s="1" t="s">
        <v>14999</v>
      </c>
      <c r="G1673" s="1" t="s">
        <v>8423</v>
      </c>
    </row>
    <row r="1674" spans="1:7">
      <c r="A1674" s="1">
        <v>1673</v>
      </c>
      <c r="B1674" s="1" t="s">
        <v>15322</v>
      </c>
      <c r="D1674" s="1" t="s">
        <v>9067</v>
      </c>
      <c r="E1674" s="1" t="s">
        <v>9078</v>
      </c>
      <c r="F1674" s="1" t="s">
        <v>15001</v>
      </c>
      <c r="G1674" s="1" t="s">
        <v>8419</v>
      </c>
    </row>
    <row r="1675" spans="1:7">
      <c r="A1675" s="1">
        <v>1674</v>
      </c>
      <c r="B1675" s="1" t="s">
        <v>15323</v>
      </c>
      <c r="D1675" s="1" t="s">
        <v>9067</v>
      </c>
      <c r="E1675" s="1" t="s">
        <v>9082</v>
      </c>
      <c r="F1675" s="1" t="s">
        <v>15003</v>
      </c>
      <c r="G1675" s="1" t="s">
        <v>8427</v>
      </c>
    </row>
    <row r="1676" spans="1:7">
      <c r="A1676" s="1">
        <v>1675</v>
      </c>
      <c r="B1676" s="1" t="s">
        <v>15324</v>
      </c>
      <c r="D1676" s="1" t="s">
        <v>9088</v>
      </c>
      <c r="E1676" s="1" t="s">
        <v>9095</v>
      </c>
      <c r="F1676" s="1" t="s">
        <v>14985</v>
      </c>
      <c r="G1676" s="1" t="s">
        <v>8411</v>
      </c>
    </row>
    <row r="1677" spans="1:7">
      <c r="A1677" s="1">
        <v>1676</v>
      </c>
      <c r="B1677" s="1" t="s">
        <v>15325</v>
      </c>
      <c r="D1677" s="1" t="s">
        <v>9088</v>
      </c>
      <c r="E1677" s="1" t="s">
        <v>9093</v>
      </c>
      <c r="F1677" s="1" t="s">
        <v>14987</v>
      </c>
      <c r="G1677" s="1" t="s">
        <v>8407</v>
      </c>
    </row>
    <row r="1678" spans="1:7">
      <c r="A1678" s="1">
        <v>1677</v>
      </c>
      <c r="B1678" s="1" t="s">
        <v>15326</v>
      </c>
      <c r="D1678" s="1" t="s">
        <v>9088</v>
      </c>
      <c r="E1678" s="1" t="s">
        <v>9097</v>
      </c>
      <c r="F1678" s="1" t="s">
        <v>14989</v>
      </c>
      <c r="G1678" s="1" t="s">
        <v>8415</v>
      </c>
    </row>
    <row r="1679" spans="1:7">
      <c r="A1679" s="1">
        <v>1678</v>
      </c>
      <c r="B1679" s="1" t="s">
        <v>15327</v>
      </c>
      <c r="D1679" s="1" t="s">
        <v>9088</v>
      </c>
      <c r="E1679" s="1" t="s">
        <v>9089</v>
      </c>
      <c r="F1679" s="1" t="s">
        <v>14991</v>
      </c>
      <c r="G1679" s="1" t="s">
        <v>8399</v>
      </c>
    </row>
    <row r="1680" spans="1:7">
      <c r="A1680" s="1">
        <v>1679</v>
      </c>
      <c r="B1680" s="1" t="s">
        <v>15328</v>
      </c>
      <c r="D1680" s="1" t="s">
        <v>9088</v>
      </c>
      <c r="E1680" s="1" t="s">
        <v>9091</v>
      </c>
      <c r="F1680" s="1" t="s">
        <v>14993</v>
      </c>
      <c r="G1680" s="1" t="s">
        <v>8403</v>
      </c>
    </row>
    <row r="1681" spans="1:7">
      <c r="A1681" s="1">
        <v>1680</v>
      </c>
      <c r="B1681" s="1" t="s">
        <v>15329</v>
      </c>
      <c r="D1681" s="1" t="s">
        <v>9088</v>
      </c>
      <c r="E1681" s="1" t="s">
        <v>9107</v>
      </c>
      <c r="F1681" s="1" t="s">
        <v>14995</v>
      </c>
      <c r="G1681" s="1" t="s">
        <v>8435</v>
      </c>
    </row>
    <row r="1682" spans="1:7">
      <c r="A1682" s="1">
        <v>1681</v>
      </c>
      <c r="B1682" s="1" t="s">
        <v>15330</v>
      </c>
      <c r="D1682" s="1" t="s">
        <v>9088</v>
      </c>
      <c r="E1682" s="1" t="s">
        <v>9105</v>
      </c>
      <c r="F1682" s="1" t="s">
        <v>14997</v>
      </c>
      <c r="G1682" s="1" t="s">
        <v>8431</v>
      </c>
    </row>
    <row r="1683" spans="1:7">
      <c r="A1683" s="1">
        <v>1682</v>
      </c>
      <c r="B1683" s="1" t="s">
        <v>15331</v>
      </c>
      <c r="D1683" s="1" t="s">
        <v>9088</v>
      </c>
      <c r="E1683" s="1" t="s">
        <v>9101</v>
      </c>
      <c r="F1683" s="1" t="s">
        <v>14999</v>
      </c>
      <c r="G1683" s="1" t="s">
        <v>8423</v>
      </c>
    </row>
    <row r="1684" spans="1:7">
      <c r="A1684" s="1">
        <v>1683</v>
      </c>
      <c r="B1684" s="1" t="s">
        <v>15332</v>
      </c>
      <c r="D1684" s="1" t="s">
        <v>9088</v>
      </c>
      <c r="E1684" s="1" t="s">
        <v>9099</v>
      </c>
      <c r="F1684" s="1" t="s">
        <v>15001</v>
      </c>
      <c r="G1684" s="1" t="s">
        <v>8419</v>
      </c>
    </row>
    <row r="1685" spans="1:7">
      <c r="A1685" s="1">
        <v>1684</v>
      </c>
      <c r="B1685" s="1" t="s">
        <v>15333</v>
      </c>
      <c r="D1685" s="1" t="s">
        <v>9088</v>
      </c>
      <c r="E1685" s="1" t="s">
        <v>9103</v>
      </c>
      <c r="F1685" s="1" t="s">
        <v>15003</v>
      </c>
      <c r="G1685" s="1" t="s">
        <v>8427</v>
      </c>
    </row>
    <row r="1686" spans="1:7">
      <c r="A1686" s="1">
        <v>1685</v>
      </c>
      <c r="B1686" s="1" t="s">
        <v>15334</v>
      </c>
      <c r="D1686" s="1" t="s">
        <v>9109</v>
      </c>
      <c r="E1686" s="1" t="s">
        <v>9116</v>
      </c>
      <c r="F1686" s="1" t="s">
        <v>14985</v>
      </c>
      <c r="G1686" s="1" t="s">
        <v>8411</v>
      </c>
    </row>
    <row r="1687" spans="1:7">
      <c r="A1687" s="1">
        <v>1686</v>
      </c>
      <c r="B1687" s="1" t="s">
        <v>15335</v>
      </c>
      <c r="D1687" s="1" t="s">
        <v>9109</v>
      </c>
      <c r="E1687" s="1" t="s">
        <v>9114</v>
      </c>
      <c r="F1687" s="1" t="s">
        <v>14987</v>
      </c>
      <c r="G1687" s="1" t="s">
        <v>8407</v>
      </c>
    </row>
    <row r="1688" spans="1:7">
      <c r="A1688" s="1">
        <v>1687</v>
      </c>
      <c r="B1688" s="1" t="s">
        <v>15336</v>
      </c>
      <c r="D1688" s="1" t="s">
        <v>9109</v>
      </c>
      <c r="E1688" s="1" t="s">
        <v>9118</v>
      </c>
      <c r="F1688" s="1" t="s">
        <v>14989</v>
      </c>
      <c r="G1688" s="1" t="s">
        <v>8415</v>
      </c>
    </row>
    <row r="1689" spans="1:7">
      <c r="A1689" s="1">
        <v>1688</v>
      </c>
      <c r="B1689" s="1" t="s">
        <v>15337</v>
      </c>
      <c r="D1689" s="1" t="s">
        <v>9109</v>
      </c>
      <c r="E1689" s="1" t="s">
        <v>9110</v>
      </c>
      <c r="F1689" s="1" t="s">
        <v>14991</v>
      </c>
      <c r="G1689" s="1" t="s">
        <v>8399</v>
      </c>
    </row>
    <row r="1690" spans="1:7">
      <c r="A1690" s="1">
        <v>1689</v>
      </c>
      <c r="B1690" s="1" t="s">
        <v>15338</v>
      </c>
      <c r="D1690" s="1" t="s">
        <v>9109</v>
      </c>
      <c r="E1690" s="1" t="s">
        <v>9112</v>
      </c>
      <c r="F1690" s="1" t="s">
        <v>14993</v>
      </c>
      <c r="G1690" s="1" t="s">
        <v>8403</v>
      </c>
    </row>
    <row r="1691" spans="1:7">
      <c r="A1691" s="1">
        <v>1690</v>
      </c>
      <c r="B1691" s="1" t="s">
        <v>15339</v>
      </c>
      <c r="D1691" s="1" t="s">
        <v>9109</v>
      </c>
      <c r="E1691" s="1" t="s">
        <v>9128</v>
      </c>
      <c r="F1691" s="1" t="s">
        <v>14995</v>
      </c>
      <c r="G1691" s="1" t="s">
        <v>8435</v>
      </c>
    </row>
    <row r="1692" spans="1:7">
      <c r="A1692" s="1">
        <v>1691</v>
      </c>
      <c r="B1692" s="1" t="s">
        <v>15340</v>
      </c>
      <c r="D1692" s="1" t="s">
        <v>9109</v>
      </c>
      <c r="E1692" s="1" t="s">
        <v>9126</v>
      </c>
      <c r="F1692" s="1" t="s">
        <v>14997</v>
      </c>
      <c r="G1692" s="1" t="s">
        <v>8431</v>
      </c>
    </row>
    <row r="1693" spans="1:7">
      <c r="A1693" s="1">
        <v>1692</v>
      </c>
      <c r="B1693" s="1" t="s">
        <v>15341</v>
      </c>
      <c r="D1693" s="1" t="s">
        <v>9109</v>
      </c>
      <c r="E1693" s="1" t="s">
        <v>9122</v>
      </c>
      <c r="F1693" s="1" t="s">
        <v>14999</v>
      </c>
      <c r="G1693" s="1" t="s">
        <v>8423</v>
      </c>
    </row>
    <row r="1694" spans="1:7">
      <c r="A1694" s="1">
        <v>1693</v>
      </c>
      <c r="B1694" s="1" t="s">
        <v>15342</v>
      </c>
      <c r="D1694" s="1" t="s">
        <v>9109</v>
      </c>
      <c r="E1694" s="1" t="s">
        <v>9120</v>
      </c>
      <c r="F1694" s="1" t="s">
        <v>15001</v>
      </c>
      <c r="G1694" s="1" t="s">
        <v>8419</v>
      </c>
    </row>
    <row r="1695" spans="1:7">
      <c r="A1695" s="1">
        <v>1694</v>
      </c>
      <c r="B1695" s="1" t="s">
        <v>15343</v>
      </c>
      <c r="D1695" s="1" t="s">
        <v>9109</v>
      </c>
      <c r="E1695" s="1" t="s">
        <v>9124</v>
      </c>
      <c r="F1695" s="1" t="s">
        <v>15003</v>
      </c>
      <c r="G1695" s="1" t="s">
        <v>8427</v>
      </c>
    </row>
    <row r="1696" spans="1:7">
      <c r="A1696" s="1">
        <v>1695</v>
      </c>
      <c r="B1696" s="1" t="s">
        <v>15344</v>
      </c>
      <c r="D1696" s="1" t="s">
        <v>9130</v>
      </c>
      <c r="E1696" s="1" t="s">
        <v>9137</v>
      </c>
      <c r="F1696" s="1" t="s">
        <v>14985</v>
      </c>
      <c r="G1696" s="1" t="s">
        <v>8411</v>
      </c>
    </row>
    <row r="1697" spans="1:7">
      <c r="A1697" s="1">
        <v>1696</v>
      </c>
      <c r="B1697" s="1" t="s">
        <v>15345</v>
      </c>
      <c r="D1697" s="1" t="s">
        <v>9130</v>
      </c>
      <c r="E1697" s="1" t="s">
        <v>9135</v>
      </c>
      <c r="F1697" s="1" t="s">
        <v>14987</v>
      </c>
      <c r="G1697" s="1" t="s">
        <v>8407</v>
      </c>
    </row>
    <row r="1698" spans="1:7">
      <c r="A1698" s="1">
        <v>1697</v>
      </c>
      <c r="B1698" s="1" t="s">
        <v>15346</v>
      </c>
      <c r="D1698" s="1" t="s">
        <v>9130</v>
      </c>
      <c r="E1698" s="1" t="s">
        <v>9139</v>
      </c>
      <c r="F1698" s="1" t="s">
        <v>14989</v>
      </c>
      <c r="G1698" s="1" t="s">
        <v>8415</v>
      </c>
    </row>
    <row r="1699" spans="1:7">
      <c r="A1699" s="1">
        <v>1698</v>
      </c>
      <c r="B1699" s="1" t="s">
        <v>15347</v>
      </c>
      <c r="D1699" s="1" t="s">
        <v>9130</v>
      </c>
      <c r="E1699" s="1" t="s">
        <v>9131</v>
      </c>
      <c r="F1699" s="1" t="s">
        <v>14991</v>
      </c>
      <c r="G1699" s="1" t="s">
        <v>8399</v>
      </c>
    </row>
    <row r="1700" spans="1:7">
      <c r="A1700" s="1">
        <v>1699</v>
      </c>
      <c r="B1700" s="1" t="s">
        <v>15348</v>
      </c>
      <c r="D1700" s="1" t="s">
        <v>9130</v>
      </c>
      <c r="E1700" s="1" t="s">
        <v>9133</v>
      </c>
      <c r="F1700" s="1" t="s">
        <v>14993</v>
      </c>
      <c r="G1700" s="1" t="s">
        <v>8403</v>
      </c>
    </row>
    <row r="1701" spans="1:7">
      <c r="A1701" s="1">
        <v>1700</v>
      </c>
      <c r="B1701" s="1" t="s">
        <v>15349</v>
      </c>
      <c r="D1701" s="1" t="s">
        <v>9130</v>
      </c>
      <c r="E1701" s="1" t="s">
        <v>9149</v>
      </c>
      <c r="F1701" s="1" t="s">
        <v>14995</v>
      </c>
      <c r="G1701" s="1" t="s">
        <v>8435</v>
      </c>
    </row>
    <row r="1702" spans="1:7">
      <c r="A1702" s="1">
        <v>1701</v>
      </c>
      <c r="B1702" s="1" t="s">
        <v>15350</v>
      </c>
      <c r="D1702" s="1" t="s">
        <v>9130</v>
      </c>
      <c r="E1702" s="1" t="s">
        <v>9147</v>
      </c>
      <c r="F1702" s="1" t="s">
        <v>14997</v>
      </c>
      <c r="G1702" s="1" t="s">
        <v>8431</v>
      </c>
    </row>
    <row r="1703" spans="1:7">
      <c r="A1703" s="1">
        <v>1702</v>
      </c>
      <c r="B1703" s="1" t="s">
        <v>15351</v>
      </c>
      <c r="D1703" s="1" t="s">
        <v>9130</v>
      </c>
      <c r="E1703" s="1" t="s">
        <v>9143</v>
      </c>
      <c r="F1703" s="1" t="s">
        <v>14999</v>
      </c>
      <c r="G1703" s="1" t="s">
        <v>8423</v>
      </c>
    </row>
    <row r="1704" spans="1:7">
      <c r="A1704" s="1">
        <v>1703</v>
      </c>
      <c r="B1704" s="1" t="s">
        <v>15352</v>
      </c>
      <c r="D1704" s="1" t="s">
        <v>9130</v>
      </c>
      <c r="E1704" s="1" t="s">
        <v>9141</v>
      </c>
      <c r="F1704" s="1" t="s">
        <v>15001</v>
      </c>
      <c r="G1704" s="1" t="s">
        <v>8419</v>
      </c>
    </row>
    <row r="1705" spans="1:7">
      <c r="A1705" s="1">
        <v>1704</v>
      </c>
      <c r="B1705" s="1" t="s">
        <v>15353</v>
      </c>
      <c r="D1705" s="1" t="s">
        <v>9130</v>
      </c>
      <c r="E1705" s="1" t="s">
        <v>9145</v>
      </c>
      <c r="F1705" s="1" t="s">
        <v>15003</v>
      </c>
      <c r="G1705" s="1" t="s">
        <v>8427</v>
      </c>
    </row>
    <row r="1706" spans="1:7">
      <c r="A1706" s="1">
        <v>1705</v>
      </c>
      <c r="B1706" s="1" t="s">
        <v>15354</v>
      </c>
      <c r="D1706" s="1" t="s">
        <v>9151</v>
      </c>
      <c r="E1706" s="1" t="s">
        <v>9158</v>
      </c>
      <c r="F1706" s="1" t="s">
        <v>14985</v>
      </c>
      <c r="G1706" s="1" t="s">
        <v>8411</v>
      </c>
    </row>
    <row r="1707" spans="1:7">
      <c r="A1707" s="1">
        <v>1706</v>
      </c>
      <c r="B1707" s="1" t="s">
        <v>15355</v>
      </c>
      <c r="D1707" s="1" t="s">
        <v>9151</v>
      </c>
      <c r="E1707" s="1" t="s">
        <v>9156</v>
      </c>
      <c r="F1707" s="1" t="s">
        <v>14987</v>
      </c>
      <c r="G1707" s="1" t="s">
        <v>8407</v>
      </c>
    </row>
    <row r="1708" spans="1:7">
      <c r="A1708" s="1">
        <v>1707</v>
      </c>
      <c r="B1708" s="1" t="s">
        <v>15356</v>
      </c>
      <c r="D1708" s="1" t="s">
        <v>9151</v>
      </c>
      <c r="E1708" s="1" t="s">
        <v>9160</v>
      </c>
      <c r="F1708" s="1" t="s">
        <v>14989</v>
      </c>
      <c r="G1708" s="1" t="s">
        <v>8415</v>
      </c>
    </row>
    <row r="1709" spans="1:7">
      <c r="A1709" s="1">
        <v>1708</v>
      </c>
      <c r="B1709" s="1" t="s">
        <v>15357</v>
      </c>
      <c r="D1709" s="1" t="s">
        <v>9151</v>
      </c>
      <c r="E1709" s="1" t="s">
        <v>9152</v>
      </c>
      <c r="F1709" s="1" t="s">
        <v>14991</v>
      </c>
      <c r="G1709" s="1" t="s">
        <v>8399</v>
      </c>
    </row>
    <row r="1710" spans="1:7">
      <c r="A1710" s="1">
        <v>1709</v>
      </c>
      <c r="B1710" s="1" t="s">
        <v>15358</v>
      </c>
      <c r="D1710" s="1" t="s">
        <v>9151</v>
      </c>
      <c r="E1710" s="1" t="s">
        <v>9154</v>
      </c>
      <c r="F1710" s="1" t="s">
        <v>14993</v>
      </c>
      <c r="G1710" s="1" t="s">
        <v>8403</v>
      </c>
    </row>
    <row r="1711" spans="1:7">
      <c r="A1711" s="1">
        <v>1710</v>
      </c>
      <c r="B1711" s="1" t="s">
        <v>15359</v>
      </c>
      <c r="D1711" s="1" t="s">
        <v>9151</v>
      </c>
      <c r="E1711" s="1" t="s">
        <v>9170</v>
      </c>
      <c r="F1711" s="1" t="s">
        <v>14995</v>
      </c>
      <c r="G1711" s="1" t="s">
        <v>8435</v>
      </c>
    </row>
    <row r="1712" spans="1:7">
      <c r="A1712" s="1">
        <v>1711</v>
      </c>
      <c r="B1712" s="1" t="s">
        <v>15360</v>
      </c>
      <c r="D1712" s="1" t="s">
        <v>9151</v>
      </c>
      <c r="E1712" s="1" t="s">
        <v>9168</v>
      </c>
      <c r="F1712" s="1" t="s">
        <v>14997</v>
      </c>
      <c r="G1712" s="1" t="s">
        <v>8431</v>
      </c>
    </row>
    <row r="1713" spans="1:7">
      <c r="A1713" s="1">
        <v>1712</v>
      </c>
      <c r="B1713" s="1" t="s">
        <v>15361</v>
      </c>
      <c r="D1713" s="1" t="s">
        <v>9151</v>
      </c>
      <c r="E1713" s="1" t="s">
        <v>9164</v>
      </c>
      <c r="F1713" s="1" t="s">
        <v>14999</v>
      </c>
      <c r="G1713" s="1" t="s">
        <v>8423</v>
      </c>
    </row>
    <row r="1714" spans="1:7">
      <c r="A1714" s="1">
        <v>1713</v>
      </c>
      <c r="B1714" s="1" t="s">
        <v>15362</v>
      </c>
      <c r="D1714" s="1" t="s">
        <v>9151</v>
      </c>
      <c r="E1714" s="1" t="s">
        <v>9162</v>
      </c>
      <c r="F1714" s="1" t="s">
        <v>15001</v>
      </c>
      <c r="G1714" s="1" t="s">
        <v>8419</v>
      </c>
    </row>
    <row r="1715" spans="1:7">
      <c r="A1715" s="1">
        <v>1714</v>
      </c>
      <c r="B1715" s="1" t="s">
        <v>15363</v>
      </c>
      <c r="D1715" s="1" t="s">
        <v>9151</v>
      </c>
      <c r="E1715" s="1" t="s">
        <v>9166</v>
      </c>
      <c r="F1715" s="1" t="s">
        <v>15003</v>
      </c>
      <c r="G1715" s="1" t="s">
        <v>8427</v>
      </c>
    </row>
    <row r="1716" spans="1:7">
      <c r="A1716" s="1">
        <v>1715</v>
      </c>
      <c r="B1716" s="1" t="s">
        <v>15364</v>
      </c>
      <c r="D1716" s="1" t="s">
        <v>9172</v>
      </c>
      <c r="E1716" s="1" t="s">
        <v>9179</v>
      </c>
      <c r="F1716" s="1" t="s">
        <v>14985</v>
      </c>
      <c r="G1716" s="1" t="s">
        <v>8411</v>
      </c>
    </row>
    <row r="1717" spans="1:7">
      <c r="A1717" s="1">
        <v>1716</v>
      </c>
      <c r="B1717" s="1" t="s">
        <v>15365</v>
      </c>
      <c r="D1717" s="1" t="s">
        <v>9172</v>
      </c>
      <c r="E1717" s="1" t="s">
        <v>9177</v>
      </c>
      <c r="F1717" s="1" t="s">
        <v>14987</v>
      </c>
      <c r="G1717" s="1" t="s">
        <v>8407</v>
      </c>
    </row>
    <row r="1718" spans="1:7">
      <c r="A1718" s="1">
        <v>1717</v>
      </c>
      <c r="B1718" s="1" t="s">
        <v>15366</v>
      </c>
      <c r="D1718" s="1" t="s">
        <v>9172</v>
      </c>
      <c r="E1718" s="1" t="s">
        <v>9181</v>
      </c>
      <c r="F1718" s="1" t="s">
        <v>14989</v>
      </c>
      <c r="G1718" s="1" t="s">
        <v>8415</v>
      </c>
    </row>
    <row r="1719" spans="1:7">
      <c r="A1719" s="1">
        <v>1718</v>
      </c>
      <c r="B1719" s="1" t="s">
        <v>15367</v>
      </c>
      <c r="D1719" s="1" t="s">
        <v>9172</v>
      </c>
      <c r="E1719" s="1" t="s">
        <v>9173</v>
      </c>
      <c r="F1719" s="1" t="s">
        <v>14991</v>
      </c>
      <c r="G1719" s="1" t="s">
        <v>8399</v>
      </c>
    </row>
    <row r="1720" spans="1:7">
      <c r="A1720" s="1">
        <v>1719</v>
      </c>
      <c r="B1720" s="1" t="s">
        <v>15368</v>
      </c>
      <c r="D1720" s="1" t="s">
        <v>9172</v>
      </c>
      <c r="E1720" s="1" t="s">
        <v>9175</v>
      </c>
      <c r="F1720" s="1" t="s">
        <v>14993</v>
      </c>
      <c r="G1720" s="1" t="s">
        <v>8403</v>
      </c>
    </row>
    <row r="1721" spans="1:7">
      <c r="A1721" s="1">
        <v>1720</v>
      </c>
      <c r="B1721" s="1" t="s">
        <v>15369</v>
      </c>
      <c r="D1721" s="1" t="s">
        <v>9172</v>
      </c>
      <c r="E1721" s="1" t="s">
        <v>9191</v>
      </c>
      <c r="F1721" s="1" t="s">
        <v>14995</v>
      </c>
      <c r="G1721" s="1" t="s">
        <v>8435</v>
      </c>
    </row>
    <row r="1722" spans="1:7">
      <c r="A1722" s="1">
        <v>1721</v>
      </c>
      <c r="B1722" s="1" t="s">
        <v>15370</v>
      </c>
      <c r="D1722" s="1" t="s">
        <v>9172</v>
      </c>
      <c r="E1722" s="1" t="s">
        <v>9189</v>
      </c>
      <c r="F1722" s="1" t="s">
        <v>14997</v>
      </c>
      <c r="G1722" s="1" t="s">
        <v>8431</v>
      </c>
    </row>
    <row r="1723" spans="1:7">
      <c r="A1723" s="1">
        <v>1722</v>
      </c>
      <c r="B1723" s="1" t="s">
        <v>15371</v>
      </c>
      <c r="D1723" s="1" t="s">
        <v>9172</v>
      </c>
      <c r="E1723" s="1" t="s">
        <v>9185</v>
      </c>
      <c r="F1723" s="1" t="s">
        <v>14999</v>
      </c>
      <c r="G1723" s="1" t="s">
        <v>8423</v>
      </c>
    </row>
    <row r="1724" spans="1:7">
      <c r="A1724" s="1">
        <v>1723</v>
      </c>
      <c r="B1724" s="1" t="s">
        <v>15372</v>
      </c>
      <c r="D1724" s="1" t="s">
        <v>9172</v>
      </c>
      <c r="E1724" s="1" t="s">
        <v>9183</v>
      </c>
      <c r="F1724" s="1" t="s">
        <v>15001</v>
      </c>
      <c r="G1724" s="1" t="s">
        <v>8419</v>
      </c>
    </row>
    <row r="1725" spans="1:7">
      <c r="A1725" s="1">
        <v>1724</v>
      </c>
      <c r="B1725" s="1" t="s">
        <v>15373</v>
      </c>
      <c r="D1725" s="1" t="s">
        <v>9172</v>
      </c>
      <c r="E1725" s="1" t="s">
        <v>9187</v>
      </c>
      <c r="F1725" s="1" t="s">
        <v>15003</v>
      </c>
      <c r="G1725" s="1" t="s">
        <v>8427</v>
      </c>
    </row>
    <row r="1726" spans="1:7">
      <c r="A1726" s="1">
        <v>1725</v>
      </c>
      <c r="B1726" s="1" t="s">
        <v>15374</v>
      </c>
      <c r="D1726" s="1" t="s">
        <v>9193</v>
      </c>
      <c r="E1726" s="1" t="s">
        <v>9200</v>
      </c>
      <c r="F1726" s="1" t="s">
        <v>14985</v>
      </c>
      <c r="G1726" s="1" t="s">
        <v>8411</v>
      </c>
    </row>
    <row r="1727" spans="1:7">
      <c r="A1727" s="1">
        <v>1726</v>
      </c>
      <c r="B1727" s="1" t="s">
        <v>15375</v>
      </c>
      <c r="D1727" s="1" t="s">
        <v>9193</v>
      </c>
      <c r="E1727" s="1" t="s">
        <v>9198</v>
      </c>
      <c r="F1727" s="1" t="s">
        <v>14987</v>
      </c>
      <c r="G1727" s="1" t="s">
        <v>8407</v>
      </c>
    </row>
    <row r="1728" spans="1:7">
      <c r="A1728" s="1">
        <v>1727</v>
      </c>
      <c r="B1728" s="1" t="s">
        <v>15376</v>
      </c>
      <c r="D1728" s="1" t="s">
        <v>9193</v>
      </c>
      <c r="E1728" s="1" t="s">
        <v>9202</v>
      </c>
      <c r="F1728" s="1" t="s">
        <v>14989</v>
      </c>
      <c r="G1728" s="1" t="s">
        <v>8415</v>
      </c>
    </row>
    <row r="1729" spans="1:7">
      <c r="A1729" s="1">
        <v>1728</v>
      </c>
      <c r="B1729" s="1" t="s">
        <v>15377</v>
      </c>
      <c r="D1729" s="1" t="s">
        <v>9193</v>
      </c>
      <c r="E1729" s="1" t="s">
        <v>9194</v>
      </c>
      <c r="F1729" s="1" t="s">
        <v>14991</v>
      </c>
      <c r="G1729" s="1" t="s">
        <v>8399</v>
      </c>
    </row>
    <row r="1730" spans="1:7">
      <c r="A1730" s="1">
        <v>1729</v>
      </c>
      <c r="B1730" s="1" t="s">
        <v>15378</v>
      </c>
      <c r="D1730" s="1" t="s">
        <v>9193</v>
      </c>
      <c r="E1730" s="1" t="s">
        <v>9196</v>
      </c>
      <c r="F1730" s="1" t="s">
        <v>14993</v>
      </c>
      <c r="G1730" s="1" t="s">
        <v>8403</v>
      </c>
    </row>
    <row r="1731" spans="1:7">
      <c r="A1731" s="1">
        <v>1730</v>
      </c>
      <c r="B1731" s="1" t="s">
        <v>15379</v>
      </c>
      <c r="D1731" s="1" t="s">
        <v>9193</v>
      </c>
      <c r="E1731" s="1" t="s">
        <v>9212</v>
      </c>
      <c r="F1731" s="1" t="s">
        <v>14995</v>
      </c>
      <c r="G1731" s="1" t="s">
        <v>8435</v>
      </c>
    </row>
    <row r="1732" spans="1:7">
      <c r="A1732" s="1">
        <v>1731</v>
      </c>
      <c r="B1732" s="1" t="s">
        <v>15380</v>
      </c>
      <c r="D1732" s="1" t="s">
        <v>9193</v>
      </c>
      <c r="E1732" s="1" t="s">
        <v>9210</v>
      </c>
      <c r="F1732" s="1" t="s">
        <v>14997</v>
      </c>
      <c r="G1732" s="1" t="s">
        <v>8431</v>
      </c>
    </row>
    <row r="1733" spans="1:7">
      <c r="A1733" s="1">
        <v>1732</v>
      </c>
      <c r="B1733" s="1" t="s">
        <v>15381</v>
      </c>
      <c r="D1733" s="1" t="s">
        <v>9193</v>
      </c>
      <c r="E1733" s="1" t="s">
        <v>9206</v>
      </c>
      <c r="F1733" s="1" t="s">
        <v>14999</v>
      </c>
      <c r="G1733" s="1" t="s">
        <v>8423</v>
      </c>
    </row>
    <row r="1734" spans="1:7">
      <c r="A1734" s="1">
        <v>1733</v>
      </c>
      <c r="B1734" s="1" t="s">
        <v>15382</v>
      </c>
      <c r="D1734" s="1" t="s">
        <v>9193</v>
      </c>
      <c r="E1734" s="1" t="s">
        <v>9204</v>
      </c>
      <c r="F1734" s="1" t="s">
        <v>15001</v>
      </c>
      <c r="G1734" s="1" t="s">
        <v>8419</v>
      </c>
    </row>
    <row r="1735" spans="1:7">
      <c r="A1735" s="1">
        <v>1734</v>
      </c>
      <c r="B1735" s="1" t="s">
        <v>15383</v>
      </c>
      <c r="D1735" s="1" t="s">
        <v>9193</v>
      </c>
      <c r="E1735" s="1" t="s">
        <v>9208</v>
      </c>
      <c r="F1735" s="1" t="s">
        <v>15003</v>
      </c>
      <c r="G1735" s="1" t="s">
        <v>8427</v>
      </c>
    </row>
    <row r="1736" spans="1:7">
      <c r="A1736" s="1">
        <v>1735</v>
      </c>
      <c r="B1736" s="1" t="s">
        <v>15384</v>
      </c>
      <c r="D1736" s="1" t="s">
        <v>9214</v>
      </c>
      <c r="E1736" s="1" t="s">
        <v>9221</v>
      </c>
      <c r="F1736" s="1" t="s">
        <v>14985</v>
      </c>
      <c r="G1736" s="1" t="s">
        <v>8411</v>
      </c>
    </row>
    <row r="1737" spans="1:7">
      <c r="A1737" s="1">
        <v>1736</v>
      </c>
      <c r="B1737" s="1" t="s">
        <v>15385</v>
      </c>
      <c r="D1737" s="1" t="s">
        <v>9214</v>
      </c>
      <c r="E1737" s="1" t="s">
        <v>9219</v>
      </c>
      <c r="F1737" s="1" t="s">
        <v>14987</v>
      </c>
      <c r="G1737" s="1" t="s">
        <v>8407</v>
      </c>
    </row>
    <row r="1738" spans="1:7">
      <c r="A1738" s="1">
        <v>1737</v>
      </c>
      <c r="B1738" s="1" t="s">
        <v>15386</v>
      </c>
      <c r="D1738" s="1" t="s">
        <v>9214</v>
      </c>
      <c r="E1738" s="1" t="s">
        <v>9223</v>
      </c>
      <c r="F1738" s="1" t="s">
        <v>14989</v>
      </c>
      <c r="G1738" s="1" t="s">
        <v>8415</v>
      </c>
    </row>
    <row r="1739" spans="1:7">
      <c r="A1739" s="1">
        <v>1738</v>
      </c>
      <c r="B1739" s="1" t="s">
        <v>15387</v>
      </c>
      <c r="D1739" s="1" t="s">
        <v>9214</v>
      </c>
      <c r="E1739" s="1" t="s">
        <v>9215</v>
      </c>
      <c r="F1739" s="1" t="s">
        <v>14991</v>
      </c>
      <c r="G1739" s="1" t="s">
        <v>8399</v>
      </c>
    </row>
    <row r="1740" spans="1:7">
      <c r="A1740" s="1">
        <v>1739</v>
      </c>
      <c r="B1740" s="1" t="s">
        <v>15388</v>
      </c>
      <c r="D1740" s="1" t="s">
        <v>9214</v>
      </c>
      <c r="E1740" s="1" t="s">
        <v>9217</v>
      </c>
      <c r="F1740" s="1" t="s">
        <v>14993</v>
      </c>
      <c r="G1740" s="1" t="s">
        <v>8403</v>
      </c>
    </row>
    <row r="1741" spans="1:7">
      <c r="A1741" s="1">
        <v>1740</v>
      </c>
      <c r="B1741" s="1" t="s">
        <v>15389</v>
      </c>
      <c r="D1741" s="1" t="s">
        <v>9214</v>
      </c>
      <c r="E1741" s="1" t="s">
        <v>9233</v>
      </c>
      <c r="F1741" s="1" t="s">
        <v>14995</v>
      </c>
      <c r="G1741" s="1" t="s">
        <v>8435</v>
      </c>
    </row>
    <row r="1742" spans="1:7">
      <c r="A1742" s="1">
        <v>1741</v>
      </c>
      <c r="B1742" s="1" t="s">
        <v>15390</v>
      </c>
      <c r="D1742" s="1" t="s">
        <v>9214</v>
      </c>
      <c r="E1742" s="1" t="s">
        <v>9231</v>
      </c>
      <c r="F1742" s="1" t="s">
        <v>14997</v>
      </c>
      <c r="G1742" s="1" t="s">
        <v>8431</v>
      </c>
    </row>
    <row r="1743" spans="1:7">
      <c r="A1743" s="1">
        <v>1742</v>
      </c>
      <c r="B1743" s="1" t="s">
        <v>15391</v>
      </c>
      <c r="D1743" s="1" t="s">
        <v>9214</v>
      </c>
      <c r="E1743" s="1" t="s">
        <v>9227</v>
      </c>
      <c r="F1743" s="1" t="s">
        <v>14999</v>
      </c>
      <c r="G1743" s="1" t="s">
        <v>8423</v>
      </c>
    </row>
    <row r="1744" spans="1:7">
      <c r="A1744" s="1">
        <v>1743</v>
      </c>
      <c r="B1744" s="1" t="s">
        <v>15392</v>
      </c>
      <c r="D1744" s="1" t="s">
        <v>9214</v>
      </c>
      <c r="E1744" s="1" t="s">
        <v>9225</v>
      </c>
      <c r="F1744" s="1" t="s">
        <v>15001</v>
      </c>
      <c r="G1744" s="1" t="s">
        <v>8419</v>
      </c>
    </row>
    <row r="1745" spans="1:7">
      <c r="A1745" s="1">
        <v>1744</v>
      </c>
      <c r="B1745" s="1" t="s">
        <v>15393</v>
      </c>
      <c r="D1745" s="1" t="s">
        <v>9214</v>
      </c>
      <c r="E1745" s="1" t="s">
        <v>9229</v>
      </c>
      <c r="F1745" s="1" t="s">
        <v>15003</v>
      </c>
      <c r="G1745" s="1" t="s">
        <v>8427</v>
      </c>
    </row>
    <row r="1746" spans="1:7">
      <c r="A1746" s="1">
        <v>1745</v>
      </c>
      <c r="B1746" s="1" t="s">
        <v>15394</v>
      </c>
      <c r="D1746" s="1" t="s">
        <v>9235</v>
      </c>
      <c r="E1746" s="1" t="s">
        <v>9242</v>
      </c>
      <c r="F1746" s="1" t="s">
        <v>14985</v>
      </c>
      <c r="G1746" s="1" t="s">
        <v>8411</v>
      </c>
    </row>
    <row r="1747" spans="1:7">
      <c r="A1747" s="1">
        <v>1746</v>
      </c>
      <c r="B1747" s="1" t="s">
        <v>15395</v>
      </c>
      <c r="D1747" s="1" t="s">
        <v>9235</v>
      </c>
      <c r="E1747" s="1" t="s">
        <v>9240</v>
      </c>
      <c r="F1747" s="1" t="s">
        <v>14987</v>
      </c>
      <c r="G1747" s="1" t="s">
        <v>8407</v>
      </c>
    </row>
    <row r="1748" spans="1:7">
      <c r="A1748" s="1">
        <v>1747</v>
      </c>
      <c r="B1748" s="1" t="s">
        <v>15396</v>
      </c>
      <c r="D1748" s="1" t="s">
        <v>9235</v>
      </c>
      <c r="E1748" s="1" t="s">
        <v>9244</v>
      </c>
      <c r="F1748" s="1" t="s">
        <v>14989</v>
      </c>
      <c r="G1748" s="1" t="s">
        <v>8415</v>
      </c>
    </row>
    <row r="1749" spans="1:7">
      <c r="A1749" s="1">
        <v>1748</v>
      </c>
      <c r="B1749" s="1" t="s">
        <v>15397</v>
      </c>
      <c r="D1749" s="1" t="s">
        <v>9235</v>
      </c>
      <c r="E1749" s="1" t="s">
        <v>9236</v>
      </c>
      <c r="F1749" s="1" t="s">
        <v>14991</v>
      </c>
      <c r="G1749" s="1" t="s">
        <v>8399</v>
      </c>
    </row>
    <row r="1750" spans="1:7">
      <c r="A1750" s="1">
        <v>1749</v>
      </c>
      <c r="B1750" s="1" t="s">
        <v>15398</v>
      </c>
      <c r="D1750" s="1" t="s">
        <v>9235</v>
      </c>
      <c r="E1750" s="1" t="s">
        <v>9238</v>
      </c>
      <c r="F1750" s="1" t="s">
        <v>14993</v>
      </c>
      <c r="G1750" s="1" t="s">
        <v>8403</v>
      </c>
    </row>
    <row r="1751" spans="1:7">
      <c r="A1751" s="1">
        <v>1750</v>
      </c>
      <c r="B1751" s="1" t="s">
        <v>15399</v>
      </c>
      <c r="D1751" s="1" t="s">
        <v>9235</v>
      </c>
      <c r="E1751" s="1" t="s">
        <v>9254</v>
      </c>
      <c r="F1751" s="1" t="s">
        <v>14995</v>
      </c>
      <c r="G1751" s="1" t="s">
        <v>8435</v>
      </c>
    </row>
    <row r="1752" spans="1:7">
      <c r="A1752" s="1">
        <v>1751</v>
      </c>
      <c r="B1752" s="1" t="s">
        <v>15400</v>
      </c>
      <c r="D1752" s="1" t="s">
        <v>9235</v>
      </c>
      <c r="E1752" s="1" t="s">
        <v>9252</v>
      </c>
      <c r="F1752" s="1" t="s">
        <v>14997</v>
      </c>
      <c r="G1752" s="1" t="s">
        <v>8431</v>
      </c>
    </row>
    <row r="1753" spans="1:7">
      <c r="A1753" s="1">
        <v>1752</v>
      </c>
      <c r="B1753" s="1" t="s">
        <v>15401</v>
      </c>
      <c r="D1753" s="1" t="s">
        <v>9235</v>
      </c>
      <c r="E1753" s="1" t="s">
        <v>9248</v>
      </c>
      <c r="F1753" s="1" t="s">
        <v>14999</v>
      </c>
      <c r="G1753" s="1" t="s">
        <v>8423</v>
      </c>
    </row>
    <row r="1754" spans="1:7">
      <c r="A1754" s="1">
        <v>1753</v>
      </c>
      <c r="B1754" s="1" t="s">
        <v>15402</v>
      </c>
      <c r="D1754" s="1" t="s">
        <v>9235</v>
      </c>
      <c r="E1754" s="1" t="s">
        <v>9246</v>
      </c>
      <c r="F1754" s="1" t="s">
        <v>15001</v>
      </c>
      <c r="G1754" s="1" t="s">
        <v>8419</v>
      </c>
    </row>
    <row r="1755" spans="1:7">
      <c r="A1755" s="1">
        <v>1754</v>
      </c>
      <c r="B1755" s="1" t="s">
        <v>15403</v>
      </c>
      <c r="D1755" s="1" t="s">
        <v>9235</v>
      </c>
      <c r="E1755" s="1" t="s">
        <v>9250</v>
      </c>
      <c r="F1755" s="1" t="s">
        <v>15003</v>
      </c>
      <c r="G1755" s="1" t="s">
        <v>8427</v>
      </c>
    </row>
    <row r="1756" spans="1:7">
      <c r="A1756" s="1">
        <v>1755</v>
      </c>
      <c r="B1756" s="1" t="s">
        <v>15404</v>
      </c>
      <c r="D1756" s="1" t="s">
        <v>9256</v>
      </c>
      <c r="E1756" s="1" t="s">
        <v>9263</v>
      </c>
      <c r="F1756" s="1" t="s">
        <v>14985</v>
      </c>
      <c r="G1756" s="1" t="s">
        <v>8411</v>
      </c>
    </row>
    <row r="1757" spans="1:7">
      <c r="A1757" s="1">
        <v>1756</v>
      </c>
      <c r="B1757" s="1" t="s">
        <v>15405</v>
      </c>
      <c r="D1757" s="1" t="s">
        <v>9256</v>
      </c>
      <c r="E1757" s="1" t="s">
        <v>9261</v>
      </c>
      <c r="F1757" s="1" t="s">
        <v>14987</v>
      </c>
      <c r="G1757" s="1" t="s">
        <v>8407</v>
      </c>
    </row>
    <row r="1758" spans="1:7">
      <c r="A1758" s="1">
        <v>1757</v>
      </c>
      <c r="B1758" s="1" t="s">
        <v>15406</v>
      </c>
      <c r="D1758" s="1" t="s">
        <v>9256</v>
      </c>
      <c r="E1758" s="1" t="s">
        <v>9265</v>
      </c>
      <c r="F1758" s="1" t="s">
        <v>14989</v>
      </c>
      <c r="G1758" s="1" t="s">
        <v>8415</v>
      </c>
    </row>
    <row r="1759" spans="1:7">
      <c r="A1759" s="1">
        <v>1758</v>
      </c>
      <c r="B1759" s="1" t="s">
        <v>15407</v>
      </c>
      <c r="D1759" s="1" t="s">
        <v>9256</v>
      </c>
      <c r="E1759" s="1" t="s">
        <v>9257</v>
      </c>
      <c r="F1759" s="1" t="s">
        <v>14991</v>
      </c>
      <c r="G1759" s="1" t="s">
        <v>8399</v>
      </c>
    </row>
    <row r="1760" spans="1:7">
      <c r="A1760" s="1">
        <v>1759</v>
      </c>
      <c r="B1760" s="1" t="s">
        <v>15408</v>
      </c>
      <c r="D1760" s="1" t="s">
        <v>9256</v>
      </c>
      <c r="E1760" s="1" t="s">
        <v>9259</v>
      </c>
      <c r="F1760" s="1" t="s">
        <v>14993</v>
      </c>
      <c r="G1760" s="1" t="s">
        <v>8403</v>
      </c>
    </row>
    <row r="1761" spans="1:7">
      <c r="A1761" s="1">
        <v>1760</v>
      </c>
      <c r="B1761" s="1" t="s">
        <v>15409</v>
      </c>
      <c r="D1761" s="1" t="s">
        <v>9256</v>
      </c>
      <c r="E1761" s="1" t="s">
        <v>9275</v>
      </c>
      <c r="F1761" s="1" t="s">
        <v>14995</v>
      </c>
      <c r="G1761" s="1" t="s">
        <v>8435</v>
      </c>
    </row>
    <row r="1762" spans="1:7">
      <c r="A1762" s="1">
        <v>1761</v>
      </c>
      <c r="B1762" s="1" t="s">
        <v>15410</v>
      </c>
      <c r="D1762" s="1" t="s">
        <v>9256</v>
      </c>
      <c r="E1762" s="1" t="s">
        <v>9273</v>
      </c>
      <c r="F1762" s="1" t="s">
        <v>14997</v>
      </c>
      <c r="G1762" s="1" t="s">
        <v>8431</v>
      </c>
    </row>
    <row r="1763" spans="1:7">
      <c r="A1763" s="1">
        <v>1762</v>
      </c>
      <c r="B1763" s="1" t="s">
        <v>15411</v>
      </c>
      <c r="D1763" s="1" t="s">
        <v>9256</v>
      </c>
      <c r="E1763" s="1" t="s">
        <v>9269</v>
      </c>
      <c r="F1763" s="1" t="s">
        <v>14999</v>
      </c>
      <c r="G1763" s="1" t="s">
        <v>8423</v>
      </c>
    </row>
    <row r="1764" spans="1:7">
      <c r="A1764" s="1">
        <v>1763</v>
      </c>
      <c r="B1764" s="1" t="s">
        <v>15412</v>
      </c>
      <c r="D1764" s="1" t="s">
        <v>9256</v>
      </c>
      <c r="E1764" s="1" t="s">
        <v>9267</v>
      </c>
      <c r="F1764" s="1" t="s">
        <v>15001</v>
      </c>
      <c r="G1764" s="1" t="s">
        <v>8419</v>
      </c>
    </row>
    <row r="1765" spans="1:7">
      <c r="A1765" s="1">
        <v>1764</v>
      </c>
      <c r="B1765" s="1" t="s">
        <v>15413</v>
      </c>
      <c r="D1765" s="1" t="s">
        <v>9256</v>
      </c>
      <c r="E1765" s="1" t="s">
        <v>9271</v>
      </c>
      <c r="F1765" s="1" t="s">
        <v>15003</v>
      </c>
      <c r="G1765" s="1" t="s">
        <v>8427</v>
      </c>
    </row>
    <row r="1766" spans="1:7">
      <c r="A1766" s="1">
        <v>1765</v>
      </c>
      <c r="B1766" s="1" t="s">
        <v>15414</v>
      </c>
      <c r="D1766" s="1" t="s">
        <v>9277</v>
      </c>
      <c r="E1766" s="1" t="s">
        <v>9284</v>
      </c>
      <c r="F1766" s="1" t="s">
        <v>14985</v>
      </c>
      <c r="G1766" s="1" t="s">
        <v>8411</v>
      </c>
    </row>
    <row r="1767" spans="1:7">
      <c r="A1767" s="1">
        <v>1766</v>
      </c>
      <c r="B1767" s="1" t="s">
        <v>15415</v>
      </c>
      <c r="D1767" s="1" t="s">
        <v>9277</v>
      </c>
      <c r="E1767" s="1" t="s">
        <v>9282</v>
      </c>
      <c r="F1767" s="1" t="s">
        <v>14987</v>
      </c>
      <c r="G1767" s="1" t="s">
        <v>8407</v>
      </c>
    </row>
    <row r="1768" spans="1:7">
      <c r="A1768" s="1">
        <v>1767</v>
      </c>
      <c r="B1768" s="1" t="s">
        <v>15416</v>
      </c>
      <c r="D1768" s="1" t="s">
        <v>9277</v>
      </c>
      <c r="E1768" s="1" t="s">
        <v>9286</v>
      </c>
      <c r="F1768" s="1" t="s">
        <v>14989</v>
      </c>
      <c r="G1768" s="1" t="s">
        <v>8415</v>
      </c>
    </row>
    <row r="1769" spans="1:7">
      <c r="A1769" s="1">
        <v>1768</v>
      </c>
      <c r="B1769" s="1" t="s">
        <v>15417</v>
      </c>
      <c r="D1769" s="1" t="s">
        <v>9277</v>
      </c>
      <c r="E1769" s="1" t="s">
        <v>9278</v>
      </c>
      <c r="F1769" s="1" t="s">
        <v>14991</v>
      </c>
      <c r="G1769" s="1" t="s">
        <v>8399</v>
      </c>
    </row>
    <row r="1770" spans="1:7">
      <c r="A1770" s="1">
        <v>1769</v>
      </c>
      <c r="B1770" s="1" t="s">
        <v>15418</v>
      </c>
      <c r="D1770" s="1" t="s">
        <v>9277</v>
      </c>
      <c r="E1770" s="1" t="s">
        <v>9280</v>
      </c>
      <c r="F1770" s="1" t="s">
        <v>14993</v>
      </c>
      <c r="G1770" s="1" t="s">
        <v>8403</v>
      </c>
    </row>
    <row r="1771" spans="1:7">
      <c r="A1771" s="1">
        <v>1770</v>
      </c>
      <c r="B1771" s="1" t="s">
        <v>15419</v>
      </c>
      <c r="D1771" s="1" t="s">
        <v>9277</v>
      </c>
      <c r="E1771" s="1" t="s">
        <v>9296</v>
      </c>
      <c r="F1771" s="1" t="s">
        <v>14995</v>
      </c>
      <c r="G1771" s="1" t="s">
        <v>8435</v>
      </c>
    </row>
    <row r="1772" spans="1:7">
      <c r="A1772" s="1">
        <v>1771</v>
      </c>
      <c r="B1772" s="1" t="s">
        <v>15420</v>
      </c>
      <c r="D1772" s="1" t="s">
        <v>9277</v>
      </c>
      <c r="E1772" s="1" t="s">
        <v>9294</v>
      </c>
      <c r="F1772" s="1" t="s">
        <v>14997</v>
      </c>
      <c r="G1772" s="1" t="s">
        <v>8431</v>
      </c>
    </row>
    <row r="1773" spans="1:7">
      <c r="A1773" s="1">
        <v>1772</v>
      </c>
      <c r="B1773" s="1" t="s">
        <v>15421</v>
      </c>
      <c r="D1773" s="1" t="s">
        <v>9277</v>
      </c>
      <c r="E1773" s="1" t="s">
        <v>9290</v>
      </c>
      <c r="F1773" s="1" t="s">
        <v>14999</v>
      </c>
      <c r="G1773" s="1" t="s">
        <v>8423</v>
      </c>
    </row>
    <row r="1774" spans="1:7">
      <c r="A1774" s="1">
        <v>1773</v>
      </c>
      <c r="B1774" s="1" t="s">
        <v>15422</v>
      </c>
      <c r="D1774" s="1" t="s">
        <v>9277</v>
      </c>
      <c r="E1774" s="1" t="s">
        <v>9288</v>
      </c>
      <c r="F1774" s="1" t="s">
        <v>15001</v>
      </c>
      <c r="G1774" s="1" t="s">
        <v>8419</v>
      </c>
    </row>
    <row r="1775" spans="1:7">
      <c r="A1775" s="1">
        <v>1774</v>
      </c>
      <c r="B1775" s="1" t="s">
        <v>15423</v>
      </c>
      <c r="D1775" s="1" t="s">
        <v>9277</v>
      </c>
      <c r="E1775" s="1" t="s">
        <v>9292</v>
      </c>
      <c r="F1775" s="1" t="s">
        <v>15003</v>
      </c>
      <c r="G1775" s="1" t="s">
        <v>8427</v>
      </c>
    </row>
    <row r="1776" spans="1:7">
      <c r="A1776" s="1">
        <v>1775</v>
      </c>
      <c r="B1776" s="1" t="s">
        <v>15424</v>
      </c>
      <c r="D1776" s="1" t="s">
        <v>9298</v>
      </c>
      <c r="E1776" s="1" t="s">
        <v>9305</v>
      </c>
      <c r="F1776" s="1" t="s">
        <v>14985</v>
      </c>
      <c r="G1776" s="1" t="s">
        <v>8411</v>
      </c>
    </row>
    <row r="1777" spans="1:7">
      <c r="A1777" s="1">
        <v>1776</v>
      </c>
      <c r="B1777" s="1" t="s">
        <v>15425</v>
      </c>
      <c r="D1777" s="1" t="s">
        <v>9298</v>
      </c>
      <c r="E1777" s="1" t="s">
        <v>9303</v>
      </c>
      <c r="F1777" s="1" t="s">
        <v>14987</v>
      </c>
      <c r="G1777" s="1" t="s">
        <v>8407</v>
      </c>
    </row>
    <row r="1778" spans="1:7">
      <c r="A1778" s="1">
        <v>1777</v>
      </c>
      <c r="B1778" s="1" t="s">
        <v>15426</v>
      </c>
      <c r="D1778" s="1" t="s">
        <v>9298</v>
      </c>
      <c r="E1778" s="1" t="s">
        <v>9307</v>
      </c>
      <c r="F1778" s="1" t="s">
        <v>14989</v>
      </c>
      <c r="G1778" s="1" t="s">
        <v>8415</v>
      </c>
    </row>
    <row r="1779" spans="1:7">
      <c r="A1779" s="1">
        <v>1778</v>
      </c>
      <c r="B1779" s="1" t="s">
        <v>15427</v>
      </c>
      <c r="D1779" s="1" t="s">
        <v>9298</v>
      </c>
      <c r="E1779" s="1" t="s">
        <v>9299</v>
      </c>
      <c r="F1779" s="1" t="s">
        <v>14991</v>
      </c>
      <c r="G1779" s="1" t="s">
        <v>8399</v>
      </c>
    </row>
    <row r="1780" spans="1:7">
      <c r="A1780" s="1">
        <v>1779</v>
      </c>
      <c r="B1780" s="1" t="s">
        <v>15428</v>
      </c>
      <c r="D1780" s="1" t="s">
        <v>9298</v>
      </c>
      <c r="E1780" s="1" t="s">
        <v>9301</v>
      </c>
      <c r="F1780" s="1" t="s">
        <v>14993</v>
      </c>
      <c r="G1780" s="1" t="s">
        <v>8403</v>
      </c>
    </row>
    <row r="1781" spans="1:7">
      <c r="A1781" s="1">
        <v>1780</v>
      </c>
      <c r="B1781" s="1" t="s">
        <v>15429</v>
      </c>
      <c r="D1781" s="1" t="s">
        <v>9298</v>
      </c>
      <c r="E1781" s="1" t="s">
        <v>9317</v>
      </c>
      <c r="F1781" s="1" t="s">
        <v>14995</v>
      </c>
      <c r="G1781" s="1" t="s">
        <v>8435</v>
      </c>
    </row>
    <row r="1782" spans="1:7">
      <c r="A1782" s="1">
        <v>1781</v>
      </c>
      <c r="B1782" s="1" t="s">
        <v>15430</v>
      </c>
      <c r="D1782" s="1" t="s">
        <v>9298</v>
      </c>
      <c r="E1782" s="1" t="s">
        <v>9315</v>
      </c>
      <c r="F1782" s="1" t="s">
        <v>14997</v>
      </c>
      <c r="G1782" s="1" t="s">
        <v>8431</v>
      </c>
    </row>
    <row r="1783" spans="1:7">
      <c r="A1783" s="1">
        <v>1782</v>
      </c>
      <c r="B1783" s="1" t="s">
        <v>15431</v>
      </c>
      <c r="D1783" s="1" t="s">
        <v>9298</v>
      </c>
      <c r="E1783" s="1" t="s">
        <v>9311</v>
      </c>
      <c r="F1783" s="1" t="s">
        <v>14999</v>
      </c>
      <c r="G1783" s="1" t="s">
        <v>8423</v>
      </c>
    </row>
    <row r="1784" spans="1:7">
      <c r="A1784" s="1">
        <v>1783</v>
      </c>
      <c r="B1784" s="1" t="s">
        <v>15432</v>
      </c>
      <c r="D1784" s="1" t="s">
        <v>9298</v>
      </c>
      <c r="E1784" s="1" t="s">
        <v>9309</v>
      </c>
      <c r="F1784" s="1" t="s">
        <v>15001</v>
      </c>
      <c r="G1784" s="1" t="s">
        <v>8419</v>
      </c>
    </row>
    <row r="1785" spans="1:7">
      <c r="A1785" s="1">
        <v>1784</v>
      </c>
      <c r="B1785" s="1" t="s">
        <v>15433</v>
      </c>
      <c r="D1785" s="1" t="s">
        <v>9298</v>
      </c>
      <c r="E1785" s="1" t="s">
        <v>9313</v>
      </c>
      <c r="F1785" s="1" t="s">
        <v>15003</v>
      </c>
      <c r="G1785" s="1" t="s">
        <v>8427</v>
      </c>
    </row>
    <row r="1786" spans="1:7">
      <c r="A1786" s="1">
        <v>1785</v>
      </c>
      <c r="B1786" s="1" t="s">
        <v>15434</v>
      </c>
      <c r="D1786" s="1" t="s">
        <v>9319</v>
      </c>
      <c r="E1786" s="1" t="s">
        <v>9326</v>
      </c>
      <c r="F1786" s="1" t="s">
        <v>14985</v>
      </c>
      <c r="G1786" s="1" t="s">
        <v>8411</v>
      </c>
    </row>
    <row r="1787" spans="1:7">
      <c r="A1787" s="1">
        <v>1786</v>
      </c>
      <c r="B1787" s="1" t="s">
        <v>15435</v>
      </c>
      <c r="D1787" s="1" t="s">
        <v>9319</v>
      </c>
      <c r="E1787" s="1" t="s">
        <v>9324</v>
      </c>
      <c r="F1787" s="1" t="s">
        <v>14987</v>
      </c>
      <c r="G1787" s="1" t="s">
        <v>8407</v>
      </c>
    </row>
    <row r="1788" spans="1:7">
      <c r="A1788" s="1">
        <v>1787</v>
      </c>
      <c r="B1788" s="1" t="s">
        <v>15436</v>
      </c>
      <c r="D1788" s="1" t="s">
        <v>9319</v>
      </c>
      <c r="E1788" s="1" t="s">
        <v>9328</v>
      </c>
      <c r="F1788" s="1" t="s">
        <v>14989</v>
      </c>
      <c r="G1788" s="1" t="s">
        <v>8415</v>
      </c>
    </row>
    <row r="1789" spans="1:7">
      <c r="A1789" s="1">
        <v>1788</v>
      </c>
      <c r="B1789" s="1" t="s">
        <v>15437</v>
      </c>
      <c r="D1789" s="1" t="s">
        <v>9319</v>
      </c>
      <c r="E1789" s="1" t="s">
        <v>9320</v>
      </c>
      <c r="F1789" s="1" t="s">
        <v>14991</v>
      </c>
      <c r="G1789" s="1" t="s">
        <v>8399</v>
      </c>
    </row>
    <row r="1790" spans="1:7">
      <c r="A1790" s="1">
        <v>1789</v>
      </c>
      <c r="B1790" s="1" t="s">
        <v>15438</v>
      </c>
      <c r="D1790" s="1" t="s">
        <v>9319</v>
      </c>
      <c r="E1790" s="1" t="s">
        <v>9322</v>
      </c>
      <c r="F1790" s="1" t="s">
        <v>14993</v>
      </c>
      <c r="G1790" s="1" t="s">
        <v>8403</v>
      </c>
    </row>
    <row r="1791" spans="1:7">
      <c r="A1791" s="1">
        <v>1790</v>
      </c>
      <c r="B1791" s="1" t="s">
        <v>15439</v>
      </c>
      <c r="D1791" s="1" t="s">
        <v>9319</v>
      </c>
      <c r="E1791" s="1" t="s">
        <v>9338</v>
      </c>
      <c r="F1791" s="1" t="s">
        <v>14995</v>
      </c>
      <c r="G1791" s="1" t="s">
        <v>8435</v>
      </c>
    </row>
    <row r="1792" spans="1:7">
      <c r="A1792" s="1">
        <v>1791</v>
      </c>
      <c r="B1792" s="1" t="s">
        <v>15440</v>
      </c>
      <c r="D1792" s="1" t="s">
        <v>9319</v>
      </c>
      <c r="E1792" s="1" t="s">
        <v>9336</v>
      </c>
      <c r="F1792" s="1" t="s">
        <v>14997</v>
      </c>
      <c r="G1792" s="1" t="s">
        <v>8431</v>
      </c>
    </row>
    <row r="1793" spans="1:7">
      <c r="A1793" s="1">
        <v>1792</v>
      </c>
      <c r="B1793" s="1" t="s">
        <v>15441</v>
      </c>
      <c r="D1793" s="1" t="s">
        <v>9319</v>
      </c>
      <c r="E1793" s="1" t="s">
        <v>9332</v>
      </c>
      <c r="F1793" s="1" t="s">
        <v>14999</v>
      </c>
      <c r="G1793" s="1" t="s">
        <v>8423</v>
      </c>
    </row>
    <row r="1794" spans="1:7">
      <c r="A1794" s="1">
        <v>1793</v>
      </c>
      <c r="B1794" s="1" t="s">
        <v>15442</v>
      </c>
      <c r="D1794" s="1" t="s">
        <v>9319</v>
      </c>
      <c r="E1794" s="1" t="s">
        <v>9330</v>
      </c>
      <c r="F1794" s="1" t="s">
        <v>15001</v>
      </c>
      <c r="G1794" s="1" t="s">
        <v>8419</v>
      </c>
    </row>
    <row r="1795" spans="1:7">
      <c r="A1795" s="1">
        <v>1794</v>
      </c>
      <c r="B1795" s="1" t="s">
        <v>15443</v>
      </c>
      <c r="D1795" s="1" t="s">
        <v>9319</v>
      </c>
      <c r="E1795" s="1" t="s">
        <v>9334</v>
      </c>
      <c r="F1795" s="1" t="s">
        <v>15003</v>
      </c>
      <c r="G1795" s="1" t="s">
        <v>8427</v>
      </c>
    </row>
    <row r="1796" spans="1:7">
      <c r="A1796" s="1">
        <v>1795</v>
      </c>
      <c r="B1796" s="1" t="s">
        <v>15444</v>
      </c>
      <c r="D1796" s="1" t="s">
        <v>9340</v>
      </c>
      <c r="E1796" s="1" t="s">
        <v>9347</v>
      </c>
      <c r="F1796" s="1" t="s">
        <v>14985</v>
      </c>
      <c r="G1796" s="1" t="s">
        <v>8411</v>
      </c>
    </row>
    <row r="1797" spans="1:7">
      <c r="A1797" s="1">
        <v>1796</v>
      </c>
      <c r="B1797" s="1" t="s">
        <v>15445</v>
      </c>
      <c r="D1797" s="1" t="s">
        <v>9340</v>
      </c>
      <c r="E1797" s="1" t="s">
        <v>9345</v>
      </c>
      <c r="F1797" s="1" t="s">
        <v>14987</v>
      </c>
      <c r="G1797" s="1" t="s">
        <v>8407</v>
      </c>
    </row>
    <row r="1798" spans="1:7">
      <c r="A1798" s="1">
        <v>1797</v>
      </c>
      <c r="B1798" s="1" t="s">
        <v>15446</v>
      </c>
      <c r="D1798" s="1" t="s">
        <v>9340</v>
      </c>
      <c r="E1798" s="1" t="s">
        <v>9349</v>
      </c>
      <c r="F1798" s="1" t="s">
        <v>14989</v>
      </c>
      <c r="G1798" s="1" t="s">
        <v>8415</v>
      </c>
    </row>
    <row r="1799" spans="1:7">
      <c r="A1799" s="1">
        <v>1798</v>
      </c>
      <c r="B1799" s="1" t="s">
        <v>15447</v>
      </c>
      <c r="D1799" s="1" t="s">
        <v>9340</v>
      </c>
      <c r="E1799" s="1" t="s">
        <v>9341</v>
      </c>
      <c r="F1799" s="1" t="s">
        <v>14991</v>
      </c>
      <c r="G1799" s="1" t="s">
        <v>8399</v>
      </c>
    </row>
    <row r="1800" spans="1:7">
      <c r="A1800" s="1">
        <v>1799</v>
      </c>
      <c r="B1800" s="1" t="s">
        <v>15448</v>
      </c>
      <c r="D1800" s="1" t="s">
        <v>9340</v>
      </c>
      <c r="E1800" s="1" t="s">
        <v>9343</v>
      </c>
      <c r="F1800" s="1" t="s">
        <v>14993</v>
      </c>
      <c r="G1800" s="1" t="s">
        <v>8403</v>
      </c>
    </row>
    <row r="1801" spans="1:7">
      <c r="A1801" s="1">
        <v>1800</v>
      </c>
      <c r="B1801" s="1" t="s">
        <v>15449</v>
      </c>
      <c r="D1801" s="1" t="s">
        <v>9340</v>
      </c>
      <c r="E1801" s="1" t="s">
        <v>9359</v>
      </c>
      <c r="F1801" s="1" t="s">
        <v>14995</v>
      </c>
      <c r="G1801" s="1" t="s">
        <v>8435</v>
      </c>
    </row>
    <row r="1802" spans="1:7">
      <c r="A1802" s="1">
        <v>1801</v>
      </c>
      <c r="B1802" s="1" t="s">
        <v>15450</v>
      </c>
      <c r="D1802" s="1" t="s">
        <v>9340</v>
      </c>
      <c r="E1802" s="1" t="s">
        <v>9357</v>
      </c>
      <c r="F1802" s="1" t="s">
        <v>14997</v>
      </c>
      <c r="G1802" s="1" t="s">
        <v>8431</v>
      </c>
    </row>
    <row r="1803" spans="1:7">
      <c r="A1803" s="1">
        <v>1802</v>
      </c>
      <c r="B1803" s="1" t="s">
        <v>15451</v>
      </c>
      <c r="D1803" s="1" t="s">
        <v>9340</v>
      </c>
      <c r="E1803" s="1" t="s">
        <v>9353</v>
      </c>
      <c r="F1803" s="1" t="s">
        <v>14999</v>
      </c>
      <c r="G1803" s="1" t="s">
        <v>8423</v>
      </c>
    </row>
    <row r="1804" spans="1:7">
      <c r="A1804" s="1">
        <v>1803</v>
      </c>
      <c r="B1804" s="1" t="s">
        <v>15452</v>
      </c>
      <c r="D1804" s="1" t="s">
        <v>9340</v>
      </c>
      <c r="E1804" s="1" t="s">
        <v>9351</v>
      </c>
      <c r="F1804" s="1" t="s">
        <v>15001</v>
      </c>
      <c r="G1804" s="1" t="s">
        <v>8419</v>
      </c>
    </row>
    <row r="1805" spans="1:7">
      <c r="A1805" s="1">
        <v>1804</v>
      </c>
      <c r="B1805" s="1" t="s">
        <v>15453</v>
      </c>
      <c r="D1805" s="1" t="s">
        <v>9340</v>
      </c>
      <c r="E1805" s="1" t="s">
        <v>9355</v>
      </c>
      <c r="F1805" s="1" t="s">
        <v>15003</v>
      </c>
      <c r="G1805" s="1" t="s">
        <v>8427</v>
      </c>
    </row>
    <row r="1806" spans="1:7">
      <c r="A1806" s="1">
        <v>1805</v>
      </c>
      <c r="B1806" s="1" t="s">
        <v>15454</v>
      </c>
      <c r="D1806" s="1" t="s">
        <v>9361</v>
      </c>
      <c r="E1806" s="1" t="s">
        <v>9368</v>
      </c>
      <c r="F1806" s="1" t="s">
        <v>14985</v>
      </c>
      <c r="G1806" s="1" t="s">
        <v>8411</v>
      </c>
    </row>
    <row r="1807" spans="1:7">
      <c r="A1807" s="1">
        <v>1806</v>
      </c>
      <c r="B1807" s="1" t="s">
        <v>15455</v>
      </c>
      <c r="D1807" s="1" t="s">
        <v>9361</v>
      </c>
      <c r="E1807" s="1" t="s">
        <v>9366</v>
      </c>
      <c r="F1807" s="1" t="s">
        <v>14987</v>
      </c>
      <c r="G1807" s="1" t="s">
        <v>8407</v>
      </c>
    </row>
    <row r="1808" spans="1:7">
      <c r="A1808" s="1">
        <v>1807</v>
      </c>
      <c r="B1808" s="1" t="s">
        <v>15456</v>
      </c>
      <c r="D1808" s="1" t="s">
        <v>9361</v>
      </c>
      <c r="E1808" s="1" t="s">
        <v>9370</v>
      </c>
      <c r="F1808" s="1" t="s">
        <v>14989</v>
      </c>
      <c r="G1808" s="1" t="s">
        <v>8415</v>
      </c>
    </row>
    <row r="1809" spans="1:7">
      <c r="A1809" s="1">
        <v>1808</v>
      </c>
      <c r="B1809" s="1" t="s">
        <v>15457</v>
      </c>
      <c r="D1809" s="1" t="s">
        <v>9361</v>
      </c>
      <c r="E1809" s="1" t="s">
        <v>9362</v>
      </c>
      <c r="F1809" s="1" t="s">
        <v>14991</v>
      </c>
      <c r="G1809" s="1" t="s">
        <v>8399</v>
      </c>
    </row>
    <row r="1810" spans="1:7">
      <c r="A1810" s="1">
        <v>1809</v>
      </c>
      <c r="B1810" s="1" t="s">
        <v>15458</v>
      </c>
      <c r="D1810" s="1" t="s">
        <v>9361</v>
      </c>
      <c r="E1810" s="1" t="s">
        <v>9364</v>
      </c>
      <c r="F1810" s="1" t="s">
        <v>14993</v>
      </c>
      <c r="G1810" s="1" t="s">
        <v>8403</v>
      </c>
    </row>
    <row r="1811" spans="1:7">
      <c r="A1811" s="1">
        <v>1810</v>
      </c>
      <c r="B1811" s="1" t="s">
        <v>15459</v>
      </c>
      <c r="D1811" s="1" t="s">
        <v>9361</v>
      </c>
      <c r="E1811" s="1" t="s">
        <v>9380</v>
      </c>
      <c r="F1811" s="1" t="s">
        <v>14995</v>
      </c>
      <c r="G1811" s="1" t="s">
        <v>8435</v>
      </c>
    </row>
    <row r="1812" spans="1:7">
      <c r="A1812" s="1">
        <v>1811</v>
      </c>
      <c r="B1812" s="1" t="s">
        <v>15460</v>
      </c>
      <c r="D1812" s="1" t="s">
        <v>9361</v>
      </c>
      <c r="E1812" s="1" t="s">
        <v>9378</v>
      </c>
      <c r="F1812" s="1" t="s">
        <v>14997</v>
      </c>
      <c r="G1812" s="1" t="s">
        <v>8431</v>
      </c>
    </row>
    <row r="1813" spans="1:7">
      <c r="A1813" s="1">
        <v>1812</v>
      </c>
      <c r="B1813" s="1" t="s">
        <v>15461</v>
      </c>
      <c r="D1813" s="1" t="s">
        <v>9361</v>
      </c>
      <c r="E1813" s="1" t="s">
        <v>9374</v>
      </c>
      <c r="F1813" s="1" t="s">
        <v>14999</v>
      </c>
      <c r="G1813" s="1" t="s">
        <v>8423</v>
      </c>
    </row>
    <row r="1814" spans="1:7">
      <c r="A1814" s="1">
        <v>1813</v>
      </c>
      <c r="B1814" s="1" t="s">
        <v>15462</v>
      </c>
      <c r="D1814" s="1" t="s">
        <v>9361</v>
      </c>
      <c r="E1814" s="1" t="s">
        <v>9372</v>
      </c>
      <c r="F1814" s="1" t="s">
        <v>15001</v>
      </c>
      <c r="G1814" s="1" t="s">
        <v>8419</v>
      </c>
    </row>
    <row r="1815" spans="1:7">
      <c r="A1815" s="1">
        <v>1814</v>
      </c>
      <c r="B1815" s="1" t="s">
        <v>15463</v>
      </c>
      <c r="D1815" s="1" t="s">
        <v>9361</v>
      </c>
      <c r="E1815" s="1" t="s">
        <v>9376</v>
      </c>
      <c r="F1815" s="1" t="s">
        <v>15003</v>
      </c>
      <c r="G1815" s="1" t="s">
        <v>8427</v>
      </c>
    </row>
    <row r="1816" spans="1:7">
      <c r="A1816" s="1">
        <v>1815</v>
      </c>
      <c r="B1816" s="1" t="s">
        <v>15464</v>
      </c>
      <c r="D1816" s="1" t="s">
        <v>9382</v>
      </c>
      <c r="E1816" s="1" t="s">
        <v>9389</v>
      </c>
      <c r="F1816" s="1" t="s">
        <v>14985</v>
      </c>
      <c r="G1816" s="1" t="s">
        <v>8411</v>
      </c>
    </row>
    <row r="1817" spans="1:7">
      <c r="A1817" s="1">
        <v>1816</v>
      </c>
      <c r="B1817" s="1" t="s">
        <v>15465</v>
      </c>
      <c r="D1817" s="1" t="s">
        <v>9382</v>
      </c>
      <c r="E1817" s="1" t="s">
        <v>9387</v>
      </c>
      <c r="F1817" s="1" t="s">
        <v>14987</v>
      </c>
      <c r="G1817" s="1" t="s">
        <v>8407</v>
      </c>
    </row>
    <row r="1818" spans="1:7">
      <c r="A1818" s="1">
        <v>1817</v>
      </c>
      <c r="B1818" s="1" t="s">
        <v>15466</v>
      </c>
      <c r="D1818" s="1" t="s">
        <v>9382</v>
      </c>
      <c r="E1818" s="1" t="s">
        <v>9391</v>
      </c>
      <c r="F1818" s="1" t="s">
        <v>14989</v>
      </c>
      <c r="G1818" s="1" t="s">
        <v>8415</v>
      </c>
    </row>
    <row r="1819" spans="1:7">
      <c r="A1819" s="1">
        <v>1818</v>
      </c>
      <c r="B1819" s="1" t="s">
        <v>15467</v>
      </c>
      <c r="D1819" s="1" t="s">
        <v>9382</v>
      </c>
      <c r="E1819" s="1" t="s">
        <v>9383</v>
      </c>
      <c r="F1819" s="1" t="s">
        <v>14991</v>
      </c>
      <c r="G1819" s="1" t="s">
        <v>8399</v>
      </c>
    </row>
    <row r="1820" spans="1:7">
      <c r="A1820" s="1">
        <v>1819</v>
      </c>
      <c r="B1820" s="1" t="s">
        <v>15468</v>
      </c>
      <c r="D1820" s="1" t="s">
        <v>9382</v>
      </c>
      <c r="E1820" s="1" t="s">
        <v>9385</v>
      </c>
      <c r="F1820" s="1" t="s">
        <v>14993</v>
      </c>
      <c r="G1820" s="1" t="s">
        <v>8403</v>
      </c>
    </row>
    <row r="1821" spans="1:7">
      <c r="A1821" s="1">
        <v>1820</v>
      </c>
      <c r="B1821" s="1" t="s">
        <v>15469</v>
      </c>
      <c r="D1821" s="1" t="s">
        <v>9382</v>
      </c>
      <c r="E1821" s="1" t="s">
        <v>9401</v>
      </c>
      <c r="F1821" s="1" t="s">
        <v>14995</v>
      </c>
      <c r="G1821" s="1" t="s">
        <v>8435</v>
      </c>
    </row>
    <row r="1822" spans="1:7">
      <c r="A1822" s="1">
        <v>1821</v>
      </c>
      <c r="B1822" s="1" t="s">
        <v>15470</v>
      </c>
      <c r="D1822" s="1" t="s">
        <v>9382</v>
      </c>
      <c r="E1822" s="1" t="s">
        <v>9399</v>
      </c>
      <c r="F1822" s="1" t="s">
        <v>14997</v>
      </c>
      <c r="G1822" s="1" t="s">
        <v>8431</v>
      </c>
    </row>
    <row r="1823" spans="1:7">
      <c r="A1823" s="1">
        <v>1822</v>
      </c>
      <c r="B1823" s="1" t="s">
        <v>15471</v>
      </c>
      <c r="D1823" s="1" t="s">
        <v>9382</v>
      </c>
      <c r="E1823" s="1" t="s">
        <v>9395</v>
      </c>
      <c r="F1823" s="1" t="s">
        <v>14999</v>
      </c>
      <c r="G1823" s="1" t="s">
        <v>8423</v>
      </c>
    </row>
    <row r="1824" spans="1:7">
      <c r="A1824" s="1">
        <v>1823</v>
      </c>
      <c r="B1824" s="1" t="s">
        <v>15472</v>
      </c>
      <c r="D1824" s="1" t="s">
        <v>9382</v>
      </c>
      <c r="E1824" s="1" t="s">
        <v>9393</v>
      </c>
      <c r="F1824" s="1" t="s">
        <v>15001</v>
      </c>
      <c r="G1824" s="1" t="s">
        <v>8419</v>
      </c>
    </row>
    <row r="1825" spans="1:7">
      <c r="A1825" s="1">
        <v>1824</v>
      </c>
      <c r="B1825" s="1" t="s">
        <v>15473</v>
      </c>
      <c r="D1825" s="1" t="s">
        <v>9382</v>
      </c>
      <c r="E1825" s="1" t="s">
        <v>9397</v>
      </c>
      <c r="F1825" s="1" t="s">
        <v>15003</v>
      </c>
      <c r="G1825" s="1" t="s">
        <v>8427</v>
      </c>
    </row>
    <row r="1826" spans="1:7">
      <c r="A1826" s="1">
        <v>1825</v>
      </c>
      <c r="B1826" s="1" t="s">
        <v>15474</v>
      </c>
      <c r="D1826" s="1" t="s">
        <v>9403</v>
      </c>
      <c r="E1826" s="1" t="s">
        <v>9410</v>
      </c>
      <c r="F1826" s="1" t="s">
        <v>14985</v>
      </c>
      <c r="G1826" s="1" t="s">
        <v>8411</v>
      </c>
    </row>
    <row r="1827" spans="1:7">
      <c r="A1827" s="1">
        <v>1826</v>
      </c>
      <c r="B1827" s="1" t="s">
        <v>15475</v>
      </c>
      <c r="D1827" s="1" t="s">
        <v>9403</v>
      </c>
      <c r="E1827" s="1" t="s">
        <v>9408</v>
      </c>
      <c r="F1827" s="1" t="s">
        <v>14987</v>
      </c>
      <c r="G1827" s="1" t="s">
        <v>8407</v>
      </c>
    </row>
    <row r="1828" spans="1:7">
      <c r="A1828" s="1">
        <v>1827</v>
      </c>
      <c r="B1828" s="1" t="s">
        <v>15476</v>
      </c>
      <c r="D1828" s="1" t="s">
        <v>9403</v>
      </c>
      <c r="E1828" s="1" t="s">
        <v>9412</v>
      </c>
      <c r="F1828" s="1" t="s">
        <v>14989</v>
      </c>
      <c r="G1828" s="1" t="s">
        <v>8415</v>
      </c>
    </row>
    <row r="1829" spans="1:7">
      <c r="A1829" s="1">
        <v>1828</v>
      </c>
      <c r="B1829" s="1" t="s">
        <v>15477</v>
      </c>
      <c r="D1829" s="1" t="s">
        <v>9403</v>
      </c>
      <c r="E1829" s="1" t="s">
        <v>9404</v>
      </c>
      <c r="F1829" s="1" t="s">
        <v>14991</v>
      </c>
      <c r="G1829" s="1" t="s">
        <v>8399</v>
      </c>
    </row>
    <row r="1830" spans="1:7">
      <c r="A1830" s="1">
        <v>1829</v>
      </c>
      <c r="B1830" s="1" t="s">
        <v>15478</v>
      </c>
      <c r="D1830" s="1" t="s">
        <v>9403</v>
      </c>
      <c r="E1830" s="1" t="s">
        <v>9406</v>
      </c>
      <c r="F1830" s="1" t="s">
        <v>14993</v>
      </c>
      <c r="G1830" s="1" t="s">
        <v>8403</v>
      </c>
    </row>
    <row r="1831" spans="1:7">
      <c r="A1831" s="1">
        <v>1830</v>
      </c>
      <c r="B1831" s="1" t="s">
        <v>15479</v>
      </c>
      <c r="D1831" s="1" t="s">
        <v>9403</v>
      </c>
      <c r="E1831" s="1" t="s">
        <v>9422</v>
      </c>
      <c r="F1831" s="1" t="s">
        <v>14995</v>
      </c>
      <c r="G1831" s="1" t="s">
        <v>8435</v>
      </c>
    </row>
    <row r="1832" spans="1:7">
      <c r="A1832" s="1">
        <v>1831</v>
      </c>
      <c r="B1832" s="1" t="s">
        <v>15480</v>
      </c>
      <c r="D1832" s="1" t="s">
        <v>9403</v>
      </c>
      <c r="E1832" s="1" t="s">
        <v>9420</v>
      </c>
      <c r="F1832" s="1" t="s">
        <v>14997</v>
      </c>
      <c r="G1832" s="1" t="s">
        <v>8431</v>
      </c>
    </row>
    <row r="1833" spans="1:7">
      <c r="A1833" s="1">
        <v>1832</v>
      </c>
      <c r="B1833" s="1" t="s">
        <v>15481</v>
      </c>
      <c r="D1833" s="1" t="s">
        <v>9403</v>
      </c>
      <c r="E1833" s="1" t="s">
        <v>9416</v>
      </c>
      <c r="F1833" s="1" t="s">
        <v>14999</v>
      </c>
      <c r="G1833" s="1" t="s">
        <v>8423</v>
      </c>
    </row>
    <row r="1834" spans="1:7">
      <c r="A1834" s="1">
        <v>1833</v>
      </c>
      <c r="B1834" s="1" t="s">
        <v>15482</v>
      </c>
      <c r="D1834" s="1" t="s">
        <v>9403</v>
      </c>
      <c r="E1834" s="1" t="s">
        <v>9414</v>
      </c>
      <c r="F1834" s="1" t="s">
        <v>15001</v>
      </c>
      <c r="G1834" s="1" t="s">
        <v>8419</v>
      </c>
    </row>
    <row r="1835" spans="1:7">
      <c r="A1835" s="1">
        <v>1834</v>
      </c>
      <c r="B1835" s="1" t="s">
        <v>15483</v>
      </c>
      <c r="D1835" s="1" t="s">
        <v>9403</v>
      </c>
      <c r="E1835" s="1" t="s">
        <v>9418</v>
      </c>
      <c r="F1835" s="1" t="s">
        <v>15003</v>
      </c>
      <c r="G1835" s="1" t="s">
        <v>8427</v>
      </c>
    </row>
    <row r="1836" spans="1:7">
      <c r="A1836" s="1">
        <v>1835</v>
      </c>
      <c r="B1836" s="1" t="s">
        <v>15484</v>
      </c>
      <c r="D1836" s="1" t="s">
        <v>9424</v>
      </c>
      <c r="E1836" s="1" t="s">
        <v>9431</v>
      </c>
      <c r="F1836" s="1" t="s">
        <v>14985</v>
      </c>
      <c r="G1836" s="1" t="s">
        <v>8411</v>
      </c>
    </row>
    <row r="1837" spans="1:7">
      <c r="A1837" s="1">
        <v>1836</v>
      </c>
      <c r="B1837" s="1" t="s">
        <v>15485</v>
      </c>
      <c r="D1837" s="1" t="s">
        <v>9424</v>
      </c>
      <c r="E1837" s="1" t="s">
        <v>9429</v>
      </c>
      <c r="F1837" s="1" t="s">
        <v>14987</v>
      </c>
      <c r="G1837" s="1" t="s">
        <v>8407</v>
      </c>
    </row>
    <row r="1838" spans="1:7">
      <c r="A1838" s="1">
        <v>1837</v>
      </c>
      <c r="B1838" s="1" t="s">
        <v>15486</v>
      </c>
      <c r="D1838" s="1" t="s">
        <v>9424</v>
      </c>
      <c r="E1838" s="1" t="s">
        <v>9433</v>
      </c>
      <c r="F1838" s="1" t="s">
        <v>14989</v>
      </c>
      <c r="G1838" s="1" t="s">
        <v>8415</v>
      </c>
    </row>
    <row r="1839" spans="1:7">
      <c r="A1839" s="1">
        <v>1838</v>
      </c>
      <c r="B1839" s="1" t="s">
        <v>15487</v>
      </c>
      <c r="D1839" s="1" t="s">
        <v>9424</v>
      </c>
      <c r="E1839" s="1" t="s">
        <v>9425</v>
      </c>
      <c r="F1839" s="1" t="s">
        <v>14991</v>
      </c>
      <c r="G1839" s="1" t="s">
        <v>8399</v>
      </c>
    </row>
    <row r="1840" spans="1:7">
      <c r="A1840" s="1">
        <v>1839</v>
      </c>
      <c r="B1840" s="1" t="s">
        <v>15488</v>
      </c>
      <c r="D1840" s="1" t="s">
        <v>9424</v>
      </c>
      <c r="E1840" s="1" t="s">
        <v>9427</v>
      </c>
      <c r="F1840" s="1" t="s">
        <v>14993</v>
      </c>
      <c r="G1840" s="1" t="s">
        <v>8403</v>
      </c>
    </row>
    <row r="1841" spans="1:7">
      <c r="A1841" s="1">
        <v>1840</v>
      </c>
      <c r="B1841" s="1" t="s">
        <v>15489</v>
      </c>
      <c r="D1841" s="1" t="s">
        <v>9424</v>
      </c>
      <c r="E1841" s="1" t="s">
        <v>9443</v>
      </c>
      <c r="F1841" s="1" t="s">
        <v>14995</v>
      </c>
      <c r="G1841" s="1" t="s">
        <v>8435</v>
      </c>
    </row>
    <row r="1842" spans="1:7">
      <c r="A1842" s="1">
        <v>1841</v>
      </c>
      <c r="B1842" s="1" t="s">
        <v>15490</v>
      </c>
      <c r="D1842" s="1" t="s">
        <v>9424</v>
      </c>
      <c r="E1842" s="1" t="s">
        <v>9441</v>
      </c>
      <c r="F1842" s="1" t="s">
        <v>14997</v>
      </c>
      <c r="G1842" s="1" t="s">
        <v>8431</v>
      </c>
    </row>
    <row r="1843" spans="1:7">
      <c r="A1843" s="1">
        <v>1842</v>
      </c>
      <c r="B1843" s="1" t="s">
        <v>15491</v>
      </c>
      <c r="D1843" s="1" t="s">
        <v>9424</v>
      </c>
      <c r="E1843" s="1" t="s">
        <v>9437</v>
      </c>
      <c r="F1843" s="1" t="s">
        <v>14999</v>
      </c>
      <c r="G1843" s="1" t="s">
        <v>8423</v>
      </c>
    </row>
    <row r="1844" spans="1:7">
      <c r="A1844" s="1">
        <v>1843</v>
      </c>
      <c r="B1844" s="1" t="s">
        <v>15492</v>
      </c>
      <c r="D1844" s="1" t="s">
        <v>9424</v>
      </c>
      <c r="E1844" s="1" t="s">
        <v>9435</v>
      </c>
      <c r="F1844" s="1" t="s">
        <v>15001</v>
      </c>
      <c r="G1844" s="1" t="s">
        <v>8419</v>
      </c>
    </row>
    <row r="1845" spans="1:7">
      <c r="A1845" s="1">
        <v>1844</v>
      </c>
      <c r="B1845" s="1" t="s">
        <v>15493</v>
      </c>
      <c r="D1845" s="1" t="s">
        <v>9424</v>
      </c>
      <c r="E1845" s="1" t="s">
        <v>9439</v>
      </c>
      <c r="F1845" s="1" t="s">
        <v>15003</v>
      </c>
      <c r="G1845" s="1" t="s">
        <v>8427</v>
      </c>
    </row>
    <row r="1846" spans="1:7">
      <c r="A1846" s="1">
        <v>1845</v>
      </c>
      <c r="B1846" s="1" t="s">
        <v>15494</v>
      </c>
      <c r="D1846" s="1" t="s">
        <v>9445</v>
      </c>
      <c r="E1846" s="1" t="s">
        <v>9452</v>
      </c>
      <c r="F1846" s="1" t="s">
        <v>14985</v>
      </c>
      <c r="G1846" s="1" t="s">
        <v>8411</v>
      </c>
    </row>
    <row r="1847" spans="1:7">
      <c r="A1847" s="1">
        <v>1846</v>
      </c>
      <c r="B1847" s="1" t="s">
        <v>15495</v>
      </c>
      <c r="D1847" s="1" t="s">
        <v>9445</v>
      </c>
      <c r="E1847" s="1" t="s">
        <v>9450</v>
      </c>
      <c r="F1847" s="1" t="s">
        <v>14987</v>
      </c>
      <c r="G1847" s="1" t="s">
        <v>8407</v>
      </c>
    </row>
    <row r="1848" spans="1:7">
      <c r="A1848" s="1">
        <v>1847</v>
      </c>
      <c r="B1848" s="1" t="s">
        <v>15496</v>
      </c>
      <c r="D1848" s="1" t="s">
        <v>9445</v>
      </c>
      <c r="E1848" s="1" t="s">
        <v>9454</v>
      </c>
      <c r="F1848" s="1" t="s">
        <v>14989</v>
      </c>
      <c r="G1848" s="1" t="s">
        <v>8415</v>
      </c>
    </row>
    <row r="1849" spans="1:7">
      <c r="A1849" s="1">
        <v>1848</v>
      </c>
      <c r="B1849" s="1" t="s">
        <v>15497</v>
      </c>
      <c r="D1849" s="1" t="s">
        <v>9445</v>
      </c>
      <c r="E1849" s="1" t="s">
        <v>9446</v>
      </c>
      <c r="F1849" s="1" t="s">
        <v>14991</v>
      </c>
      <c r="G1849" s="1" t="s">
        <v>8399</v>
      </c>
    </row>
    <row r="1850" spans="1:7">
      <c r="A1850" s="1">
        <v>1849</v>
      </c>
      <c r="B1850" s="1" t="s">
        <v>15498</v>
      </c>
      <c r="D1850" s="1" t="s">
        <v>9445</v>
      </c>
      <c r="E1850" s="1" t="s">
        <v>9448</v>
      </c>
      <c r="F1850" s="1" t="s">
        <v>14993</v>
      </c>
      <c r="G1850" s="1" t="s">
        <v>8403</v>
      </c>
    </row>
    <row r="1851" spans="1:7">
      <c r="A1851" s="1">
        <v>1850</v>
      </c>
      <c r="B1851" s="1" t="s">
        <v>15499</v>
      </c>
      <c r="D1851" s="1" t="s">
        <v>9445</v>
      </c>
      <c r="E1851" s="1" t="s">
        <v>9464</v>
      </c>
      <c r="F1851" s="1" t="s">
        <v>14995</v>
      </c>
      <c r="G1851" s="1" t="s">
        <v>8435</v>
      </c>
    </row>
    <row r="1852" spans="1:7">
      <c r="A1852" s="1">
        <v>1851</v>
      </c>
      <c r="B1852" s="1" t="s">
        <v>15500</v>
      </c>
      <c r="D1852" s="1" t="s">
        <v>9445</v>
      </c>
      <c r="E1852" s="1" t="s">
        <v>9462</v>
      </c>
      <c r="F1852" s="1" t="s">
        <v>14997</v>
      </c>
      <c r="G1852" s="1" t="s">
        <v>8431</v>
      </c>
    </row>
    <row r="1853" spans="1:7">
      <c r="A1853" s="1">
        <v>1852</v>
      </c>
      <c r="B1853" s="1" t="s">
        <v>15501</v>
      </c>
      <c r="D1853" s="1" t="s">
        <v>9445</v>
      </c>
      <c r="E1853" s="1" t="s">
        <v>9458</v>
      </c>
      <c r="F1853" s="1" t="s">
        <v>14999</v>
      </c>
      <c r="G1853" s="1" t="s">
        <v>8423</v>
      </c>
    </row>
    <row r="1854" spans="1:7">
      <c r="A1854" s="1">
        <v>1853</v>
      </c>
      <c r="B1854" s="1" t="s">
        <v>15502</v>
      </c>
      <c r="D1854" s="1" t="s">
        <v>9445</v>
      </c>
      <c r="E1854" s="1" t="s">
        <v>9456</v>
      </c>
      <c r="F1854" s="1" t="s">
        <v>15001</v>
      </c>
      <c r="G1854" s="1" t="s">
        <v>8419</v>
      </c>
    </row>
    <row r="1855" spans="1:7">
      <c r="A1855" s="1">
        <v>1854</v>
      </c>
      <c r="B1855" s="1" t="s">
        <v>15503</v>
      </c>
      <c r="D1855" s="1" t="s">
        <v>9445</v>
      </c>
      <c r="E1855" s="1" t="s">
        <v>9460</v>
      </c>
      <c r="F1855" s="1" t="s">
        <v>15003</v>
      </c>
      <c r="G1855" s="1" t="s">
        <v>8427</v>
      </c>
    </row>
    <row r="1856" spans="1:7">
      <c r="A1856" s="1">
        <v>1855</v>
      </c>
      <c r="B1856" s="1" t="s">
        <v>15504</v>
      </c>
      <c r="D1856" s="1" t="s">
        <v>9466</v>
      </c>
      <c r="E1856" s="1" t="s">
        <v>9473</v>
      </c>
      <c r="F1856" s="1" t="s">
        <v>14985</v>
      </c>
      <c r="G1856" s="1" t="s">
        <v>8411</v>
      </c>
    </row>
    <row r="1857" spans="1:7">
      <c r="A1857" s="1">
        <v>1856</v>
      </c>
      <c r="B1857" s="1" t="s">
        <v>15505</v>
      </c>
      <c r="D1857" s="1" t="s">
        <v>9466</v>
      </c>
      <c r="E1857" s="1" t="s">
        <v>9471</v>
      </c>
      <c r="F1857" s="1" t="s">
        <v>14987</v>
      </c>
      <c r="G1857" s="1" t="s">
        <v>8407</v>
      </c>
    </row>
    <row r="1858" spans="1:7">
      <c r="A1858" s="1">
        <v>1857</v>
      </c>
      <c r="B1858" s="1" t="s">
        <v>15506</v>
      </c>
      <c r="D1858" s="1" t="s">
        <v>9466</v>
      </c>
      <c r="E1858" s="1" t="s">
        <v>9475</v>
      </c>
      <c r="F1858" s="1" t="s">
        <v>14989</v>
      </c>
      <c r="G1858" s="1" t="s">
        <v>8415</v>
      </c>
    </row>
    <row r="1859" spans="1:7">
      <c r="A1859" s="1">
        <v>1858</v>
      </c>
      <c r="B1859" s="1" t="s">
        <v>15507</v>
      </c>
      <c r="D1859" s="1" t="s">
        <v>9466</v>
      </c>
      <c r="E1859" s="1" t="s">
        <v>9467</v>
      </c>
      <c r="F1859" s="1" t="s">
        <v>14991</v>
      </c>
      <c r="G1859" s="1" t="s">
        <v>8399</v>
      </c>
    </row>
    <row r="1860" spans="1:7">
      <c r="A1860" s="1">
        <v>1859</v>
      </c>
      <c r="B1860" s="1" t="s">
        <v>15508</v>
      </c>
      <c r="D1860" s="1" t="s">
        <v>9466</v>
      </c>
      <c r="E1860" s="1" t="s">
        <v>9469</v>
      </c>
      <c r="F1860" s="1" t="s">
        <v>14993</v>
      </c>
      <c r="G1860" s="1" t="s">
        <v>8403</v>
      </c>
    </row>
    <row r="1861" spans="1:7">
      <c r="A1861" s="1">
        <v>1860</v>
      </c>
      <c r="B1861" s="1" t="s">
        <v>15509</v>
      </c>
      <c r="D1861" s="1" t="s">
        <v>9466</v>
      </c>
      <c r="E1861" s="1" t="s">
        <v>9485</v>
      </c>
      <c r="F1861" s="1" t="s">
        <v>14995</v>
      </c>
      <c r="G1861" s="1" t="s">
        <v>8435</v>
      </c>
    </row>
    <row r="1862" spans="1:7">
      <c r="A1862" s="1">
        <v>1861</v>
      </c>
      <c r="B1862" s="1" t="s">
        <v>15510</v>
      </c>
      <c r="D1862" s="1" t="s">
        <v>9466</v>
      </c>
      <c r="E1862" s="1" t="s">
        <v>9483</v>
      </c>
      <c r="F1862" s="1" t="s">
        <v>14997</v>
      </c>
      <c r="G1862" s="1" t="s">
        <v>8431</v>
      </c>
    </row>
    <row r="1863" spans="1:7">
      <c r="A1863" s="1">
        <v>1862</v>
      </c>
      <c r="B1863" s="1" t="s">
        <v>15511</v>
      </c>
      <c r="D1863" s="1" t="s">
        <v>9466</v>
      </c>
      <c r="E1863" s="1" t="s">
        <v>9479</v>
      </c>
      <c r="F1863" s="1" t="s">
        <v>14999</v>
      </c>
      <c r="G1863" s="1" t="s">
        <v>8423</v>
      </c>
    </row>
    <row r="1864" spans="1:7">
      <c r="A1864" s="1">
        <v>1863</v>
      </c>
      <c r="B1864" s="1" t="s">
        <v>15512</v>
      </c>
      <c r="D1864" s="1" t="s">
        <v>9466</v>
      </c>
      <c r="E1864" s="1" t="s">
        <v>9477</v>
      </c>
      <c r="F1864" s="1" t="s">
        <v>15001</v>
      </c>
      <c r="G1864" s="1" t="s">
        <v>8419</v>
      </c>
    </row>
    <row r="1865" spans="1:7">
      <c r="A1865" s="1">
        <v>1864</v>
      </c>
      <c r="B1865" s="1" t="s">
        <v>15513</v>
      </c>
      <c r="D1865" s="1" t="s">
        <v>9466</v>
      </c>
      <c r="E1865" s="1" t="s">
        <v>9481</v>
      </c>
      <c r="F1865" s="1" t="s">
        <v>15003</v>
      </c>
      <c r="G1865" s="1" t="s">
        <v>8427</v>
      </c>
    </row>
    <row r="1866" spans="1:7">
      <c r="A1866" s="1">
        <v>1865</v>
      </c>
      <c r="B1866" s="1" t="s">
        <v>15514</v>
      </c>
      <c r="D1866" s="1" t="s">
        <v>9487</v>
      </c>
      <c r="E1866" s="1" t="s">
        <v>9494</v>
      </c>
      <c r="F1866" s="1" t="s">
        <v>14985</v>
      </c>
      <c r="G1866" s="1" t="s">
        <v>8411</v>
      </c>
    </row>
    <row r="1867" spans="1:7">
      <c r="A1867" s="1">
        <v>1866</v>
      </c>
      <c r="B1867" s="1" t="s">
        <v>15515</v>
      </c>
      <c r="D1867" s="1" t="s">
        <v>9487</v>
      </c>
      <c r="E1867" s="1" t="s">
        <v>9492</v>
      </c>
      <c r="F1867" s="1" t="s">
        <v>14987</v>
      </c>
      <c r="G1867" s="1" t="s">
        <v>8407</v>
      </c>
    </row>
    <row r="1868" spans="1:7">
      <c r="A1868" s="1">
        <v>1867</v>
      </c>
      <c r="B1868" s="1" t="s">
        <v>15516</v>
      </c>
      <c r="D1868" s="1" t="s">
        <v>9487</v>
      </c>
      <c r="E1868" s="1" t="s">
        <v>9496</v>
      </c>
      <c r="F1868" s="1" t="s">
        <v>14989</v>
      </c>
      <c r="G1868" s="1" t="s">
        <v>8415</v>
      </c>
    </row>
    <row r="1869" spans="1:7">
      <c r="A1869" s="1">
        <v>1868</v>
      </c>
      <c r="B1869" s="1" t="s">
        <v>15517</v>
      </c>
      <c r="D1869" s="1" t="s">
        <v>9487</v>
      </c>
      <c r="E1869" s="1" t="s">
        <v>9488</v>
      </c>
      <c r="F1869" s="1" t="s">
        <v>14991</v>
      </c>
      <c r="G1869" s="1" t="s">
        <v>8399</v>
      </c>
    </row>
    <row r="1870" spans="1:7">
      <c r="A1870" s="1">
        <v>1869</v>
      </c>
      <c r="B1870" s="1" t="s">
        <v>15518</v>
      </c>
      <c r="D1870" s="1" t="s">
        <v>9487</v>
      </c>
      <c r="E1870" s="1" t="s">
        <v>9490</v>
      </c>
      <c r="F1870" s="1" t="s">
        <v>14993</v>
      </c>
      <c r="G1870" s="1" t="s">
        <v>8403</v>
      </c>
    </row>
    <row r="1871" spans="1:7">
      <c r="A1871" s="1">
        <v>1870</v>
      </c>
      <c r="B1871" s="1" t="s">
        <v>15519</v>
      </c>
      <c r="D1871" s="1" t="s">
        <v>9487</v>
      </c>
      <c r="E1871" s="1" t="s">
        <v>9506</v>
      </c>
      <c r="F1871" s="1" t="s">
        <v>14995</v>
      </c>
      <c r="G1871" s="1" t="s">
        <v>8435</v>
      </c>
    </row>
    <row r="1872" spans="1:7">
      <c r="A1872" s="1">
        <v>1871</v>
      </c>
      <c r="B1872" s="1" t="s">
        <v>15520</v>
      </c>
      <c r="D1872" s="1" t="s">
        <v>9487</v>
      </c>
      <c r="E1872" s="1" t="s">
        <v>9504</v>
      </c>
      <c r="F1872" s="1" t="s">
        <v>14997</v>
      </c>
      <c r="G1872" s="1" t="s">
        <v>8431</v>
      </c>
    </row>
    <row r="1873" spans="1:7">
      <c r="A1873" s="1">
        <v>1872</v>
      </c>
      <c r="B1873" s="1" t="s">
        <v>15521</v>
      </c>
      <c r="D1873" s="1" t="s">
        <v>9487</v>
      </c>
      <c r="E1873" s="1" t="s">
        <v>9500</v>
      </c>
      <c r="F1873" s="1" t="s">
        <v>14999</v>
      </c>
      <c r="G1873" s="1" t="s">
        <v>8423</v>
      </c>
    </row>
    <row r="1874" spans="1:7">
      <c r="A1874" s="1">
        <v>1873</v>
      </c>
      <c r="B1874" s="1" t="s">
        <v>15522</v>
      </c>
      <c r="D1874" s="1" t="s">
        <v>9487</v>
      </c>
      <c r="E1874" s="1" t="s">
        <v>9498</v>
      </c>
      <c r="F1874" s="1" t="s">
        <v>15001</v>
      </c>
      <c r="G1874" s="1" t="s">
        <v>8419</v>
      </c>
    </row>
    <row r="1875" spans="1:7">
      <c r="A1875" s="1">
        <v>1874</v>
      </c>
      <c r="B1875" s="1" t="s">
        <v>15523</v>
      </c>
      <c r="D1875" s="1" t="s">
        <v>9487</v>
      </c>
      <c r="E1875" s="1" t="s">
        <v>9502</v>
      </c>
      <c r="F1875" s="1" t="s">
        <v>15003</v>
      </c>
      <c r="G1875" s="1" t="s">
        <v>8427</v>
      </c>
    </row>
    <row r="1876" spans="1:7">
      <c r="A1876" s="1">
        <v>1875</v>
      </c>
      <c r="B1876" s="1" t="s">
        <v>15524</v>
      </c>
      <c r="D1876" s="1" t="s">
        <v>9508</v>
      </c>
      <c r="E1876" s="1" t="s">
        <v>9515</v>
      </c>
      <c r="F1876" s="1" t="s">
        <v>14985</v>
      </c>
      <c r="G1876" s="1" t="s">
        <v>8411</v>
      </c>
    </row>
    <row r="1877" spans="1:7">
      <c r="A1877" s="1">
        <v>1876</v>
      </c>
      <c r="B1877" s="1" t="s">
        <v>15525</v>
      </c>
      <c r="D1877" s="1" t="s">
        <v>9508</v>
      </c>
      <c r="E1877" s="1" t="s">
        <v>9513</v>
      </c>
      <c r="F1877" s="1" t="s">
        <v>14987</v>
      </c>
      <c r="G1877" s="1" t="s">
        <v>8407</v>
      </c>
    </row>
    <row r="1878" spans="1:7">
      <c r="A1878" s="1">
        <v>1877</v>
      </c>
      <c r="B1878" s="1" t="s">
        <v>15526</v>
      </c>
      <c r="D1878" s="1" t="s">
        <v>9508</v>
      </c>
      <c r="E1878" s="1" t="s">
        <v>9517</v>
      </c>
      <c r="F1878" s="1" t="s">
        <v>14989</v>
      </c>
      <c r="G1878" s="1" t="s">
        <v>8415</v>
      </c>
    </row>
    <row r="1879" spans="1:7">
      <c r="A1879" s="1">
        <v>1878</v>
      </c>
      <c r="B1879" s="1" t="s">
        <v>15527</v>
      </c>
      <c r="D1879" s="1" t="s">
        <v>9508</v>
      </c>
      <c r="E1879" s="1" t="s">
        <v>9509</v>
      </c>
      <c r="F1879" s="1" t="s">
        <v>14991</v>
      </c>
      <c r="G1879" s="1" t="s">
        <v>8399</v>
      </c>
    </row>
    <row r="1880" spans="1:7">
      <c r="A1880" s="1">
        <v>1879</v>
      </c>
      <c r="B1880" s="1" t="s">
        <v>15528</v>
      </c>
      <c r="D1880" s="1" t="s">
        <v>9508</v>
      </c>
      <c r="E1880" s="1" t="s">
        <v>9511</v>
      </c>
      <c r="F1880" s="1" t="s">
        <v>14993</v>
      </c>
      <c r="G1880" s="1" t="s">
        <v>8403</v>
      </c>
    </row>
    <row r="1881" spans="1:7">
      <c r="A1881" s="1">
        <v>1880</v>
      </c>
      <c r="B1881" s="1" t="s">
        <v>15529</v>
      </c>
      <c r="D1881" s="1" t="s">
        <v>9508</v>
      </c>
      <c r="E1881" s="1" t="s">
        <v>9527</v>
      </c>
      <c r="F1881" s="1" t="s">
        <v>14995</v>
      </c>
      <c r="G1881" s="1" t="s">
        <v>8435</v>
      </c>
    </row>
    <row r="1882" spans="1:7">
      <c r="A1882" s="1">
        <v>1881</v>
      </c>
      <c r="B1882" s="1" t="s">
        <v>15530</v>
      </c>
      <c r="D1882" s="1" t="s">
        <v>9508</v>
      </c>
      <c r="E1882" s="1" t="s">
        <v>9525</v>
      </c>
      <c r="F1882" s="1" t="s">
        <v>14997</v>
      </c>
      <c r="G1882" s="1" t="s">
        <v>8431</v>
      </c>
    </row>
    <row r="1883" spans="1:7">
      <c r="A1883" s="1">
        <v>1882</v>
      </c>
      <c r="B1883" s="1" t="s">
        <v>15531</v>
      </c>
      <c r="D1883" s="1" t="s">
        <v>9508</v>
      </c>
      <c r="E1883" s="1" t="s">
        <v>9521</v>
      </c>
      <c r="F1883" s="1" t="s">
        <v>14999</v>
      </c>
      <c r="G1883" s="1" t="s">
        <v>8423</v>
      </c>
    </row>
    <row r="1884" spans="1:7">
      <c r="A1884" s="1">
        <v>1883</v>
      </c>
      <c r="B1884" s="1" t="s">
        <v>15532</v>
      </c>
      <c r="D1884" s="1" t="s">
        <v>9508</v>
      </c>
      <c r="E1884" s="1" t="s">
        <v>9519</v>
      </c>
      <c r="F1884" s="1" t="s">
        <v>15001</v>
      </c>
      <c r="G1884" s="1" t="s">
        <v>8419</v>
      </c>
    </row>
    <row r="1885" spans="1:7">
      <c r="A1885" s="1">
        <v>1884</v>
      </c>
      <c r="B1885" s="1" t="s">
        <v>15533</v>
      </c>
      <c r="D1885" s="1" t="s">
        <v>9508</v>
      </c>
      <c r="E1885" s="1" t="s">
        <v>9523</v>
      </c>
      <c r="F1885" s="1" t="s">
        <v>15003</v>
      </c>
      <c r="G1885" s="1" t="s">
        <v>8427</v>
      </c>
    </row>
    <row r="1886" spans="1:7">
      <c r="A1886" s="1">
        <v>1885</v>
      </c>
      <c r="B1886" s="1" t="s">
        <v>15534</v>
      </c>
      <c r="D1886" s="1" t="s">
        <v>9529</v>
      </c>
      <c r="E1886" s="1" t="s">
        <v>9534</v>
      </c>
      <c r="F1886" s="1" t="s">
        <v>14985</v>
      </c>
      <c r="G1886" s="1" t="s">
        <v>8411</v>
      </c>
    </row>
    <row r="1887" spans="1:7">
      <c r="A1887" s="1">
        <v>1886</v>
      </c>
      <c r="B1887" s="1" t="s">
        <v>15535</v>
      </c>
      <c r="D1887" s="1" t="s">
        <v>9529</v>
      </c>
      <c r="E1887" s="1" t="s">
        <v>9532</v>
      </c>
      <c r="F1887" s="1" t="s">
        <v>14987</v>
      </c>
      <c r="G1887" s="1" t="s">
        <v>8407</v>
      </c>
    </row>
    <row r="1888" spans="1:7">
      <c r="A1888" s="1">
        <v>1887</v>
      </c>
      <c r="B1888" s="1" t="s">
        <v>15536</v>
      </c>
      <c r="D1888" s="1" t="s">
        <v>9529</v>
      </c>
      <c r="E1888" s="1" t="s">
        <v>9536</v>
      </c>
      <c r="F1888" s="1" t="s">
        <v>14989</v>
      </c>
      <c r="G1888" s="1" t="s">
        <v>8415</v>
      </c>
    </row>
    <row r="1889" spans="1:7">
      <c r="A1889" s="1">
        <v>1888</v>
      </c>
      <c r="B1889" s="1" t="s">
        <v>15537</v>
      </c>
      <c r="D1889" s="1" t="s">
        <v>9529</v>
      </c>
      <c r="E1889" s="1" t="s">
        <v>2041</v>
      </c>
      <c r="F1889" s="1" t="s">
        <v>14991</v>
      </c>
      <c r="G1889" s="1" t="s">
        <v>8399</v>
      </c>
    </row>
    <row r="1890" spans="1:7">
      <c r="A1890" s="1">
        <v>1889</v>
      </c>
      <c r="B1890" s="1" t="s">
        <v>15538</v>
      </c>
      <c r="D1890" s="1" t="s">
        <v>9529</v>
      </c>
      <c r="E1890" s="1" t="s">
        <v>2040</v>
      </c>
      <c r="F1890" s="1" t="s">
        <v>14993</v>
      </c>
      <c r="G1890" s="1" t="s">
        <v>8403</v>
      </c>
    </row>
    <row r="1891" spans="1:7">
      <c r="A1891" s="1">
        <v>1890</v>
      </c>
      <c r="B1891" s="1" t="s">
        <v>15539</v>
      </c>
      <c r="D1891" s="1" t="s">
        <v>9529</v>
      </c>
      <c r="E1891" s="1" t="s">
        <v>9545</v>
      </c>
      <c r="F1891" s="1" t="s">
        <v>14995</v>
      </c>
      <c r="G1891" s="1" t="s">
        <v>8435</v>
      </c>
    </row>
    <row r="1892" spans="1:7">
      <c r="A1892" s="1">
        <v>1891</v>
      </c>
      <c r="B1892" s="1" t="s">
        <v>15540</v>
      </c>
      <c r="D1892" s="1" t="s">
        <v>9529</v>
      </c>
      <c r="E1892" s="1" t="s">
        <v>9543</v>
      </c>
      <c r="F1892" s="1" t="s">
        <v>14997</v>
      </c>
      <c r="G1892" s="1" t="s">
        <v>8431</v>
      </c>
    </row>
    <row r="1893" spans="1:7">
      <c r="A1893" s="1">
        <v>1892</v>
      </c>
      <c r="B1893" s="1" t="s">
        <v>15541</v>
      </c>
      <c r="D1893" s="1" t="s">
        <v>9529</v>
      </c>
      <c r="E1893" s="1" t="s">
        <v>2044</v>
      </c>
      <c r="F1893" s="1" t="s">
        <v>14999</v>
      </c>
      <c r="G1893" s="1" t="s">
        <v>8423</v>
      </c>
    </row>
    <row r="1894" spans="1:7">
      <c r="A1894" s="1">
        <v>1893</v>
      </c>
      <c r="B1894" s="1" t="s">
        <v>15542</v>
      </c>
      <c r="D1894" s="1" t="s">
        <v>9529</v>
      </c>
      <c r="E1894" s="1" t="s">
        <v>9538</v>
      </c>
      <c r="F1894" s="1" t="s">
        <v>15001</v>
      </c>
      <c r="G1894" s="1" t="s">
        <v>8419</v>
      </c>
    </row>
    <row r="1895" spans="1:7">
      <c r="A1895" s="1">
        <v>1894</v>
      </c>
      <c r="B1895" s="1" t="s">
        <v>15543</v>
      </c>
      <c r="D1895" s="1" t="s">
        <v>9529</v>
      </c>
      <c r="E1895" s="1" t="s">
        <v>9541</v>
      </c>
      <c r="F1895" s="1" t="s">
        <v>15003</v>
      </c>
      <c r="G1895" s="1" t="s">
        <v>8427</v>
      </c>
    </row>
    <row r="1896" spans="1:7">
      <c r="A1896" s="1">
        <v>1895</v>
      </c>
      <c r="B1896" s="1" t="s">
        <v>15544</v>
      </c>
      <c r="D1896" s="1" t="s">
        <v>9547</v>
      </c>
      <c r="E1896" s="1" t="s">
        <v>3605</v>
      </c>
      <c r="F1896" s="1" t="s">
        <v>9548</v>
      </c>
      <c r="G1896" s="1" t="s">
        <v>9549</v>
      </c>
    </row>
    <row r="1897" spans="1:7">
      <c r="A1897" s="1">
        <v>1896</v>
      </c>
      <c r="B1897" s="1" t="s">
        <v>15545</v>
      </c>
      <c r="D1897" s="1" t="s">
        <v>9547</v>
      </c>
      <c r="E1897" s="1" t="s">
        <v>3606</v>
      </c>
      <c r="F1897" s="1" t="s">
        <v>9551</v>
      </c>
      <c r="G1897" s="1" t="s">
        <v>9552</v>
      </c>
    </row>
    <row r="1898" spans="1:7">
      <c r="A1898" s="1">
        <v>1897</v>
      </c>
      <c r="B1898" s="1" t="s">
        <v>15546</v>
      </c>
      <c r="D1898" s="1" t="s">
        <v>9547</v>
      </c>
      <c r="E1898" s="1" t="s">
        <v>3607</v>
      </c>
      <c r="F1898" s="1" t="s">
        <v>9554</v>
      </c>
      <c r="G1898" s="1" t="s">
        <v>9555</v>
      </c>
    </row>
    <row r="1899" spans="1:7">
      <c r="A1899" s="1">
        <v>1898</v>
      </c>
      <c r="B1899" s="1" t="s">
        <v>15547</v>
      </c>
      <c r="D1899" s="1" t="s">
        <v>9547</v>
      </c>
      <c r="E1899" s="1" t="s">
        <v>3608</v>
      </c>
      <c r="F1899" s="1" t="s">
        <v>1373</v>
      </c>
      <c r="G1899" s="1" t="s">
        <v>1374</v>
      </c>
    </row>
    <row r="1900" spans="1:7">
      <c r="A1900" s="1">
        <v>1899</v>
      </c>
      <c r="B1900" s="1" t="s">
        <v>15548</v>
      </c>
      <c r="D1900" s="1" t="s">
        <v>9547</v>
      </c>
      <c r="E1900" s="1" t="s">
        <v>9562</v>
      </c>
      <c r="F1900" s="1" t="s">
        <v>9563</v>
      </c>
      <c r="G1900" s="1" t="s">
        <v>9564</v>
      </c>
    </row>
    <row r="1901" spans="1:7">
      <c r="A1901" s="1">
        <v>1900</v>
      </c>
      <c r="B1901" s="1" t="s">
        <v>15549</v>
      </c>
      <c r="D1901" s="1" t="s">
        <v>9547</v>
      </c>
      <c r="E1901" s="1" t="s">
        <v>3609</v>
      </c>
      <c r="F1901" s="1" t="s">
        <v>9566</v>
      </c>
      <c r="G1901" s="1" t="s">
        <v>9567</v>
      </c>
    </row>
    <row r="1902" spans="1:7">
      <c r="A1902" s="1">
        <v>1901</v>
      </c>
      <c r="B1902" s="1" t="s">
        <v>15550</v>
      </c>
      <c r="D1902" s="1" t="s">
        <v>9547</v>
      </c>
      <c r="E1902" s="1" t="s">
        <v>9557</v>
      </c>
      <c r="F1902" s="1" t="s">
        <v>9558</v>
      </c>
      <c r="G1902" s="1" t="s">
        <v>9559</v>
      </c>
    </row>
    <row r="1903" spans="1:7">
      <c r="A1903" s="1">
        <v>1902</v>
      </c>
      <c r="B1903" s="1" t="s">
        <v>15551</v>
      </c>
      <c r="D1903" s="1" t="s">
        <v>9569</v>
      </c>
      <c r="E1903" s="1" t="s">
        <v>9570</v>
      </c>
      <c r="F1903" s="1" t="s">
        <v>15552</v>
      </c>
      <c r="G1903" s="1" t="s">
        <v>15553</v>
      </c>
    </row>
    <row r="1904" spans="1:7">
      <c r="A1904" s="1">
        <v>1903</v>
      </c>
      <c r="B1904" s="1" t="s">
        <v>15554</v>
      </c>
      <c r="D1904" s="1" t="s">
        <v>9569</v>
      </c>
      <c r="E1904" s="1" t="s">
        <v>9574</v>
      </c>
      <c r="F1904" s="1" t="s">
        <v>15555</v>
      </c>
      <c r="G1904" s="1" t="s">
        <v>15556</v>
      </c>
    </row>
    <row r="1905" spans="1:7">
      <c r="A1905" s="1">
        <v>1904</v>
      </c>
      <c r="B1905" s="1" t="s">
        <v>15557</v>
      </c>
      <c r="D1905" s="1" t="s">
        <v>9569</v>
      </c>
      <c r="E1905" s="1" t="s">
        <v>9578</v>
      </c>
      <c r="F1905" s="1" t="s">
        <v>15558</v>
      </c>
      <c r="G1905" s="1" t="s">
        <v>15559</v>
      </c>
    </row>
    <row r="1906" spans="1:7">
      <c r="A1906" s="1">
        <v>1905</v>
      </c>
      <c r="B1906" s="1" t="s">
        <v>15560</v>
      </c>
      <c r="D1906" s="1" t="s">
        <v>9569</v>
      </c>
      <c r="E1906" s="1" t="s">
        <v>9586</v>
      </c>
      <c r="F1906" s="1" t="s">
        <v>15561</v>
      </c>
      <c r="G1906" s="1" t="s">
        <v>15562</v>
      </c>
    </row>
    <row r="1907" spans="1:7">
      <c r="A1907" s="1">
        <v>1906</v>
      </c>
      <c r="B1907" s="1" t="s">
        <v>15563</v>
      </c>
      <c r="D1907" s="1" t="s">
        <v>9569</v>
      </c>
      <c r="E1907" s="1" t="s">
        <v>9588</v>
      </c>
      <c r="F1907" s="1" t="s">
        <v>15564</v>
      </c>
      <c r="G1907" s="1" t="s">
        <v>15565</v>
      </c>
    </row>
    <row r="1908" spans="1:7">
      <c r="A1908" s="1">
        <v>1907</v>
      </c>
      <c r="B1908" s="1" t="s">
        <v>15566</v>
      </c>
      <c r="D1908" s="1" t="s">
        <v>9569</v>
      </c>
      <c r="E1908" s="1" t="s">
        <v>9592</v>
      </c>
      <c r="F1908" s="1" t="s">
        <v>15567</v>
      </c>
      <c r="G1908" s="1" t="s">
        <v>15568</v>
      </c>
    </row>
    <row r="1909" spans="1:7">
      <c r="A1909" s="1">
        <v>1908</v>
      </c>
      <c r="B1909" s="1" t="s">
        <v>15569</v>
      </c>
      <c r="D1909" s="1" t="s">
        <v>9569</v>
      </c>
      <c r="E1909" s="1" t="s">
        <v>9582</v>
      </c>
      <c r="F1909" s="1" t="s">
        <v>15570</v>
      </c>
      <c r="G1909" s="1" t="s">
        <v>15571</v>
      </c>
    </row>
    <row r="1910" spans="1:7">
      <c r="A1910" s="1">
        <v>1909</v>
      </c>
      <c r="B1910" s="1" t="s">
        <v>15572</v>
      </c>
      <c r="D1910" s="1" t="s">
        <v>9596</v>
      </c>
      <c r="E1910" s="1" t="s">
        <v>2750</v>
      </c>
      <c r="F1910" s="1" t="s">
        <v>15573</v>
      </c>
      <c r="G1910" s="1" t="s">
        <v>15574</v>
      </c>
    </row>
    <row r="1911" spans="1:7">
      <c r="A1911" s="1">
        <v>1910</v>
      </c>
      <c r="B1911" s="1" t="s">
        <v>15575</v>
      </c>
      <c r="D1911" s="1" t="s">
        <v>9596</v>
      </c>
      <c r="E1911" s="1" t="s">
        <v>2752</v>
      </c>
      <c r="F1911" s="1" t="s">
        <v>15576</v>
      </c>
      <c r="G1911" s="1" t="s">
        <v>15577</v>
      </c>
    </row>
    <row r="1912" spans="1:7">
      <c r="A1912" s="1">
        <v>1911</v>
      </c>
      <c r="B1912" s="1" t="s">
        <v>15578</v>
      </c>
      <c r="D1912" s="1" t="s">
        <v>9596</v>
      </c>
      <c r="E1912" s="1" t="s">
        <v>2754</v>
      </c>
      <c r="F1912" s="1" t="s">
        <v>15579</v>
      </c>
      <c r="G1912" s="1" t="s">
        <v>15580</v>
      </c>
    </row>
    <row r="1913" spans="1:7">
      <c r="A1913" s="1">
        <v>1912</v>
      </c>
      <c r="B1913" s="1" t="s">
        <v>15581</v>
      </c>
      <c r="D1913" s="1" t="s">
        <v>9596</v>
      </c>
      <c r="E1913" s="1" t="s">
        <v>2756</v>
      </c>
      <c r="F1913" s="1" t="s">
        <v>15582</v>
      </c>
      <c r="G1913" s="1" t="s">
        <v>15583</v>
      </c>
    </row>
    <row r="1914" spans="1:7">
      <c r="A1914" s="1">
        <v>1913</v>
      </c>
      <c r="B1914" s="1" t="s">
        <v>15584</v>
      </c>
      <c r="D1914" s="1" t="s">
        <v>9596</v>
      </c>
      <c r="E1914" s="1" t="s">
        <v>2758</v>
      </c>
      <c r="F1914" s="1" t="s">
        <v>15585</v>
      </c>
      <c r="G1914" s="1" t="s">
        <v>15586</v>
      </c>
    </row>
    <row r="1915" spans="1:7">
      <c r="A1915" s="1">
        <v>1914</v>
      </c>
      <c r="B1915" s="1" t="s">
        <v>15587</v>
      </c>
      <c r="D1915" s="1" t="s">
        <v>9596</v>
      </c>
      <c r="E1915" s="1" t="s">
        <v>2760</v>
      </c>
      <c r="F1915" s="1" t="s">
        <v>15588</v>
      </c>
      <c r="G1915" s="1" t="s">
        <v>15589</v>
      </c>
    </row>
    <row r="1916" spans="1:7">
      <c r="A1916" s="1">
        <v>1915</v>
      </c>
      <c r="B1916" s="1" t="s">
        <v>15590</v>
      </c>
      <c r="D1916" s="1" t="s">
        <v>9596</v>
      </c>
      <c r="E1916" s="1" t="s">
        <v>2762</v>
      </c>
      <c r="F1916" s="1" t="s">
        <v>15591</v>
      </c>
      <c r="G1916" s="1" t="s">
        <v>15592</v>
      </c>
    </row>
    <row r="1917" spans="1:7">
      <c r="A1917" s="1">
        <v>1916</v>
      </c>
      <c r="B1917" s="1" t="s">
        <v>15593</v>
      </c>
      <c r="D1917" s="1" t="s">
        <v>9596</v>
      </c>
      <c r="E1917" s="1" t="s">
        <v>2764</v>
      </c>
      <c r="F1917" s="1" t="s">
        <v>15594</v>
      </c>
      <c r="G1917" s="1" t="s">
        <v>15595</v>
      </c>
    </row>
    <row r="1918" spans="1:7">
      <c r="A1918" s="1">
        <v>1917</v>
      </c>
      <c r="B1918" s="1" t="s">
        <v>15596</v>
      </c>
      <c r="D1918" s="1" t="s">
        <v>9596</v>
      </c>
      <c r="E1918" s="1" t="s">
        <v>2766</v>
      </c>
      <c r="F1918" s="1" t="s">
        <v>15597</v>
      </c>
      <c r="G1918" s="1" t="s">
        <v>15598</v>
      </c>
    </row>
    <row r="1919" spans="1:7">
      <c r="A1919" s="1">
        <v>1918</v>
      </c>
      <c r="B1919" s="1" t="s">
        <v>15599</v>
      </c>
      <c r="D1919" s="1" t="s">
        <v>9596</v>
      </c>
      <c r="E1919" s="1" t="s">
        <v>2768</v>
      </c>
      <c r="F1919" s="1" t="s">
        <v>15600</v>
      </c>
      <c r="G1919" s="1" t="s">
        <v>15601</v>
      </c>
    </row>
    <row r="1920" spans="1:7">
      <c r="A1920" s="1">
        <v>1919</v>
      </c>
      <c r="B1920" s="1" t="s">
        <v>15602</v>
      </c>
      <c r="D1920" s="1" t="s">
        <v>9596</v>
      </c>
      <c r="E1920" s="1" t="s">
        <v>2770</v>
      </c>
      <c r="F1920" s="1" t="s">
        <v>15603</v>
      </c>
      <c r="G1920" s="1" t="s">
        <v>15604</v>
      </c>
    </row>
    <row r="1921" spans="1:7">
      <c r="A1921" s="1">
        <v>1920</v>
      </c>
      <c r="B1921" s="1" t="s">
        <v>15605</v>
      </c>
      <c r="D1921" s="1" t="s">
        <v>9596</v>
      </c>
      <c r="E1921" s="1" t="s">
        <v>2772</v>
      </c>
      <c r="F1921" s="1" t="s">
        <v>15606</v>
      </c>
      <c r="G1921" s="1" t="s">
        <v>15607</v>
      </c>
    </row>
    <row r="1922" spans="1:7">
      <c r="A1922" s="1">
        <v>1921</v>
      </c>
      <c r="B1922" s="1" t="s">
        <v>15608</v>
      </c>
      <c r="D1922" s="1" t="s">
        <v>9596</v>
      </c>
      <c r="E1922" s="1" t="s">
        <v>2774</v>
      </c>
      <c r="F1922" s="1" t="s">
        <v>15609</v>
      </c>
      <c r="G1922" s="1" t="s">
        <v>15610</v>
      </c>
    </row>
    <row r="1923" spans="1:7">
      <c r="A1923" s="1">
        <v>1922</v>
      </c>
      <c r="B1923" s="1" t="s">
        <v>15611</v>
      </c>
      <c r="D1923" s="1" t="s">
        <v>9596</v>
      </c>
      <c r="E1923" s="1" t="s">
        <v>2776</v>
      </c>
      <c r="F1923" s="1" t="s">
        <v>15612</v>
      </c>
      <c r="G1923" s="1" t="s">
        <v>15613</v>
      </c>
    </row>
    <row r="1924" spans="1:7">
      <c r="A1924" s="1">
        <v>1923</v>
      </c>
      <c r="B1924" s="1" t="s">
        <v>15614</v>
      </c>
      <c r="D1924" s="1" t="s">
        <v>9596</v>
      </c>
      <c r="E1924" s="1" t="s">
        <v>2778</v>
      </c>
      <c r="F1924" s="1" t="s">
        <v>15615</v>
      </c>
      <c r="G1924" s="1" t="s">
        <v>15616</v>
      </c>
    </row>
    <row r="1925" spans="1:7">
      <c r="A1925" s="1">
        <v>1924</v>
      </c>
      <c r="B1925" s="1" t="s">
        <v>15617</v>
      </c>
      <c r="D1925" s="1" t="s">
        <v>9596</v>
      </c>
      <c r="E1925" s="1" t="s">
        <v>2780</v>
      </c>
      <c r="F1925" s="1" t="s">
        <v>15618</v>
      </c>
      <c r="G1925" s="1" t="s">
        <v>15619</v>
      </c>
    </row>
    <row r="1926" spans="1:7">
      <c r="A1926" s="1">
        <v>1925</v>
      </c>
      <c r="B1926" s="1" t="s">
        <v>15620</v>
      </c>
      <c r="D1926" s="1" t="s">
        <v>9596</v>
      </c>
      <c r="E1926" s="1" t="s">
        <v>2782</v>
      </c>
      <c r="F1926" s="1" t="s">
        <v>15621</v>
      </c>
      <c r="G1926" s="1" t="s">
        <v>15622</v>
      </c>
    </row>
    <row r="1927" spans="1:7">
      <c r="A1927" s="1">
        <v>1926</v>
      </c>
      <c r="B1927" s="1" t="s">
        <v>15623</v>
      </c>
      <c r="D1927" s="1" t="s">
        <v>9596</v>
      </c>
      <c r="E1927" s="1" t="s">
        <v>2784</v>
      </c>
      <c r="F1927" s="1" t="s">
        <v>15624</v>
      </c>
      <c r="G1927" s="1" t="s">
        <v>15625</v>
      </c>
    </row>
    <row r="1928" spans="1:7">
      <c r="A1928" s="1">
        <v>1927</v>
      </c>
      <c r="B1928" s="1" t="s">
        <v>15626</v>
      </c>
      <c r="D1928" s="1" t="s">
        <v>9596</v>
      </c>
      <c r="E1928" s="1" t="s">
        <v>2786</v>
      </c>
      <c r="F1928" s="1" t="s">
        <v>15627</v>
      </c>
      <c r="G1928" s="1" t="s">
        <v>15628</v>
      </c>
    </row>
    <row r="1929" spans="1:7">
      <c r="A1929" s="1">
        <v>1928</v>
      </c>
      <c r="B1929" s="1" t="s">
        <v>15629</v>
      </c>
      <c r="D1929" s="1" t="s">
        <v>9596</v>
      </c>
      <c r="E1929" s="1" t="s">
        <v>2788</v>
      </c>
      <c r="F1929" s="1" t="s">
        <v>15630</v>
      </c>
      <c r="G1929" s="1" t="s">
        <v>15631</v>
      </c>
    </row>
    <row r="1930" spans="1:7">
      <c r="A1930" s="1">
        <v>1929</v>
      </c>
      <c r="B1930" s="1" t="s">
        <v>15632</v>
      </c>
      <c r="D1930" s="1" t="s">
        <v>9596</v>
      </c>
      <c r="E1930" s="1" t="s">
        <v>2790</v>
      </c>
      <c r="F1930" s="1" t="s">
        <v>15633</v>
      </c>
      <c r="G1930" s="1" t="s">
        <v>15634</v>
      </c>
    </row>
    <row r="1931" spans="1:7">
      <c r="A1931" s="1">
        <v>1930</v>
      </c>
      <c r="B1931" s="1" t="s">
        <v>15635</v>
      </c>
      <c r="D1931" s="1" t="s">
        <v>9596</v>
      </c>
      <c r="E1931" s="1" t="s">
        <v>2792</v>
      </c>
      <c r="F1931" s="1" t="s">
        <v>15636</v>
      </c>
      <c r="G1931" s="1" t="s">
        <v>15637</v>
      </c>
    </row>
    <row r="1932" spans="1:7">
      <c r="A1932" s="1">
        <v>1931</v>
      </c>
      <c r="B1932" s="1" t="s">
        <v>15638</v>
      </c>
      <c r="D1932" s="1" t="s">
        <v>9596</v>
      </c>
      <c r="E1932" s="1" t="s">
        <v>2794</v>
      </c>
      <c r="F1932" s="1" t="s">
        <v>15639</v>
      </c>
      <c r="G1932" s="1" t="s">
        <v>15640</v>
      </c>
    </row>
    <row r="1933" spans="1:7">
      <c r="A1933" s="1">
        <v>1932</v>
      </c>
      <c r="B1933" s="1" t="s">
        <v>15641</v>
      </c>
      <c r="D1933" s="1" t="s">
        <v>9596</v>
      </c>
      <c r="E1933" s="1" t="s">
        <v>2796</v>
      </c>
      <c r="F1933" s="1" t="s">
        <v>15642</v>
      </c>
      <c r="G1933" s="1" t="s">
        <v>15643</v>
      </c>
    </row>
    <row r="1934" spans="1:7">
      <c r="A1934" s="1">
        <v>1933</v>
      </c>
      <c r="B1934" s="1" t="s">
        <v>15644</v>
      </c>
      <c r="D1934" s="1" t="s">
        <v>9596</v>
      </c>
      <c r="E1934" s="1" t="s">
        <v>2798</v>
      </c>
      <c r="F1934" s="1" t="s">
        <v>15645</v>
      </c>
      <c r="G1934" s="1" t="s">
        <v>15646</v>
      </c>
    </row>
    <row r="1935" spans="1:7">
      <c r="A1935" s="1">
        <v>1934</v>
      </c>
      <c r="B1935" s="1" t="s">
        <v>15647</v>
      </c>
      <c r="D1935" s="1" t="s">
        <v>9596</v>
      </c>
      <c r="E1935" s="1" t="s">
        <v>2800</v>
      </c>
      <c r="F1935" s="1" t="s">
        <v>15648</v>
      </c>
      <c r="G1935" s="1" t="s">
        <v>15649</v>
      </c>
    </row>
    <row r="1936" spans="1:7">
      <c r="A1936" s="1">
        <v>1935</v>
      </c>
      <c r="B1936" s="1" t="s">
        <v>15650</v>
      </c>
      <c r="D1936" s="1" t="s">
        <v>9596</v>
      </c>
      <c r="E1936" s="1" t="s">
        <v>2802</v>
      </c>
      <c r="F1936" s="1" t="s">
        <v>15651</v>
      </c>
      <c r="G1936" s="1" t="s">
        <v>15652</v>
      </c>
    </row>
    <row r="1937" spans="1:7">
      <c r="A1937" s="1">
        <v>1936</v>
      </c>
      <c r="B1937" s="1" t="s">
        <v>15653</v>
      </c>
      <c r="D1937" s="1" t="s">
        <v>9596</v>
      </c>
      <c r="E1937" s="1" t="s">
        <v>2804</v>
      </c>
      <c r="F1937" s="1" t="s">
        <v>15654</v>
      </c>
      <c r="G1937" s="1" t="s">
        <v>15655</v>
      </c>
    </row>
    <row r="1938" spans="1:7">
      <c r="A1938" s="1">
        <v>1937</v>
      </c>
      <c r="B1938" s="1" t="s">
        <v>15656</v>
      </c>
      <c r="D1938" s="1" t="s">
        <v>9596</v>
      </c>
      <c r="E1938" s="1" t="s">
        <v>2806</v>
      </c>
      <c r="F1938" s="1" t="s">
        <v>15657</v>
      </c>
      <c r="G1938" s="1" t="s">
        <v>15658</v>
      </c>
    </row>
    <row r="1939" spans="1:7">
      <c r="A1939" s="1">
        <v>1938</v>
      </c>
      <c r="B1939" s="1" t="s">
        <v>15659</v>
      </c>
      <c r="D1939" s="1" t="s">
        <v>9596</v>
      </c>
      <c r="E1939" s="1" t="s">
        <v>2810</v>
      </c>
      <c r="F1939" s="1" t="s">
        <v>15660</v>
      </c>
      <c r="G1939" s="1" t="s">
        <v>15661</v>
      </c>
    </row>
    <row r="1940" spans="1:7">
      <c r="A1940" s="1">
        <v>1939</v>
      </c>
      <c r="B1940" s="1" t="s">
        <v>15662</v>
      </c>
      <c r="D1940" s="1" t="s">
        <v>9596</v>
      </c>
      <c r="E1940" s="1" t="s">
        <v>2812</v>
      </c>
      <c r="F1940" s="1" t="s">
        <v>15663</v>
      </c>
      <c r="G1940" s="1" t="s">
        <v>15664</v>
      </c>
    </row>
    <row r="1941" spans="1:7">
      <c r="A1941" s="1">
        <v>1940</v>
      </c>
      <c r="B1941" s="1" t="s">
        <v>15665</v>
      </c>
      <c r="D1941" s="1" t="s">
        <v>9596</v>
      </c>
      <c r="E1941" s="1" t="s">
        <v>2814</v>
      </c>
      <c r="F1941" s="1" t="s">
        <v>15666</v>
      </c>
      <c r="G1941" s="1" t="s">
        <v>15667</v>
      </c>
    </row>
    <row r="1942" spans="1:7">
      <c r="A1942" s="1">
        <v>1941</v>
      </c>
      <c r="B1942" s="1" t="s">
        <v>15668</v>
      </c>
      <c r="D1942" s="1" t="s">
        <v>9596</v>
      </c>
      <c r="E1942" s="1" t="s">
        <v>2816</v>
      </c>
      <c r="F1942" s="1" t="s">
        <v>15669</v>
      </c>
      <c r="G1942" s="1" t="s">
        <v>15670</v>
      </c>
    </row>
    <row r="1943" spans="1:7">
      <c r="A1943" s="1">
        <v>1942</v>
      </c>
      <c r="B1943" s="1" t="s">
        <v>15671</v>
      </c>
      <c r="D1943" s="1" t="s">
        <v>9596</v>
      </c>
      <c r="E1943" s="1" t="s">
        <v>2818</v>
      </c>
      <c r="F1943" s="1" t="s">
        <v>15672</v>
      </c>
      <c r="G1943" s="1" t="s">
        <v>15673</v>
      </c>
    </row>
    <row r="1944" spans="1:7">
      <c r="A1944" s="1">
        <v>1943</v>
      </c>
      <c r="B1944" s="1" t="s">
        <v>15674</v>
      </c>
      <c r="D1944" s="1" t="s">
        <v>9596</v>
      </c>
      <c r="E1944" s="1" t="s">
        <v>2820</v>
      </c>
      <c r="F1944" s="1" t="s">
        <v>15675</v>
      </c>
      <c r="G1944" s="1" t="s">
        <v>15676</v>
      </c>
    </row>
    <row r="1945" spans="1:7">
      <c r="A1945" s="1">
        <v>1944</v>
      </c>
      <c r="B1945" s="1" t="s">
        <v>15677</v>
      </c>
      <c r="D1945" s="1" t="s">
        <v>9596</v>
      </c>
      <c r="E1945" s="1" t="s">
        <v>9632</v>
      </c>
      <c r="F1945" s="1" t="s">
        <v>15678</v>
      </c>
      <c r="G1945" s="1" t="s">
        <v>15679</v>
      </c>
    </row>
    <row r="1946" spans="1:7">
      <c r="A1946" s="1">
        <v>1945</v>
      </c>
      <c r="B1946" s="1" t="s">
        <v>15680</v>
      </c>
      <c r="D1946" s="1" t="s">
        <v>9596</v>
      </c>
      <c r="E1946" s="1" t="s">
        <v>9634</v>
      </c>
      <c r="F1946" s="1" t="s">
        <v>15681</v>
      </c>
      <c r="G1946" s="1" t="s">
        <v>15682</v>
      </c>
    </row>
    <row r="1947" spans="1:7">
      <c r="A1947" s="1">
        <v>1946</v>
      </c>
      <c r="B1947" s="1" t="s">
        <v>15683</v>
      </c>
      <c r="D1947" s="1" t="s">
        <v>9596</v>
      </c>
      <c r="E1947" s="1" t="s">
        <v>9636</v>
      </c>
      <c r="F1947" s="1" t="s">
        <v>15684</v>
      </c>
      <c r="G1947" s="1" t="s">
        <v>15685</v>
      </c>
    </row>
    <row r="1948" spans="1:7">
      <c r="A1948" s="1">
        <v>1947</v>
      </c>
      <c r="B1948" s="1" t="s">
        <v>15686</v>
      </c>
      <c r="D1948" s="1" t="s">
        <v>9596</v>
      </c>
      <c r="E1948" s="1" t="s">
        <v>9638</v>
      </c>
      <c r="F1948" s="1" t="s">
        <v>15687</v>
      </c>
      <c r="G1948" s="1" t="s">
        <v>15688</v>
      </c>
    </row>
    <row r="1949" spans="1:7">
      <c r="A1949" s="1">
        <v>1948</v>
      </c>
      <c r="B1949" s="1" t="s">
        <v>15689</v>
      </c>
      <c r="D1949" s="1" t="s">
        <v>9596</v>
      </c>
      <c r="E1949" s="1" t="s">
        <v>2823</v>
      </c>
      <c r="F1949" s="1" t="s">
        <v>15690</v>
      </c>
      <c r="G1949" s="1" t="s">
        <v>15691</v>
      </c>
    </row>
    <row r="1950" spans="1:7">
      <c r="A1950" s="1">
        <v>1949</v>
      </c>
      <c r="B1950" s="1" t="s">
        <v>15692</v>
      </c>
      <c r="D1950" s="1" t="s">
        <v>9596</v>
      </c>
      <c r="E1950" s="1" t="s">
        <v>2824</v>
      </c>
      <c r="F1950" s="1" t="s">
        <v>15693</v>
      </c>
      <c r="G1950" s="1" t="s">
        <v>15694</v>
      </c>
    </row>
    <row r="1951" spans="1:7">
      <c r="A1951" s="1">
        <v>1950</v>
      </c>
      <c r="B1951" s="1" t="s">
        <v>15695</v>
      </c>
      <c r="D1951" s="1" t="s">
        <v>9596</v>
      </c>
      <c r="E1951" s="1" t="s">
        <v>2835</v>
      </c>
      <c r="F1951" s="1" t="s">
        <v>15696</v>
      </c>
      <c r="G1951" s="1" t="s">
        <v>15697</v>
      </c>
    </row>
    <row r="1952" spans="1:7">
      <c r="A1952" s="1">
        <v>1951</v>
      </c>
      <c r="B1952" s="1" t="s">
        <v>15698</v>
      </c>
      <c r="D1952" s="1" t="s">
        <v>9596</v>
      </c>
      <c r="E1952" s="1" t="s">
        <v>2825</v>
      </c>
      <c r="F1952" s="1" t="s">
        <v>15699</v>
      </c>
      <c r="G1952" s="1" t="s">
        <v>15700</v>
      </c>
    </row>
    <row r="1953" spans="1:7">
      <c r="A1953" s="1">
        <v>1952</v>
      </c>
      <c r="B1953" s="1" t="s">
        <v>15701</v>
      </c>
      <c r="D1953" s="1" t="s">
        <v>9596</v>
      </c>
      <c r="E1953" s="1" t="s">
        <v>2826</v>
      </c>
      <c r="F1953" s="1" t="s">
        <v>15702</v>
      </c>
      <c r="G1953" s="1" t="s">
        <v>15703</v>
      </c>
    </row>
    <row r="1954" spans="1:7">
      <c r="A1954" s="1">
        <v>1953</v>
      </c>
      <c r="B1954" s="1" t="s">
        <v>15704</v>
      </c>
      <c r="D1954" s="1" t="s">
        <v>9596</v>
      </c>
      <c r="E1954" s="1" t="s">
        <v>2827</v>
      </c>
      <c r="F1954" s="1" t="s">
        <v>15705</v>
      </c>
      <c r="G1954" s="1" t="s">
        <v>15706</v>
      </c>
    </row>
    <row r="1955" spans="1:7">
      <c r="A1955" s="1">
        <v>1954</v>
      </c>
      <c r="B1955" s="1" t="s">
        <v>15707</v>
      </c>
      <c r="D1955" s="1" t="s">
        <v>9596</v>
      </c>
      <c r="E1955" s="1" t="s">
        <v>2830</v>
      </c>
      <c r="F1955" s="1" t="s">
        <v>15708</v>
      </c>
      <c r="G1955" s="1" t="s">
        <v>15709</v>
      </c>
    </row>
    <row r="1956" spans="1:7">
      <c r="A1956" s="1">
        <v>1955</v>
      </c>
      <c r="B1956" s="1" t="s">
        <v>15710</v>
      </c>
      <c r="D1956" s="1" t="s">
        <v>9596</v>
      </c>
      <c r="E1956" s="1" t="s">
        <v>2831</v>
      </c>
      <c r="F1956" s="1" t="s">
        <v>15711</v>
      </c>
      <c r="G1956" s="1" t="s">
        <v>15712</v>
      </c>
    </row>
    <row r="1957" spans="1:7">
      <c r="A1957" s="1">
        <v>1956</v>
      </c>
      <c r="B1957" s="1" t="s">
        <v>15713</v>
      </c>
      <c r="D1957" s="1" t="s">
        <v>9596</v>
      </c>
      <c r="E1957" s="1" t="s">
        <v>2832</v>
      </c>
      <c r="F1957" s="1" t="s">
        <v>15714</v>
      </c>
      <c r="G1957" s="1" t="s">
        <v>15715</v>
      </c>
    </row>
    <row r="1958" spans="1:7">
      <c r="A1958" s="1">
        <v>1957</v>
      </c>
      <c r="B1958" s="1" t="s">
        <v>15716</v>
      </c>
      <c r="D1958" s="1" t="s">
        <v>9596</v>
      </c>
      <c r="E1958" s="1" t="s">
        <v>2833</v>
      </c>
      <c r="F1958" s="1" t="s">
        <v>15717</v>
      </c>
      <c r="G1958" s="1" t="s">
        <v>15718</v>
      </c>
    </row>
    <row r="1959" spans="1:7">
      <c r="A1959" s="1">
        <v>1958</v>
      </c>
      <c r="B1959" s="1" t="s">
        <v>15719</v>
      </c>
      <c r="D1959" s="1" t="s">
        <v>9596</v>
      </c>
      <c r="E1959" s="1" t="s">
        <v>2834</v>
      </c>
      <c r="F1959" s="1" t="s">
        <v>15720</v>
      </c>
      <c r="G1959" s="1" t="s">
        <v>15721</v>
      </c>
    </row>
    <row r="1960" spans="1:7">
      <c r="A1960" s="1">
        <v>1959</v>
      </c>
      <c r="B1960" s="1" t="s">
        <v>15722</v>
      </c>
      <c r="D1960" s="1" t="s">
        <v>9596</v>
      </c>
      <c r="E1960" s="1" t="s">
        <v>2836</v>
      </c>
      <c r="F1960" s="1" t="s">
        <v>15723</v>
      </c>
      <c r="G1960" s="1" t="s">
        <v>15724</v>
      </c>
    </row>
    <row r="1961" spans="1:7">
      <c r="A1961" s="1">
        <v>1960</v>
      </c>
      <c r="B1961" s="1" t="s">
        <v>15725</v>
      </c>
      <c r="D1961" s="1" t="s">
        <v>9596</v>
      </c>
      <c r="E1961" s="1" t="s">
        <v>2840</v>
      </c>
      <c r="F1961" s="1" t="s">
        <v>15726</v>
      </c>
      <c r="G1961" s="1" t="s">
        <v>15727</v>
      </c>
    </row>
    <row r="1962" spans="1:7">
      <c r="A1962" s="1">
        <v>1961</v>
      </c>
      <c r="B1962" s="1" t="s">
        <v>15728</v>
      </c>
      <c r="D1962" s="1" t="s">
        <v>9596</v>
      </c>
      <c r="E1962" s="1" t="s">
        <v>2842</v>
      </c>
      <c r="F1962" s="1" t="s">
        <v>15729</v>
      </c>
      <c r="G1962" s="1" t="s">
        <v>15730</v>
      </c>
    </row>
    <row r="1963" spans="1:7">
      <c r="A1963" s="1">
        <v>1962</v>
      </c>
      <c r="B1963" s="1" t="s">
        <v>15731</v>
      </c>
      <c r="D1963" s="1" t="s">
        <v>9596</v>
      </c>
      <c r="E1963" s="1" t="s">
        <v>2837</v>
      </c>
      <c r="F1963" s="1" t="s">
        <v>15732</v>
      </c>
      <c r="G1963" s="1" t="s">
        <v>15733</v>
      </c>
    </row>
    <row r="1964" spans="1:7">
      <c r="A1964" s="1">
        <v>1963</v>
      </c>
      <c r="B1964" s="1" t="s">
        <v>15734</v>
      </c>
      <c r="D1964" s="1" t="s">
        <v>9596</v>
      </c>
      <c r="E1964" s="1" t="s">
        <v>2841</v>
      </c>
      <c r="F1964" s="1" t="s">
        <v>15735</v>
      </c>
      <c r="G1964" s="1" t="s">
        <v>15736</v>
      </c>
    </row>
    <row r="1965" spans="1:7">
      <c r="A1965" s="1">
        <v>1964</v>
      </c>
      <c r="B1965" s="1" t="s">
        <v>15737</v>
      </c>
      <c r="D1965" s="1" t="s">
        <v>9668</v>
      </c>
      <c r="E1965" s="1" t="s">
        <v>2853</v>
      </c>
      <c r="F1965" s="1" t="s">
        <v>15738</v>
      </c>
      <c r="G1965" s="1" t="s">
        <v>15739</v>
      </c>
    </row>
    <row r="1966" spans="1:7">
      <c r="A1966" s="1">
        <v>1965</v>
      </c>
      <c r="B1966" s="1" t="s">
        <v>15740</v>
      </c>
      <c r="D1966" s="1" t="s">
        <v>9668</v>
      </c>
      <c r="E1966" s="1" t="s">
        <v>2854</v>
      </c>
      <c r="F1966" s="1" t="s">
        <v>15741</v>
      </c>
      <c r="G1966" s="1" t="s">
        <v>15742</v>
      </c>
    </row>
    <row r="1967" spans="1:7">
      <c r="A1967" s="1">
        <v>1966</v>
      </c>
      <c r="B1967" s="1" t="s">
        <v>15743</v>
      </c>
      <c r="D1967" s="1" t="s">
        <v>9668</v>
      </c>
      <c r="E1967" s="1" t="s">
        <v>2855</v>
      </c>
      <c r="F1967" s="1" t="s">
        <v>15744</v>
      </c>
      <c r="G1967" s="1" t="s">
        <v>15745</v>
      </c>
    </row>
    <row r="1968" spans="1:7">
      <c r="A1968" s="1">
        <v>1967</v>
      </c>
      <c r="B1968" s="1" t="s">
        <v>15746</v>
      </c>
      <c r="D1968" s="1" t="s">
        <v>9668</v>
      </c>
      <c r="E1968" s="1" t="s">
        <v>2858</v>
      </c>
      <c r="F1968" s="1" t="s">
        <v>15747</v>
      </c>
      <c r="G1968" s="1" t="s">
        <v>15748</v>
      </c>
    </row>
    <row r="1969" spans="1:7">
      <c r="A1969" s="1">
        <v>1968</v>
      </c>
      <c r="B1969" s="1" t="s">
        <v>15749</v>
      </c>
      <c r="D1969" s="1" t="s">
        <v>9668</v>
      </c>
      <c r="E1969" s="1" t="s">
        <v>2859</v>
      </c>
      <c r="F1969" s="1" t="s">
        <v>15750</v>
      </c>
      <c r="G1969" s="1" t="s">
        <v>15751</v>
      </c>
    </row>
    <row r="1970" spans="1:7">
      <c r="A1970" s="1">
        <v>1969</v>
      </c>
      <c r="B1970" s="1" t="s">
        <v>15752</v>
      </c>
      <c r="D1970" s="1" t="s">
        <v>9668</v>
      </c>
      <c r="E1970" s="1" t="s">
        <v>2860</v>
      </c>
      <c r="F1970" s="1" t="s">
        <v>15753</v>
      </c>
      <c r="G1970" s="1" t="s">
        <v>15754</v>
      </c>
    </row>
    <row r="1971" spans="1:7">
      <c r="A1971" s="1">
        <v>1970</v>
      </c>
      <c r="B1971" s="1" t="s">
        <v>15755</v>
      </c>
      <c r="D1971" s="1" t="s">
        <v>9668</v>
      </c>
      <c r="E1971" s="1" t="s">
        <v>2861</v>
      </c>
      <c r="F1971" s="1" t="s">
        <v>15756</v>
      </c>
      <c r="G1971" s="1" t="s">
        <v>15757</v>
      </c>
    </row>
    <row r="1972" spans="1:7">
      <c r="A1972" s="1">
        <v>1971</v>
      </c>
      <c r="B1972" s="1" t="s">
        <v>15758</v>
      </c>
      <c r="D1972" s="1" t="s">
        <v>9668</v>
      </c>
      <c r="E1972" s="1" t="s">
        <v>2864</v>
      </c>
      <c r="F1972" s="1" t="s">
        <v>15759</v>
      </c>
      <c r="G1972" s="1" t="s">
        <v>15760</v>
      </c>
    </row>
    <row r="1973" spans="1:7">
      <c r="A1973" s="1">
        <v>1972</v>
      </c>
      <c r="B1973" s="1" t="s">
        <v>15761</v>
      </c>
      <c r="D1973" s="1" t="s">
        <v>9668</v>
      </c>
      <c r="E1973" s="1" t="s">
        <v>2865</v>
      </c>
      <c r="F1973" s="1" t="s">
        <v>15762</v>
      </c>
      <c r="G1973" s="1" t="s">
        <v>15763</v>
      </c>
    </row>
    <row r="1974" spans="1:7">
      <c r="A1974" s="1">
        <v>1973</v>
      </c>
      <c r="B1974" s="1" t="s">
        <v>15764</v>
      </c>
      <c r="D1974" s="1" t="s">
        <v>9668</v>
      </c>
      <c r="E1974" s="1" t="s">
        <v>2866</v>
      </c>
      <c r="F1974" s="1" t="s">
        <v>15765</v>
      </c>
      <c r="G1974" s="1" t="s">
        <v>15766</v>
      </c>
    </row>
    <row r="1975" spans="1:7">
      <c r="A1975" s="1">
        <v>1974</v>
      </c>
      <c r="B1975" s="1" t="s">
        <v>15767</v>
      </c>
      <c r="D1975" s="1" t="s">
        <v>9668</v>
      </c>
      <c r="E1975" s="1" t="s">
        <v>2867</v>
      </c>
      <c r="F1975" s="1" t="s">
        <v>15768</v>
      </c>
      <c r="G1975" s="1" t="s">
        <v>15769</v>
      </c>
    </row>
    <row r="1976" spans="1:7">
      <c r="A1976" s="1">
        <v>1975</v>
      </c>
      <c r="B1976" s="1" t="s">
        <v>15770</v>
      </c>
      <c r="D1976" s="1" t="s">
        <v>9668</v>
      </c>
      <c r="E1976" s="1" t="s">
        <v>2868</v>
      </c>
      <c r="F1976" s="1" t="s">
        <v>15771</v>
      </c>
      <c r="G1976" s="1" t="s">
        <v>15772</v>
      </c>
    </row>
    <row r="1977" spans="1:7">
      <c r="A1977" s="1">
        <v>1976</v>
      </c>
      <c r="B1977" s="1" t="s">
        <v>15773</v>
      </c>
      <c r="D1977" s="1" t="s">
        <v>9668</v>
      </c>
      <c r="E1977" s="1" t="s">
        <v>2869</v>
      </c>
      <c r="F1977" s="1" t="s">
        <v>15774</v>
      </c>
      <c r="G1977" s="1" t="s">
        <v>15775</v>
      </c>
    </row>
    <row r="1978" spans="1:7">
      <c r="A1978" s="1">
        <v>1977</v>
      </c>
      <c r="B1978" s="1" t="s">
        <v>15776</v>
      </c>
      <c r="D1978" s="1" t="s">
        <v>9668</v>
      </c>
      <c r="E1978" s="1" t="s">
        <v>2870</v>
      </c>
      <c r="F1978" s="1" t="s">
        <v>15777</v>
      </c>
      <c r="G1978" s="1" t="s">
        <v>15778</v>
      </c>
    </row>
    <row r="1979" spans="1:7">
      <c r="A1979" s="1">
        <v>1978</v>
      </c>
      <c r="B1979" s="1" t="s">
        <v>15779</v>
      </c>
      <c r="D1979" s="1" t="s">
        <v>9668</v>
      </c>
      <c r="E1979" s="1" t="s">
        <v>2871</v>
      </c>
      <c r="F1979" s="1" t="s">
        <v>15780</v>
      </c>
      <c r="G1979" s="1" t="s">
        <v>15781</v>
      </c>
    </row>
    <row r="1980" spans="1:7">
      <c r="A1980" s="1">
        <v>1979</v>
      </c>
      <c r="B1980" s="1" t="s">
        <v>15782</v>
      </c>
      <c r="D1980" s="1" t="s">
        <v>9668</v>
      </c>
      <c r="E1980" s="1" t="s">
        <v>9684</v>
      </c>
      <c r="F1980" s="1" t="s">
        <v>15783</v>
      </c>
      <c r="G1980" s="1" t="s">
        <v>15784</v>
      </c>
    </row>
    <row r="1981" spans="1:7">
      <c r="A1981" s="1">
        <v>1980</v>
      </c>
      <c r="B1981" s="1" t="s">
        <v>15785</v>
      </c>
      <c r="D1981" s="1" t="s">
        <v>9668</v>
      </c>
      <c r="E1981" s="1" t="s">
        <v>9686</v>
      </c>
      <c r="F1981" s="1" t="s">
        <v>15786</v>
      </c>
      <c r="G1981" s="1" t="s">
        <v>15787</v>
      </c>
    </row>
    <row r="1982" spans="1:7">
      <c r="A1982" s="1">
        <v>1981</v>
      </c>
      <c r="B1982" s="1" t="s">
        <v>15788</v>
      </c>
      <c r="D1982" s="1" t="s">
        <v>9668</v>
      </c>
      <c r="E1982" s="1" t="s">
        <v>9688</v>
      </c>
      <c r="F1982" s="1" t="s">
        <v>15789</v>
      </c>
      <c r="G1982" s="1" t="s">
        <v>15790</v>
      </c>
    </row>
    <row r="1983" spans="1:7">
      <c r="A1983" s="1">
        <v>1982</v>
      </c>
      <c r="B1983" s="1" t="s">
        <v>15791</v>
      </c>
      <c r="D1983" s="1" t="s">
        <v>9668</v>
      </c>
      <c r="E1983" s="1" t="s">
        <v>9690</v>
      </c>
      <c r="F1983" s="1" t="s">
        <v>15792</v>
      </c>
      <c r="G1983" s="1" t="s">
        <v>15793</v>
      </c>
    </row>
    <row r="1984" spans="1:7">
      <c r="A1984" s="1">
        <v>1983</v>
      </c>
      <c r="B1984" s="1" t="s">
        <v>15794</v>
      </c>
      <c r="D1984" s="1" t="s">
        <v>9668</v>
      </c>
      <c r="E1984" s="1" t="s">
        <v>9692</v>
      </c>
      <c r="F1984" s="1" t="s">
        <v>15795</v>
      </c>
      <c r="G1984" s="1" t="s">
        <v>15796</v>
      </c>
    </row>
    <row r="1985" spans="1:7">
      <c r="A1985" s="1">
        <v>1984</v>
      </c>
      <c r="B1985" s="1" t="s">
        <v>15797</v>
      </c>
      <c r="D1985" s="1" t="s">
        <v>9668</v>
      </c>
      <c r="E1985" s="1" t="s">
        <v>9694</v>
      </c>
      <c r="F1985" s="1" t="s">
        <v>15798</v>
      </c>
      <c r="G1985" s="1" t="s">
        <v>15799</v>
      </c>
    </row>
    <row r="1986" spans="1:7">
      <c r="A1986" s="1">
        <v>1985</v>
      </c>
      <c r="B1986" s="1" t="s">
        <v>15800</v>
      </c>
      <c r="D1986" s="1" t="s">
        <v>9668</v>
      </c>
      <c r="E1986" s="1" t="s">
        <v>9696</v>
      </c>
      <c r="F1986" s="1" t="s">
        <v>15801</v>
      </c>
      <c r="G1986" s="1" t="s">
        <v>15802</v>
      </c>
    </row>
    <row r="1987" spans="1:7">
      <c r="A1987" s="1">
        <v>1986</v>
      </c>
      <c r="B1987" s="1" t="s">
        <v>15803</v>
      </c>
      <c r="D1987" s="1" t="s">
        <v>9668</v>
      </c>
      <c r="E1987" s="1" t="s">
        <v>9698</v>
      </c>
      <c r="F1987" s="1" t="s">
        <v>15804</v>
      </c>
      <c r="G1987" s="1" t="s">
        <v>15805</v>
      </c>
    </row>
    <row r="1988" spans="1:7">
      <c r="A1988" s="1">
        <v>1987</v>
      </c>
      <c r="B1988" s="1" t="s">
        <v>15806</v>
      </c>
      <c r="D1988" s="1" t="s">
        <v>9668</v>
      </c>
      <c r="E1988" s="1" t="s">
        <v>9700</v>
      </c>
      <c r="F1988" s="1" t="s">
        <v>15807</v>
      </c>
      <c r="G1988" s="1" t="s">
        <v>15808</v>
      </c>
    </row>
    <row r="1989" spans="1:7">
      <c r="A1989" s="1">
        <v>1988</v>
      </c>
      <c r="B1989" s="1" t="s">
        <v>15809</v>
      </c>
      <c r="D1989" s="1" t="s">
        <v>9668</v>
      </c>
      <c r="E1989" s="1" t="s">
        <v>9702</v>
      </c>
      <c r="F1989" s="1" t="s">
        <v>15810</v>
      </c>
      <c r="G1989" s="1" t="s">
        <v>15811</v>
      </c>
    </row>
    <row r="1990" spans="1:7">
      <c r="A1990" s="1">
        <v>1989</v>
      </c>
      <c r="B1990" s="1" t="s">
        <v>15812</v>
      </c>
      <c r="D1990" s="1" t="s">
        <v>9668</v>
      </c>
      <c r="E1990" s="1" t="s">
        <v>9704</v>
      </c>
      <c r="F1990" s="1" t="s">
        <v>15813</v>
      </c>
      <c r="G1990" s="1" t="s">
        <v>15814</v>
      </c>
    </row>
    <row r="1991" spans="1:7">
      <c r="A1991" s="1">
        <v>1990</v>
      </c>
      <c r="B1991" s="1" t="s">
        <v>15815</v>
      </c>
      <c r="D1991" s="1" t="s">
        <v>9668</v>
      </c>
      <c r="E1991" s="1" t="s">
        <v>9706</v>
      </c>
      <c r="F1991" s="1" t="s">
        <v>15816</v>
      </c>
      <c r="G1991" s="1" t="s">
        <v>15817</v>
      </c>
    </row>
    <row r="1992" spans="1:7">
      <c r="A1992" s="1">
        <v>1991</v>
      </c>
      <c r="B1992" s="1" t="s">
        <v>15818</v>
      </c>
      <c r="D1992" s="1" t="s">
        <v>9668</v>
      </c>
      <c r="E1992" s="1" t="s">
        <v>9708</v>
      </c>
      <c r="F1992" s="1" t="s">
        <v>15819</v>
      </c>
      <c r="G1992" s="1" t="s">
        <v>15820</v>
      </c>
    </row>
    <row r="1993" spans="1:7">
      <c r="A1993" s="1">
        <v>1992</v>
      </c>
      <c r="B1993" s="1" t="s">
        <v>15821</v>
      </c>
      <c r="D1993" s="1" t="s">
        <v>9668</v>
      </c>
      <c r="E1993" s="1" t="s">
        <v>9710</v>
      </c>
      <c r="F1993" s="1" t="s">
        <v>15822</v>
      </c>
      <c r="G1993" s="1" t="s">
        <v>15823</v>
      </c>
    </row>
    <row r="1994" spans="1:7">
      <c r="A1994" s="1">
        <v>1993</v>
      </c>
      <c r="B1994" s="1" t="s">
        <v>15824</v>
      </c>
      <c r="D1994" s="1" t="s">
        <v>9668</v>
      </c>
      <c r="E1994" s="1" t="s">
        <v>9712</v>
      </c>
      <c r="F1994" s="1" t="s">
        <v>15825</v>
      </c>
      <c r="G1994" s="1" t="s">
        <v>15826</v>
      </c>
    </row>
    <row r="1995" spans="1:7">
      <c r="A1995" s="1">
        <v>1994</v>
      </c>
      <c r="B1995" s="1" t="s">
        <v>15827</v>
      </c>
      <c r="D1995" s="1" t="s">
        <v>9668</v>
      </c>
      <c r="E1995" s="1" t="s">
        <v>9714</v>
      </c>
      <c r="F1995" s="1" t="s">
        <v>15828</v>
      </c>
      <c r="G1995" s="1" t="s">
        <v>15829</v>
      </c>
    </row>
    <row r="1996" spans="1:7">
      <c r="A1996" s="1">
        <v>1995</v>
      </c>
      <c r="B1996" s="1" t="s">
        <v>15830</v>
      </c>
      <c r="D1996" s="1" t="s">
        <v>9668</v>
      </c>
      <c r="E1996" s="1" t="s">
        <v>9716</v>
      </c>
      <c r="F1996" s="1" t="s">
        <v>15831</v>
      </c>
      <c r="G1996" s="1" t="s">
        <v>15832</v>
      </c>
    </row>
    <row r="1997" spans="1:7">
      <c r="A1997" s="1">
        <v>1996</v>
      </c>
      <c r="B1997" s="1" t="s">
        <v>15833</v>
      </c>
      <c r="D1997" s="1" t="s">
        <v>9668</v>
      </c>
      <c r="E1997" s="1" t="s">
        <v>9718</v>
      </c>
      <c r="F1997" s="1" t="s">
        <v>15834</v>
      </c>
      <c r="G1997" s="1" t="s">
        <v>15835</v>
      </c>
    </row>
    <row r="1998" spans="1:7">
      <c r="A1998" s="1">
        <v>1997</v>
      </c>
      <c r="B1998" s="1" t="s">
        <v>15836</v>
      </c>
      <c r="D1998" s="1" t="s">
        <v>9668</v>
      </c>
      <c r="E1998" s="1" t="s">
        <v>9720</v>
      </c>
      <c r="F1998" s="1" t="s">
        <v>15837</v>
      </c>
      <c r="G1998" s="1" t="s">
        <v>15838</v>
      </c>
    </row>
    <row r="1999" spans="1:7">
      <c r="A1999" s="1">
        <v>1998</v>
      </c>
      <c r="B1999" s="1" t="s">
        <v>15839</v>
      </c>
      <c r="D1999" s="1" t="s">
        <v>9668</v>
      </c>
      <c r="E1999" s="1" t="s">
        <v>9722</v>
      </c>
      <c r="F1999" s="1" t="s">
        <v>15840</v>
      </c>
      <c r="G1999" s="1" t="s">
        <v>15841</v>
      </c>
    </row>
    <row r="2000" spans="1:7">
      <c r="A2000" s="1">
        <v>1999</v>
      </c>
      <c r="B2000" s="1" t="s">
        <v>15842</v>
      </c>
      <c r="D2000" s="1" t="s">
        <v>9668</v>
      </c>
      <c r="E2000" s="1" t="s">
        <v>9724</v>
      </c>
      <c r="F2000" s="1" t="s">
        <v>15843</v>
      </c>
      <c r="G2000" s="1" t="s">
        <v>15844</v>
      </c>
    </row>
    <row r="2001" spans="1:7">
      <c r="A2001" s="1">
        <v>2000</v>
      </c>
      <c r="B2001" s="1" t="s">
        <v>15845</v>
      </c>
      <c r="D2001" s="1" t="s">
        <v>9668</v>
      </c>
      <c r="E2001" s="1" t="s">
        <v>9726</v>
      </c>
      <c r="F2001" s="1" t="s">
        <v>15846</v>
      </c>
      <c r="G2001" s="1" t="s">
        <v>15847</v>
      </c>
    </row>
    <row r="2002" spans="1:7">
      <c r="A2002" s="1">
        <v>2001</v>
      </c>
      <c r="B2002" s="1" t="s">
        <v>15848</v>
      </c>
      <c r="D2002" s="1" t="s">
        <v>9668</v>
      </c>
      <c r="E2002" s="1" t="s">
        <v>9728</v>
      </c>
      <c r="F2002" s="1" t="s">
        <v>15849</v>
      </c>
      <c r="G2002" s="1" t="s">
        <v>15850</v>
      </c>
    </row>
    <row r="2003" spans="1:7">
      <c r="A2003" s="1">
        <v>2002</v>
      </c>
      <c r="B2003" s="1" t="s">
        <v>15851</v>
      </c>
      <c r="D2003" s="1" t="s">
        <v>9668</v>
      </c>
      <c r="E2003" s="1" t="s">
        <v>9730</v>
      </c>
      <c r="F2003" s="1" t="s">
        <v>15852</v>
      </c>
      <c r="G2003" s="1" t="s">
        <v>15853</v>
      </c>
    </row>
    <row r="2004" spans="1:7">
      <c r="A2004" s="1">
        <v>2003</v>
      </c>
      <c r="B2004" s="1" t="s">
        <v>15854</v>
      </c>
      <c r="D2004" s="1" t="s">
        <v>9668</v>
      </c>
      <c r="E2004" s="1" t="s">
        <v>9750</v>
      </c>
      <c r="F2004" s="1" t="s">
        <v>15855</v>
      </c>
      <c r="G2004" s="1" t="s">
        <v>15856</v>
      </c>
    </row>
    <row r="2005" spans="1:7">
      <c r="A2005" s="1">
        <v>2004</v>
      </c>
      <c r="B2005" s="1" t="s">
        <v>15857</v>
      </c>
      <c r="D2005" s="1" t="s">
        <v>9668</v>
      </c>
      <c r="E2005" s="1" t="s">
        <v>9732</v>
      </c>
      <c r="F2005" s="1" t="s">
        <v>15858</v>
      </c>
      <c r="G2005" s="1" t="s">
        <v>15859</v>
      </c>
    </row>
    <row r="2006" spans="1:7">
      <c r="A2006" s="1">
        <v>2005</v>
      </c>
      <c r="B2006" s="1" t="s">
        <v>15860</v>
      </c>
      <c r="D2006" s="1" t="s">
        <v>9668</v>
      </c>
      <c r="E2006" s="1" t="s">
        <v>9734</v>
      </c>
      <c r="F2006" s="1" t="s">
        <v>15861</v>
      </c>
      <c r="G2006" s="1" t="s">
        <v>15862</v>
      </c>
    </row>
    <row r="2007" spans="1:7">
      <c r="A2007" s="1">
        <v>2006</v>
      </c>
      <c r="B2007" s="1" t="s">
        <v>15863</v>
      </c>
      <c r="D2007" s="1" t="s">
        <v>9668</v>
      </c>
      <c r="E2007" s="1" t="s">
        <v>9736</v>
      </c>
      <c r="F2007" s="1" t="s">
        <v>15864</v>
      </c>
      <c r="G2007" s="1" t="s">
        <v>15865</v>
      </c>
    </row>
    <row r="2008" spans="1:7">
      <c r="A2008" s="1">
        <v>2007</v>
      </c>
      <c r="B2008" s="1" t="s">
        <v>15866</v>
      </c>
      <c r="D2008" s="1" t="s">
        <v>9668</v>
      </c>
      <c r="E2008" s="1" t="s">
        <v>9738</v>
      </c>
      <c r="F2008" s="1" t="s">
        <v>15867</v>
      </c>
      <c r="G2008" s="1" t="s">
        <v>15868</v>
      </c>
    </row>
    <row r="2009" spans="1:7">
      <c r="A2009" s="1">
        <v>2008</v>
      </c>
      <c r="B2009" s="1" t="s">
        <v>15869</v>
      </c>
      <c r="D2009" s="1" t="s">
        <v>9668</v>
      </c>
      <c r="E2009" s="1" t="s">
        <v>9740</v>
      </c>
      <c r="F2009" s="1" t="s">
        <v>15870</v>
      </c>
      <c r="G2009" s="1" t="s">
        <v>15871</v>
      </c>
    </row>
    <row r="2010" spans="1:7">
      <c r="A2010" s="1">
        <v>2009</v>
      </c>
      <c r="B2010" s="1" t="s">
        <v>15872</v>
      </c>
      <c r="D2010" s="1" t="s">
        <v>9668</v>
      </c>
      <c r="E2010" s="1" t="s">
        <v>9742</v>
      </c>
      <c r="F2010" s="1" t="s">
        <v>15873</v>
      </c>
      <c r="G2010" s="1" t="s">
        <v>15874</v>
      </c>
    </row>
    <row r="2011" spans="1:7">
      <c r="A2011" s="1">
        <v>2010</v>
      </c>
      <c r="B2011" s="1" t="s">
        <v>15875</v>
      </c>
      <c r="D2011" s="1" t="s">
        <v>9668</v>
      </c>
      <c r="E2011" s="1" t="s">
        <v>9744</v>
      </c>
      <c r="F2011" s="1" t="s">
        <v>15876</v>
      </c>
      <c r="G2011" s="1" t="s">
        <v>15877</v>
      </c>
    </row>
    <row r="2012" spans="1:7">
      <c r="A2012" s="1">
        <v>2011</v>
      </c>
      <c r="B2012" s="1" t="s">
        <v>15878</v>
      </c>
      <c r="D2012" s="1" t="s">
        <v>9668</v>
      </c>
      <c r="E2012" s="1" t="s">
        <v>9746</v>
      </c>
      <c r="F2012" s="1" t="s">
        <v>15879</v>
      </c>
      <c r="G2012" s="1" t="s">
        <v>15880</v>
      </c>
    </row>
    <row r="2013" spans="1:7">
      <c r="A2013" s="1">
        <v>2012</v>
      </c>
      <c r="B2013" s="1" t="s">
        <v>15881</v>
      </c>
      <c r="D2013" s="1" t="s">
        <v>9668</v>
      </c>
      <c r="E2013" s="1" t="s">
        <v>9748</v>
      </c>
      <c r="F2013" s="1" t="s">
        <v>15882</v>
      </c>
      <c r="G2013" s="1" t="s">
        <v>15883</v>
      </c>
    </row>
    <row r="2014" spans="1:7">
      <c r="A2014" s="1">
        <v>2013</v>
      </c>
      <c r="B2014" s="1" t="s">
        <v>15884</v>
      </c>
      <c r="D2014" s="1" t="s">
        <v>9668</v>
      </c>
      <c r="E2014" s="1" t="s">
        <v>9752</v>
      </c>
      <c r="F2014" s="1" t="s">
        <v>15885</v>
      </c>
      <c r="G2014" s="1" t="s">
        <v>15886</v>
      </c>
    </row>
    <row r="2015" spans="1:7">
      <c r="A2015" s="1">
        <v>2014</v>
      </c>
      <c r="B2015" s="1" t="s">
        <v>15887</v>
      </c>
      <c r="D2015" s="1" t="s">
        <v>9668</v>
      </c>
      <c r="E2015" s="1" t="s">
        <v>9754</v>
      </c>
      <c r="F2015" s="1" t="s">
        <v>15888</v>
      </c>
      <c r="G2015" s="1" t="s">
        <v>15889</v>
      </c>
    </row>
    <row r="2016" spans="1:7">
      <c r="A2016" s="1">
        <v>2015</v>
      </c>
      <c r="B2016" s="1" t="s">
        <v>15890</v>
      </c>
      <c r="D2016" s="1" t="s">
        <v>9668</v>
      </c>
      <c r="E2016" s="1" t="s">
        <v>9756</v>
      </c>
      <c r="F2016" s="1" t="s">
        <v>15891</v>
      </c>
      <c r="G2016" s="1" t="s">
        <v>15892</v>
      </c>
    </row>
    <row r="2017" spans="1:7">
      <c r="A2017" s="1">
        <v>2016</v>
      </c>
      <c r="B2017" s="1" t="s">
        <v>15893</v>
      </c>
      <c r="D2017" s="1" t="s">
        <v>9668</v>
      </c>
      <c r="E2017" s="1" t="s">
        <v>9758</v>
      </c>
      <c r="F2017" s="1" t="s">
        <v>15894</v>
      </c>
      <c r="G2017" s="1" t="s">
        <v>15895</v>
      </c>
    </row>
    <row r="2018" spans="1:7">
      <c r="A2018" s="1">
        <v>2017</v>
      </c>
      <c r="B2018" s="1" t="s">
        <v>15896</v>
      </c>
      <c r="D2018" s="1" t="s">
        <v>9668</v>
      </c>
      <c r="E2018" s="1" t="s">
        <v>9760</v>
      </c>
      <c r="F2018" s="1" t="s">
        <v>15897</v>
      </c>
      <c r="G2018" s="1" t="s">
        <v>15898</v>
      </c>
    </row>
    <row r="2019" spans="1:7">
      <c r="A2019" s="1">
        <v>2018</v>
      </c>
      <c r="B2019" s="1" t="s">
        <v>15899</v>
      </c>
      <c r="D2019" s="1" t="s">
        <v>9762</v>
      </c>
      <c r="E2019" s="1" t="s">
        <v>9763</v>
      </c>
      <c r="F2019" s="1" t="s">
        <v>15900</v>
      </c>
      <c r="G2019" s="1" t="s">
        <v>15901</v>
      </c>
    </row>
    <row r="2020" spans="1:7">
      <c r="A2020" s="1">
        <v>2019</v>
      </c>
      <c r="B2020" s="1" t="s">
        <v>15902</v>
      </c>
      <c r="D2020" s="1" t="s">
        <v>9762</v>
      </c>
      <c r="E2020" s="1" t="s">
        <v>9765</v>
      </c>
      <c r="F2020" s="1" t="s">
        <v>15903</v>
      </c>
      <c r="G2020" s="1" t="s">
        <v>15904</v>
      </c>
    </row>
    <row r="2021" spans="1:7">
      <c r="A2021" s="1">
        <v>2020</v>
      </c>
      <c r="B2021" s="1" t="s">
        <v>15905</v>
      </c>
      <c r="D2021" s="1" t="s">
        <v>9762</v>
      </c>
      <c r="E2021" s="1" t="s">
        <v>9767</v>
      </c>
      <c r="F2021" s="1" t="s">
        <v>15906</v>
      </c>
      <c r="G2021" s="1" t="s">
        <v>15907</v>
      </c>
    </row>
    <row r="2022" spans="1:7">
      <c r="A2022" s="1">
        <v>2021</v>
      </c>
      <c r="B2022" s="1" t="s">
        <v>15908</v>
      </c>
      <c r="D2022" s="1" t="s">
        <v>9762</v>
      </c>
      <c r="E2022" s="1" t="s">
        <v>9769</v>
      </c>
      <c r="F2022" s="1" t="s">
        <v>15909</v>
      </c>
      <c r="G2022" s="1" t="s">
        <v>15910</v>
      </c>
    </row>
    <row r="2023" spans="1:7">
      <c r="A2023" s="1">
        <v>2022</v>
      </c>
      <c r="B2023" s="1" t="s">
        <v>15911</v>
      </c>
      <c r="D2023" s="1" t="s">
        <v>9762</v>
      </c>
      <c r="E2023" s="1" t="s">
        <v>9771</v>
      </c>
      <c r="F2023" s="1" t="s">
        <v>15912</v>
      </c>
      <c r="G2023" s="1" t="s">
        <v>15913</v>
      </c>
    </row>
    <row r="2024" spans="1:7">
      <c r="A2024" s="1">
        <v>2023</v>
      </c>
      <c r="B2024" s="1" t="s">
        <v>15914</v>
      </c>
      <c r="D2024" s="1" t="s">
        <v>9762</v>
      </c>
      <c r="E2024" s="1" t="s">
        <v>9773</v>
      </c>
      <c r="F2024" s="1" t="s">
        <v>15915</v>
      </c>
      <c r="G2024" s="1" t="s">
        <v>15916</v>
      </c>
    </row>
    <row r="2025" spans="1:7">
      <c r="A2025" s="1">
        <v>2024</v>
      </c>
      <c r="B2025" s="1" t="s">
        <v>15917</v>
      </c>
      <c r="D2025" s="1" t="s">
        <v>9762</v>
      </c>
      <c r="E2025" s="1" t="s">
        <v>9775</v>
      </c>
      <c r="F2025" s="1" t="s">
        <v>15918</v>
      </c>
      <c r="G2025" s="1" t="s">
        <v>15919</v>
      </c>
    </row>
    <row r="2026" spans="1:7">
      <c r="A2026" s="1">
        <v>2025</v>
      </c>
      <c r="B2026" s="1" t="s">
        <v>15920</v>
      </c>
      <c r="D2026" s="1" t="s">
        <v>9762</v>
      </c>
      <c r="E2026" s="1" t="s">
        <v>9777</v>
      </c>
      <c r="F2026" s="1" t="s">
        <v>15921</v>
      </c>
      <c r="G2026" s="1" t="s">
        <v>15922</v>
      </c>
    </row>
    <row r="2027" spans="1:7">
      <c r="A2027" s="1">
        <v>2026</v>
      </c>
      <c r="B2027" s="1" t="s">
        <v>15923</v>
      </c>
      <c r="D2027" s="1" t="s">
        <v>9762</v>
      </c>
      <c r="E2027" s="1" t="s">
        <v>9779</v>
      </c>
      <c r="F2027" s="1" t="s">
        <v>15924</v>
      </c>
      <c r="G2027" s="1" t="s">
        <v>15925</v>
      </c>
    </row>
    <row r="2028" spans="1:7">
      <c r="A2028" s="1">
        <v>2027</v>
      </c>
      <c r="B2028" s="1" t="s">
        <v>15926</v>
      </c>
      <c r="D2028" s="1" t="s">
        <v>9762</v>
      </c>
      <c r="E2028" s="1" t="s">
        <v>9781</v>
      </c>
      <c r="F2028" s="1" t="s">
        <v>15927</v>
      </c>
      <c r="G2028" s="1" t="s">
        <v>15928</v>
      </c>
    </row>
    <row r="2029" spans="1:7">
      <c r="A2029" s="1">
        <v>2028</v>
      </c>
      <c r="B2029" s="1" t="s">
        <v>15929</v>
      </c>
      <c r="D2029" s="1" t="s">
        <v>9762</v>
      </c>
      <c r="E2029" s="1" t="s">
        <v>9783</v>
      </c>
      <c r="F2029" s="1" t="s">
        <v>15930</v>
      </c>
      <c r="G2029" s="1" t="s">
        <v>15931</v>
      </c>
    </row>
    <row r="2030" spans="1:7">
      <c r="A2030" s="1">
        <v>2029</v>
      </c>
      <c r="B2030" s="1" t="s">
        <v>15932</v>
      </c>
      <c r="D2030" s="1" t="s">
        <v>9762</v>
      </c>
      <c r="E2030" s="1" t="s">
        <v>9785</v>
      </c>
      <c r="F2030" s="1" t="s">
        <v>15933</v>
      </c>
      <c r="G2030" s="1" t="s">
        <v>15934</v>
      </c>
    </row>
    <row r="2031" spans="1:7">
      <c r="A2031" s="1">
        <v>2030</v>
      </c>
      <c r="B2031" s="1" t="s">
        <v>15935</v>
      </c>
      <c r="D2031" s="1" t="s">
        <v>9762</v>
      </c>
      <c r="E2031" s="1" t="s">
        <v>9787</v>
      </c>
      <c r="F2031" s="1" t="s">
        <v>15936</v>
      </c>
      <c r="G2031" s="1" t="s">
        <v>15937</v>
      </c>
    </row>
    <row r="2032" spans="1:7">
      <c r="A2032" s="1">
        <v>2031</v>
      </c>
      <c r="B2032" s="1" t="s">
        <v>15938</v>
      </c>
      <c r="D2032" s="1" t="s">
        <v>9762</v>
      </c>
      <c r="E2032" s="1" t="s">
        <v>9789</v>
      </c>
      <c r="F2032" s="1" t="s">
        <v>15939</v>
      </c>
      <c r="G2032" s="1" t="s">
        <v>15940</v>
      </c>
    </row>
    <row r="2033" spans="1:7">
      <c r="A2033" s="1">
        <v>2032</v>
      </c>
      <c r="B2033" s="1" t="s">
        <v>15941</v>
      </c>
      <c r="D2033" s="1" t="s">
        <v>9762</v>
      </c>
      <c r="E2033" s="1" t="s">
        <v>9791</v>
      </c>
      <c r="F2033" s="1" t="s">
        <v>15942</v>
      </c>
      <c r="G2033" s="1" t="s">
        <v>15943</v>
      </c>
    </row>
    <row r="2034" spans="1:7">
      <c r="A2034" s="1">
        <v>2033</v>
      </c>
      <c r="B2034" s="1" t="s">
        <v>15944</v>
      </c>
      <c r="D2034" s="1" t="s">
        <v>9762</v>
      </c>
      <c r="E2034" s="1" t="s">
        <v>9793</v>
      </c>
      <c r="F2034" s="1" t="s">
        <v>15945</v>
      </c>
      <c r="G2034" s="1" t="s">
        <v>15946</v>
      </c>
    </row>
    <row r="2035" spans="1:7">
      <c r="A2035" s="1">
        <v>2034</v>
      </c>
      <c r="B2035" s="1" t="s">
        <v>15947</v>
      </c>
      <c r="D2035" s="1" t="s">
        <v>9762</v>
      </c>
      <c r="E2035" s="1" t="s">
        <v>9795</v>
      </c>
      <c r="F2035" s="1" t="s">
        <v>15948</v>
      </c>
      <c r="G2035" s="1" t="s">
        <v>15949</v>
      </c>
    </row>
    <row r="2036" spans="1:7">
      <c r="A2036" s="1">
        <v>2035</v>
      </c>
      <c r="B2036" s="1" t="s">
        <v>15950</v>
      </c>
      <c r="D2036" s="1" t="s">
        <v>9762</v>
      </c>
      <c r="E2036" s="1" t="s">
        <v>9797</v>
      </c>
      <c r="F2036" s="1" t="s">
        <v>15951</v>
      </c>
      <c r="G2036" s="1" t="s">
        <v>15952</v>
      </c>
    </row>
    <row r="2037" spans="1:7">
      <c r="A2037" s="1">
        <v>2036</v>
      </c>
      <c r="B2037" s="1" t="s">
        <v>15953</v>
      </c>
      <c r="D2037" s="1" t="s">
        <v>9762</v>
      </c>
      <c r="E2037" s="1" t="s">
        <v>9799</v>
      </c>
      <c r="F2037" s="1" t="s">
        <v>15954</v>
      </c>
      <c r="G2037" s="1" t="s">
        <v>15955</v>
      </c>
    </row>
    <row r="2038" spans="1:7">
      <c r="A2038" s="1">
        <v>2037</v>
      </c>
      <c r="B2038" s="1" t="s">
        <v>15956</v>
      </c>
      <c r="D2038" s="1" t="s">
        <v>9762</v>
      </c>
      <c r="E2038" s="1" t="s">
        <v>9801</v>
      </c>
      <c r="F2038" s="1" t="s">
        <v>15957</v>
      </c>
      <c r="G2038" s="1" t="s">
        <v>15958</v>
      </c>
    </row>
    <row r="2039" spans="1:7">
      <c r="A2039" s="1">
        <v>2038</v>
      </c>
      <c r="B2039" s="1" t="s">
        <v>15959</v>
      </c>
      <c r="D2039" s="1" t="s">
        <v>9762</v>
      </c>
      <c r="E2039" s="1" t="s">
        <v>9803</v>
      </c>
      <c r="F2039" s="1" t="s">
        <v>15960</v>
      </c>
      <c r="G2039" s="1" t="s">
        <v>15961</v>
      </c>
    </row>
    <row r="2040" spans="1:7">
      <c r="A2040" s="1">
        <v>2039</v>
      </c>
      <c r="B2040" s="1" t="s">
        <v>15962</v>
      </c>
      <c r="D2040" s="1" t="s">
        <v>9762</v>
      </c>
      <c r="E2040" s="1" t="s">
        <v>9805</v>
      </c>
      <c r="F2040" s="1" t="s">
        <v>15963</v>
      </c>
      <c r="G2040" s="1" t="s">
        <v>15964</v>
      </c>
    </row>
    <row r="2041" spans="1:7">
      <c r="A2041" s="1">
        <v>2040</v>
      </c>
      <c r="B2041" s="1" t="s">
        <v>15965</v>
      </c>
      <c r="D2041" s="1" t="s">
        <v>9762</v>
      </c>
      <c r="E2041" s="1" t="s">
        <v>9807</v>
      </c>
      <c r="F2041" s="1" t="s">
        <v>15966</v>
      </c>
      <c r="G2041" s="1" t="s">
        <v>15967</v>
      </c>
    </row>
    <row r="2042" spans="1:7">
      <c r="A2042" s="1">
        <v>2041</v>
      </c>
      <c r="B2042" s="1" t="s">
        <v>15968</v>
      </c>
      <c r="D2042" s="1" t="s">
        <v>9762</v>
      </c>
      <c r="E2042" s="1" t="s">
        <v>9809</v>
      </c>
      <c r="F2042" s="1" t="s">
        <v>15969</v>
      </c>
      <c r="G2042" s="1" t="s">
        <v>15970</v>
      </c>
    </row>
    <row r="2043" spans="1:7">
      <c r="A2043" s="1">
        <v>2042</v>
      </c>
      <c r="B2043" s="1" t="s">
        <v>15971</v>
      </c>
      <c r="D2043" s="1" t="s">
        <v>9762</v>
      </c>
      <c r="E2043" s="1" t="s">
        <v>9811</v>
      </c>
      <c r="F2043" s="1" t="s">
        <v>15972</v>
      </c>
      <c r="G2043" s="1" t="s">
        <v>15973</v>
      </c>
    </row>
    <row r="2044" spans="1:7">
      <c r="A2044" s="1">
        <v>2043</v>
      </c>
      <c r="B2044" s="1" t="s">
        <v>15974</v>
      </c>
      <c r="D2044" s="1" t="s">
        <v>9762</v>
      </c>
      <c r="E2044" s="1" t="s">
        <v>9813</v>
      </c>
      <c r="F2044" s="1" t="s">
        <v>15975</v>
      </c>
      <c r="G2044" s="1" t="s">
        <v>15976</v>
      </c>
    </row>
    <row r="2045" spans="1:7">
      <c r="A2045" s="1">
        <v>2044</v>
      </c>
      <c r="B2045" s="1" t="s">
        <v>15977</v>
      </c>
      <c r="D2045" s="1" t="s">
        <v>9762</v>
      </c>
      <c r="E2045" s="1" t="s">
        <v>3748</v>
      </c>
      <c r="F2045" s="1" t="s">
        <v>15978</v>
      </c>
      <c r="G2045" s="1" t="s">
        <v>15979</v>
      </c>
    </row>
    <row r="2046" spans="1:7">
      <c r="A2046" s="1">
        <v>2045</v>
      </c>
      <c r="B2046" s="1" t="s">
        <v>15980</v>
      </c>
      <c r="D2046" s="1" t="s">
        <v>9762</v>
      </c>
      <c r="E2046" s="1" t="s">
        <v>9815</v>
      </c>
      <c r="F2046" s="1" t="s">
        <v>15981</v>
      </c>
      <c r="G2046" s="1" t="s">
        <v>15982</v>
      </c>
    </row>
    <row r="2047" spans="1:7">
      <c r="A2047" s="1">
        <v>2046</v>
      </c>
      <c r="B2047" s="1" t="s">
        <v>15983</v>
      </c>
      <c r="D2047" s="1" t="s">
        <v>9762</v>
      </c>
      <c r="E2047" s="1" t="s">
        <v>9817</v>
      </c>
      <c r="F2047" s="1" t="s">
        <v>15984</v>
      </c>
      <c r="G2047" s="1" t="s">
        <v>15985</v>
      </c>
    </row>
    <row r="2048" spans="1:7">
      <c r="A2048" s="1">
        <v>2047</v>
      </c>
      <c r="B2048" s="1" t="s">
        <v>15986</v>
      </c>
      <c r="D2048" s="1" t="s">
        <v>9762</v>
      </c>
      <c r="E2048" s="1" t="s">
        <v>3742</v>
      </c>
      <c r="F2048" s="1" t="s">
        <v>15987</v>
      </c>
      <c r="G2048" s="1" t="s">
        <v>15988</v>
      </c>
    </row>
    <row r="2049" spans="1:7">
      <c r="A2049" s="1">
        <v>2048</v>
      </c>
      <c r="B2049" s="1" t="s">
        <v>15989</v>
      </c>
      <c r="D2049" s="1" t="s">
        <v>9762</v>
      </c>
      <c r="E2049" s="1" t="s">
        <v>3743</v>
      </c>
      <c r="F2049" s="1" t="s">
        <v>15990</v>
      </c>
      <c r="G2049" s="1" t="s">
        <v>15991</v>
      </c>
    </row>
    <row r="2050" spans="1:7">
      <c r="A2050" s="1">
        <v>2049</v>
      </c>
      <c r="B2050" s="1" t="s">
        <v>15992</v>
      </c>
      <c r="D2050" s="1" t="s">
        <v>9762</v>
      </c>
      <c r="E2050" s="1" t="s">
        <v>3744</v>
      </c>
      <c r="F2050" s="1" t="s">
        <v>15993</v>
      </c>
      <c r="G2050" s="1" t="s">
        <v>15994</v>
      </c>
    </row>
    <row r="2051" spans="1:7">
      <c r="A2051" s="1">
        <v>2050</v>
      </c>
      <c r="B2051" s="1" t="s">
        <v>15995</v>
      </c>
      <c r="D2051" s="1" t="s">
        <v>9762</v>
      </c>
      <c r="E2051" s="1" t="s">
        <v>3745</v>
      </c>
      <c r="F2051" s="1" t="s">
        <v>15996</v>
      </c>
      <c r="G2051" s="1" t="s">
        <v>15997</v>
      </c>
    </row>
    <row r="2052" spans="1:7">
      <c r="A2052" s="1">
        <v>2051</v>
      </c>
      <c r="B2052" s="1" t="s">
        <v>15998</v>
      </c>
      <c r="D2052" s="1" t="s">
        <v>9762</v>
      </c>
      <c r="E2052" s="1" t="s">
        <v>3746</v>
      </c>
      <c r="F2052" s="1" t="s">
        <v>15999</v>
      </c>
      <c r="G2052" s="1" t="s">
        <v>16000</v>
      </c>
    </row>
    <row r="2053" spans="1:7">
      <c r="A2053" s="1">
        <v>2052</v>
      </c>
      <c r="B2053" s="1" t="s">
        <v>16001</v>
      </c>
      <c r="D2053" s="1" t="s">
        <v>9762</v>
      </c>
      <c r="E2053" s="1" t="s">
        <v>3747</v>
      </c>
      <c r="F2053" s="1" t="s">
        <v>16002</v>
      </c>
      <c r="G2053" s="1" t="s">
        <v>16003</v>
      </c>
    </row>
    <row r="2054" spans="1:7">
      <c r="A2054" s="1">
        <v>2053</v>
      </c>
      <c r="B2054" s="1" t="s">
        <v>16004</v>
      </c>
      <c r="D2054" s="1" t="s">
        <v>9762</v>
      </c>
      <c r="E2054" s="1" t="s">
        <v>9826</v>
      </c>
      <c r="F2054" s="1" t="s">
        <v>16005</v>
      </c>
      <c r="G2054" s="1" t="s">
        <v>16006</v>
      </c>
    </row>
    <row r="2055" spans="1:7">
      <c r="A2055" s="1">
        <v>2054</v>
      </c>
      <c r="B2055" s="1" t="s">
        <v>16007</v>
      </c>
      <c r="D2055" s="1" t="s">
        <v>9762</v>
      </c>
      <c r="E2055" s="1" t="s">
        <v>9828</v>
      </c>
      <c r="F2055" s="1" t="s">
        <v>16008</v>
      </c>
      <c r="G2055" s="1" t="s">
        <v>16009</v>
      </c>
    </row>
    <row r="2056" spans="1:7">
      <c r="A2056" s="1">
        <v>2055</v>
      </c>
      <c r="B2056" s="1" t="s">
        <v>16010</v>
      </c>
      <c r="D2056" s="1" t="s">
        <v>9762</v>
      </c>
      <c r="E2056" s="1" t="s">
        <v>9830</v>
      </c>
      <c r="F2056" s="1" t="s">
        <v>16011</v>
      </c>
      <c r="G2056" s="1" t="s">
        <v>16012</v>
      </c>
    </row>
    <row r="2057" spans="1:7">
      <c r="A2057" s="1">
        <v>2056</v>
      </c>
      <c r="B2057" s="1" t="s">
        <v>16013</v>
      </c>
      <c r="D2057" s="1" t="s">
        <v>9762</v>
      </c>
      <c r="E2057" s="1" t="s">
        <v>9832</v>
      </c>
      <c r="F2057" s="1" t="s">
        <v>16014</v>
      </c>
      <c r="G2057" s="1" t="s">
        <v>16015</v>
      </c>
    </row>
    <row r="2058" spans="1:7">
      <c r="A2058" s="1">
        <v>2057</v>
      </c>
      <c r="B2058" s="1" t="s">
        <v>16016</v>
      </c>
      <c r="D2058" s="1" t="s">
        <v>9762</v>
      </c>
      <c r="E2058" s="1" t="s">
        <v>9834</v>
      </c>
      <c r="F2058" s="1" t="s">
        <v>16017</v>
      </c>
      <c r="G2058" s="1" t="s">
        <v>16018</v>
      </c>
    </row>
    <row r="2059" spans="1:7">
      <c r="A2059" s="1">
        <v>2058</v>
      </c>
      <c r="B2059" s="1" t="s">
        <v>16019</v>
      </c>
      <c r="D2059" s="1" t="s">
        <v>9836</v>
      </c>
      <c r="E2059" s="1" t="s">
        <v>9837</v>
      </c>
      <c r="F2059" s="1" t="s">
        <v>16020</v>
      </c>
      <c r="G2059" s="1" t="s">
        <v>16021</v>
      </c>
    </row>
    <row r="2060" spans="1:7">
      <c r="A2060" s="1">
        <v>2059</v>
      </c>
      <c r="B2060" s="1" t="s">
        <v>16022</v>
      </c>
      <c r="D2060" s="1" t="s">
        <v>9836</v>
      </c>
      <c r="E2060" s="1" t="s">
        <v>9839</v>
      </c>
      <c r="F2060" s="1" t="s">
        <v>16023</v>
      </c>
      <c r="G2060" s="1" t="s">
        <v>16024</v>
      </c>
    </row>
    <row r="2061" spans="1:7">
      <c r="A2061" s="1">
        <v>2060</v>
      </c>
      <c r="B2061" s="1" t="s">
        <v>16025</v>
      </c>
      <c r="D2061" s="1" t="s">
        <v>9836</v>
      </c>
      <c r="E2061" s="1" t="s">
        <v>9841</v>
      </c>
      <c r="F2061" s="1" t="s">
        <v>16026</v>
      </c>
      <c r="G2061" s="1" t="s">
        <v>16027</v>
      </c>
    </row>
    <row r="2062" spans="1:7">
      <c r="A2062" s="1">
        <v>2061</v>
      </c>
      <c r="B2062" s="1" t="s">
        <v>16028</v>
      </c>
      <c r="D2062" s="1" t="s">
        <v>9836</v>
      </c>
      <c r="E2062" s="1" t="s">
        <v>9843</v>
      </c>
      <c r="F2062" s="1" t="s">
        <v>16029</v>
      </c>
      <c r="G2062" s="1" t="s">
        <v>16030</v>
      </c>
    </row>
    <row r="2063" spans="1:7">
      <c r="A2063" s="1">
        <v>2062</v>
      </c>
      <c r="B2063" s="1" t="s">
        <v>16031</v>
      </c>
      <c r="D2063" s="1" t="s">
        <v>9836</v>
      </c>
      <c r="E2063" s="1" t="s">
        <v>9845</v>
      </c>
      <c r="F2063" s="1" t="s">
        <v>16032</v>
      </c>
      <c r="G2063" s="1" t="s">
        <v>16033</v>
      </c>
    </row>
    <row r="2064" spans="1:7">
      <c r="A2064" s="1">
        <v>2063</v>
      </c>
      <c r="B2064" s="1" t="s">
        <v>16034</v>
      </c>
      <c r="D2064" s="1" t="s">
        <v>9836</v>
      </c>
      <c r="E2064" s="1" t="s">
        <v>9847</v>
      </c>
      <c r="F2064" s="1" t="s">
        <v>16035</v>
      </c>
      <c r="G2064" s="1" t="s">
        <v>16036</v>
      </c>
    </row>
    <row r="2065" spans="1:7">
      <c r="A2065" s="1">
        <v>2064</v>
      </c>
      <c r="B2065" s="1" t="s">
        <v>16037</v>
      </c>
      <c r="D2065" s="1" t="s">
        <v>9836</v>
      </c>
      <c r="E2065" s="1" t="s">
        <v>9849</v>
      </c>
      <c r="F2065" s="1" t="s">
        <v>16038</v>
      </c>
      <c r="G2065" s="1" t="s">
        <v>16039</v>
      </c>
    </row>
    <row r="2066" spans="1:7">
      <c r="A2066" s="1">
        <v>2065</v>
      </c>
      <c r="B2066" s="1" t="s">
        <v>16040</v>
      </c>
      <c r="D2066" s="1" t="s">
        <v>9836</v>
      </c>
      <c r="E2066" s="1" t="s">
        <v>9851</v>
      </c>
      <c r="F2066" s="1" t="s">
        <v>16041</v>
      </c>
      <c r="G2066" s="1" t="s">
        <v>16042</v>
      </c>
    </row>
    <row r="2067" spans="1:7">
      <c r="A2067" s="1">
        <v>2066</v>
      </c>
      <c r="B2067" s="1" t="s">
        <v>16043</v>
      </c>
      <c r="D2067" s="1" t="s">
        <v>9836</v>
      </c>
      <c r="E2067" s="1" t="s">
        <v>9853</v>
      </c>
      <c r="F2067" s="1" t="s">
        <v>16044</v>
      </c>
      <c r="G2067" s="1" t="s">
        <v>16045</v>
      </c>
    </row>
    <row r="2068" spans="1:7">
      <c r="A2068" s="1">
        <v>2067</v>
      </c>
      <c r="B2068" s="1" t="s">
        <v>16046</v>
      </c>
      <c r="D2068" s="1" t="s">
        <v>9836</v>
      </c>
      <c r="E2068" s="1" t="s">
        <v>9855</v>
      </c>
      <c r="F2068" s="1" t="s">
        <v>16047</v>
      </c>
      <c r="G2068" s="1" t="s">
        <v>16048</v>
      </c>
    </row>
    <row r="2069" spans="1:7">
      <c r="A2069" s="1">
        <v>2068</v>
      </c>
      <c r="B2069" s="1" t="s">
        <v>16049</v>
      </c>
      <c r="D2069" s="1" t="s">
        <v>9836</v>
      </c>
      <c r="E2069" s="1" t="s">
        <v>9857</v>
      </c>
      <c r="F2069" s="1" t="s">
        <v>16050</v>
      </c>
      <c r="G2069" s="1" t="s">
        <v>16051</v>
      </c>
    </row>
    <row r="2070" spans="1:7">
      <c r="A2070" s="1">
        <v>2069</v>
      </c>
      <c r="B2070" s="1" t="s">
        <v>16052</v>
      </c>
      <c r="D2070" s="1" t="s">
        <v>9836</v>
      </c>
      <c r="E2070" s="1" t="s">
        <v>9859</v>
      </c>
      <c r="F2070" s="1" t="s">
        <v>16053</v>
      </c>
      <c r="G2070" s="1" t="s">
        <v>16054</v>
      </c>
    </row>
    <row r="2071" spans="1:7">
      <c r="A2071" s="1">
        <v>2070</v>
      </c>
      <c r="B2071" s="1" t="s">
        <v>16055</v>
      </c>
      <c r="D2071" s="1" t="s">
        <v>9836</v>
      </c>
      <c r="E2071" s="1" t="s">
        <v>9861</v>
      </c>
      <c r="F2071" s="1" t="s">
        <v>16056</v>
      </c>
      <c r="G2071" s="1" t="s">
        <v>16057</v>
      </c>
    </row>
    <row r="2072" spans="1:7">
      <c r="A2072" s="1">
        <v>2071</v>
      </c>
      <c r="B2072" s="1" t="s">
        <v>16058</v>
      </c>
      <c r="D2072" s="1" t="s">
        <v>9836</v>
      </c>
      <c r="E2072" s="1" t="s">
        <v>9863</v>
      </c>
      <c r="F2072" s="1" t="s">
        <v>16059</v>
      </c>
      <c r="G2072" s="1" t="s">
        <v>16060</v>
      </c>
    </row>
    <row r="2073" spans="1:7">
      <c r="A2073" s="1">
        <v>2072</v>
      </c>
      <c r="B2073" s="1" t="s">
        <v>16061</v>
      </c>
      <c r="D2073" s="1" t="s">
        <v>9836</v>
      </c>
      <c r="E2073" s="1" t="s">
        <v>9865</v>
      </c>
      <c r="F2073" s="1" t="s">
        <v>16062</v>
      </c>
      <c r="G2073" s="1" t="s">
        <v>16063</v>
      </c>
    </row>
    <row r="2074" spans="1:7">
      <c r="A2074" s="1">
        <v>2073</v>
      </c>
      <c r="B2074" s="1" t="s">
        <v>16064</v>
      </c>
      <c r="D2074" s="1" t="s">
        <v>9836</v>
      </c>
      <c r="E2074" s="1" t="s">
        <v>9867</v>
      </c>
      <c r="F2074" s="1" t="s">
        <v>16065</v>
      </c>
      <c r="G2074" s="1" t="s">
        <v>16066</v>
      </c>
    </row>
    <row r="2075" spans="1:7">
      <c r="A2075" s="1">
        <v>2074</v>
      </c>
      <c r="B2075" s="1" t="s">
        <v>16067</v>
      </c>
      <c r="D2075" s="1" t="s">
        <v>9869</v>
      </c>
      <c r="E2075" s="1" t="s">
        <v>9870</v>
      </c>
      <c r="F2075" s="1" t="s">
        <v>16068</v>
      </c>
      <c r="G2075" s="1" t="s">
        <v>16069</v>
      </c>
    </row>
    <row r="2076" spans="1:7">
      <c r="A2076" s="1">
        <v>2075</v>
      </c>
      <c r="B2076" s="1" t="s">
        <v>16070</v>
      </c>
      <c r="D2076" s="1" t="s">
        <v>9869</v>
      </c>
      <c r="E2076" s="1" t="s">
        <v>9872</v>
      </c>
      <c r="F2076" s="1" t="s">
        <v>16071</v>
      </c>
      <c r="G2076" s="1" t="s">
        <v>16072</v>
      </c>
    </row>
    <row r="2077" spans="1:7">
      <c r="A2077" s="1">
        <v>2076</v>
      </c>
      <c r="B2077" s="1" t="s">
        <v>16073</v>
      </c>
      <c r="D2077" s="1" t="s">
        <v>9869</v>
      </c>
      <c r="E2077" s="1" t="s">
        <v>9874</v>
      </c>
      <c r="F2077" s="1" t="s">
        <v>16074</v>
      </c>
      <c r="G2077" s="1" t="s">
        <v>16075</v>
      </c>
    </row>
    <row r="2078" spans="1:7">
      <c r="A2078" s="1">
        <v>2077</v>
      </c>
      <c r="B2078" s="1" t="s">
        <v>16076</v>
      </c>
      <c r="D2078" s="1" t="s">
        <v>9869</v>
      </c>
      <c r="E2078" s="1" t="s">
        <v>9876</v>
      </c>
      <c r="F2078" s="1" t="s">
        <v>16077</v>
      </c>
      <c r="G2078" s="1" t="s">
        <v>16078</v>
      </c>
    </row>
    <row r="2079" spans="1:7">
      <c r="A2079" s="1">
        <v>2078</v>
      </c>
      <c r="B2079" s="1" t="s">
        <v>16079</v>
      </c>
      <c r="D2079" s="1" t="s">
        <v>9869</v>
      </c>
      <c r="E2079" s="1" t="s">
        <v>9878</v>
      </c>
      <c r="F2079" s="1" t="s">
        <v>16080</v>
      </c>
      <c r="G2079" s="1" t="s">
        <v>16081</v>
      </c>
    </row>
    <row r="2080" spans="1:7">
      <c r="A2080" s="1">
        <v>2079</v>
      </c>
      <c r="B2080" s="1" t="s">
        <v>16082</v>
      </c>
      <c r="D2080" s="1" t="s">
        <v>9869</v>
      </c>
      <c r="E2080" s="1" t="s">
        <v>9880</v>
      </c>
      <c r="F2080" s="1" t="s">
        <v>16083</v>
      </c>
      <c r="G2080" s="1" t="s">
        <v>16084</v>
      </c>
    </row>
    <row r="2081" spans="1:7">
      <c r="A2081" s="1">
        <v>2080</v>
      </c>
      <c r="B2081" s="1" t="s">
        <v>16085</v>
      </c>
      <c r="D2081" s="1" t="s">
        <v>9869</v>
      </c>
      <c r="E2081" s="1" t="s">
        <v>9882</v>
      </c>
      <c r="F2081" s="1" t="s">
        <v>16086</v>
      </c>
      <c r="G2081" s="1" t="s">
        <v>16087</v>
      </c>
    </row>
    <row r="2082" spans="1:7">
      <c r="A2082" s="1">
        <v>2081</v>
      </c>
      <c r="B2082" s="1" t="s">
        <v>16088</v>
      </c>
      <c r="D2082" s="1" t="s">
        <v>9869</v>
      </c>
      <c r="E2082" s="1" t="s">
        <v>9884</v>
      </c>
      <c r="F2082" s="1" t="s">
        <v>16089</v>
      </c>
      <c r="G2082" s="1" t="s">
        <v>16090</v>
      </c>
    </row>
    <row r="2083" spans="1:7">
      <c r="A2083" s="1">
        <v>2082</v>
      </c>
      <c r="B2083" s="1" t="s">
        <v>16091</v>
      </c>
      <c r="D2083" s="1" t="s">
        <v>9869</v>
      </c>
      <c r="E2083" s="1" t="s">
        <v>9886</v>
      </c>
      <c r="F2083" s="1" t="s">
        <v>16092</v>
      </c>
      <c r="G2083" s="1" t="s">
        <v>16093</v>
      </c>
    </row>
    <row r="2084" spans="1:7">
      <c r="A2084" s="1">
        <v>2083</v>
      </c>
      <c r="B2084" s="1" t="s">
        <v>16094</v>
      </c>
      <c r="D2084" s="1" t="s">
        <v>9869</v>
      </c>
      <c r="E2084" s="1" t="s">
        <v>9888</v>
      </c>
      <c r="F2084" s="1" t="s">
        <v>16095</v>
      </c>
      <c r="G2084" s="1" t="s">
        <v>16096</v>
      </c>
    </row>
    <row r="2085" spans="1:7">
      <c r="A2085" s="1">
        <v>2084</v>
      </c>
      <c r="B2085" s="1" t="s">
        <v>16097</v>
      </c>
      <c r="D2085" s="1" t="s">
        <v>9869</v>
      </c>
      <c r="E2085" s="1" t="s">
        <v>9890</v>
      </c>
      <c r="F2085" s="1" t="s">
        <v>16098</v>
      </c>
      <c r="G2085" s="1" t="s">
        <v>16099</v>
      </c>
    </row>
    <row r="2086" spans="1:7">
      <c r="A2086" s="1">
        <v>2085</v>
      </c>
      <c r="B2086" s="1" t="s">
        <v>16100</v>
      </c>
      <c r="D2086" s="1" t="s">
        <v>9869</v>
      </c>
      <c r="E2086" s="1" t="s">
        <v>9892</v>
      </c>
      <c r="F2086" s="1" t="s">
        <v>16101</v>
      </c>
      <c r="G2086" s="1" t="s">
        <v>16102</v>
      </c>
    </row>
    <row r="2087" spans="1:7">
      <c r="A2087" s="1">
        <v>2086</v>
      </c>
      <c r="B2087" s="1" t="s">
        <v>16103</v>
      </c>
      <c r="D2087" s="1" t="s">
        <v>9869</v>
      </c>
      <c r="E2087" s="1" t="s">
        <v>9894</v>
      </c>
      <c r="F2087" s="1" t="s">
        <v>16104</v>
      </c>
      <c r="G2087" s="1" t="s">
        <v>16105</v>
      </c>
    </row>
    <row r="2088" spans="1:7">
      <c r="A2088" s="1">
        <v>2087</v>
      </c>
      <c r="B2088" s="1" t="s">
        <v>16106</v>
      </c>
      <c r="D2088" s="1" t="s">
        <v>9869</v>
      </c>
      <c r="E2088" s="1" t="s">
        <v>9896</v>
      </c>
      <c r="F2088" s="1" t="s">
        <v>16107</v>
      </c>
      <c r="G2088" s="1" t="s">
        <v>16108</v>
      </c>
    </row>
    <row r="2089" spans="1:7">
      <c r="A2089" s="1">
        <v>2088</v>
      </c>
      <c r="B2089" s="1" t="s">
        <v>16109</v>
      </c>
      <c r="D2089" s="1" t="s">
        <v>9869</v>
      </c>
      <c r="E2089" s="1" t="s">
        <v>9898</v>
      </c>
      <c r="F2089" s="1" t="s">
        <v>16110</v>
      </c>
      <c r="G2089" s="1" t="s">
        <v>16111</v>
      </c>
    </row>
    <row r="2090" spans="1:7">
      <c r="A2090" s="1">
        <v>2089</v>
      </c>
      <c r="B2090" s="1" t="s">
        <v>16112</v>
      </c>
      <c r="D2090" s="1" t="s">
        <v>9869</v>
      </c>
      <c r="E2090" s="1" t="s">
        <v>9900</v>
      </c>
      <c r="F2090" s="1" t="s">
        <v>16113</v>
      </c>
      <c r="G2090" s="1" t="s">
        <v>16114</v>
      </c>
    </row>
    <row r="2091" spans="1:7">
      <c r="A2091" s="1">
        <v>2090</v>
      </c>
      <c r="B2091" s="1" t="s">
        <v>16115</v>
      </c>
      <c r="D2091" s="1" t="s">
        <v>9869</v>
      </c>
      <c r="E2091" s="1" t="s">
        <v>9902</v>
      </c>
      <c r="F2091" s="1" t="s">
        <v>16116</v>
      </c>
      <c r="G2091" s="1" t="s">
        <v>16117</v>
      </c>
    </row>
    <row r="2092" spans="1:7">
      <c r="A2092" s="1">
        <v>2091</v>
      </c>
      <c r="B2092" s="1" t="s">
        <v>16118</v>
      </c>
      <c r="D2092" s="1" t="s">
        <v>9869</v>
      </c>
      <c r="E2092" s="1" t="s">
        <v>9904</v>
      </c>
      <c r="F2092" s="1" t="s">
        <v>16119</v>
      </c>
      <c r="G2092" s="1" t="s">
        <v>16120</v>
      </c>
    </row>
    <row r="2093" spans="1:7">
      <c r="A2093" s="1">
        <v>2092</v>
      </c>
      <c r="B2093" s="1" t="s">
        <v>16121</v>
      </c>
      <c r="D2093" s="1" t="s">
        <v>9869</v>
      </c>
      <c r="E2093" s="1" t="s">
        <v>9906</v>
      </c>
      <c r="F2093" s="1" t="s">
        <v>16122</v>
      </c>
      <c r="G2093" s="1" t="s">
        <v>16123</v>
      </c>
    </row>
    <row r="2094" spans="1:7">
      <c r="A2094" s="1">
        <v>2093</v>
      </c>
      <c r="B2094" s="1" t="s">
        <v>16124</v>
      </c>
      <c r="D2094" s="1" t="s">
        <v>9869</v>
      </c>
      <c r="E2094" s="1" t="s">
        <v>9908</v>
      </c>
      <c r="F2094" s="1" t="s">
        <v>16125</v>
      </c>
      <c r="G2094" s="1" t="s">
        <v>16126</v>
      </c>
    </row>
    <row r="2095" spans="1:7">
      <c r="A2095" s="1">
        <v>2094</v>
      </c>
      <c r="B2095" s="1" t="s">
        <v>16127</v>
      </c>
      <c r="D2095" s="1" t="s">
        <v>9869</v>
      </c>
      <c r="E2095" s="1" t="s">
        <v>9910</v>
      </c>
      <c r="F2095" s="1" t="s">
        <v>16128</v>
      </c>
      <c r="G2095" s="1" t="s">
        <v>16129</v>
      </c>
    </row>
    <row r="2096" spans="1:7">
      <c r="A2096" s="1">
        <v>2095</v>
      </c>
      <c r="B2096" s="1" t="s">
        <v>16130</v>
      </c>
      <c r="D2096" s="1" t="s">
        <v>9869</v>
      </c>
      <c r="E2096" s="1" t="s">
        <v>9912</v>
      </c>
      <c r="F2096" s="1" t="s">
        <v>16131</v>
      </c>
      <c r="G2096" s="1" t="s">
        <v>16132</v>
      </c>
    </row>
    <row r="2097" spans="1:7">
      <c r="A2097" s="1">
        <v>2096</v>
      </c>
      <c r="B2097" s="1" t="s">
        <v>16133</v>
      </c>
      <c r="D2097" s="1" t="s">
        <v>9869</v>
      </c>
      <c r="E2097" s="1" t="s">
        <v>9914</v>
      </c>
      <c r="F2097" s="1" t="s">
        <v>16134</v>
      </c>
      <c r="G2097" s="1" t="s">
        <v>16135</v>
      </c>
    </row>
    <row r="2098" spans="1:7">
      <c r="A2098" s="1">
        <v>2097</v>
      </c>
      <c r="B2098" s="1" t="s">
        <v>16136</v>
      </c>
      <c r="D2098" s="1" t="s">
        <v>9869</v>
      </c>
      <c r="E2098" s="1" t="s">
        <v>9916</v>
      </c>
      <c r="F2098" s="1" t="s">
        <v>16137</v>
      </c>
      <c r="G2098" s="1" t="s">
        <v>16138</v>
      </c>
    </row>
    <row r="2099" spans="1:7">
      <c r="A2099" s="1">
        <v>2098</v>
      </c>
      <c r="B2099" s="1" t="s">
        <v>16139</v>
      </c>
      <c r="D2099" s="1" t="s">
        <v>9869</v>
      </c>
      <c r="E2099" s="1" t="s">
        <v>9918</v>
      </c>
      <c r="F2099" s="1" t="s">
        <v>16140</v>
      </c>
      <c r="G2099" s="1" t="s">
        <v>16141</v>
      </c>
    </row>
    <row r="2100" spans="1:7">
      <c r="A2100" s="1">
        <v>2099</v>
      </c>
      <c r="B2100" s="1" t="s">
        <v>16142</v>
      </c>
      <c r="D2100" s="1" t="s">
        <v>9869</v>
      </c>
      <c r="E2100" s="1" t="s">
        <v>9920</v>
      </c>
      <c r="F2100" s="1" t="s">
        <v>16143</v>
      </c>
      <c r="G2100" s="1" t="s">
        <v>16144</v>
      </c>
    </row>
    <row r="2101" spans="1:7">
      <c r="A2101" s="1">
        <v>2100</v>
      </c>
      <c r="B2101" s="1" t="s">
        <v>16145</v>
      </c>
      <c r="D2101" s="1" t="s">
        <v>9869</v>
      </c>
      <c r="E2101" s="1" t="s">
        <v>9922</v>
      </c>
      <c r="F2101" s="1" t="s">
        <v>16146</v>
      </c>
      <c r="G2101" s="1" t="s">
        <v>16147</v>
      </c>
    </row>
    <row r="2102" spans="1:7">
      <c r="A2102" s="1">
        <v>2101</v>
      </c>
      <c r="B2102" s="1" t="s">
        <v>16148</v>
      </c>
      <c r="D2102" s="1" t="s">
        <v>9869</v>
      </c>
      <c r="E2102" s="1" t="s">
        <v>9924</v>
      </c>
      <c r="F2102" s="1" t="s">
        <v>16149</v>
      </c>
      <c r="G2102" s="1" t="s">
        <v>16150</v>
      </c>
    </row>
    <row r="2103" spans="1:7">
      <c r="A2103" s="1">
        <v>2102</v>
      </c>
      <c r="B2103" s="1" t="s">
        <v>16151</v>
      </c>
      <c r="D2103" s="1" t="s">
        <v>9869</v>
      </c>
      <c r="E2103" s="1" t="s">
        <v>9926</v>
      </c>
      <c r="F2103" s="1" t="s">
        <v>16152</v>
      </c>
      <c r="G2103" s="1" t="s">
        <v>16153</v>
      </c>
    </row>
    <row r="2104" spans="1:7">
      <c r="A2104" s="1">
        <v>2103</v>
      </c>
      <c r="B2104" s="1" t="s">
        <v>16154</v>
      </c>
      <c r="D2104" s="1" t="s">
        <v>9869</v>
      </c>
      <c r="E2104" s="1" t="s">
        <v>9928</v>
      </c>
      <c r="F2104" s="1" t="s">
        <v>16155</v>
      </c>
      <c r="G2104" s="1" t="s">
        <v>16156</v>
      </c>
    </row>
    <row r="2105" spans="1:7">
      <c r="A2105" s="1">
        <v>2104</v>
      </c>
      <c r="B2105" s="1" t="s">
        <v>16157</v>
      </c>
      <c r="D2105" s="1" t="s">
        <v>9869</v>
      </c>
      <c r="E2105" s="1" t="s">
        <v>9930</v>
      </c>
      <c r="F2105" s="1" t="s">
        <v>16158</v>
      </c>
      <c r="G2105" s="1" t="s">
        <v>16159</v>
      </c>
    </row>
    <row r="2106" spans="1:7">
      <c r="A2106" s="1">
        <v>2105</v>
      </c>
      <c r="B2106" s="1" t="s">
        <v>16160</v>
      </c>
      <c r="D2106" s="1" t="s">
        <v>9869</v>
      </c>
      <c r="E2106" s="1" t="s">
        <v>9932</v>
      </c>
      <c r="F2106" s="1" t="s">
        <v>16161</v>
      </c>
      <c r="G2106" s="1" t="s">
        <v>16162</v>
      </c>
    </row>
    <row r="2107" spans="1:7">
      <c r="A2107" s="1">
        <v>2106</v>
      </c>
      <c r="B2107" s="1" t="s">
        <v>16163</v>
      </c>
      <c r="D2107" s="1" t="s">
        <v>9869</v>
      </c>
      <c r="E2107" s="1" t="s">
        <v>9934</v>
      </c>
      <c r="F2107" s="1" t="s">
        <v>16164</v>
      </c>
      <c r="G2107" s="1" t="s">
        <v>16165</v>
      </c>
    </row>
    <row r="2108" spans="1:7">
      <c r="A2108" s="1">
        <v>2107</v>
      </c>
      <c r="B2108" s="1" t="s">
        <v>16166</v>
      </c>
      <c r="D2108" s="1" t="s">
        <v>9869</v>
      </c>
      <c r="E2108" s="1" t="s">
        <v>9936</v>
      </c>
      <c r="F2108" s="1" t="s">
        <v>16167</v>
      </c>
      <c r="G2108" s="1" t="s">
        <v>16168</v>
      </c>
    </row>
    <row r="2109" spans="1:7">
      <c r="A2109" s="1">
        <v>2108</v>
      </c>
      <c r="B2109" s="1" t="s">
        <v>16169</v>
      </c>
      <c r="D2109" s="1" t="s">
        <v>9869</v>
      </c>
      <c r="E2109" s="1" t="s">
        <v>9938</v>
      </c>
      <c r="F2109" s="1" t="s">
        <v>16170</v>
      </c>
      <c r="G2109" s="1" t="s">
        <v>16171</v>
      </c>
    </row>
    <row r="2110" spans="1:7">
      <c r="A2110" s="1">
        <v>2109</v>
      </c>
      <c r="B2110" s="1" t="s">
        <v>16172</v>
      </c>
      <c r="D2110" s="1" t="s">
        <v>9869</v>
      </c>
      <c r="E2110" s="1" t="s">
        <v>9940</v>
      </c>
      <c r="F2110" s="1" t="s">
        <v>16173</v>
      </c>
      <c r="G2110" s="1" t="s">
        <v>16174</v>
      </c>
    </row>
    <row r="2111" spans="1:7">
      <c r="A2111" s="1">
        <v>2110</v>
      </c>
      <c r="B2111" s="1" t="s">
        <v>16175</v>
      </c>
      <c r="D2111" s="1" t="s">
        <v>9869</v>
      </c>
      <c r="E2111" s="1" t="s">
        <v>9942</v>
      </c>
      <c r="F2111" s="1" t="s">
        <v>16176</v>
      </c>
      <c r="G2111" s="1" t="s">
        <v>16177</v>
      </c>
    </row>
    <row r="2112" spans="1:7">
      <c r="A2112" s="1">
        <v>2111</v>
      </c>
      <c r="B2112" s="1" t="s">
        <v>16178</v>
      </c>
      <c r="D2112" s="1" t="s">
        <v>9869</v>
      </c>
      <c r="E2112" s="1" t="s">
        <v>9944</v>
      </c>
      <c r="F2112" s="1" t="s">
        <v>16179</v>
      </c>
      <c r="G2112" s="1" t="s">
        <v>16180</v>
      </c>
    </row>
    <row r="2113" spans="1:7">
      <c r="A2113" s="1">
        <v>2112</v>
      </c>
      <c r="B2113" s="1" t="s">
        <v>16181</v>
      </c>
      <c r="D2113" s="1" t="s">
        <v>9869</v>
      </c>
      <c r="E2113" s="1" t="s">
        <v>9946</v>
      </c>
      <c r="F2113" s="1" t="s">
        <v>16182</v>
      </c>
      <c r="G2113" s="1" t="s">
        <v>16183</v>
      </c>
    </row>
    <row r="2114" spans="1:7">
      <c r="A2114" s="1">
        <v>2113</v>
      </c>
      <c r="B2114" s="1" t="s">
        <v>16184</v>
      </c>
      <c r="D2114" s="1" t="s">
        <v>9869</v>
      </c>
      <c r="E2114" s="1" t="s">
        <v>9948</v>
      </c>
      <c r="F2114" s="1" t="s">
        <v>16185</v>
      </c>
      <c r="G2114" s="1" t="s">
        <v>16186</v>
      </c>
    </row>
    <row r="2115" spans="1:7">
      <c r="A2115" s="1">
        <v>2114</v>
      </c>
      <c r="B2115" s="1" t="s">
        <v>16187</v>
      </c>
      <c r="D2115" s="1" t="s">
        <v>9869</v>
      </c>
      <c r="E2115" s="1" t="s">
        <v>9950</v>
      </c>
      <c r="F2115" s="1" t="s">
        <v>16188</v>
      </c>
      <c r="G2115" s="1" t="s">
        <v>16189</v>
      </c>
    </row>
    <row r="2116" spans="1:7">
      <c r="A2116" s="1">
        <v>2115</v>
      </c>
      <c r="B2116" s="1" t="s">
        <v>16190</v>
      </c>
      <c r="D2116" s="1" t="s">
        <v>9869</v>
      </c>
      <c r="E2116" s="1" t="s">
        <v>9952</v>
      </c>
      <c r="F2116" s="1" t="s">
        <v>16191</v>
      </c>
      <c r="G2116" s="1" t="s">
        <v>16192</v>
      </c>
    </row>
    <row r="2117" spans="1:7">
      <c r="A2117" s="1">
        <v>2116</v>
      </c>
      <c r="B2117" s="1" t="s">
        <v>16193</v>
      </c>
      <c r="D2117" s="1" t="s">
        <v>9869</v>
      </c>
      <c r="E2117" s="1" t="s">
        <v>9954</v>
      </c>
      <c r="F2117" s="1" t="s">
        <v>16194</v>
      </c>
      <c r="G2117" s="1" t="s">
        <v>16195</v>
      </c>
    </row>
    <row r="2118" spans="1:7">
      <c r="A2118" s="1">
        <v>2117</v>
      </c>
      <c r="B2118" s="1" t="s">
        <v>16196</v>
      </c>
      <c r="D2118" s="1" t="s">
        <v>9869</v>
      </c>
      <c r="E2118" s="1" t="s">
        <v>9956</v>
      </c>
      <c r="F2118" s="1" t="s">
        <v>16197</v>
      </c>
      <c r="G2118" s="1" t="s">
        <v>16198</v>
      </c>
    </row>
    <row r="2119" spans="1:7">
      <c r="A2119" s="1">
        <v>2118</v>
      </c>
      <c r="B2119" s="1" t="s">
        <v>16199</v>
      </c>
      <c r="D2119" s="1" t="s">
        <v>9869</v>
      </c>
      <c r="E2119" s="1" t="s">
        <v>9958</v>
      </c>
      <c r="F2119" s="1" t="s">
        <v>16200</v>
      </c>
      <c r="G2119" s="1" t="s">
        <v>16201</v>
      </c>
    </row>
    <row r="2120" spans="1:7">
      <c r="A2120" s="1">
        <v>2119</v>
      </c>
      <c r="B2120" s="1" t="s">
        <v>16202</v>
      </c>
      <c r="D2120" s="1" t="s">
        <v>9869</v>
      </c>
      <c r="E2120" s="1" t="s">
        <v>9960</v>
      </c>
      <c r="F2120" s="1" t="s">
        <v>16203</v>
      </c>
      <c r="G2120" s="1" t="s">
        <v>16204</v>
      </c>
    </row>
    <row r="2121" spans="1:7">
      <c r="A2121" s="1">
        <v>2120</v>
      </c>
      <c r="B2121" s="1" t="s">
        <v>16205</v>
      </c>
      <c r="D2121" s="1" t="s">
        <v>9869</v>
      </c>
      <c r="E2121" s="1" t="s">
        <v>9962</v>
      </c>
      <c r="F2121" s="1" t="s">
        <v>16206</v>
      </c>
      <c r="G2121" s="1" t="s">
        <v>16207</v>
      </c>
    </row>
    <row r="2122" spans="1:7">
      <c r="A2122" s="1">
        <v>2121</v>
      </c>
      <c r="B2122" s="1" t="s">
        <v>16208</v>
      </c>
      <c r="D2122" s="1" t="s">
        <v>9869</v>
      </c>
      <c r="E2122" s="1" t="s">
        <v>9964</v>
      </c>
      <c r="F2122" s="1" t="s">
        <v>16209</v>
      </c>
      <c r="G2122" s="1" t="s">
        <v>16210</v>
      </c>
    </row>
    <row r="2123" spans="1:7">
      <c r="A2123" s="1">
        <v>2122</v>
      </c>
      <c r="B2123" s="1" t="s">
        <v>16211</v>
      </c>
      <c r="D2123" s="1" t="s">
        <v>9869</v>
      </c>
      <c r="E2123" s="1" t="s">
        <v>9966</v>
      </c>
      <c r="F2123" s="1" t="s">
        <v>16212</v>
      </c>
      <c r="G2123" s="1" t="s">
        <v>16213</v>
      </c>
    </row>
    <row r="2124" spans="1:7">
      <c r="A2124" s="1">
        <v>2123</v>
      </c>
      <c r="B2124" s="1" t="s">
        <v>16214</v>
      </c>
      <c r="D2124" s="1" t="s">
        <v>9869</v>
      </c>
      <c r="E2124" s="1" t="s">
        <v>9968</v>
      </c>
      <c r="F2124" s="1" t="s">
        <v>16215</v>
      </c>
      <c r="G2124" s="1" t="s">
        <v>16216</v>
      </c>
    </row>
    <row r="2125" spans="1:7">
      <c r="A2125" s="1">
        <v>2124</v>
      </c>
      <c r="B2125" s="1" t="s">
        <v>16217</v>
      </c>
      <c r="D2125" s="1" t="s">
        <v>9869</v>
      </c>
      <c r="E2125" s="1" t="s">
        <v>9970</v>
      </c>
      <c r="F2125" s="1" t="s">
        <v>16218</v>
      </c>
      <c r="G2125" s="1" t="s">
        <v>16219</v>
      </c>
    </row>
    <row r="2126" spans="1:7">
      <c r="A2126" s="1">
        <v>2125</v>
      </c>
      <c r="B2126" s="1" t="s">
        <v>16220</v>
      </c>
      <c r="D2126" s="1" t="s">
        <v>9869</v>
      </c>
      <c r="E2126" s="1" t="s">
        <v>9972</v>
      </c>
      <c r="F2126" s="1" t="s">
        <v>16221</v>
      </c>
      <c r="G2126" s="1" t="s">
        <v>16222</v>
      </c>
    </row>
    <row r="2127" spans="1:7">
      <c r="A2127" s="1">
        <v>2126</v>
      </c>
      <c r="B2127" s="1" t="s">
        <v>16223</v>
      </c>
      <c r="D2127" s="1" t="s">
        <v>9869</v>
      </c>
      <c r="E2127" s="1" t="s">
        <v>9974</v>
      </c>
      <c r="F2127" s="1" t="s">
        <v>16224</v>
      </c>
      <c r="G2127" s="1" t="s">
        <v>16225</v>
      </c>
    </row>
    <row r="2128" spans="1:7">
      <c r="A2128" s="1">
        <v>2127</v>
      </c>
      <c r="B2128" s="1" t="s">
        <v>16226</v>
      </c>
      <c r="D2128" s="1" t="s">
        <v>9869</v>
      </c>
      <c r="E2128" s="1" t="s">
        <v>9976</v>
      </c>
      <c r="F2128" s="1" t="s">
        <v>16227</v>
      </c>
      <c r="G2128" s="1" t="s">
        <v>16228</v>
      </c>
    </row>
    <row r="2129" spans="1:7">
      <c r="A2129" s="1">
        <v>2128</v>
      </c>
      <c r="B2129" s="1" t="s">
        <v>16229</v>
      </c>
      <c r="D2129" s="1" t="s">
        <v>9869</v>
      </c>
      <c r="E2129" s="1" t="s">
        <v>9978</v>
      </c>
      <c r="F2129" s="1" t="s">
        <v>16230</v>
      </c>
      <c r="G2129" s="1" t="s">
        <v>16231</v>
      </c>
    </row>
    <row r="2130" spans="1:7">
      <c r="A2130" s="1">
        <v>2129</v>
      </c>
      <c r="B2130" s="1" t="s">
        <v>16232</v>
      </c>
      <c r="D2130" s="1" t="s">
        <v>9869</v>
      </c>
      <c r="E2130" s="1" t="s">
        <v>9980</v>
      </c>
      <c r="F2130" s="1" t="s">
        <v>16233</v>
      </c>
      <c r="G2130" s="1" t="s">
        <v>16234</v>
      </c>
    </row>
    <row r="2131" spans="1:7">
      <c r="A2131" s="1">
        <v>2130</v>
      </c>
      <c r="B2131" s="1" t="s">
        <v>16235</v>
      </c>
      <c r="D2131" s="1" t="s">
        <v>9869</v>
      </c>
      <c r="E2131" s="1" t="s">
        <v>9982</v>
      </c>
      <c r="F2131" s="1" t="s">
        <v>16236</v>
      </c>
      <c r="G2131" s="1" t="s">
        <v>16237</v>
      </c>
    </row>
    <row r="2132" spans="1:7">
      <c r="A2132" s="1">
        <v>2131</v>
      </c>
      <c r="B2132" s="1" t="s">
        <v>16238</v>
      </c>
      <c r="D2132" s="1" t="s">
        <v>9869</v>
      </c>
      <c r="E2132" s="1" t="s">
        <v>9984</v>
      </c>
      <c r="F2132" s="1" t="s">
        <v>16239</v>
      </c>
      <c r="G2132" s="1" t="s">
        <v>16240</v>
      </c>
    </row>
    <row r="2133" spans="1:7">
      <c r="A2133" s="1">
        <v>2132</v>
      </c>
      <c r="B2133" s="1" t="s">
        <v>16241</v>
      </c>
      <c r="D2133" s="1" t="s">
        <v>9869</v>
      </c>
      <c r="E2133" s="1" t="s">
        <v>9986</v>
      </c>
      <c r="F2133" s="1" t="s">
        <v>16242</v>
      </c>
      <c r="G2133" s="1" t="s">
        <v>16243</v>
      </c>
    </row>
    <row r="2134" spans="1:7">
      <c r="A2134" s="1">
        <v>2133</v>
      </c>
      <c r="B2134" s="1" t="s">
        <v>16244</v>
      </c>
      <c r="D2134" s="1" t="s">
        <v>9869</v>
      </c>
      <c r="E2134" s="1" t="s">
        <v>9988</v>
      </c>
      <c r="F2134" s="1" t="s">
        <v>16245</v>
      </c>
      <c r="G2134" s="1" t="s">
        <v>16246</v>
      </c>
    </row>
    <row r="2135" spans="1:7">
      <c r="A2135" s="1">
        <v>2134</v>
      </c>
      <c r="B2135" s="1" t="s">
        <v>16247</v>
      </c>
      <c r="D2135" s="1" t="s">
        <v>9869</v>
      </c>
      <c r="E2135" s="1" t="s">
        <v>9990</v>
      </c>
      <c r="F2135" s="1" t="s">
        <v>16248</v>
      </c>
      <c r="G2135" s="1" t="s">
        <v>16249</v>
      </c>
    </row>
    <row r="2136" spans="1:7">
      <c r="A2136" s="1">
        <v>2135</v>
      </c>
      <c r="B2136" s="1" t="s">
        <v>16250</v>
      </c>
      <c r="D2136" s="1" t="s">
        <v>9869</v>
      </c>
      <c r="E2136" s="1" t="s">
        <v>9992</v>
      </c>
      <c r="F2136" s="1" t="s">
        <v>16251</v>
      </c>
      <c r="G2136" s="1" t="s">
        <v>16252</v>
      </c>
    </row>
    <row r="2137" spans="1:7">
      <c r="A2137" s="1">
        <v>2136</v>
      </c>
      <c r="B2137" s="1" t="s">
        <v>16253</v>
      </c>
      <c r="D2137" s="1" t="s">
        <v>9869</v>
      </c>
      <c r="E2137" s="1" t="s">
        <v>9994</v>
      </c>
      <c r="F2137" s="1" t="s">
        <v>16254</v>
      </c>
      <c r="G2137" s="1" t="s">
        <v>16255</v>
      </c>
    </row>
    <row r="2138" spans="1:7">
      <c r="A2138" s="1">
        <v>2137</v>
      </c>
      <c r="B2138" s="1" t="s">
        <v>16256</v>
      </c>
      <c r="D2138" s="1" t="s">
        <v>9869</v>
      </c>
      <c r="E2138" s="1" t="s">
        <v>9996</v>
      </c>
      <c r="F2138" s="1" t="s">
        <v>16257</v>
      </c>
      <c r="G2138" s="1" t="s">
        <v>16258</v>
      </c>
    </row>
    <row r="2139" spans="1:7">
      <c r="A2139" s="1">
        <v>2138</v>
      </c>
      <c r="B2139" s="1" t="s">
        <v>16259</v>
      </c>
      <c r="D2139" s="1" t="s">
        <v>9869</v>
      </c>
      <c r="E2139" s="1" t="s">
        <v>9998</v>
      </c>
      <c r="F2139" s="1" t="s">
        <v>16260</v>
      </c>
      <c r="G2139" s="1" t="s">
        <v>16261</v>
      </c>
    </row>
    <row r="2140" spans="1:7">
      <c r="A2140" s="1">
        <v>2139</v>
      </c>
      <c r="B2140" s="1" t="s">
        <v>16262</v>
      </c>
      <c r="D2140" s="1" t="s">
        <v>10000</v>
      </c>
      <c r="E2140" s="1" t="s">
        <v>10001</v>
      </c>
      <c r="F2140" s="1" t="s">
        <v>16263</v>
      </c>
      <c r="G2140" s="1" t="s">
        <v>16264</v>
      </c>
    </row>
    <row r="2141" spans="1:7">
      <c r="A2141" s="1">
        <v>2140</v>
      </c>
      <c r="B2141" s="1" t="s">
        <v>16265</v>
      </c>
      <c r="D2141" s="1" t="s">
        <v>10000</v>
      </c>
      <c r="E2141" s="1" t="s">
        <v>10003</v>
      </c>
      <c r="F2141" s="1" t="s">
        <v>16266</v>
      </c>
      <c r="G2141" s="1" t="s">
        <v>16267</v>
      </c>
    </row>
    <row r="2142" spans="1:7">
      <c r="A2142" s="1">
        <v>2141</v>
      </c>
      <c r="B2142" s="1" t="s">
        <v>16268</v>
      </c>
      <c r="D2142" s="1" t="s">
        <v>10000</v>
      </c>
      <c r="E2142" s="1" t="s">
        <v>10005</v>
      </c>
      <c r="F2142" s="1" t="s">
        <v>16269</v>
      </c>
      <c r="G2142" s="1" t="s">
        <v>16270</v>
      </c>
    </row>
    <row r="2143" spans="1:7">
      <c r="A2143" s="1">
        <v>2142</v>
      </c>
      <c r="B2143" s="1" t="s">
        <v>16271</v>
      </c>
      <c r="D2143" s="1" t="s">
        <v>10000</v>
      </c>
      <c r="E2143" s="1" t="s">
        <v>10007</v>
      </c>
      <c r="F2143" s="1" t="s">
        <v>16272</v>
      </c>
      <c r="G2143" s="1" t="s">
        <v>16273</v>
      </c>
    </row>
    <row r="2144" spans="1:7">
      <c r="A2144" s="1">
        <v>2143</v>
      </c>
      <c r="B2144" s="1" t="s">
        <v>16274</v>
      </c>
      <c r="D2144" s="1" t="s">
        <v>10000</v>
      </c>
      <c r="E2144" s="1" t="s">
        <v>10009</v>
      </c>
      <c r="F2144" s="1" t="s">
        <v>16275</v>
      </c>
      <c r="G2144" s="1" t="s">
        <v>16276</v>
      </c>
    </row>
    <row r="2145" spans="1:7">
      <c r="A2145" s="1">
        <v>2144</v>
      </c>
      <c r="B2145" s="1" t="s">
        <v>16277</v>
      </c>
      <c r="D2145" s="1" t="s">
        <v>10000</v>
      </c>
      <c r="E2145" s="1" t="s">
        <v>10011</v>
      </c>
      <c r="F2145" s="1" t="s">
        <v>16278</v>
      </c>
      <c r="G2145" s="1" t="s">
        <v>16279</v>
      </c>
    </row>
    <row r="2146" spans="1:7">
      <c r="A2146" s="1">
        <v>2145</v>
      </c>
      <c r="B2146" s="1" t="s">
        <v>16280</v>
      </c>
      <c r="D2146" s="1" t="s">
        <v>10000</v>
      </c>
      <c r="E2146" s="1" t="s">
        <v>10013</v>
      </c>
      <c r="F2146" s="1" t="s">
        <v>16281</v>
      </c>
      <c r="G2146" s="1" t="s">
        <v>16282</v>
      </c>
    </row>
    <row r="2147" spans="1:7">
      <c r="A2147" s="1">
        <v>2146</v>
      </c>
      <c r="B2147" s="1" t="s">
        <v>16283</v>
      </c>
      <c r="D2147" s="1" t="s">
        <v>10000</v>
      </c>
      <c r="E2147" s="1" t="s">
        <v>10015</v>
      </c>
      <c r="F2147" s="1" t="s">
        <v>16284</v>
      </c>
      <c r="G2147" s="1" t="s">
        <v>16285</v>
      </c>
    </row>
    <row r="2148" spans="1:7">
      <c r="A2148" s="1">
        <v>2147</v>
      </c>
      <c r="B2148" s="1" t="s">
        <v>16286</v>
      </c>
      <c r="D2148" s="1" t="s">
        <v>10000</v>
      </c>
      <c r="E2148" s="1" t="s">
        <v>10017</v>
      </c>
      <c r="F2148" s="1" t="s">
        <v>16287</v>
      </c>
      <c r="G2148" s="1" t="s">
        <v>16288</v>
      </c>
    </row>
    <row r="2149" spans="1:7">
      <c r="A2149" s="1">
        <v>2148</v>
      </c>
      <c r="B2149" s="1" t="s">
        <v>16289</v>
      </c>
      <c r="D2149" s="1" t="s">
        <v>10000</v>
      </c>
      <c r="E2149" s="1" t="s">
        <v>10019</v>
      </c>
      <c r="F2149" s="1" t="s">
        <v>16290</v>
      </c>
      <c r="G2149" s="1" t="s">
        <v>16291</v>
      </c>
    </row>
    <row r="2150" spans="1:7">
      <c r="A2150" s="1">
        <v>2149</v>
      </c>
      <c r="B2150" s="1" t="s">
        <v>16292</v>
      </c>
      <c r="D2150" s="1" t="s">
        <v>10000</v>
      </c>
      <c r="E2150" s="1" t="s">
        <v>10021</v>
      </c>
      <c r="F2150" s="1" t="s">
        <v>16293</v>
      </c>
      <c r="G2150" s="1" t="s">
        <v>16294</v>
      </c>
    </row>
    <row r="2151" spans="1:7">
      <c r="A2151" s="1">
        <v>2150</v>
      </c>
      <c r="B2151" s="1" t="s">
        <v>16295</v>
      </c>
      <c r="D2151" s="1" t="s">
        <v>10000</v>
      </c>
      <c r="E2151" s="1" t="s">
        <v>10023</v>
      </c>
      <c r="F2151" s="1" t="s">
        <v>16296</v>
      </c>
      <c r="G2151" s="1" t="s">
        <v>16297</v>
      </c>
    </row>
    <row r="2152" spans="1:7">
      <c r="A2152" s="1">
        <v>2151</v>
      </c>
      <c r="B2152" s="1" t="s">
        <v>16298</v>
      </c>
      <c r="D2152" s="1" t="s">
        <v>10000</v>
      </c>
      <c r="E2152" s="1" t="s">
        <v>10025</v>
      </c>
      <c r="F2152" s="1" t="s">
        <v>16299</v>
      </c>
      <c r="G2152" s="1" t="s">
        <v>16300</v>
      </c>
    </row>
    <row r="2153" spans="1:7">
      <c r="A2153" s="1">
        <v>2152</v>
      </c>
      <c r="B2153" s="1" t="s">
        <v>16301</v>
      </c>
      <c r="D2153" s="1" t="s">
        <v>10000</v>
      </c>
      <c r="E2153" s="1" t="s">
        <v>10027</v>
      </c>
      <c r="F2153" s="1" t="s">
        <v>16302</v>
      </c>
      <c r="G2153" s="1" t="s">
        <v>16303</v>
      </c>
    </row>
    <row r="2154" spans="1:7">
      <c r="A2154" s="1">
        <v>2153</v>
      </c>
      <c r="B2154" s="1" t="s">
        <v>16304</v>
      </c>
      <c r="D2154" s="1" t="s">
        <v>10000</v>
      </c>
      <c r="E2154" s="1" t="s">
        <v>10029</v>
      </c>
      <c r="F2154" s="1" t="s">
        <v>16305</v>
      </c>
      <c r="G2154" s="1" t="s">
        <v>16306</v>
      </c>
    </row>
    <row r="2155" spans="1:7">
      <c r="A2155" s="1">
        <v>2154</v>
      </c>
      <c r="B2155" s="1" t="s">
        <v>16307</v>
      </c>
      <c r="D2155" s="1" t="s">
        <v>10000</v>
      </c>
      <c r="E2155" s="1" t="s">
        <v>10031</v>
      </c>
      <c r="F2155" s="1" t="s">
        <v>16308</v>
      </c>
      <c r="G2155" s="1" t="s">
        <v>16309</v>
      </c>
    </row>
    <row r="2156" spans="1:7">
      <c r="A2156" s="1">
        <v>2155</v>
      </c>
      <c r="B2156" s="1" t="s">
        <v>16310</v>
      </c>
      <c r="D2156" s="1" t="s">
        <v>10000</v>
      </c>
      <c r="E2156" s="1" t="s">
        <v>10033</v>
      </c>
      <c r="F2156" s="1" t="s">
        <v>16311</v>
      </c>
      <c r="G2156" s="1" t="s">
        <v>16312</v>
      </c>
    </row>
    <row r="2157" spans="1:7">
      <c r="A2157" s="1">
        <v>2156</v>
      </c>
      <c r="B2157" s="1" t="s">
        <v>16313</v>
      </c>
      <c r="D2157" s="1" t="s">
        <v>10000</v>
      </c>
      <c r="E2157" s="1" t="s">
        <v>10035</v>
      </c>
      <c r="F2157" s="1" t="s">
        <v>16314</v>
      </c>
      <c r="G2157" s="1" t="s">
        <v>16315</v>
      </c>
    </row>
    <row r="2158" spans="1:7">
      <c r="A2158" s="1">
        <v>2157</v>
      </c>
      <c r="B2158" s="1" t="s">
        <v>16316</v>
      </c>
      <c r="D2158" s="1" t="s">
        <v>10000</v>
      </c>
      <c r="E2158" s="1" t="s">
        <v>10037</v>
      </c>
      <c r="F2158" s="1" t="s">
        <v>16317</v>
      </c>
      <c r="G2158" s="1" t="s">
        <v>16318</v>
      </c>
    </row>
    <row r="2159" spans="1:7">
      <c r="A2159" s="1">
        <v>2158</v>
      </c>
      <c r="B2159" s="1" t="s">
        <v>16319</v>
      </c>
      <c r="D2159" s="1" t="s">
        <v>10000</v>
      </c>
      <c r="E2159" s="1" t="s">
        <v>10039</v>
      </c>
      <c r="F2159" s="1" t="s">
        <v>16320</v>
      </c>
      <c r="G2159" s="1" t="s">
        <v>16321</v>
      </c>
    </row>
    <row r="2160" spans="1:7">
      <c r="A2160" s="1">
        <v>2159</v>
      </c>
      <c r="B2160" s="1" t="s">
        <v>16322</v>
      </c>
      <c r="D2160" s="1" t="s">
        <v>10000</v>
      </c>
      <c r="E2160" s="1" t="s">
        <v>10041</v>
      </c>
      <c r="F2160" s="1" t="s">
        <v>16323</v>
      </c>
      <c r="G2160" s="1" t="s">
        <v>16324</v>
      </c>
    </row>
    <row r="2161" spans="1:7">
      <c r="A2161" s="1">
        <v>2160</v>
      </c>
      <c r="B2161" s="1" t="s">
        <v>16325</v>
      </c>
      <c r="D2161" s="1" t="s">
        <v>10000</v>
      </c>
      <c r="E2161" s="1" t="s">
        <v>10043</v>
      </c>
      <c r="F2161" s="1" t="s">
        <v>16326</v>
      </c>
      <c r="G2161" s="1" t="s">
        <v>16327</v>
      </c>
    </row>
    <row r="2162" spans="1:7">
      <c r="A2162" s="1">
        <v>2161</v>
      </c>
      <c r="B2162" s="1" t="s">
        <v>16328</v>
      </c>
      <c r="D2162" s="1" t="s">
        <v>10000</v>
      </c>
      <c r="E2162" s="1" t="s">
        <v>10045</v>
      </c>
      <c r="F2162" s="1" t="s">
        <v>16329</v>
      </c>
      <c r="G2162" s="1" t="s">
        <v>16330</v>
      </c>
    </row>
    <row r="2163" spans="1:7">
      <c r="A2163" s="1">
        <v>2162</v>
      </c>
      <c r="B2163" s="1" t="s">
        <v>16331</v>
      </c>
      <c r="D2163" s="1" t="s">
        <v>10000</v>
      </c>
      <c r="E2163" s="1" t="s">
        <v>10047</v>
      </c>
      <c r="F2163" s="1" t="s">
        <v>16332</v>
      </c>
      <c r="G2163" s="1" t="s">
        <v>16333</v>
      </c>
    </row>
    <row r="2164" spans="1:7">
      <c r="A2164" s="1">
        <v>2163</v>
      </c>
      <c r="B2164" s="1" t="s">
        <v>16334</v>
      </c>
      <c r="D2164" s="1" t="s">
        <v>10000</v>
      </c>
      <c r="E2164" s="1" t="s">
        <v>10049</v>
      </c>
      <c r="F2164" s="1" t="s">
        <v>16335</v>
      </c>
      <c r="G2164" s="1" t="s">
        <v>16336</v>
      </c>
    </row>
    <row r="2165" spans="1:7">
      <c r="A2165" s="1">
        <v>2164</v>
      </c>
      <c r="B2165" s="1" t="s">
        <v>16337</v>
      </c>
      <c r="D2165" s="1" t="s">
        <v>10000</v>
      </c>
      <c r="E2165" s="1" t="s">
        <v>10051</v>
      </c>
      <c r="F2165" s="1" t="s">
        <v>16338</v>
      </c>
      <c r="G2165" s="1" t="s">
        <v>16339</v>
      </c>
    </row>
    <row r="2166" spans="1:7">
      <c r="A2166" s="1">
        <v>2165</v>
      </c>
      <c r="B2166" s="1" t="s">
        <v>16340</v>
      </c>
      <c r="D2166" s="1" t="s">
        <v>10000</v>
      </c>
      <c r="E2166" s="1" t="s">
        <v>10053</v>
      </c>
      <c r="F2166" s="1" t="s">
        <v>16341</v>
      </c>
      <c r="G2166" s="1" t="s">
        <v>16342</v>
      </c>
    </row>
    <row r="2167" spans="1:7">
      <c r="A2167" s="1">
        <v>2166</v>
      </c>
      <c r="B2167" s="1" t="s">
        <v>16343</v>
      </c>
      <c r="D2167" s="1" t="s">
        <v>10000</v>
      </c>
      <c r="E2167" s="1" t="s">
        <v>10055</v>
      </c>
      <c r="F2167" s="1" t="s">
        <v>16344</v>
      </c>
      <c r="G2167" s="1" t="s">
        <v>16345</v>
      </c>
    </row>
    <row r="2168" spans="1:7">
      <c r="A2168" s="1">
        <v>2167</v>
      </c>
      <c r="B2168" s="1" t="s">
        <v>16346</v>
      </c>
      <c r="D2168" s="1" t="s">
        <v>10000</v>
      </c>
      <c r="E2168" s="1" t="s">
        <v>10057</v>
      </c>
      <c r="F2168" s="1" t="s">
        <v>16347</v>
      </c>
      <c r="G2168" s="1" t="s">
        <v>16348</v>
      </c>
    </row>
    <row r="2169" spans="1:7">
      <c r="A2169" s="1">
        <v>2168</v>
      </c>
      <c r="B2169" s="1" t="s">
        <v>16349</v>
      </c>
      <c r="D2169" s="1" t="s">
        <v>10000</v>
      </c>
      <c r="E2169" s="1" t="s">
        <v>10059</v>
      </c>
      <c r="F2169" s="1" t="s">
        <v>16350</v>
      </c>
      <c r="G2169" s="1" t="s">
        <v>16351</v>
      </c>
    </row>
    <row r="2170" spans="1:7">
      <c r="A2170" s="1">
        <v>2169</v>
      </c>
      <c r="B2170" s="1" t="s">
        <v>16352</v>
      </c>
      <c r="D2170" s="1" t="s">
        <v>10000</v>
      </c>
      <c r="E2170" s="1" t="s">
        <v>10061</v>
      </c>
      <c r="F2170" s="1" t="s">
        <v>16353</v>
      </c>
      <c r="G2170" s="1" t="s">
        <v>16354</v>
      </c>
    </row>
    <row r="2171" spans="1:7">
      <c r="A2171" s="1">
        <v>2170</v>
      </c>
      <c r="B2171" s="1" t="s">
        <v>16355</v>
      </c>
      <c r="D2171" s="1" t="s">
        <v>10000</v>
      </c>
      <c r="E2171" s="1" t="s">
        <v>10063</v>
      </c>
      <c r="F2171" s="1" t="s">
        <v>16356</v>
      </c>
      <c r="G2171" s="1" t="s">
        <v>16357</v>
      </c>
    </row>
    <row r="2172" spans="1:7">
      <c r="A2172" s="1">
        <v>2171</v>
      </c>
      <c r="B2172" s="1" t="s">
        <v>16358</v>
      </c>
      <c r="D2172" s="1" t="s">
        <v>10000</v>
      </c>
      <c r="E2172" s="1" t="s">
        <v>10065</v>
      </c>
      <c r="F2172" s="1" t="s">
        <v>16359</v>
      </c>
      <c r="G2172" s="1" t="s">
        <v>16360</v>
      </c>
    </row>
    <row r="2173" spans="1:7">
      <c r="A2173" s="1">
        <v>2172</v>
      </c>
      <c r="B2173" s="1" t="s">
        <v>16361</v>
      </c>
      <c r="D2173" s="1" t="s">
        <v>10000</v>
      </c>
      <c r="E2173" s="1" t="s">
        <v>10067</v>
      </c>
      <c r="F2173" s="1" t="s">
        <v>16362</v>
      </c>
      <c r="G2173" s="1" t="s">
        <v>16363</v>
      </c>
    </row>
    <row r="2174" spans="1:7">
      <c r="A2174" s="1">
        <v>2173</v>
      </c>
      <c r="B2174" s="1" t="s">
        <v>16364</v>
      </c>
      <c r="D2174" s="1" t="s">
        <v>10000</v>
      </c>
      <c r="E2174" s="1" t="s">
        <v>10069</v>
      </c>
      <c r="F2174" s="1" t="s">
        <v>16365</v>
      </c>
      <c r="G2174" s="1" t="s">
        <v>16366</v>
      </c>
    </row>
    <row r="2175" spans="1:7">
      <c r="A2175" s="1">
        <v>2174</v>
      </c>
      <c r="B2175" s="1" t="s">
        <v>16367</v>
      </c>
      <c r="D2175" s="1" t="s">
        <v>10000</v>
      </c>
      <c r="E2175" s="1" t="s">
        <v>10071</v>
      </c>
      <c r="F2175" s="1" t="s">
        <v>16368</v>
      </c>
      <c r="G2175" s="1" t="s">
        <v>16369</v>
      </c>
    </row>
    <row r="2176" spans="1:7">
      <c r="A2176" s="1">
        <v>2175</v>
      </c>
      <c r="B2176" s="1" t="s">
        <v>16370</v>
      </c>
      <c r="D2176" s="1" t="s">
        <v>10000</v>
      </c>
      <c r="E2176" s="1" t="s">
        <v>10073</v>
      </c>
      <c r="F2176" s="1" t="s">
        <v>16371</v>
      </c>
      <c r="G2176" s="1" t="s">
        <v>16372</v>
      </c>
    </row>
    <row r="2177" spans="1:7">
      <c r="A2177" s="1">
        <v>2176</v>
      </c>
      <c r="B2177" s="1" t="s">
        <v>16373</v>
      </c>
      <c r="D2177" s="1" t="s">
        <v>10075</v>
      </c>
      <c r="E2177" s="1" t="s">
        <v>1836</v>
      </c>
      <c r="F2177" s="1" t="s">
        <v>16374</v>
      </c>
      <c r="G2177" s="1" t="s">
        <v>16375</v>
      </c>
    </row>
    <row r="2178" spans="1:7">
      <c r="A2178" s="1">
        <v>2177</v>
      </c>
      <c r="B2178" s="1" t="s">
        <v>16376</v>
      </c>
      <c r="D2178" s="1" t="s">
        <v>10075</v>
      </c>
      <c r="E2178" s="1" t="s">
        <v>1865</v>
      </c>
      <c r="F2178" s="1" t="s">
        <v>16377</v>
      </c>
      <c r="G2178" s="1" t="s">
        <v>16378</v>
      </c>
    </row>
    <row r="2179" spans="1:7">
      <c r="A2179" s="1">
        <v>2178</v>
      </c>
      <c r="B2179" s="1" t="s">
        <v>16379</v>
      </c>
      <c r="D2179" s="1" t="s">
        <v>10075</v>
      </c>
      <c r="E2179" s="1" t="s">
        <v>1679</v>
      </c>
      <c r="F2179" s="1" t="s">
        <v>16380</v>
      </c>
      <c r="G2179" s="1" t="s">
        <v>16381</v>
      </c>
    </row>
    <row r="2180" spans="1:7">
      <c r="A2180" s="1">
        <v>2179</v>
      </c>
      <c r="B2180" s="1" t="s">
        <v>16382</v>
      </c>
      <c r="D2180" s="1" t="s">
        <v>10075</v>
      </c>
      <c r="E2180" s="1" t="s">
        <v>1877</v>
      </c>
      <c r="F2180" s="1" t="s">
        <v>16383</v>
      </c>
      <c r="G2180" s="1" t="s">
        <v>16384</v>
      </c>
    </row>
    <row r="2181" spans="1:7">
      <c r="A2181" s="1">
        <v>2180</v>
      </c>
      <c r="B2181" s="1" t="s">
        <v>16385</v>
      </c>
      <c r="D2181" s="1" t="s">
        <v>10075</v>
      </c>
      <c r="E2181" s="1" t="s">
        <v>1888</v>
      </c>
      <c r="F2181" s="1" t="s">
        <v>16386</v>
      </c>
      <c r="G2181" s="1" t="s">
        <v>16387</v>
      </c>
    </row>
    <row r="2182" spans="1:7">
      <c r="A2182" s="1">
        <v>2181</v>
      </c>
      <c r="B2182" s="1" t="s">
        <v>16388</v>
      </c>
      <c r="D2182" s="1" t="s">
        <v>10075</v>
      </c>
      <c r="E2182" s="1" t="s">
        <v>10081</v>
      </c>
      <c r="F2182" s="1" t="s">
        <v>16389</v>
      </c>
      <c r="G2182" s="1" t="s">
        <v>16390</v>
      </c>
    </row>
    <row r="2183" spans="1:7">
      <c r="A2183" s="1">
        <v>2182</v>
      </c>
      <c r="B2183" s="1" t="s">
        <v>16391</v>
      </c>
      <c r="D2183" s="1" t="s">
        <v>10075</v>
      </c>
      <c r="E2183" s="1" t="s">
        <v>10083</v>
      </c>
      <c r="F2183" s="1" t="s">
        <v>16392</v>
      </c>
      <c r="G2183" s="1" t="s">
        <v>16393</v>
      </c>
    </row>
    <row r="2184" spans="1:7">
      <c r="A2184" s="1">
        <v>2183</v>
      </c>
      <c r="B2184" s="1" t="s">
        <v>16394</v>
      </c>
      <c r="D2184" s="1" t="s">
        <v>10075</v>
      </c>
      <c r="E2184" s="1" t="s">
        <v>10085</v>
      </c>
      <c r="F2184" s="1" t="s">
        <v>16395</v>
      </c>
      <c r="G2184" s="1" t="s">
        <v>16396</v>
      </c>
    </row>
    <row r="2185" spans="1:7">
      <c r="A2185" s="1">
        <v>2184</v>
      </c>
      <c r="B2185" s="1" t="s">
        <v>16397</v>
      </c>
      <c r="D2185" s="1" t="s">
        <v>10075</v>
      </c>
      <c r="E2185" s="1" t="s">
        <v>10087</v>
      </c>
      <c r="F2185" s="1" t="s">
        <v>16398</v>
      </c>
      <c r="G2185" s="1" t="s">
        <v>16399</v>
      </c>
    </row>
    <row r="2186" spans="1:7">
      <c r="A2186" s="1">
        <v>2185</v>
      </c>
      <c r="B2186" s="1" t="s">
        <v>16400</v>
      </c>
      <c r="D2186" s="1" t="s">
        <v>10075</v>
      </c>
      <c r="E2186" s="1" t="s">
        <v>10089</v>
      </c>
      <c r="F2186" s="1" t="s">
        <v>16401</v>
      </c>
      <c r="G2186" s="1" t="s">
        <v>16402</v>
      </c>
    </row>
    <row r="2187" spans="1:7">
      <c r="A2187" s="1">
        <v>2186</v>
      </c>
      <c r="B2187" s="1" t="s">
        <v>16403</v>
      </c>
      <c r="D2187" s="1" t="s">
        <v>10075</v>
      </c>
      <c r="E2187" s="1" t="s">
        <v>10091</v>
      </c>
      <c r="F2187" s="1" t="s">
        <v>16404</v>
      </c>
      <c r="G2187" s="1" t="s">
        <v>16405</v>
      </c>
    </row>
    <row r="2188" spans="1:7">
      <c r="A2188" s="1">
        <v>2187</v>
      </c>
      <c r="B2188" s="1" t="s">
        <v>16406</v>
      </c>
      <c r="D2188" s="1" t="s">
        <v>10075</v>
      </c>
      <c r="E2188" s="1" t="s">
        <v>10093</v>
      </c>
      <c r="F2188" s="1" t="s">
        <v>16407</v>
      </c>
      <c r="G2188" s="1" t="s">
        <v>16408</v>
      </c>
    </row>
    <row r="2189" spans="1:7">
      <c r="A2189" s="1">
        <v>2188</v>
      </c>
      <c r="B2189" s="1" t="s">
        <v>16409</v>
      </c>
      <c r="D2189" s="1" t="s">
        <v>10075</v>
      </c>
      <c r="E2189" s="1" t="s">
        <v>10095</v>
      </c>
      <c r="F2189" s="1" t="s">
        <v>16410</v>
      </c>
      <c r="G2189" s="1" t="s">
        <v>16411</v>
      </c>
    </row>
    <row r="2190" spans="1:7">
      <c r="A2190" s="1">
        <v>2189</v>
      </c>
      <c r="B2190" s="1" t="s">
        <v>16412</v>
      </c>
      <c r="D2190" s="1" t="s">
        <v>10075</v>
      </c>
      <c r="E2190" s="1" t="s">
        <v>10097</v>
      </c>
      <c r="F2190" s="1" t="s">
        <v>16413</v>
      </c>
      <c r="G2190" s="1" t="s">
        <v>16414</v>
      </c>
    </row>
    <row r="2191" spans="1:7">
      <c r="A2191" s="1">
        <v>2190</v>
      </c>
      <c r="B2191" s="1" t="s">
        <v>16415</v>
      </c>
      <c r="D2191" s="1" t="s">
        <v>10075</v>
      </c>
      <c r="E2191" s="1" t="s">
        <v>10099</v>
      </c>
      <c r="F2191" s="1" t="s">
        <v>16416</v>
      </c>
      <c r="G2191" s="1" t="s">
        <v>16417</v>
      </c>
    </row>
    <row r="2192" spans="1:7">
      <c r="A2192" s="1">
        <v>2191</v>
      </c>
      <c r="B2192" s="1" t="s">
        <v>16418</v>
      </c>
      <c r="D2192" s="1" t="s">
        <v>10075</v>
      </c>
      <c r="E2192" s="1" t="s">
        <v>10101</v>
      </c>
      <c r="F2192" s="1" t="s">
        <v>16419</v>
      </c>
      <c r="G2192" s="1" t="s">
        <v>16420</v>
      </c>
    </row>
    <row r="2193" spans="1:7">
      <c r="A2193" s="1">
        <v>2192</v>
      </c>
      <c r="B2193" s="1" t="s">
        <v>16421</v>
      </c>
      <c r="D2193" s="1" t="s">
        <v>10075</v>
      </c>
      <c r="E2193" s="1" t="s">
        <v>10103</v>
      </c>
      <c r="F2193" s="1" t="s">
        <v>16422</v>
      </c>
      <c r="G2193" s="1" t="s">
        <v>16423</v>
      </c>
    </row>
    <row r="2194" spans="1:7">
      <c r="A2194" s="1">
        <v>2193</v>
      </c>
      <c r="B2194" s="1" t="s">
        <v>16424</v>
      </c>
      <c r="D2194" s="1" t="s">
        <v>10075</v>
      </c>
      <c r="E2194" s="1" t="s">
        <v>2046</v>
      </c>
      <c r="F2194" s="1" t="s">
        <v>16425</v>
      </c>
      <c r="G2194" s="1" t="s">
        <v>16426</v>
      </c>
    </row>
    <row r="2195" spans="1:7">
      <c r="A2195" s="1">
        <v>2194</v>
      </c>
      <c r="B2195" s="1" t="s">
        <v>16427</v>
      </c>
      <c r="D2195" s="1" t="s">
        <v>10075</v>
      </c>
      <c r="E2195" s="1" t="s">
        <v>2883</v>
      </c>
      <c r="F2195" s="1" t="s">
        <v>16428</v>
      </c>
      <c r="G2195" s="1" t="s">
        <v>16429</v>
      </c>
    </row>
    <row r="2196" spans="1:7">
      <c r="A2196" s="1">
        <v>2195</v>
      </c>
      <c r="B2196" s="1" t="s">
        <v>16430</v>
      </c>
      <c r="D2196" s="1" t="s">
        <v>10075</v>
      </c>
      <c r="E2196" s="1" t="s">
        <v>2913</v>
      </c>
      <c r="F2196" s="1" t="s">
        <v>16431</v>
      </c>
      <c r="G2196" s="1" t="s">
        <v>16432</v>
      </c>
    </row>
    <row r="2197" spans="1:7">
      <c r="A2197" s="1">
        <v>2196</v>
      </c>
      <c r="B2197" s="1" t="s">
        <v>16433</v>
      </c>
      <c r="D2197" s="1" t="s">
        <v>10075</v>
      </c>
      <c r="E2197" s="1" t="s">
        <v>10108</v>
      </c>
      <c r="F2197" s="1" t="s">
        <v>16434</v>
      </c>
      <c r="G2197" s="1" t="s">
        <v>16435</v>
      </c>
    </row>
    <row r="2198" spans="1:7">
      <c r="A2198" s="1">
        <v>2197</v>
      </c>
      <c r="B2198" s="1" t="s">
        <v>16436</v>
      </c>
      <c r="D2198" s="1" t="s">
        <v>10075</v>
      </c>
      <c r="E2198" s="1" t="s">
        <v>2934</v>
      </c>
      <c r="F2198" s="1" t="s">
        <v>16437</v>
      </c>
      <c r="G2198" s="1" t="s">
        <v>16438</v>
      </c>
    </row>
    <row r="2199" spans="1:7">
      <c r="A2199" s="1">
        <v>2198</v>
      </c>
      <c r="B2199" s="1" t="s">
        <v>16439</v>
      </c>
      <c r="D2199" s="1" t="s">
        <v>10075</v>
      </c>
      <c r="E2199" s="1" t="s">
        <v>10111</v>
      </c>
      <c r="F2199" s="1" t="s">
        <v>16440</v>
      </c>
      <c r="G2199" s="1" t="s">
        <v>16441</v>
      </c>
    </row>
    <row r="2200" spans="1:7">
      <c r="A2200" s="1">
        <v>2199</v>
      </c>
      <c r="B2200" s="1" t="s">
        <v>16442</v>
      </c>
      <c r="D2200" s="1" t="s">
        <v>10075</v>
      </c>
      <c r="E2200" s="1" t="s">
        <v>10113</v>
      </c>
      <c r="F2200" s="1" t="s">
        <v>16443</v>
      </c>
      <c r="G2200" s="1" t="s">
        <v>16444</v>
      </c>
    </row>
    <row r="2201" spans="1:7">
      <c r="A2201" s="1">
        <v>2200</v>
      </c>
      <c r="B2201" s="1" t="s">
        <v>16445</v>
      </c>
      <c r="D2201" s="1" t="s">
        <v>10075</v>
      </c>
      <c r="E2201" s="1" t="s">
        <v>1762</v>
      </c>
      <c r="F2201" s="1" t="s">
        <v>16446</v>
      </c>
      <c r="G2201" s="1" t="s">
        <v>16447</v>
      </c>
    </row>
    <row r="2202" spans="1:7">
      <c r="A2202" s="1">
        <v>2201</v>
      </c>
      <c r="B2202" s="1" t="s">
        <v>16448</v>
      </c>
      <c r="D2202" s="1" t="s">
        <v>10075</v>
      </c>
      <c r="E2202" s="1" t="s">
        <v>10116</v>
      </c>
      <c r="F2202" s="1" t="s">
        <v>16449</v>
      </c>
      <c r="G2202" s="1" t="s">
        <v>16450</v>
      </c>
    </row>
    <row r="2203" spans="1:7">
      <c r="A2203" s="1">
        <v>2202</v>
      </c>
      <c r="B2203" s="1" t="s">
        <v>16451</v>
      </c>
      <c r="D2203" s="1" t="s">
        <v>10075</v>
      </c>
      <c r="E2203" s="1" t="s">
        <v>10118</v>
      </c>
      <c r="F2203" s="1" t="s">
        <v>16452</v>
      </c>
      <c r="G2203" s="1" t="s">
        <v>16453</v>
      </c>
    </row>
    <row r="2204" spans="1:7">
      <c r="A2204" s="1">
        <v>2203</v>
      </c>
      <c r="B2204" s="1" t="s">
        <v>16454</v>
      </c>
      <c r="D2204" s="1" t="s">
        <v>10075</v>
      </c>
      <c r="E2204" s="1" t="s">
        <v>3304</v>
      </c>
      <c r="F2204" s="1" t="s">
        <v>16455</v>
      </c>
      <c r="G2204" s="1" t="s">
        <v>16456</v>
      </c>
    </row>
    <row r="2205" spans="1:7">
      <c r="A2205" s="1">
        <v>2204</v>
      </c>
      <c r="B2205" s="1" t="s">
        <v>16457</v>
      </c>
      <c r="D2205" s="1" t="s">
        <v>10075</v>
      </c>
      <c r="E2205" s="1" t="s">
        <v>10121</v>
      </c>
      <c r="F2205" s="1" t="s">
        <v>16458</v>
      </c>
      <c r="G2205" s="1" t="s">
        <v>16459</v>
      </c>
    </row>
    <row r="2206" spans="1:7">
      <c r="A2206" s="1">
        <v>2205</v>
      </c>
      <c r="B2206" s="1" t="s">
        <v>16460</v>
      </c>
      <c r="D2206" s="1" t="s">
        <v>10075</v>
      </c>
      <c r="E2206" s="1" t="s">
        <v>10123</v>
      </c>
      <c r="F2206" s="1" t="s">
        <v>16461</v>
      </c>
      <c r="G2206" s="1" t="s">
        <v>16462</v>
      </c>
    </row>
    <row r="2207" spans="1:7">
      <c r="A2207" s="1">
        <v>2206</v>
      </c>
      <c r="B2207" s="1" t="s">
        <v>16463</v>
      </c>
      <c r="D2207" s="1" t="s">
        <v>10075</v>
      </c>
      <c r="E2207" s="1" t="s">
        <v>10125</v>
      </c>
      <c r="F2207" s="1" t="s">
        <v>16464</v>
      </c>
      <c r="G2207" s="1" t="s">
        <v>16465</v>
      </c>
    </row>
    <row r="2208" spans="1:7">
      <c r="A2208" s="1">
        <v>2207</v>
      </c>
      <c r="B2208" s="1" t="s">
        <v>16466</v>
      </c>
      <c r="D2208" s="1" t="s">
        <v>10075</v>
      </c>
      <c r="E2208" s="1" t="s">
        <v>10127</v>
      </c>
      <c r="F2208" s="1" t="s">
        <v>16467</v>
      </c>
      <c r="G2208" s="1" t="s">
        <v>16468</v>
      </c>
    </row>
    <row r="2209" spans="1:7">
      <c r="A2209" s="1">
        <v>2208</v>
      </c>
      <c r="B2209" s="1" t="s">
        <v>16469</v>
      </c>
      <c r="D2209" s="1" t="s">
        <v>10075</v>
      </c>
      <c r="E2209" s="1" t="s">
        <v>10129</v>
      </c>
      <c r="F2209" s="1" t="s">
        <v>16470</v>
      </c>
      <c r="G2209" s="1" t="s">
        <v>16471</v>
      </c>
    </row>
    <row r="2210" spans="1:7">
      <c r="A2210" s="1">
        <v>2209</v>
      </c>
      <c r="B2210" s="1" t="s">
        <v>16472</v>
      </c>
      <c r="D2210" s="1" t="s">
        <v>10075</v>
      </c>
      <c r="E2210" s="1" t="s">
        <v>10131</v>
      </c>
      <c r="F2210" s="1" t="s">
        <v>16473</v>
      </c>
      <c r="G2210" s="1" t="s">
        <v>16474</v>
      </c>
    </row>
    <row r="2211" spans="1:7">
      <c r="A2211" s="1">
        <v>2210</v>
      </c>
      <c r="B2211" s="1" t="s">
        <v>16475</v>
      </c>
      <c r="D2211" s="1" t="s">
        <v>10075</v>
      </c>
      <c r="E2211" s="1" t="s">
        <v>10133</v>
      </c>
      <c r="F2211" s="1" t="s">
        <v>16476</v>
      </c>
      <c r="G2211" s="1" t="s">
        <v>16477</v>
      </c>
    </row>
    <row r="2212" spans="1:7">
      <c r="A2212" s="1">
        <v>2211</v>
      </c>
      <c r="B2212" s="1" t="s">
        <v>16478</v>
      </c>
      <c r="D2212" s="1" t="s">
        <v>10135</v>
      </c>
      <c r="E2212" s="1" t="s">
        <v>1432</v>
      </c>
      <c r="F2212" s="1" t="s">
        <v>1425</v>
      </c>
      <c r="G2212" s="1" t="s">
        <v>1426</v>
      </c>
    </row>
    <row r="2213" spans="1:7">
      <c r="A2213" s="1">
        <v>2212</v>
      </c>
      <c r="B2213" s="1" t="s">
        <v>16479</v>
      </c>
      <c r="D2213" s="1" t="s">
        <v>10135</v>
      </c>
      <c r="E2213" s="1" t="s">
        <v>1433</v>
      </c>
      <c r="F2213" s="1" t="s">
        <v>10165</v>
      </c>
      <c r="G2213" s="1" t="s">
        <v>10166</v>
      </c>
    </row>
    <row r="2214" spans="1:7">
      <c r="A2214" s="1">
        <v>2213</v>
      </c>
      <c r="B2214" s="1" t="s">
        <v>16480</v>
      </c>
      <c r="D2214" s="1" t="s">
        <v>10135</v>
      </c>
      <c r="E2214" s="1" t="s">
        <v>1434</v>
      </c>
      <c r="F2214" s="1" t="s">
        <v>10136</v>
      </c>
      <c r="G2214" s="1" t="s">
        <v>10137</v>
      </c>
    </row>
    <row r="2215" spans="1:7">
      <c r="A2215" s="1">
        <v>2214</v>
      </c>
      <c r="B2215" s="1" t="s">
        <v>16481</v>
      </c>
      <c r="D2215" s="1" t="s">
        <v>10135</v>
      </c>
      <c r="E2215" s="1" t="s">
        <v>10139</v>
      </c>
      <c r="F2215" s="1" t="s">
        <v>10140</v>
      </c>
      <c r="G2215" s="1" t="s">
        <v>10141</v>
      </c>
    </row>
    <row r="2216" spans="1:7">
      <c r="A2216" s="1">
        <v>2215</v>
      </c>
      <c r="B2216" s="1" t="s">
        <v>16482</v>
      </c>
      <c r="D2216" s="1" t="s">
        <v>10135</v>
      </c>
      <c r="E2216" s="1" t="s">
        <v>1435</v>
      </c>
      <c r="F2216" s="1" t="s">
        <v>10143</v>
      </c>
      <c r="G2216" s="1" t="s">
        <v>10144</v>
      </c>
    </row>
    <row r="2217" spans="1:7">
      <c r="A2217" s="1">
        <v>2216</v>
      </c>
      <c r="B2217" s="1" t="s">
        <v>16483</v>
      </c>
      <c r="D2217" s="1" t="s">
        <v>10135</v>
      </c>
      <c r="E2217" s="1" t="s">
        <v>1438</v>
      </c>
      <c r="F2217" s="1" t="s">
        <v>10149</v>
      </c>
      <c r="G2217" s="1" t="s">
        <v>10150</v>
      </c>
    </row>
    <row r="2218" spans="1:7">
      <c r="A2218" s="1">
        <v>2217</v>
      </c>
      <c r="B2218" s="1" t="s">
        <v>16484</v>
      </c>
      <c r="D2218" s="1" t="s">
        <v>10135</v>
      </c>
      <c r="E2218" s="1" t="s">
        <v>1441</v>
      </c>
      <c r="F2218" s="1" t="s">
        <v>10146</v>
      </c>
      <c r="G2218" s="1" t="s">
        <v>10147</v>
      </c>
    </row>
    <row r="2219" spans="1:7">
      <c r="A2219" s="1">
        <v>2218</v>
      </c>
      <c r="B2219" s="1" t="s">
        <v>16485</v>
      </c>
      <c r="D2219" s="1" t="s">
        <v>10135</v>
      </c>
      <c r="E2219" s="1" t="s">
        <v>1444</v>
      </c>
      <c r="F2219" s="1" t="s">
        <v>10152</v>
      </c>
      <c r="G2219" s="1" t="s">
        <v>10153</v>
      </c>
    </row>
    <row r="2220" spans="1:7">
      <c r="A2220" s="1">
        <v>2219</v>
      </c>
      <c r="B2220" s="1" t="s">
        <v>16486</v>
      </c>
      <c r="D2220" s="1" t="s">
        <v>10135</v>
      </c>
      <c r="E2220" s="1" t="s">
        <v>1436</v>
      </c>
      <c r="F2220" s="1" t="s">
        <v>10155</v>
      </c>
      <c r="G2220" s="1" t="s">
        <v>10156</v>
      </c>
    </row>
    <row r="2221" spans="1:7">
      <c r="A2221" s="1">
        <v>2220</v>
      </c>
      <c r="B2221" s="1" t="s">
        <v>16487</v>
      </c>
      <c r="D2221" s="1" t="s">
        <v>10135</v>
      </c>
      <c r="E2221" s="1" t="s">
        <v>1437</v>
      </c>
      <c r="F2221" s="1" t="s">
        <v>10159</v>
      </c>
      <c r="G2221" s="1" t="s">
        <v>10160</v>
      </c>
    </row>
    <row r="2222" spans="1:7">
      <c r="A2222" s="1">
        <v>2221</v>
      </c>
      <c r="B2222" s="1" t="s">
        <v>16488</v>
      </c>
      <c r="D2222" s="1" t="s">
        <v>10135</v>
      </c>
      <c r="E2222" s="1" t="s">
        <v>1447</v>
      </c>
      <c r="F2222" s="1" t="s">
        <v>10162</v>
      </c>
      <c r="G2222" s="1" t="s">
        <v>10163</v>
      </c>
    </row>
    <row r="2223" spans="1:7">
      <c r="A2223" s="1">
        <v>2222</v>
      </c>
      <c r="B2223" s="1" t="s">
        <v>16489</v>
      </c>
      <c r="D2223" s="1" t="s">
        <v>10168</v>
      </c>
      <c r="E2223" s="1" t="s">
        <v>1455</v>
      </c>
      <c r="F2223" s="1" t="s">
        <v>10136</v>
      </c>
      <c r="G2223" s="1" t="s">
        <v>10137</v>
      </c>
    </row>
    <row r="2224" spans="1:7">
      <c r="A2224" s="1">
        <v>2223</v>
      </c>
      <c r="B2224" s="1" t="s">
        <v>16490</v>
      </c>
      <c r="D2224" s="1" t="s">
        <v>10168</v>
      </c>
      <c r="E2224" s="1" t="s">
        <v>3694</v>
      </c>
      <c r="F2224" s="1" t="s">
        <v>10140</v>
      </c>
      <c r="G2224" s="1" t="s">
        <v>10141</v>
      </c>
    </row>
    <row r="2225" spans="1:7">
      <c r="A2225" s="1">
        <v>2224</v>
      </c>
      <c r="B2225" s="1" t="s">
        <v>16491</v>
      </c>
      <c r="D2225" s="1" t="s">
        <v>10168</v>
      </c>
      <c r="E2225" s="1" t="s">
        <v>1456</v>
      </c>
      <c r="F2225" s="1" t="s">
        <v>10143</v>
      </c>
      <c r="G2225" s="1" t="s">
        <v>10144</v>
      </c>
    </row>
    <row r="2226" spans="1:7">
      <c r="A2226" s="1">
        <v>2225</v>
      </c>
      <c r="B2226" s="1" t="s">
        <v>16492</v>
      </c>
      <c r="D2226" s="1" t="s">
        <v>10168</v>
      </c>
      <c r="E2226" s="1" t="s">
        <v>1461</v>
      </c>
      <c r="F2226" s="1" t="s">
        <v>10149</v>
      </c>
      <c r="G2226" s="1" t="s">
        <v>10150</v>
      </c>
    </row>
    <row r="2227" spans="1:7">
      <c r="A2227" s="1">
        <v>2226</v>
      </c>
      <c r="B2227" s="1" t="s">
        <v>16493</v>
      </c>
      <c r="D2227" s="1" t="s">
        <v>10168</v>
      </c>
      <c r="E2227" s="1" t="s">
        <v>1462</v>
      </c>
      <c r="F2227" s="1" t="s">
        <v>10146</v>
      </c>
      <c r="G2227" s="1" t="s">
        <v>10147</v>
      </c>
    </row>
    <row r="2228" spans="1:7">
      <c r="A2228" s="1">
        <v>2227</v>
      </c>
      <c r="B2228" s="1" t="s">
        <v>16494</v>
      </c>
      <c r="D2228" s="1" t="s">
        <v>10168</v>
      </c>
      <c r="E2228" s="1" t="s">
        <v>1463</v>
      </c>
      <c r="F2228" s="1" t="s">
        <v>10152</v>
      </c>
      <c r="G2228" s="1" t="s">
        <v>10153</v>
      </c>
    </row>
    <row r="2229" spans="1:7">
      <c r="A2229" s="1">
        <v>2228</v>
      </c>
      <c r="B2229" s="1" t="s">
        <v>16495</v>
      </c>
      <c r="D2229" s="1" t="s">
        <v>10168</v>
      </c>
      <c r="E2229" s="1" t="s">
        <v>1457</v>
      </c>
      <c r="F2229" s="1" t="s">
        <v>1425</v>
      </c>
      <c r="G2229" s="1" t="s">
        <v>1426</v>
      </c>
    </row>
    <row r="2230" spans="1:7">
      <c r="A2230" s="1">
        <v>2229</v>
      </c>
      <c r="B2230" s="1" t="s">
        <v>16496</v>
      </c>
      <c r="D2230" s="1" t="s">
        <v>10168</v>
      </c>
      <c r="E2230" s="1" t="s">
        <v>1458</v>
      </c>
      <c r="F2230" s="1" t="s">
        <v>10155</v>
      </c>
      <c r="G2230" s="1" t="s">
        <v>10156</v>
      </c>
    </row>
    <row r="2231" spans="1:7">
      <c r="A2231" s="1">
        <v>2230</v>
      </c>
      <c r="B2231" s="1" t="s">
        <v>16497</v>
      </c>
      <c r="D2231" s="1" t="s">
        <v>10168</v>
      </c>
      <c r="E2231" s="1" t="s">
        <v>1459</v>
      </c>
      <c r="F2231" s="1" t="s">
        <v>10159</v>
      </c>
      <c r="G2231" s="1" t="s">
        <v>10160</v>
      </c>
    </row>
    <row r="2232" spans="1:7">
      <c r="A2232" s="1">
        <v>2231</v>
      </c>
      <c r="B2232" s="1" t="s">
        <v>16498</v>
      </c>
      <c r="D2232" s="1" t="s">
        <v>10168</v>
      </c>
      <c r="E2232" s="1" t="s">
        <v>1464</v>
      </c>
      <c r="F2232" s="1" t="s">
        <v>10162</v>
      </c>
      <c r="G2232" s="1" t="s">
        <v>10163</v>
      </c>
    </row>
    <row r="2233" spans="1:7">
      <c r="A2233" s="1">
        <v>2232</v>
      </c>
      <c r="B2233" s="1" t="s">
        <v>16499</v>
      </c>
      <c r="D2233" s="1" t="s">
        <v>10168</v>
      </c>
      <c r="E2233" s="1" t="s">
        <v>1460</v>
      </c>
      <c r="F2233" s="1" t="s">
        <v>10165</v>
      </c>
      <c r="G2233" s="1" t="s">
        <v>10166</v>
      </c>
    </row>
    <row r="2234" spans="1:7">
      <c r="A2234" s="1">
        <v>2233</v>
      </c>
      <c r="B2234" s="1" t="s">
        <v>16500</v>
      </c>
      <c r="D2234" s="1" t="s">
        <v>10180</v>
      </c>
      <c r="E2234" s="1" t="s">
        <v>1468</v>
      </c>
      <c r="F2234" s="1" t="s">
        <v>10136</v>
      </c>
      <c r="G2234" s="1" t="s">
        <v>10137</v>
      </c>
    </row>
    <row r="2235" spans="1:7">
      <c r="A2235" s="1">
        <v>2234</v>
      </c>
      <c r="B2235" s="1" t="s">
        <v>16501</v>
      </c>
      <c r="D2235" s="1" t="s">
        <v>10180</v>
      </c>
      <c r="E2235" s="1" t="s">
        <v>3695</v>
      </c>
      <c r="F2235" s="1" t="s">
        <v>10140</v>
      </c>
      <c r="G2235" s="1" t="s">
        <v>10141</v>
      </c>
    </row>
    <row r="2236" spans="1:7">
      <c r="A2236" s="1">
        <v>2235</v>
      </c>
      <c r="B2236" s="1" t="s">
        <v>16502</v>
      </c>
      <c r="D2236" s="1" t="s">
        <v>10180</v>
      </c>
      <c r="E2236" s="1" t="s">
        <v>1469</v>
      </c>
      <c r="F2236" s="1" t="s">
        <v>10143</v>
      </c>
      <c r="G2236" s="1" t="s">
        <v>10144</v>
      </c>
    </row>
    <row r="2237" spans="1:7">
      <c r="A2237" s="1">
        <v>2236</v>
      </c>
      <c r="B2237" s="1" t="s">
        <v>16503</v>
      </c>
      <c r="D2237" s="1" t="s">
        <v>10180</v>
      </c>
      <c r="E2237" s="1" t="s">
        <v>1474</v>
      </c>
      <c r="F2237" s="1" t="s">
        <v>10149</v>
      </c>
      <c r="G2237" s="1" t="s">
        <v>10150</v>
      </c>
    </row>
    <row r="2238" spans="1:7">
      <c r="A2238" s="1">
        <v>2237</v>
      </c>
      <c r="B2238" s="1" t="s">
        <v>16504</v>
      </c>
      <c r="D2238" s="1" t="s">
        <v>10180</v>
      </c>
      <c r="E2238" s="1" t="s">
        <v>1475</v>
      </c>
      <c r="F2238" s="1" t="s">
        <v>10146</v>
      </c>
      <c r="G2238" s="1" t="s">
        <v>10147</v>
      </c>
    </row>
    <row r="2239" spans="1:7">
      <c r="A2239" s="1">
        <v>2238</v>
      </c>
      <c r="B2239" s="1" t="s">
        <v>16505</v>
      </c>
      <c r="D2239" s="1" t="s">
        <v>10180</v>
      </c>
      <c r="E2239" s="1" t="s">
        <v>1476</v>
      </c>
      <c r="F2239" s="1" t="s">
        <v>10152</v>
      </c>
      <c r="G2239" s="1" t="s">
        <v>10153</v>
      </c>
    </row>
    <row r="2240" spans="1:7">
      <c r="A2240" s="1">
        <v>2239</v>
      </c>
      <c r="B2240" s="1" t="s">
        <v>16506</v>
      </c>
      <c r="D2240" s="1" t="s">
        <v>10180</v>
      </c>
      <c r="E2240" s="1" t="s">
        <v>1470</v>
      </c>
      <c r="F2240" s="1" t="s">
        <v>1425</v>
      </c>
      <c r="G2240" s="1" t="s">
        <v>1426</v>
      </c>
    </row>
    <row r="2241" spans="1:7">
      <c r="A2241" s="1">
        <v>2240</v>
      </c>
      <c r="B2241" s="1" t="s">
        <v>16507</v>
      </c>
      <c r="D2241" s="1" t="s">
        <v>10180</v>
      </c>
      <c r="E2241" s="1" t="s">
        <v>1471</v>
      </c>
      <c r="F2241" s="1" t="s">
        <v>10155</v>
      </c>
      <c r="G2241" s="1" t="s">
        <v>10156</v>
      </c>
    </row>
    <row r="2242" spans="1:7">
      <c r="A2242" s="1">
        <v>2241</v>
      </c>
      <c r="B2242" s="1" t="s">
        <v>16508</v>
      </c>
      <c r="D2242" s="1" t="s">
        <v>10180</v>
      </c>
      <c r="E2242" s="1" t="s">
        <v>1472</v>
      </c>
      <c r="F2242" s="1" t="s">
        <v>10159</v>
      </c>
      <c r="G2242" s="1" t="s">
        <v>10160</v>
      </c>
    </row>
    <row r="2243" spans="1:7">
      <c r="A2243" s="1">
        <v>2242</v>
      </c>
      <c r="B2243" s="1" t="s">
        <v>16509</v>
      </c>
      <c r="D2243" s="1" t="s">
        <v>10180</v>
      </c>
      <c r="E2243" s="1" t="s">
        <v>1477</v>
      </c>
      <c r="F2243" s="1" t="s">
        <v>10162</v>
      </c>
      <c r="G2243" s="1" t="s">
        <v>10163</v>
      </c>
    </row>
    <row r="2244" spans="1:7">
      <c r="A2244" s="1">
        <v>2243</v>
      </c>
      <c r="B2244" s="1" t="s">
        <v>16510</v>
      </c>
      <c r="D2244" s="1" t="s">
        <v>10180</v>
      </c>
      <c r="E2244" s="1" t="s">
        <v>1473</v>
      </c>
      <c r="F2244" s="1" t="s">
        <v>10165</v>
      </c>
      <c r="G2244" s="1" t="s">
        <v>10166</v>
      </c>
    </row>
    <row r="2245" spans="1:7">
      <c r="A2245" s="1">
        <v>2244</v>
      </c>
      <c r="B2245" s="1" t="s">
        <v>16511</v>
      </c>
      <c r="D2245" s="1" t="s">
        <v>16512</v>
      </c>
      <c r="E2245" s="1" t="s">
        <v>16513</v>
      </c>
      <c r="F2245" s="1" t="s">
        <v>10136</v>
      </c>
      <c r="G2245" s="1" t="s">
        <v>10137</v>
      </c>
    </row>
    <row r="2246" spans="1:7">
      <c r="A2246" s="1">
        <v>2245</v>
      </c>
      <c r="B2246" s="1" t="s">
        <v>16514</v>
      </c>
      <c r="D2246" s="1" t="s">
        <v>16512</v>
      </c>
      <c r="E2246" s="1" t="s">
        <v>16515</v>
      </c>
      <c r="F2246" s="1" t="s">
        <v>10140</v>
      </c>
      <c r="G2246" s="1" t="s">
        <v>10141</v>
      </c>
    </row>
    <row r="2247" spans="1:7">
      <c r="A2247" s="1">
        <v>2246</v>
      </c>
      <c r="B2247" s="1" t="s">
        <v>16516</v>
      </c>
      <c r="D2247" s="1" t="s">
        <v>16512</v>
      </c>
      <c r="E2247" s="1" t="s">
        <v>16517</v>
      </c>
      <c r="F2247" s="1" t="s">
        <v>10143</v>
      </c>
      <c r="G2247" s="1" t="s">
        <v>10144</v>
      </c>
    </row>
    <row r="2248" spans="1:7">
      <c r="A2248" s="1">
        <v>2247</v>
      </c>
      <c r="B2248" s="1" t="s">
        <v>16518</v>
      </c>
      <c r="D2248" s="1" t="s">
        <v>16512</v>
      </c>
      <c r="E2248" s="1" t="s">
        <v>16519</v>
      </c>
      <c r="F2248" s="1" t="s">
        <v>10149</v>
      </c>
      <c r="G2248" s="1" t="s">
        <v>10150</v>
      </c>
    </row>
    <row r="2249" spans="1:7">
      <c r="A2249" s="1">
        <v>2248</v>
      </c>
      <c r="B2249" s="1" t="s">
        <v>16520</v>
      </c>
      <c r="D2249" s="1" t="s">
        <v>16512</v>
      </c>
      <c r="E2249" s="1" t="s">
        <v>16521</v>
      </c>
      <c r="F2249" s="1" t="s">
        <v>10146</v>
      </c>
      <c r="G2249" s="1" t="s">
        <v>10147</v>
      </c>
    </row>
    <row r="2250" spans="1:7">
      <c r="A2250" s="1">
        <v>2249</v>
      </c>
      <c r="B2250" s="1" t="s">
        <v>16522</v>
      </c>
      <c r="D2250" s="1" t="s">
        <v>16512</v>
      </c>
      <c r="E2250" s="1" t="s">
        <v>16523</v>
      </c>
      <c r="F2250" s="1" t="s">
        <v>10152</v>
      </c>
      <c r="G2250" s="1" t="s">
        <v>10153</v>
      </c>
    </row>
    <row r="2251" spans="1:7">
      <c r="A2251" s="1">
        <v>2250</v>
      </c>
      <c r="B2251" s="1" t="s">
        <v>16524</v>
      </c>
      <c r="D2251" s="1" t="s">
        <v>16512</v>
      </c>
      <c r="E2251" s="1" t="s">
        <v>16525</v>
      </c>
      <c r="F2251" s="1" t="s">
        <v>1425</v>
      </c>
      <c r="G2251" s="1" t="s">
        <v>1426</v>
      </c>
    </row>
    <row r="2252" spans="1:7">
      <c r="A2252" s="1">
        <v>2251</v>
      </c>
      <c r="B2252" s="1" t="s">
        <v>16526</v>
      </c>
      <c r="D2252" s="1" t="s">
        <v>16512</v>
      </c>
      <c r="E2252" s="1" t="s">
        <v>16527</v>
      </c>
      <c r="F2252" s="1" t="s">
        <v>10155</v>
      </c>
      <c r="G2252" s="1" t="s">
        <v>10156</v>
      </c>
    </row>
    <row r="2253" spans="1:7">
      <c r="A2253" s="1">
        <v>2252</v>
      </c>
      <c r="B2253" s="1" t="s">
        <v>16528</v>
      </c>
      <c r="D2253" s="1" t="s">
        <v>16512</v>
      </c>
      <c r="E2253" s="1" t="s">
        <v>16529</v>
      </c>
      <c r="F2253" s="1" t="s">
        <v>10159</v>
      </c>
      <c r="G2253" s="1" t="s">
        <v>10160</v>
      </c>
    </row>
    <row r="2254" spans="1:7">
      <c r="A2254" s="1">
        <v>2253</v>
      </c>
      <c r="B2254" s="1" t="s">
        <v>16530</v>
      </c>
      <c r="D2254" s="1" t="s">
        <v>16512</v>
      </c>
      <c r="E2254" s="1" t="s">
        <v>16531</v>
      </c>
      <c r="F2254" s="1" t="s">
        <v>10162</v>
      </c>
      <c r="G2254" s="1" t="s">
        <v>10163</v>
      </c>
    </row>
    <row r="2255" spans="1:7">
      <c r="A2255" s="1">
        <v>2254</v>
      </c>
      <c r="B2255" s="1" t="s">
        <v>16532</v>
      </c>
      <c r="D2255" s="1" t="s">
        <v>16512</v>
      </c>
      <c r="E2255" s="1" t="s">
        <v>16533</v>
      </c>
      <c r="F2255" s="1" t="s">
        <v>10165</v>
      </c>
      <c r="G2255" s="1" t="s">
        <v>10166</v>
      </c>
    </row>
    <row r="2256" spans="1:7">
      <c r="A2256" s="1">
        <v>2255</v>
      </c>
      <c r="B2256" s="1" t="s">
        <v>16534</v>
      </c>
      <c r="D2256" s="1" t="s">
        <v>16535</v>
      </c>
      <c r="E2256" s="1" t="s">
        <v>16536</v>
      </c>
      <c r="F2256" s="1" t="s">
        <v>10136</v>
      </c>
      <c r="G2256" s="1" t="s">
        <v>10137</v>
      </c>
    </row>
    <row r="2257" spans="1:7">
      <c r="A2257" s="1">
        <v>2256</v>
      </c>
      <c r="B2257" s="1" t="s">
        <v>16537</v>
      </c>
      <c r="D2257" s="1" t="s">
        <v>16535</v>
      </c>
      <c r="E2257" s="1" t="s">
        <v>16538</v>
      </c>
      <c r="F2257" s="1" t="s">
        <v>10140</v>
      </c>
      <c r="G2257" s="1" t="s">
        <v>10141</v>
      </c>
    </row>
    <row r="2258" spans="1:7">
      <c r="A2258" s="1">
        <v>2257</v>
      </c>
      <c r="B2258" s="1" t="s">
        <v>16539</v>
      </c>
      <c r="D2258" s="1" t="s">
        <v>16535</v>
      </c>
      <c r="E2258" s="1" t="s">
        <v>16540</v>
      </c>
      <c r="F2258" s="1" t="s">
        <v>10143</v>
      </c>
      <c r="G2258" s="1" t="s">
        <v>10144</v>
      </c>
    </row>
    <row r="2259" spans="1:7">
      <c r="A2259" s="1">
        <v>2258</v>
      </c>
      <c r="B2259" s="1" t="s">
        <v>16541</v>
      </c>
      <c r="D2259" s="1" t="s">
        <v>16535</v>
      </c>
      <c r="E2259" s="1" t="s">
        <v>16542</v>
      </c>
      <c r="F2259" s="1" t="s">
        <v>10149</v>
      </c>
      <c r="G2259" s="1" t="s">
        <v>10150</v>
      </c>
    </row>
    <row r="2260" spans="1:7">
      <c r="A2260" s="1">
        <v>2259</v>
      </c>
      <c r="B2260" s="1" t="s">
        <v>16543</v>
      </c>
      <c r="D2260" s="1" t="s">
        <v>16535</v>
      </c>
      <c r="E2260" s="1" t="s">
        <v>16544</v>
      </c>
      <c r="F2260" s="1" t="s">
        <v>10146</v>
      </c>
      <c r="G2260" s="1" t="s">
        <v>10147</v>
      </c>
    </row>
    <row r="2261" spans="1:7">
      <c r="A2261" s="1">
        <v>2260</v>
      </c>
      <c r="B2261" s="1" t="s">
        <v>16545</v>
      </c>
      <c r="D2261" s="1" t="s">
        <v>16535</v>
      </c>
      <c r="E2261" s="1" t="s">
        <v>16546</v>
      </c>
      <c r="F2261" s="1" t="s">
        <v>10152</v>
      </c>
      <c r="G2261" s="1" t="s">
        <v>10153</v>
      </c>
    </row>
    <row r="2262" spans="1:7">
      <c r="A2262" s="1">
        <v>2261</v>
      </c>
      <c r="B2262" s="1" t="s">
        <v>16547</v>
      </c>
      <c r="D2262" s="1" t="s">
        <v>16535</v>
      </c>
      <c r="E2262" s="1" t="s">
        <v>16548</v>
      </c>
      <c r="F2262" s="1" t="s">
        <v>1425</v>
      </c>
      <c r="G2262" s="1" t="s">
        <v>1426</v>
      </c>
    </row>
    <row r="2263" spans="1:7">
      <c r="A2263" s="1">
        <v>2262</v>
      </c>
      <c r="B2263" s="1" t="s">
        <v>16549</v>
      </c>
      <c r="D2263" s="1" t="s">
        <v>16535</v>
      </c>
      <c r="E2263" s="1" t="s">
        <v>16550</v>
      </c>
      <c r="F2263" s="1" t="s">
        <v>10155</v>
      </c>
      <c r="G2263" s="1" t="s">
        <v>10156</v>
      </c>
    </row>
    <row r="2264" spans="1:7">
      <c r="A2264" s="1">
        <v>2263</v>
      </c>
      <c r="B2264" s="1" t="s">
        <v>16551</v>
      </c>
      <c r="D2264" s="1" t="s">
        <v>16535</v>
      </c>
      <c r="E2264" s="1" t="s">
        <v>16552</v>
      </c>
      <c r="F2264" s="1" t="s">
        <v>10159</v>
      </c>
      <c r="G2264" s="1" t="s">
        <v>10160</v>
      </c>
    </row>
    <row r="2265" spans="1:7">
      <c r="A2265" s="1">
        <v>2264</v>
      </c>
      <c r="B2265" s="1" t="s">
        <v>16553</v>
      </c>
      <c r="D2265" s="1" t="s">
        <v>16535</v>
      </c>
      <c r="E2265" s="1" t="s">
        <v>16554</v>
      </c>
      <c r="F2265" s="1" t="s">
        <v>10162</v>
      </c>
      <c r="G2265" s="1" t="s">
        <v>10163</v>
      </c>
    </row>
    <row r="2266" spans="1:7">
      <c r="A2266" s="1">
        <v>2265</v>
      </c>
      <c r="B2266" s="1" t="s">
        <v>16555</v>
      </c>
      <c r="D2266" s="1" t="s">
        <v>16535</v>
      </c>
      <c r="E2266" s="1" t="s">
        <v>16556</v>
      </c>
      <c r="F2266" s="1" t="s">
        <v>10165</v>
      </c>
      <c r="G2266" s="1" t="s">
        <v>10166</v>
      </c>
    </row>
    <row r="2267" spans="1:7">
      <c r="A2267" s="1">
        <v>2266</v>
      </c>
      <c r="B2267" s="1" t="s">
        <v>16557</v>
      </c>
      <c r="D2267" s="1" t="s">
        <v>10192</v>
      </c>
      <c r="E2267" s="1" t="s">
        <v>3755</v>
      </c>
      <c r="F2267" s="1" t="s">
        <v>16558</v>
      </c>
      <c r="G2267" s="1" t="s">
        <v>16559</v>
      </c>
    </row>
    <row r="2268" spans="1:7">
      <c r="A2268" s="1">
        <v>2267</v>
      </c>
      <c r="B2268" s="1" t="s">
        <v>16560</v>
      </c>
      <c r="D2268" s="1" t="s">
        <v>10192</v>
      </c>
      <c r="E2268" s="1" t="s">
        <v>10196</v>
      </c>
      <c r="F2268" s="1" t="s">
        <v>16561</v>
      </c>
      <c r="G2268" s="1" t="s">
        <v>16562</v>
      </c>
    </row>
    <row r="2269" spans="1:7">
      <c r="A2269" s="1">
        <v>2268</v>
      </c>
      <c r="B2269" s="1" t="s">
        <v>16563</v>
      </c>
      <c r="D2269" s="1" t="s">
        <v>10192</v>
      </c>
      <c r="E2269" s="1" t="s">
        <v>10200</v>
      </c>
      <c r="F2269" s="1" t="s">
        <v>16564</v>
      </c>
      <c r="G2269" s="1" t="s">
        <v>16565</v>
      </c>
    </row>
    <row r="2270" spans="1:7">
      <c r="A2270" s="1">
        <v>2269</v>
      </c>
      <c r="B2270" s="1" t="s">
        <v>16566</v>
      </c>
      <c r="D2270" s="1" t="s">
        <v>10192</v>
      </c>
      <c r="E2270" s="1" t="s">
        <v>10204</v>
      </c>
      <c r="F2270" s="1" t="s">
        <v>16567</v>
      </c>
      <c r="G2270" s="1" t="s">
        <v>16568</v>
      </c>
    </row>
    <row r="2271" spans="1:7">
      <c r="A2271" s="1">
        <v>2270</v>
      </c>
      <c r="B2271" s="1" t="s">
        <v>16569</v>
      </c>
      <c r="D2271" s="1" t="s">
        <v>10192</v>
      </c>
      <c r="E2271" s="1" t="s">
        <v>10208</v>
      </c>
      <c r="F2271" s="1" t="s">
        <v>16570</v>
      </c>
      <c r="G2271" s="1" t="s">
        <v>16571</v>
      </c>
    </row>
    <row r="2272" spans="1:7">
      <c r="A2272" s="1">
        <v>2271</v>
      </c>
      <c r="B2272" s="1" t="s">
        <v>16572</v>
      </c>
      <c r="D2272" s="1" t="s">
        <v>10216</v>
      </c>
      <c r="E2272" s="1" t="s">
        <v>3669</v>
      </c>
      <c r="F2272" s="1" t="s">
        <v>10220</v>
      </c>
      <c r="G2272" s="1" t="s">
        <v>10221</v>
      </c>
    </row>
    <row r="2273" spans="1:7">
      <c r="A2273" s="1">
        <v>2272</v>
      </c>
      <c r="B2273" s="1" t="s">
        <v>16573</v>
      </c>
      <c r="D2273" s="1" t="s">
        <v>10216</v>
      </c>
      <c r="E2273" s="1" t="s">
        <v>3670</v>
      </c>
      <c r="F2273" s="1" t="s">
        <v>10217</v>
      </c>
      <c r="G2273" s="1" t="s">
        <v>10218</v>
      </c>
    </row>
    <row r="2274" spans="1:7">
      <c r="A2274" s="1">
        <v>2273</v>
      </c>
      <c r="B2274" s="1" t="s">
        <v>16574</v>
      </c>
      <c r="D2274" s="1" t="s">
        <v>10223</v>
      </c>
      <c r="E2274" s="1" t="s">
        <v>10224</v>
      </c>
      <c r="F2274" s="1" t="s">
        <v>3749</v>
      </c>
      <c r="G2274" s="1" t="s">
        <v>3750</v>
      </c>
    </row>
    <row r="2275" spans="1:7">
      <c r="A2275" s="1">
        <v>2274</v>
      </c>
      <c r="B2275" s="1" t="s">
        <v>16575</v>
      </c>
      <c r="D2275" s="1" t="s">
        <v>10223</v>
      </c>
      <c r="E2275" s="1" t="s">
        <v>10230</v>
      </c>
      <c r="F2275" s="1" t="s">
        <v>10231</v>
      </c>
      <c r="G2275" s="1" t="s">
        <v>10232</v>
      </c>
    </row>
    <row r="2276" spans="1:7">
      <c r="A2276" s="1">
        <v>2275</v>
      </c>
      <c r="B2276" s="1" t="s">
        <v>16576</v>
      </c>
      <c r="D2276" s="1" t="s">
        <v>10223</v>
      </c>
      <c r="E2276" s="1" t="s">
        <v>10226</v>
      </c>
      <c r="F2276" s="1" t="s">
        <v>10227</v>
      </c>
      <c r="G2276" s="1" t="s">
        <v>10228</v>
      </c>
    </row>
    <row r="2277" spans="1:7">
      <c r="A2277" s="1">
        <v>2276</v>
      </c>
      <c r="B2277" s="1" t="s">
        <v>16577</v>
      </c>
      <c r="D2277" s="1" t="s">
        <v>10223</v>
      </c>
      <c r="E2277" s="1" t="s">
        <v>10234</v>
      </c>
      <c r="F2277" s="1" t="s">
        <v>10235</v>
      </c>
      <c r="G2277" s="1" t="s">
        <v>10236</v>
      </c>
    </row>
    <row r="2278" spans="1:7">
      <c r="A2278" s="1">
        <v>2277</v>
      </c>
      <c r="B2278" s="1" t="s">
        <v>16578</v>
      </c>
      <c r="D2278" s="1" t="s">
        <v>10223</v>
      </c>
      <c r="E2278" s="1" t="s">
        <v>10246</v>
      </c>
      <c r="F2278" s="1" t="s">
        <v>10247</v>
      </c>
      <c r="G2278" s="1" t="s">
        <v>10248</v>
      </c>
    </row>
    <row r="2279" spans="1:7">
      <c r="A2279" s="1">
        <v>2278</v>
      </c>
      <c r="B2279" s="1" t="s">
        <v>16579</v>
      </c>
      <c r="D2279" s="1" t="s">
        <v>10223</v>
      </c>
      <c r="E2279" s="1" t="s">
        <v>10242</v>
      </c>
      <c r="F2279" s="1" t="s">
        <v>10243</v>
      </c>
      <c r="G2279" s="1" t="s">
        <v>10244</v>
      </c>
    </row>
    <row r="2280" spans="1:7">
      <c r="A2280" s="1">
        <v>2279</v>
      </c>
      <c r="B2280" s="1" t="s">
        <v>16580</v>
      </c>
      <c r="D2280" s="1" t="s">
        <v>10223</v>
      </c>
      <c r="E2280" s="1" t="s">
        <v>10238</v>
      </c>
      <c r="F2280" s="1" t="s">
        <v>10239</v>
      </c>
      <c r="G2280" s="1" t="s">
        <v>10240</v>
      </c>
    </row>
    <row r="2281" spans="1:7">
      <c r="A2281" s="1">
        <v>2280</v>
      </c>
      <c r="B2281" s="1" t="s">
        <v>16581</v>
      </c>
      <c r="D2281" s="1" t="s">
        <v>10250</v>
      </c>
      <c r="E2281" s="1" t="s">
        <v>10261</v>
      </c>
      <c r="F2281" s="1" t="s">
        <v>10262</v>
      </c>
      <c r="G2281" s="1" t="s">
        <v>10263</v>
      </c>
    </row>
    <row r="2282" spans="1:7">
      <c r="A2282" s="1">
        <v>2281</v>
      </c>
      <c r="B2282" s="1" t="s">
        <v>16582</v>
      </c>
      <c r="D2282" s="1" t="s">
        <v>10250</v>
      </c>
      <c r="E2282" s="1" t="s">
        <v>10257</v>
      </c>
      <c r="F2282" s="1" t="s">
        <v>10258</v>
      </c>
      <c r="G2282" s="1" t="s">
        <v>10259</v>
      </c>
    </row>
    <row r="2283" spans="1:7">
      <c r="A2283" s="1">
        <v>2282</v>
      </c>
      <c r="B2283" s="1" t="s">
        <v>16583</v>
      </c>
      <c r="D2283" s="1" t="s">
        <v>10250</v>
      </c>
      <c r="E2283" s="1" t="s">
        <v>10265</v>
      </c>
      <c r="F2283" s="1" t="s">
        <v>10266</v>
      </c>
      <c r="G2283" s="1" t="s">
        <v>10267</v>
      </c>
    </row>
    <row r="2284" spans="1:7">
      <c r="A2284" s="1">
        <v>2283</v>
      </c>
      <c r="B2284" s="1" t="s">
        <v>16584</v>
      </c>
      <c r="D2284" s="1" t="s">
        <v>10250</v>
      </c>
      <c r="E2284" s="1" t="s">
        <v>2880</v>
      </c>
      <c r="F2284" s="1" t="s">
        <v>10251</v>
      </c>
      <c r="G2284" s="1" t="s">
        <v>10252</v>
      </c>
    </row>
    <row r="2285" spans="1:7">
      <c r="A2285" s="1">
        <v>2284</v>
      </c>
      <c r="B2285" s="1" t="s">
        <v>16585</v>
      </c>
      <c r="D2285" s="1" t="s">
        <v>10250</v>
      </c>
      <c r="E2285" s="1" t="s">
        <v>2877</v>
      </c>
      <c r="F2285" s="1" t="s">
        <v>10254</v>
      </c>
      <c r="G2285" s="1" t="s">
        <v>10255</v>
      </c>
    </row>
    <row r="2286" spans="1:7">
      <c r="A2286" s="1">
        <v>2285</v>
      </c>
      <c r="B2286" s="1" t="s">
        <v>16586</v>
      </c>
      <c r="D2286" s="1" t="s">
        <v>10250</v>
      </c>
      <c r="E2286" s="1" t="s">
        <v>10284</v>
      </c>
      <c r="F2286" s="1" t="s">
        <v>10285</v>
      </c>
      <c r="G2286" s="1" t="s">
        <v>10286</v>
      </c>
    </row>
    <row r="2287" spans="1:7">
      <c r="A2287" s="1">
        <v>2286</v>
      </c>
      <c r="B2287" s="1" t="s">
        <v>16587</v>
      </c>
      <c r="D2287" s="1" t="s">
        <v>10250</v>
      </c>
      <c r="E2287" s="1" t="s">
        <v>10280</v>
      </c>
      <c r="F2287" s="1" t="s">
        <v>10281</v>
      </c>
      <c r="G2287" s="1" t="s">
        <v>10282</v>
      </c>
    </row>
    <row r="2288" spans="1:7">
      <c r="A2288" s="1">
        <v>2287</v>
      </c>
      <c r="B2288" s="1" t="s">
        <v>16588</v>
      </c>
      <c r="D2288" s="1" t="s">
        <v>10250</v>
      </c>
      <c r="E2288" s="1" t="s">
        <v>2881</v>
      </c>
      <c r="F2288" s="1" t="s">
        <v>10273</v>
      </c>
      <c r="G2288" s="1" t="s">
        <v>10274</v>
      </c>
    </row>
    <row r="2289" spans="1:7">
      <c r="A2289" s="1">
        <v>2288</v>
      </c>
      <c r="B2289" s="1" t="s">
        <v>16589</v>
      </c>
      <c r="D2289" s="1" t="s">
        <v>10250</v>
      </c>
      <c r="E2289" s="1" t="s">
        <v>10269</v>
      </c>
      <c r="F2289" s="1" t="s">
        <v>10270</v>
      </c>
      <c r="G2289" s="1" t="s">
        <v>10271</v>
      </c>
    </row>
    <row r="2290" spans="1:7">
      <c r="A2290" s="1">
        <v>2289</v>
      </c>
      <c r="B2290" s="1" t="s">
        <v>16590</v>
      </c>
      <c r="D2290" s="1" t="s">
        <v>10250</v>
      </c>
      <c r="E2290" s="1" t="s">
        <v>10276</v>
      </c>
      <c r="F2290" s="1" t="s">
        <v>10277</v>
      </c>
      <c r="G2290" s="1" t="s">
        <v>10278</v>
      </c>
    </row>
    <row r="2291" spans="1:7">
      <c r="A2291" s="1">
        <v>2290</v>
      </c>
      <c r="B2291" s="1" t="s">
        <v>16591</v>
      </c>
      <c r="D2291" s="1" t="s">
        <v>10288</v>
      </c>
      <c r="E2291" s="1" t="s">
        <v>10291</v>
      </c>
      <c r="F2291" s="1" t="s">
        <v>16592</v>
      </c>
      <c r="G2291" s="1" t="s">
        <v>16593</v>
      </c>
    </row>
    <row r="2292" spans="1:7">
      <c r="A2292" s="1">
        <v>2291</v>
      </c>
      <c r="B2292" s="1" t="s">
        <v>16594</v>
      </c>
      <c r="D2292" s="1" t="s">
        <v>10288</v>
      </c>
      <c r="E2292" s="1" t="s">
        <v>10289</v>
      </c>
      <c r="F2292" s="1" t="s">
        <v>16595</v>
      </c>
      <c r="G2292" s="1" t="s">
        <v>16596</v>
      </c>
    </row>
    <row r="2293" spans="1:7">
      <c r="A2293" s="1">
        <v>2292</v>
      </c>
      <c r="B2293" s="1" t="s">
        <v>16597</v>
      </c>
      <c r="D2293" s="1" t="s">
        <v>10288</v>
      </c>
      <c r="E2293" s="1" t="s">
        <v>10293</v>
      </c>
      <c r="F2293" s="1" t="s">
        <v>16598</v>
      </c>
      <c r="G2293" s="1" t="s">
        <v>16599</v>
      </c>
    </row>
    <row r="2294" spans="1:7">
      <c r="A2294" s="1">
        <v>2293</v>
      </c>
      <c r="B2294" s="1" t="s">
        <v>16600</v>
      </c>
      <c r="D2294" s="1" t="s">
        <v>10288</v>
      </c>
      <c r="E2294" s="1" t="s">
        <v>10299</v>
      </c>
      <c r="F2294" s="1" t="s">
        <v>16601</v>
      </c>
      <c r="G2294" s="1" t="s">
        <v>16602</v>
      </c>
    </row>
    <row r="2295" spans="1:7">
      <c r="A2295" s="1">
        <v>2294</v>
      </c>
      <c r="B2295" s="1" t="s">
        <v>16603</v>
      </c>
      <c r="D2295" s="1" t="s">
        <v>10288</v>
      </c>
      <c r="E2295" s="1" t="s">
        <v>10297</v>
      </c>
      <c r="F2295" s="1" t="s">
        <v>16604</v>
      </c>
      <c r="G2295" s="1" t="s">
        <v>16605</v>
      </c>
    </row>
    <row r="2296" spans="1:7">
      <c r="A2296" s="1">
        <v>2295</v>
      </c>
      <c r="B2296" s="1" t="s">
        <v>16606</v>
      </c>
      <c r="D2296" s="1" t="s">
        <v>10288</v>
      </c>
      <c r="E2296" s="1" t="s">
        <v>10295</v>
      </c>
      <c r="F2296" s="1" t="s">
        <v>16607</v>
      </c>
      <c r="G2296" s="1" t="s">
        <v>16608</v>
      </c>
    </row>
    <row r="2297" spans="1:7">
      <c r="A2297" s="1">
        <v>2296</v>
      </c>
      <c r="B2297" s="1" t="s">
        <v>16609</v>
      </c>
      <c r="D2297" s="1" t="s">
        <v>10301</v>
      </c>
      <c r="E2297" s="1" t="s">
        <v>16610</v>
      </c>
      <c r="F2297" s="1" t="s">
        <v>10303</v>
      </c>
      <c r="G2297" s="1" t="s">
        <v>10304</v>
      </c>
    </row>
    <row r="2298" spans="1:7">
      <c r="A2298" s="1">
        <v>2297</v>
      </c>
      <c r="B2298" s="1" t="s">
        <v>16611</v>
      </c>
      <c r="D2298" s="1" t="s">
        <v>10301</v>
      </c>
      <c r="E2298" s="1" t="s">
        <v>16612</v>
      </c>
      <c r="F2298" s="1" t="s">
        <v>10307</v>
      </c>
      <c r="G2298" s="1" t="s">
        <v>10308</v>
      </c>
    </row>
    <row r="2299" spans="1:7">
      <c r="A2299" s="1">
        <v>2298</v>
      </c>
      <c r="B2299" s="1" t="s">
        <v>16613</v>
      </c>
      <c r="D2299" s="1" t="s">
        <v>10301</v>
      </c>
      <c r="E2299" s="1" t="s">
        <v>16614</v>
      </c>
      <c r="F2299" s="1" t="s">
        <v>10311</v>
      </c>
      <c r="G2299" s="1" t="s">
        <v>10312</v>
      </c>
    </row>
    <row r="2300" spans="1:7">
      <c r="A2300" s="1">
        <v>2299</v>
      </c>
      <c r="B2300" s="1" t="s">
        <v>16615</v>
      </c>
      <c r="D2300" s="1" t="s">
        <v>10301</v>
      </c>
      <c r="E2300" s="1" t="s">
        <v>16616</v>
      </c>
      <c r="F2300" s="1" t="s">
        <v>10315</v>
      </c>
      <c r="G2300" s="1" t="s">
        <v>10316</v>
      </c>
    </row>
    <row r="2301" spans="1:7">
      <c r="A2301" s="1">
        <v>2300</v>
      </c>
      <c r="B2301" s="1" t="s">
        <v>16617</v>
      </c>
      <c r="D2301" s="1" t="s">
        <v>10301</v>
      </c>
      <c r="E2301" s="1" t="s">
        <v>11676</v>
      </c>
      <c r="F2301" s="1" t="s">
        <v>10319</v>
      </c>
      <c r="G2301" s="1" t="s">
        <v>10320</v>
      </c>
    </row>
    <row r="2302" spans="1:7">
      <c r="A2302" s="1">
        <v>2301</v>
      </c>
      <c r="B2302" s="1" t="s">
        <v>16618</v>
      </c>
      <c r="D2302" s="1" t="s">
        <v>10301</v>
      </c>
      <c r="E2302" s="1" t="s">
        <v>11667</v>
      </c>
      <c r="F2302" s="1" t="s">
        <v>10323</v>
      </c>
      <c r="G2302" s="1" t="s">
        <v>10324</v>
      </c>
    </row>
    <row r="2303" spans="1:7">
      <c r="A2303" s="1">
        <v>2302</v>
      </c>
      <c r="B2303" s="1" t="s">
        <v>16619</v>
      </c>
      <c r="D2303" s="1" t="s">
        <v>10301</v>
      </c>
      <c r="E2303" s="1" t="s">
        <v>11671</v>
      </c>
      <c r="F2303" s="1" t="s">
        <v>10327</v>
      </c>
      <c r="G2303" s="1" t="s">
        <v>10328</v>
      </c>
    </row>
    <row r="2304" spans="1:7">
      <c r="A2304" s="1">
        <v>2303</v>
      </c>
      <c r="B2304" s="1" t="s">
        <v>16620</v>
      </c>
      <c r="D2304" s="1" t="s">
        <v>10301</v>
      </c>
      <c r="E2304" s="1" t="s">
        <v>11623</v>
      </c>
      <c r="F2304" s="1" t="s">
        <v>10331</v>
      </c>
      <c r="G2304" s="1" t="s">
        <v>10332</v>
      </c>
    </row>
    <row r="2305" spans="1:7">
      <c r="A2305" s="1">
        <v>2304</v>
      </c>
      <c r="B2305" s="1" t="s">
        <v>16621</v>
      </c>
      <c r="D2305" s="1" t="s">
        <v>10301</v>
      </c>
      <c r="E2305" s="1" t="s">
        <v>11627</v>
      </c>
      <c r="F2305" s="1" t="s">
        <v>10335</v>
      </c>
      <c r="G2305" s="1" t="s">
        <v>10336</v>
      </c>
    </row>
    <row r="2306" spans="1:7">
      <c r="A2306" s="1">
        <v>2305</v>
      </c>
      <c r="B2306" s="1" t="s">
        <v>16622</v>
      </c>
      <c r="D2306" s="1" t="s">
        <v>10301</v>
      </c>
      <c r="E2306" s="1" t="s">
        <v>11631</v>
      </c>
      <c r="F2306" s="1" t="s">
        <v>10339</v>
      </c>
      <c r="G2306" s="1" t="s">
        <v>10340</v>
      </c>
    </row>
    <row r="2307" spans="1:7">
      <c r="A2307" s="1">
        <v>2306</v>
      </c>
      <c r="B2307" s="1" t="s">
        <v>16623</v>
      </c>
      <c r="D2307" s="1" t="s">
        <v>10301</v>
      </c>
      <c r="E2307" s="1" t="s">
        <v>11635</v>
      </c>
      <c r="F2307" s="1" t="s">
        <v>10343</v>
      </c>
      <c r="G2307" s="1" t="s">
        <v>10344</v>
      </c>
    </row>
    <row r="2308" spans="1:7">
      <c r="A2308" s="1">
        <v>2307</v>
      </c>
      <c r="B2308" s="1" t="s">
        <v>16624</v>
      </c>
      <c r="D2308" s="1" t="s">
        <v>10346</v>
      </c>
      <c r="E2308" s="1" t="s">
        <v>597</v>
      </c>
      <c r="F2308" s="1" t="s">
        <v>10347</v>
      </c>
      <c r="G2308" s="1" t="s">
        <v>10348</v>
      </c>
    </row>
    <row r="2309" spans="1:7">
      <c r="A2309" s="1">
        <v>2308</v>
      </c>
      <c r="B2309" s="1" t="s">
        <v>16625</v>
      </c>
      <c r="D2309" s="1" t="s">
        <v>10346</v>
      </c>
      <c r="E2309" s="1" t="s">
        <v>594</v>
      </c>
      <c r="F2309" s="1" t="s">
        <v>595</v>
      </c>
      <c r="G2309" s="1" t="s">
        <v>596</v>
      </c>
    </row>
    <row r="2310" spans="1:7">
      <c r="A2310" s="1">
        <v>2309</v>
      </c>
      <c r="B2310" s="1" t="s">
        <v>16626</v>
      </c>
      <c r="D2310" s="1" t="s">
        <v>10346</v>
      </c>
      <c r="E2310" s="1" t="s">
        <v>600</v>
      </c>
      <c r="F2310" s="1" t="s">
        <v>10193</v>
      </c>
      <c r="G2310" s="1" t="s">
        <v>10194</v>
      </c>
    </row>
    <row r="2311" spans="1:7">
      <c r="A2311" s="1">
        <v>2310</v>
      </c>
      <c r="B2311" s="1" t="s">
        <v>16627</v>
      </c>
      <c r="D2311" s="1" t="s">
        <v>10346</v>
      </c>
      <c r="E2311" s="1" t="s">
        <v>602</v>
      </c>
      <c r="F2311" s="1" t="s">
        <v>10352</v>
      </c>
      <c r="G2311" s="1" t="s">
        <v>10353</v>
      </c>
    </row>
    <row r="2312" spans="1:7">
      <c r="A2312" s="1">
        <v>2311</v>
      </c>
      <c r="B2312" s="1" t="s">
        <v>16628</v>
      </c>
      <c r="D2312" s="1" t="s">
        <v>10346</v>
      </c>
      <c r="E2312" s="1" t="s">
        <v>601</v>
      </c>
      <c r="F2312" s="1" t="s">
        <v>10209</v>
      </c>
      <c r="G2312" s="1" t="s">
        <v>10210</v>
      </c>
    </row>
    <row r="2313" spans="1:7">
      <c r="A2313" s="1">
        <v>2312</v>
      </c>
      <c r="B2313" s="1" t="s">
        <v>16629</v>
      </c>
      <c r="D2313" s="1" t="s">
        <v>10356</v>
      </c>
      <c r="E2313" s="1" t="s">
        <v>613</v>
      </c>
      <c r="F2313" s="1" t="s">
        <v>10209</v>
      </c>
      <c r="G2313" s="1" t="s">
        <v>10210</v>
      </c>
    </row>
    <row r="2314" spans="1:7">
      <c r="A2314" s="1">
        <v>2313</v>
      </c>
      <c r="B2314" s="1" t="s">
        <v>16630</v>
      </c>
      <c r="D2314" s="1" t="s">
        <v>16631</v>
      </c>
      <c r="E2314" s="1" t="s">
        <v>16632</v>
      </c>
      <c r="F2314" s="1" t="s">
        <v>10209</v>
      </c>
      <c r="G2314" s="1" t="s">
        <v>10210</v>
      </c>
    </row>
    <row r="2315" spans="1:7">
      <c r="A2315" s="1">
        <v>2314</v>
      </c>
      <c r="B2315" s="1" t="s">
        <v>16633</v>
      </c>
      <c r="D2315" s="1" t="s">
        <v>16634</v>
      </c>
      <c r="E2315" s="1" t="s">
        <v>16635</v>
      </c>
      <c r="F2315" s="1" t="s">
        <v>16636</v>
      </c>
      <c r="G2315" s="1" t="s">
        <v>16637</v>
      </c>
    </row>
    <row r="2316" spans="1:7">
      <c r="A2316" s="1">
        <v>2315</v>
      </c>
      <c r="B2316" s="1" t="s">
        <v>16638</v>
      </c>
      <c r="D2316" s="1" t="s">
        <v>16634</v>
      </c>
      <c r="E2316" s="1" t="s">
        <v>16639</v>
      </c>
      <c r="F2316" s="1" t="s">
        <v>16640</v>
      </c>
      <c r="G2316" s="1" t="s">
        <v>16641</v>
      </c>
    </row>
    <row r="2317" spans="1:7">
      <c r="A2317" s="1">
        <v>2316</v>
      </c>
      <c r="B2317" s="1" t="s">
        <v>16642</v>
      </c>
      <c r="D2317" s="1" t="s">
        <v>16634</v>
      </c>
      <c r="E2317" s="1" t="s">
        <v>16643</v>
      </c>
      <c r="F2317" s="1" t="s">
        <v>16644</v>
      </c>
      <c r="G2317" s="1" t="s">
        <v>16645</v>
      </c>
    </row>
    <row r="2318" spans="1:7">
      <c r="A2318" s="1">
        <v>2317</v>
      </c>
      <c r="B2318" s="1" t="s">
        <v>16646</v>
      </c>
      <c r="D2318" s="1" t="s">
        <v>16647</v>
      </c>
      <c r="E2318" s="1" t="s">
        <v>16648</v>
      </c>
      <c r="F2318" s="1" t="s">
        <v>16636</v>
      </c>
      <c r="G2318" s="1" t="s">
        <v>16637</v>
      </c>
    </row>
    <row r="2319" spans="1:7">
      <c r="A2319" s="1">
        <v>2318</v>
      </c>
      <c r="B2319" s="1" t="s">
        <v>16649</v>
      </c>
      <c r="D2319" s="1" t="s">
        <v>16647</v>
      </c>
      <c r="E2319" s="1" t="s">
        <v>16650</v>
      </c>
      <c r="F2319" s="1" t="s">
        <v>16651</v>
      </c>
      <c r="G2319" s="1" t="s">
        <v>16652</v>
      </c>
    </row>
    <row r="2320" spans="1:7">
      <c r="A2320" s="1">
        <v>2319</v>
      </c>
      <c r="B2320" s="1" t="s">
        <v>16653</v>
      </c>
      <c r="D2320" s="1" t="s">
        <v>16647</v>
      </c>
      <c r="E2320" s="1" t="s">
        <v>16654</v>
      </c>
      <c r="F2320" s="1" t="s">
        <v>16655</v>
      </c>
      <c r="G2320" s="1" t="s">
        <v>16656</v>
      </c>
    </row>
    <row r="2321" spans="1:7">
      <c r="A2321" s="1">
        <v>2320</v>
      </c>
      <c r="B2321" s="1" t="s">
        <v>16657</v>
      </c>
      <c r="D2321" s="1" t="s">
        <v>16647</v>
      </c>
      <c r="E2321" s="1" t="s">
        <v>16658</v>
      </c>
      <c r="F2321" s="1" t="s">
        <v>16640</v>
      </c>
      <c r="G2321" s="1" t="s">
        <v>16641</v>
      </c>
    </row>
    <row r="2322" spans="1:7">
      <c r="A2322" s="1">
        <v>2321</v>
      </c>
      <c r="B2322" s="1" t="s">
        <v>16659</v>
      </c>
      <c r="D2322" s="1" t="s">
        <v>16660</v>
      </c>
      <c r="E2322" s="1" t="s">
        <v>16661</v>
      </c>
      <c r="F2322" s="1" t="s">
        <v>16662</v>
      </c>
      <c r="G2322" s="1" t="s">
        <v>16663</v>
      </c>
    </row>
    <row r="2323" spans="1:7">
      <c r="A2323" s="1">
        <v>2322</v>
      </c>
      <c r="B2323" s="1" t="s">
        <v>16664</v>
      </c>
      <c r="D2323" s="1" t="s">
        <v>16660</v>
      </c>
      <c r="E2323" s="1" t="s">
        <v>16665</v>
      </c>
      <c r="F2323" s="1" t="s">
        <v>16666</v>
      </c>
      <c r="G2323" s="1" t="s">
        <v>16667</v>
      </c>
    </row>
    <row r="2324" spans="1:7">
      <c r="A2324" s="1">
        <v>2323</v>
      </c>
      <c r="B2324" s="1" t="s">
        <v>16668</v>
      </c>
      <c r="D2324" s="1" t="s">
        <v>16660</v>
      </c>
      <c r="E2324" s="1" t="s">
        <v>16669</v>
      </c>
      <c r="F2324" s="1" t="s">
        <v>16670</v>
      </c>
      <c r="G2324" s="1" t="s">
        <v>16671</v>
      </c>
    </row>
    <row r="2325" spans="1:7">
      <c r="A2325" s="1">
        <v>2324</v>
      </c>
      <c r="B2325" s="1" t="s">
        <v>16672</v>
      </c>
      <c r="D2325" s="1" t="s">
        <v>10363</v>
      </c>
      <c r="E2325" s="1" t="s">
        <v>16673</v>
      </c>
      <c r="F2325" s="1" t="s">
        <v>618</v>
      </c>
      <c r="G2325" s="1" t="s">
        <v>619</v>
      </c>
    </row>
    <row r="2326" spans="1:7">
      <c r="A2326" s="1">
        <v>2325</v>
      </c>
      <c r="B2326" s="1" t="s">
        <v>16674</v>
      </c>
      <c r="D2326" s="1" t="s">
        <v>10363</v>
      </c>
      <c r="E2326" s="1" t="s">
        <v>7350</v>
      </c>
      <c r="F2326" s="1" t="s">
        <v>621</v>
      </c>
      <c r="G2326" s="1" t="s">
        <v>622</v>
      </c>
    </row>
    <row r="2327" spans="1:7">
      <c r="A2327" s="1">
        <v>2326</v>
      </c>
      <c r="B2327" s="1" t="s">
        <v>16675</v>
      </c>
      <c r="D2327" s="1" t="s">
        <v>10363</v>
      </c>
      <c r="E2327" s="1" t="s">
        <v>7354</v>
      </c>
      <c r="F2327" s="1" t="s">
        <v>624</v>
      </c>
      <c r="G2327" s="1" t="s">
        <v>625</v>
      </c>
    </row>
    <row r="2328" spans="1:7">
      <c r="A2328" s="1">
        <v>2327</v>
      </c>
      <c r="B2328" s="1" t="s">
        <v>16676</v>
      </c>
      <c r="D2328" s="1" t="s">
        <v>10363</v>
      </c>
      <c r="E2328" s="1" t="s">
        <v>16677</v>
      </c>
      <c r="F2328" s="1" t="s">
        <v>627</v>
      </c>
      <c r="G2328" s="1" t="s">
        <v>628</v>
      </c>
    </row>
    <row r="2329" spans="1:7">
      <c r="A2329" s="1">
        <v>2328</v>
      </c>
      <c r="B2329" s="1" t="s">
        <v>16678</v>
      </c>
      <c r="D2329" s="1" t="s">
        <v>10363</v>
      </c>
      <c r="E2329" s="1" t="s">
        <v>16679</v>
      </c>
      <c r="F2329" s="1" t="s">
        <v>10373</v>
      </c>
      <c r="G2329" s="1" t="s">
        <v>10374</v>
      </c>
    </row>
    <row r="2330" spans="1:7">
      <c r="A2330" s="1">
        <v>2329</v>
      </c>
      <c r="B2330" s="1" t="s">
        <v>16680</v>
      </c>
      <c r="D2330" s="1" t="s">
        <v>10363</v>
      </c>
      <c r="E2330" s="1" t="s">
        <v>16681</v>
      </c>
      <c r="F2330" s="1" t="s">
        <v>10377</v>
      </c>
      <c r="G2330" s="1" t="s">
        <v>10378</v>
      </c>
    </row>
    <row r="2331" spans="1:7">
      <c r="A2331" s="1">
        <v>2330</v>
      </c>
      <c r="B2331" s="1" t="s">
        <v>16682</v>
      </c>
      <c r="D2331" s="1" t="s">
        <v>10363</v>
      </c>
      <c r="E2331" s="1" t="s">
        <v>16683</v>
      </c>
      <c r="F2331" s="1" t="s">
        <v>636</v>
      </c>
      <c r="G2331" s="1" t="s">
        <v>637</v>
      </c>
    </row>
    <row r="2332" spans="1:7">
      <c r="A2332" s="1">
        <v>2331</v>
      </c>
      <c r="B2332" s="1" t="s">
        <v>16684</v>
      </c>
      <c r="D2332" s="1" t="s">
        <v>10382</v>
      </c>
      <c r="E2332" s="1" t="s">
        <v>3997</v>
      </c>
      <c r="F2332" s="1" t="s">
        <v>10395</v>
      </c>
      <c r="G2332" s="1" t="s">
        <v>10396</v>
      </c>
    </row>
    <row r="2333" spans="1:7">
      <c r="A2333" s="1">
        <v>2332</v>
      </c>
      <c r="B2333" s="1" t="s">
        <v>16685</v>
      </c>
      <c r="D2333" s="1" t="s">
        <v>10382</v>
      </c>
      <c r="E2333" s="1" t="s">
        <v>4001</v>
      </c>
      <c r="F2333" s="1" t="s">
        <v>10398</v>
      </c>
      <c r="G2333" s="1" t="s">
        <v>10399</v>
      </c>
    </row>
    <row r="2334" spans="1:7">
      <c r="A2334" s="1">
        <v>2333</v>
      </c>
      <c r="B2334" s="1" t="s">
        <v>16686</v>
      </c>
      <c r="D2334" s="1" t="s">
        <v>10382</v>
      </c>
      <c r="E2334" s="1" t="s">
        <v>3342</v>
      </c>
      <c r="F2334" s="1" t="s">
        <v>10404</v>
      </c>
      <c r="G2334" s="1" t="s">
        <v>10405</v>
      </c>
    </row>
    <row r="2335" spans="1:7">
      <c r="A2335" s="1">
        <v>2334</v>
      </c>
      <c r="B2335" s="1" t="s">
        <v>16687</v>
      </c>
      <c r="D2335" s="1" t="s">
        <v>10382</v>
      </c>
      <c r="E2335" s="1" t="s">
        <v>3341</v>
      </c>
      <c r="F2335" s="1" t="s">
        <v>10401</v>
      </c>
      <c r="G2335" s="1" t="s">
        <v>10402</v>
      </c>
    </row>
    <row r="2336" spans="1:7">
      <c r="A2336" s="1">
        <v>2335</v>
      </c>
      <c r="B2336" s="1" t="s">
        <v>16688</v>
      </c>
      <c r="D2336" s="1" t="s">
        <v>10382</v>
      </c>
      <c r="E2336" s="1" t="s">
        <v>3340</v>
      </c>
      <c r="F2336" s="1" t="s">
        <v>10407</v>
      </c>
      <c r="G2336" s="1" t="s">
        <v>10408</v>
      </c>
    </row>
    <row r="2337" spans="1:7">
      <c r="A2337" s="1">
        <v>2336</v>
      </c>
      <c r="B2337" s="1" t="s">
        <v>16689</v>
      </c>
      <c r="D2337" s="1" t="s">
        <v>10382</v>
      </c>
      <c r="E2337" s="1" t="s">
        <v>3336</v>
      </c>
      <c r="F2337" s="1" t="s">
        <v>10392</v>
      </c>
      <c r="G2337" s="1" t="s">
        <v>10393</v>
      </c>
    </row>
    <row r="2338" spans="1:7">
      <c r="A2338" s="1">
        <v>2337</v>
      </c>
      <c r="B2338" s="1" t="s">
        <v>16690</v>
      </c>
      <c r="D2338" s="1" t="s">
        <v>10382</v>
      </c>
      <c r="E2338" s="1" t="s">
        <v>4009</v>
      </c>
      <c r="F2338" s="1" t="s">
        <v>10389</v>
      </c>
      <c r="G2338" s="1" t="s">
        <v>10390</v>
      </c>
    </row>
    <row r="2339" spans="1:7">
      <c r="A2339" s="1">
        <v>2338</v>
      </c>
      <c r="B2339" s="1" t="s">
        <v>16691</v>
      </c>
      <c r="D2339" s="1" t="s">
        <v>10382</v>
      </c>
      <c r="E2339" s="1" t="s">
        <v>3337</v>
      </c>
      <c r="F2339" s="1" t="s">
        <v>10410</v>
      </c>
      <c r="G2339" s="1" t="s">
        <v>10411</v>
      </c>
    </row>
    <row r="2340" spans="1:7">
      <c r="A2340" s="1">
        <v>2339</v>
      </c>
      <c r="B2340" s="1" t="s">
        <v>16692</v>
      </c>
      <c r="D2340" s="1" t="s">
        <v>10382</v>
      </c>
      <c r="E2340" s="1" t="s">
        <v>3338</v>
      </c>
      <c r="F2340" s="1" t="s">
        <v>10413</v>
      </c>
      <c r="G2340" s="1" t="s">
        <v>10414</v>
      </c>
    </row>
    <row r="2341" spans="1:7">
      <c r="A2341" s="1">
        <v>2340</v>
      </c>
      <c r="B2341" s="1" t="s">
        <v>16693</v>
      </c>
      <c r="D2341" s="1" t="s">
        <v>10382</v>
      </c>
      <c r="E2341" s="1" t="s">
        <v>3339</v>
      </c>
      <c r="F2341" s="1" t="s">
        <v>10386</v>
      </c>
      <c r="G2341" s="1" t="s">
        <v>10387</v>
      </c>
    </row>
    <row r="2342" spans="1:7">
      <c r="A2342" s="1">
        <v>2341</v>
      </c>
      <c r="B2342" s="1" t="s">
        <v>16694</v>
      </c>
      <c r="D2342" s="1" t="s">
        <v>10382</v>
      </c>
      <c r="E2342" s="1" t="s">
        <v>4005</v>
      </c>
      <c r="F2342" s="1" t="s">
        <v>10383</v>
      </c>
      <c r="G2342" s="1" t="s">
        <v>10384</v>
      </c>
    </row>
    <row r="2343" spans="1:7">
      <c r="A2343" s="1">
        <v>2342</v>
      </c>
      <c r="B2343" s="1" t="s">
        <v>16695</v>
      </c>
      <c r="D2343" s="1" t="s">
        <v>10382</v>
      </c>
      <c r="E2343" s="1" t="s">
        <v>10416</v>
      </c>
      <c r="F2343" s="1" t="s">
        <v>10417</v>
      </c>
      <c r="G2343" s="1" t="s">
        <v>10418</v>
      </c>
    </row>
    <row r="2344" spans="1:7">
      <c r="A2344" s="1">
        <v>2343</v>
      </c>
      <c r="B2344" s="1" t="s">
        <v>16696</v>
      </c>
      <c r="D2344" s="1" t="s">
        <v>10420</v>
      </c>
      <c r="E2344" s="1" t="s">
        <v>10750</v>
      </c>
      <c r="F2344" s="1" t="s">
        <v>16697</v>
      </c>
      <c r="G2344" s="1" t="s">
        <v>16698</v>
      </c>
    </row>
    <row r="2345" spans="1:7">
      <c r="A2345" s="1">
        <v>2344</v>
      </c>
      <c r="B2345" s="1" t="s">
        <v>16699</v>
      </c>
      <c r="D2345" s="1" t="s">
        <v>10420</v>
      </c>
      <c r="E2345" s="1" t="s">
        <v>10714</v>
      </c>
      <c r="F2345" s="1" t="s">
        <v>16700</v>
      </c>
      <c r="G2345" s="1" t="s">
        <v>16701</v>
      </c>
    </row>
    <row r="2346" spans="1:7">
      <c r="A2346" s="1">
        <v>2345</v>
      </c>
      <c r="B2346" s="1" t="s">
        <v>16702</v>
      </c>
      <c r="D2346" s="1" t="s">
        <v>10420</v>
      </c>
      <c r="E2346" s="1" t="s">
        <v>6674</v>
      </c>
      <c r="F2346" s="1" t="s">
        <v>16703</v>
      </c>
      <c r="G2346" s="1" t="s">
        <v>16704</v>
      </c>
    </row>
    <row r="2347" spans="1:7">
      <c r="A2347" s="1">
        <v>2346</v>
      </c>
      <c r="B2347" s="1" t="s">
        <v>16705</v>
      </c>
      <c r="D2347" s="1" t="s">
        <v>10420</v>
      </c>
      <c r="E2347" s="1" t="s">
        <v>6686</v>
      </c>
      <c r="F2347" s="1" t="s">
        <v>16706</v>
      </c>
      <c r="G2347" s="1" t="s">
        <v>16707</v>
      </c>
    </row>
    <row r="2348" spans="1:7">
      <c r="A2348" s="1">
        <v>2347</v>
      </c>
      <c r="B2348" s="1" t="s">
        <v>16708</v>
      </c>
      <c r="D2348" s="1" t="s">
        <v>10420</v>
      </c>
      <c r="E2348" s="1" t="s">
        <v>6690</v>
      </c>
      <c r="F2348" s="1" t="s">
        <v>16709</v>
      </c>
      <c r="G2348" s="1" t="s">
        <v>16710</v>
      </c>
    </row>
    <row r="2349" spans="1:7">
      <c r="A2349" s="1">
        <v>2348</v>
      </c>
      <c r="B2349" s="1" t="s">
        <v>16711</v>
      </c>
      <c r="D2349" s="1" t="s">
        <v>10420</v>
      </c>
      <c r="E2349" s="1" t="s">
        <v>6678</v>
      </c>
      <c r="F2349" s="1" t="s">
        <v>16712</v>
      </c>
      <c r="G2349" s="1" t="s">
        <v>16713</v>
      </c>
    </row>
    <row r="2350" spans="1:7">
      <c r="A2350" s="1">
        <v>2349</v>
      </c>
      <c r="B2350" s="1" t="s">
        <v>16714</v>
      </c>
      <c r="D2350" s="1" t="s">
        <v>10445</v>
      </c>
      <c r="E2350" s="1" t="s">
        <v>16715</v>
      </c>
      <c r="F2350" s="1" t="s">
        <v>16716</v>
      </c>
      <c r="G2350" s="1" t="s">
        <v>10448</v>
      </c>
    </row>
    <row r="2351" spans="1:7">
      <c r="A2351" s="1">
        <v>2350</v>
      </c>
      <c r="B2351" s="1" t="s">
        <v>16717</v>
      </c>
      <c r="D2351" s="1" t="s">
        <v>10450</v>
      </c>
      <c r="E2351" s="1" t="s">
        <v>16718</v>
      </c>
      <c r="F2351" s="1" t="s">
        <v>10460</v>
      </c>
      <c r="G2351" s="1" t="s">
        <v>10461</v>
      </c>
    </row>
    <row r="2352" spans="1:7">
      <c r="A2352" s="1">
        <v>2351</v>
      </c>
      <c r="B2352" s="1" t="s">
        <v>16719</v>
      </c>
      <c r="D2352" s="1" t="s">
        <v>10450</v>
      </c>
      <c r="E2352" s="1" t="s">
        <v>16720</v>
      </c>
      <c r="F2352" s="1" t="s">
        <v>10452</v>
      </c>
      <c r="G2352" s="1" t="s">
        <v>10453</v>
      </c>
    </row>
    <row r="2353" spans="1:7">
      <c r="A2353" s="1">
        <v>2352</v>
      </c>
      <c r="B2353" s="1" t="s">
        <v>16721</v>
      </c>
      <c r="D2353" s="1" t="s">
        <v>10450</v>
      </c>
      <c r="E2353" s="1" t="s">
        <v>16722</v>
      </c>
      <c r="F2353" s="1" t="s">
        <v>10456</v>
      </c>
      <c r="G2353" s="1" t="s">
        <v>10457</v>
      </c>
    </row>
    <row r="2354" spans="1:7">
      <c r="A2354" s="1">
        <v>2353</v>
      </c>
      <c r="B2354" s="1" t="s">
        <v>16723</v>
      </c>
      <c r="D2354" s="1" t="s">
        <v>10450</v>
      </c>
      <c r="E2354" s="1" t="s">
        <v>16724</v>
      </c>
      <c r="F2354" s="1" t="s">
        <v>10464</v>
      </c>
      <c r="G2354" s="1" t="s">
        <v>10465</v>
      </c>
    </row>
    <row r="2355" spans="1:7">
      <c r="A2355" s="1">
        <v>2354</v>
      </c>
      <c r="B2355" s="1" t="s">
        <v>16725</v>
      </c>
      <c r="D2355" s="1" t="s">
        <v>10450</v>
      </c>
      <c r="E2355" s="1" t="s">
        <v>16726</v>
      </c>
      <c r="F2355" s="1" t="s">
        <v>10468</v>
      </c>
      <c r="G2355" s="1" t="s">
        <v>10469</v>
      </c>
    </row>
    <row r="2356" spans="1:7">
      <c r="A2356" s="1">
        <v>2355</v>
      </c>
      <c r="B2356" s="1" t="s">
        <v>16727</v>
      </c>
      <c r="D2356" s="1" t="s">
        <v>10450</v>
      </c>
      <c r="E2356" s="1" t="s">
        <v>16728</v>
      </c>
      <c r="F2356" s="1" t="s">
        <v>10472</v>
      </c>
      <c r="G2356" s="1" t="s">
        <v>10473</v>
      </c>
    </row>
    <row r="2357" spans="1:7">
      <c r="A2357" s="1">
        <v>2356</v>
      </c>
      <c r="B2357" s="1" t="s">
        <v>16729</v>
      </c>
      <c r="D2357" s="1" t="s">
        <v>10450</v>
      </c>
      <c r="E2357" s="1" t="s">
        <v>16730</v>
      </c>
      <c r="F2357" s="1" t="s">
        <v>10476</v>
      </c>
      <c r="G2357" s="1" t="s">
        <v>10477</v>
      </c>
    </row>
    <row r="2358" spans="1:7">
      <c r="A2358" s="1">
        <v>2357</v>
      </c>
      <c r="B2358" s="1" t="s">
        <v>16731</v>
      </c>
      <c r="D2358" s="1" t="s">
        <v>10450</v>
      </c>
      <c r="E2358" s="1" t="s">
        <v>16732</v>
      </c>
      <c r="F2358" s="1" t="s">
        <v>10480</v>
      </c>
      <c r="G2358" s="1" t="s">
        <v>10481</v>
      </c>
    </row>
    <row r="2359" spans="1:7">
      <c r="A2359" s="1">
        <v>2358</v>
      </c>
      <c r="B2359" s="1" t="s">
        <v>16733</v>
      </c>
      <c r="D2359" s="1" t="s">
        <v>10450</v>
      </c>
      <c r="E2359" s="1" t="s">
        <v>16734</v>
      </c>
      <c r="F2359" s="1" t="s">
        <v>10484</v>
      </c>
      <c r="G2359" s="1" t="s">
        <v>10485</v>
      </c>
    </row>
    <row r="2360" spans="1:7">
      <c r="A2360" s="1">
        <v>2359</v>
      </c>
      <c r="B2360" s="1" t="s">
        <v>16735</v>
      </c>
      <c r="D2360" s="1" t="s">
        <v>10450</v>
      </c>
      <c r="E2360" s="1" t="s">
        <v>16736</v>
      </c>
      <c r="F2360" s="1" t="s">
        <v>10488</v>
      </c>
      <c r="G2360" s="1" t="s">
        <v>10489</v>
      </c>
    </row>
    <row r="2361" spans="1:7">
      <c r="A2361" s="1">
        <v>2360</v>
      </c>
      <c r="B2361" s="1" t="s">
        <v>16737</v>
      </c>
      <c r="D2361" s="1" t="s">
        <v>10491</v>
      </c>
      <c r="E2361" s="1" t="s">
        <v>16738</v>
      </c>
      <c r="F2361" s="1" t="s">
        <v>10493</v>
      </c>
      <c r="G2361" s="1" t="s">
        <v>10494</v>
      </c>
    </row>
    <row r="2362" spans="1:7">
      <c r="A2362" s="1">
        <v>2361</v>
      </c>
      <c r="B2362" s="1" t="s">
        <v>16739</v>
      </c>
      <c r="D2362" s="1" t="s">
        <v>10491</v>
      </c>
      <c r="E2362" s="1" t="s">
        <v>16740</v>
      </c>
      <c r="F2362" s="1" t="s">
        <v>10497</v>
      </c>
      <c r="G2362" s="1" t="s">
        <v>10498</v>
      </c>
    </row>
    <row r="2363" spans="1:7">
      <c r="A2363" s="1">
        <v>2362</v>
      </c>
      <c r="B2363" s="1" t="s">
        <v>16741</v>
      </c>
      <c r="D2363" s="1" t="s">
        <v>10500</v>
      </c>
      <c r="E2363" s="1" t="s">
        <v>16742</v>
      </c>
      <c r="F2363" s="1" t="s">
        <v>10502</v>
      </c>
      <c r="G2363" s="1" t="s">
        <v>10503</v>
      </c>
    </row>
    <row r="2364" spans="1:7">
      <c r="A2364" s="1">
        <v>2363</v>
      </c>
      <c r="B2364" s="1" t="s">
        <v>16743</v>
      </c>
      <c r="D2364" s="1" t="s">
        <v>10500</v>
      </c>
      <c r="E2364" s="1" t="s">
        <v>16744</v>
      </c>
      <c r="F2364" s="1" t="s">
        <v>10506</v>
      </c>
      <c r="G2364" s="1" t="s">
        <v>10507</v>
      </c>
    </row>
    <row r="2365" spans="1:7">
      <c r="A2365" s="1">
        <v>2364</v>
      </c>
      <c r="B2365" s="1" t="s">
        <v>16745</v>
      </c>
      <c r="D2365" s="1" t="s">
        <v>10509</v>
      </c>
      <c r="E2365" s="1" t="s">
        <v>16746</v>
      </c>
      <c r="F2365" s="1" t="s">
        <v>10519</v>
      </c>
      <c r="G2365" s="1" t="s">
        <v>10520</v>
      </c>
    </row>
    <row r="2366" spans="1:7">
      <c r="A2366" s="1">
        <v>2365</v>
      </c>
      <c r="B2366" s="1" t="s">
        <v>16747</v>
      </c>
      <c r="D2366" s="1" t="s">
        <v>10509</v>
      </c>
      <c r="E2366" s="1" t="s">
        <v>16748</v>
      </c>
      <c r="F2366" s="1" t="s">
        <v>10511</v>
      </c>
      <c r="G2366" s="1" t="s">
        <v>10512</v>
      </c>
    </row>
    <row r="2367" spans="1:7">
      <c r="A2367" s="1">
        <v>2366</v>
      </c>
      <c r="B2367" s="1" t="s">
        <v>16749</v>
      </c>
      <c r="D2367" s="1" t="s">
        <v>10509</v>
      </c>
      <c r="E2367" s="1" t="s">
        <v>16750</v>
      </c>
      <c r="F2367" s="1" t="s">
        <v>10515</v>
      </c>
      <c r="G2367" s="1" t="s">
        <v>10516</v>
      </c>
    </row>
    <row r="2368" spans="1:7">
      <c r="A2368" s="1">
        <v>2367</v>
      </c>
      <c r="B2368" s="1" t="s">
        <v>16751</v>
      </c>
      <c r="D2368" s="1" t="s">
        <v>10509</v>
      </c>
      <c r="E2368" s="1" t="s">
        <v>16752</v>
      </c>
      <c r="F2368" s="1" t="s">
        <v>10523</v>
      </c>
      <c r="G2368" s="1" t="s">
        <v>10524</v>
      </c>
    </row>
    <row r="2369" spans="1:7">
      <c r="A2369" s="1">
        <v>2368</v>
      </c>
      <c r="B2369" s="1" t="s">
        <v>16753</v>
      </c>
      <c r="D2369" s="1" t="s">
        <v>10509</v>
      </c>
      <c r="E2369" s="1" t="s">
        <v>16754</v>
      </c>
      <c r="F2369" s="1" t="s">
        <v>10527</v>
      </c>
      <c r="G2369" s="1" t="s">
        <v>10528</v>
      </c>
    </row>
    <row r="2370" spans="1:7">
      <c r="A2370" s="1">
        <v>2369</v>
      </c>
      <c r="B2370" s="1" t="s">
        <v>16755</v>
      </c>
      <c r="D2370" s="1" t="s">
        <v>10509</v>
      </c>
      <c r="E2370" s="1" t="s">
        <v>16756</v>
      </c>
      <c r="F2370" s="1" t="s">
        <v>10531</v>
      </c>
      <c r="G2370" s="1" t="s">
        <v>10532</v>
      </c>
    </row>
    <row r="2371" spans="1:7">
      <c r="A2371" s="1">
        <v>2370</v>
      </c>
      <c r="B2371" s="1" t="s">
        <v>16757</v>
      </c>
      <c r="D2371" s="1" t="s">
        <v>10534</v>
      </c>
      <c r="E2371" s="1" t="s">
        <v>16758</v>
      </c>
      <c r="F2371" s="1" t="s">
        <v>10536</v>
      </c>
      <c r="G2371" s="1" t="s">
        <v>10537</v>
      </c>
    </row>
    <row r="2372" spans="1:7">
      <c r="A2372" s="1">
        <v>2371</v>
      </c>
      <c r="B2372" s="1" t="s">
        <v>16759</v>
      </c>
      <c r="D2372" s="1" t="s">
        <v>10534</v>
      </c>
      <c r="E2372" s="1" t="s">
        <v>16760</v>
      </c>
      <c r="F2372" s="1" t="s">
        <v>10540</v>
      </c>
      <c r="G2372" s="1" t="s">
        <v>10541</v>
      </c>
    </row>
    <row r="2373" spans="1:7">
      <c r="A2373" s="1">
        <v>2372</v>
      </c>
      <c r="B2373" s="1" t="s">
        <v>16761</v>
      </c>
      <c r="D2373" s="1" t="s">
        <v>10543</v>
      </c>
      <c r="E2373" s="1" t="s">
        <v>16762</v>
      </c>
      <c r="F2373" s="1" t="s">
        <v>10545</v>
      </c>
      <c r="G2373" s="1" t="s">
        <v>10546</v>
      </c>
    </row>
    <row r="2374" spans="1:7">
      <c r="A2374" s="1">
        <v>2373</v>
      </c>
      <c r="B2374" s="1" t="s">
        <v>16763</v>
      </c>
      <c r="D2374" s="1" t="s">
        <v>10548</v>
      </c>
      <c r="E2374" s="1" t="s">
        <v>10561</v>
      </c>
      <c r="F2374" s="1" t="s">
        <v>10562</v>
      </c>
      <c r="G2374" s="1" t="s">
        <v>10563</v>
      </c>
    </row>
    <row r="2375" spans="1:7">
      <c r="A2375" s="1">
        <v>2374</v>
      </c>
      <c r="B2375" s="1" t="s">
        <v>16764</v>
      </c>
      <c r="D2375" s="1" t="s">
        <v>10548</v>
      </c>
      <c r="E2375" s="1" t="s">
        <v>10549</v>
      </c>
      <c r="F2375" s="1" t="s">
        <v>10550</v>
      </c>
      <c r="G2375" s="1" t="s">
        <v>10551</v>
      </c>
    </row>
    <row r="2376" spans="1:7">
      <c r="A2376" s="1">
        <v>2375</v>
      </c>
      <c r="B2376" s="1" t="s">
        <v>16765</v>
      </c>
      <c r="D2376" s="1" t="s">
        <v>10548</v>
      </c>
      <c r="E2376" s="1" t="s">
        <v>10553</v>
      </c>
      <c r="F2376" s="1" t="s">
        <v>10554</v>
      </c>
      <c r="G2376" s="1" t="s">
        <v>10555</v>
      </c>
    </row>
    <row r="2377" spans="1:7">
      <c r="A2377" s="1">
        <v>2376</v>
      </c>
      <c r="B2377" s="1" t="s">
        <v>16766</v>
      </c>
      <c r="D2377" s="1" t="s">
        <v>10548</v>
      </c>
      <c r="E2377" s="1" t="s">
        <v>10557</v>
      </c>
      <c r="F2377" s="1" t="s">
        <v>10558</v>
      </c>
      <c r="G2377" s="1" t="s">
        <v>10559</v>
      </c>
    </row>
    <row r="2378" spans="1:7">
      <c r="A2378" s="1">
        <v>2377</v>
      </c>
      <c r="B2378" s="1" t="s">
        <v>16767</v>
      </c>
      <c r="D2378" s="1" t="s">
        <v>10548</v>
      </c>
      <c r="E2378" s="1" t="s">
        <v>10573</v>
      </c>
      <c r="F2378" s="1" t="s">
        <v>10574</v>
      </c>
      <c r="G2378" s="1" t="s">
        <v>10575</v>
      </c>
    </row>
    <row r="2379" spans="1:7">
      <c r="A2379" s="1">
        <v>2378</v>
      </c>
      <c r="B2379" s="1" t="s">
        <v>16768</v>
      </c>
      <c r="D2379" s="1" t="s">
        <v>10548</v>
      </c>
      <c r="E2379" s="1" t="s">
        <v>10569</v>
      </c>
      <c r="F2379" s="1" t="s">
        <v>10570</v>
      </c>
      <c r="G2379" s="1" t="s">
        <v>10571</v>
      </c>
    </row>
    <row r="2380" spans="1:7">
      <c r="A2380" s="1">
        <v>2379</v>
      </c>
      <c r="B2380" s="1" t="s">
        <v>16769</v>
      </c>
      <c r="D2380" s="1" t="s">
        <v>10548</v>
      </c>
      <c r="E2380" s="1" t="s">
        <v>10577</v>
      </c>
      <c r="F2380" s="1" t="s">
        <v>10578</v>
      </c>
      <c r="G2380" s="1" t="s">
        <v>10579</v>
      </c>
    </row>
    <row r="2381" spans="1:7">
      <c r="A2381" s="1">
        <v>2380</v>
      </c>
      <c r="B2381" s="1" t="s">
        <v>16770</v>
      </c>
      <c r="D2381" s="1" t="s">
        <v>10548</v>
      </c>
      <c r="E2381" s="1" t="s">
        <v>3697</v>
      </c>
      <c r="F2381" s="1" t="s">
        <v>10585</v>
      </c>
      <c r="G2381" s="1" t="s">
        <v>10586</v>
      </c>
    </row>
    <row r="2382" spans="1:7">
      <c r="A2382" s="1">
        <v>2381</v>
      </c>
      <c r="B2382" s="1" t="s">
        <v>16771</v>
      </c>
      <c r="D2382" s="1" t="s">
        <v>10548</v>
      </c>
      <c r="E2382" s="1" t="s">
        <v>10581</v>
      </c>
      <c r="F2382" s="1" t="s">
        <v>10582</v>
      </c>
      <c r="G2382" s="1" t="s">
        <v>10583</v>
      </c>
    </row>
    <row r="2383" spans="1:7">
      <c r="A2383" s="1">
        <v>2382</v>
      </c>
      <c r="B2383" s="1" t="s">
        <v>16772</v>
      </c>
      <c r="D2383" s="1" t="s">
        <v>10548</v>
      </c>
      <c r="E2383" s="1" t="s">
        <v>10588</v>
      </c>
      <c r="F2383" s="1" t="s">
        <v>10589</v>
      </c>
      <c r="G2383" s="1" t="s">
        <v>10590</v>
      </c>
    </row>
    <row r="2384" spans="1:7">
      <c r="A2384" s="1">
        <v>2383</v>
      </c>
      <c r="B2384" s="1" t="s">
        <v>16773</v>
      </c>
      <c r="D2384" s="1" t="s">
        <v>10548</v>
      </c>
      <c r="E2384" s="1" t="s">
        <v>10592</v>
      </c>
      <c r="F2384" s="1" t="s">
        <v>10593</v>
      </c>
      <c r="G2384" s="1" t="s">
        <v>10590</v>
      </c>
    </row>
    <row r="2385" spans="1:7">
      <c r="A2385" s="1">
        <v>2384</v>
      </c>
      <c r="B2385" s="1" t="s">
        <v>16774</v>
      </c>
      <c r="D2385" s="1" t="s">
        <v>10548</v>
      </c>
      <c r="E2385" s="1" t="s">
        <v>10595</v>
      </c>
      <c r="F2385" s="1" t="s">
        <v>10596</v>
      </c>
      <c r="G2385" s="1" t="s">
        <v>10597</v>
      </c>
    </row>
    <row r="2386" spans="1:7">
      <c r="A2386" s="1">
        <v>2385</v>
      </c>
      <c r="B2386" s="1" t="s">
        <v>16775</v>
      </c>
      <c r="D2386" s="1" t="s">
        <v>10548</v>
      </c>
      <c r="E2386" s="1" t="s">
        <v>10599</v>
      </c>
      <c r="F2386" s="1" t="s">
        <v>10600</v>
      </c>
      <c r="G2386" s="1" t="s">
        <v>10601</v>
      </c>
    </row>
    <row r="2387" spans="1:7">
      <c r="A2387" s="1">
        <v>2386</v>
      </c>
      <c r="B2387" s="1" t="s">
        <v>16776</v>
      </c>
      <c r="D2387" s="1" t="s">
        <v>10548</v>
      </c>
      <c r="E2387" s="1" t="s">
        <v>10603</v>
      </c>
      <c r="F2387" s="1" t="s">
        <v>10604</v>
      </c>
      <c r="G2387" s="1" t="s">
        <v>10605</v>
      </c>
    </row>
    <row r="2388" spans="1:7">
      <c r="A2388" s="1">
        <v>2387</v>
      </c>
      <c r="B2388" s="1" t="s">
        <v>16777</v>
      </c>
      <c r="D2388" s="1" t="s">
        <v>10548</v>
      </c>
      <c r="E2388" s="1" t="s">
        <v>10607</v>
      </c>
      <c r="F2388" s="1" t="s">
        <v>10608</v>
      </c>
      <c r="G2388" s="1" t="s">
        <v>10609</v>
      </c>
    </row>
    <row r="2389" spans="1:7">
      <c r="A2389" s="1">
        <v>2388</v>
      </c>
      <c r="B2389" s="1" t="s">
        <v>16778</v>
      </c>
      <c r="D2389" s="1" t="s">
        <v>10548</v>
      </c>
      <c r="E2389" s="1" t="s">
        <v>10611</v>
      </c>
      <c r="F2389" s="1" t="s">
        <v>10612</v>
      </c>
      <c r="G2389" s="1" t="s">
        <v>10613</v>
      </c>
    </row>
    <row r="2390" spans="1:7">
      <c r="A2390" s="1">
        <v>2389</v>
      </c>
      <c r="B2390" s="1" t="s">
        <v>16779</v>
      </c>
      <c r="D2390" s="1" t="s">
        <v>10548</v>
      </c>
      <c r="E2390" s="1" t="s">
        <v>10565</v>
      </c>
      <c r="F2390" s="1" t="s">
        <v>10566</v>
      </c>
      <c r="G2390" s="1" t="s">
        <v>10567</v>
      </c>
    </row>
    <row r="2391" spans="1:7">
      <c r="A2391" s="1">
        <v>2390</v>
      </c>
      <c r="B2391" s="1" t="s">
        <v>16780</v>
      </c>
      <c r="D2391" s="1" t="s">
        <v>10615</v>
      </c>
      <c r="E2391" s="1" t="s">
        <v>10616</v>
      </c>
      <c r="F2391" s="1" t="s">
        <v>10550</v>
      </c>
      <c r="G2391" s="1" t="s">
        <v>10551</v>
      </c>
    </row>
    <row r="2392" spans="1:7">
      <c r="A2392" s="1">
        <v>2391</v>
      </c>
      <c r="B2392" s="1" t="s">
        <v>16781</v>
      </c>
      <c r="D2392" s="1" t="s">
        <v>10615</v>
      </c>
      <c r="E2392" s="1" t="s">
        <v>10618</v>
      </c>
      <c r="F2392" s="1" t="s">
        <v>10554</v>
      </c>
      <c r="G2392" s="1" t="s">
        <v>10555</v>
      </c>
    </row>
    <row r="2393" spans="1:7">
      <c r="A2393" s="1">
        <v>2392</v>
      </c>
      <c r="B2393" s="1" t="s">
        <v>16782</v>
      </c>
      <c r="D2393" s="1" t="s">
        <v>10615</v>
      </c>
      <c r="E2393" s="1" t="s">
        <v>10620</v>
      </c>
      <c r="F2393" s="1" t="s">
        <v>10558</v>
      </c>
      <c r="G2393" s="1" t="s">
        <v>10559</v>
      </c>
    </row>
    <row r="2394" spans="1:7">
      <c r="A2394" s="1">
        <v>2393</v>
      </c>
      <c r="B2394" s="1" t="s">
        <v>16783</v>
      </c>
      <c r="D2394" s="1" t="s">
        <v>10615</v>
      </c>
      <c r="E2394" s="1" t="s">
        <v>10624</v>
      </c>
      <c r="F2394" s="1" t="s">
        <v>10574</v>
      </c>
      <c r="G2394" s="1" t="s">
        <v>10575</v>
      </c>
    </row>
    <row r="2395" spans="1:7">
      <c r="A2395" s="1">
        <v>2394</v>
      </c>
      <c r="B2395" s="1" t="s">
        <v>16784</v>
      </c>
      <c r="D2395" s="1" t="s">
        <v>10615</v>
      </c>
      <c r="E2395" s="1" t="s">
        <v>10626</v>
      </c>
      <c r="F2395" s="1" t="s">
        <v>1507</v>
      </c>
      <c r="G2395" s="1" t="s">
        <v>1508</v>
      </c>
    </row>
    <row r="2396" spans="1:7">
      <c r="A2396" s="1">
        <v>2395</v>
      </c>
      <c r="B2396" s="1" t="s">
        <v>16785</v>
      </c>
      <c r="D2396" s="1" t="s">
        <v>10615</v>
      </c>
      <c r="E2396" s="1" t="s">
        <v>10622</v>
      </c>
      <c r="F2396" s="1" t="s">
        <v>10570</v>
      </c>
      <c r="G2396" s="1" t="s">
        <v>10571</v>
      </c>
    </row>
    <row r="2397" spans="1:7">
      <c r="A2397" s="1">
        <v>2396</v>
      </c>
      <c r="B2397" s="1" t="s">
        <v>16786</v>
      </c>
      <c r="D2397" s="1" t="s">
        <v>10615</v>
      </c>
      <c r="E2397" s="1" t="s">
        <v>10628</v>
      </c>
      <c r="F2397" s="1" t="s">
        <v>10578</v>
      </c>
      <c r="G2397" s="1" t="s">
        <v>10579</v>
      </c>
    </row>
    <row r="2398" spans="1:7">
      <c r="A2398" s="1">
        <v>2397</v>
      </c>
      <c r="B2398" s="1" t="s">
        <v>16787</v>
      </c>
      <c r="D2398" s="1" t="s">
        <v>10615</v>
      </c>
      <c r="E2398" s="1" t="s">
        <v>3696</v>
      </c>
      <c r="F2398" s="1" t="s">
        <v>10585</v>
      </c>
      <c r="G2398" s="1" t="s">
        <v>10586</v>
      </c>
    </row>
    <row r="2399" spans="1:7">
      <c r="A2399" s="1">
        <v>2398</v>
      </c>
      <c r="B2399" s="1" t="s">
        <v>16788</v>
      </c>
      <c r="D2399" s="1" t="s">
        <v>10615</v>
      </c>
      <c r="E2399" s="1" t="s">
        <v>10630</v>
      </c>
      <c r="F2399" s="1" t="s">
        <v>10582</v>
      </c>
      <c r="G2399" s="1" t="s">
        <v>10583</v>
      </c>
    </row>
    <row r="2400" spans="1:7">
      <c r="A2400" s="1">
        <v>2399</v>
      </c>
      <c r="B2400" s="1" t="s">
        <v>16789</v>
      </c>
      <c r="D2400" s="1" t="s">
        <v>10615</v>
      </c>
      <c r="E2400" s="1" t="s">
        <v>10633</v>
      </c>
      <c r="F2400" s="1" t="s">
        <v>10589</v>
      </c>
      <c r="G2400" s="1" t="s">
        <v>10590</v>
      </c>
    </row>
    <row r="2401" spans="1:7">
      <c r="A2401" s="1">
        <v>2400</v>
      </c>
      <c r="B2401" s="1" t="s">
        <v>16790</v>
      </c>
      <c r="D2401" s="1" t="s">
        <v>10615</v>
      </c>
      <c r="E2401" s="1" t="s">
        <v>10635</v>
      </c>
      <c r="F2401" s="1" t="s">
        <v>10593</v>
      </c>
      <c r="G2401" s="1" t="s">
        <v>10590</v>
      </c>
    </row>
    <row r="2402" spans="1:7">
      <c r="A2402" s="1">
        <v>2401</v>
      </c>
      <c r="B2402" s="1" t="s">
        <v>16791</v>
      </c>
      <c r="D2402" s="1" t="s">
        <v>10615</v>
      </c>
      <c r="E2402" s="1" t="s">
        <v>10637</v>
      </c>
      <c r="F2402" s="1" t="s">
        <v>10596</v>
      </c>
      <c r="G2402" s="1" t="s">
        <v>10597</v>
      </c>
    </row>
    <row r="2403" spans="1:7">
      <c r="A2403" s="1">
        <v>2402</v>
      </c>
      <c r="B2403" s="1" t="s">
        <v>16792</v>
      </c>
      <c r="D2403" s="1" t="s">
        <v>10615</v>
      </c>
      <c r="E2403" s="1" t="s">
        <v>10639</v>
      </c>
      <c r="F2403" s="1" t="s">
        <v>10600</v>
      </c>
      <c r="G2403" s="1" t="s">
        <v>10601</v>
      </c>
    </row>
    <row r="2404" spans="1:7">
      <c r="A2404" s="1">
        <v>2403</v>
      </c>
      <c r="B2404" s="1" t="s">
        <v>16793</v>
      </c>
      <c r="D2404" s="1" t="s">
        <v>10615</v>
      </c>
      <c r="E2404" s="1" t="s">
        <v>10641</v>
      </c>
      <c r="F2404" s="1" t="s">
        <v>10604</v>
      </c>
      <c r="G2404" s="1" t="s">
        <v>10605</v>
      </c>
    </row>
    <row r="2405" spans="1:7">
      <c r="A2405" s="1">
        <v>2404</v>
      </c>
      <c r="B2405" s="1" t="s">
        <v>16794</v>
      </c>
      <c r="D2405" s="1" t="s">
        <v>10615</v>
      </c>
      <c r="E2405" s="1" t="s">
        <v>10643</v>
      </c>
      <c r="F2405" s="1" t="s">
        <v>10608</v>
      </c>
      <c r="G2405" s="1" t="s">
        <v>10609</v>
      </c>
    </row>
    <row r="2406" spans="1:7">
      <c r="A2406" s="1">
        <v>2405</v>
      </c>
      <c r="B2406" s="1" t="s">
        <v>16795</v>
      </c>
      <c r="D2406" s="1" t="s">
        <v>10615</v>
      </c>
      <c r="E2406" s="1" t="s">
        <v>10645</v>
      </c>
      <c r="F2406" s="1" t="s">
        <v>10612</v>
      </c>
      <c r="G2406" s="1" t="s">
        <v>10613</v>
      </c>
    </row>
    <row r="2407" spans="1:7">
      <c r="A2407" s="1">
        <v>2406</v>
      </c>
      <c r="B2407" s="1" t="s">
        <v>16796</v>
      </c>
      <c r="D2407" s="1" t="s">
        <v>10647</v>
      </c>
      <c r="E2407" s="1" t="s">
        <v>10648</v>
      </c>
      <c r="F2407" s="1" t="s">
        <v>641</v>
      </c>
      <c r="G2407" s="1" t="s">
        <v>642</v>
      </c>
    </row>
    <row r="2408" spans="1:7">
      <c r="A2408" s="1">
        <v>2407</v>
      </c>
      <c r="B2408" s="1" t="s">
        <v>16797</v>
      </c>
      <c r="D2408" s="1" t="s">
        <v>10647</v>
      </c>
      <c r="E2408" s="1" t="s">
        <v>10650</v>
      </c>
      <c r="F2408" s="1" t="s">
        <v>644</v>
      </c>
      <c r="G2408" s="1" t="s">
        <v>645</v>
      </c>
    </row>
    <row r="2409" spans="1:7">
      <c r="A2409" s="1">
        <v>2408</v>
      </c>
      <c r="B2409" s="1" t="s">
        <v>16798</v>
      </c>
      <c r="D2409" s="1" t="s">
        <v>10647</v>
      </c>
      <c r="E2409" s="1" t="s">
        <v>10660</v>
      </c>
      <c r="F2409" s="1" t="s">
        <v>647</v>
      </c>
      <c r="G2409" s="1" t="s">
        <v>648</v>
      </c>
    </row>
    <row r="2410" spans="1:7">
      <c r="A2410" s="1">
        <v>2409</v>
      </c>
      <c r="B2410" s="1" t="s">
        <v>16799</v>
      </c>
      <c r="D2410" s="1" t="s">
        <v>10647</v>
      </c>
      <c r="E2410" s="1" t="s">
        <v>10652</v>
      </c>
      <c r="F2410" s="1" t="s">
        <v>650</v>
      </c>
      <c r="G2410" s="1" t="s">
        <v>651</v>
      </c>
    </row>
    <row r="2411" spans="1:7">
      <c r="A2411" s="1">
        <v>2410</v>
      </c>
      <c r="B2411" s="1" t="s">
        <v>16800</v>
      </c>
      <c r="D2411" s="1" t="s">
        <v>10647</v>
      </c>
      <c r="E2411" s="1" t="s">
        <v>10656</v>
      </c>
      <c r="F2411" s="1" t="s">
        <v>10657</v>
      </c>
      <c r="G2411" s="1" t="s">
        <v>10658</v>
      </c>
    </row>
    <row r="2412" spans="1:7">
      <c r="A2412" s="1">
        <v>2411</v>
      </c>
      <c r="B2412" s="1" t="s">
        <v>16801</v>
      </c>
      <c r="D2412" s="1" t="s">
        <v>10647</v>
      </c>
      <c r="E2412" s="1" t="s">
        <v>10662</v>
      </c>
      <c r="F2412" s="1" t="s">
        <v>10663</v>
      </c>
      <c r="G2412" s="1" t="s">
        <v>10664</v>
      </c>
    </row>
    <row r="2413" spans="1:7">
      <c r="A2413" s="1">
        <v>2412</v>
      </c>
      <c r="B2413" s="1" t="s">
        <v>16802</v>
      </c>
      <c r="D2413" s="1" t="s">
        <v>10647</v>
      </c>
      <c r="E2413" s="1" t="s">
        <v>10654</v>
      </c>
      <c r="F2413" s="1" t="s">
        <v>659</v>
      </c>
      <c r="G2413" s="1" t="s">
        <v>660</v>
      </c>
    </row>
    <row r="2414" spans="1:7">
      <c r="A2414" s="1">
        <v>2413</v>
      </c>
      <c r="B2414" s="1" t="s">
        <v>16803</v>
      </c>
      <c r="D2414" s="1" t="s">
        <v>10666</v>
      </c>
      <c r="E2414" s="1" t="s">
        <v>10672</v>
      </c>
      <c r="F2414" s="1" t="s">
        <v>10673</v>
      </c>
      <c r="G2414" s="1" t="s">
        <v>10674</v>
      </c>
    </row>
    <row r="2415" spans="1:7">
      <c r="A2415" s="1">
        <v>2414</v>
      </c>
      <c r="B2415" s="1" t="s">
        <v>16804</v>
      </c>
      <c r="D2415" s="1" t="s">
        <v>10666</v>
      </c>
      <c r="E2415" s="1" t="s">
        <v>3260</v>
      </c>
      <c r="F2415" s="1" t="s">
        <v>667</v>
      </c>
      <c r="G2415" s="1" t="s">
        <v>668</v>
      </c>
    </row>
    <row r="2416" spans="1:7">
      <c r="A2416" s="1">
        <v>2415</v>
      </c>
      <c r="B2416" s="1" t="s">
        <v>16805</v>
      </c>
      <c r="D2416" s="1" t="s">
        <v>10666</v>
      </c>
      <c r="E2416" s="1" t="s">
        <v>10668</v>
      </c>
      <c r="F2416" s="1" t="s">
        <v>10669</v>
      </c>
      <c r="G2416" s="1" t="s">
        <v>10670</v>
      </c>
    </row>
    <row r="2417" spans="1:7">
      <c r="A2417" s="1">
        <v>2416</v>
      </c>
      <c r="B2417" s="1" t="s">
        <v>16806</v>
      </c>
      <c r="D2417" s="1" t="s">
        <v>10666</v>
      </c>
      <c r="E2417" s="1" t="s">
        <v>10676</v>
      </c>
      <c r="F2417" s="1" t="s">
        <v>673</v>
      </c>
      <c r="G2417" s="1" t="s">
        <v>674</v>
      </c>
    </row>
    <row r="2418" spans="1:7">
      <c r="A2418" s="1">
        <v>2417</v>
      </c>
      <c r="B2418" s="1" t="s">
        <v>16807</v>
      </c>
      <c r="D2418" s="1" t="s">
        <v>10666</v>
      </c>
      <c r="E2418" s="1" t="s">
        <v>3332</v>
      </c>
      <c r="F2418" s="1" t="s">
        <v>10678</v>
      </c>
      <c r="G2418" s="1" t="s">
        <v>10679</v>
      </c>
    </row>
    <row r="2419" spans="1:7">
      <c r="A2419" s="1">
        <v>2418</v>
      </c>
      <c r="B2419" s="1" t="s">
        <v>16808</v>
      </c>
      <c r="D2419" s="1" t="s">
        <v>10666</v>
      </c>
      <c r="E2419" s="1" t="s">
        <v>3331</v>
      </c>
      <c r="F2419" s="1" t="s">
        <v>10681</v>
      </c>
      <c r="G2419" s="1" t="s">
        <v>10682</v>
      </c>
    </row>
    <row r="2420" spans="1:7">
      <c r="A2420" s="1">
        <v>2419</v>
      </c>
      <c r="B2420" s="1" t="s">
        <v>16809</v>
      </c>
      <c r="D2420" s="1" t="s">
        <v>10666</v>
      </c>
      <c r="E2420" s="1" t="s">
        <v>3333</v>
      </c>
      <c r="F2420" s="1" t="s">
        <v>10684</v>
      </c>
      <c r="G2420" s="1" t="s">
        <v>10685</v>
      </c>
    </row>
    <row r="2421" spans="1:7">
      <c r="A2421" s="1">
        <v>2420</v>
      </c>
      <c r="B2421" s="1" t="s">
        <v>16810</v>
      </c>
      <c r="D2421" s="1" t="s">
        <v>10687</v>
      </c>
      <c r="E2421" s="1" t="s">
        <v>3230</v>
      </c>
      <c r="F2421" s="1" t="s">
        <v>10673</v>
      </c>
      <c r="G2421" s="1" t="s">
        <v>10674</v>
      </c>
    </row>
    <row r="2422" spans="1:7">
      <c r="A2422" s="1">
        <v>2421</v>
      </c>
      <c r="B2422" s="1" t="s">
        <v>16811</v>
      </c>
      <c r="D2422" s="1" t="s">
        <v>10687</v>
      </c>
      <c r="E2422" s="1" t="s">
        <v>10692</v>
      </c>
      <c r="F2422" s="1" t="s">
        <v>10669</v>
      </c>
      <c r="G2422" s="1" t="s">
        <v>10670</v>
      </c>
    </row>
    <row r="2423" spans="1:7">
      <c r="A2423" s="1">
        <v>2422</v>
      </c>
      <c r="B2423" s="1" t="s">
        <v>16812</v>
      </c>
      <c r="D2423" s="1" t="s">
        <v>10687</v>
      </c>
      <c r="E2423" s="1" t="s">
        <v>3243</v>
      </c>
      <c r="F2423" s="1" t="s">
        <v>673</v>
      </c>
      <c r="G2423" s="1" t="s">
        <v>674</v>
      </c>
    </row>
    <row r="2424" spans="1:7">
      <c r="A2424" s="1">
        <v>2423</v>
      </c>
      <c r="B2424" s="1" t="s">
        <v>16813</v>
      </c>
      <c r="D2424" s="1" t="s">
        <v>10687</v>
      </c>
      <c r="E2424" s="1" t="s">
        <v>3249</v>
      </c>
      <c r="F2424" s="1" t="s">
        <v>10678</v>
      </c>
      <c r="G2424" s="1" t="s">
        <v>10679</v>
      </c>
    </row>
    <row r="2425" spans="1:7">
      <c r="A2425" s="1">
        <v>2424</v>
      </c>
      <c r="B2425" s="1" t="s">
        <v>16814</v>
      </c>
      <c r="D2425" s="1" t="s">
        <v>10687</v>
      </c>
      <c r="E2425" s="1" t="s">
        <v>3250</v>
      </c>
      <c r="F2425" s="1" t="s">
        <v>10684</v>
      </c>
      <c r="G2425" s="1" t="s">
        <v>10685</v>
      </c>
    </row>
    <row r="2426" spans="1:7">
      <c r="A2426" s="1">
        <v>2425</v>
      </c>
      <c r="B2426" s="1" t="s">
        <v>16815</v>
      </c>
      <c r="D2426" s="1" t="s">
        <v>16816</v>
      </c>
      <c r="E2426" s="1" t="s">
        <v>16817</v>
      </c>
      <c r="F2426" s="1" t="s">
        <v>10673</v>
      </c>
      <c r="G2426" s="1" t="s">
        <v>10674</v>
      </c>
    </row>
    <row r="2427" spans="1:7">
      <c r="A2427" s="1">
        <v>2426</v>
      </c>
      <c r="B2427" s="1" t="s">
        <v>16818</v>
      </c>
      <c r="D2427" s="1" t="s">
        <v>16816</v>
      </c>
      <c r="E2427" s="1" t="s">
        <v>16819</v>
      </c>
      <c r="F2427" s="1" t="s">
        <v>10669</v>
      </c>
      <c r="G2427" s="1" t="s">
        <v>10670</v>
      </c>
    </row>
    <row r="2428" spans="1:7">
      <c r="A2428" s="1">
        <v>2427</v>
      </c>
      <c r="B2428" s="1" t="s">
        <v>16820</v>
      </c>
      <c r="D2428" s="1" t="s">
        <v>16816</v>
      </c>
      <c r="E2428" s="1" t="s">
        <v>16821</v>
      </c>
      <c r="F2428" s="1" t="s">
        <v>673</v>
      </c>
      <c r="G2428" s="1" t="s">
        <v>674</v>
      </c>
    </row>
    <row r="2429" spans="1:7">
      <c r="A2429" s="1">
        <v>2428</v>
      </c>
      <c r="B2429" s="1" t="s">
        <v>16822</v>
      </c>
      <c r="D2429" s="1" t="s">
        <v>16816</v>
      </c>
      <c r="E2429" s="1" t="s">
        <v>16823</v>
      </c>
      <c r="F2429" s="1" t="s">
        <v>10678</v>
      </c>
      <c r="G2429" s="1" t="s">
        <v>10679</v>
      </c>
    </row>
    <row r="2430" spans="1:7">
      <c r="A2430" s="1">
        <v>2429</v>
      </c>
      <c r="B2430" s="1" t="s">
        <v>16824</v>
      </c>
      <c r="D2430" s="1" t="s">
        <v>16816</v>
      </c>
      <c r="E2430" s="1" t="s">
        <v>16825</v>
      </c>
      <c r="F2430" s="1" t="s">
        <v>10684</v>
      </c>
      <c r="G2430" s="1" t="s">
        <v>10685</v>
      </c>
    </row>
    <row r="2431" spans="1:7">
      <c r="A2431" s="1">
        <v>2430</v>
      </c>
      <c r="B2431" s="1" t="s">
        <v>16826</v>
      </c>
      <c r="D2431" s="1" t="s">
        <v>16827</v>
      </c>
      <c r="E2431" s="1" t="s">
        <v>16828</v>
      </c>
      <c r="F2431" s="1" t="s">
        <v>16829</v>
      </c>
      <c r="G2431" s="1" t="s">
        <v>16830</v>
      </c>
    </row>
    <row r="2432" spans="1:7">
      <c r="A2432" s="1">
        <v>2431</v>
      </c>
      <c r="B2432" s="1" t="s">
        <v>16831</v>
      </c>
      <c r="D2432" s="1" t="s">
        <v>16827</v>
      </c>
      <c r="E2432" s="1" t="s">
        <v>16832</v>
      </c>
      <c r="F2432" s="1" t="s">
        <v>16833</v>
      </c>
      <c r="G2432" s="1" t="s">
        <v>16834</v>
      </c>
    </row>
    <row r="2433" spans="1:7">
      <c r="A2433" s="1">
        <v>2432</v>
      </c>
      <c r="B2433" s="1" t="s">
        <v>16835</v>
      </c>
      <c r="D2433" s="1" t="s">
        <v>16827</v>
      </c>
      <c r="E2433" s="1" t="s">
        <v>16836</v>
      </c>
      <c r="F2433" s="1" t="s">
        <v>16837</v>
      </c>
      <c r="G2433" s="1" t="s">
        <v>16838</v>
      </c>
    </row>
    <row r="2434" spans="1:7">
      <c r="A2434" s="1">
        <v>2433</v>
      </c>
      <c r="B2434" s="1" t="s">
        <v>16839</v>
      </c>
      <c r="D2434" s="1" t="s">
        <v>16827</v>
      </c>
      <c r="E2434" s="1" t="s">
        <v>16840</v>
      </c>
      <c r="F2434" s="1" t="s">
        <v>16841</v>
      </c>
      <c r="G2434" s="1" t="s">
        <v>16842</v>
      </c>
    </row>
    <row r="2435" spans="1:7">
      <c r="A2435" s="1">
        <v>2434</v>
      </c>
      <c r="B2435" s="1" t="s">
        <v>16843</v>
      </c>
      <c r="D2435" s="1" t="s">
        <v>16827</v>
      </c>
      <c r="E2435" s="1" t="s">
        <v>16844</v>
      </c>
      <c r="F2435" s="1" t="s">
        <v>16845</v>
      </c>
      <c r="G2435" s="1" t="s">
        <v>16846</v>
      </c>
    </row>
    <row r="2436" spans="1:7">
      <c r="A2436" s="1">
        <v>2435</v>
      </c>
      <c r="B2436" s="1" t="s">
        <v>16847</v>
      </c>
      <c r="D2436" s="1" t="s">
        <v>16827</v>
      </c>
      <c r="E2436" s="1" t="s">
        <v>16848</v>
      </c>
      <c r="F2436" s="1" t="s">
        <v>16849</v>
      </c>
      <c r="G2436" s="1" t="s">
        <v>16850</v>
      </c>
    </row>
    <row r="2437" spans="1:7">
      <c r="A2437" s="1">
        <v>2436</v>
      </c>
      <c r="B2437" s="1" t="s">
        <v>16851</v>
      </c>
      <c r="D2437" s="1" t="s">
        <v>16827</v>
      </c>
      <c r="E2437" s="1" t="s">
        <v>16852</v>
      </c>
      <c r="F2437" s="1" t="s">
        <v>16853</v>
      </c>
      <c r="G2437" s="1" t="s">
        <v>16854</v>
      </c>
    </row>
    <row r="2438" spans="1:7">
      <c r="A2438" s="1">
        <v>2437</v>
      </c>
      <c r="B2438" s="1" t="s">
        <v>16855</v>
      </c>
      <c r="D2438" s="1" t="s">
        <v>16827</v>
      </c>
      <c r="E2438" s="1" t="s">
        <v>16856</v>
      </c>
      <c r="F2438" s="1" t="s">
        <v>16857</v>
      </c>
      <c r="G2438" s="1" t="s">
        <v>16858</v>
      </c>
    </row>
    <row r="2439" spans="1:7">
      <c r="A2439" s="1">
        <v>2438</v>
      </c>
      <c r="B2439" s="1" t="s">
        <v>16859</v>
      </c>
      <c r="D2439" s="1" t="s">
        <v>16827</v>
      </c>
      <c r="E2439" s="1" t="s">
        <v>16860</v>
      </c>
      <c r="F2439" s="1" t="s">
        <v>16861</v>
      </c>
      <c r="G2439" s="1" t="s">
        <v>16862</v>
      </c>
    </row>
    <row r="2440" spans="1:7">
      <c r="A2440" s="1">
        <v>2439</v>
      </c>
      <c r="B2440" s="1" t="s">
        <v>16863</v>
      </c>
      <c r="D2440" s="1" t="s">
        <v>16827</v>
      </c>
      <c r="E2440" s="1" t="s">
        <v>16864</v>
      </c>
      <c r="F2440" s="1" t="s">
        <v>16865</v>
      </c>
      <c r="G2440" s="1" t="s">
        <v>16866</v>
      </c>
    </row>
    <row r="2441" spans="1:7">
      <c r="A2441" s="1">
        <v>2440</v>
      </c>
      <c r="B2441" s="1" t="s">
        <v>16867</v>
      </c>
      <c r="D2441" s="1" t="s">
        <v>10701</v>
      </c>
      <c r="E2441" s="1" t="s">
        <v>6698</v>
      </c>
      <c r="F2441" s="1" t="s">
        <v>1569</v>
      </c>
      <c r="G2441" s="1" t="s">
        <v>1570</v>
      </c>
    </row>
    <row r="2442" spans="1:7">
      <c r="A2442" s="1">
        <v>2441</v>
      </c>
      <c r="B2442" s="1" t="s">
        <v>16868</v>
      </c>
      <c r="D2442" s="1" t="s">
        <v>10701</v>
      </c>
      <c r="E2442" s="1" t="s">
        <v>6702</v>
      </c>
      <c r="F2442" s="1" t="s">
        <v>1572</v>
      </c>
      <c r="G2442" s="1" t="s">
        <v>1573</v>
      </c>
    </row>
    <row r="2443" spans="1:7">
      <c r="A2443" s="1">
        <v>2442</v>
      </c>
      <c r="B2443" s="1" t="s">
        <v>16869</v>
      </c>
      <c r="D2443" s="1" t="s">
        <v>10701</v>
      </c>
      <c r="E2443" s="1" t="s">
        <v>6726</v>
      </c>
      <c r="F2443" s="1" t="s">
        <v>10711</v>
      </c>
      <c r="G2443" s="1" t="s">
        <v>10712</v>
      </c>
    </row>
    <row r="2444" spans="1:7">
      <c r="A2444" s="1">
        <v>2443</v>
      </c>
      <c r="B2444" s="1" t="s">
        <v>16870</v>
      </c>
      <c r="D2444" s="1" t="s">
        <v>10701</v>
      </c>
      <c r="E2444" s="1" t="s">
        <v>11639</v>
      </c>
      <c r="F2444" s="1" t="s">
        <v>10715</v>
      </c>
      <c r="G2444" s="1" t="s">
        <v>10716</v>
      </c>
    </row>
    <row r="2445" spans="1:7">
      <c r="A2445" s="1">
        <v>2444</v>
      </c>
      <c r="B2445" s="1" t="s">
        <v>16871</v>
      </c>
      <c r="D2445" s="1" t="s">
        <v>10701</v>
      </c>
      <c r="E2445" s="1" t="s">
        <v>6738</v>
      </c>
      <c r="F2445" s="1" t="s">
        <v>10703</v>
      </c>
      <c r="G2445" s="1" t="s">
        <v>10704</v>
      </c>
    </row>
    <row r="2446" spans="1:7">
      <c r="A2446" s="1">
        <v>2445</v>
      </c>
      <c r="B2446" s="1" t="s">
        <v>16872</v>
      </c>
      <c r="D2446" s="1" t="s">
        <v>10718</v>
      </c>
      <c r="E2446" s="1" t="s">
        <v>2288</v>
      </c>
      <c r="F2446" s="1" t="s">
        <v>10719</v>
      </c>
      <c r="G2446" s="1" t="s">
        <v>10720</v>
      </c>
    </row>
    <row r="2447" spans="1:7">
      <c r="A2447" s="1">
        <v>2446</v>
      </c>
      <c r="B2447" s="1" t="s">
        <v>16873</v>
      </c>
      <c r="D2447" s="1" t="s">
        <v>10718</v>
      </c>
      <c r="E2447" s="1" t="s">
        <v>2290</v>
      </c>
      <c r="F2447" s="1" t="s">
        <v>10727</v>
      </c>
      <c r="G2447" s="1" t="s">
        <v>10728</v>
      </c>
    </row>
    <row r="2448" spans="1:7">
      <c r="A2448" s="1">
        <v>2447</v>
      </c>
      <c r="B2448" s="1" t="s">
        <v>16874</v>
      </c>
      <c r="D2448" s="1" t="s">
        <v>10718</v>
      </c>
      <c r="E2448" s="1" t="s">
        <v>2292</v>
      </c>
      <c r="F2448" s="1" t="s">
        <v>10723</v>
      </c>
      <c r="G2448" s="1" t="s">
        <v>10724</v>
      </c>
    </row>
    <row r="2449" spans="1:7">
      <c r="A2449" s="1">
        <v>2448</v>
      </c>
      <c r="B2449" s="1" t="s">
        <v>16875</v>
      </c>
      <c r="D2449" s="1" t="s">
        <v>10718</v>
      </c>
      <c r="E2449" s="1" t="s">
        <v>2294</v>
      </c>
      <c r="F2449" s="1" t="s">
        <v>1592</v>
      </c>
      <c r="G2449" s="1" t="s">
        <v>1593</v>
      </c>
    </row>
    <row r="2450" spans="1:7">
      <c r="A2450" s="1">
        <v>2449</v>
      </c>
      <c r="B2450" s="1" t="s">
        <v>16876</v>
      </c>
      <c r="D2450" s="1" t="s">
        <v>10718</v>
      </c>
      <c r="E2450" s="1" t="s">
        <v>2296</v>
      </c>
      <c r="F2450" s="1" t="s">
        <v>10703</v>
      </c>
      <c r="G2450" s="1" t="s">
        <v>10704</v>
      </c>
    </row>
    <row r="2451" spans="1:7">
      <c r="A2451" s="1">
        <v>2450</v>
      </c>
      <c r="B2451" s="1" t="s">
        <v>16877</v>
      </c>
      <c r="D2451" s="1" t="s">
        <v>10718</v>
      </c>
      <c r="E2451" s="1" t="s">
        <v>2298</v>
      </c>
      <c r="F2451" s="1" t="s">
        <v>10731</v>
      </c>
      <c r="G2451" s="1" t="s">
        <v>10732</v>
      </c>
    </row>
    <row r="2452" spans="1:7">
      <c r="A2452" s="1">
        <v>2451</v>
      </c>
      <c r="B2452" s="1" t="s">
        <v>16878</v>
      </c>
      <c r="D2452" s="1" t="s">
        <v>10718</v>
      </c>
      <c r="E2452" s="1" t="s">
        <v>2300</v>
      </c>
      <c r="F2452" s="1" t="s">
        <v>1572</v>
      </c>
      <c r="G2452" s="1" t="s">
        <v>1573</v>
      </c>
    </row>
    <row r="2453" spans="1:7">
      <c r="A2453" s="1">
        <v>2452</v>
      </c>
      <c r="B2453" s="1" t="s">
        <v>16879</v>
      </c>
      <c r="D2453" s="1" t="s">
        <v>10718</v>
      </c>
      <c r="E2453" s="1" t="s">
        <v>2304</v>
      </c>
      <c r="F2453" s="1" t="s">
        <v>10734</v>
      </c>
      <c r="G2453" s="1" t="s">
        <v>10735</v>
      </c>
    </row>
    <row r="2454" spans="1:7">
      <c r="A2454" s="1">
        <v>2453</v>
      </c>
      <c r="B2454" s="1" t="s">
        <v>16880</v>
      </c>
      <c r="D2454" s="1" t="s">
        <v>10718</v>
      </c>
      <c r="E2454" s="1" t="s">
        <v>2306</v>
      </c>
      <c r="F2454" s="1" t="s">
        <v>1605</v>
      </c>
      <c r="G2454" s="1" t="s">
        <v>1606</v>
      </c>
    </row>
    <row r="2455" spans="1:7">
      <c r="A2455" s="1">
        <v>2454</v>
      </c>
      <c r="B2455" s="1" t="s">
        <v>16881</v>
      </c>
      <c r="D2455" s="1" t="s">
        <v>10718</v>
      </c>
      <c r="E2455" s="1" t="s">
        <v>2308</v>
      </c>
      <c r="F2455" s="1" t="s">
        <v>10711</v>
      </c>
      <c r="G2455" s="1" t="s">
        <v>10712</v>
      </c>
    </row>
    <row r="2456" spans="1:7">
      <c r="A2456" s="1">
        <v>2455</v>
      </c>
      <c r="B2456" s="1" t="s">
        <v>16882</v>
      </c>
      <c r="D2456" s="1" t="s">
        <v>10718</v>
      </c>
      <c r="E2456" s="1" t="s">
        <v>2310</v>
      </c>
      <c r="F2456" s="1" t="s">
        <v>10715</v>
      </c>
      <c r="G2456" s="1" t="s">
        <v>10716</v>
      </c>
    </row>
    <row r="2457" spans="1:7">
      <c r="A2457" s="1">
        <v>2456</v>
      </c>
      <c r="B2457" s="1" t="s">
        <v>16883</v>
      </c>
      <c r="D2457" s="1" t="s">
        <v>10740</v>
      </c>
      <c r="E2457" s="1" t="s">
        <v>10741</v>
      </c>
      <c r="F2457" s="1" t="s">
        <v>10703</v>
      </c>
      <c r="G2457" s="1" t="s">
        <v>10704</v>
      </c>
    </row>
    <row r="2458" spans="1:7">
      <c r="A2458" s="1">
        <v>2457</v>
      </c>
      <c r="B2458" s="1" t="s">
        <v>16884</v>
      </c>
      <c r="D2458" s="1" t="s">
        <v>10740</v>
      </c>
      <c r="E2458" s="1" t="s">
        <v>16885</v>
      </c>
      <c r="F2458" s="1" t="s">
        <v>16886</v>
      </c>
      <c r="G2458" s="1" t="s">
        <v>16887</v>
      </c>
    </row>
    <row r="2459" spans="1:7">
      <c r="A2459" s="1">
        <v>2458</v>
      </c>
      <c r="B2459" s="1" t="s">
        <v>16888</v>
      </c>
      <c r="D2459" s="1" t="s">
        <v>10740</v>
      </c>
      <c r="E2459" s="1" t="s">
        <v>2692</v>
      </c>
      <c r="F2459" s="1" t="s">
        <v>1569</v>
      </c>
      <c r="G2459" s="1" t="s">
        <v>1570</v>
      </c>
    </row>
    <row r="2460" spans="1:7">
      <c r="A2460" s="1">
        <v>2459</v>
      </c>
      <c r="B2460" s="1" t="s">
        <v>16889</v>
      </c>
      <c r="D2460" s="1" t="s">
        <v>10740</v>
      </c>
      <c r="E2460" s="1" t="s">
        <v>10746</v>
      </c>
      <c r="F2460" s="1" t="s">
        <v>1572</v>
      </c>
      <c r="G2460" s="1" t="s">
        <v>1573</v>
      </c>
    </row>
    <row r="2461" spans="1:7">
      <c r="A2461" s="1">
        <v>2460</v>
      </c>
      <c r="B2461" s="1" t="s">
        <v>16890</v>
      </c>
      <c r="D2461" s="1" t="s">
        <v>10740</v>
      </c>
      <c r="E2461" s="1" t="s">
        <v>10748</v>
      </c>
      <c r="F2461" s="1" t="s">
        <v>10711</v>
      </c>
      <c r="G2461" s="1" t="s">
        <v>10712</v>
      </c>
    </row>
    <row r="2462" spans="1:7">
      <c r="A2462" s="1">
        <v>2461</v>
      </c>
      <c r="B2462" s="1" t="s">
        <v>16891</v>
      </c>
      <c r="D2462" s="1" t="s">
        <v>10740</v>
      </c>
      <c r="E2462" s="1" t="s">
        <v>11663</v>
      </c>
      <c r="F2462" s="1" t="s">
        <v>10715</v>
      </c>
      <c r="G2462" s="1" t="s">
        <v>10716</v>
      </c>
    </row>
    <row r="2463" spans="1:7">
      <c r="A2463" s="1">
        <v>2462</v>
      </c>
      <c r="B2463" s="1" t="s">
        <v>16892</v>
      </c>
      <c r="D2463" s="1" t="s">
        <v>16893</v>
      </c>
      <c r="E2463" s="1" t="s">
        <v>16894</v>
      </c>
      <c r="F2463" s="1" t="s">
        <v>10703</v>
      </c>
      <c r="G2463" s="1" t="s">
        <v>10704</v>
      </c>
    </row>
    <row r="2464" spans="1:7">
      <c r="A2464" s="1">
        <v>2463</v>
      </c>
      <c r="B2464" s="1" t="s">
        <v>16895</v>
      </c>
      <c r="D2464" s="1" t="s">
        <v>16893</v>
      </c>
      <c r="E2464" s="1" t="s">
        <v>16896</v>
      </c>
      <c r="F2464" s="1" t="s">
        <v>16886</v>
      </c>
      <c r="G2464" s="1" t="s">
        <v>16887</v>
      </c>
    </row>
    <row r="2465" spans="1:7">
      <c r="A2465" s="1">
        <v>2464</v>
      </c>
      <c r="B2465" s="1" t="s">
        <v>16897</v>
      </c>
      <c r="D2465" s="1" t="s">
        <v>16893</v>
      </c>
      <c r="E2465" s="1" t="s">
        <v>16898</v>
      </c>
      <c r="F2465" s="1" t="s">
        <v>1569</v>
      </c>
      <c r="G2465" s="1" t="s">
        <v>1570</v>
      </c>
    </row>
    <row r="2466" spans="1:7">
      <c r="A2466" s="1">
        <v>2465</v>
      </c>
      <c r="B2466" s="1" t="s">
        <v>16899</v>
      </c>
      <c r="D2466" s="1" t="s">
        <v>16893</v>
      </c>
      <c r="E2466" s="1" t="s">
        <v>16900</v>
      </c>
      <c r="F2466" s="1" t="s">
        <v>1572</v>
      </c>
      <c r="G2466" s="1" t="s">
        <v>1573</v>
      </c>
    </row>
    <row r="2467" spans="1:7">
      <c r="A2467" s="1">
        <v>2466</v>
      </c>
      <c r="B2467" s="1" t="s">
        <v>16901</v>
      </c>
      <c r="D2467" s="1" t="s">
        <v>16893</v>
      </c>
      <c r="E2467" s="1" t="s">
        <v>16902</v>
      </c>
      <c r="F2467" s="1" t="s">
        <v>10711</v>
      </c>
      <c r="G2467" s="1" t="s">
        <v>10712</v>
      </c>
    </row>
    <row r="2468" spans="1:7">
      <c r="A2468" s="1">
        <v>2467</v>
      </c>
      <c r="B2468" s="1" t="s">
        <v>16903</v>
      </c>
      <c r="D2468" s="1" t="s">
        <v>16893</v>
      </c>
      <c r="E2468" s="1" t="s">
        <v>16904</v>
      </c>
      <c r="F2468" s="1" t="s">
        <v>10715</v>
      </c>
      <c r="G2468" s="1" t="s">
        <v>10716</v>
      </c>
    </row>
    <row r="2469" spans="1:7">
      <c r="A2469" s="1">
        <v>2468</v>
      </c>
      <c r="B2469" s="1" t="s">
        <v>16905</v>
      </c>
      <c r="D2469" s="1" t="s">
        <v>16906</v>
      </c>
      <c r="E2469" s="1" t="s">
        <v>16907</v>
      </c>
      <c r="F2469" s="1" t="s">
        <v>10719</v>
      </c>
      <c r="G2469" s="1" t="s">
        <v>10720</v>
      </c>
    </row>
    <row r="2470" spans="1:7">
      <c r="A2470" s="1">
        <v>2469</v>
      </c>
      <c r="B2470" s="1" t="s">
        <v>16908</v>
      </c>
      <c r="D2470" s="1" t="s">
        <v>16906</v>
      </c>
      <c r="E2470" s="1" t="s">
        <v>16909</v>
      </c>
      <c r="F2470" s="1" t="s">
        <v>10727</v>
      </c>
      <c r="G2470" s="1" t="s">
        <v>10728</v>
      </c>
    </row>
    <row r="2471" spans="1:7">
      <c r="A2471" s="1">
        <v>2470</v>
      </c>
      <c r="B2471" s="1" t="s">
        <v>16910</v>
      </c>
      <c r="D2471" s="1" t="s">
        <v>16906</v>
      </c>
      <c r="E2471" s="1" t="s">
        <v>16911</v>
      </c>
      <c r="F2471" s="1" t="s">
        <v>10723</v>
      </c>
      <c r="G2471" s="1" t="s">
        <v>10724</v>
      </c>
    </row>
    <row r="2472" spans="1:7">
      <c r="A2472" s="1">
        <v>2471</v>
      </c>
      <c r="B2472" s="1" t="s">
        <v>16912</v>
      </c>
      <c r="D2472" s="1" t="s">
        <v>16906</v>
      </c>
      <c r="E2472" s="1" t="s">
        <v>16913</v>
      </c>
      <c r="F2472" s="1" t="s">
        <v>1592</v>
      </c>
      <c r="G2472" s="1" t="s">
        <v>1593</v>
      </c>
    </row>
    <row r="2473" spans="1:7">
      <c r="A2473" s="1">
        <v>2472</v>
      </c>
      <c r="B2473" s="1" t="s">
        <v>16914</v>
      </c>
      <c r="D2473" s="1" t="s">
        <v>16906</v>
      </c>
      <c r="E2473" s="1" t="s">
        <v>16915</v>
      </c>
      <c r="F2473" s="1" t="s">
        <v>10703</v>
      </c>
      <c r="G2473" s="1" t="s">
        <v>10704</v>
      </c>
    </row>
    <row r="2474" spans="1:7">
      <c r="A2474" s="1">
        <v>2473</v>
      </c>
      <c r="B2474" s="1" t="s">
        <v>16916</v>
      </c>
      <c r="D2474" s="1" t="s">
        <v>16906</v>
      </c>
      <c r="E2474" s="1" t="s">
        <v>16917</v>
      </c>
      <c r="F2474" s="1" t="s">
        <v>10731</v>
      </c>
      <c r="G2474" s="1" t="s">
        <v>10732</v>
      </c>
    </row>
    <row r="2475" spans="1:7">
      <c r="A2475" s="1">
        <v>2474</v>
      </c>
      <c r="B2475" s="1" t="s">
        <v>16918</v>
      </c>
      <c r="D2475" s="1" t="s">
        <v>16906</v>
      </c>
      <c r="E2475" s="1" t="s">
        <v>16919</v>
      </c>
      <c r="F2475" s="1" t="s">
        <v>1572</v>
      </c>
      <c r="G2475" s="1" t="s">
        <v>1573</v>
      </c>
    </row>
    <row r="2476" spans="1:7">
      <c r="A2476" s="1">
        <v>2475</v>
      </c>
      <c r="B2476" s="1" t="s">
        <v>16920</v>
      </c>
      <c r="D2476" s="1" t="s">
        <v>16906</v>
      </c>
      <c r="E2476" s="1" t="s">
        <v>16921</v>
      </c>
      <c r="F2476" s="1" t="s">
        <v>10734</v>
      </c>
      <c r="G2476" s="1" t="s">
        <v>10735</v>
      </c>
    </row>
    <row r="2477" spans="1:7">
      <c r="A2477" s="1">
        <v>2476</v>
      </c>
      <c r="B2477" s="1" t="s">
        <v>16922</v>
      </c>
      <c r="D2477" s="1" t="s">
        <v>16906</v>
      </c>
      <c r="E2477" s="1" t="s">
        <v>16923</v>
      </c>
      <c r="F2477" s="1" t="s">
        <v>1605</v>
      </c>
      <c r="G2477" s="1" t="s">
        <v>1606</v>
      </c>
    </row>
    <row r="2478" spans="1:7">
      <c r="A2478" s="1">
        <v>2477</v>
      </c>
      <c r="B2478" s="1" t="s">
        <v>16924</v>
      </c>
      <c r="D2478" s="1" t="s">
        <v>16906</v>
      </c>
      <c r="E2478" s="1" t="s">
        <v>16925</v>
      </c>
      <c r="F2478" s="1" t="s">
        <v>10711</v>
      </c>
      <c r="G2478" s="1" t="s">
        <v>10712</v>
      </c>
    </row>
    <row r="2479" spans="1:7">
      <c r="A2479" s="1">
        <v>2478</v>
      </c>
      <c r="B2479" s="1" t="s">
        <v>16926</v>
      </c>
      <c r="D2479" s="1" t="s">
        <v>16906</v>
      </c>
      <c r="E2479" s="1" t="s">
        <v>16927</v>
      </c>
      <c r="F2479" s="1" t="s">
        <v>10715</v>
      </c>
      <c r="G2479" s="1" t="s">
        <v>10716</v>
      </c>
    </row>
    <row r="2480" spans="1:7">
      <c r="A2480" s="1">
        <v>2479</v>
      </c>
      <c r="B2480" s="1" t="s">
        <v>16928</v>
      </c>
      <c r="D2480" s="1" t="s">
        <v>10752</v>
      </c>
      <c r="E2480" s="1" t="s">
        <v>16929</v>
      </c>
      <c r="F2480" s="1" t="s">
        <v>16930</v>
      </c>
      <c r="G2480" s="1" t="s">
        <v>16931</v>
      </c>
    </row>
    <row r="2481" spans="1:7">
      <c r="A2481" s="1">
        <v>2480</v>
      </c>
      <c r="B2481" s="1" t="s">
        <v>16932</v>
      </c>
      <c r="D2481" s="1" t="s">
        <v>16933</v>
      </c>
      <c r="E2481" s="1" t="s">
        <v>16934</v>
      </c>
      <c r="F2481" s="1" t="s">
        <v>16935</v>
      </c>
      <c r="G2481" s="1" t="s">
        <v>16936</v>
      </c>
    </row>
    <row r="2482" spans="1:7">
      <c r="A2482" s="1">
        <v>2481</v>
      </c>
      <c r="B2482" s="1" t="s">
        <v>16937</v>
      </c>
      <c r="D2482" s="1" t="s">
        <v>16933</v>
      </c>
      <c r="E2482" s="1" t="s">
        <v>16938</v>
      </c>
      <c r="F2482" s="1" t="s">
        <v>16939</v>
      </c>
      <c r="G2482" s="1" t="s">
        <v>16940</v>
      </c>
    </row>
    <row r="2483" spans="1:7">
      <c r="A2483" s="1">
        <v>2482</v>
      </c>
      <c r="B2483" s="1" t="s">
        <v>16941</v>
      </c>
      <c r="D2483" s="1" t="s">
        <v>16933</v>
      </c>
      <c r="E2483" s="1" t="s">
        <v>16942</v>
      </c>
      <c r="F2483" s="1" t="s">
        <v>16943</v>
      </c>
      <c r="G2483" s="1" t="s">
        <v>16944</v>
      </c>
    </row>
    <row r="2484" spans="1:7">
      <c r="A2484" s="1">
        <v>2483</v>
      </c>
      <c r="B2484" s="1" t="s">
        <v>16945</v>
      </c>
      <c r="D2484" s="1" t="s">
        <v>16933</v>
      </c>
      <c r="E2484" s="1" t="s">
        <v>16946</v>
      </c>
      <c r="F2484" s="1" t="s">
        <v>16947</v>
      </c>
      <c r="G2484" s="1" t="s">
        <v>16948</v>
      </c>
    </row>
    <row r="2485" spans="1:7">
      <c r="A2485" s="1">
        <v>2484</v>
      </c>
      <c r="B2485" s="1" t="s">
        <v>16949</v>
      </c>
      <c r="D2485" s="1" t="s">
        <v>16933</v>
      </c>
      <c r="E2485" s="1" t="s">
        <v>16950</v>
      </c>
      <c r="F2485" s="1" t="s">
        <v>16951</v>
      </c>
      <c r="G2485" s="1" t="s">
        <v>16952</v>
      </c>
    </row>
    <row r="2486" spans="1:7">
      <c r="A2486" s="1">
        <v>2485</v>
      </c>
      <c r="B2486" s="1" t="s">
        <v>16953</v>
      </c>
      <c r="D2486" s="1" t="s">
        <v>16933</v>
      </c>
      <c r="E2486" s="1" t="s">
        <v>16954</v>
      </c>
      <c r="F2486" s="1" t="s">
        <v>16955</v>
      </c>
      <c r="G2486" s="1" t="s">
        <v>16956</v>
      </c>
    </row>
    <row r="2487" spans="1:7">
      <c r="A2487" s="1">
        <v>2486</v>
      </c>
      <c r="B2487" s="1" t="s">
        <v>16957</v>
      </c>
      <c r="D2487" s="1" t="s">
        <v>16933</v>
      </c>
      <c r="E2487" s="1" t="s">
        <v>16958</v>
      </c>
      <c r="F2487" s="1" t="s">
        <v>16959</v>
      </c>
      <c r="G2487" s="1" t="s">
        <v>16960</v>
      </c>
    </row>
    <row r="2488" spans="1:7">
      <c r="A2488" s="1">
        <v>2487</v>
      </c>
      <c r="B2488" s="1" t="s">
        <v>16961</v>
      </c>
      <c r="D2488" s="1" t="s">
        <v>16933</v>
      </c>
      <c r="E2488" s="1" t="s">
        <v>16962</v>
      </c>
      <c r="F2488" s="1" t="s">
        <v>16963</v>
      </c>
      <c r="G2488" s="1" t="s">
        <v>16964</v>
      </c>
    </row>
    <row r="2489" spans="1:7">
      <c r="A2489" s="1">
        <v>2488</v>
      </c>
      <c r="B2489" s="1" t="s">
        <v>16965</v>
      </c>
      <c r="D2489" s="1" t="s">
        <v>16933</v>
      </c>
      <c r="E2489" s="1" t="s">
        <v>16966</v>
      </c>
      <c r="F2489" s="1" t="s">
        <v>16967</v>
      </c>
      <c r="G2489" s="1" t="s">
        <v>16968</v>
      </c>
    </row>
    <row r="2490" spans="1:7">
      <c r="A2490" s="1">
        <v>2489</v>
      </c>
      <c r="B2490" s="1" t="s">
        <v>16969</v>
      </c>
      <c r="D2490" s="1" t="s">
        <v>16933</v>
      </c>
      <c r="E2490" s="1" t="s">
        <v>16970</v>
      </c>
      <c r="F2490" s="1" t="s">
        <v>16971</v>
      </c>
      <c r="G2490" s="1" t="s">
        <v>16972</v>
      </c>
    </row>
    <row r="2491" spans="1:7">
      <c r="A2491" s="1">
        <v>2490</v>
      </c>
      <c r="B2491" s="1" t="s">
        <v>16973</v>
      </c>
      <c r="D2491" s="1" t="s">
        <v>16974</v>
      </c>
      <c r="E2491" s="1" t="s">
        <v>16975</v>
      </c>
      <c r="F2491" s="1" t="s">
        <v>16976</v>
      </c>
      <c r="G2491" s="1" t="s">
        <v>16977</v>
      </c>
    </row>
    <row r="2492" spans="1:7">
      <c r="A2492" s="1">
        <v>2491</v>
      </c>
      <c r="B2492" s="1" t="s">
        <v>16978</v>
      </c>
      <c r="D2492" s="1" t="s">
        <v>16974</v>
      </c>
      <c r="E2492" s="1" t="s">
        <v>16979</v>
      </c>
      <c r="F2492" s="1" t="s">
        <v>16980</v>
      </c>
      <c r="G2492" s="1" t="s">
        <v>16981</v>
      </c>
    </row>
    <row r="2493" spans="1:7">
      <c r="A2493" s="1">
        <v>2492</v>
      </c>
      <c r="B2493" s="1" t="s">
        <v>16982</v>
      </c>
      <c r="D2493" s="1" t="s">
        <v>16974</v>
      </c>
      <c r="E2493" s="1" t="s">
        <v>16983</v>
      </c>
      <c r="F2493" s="1" t="s">
        <v>16984</v>
      </c>
      <c r="G2493" s="1" t="s">
        <v>16985</v>
      </c>
    </row>
    <row r="2494" spans="1:7">
      <c r="A2494" s="1">
        <v>2493</v>
      </c>
      <c r="B2494" s="1" t="s">
        <v>16986</v>
      </c>
      <c r="D2494" s="1" t="s">
        <v>16974</v>
      </c>
      <c r="E2494" s="1" t="s">
        <v>16987</v>
      </c>
      <c r="F2494" s="1" t="s">
        <v>16935</v>
      </c>
      <c r="G2494" s="1" t="s">
        <v>16936</v>
      </c>
    </row>
    <row r="2495" spans="1:7">
      <c r="A2495" s="1">
        <v>2494</v>
      </c>
      <c r="B2495" s="1" t="s">
        <v>16988</v>
      </c>
      <c r="D2495" s="1" t="s">
        <v>16974</v>
      </c>
      <c r="E2495" s="1" t="s">
        <v>16989</v>
      </c>
      <c r="F2495" s="1" t="s">
        <v>16939</v>
      </c>
      <c r="G2495" s="1" t="s">
        <v>16940</v>
      </c>
    </row>
    <row r="2496" spans="1:7">
      <c r="A2496" s="1">
        <v>2495</v>
      </c>
      <c r="B2496" s="1" t="s">
        <v>16990</v>
      </c>
      <c r="D2496" s="1" t="s">
        <v>16974</v>
      </c>
      <c r="E2496" s="1" t="s">
        <v>16991</v>
      </c>
      <c r="F2496" s="1" t="s">
        <v>16943</v>
      </c>
      <c r="G2496" s="1" t="s">
        <v>16992</v>
      </c>
    </row>
    <row r="2497" spans="1:7">
      <c r="A2497" s="1">
        <v>2496</v>
      </c>
      <c r="B2497" s="1" t="s">
        <v>16993</v>
      </c>
      <c r="D2497" s="1" t="s">
        <v>16974</v>
      </c>
      <c r="E2497" s="1" t="s">
        <v>16994</v>
      </c>
      <c r="F2497" s="1" t="s">
        <v>16947</v>
      </c>
      <c r="G2497" s="1" t="s">
        <v>16948</v>
      </c>
    </row>
    <row r="2498" spans="1:7">
      <c r="A2498" s="1">
        <v>2497</v>
      </c>
      <c r="B2498" s="1" t="s">
        <v>16995</v>
      </c>
      <c r="D2498" s="1" t="s">
        <v>16974</v>
      </c>
      <c r="E2498" s="1" t="s">
        <v>16996</v>
      </c>
      <c r="F2498" s="1" t="s">
        <v>16951</v>
      </c>
      <c r="G2498" s="1" t="s">
        <v>16997</v>
      </c>
    </row>
    <row r="2499" spans="1:7">
      <c r="A2499" s="1">
        <v>2498</v>
      </c>
      <c r="B2499" s="1" t="s">
        <v>16998</v>
      </c>
      <c r="D2499" s="1" t="s">
        <v>16974</v>
      </c>
      <c r="E2499" s="1" t="s">
        <v>16999</v>
      </c>
      <c r="F2499" s="1" t="s">
        <v>16955</v>
      </c>
      <c r="G2499" s="1" t="s">
        <v>16956</v>
      </c>
    </row>
    <row r="2500" spans="1:7">
      <c r="A2500" s="1">
        <v>2499</v>
      </c>
      <c r="B2500" s="1" t="s">
        <v>17000</v>
      </c>
      <c r="D2500" s="1" t="s">
        <v>16974</v>
      </c>
      <c r="E2500" s="1" t="s">
        <v>17001</v>
      </c>
      <c r="F2500" s="1" t="s">
        <v>16959</v>
      </c>
      <c r="G2500" s="1" t="s">
        <v>16960</v>
      </c>
    </row>
    <row r="2501" spans="1:7">
      <c r="A2501" s="1">
        <v>2500</v>
      </c>
      <c r="B2501" s="1" t="s">
        <v>17002</v>
      </c>
      <c r="D2501" s="1" t="s">
        <v>16974</v>
      </c>
      <c r="E2501" s="1" t="s">
        <v>17003</v>
      </c>
      <c r="F2501" s="1" t="s">
        <v>16963</v>
      </c>
      <c r="G2501" s="1" t="s">
        <v>16964</v>
      </c>
    </row>
    <row r="2502" spans="1:7">
      <c r="A2502" s="1">
        <v>2501</v>
      </c>
      <c r="B2502" s="1" t="s">
        <v>17004</v>
      </c>
      <c r="D2502" s="1" t="s">
        <v>16974</v>
      </c>
      <c r="E2502" s="1" t="s">
        <v>17005</v>
      </c>
      <c r="F2502" s="1" t="s">
        <v>16967</v>
      </c>
      <c r="G2502" s="1" t="s">
        <v>16968</v>
      </c>
    </row>
    <row r="2503" spans="1:7">
      <c r="A2503" s="1">
        <v>2502</v>
      </c>
      <c r="B2503" s="1" t="s">
        <v>17006</v>
      </c>
      <c r="D2503" s="1" t="s">
        <v>16974</v>
      </c>
      <c r="E2503" s="1" t="s">
        <v>17007</v>
      </c>
      <c r="F2503" s="1" t="s">
        <v>17008</v>
      </c>
      <c r="G2503" s="1" t="s">
        <v>17009</v>
      </c>
    </row>
    <row r="2504" spans="1:7">
      <c r="A2504" s="1">
        <v>2503</v>
      </c>
      <c r="B2504" s="1" t="s">
        <v>17010</v>
      </c>
      <c r="D2504" s="1" t="s">
        <v>16974</v>
      </c>
      <c r="E2504" s="1" t="s">
        <v>17011</v>
      </c>
      <c r="F2504" s="1" t="s">
        <v>16971</v>
      </c>
      <c r="G2504" s="1" t="s">
        <v>16972</v>
      </c>
    </row>
    <row r="2505" spans="1:7">
      <c r="A2505" s="1">
        <v>2504</v>
      </c>
      <c r="B2505" s="1" t="s">
        <v>17012</v>
      </c>
      <c r="D2505" s="1" t="s">
        <v>10757</v>
      </c>
      <c r="E2505" s="1" t="s">
        <v>10771</v>
      </c>
      <c r="F2505" s="1" t="s">
        <v>10772</v>
      </c>
      <c r="G2505" s="1" t="s">
        <v>10773</v>
      </c>
    </row>
    <row r="2506" spans="1:7">
      <c r="A2506" s="1">
        <v>2505</v>
      </c>
      <c r="B2506" s="1" t="s">
        <v>17013</v>
      </c>
      <c r="D2506" s="1" t="s">
        <v>10757</v>
      </c>
      <c r="E2506" s="1" t="s">
        <v>10767</v>
      </c>
      <c r="F2506" s="1" t="s">
        <v>10768</v>
      </c>
      <c r="G2506" s="1" t="s">
        <v>10769</v>
      </c>
    </row>
    <row r="2507" spans="1:7">
      <c r="A2507" s="1">
        <v>2506</v>
      </c>
      <c r="B2507" s="1" t="s">
        <v>17014</v>
      </c>
      <c r="D2507" s="1" t="s">
        <v>10757</v>
      </c>
      <c r="E2507" s="1" t="s">
        <v>10775</v>
      </c>
      <c r="F2507" s="1" t="s">
        <v>10776</v>
      </c>
      <c r="G2507" s="1" t="s">
        <v>10777</v>
      </c>
    </row>
    <row r="2508" spans="1:7">
      <c r="A2508" s="1">
        <v>2507</v>
      </c>
      <c r="B2508" s="1" t="s">
        <v>17015</v>
      </c>
      <c r="D2508" s="1" t="s">
        <v>10757</v>
      </c>
      <c r="E2508" s="1" t="s">
        <v>2904</v>
      </c>
      <c r="F2508" s="1" t="s">
        <v>10794</v>
      </c>
      <c r="G2508" s="1" t="s">
        <v>10795</v>
      </c>
    </row>
    <row r="2509" spans="1:7">
      <c r="A2509" s="1">
        <v>2508</v>
      </c>
      <c r="B2509" s="1" t="s">
        <v>17016</v>
      </c>
      <c r="D2509" s="1" t="s">
        <v>10757</v>
      </c>
      <c r="E2509" s="1" t="s">
        <v>2901</v>
      </c>
      <c r="F2509" s="1" t="s">
        <v>10797</v>
      </c>
      <c r="G2509" s="1" t="s">
        <v>10798</v>
      </c>
    </row>
    <row r="2510" spans="1:7">
      <c r="A2510" s="1">
        <v>2509</v>
      </c>
      <c r="B2510" s="1" t="s">
        <v>17017</v>
      </c>
      <c r="D2510" s="1" t="s">
        <v>10757</v>
      </c>
      <c r="E2510" s="1" t="s">
        <v>2907</v>
      </c>
      <c r="F2510" s="1" t="s">
        <v>10800</v>
      </c>
      <c r="G2510" s="1" t="s">
        <v>10801</v>
      </c>
    </row>
    <row r="2511" spans="1:7">
      <c r="A2511" s="1">
        <v>2510</v>
      </c>
      <c r="B2511" s="1" t="s">
        <v>17018</v>
      </c>
      <c r="D2511" s="1" t="s">
        <v>10757</v>
      </c>
      <c r="E2511" s="1" t="s">
        <v>2910</v>
      </c>
      <c r="F2511" s="1" t="s">
        <v>10758</v>
      </c>
      <c r="G2511" s="1" t="s">
        <v>10759</v>
      </c>
    </row>
    <row r="2512" spans="1:7">
      <c r="A2512" s="1">
        <v>2511</v>
      </c>
      <c r="B2512" s="1" t="s">
        <v>17019</v>
      </c>
      <c r="D2512" s="1" t="s">
        <v>10757</v>
      </c>
      <c r="E2512" s="1" t="s">
        <v>2898</v>
      </c>
      <c r="F2512" s="1" t="s">
        <v>10761</v>
      </c>
      <c r="G2512" s="1" t="s">
        <v>10762</v>
      </c>
    </row>
    <row r="2513" spans="1:7">
      <c r="A2513" s="1">
        <v>2512</v>
      </c>
      <c r="B2513" s="1" t="s">
        <v>17020</v>
      </c>
      <c r="D2513" s="1" t="s">
        <v>10757</v>
      </c>
      <c r="E2513" s="1" t="s">
        <v>2897</v>
      </c>
      <c r="F2513" s="1" t="s">
        <v>10764</v>
      </c>
      <c r="G2513" s="1" t="s">
        <v>10765</v>
      </c>
    </row>
    <row r="2514" spans="1:7">
      <c r="A2514" s="1">
        <v>2513</v>
      </c>
      <c r="B2514" s="1" t="s">
        <v>17021</v>
      </c>
      <c r="D2514" s="1" t="s">
        <v>10757</v>
      </c>
      <c r="E2514" s="1" t="s">
        <v>10803</v>
      </c>
      <c r="F2514" s="1" t="s">
        <v>10804</v>
      </c>
      <c r="G2514" s="1" t="s">
        <v>10805</v>
      </c>
    </row>
    <row r="2515" spans="1:7">
      <c r="A2515" s="1">
        <v>2514</v>
      </c>
      <c r="B2515" s="1" t="s">
        <v>17022</v>
      </c>
      <c r="D2515" s="1" t="s">
        <v>10757</v>
      </c>
      <c r="E2515" s="1" t="s">
        <v>10790</v>
      </c>
      <c r="F2515" s="1" t="s">
        <v>10791</v>
      </c>
      <c r="G2515" s="1" t="s">
        <v>10792</v>
      </c>
    </row>
    <row r="2516" spans="1:7">
      <c r="A2516" s="1">
        <v>2515</v>
      </c>
      <c r="B2516" s="1" t="s">
        <v>17023</v>
      </c>
      <c r="D2516" s="1" t="s">
        <v>10757</v>
      </c>
      <c r="E2516" s="1" t="s">
        <v>2911</v>
      </c>
      <c r="F2516" s="1" t="s">
        <v>10783</v>
      </c>
      <c r="G2516" s="1" t="s">
        <v>10784</v>
      </c>
    </row>
    <row r="2517" spans="1:7">
      <c r="A2517" s="1">
        <v>2516</v>
      </c>
      <c r="B2517" s="1" t="s">
        <v>17024</v>
      </c>
      <c r="D2517" s="1" t="s">
        <v>10757</v>
      </c>
      <c r="E2517" s="1" t="s">
        <v>10779</v>
      </c>
      <c r="F2517" s="1" t="s">
        <v>10780</v>
      </c>
      <c r="G2517" s="1" t="s">
        <v>10781</v>
      </c>
    </row>
    <row r="2518" spans="1:7">
      <c r="A2518" s="1">
        <v>2517</v>
      </c>
      <c r="B2518" s="1" t="s">
        <v>17025</v>
      </c>
      <c r="D2518" s="1" t="s">
        <v>10757</v>
      </c>
      <c r="E2518" s="1" t="s">
        <v>10786</v>
      </c>
      <c r="F2518" s="1" t="s">
        <v>10787</v>
      </c>
      <c r="G2518" s="1" t="s">
        <v>10788</v>
      </c>
    </row>
    <row r="2519" spans="1:7">
      <c r="A2519" s="1">
        <v>2518</v>
      </c>
      <c r="B2519" s="1" t="s">
        <v>17026</v>
      </c>
      <c r="D2519" s="1" t="s">
        <v>10807</v>
      </c>
      <c r="E2519" s="1" t="s">
        <v>10808</v>
      </c>
      <c r="F2519" s="1" t="s">
        <v>17027</v>
      </c>
      <c r="G2519" s="1" t="s">
        <v>17028</v>
      </c>
    </row>
    <row r="2520" spans="1:7">
      <c r="A2520" s="1">
        <v>2519</v>
      </c>
      <c r="B2520" s="1" t="s">
        <v>17029</v>
      </c>
      <c r="D2520" s="1" t="s">
        <v>10812</v>
      </c>
      <c r="E2520" s="1" t="s">
        <v>10813</v>
      </c>
      <c r="F2520" s="1" t="s">
        <v>17027</v>
      </c>
      <c r="G2520" s="1" t="s">
        <v>17028</v>
      </c>
    </row>
    <row r="2521" spans="1:7">
      <c r="A2521" s="1">
        <v>2520</v>
      </c>
      <c r="B2521" s="1" t="s">
        <v>17030</v>
      </c>
      <c r="D2521" s="1" t="s">
        <v>10815</v>
      </c>
      <c r="E2521" s="1" t="s">
        <v>10840</v>
      </c>
      <c r="F2521" s="1" t="s">
        <v>17031</v>
      </c>
      <c r="G2521" s="1" t="s">
        <v>17032</v>
      </c>
    </row>
    <row r="2522" spans="1:7">
      <c r="A2522" s="1">
        <v>2521</v>
      </c>
      <c r="B2522" s="1" t="s">
        <v>17033</v>
      </c>
      <c r="D2522" s="1" t="s">
        <v>10815</v>
      </c>
      <c r="E2522" s="1" t="s">
        <v>10838</v>
      </c>
      <c r="F2522" s="1" t="s">
        <v>17034</v>
      </c>
      <c r="G2522" s="1" t="s">
        <v>17035</v>
      </c>
    </row>
    <row r="2523" spans="1:7">
      <c r="A2523" s="1">
        <v>2522</v>
      </c>
      <c r="B2523" s="1" t="s">
        <v>17036</v>
      </c>
      <c r="D2523" s="1" t="s">
        <v>10815</v>
      </c>
      <c r="E2523" s="1" t="s">
        <v>10820</v>
      </c>
      <c r="F2523" s="1" t="s">
        <v>17037</v>
      </c>
      <c r="G2523" s="1" t="s">
        <v>17038</v>
      </c>
    </row>
    <row r="2524" spans="1:7">
      <c r="A2524" s="1">
        <v>2523</v>
      </c>
      <c r="B2524" s="1" t="s">
        <v>17039</v>
      </c>
      <c r="D2524" s="1" t="s">
        <v>10815</v>
      </c>
      <c r="E2524" s="1" t="s">
        <v>10816</v>
      </c>
      <c r="F2524" s="1" t="s">
        <v>17040</v>
      </c>
      <c r="G2524" s="1" t="s">
        <v>17041</v>
      </c>
    </row>
    <row r="2525" spans="1:7">
      <c r="A2525" s="1">
        <v>2524</v>
      </c>
      <c r="B2525" s="1" t="s">
        <v>17042</v>
      </c>
      <c r="D2525" s="1" t="s">
        <v>10815</v>
      </c>
      <c r="E2525" s="1" t="s">
        <v>10826</v>
      </c>
      <c r="F2525" s="1" t="s">
        <v>17043</v>
      </c>
      <c r="G2525" s="1" t="s">
        <v>17044</v>
      </c>
    </row>
    <row r="2526" spans="1:7">
      <c r="A2526" s="1">
        <v>2525</v>
      </c>
      <c r="B2526" s="1" t="s">
        <v>17045</v>
      </c>
      <c r="D2526" s="1" t="s">
        <v>10815</v>
      </c>
      <c r="E2526" s="1" t="s">
        <v>10834</v>
      </c>
      <c r="F2526" s="1" t="s">
        <v>17046</v>
      </c>
      <c r="G2526" s="1" t="s">
        <v>17047</v>
      </c>
    </row>
    <row r="2527" spans="1:7">
      <c r="A2527" s="1">
        <v>2526</v>
      </c>
      <c r="B2527" s="1" t="s">
        <v>17048</v>
      </c>
      <c r="D2527" s="1" t="s">
        <v>10815</v>
      </c>
      <c r="E2527" s="1" t="s">
        <v>10830</v>
      </c>
      <c r="F2527" s="1" t="s">
        <v>17049</v>
      </c>
      <c r="G2527" s="1" t="s">
        <v>17050</v>
      </c>
    </row>
    <row r="2528" spans="1:7">
      <c r="A2528" s="1">
        <v>2527</v>
      </c>
      <c r="B2528" s="1" t="s">
        <v>17051</v>
      </c>
      <c r="D2528" s="1" t="s">
        <v>10815</v>
      </c>
      <c r="E2528" s="1" t="s">
        <v>10824</v>
      </c>
      <c r="F2528" s="1" t="s">
        <v>17052</v>
      </c>
      <c r="G2528" s="1" t="s">
        <v>17053</v>
      </c>
    </row>
    <row r="2529" spans="1:7">
      <c r="A2529" s="1">
        <v>2528</v>
      </c>
      <c r="B2529" s="1" t="s">
        <v>17054</v>
      </c>
      <c r="D2529" s="1" t="s">
        <v>10815</v>
      </c>
      <c r="E2529" s="1" t="s">
        <v>10844</v>
      </c>
      <c r="F2529" s="1" t="s">
        <v>17055</v>
      </c>
      <c r="G2529" s="1" t="s">
        <v>17056</v>
      </c>
    </row>
    <row r="2530" spans="1:7">
      <c r="A2530" s="1">
        <v>2529</v>
      </c>
      <c r="B2530" s="1" t="s">
        <v>17057</v>
      </c>
      <c r="D2530" s="1" t="s">
        <v>10848</v>
      </c>
      <c r="E2530" s="1" t="s">
        <v>10849</v>
      </c>
      <c r="F2530" s="1" t="s">
        <v>17040</v>
      </c>
      <c r="G2530" s="1" t="s">
        <v>17041</v>
      </c>
    </row>
    <row r="2531" spans="1:7">
      <c r="A2531" s="1">
        <v>2530</v>
      </c>
      <c r="B2531" s="1" t="s">
        <v>17058</v>
      </c>
      <c r="D2531" s="1" t="s">
        <v>10848</v>
      </c>
      <c r="E2531" s="1" t="s">
        <v>10855</v>
      </c>
      <c r="F2531" s="1" t="s">
        <v>17043</v>
      </c>
      <c r="G2531" s="1" t="s">
        <v>17044</v>
      </c>
    </row>
    <row r="2532" spans="1:7">
      <c r="A2532" s="1">
        <v>2531</v>
      </c>
      <c r="B2532" s="1" t="s">
        <v>17059</v>
      </c>
      <c r="D2532" s="1" t="s">
        <v>10848</v>
      </c>
      <c r="E2532" s="1" t="s">
        <v>10861</v>
      </c>
      <c r="F2532" s="1" t="s">
        <v>17046</v>
      </c>
      <c r="G2532" s="1" t="s">
        <v>17047</v>
      </c>
    </row>
    <row r="2533" spans="1:7">
      <c r="A2533" s="1">
        <v>2532</v>
      </c>
      <c r="B2533" s="1" t="s">
        <v>17060</v>
      </c>
      <c r="D2533" s="1" t="s">
        <v>10848</v>
      </c>
      <c r="E2533" s="1" t="s">
        <v>10857</v>
      </c>
      <c r="F2533" s="1" t="s">
        <v>17049</v>
      </c>
      <c r="G2533" s="1" t="s">
        <v>17050</v>
      </c>
    </row>
    <row r="2534" spans="1:7">
      <c r="A2534" s="1">
        <v>2533</v>
      </c>
      <c r="B2534" s="1" t="s">
        <v>17061</v>
      </c>
      <c r="D2534" s="1" t="s">
        <v>10848</v>
      </c>
      <c r="E2534" s="1" t="s">
        <v>10867</v>
      </c>
      <c r="F2534" s="1" t="s">
        <v>17055</v>
      </c>
      <c r="G2534" s="1" t="s">
        <v>17056</v>
      </c>
    </row>
    <row r="2535" spans="1:7">
      <c r="A2535" s="1">
        <v>2534</v>
      </c>
      <c r="B2535" s="1" t="s">
        <v>17062</v>
      </c>
      <c r="D2535" s="1" t="s">
        <v>10869</v>
      </c>
      <c r="E2535" s="1" t="s">
        <v>1615</v>
      </c>
      <c r="F2535" s="1" t="s">
        <v>10871</v>
      </c>
      <c r="G2535" s="1" t="s">
        <v>10872</v>
      </c>
    </row>
    <row r="2536" spans="1:7">
      <c r="A2536" s="1">
        <v>2535</v>
      </c>
      <c r="B2536" s="1" t="s">
        <v>17063</v>
      </c>
      <c r="D2536" s="1" t="s">
        <v>10869</v>
      </c>
      <c r="E2536" s="1" t="s">
        <v>1618</v>
      </c>
      <c r="F2536" s="1" t="s">
        <v>1619</v>
      </c>
      <c r="G2536" s="1" t="s">
        <v>1620</v>
      </c>
    </row>
    <row r="2537" spans="1:7">
      <c r="A2537" s="1">
        <v>2536</v>
      </c>
      <c r="B2537" s="1" t="s">
        <v>17064</v>
      </c>
      <c r="D2537" s="1" t="s">
        <v>10869</v>
      </c>
      <c r="E2537" s="1" t="s">
        <v>1621</v>
      </c>
      <c r="F2537" s="1" t="s">
        <v>10876</v>
      </c>
      <c r="G2537" s="1" t="s">
        <v>10877</v>
      </c>
    </row>
    <row r="2538" spans="1:7">
      <c r="A2538" s="1">
        <v>2537</v>
      </c>
      <c r="B2538" s="1" t="s">
        <v>17065</v>
      </c>
      <c r="D2538" s="1" t="s">
        <v>10869</v>
      </c>
      <c r="E2538" s="1" t="s">
        <v>1624</v>
      </c>
      <c r="F2538" s="1" t="s">
        <v>10879</v>
      </c>
      <c r="G2538" s="1" t="s">
        <v>10880</v>
      </c>
    </row>
    <row r="2539" spans="1:7">
      <c r="A2539" s="1">
        <v>2538</v>
      </c>
      <c r="B2539" s="1" t="s">
        <v>17066</v>
      </c>
      <c r="D2539" s="1" t="s">
        <v>10869</v>
      </c>
      <c r="E2539" s="1" t="s">
        <v>1627</v>
      </c>
      <c r="F2539" s="1" t="s">
        <v>1628</v>
      </c>
      <c r="G2539" s="1" t="s">
        <v>1629</v>
      </c>
    </row>
    <row r="2540" spans="1:7">
      <c r="A2540" s="1">
        <v>2539</v>
      </c>
      <c r="B2540" s="1" t="s">
        <v>17067</v>
      </c>
      <c r="D2540" s="1" t="s">
        <v>10869</v>
      </c>
      <c r="E2540" s="1" t="s">
        <v>1630</v>
      </c>
      <c r="F2540" s="1" t="s">
        <v>1631</v>
      </c>
      <c r="G2540" s="1" t="s">
        <v>1632</v>
      </c>
    </row>
    <row r="2541" spans="1:7">
      <c r="A2541" s="1">
        <v>2540</v>
      </c>
      <c r="B2541" s="1" t="s">
        <v>17068</v>
      </c>
      <c r="D2541" s="1" t="s">
        <v>10869</v>
      </c>
      <c r="E2541" s="1" t="s">
        <v>1633</v>
      </c>
      <c r="F2541" s="1" t="s">
        <v>1634</v>
      </c>
      <c r="G2541" s="1" t="s">
        <v>1635</v>
      </c>
    </row>
    <row r="2542" spans="1:7">
      <c r="A2542" s="1">
        <v>2541</v>
      </c>
      <c r="B2542" s="1" t="s">
        <v>17069</v>
      </c>
      <c r="D2542" s="1" t="s">
        <v>10869</v>
      </c>
      <c r="E2542" s="1" t="s">
        <v>1636</v>
      </c>
      <c r="F2542" s="1" t="s">
        <v>1637</v>
      </c>
      <c r="G2542" s="1" t="s">
        <v>1638</v>
      </c>
    </row>
    <row r="2543" spans="1:7">
      <c r="A2543" s="1">
        <v>2542</v>
      </c>
      <c r="B2543" s="1" t="s">
        <v>17070</v>
      </c>
      <c r="D2543" s="1" t="s">
        <v>10869</v>
      </c>
      <c r="E2543" s="1" t="s">
        <v>1639</v>
      </c>
      <c r="F2543" s="1" t="s">
        <v>10888</v>
      </c>
      <c r="G2543" s="1" t="s">
        <v>10889</v>
      </c>
    </row>
    <row r="2544" spans="1:7">
      <c r="A2544" s="1">
        <v>2543</v>
      </c>
      <c r="B2544" s="1" t="s">
        <v>17071</v>
      </c>
      <c r="D2544" s="1" t="s">
        <v>10869</v>
      </c>
      <c r="E2544" s="1" t="s">
        <v>1642</v>
      </c>
      <c r="F2544" s="1" t="s">
        <v>10884</v>
      </c>
      <c r="G2544" s="1" t="s">
        <v>10885</v>
      </c>
    </row>
    <row r="2545" spans="1:7">
      <c r="A2545" s="1">
        <v>2544</v>
      </c>
      <c r="B2545" s="1" t="s">
        <v>17072</v>
      </c>
      <c r="D2545" s="1" t="s">
        <v>10869</v>
      </c>
      <c r="E2545" s="1" t="s">
        <v>1645</v>
      </c>
      <c r="F2545" s="1" t="s">
        <v>10894</v>
      </c>
      <c r="G2545" s="1" t="s">
        <v>10895</v>
      </c>
    </row>
    <row r="2546" spans="1:7">
      <c r="A2546" s="1">
        <v>2545</v>
      </c>
      <c r="B2546" s="1" t="s">
        <v>17073</v>
      </c>
      <c r="D2546" s="1" t="s">
        <v>10869</v>
      </c>
      <c r="E2546" s="1" t="s">
        <v>1648</v>
      </c>
      <c r="F2546" s="1" t="s">
        <v>10891</v>
      </c>
      <c r="G2546" s="1" t="s">
        <v>10892</v>
      </c>
    </row>
    <row r="2547" spans="1:7">
      <c r="A2547" s="1">
        <v>2546</v>
      </c>
      <c r="B2547" s="1" t="s">
        <v>17074</v>
      </c>
      <c r="D2547" s="1" t="s">
        <v>10869</v>
      </c>
      <c r="E2547" s="1" t="s">
        <v>1651</v>
      </c>
      <c r="F2547" s="1" t="s">
        <v>1652</v>
      </c>
      <c r="G2547" s="1" t="s">
        <v>1653</v>
      </c>
    </row>
    <row r="2548" spans="1:7">
      <c r="A2548" s="1">
        <v>2547</v>
      </c>
      <c r="B2548" s="1" t="s">
        <v>17075</v>
      </c>
      <c r="D2548" s="1" t="s">
        <v>10897</v>
      </c>
      <c r="E2548" s="1" t="s">
        <v>7490</v>
      </c>
      <c r="F2548" s="1" t="s">
        <v>17076</v>
      </c>
      <c r="G2548" s="1" t="s">
        <v>17077</v>
      </c>
    </row>
    <row r="2549" spans="1:7">
      <c r="A2549" s="1">
        <v>2548</v>
      </c>
      <c r="B2549" s="1" t="s">
        <v>17078</v>
      </c>
      <c r="D2549" s="1" t="s">
        <v>10897</v>
      </c>
      <c r="E2549" s="1" t="s">
        <v>2600</v>
      </c>
      <c r="F2549" s="1" t="s">
        <v>11939</v>
      </c>
      <c r="G2549" s="1" t="s">
        <v>11940</v>
      </c>
    </row>
    <row r="2550" spans="1:7">
      <c r="A2550" s="1">
        <v>2549</v>
      </c>
      <c r="B2550" s="1" t="s">
        <v>17079</v>
      </c>
      <c r="D2550" s="1" t="s">
        <v>10897</v>
      </c>
      <c r="E2550" s="1" t="s">
        <v>17080</v>
      </c>
      <c r="F2550" s="1" t="s">
        <v>17081</v>
      </c>
      <c r="G2550" s="1" t="s">
        <v>17082</v>
      </c>
    </row>
    <row r="2551" spans="1:7">
      <c r="A2551" s="1">
        <v>2550</v>
      </c>
      <c r="B2551" s="1" t="s">
        <v>17083</v>
      </c>
      <c r="D2551" s="1" t="s">
        <v>10897</v>
      </c>
      <c r="E2551" s="1" t="s">
        <v>10923</v>
      </c>
      <c r="F2551" s="1" t="s">
        <v>11943</v>
      </c>
      <c r="G2551" s="1" t="s">
        <v>996</v>
      </c>
    </row>
    <row r="2552" spans="1:7">
      <c r="A2552" s="1">
        <v>2551</v>
      </c>
      <c r="B2552" s="1" t="s">
        <v>17084</v>
      </c>
      <c r="D2552" s="1" t="s">
        <v>10897</v>
      </c>
      <c r="E2552" s="1" t="s">
        <v>10926</v>
      </c>
      <c r="F2552" s="1" t="s">
        <v>11946</v>
      </c>
      <c r="G2552" s="1" t="s">
        <v>999</v>
      </c>
    </row>
    <row r="2553" spans="1:7">
      <c r="A2553" s="1">
        <v>2552</v>
      </c>
      <c r="B2553" s="1" t="s">
        <v>17085</v>
      </c>
      <c r="D2553" s="1" t="s">
        <v>10897</v>
      </c>
      <c r="E2553" s="1" t="s">
        <v>7449</v>
      </c>
      <c r="F2553" s="1" t="s">
        <v>17086</v>
      </c>
      <c r="G2553" s="1" t="s">
        <v>17087</v>
      </c>
    </row>
    <row r="2554" spans="1:7">
      <c r="A2554" s="1">
        <v>2553</v>
      </c>
      <c r="B2554" s="1" t="s">
        <v>17088</v>
      </c>
      <c r="D2554" s="1" t="s">
        <v>10897</v>
      </c>
      <c r="E2554" s="1" t="s">
        <v>7433</v>
      </c>
      <c r="F2554" s="1" t="s">
        <v>17089</v>
      </c>
      <c r="G2554" s="1" t="s">
        <v>17090</v>
      </c>
    </row>
    <row r="2555" spans="1:7">
      <c r="A2555" s="1">
        <v>2554</v>
      </c>
      <c r="B2555" s="1" t="s">
        <v>17091</v>
      </c>
      <c r="D2555" s="1" t="s">
        <v>10897</v>
      </c>
      <c r="E2555" s="1" t="s">
        <v>10938</v>
      </c>
      <c r="F2555" s="1" t="s">
        <v>11958</v>
      </c>
      <c r="G2555" s="1" t="s">
        <v>1008</v>
      </c>
    </row>
    <row r="2556" spans="1:7">
      <c r="A2556" s="1">
        <v>2555</v>
      </c>
      <c r="B2556" s="1" t="s">
        <v>17092</v>
      </c>
      <c r="D2556" s="1" t="s">
        <v>10897</v>
      </c>
      <c r="E2556" s="1" t="s">
        <v>10941</v>
      </c>
      <c r="F2556" s="1" t="s">
        <v>11961</v>
      </c>
      <c r="G2556" s="1" t="s">
        <v>11962</v>
      </c>
    </row>
    <row r="2557" spans="1:7">
      <c r="A2557" s="1">
        <v>2556</v>
      </c>
      <c r="B2557" s="1" t="s">
        <v>17093</v>
      </c>
      <c r="D2557" s="1" t="s">
        <v>10897</v>
      </c>
      <c r="E2557" s="1" t="s">
        <v>7482</v>
      </c>
      <c r="F2557" s="1" t="s">
        <v>17094</v>
      </c>
      <c r="G2557" s="1" t="s">
        <v>17095</v>
      </c>
    </row>
    <row r="2558" spans="1:7">
      <c r="A2558" s="1">
        <v>2557</v>
      </c>
      <c r="B2558" s="1" t="s">
        <v>17096</v>
      </c>
      <c r="D2558" s="1" t="s">
        <v>10897</v>
      </c>
      <c r="E2558" s="1" t="s">
        <v>10945</v>
      </c>
      <c r="F2558" s="1" t="s">
        <v>11965</v>
      </c>
      <c r="G2558" s="1" t="s">
        <v>1014</v>
      </c>
    </row>
    <row r="2559" spans="1:7">
      <c r="A2559" s="1">
        <v>2558</v>
      </c>
      <c r="B2559" s="1" t="s">
        <v>17097</v>
      </c>
      <c r="D2559" s="1" t="s">
        <v>10897</v>
      </c>
      <c r="E2559" s="1" t="s">
        <v>10948</v>
      </c>
      <c r="F2559" s="1" t="s">
        <v>11968</v>
      </c>
      <c r="G2559" s="1" t="s">
        <v>1017</v>
      </c>
    </row>
    <row r="2560" spans="1:7">
      <c r="A2560" s="1">
        <v>2559</v>
      </c>
      <c r="B2560" s="1" t="s">
        <v>17098</v>
      </c>
      <c r="D2560" s="1" t="s">
        <v>10897</v>
      </c>
      <c r="E2560" s="1" t="s">
        <v>17099</v>
      </c>
      <c r="F2560" s="1" t="s">
        <v>17100</v>
      </c>
      <c r="G2560" s="1" t="s">
        <v>17101</v>
      </c>
    </row>
    <row r="2561" spans="1:7">
      <c r="A2561" s="1">
        <v>2560</v>
      </c>
      <c r="B2561" s="1" t="s">
        <v>17102</v>
      </c>
      <c r="D2561" s="1" t="s">
        <v>10897</v>
      </c>
      <c r="E2561" s="1" t="s">
        <v>10951</v>
      </c>
      <c r="F2561" s="1" t="s">
        <v>11971</v>
      </c>
      <c r="G2561" s="1" t="s">
        <v>1020</v>
      </c>
    </row>
    <row r="2562" spans="1:7">
      <c r="A2562" s="1">
        <v>2561</v>
      </c>
      <c r="B2562" s="1" t="s">
        <v>17103</v>
      </c>
      <c r="D2562" s="1" t="s">
        <v>10897</v>
      </c>
      <c r="E2562" s="1" t="s">
        <v>10954</v>
      </c>
      <c r="F2562" s="1" t="s">
        <v>11974</v>
      </c>
      <c r="G2562" s="1" t="s">
        <v>1020</v>
      </c>
    </row>
    <row r="2563" spans="1:7">
      <c r="A2563" s="1">
        <v>2562</v>
      </c>
      <c r="B2563" s="1" t="s">
        <v>17104</v>
      </c>
      <c r="D2563" s="1" t="s">
        <v>10897</v>
      </c>
      <c r="E2563" s="1" t="s">
        <v>10957</v>
      </c>
      <c r="F2563" s="1" t="s">
        <v>11977</v>
      </c>
      <c r="G2563" s="1" t="s">
        <v>1025</v>
      </c>
    </row>
    <row r="2564" spans="1:7">
      <c r="A2564" s="1">
        <v>2563</v>
      </c>
      <c r="B2564" s="1" t="s">
        <v>17105</v>
      </c>
      <c r="D2564" s="1" t="s">
        <v>10897</v>
      </c>
      <c r="E2564" s="1" t="s">
        <v>10960</v>
      </c>
      <c r="F2564" s="1" t="s">
        <v>11980</v>
      </c>
      <c r="G2564" s="1" t="s">
        <v>11981</v>
      </c>
    </row>
    <row r="2565" spans="1:7">
      <c r="A2565" s="1">
        <v>2564</v>
      </c>
      <c r="B2565" s="1" t="s">
        <v>17106</v>
      </c>
      <c r="D2565" s="1" t="s">
        <v>10897</v>
      </c>
      <c r="E2565" s="1" t="s">
        <v>10964</v>
      </c>
      <c r="F2565" s="1" t="s">
        <v>11984</v>
      </c>
      <c r="G2565" s="1" t="s">
        <v>1028</v>
      </c>
    </row>
    <row r="2566" spans="1:7">
      <c r="A2566" s="1">
        <v>2565</v>
      </c>
      <c r="B2566" s="1" t="s">
        <v>17107</v>
      </c>
      <c r="D2566" s="1" t="s">
        <v>10897</v>
      </c>
      <c r="E2566" s="1" t="s">
        <v>10967</v>
      </c>
      <c r="F2566" s="1" t="s">
        <v>11987</v>
      </c>
      <c r="G2566" s="1" t="s">
        <v>1031</v>
      </c>
    </row>
    <row r="2567" spans="1:7">
      <c r="A2567" s="1">
        <v>2566</v>
      </c>
      <c r="B2567" s="1" t="s">
        <v>17108</v>
      </c>
      <c r="D2567" s="1" t="s">
        <v>10897</v>
      </c>
      <c r="E2567" s="1" t="s">
        <v>10970</v>
      </c>
      <c r="F2567" s="1" t="s">
        <v>11990</v>
      </c>
      <c r="G2567" s="1" t="s">
        <v>1031</v>
      </c>
    </row>
    <row r="2568" spans="1:7">
      <c r="A2568" s="1">
        <v>2567</v>
      </c>
      <c r="B2568" s="1" t="s">
        <v>17109</v>
      </c>
      <c r="D2568" s="1" t="s">
        <v>10897</v>
      </c>
      <c r="E2568" s="1" t="s">
        <v>10973</v>
      </c>
      <c r="F2568" s="1" t="s">
        <v>11993</v>
      </c>
      <c r="G2568" s="1" t="s">
        <v>1036</v>
      </c>
    </row>
    <row r="2569" spans="1:7">
      <c r="A2569" s="1">
        <v>2568</v>
      </c>
      <c r="B2569" s="1" t="s">
        <v>17110</v>
      </c>
      <c r="D2569" s="1" t="s">
        <v>10897</v>
      </c>
      <c r="E2569" s="1" t="s">
        <v>17111</v>
      </c>
      <c r="F2569" s="1" t="s">
        <v>17112</v>
      </c>
      <c r="G2569" s="1" t="s">
        <v>17113</v>
      </c>
    </row>
    <row r="2570" spans="1:7">
      <c r="A2570" s="1">
        <v>2569</v>
      </c>
      <c r="B2570" s="1" t="s">
        <v>17114</v>
      </c>
      <c r="D2570" s="1" t="s">
        <v>10897</v>
      </c>
      <c r="E2570" s="1" t="s">
        <v>10976</v>
      </c>
      <c r="F2570" s="1" t="s">
        <v>11996</v>
      </c>
      <c r="G2570" s="1" t="s">
        <v>1039</v>
      </c>
    </row>
    <row r="2571" spans="1:7">
      <c r="A2571" s="1">
        <v>2570</v>
      </c>
      <c r="B2571" s="1" t="s">
        <v>17115</v>
      </c>
      <c r="D2571" s="1" t="s">
        <v>10897</v>
      </c>
      <c r="E2571" s="1" t="s">
        <v>10979</v>
      </c>
      <c r="F2571" s="1" t="s">
        <v>11999</v>
      </c>
      <c r="G2571" s="1" t="s">
        <v>1036</v>
      </c>
    </row>
    <row r="2572" spans="1:7">
      <c r="A2572" s="1">
        <v>2571</v>
      </c>
      <c r="B2572" s="1" t="s">
        <v>17116</v>
      </c>
      <c r="D2572" s="1" t="s">
        <v>10897</v>
      </c>
      <c r="E2572" s="1" t="s">
        <v>10982</v>
      </c>
      <c r="F2572" s="1" t="s">
        <v>12002</v>
      </c>
      <c r="G2572" s="1" t="s">
        <v>1044</v>
      </c>
    </row>
    <row r="2573" spans="1:7">
      <c r="A2573" s="1">
        <v>2572</v>
      </c>
      <c r="B2573" s="1" t="s">
        <v>17117</v>
      </c>
      <c r="D2573" s="1" t="s">
        <v>10897</v>
      </c>
      <c r="E2573" s="1" t="s">
        <v>10985</v>
      </c>
      <c r="F2573" s="1" t="s">
        <v>12005</v>
      </c>
      <c r="G2573" s="1" t="s">
        <v>1047</v>
      </c>
    </row>
    <row r="2574" spans="1:7">
      <c r="A2574" s="1">
        <v>2573</v>
      </c>
      <c r="B2574" s="1" t="s">
        <v>17118</v>
      </c>
      <c r="D2574" s="1" t="s">
        <v>10897</v>
      </c>
      <c r="E2574" s="1" t="s">
        <v>10988</v>
      </c>
      <c r="F2574" s="1" t="s">
        <v>12008</v>
      </c>
      <c r="G2574" s="1" t="s">
        <v>1050</v>
      </c>
    </row>
    <row r="2575" spans="1:7">
      <c r="A2575" s="1">
        <v>2574</v>
      </c>
      <c r="B2575" s="1" t="s">
        <v>17119</v>
      </c>
      <c r="D2575" s="1" t="s">
        <v>10897</v>
      </c>
      <c r="E2575" s="1" t="s">
        <v>17120</v>
      </c>
      <c r="F2575" s="1" t="s">
        <v>17121</v>
      </c>
      <c r="G2575" s="1" t="s">
        <v>17122</v>
      </c>
    </row>
    <row r="2576" spans="1:7">
      <c r="A2576" s="1">
        <v>2575</v>
      </c>
      <c r="B2576" s="1" t="s">
        <v>17123</v>
      </c>
      <c r="D2576" s="1" t="s">
        <v>10897</v>
      </c>
      <c r="E2576" s="1" t="s">
        <v>17124</v>
      </c>
      <c r="F2576" s="1" t="s">
        <v>17125</v>
      </c>
      <c r="G2576" s="1" t="s">
        <v>17126</v>
      </c>
    </row>
    <row r="2577" spans="1:7">
      <c r="A2577" s="1">
        <v>2576</v>
      </c>
      <c r="B2577" s="1" t="s">
        <v>17127</v>
      </c>
      <c r="D2577" s="1" t="s">
        <v>10897</v>
      </c>
      <c r="E2577" s="1" t="s">
        <v>10898</v>
      </c>
      <c r="F2577" s="1" t="s">
        <v>17128</v>
      </c>
      <c r="G2577" s="1" t="s">
        <v>17129</v>
      </c>
    </row>
    <row r="2578" spans="1:7">
      <c r="A2578" s="1">
        <v>2577</v>
      </c>
      <c r="B2578" s="1" t="s">
        <v>17130</v>
      </c>
      <c r="D2578" s="1" t="s">
        <v>10897</v>
      </c>
      <c r="E2578" s="1" t="s">
        <v>7494</v>
      </c>
      <c r="F2578" s="1" t="s">
        <v>17131</v>
      </c>
      <c r="G2578" s="1" t="s">
        <v>17132</v>
      </c>
    </row>
    <row r="2579" spans="1:7">
      <c r="A2579" s="1">
        <v>2578</v>
      </c>
      <c r="B2579" s="1" t="s">
        <v>17133</v>
      </c>
      <c r="D2579" s="1" t="s">
        <v>10897</v>
      </c>
      <c r="E2579" s="1" t="s">
        <v>10916</v>
      </c>
      <c r="F2579" s="1" t="s">
        <v>11936</v>
      </c>
      <c r="G2579" s="1" t="s">
        <v>11937</v>
      </c>
    </row>
    <row r="2580" spans="1:7">
      <c r="A2580" s="1">
        <v>2579</v>
      </c>
      <c r="B2580" s="1" t="s">
        <v>17134</v>
      </c>
      <c r="D2580" s="1" t="s">
        <v>10897</v>
      </c>
      <c r="E2580" s="1" t="s">
        <v>10991</v>
      </c>
      <c r="F2580" s="1" t="s">
        <v>12011</v>
      </c>
      <c r="G2580" s="1" t="s">
        <v>12012</v>
      </c>
    </row>
    <row r="2581" spans="1:7">
      <c r="A2581" s="1">
        <v>2580</v>
      </c>
      <c r="B2581" s="1" t="s">
        <v>17135</v>
      </c>
      <c r="D2581" s="1" t="s">
        <v>10897</v>
      </c>
      <c r="E2581" s="1" t="s">
        <v>10995</v>
      </c>
      <c r="F2581" s="1" t="s">
        <v>17136</v>
      </c>
      <c r="G2581" s="1" t="s">
        <v>17137</v>
      </c>
    </row>
    <row r="2582" spans="1:7">
      <c r="A2582" s="1">
        <v>2581</v>
      </c>
      <c r="B2582" s="1" t="s">
        <v>17138</v>
      </c>
      <c r="D2582" s="1" t="s">
        <v>10897</v>
      </c>
      <c r="E2582" s="1" t="s">
        <v>10910</v>
      </c>
      <c r="F2582" s="1" t="s">
        <v>17139</v>
      </c>
      <c r="G2582" s="1" t="s">
        <v>17140</v>
      </c>
    </row>
    <row r="2583" spans="1:7">
      <c r="A2583" s="1">
        <v>2582</v>
      </c>
      <c r="B2583" s="1" t="s">
        <v>17141</v>
      </c>
      <c r="D2583" s="1" t="s">
        <v>10897</v>
      </c>
      <c r="E2583" s="1" t="s">
        <v>10906</v>
      </c>
      <c r="F2583" s="1" t="s">
        <v>17142</v>
      </c>
      <c r="G2583" s="1" t="s">
        <v>17143</v>
      </c>
    </row>
    <row r="2584" spans="1:7">
      <c r="A2584" s="1">
        <v>2583</v>
      </c>
      <c r="B2584" s="1" t="s">
        <v>17144</v>
      </c>
      <c r="D2584" s="1" t="s">
        <v>10897</v>
      </c>
      <c r="E2584" s="1" t="s">
        <v>10914</v>
      </c>
      <c r="F2584" s="1" t="s">
        <v>17145</v>
      </c>
      <c r="G2584" s="1" t="s">
        <v>17146</v>
      </c>
    </row>
    <row r="2585" spans="1:7">
      <c r="A2585" s="1">
        <v>2584</v>
      </c>
      <c r="B2585" s="1" t="s">
        <v>17147</v>
      </c>
      <c r="D2585" s="1" t="s">
        <v>10999</v>
      </c>
      <c r="E2585" s="1" t="s">
        <v>17148</v>
      </c>
      <c r="F2585" s="1" t="s">
        <v>17149</v>
      </c>
      <c r="G2585" s="1" t="s">
        <v>17150</v>
      </c>
    </row>
    <row r="2586" spans="1:7">
      <c r="A2586" s="1">
        <v>2585</v>
      </c>
      <c r="B2586" s="1" t="s">
        <v>17151</v>
      </c>
      <c r="D2586" s="1" t="s">
        <v>10999</v>
      </c>
      <c r="E2586" s="1" t="s">
        <v>11022</v>
      </c>
      <c r="F2586" s="1" t="s">
        <v>12038</v>
      </c>
      <c r="G2586" s="1" t="s">
        <v>1076</v>
      </c>
    </row>
    <row r="2587" spans="1:7">
      <c r="A2587" s="1">
        <v>2586</v>
      </c>
      <c r="B2587" s="1" t="s">
        <v>17152</v>
      </c>
      <c r="D2587" s="1" t="s">
        <v>10999</v>
      </c>
      <c r="E2587" s="1" t="s">
        <v>11025</v>
      </c>
      <c r="F2587" s="1" t="s">
        <v>12041</v>
      </c>
      <c r="G2587" s="1" t="s">
        <v>1081</v>
      </c>
    </row>
    <row r="2588" spans="1:7">
      <c r="A2588" s="1">
        <v>2587</v>
      </c>
      <c r="B2588" s="1" t="s">
        <v>17153</v>
      </c>
      <c r="D2588" s="1" t="s">
        <v>10999</v>
      </c>
      <c r="E2588" s="1" t="s">
        <v>11028</v>
      </c>
      <c r="F2588" s="1" t="s">
        <v>12044</v>
      </c>
      <c r="G2588" s="1" t="s">
        <v>1076</v>
      </c>
    </row>
    <row r="2589" spans="1:7">
      <c r="A2589" s="1">
        <v>2588</v>
      </c>
      <c r="B2589" s="1" t="s">
        <v>17154</v>
      </c>
      <c r="D2589" s="1" t="s">
        <v>10999</v>
      </c>
      <c r="E2589" s="1" t="s">
        <v>2608</v>
      </c>
      <c r="F2589" s="1" t="s">
        <v>12046</v>
      </c>
      <c r="G2589" s="1" t="s">
        <v>12047</v>
      </c>
    </row>
    <row r="2590" spans="1:7">
      <c r="A2590" s="1">
        <v>2589</v>
      </c>
      <c r="B2590" s="1" t="s">
        <v>17155</v>
      </c>
      <c r="D2590" s="1" t="s">
        <v>10999</v>
      </c>
      <c r="E2590" s="1" t="s">
        <v>17156</v>
      </c>
      <c r="F2590" s="1" t="s">
        <v>17157</v>
      </c>
      <c r="G2590" s="1" t="s">
        <v>17158</v>
      </c>
    </row>
    <row r="2591" spans="1:7">
      <c r="A2591" s="1">
        <v>2590</v>
      </c>
      <c r="B2591" s="1" t="s">
        <v>17159</v>
      </c>
      <c r="D2591" s="1" t="s">
        <v>10999</v>
      </c>
      <c r="E2591" s="1" t="s">
        <v>11034</v>
      </c>
      <c r="F2591" s="1" t="s">
        <v>12050</v>
      </c>
      <c r="G2591" s="1" t="s">
        <v>1084</v>
      </c>
    </row>
    <row r="2592" spans="1:7">
      <c r="A2592" s="1">
        <v>2591</v>
      </c>
      <c r="B2592" s="1" t="s">
        <v>17160</v>
      </c>
      <c r="D2592" s="1" t="s">
        <v>10999</v>
      </c>
      <c r="E2592" s="1" t="s">
        <v>17161</v>
      </c>
      <c r="F2592" s="1" t="s">
        <v>17162</v>
      </c>
      <c r="G2592" s="1" t="s">
        <v>17163</v>
      </c>
    </row>
    <row r="2593" spans="1:7">
      <c r="A2593" s="1">
        <v>2592</v>
      </c>
      <c r="B2593" s="1" t="s">
        <v>17164</v>
      </c>
      <c r="D2593" s="1" t="s">
        <v>10999</v>
      </c>
      <c r="E2593" s="1" t="s">
        <v>17165</v>
      </c>
      <c r="F2593" s="1" t="s">
        <v>17166</v>
      </c>
      <c r="G2593" s="1" t="s">
        <v>17167</v>
      </c>
    </row>
    <row r="2594" spans="1:7">
      <c r="A2594" s="1">
        <v>2593</v>
      </c>
      <c r="B2594" s="1" t="s">
        <v>17168</v>
      </c>
      <c r="D2594" s="1" t="s">
        <v>10999</v>
      </c>
      <c r="E2594" s="1" t="s">
        <v>17169</v>
      </c>
      <c r="F2594" s="1" t="s">
        <v>17170</v>
      </c>
      <c r="G2594" s="1" t="s">
        <v>17167</v>
      </c>
    </row>
    <row r="2595" spans="1:7">
      <c r="A2595" s="1">
        <v>2594</v>
      </c>
      <c r="B2595" s="1" t="s">
        <v>17171</v>
      </c>
      <c r="D2595" s="1" t="s">
        <v>10999</v>
      </c>
      <c r="E2595" s="1" t="s">
        <v>7514</v>
      </c>
      <c r="F2595" s="1" t="s">
        <v>17172</v>
      </c>
      <c r="G2595" s="1" t="s">
        <v>17173</v>
      </c>
    </row>
    <row r="2596" spans="1:7">
      <c r="A2596" s="1">
        <v>2595</v>
      </c>
      <c r="B2596" s="1" t="s">
        <v>17174</v>
      </c>
      <c r="D2596" s="1" t="s">
        <v>10999</v>
      </c>
      <c r="E2596" s="1" t="s">
        <v>7474</v>
      </c>
      <c r="F2596" s="1" t="s">
        <v>17175</v>
      </c>
      <c r="G2596" s="1" t="s">
        <v>17176</v>
      </c>
    </row>
    <row r="2597" spans="1:7">
      <c r="A2597" s="1">
        <v>2596</v>
      </c>
      <c r="B2597" s="1" t="s">
        <v>17177</v>
      </c>
      <c r="D2597" s="1" t="s">
        <v>10999</v>
      </c>
      <c r="E2597" s="1" t="s">
        <v>11040</v>
      </c>
      <c r="F2597" s="1" t="s">
        <v>12056</v>
      </c>
      <c r="G2597" s="1" t="s">
        <v>1090</v>
      </c>
    </row>
    <row r="2598" spans="1:7">
      <c r="A2598" s="1">
        <v>2597</v>
      </c>
      <c r="B2598" s="1" t="s">
        <v>17178</v>
      </c>
      <c r="D2598" s="1" t="s">
        <v>10999</v>
      </c>
      <c r="E2598" s="1" t="s">
        <v>2612</v>
      </c>
      <c r="F2598" s="1" t="s">
        <v>12058</v>
      </c>
      <c r="G2598" s="1" t="s">
        <v>12059</v>
      </c>
    </row>
    <row r="2599" spans="1:7">
      <c r="A2599" s="1">
        <v>2598</v>
      </c>
      <c r="B2599" s="1" t="s">
        <v>17179</v>
      </c>
      <c r="D2599" s="1" t="s">
        <v>10999</v>
      </c>
      <c r="E2599" s="1" t="s">
        <v>11046</v>
      </c>
      <c r="F2599" s="1" t="s">
        <v>12062</v>
      </c>
      <c r="G2599" s="1" t="s">
        <v>1081</v>
      </c>
    </row>
    <row r="2600" spans="1:7">
      <c r="A2600" s="1">
        <v>2599</v>
      </c>
      <c r="B2600" s="1" t="s">
        <v>17180</v>
      </c>
      <c r="D2600" s="1" t="s">
        <v>10999</v>
      </c>
      <c r="E2600" s="1" t="s">
        <v>11049</v>
      </c>
      <c r="F2600" s="1" t="s">
        <v>12065</v>
      </c>
      <c r="G2600" s="1" t="s">
        <v>12066</v>
      </c>
    </row>
    <row r="2601" spans="1:7">
      <c r="A2601" s="1">
        <v>2600</v>
      </c>
      <c r="B2601" s="1" t="s">
        <v>17181</v>
      </c>
      <c r="D2601" s="1" t="s">
        <v>10999</v>
      </c>
      <c r="E2601" s="1" t="s">
        <v>17182</v>
      </c>
      <c r="F2601" s="1" t="s">
        <v>17183</v>
      </c>
      <c r="G2601" s="1" t="s">
        <v>17184</v>
      </c>
    </row>
    <row r="2602" spans="1:7">
      <c r="A2602" s="1">
        <v>2601</v>
      </c>
      <c r="B2602" s="1" t="s">
        <v>17185</v>
      </c>
      <c r="D2602" s="1" t="s">
        <v>10999</v>
      </c>
      <c r="E2602" s="1" t="s">
        <v>11053</v>
      </c>
      <c r="F2602" s="1" t="s">
        <v>12069</v>
      </c>
      <c r="G2602" s="1" t="s">
        <v>1098</v>
      </c>
    </row>
    <row r="2603" spans="1:7">
      <c r="A2603" s="1">
        <v>2602</v>
      </c>
      <c r="B2603" s="1" t="s">
        <v>17186</v>
      </c>
      <c r="D2603" s="1" t="s">
        <v>10999</v>
      </c>
      <c r="E2603" s="1" t="s">
        <v>11056</v>
      </c>
      <c r="F2603" s="1" t="s">
        <v>12072</v>
      </c>
      <c r="G2603" s="1" t="s">
        <v>1101</v>
      </c>
    </row>
    <row r="2604" spans="1:7">
      <c r="A2604" s="1">
        <v>2603</v>
      </c>
      <c r="B2604" s="1" t="s">
        <v>17187</v>
      </c>
      <c r="D2604" s="1" t="s">
        <v>10999</v>
      </c>
      <c r="E2604" s="1" t="s">
        <v>17188</v>
      </c>
      <c r="F2604" s="1" t="s">
        <v>17189</v>
      </c>
      <c r="G2604" s="1" t="s">
        <v>17190</v>
      </c>
    </row>
    <row r="2605" spans="1:7">
      <c r="A2605" s="1">
        <v>2604</v>
      </c>
      <c r="B2605" s="1" t="s">
        <v>17191</v>
      </c>
      <c r="D2605" s="1" t="s">
        <v>10999</v>
      </c>
      <c r="E2605" s="1" t="s">
        <v>11059</v>
      </c>
      <c r="F2605" s="1" t="s">
        <v>12075</v>
      </c>
      <c r="G2605" s="1" t="s">
        <v>1104</v>
      </c>
    </row>
    <row r="2606" spans="1:7">
      <c r="A2606" s="1">
        <v>2605</v>
      </c>
      <c r="B2606" s="1" t="s">
        <v>17192</v>
      </c>
      <c r="D2606" s="1" t="s">
        <v>10999</v>
      </c>
      <c r="E2606" s="1" t="s">
        <v>11062</v>
      </c>
      <c r="F2606" s="1" t="s">
        <v>12078</v>
      </c>
      <c r="G2606" s="1" t="s">
        <v>1104</v>
      </c>
    </row>
    <row r="2607" spans="1:7">
      <c r="A2607" s="1">
        <v>2606</v>
      </c>
      <c r="B2607" s="1" t="s">
        <v>17193</v>
      </c>
      <c r="D2607" s="1" t="s">
        <v>10999</v>
      </c>
      <c r="E2607" s="1" t="s">
        <v>11065</v>
      </c>
      <c r="F2607" s="1" t="s">
        <v>12081</v>
      </c>
      <c r="G2607" s="1" t="s">
        <v>1109</v>
      </c>
    </row>
    <row r="2608" spans="1:7">
      <c r="A2608" s="1">
        <v>2607</v>
      </c>
      <c r="B2608" s="1" t="s">
        <v>17194</v>
      </c>
      <c r="D2608" s="1" t="s">
        <v>10999</v>
      </c>
      <c r="E2608" s="1" t="s">
        <v>11068</v>
      </c>
      <c r="F2608" s="1" t="s">
        <v>12084</v>
      </c>
      <c r="G2608" s="1" t="s">
        <v>1112</v>
      </c>
    </row>
    <row r="2609" spans="1:7">
      <c r="A2609" s="1">
        <v>2608</v>
      </c>
      <c r="B2609" s="1" t="s">
        <v>17195</v>
      </c>
      <c r="D2609" s="1" t="s">
        <v>10999</v>
      </c>
      <c r="E2609" s="1" t="s">
        <v>11071</v>
      </c>
      <c r="F2609" s="1" t="s">
        <v>12087</v>
      </c>
      <c r="G2609" s="1" t="s">
        <v>1112</v>
      </c>
    </row>
    <row r="2610" spans="1:7">
      <c r="A2610" s="1">
        <v>2609</v>
      </c>
      <c r="B2610" s="1" t="s">
        <v>17196</v>
      </c>
      <c r="D2610" s="1" t="s">
        <v>10999</v>
      </c>
      <c r="E2610" s="1" t="s">
        <v>11074</v>
      </c>
      <c r="F2610" s="1" t="s">
        <v>12090</v>
      </c>
      <c r="G2610" s="1" t="s">
        <v>12091</v>
      </c>
    </row>
    <row r="2611" spans="1:7">
      <c r="A2611" s="1">
        <v>2610</v>
      </c>
      <c r="B2611" s="1" t="s">
        <v>17197</v>
      </c>
      <c r="D2611" s="1" t="s">
        <v>10999</v>
      </c>
      <c r="E2611" s="1" t="s">
        <v>11078</v>
      </c>
      <c r="F2611" s="1" t="s">
        <v>12094</v>
      </c>
      <c r="G2611" s="1" t="s">
        <v>1117</v>
      </c>
    </row>
    <row r="2612" spans="1:7">
      <c r="A2612" s="1">
        <v>2611</v>
      </c>
      <c r="B2612" s="1" t="s">
        <v>17198</v>
      </c>
      <c r="D2612" s="1" t="s">
        <v>10999</v>
      </c>
      <c r="E2612" s="1" t="s">
        <v>11081</v>
      </c>
      <c r="F2612" s="1" t="s">
        <v>12097</v>
      </c>
      <c r="G2612" s="1" t="s">
        <v>1120</v>
      </c>
    </row>
    <row r="2613" spans="1:7">
      <c r="A2613" s="1">
        <v>2612</v>
      </c>
      <c r="B2613" s="1" t="s">
        <v>17199</v>
      </c>
      <c r="D2613" s="1" t="s">
        <v>10999</v>
      </c>
      <c r="E2613" s="1" t="s">
        <v>11084</v>
      </c>
      <c r="F2613" s="1" t="s">
        <v>12100</v>
      </c>
      <c r="G2613" s="1" t="s">
        <v>1120</v>
      </c>
    </row>
    <row r="2614" spans="1:7">
      <c r="A2614" s="1">
        <v>2613</v>
      </c>
      <c r="B2614" s="1" t="s">
        <v>17200</v>
      </c>
      <c r="D2614" s="1" t="s">
        <v>10999</v>
      </c>
      <c r="E2614" s="1" t="s">
        <v>17201</v>
      </c>
      <c r="F2614" s="1" t="s">
        <v>17202</v>
      </c>
      <c r="G2614" s="1" t="s">
        <v>17203</v>
      </c>
    </row>
    <row r="2615" spans="1:7">
      <c r="A2615" s="1">
        <v>2614</v>
      </c>
      <c r="B2615" s="1" t="s">
        <v>17204</v>
      </c>
      <c r="D2615" s="1" t="s">
        <v>10999</v>
      </c>
      <c r="E2615" s="1" t="s">
        <v>11087</v>
      </c>
      <c r="F2615" s="1" t="s">
        <v>12103</v>
      </c>
      <c r="G2615" s="1" t="s">
        <v>1125</v>
      </c>
    </row>
    <row r="2616" spans="1:7">
      <c r="A2616" s="1">
        <v>2615</v>
      </c>
      <c r="B2616" s="1" t="s">
        <v>17205</v>
      </c>
      <c r="D2616" s="1" t="s">
        <v>10999</v>
      </c>
      <c r="E2616" s="1" t="s">
        <v>3681</v>
      </c>
      <c r="F2616" s="1" t="s">
        <v>12106</v>
      </c>
      <c r="G2616" s="1" t="s">
        <v>12107</v>
      </c>
    </row>
    <row r="2617" spans="1:7">
      <c r="A2617" s="1">
        <v>2616</v>
      </c>
      <c r="B2617" s="1" t="s">
        <v>17206</v>
      </c>
      <c r="D2617" s="1" t="s">
        <v>10999</v>
      </c>
      <c r="E2617" s="1" t="s">
        <v>11093</v>
      </c>
      <c r="F2617" s="1" t="s">
        <v>12110</v>
      </c>
      <c r="G2617" s="1" t="s">
        <v>12107</v>
      </c>
    </row>
    <row r="2618" spans="1:7">
      <c r="A2618" s="1">
        <v>2617</v>
      </c>
      <c r="B2618" s="1" t="s">
        <v>17207</v>
      </c>
      <c r="D2618" s="1" t="s">
        <v>10999</v>
      </c>
      <c r="E2618" s="1" t="s">
        <v>11096</v>
      </c>
      <c r="F2618" s="1" t="s">
        <v>12113</v>
      </c>
      <c r="G2618" s="1" t="s">
        <v>1128</v>
      </c>
    </row>
    <row r="2619" spans="1:7">
      <c r="A2619" s="1">
        <v>2618</v>
      </c>
      <c r="B2619" s="1" t="s">
        <v>17208</v>
      </c>
      <c r="D2619" s="1" t="s">
        <v>10999</v>
      </c>
      <c r="E2619" s="1" t="s">
        <v>11099</v>
      </c>
      <c r="F2619" s="1" t="s">
        <v>12116</v>
      </c>
      <c r="G2619" s="1" t="s">
        <v>1128</v>
      </c>
    </row>
    <row r="2620" spans="1:7">
      <c r="A2620" s="1">
        <v>2619</v>
      </c>
      <c r="B2620" s="1" t="s">
        <v>17209</v>
      </c>
      <c r="D2620" s="1" t="s">
        <v>10999</v>
      </c>
      <c r="E2620" s="1" t="s">
        <v>17210</v>
      </c>
      <c r="F2620" s="1" t="s">
        <v>17211</v>
      </c>
      <c r="G2620" s="1" t="s">
        <v>17212</v>
      </c>
    </row>
    <row r="2621" spans="1:7">
      <c r="A2621" s="1">
        <v>2620</v>
      </c>
      <c r="B2621" s="1" t="s">
        <v>17213</v>
      </c>
      <c r="D2621" s="1" t="s">
        <v>10999</v>
      </c>
      <c r="E2621" s="1" t="s">
        <v>11102</v>
      </c>
      <c r="F2621" s="1" t="s">
        <v>12119</v>
      </c>
      <c r="G2621" s="1" t="s">
        <v>1131</v>
      </c>
    </row>
    <row r="2622" spans="1:7">
      <c r="A2622" s="1">
        <v>2621</v>
      </c>
      <c r="B2622" s="1" t="s">
        <v>17214</v>
      </c>
      <c r="D2622" s="1" t="s">
        <v>10999</v>
      </c>
      <c r="E2622" s="1" t="s">
        <v>11105</v>
      </c>
      <c r="F2622" s="1" t="s">
        <v>12122</v>
      </c>
      <c r="G2622" s="1" t="s">
        <v>1128</v>
      </c>
    </row>
    <row r="2623" spans="1:7">
      <c r="A2623" s="1">
        <v>2622</v>
      </c>
      <c r="B2623" s="1" t="s">
        <v>17215</v>
      </c>
      <c r="D2623" s="1" t="s">
        <v>10999</v>
      </c>
      <c r="E2623" s="1" t="s">
        <v>11108</v>
      </c>
      <c r="F2623" s="1" t="s">
        <v>12125</v>
      </c>
      <c r="G2623" s="1" t="s">
        <v>1136</v>
      </c>
    </row>
    <row r="2624" spans="1:7">
      <c r="A2624" s="1">
        <v>2623</v>
      </c>
      <c r="B2624" s="1" t="s">
        <v>17216</v>
      </c>
      <c r="D2624" s="1" t="s">
        <v>10999</v>
      </c>
      <c r="E2624" s="1" t="s">
        <v>11111</v>
      </c>
      <c r="F2624" s="1" t="s">
        <v>12128</v>
      </c>
      <c r="G2624" s="1" t="s">
        <v>1139</v>
      </c>
    </row>
    <row r="2625" spans="1:7">
      <c r="A2625" s="1">
        <v>2624</v>
      </c>
      <c r="B2625" s="1" t="s">
        <v>17217</v>
      </c>
      <c r="D2625" s="1" t="s">
        <v>10999</v>
      </c>
      <c r="E2625" s="1" t="s">
        <v>11114</v>
      </c>
      <c r="F2625" s="1" t="s">
        <v>12131</v>
      </c>
      <c r="G2625" s="1" t="s">
        <v>12066</v>
      </c>
    </row>
    <row r="2626" spans="1:7">
      <c r="A2626" s="1">
        <v>2625</v>
      </c>
      <c r="B2626" s="1" t="s">
        <v>17218</v>
      </c>
      <c r="D2626" s="1" t="s">
        <v>10999</v>
      </c>
      <c r="E2626" s="1" t="s">
        <v>11117</v>
      </c>
      <c r="F2626" s="1" t="s">
        <v>12134</v>
      </c>
      <c r="G2626" s="1" t="s">
        <v>1142</v>
      </c>
    </row>
    <row r="2627" spans="1:7">
      <c r="A2627" s="1">
        <v>2626</v>
      </c>
      <c r="B2627" s="1" t="s">
        <v>17219</v>
      </c>
      <c r="D2627" s="1" t="s">
        <v>10999</v>
      </c>
      <c r="E2627" s="1" t="s">
        <v>11120</v>
      </c>
      <c r="F2627" s="1" t="s">
        <v>12137</v>
      </c>
      <c r="G2627" s="1" t="s">
        <v>1145</v>
      </c>
    </row>
    <row r="2628" spans="1:7">
      <c r="A2628" s="1">
        <v>2627</v>
      </c>
      <c r="B2628" s="1" t="s">
        <v>17220</v>
      </c>
      <c r="D2628" s="1" t="s">
        <v>10999</v>
      </c>
      <c r="E2628" s="1" t="s">
        <v>11000</v>
      </c>
      <c r="F2628" s="1" t="s">
        <v>17221</v>
      </c>
      <c r="G2628" s="1" t="s">
        <v>17222</v>
      </c>
    </row>
    <row r="2629" spans="1:7">
      <c r="A2629" s="1">
        <v>2628</v>
      </c>
      <c r="B2629" s="1" t="s">
        <v>17223</v>
      </c>
      <c r="D2629" s="1" t="s">
        <v>10999</v>
      </c>
      <c r="E2629" s="1" t="s">
        <v>17224</v>
      </c>
      <c r="F2629" s="1" t="s">
        <v>17225</v>
      </c>
      <c r="G2629" s="1" t="s">
        <v>17226</v>
      </c>
    </row>
    <row r="2630" spans="1:7">
      <c r="A2630" s="1">
        <v>2629</v>
      </c>
      <c r="B2630" s="1" t="s">
        <v>17227</v>
      </c>
      <c r="D2630" s="1" t="s">
        <v>10999</v>
      </c>
      <c r="E2630" s="1" t="s">
        <v>17228</v>
      </c>
      <c r="F2630" s="1" t="s">
        <v>17229</v>
      </c>
      <c r="G2630" s="1" t="s">
        <v>17230</v>
      </c>
    </row>
    <row r="2631" spans="1:7">
      <c r="A2631" s="1">
        <v>2630</v>
      </c>
      <c r="B2631" s="1" t="s">
        <v>17231</v>
      </c>
      <c r="D2631" s="1" t="s">
        <v>10999</v>
      </c>
      <c r="E2631" s="1" t="s">
        <v>11125</v>
      </c>
      <c r="F2631" s="1" t="s">
        <v>17232</v>
      </c>
      <c r="G2631" s="1" t="s">
        <v>17233</v>
      </c>
    </row>
    <row r="2632" spans="1:7">
      <c r="A2632" s="1">
        <v>2631</v>
      </c>
      <c r="B2632" s="1" t="s">
        <v>17234</v>
      </c>
      <c r="D2632" s="1" t="s">
        <v>10999</v>
      </c>
      <c r="E2632" s="1" t="s">
        <v>11123</v>
      </c>
      <c r="F2632" s="1" t="s">
        <v>17235</v>
      </c>
      <c r="G2632" s="1" t="s">
        <v>17236</v>
      </c>
    </row>
    <row r="2633" spans="1:7">
      <c r="A2633" s="1">
        <v>2632</v>
      </c>
      <c r="B2633" s="1" t="s">
        <v>17237</v>
      </c>
      <c r="D2633" s="1" t="s">
        <v>10999</v>
      </c>
      <c r="E2633" s="1" t="s">
        <v>11129</v>
      </c>
      <c r="F2633" s="1" t="s">
        <v>12146</v>
      </c>
      <c r="G2633" s="1" t="s">
        <v>12147</v>
      </c>
    </row>
    <row r="2634" spans="1:7">
      <c r="A2634" s="1">
        <v>2633</v>
      </c>
      <c r="B2634" s="1" t="s">
        <v>17238</v>
      </c>
      <c r="D2634" s="1" t="s">
        <v>10999</v>
      </c>
      <c r="E2634" s="1" t="s">
        <v>11133</v>
      </c>
      <c r="F2634" s="1" t="s">
        <v>17239</v>
      </c>
      <c r="G2634" s="1" t="s">
        <v>17240</v>
      </c>
    </row>
    <row r="2635" spans="1:7">
      <c r="A2635" s="1">
        <v>2634</v>
      </c>
      <c r="B2635" s="1" t="s">
        <v>17241</v>
      </c>
      <c r="D2635" s="1" t="s">
        <v>10999</v>
      </c>
      <c r="E2635" s="1" t="s">
        <v>11012</v>
      </c>
      <c r="F2635" s="1" t="s">
        <v>17242</v>
      </c>
      <c r="G2635" s="1" t="s">
        <v>17243</v>
      </c>
    </row>
    <row r="2636" spans="1:7">
      <c r="A2636" s="1">
        <v>2635</v>
      </c>
      <c r="B2636" s="1" t="s">
        <v>17244</v>
      </c>
      <c r="D2636" s="1" t="s">
        <v>10999</v>
      </c>
      <c r="E2636" s="1" t="s">
        <v>11008</v>
      </c>
      <c r="F2636" s="1" t="s">
        <v>17245</v>
      </c>
      <c r="G2636" s="1" t="s">
        <v>17246</v>
      </c>
    </row>
    <row r="2637" spans="1:7">
      <c r="A2637" s="1">
        <v>2636</v>
      </c>
      <c r="B2637" s="1" t="s">
        <v>17247</v>
      </c>
      <c r="D2637" s="1" t="s">
        <v>10999</v>
      </c>
      <c r="E2637" s="1" t="s">
        <v>11018</v>
      </c>
      <c r="F2637" s="1" t="s">
        <v>17248</v>
      </c>
      <c r="G2637" s="1" t="s">
        <v>17249</v>
      </c>
    </row>
    <row r="2638" spans="1:7">
      <c r="A2638" s="1">
        <v>2637</v>
      </c>
      <c r="B2638" s="1" t="s">
        <v>17250</v>
      </c>
      <c r="D2638" s="1" t="s">
        <v>10999</v>
      </c>
      <c r="E2638" s="1" t="s">
        <v>11016</v>
      </c>
      <c r="F2638" s="1" t="s">
        <v>17251</v>
      </c>
      <c r="G2638" s="1" t="s">
        <v>17252</v>
      </c>
    </row>
    <row r="2639" spans="1:7">
      <c r="A2639" s="1">
        <v>2638</v>
      </c>
      <c r="B2639" s="1" t="s">
        <v>17253</v>
      </c>
      <c r="D2639" s="1" t="s">
        <v>11141</v>
      </c>
      <c r="E2639" s="1" t="s">
        <v>4021</v>
      </c>
      <c r="F2639" s="1" t="s">
        <v>11157</v>
      </c>
      <c r="G2639" s="1" t="s">
        <v>11158</v>
      </c>
    </row>
    <row r="2640" spans="1:7">
      <c r="A2640" s="1">
        <v>2639</v>
      </c>
      <c r="B2640" s="1" t="s">
        <v>17254</v>
      </c>
      <c r="D2640" s="1" t="s">
        <v>11141</v>
      </c>
      <c r="E2640" s="1" t="s">
        <v>3357</v>
      </c>
      <c r="F2640" s="1" t="s">
        <v>11163</v>
      </c>
      <c r="G2640" s="1" t="s">
        <v>11164</v>
      </c>
    </row>
    <row r="2641" spans="1:7">
      <c r="A2641" s="1">
        <v>2640</v>
      </c>
      <c r="B2641" s="1" t="s">
        <v>17255</v>
      </c>
      <c r="D2641" s="1" t="s">
        <v>11141</v>
      </c>
      <c r="E2641" s="1" t="s">
        <v>3356</v>
      </c>
      <c r="F2641" s="1" t="s">
        <v>11160</v>
      </c>
      <c r="G2641" s="1" t="s">
        <v>11161</v>
      </c>
    </row>
    <row r="2642" spans="1:7">
      <c r="A2642" s="1">
        <v>2641</v>
      </c>
      <c r="B2642" s="1" t="s">
        <v>17256</v>
      </c>
      <c r="D2642" s="1" t="s">
        <v>11141</v>
      </c>
      <c r="E2642" s="1" t="s">
        <v>3355</v>
      </c>
      <c r="F2642" s="1" t="s">
        <v>11166</v>
      </c>
      <c r="G2642" s="1" t="s">
        <v>11167</v>
      </c>
    </row>
    <row r="2643" spans="1:7">
      <c r="A2643" s="1">
        <v>2642</v>
      </c>
      <c r="B2643" s="1" t="s">
        <v>17257</v>
      </c>
      <c r="D2643" s="1" t="s">
        <v>11141</v>
      </c>
      <c r="E2643" s="1" t="s">
        <v>3354</v>
      </c>
      <c r="F2643" s="1" t="s">
        <v>11148</v>
      </c>
      <c r="G2643" s="1" t="s">
        <v>11149</v>
      </c>
    </row>
    <row r="2644" spans="1:7">
      <c r="A2644" s="1">
        <v>2643</v>
      </c>
      <c r="B2644" s="1" t="s">
        <v>17258</v>
      </c>
      <c r="D2644" s="1" t="s">
        <v>11141</v>
      </c>
      <c r="E2644" s="1" t="s">
        <v>3350</v>
      </c>
      <c r="F2644" s="1" t="s">
        <v>11154</v>
      </c>
      <c r="G2644" s="1" t="s">
        <v>11155</v>
      </c>
    </row>
    <row r="2645" spans="1:7">
      <c r="A2645" s="1">
        <v>2644</v>
      </c>
      <c r="B2645" s="1" t="s">
        <v>17259</v>
      </c>
      <c r="D2645" s="1" t="s">
        <v>11141</v>
      </c>
      <c r="E2645" s="1" t="s">
        <v>4025</v>
      </c>
      <c r="F2645" s="1" t="s">
        <v>11151</v>
      </c>
      <c r="G2645" s="1" t="s">
        <v>11152</v>
      </c>
    </row>
    <row r="2646" spans="1:7">
      <c r="A2646" s="1">
        <v>2645</v>
      </c>
      <c r="B2646" s="1" t="s">
        <v>17260</v>
      </c>
      <c r="D2646" s="1" t="s">
        <v>11141</v>
      </c>
      <c r="E2646" s="1" t="s">
        <v>3351</v>
      </c>
      <c r="F2646" s="1" t="s">
        <v>11169</v>
      </c>
      <c r="G2646" s="1" t="s">
        <v>11170</v>
      </c>
    </row>
    <row r="2647" spans="1:7">
      <c r="A2647" s="1">
        <v>2646</v>
      </c>
      <c r="B2647" s="1" t="s">
        <v>17261</v>
      </c>
      <c r="D2647" s="1" t="s">
        <v>11141</v>
      </c>
      <c r="E2647" s="1" t="s">
        <v>3352</v>
      </c>
      <c r="F2647" s="1" t="s">
        <v>11172</v>
      </c>
      <c r="G2647" s="1" t="s">
        <v>11173</v>
      </c>
    </row>
    <row r="2648" spans="1:7">
      <c r="A2648" s="1">
        <v>2647</v>
      </c>
      <c r="B2648" s="1" t="s">
        <v>17262</v>
      </c>
      <c r="D2648" s="1" t="s">
        <v>11141</v>
      </c>
      <c r="E2648" s="1" t="s">
        <v>3353</v>
      </c>
      <c r="F2648" s="1" t="s">
        <v>11145</v>
      </c>
      <c r="G2648" s="1" t="s">
        <v>11146</v>
      </c>
    </row>
    <row r="2649" spans="1:7">
      <c r="A2649" s="1">
        <v>2648</v>
      </c>
      <c r="B2649" s="1" t="s">
        <v>17263</v>
      </c>
      <c r="D2649" s="1" t="s">
        <v>11141</v>
      </c>
      <c r="E2649" s="1" t="s">
        <v>4023</v>
      </c>
      <c r="F2649" s="1" t="s">
        <v>11142</v>
      </c>
      <c r="G2649" s="1" t="s">
        <v>11143</v>
      </c>
    </row>
    <row r="2650" spans="1:7">
      <c r="A2650" s="1">
        <v>2649</v>
      </c>
      <c r="B2650" s="1" t="s">
        <v>17264</v>
      </c>
      <c r="D2650" s="1" t="s">
        <v>11141</v>
      </c>
      <c r="E2650" s="1" t="s">
        <v>11175</v>
      </c>
      <c r="F2650" s="1" t="s">
        <v>11176</v>
      </c>
      <c r="G2650" s="1" t="s">
        <v>11177</v>
      </c>
    </row>
    <row r="2651" spans="1:7">
      <c r="A2651" s="1">
        <v>2650</v>
      </c>
      <c r="B2651" s="1" t="s">
        <v>17265</v>
      </c>
      <c r="D2651" s="1" t="s">
        <v>11179</v>
      </c>
      <c r="E2651" s="1" t="s">
        <v>2238</v>
      </c>
      <c r="F2651" s="1" t="s">
        <v>962</v>
      </c>
      <c r="G2651" s="1" t="s">
        <v>963</v>
      </c>
    </row>
    <row r="2652" spans="1:7">
      <c r="A2652" s="1">
        <v>2651</v>
      </c>
      <c r="B2652" s="1" t="s">
        <v>17266</v>
      </c>
      <c r="D2652" s="1" t="s">
        <v>11179</v>
      </c>
      <c r="E2652" s="1" t="s">
        <v>2230</v>
      </c>
      <c r="F2652" s="1" t="s">
        <v>11180</v>
      </c>
      <c r="G2652" s="1" t="s">
        <v>11181</v>
      </c>
    </row>
    <row r="2653" spans="1:7">
      <c r="A2653" s="1">
        <v>2652</v>
      </c>
      <c r="B2653" s="1" t="s">
        <v>17267</v>
      </c>
      <c r="D2653" s="1" t="s">
        <v>11179</v>
      </c>
      <c r="E2653" s="1" t="s">
        <v>2234</v>
      </c>
      <c r="F2653" s="1" t="s">
        <v>11183</v>
      </c>
      <c r="G2653" s="1" t="s">
        <v>11184</v>
      </c>
    </row>
    <row r="2654" spans="1:7">
      <c r="A2654" s="1">
        <v>2653</v>
      </c>
      <c r="B2654" s="1" t="s">
        <v>17268</v>
      </c>
      <c r="D2654" s="1" t="s">
        <v>11179</v>
      </c>
      <c r="E2654" s="1" t="s">
        <v>2242</v>
      </c>
      <c r="F2654" s="1" t="s">
        <v>11186</v>
      </c>
      <c r="G2654" s="1" t="s">
        <v>11187</v>
      </c>
    </row>
    <row r="2655" spans="1:7">
      <c r="A2655" s="1">
        <v>2654</v>
      </c>
      <c r="B2655" s="1" t="s">
        <v>17269</v>
      </c>
      <c r="D2655" s="1" t="s">
        <v>11179</v>
      </c>
      <c r="E2655" s="1" t="s">
        <v>3680</v>
      </c>
      <c r="F2655" s="1" t="s">
        <v>11189</v>
      </c>
      <c r="G2655" s="1" t="s">
        <v>11190</v>
      </c>
    </row>
    <row r="2656" spans="1:7">
      <c r="A2656" s="1">
        <v>2655</v>
      </c>
      <c r="B2656" s="1" t="s">
        <v>17270</v>
      </c>
      <c r="D2656" s="1" t="s">
        <v>11179</v>
      </c>
      <c r="E2656" s="1" t="s">
        <v>2246</v>
      </c>
      <c r="F2656" s="1" t="s">
        <v>11193</v>
      </c>
      <c r="G2656" s="1" t="s">
        <v>11194</v>
      </c>
    </row>
    <row r="2657" spans="1:7">
      <c r="A2657" s="1">
        <v>2656</v>
      </c>
      <c r="B2657" s="1" t="s">
        <v>17271</v>
      </c>
      <c r="D2657" s="1" t="s">
        <v>11179</v>
      </c>
      <c r="E2657" s="1" t="s">
        <v>2250</v>
      </c>
      <c r="F2657" s="1" t="s">
        <v>971</v>
      </c>
      <c r="G2657" s="1" t="s">
        <v>972</v>
      </c>
    </row>
    <row r="2658" spans="1:7">
      <c r="A2658" s="1">
        <v>2657</v>
      </c>
      <c r="B2658" s="1" t="s">
        <v>17272</v>
      </c>
      <c r="D2658" s="1" t="s">
        <v>11197</v>
      </c>
      <c r="E2658" s="1" t="s">
        <v>11198</v>
      </c>
      <c r="F2658" s="1" t="s">
        <v>11199</v>
      </c>
      <c r="G2658" s="1" t="s">
        <v>11200</v>
      </c>
    </row>
    <row r="2659" spans="1:7">
      <c r="A2659" s="1">
        <v>2658</v>
      </c>
      <c r="B2659" s="1" t="s">
        <v>17273</v>
      </c>
      <c r="D2659" s="1" t="s">
        <v>11197</v>
      </c>
      <c r="E2659" s="1" t="s">
        <v>11202</v>
      </c>
      <c r="F2659" s="1" t="s">
        <v>11203</v>
      </c>
      <c r="G2659" s="1" t="s">
        <v>11204</v>
      </c>
    </row>
    <row r="2660" spans="1:7">
      <c r="A2660" s="1">
        <v>2659</v>
      </c>
      <c r="B2660" s="1" t="s">
        <v>17274</v>
      </c>
      <c r="D2660" s="1" t="s">
        <v>11197</v>
      </c>
      <c r="E2660" s="1" t="s">
        <v>11206</v>
      </c>
      <c r="F2660" s="1" t="s">
        <v>11207</v>
      </c>
      <c r="G2660" s="1" t="s">
        <v>11208</v>
      </c>
    </row>
    <row r="2661" spans="1:7">
      <c r="A2661" s="1">
        <v>2660</v>
      </c>
      <c r="B2661" s="1" t="s">
        <v>17275</v>
      </c>
      <c r="D2661" s="1" t="s">
        <v>11197</v>
      </c>
      <c r="E2661" s="1" t="s">
        <v>11210</v>
      </c>
      <c r="F2661" s="1" t="s">
        <v>11211</v>
      </c>
      <c r="G2661" s="1" t="s">
        <v>11212</v>
      </c>
    </row>
    <row r="2662" spans="1:7">
      <c r="A2662" s="1">
        <v>2661</v>
      </c>
      <c r="B2662" s="1" t="s">
        <v>17276</v>
      </c>
      <c r="D2662" s="1" t="s">
        <v>11197</v>
      </c>
      <c r="E2662" s="1" t="s">
        <v>11214</v>
      </c>
      <c r="F2662" s="1" t="s">
        <v>11215</v>
      </c>
      <c r="G2662" s="1" t="s">
        <v>11216</v>
      </c>
    </row>
    <row r="2663" spans="1:7">
      <c r="A2663" s="1">
        <v>2662</v>
      </c>
      <c r="B2663" s="1" t="s">
        <v>17277</v>
      </c>
      <c r="D2663" s="1" t="s">
        <v>11197</v>
      </c>
      <c r="E2663" s="1" t="s">
        <v>11218</v>
      </c>
      <c r="F2663" s="1" t="s">
        <v>11219</v>
      </c>
      <c r="G2663" s="1" t="s">
        <v>11220</v>
      </c>
    </row>
    <row r="2664" spans="1:7">
      <c r="A2664" s="1">
        <v>2663</v>
      </c>
      <c r="B2664" s="1" t="s">
        <v>17278</v>
      </c>
      <c r="D2664" s="1" t="s">
        <v>11222</v>
      </c>
      <c r="E2664" s="1" t="s">
        <v>11233</v>
      </c>
      <c r="F2664" s="1" t="s">
        <v>11234</v>
      </c>
      <c r="G2664" s="1" t="s">
        <v>11235</v>
      </c>
    </row>
    <row r="2665" spans="1:7">
      <c r="A2665" s="1">
        <v>2664</v>
      </c>
      <c r="B2665" s="1" t="s">
        <v>17279</v>
      </c>
      <c r="D2665" s="1" t="s">
        <v>11222</v>
      </c>
      <c r="E2665" s="1" t="s">
        <v>11229</v>
      </c>
      <c r="F2665" s="1" t="s">
        <v>11230</v>
      </c>
      <c r="G2665" s="1" t="s">
        <v>11231</v>
      </c>
    </row>
    <row r="2666" spans="1:7">
      <c r="A2666" s="1">
        <v>2665</v>
      </c>
      <c r="B2666" s="1" t="s">
        <v>17280</v>
      </c>
      <c r="D2666" s="1" t="s">
        <v>11222</v>
      </c>
      <c r="E2666" s="1" t="s">
        <v>11237</v>
      </c>
      <c r="F2666" s="1" t="s">
        <v>11238</v>
      </c>
      <c r="G2666" s="1" t="s">
        <v>11239</v>
      </c>
    </row>
    <row r="2667" spans="1:7">
      <c r="A2667" s="1">
        <v>2666</v>
      </c>
      <c r="B2667" s="1" t="s">
        <v>17281</v>
      </c>
      <c r="D2667" s="1" t="s">
        <v>11222</v>
      </c>
      <c r="E2667" s="1" t="s">
        <v>2920</v>
      </c>
      <c r="F2667" s="1" t="s">
        <v>11223</v>
      </c>
      <c r="G2667" s="1" t="s">
        <v>11224</v>
      </c>
    </row>
    <row r="2668" spans="1:7">
      <c r="A2668" s="1">
        <v>2667</v>
      </c>
      <c r="B2668" s="1" t="s">
        <v>17282</v>
      </c>
      <c r="D2668" s="1" t="s">
        <v>11222</v>
      </c>
      <c r="E2668" s="1" t="s">
        <v>2919</v>
      </c>
      <c r="F2668" s="1" t="s">
        <v>11226</v>
      </c>
      <c r="G2668" s="1" t="s">
        <v>11227</v>
      </c>
    </row>
    <row r="2669" spans="1:7">
      <c r="A2669" s="1">
        <v>2668</v>
      </c>
      <c r="B2669" s="1" t="s">
        <v>17283</v>
      </c>
      <c r="D2669" s="1" t="s">
        <v>11222</v>
      </c>
      <c r="E2669" s="1" t="s">
        <v>11249</v>
      </c>
      <c r="F2669" s="1" t="s">
        <v>11250</v>
      </c>
      <c r="G2669" s="1" t="s">
        <v>11251</v>
      </c>
    </row>
    <row r="2670" spans="1:7">
      <c r="A2670" s="1">
        <v>2669</v>
      </c>
      <c r="B2670" s="1" t="s">
        <v>17284</v>
      </c>
      <c r="D2670" s="1" t="s">
        <v>11222</v>
      </c>
      <c r="E2670" s="1" t="s">
        <v>11245</v>
      </c>
      <c r="F2670" s="1" t="s">
        <v>11246</v>
      </c>
      <c r="G2670" s="1" t="s">
        <v>11247</v>
      </c>
    </row>
    <row r="2671" spans="1:7">
      <c r="A2671" s="1">
        <v>2670</v>
      </c>
      <c r="B2671" s="1" t="s">
        <v>17285</v>
      </c>
      <c r="D2671" s="1" t="s">
        <v>11222</v>
      </c>
      <c r="E2671" s="1" t="s">
        <v>11241</v>
      </c>
      <c r="F2671" s="1" t="s">
        <v>11242</v>
      </c>
      <c r="G2671" s="1" t="s">
        <v>11243</v>
      </c>
    </row>
    <row r="2672" spans="1:7">
      <c r="A2672" s="1">
        <v>2671</v>
      </c>
      <c r="B2672" s="1" t="s">
        <v>17286</v>
      </c>
      <c r="D2672" s="1" t="s">
        <v>11255</v>
      </c>
      <c r="E2672" s="1" t="s">
        <v>11256</v>
      </c>
      <c r="F2672" s="1" t="s">
        <v>17287</v>
      </c>
      <c r="G2672" s="1" t="s">
        <v>17288</v>
      </c>
    </row>
    <row r="2673" spans="1:7">
      <c r="A2673" s="1">
        <v>2672</v>
      </c>
      <c r="B2673" s="1" t="s">
        <v>17289</v>
      </c>
      <c r="D2673" s="1" t="s">
        <v>11255</v>
      </c>
      <c r="E2673" s="1" t="s">
        <v>11260</v>
      </c>
      <c r="F2673" s="1" t="s">
        <v>17290</v>
      </c>
      <c r="G2673" s="1" t="s">
        <v>17291</v>
      </c>
    </row>
    <row r="2674" spans="1:7">
      <c r="A2674" s="1">
        <v>2673</v>
      </c>
      <c r="B2674" s="1" t="s">
        <v>17292</v>
      </c>
      <c r="D2674" s="1" t="s">
        <v>11255</v>
      </c>
      <c r="E2674" s="1" t="s">
        <v>11264</v>
      </c>
      <c r="F2674" s="1" t="s">
        <v>17293</v>
      </c>
      <c r="G2674" s="1" t="s">
        <v>17294</v>
      </c>
    </row>
    <row r="2675" spans="1:7">
      <c r="A2675" s="1">
        <v>2674</v>
      </c>
      <c r="B2675" s="1" t="s">
        <v>17295</v>
      </c>
      <c r="D2675" s="1" t="s">
        <v>11268</v>
      </c>
      <c r="E2675" s="1" t="s">
        <v>3709</v>
      </c>
      <c r="F2675" s="1" t="s">
        <v>17296</v>
      </c>
      <c r="G2675" s="1" t="s">
        <v>17297</v>
      </c>
    </row>
    <row r="2676" spans="1:7">
      <c r="A2676" s="1">
        <v>2675</v>
      </c>
      <c r="B2676" s="1" t="s">
        <v>17298</v>
      </c>
      <c r="D2676" s="1" t="s">
        <v>11268</v>
      </c>
      <c r="E2676" s="1" t="s">
        <v>11272</v>
      </c>
      <c r="F2676" s="1" t="s">
        <v>17299</v>
      </c>
      <c r="G2676" s="1" t="s">
        <v>17300</v>
      </c>
    </row>
    <row r="2677" spans="1:7">
      <c r="A2677" s="1">
        <v>2676</v>
      </c>
      <c r="B2677" s="1" t="s">
        <v>17301</v>
      </c>
      <c r="D2677" s="1" t="s">
        <v>11268</v>
      </c>
      <c r="E2677" s="1" t="s">
        <v>3712</v>
      </c>
      <c r="F2677" s="1" t="s">
        <v>17302</v>
      </c>
      <c r="G2677" s="1" t="s">
        <v>17303</v>
      </c>
    </row>
    <row r="2678" spans="1:7">
      <c r="A2678" s="1">
        <v>2677</v>
      </c>
      <c r="B2678" s="1" t="s">
        <v>17304</v>
      </c>
      <c r="D2678" s="1" t="s">
        <v>11268</v>
      </c>
      <c r="E2678" s="1" t="s">
        <v>3711</v>
      </c>
      <c r="F2678" s="1" t="s">
        <v>17305</v>
      </c>
      <c r="G2678" s="1" t="s">
        <v>17306</v>
      </c>
    </row>
    <row r="2679" spans="1:7">
      <c r="A2679" s="1">
        <v>2678</v>
      </c>
      <c r="B2679" s="1" t="s">
        <v>17307</v>
      </c>
      <c r="D2679" s="1" t="s">
        <v>11282</v>
      </c>
      <c r="E2679" s="1" t="s">
        <v>11283</v>
      </c>
      <c r="F2679" s="1" t="s">
        <v>11284</v>
      </c>
      <c r="G2679" s="1" t="s">
        <v>11285</v>
      </c>
    </row>
    <row r="2680" spans="1:7">
      <c r="A2680" s="1">
        <v>2679</v>
      </c>
      <c r="B2680" s="1" t="s">
        <v>17308</v>
      </c>
      <c r="D2680" s="1" t="s">
        <v>11282</v>
      </c>
      <c r="E2680" s="1" t="s">
        <v>3701</v>
      </c>
      <c r="F2680" s="1" t="s">
        <v>11293</v>
      </c>
      <c r="G2680" s="1" t="s">
        <v>11294</v>
      </c>
    </row>
    <row r="2681" spans="1:7">
      <c r="A2681" s="1">
        <v>2680</v>
      </c>
      <c r="B2681" s="1" t="s">
        <v>17309</v>
      </c>
      <c r="D2681" s="1" t="s">
        <v>11282</v>
      </c>
      <c r="E2681" s="1" t="s">
        <v>3702</v>
      </c>
      <c r="F2681" s="1" t="s">
        <v>11287</v>
      </c>
      <c r="G2681" s="1" t="s">
        <v>11288</v>
      </c>
    </row>
    <row r="2682" spans="1:7">
      <c r="A2682" s="1">
        <v>2681</v>
      </c>
      <c r="B2682" s="1" t="s">
        <v>17310</v>
      </c>
      <c r="D2682" s="1" t="s">
        <v>11282</v>
      </c>
      <c r="E2682" s="1" t="s">
        <v>3703</v>
      </c>
      <c r="F2682" s="1" t="s">
        <v>11290</v>
      </c>
      <c r="G2682" s="1" t="s">
        <v>11291</v>
      </c>
    </row>
    <row r="2683" spans="1:7">
      <c r="A2683" s="1">
        <v>2682</v>
      </c>
      <c r="B2683" s="1" t="s">
        <v>17311</v>
      </c>
      <c r="D2683" s="1" t="s">
        <v>11282</v>
      </c>
      <c r="E2683" s="1" t="s">
        <v>3704</v>
      </c>
      <c r="F2683" s="1" t="s">
        <v>11313</v>
      </c>
      <c r="G2683" s="1" t="s">
        <v>11314</v>
      </c>
    </row>
    <row r="2684" spans="1:7">
      <c r="A2684" s="1">
        <v>2683</v>
      </c>
      <c r="B2684" s="1" t="s">
        <v>17312</v>
      </c>
      <c r="D2684" s="1" t="s">
        <v>11282</v>
      </c>
      <c r="E2684" s="1" t="s">
        <v>11296</v>
      </c>
      <c r="F2684" s="1" t="s">
        <v>11297</v>
      </c>
      <c r="G2684" s="1" t="s">
        <v>11298</v>
      </c>
    </row>
    <row r="2685" spans="1:7">
      <c r="A2685" s="1">
        <v>2684</v>
      </c>
      <c r="B2685" s="1" t="s">
        <v>17313</v>
      </c>
      <c r="D2685" s="1" t="s">
        <v>11282</v>
      </c>
      <c r="E2685" s="1" t="s">
        <v>3705</v>
      </c>
      <c r="F2685" s="1" t="s">
        <v>11293</v>
      </c>
      <c r="G2685" s="1" t="s">
        <v>11294</v>
      </c>
    </row>
    <row r="2686" spans="1:7">
      <c r="A2686" s="1">
        <v>2685</v>
      </c>
      <c r="B2686" s="1" t="s">
        <v>17314</v>
      </c>
      <c r="D2686" s="1" t="s">
        <v>11282</v>
      </c>
      <c r="E2686" s="1" t="s">
        <v>11305</v>
      </c>
      <c r="F2686" s="1" t="s">
        <v>11306</v>
      </c>
      <c r="G2686" s="1" t="s">
        <v>11307</v>
      </c>
    </row>
    <row r="2687" spans="1:7">
      <c r="A2687" s="1">
        <v>2686</v>
      </c>
      <c r="B2687" s="1" t="s">
        <v>17315</v>
      </c>
      <c r="D2687" s="1" t="s">
        <v>11282</v>
      </c>
      <c r="E2687" s="1" t="s">
        <v>11301</v>
      </c>
      <c r="F2687" s="1" t="s">
        <v>11302</v>
      </c>
      <c r="G2687" s="1" t="s">
        <v>11303</v>
      </c>
    </row>
    <row r="2688" spans="1:7">
      <c r="A2688" s="1">
        <v>2687</v>
      </c>
      <c r="B2688" s="1" t="s">
        <v>17316</v>
      </c>
      <c r="D2688" s="1" t="s">
        <v>11282</v>
      </c>
      <c r="E2688" s="1" t="s">
        <v>11309</v>
      </c>
      <c r="F2688" s="1" t="s">
        <v>11310</v>
      </c>
      <c r="G2688" s="1" t="s">
        <v>11311</v>
      </c>
    </row>
    <row r="2689" spans="1:7">
      <c r="A2689" s="1">
        <v>2688</v>
      </c>
      <c r="B2689" s="1" t="s">
        <v>17317</v>
      </c>
      <c r="D2689" s="1" t="s">
        <v>11282</v>
      </c>
      <c r="E2689" s="1" t="s">
        <v>3706</v>
      </c>
      <c r="F2689" s="1" t="s">
        <v>17318</v>
      </c>
      <c r="G2689" s="1" t="s">
        <v>17319</v>
      </c>
    </row>
    <row r="2690" spans="1:7">
      <c r="A2690" s="1">
        <v>2689</v>
      </c>
      <c r="B2690" s="1" t="s">
        <v>17320</v>
      </c>
      <c r="D2690" s="1" t="s">
        <v>11282</v>
      </c>
      <c r="E2690" s="1" t="s">
        <v>3707</v>
      </c>
      <c r="F2690" s="1" t="s">
        <v>11319</v>
      </c>
      <c r="G2690" s="1" t="s">
        <v>11320</v>
      </c>
    </row>
    <row r="2691" spans="1:7">
      <c r="A2691" s="1">
        <v>2690</v>
      </c>
      <c r="B2691" s="1" t="s">
        <v>17321</v>
      </c>
      <c r="D2691" s="1" t="s">
        <v>11322</v>
      </c>
      <c r="E2691" s="1" t="s">
        <v>3194</v>
      </c>
      <c r="F2691" s="1" t="s">
        <v>17322</v>
      </c>
      <c r="G2691" s="1" t="s">
        <v>17323</v>
      </c>
    </row>
    <row r="2692" spans="1:7">
      <c r="A2692" s="1">
        <v>2691</v>
      </c>
      <c r="B2692" s="1" t="s">
        <v>17324</v>
      </c>
      <c r="D2692" s="1" t="s">
        <v>11322</v>
      </c>
      <c r="E2692" s="1" t="s">
        <v>3191</v>
      </c>
      <c r="F2692" s="1" t="s">
        <v>17325</v>
      </c>
      <c r="G2692" s="1" t="s">
        <v>17326</v>
      </c>
    </row>
    <row r="2693" spans="1:7">
      <c r="A2693" s="1">
        <v>2692</v>
      </c>
      <c r="B2693" s="1" t="s">
        <v>17327</v>
      </c>
      <c r="D2693" s="1" t="s">
        <v>11329</v>
      </c>
      <c r="E2693" s="1" t="s">
        <v>17328</v>
      </c>
      <c r="F2693" s="1" t="s">
        <v>11343</v>
      </c>
      <c r="G2693" s="1" t="s">
        <v>11344</v>
      </c>
    </row>
    <row r="2694" spans="1:7">
      <c r="A2694" s="1">
        <v>2693</v>
      </c>
      <c r="B2694" s="1" t="s">
        <v>17329</v>
      </c>
      <c r="D2694" s="1" t="s">
        <v>11329</v>
      </c>
      <c r="E2694" s="1" t="s">
        <v>17330</v>
      </c>
      <c r="F2694" s="1" t="s">
        <v>11339</v>
      </c>
      <c r="G2694" s="1" t="s">
        <v>11340</v>
      </c>
    </row>
    <row r="2695" spans="1:7">
      <c r="A2695" s="1">
        <v>2694</v>
      </c>
      <c r="B2695" s="1" t="s">
        <v>17331</v>
      </c>
      <c r="D2695" s="1" t="s">
        <v>11329</v>
      </c>
      <c r="E2695" s="1" t="s">
        <v>17332</v>
      </c>
      <c r="F2695" s="1" t="s">
        <v>11347</v>
      </c>
      <c r="G2695" s="1" t="s">
        <v>11348</v>
      </c>
    </row>
    <row r="2696" spans="1:7">
      <c r="A2696" s="1">
        <v>2695</v>
      </c>
      <c r="B2696" s="1" t="s">
        <v>17333</v>
      </c>
      <c r="D2696" s="1" t="s">
        <v>11329</v>
      </c>
      <c r="E2696" s="1" t="s">
        <v>17334</v>
      </c>
      <c r="F2696" s="1" t="s">
        <v>11351</v>
      </c>
      <c r="G2696" s="1" t="s">
        <v>11352</v>
      </c>
    </row>
    <row r="2697" spans="1:7">
      <c r="A2697" s="1">
        <v>2696</v>
      </c>
      <c r="B2697" s="1" t="s">
        <v>17335</v>
      </c>
      <c r="D2697" s="1" t="s">
        <v>11329</v>
      </c>
      <c r="E2697" s="1" t="s">
        <v>17336</v>
      </c>
      <c r="F2697" s="1" t="s">
        <v>11367</v>
      </c>
      <c r="G2697" s="1" t="s">
        <v>11368</v>
      </c>
    </row>
    <row r="2698" spans="1:7">
      <c r="A2698" s="1">
        <v>2697</v>
      </c>
      <c r="B2698" s="1" t="s">
        <v>17337</v>
      </c>
      <c r="D2698" s="1" t="s">
        <v>11329</v>
      </c>
      <c r="E2698" s="1" t="s">
        <v>17338</v>
      </c>
      <c r="F2698" s="1" t="s">
        <v>11363</v>
      </c>
      <c r="G2698" s="1" t="s">
        <v>11364</v>
      </c>
    </row>
    <row r="2699" spans="1:7">
      <c r="A2699" s="1">
        <v>2698</v>
      </c>
      <c r="B2699" s="1" t="s">
        <v>17339</v>
      </c>
      <c r="D2699" s="1" t="s">
        <v>11329</v>
      </c>
      <c r="E2699" s="1" t="s">
        <v>17340</v>
      </c>
      <c r="F2699" s="1" t="s">
        <v>11335</v>
      </c>
      <c r="G2699" s="1" t="s">
        <v>11336</v>
      </c>
    </row>
    <row r="2700" spans="1:7">
      <c r="A2700" s="1">
        <v>2699</v>
      </c>
      <c r="B2700" s="1" t="s">
        <v>17341</v>
      </c>
      <c r="D2700" s="1" t="s">
        <v>11329</v>
      </c>
      <c r="E2700" s="1" t="s">
        <v>17342</v>
      </c>
      <c r="F2700" s="1" t="s">
        <v>11331</v>
      </c>
      <c r="G2700" s="1" t="s">
        <v>11332</v>
      </c>
    </row>
    <row r="2701" spans="1:7">
      <c r="A2701" s="1">
        <v>2700</v>
      </c>
      <c r="B2701" s="1" t="s">
        <v>17343</v>
      </c>
      <c r="D2701" s="1" t="s">
        <v>11329</v>
      </c>
      <c r="E2701" s="1" t="s">
        <v>17344</v>
      </c>
      <c r="F2701" s="1" t="s">
        <v>11355</v>
      </c>
      <c r="G2701" s="1" t="s">
        <v>11356</v>
      </c>
    </row>
    <row r="2702" spans="1:7">
      <c r="A2702" s="1">
        <v>2701</v>
      </c>
      <c r="B2702" s="1" t="s">
        <v>17345</v>
      </c>
      <c r="D2702" s="1" t="s">
        <v>11329</v>
      </c>
      <c r="E2702" s="1" t="s">
        <v>17346</v>
      </c>
      <c r="F2702" s="1" t="s">
        <v>11359</v>
      </c>
      <c r="G2702" s="1" t="s">
        <v>11360</v>
      </c>
    </row>
    <row r="2703" spans="1:7">
      <c r="A2703" s="1">
        <v>2702</v>
      </c>
      <c r="B2703" s="1" t="s">
        <v>17347</v>
      </c>
      <c r="D2703" s="1" t="s">
        <v>11370</v>
      </c>
      <c r="E2703" s="1" t="s">
        <v>11381</v>
      </c>
      <c r="F2703" s="1" t="s">
        <v>11382</v>
      </c>
      <c r="G2703" s="1" t="s">
        <v>11383</v>
      </c>
    </row>
    <row r="2704" spans="1:7">
      <c r="A2704" s="1">
        <v>2703</v>
      </c>
      <c r="B2704" s="1" t="s">
        <v>17348</v>
      </c>
      <c r="D2704" s="1" t="s">
        <v>11370</v>
      </c>
      <c r="E2704" s="1" t="s">
        <v>11377</v>
      </c>
      <c r="F2704" s="1" t="s">
        <v>11378</v>
      </c>
      <c r="G2704" s="1" t="s">
        <v>11379</v>
      </c>
    </row>
    <row r="2705" spans="1:7">
      <c r="A2705" s="1">
        <v>2704</v>
      </c>
      <c r="B2705" s="1" t="s">
        <v>17349</v>
      </c>
      <c r="D2705" s="1" t="s">
        <v>11370</v>
      </c>
      <c r="E2705" s="1" t="s">
        <v>11385</v>
      </c>
      <c r="F2705" s="1" t="s">
        <v>11386</v>
      </c>
      <c r="G2705" s="1" t="s">
        <v>11387</v>
      </c>
    </row>
    <row r="2706" spans="1:7">
      <c r="A2706" s="1">
        <v>2705</v>
      </c>
      <c r="B2706" s="1" t="s">
        <v>17350</v>
      </c>
      <c r="D2706" s="1" t="s">
        <v>11370</v>
      </c>
      <c r="E2706" s="1" t="s">
        <v>2929</v>
      </c>
      <c r="F2706" s="1" t="s">
        <v>11374</v>
      </c>
      <c r="G2706" s="1" t="s">
        <v>11375</v>
      </c>
    </row>
    <row r="2707" spans="1:7">
      <c r="A2707" s="1">
        <v>2706</v>
      </c>
      <c r="B2707" s="1" t="s">
        <v>17351</v>
      </c>
      <c r="D2707" s="1" t="s">
        <v>11370</v>
      </c>
      <c r="E2707" s="1" t="s">
        <v>11401</v>
      </c>
      <c r="F2707" s="1" t="s">
        <v>11402</v>
      </c>
      <c r="G2707" s="1" t="s">
        <v>11403</v>
      </c>
    </row>
    <row r="2708" spans="1:7">
      <c r="A2708" s="1">
        <v>2707</v>
      </c>
      <c r="B2708" s="1" t="s">
        <v>17352</v>
      </c>
      <c r="D2708" s="1" t="s">
        <v>11370</v>
      </c>
      <c r="E2708" s="1" t="s">
        <v>11397</v>
      </c>
      <c r="F2708" s="1" t="s">
        <v>11398</v>
      </c>
      <c r="G2708" s="1" t="s">
        <v>11399</v>
      </c>
    </row>
    <row r="2709" spans="1:7">
      <c r="A2709" s="1">
        <v>2708</v>
      </c>
      <c r="B2709" s="1" t="s">
        <v>17353</v>
      </c>
      <c r="D2709" s="1" t="s">
        <v>11370</v>
      </c>
      <c r="E2709" s="1" t="s">
        <v>11389</v>
      </c>
      <c r="F2709" s="1" t="s">
        <v>11390</v>
      </c>
      <c r="G2709" s="1" t="s">
        <v>11391</v>
      </c>
    </row>
    <row r="2710" spans="1:7">
      <c r="A2710" s="1">
        <v>2709</v>
      </c>
      <c r="B2710" s="1" t="s">
        <v>17354</v>
      </c>
      <c r="D2710" s="1" t="s">
        <v>11370</v>
      </c>
      <c r="E2710" s="1" t="s">
        <v>11393</v>
      </c>
      <c r="F2710" s="1" t="s">
        <v>11394</v>
      </c>
      <c r="G2710" s="1" t="s">
        <v>11395</v>
      </c>
    </row>
    <row r="2711" spans="1:7">
      <c r="A2711" s="1">
        <v>2710</v>
      </c>
      <c r="B2711" s="1" t="s">
        <v>17355</v>
      </c>
      <c r="D2711" s="1" t="s">
        <v>11405</v>
      </c>
      <c r="E2711" s="1" t="s">
        <v>17356</v>
      </c>
      <c r="F2711" s="1" t="s">
        <v>17357</v>
      </c>
      <c r="G2711" s="1" t="s">
        <v>11412</v>
      </c>
    </row>
    <row r="2712" spans="1:7">
      <c r="A2712" s="1">
        <v>2711</v>
      </c>
      <c r="B2712" s="1" t="s">
        <v>17358</v>
      </c>
      <c r="D2712" s="1" t="s">
        <v>11405</v>
      </c>
      <c r="E2712" s="1" t="s">
        <v>11406</v>
      </c>
      <c r="F2712" s="1" t="s">
        <v>17359</v>
      </c>
      <c r="G2712" s="1" t="s">
        <v>11408</v>
      </c>
    </row>
    <row r="2713" spans="1:7">
      <c r="A2713" s="1">
        <v>2712</v>
      </c>
      <c r="B2713" s="1" t="s">
        <v>17360</v>
      </c>
      <c r="D2713" s="1" t="s">
        <v>11405</v>
      </c>
      <c r="E2713" s="1" t="s">
        <v>11414</v>
      </c>
      <c r="F2713" s="1" t="s">
        <v>17361</v>
      </c>
      <c r="G2713" s="1" t="s">
        <v>11416</v>
      </c>
    </row>
    <row r="2714" spans="1:7">
      <c r="A2714" s="1">
        <v>2713</v>
      </c>
      <c r="B2714" s="1" t="s">
        <v>17362</v>
      </c>
      <c r="D2714" s="1" t="s">
        <v>11405</v>
      </c>
      <c r="E2714" s="1" t="s">
        <v>11418</v>
      </c>
      <c r="F2714" s="1" t="s">
        <v>17363</v>
      </c>
      <c r="G2714" s="1" t="s">
        <v>11420</v>
      </c>
    </row>
    <row r="2715" spans="1:7">
      <c r="A2715" s="1">
        <v>2714</v>
      </c>
      <c r="B2715" s="1" t="s">
        <v>17364</v>
      </c>
      <c r="D2715" s="1" t="s">
        <v>11405</v>
      </c>
      <c r="E2715" s="1" t="s">
        <v>11422</v>
      </c>
      <c r="F2715" s="1" t="s">
        <v>17365</v>
      </c>
      <c r="G2715" s="1" t="s">
        <v>11424</v>
      </c>
    </row>
    <row r="2716" spans="1:7">
      <c r="A2716" s="1">
        <v>2715</v>
      </c>
      <c r="B2716" s="1" t="s">
        <v>17366</v>
      </c>
      <c r="D2716" s="1" t="s">
        <v>11405</v>
      </c>
      <c r="E2716" s="1" t="s">
        <v>11426</v>
      </c>
      <c r="F2716" s="1" t="s">
        <v>17367</v>
      </c>
      <c r="G2716" s="1" t="s">
        <v>11428</v>
      </c>
    </row>
    <row r="2717" spans="1:7">
      <c r="A2717" s="1">
        <v>2716</v>
      </c>
      <c r="B2717" s="1" t="s">
        <v>17368</v>
      </c>
      <c r="D2717" s="1" t="s">
        <v>17369</v>
      </c>
      <c r="E2717" s="1" t="s">
        <v>17370</v>
      </c>
      <c r="F2717" s="1" t="s">
        <v>17371</v>
      </c>
      <c r="G2717" s="1" t="s">
        <v>17372</v>
      </c>
    </row>
    <row r="2718" spans="1:7">
      <c r="A2718" s="1">
        <v>2717</v>
      </c>
      <c r="B2718" s="1" t="s">
        <v>17373</v>
      </c>
      <c r="D2718" s="1" t="s">
        <v>17369</v>
      </c>
      <c r="E2718" s="1" t="s">
        <v>17374</v>
      </c>
      <c r="F2718" s="1" t="s">
        <v>17375</v>
      </c>
      <c r="G2718" s="1" t="s">
        <v>17376</v>
      </c>
    </row>
    <row r="2719" spans="1:7">
      <c r="A2719" s="1">
        <v>2718</v>
      </c>
      <c r="B2719" s="1" t="s">
        <v>17377</v>
      </c>
      <c r="D2719" s="1" t="s">
        <v>17378</v>
      </c>
      <c r="E2719" s="1" t="s">
        <v>17379</v>
      </c>
      <c r="F2719" s="1" t="s">
        <v>17380</v>
      </c>
      <c r="G2719" s="1" t="s">
        <v>17381</v>
      </c>
    </row>
    <row r="2720" spans="1:7">
      <c r="A2720" s="1">
        <v>2719</v>
      </c>
      <c r="B2720" s="1" t="s">
        <v>17382</v>
      </c>
      <c r="D2720" s="1" t="s">
        <v>17378</v>
      </c>
      <c r="E2720" s="1" t="s">
        <v>17383</v>
      </c>
      <c r="F2720" s="1" t="s">
        <v>17384</v>
      </c>
      <c r="G2720" s="1" t="s">
        <v>17385</v>
      </c>
    </row>
    <row r="2721" spans="1:7">
      <c r="A2721" s="1">
        <v>2720</v>
      </c>
      <c r="B2721" s="1" t="s">
        <v>17386</v>
      </c>
      <c r="D2721" s="1" t="s">
        <v>11430</v>
      </c>
      <c r="E2721" s="1" t="s">
        <v>17387</v>
      </c>
      <c r="F2721" s="1" t="s">
        <v>17388</v>
      </c>
      <c r="G2721" s="1" t="s">
        <v>17389</v>
      </c>
    </row>
    <row r="2722" spans="1:7">
      <c r="A2722" s="1">
        <v>2721</v>
      </c>
      <c r="B2722" s="1" t="s">
        <v>17390</v>
      </c>
      <c r="D2722" s="1" t="s">
        <v>11430</v>
      </c>
      <c r="E2722" s="1" t="s">
        <v>11431</v>
      </c>
      <c r="F2722" s="1" t="s">
        <v>17391</v>
      </c>
      <c r="G2722" s="1" t="s">
        <v>17392</v>
      </c>
    </row>
    <row r="2723" spans="1:7">
      <c r="A2723" s="1">
        <v>2722</v>
      </c>
      <c r="B2723" s="1" t="s">
        <v>17393</v>
      </c>
      <c r="D2723" s="1" t="s">
        <v>11430</v>
      </c>
      <c r="E2723" s="1" t="s">
        <v>17394</v>
      </c>
      <c r="F2723" s="1" t="s">
        <v>17395</v>
      </c>
      <c r="G2723" s="1" t="s">
        <v>17396</v>
      </c>
    </row>
    <row r="2724" spans="1:7">
      <c r="A2724" s="1">
        <v>2723</v>
      </c>
      <c r="B2724" s="1" t="s">
        <v>17397</v>
      </c>
      <c r="D2724" s="1" t="s">
        <v>11430</v>
      </c>
      <c r="E2724" s="1" t="s">
        <v>17398</v>
      </c>
      <c r="F2724" s="1" t="s">
        <v>17399</v>
      </c>
      <c r="G2724" s="1" t="s">
        <v>17400</v>
      </c>
    </row>
    <row r="2725" spans="1:7">
      <c r="A2725" s="1">
        <v>2724</v>
      </c>
      <c r="B2725" s="1" t="s">
        <v>17401</v>
      </c>
      <c r="D2725" s="1" t="s">
        <v>11435</v>
      </c>
      <c r="E2725" s="1" t="s">
        <v>2554</v>
      </c>
      <c r="F2725" s="1" t="s">
        <v>17402</v>
      </c>
      <c r="G2725" s="1" t="s">
        <v>17403</v>
      </c>
    </row>
    <row r="2726" spans="1:7">
      <c r="A2726" s="1">
        <v>2725</v>
      </c>
      <c r="B2726" s="1" t="s">
        <v>17404</v>
      </c>
      <c r="D2726" s="1" t="s">
        <v>11435</v>
      </c>
      <c r="E2726" s="1" t="s">
        <v>2562</v>
      </c>
      <c r="F2726" s="1" t="s">
        <v>17405</v>
      </c>
      <c r="G2726" s="1" t="s">
        <v>17406</v>
      </c>
    </row>
    <row r="2727" spans="1:7">
      <c r="A2727" s="1">
        <v>2726</v>
      </c>
      <c r="B2727" s="1" t="s">
        <v>17407</v>
      </c>
      <c r="D2727" s="1" t="s">
        <v>11435</v>
      </c>
      <c r="E2727" s="1" t="s">
        <v>2564</v>
      </c>
      <c r="F2727" s="1" t="s">
        <v>17408</v>
      </c>
      <c r="G2727" s="1" t="s">
        <v>17409</v>
      </c>
    </row>
    <row r="2728" spans="1:7">
      <c r="A2728" s="1">
        <v>2727</v>
      </c>
      <c r="B2728" s="1" t="s">
        <v>17410</v>
      </c>
      <c r="D2728" s="1" t="s">
        <v>11435</v>
      </c>
      <c r="E2728" s="1" t="s">
        <v>2566</v>
      </c>
      <c r="F2728" s="1" t="s">
        <v>17411</v>
      </c>
      <c r="G2728" s="1" t="s">
        <v>17412</v>
      </c>
    </row>
    <row r="2729" spans="1:7">
      <c r="A2729" s="1">
        <v>2728</v>
      </c>
      <c r="B2729" s="1" t="s">
        <v>17413</v>
      </c>
      <c r="D2729" s="1" t="s">
        <v>11446</v>
      </c>
      <c r="E2729" s="1" t="s">
        <v>6011</v>
      </c>
      <c r="F2729" s="1" t="s">
        <v>17414</v>
      </c>
      <c r="G2729" s="1" t="s">
        <v>17415</v>
      </c>
    </row>
    <row r="2730" spans="1:7">
      <c r="A2730" s="1">
        <v>2729</v>
      </c>
      <c r="B2730" s="1" t="s">
        <v>17416</v>
      </c>
      <c r="D2730" s="1" t="s">
        <v>11446</v>
      </c>
      <c r="E2730" s="1" t="s">
        <v>6003</v>
      </c>
      <c r="F2730" s="1" t="s">
        <v>17417</v>
      </c>
      <c r="G2730" s="1" t="s">
        <v>17418</v>
      </c>
    </row>
    <row r="2731" spans="1:7">
      <c r="A2731" s="1">
        <v>2730</v>
      </c>
      <c r="B2731" s="1" t="s">
        <v>17419</v>
      </c>
      <c r="D2731" s="1" t="s">
        <v>11446</v>
      </c>
      <c r="E2731" s="1" t="s">
        <v>17420</v>
      </c>
      <c r="F2731" s="1" t="s">
        <v>17421</v>
      </c>
      <c r="G2731" s="1" t="s">
        <v>17422</v>
      </c>
    </row>
    <row r="2732" spans="1:7">
      <c r="A2732" s="1">
        <v>2731</v>
      </c>
      <c r="B2732" s="1" t="s">
        <v>17423</v>
      </c>
      <c r="D2732" s="1" t="s">
        <v>11459</v>
      </c>
      <c r="E2732" s="1" t="s">
        <v>5983</v>
      </c>
      <c r="F2732" s="1" t="s">
        <v>17417</v>
      </c>
      <c r="G2732" s="1" t="s">
        <v>17418</v>
      </c>
    </row>
    <row r="2733" spans="1:7">
      <c r="A2733" s="1">
        <v>2732</v>
      </c>
      <c r="B2733" s="1" t="s">
        <v>17424</v>
      </c>
      <c r="D2733" s="1" t="s">
        <v>17425</v>
      </c>
      <c r="E2733" s="1" t="s">
        <v>17426</v>
      </c>
      <c r="F2733" s="1" t="s">
        <v>17427</v>
      </c>
      <c r="G2733" s="1" t="s">
        <v>17428</v>
      </c>
    </row>
    <row r="2734" spans="1:7">
      <c r="A2734" s="1">
        <v>2733</v>
      </c>
      <c r="B2734" s="1" t="s">
        <v>17429</v>
      </c>
      <c r="D2734" s="1" t="s">
        <v>17425</v>
      </c>
      <c r="E2734" s="1" t="s">
        <v>17430</v>
      </c>
      <c r="F2734" s="1" t="s">
        <v>17431</v>
      </c>
      <c r="G2734" s="1" t="s">
        <v>17432</v>
      </c>
    </row>
    <row r="2735" spans="1:7">
      <c r="A2735" s="1">
        <v>2734</v>
      </c>
      <c r="B2735" s="1" t="s">
        <v>17433</v>
      </c>
      <c r="D2735" s="1" t="s">
        <v>17425</v>
      </c>
      <c r="E2735" s="1" t="s">
        <v>17434</v>
      </c>
      <c r="F2735" s="1" t="s">
        <v>17435</v>
      </c>
      <c r="G2735" s="1" t="s">
        <v>17436</v>
      </c>
    </row>
    <row r="2736" spans="1:7">
      <c r="A2736" s="1">
        <v>2735</v>
      </c>
      <c r="B2736" s="1" t="s">
        <v>17437</v>
      </c>
      <c r="D2736" s="1" t="s">
        <v>11464</v>
      </c>
      <c r="E2736" s="1" t="s">
        <v>11465</v>
      </c>
      <c r="F2736" s="1" t="s">
        <v>17438</v>
      </c>
      <c r="G2736" s="1" t="s">
        <v>17439</v>
      </c>
    </row>
    <row r="2737" spans="1:7">
      <c r="A2737" s="1">
        <v>2736</v>
      </c>
      <c r="B2737" s="1" t="s">
        <v>17440</v>
      </c>
      <c r="D2737" s="1" t="s">
        <v>11464</v>
      </c>
      <c r="E2737" s="1" t="s">
        <v>11469</v>
      </c>
      <c r="F2737" s="1" t="s">
        <v>17441</v>
      </c>
      <c r="G2737" s="1" t="s">
        <v>17442</v>
      </c>
    </row>
    <row r="2738" spans="1:7">
      <c r="A2738" s="1">
        <v>2737</v>
      </c>
      <c r="B2738" s="1" t="s">
        <v>17443</v>
      </c>
      <c r="D2738" s="1" t="s">
        <v>11464</v>
      </c>
      <c r="E2738" s="1" t="s">
        <v>11473</v>
      </c>
      <c r="F2738" s="1" t="s">
        <v>17444</v>
      </c>
      <c r="G2738" s="1" t="s">
        <v>17445</v>
      </c>
    </row>
    <row r="2739" spans="1:7">
      <c r="A2739" s="1">
        <v>2738</v>
      </c>
      <c r="B2739" s="1" t="s">
        <v>17446</v>
      </c>
      <c r="D2739" s="1" t="s">
        <v>17447</v>
      </c>
      <c r="E2739" s="1" t="s">
        <v>17448</v>
      </c>
      <c r="F2739" s="1" t="s">
        <v>17438</v>
      </c>
      <c r="G2739" s="1" t="s">
        <v>17439</v>
      </c>
    </row>
    <row r="2740" spans="1:7">
      <c r="A2740" s="1">
        <v>2739</v>
      </c>
      <c r="B2740" s="1" t="s">
        <v>17449</v>
      </c>
      <c r="D2740" s="1" t="s">
        <v>17447</v>
      </c>
      <c r="E2740" s="1" t="s">
        <v>17450</v>
      </c>
      <c r="F2740" s="1" t="s">
        <v>17441</v>
      </c>
      <c r="G2740" s="1" t="s">
        <v>17442</v>
      </c>
    </row>
    <row r="2741" spans="1:7">
      <c r="A2741" s="1">
        <v>2740</v>
      </c>
      <c r="B2741" s="1" t="s">
        <v>17451</v>
      </c>
      <c r="D2741" s="1" t="s">
        <v>17447</v>
      </c>
      <c r="E2741" s="1" t="s">
        <v>17452</v>
      </c>
      <c r="F2741" s="1" t="s">
        <v>17444</v>
      </c>
      <c r="G2741" s="1" t="s">
        <v>17445</v>
      </c>
    </row>
    <row r="2742" spans="1:7">
      <c r="A2742" s="1">
        <v>2741</v>
      </c>
      <c r="B2742" s="1" t="s">
        <v>17453</v>
      </c>
      <c r="D2742" s="1" t="s">
        <v>11475</v>
      </c>
      <c r="E2742" s="1" t="s">
        <v>11476</v>
      </c>
      <c r="F2742" s="1" t="s">
        <v>17454</v>
      </c>
      <c r="G2742" s="1" t="s">
        <v>17455</v>
      </c>
    </row>
    <row r="2743" spans="1:7">
      <c r="A2743" s="1">
        <v>2742</v>
      </c>
      <c r="B2743" s="1" t="s">
        <v>17456</v>
      </c>
      <c r="D2743" s="1" t="s">
        <v>11475</v>
      </c>
      <c r="E2743" s="1" t="s">
        <v>11480</v>
      </c>
      <c r="F2743" s="1" t="s">
        <v>17457</v>
      </c>
      <c r="G2743" s="1" t="s">
        <v>17458</v>
      </c>
    </row>
    <row r="2744" spans="1:7">
      <c r="A2744" s="1">
        <v>2743</v>
      </c>
      <c r="B2744" s="1" t="s">
        <v>17459</v>
      </c>
      <c r="D2744" s="1" t="s">
        <v>11484</v>
      </c>
      <c r="E2744" s="1" t="s">
        <v>11489</v>
      </c>
      <c r="F2744" s="1" t="s">
        <v>17460</v>
      </c>
      <c r="G2744" s="1" t="s">
        <v>17461</v>
      </c>
    </row>
    <row r="2745" spans="1:7">
      <c r="A2745" s="1">
        <v>2744</v>
      </c>
      <c r="B2745" s="1" t="s">
        <v>17462</v>
      </c>
      <c r="D2745" s="1" t="s">
        <v>11484</v>
      </c>
      <c r="E2745" s="1" t="s">
        <v>11491</v>
      </c>
      <c r="F2745" s="1" t="s">
        <v>17463</v>
      </c>
      <c r="G2745" s="1" t="s">
        <v>17464</v>
      </c>
    </row>
    <row r="2746" spans="1:7">
      <c r="A2746" s="1">
        <v>2745</v>
      </c>
      <c r="B2746" s="1" t="s">
        <v>17465</v>
      </c>
      <c r="D2746" s="1" t="s">
        <v>11484</v>
      </c>
      <c r="E2746" s="1" t="s">
        <v>11495</v>
      </c>
      <c r="F2746" s="1" t="s">
        <v>17466</v>
      </c>
      <c r="G2746" s="1" t="s">
        <v>17467</v>
      </c>
    </row>
    <row r="2747" spans="1:7">
      <c r="A2747" s="1">
        <v>2746</v>
      </c>
      <c r="B2747" s="1" t="s">
        <v>17468</v>
      </c>
      <c r="D2747" s="1" t="s">
        <v>11484</v>
      </c>
      <c r="E2747" s="1" t="s">
        <v>11485</v>
      </c>
      <c r="F2747" s="1" t="s">
        <v>17469</v>
      </c>
      <c r="G2747" s="1" t="s">
        <v>17470</v>
      </c>
    </row>
    <row r="2748" spans="1:7">
      <c r="A2748" s="1">
        <v>2747</v>
      </c>
      <c r="B2748" s="1" t="s">
        <v>17471</v>
      </c>
      <c r="D2748" s="1" t="s">
        <v>11484</v>
      </c>
      <c r="E2748" s="1" t="s">
        <v>11487</v>
      </c>
      <c r="F2748" s="1" t="s">
        <v>17472</v>
      </c>
      <c r="G2748" s="1" t="s">
        <v>17473</v>
      </c>
    </row>
    <row r="2749" spans="1:7">
      <c r="A2749" s="1">
        <v>2748</v>
      </c>
      <c r="B2749" s="1" t="s">
        <v>17474</v>
      </c>
      <c r="D2749" s="1" t="s">
        <v>11516</v>
      </c>
      <c r="E2749" s="1" t="s">
        <v>11523</v>
      </c>
      <c r="F2749" s="1" t="s">
        <v>11524</v>
      </c>
      <c r="G2749" s="1" t="s">
        <v>11525</v>
      </c>
    </row>
    <row r="2750" spans="1:7">
      <c r="A2750" s="1">
        <v>2749</v>
      </c>
      <c r="B2750" s="1" t="s">
        <v>17475</v>
      </c>
      <c r="D2750" s="1" t="s">
        <v>11516</v>
      </c>
      <c r="E2750" s="1" t="s">
        <v>11519</v>
      </c>
      <c r="F2750" s="1" t="s">
        <v>11520</v>
      </c>
      <c r="G2750" s="1" t="s">
        <v>11521</v>
      </c>
    </row>
    <row r="2751" spans="1:7">
      <c r="A2751" s="1">
        <v>2750</v>
      </c>
      <c r="B2751" s="1" t="s">
        <v>17476</v>
      </c>
      <c r="D2751" s="1" t="s">
        <v>11516</v>
      </c>
      <c r="E2751" s="1" t="s">
        <v>11527</v>
      </c>
      <c r="F2751" s="1" t="s">
        <v>11528</v>
      </c>
      <c r="G2751" s="1" t="s">
        <v>11529</v>
      </c>
    </row>
    <row r="2752" spans="1:7">
      <c r="A2752" s="1">
        <v>2751</v>
      </c>
      <c r="B2752" s="1" t="s">
        <v>17477</v>
      </c>
      <c r="D2752" s="1" t="s">
        <v>11516</v>
      </c>
      <c r="E2752" s="1" t="s">
        <v>11517</v>
      </c>
      <c r="F2752" s="1" t="s">
        <v>11508</v>
      </c>
      <c r="G2752" s="1" t="s">
        <v>11509</v>
      </c>
    </row>
    <row r="2753" spans="1:7">
      <c r="A2753" s="1">
        <v>2752</v>
      </c>
      <c r="B2753" s="1" t="s">
        <v>17478</v>
      </c>
      <c r="D2753" s="1" t="s">
        <v>11516</v>
      </c>
      <c r="E2753" s="1" t="s">
        <v>11539</v>
      </c>
      <c r="F2753" s="1" t="s">
        <v>11540</v>
      </c>
      <c r="G2753" s="1" t="s">
        <v>11541</v>
      </c>
    </row>
    <row r="2754" spans="1:7">
      <c r="A2754" s="1">
        <v>2753</v>
      </c>
      <c r="B2754" s="1" t="s">
        <v>17479</v>
      </c>
      <c r="D2754" s="1" t="s">
        <v>11516</v>
      </c>
      <c r="E2754" s="1" t="s">
        <v>11535</v>
      </c>
      <c r="F2754" s="1" t="s">
        <v>11536</v>
      </c>
      <c r="G2754" s="1" t="s">
        <v>11537</v>
      </c>
    </row>
    <row r="2755" spans="1:7">
      <c r="A2755" s="1">
        <v>2754</v>
      </c>
      <c r="B2755" s="1" t="s">
        <v>17480</v>
      </c>
      <c r="D2755" s="1" t="s">
        <v>11516</v>
      </c>
      <c r="E2755" s="1" t="s">
        <v>11531</v>
      </c>
      <c r="F2755" s="1" t="s">
        <v>11532</v>
      </c>
      <c r="G2755" s="1" t="s">
        <v>11533</v>
      </c>
    </row>
    <row r="2756" spans="1:7">
      <c r="A2756" s="1">
        <v>2755</v>
      </c>
      <c r="B2756" s="1" t="s">
        <v>17481</v>
      </c>
      <c r="D2756" s="1" t="s">
        <v>11543</v>
      </c>
      <c r="E2756" s="1" t="s">
        <v>11556</v>
      </c>
      <c r="F2756" s="1" t="s">
        <v>11557</v>
      </c>
      <c r="G2756" s="1" t="s">
        <v>11558</v>
      </c>
    </row>
    <row r="2757" spans="1:7">
      <c r="A2757" s="1">
        <v>2756</v>
      </c>
      <c r="B2757" s="1" t="s">
        <v>17482</v>
      </c>
      <c r="D2757" s="1" t="s">
        <v>11543</v>
      </c>
      <c r="E2757" s="1" t="s">
        <v>11560</v>
      </c>
      <c r="F2757" s="1" t="s">
        <v>11561</v>
      </c>
      <c r="G2757" s="1" t="s">
        <v>11562</v>
      </c>
    </row>
    <row r="2758" spans="1:7">
      <c r="A2758" s="1">
        <v>2757</v>
      </c>
      <c r="B2758" s="1" t="s">
        <v>17483</v>
      </c>
      <c r="D2758" s="1" t="s">
        <v>11543</v>
      </c>
      <c r="E2758" s="1" t="s">
        <v>11544</v>
      </c>
      <c r="F2758" s="1" t="s">
        <v>11498</v>
      </c>
      <c r="G2758" s="1" t="s">
        <v>11499</v>
      </c>
    </row>
    <row r="2759" spans="1:7">
      <c r="A2759" s="1">
        <v>2758</v>
      </c>
      <c r="B2759" s="1" t="s">
        <v>17484</v>
      </c>
      <c r="D2759" s="1" t="s">
        <v>11543</v>
      </c>
      <c r="E2759" s="1" t="s">
        <v>11546</v>
      </c>
      <c r="F2759" s="1" t="s">
        <v>11501</v>
      </c>
      <c r="G2759" s="1" t="s">
        <v>11502</v>
      </c>
    </row>
    <row r="2760" spans="1:7">
      <c r="A2760" s="1">
        <v>2759</v>
      </c>
      <c r="B2760" s="1" t="s">
        <v>17485</v>
      </c>
      <c r="D2760" s="1" t="s">
        <v>11543</v>
      </c>
      <c r="E2760" s="1" t="s">
        <v>11548</v>
      </c>
      <c r="F2760" s="1" t="s">
        <v>11505</v>
      </c>
      <c r="G2760" s="1" t="s">
        <v>11506</v>
      </c>
    </row>
    <row r="2761" spans="1:7">
      <c r="A2761" s="1">
        <v>2760</v>
      </c>
      <c r="B2761" s="1" t="s">
        <v>17486</v>
      </c>
      <c r="D2761" s="1" t="s">
        <v>11543</v>
      </c>
      <c r="E2761" s="1" t="s">
        <v>11550</v>
      </c>
      <c r="F2761" s="1" t="s">
        <v>11508</v>
      </c>
      <c r="G2761" s="1" t="s">
        <v>11509</v>
      </c>
    </row>
    <row r="2762" spans="1:7">
      <c r="A2762" s="1">
        <v>2761</v>
      </c>
      <c r="B2762" s="1" t="s">
        <v>17487</v>
      </c>
      <c r="D2762" s="1" t="s">
        <v>11543</v>
      </c>
      <c r="E2762" s="1" t="s">
        <v>11572</v>
      </c>
      <c r="F2762" s="1" t="s">
        <v>11536</v>
      </c>
      <c r="G2762" s="1" t="s">
        <v>11537</v>
      </c>
    </row>
    <row r="2763" spans="1:7">
      <c r="A2763" s="1">
        <v>2762</v>
      </c>
      <c r="B2763" s="1" t="s">
        <v>17488</v>
      </c>
      <c r="D2763" s="1" t="s">
        <v>11543</v>
      </c>
      <c r="E2763" s="1" t="s">
        <v>11568</v>
      </c>
      <c r="F2763" s="1" t="s">
        <v>11569</v>
      </c>
      <c r="G2763" s="1" t="s">
        <v>11570</v>
      </c>
    </row>
    <row r="2764" spans="1:7">
      <c r="A2764" s="1">
        <v>2763</v>
      </c>
      <c r="B2764" s="1" t="s">
        <v>17489</v>
      </c>
      <c r="D2764" s="1" t="s">
        <v>11543</v>
      </c>
      <c r="E2764" s="1" t="s">
        <v>6843</v>
      </c>
      <c r="F2764" s="1" t="s">
        <v>17490</v>
      </c>
      <c r="G2764" s="1" t="s">
        <v>17491</v>
      </c>
    </row>
    <row r="2765" spans="1:7">
      <c r="A2765" s="1">
        <v>2764</v>
      </c>
      <c r="B2765" s="1" t="s">
        <v>17492</v>
      </c>
      <c r="D2765" s="1" t="s">
        <v>11543</v>
      </c>
      <c r="E2765" s="1" t="s">
        <v>11552</v>
      </c>
      <c r="F2765" s="1" t="s">
        <v>11553</v>
      </c>
      <c r="G2765" s="1" t="s">
        <v>11554</v>
      </c>
    </row>
    <row r="2766" spans="1:7">
      <c r="A2766" s="1">
        <v>2765</v>
      </c>
      <c r="B2766" s="1" t="s">
        <v>17493</v>
      </c>
      <c r="D2766" s="1" t="s">
        <v>11543</v>
      </c>
      <c r="E2766" s="1" t="s">
        <v>11574</v>
      </c>
      <c r="F2766" s="1" t="s">
        <v>11540</v>
      </c>
      <c r="G2766" s="1" t="s">
        <v>11541</v>
      </c>
    </row>
    <row r="2767" spans="1:7">
      <c r="A2767" s="1">
        <v>2766</v>
      </c>
      <c r="B2767" s="1" t="s">
        <v>17494</v>
      </c>
      <c r="D2767" s="1" t="s">
        <v>11543</v>
      </c>
      <c r="E2767" s="1" t="s">
        <v>11564</v>
      </c>
      <c r="F2767" s="1" t="s">
        <v>11565</v>
      </c>
      <c r="G2767" s="1" t="s">
        <v>11566</v>
      </c>
    </row>
    <row r="2768" spans="1:7">
      <c r="A2768" s="1">
        <v>2767</v>
      </c>
      <c r="B2768" s="1" t="s">
        <v>17495</v>
      </c>
      <c r="D2768" s="1" t="s">
        <v>11543</v>
      </c>
      <c r="E2768" s="1" t="s">
        <v>11576</v>
      </c>
      <c r="F2768" s="1" t="s">
        <v>11577</v>
      </c>
      <c r="G2768" s="1" t="s">
        <v>11578</v>
      </c>
    </row>
    <row r="2769" spans="1:7">
      <c r="A2769" s="1">
        <v>2768</v>
      </c>
      <c r="B2769" s="1" t="s">
        <v>17496</v>
      </c>
      <c r="D2769" s="1" t="s">
        <v>11580</v>
      </c>
      <c r="E2769" s="1" t="s">
        <v>11601</v>
      </c>
      <c r="F2769" s="1" t="s">
        <v>11577</v>
      </c>
      <c r="G2769" s="1" t="s">
        <v>11578</v>
      </c>
    </row>
    <row r="2770" spans="1:7">
      <c r="A2770" s="1">
        <v>2769</v>
      </c>
      <c r="B2770" s="1" t="s">
        <v>17497</v>
      </c>
      <c r="D2770" s="1" t="s">
        <v>11580</v>
      </c>
      <c r="E2770" s="1" t="s">
        <v>11591</v>
      </c>
      <c r="F2770" s="1" t="s">
        <v>11557</v>
      </c>
      <c r="G2770" s="1" t="s">
        <v>11558</v>
      </c>
    </row>
    <row r="2771" spans="1:7">
      <c r="A2771" s="1">
        <v>2770</v>
      </c>
      <c r="B2771" s="1" t="s">
        <v>17498</v>
      </c>
      <c r="D2771" s="1" t="s">
        <v>11580</v>
      </c>
      <c r="E2771" s="1" t="s">
        <v>11593</v>
      </c>
      <c r="F2771" s="1" t="s">
        <v>11561</v>
      </c>
      <c r="G2771" s="1" t="s">
        <v>11562</v>
      </c>
    </row>
    <row r="2772" spans="1:7">
      <c r="A2772" s="1">
        <v>2771</v>
      </c>
      <c r="B2772" s="1" t="s">
        <v>17499</v>
      </c>
      <c r="D2772" s="1" t="s">
        <v>11580</v>
      </c>
      <c r="E2772" s="1" t="s">
        <v>11581</v>
      </c>
      <c r="F2772" s="1" t="s">
        <v>11498</v>
      </c>
      <c r="G2772" s="1" t="s">
        <v>11499</v>
      </c>
    </row>
    <row r="2773" spans="1:7">
      <c r="A2773" s="1">
        <v>2772</v>
      </c>
      <c r="B2773" s="1" t="s">
        <v>17500</v>
      </c>
      <c r="D2773" s="1" t="s">
        <v>11580</v>
      </c>
      <c r="E2773" s="1" t="s">
        <v>11583</v>
      </c>
      <c r="F2773" s="1" t="s">
        <v>11501</v>
      </c>
      <c r="G2773" s="1" t="s">
        <v>11502</v>
      </c>
    </row>
    <row r="2774" spans="1:7">
      <c r="A2774" s="1">
        <v>2773</v>
      </c>
      <c r="B2774" s="1" t="s">
        <v>17501</v>
      </c>
      <c r="D2774" s="1" t="s">
        <v>11580</v>
      </c>
      <c r="E2774" s="1" t="s">
        <v>11585</v>
      </c>
      <c r="F2774" s="1" t="s">
        <v>11505</v>
      </c>
      <c r="G2774" s="1" t="s">
        <v>11506</v>
      </c>
    </row>
    <row r="2775" spans="1:7">
      <c r="A2775" s="1">
        <v>2774</v>
      </c>
      <c r="B2775" s="1" t="s">
        <v>17502</v>
      </c>
      <c r="D2775" s="1" t="s">
        <v>11580</v>
      </c>
      <c r="E2775" s="1" t="s">
        <v>11587</v>
      </c>
      <c r="F2775" s="1" t="s">
        <v>11508</v>
      </c>
      <c r="G2775" s="1" t="s">
        <v>11509</v>
      </c>
    </row>
    <row r="2776" spans="1:7">
      <c r="A2776" s="1">
        <v>2775</v>
      </c>
      <c r="B2776" s="1" t="s">
        <v>17503</v>
      </c>
      <c r="D2776" s="1" t="s">
        <v>11580</v>
      </c>
      <c r="E2776" s="1" t="s">
        <v>11597</v>
      </c>
      <c r="F2776" s="1" t="s">
        <v>11536</v>
      </c>
      <c r="G2776" s="1" t="s">
        <v>11537</v>
      </c>
    </row>
    <row r="2777" spans="1:7">
      <c r="A2777" s="1">
        <v>2776</v>
      </c>
      <c r="B2777" s="1" t="s">
        <v>17504</v>
      </c>
      <c r="D2777" s="1" t="s">
        <v>11580</v>
      </c>
      <c r="E2777" s="1" t="s">
        <v>6847</v>
      </c>
      <c r="F2777" s="1" t="s">
        <v>17490</v>
      </c>
      <c r="G2777" s="1" t="s">
        <v>17491</v>
      </c>
    </row>
    <row r="2778" spans="1:7">
      <c r="A2778" s="1">
        <v>2777</v>
      </c>
      <c r="B2778" s="1" t="s">
        <v>17505</v>
      </c>
      <c r="D2778" s="1" t="s">
        <v>11580</v>
      </c>
      <c r="E2778" s="1" t="s">
        <v>11589</v>
      </c>
      <c r="F2778" s="1" t="s">
        <v>11553</v>
      </c>
      <c r="G2778" s="1" t="s">
        <v>11554</v>
      </c>
    </row>
    <row r="2779" spans="1:7">
      <c r="A2779" s="1">
        <v>2778</v>
      </c>
      <c r="B2779" s="1" t="s">
        <v>17506</v>
      </c>
      <c r="D2779" s="1" t="s">
        <v>11580</v>
      </c>
      <c r="E2779" s="1" t="s">
        <v>11599</v>
      </c>
      <c r="F2779" s="1" t="s">
        <v>11540</v>
      </c>
      <c r="G2779" s="1" t="s">
        <v>11541</v>
      </c>
    </row>
    <row r="2780" spans="1:7">
      <c r="A2780" s="1">
        <v>2779</v>
      </c>
      <c r="B2780" s="1" t="s">
        <v>17507</v>
      </c>
      <c r="D2780" s="1" t="s">
        <v>11580</v>
      </c>
      <c r="E2780" s="1" t="s">
        <v>11595</v>
      </c>
      <c r="F2780" s="1" t="s">
        <v>11565</v>
      </c>
      <c r="G2780" s="1" t="s">
        <v>11566</v>
      </c>
    </row>
    <row r="2781" spans="1:7">
      <c r="A2781" s="1">
        <v>2780</v>
      </c>
      <c r="B2781" s="1" t="s">
        <v>17508</v>
      </c>
      <c r="D2781" s="1" t="s">
        <v>11580</v>
      </c>
      <c r="E2781" s="1" t="s">
        <v>7424</v>
      </c>
      <c r="F2781" s="1" t="s">
        <v>17509</v>
      </c>
      <c r="G2781" s="1" t="s">
        <v>17510</v>
      </c>
    </row>
    <row r="2782" spans="1:7">
      <c r="A2782" s="1">
        <v>2781</v>
      </c>
      <c r="B2782" s="1" t="s">
        <v>17511</v>
      </c>
      <c r="D2782" s="1" t="s">
        <v>11622</v>
      </c>
      <c r="E2782" s="1" t="s">
        <v>17512</v>
      </c>
      <c r="F2782" s="1" t="s">
        <v>11668</v>
      </c>
      <c r="G2782" s="1" t="s">
        <v>11669</v>
      </c>
    </row>
    <row r="2783" spans="1:7">
      <c r="A2783" s="1">
        <v>2782</v>
      </c>
      <c r="B2783" s="1" t="s">
        <v>17513</v>
      </c>
      <c r="D2783" s="1" t="s">
        <v>11622</v>
      </c>
      <c r="E2783" s="1" t="s">
        <v>17514</v>
      </c>
      <c r="F2783" s="1" t="s">
        <v>11672</v>
      </c>
      <c r="G2783" s="1" t="s">
        <v>11673</v>
      </c>
    </row>
    <row r="2784" spans="1:7">
      <c r="A2784" s="1">
        <v>2783</v>
      </c>
      <c r="B2784" s="1" t="s">
        <v>17515</v>
      </c>
      <c r="D2784" s="1" t="s">
        <v>11622</v>
      </c>
      <c r="E2784" s="1" t="s">
        <v>17516</v>
      </c>
      <c r="F2784" s="1" t="s">
        <v>11624</v>
      </c>
      <c r="G2784" s="1" t="s">
        <v>11625</v>
      </c>
    </row>
    <row r="2785" spans="1:7">
      <c r="A2785" s="1">
        <v>2784</v>
      </c>
      <c r="B2785" s="1" t="s">
        <v>17517</v>
      </c>
      <c r="D2785" s="1" t="s">
        <v>11622</v>
      </c>
      <c r="E2785" s="1" t="s">
        <v>17518</v>
      </c>
      <c r="F2785" s="1" t="s">
        <v>11628</v>
      </c>
      <c r="G2785" s="1" t="s">
        <v>11629</v>
      </c>
    </row>
    <row r="2786" spans="1:7">
      <c r="A2786" s="1">
        <v>2785</v>
      </c>
      <c r="B2786" s="1" t="s">
        <v>17519</v>
      </c>
      <c r="D2786" s="1" t="s">
        <v>11622</v>
      </c>
      <c r="E2786" s="1" t="s">
        <v>17520</v>
      </c>
      <c r="F2786" s="1" t="s">
        <v>11632</v>
      </c>
      <c r="G2786" s="1" t="s">
        <v>11633</v>
      </c>
    </row>
    <row r="2787" spans="1:7">
      <c r="A2787" s="1">
        <v>2786</v>
      </c>
      <c r="B2787" s="1" t="s">
        <v>17521</v>
      </c>
      <c r="D2787" s="1" t="s">
        <v>11622</v>
      </c>
      <c r="E2787" s="1" t="s">
        <v>17522</v>
      </c>
      <c r="F2787" s="1" t="s">
        <v>11636</v>
      </c>
      <c r="G2787" s="1" t="s">
        <v>11637</v>
      </c>
    </row>
    <row r="2788" spans="1:7">
      <c r="A2788" s="1">
        <v>2787</v>
      </c>
      <c r="B2788" s="1" t="s">
        <v>17523</v>
      </c>
      <c r="D2788" s="1" t="s">
        <v>11622</v>
      </c>
      <c r="E2788" s="1" t="s">
        <v>5517</v>
      </c>
      <c r="F2788" s="1" t="s">
        <v>11640</v>
      </c>
      <c r="G2788" s="1" t="s">
        <v>11641</v>
      </c>
    </row>
    <row r="2789" spans="1:7">
      <c r="A2789" s="1">
        <v>2788</v>
      </c>
      <c r="B2789" s="1" t="s">
        <v>17524</v>
      </c>
      <c r="D2789" s="1" t="s">
        <v>11622</v>
      </c>
      <c r="E2789" s="1" t="s">
        <v>17525</v>
      </c>
      <c r="F2789" s="1" t="s">
        <v>11648</v>
      </c>
      <c r="G2789" s="1" t="s">
        <v>11649</v>
      </c>
    </row>
    <row r="2790" spans="1:7">
      <c r="A2790" s="1">
        <v>2789</v>
      </c>
      <c r="B2790" s="1" t="s">
        <v>17526</v>
      </c>
      <c r="D2790" s="1" t="s">
        <v>11622</v>
      </c>
      <c r="E2790" s="1" t="s">
        <v>17527</v>
      </c>
      <c r="F2790" s="1" t="s">
        <v>11652</v>
      </c>
      <c r="G2790" s="1" t="s">
        <v>11653</v>
      </c>
    </row>
    <row r="2791" spans="1:7">
      <c r="A2791" s="1">
        <v>2790</v>
      </c>
      <c r="B2791" s="1" t="s">
        <v>17528</v>
      </c>
      <c r="D2791" s="1" t="s">
        <v>11622</v>
      </c>
      <c r="E2791" s="1" t="s">
        <v>17529</v>
      </c>
      <c r="F2791" s="1" t="s">
        <v>11656</v>
      </c>
      <c r="G2791" s="1" t="s">
        <v>11657</v>
      </c>
    </row>
    <row r="2792" spans="1:7">
      <c r="A2792" s="1">
        <v>2791</v>
      </c>
      <c r="B2792" s="1" t="s">
        <v>17530</v>
      </c>
      <c r="D2792" s="1" t="s">
        <v>11622</v>
      </c>
      <c r="E2792" s="1" t="s">
        <v>5521</v>
      </c>
      <c r="F2792" s="1" t="s">
        <v>11644</v>
      </c>
      <c r="G2792" s="1" t="s">
        <v>11645</v>
      </c>
    </row>
    <row r="2793" spans="1:7">
      <c r="A2793" s="1">
        <v>2792</v>
      </c>
      <c r="B2793" s="1" t="s">
        <v>17531</v>
      </c>
      <c r="D2793" s="1" t="s">
        <v>11622</v>
      </c>
      <c r="E2793" s="1" t="s">
        <v>5509</v>
      </c>
      <c r="F2793" s="1" t="s">
        <v>11660</v>
      </c>
      <c r="G2793" s="1" t="s">
        <v>11661</v>
      </c>
    </row>
    <row r="2794" spans="1:7">
      <c r="A2794" s="1">
        <v>2793</v>
      </c>
      <c r="B2794" s="1" t="s">
        <v>17532</v>
      </c>
      <c r="D2794" s="1" t="s">
        <v>11622</v>
      </c>
      <c r="E2794" s="1" t="s">
        <v>5513</v>
      </c>
      <c r="F2794" s="1" t="s">
        <v>11664</v>
      </c>
      <c r="G2794" s="1" t="s">
        <v>11665</v>
      </c>
    </row>
    <row r="2795" spans="1:7">
      <c r="A2795" s="1">
        <v>2794</v>
      </c>
      <c r="B2795" s="1" t="s">
        <v>17533</v>
      </c>
      <c r="D2795" s="1" t="s">
        <v>11675</v>
      </c>
      <c r="E2795" s="1" t="s">
        <v>17534</v>
      </c>
      <c r="F2795" s="1" t="s">
        <v>11677</v>
      </c>
      <c r="G2795" s="1" t="s">
        <v>11678</v>
      </c>
    </row>
    <row r="2796" spans="1:7">
      <c r="A2796" s="1">
        <v>2795</v>
      </c>
      <c r="B2796" s="1" t="s">
        <v>17535</v>
      </c>
      <c r="D2796" s="1" t="s">
        <v>11680</v>
      </c>
      <c r="E2796" s="1" t="s">
        <v>11689</v>
      </c>
      <c r="F2796" s="1" t="s">
        <v>17536</v>
      </c>
      <c r="G2796" s="1" t="s">
        <v>17537</v>
      </c>
    </row>
    <row r="2797" spans="1:7">
      <c r="A2797" s="1">
        <v>2796</v>
      </c>
      <c r="B2797" s="1" t="s">
        <v>17538</v>
      </c>
      <c r="D2797" s="1" t="s">
        <v>11680</v>
      </c>
      <c r="E2797" s="1" t="s">
        <v>11695</v>
      </c>
      <c r="F2797" s="1" t="s">
        <v>17539</v>
      </c>
      <c r="G2797" s="1" t="s">
        <v>17540</v>
      </c>
    </row>
    <row r="2798" spans="1:7">
      <c r="A2798" s="1">
        <v>2797</v>
      </c>
      <c r="B2798" s="1" t="s">
        <v>17541</v>
      </c>
      <c r="D2798" s="1" t="s">
        <v>11680</v>
      </c>
      <c r="E2798" s="1" t="s">
        <v>11691</v>
      </c>
      <c r="F2798" s="1" t="s">
        <v>17542</v>
      </c>
      <c r="G2798" s="1" t="s">
        <v>17543</v>
      </c>
    </row>
    <row r="2799" spans="1:7">
      <c r="A2799" s="1">
        <v>2798</v>
      </c>
      <c r="B2799" s="1" t="s">
        <v>17544</v>
      </c>
      <c r="D2799" s="1" t="s">
        <v>11680</v>
      </c>
      <c r="E2799" s="1" t="s">
        <v>11683</v>
      </c>
      <c r="F2799" s="1" t="s">
        <v>17545</v>
      </c>
      <c r="G2799" s="1" t="s">
        <v>17546</v>
      </c>
    </row>
    <row r="2800" spans="1:7">
      <c r="A2800" s="1">
        <v>2799</v>
      </c>
      <c r="B2800" s="1" t="s">
        <v>17547</v>
      </c>
      <c r="D2800" s="1" t="s">
        <v>11680</v>
      </c>
      <c r="E2800" s="1" t="s">
        <v>11685</v>
      </c>
      <c r="F2800" s="1" t="s">
        <v>17548</v>
      </c>
      <c r="G2800" s="1" t="s">
        <v>17549</v>
      </c>
    </row>
    <row r="2801" spans="1:7">
      <c r="A2801" s="1">
        <v>2800</v>
      </c>
      <c r="B2801" s="1" t="s">
        <v>17550</v>
      </c>
      <c r="D2801" s="1" t="s">
        <v>11680</v>
      </c>
      <c r="E2801" s="1" t="s">
        <v>11681</v>
      </c>
      <c r="F2801" s="1" t="s">
        <v>17551</v>
      </c>
      <c r="G2801" s="1" t="s">
        <v>17552</v>
      </c>
    </row>
    <row r="2802" spans="1:7">
      <c r="A2802" s="1">
        <v>2801</v>
      </c>
      <c r="B2802" s="1" t="s">
        <v>17553</v>
      </c>
      <c r="D2802" s="1" t="s">
        <v>11697</v>
      </c>
      <c r="E2802" s="1" t="s">
        <v>11708</v>
      </c>
      <c r="F2802" s="1" t="s">
        <v>17536</v>
      </c>
      <c r="G2802" s="1" t="s">
        <v>17537</v>
      </c>
    </row>
    <row r="2803" spans="1:7">
      <c r="A2803" s="1">
        <v>2802</v>
      </c>
      <c r="B2803" s="1" t="s">
        <v>17554</v>
      </c>
      <c r="D2803" s="1" t="s">
        <v>11697</v>
      </c>
      <c r="E2803" s="1" t="s">
        <v>11698</v>
      </c>
      <c r="F2803" s="1" t="s">
        <v>17555</v>
      </c>
      <c r="G2803" s="1" t="s">
        <v>17556</v>
      </c>
    </row>
    <row r="2804" spans="1:7">
      <c r="A2804" s="1">
        <v>2803</v>
      </c>
      <c r="B2804" s="1" t="s">
        <v>17557</v>
      </c>
      <c r="D2804" s="1" t="s">
        <v>11697</v>
      </c>
      <c r="E2804" s="1" t="s">
        <v>11714</v>
      </c>
      <c r="F2804" s="1" t="s">
        <v>17539</v>
      </c>
      <c r="G2804" s="1" t="s">
        <v>17540</v>
      </c>
    </row>
    <row r="2805" spans="1:7">
      <c r="A2805" s="1">
        <v>2804</v>
      </c>
      <c r="B2805" s="1" t="s">
        <v>17558</v>
      </c>
      <c r="D2805" s="1" t="s">
        <v>11697</v>
      </c>
      <c r="E2805" s="1" t="s">
        <v>11710</v>
      </c>
      <c r="F2805" s="1" t="s">
        <v>17542</v>
      </c>
      <c r="G2805" s="1" t="s">
        <v>17543</v>
      </c>
    </row>
    <row r="2806" spans="1:7">
      <c r="A2806" s="1">
        <v>2805</v>
      </c>
      <c r="B2806" s="1" t="s">
        <v>17559</v>
      </c>
      <c r="D2806" s="1" t="s">
        <v>11697</v>
      </c>
      <c r="E2806" s="1" t="s">
        <v>11702</v>
      </c>
      <c r="F2806" s="1" t="s">
        <v>17545</v>
      </c>
      <c r="G2806" s="1" t="s">
        <v>17546</v>
      </c>
    </row>
    <row r="2807" spans="1:7">
      <c r="A2807" s="1">
        <v>2806</v>
      </c>
      <c r="B2807" s="1" t="s">
        <v>17560</v>
      </c>
      <c r="D2807" s="1" t="s">
        <v>11697</v>
      </c>
      <c r="E2807" s="1" t="s">
        <v>11704</v>
      </c>
      <c r="F2807" s="1" t="s">
        <v>17548</v>
      </c>
      <c r="G2807" s="1" t="s">
        <v>17549</v>
      </c>
    </row>
    <row r="2808" spans="1:7">
      <c r="A2808" s="1">
        <v>2807</v>
      </c>
      <c r="B2808" s="1" t="s">
        <v>17561</v>
      </c>
      <c r="D2808" s="1" t="s">
        <v>11716</v>
      </c>
      <c r="E2808" s="1" t="s">
        <v>11727</v>
      </c>
      <c r="F2808" s="1" t="s">
        <v>17536</v>
      </c>
      <c r="G2808" s="1" t="s">
        <v>17537</v>
      </c>
    </row>
    <row r="2809" spans="1:7">
      <c r="A2809" s="1">
        <v>2808</v>
      </c>
      <c r="B2809" s="1" t="s">
        <v>17562</v>
      </c>
      <c r="D2809" s="1" t="s">
        <v>11716</v>
      </c>
      <c r="E2809" s="1" t="s">
        <v>11717</v>
      </c>
      <c r="F2809" s="1" t="s">
        <v>17555</v>
      </c>
      <c r="G2809" s="1" t="s">
        <v>17556</v>
      </c>
    </row>
    <row r="2810" spans="1:7">
      <c r="A2810" s="1">
        <v>2809</v>
      </c>
      <c r="B2810" s="1" t="s">
        <v>17563</v>
      </c>
      <c r="D2810" s="1" t="s">
        <v>11716</v>
      </c>
      <c r="E2810" s="1" t="s">
        <v>11733</v>
      </c>
      <c r="F2810" s="1" t="s">
        <v>17539</v>
      </c>
      <c r="G2810" s="1" t="s">
        <v>17540</v>
      </c>
    </row>
    <row r="2811" spans="1:7">
      <c r="A2811" s="1">
        <v>2810</v>
      </c>
      <c r="B2811" s="1" t="s">
        <v>17564</v>
      </c>
      <c r="D2811" s="1" t="s">
        <v>11716</v>
      </c>
      <c r="E2811" s="1" t="s">
        <v>11729</v>
      </c>
      <c r="F2811" s="1" t="s">
        <v>17542</v>
      </c>
      <c r="G2811" s="1" t="s">
        <v>17543</v>
      </c>
    </row>
    <row r="2812" spans="1:7">
      <c r="A2812" s="1">
        <v>2811</v>
      </c>
      <c r="B2812" s="1" t="s">
        <v>17565</v>
      </c>
      <c r="D2812" s="1" t="s">
        <v>11716</v>
      </c>
      <c r="E2812" s="1" t="s">
        <v>11721</v>
      </c>
      <c r="F2812" s="1" t="s">
        <v>17545</v>
      </c>
      <c r="G2812" s="1" t="s">
        <v>17546</v>
      </c>
    </row>
    <row r="2813" spans="1:7">
      <c r="A2813" s="1">
        <v>2812</v>
      </c>
      <c r="B2813" s="1" t="s">
        <v>17566</v>
      </c>
      <c r="D2813" s="1" t="s">
        <v>11716</v>
      </c>
      <c r="E2813" s="1" t="s">
        <v>11723</v>
      </c>
      <c r="F2813" s="1" t="s">
        <v>17548</v>
      </c>
      <c r="G2813" s="1" t="s">
        <v>17549</v>
      </c>
    </row>
    <row r="2814" spans="1:7">
      <c r="A2814" s="1">
        <v>2813</v>
      </c>
      <c r="B2814" s="1" t="s">
        <v>17567</v>
      </c>
      <c r="D2814" s="1" t="s">
        <v>11735</v>
      </c>
      <c r="E2814" s="1" t="s">
        <v>11738</v>
      </c>
      <c r="F2814" s="1" t="s">
        <v>17536</v>
      </c>
      <c r="G2814" s="1" t="s">
        <v>17537</v>
      </c>
    </row>
    <row r="2815" spans="1:7">
      <c r="A2815" s="1">
        <v>2814</v>
      </c>
      <c r="B2815" s="1" t="s">
        <v>17568</v>
      </c>
      <c r="D2815" s="1" t="s">
        <v>11735</v>
      </c>
      <c r="E2815" s="1" t="s">
        <v>11740</v>
      </c>
      <c r="F2815" s="1" t="s">
        <v>17542</v>
      </c>
      <c r="G2815" s="1" t="s">
        <v>17543</v>
      </c>
    </row>
    <row r="2816" spans="1:7">
      <c r="A2816" s="1">
        <v>2815</v>
      </c>
      <c r="B2816" s="1" t="s">
        <v>17569</v>
      </c>
      <c r="D2816" s="1" t="s">
        <v>11735</v>
      </c>
      <c r="E2816" s="1" t="s">
        <v>11736</v>
      </c>
      <c r="F2816" s="1" t="s">
        <v>17545</v>
      </c>
      <c r="G2816" s="1" t="s">
        <v>17546</v>
      </c>
    </row>
    <row r="2817" spans="1:7">
      <c r="A2817" s="1">
        <v>2816</v>
      </c>
      <c r="B2817" s="1" t="s">
        <v>17570</v>
      </c>
      <c r="D2817" s="1" t="s">
        <v>11744</v>
      </c>
      <c r="E2817" s="1" t="s">
        <v>11747</v>
      </c>
      <c r="F2817" s="1" t="s">
        <v>17536</v>
      </c>
      <c r="G2817" s="1" t="s">
        <v>17537</v>
      </c>
    </row>
    <row r="2818" spans="1:7">
      <c r="A2818" s="1">
        <v>2817</v>
      </c>
      <c r="B2818" s="1" t="s">
        <v>17571</v>
      </c>
      <c r="D2818" s="1" t="s">
        <v>11744</v>
      </c>
      <c r="E2818" s="1" t="s">
        <v>11749</v>
      </c>
      <c r="F2818" s="1" t="s">
        <v>17542</v>
      </c>
      <c r="G2818" s="1" t="s">
        <v>17543</v>
      </c>
    </row>
    <row r="2819" spans="1:7">
      <c r="A2819" s="1">
        <v>2818</v>
      </c>
      <c r="B2819" s="1" t="s">
        <v>17572</v>
      </c>
      <c r="D2819" s="1" t="s">
        <v>11744</v>
      </c>
      <c r="E2819" s="1" t="s">
        <v>11745</v>
      </c>
      <c r="F2819" s="1" t="s">
        <v>17545</v>
      </c>
      <c r="G2819" s="1" t="s">
        <v>17546</v>
      </c>
    </row>
    <row r="2820" spans="1:7">
      <c r="A2820" s="1">
        <v>2819</v>
      </c>
      <c r="B2820" s="1" t="s">
        <v>17573</v>
      </c>
      <c r="D2820" s="1" t="s">
        <v>11753</v>
      </c>
      <c r="E2820" s="1" t="s">
        <v>11762</v>
      </c>
      <c r="F2820" s="1" t="s">
        <v>17536</v>
      </c>
      <c r="G2820" s="1" t="s">
        <v>17537</v>
      </c>
    </row>
    <row r="2821" spans="1:7">
      <c r="A2821" s="1">
        <v>2820</v>
      </c>
      <c r="B2821" s="1" t="s">
        <v>17574</v>
      </c>
      <c r="D2821" s="1" t="s">
        <v>11753</v>
      </c>
      <c r="E2821" s="1" t="s">
        <v>11768</v>
      </c>
      <c r="F2821" s="1" t="s">
        <v>17539</v>
      </c>
      <c r="G2821" s="1" t="s">
        <v>17540</v>
      </c>
    </row>
    <row r="2822" spans="1:7">
      <c r="A2822" s="1">
        <v>2821</v>
      </c>
      <c r="B2822" s="1" t="s">
        <v>17575</v>
      </c>
      <c r="D2822" s="1" t="s">
        <v>11753</v>
      </c>
      <c r="E2822" s="1" t="s">
        <v>11764</v>
      </c>
      <c r="F2822" s="1" t="s">
        <v>17542</v>
      </c>
      <c r="G2822" s="1" t="s">
        <v>17543</v>
      </c>
    </row>
    <row r="2823" spans="1:7">
      <c r="A2823" s="1">
        <v>2822</v>
      </c>
      <c r="B2823" s="1" t="s">
        <v>17576</v>
      </c>
      <c r="D2823" s="1" t="s">
        <v>11753</v>
      </c>
      <c r="E2823" s="1" t="s">
        <v>11756</v>
      </c>
      <c r="F2823" s="1" t="s">
        <v>17545</v>
      </c>
      <c r="G2823" s="1" t="s">
        <v>17546</v>
      </c>
    </row>
    <row r="2824" spans="1:7">
      <c r="A2824" s="1">
        <v>2823</v>
      </c>
      <c r="B2824" s="1" t="s">
        <v>17577</v>
      </c>
      <c r="D2824" s="1" t="s">
        <v>11753</v>
      </c>
      <c r="E2824" s="1" t="s">
        <v>11758</v>
      </c>
      <c r="F2824" s="1" t="s">
        <v>17548</v>
      </c>
      <c r="G2824" s="1" t="s">
        <v>17549</v>
      </c>
    </row>
    <row r="2825" spans="1:7">
      <c r="A2825" s="1">
        <v>2824</v>
      </c>
      <c r="B2825" s="1" t="s">
        <v>17578</v>
      </c>
      <c r="D2825" s="1" t="s">
        <v>11753</v>
      </c>
      <c r="E2825" s="1" t="s">
        <v>11754</v>
      </c>
      <c r="F2825" s="1" t="s">
        <v>17551</v>
      </c>
      <c r="G2825" s="1" t="s">
        <v>17552</v>
      </c>
    </row>
    <row r="2826" spans="1:7">
      <c r="A2826" s="1">
        <v>2825</v>
      </c>
      <c r="B2826" s="1" t="s">
        <v>17579</v>
      </c>
      <c r="D2826" s="1" t="s">
        <v>11770</v>
      </c>
      <c r="E2826" s="1" t="s">
        <v>3836</v>
      </c>
      <c r="F2826" s="1" t="s">
        <v>17536</v>
      </c>
      <c r="G2826" s="1" t="s">
        <v>17537</v>
      </c>
    </row>
    <row r="2827" spans="1:7">
      <c r="A2827" s="1">
        <v>2826</v>
      </c>
      <c r="B2827" s="1" t="s">
        <v>17580</v>
      </c>
      <c r="D2827" s="1" t="s">
        <v>11770</v>
      </c>
      <c r="E2827" s="1" t="s">
        <v>3839</v>
      </c>
      <c r="F2827" s="1" t="s">
        <v>17555</v>
      </c>
      <c r="G2827" s="1" t="s">
        <v>17556</v>
      </c>
    </row>
    <row r="2828" spans="1:7">
      <c r="A2828" s="1">
        <v>2827</v>
      </c>
      <c r="B2828" s="1" t="s">
        <v>17581</v>
      </c>
      <c r="D2828" s="1" t="s">
        <v>11770</v>
      </c>
      <c r="E2828" s="1" t="s">
        <v>3842</v>
      </c>
      <c r="F2828" s="1" t="s">
        <v>17539</v>
      </c>
      <c r="G2828" s="1" t="s">
        <v>17540</v>
      </c>
    </row>
    <row r="2829" spans="1:7">
      <c r="A2829" s="1">
        <v>2828</v>
      </c>
      <c r="B2829" s="1" t="s">
        <v>17582</v>
      </c>
      <c r="D2829" s="1" t="s">
        <v>11770</v>
      </c>
      <c r="E2829" s="1" t="s">
        <v>11779</v>
      </c>
      <c r="F2829" s="1" t="s">
        <v>17542</v>
      </c>
      <c r="G2829" s="1" t="s">
        <v>17543</v>
      </c>
    </row>
    <row r="2830" spans="1:7">
      <c r="A2830" s="1">
        <v>2829</v>
      </c>
      <c r="B2830" s="1" t="s">
        <v>17583</v>
      </c>
      <c r="D2830" s="1" t="s">
        <v>11770</v>
      </c>
      <c r="E2830" s="1" t="s">
        <v>3845</v>
      </c>
      <c r="F2830" s="1" t="s">
        <v>17545</v>
      </c>
      <c r="G2830" s="1" t="s">
        <v>17546</v>
      </c>
    </row>
    <row r="2831" spans="1:7">
      <c r="A2831" s="1">
        <v>2830</v>
      </c>
      <c r="B2831" s="1" t="s">
        <v>17584</v>
      </c>
      <c r="D2831" s="1" t="s">
        <v>11770</v>
      </c>
      <c r="E2831" s="1" t="s">
        <v>3848</v>
      </c>
      <c r="F2831" s="1" t="s">
        <v>17548</v>
      </c>
      <c r="G2831" s="1" t="s">
        <v>17549</v>
      </c>
    </row>
    <row r="2832" spans="1:7">
      <c r="A2832" s="1">
        <v>2831</v>
      </c>
      <c r="B2832" s="1" t="s">
        <v>17585</v>
      </c>
      <c r="D2832" s="1" t="s">
        <v>11784</v>
      </c>
      <c r="E2832" s="1" t="s">
        <v>11795</v>
      </c>
      <c r="F2832" s="1" t="s">
        <v>17536</v>
      </c>
      <c r="G2832" s="1" t="s">
        <v>17537</v>
      </c>
    </row>
    <row r="2833" spans="1:7">
      <c r="A2833" s="1">
        <v>2832</v>
      </c>
      <c r="B2833" s="1" t="s">
        <v>17586</v>
      </c>
      <c r="D2833" s="1" t="s">
        <v>11784</v>
      </c>
      <c r="E2833" s="1" t="s">
        <v>11785</v>
      </c>
      <c r="F2833" s="1" t="s">
        <v>17555</v>
      </c>
      <c r="G2833" s="1" t="s">
        <v>17556</v>
      </c>
    </row>
    <row r="2834" spans="1:7">
      <c r="A2834" s="1">
        <v>2833</v>
      </c>
      <c r="B2834" s="1" t="s">
        <v>17587</v>
      </c>
      <c r="D2834" s="1" t="s">
        <v>11784</v>
      </c>
      <c r="E2834" s="1" t="s">
        <v>11801</v>
      </c>
      <c r="F2834" s="1" t="s">
        <v>17539</v>
      </c>
      <c r="G2834" s="1" t="s">
        <v>17540</v>
      </c>
    </row>
    <row r="2835" spans="1:7">
      <c r="A2835" s="1">
        <v>2834</v>
      </c>
      <c r="B2835" s="1" t="s">
        <v>17588</v>
      </c>
      <c r="D2835" s="1" t="s">
        <v>11784</v>
      </c>
      <c r="E2835" s="1" t="s">
        <v>11797</v>
      </c>
      <c r="F2835" s="1" t="s">
        <v>17542</v>
      </c>
      <c r="G2835" s="1" t="s">
        <v>17543</v>
      </c>
    </row>
    <row r="2836" spans="1:7">
      <c r="A2836" s="1">
        <v>2835</v>
      </c>
      <c r="B2836" s="1" t="s">
        <v>17589</v>
      </c>
      <c r="D2836" s="1" t="s">
        <v>11784</v>
      </c>
      <c r="E2836" s="1" t="s">
        <v>11789</v>
      </c>
      <c r="F2836" s="1" t="s">
        <v>17545</v>
      </c>
      <c r="G2836" s="1" t="s">
        <v>17546</v>
      </c>
    </row>
    <row r="2837" spans="1:7">
      <c r="A2837" s="1">
        <v>2836</v>
      </c>
      <c r="B2837" s="1" t="s">
        <v>17590</v>
      </c>
      <c r="D2837" s="1" t="s">
        <v>11784</v>
      </c>
      <c r="E2837" s="1" t="s">
        <v>11791</v>
      </c>
      <c r="F2837" s="1" t="s">
        <v>17548</v>
      </c>
      <c r="G2837" s="1" t="s">
        <v>17549</v>
      </c>
    </row>
    <row r="2838" spans="1:7">
      <c r="A2838" s="1">
        <v>2837</v>
      </c>
      <c r="B2838" s="1" t="s">
        <v>17591</v>
      </c>
      <c r="D2838" s="1" t="s">
        <v>11803</v>
      </c>
      <c r="E2838" s="1" t="s">
        <v>11814</v>
      </c>
      <c r="F2838" s="1" t="s">
        <v>17536</v>
      </c>
      <c r="G2838" s="1" t="s">
        <v>17537</v>
      </c>
    </row>
    <row r="2839" spans="1:7">
      <c r="A2839" s="1">
        <v>2838</v>
      </c>
      <c r="B2839" s="1" t="s">
        <v>17592</v>
      </c>
      <c r="D2839" s="1" t="s">
        <v>11803</v>
      </c>
      <c r="E2839" s="1" t="s">
        <v>11804</v>
      </c>
      <c r="F2839" s="1" t="s">
        <v>17555</v>
      </c>
      <c r="G2839" s="1" t="s">
        <v>17556</v>
      </c>
    </row>
    <row r="2840" spans="1:7">
      <c r="A2840" s="1">
        <v>2839</v>
      </c>
      <c r="B2840" s="1" t="s">
        <v>17593</v>
      </c>
      <c r="D2840" s="1" t="s">
        <v>11803</v>
      </c>
      <c r="E2840" s="1" t="s">
        <v>11820</v>
      </c>
      <c r="F2840" s="1" t="s">
        <v>17539</v>
      </c>
      <c r="G2840" s="1" t="s">
        <v>17540</v>
      </c>
    </row>
    <row r="2841" spans="1:7">
      <c r="A2841" s="1">
        <v>2840</v>
      </c>
      <c r="B2841" s="1" t="s">
        <v>17594</v>
      </c>
      <c r="D2841" s="1" t="s">
        <v>11803</v>
      </c>
      <c r="E2841" s="1" t="s">
        <v>11816</v>
      </c>
      <c r="F2841" s="1" t="s">
        <v>17542</v>
      </c>
      <c r="G2841" s="1" t="s">
        <v>17543</v>
      </c>
    </row>
    <row r="2842" spans="1:7">
      <c r="A2842" s="1">
        <v>2841</v>
      </c>
      <c r="B2842" s="1" t="s">
        <v>17595</v>
      </c>
      <c r="D2842" s="1" t="s">
        <v>11803</v>
      </c>
      <c r="E2842" s="1" t="s">
        <v>11808</v>
      </c>
      <c r="F2842" s="1" t="s">
        <v>17545</v>
      </c>
      <c r="G2842" s="1" t="s">
        <v>17546</v>
      </c>
    </row>
    <row r="2843" spans="1:7">
      <c r="A2843" s="1">
        <v>2842</v>
      </c>
      <c r="B2843" s="1" t="s">
        <v>17596</v>
      </c>
      <c r="D2843" s="1" t="s">
        <v>11803</v>
      </c>
      <c r="E2843" s="1" t="s">
        <v>11810</v>
      </c>
      <c r="F2843" s="1" t="s">
        <v>17548</v>
      </c>
      <c r="G2843" s="1" t="s">
        <v>17549</v>
      </c>
    </row>
    <row r="2844" spans="1:7">
      <c r="A2844" s="1">
        <v>2843</v>
      </c>
      <c r="B2844" s="1" t="s">
        <v>17597</v>
      </c>
      <c r="D2844" s="1" t="s">
        <v>11822</v>
      </c>
      <c r="E2844" s="1" t="s">
        <v>11839</v>
      </c>
      <c r="F2844" s="1" t="s">
        <v>17536</v>
      </c>
      <c r="G2844" s="1" t="s">
        <v>17537</v>
      </c>
    </row>
    <row r="2845" spans="1:7">
      <c r="A2845" s="1">
        <v>2844</v>
      </c>
      <c r="B2845" s="1" t="s">
        <v>17598</v>
      </c>
      <c r="D2845" s="1" t="s">
        <v>11822</v>
      </c>
      <c r="E2845" s="1" t="s">
        <v>11825</v>
      </c>
      <c r="F2845" s="1" t="s">
        <v>17555</v>
      </c>
      <c r="G2845" s="1" t="s">
        <v>17556</v>
      </c>
    </row>
    <row r="2846" spans="1:7">
      <c r="A2846" s="1">
        <v>2845</v>
      </c>
      <c r="B2846" s="1" t="s">
        <v>17599</v>
      </c>
      <c r="D2846" s="1" t="s">
        <v>11822</v>
      </c>
      <c r="E2846" s="1" t="s">
        <v>11841</v>
      </c>
      <c r="F2846" s="1" t="s">
        <v>17539</v>
      </c>
      <c r="G2846" s="1" t="s">
        <v>17540</v>
      </c>
    </row>
    <row r="2847" spans="1:7">
      <c r="A2847" s="1">
        <v>2846</v>
      </c>
      <c r="B2847" s="1" t="s">
        <v>17600</v>
      </c>
      <c r="D2847" s="1" t="s">
        <v>11822</v>
      </c>
      <c r="E2847" s="1" t="s">
        <v>11823</v>
      </c>
      <c r="F2847" s="1" t="s">
        <v>17542</v>
      </c>
      <c r="G2847" s="1" t="s">
        <v>17543</v>
      </c>
    </row>
    <row r="2848" spans="1:7">
      <c r="A2848" s="1">
        <v>2847</v>
      </c>
      <c r="B2848" s="1" t="s">
        <v>17601</v>
      </c>
      <c r="D2848" s="1" t="s">
        <v>11822</v>
      </c>
      <c r="E2848" s="1" t="s">
        <v>11835</v>
      </c>
      <c r="F2848" s="1" t="s">
        <v>17602</v>
      </c>
      <c r="G2848" s="1" t="s">
        <v>17603</v>
      </c>
    </row>
    <row r="2849" spans="1:7">
      <c r="A2849" s="1">
        <v>2848</v>
      </c>
      <c r="B2849" s="1" t="s">
        <v>17604</v>
      </c>
      <c r="D2849" s="1" t="s">
        <v>11822</v>
      </c>
      <c r="E2849" s="1" t="s">
        <v>11829</v>
      </c>
      <c r="F2849" s="1" t="s">
        <v>17545</v>
      </c>
      <c r="G2849" s="1" t="s">
        <v>17546</v>
      </c>
    </row>
    <row r="2850" spans="1:7">
      <c r="A2850" s="1">
        <v>2849</v>
      </c>
      <c r="B2850" s="1" t="s">
        <v>17605</v>
      </c>
      <c r="D2850" s="1" t="s">
        <v>11822</v>
      </c>
      <c r="E2850" s="1" t="s">
        <v>11831</v>
      </c>
      <c r="F2850" s="1" t="s">
        <v>17548</v>
      </c>
      <c r="G2850" s="1" t="s">
        <v>17549</v>
      </c>
    </row>
    <row r="2851" spans="1:7">
      <c r="A2851" s="1">
        <v>2850</v>
      </c>
      <c r="B2851" s="1" t="s">
        <v>17606</v>
      </c>
      <c r="D2851" s="1" t="s">
        <v>11843</v>
      </c>
      <c r="E2851" s="1" t="s">
        <v>11854</v>
      </c>
      <c r="F2851" s="1" t="s">
        <v>17536</v>
      </c>
      <c r="G2851" s="1" t="s">
        <v>17537</v>
      </c>
    </row>
    <row r="2852" spans="1:7">
      <c r="A2852" s="1">
        <v>2851</v>
      </c>
      <c r="B2852" s="1" t="s">
        <v>17607</v>
      </c>
      <c r="D2852" s="1" t="s">
        <v>11843</v>
      </c>
      <c r="E2852" s="1" t="s">
        <v>11844</v>
      </c>
      <c r="F2852" s="1" t="s">
        <v>17555</v>
      </c>
      <c r="G2852" s="1" t="s">
        <v>17556</v>
      </c>
    </row>
    <row r="2853" spans="1:7">
      <c r="A2853" s="1">
        <v>2852</v>
      </c>
      <c r="B2853" s="1" t="s">
        <v>17608</v>
      </c>
      <c r="D2853" s="1" t="s">
        <v>11843</v>
      </c>
      <c r="E2853" s="1" t="s">
        <v>11860</v>
      </c>
      <c r="F2853" s="1" t="s">
        <v>17539</v>
      </c>
      <c r="G2853" s="1" t="s">
        <v>17540</v>
      </c>
    </row>
    <row r="2854" spans="1:7">
      <c r="A2854" s="1">
        <v>2853</v>
      </c>
      <c r="B2854" s="1" t="s">
        <v>17609</v>
      </c>
      <c r="D2854" s="1" t="s">
        <v>11843</v>
      </c>
      <c r="E2854" s="1" t="s">
        <v>11856</v>
      </c>
      <c r="F2854" s="1" t="s">
        <v>17542</v>
      </c>
      <c r="G2854" s="1" t="s">
        <v>17543</v>
      </c>
    </row>
    <row r="2855" spans="1:7">
      <c r="A2855" s="1">
        <v>2854</v>
      </c>
      <c r="B2855" s="1" t="s">
        <v>17610</v>
      </c>
      <c r="D2855" s="1" t="s">
        <v>11843</v>
      </c>
      <c r="E2855" s="1" t="s">
        <v>11848</v>
      </c>
      <c r="F2855" s="1" t="s">
        <v>17545</v>
      </c>
      <c r="G2855" s="1" t="s">
        <v>17546</v>
      </c>
    </row>
    <row r="2856" spans="1:7">
      <c r="A2856" s="1">
        <v>2855</v>
      </c>
      <c r="B2856" s="1" t="s">
        <v>17611</v>
      </c>
      <c r="D2856" s="1" t="s">
        <v>11843</v>
      </c>
      <c r="E2856" s="1" t="s">
        <v>11850</v>
      </c>
      <c r="F2856" s="1" t="s">
        <v>17548</v>
      </c>
      <c r="G2856" s="1" t="s">
        <v>17549</v>
      </c>
    </row>
    <row r="2857" spans="1:7">
      <c r="A2857" s="1">
        <v>2856</v>
      </c>
      <c r="B2857" s="1" t="s">
        <v>17612</v>
      </c>
      <c r="D2857" s="1" t="s">
        <v>11862</v>
      </c>
      <c r="E2857" s="1" t="s">
        <v>3859</v>
      </c>
      <c r="F2857" s="1" t="s">
        <v>17536</v>
      </c>
      <c r="G2857" s="1" t="s">
        <v>17537</v>
      </c>
    </row>
    <row r="2858" spans="1:7">
      <c r="A2858" s="1">
        <v>2857</v>
      </c>
      <c r="B2858" s="1" t="s">
        <v>17613</v>
      </c>
      <c r="D2858" s="1" t="s">
        <v>11862</v>
      </c>
      <c r="E2858" s="1" t="s">
        <v>3862</v>
      </c>
      <c r="F2858" s="1" t="s">
        <v>17555</v>
      </c>
      <c r="G2858" s="1" t="s">
        <v>17556</v>
      </c>
    </row>
    <row r="2859" spans="1:7">
      <c r="A2859" s="1">
        <v>2858</v>
      </c>
      <c r="B2859" s="1" t="s">
        <v>17614</v>
      </c>
      <c r="D2859" s="1" t="s">
        <v>11862</v>
      </c>
      <c r="E2859" s="1" t="s">
        <v>3865</v>
      </c>
      <c r="F2859" s="1" t="s">
        <v>17539</v>
      </c>
      <c r="G2859" s="1" t="s">
        <v>17540</v>
      </c>
    </row>
    <row r="2860" spans="1:7">
      <c r="A2860" s="1">
        <v>2859</v>
      </c>
      <c r="B2860" s="1" t="s">
        <v>17615</v>
      </c>
      <c r="D2860" s="1" t="s">
        <v>11862</v>
      </c>
      <c r="E2860" s="1" t="s">
        <v>3874</v>
      </c>
      <c r="F2860" s="1" t="s">
        <v>17542</v>
      </c>
      <c r="G2860" s="1" t="s">
        <v>17543</v>
      </c>
    </row>
    <row r="2861" spans="1:7">
      <c r="A2861" s="1">
        <v>2860</v>
      </c>
      <c r="B2861" s="1" t="s">
        <v>17616</v>
      </c>
      <c r="D2861" s="1" t="s">
        <v>11862</v>
      </c>
      <c r="E2861" s="1" t="s">
        <v>3868</v>
      </c>
      <c r="F2861" s="1" t="s">
        <v>17545</v>
      </c>
      <c r="G2861" s="1" t="s">
        <v>17546</v>
      </c>
    </row>
    <row r="2862" spans="1:7">
      <c r="A2862" s="1">
        <v>2861</v>
      </c>
      <c r="B2862" s="1" t="s">
        <v>17617</v>
      </c>
      <c r="D2862" s="1" t="s">
        <v>11862</v>
      </c>
      <c r="E2862" s="1" t="s">
        <v>3871</v>
      </c>
      <c r="F2862" s="1" t="s">
        <v>17548</v>
      </c>
      <c r="G2862" s="1" t="s">
        <v>17549</v>
      </c>
    </row>
    <row r="2863" spans="1:7">
      <c r="A2863" s="1">
        <v>2862</v>
      </c>
      <c r="B2863" s="1" t="s">
        <v>17618</v>
      </c>
      <c r="D2863" s="1" t="s">
        <v>11875</v>
      </c>
      <c r="E2863" s="1" t="s">
        <v>3910</v>
      </c>
      <c r="F2863" s="1" t="s">
        <v>17536</v>
      </c>
      <c r="G2863" s="1" t="s">
        <v>17537</v>
      </c>
    </row>
    <row r="2864" spans="1:7">
      <c r="A2864" s="1">
        <v>2863</v>
      </c>
      <c r="B2864" s="1" t="s">
        <v>17619</v>
      </c>
      <c r="D2864" s="1" t="s">
        <v>11875</v>
      </c>
      <c r="E2864" s="1" t="s">
        <v>3911</v>
      </c>
      <c r="F2864" s="1" t="s">
        <v>17555</v>
      </c>
      <c r="G2864" s="1" t="s">
        <v>17556</v>
      </c>
    </row>
    <row r="2865" spans="1:7">
      <c r="A2865" s="1">
        <v>2864</v>
      </c>
      <c r="B2865" s="1" t="s">
        <v>17620</v>
      </c>
      <c r="D2865" s="1" t="s">
        <v>11875</v>
      </c>
      <c r="E2865" s="1" t="s">
        <v>3912</v>
      </c>
      <c r="F2865" s="1" t="s">
        <v>17539</v>
      </c>
      <c r="G2865" s="1" t="s">
        <v>17540</v>
      </c>
    </row>
    <row r="2866" spans="1:7">
      <c r="A2866" s="1">
        <v>2865</v>
      </c>
      <c r="B2866" s="1" t="s">
        <v>17621</v>
      </c>
      <c r="D2866" s="1" t="s">
        <v>11875</v>
      </c>
      <c r="E2866" s="1" t="s">
        <v>11888</v>
      </c>
      <c r="F2866" s="1" t="s">
        <v>17542</v>
      </c>
      <c r="G2866" s="1" t="s">
        <v>17543</v>
      </c>
    </row>
    <row r="2867" spans="1:7">
      <c r="A2867" s="1">
        <v>2866</v>
      </c>
      <c r="B2867" s="1" t="s">
        <v>17622</v>
      </c>
      <c r="D2867" s="1" t="s">
        <v>11875</v>
      </c>
      <c r="E2867" s="1" t="s">
        <v>3913</v>
      </c>
      <c r="F2867" s="1" t="s">
        <v>17602</v>
      </c>
      <c r="G2867" s="1" t="s">
        <v>17603</v>
      </c>
    </row>
    <row r="2868" spans="1:7">
      <c r="A2868" s="1">
        <v>2867</v>
      </c>
      <c r="B2868" s="1" t="s">
        <v>17623</v>
      </c>
      <c r="D2868" s="1" t="s">
        <v>11875</v>
      </c>
      <c r="E2868" s="1" t="s">
        <v>3914</v>
      </c>
      <c r="F2868" s="1" t="s">
        <v>17545</v>
      </c>
      <c r="G2868" s="1" t="s">
        <v>17546</v>
      </c>
    </row>
    <row r="2869" spans="1:7">
      <c r="A2869" s="1">
        <v>2868</v>
      </c>
      <c r="B2869" s="1" t="s">
        <v>17624</v>
      </c>
      <c r="D2869" s="1" t="s">
        <v>11875</v>
      </c>
      <c r="E2869" s="1" t="s">
        <v>11880</v>
      </c>
      <c r="F2869" s="1" t="s">
        <v>17548</v>
      </c>
      <c r="G2869" s="1" t="s">
        <v>17549</v>
      </c>
    </row>
    <row r="2870" spans="1:7">
      <c r="A2870" s="1">
        <v>2869</v>
      </c>
      <c r="B2870" s="1" t="s">
        <v>17625</v>
      </c>
      <c r="D2870" s="1" t="s">
        <v>11893</v>
      </c>
      <c r="E2870" s="1" t="s">
        <v>11904</v>
      </c>
      <c r="F2870" s="1" t="s">
        <v>17536</v>
      </c>
      <c r="G2870" s="1" t="s">
        <v>17537</v>
      </c>
    </row>
    <row r="2871" spans="1:7">
      <c r="A2871" s="1">
        <v>2870</v>
      </c>
      <c r="B2871" s="1" t="s">
        <v>17626</v>
      </c>
      <c r="D2871" s="1" t="s">
        <v>11893</v>
      </c>
      <c r="E2871" s="1" t="s">
        <v>11894</v>
      </c>
      <c r="F2871" s="1" t="s">
        <v>17555</v>
      </c>
      <c r="G2871" s="1" t="s">
        <v>17556</v>
      </c>
    </row>
    <row r="2872" spans="1:7">
      <c r="A2872" s="1">
        <v>2871</v>
      </c>
      <c r="B2872" s="1" t="s">
        <v>17627</v>
      </c>
      <c r="D2872" s="1" t="s">
        <v>11893</v>
      </c>
      <c r="E2872" s="1" t="s">
        <v>11910</v>
      </c>
      <c r="F2872" s="1" t="s">
        <v>17539</v>
      </c>
      <c r="G2872" s="1" t="s">
        <v>17540</v>
      </c>
    </row>
    <row r="2873" spans="1:7">
      <c r="A2873" s="1">
        <v>2872</v>
      </c>
      <c r="B2873" s="1" t="s">
        <v>17628</v>
      </c>
      <c r="D2873" s="1" t="s">
        <v>11893</v>
      </c>
      <c r="E2873" s="1" t="s">
        <v>11906</v>
      </c>
      <c r="F2873" s="1" t="s">
        <v>17542</v>
      </c>
      <c r="G2873" s="1" t="s">
        <v>17543</v>
      </c>
    </row>
    <row r="2874" spans="1:7">
      <c r="A2874" s="1">
        <v>2873</v>
      </c>
      <c r="B2874" s="1" t="s">
        <v>17629</v>
      </c>
      <c r="D2874" s="1" t="s">
        <v>11893</v>
      </c>
      <c r="E2874" s="1" t="s">
        <v>11898</v>
      </c>
      <c r="F2874" s="1" t="s">
        <v>17545</v>
      </c>
      <c r="G2874" s="1" t="s">
        <v>17546</v>
      </c>
    </row>
    <row r="2875" spans="1:7">
      <c r="A2875" s="1">
        <v>2874</v>
      </c>
      <c r="B2875" s="1" t="s">
        <v>17630</v>
      </c>
      <c r="D2875" s="1" t="s">
        <v>11893</v>
      </c>
      <c r="E2875" s="1" t="s">
        <v>11900</v>
      </c>
      <c r="F2875" s="1" t="s">
        <v>17548</v>
      </c>
      <c r="G2875" s="1" t="s">
        <v>17549</v>
      </c>
    </row>
    <row r="2876" spans="1:7">
      <c r="A2876" s="1">
        <v>2875</v>
      </c>
      <c r="B2876" s="1" t="s">
        <v>17631</v>
      </c>
      <c r="D2876" s="1" t="s">
        <v>11912</v>
      </c>
      <c r="E2876" s="1" t="s">
        <v>6855</v>
      </c>
      <c r="F2876" s="1" t="s">
        <v>17632</v>
      </c>
      <c r="G2876" s="1" t="s">
        <v>17633</v>
      </c>
    </row>
    <row r="2877" spans="1:7">
      <c r="A2877" s="1">
        <v>2876</v>
      </c>
      <c r="B2877" s="1" t="s">
        <v>17634</v>
      </c>
      <c r="D2877" s="1" t="s">
        <v>11916</v>
      </c>
      <c r="E2877" s="1" t="s">
        <v>6859</v>
      </c>
      <c r="F2877" s="1" t="s">
        <v>17632</v>
      </c>
      <c r="G2877" s="1" t="s">
        <v>17633</v>
      </c>
    </row>
    <row r="2878" spans="1:7">
      <c r="A2878" s="1">
        <v>2877</v>
      </c>
      <c r="B2878" s="1" t="s">
        <v>17635</v>
      </c>
      <c r="D2878" s="1" t="s">
        <v>11916</v>
      </c>
      <c r="E2878" s="1" t="s">
        <v>6863</v>
      </c>
      <c r="F2878" s="1" t="s">
        <v>17636</v>
      </c>
      <c r="G2878" s="1" t="s">
        <v>17637</v>
      </c>
    </row>
    <row r="2879" spans="1:7">
      <c r="A2879" s="1">
        <v>2878</v>
      </c>
      <c r="B2879" s="1" t="s">
        <v>17638</v>
      </c>
      <c r="D2879" s="1" t="s">
        <v>11920</v>
      </c>
      <c r="E2879" s="1" t="s">
        <v>7478</v>
      </c>
      <c r="F2879" s="1" t="s">
        <v>17076</v>
      </c>
      <c r="G2879" s="1" t="s">
        <v>17077</v>
      </c>
    </row>
    <row r="2880" spans="1:7">
      <c r="A2880" s="1">
        <v>2879</v>
      </c>
      <c r="B2880" s="1" t="s">
        <v>17639</v>
      </c>
      <c r="D2880" s="1" t="s">
        <v>11920</v>
      </c>
      <c r="E2880" s="1" t="s">
        <v>2616</v>
      </c>
      <c r="F2880" s="1" t="s">
        <v>11939</v>
      </c>
      <c r="G2880" s="1" t="s">
        <v>11940</v>
      </c>
    </row>
    <row r="2881" spans="1:7">
      <c r="A2881" s="1">
        <v>2880</v>
      </c>
      <c r="B2881" s="1" t="s">
        <v>17640</v>
      </c>
      <c r="D2881" s="1" t="s">
        <v>11920</v>
      </c>
      <c r="E2881" s="1" t="s">
        <v>17641</v>
      </c>
      <c r="F2881" s="1" t="s">
        <v>17081</v>
      </c>
      <c r="G2881" s="1" t="s">
        <v>17082</v>
      </c>
    </row>
    <row r="2882" spans="1:7">
      <c r="A2882" s="1">
        <v>2881</v>
      </c>
      <c r="B2882" s="1" t="s">
        <v>17642</v>
      </c>
      <c r="D2882" s="1" t="s">
        <v>11920</v>
      </c>
      <c r="E2882" s="1" t="s">
        <v>11942</v>
      </c>
      <c r="F2882" s="1" t="s">
        <v>11943</v>
      </c>
      <c r="G2882" s="1" t="s">
        <v>996</v>
      </c>
    </row>
    <row r="2883" spans="1:7">
      <c r="A2883" s="1">
        <v>2882</v>
      </c>
      <c r="B2883" s="1" t="s">
        <v>17643</v>
      </c>
      <c r="D2883" s="1" t="s">
        <v>11920</v>
      </c>
      <c r="E2883" s="1" t="s">
        <v>11945</v>
      </c>
      <c r="F2883" s="1" t="s">
        <v>11946</v>
      </c>
      <c r="G2883" s="1" t="s">
        <v>999</v>
      </c>
    </row>
    <row r="2884" spans="1:7">
      <c r="A2884" s="1">
        <v>2883</v>
      </c>
      <c r="B2884" s="1" t="s">
        <v>17644</v>
      </c>
      <c r="D2884" s="1" t="s">
        <v>11920</v>
      </c>
      <c r="E2884" s="1" t="s">
        <v>7437</v>
      </c>
      <c r="F2884" s="1" t="s">
        <v>17086</v>
      </c>
      <c r="G2884" s="1" t="s">
        <v>17087</v>
      </c>
    </row>
    <row r="2885" spans="1:7">
      <c r="A2885" s="1">
        <v>2884</v>
      </c>
      <c r="B2885" s="1" t="s">
        <v>17645</v>
      </c>
      <c r="D2885" s="1" t="s">
        <v>11920</v>
      </c>
      <c r="E2885" s="1" t="s">
        <v>7441</v>
      </c>
      <c r="F2885" s="1" t="s">
        <v>17089</v>
      </c>
      <c r="G2885" s="1" t="s">
        <v>17090</v>
      </c>
    </row>
    <row r="2886" spans="1:7">
      <c r="A2886" s="1">
        <v>2885</v>
      </c>
      <c r="B2886" s="1" t="s">
        <v>17646</v>
      </c>
      <c r="D2886" s="1" t="s">
        <v>11920</v>
      </c>
      <c r="E2886" s="1" t="s">
        <v>11957</v>
      </c>
      <c r="F2886" s="1" t="s">
        <v>11958</v>
      </c>
      <c r="G2886" s="1" t="s">
        <v>1008</v>
      </c>
    </row>
    <row r="2887" spans="1:7">
      <c r="A2887" s="1">
        <v>2886</v>
      </c>
      <c r="B2887" s="1" t="s">
        <v>17647</v>
      </c>
      <c r="D2887" s="1" t="s">
        <v>11920</v>
      </c>
      <c r="E2887" s="1" t="s">
        <v>11960</v>
      </c>
      <c r="F2887" s="1" t="s">
        <v>11961</v>
      </c>
      <c r="G2887" s="1" t="s">
        <v>11962</v>
      </c>
    </row>
    <row r="2888" spans="1:7">
      <c r="A2888" s="1">
        <v>2887</v>
      </c>
      <c r="B2888" s="1" t="s">
        <v>17648</v>
      </c>
      <c r="D2888" s="1" t="s">
        <v>11920</v>
      </c>
      <c r="E2888" s="1" t="s">
        <v>7498</v>
      </c>
      <c r="F2888" s="1" t="s">
        <v>17094</v>
      </c>
      <c r="G2888" s="1" t="s">
        <v>17095</v>
      </c>
    </row>
    <row r="2889" spans="1:7">
      <c r="A2889" s="1">
        <v>2888</v>
      </c>
      <c r="B2889" s="1" t="s">
        <v>17649</v>
      </c>
      <c r="D2889" s="1" t="s">
        <v>11920</v>
      </c>
      <c r="E2889" s="1" t="s">
        <v>11964</v>
      </c>
      <c r="F2889" s="1" t="s">
        <v>11965</v>
      </c>
      <c r="G2889" s="1" t="s">
        <v>1014</v>
      </c>
    </row>
    <row r="2890" spans="1:7">
      <c r="A2890" s="1">
        <v>2889</v>
      </c>
      <c r="B2890" s="1" t="s">
        <v>17650</v>
      </c>
      <c r="D2890" s="1" t="s">
        <v>11920</v>
      </c>
      <c r="E2890" s="1" t="s">
        <v>11967</v>
      </c>
      <c r="F2890" s="1" t="s">
        <v>11968</v>
      </c>
      <c r="G2890" s="1" t="s">
        <v>1017</v>
      </c>
    </row>
    <row r="2891" spans="1:7">
      <c r="A2891" s="1">
        <v>2890</v>
      </c>
      <c r="B2891" s="1" t="s">
        <v>17651</v>
      </c>
      <c r="D2891" s="1" t="s">
        <v>11920</v>
      </c>
      <c r="E2891" s="1" t="s">
        <v>17652</v>
      </c>
      <c r="F2891" s="1" t="s">
        <v>17100</v>
      </c>
      <c r="G2891" s="1" t="s">
        <v>17101</v>
      </c>
    </row>
    <row r="2892" spans="1:7">
      <c r="A2892" s="1">
        <v>2891</v>
      </c>
      <c r="B2892" s="1" t="s">
        <v>17653</v>
      </c>
      <c r="D2892" s="1" t="s">
        <v>11920</v>
      </c>
      <c r="E2892" s="1" t="s">
        <v>11970</v>
      </c>
      <c r="F2892" s="1" t="s">
        <v>11971</v>
      </c>
      <c r="G2892" s="1" t="s">
        <v>1020</v>
      </c>
    </row>
    <row r="2893" spans="1:7">
      <c r="A2893" s="1">
        <v>2892</v>
      </c>
      <c r="B2893" s="1" t="s">
        <v>17654</v>
      </c>
      <c r="D2893" s="1" t="s">
        <v>11920</v>
      </c>
      <c r="E2893" s="1" t="s">
        <v>11973</v>
      </c>
      <c r="F2893" s="1" t="s">
        <v>11974</v>
      </c>
      <c r="G2893" s="1" t="s">
        <v>1020</v>
      </c>
    </row>
    <row r="2894" spans="1:7">
      <c r="A2894" s="1">
        <v>2893</v>
      </c>
      <c r="B2894" s="1" t="s">
        <v>17655</v>
      </c>
      <c r="D2894" s="1" t="s">
        <v>11920</v>
      </c>
      <c r="E2894" s="1" t="s">
        <v>11976</v>
      </c>
      <c r="F2894" s="1" t="s">
        <v>11977</v>
      </c>
      <c r="G2894" s="1" t="s">
        <v>1025</v>
      </c>
    </row>
    <row r="2895" spans="1:7">
      <c r="A2895" s="1">
        <v>2894</v>
      </c>
      <c r="B2895" s="1" t="s">
        <v>17656</v>
      </c>
      <c r="D2895" s="1" t="s">
        <v>11920</v>
      </c>
      <c r="E2895" s="1" t="s">
        <v>11979</v>
      </c>
      <c r="F2895" s="1" t="s">
        <v>11980</v>
      </c>
      <c r="G2895" s="1" t="s">
        <v>11981</v>
      </c>
    </row>
    <row r="2896" spans="1:7">
      <c r="A2896" s="1">
        <v>2895</v>
      </c>
      <c r="B2896" s="1" t="s">
        <v>17657</v>
      </c>
      <c r="D2896" s="1" t="s">
        <v>11920</v>
      </c>
      <c r="E2896" s="1" t="s">
        <v>11983</v>
      </c>
      <c r="F2896" s="1" t="s">
        <v>11984</v>
      </c>
      <c r="G2896" s="1" t="s">
        <v>1028</v>
      </c>
    </row>
    <row r="2897" spans="1:7">
      <c r="A2897" s="1">
        <v>2896</v>
      </c>
      <c r="B2897" s="1" t="s">
        <v>17658</v>
      </c>
      <c r="D2897" s="1" t="s">
        <v>11920</v>
      </c>
      <c r="E2897" s="1" t="s">
        <v>11986</v>
      </c>
      <c r="F2897" s="1" t="s">
        <v>11987</v>
      </c>
      <c r="G2897" s="1" t="s">
        <v>1031</v>
      </c>
    </row>
    <row r="2898" spans="1:7">
      <c r="A2898" s="1">
        <v>2897</v>
      </c>
      <c r="B2898" s="1" t="s">
        <v>17659</v>
      </c>
      <c r="D2898" s="1" t="s">
        <v>11920</v>
      </c>
      <c r="E2898" s="1" t="s">
        <v>11989</v>
      </c>
      <c r="F2898" s="1" t="s">
        <v>11990</v>
      </c>
      <c r="G2898" s="1" t="s">
        <v>1031</v>
      </c>
    </row>
    <row r="2899" spans="1:7">
      <c r="A2899" s="1">
        <v>2898</v>
      </c>
      <c r="B2899" s="1" t="s">
        <v>17660</v>
      </c>
      <c r="D2899" s="1" t="s">
        <v>11920</v>
      </c>
      <c r="E2899" s="1" t="s">
        <v>11992</v>
      </c>
      <c r="F2899" s="1" t="s">
        <v>11993</v>
      </c>
      <c r="G2899" s="1" t="s">
        <v>1036</v>
      </c>
    </row>
    <row r="2900" spans="1:7">
      <c r="A2900" s="1">
        <v>2899</v>
      </c>
      <c r="B2900" s="1" t="s">
        <v>17661</v>
      </c>
      <c r="D2900" s="1" t="s">
        <v>11920</v>
      </c>
      <c r="E2900" s="1" t="s">
        <v>17662</v>
      </c>
      <c r="F2900" s="1" t="s">
        <v>17112</v>
      </c>
      <c r="G2900" s="1" t="s">
        <v>17113</v>
      </c>
    </row>
    <row r="2901" spans="1:7">
      <c r="A2901" s="1">
        <v>2900</v>
      </c>
      <c r="B2901" s="1" t="s">
        <v>17663</v>
      </c>
      <c r="D2901" s="1" t="s">
        <v>11920</v>
      </c>
      <c r="E2901" s="1" t="s">
        <v>11995</v>
      </c>
      <c r="F2901" s="1" t="s">
        <v>11996</v>
      </c>
      <c r="G2901" s="1" t="s">
        <v>1039</v>
      </c>
    </row>
    <row r="2902" spans="1:7">
      <c r="A2902" s="1">
        <v>2901</v>
      </c>
      <c r="B2902" s="1" t="s">
        <v>17664</v>
      </c>
      <c r="D2902" s="1" t="s">
        <v>11920</v>
      </c>
      <c r="E2902" s="1" t="s">
        <v>11998</v>
      </c>
      <c r="F2902" s="1" t="s">
        <v>11999</v>
      </c>
      <c r="G2902" s="1" t="s">
        <v>1036</v>
      </c>
    </row>
    <row r="2903" spans="1:7">
      <c r="A2903" s="1">
        <v>2902</v>
      </c>
      <c r="B2903" s="1" t="s">
        <v>17665</v>
      </c>
      <c r="D2903" s="1" t="s">
        <v>11920</v>
      </c>
      <c r="E2903" s="1" t="s">
        <v>12001</v>
      </c>
      <c r="F2903" s="1" t="s">
        <v>12002</v>
      </c>
      <c r="G2903" s="1" t="s">
        <v>1044</v>
      </c>
    </row>
    <row r="2904" spans="1:7">
      <c r="A2904" s="1">
        <v>2903</v>
      </c>
      <c r="B2904" s="1" t="s">
        <v>17666</v>
      </c>
      <c r="D2904" s="1" t="s">
        <v>11920</v>
      </c>
      <c r="E2904" s="1" t="s">
        <v>12004</v>
      </c>
      <c r="F2904" s="1" t="s">
        <v>12005</v>
      </c>
      <c r="G2904" s="1" t="s">
        <v>1047</v>
      </c>
    </row>
    <row r="2905" spans="1:7">
      <c r="A2905" s="1">
        <v>2904</v>
      </c>
      <c r="B2905" s="1" t="s">
        <v>17667</v>
      </c>
      <c r="D2905" s="1" t="s">
        <v>11920</v>
      </c>
      <c r="E2905" s="1" t="s">
        <v>12007</v>
      </c>
      <c r="F2905" s="1" t="s">
        <v>12008</v>
      </c>
      <c r="G2905" s="1" t="s">
        <v>1050</v>
      </c>
    </row>
    <row r="2906" spans="1:7">
      <c r="A2906" s="1">
        <v>2905</v>
      </c>
      <c r="B2906" s="1" t="s">
        <v>17668</v>
      </c>
      <c r="D2906" s="1" t="s">
        <v>11920</v>
      </c>
      <c r="E2906" s="1" t="s">
        <v>17669</v>
      </c>
      <c r="F2906" s="1" t="s">
        <v>17121</v>
      </c>
      <c r="G2906" s="1" t="s">
        <v>17670</v>
      </c>
    </row>
    <row r="2907" spans="1:7">
      <c r="A2907" s="1">
        <v>2906</v>
      </c>
      <c r="B2907" s="1" t="s">
        <v>17671</v>
      </c>
      <c r="D2907" s="1" t="s">
        <v>11920</v>
      </c>
      <c r="E2907" s="1" t="s">
        <v>11933</v>
      </c>
      <c r="F2907" s="1" t="s">
        <v>17145</v>
      </c>
      <c r="G2907" s="1" t="s">
        <v>17672</v>
      </c>
    </row>
    <row r="2908" spans="1:7">
      <c r="A2908" s="1">
        <v>2907</v>
      </c>
      <c r="B2908" s="1" t="s">
        <v>17673</v>
      </c>
      <c r="D2908" s="1" t="s">
        <v>11920</v>
      </c>
      <c r="E2908" s="1" t="s">
        <v>11921</v>
      </c>
      <c r="F2908" s="1" t="s">
        <v>17128</v>
      </c>
      <c r="G2908" s="1" t="s">
        <v>17674</v>
      </c>
    </row>
    <row r="2909" spans="1:7">
      <c r="A2909" s="1">
        <v>2908</v>
      </c>
      <c r="B2909" s="1" t="s">
        <v>17675</v>
      </c>
      <c r="D2909" s="1" t="s">
        <v>11920</v>
      </c>
      <c r="E2909" s="1" t="s">
        <v>17676</v>
      </c>
      <c r="F2909" s="1" t="s">
        <v>17125</v>
      </c>
      <c r="G2909" s="1" t="s">
        <v>17677</v>
      </c>
    </row>
    <row r="2910" spans="1:7">
      <c r="A2910" s="1">
        <v>2909</v>
      </c>
      <c r="B2910" s="1" t="s">
        <v>17678</v>
      </c>
      <c r="D2910" s="1" t="s">
        <v>11920</v>
      </c>
      <c r="E2910" s="1" t="s">
        <v>11935</v>
      </c>
      <c r="F2910" s="1" t="s">
        <v>11936</v>
      </c>
      <c r="G2910" s="1" t="s">
        <v>11937</v>
      </c>
    </row>
    <row r="2911" spans="1:7">
      <c r="A2911" s="1">
        <v>2910</v>
      </c>
      <c r="B2911" s="1" t="s">
        <v>17679</v>
      </c>
      <c r="D2911" s="1" t="s">
        <v>11920</v>
      </c>
      <c r="E2911" s="1" t="s">
        <v>12010</v>
      </c>
      <c r="F2911" s="1" t="s">
        <v>12011</v>
      </c>
      <c r="G2911" s="1" t="s">
        <v>12012</v>
      </c>
    </row>
    <row r="2912" spans="1:7">
      <c r="A2912" s="1">
        <v>2911</v>
      </c>
      <c r="B2912" s="1" t="s">
        <v>17680</v>
      </c>
      <c r="D2912" s="1" t="s">
        <v>11920</v>
      </c>
      <c r="E2912" s="1" t="s">
        <v>12014</v>
      </c>
      <c r="F2912" s="1" t="s">
        <v>17136</v>
      </c>
      <c r="G2912" s="1" t="s">
        <v>17137</v>
      </c>
    </row>
    <row r="2913" spans="1:7">
      <c r="A2913" s="1">
        <v>2912</v>
      </c>
      <c r="B2913" s="1" t="s">
        <v>17681</v>
      </c>
      <c r="D2913" s="1" t="s">
        <v>11920</v>
      </c>
      <c r="E2913" s="1" t="s">
        <v>11929</v>
      </c>
      <c r="F2913" s="1" t="s">
        <v>17139</v>
      </c>
      <c r="G2913" s="1" t="s">
        <v>17682</v>
      </c>
    </row>
    <row r="2914" spans="1:7">
      <c r="A2914" s="1">
        <v>2913</v>
      </c>
      <c r="B2914" s="1" t="s">
        <v>17683</v>
      </c>
      <c r="D2914" s="1" t="s">
        <v>11920</v>
      </c>
      <c r="E2914" s="1" t="s">
        <v>11925</v>
      </c>
      <c r="F2914" s="1" t="s">
        <v>17142</v>
      </c>
      <c r="G2914" s="1" t="s">
        <v>17143</v>
      </c>
    </row>
    <row r="2915" spans="1:7">
      <c r="A2915" s="1">
        <v>2914</v>
      </c>
      <c r="B2915" s="1" t="s">
        <v>17684</v>
      </c>
      <c r="D2915" s="1" t="s">
        <v>17685</v>
      </c>
      <c r="E2915" s="1" t="s">
        <v>17686</v>
      </c>
      <c r="F2915" s="1" t="s">
        <v>17076</v>
      </c>
      <c r="G2915" s="1" t="s">
        <v>17077</v>
      </c>
    </row>
    <row r="2916" spans="1:7">
      <c r="A2916" s="1">
        <v>2915</v>
      </c>
      <c r="B2916" s="1" t="s">
        <v>17687</v>
      </c>
      <c r="D2916" s="1" t="s">
        <v>17685</v>
      </c>
      <c r="E2916" s="1" t="s">
        <v>17688</v>
      </c>
      <c r="F2916" s="1" t="s">
        <v>11939</v>
      </c>
      <c r="G2916" s="1" t="s">
        <v>11940</v>
      </c>
    </row>
    <row r="2917" spans="1:7">
      <c r="A2917" s="1">
        <v>2916</v>
      </c>
      <c r="B2917" s="1" t="s">
        <v>17689</v>
      </c>
      <c r="D2917" s="1" t="s">
        <v>17685</v>
      </c>
      <c r="E2917" s="1" t="s">
        <v>17690</v>
      </c>
      <c r="F2917" s="1" t="s">
        <v>17081</v>
      </c>
      <c r="G2917" s="1" t="s">
        <v>17082</v>
      </c>
    </row>
    <row r="2918" spans="1:7">
      <c r="A2918" s="1">
        <v>2917</v>
      </c>
      <c r="B2918" s="1" t="s">
        <v>17691</v>
      </c>
      <c r="D2918" s="1" t="s">
        <v>17685</v>
      </c>
      <c r="E2918" s="1" t="s">
        <v>17692</v>
      </c>
      <c r="F2918" s="1" t="s">
        <v>11943</v>
      </c>
      <c r="G2918" s="1" t="s">
        <v>996</v>
      </c>
    </row>
    <row r="2919" spans="1:7">
      <c r="A2919" s="1">
        <v>2918</v>
      </c>
      <c r="B2919" s="1" t="s">
        <v>17693</v>
      </c>
      <c r="D2919" s="1" t="s">
        <v>17685</v>
      </c>
      <c r="E2919" s="1" t="s">
        <v>17694</v>
      </c>
      <c r="F2919" s="1" t="s">
        <v>11946</v>
      </c>
      <c r="G2919" s="1" t="s">
        <v>999</v>
      </c>
    </row>
    <row r="2920" spans="1:7">
      <c r="A2920" s="1">
        <v>2919</v>
      </c>
      <c r="B2920" s="1" t="s">
        <v>17695</v>
      </c>
      <c r="D2920" s="1" t="s">
        <v>17685</v>
      </c>
      <c r="E2920" s="1" t="s">
        <v>17696</v>
      </c>
      <c r="F2920" s="1" t="s">
        <v>17086</v>
      </c>
      <c r="G2920" s="1" t="s">
        <v>17087</v>
      </c>
    </row>
    <row r="2921" spans="1:7">
      <c r="A2921" s="1">
        <v>2920</v>
      </c>
      <c r="B2921" s="1" t="s">
        <v>17697</v>
      </c>
      <c r="D2921" s="1" t="s">
        <v>17685</v>
      </c>
      <c r="E2921" s="1" t="s">
        <v>17698</v>
      </c>
      <c r="F2921" s="1" t="s">
        <v>17089</v>
      </c>
      <c r="G2921" s="1" t="s">
        <v>17090</v>
      </c>
    </row>
    <row r="2922" spans="1:7">
      <c r="A2922" s="1">
        <v>2921</v>
      </c>
      <c r="B2922" s="1" t="s">
        <v>17699</v>
      </c>
      <c r="D2922" s="1" t="s">
        <v>17685</v>
      </c>
      <c r="E2922" s="1" t="s">
        <v>17700</v>
      </c>
      <c r="F2922" s="1" t="s">
        <v>11958</v>
      </c>
      <c r="G2922" s="1" t="s">
        <v>1008</v>
      </c>
    </row>
    <row r="2923" spans="1:7">
      <c r="A2923" s="1">
        <v>2922</v>
      </c>
      <c r="B2923" s="1" t="s">
        <v>17701</v>
      </c>
      <c r="D2923" s="1" t="s">
        <v>17685</v>
      </c>
      <c r="E2923" s="1" t="s">
        <v>17702</v>
      </c>
      <c r="F2923" s="1" t="s">
        <v>11961</v>
      </c>
      <c r="G2923" s="1" t="s">
        <v>11962</v>
      </c>
    </row>
    <row r="2924" spans="1:7">
      <c r="A2924" s="1">
        <v>2923</v>
      </c>
      <c r="B2924" s="1" t="s">
        <v>17703</v>
      </c>
      <c r="D2924" s="1" t="s">
        <v>17685</v>
      </c>
      <c r="E2924" s="1" t="s">
        <v>17704</v>
      </c>
      <c r="F2924" s="1" t="s">
        <v>17094</v>
      </c>
      <c r="G2924" s="1" t="s">
        <v>17095</v>
      </c>
    </row>
    <row r="2925" spans="1:7">
      <c r="A2925" s="1">
        <v>2924</v>
      </c>
      <c r="B2925" s="1" t="s">
        <v>17705</v>
      </c>
      <c r="D2925" s="1" t="s">
        <v>17685</v>
      </c>
      <c r="E2925" s="1" t="s">
        <v>17706</v>
      </c>
      <c r="F2925" s="1" t="s">
        <v>11965</v>
      </c>
      <c r="G2925" s="1" t="s">
        <v>1014</v>
      </c>
    </row>
    <row r="2926" spans="1:7">
      <c r="A2926" s="1">
        <v>2925</v>
      </c>
      <c r="B2926" s="1" t="s">
        <v>17707</v>
      </c>
      <c r="D2926" s="1" t="s">
        <v>17685</v>
      </c>
      <c r="E2926" s="1" t="s">
        <v>17708</v>
      </c>
      <c r="F2926" s="1" t="s">
        <v>11968</v>
      </c>
      <c r="G2926" s="1" t="s">
        <v>1017</v>
      </c>
    </row>
    <row r="2927" spans="1:7">
      <c r="A2927" s="1">
        <v>2926</v>
      </c>
      <c r="B2927" s="1" t="s">
        <v>17709</v>
      </c>
      <c r="D2927" s="1" t="s">
        <v>17685</v>
      </c>
      <c r="E2927" s="1" t="s">
        <v>17710</v>
      </c>
      <c r="F2927" s="1" t="s">
        <v>17100</v>
      </c>
      <c r="G2927" s="1" t="s">
        <v>17101</v>
      </c>
    </row>
    <row r="2928" spans="1:7">
      <c r="A2928" s="1">
        <v>2927</v>
      </c>
      <c r="B2928" s="1" t="s">
        <v>17711</v>
      </c>
      <c r="D2928" s="1" t="s">
        <v>17685</v>
      </c>
      <c r="E2928" s="1" t="s">
        <v>17712</v>
      </c>
      <c r="F2928" s="1" t="s">
        <v>11971</v>
      </c>
      <c r="G2928" s="1" t="s">
        <v>1020</v>
      </c>
    </row>
    <row r="2929" spans="1:7">
      <c r="A2929" s="1">
        <v>2928</v>
      </c>
      <c r="B2929" s="1" t="s">
        <v>17713</v>
      </c>
      <c r="D2929" s="1" t="s">
        <v>17685</v>
      </c>
      <c r="E2929" s="1" t="s">
        <v>17714</v>
      </c>
      <c r="F2929" s="1" t="s">
        <v>11974</v>
      </c>
      <c r="G2929" s="1" t="s">
        <v>1020</v>
      </c>
    </row>
    <row r="2930" spans="1:7">
      <c r="A2930" s="1">
        <v>2929</v>
      </c>
      <c r="B2930" s="1" t="s">
        <v>17715</v>
      </c>
      <c r="D2930" s="1" t="s">
        <v>17685</v>
      </c>
      <c r="E2930" s="1" t="s">
        <v>17716</v>
      </c>
      <c r="F2930" s="1" t="s">
        <v>11977</v>
      </c>
      <c r="G2930" s="1" t="s">
        <v>1025</v>
      </c>
    </row>
    <row r="2931" spans="1:7">
      <c r="A2931" s="1">
        <v>2930</v>
      </c>
      <c r="B2931" s="1" t="s">
        <v>17717</v>
      </c>
      <c r="D2931" s="1" t="s">
        <v>17685</v>
      </c>
      <c r="E2931" s="1" t="s">
        <v>17718</v>
      </c>
      <c r="F2931" s="1" t="s">
        <v>11980</v>
      </c>
      <c r="G2931" s="1" t="s">
        <v>11981</v>
      </c>
    </row>
    <row r="2932" spans="1:7">
      <c r="A2932" s="1">
        <v>2931</v>
      </c>
      <c r="B2932" s="1" t="s">
        <v>17719</v>
      </c>
      <c r="D2932" s="1" t="s">
        <v>17685</v>
      </c>
      <c r="E2932" s="1" t="s">
        <v>17720</v>
      </c>
      <c r="F2932" s="1" t="s">
        <v>11984</v>
      </c>
      <c r="G2932" s="1" t="s">
        <v>1028</v>
      </c>
    </row>
    <row r="2933" spans="1:7">
      <c r="A2933" s="1">
        <v>2932</v>
      </c>
      <c r="B2933" s="1" t="s">
        <v>17721</v>
      </c>
      <c r="D2933" s="1" t="s">
        <v>17685</v>
      </c>
      <c r="E2933" s="1" t="s">
        <v>17722</v>
      </c>
      <c r="F2933" s="1" t="s">
        <v>11987</v>
      </c>
      <c r="G2933" s="1" t="s">
        <v>1031</v>
      </c>
    </row>
    <row r="2934" spans="1:7">
      <c r="A2934" s="1">
        <v>2933</v>
      </c>
      <c r="B2934" s="1" t="s">
        <v>17723</v>
      </c>
      <c r="D2934" s="1" t="s">
        <v>17685</v>
      </c>
      <c r="E2934" s="1" t="s">
        <v>17724</v>
      </c>
      <c r="F2934" s="1" t="s">
        <v>11990</v>
      </c>
      <c r="G2934" s="1" t="s">
        <v>1031</v>
      </c>
    </row>
    <row r="2935" spans="1:7">
      <c r="A2935" s="1">
        <v>2934</v>
      </c>
      <c r="B2935" s="1" t="s">
        <v>17725</v>
      </c>
      <c r="D2935" s="1" t="s">
        <v>17685</v>
      </c>
      <c r="E2935" s="1" t="s">
        <v>17726</v>
      </c>
      <c r="F2935" s="1" t="s">
        <v>11993</v>
      </c>
      <c r="G2935" s="1" t="s">
        <v>1036</v>
      </c>
    </row>
    <row r="2936" spans="1:7">
      <c r="A2936" s="1">
        <v>2935</v>
      </c>
      <c r="B2936" s="1" t="s">
        <v>17727</v>
      </c>
      <c r="D2936" s="1" t="s">
        <v>17685</v>
      </c>
      <c r="E2936" s="1" t="s">
        <v>17728</v>
      </c>
      <c r="F2936" s="1" t="s">
        <v>17112</v>
      </c>
      <c r="G2936" s="1" t="s">
        <v>17113</v>
      </c>
    </row>
    <row r="2937" spans="1:7">
      <c r="A2937" s="1">
        <v>2936</v>
      </c>
      <c r="B2937" s="1" t="s">
        <v>17729</v>
      </c>
      <c r="D2937" s="1" t="s">
        <v>17685</v>
      </c>
      <c r="E2937" s="1" t="s">
        <v>17730</v>
      </c>
      <c r="F2937" s="1" t="s">
        <v>11996</v>
      </c>
      <c r="G2937" s="1" t="s">
        <v>1039</v>
      </c>
    </row>
    <row r="2938" spans="1:7">
      <c r="A2938" s="1">
        <v>2937</v>
      </c>
      <c r="B2938" s="1" t="s">
        <v>17731</v>
      </c>
      <c r="D2938" s="1" t="s">
        <v>17685</v>
      </c>
      <c r="E2938" s="1" t="s">
        <v>17732</v>
      </c>
      <c r="F2938" s="1" t="s">
        <v>11999</v>
      </c>
      <c r="G2938" s="1" t="s">
        <v>1036</v>
      </c>
    </row>
    <row r="2939" spans="1:7">
      <c r="A2939" s="1">
        <v>2938</v>
      </c>
      <c r="B2939" s="1" t="s">
        <v>17733</v>
      </c>
      <c r="D2939" s="1" t="s">
        <v>17685</v>
      </c>
      <c r="E2939" s="1" t="s">
        <v>17734</v>
      </c>
      <c r="F2939" s="1" t="s">
        <v>12002</v>
      </c>
      <c r="G2939" s="1" t="s">
        <v>1044</v>
      </c>
    </row>
    <row r="2940" spans="1:7">
      <c r="A2940" s="1">
        <v>2939</v>
      </c>
      <c r="B2940" s="1" t="s">
        <v>17735</v>
      </c>
      <c r="D2940" s="1" t="s">
        <v>17685</v>
      </c>
      <c r="E2940" s="1" t="s">
        <v>17736</v>
      </c>
      <c r="F2940" s="1" t="s">
        <v>12005</v>
      </c>
      <c r="G2940" s="1" t="s">
        <v>1047</v>
      </c>
    </row>
    <row r="2941" spans="1:7">
      <c r="A2941" s="1">
        <v>2940</v>
      </c>
      <c r="B2941" s="1" t="s">
        <v>17737</v>
      </c>
      <c r="D2941" s="1" t="s">
        <v>17685</v>
      </c>
      <c r="E2941" s="1" t="s">
        <v>17738</v>
      </c>
      <c r="F2941" s="1" t="s">
        <v>12008</v>
      </c>
      <c r="G2941" s="1" t="s">
        <v>1050</v>
      </c>
    </row>
    <row r="2942" spans="1:7">
      <c r="A2942" s="1">
        <v>2941</v>
      </c>
      <c r="B2942" s="1" t="s">
        <v>17739</v>
      </c>
      <c r="D2942" s="1" t="s">
        <v>17685</v>
      </c>
      <c r="E2942" s="1" t="s">
        <v>17740</v>
      </c>
      <c r="F2942" s="1" t="s">
        <v>17121</v>
      </c>
      <c r="G2942" s="1" t="s">
        <v>17741</v>
      </c>
    </row>
    <row r="2943" spans="1:7">
      <c r="A2943" s="1">
        <v>2942</v>
      </c>
      <c r="B2943" s="1" t="s">
        <v>17742</v>
      </c>
      <c r="D2943" s="1" t="s">
        <v>17685</v>
      </c>
      <c r="E2943" s="1" t="s">
        <v>17743</v>
      </c>
      <c r="F2943" s="1" t="s">
        <v>17125</v>
      </c>
      <c r="G2943" s="1" t="s">
        <v>17744</v>
      </c>
    </row>
    <row r="2944" spans="1:7">
      <c r="A2944" s="1">
        <v>2943</v>
      </c>
      <c r="B2944" s="1" t="s">
        <v>17745</v>
      </c>
      <c r="D2944" s="1" t="s">
        <v>17685</v>
      </c>
      <c r="E2944" s="1" t="s">
        <v>17746</v>
      </c>
      <c r="F2944" s="1" t="s">
        <v>17128</v>
      </c>
      <c r="G2944" s="1" t="s">
        <v>17129</v>
      </c>
    </row>
    <row r="2945" spans="1:7">
      <c r="A2945" s="1">
        <v>2944</v>
      </c>
      <c r="B2945" s="1" t="s">
        <v>17747</v>
      </c>
      <c r="D2945" s="1" t="s">
        <v>17685</v>
      </c>
      <c r="E2945" s="1" t="s">
        <v>17748</v>
      </c>
      <c r="F2945" s="1" t="s">
        <v>17131</v>
      </c>
      <c r="G2945" s="1" t="s">
        <v>17132</v>
      </c>
    </row>
    <row r="2946" spans="1:7">
      <c r="A2946" s="1">
        <v>2945</v>
      </c>
      <c r="B2946" s="1" t="s">
        <v>17749</v>
      </c>
      <c r="D2946" s="1" t="s">
        <v>17685</v>
      </c>
      <c r="E2946" s="1" t="s">
        <v>17750</v>
      </c>
      <c r="F2946" s="1" t="s">
        <v>11936</v>
      </c>
      <c r="G2946" s="1" t="s">
        <v>11937</v>
      </c>
    </row>
    <row r="2947" spans="1:7">
      <c r="A2947" s="1">
        <v>2946</v>
      </c>
      <c r="B2947" s="1" t="s">
        <v>17751</v>
      </c>
      <c r="D2947" s="1" t="s">
        <v>17685</v>
      </c>
      <c r="E2947" s="1" t="s">
        <v>17752</v>
      </c>
      <c r="F2947" s="1" t="s">
        <v>12011</v>
      </c>
      <c r="G2947" s="1" t="s">
        <v>12012</v>
      </c>
    </row>
    <row r="2948" spans="1:7">
      <c r="A2948" s="1">
        <v>2947</v>
      </c>
      <c r="B2948" s="1" t="s">
        <v>17753</v>
      </c>
      <c r="D2948" s="1" t="s">
        <v>17685</v>
      </c>
      <c r="E2948" s="1" t="s">
        <v>17754</v>
      </c>
      <c r="F2948" s="1" t="s">
        <v>17136</v>
      </c>
      <c r="G2948" s="1" t="s">
        <v>17755</v>
      </c>
    </row>
    <row r="2949" spans="1:7">
      <c r="A2949" s="1">
        <v>2948</v>
      </c>
      <c r="B2949" s="1" t="s">
        <v>17756</v>
      </c>
      <c r="D2949" s="1" t="s">
        <v>17685</v>
      </c>
      <c r="E2949" s="1" t="s">
        <v>17757</v>
      </c>
      <c r="F2949" s="1" t="s">
        <v>17139</v>
      </c>
      <c r="G2949" s="1" t="s">
        <v>17758</v>
      </c>
    </row>
    <row r="2950" spans="1:7">
      <c r="A2950" s="1">
        <v>2949</v>
      </c>
      <c r="B2950" s="1" t="s">
        <v>17759</v>
      </c>
      <c r="D2950" s="1" t="s">
        <v>17685</v>
      </c>
      <c r="E2950" s="1" t="s">
        <v>17760</v>
      </c>
      <c r="F2950" s="1" t="s">
        <v>17142</v>
      </c>
      <c r="G2950" s="1" t="s">
        <v>17143</v>
      </c>
    </row>
    <row r="2951" spans="1:7">
      <c r="A2951" s="1">
        <v>2950</v>
      </c>
      <c r="B2951" s="1" t="s">
        <v>17761</v>
      </c>
      <c r="D2951" s="1" t="s">
        <v>17685</v>
      </c>
      <c r="E2951" s="1" t="s">
        <v>17762</v>
      </c>
      <c r="F2951" s="1" t="s">
        <v>17145</v>
      </c>
      <c r="G2951" s="1" t="s">
        <v>17146</v>
      </c>
    </row>
    <row r="2952" spans="1:7">
      <c r="A2952" s="1">
        <v>2951</v>
      </c>
      <c r="B2952" s="1" t="s">
        <v>17763</v>
      </c>
      <c r="D2952" s="1" t="s">
        <v>17764</v>
      </c>
      <c r="E2952" s="1" t="s">
        <v>17765</v>
      </c>
      <c r="F2952" s="1" t="s">
        <v>17076</v>
      </c>
      <c r="G2952" s="1" t="s">
        <v>17077</v>
      </c>
    </row>
    <row r="2953" spans="1:7">
      <c r="A2953" s="1">
        <v>2952</v>
      </c>
      <c r="B2953" s="1" t="s">
        <v>17766</v>
      </c>
      <c r="D2953" s="1" t="s">
        <v>17764</v>
      </c>
      <c r="E2953" s="1" t="s">
        <v>17767</v>
      </c>
      <c r="F2953" s="1" t="s">
        <v>11939</v>
      </c>
      <c r="G2953" s="1" t="s">
        <v>11940</v>
      </c>
    </row>
    <row r="2954" spans="1:7">
      <c r="A2954" s="1">
        <v>2953</v>
      </c>
      <c r="B2954" s="1" t="s">
        <v>17768</v>
      </c>
      <c r="D2954" s="1" t="s">
        <v>17764</v>
      </c>
      <c r="E2954" s="1" t="s">
        <v>17769</v>
      </c>
      <c r="F2954" s="1" t="s">
        <v>17081</v>
      </c>
      <c r="G2954" s="1" t="s">
        <v>17082</v>
      </c>
    </row>
    <row r="2955" spans="1:7">
      <c r="A2955" s="1">
        <v>2954</v>
      </c>
      <c r="B2955" s="1" t="s">
        <v>17770</v>
      </c>
      <c r="D2955" s="1" t="s">
        <v>17764</v>
      </c>
      <c r="E2955" s="1" t="s">
        <v>17771</v>
      </c>
      <c r="F2955" s="1" t="s">
        <v>11943</v>
      </c>
      <c r="G2955" s="1" t="s">
        <v>996</v>
      </c>
    </row>
    <row r="2956" spans="1:7">
      <c r="A2956" s="1">
        <v>2955</v>
      </c>
      <c r="B2956" s="1" t="s">
        <v>17772</v>
      </c>
      <c r="D2956" s="1" t="s">
        <v>17764</v>
      </c>
      <c r="E2956" s="1" t="s">
        <v>17773</v>
      </c>
      <c r="F2956" s="1" t="s">
        <v>11946</v>
      </c>
      <c r="G2956" s="1" t="s">
        <v>999</v>
      </c>
    </row>
    <row r="2957" spans="1:7">
      <c r="A2957" s="1">
        <v>2956</v>
      </c>
      <c r="B2957" s="1" t="s">
        <v>17774</v>
      </c>
      <c r="D2957" s="1" t="s">
        <v>17764</v>
      </c>
      <c r="E2957" s="1" t="s">
        <v>17775</v>
      </c>
      <c r="F2957" s="1" t="s">
        <v>17086</v>
      </c>
      <c r="G2957" s="1" t="s">
        <v>17087</v>
      </c>
    </row>
    <row r="2958" spans="1:7">
      <c r="A2958" s="1">
        <v>2957</v>
      </c>
      <c r="B2958" s="1" t="s">
        <v>17776</v>
      </c>
      <c r="D2958" s="1" t="s">
        <v>17764</v>
      </c>
      <c r="E2958" s="1" t="s">
        <v>17777</v>
      </c>
      <c r="F2958" s="1" t="s">
        <v>17089</v>
      </c>
      <c r="G2958" s="1" t="s">
        <v>17090</v>
      </c>
    </row>
    <row r="2959" spans="1:7">
      <c r="A2959" s="1">
        <v>2958</v>
      </c>
      <c r="B2959" s="1" t="s">
        <v>17778</v>
      </c>
      <c r="D2959" s="1" t="s">
        <v>17764</v>
      </c>
      <c r="E2959" s="1" t="s">
        <v>17779</v>
      </c>
      <c r="F2959" s="1" t="s">
        <v>11958</v>
      </c>
      <c r="G2959" s="1" t="s">
        <v>1008</v>
      </c>
    </row>
    <row r="2960" spans="1:7">
      <c r="A2960" s="1">
        <v>2959</v>
      </c>
      <c r="B2960" s="1" t="s">
        <v>17780</v>
      </c>
      <c r="D2960" s="1" t="s">
        <v>17764</v>
      </c>
      <c r="E2960" s="1" t="s">
        <v>17781</v>
      </c>
      <c r="F2960" s="1" t="s">
        <v>11961</v>
      </c>
      <c r="G2960" s="1" t="s">
        <v>11962</v>
      </c>
    </row>
    <row r="2961" spans="1:7">
      <c r="A2961" s="1">
        <v>2960</v>
      </c>
      <c r="B2961" s="1" t="s">
        <v>17782</v>
      </c>
      <c r="D2961" s="1" t="s">
        <v>17764</v>
      </c>
      <c r="E2961" s="1" t="s">
        <v>17783</v>
      </c>
      <c r="F2961" s="1" t="s">
        <v>17094</v>
      </c>
      <c r="G2961" s="1" t="s">
        <v>17095</v>
      </c>
    </row>
    <row r="2962" spans="1:7">
      <c r="A2962" s="1">
        <v>2961</v>
      </c>
      <c r="B2962" s="1" t="s">
        <v>17784</v>
      </c>
      <c r="D2962" s="1" t="s">
        <v>17764</v>
      </c>
      <c r="E2962" s="1" t="s">
        <v>17785</v>
      </c>
      <c r="F2962" s="1" t="s">
        <v>11965</v>
      </c>
      <c r="G2962" s="1" t="s">
        <v>1014</v>
      </c>
    </row>
    <row r="2963" spans="1:7">
      <c r="A2963" s="1">
        <v>2962</v>
      </c>
      <c r="B2963" s="1" t="s">
        <v>17786</v>
      </c>
      <c r="D2963" s="1" t="s">
        <v>17764</v>
      </c>
      <c r="E2963" s="1" t="s">
        <v>17787</v>
      </c>
      <c r="F2963" s="1" t="s">
        <v>11968</v>
      </c>
      <c r="G2963" s="1" t="s">
        <v>1017</v>
      </c>
    </row>
    <row r="2964" spans="1:7">
      <c r="A2964" s="1">
        <v>2963</v>
      </c>
      <c r="B2964" s="1" t="s">
        <v>17788</v>
      </c>
      <c r="D2964" s="1" t="s">
        <v>17764</v>
      </c>
      <c r="E2964" s="1" t="s">
        <v>17789</v>
      </c>
      <c r="F2964" s="1" t="s">
        <v>17100</v>
      </c>
      <c r="G2964" s="1" t="s">
        <v>17101</v>
      </c>
    </row>
    <row r="2965" spans="1:7">
      <c r="A2965" s="1">
        <v>2964</v>
      </c>
      <c r="B2965" s="1" t="s">
        <v>17790</v>
      </c>
      <c r="D2965" s="1" t="s">
        <v>17764</v>
      </c>
      <c r="E2965" s="1" t="s">
        <v>17791</v>
      </c>
      <c r="F2965" s="1" t="s">
        <v>11971</v>
      </c>
      <c r="G2965" s="1" t="s">
        <v>1020</v>
      </c>
    </row>
    <row r="2966" spans="1:7">
      <c r="A2966" s="1">
        <v>2965</v>
      </c>
      <c r="B2966" s="1" t="s">
        <v>17792</v>
      </c>
      <c r="D2966" s="1" t="s">
        <v>17764</v>
      </c>
      <c r="E2966" s="1" t="s">
        <v>17793</v>
      </c>
      <c r="F2966" s="1" t="s">
        <v>11974</v>
      </c>
      <c r="G2966" s="1" t="s">
        <v>1020</v>
      </c>
    </row>
    <row r="2967" spans="1:7">
      <c r="A2967" s="1">
        <v>2966</v>
      </c>
      <c r="B2967" s="1" t="s">
        <v>17794</v>
      </c>
      <c r="D2967" s="1" t="s">
        <v>17764</v>
      </c>
      <c r="E2967" s="1" t="s">
        <v>17795</v>
      </c>
      <c r="F2967" s="1" t="s">
        <v>11977</v>
      </c>
      <c r="G2967" s="1" t="s">
        <v>1025</v>
      </c>
    </row>
    <row r="2968" spans="1:7">
      <c r="A2968" s="1">
        <v>2967</v>
      </c>
      <c r="B2968" s="1" t="s">
        <v>17796</v>
      </c>
      <c r="D2968" s="1" t="s">
        <v>17764</v>
      </c>
      <c r="E2968" s="1" t="s">
        <v>17797</v>
      </c>
      <c r="F2968" s="1" t="s">
        <v>11980</v>
      </c>
      <c r="G2968" s="1" t="s">
        <v>11981</v>
      </c>
    </row>
    <row r="2969" spans="1:7">
      <c r="A2969" s="1">
        <v>2968</v>
      </c>
      <c r="B2969" s="1" t="s">
        <v>17798</v>
      </c>
      <c r="D2969" s="1" t="s">
        <v>17764</v>
      </c>
      <c r="E2969" s="1" t="s">
        <v>17799</v>
      </c>
      <c r="F2969" s="1" t="s">
        <v>11984</v>
      </c>
      <c r="G2969" s="1" t="s">
        <v>1028</v>
      </c>
    </row>
    <row r="2970" spans="1:7">
      <c r="A2970" s="1">
        <v>2969</v>
      </c>
      <c r="B2970" s="1" t="s">
        <v>17800</v>
      </c>
      <c r="D2970" s="1" t="s">
        <v>17764</v>
      </c>
      <c r="E2970" s="1" t="s">
        <v>17801</v>
      </c>
      <c r="F2970" s="1" t="s">
        <v>11987</v>
      </c>
      <c r="G2970" s="1" t="s">
        <v>1031</v>
      </c>
    </row>
    <row r="2971" spans="1:7">
      <c r="A2971" s="1">
        <v>2970</v>
      </c>
      <c r="B2971" s="1" t="s">
        <v>17802</v>
      </c>
      <c r="D2971" s="1" t="s">
        <v>17764</v>
      </c>
      <c r="E2971" s="1" t="s">
        <v>17803</v>
      </c>
      <c r="F2971" s="1" t="s">
        <v>11990</v>
      </c>
      <c r="G2971" s="1" t="s">
        <v>1031</v>
      </c>
    </row>
    <row r="2972" spans="1:7">
      <c r="A2972" s="1">
        <v>2971</v>
      </c>
      <c r="B2972" s="1" t="s">
        <v>17804</v>
      </c>
      <c r="D2972" s="1" t="s">
        <v>17764</v>
      </c>
      <c r="E2972" s="1" t="s">
        <v>17805</v>
      </c>
      <c r="F2972" s="1" t="s">
        <v>11993</v>
      </c>
      <c r="G2972" s="1" t="s">
        <v>1036</v>
      </c>
    </row>
    <row r="2973" spans="1:7">
      <c r="A2973" s="1">
        <v>2972</v>
      </c>
      <c r="B2973" s="1" t="s">
        <v>17806</v>
      </c>
      <c r="D2973" s="1" t="s">
        <v>17764</v>
      </c>
      <c r="E2973" s="1" t="s">
        <v>17807</v>
      </c>
      <c r="F2973" s="1" t="s">
        <v>17112</v>
      </c>
      <c r="G2973" s="1" t="s">
        <v>17113</v>
      </c>
    </row>
    <row r="2974" spans="1:7">
      <c r="A2974" s="1">
        <v>2973</v>
      </c>
      <c r="B2974" s="1" t="s">
        <v>17808</v>
      </c>
      <c r="D2974" s="1" t="s">
        <v>17764</v>
      </c>
      <c r="E2974" s="1" t="s">
        <v>17809</v>
      </c>
      <c r="F2974" s="1" t="s">
        <v>11996</v>
      </c>
      <c r="G2974" s="1" t="s">
        <v>1039</v>
      </c>
    </row>
    <row r="2975" spans="1:7">
      <c r="A2975" s="1">
        <v>2974</v>
      </c>
      <c r="B2975" s="1" t="s">
        <v>17810</v>
      </c>
      <c r="D2975" s="1" t="s">
        <v>17764</v>
      </c>
      <c r="E2975" s="1" t="s">
        <v>17811</v>
      </c>
      <c r="F2975" s="1" t="s">
        <v>11999</v>
      </c>
      <c r="G2975" s="1" t="s">
        <v>1036</v>
      </c>
    </row>
    <row r="2976" spans="1:7">
      <c r="A2976" s="1">
        <v>2975</v>
      </c>
      <c r="B2976" s="1" t="s">
        <v>17812</v>
      </c>
      <c r="D2976" s="1" t="s">
        <v>17764</v>
      </c>
      <c r="E2976" s="1" t="s">
        <v>17813</v>
      </c>
      <c r="F2976" s="1" t="s">
        <v>12002</v>
      </c>
      <c r="G2976" s="1" t="s">
        <v>1044</v>
      </c>
    </row>
    <row r="2977" spans="1:7">
      <c r="A2977" s="1">
        <v>2976</v>
      </c>
      <c r="B2977" s="1" t="s">
        <v>17814</v>
      </c>
      <c r="D2977" s="1" t="s">
        <v>17764</v>
      </c>
      <c r="E2977" s="1" t="s">
        <v>17815</v>
      </c>
      <c r="F2977" s="1" t="s">
        <v>12005</v>
      </c>
      <c r="G2977" s="1" t="s">
        <v>1047</v>
      </c>
    </row>
    <row r="2978" spans="1:7">
      <c r="A2978" s="1">
        <v>2977</v>
      </c>
      <c r="B2978" s="1" t="s">
        <v>17816</v>
      </c>
      <c r="D2978" s="1" t="s">
        <v>17764</v>
      </c>
      <c r="E2978" s="1" t="s">
        <v>17817</v>
      </c>
      <c r="F2978" s="1" t="s">
        <v>12008</v>
      </c>
      <c r="G2978" s="1" t="s">
        <v>1050</v>
      </c>
    </row>
    <row r="2979" spans="1:7">
      <c r="A2979" s="1">
        <v>2978</v>
      </c>
      <c r="B2979" s="1" t="s">
        <v>17818</v>
      </c>
      <c r="D2979" s="1" t="s">
        <v>17764</v>
      </c>
      <c r="E2979" s="1" t="s">
        <v>17819</v>
      </c>
      <c r="F2979" s="1" t="s">
        <v>17121</v>
      </c>
      <c r="G2979" s="1" t="s">
        <v>17820</v>
      </c>
    </row>
    <row r="2980" spans="1:7">
      <c r="A2980" s="1">
        <v>2979</v>
      </c>
      <c r="B2980" s="1" t="s">
        <v>17821</v>
      </c>
      <c r="D2980" s="1" t="s">
        <v>17764</v>
      </c>
      <c r="E2980" s="1" t="s">
        <v>17822</v>
      </c>
      <c r="F2980" s="1" t="s">
        <v>17125</v>
      </c>
      <c r="G2980" s="1" t="s">
        <v>17744</v>
      </c>
    </row>
    <row r="2981" spans="1:7">
      <c r="A2981" s="1">
        <v>2980</v>
      </c>
      <c r="B2981" s="1" t="s">
        <v>17823</v>
      </c>
      <c r="D2981" s="1" t="s">
        <v>17764</v>
      </c>
      <c r="E2981" s="1" t="s">
        <v>17824</v>
      </c>
      <c r="F2981" s="1" t="s">
        <v>17128</v>
      </c>
      <c r="G2981" s="1" t="s">
        <v>17674</v>
      </c>
    </row>
    <row r="2982" spans="1:7">
      <c r="A2982" s="1">
        <v>2981</v>
      </c>
      <c r="B2982" s="1" t="s">
        <v>17825</v>
      </c>
      <c r="D2982" s="1" t="s">
        <v>17764</v>
      </c>
      <c r="E2982" s="1" t="s">
        <v>17826</v>
      </c>
      <c r="F2982" s="1" t="s">
        <v>17131</v>
      </c>
      <c r="G2982" s="1" t="s">
        <v>17132</v>
      </c>
    </row>
    <row r="2983" spans="1:7">
      <c r="A2983" s="1">
        <v>2982</v>
      </c>
      <c r="B2983" s="1" t="s">
        <v>17827</v>
      </c>
      <c r="D2983" s="1" t="s">
        <v>17764</v>
      </c>
      <c r="E2983" s="1" t="s">
        <v>17828</v>
      </c>
      <c r="F2983" s="1" t="s">
        <v>11936</v>
      </c>
      <c r="G2983" s="1" t="s">
        <v>11937</v>
      </c>
    </row>
    <row r="2984" spans="1:7">
      <c r="A2984" s="1">
        <v>2983</v>
      </c>
      <c r="B2984" s="1" t="s">
        <v>17829</v>
      </c>
      <c r="D2984" s="1" t="s">
        <v>17764</v>
      </c>
      <c r="E2984" s="1" t="s">
        <v>17830</v>
      </c>
      <c r="F2984" s="1" t="s">
        <v>12011</v>
      </c>
      <c r="G2984" s="1" t="s">
        <v>12012</v>
      </c>
    </row>
    <row r="2985" spans="1:7">
      <c r="A2985" s="1">
        <v>2984</v>
      </c>
      <c r="B2985" s="1" t="s">
        <v>17831</v>
      </c>
      <c r="D2985" s="1" t="s">
        <v>17764</v>
      </c>
      <c r="E2985" s="1" t="s">
        <v>17832</v>
      </c>
      <c r="F2985" s="1" t="s">
        <v>17136</v>
      </c>
      <c r="G2985" s="1" t="s">
        <v>17137</v>
      </c>
    </row>
    <row r="2986" spans="1:7">
      <c r="A2986" s="1">
        <v>2985</v>
      </c>
      <c r="B2986" s="1" t="s">
        <v>17833</v>
      </c>
      <c r="D2986" s="1" t="s">
        <v>17764</v>
      </c>
      <c r="E2986" s="1" t="s">
        <v>17834</v>
      </c>
      <c r="F2986" s="1" t="s">
        <v>17139</v>
      </c>
      <c r="G2986" s="1" t="s">
        <v>17140</v>
      </c>
    </row>
    <row r="2987" spans="1:7">
      <c r="A2987" s="1">
        <v>2986</v>
      </c>
      <c r="B2987" s="1" t="s">
        <v>17835</v>
      </c>
      <c r="D2987" s="1" t="s">
        <v>17764</v>
      </c>
      <c r="E2987" s="1" t="s">
        <v>17836</v>
      </c>
      <c r="F2987" s="1" t="s">
        <v>17142</v>
      </c>
      <c r="G2987" s="1" t="s">
        <v>17837</v>
      </c>
    </row>
    <row r="2988" spans="1:7">
      <c r="A2988" s="1">
        <v>2987</v>
      </c>
      <c r="B2988" s="1" t="s">
        <v>17838</v>
      </c>
      <c r="D2988" s="1" t="s">
        <v>17764</v>
      </c>
      <c r="E2988" s="1" t="s">
        <v>17839</v>
      </c>
      <c r="F2988" s="1" t="s">
        <v>17145</v>
      </c>
      <c r="G2988" s="1" t="s">
        <v>17840</v>
      </c>
    </row>
    <row r="2989" spans="1:7">
      <c r="A2989" s="1">
        <v>2988</v>
      </c>
      <c r="B2989" s="1" t="s">
        <v>17841</v>
      </c>
      <c r="D2989" s="1" t="s">
        <v>12018</v>
      </c>
      <c r="E2989" s="1" t="s">
        <v>7486</v>
      </c>
      <c r="F2989" s="1" t="s">
        <v>17149</v>
      </c>
      <c r="G2989" s="1" t="s">
        <v>17150</v>
      </c>
    </row>
    <row r="2990" spans="1:7">
      <c r="A2990" s="1">
        <v>2989</v>
      </c>
      <c r="B2990" s="1" t="s">
        <v>17842</v>
      </c>
      <c r="D2990" s="1" t="s">
        <v>12018</v>
      </c>
      <c r="E2990" s="1" t="s">
        <v>12037</v>
      </c>
      <c r="F2990" s="1" t="s">
        <v>12038</v>
      </c>
      <c r="G2990" s="1" t="s">
        <v>1076</v>
      </c>
    </row>
    <row r="2991" spans="1:7">
      <c r="A2991" s="1">
        <v>2990</v>
      </c>
      <c r="B2991" s="1" t="s">
        <v>17843</v>
      </c>
      <c r="D2991" s="1" t="s">
        <v>12018</v>
      </c>
      <c r="E2991" s="1" t="s">
        <v>12040</v>
      </c>
      <c r="F2991" s="1" t="s">
        <v>12041</v>
      </c>
      <c r="G2991" s="1" t="s">
        <v>1081</v>
      </c>
    </row>
    <row r="2992" spans="1:7">
      <c r="A2992" s="1">
        <v>2991</v>
      </c>
      <c r="B2992" s="1" t="s">
        <v>17844</v>
      </c>
      <c r="D2992" s="1" t="s">
        <v>12018</v>
      </c>
      <c r="E2992" s="1" t="s">
        <v>12043</v>
      </c>
      <c r="F2992" s="1" t="s">
        <v>12044</v>
      </c>
      <c r="G2992" s="1" t="s">
        <v>1076</v>
      </c>
    </row>
    <row r="2993" spans="1:7">
      <c r="A2993" s="1">
        <v>2992</v>
      </c>
      <c r="B2993" s="1" t="s">
        <v>17845</v>
      </c>
      <c r="D2993" s="1" t="s">
        <v>12018</v>
      </c>
      <c r="E2993" s="1" t="s">
        <v>2624</v>
      </c>
      <c r="F2993" s="1" t="s">
        <v>12046</v>
      </c>
      <c r="G2993" s="1" t="s">
        <v>12047</v>
      </c>
    </row>
    <row r="2994" spans="1:7">
      <c r="A2994" s="1">
        <v>2993</v>
      </c>
      <c r="B2994" s="1" t="s">
        <v>17846</v>
      </c>
      <c r="D2994" s="1" t="s">
        <v>12018</v>
      </c>
      <c r="E2994" s="1" t="s">
        <v>17847</v>
      </c>
      <c r="F2994" s="1" t="s">
        <v>17157</v>
      </c>
      <c r="G2994" s="1" t="s">
        <v>17158</v>
      </c>
    </row>
    <row r="2995" spans="1:7">
      <c r="A2995" s="1">
        <v>2994</v>
      </c>
      <c r="B2995" s="1" t="s">
        <v>17848</v>
      </c>
      <c r="D2995" s="1" t="s">
        <v>12018</v>
      </c>
      <c r="E2995" s="1" t="s">
        <v>17849</v>
      </c>
      <c r="F2995" s="1" t="s">
        <v>17162</v>
      </c>
      <c r="G2995" s="1" t="s">
        <v>17163</v>
      </c>
    </row>
    <row r="2996" spans="1:7">
      <c r="A2996" s="1">
        <v>2995</v>
      </c>
      <c r="B2996" s="1" t="s">
        <v>17850</v>
      </c>
      <c r="D2996" s="1" t="s">
        <v>12018</v>
      </c>
      <c r="E2996" s="1" t="s">
        <v>12049</v>
      </c>
      <c r="F2996" s="1" t="s">
        <v>12050</v>
      </c>
      <c r="G2996" s="1" t="s">
        <v>1084</v>
      </c>
    </row>
    <row r="2997" spans="1:7">
      <c r="A2997" s="1">
        <v>2996</v>
      </c>
      <c r="B2997" s="1" t="s">
        <v>17851</v>
      </c>
      <c r="D2997" s="1" t="s">
        <v>12018</v>
      </c>
      <c r="E2997" s="1" t="s">
        <v>10437</v>
      </c>
      <c r="F2997" s="1" t="s">
        <v>17166</v>
      </c>
      <c r="G2997" s="1" t="s">
        <v>17167</v>
      </c>
    </row>
    <row r="2998" spans="1:7">
      <c r="A2998" s="1">
        <v>2997</v>
      </c>
      <c r="B2998" s="1" t="s">
        <v>17852</v>
      </c>
      <c r="D2998" s="1" t="s">
        <v>12018</v>
      </c>
      <c r="E2998" s="1" t="s">
        <v>10441</v>
      </c>
      <c r="F2998" s="1" t="s">
        <v>17170</v>
      </c>
      <c r="G2998" s="1" t="s">
        <v>17167</v>
      </c>
    </row>
    <row r="2999" spans="1:7">
      <c r="A2999" s="1">
        <v>2998</v>
      </c>
      <c r="B2999" s="1" t="s">
        <v>17853</v>
      </c>
      <c r="D2999" s="1" t="s">
        <v>12018</v>
      </c>
      <c r="E2999" s="1" t="s">
        <v>7453</v>
      </c>
      <c r="F2999" s="1" t="s">
        <v>17172</v>
      </c>
      <c r="G2999" s="1" t="s">
        <v>17173</v>
      </c>
    </row>
    <row r="3000" spans="1:7">
      <c r="A3000" s="1">
        <v>2999</v>
      </c>
      <c r="B3000" s="1" t="s">
        <v>17854</v>
      </c>
      <c r="D3000" s="1" t="s">
        <v>12018</v>
      </c>
      <c r="E3000" s="1" t="s">
        <v>7469</v>
      </c>
      <c r="F3000" s="1" t="s">
        <v>17175</v>
      </c>
      <c r="G3000" s="1" t="s">
        <v>17176</v>
      </c>
    </row>
    <row r="3001" spans="1:7">
      <c r="A3001" s="1">
        <v>3000</v>
      </c>
      <c r="B3001" s="1" t="s">
        <v>17855</v>
      </c>
      <c r="D3001" s="1" t="s">
        <v>12018</v>
      </c>
      <c r="E3001" s="1" t="s">
        <v>12055</v>
      </c>
      <c r="F3001" s="1" t="s">
        <v>12056</v>
      </c>
      <c r="G3001" s="1" t="s">
        <v>1090</v>
      </c>
    </row>
    <row r="3002" spans="1:7">
      <c r="A3002" s="1">
        <v>3001</v>
      </c>
      <c r="B3002" s="1" t="s">
        <v>17856</v>
      </c>
      <c r="D3002" s="1" t="s">
        <v>12018</v>
      </c>
      <c r="E3002" s="1" t="s">
        <v>2626</v>
      </c>
      <c r="F3002" s="1" t="s">
        <v>12058</v>
      </c>
      <c r="G3002" s="1" t="s">
        <v>12059</v>
      </c>
    </row>
    <row r="3003" spans="1:7">
      <c r="A3003" s="1">
        <v>3002</v>
      </c>
      <c r="B3003" s="1" t="s">
        <v>17857</v>
      </c>
      <c r="D3003" s="1" t="s">
        <v>12018</v>
      </c>
      <c r="E3003" s="1" t="s">
        <v>12061</v>
      </c>
      <c r="F3003" s="1" t="s">
        <v>12062</v>
      </c>
      <c r="G3003" s="1" t="s">
        <v>1081</v>
      </c>
    </row>
    <row r="3004" spans="1:7">
      <c r="A3004" s="1">
        <v>3003</v>
      </c>
      <c r="B3004" s="1" t="s">
        <v>17858</v>
      </c>
      <c r="D3004" s="1" t="s">
        <v>12018</v>
      </c>
      <c r="E3004" s="1" t="s">
        <v>12064</v>
      </c>
      <c r="F3004" s="1" t="s">
        <v>12065</v>
      </c>
      <c r="G3004" s="1" t="s">
        <v>12066</v>
      </c>
    </row>
    <row r="3005" spans="1:7">
      <c r="A3005" s="1">
        <v>3004</v>
      </c>
      <c r="B3005" s="1" t="s">
        <v>17859</v>
      </c>
      <c r="D3005" s="1" t="s">
        <v>12018</v>
      </c>
      <c r="E3005" s="1" t="s">
        <v>7502</v>
      </c>
      <c r="F3005" s="1" t="s">
        <v>17183</v>
      </c>
      <c r="G3005" s="1" t="s">
        <v>17184</v>
      </c>
    </row>
    <row r="3006" spans="1:7">
      <c r="A3006" s="1">
        <v>3005</v>
      </c>
      <c r="B3006" s="1" t="s">
        <v>17860</v>
      </c>
      <c r="D3006" s="1" t="s">
        <v>12018</v>
      </c>
      <c r="E3006" s="1" t="s">
        <v>12068</v>
      </c>
      <c r="F3006" s="1" t="s">
        <v>12069</v>
      </c>
      <c r="G3006" s="1" t="s">
        <v>1098</v>
      </c>
    </row>
    <row r="3007" spans="1:7">
      <c r="A3007" s="1">
        <v>3006</v>
      </c>
      <c r="B3007" s="1" t="s">
        <v>17861</v>
      </c>
      <c r="D3007" s="1" t="s">
        <v>12018</v>
      </c>
      <c r="E3007" s="1" t="s">
        <v>12071</v>
      </c>
      <c r="F3007" s="1" t="s">
        <v>12072</v>
      </c>
      <c r="G3007" s="1" t="s">
        <v>1101</v>
      </c>
    </row>
    <row r="3008" spans="1:7">
      <c r="A3008" s="1">
        <v>3007</v>
      </c>
      <c r="B3008" s="1" t="s">
        <v>17862</v>
      </c>
      <c r="D3008" s="1" t="s">
        <v>12018</v>
      </c>
      <c r="E3008" s="1" t="s">
        <v>17863</v>
      </c>
      <c r="F3008" s="1" t="s">
        <v>17189</v>
      </c>
      <c r="G3008" s="1" t="s">
        <v>17190</v>
      </c>
    </row>
    <row r="3009" spans="1:7">
      <c r="A3009" s="1">
        <v>3008</v>
      </c>
      <c r="B3009" s="1" t="s">
        <v>17864</v>
      </c>
      <c r="D3009" s="1" t="s">
        <v>12018</v>
      </c>
      <c r="E3009" s="1" t="s">
        <v>12074</v>
      </c>
      <c r="F3009" s="1" t="s">
        <v>12075</v>
      </c>
      <c r="G3009" s="1" t="s">
        <v>1104</v>
      </c>
    </row>
    <row r="3010" spans="1:7">
      <c r="A3010" s="1">
        <v>3009</v>
      </c>
      <c r="B3010" s="1" t="s">
        <v>17865</v>
      </c>
      <c r="D3010" s="1" t="s">
        <v>12018</v>
      </c>
      <c r="E3010" s="1" t="s">
        <v>12077</v>
      </c>
      <c r="F3010" s="1" t="s">
        <v>12078</v>
      </c>
      <c r="G3010" s="1" t="s">
        <v>1104</v>
      </c>
    </row>
    <row r="3011" spans="1:7">
      <c r="A3011" s="1">
        <v>3010</v>
      </c>
      <c r="B3011" s="1" t="s">
        <v>17866</v>
      </c>
      <c r="D3011" s="1" t="s">
        <v>12018</v>
      </c>
      <c r="E3011" s="1" t="s">
        <v>12080</v>
      </c>
      <c r="F3011" s="1" t="s">
        <v>12081</v>
      </c>
      <c r="G3011" s="1" t="s">
        <v>1109</v>
      </c>
    </row>
    <row r="3012" spans="1:7">
      <c r="A3012" s="1">
        <v>3011</v>
      </c>
      <c r="B3012" s="1" t="s">
        <v>17867</v>
      </c>
      <c r="D3012" s="1" t="s">
        <v>12018</v>
      </c>
      <c r="E3012" s="1" t="s">
        <v>12083</v>
      </c>
      <c r="F3012" s="1" t="s">
        <v>12084</v>
      </c>
      <c r="G3012" s="1" t="s">
        <v>1112</v>
      </c>
    </row>
    <row r="3013" spans="1:7">
      <c r="A3013" s="1">
        <v>3012</v>
      </c>
      <c r="B3013" s="1" t="s">
        <v>17868</v>
      </c>
      <c r="D3013" s="1" t="s">
        <v>12018</v>
      </c>
      <c r="E3013" s="1" t="s">
        <v>12086</v>
      </c>
      <c r="F3013" s="1" t="s">
        <v>12087</v>
      </c>
      <c r="G3013" s="1" t="s">
        <v>1112</v>
      </c>
    </row>
    <row r="3014" spans="1:7">
      <c r="A3014" s="1">
        <v>3013</v>
      </c>
      <c r="B3014" s="1" t="s">
        <v>17869</v>
      </c>
      <c r="D3014" s="1" t="s">
        <v>12018</v>
      </c>
      <c r="E3014" s="1" t="s">
        <v>12089</v>
      </c>
      <c r="F3014" s="1" t="s">
        <v>12090</v>
      </c>
      <c r="G3014" s="1" t="s">
        <v>12091</v>
      </c>
    </row>
    <row r="3015" spans="1:7">
      <c r="A3015" s="1">
        <v>3014</v>
      </c>
      <c r="B3015" s="1" t="s">
        <v>17870</v>
      </c>
      <c r="D3015" s="1" t="s">
        <v>12018</v>
      </c>
      <c r="E3015" s="1" t="s">
        <v>12093</v>
      </c>
      <c r="F3015" s="1" t="s">
        <v>12094</v>
      </c>
      <c r="G3015" s="1" t="s">
        <v>1117</v>
      </c>
    </row>
    <row r="3016" spans="1:7">
      <c r="A3016" s="1">
        <v>3015</v>
      </c>
      <c r="B3016" s="1" t="s">
        <v>17871</v>
      </c>
      <c r="D3016" s="1" t="s">
        <v>12018</v>
      </c>
      <c r="E3016" s="1" t="s">
        <v>12096</v>
      </c>
      <c r="F3016" s="1" t="s">
        <v>12097</v>
      </c>
      <c r="G3016" s="1" t="s">
        <v>1120</v>
      </c>
    </row>
    <row r="3017" spans="1:7">
      <c r="A3017" s="1">
        <v>3016</v>
      </c>
      <c r="B3017" s="1" t="s">
        <v>17872</v>
      </c>
      <c r="D3017" s="1" t="s">
        <v>12018</v>
      </c>
      <c r="E3017" s="1" t="s">
        <v>12099</v>
      </c>
      <c r="F3017" s="1" t="s">
        <v>12100</v>
      </c>
      <c r="G3017" s="1" t="s">
        <v>1120</v>
      </c>
    </row>
    <row r="3018" spans="1:7">
      <c r="A3018" s="1">
        <v>3017</v>
      </c>
      <c r="B3018" s="1" t="s">
        <v>17873</v>
      </c>
      <c r="D3018" s="1" t="s">
        <v>12018</v>
      </c>
      <c r="E3018" s="1" t="s">
        <v>17874</v>
      </c>
      <c r="F3018" s="1" t="s">
        <v>17202</v>
      </c>
      <c r="G3018" s="1" t="s">
        <v>17203</v>
      </c>
    </row>
    <row r="3019" spans="1:7">
      <c r="A3019" s="1">
        <v>3018</v>
      </c>
      <c r="B3019" s="1" t="s">
        <v>17875</v>
      </c>
      <c r="D3019" s="1" t="s">
        <v>12018</v>
      </c>
      <c r="E3019" s="1" t="s">
        <v>12102</v>
      </c>
      <c r="F3019" s="1" t="s">
        <v>12103</v>
      </c>
      <c r="G3019" s="1" t="s">
        <v>1125</v>
      </c>
    </row>
    <row r="3020" spans="1:7">
      <c r="A3020" s="1">
        <v>3019</v>
      </c>
      <c r="B3020" s="1" t="s">
        <v>17876</v>
      </c>
      <c r="D3020" s="1" t="s">
        <v>12018</v>
      </c>
      <c r="E3020" s="1" t="s">
        <v>12105</v>
      </c>
      <c r="F3020" s="1" t="s">
        <v>12106</v>
      </c>
      <c r="G3020" s="1" t="s">
        <v>12107</v>
      </c>
    </row>
    <row r="3021" spans="1:7">
      <c r="A3021" s="1">
        <v>3020</v>
      </c>
      <c r="B3021" s="1" t="s">
        <v>17877</v>
      </c>
      <c r="D3021" s="1" t="s">
        <v>12018</v>
      </c>
      <c r="E3021" s="1" t="s">
        <v>12109</v>
      </c>
      <c r="F3021" s="1" t="s">
        <v>12110</v>
      </c>
      <c r="G3021" s="1" t="s">
        <v>12107</v>
      </c>
    </row>
    <row r="3022" spans="1:7">
      <c r="A3022" s="1">
        <v>3021</v>
      </c>
      <c r="B3022" s="1" t="s">
        <v>17878</v>
      </c>
      <c r="D3022" s="1" t="s">
        <v>12018</v>
      </c>
      <c r="E3022" s="1" t="s">
        <v>12112</v>
      </c>
      <c r="F3022" s="1" t="s">
        <v>12113</v>
      </c>
      <c r="G3022" s="1" t="s">
        <v>1128</v>
      </c>
    </row>
    <row r="3023" spans="1:7">
      <c r="A3023" s="1">
        <v>3022</v>
      </c>
      <c r="B3023" s="1" t="s">
        <v>17879</v>
      </c>
      <c r="D3023" s="1" t="s">
        <v>12018</v>
      </c>
      <c r="E3023" s="1" t="s">
        <v>12115</v>
      </c>
      <c r="F3023" s="1" t="s">
        <v>12116</v>
      </c>
      <c r="G3023" s="1" t="s">
        <v>1128</v>
      </c>
    </row>
    <row r="3024" spans="1:7">
      <c r="A3024" s="1">
        <v>3023</v>
      </c>
      <c r="B3024" s="1" t="s">
        <v>17880</v>
      </c>
      <c r="D3024" s="1" t="s">
        <v>12018</v>
      </c>
      <c r="E3024" s="1" t="s">
        <v>17881</v>
      </c>
      <c r="F3024" s="1" t="s">
        <v>17211</v>
      </c>
      <c r="G3024" s="1" t="s">
        <v>17212</v>
      </c>
    </row>
    <row r="3025" spans="1:7">
      <c r="A3025" s="1">
        <v>3024</v>
      </c>
      <c r="B3025" s="1" t="s">
        <v>17882</v>
      </c>
      <c r="D3025" s="1" t="s">
        <v>12018</v>
      </c>
      <c r="E3025" s="1" t="s">
        <v>12118</v>
      </c>
      <c r="F3025" s="1" t="s">
        <v>12119</v>
      </c>
      <c r="G3025" s="1" t="s">
        <v>1131</v>
      </c>
    </row>
    <row r="3026" spans="1:7">
      <c r="A3026" s="1">
        <v>3025</v>
      </c>
      <c r="B3026" s="1" t="s">
        <v>17883</v>
      </c>
      <c r="D3026" s="1" t="s">
        <v>12018</v>
      </c>
      <c r="E3026" s="1" t="s">
        <v>12121</v>
      </c>
      <c r="F3026" s="1" t="s">
        <v>12122</v>
      </c>
      <c r="G3026" s="1" t="s">
        <v>1128</v>
      </c>
    </row>
    <row r="3027" spans="1:7">
      <c r="A3027" s="1">
        <v>3026</v>
      </c>
      <c r="B3027" s="1" t="s">
        <v>17884</v>
      </c>
      <c r="D3027" s="1" t="s">
        <v>12018</v>
      </c>
      <c r="E3027" s="1" t="s">
        <v>12124</v>
      </c>
      <c r="F3027" s="1" t="s">
        <v>12125</v>
      </c>
      <c r="G3027" s="1" t="s">
        <v>1136</v>
      </c>
    </row>
    <row r="3028" spans="1:7">
      <c r="A3028" s="1">
        <v>3027</v>
      </c>
      <c r="B3028" s="1" t="s">
        <v>17885</v>
      </c>
      <c r="D3028" s="1" t="s">
        <v>12018</v>
      </c>
      <c r="E3028" s="1" t="s">
        <v>12127</v>
      </c>
      <c r="F3028" s="1" t="s">
        <v>12128</v>
      </c>
      <c r="G3028" s="1" t="s">
        <v>1139</v>
      </c>
    </row>
    <row r="3029" spans="1:7">
      <c r="A3029" s="1">
        <v>3028</v>
      </c>
      <c r="B3029" s="1" t="s">
        <v>17886</v>
      </c>
      <c r="D3029" s="1" t="s">
        <v>12018</v>
      </c>
      <c r="E3029" s="1" t="s">
        <v>12130</v>
      </c>
      <c r="F3029" s="1" t="s">
        <v>12131</v>
      </c>
      <c r="G3029" s="1" t="s">
        <v>12066</v>
      </c>
    </row>
    <row r="3030" spans="1:7">
      <c r="A3030" s="1">
        <v>3029</v>
      </c>
      <c r="B3030" s="1" t="s">
        <v>17887</v>
      </c>
      <c r="D3030" s="1" t="s">
        <v>12018</v>
      </c>
      <c r="E3030" s="1" t="s">
        <v>12133</v>
      </c>
      <c r="F3030" s="1" t="s">
        <v>12134</v>
      </c>
      <c r="G3030" s="1" t="s">
        <v>1142</v>
      </c>
    </row>
    <row r="3031" spans="1:7">
      <c r="A3031" s="1">
        <v>3030</v>
      </c>
      <c r="B3031" s="1" t="s">
        <v>17888</v>
      </c>
      <c r="D3031" s="1" t="s">
        <v>12018</v>
      </c>
      <c r="E3031" s="1" t="s">
        <v>12136</v>
      </c>
      <c r="F3031" s="1" t="s">
        <v>12137</v>
      </c>
      <c r="G3031" s="1" t="s">
        <v>1145</v>
      </c>
    </row>
    <row r="3032" spans="1:7">
      <c r="A3032" s="1">
        <v>3031</v>
      </c>
      <c r="B3032" s="1" t="s">
        <v>17889</v>
      </c>
      <c r="D3032" s="1" t="s">
        <v>12018</v>
      </c>
      <c r="E3032" s="1" t="s">
        <v>12031</v>
      </c>
      <c r="F3032" s="1" t="s">
        <v>17251</v>
      </c>
      <c r="G3032" s="1" t="s">
        <v>17890</v>
      </c>
    </row>
    <row r="3033" spans="1:7">
      <c r="A3033" s="1">
        <v>3032</v>
      </c>
      <c r="B3033" s="1" t="s">
        <v>17891</v>
      </c>
      <c r="D3033" s="1" t="s">
        <v>12018</v>
      </c>
      <c r="E3033" s="1" t="s">
        <v>12019</v>
      </c>
      <c r="F3033" s="1" t="s">
        <v>17221</v>
      </c>
      <c r="G3033" s="1" t="s">
        <v>17892</v>
      </c>
    </row>
    <row r="3034" spans="1:7">
      <c r="A3034" s="1">
        <v>3033</v>
      </c>
      <c r="B3034" s="1" t="s">
        <v>17893</v>
      </c>
      <c r="D3034" s="1" t="s">
        <v>12018</v>
      </c>
      <c r="E3034" s="1" t="s">
        <v>17894</v>
      </c>
      <c r="F3034" s="1" t="s">
        <v>17229</v>
      </c>
      <c r="G3034" s="1" t="s">
        <v>17895</v>
      </c>
    </row>
    <row r="3035" spans="1:7">
      <c r="A3035" s="1">
        <v>3034</v>
      </c>
      <c r="B3035" s="1" t="s">
        <v>17896</v>
      </c>
      <c r="D3035" s="1" t="s">
        <v>12018</v>
      </c>
      <c r="E3035" s="1" t="s">
        <v>12141</v>
      </c>
      <c r="F3035" s="1" t="s">
        <v>17232</v>
      </c>
      <c r="G3035" s="1" t="s">
        <v>17233</v>
      </c>
    </row>
    <row r="3036" spans="1:7">
      <c r="A3036" s="1">
        <v>3035</v>
      </c>
      <c r="B3036" s="1" t="s">
        <v>17897</v>
      </c>
      <c r="D3036" s="1" t="s">
        <v>12018</v>
      </c>
      <c r="E3036" s="1" t="s">
        <v>12139</v>
      </c>
      <c r="F3036" s="1" t="s">
        <v>17235</v>
      </c>
      <c r="G3036" s="1" t="s">
        <v>17236</v>
      </c>
    </row>
    <row r="3037" spans="1:7">
      <c r="A3037" s="1">
        <v>3036</v>
      </c>
      <c r="B3037" s="1" t="s">
        <v>17898</v>
      </c>
      <c r="D3037" s="1" t="s">
        <v>12018</v>
      </c>
      <c r="E3037" s="1" t="s">
        <v>12145</v>
      </c>
      <c r="F3037" s="1" t="s">
        <v>12146</v>
      </c>
      <c r="G3037" s="1" t="s">
        <v>12147</v>
      </c>
    </row>
    <row r="3038" spans="1:7">
      <c r="A3038" s="1">
        <v>3037</v>
      </c>
      <c r="B3038" s="1" t="s">
        <v>17899</v>
      </c>
      <c r="D3038" s="1" t="s">
        <v>12018</v>
      </c>
      <c r="E3038" s="1" t="s">
        <v>12149</v>
      </c>
      <c r="F3038" s="1" t="s">
        <v>17239</v>
      </c>
      <c r="G3038" s="1" t="s">
        <v>17240</v>
      </c>
    </row>
    <row r="3039" spans="1:7">
      <c r="A3039" s="1">
        <v>3038</v>
      </c>
      <c r="B3039" s="1" t="s">
        <v>17900</v>
      </c>
      <c r="D3039" s="1" t="s">
        <v>12018</v>
      </c>
      <c r="E3039" s="1" t="s">
        <v>12027</v>
      </c>
      <c r="F3039" s="1" t="s">
        <v>17242</v>
      </c>
      <c r="G3039" s="1" t="s">
        <v>17901</v>
      </c>
    </row>
    <row r="3040" spans="1:7">
      <c r="A3040" s="1">
        <v>3039</v>
      </c>
      <c r="B3040" s="1" t="s">
        <v>17902</v>
      </c>
      <c r="D3040" s="1" t="s">
        <v>12018</v>
      </c>
      <c r="E3040" s="1" t="s">
        <v>12023</v>
      </c>
      <c r="F3040" s="1" t="s">
        <v>17245</v>
      </c>
      <c r="G3040" s="1" t="s">
        <v>17903</v>
      </c>
    </row>
    <row r="3041" spans="1:7">
      <c r="A3041" s="1">
        <v>3040</v>
      </c>
      <c r="B3041" s="1" t="s">
        <v>17904</v>
      </c>
      <c r="D3041" s="1" t="s">
        <v>12018</v>
      </c>
      <c r="E3041" s="1" t="s">
        <v>12033</v>
      </c>
      <c r="F3041" s="1" t="s">
        <v>17248</v>
      </c>
      <c r="G3041" s="1" t="s">
        <v>17249</v>
      </c>
    </row>
    <row r="3042" spans="1:7">
      <c r="A3042" s="1">
        <v>3041</v>
      </c>
      <c r="B3042" s="1" t="s">
        <v>17905</v>
      </c>
      <c r="D3042" s="1" t="s">
        <v>17906</v>
      </c>
      <c r="E3042" s="1" t="s">
        <v>17907</v>
      </c>
      <c r="F3042" s="1" t="s">
        <v>17149</v>
      </c>
      <c r="G3042" s="1" t="s">
        <v>17150</v>
      </c>
    </row>
    <row r="3043" spans="1:7">
      <c r="A3043" s="1">
        <v>3042</v>
      </c>
      <c r="B3043" s="1" t="s">
        <v>17908</v>
      </c>
      <c r="D3043" s="1" t="s">
        <v>17906</v>
      </c>
      <c r="E3043" s="1" t="s">
        <v>17909</v>
      </c>
      <c r="F3043" s="1" t="s">
        <v>12038</v>
      </c>
      <c r="G3043" s="1" t="s">
        <v>1076</v>
      </c>
    </row>
    <row r="3044" spans="1:7">
      <c r="A3044" s="1">
        <v>3043</v>
      </c>
      <c r="B3044" s="1" t="s">
        <v>17910</v>
      </c>
      <c r="D3044" s="1" t="s">
        <v>17906</v>
      </c>
      <c r="E3044" s="1" t="s">
        <v>17911</v>
      </c>
      <c r="F3044" s="1" t="s">
        <v>12041</v>
      </c>
      <c r="G3044" s="1" t="s">
        <v>1081</v>
      </c>
    </row>
    <row r="3045" spans="1:7">
      <c r="A3045" s="1">
        <v>3044</v>
      </c>
      <c r="B3045" s="1" t="s">
        <v>17912</v>
      </c>
      <c r="D3045" s="1" t="s">
        <v>17906</v>
      </c>
      <c r="E3045" s="1" t="s">
        <v>17913</v>
      </c>
      <c r="F3045" s="1" t="s">
        <v>12044</v>
      </c>
      <c r="G3045" s="1" t="s">
        <v>1076</v>
      </c>
    </row>
    <row r="3046" spans="1:7">
      <c r="A3046" s="1">
        <v>3045</v>
      </c>
      <c r="B3046" s="1" t="s">
        <v>17914</v>
      </c>
      <c r="D3046" s="1" t="s">
        <v>17906</v>
      </c>
      <c r="E3046" s="1" t="s">
        <v>17915</v>
      </c>
      <c r="F3046" s="1" t="s">
        <v>12046</v>
      </c>
      <c r="G3046" s="1" t="s">
        <v>12047</v>
      </c>
    </row>
    <row r="3047" spans="1:7">
      <c r="A3047" s="1">
        <v>3046</v>
      </c>
      <c r="B3047" s="1" t="s">
        <v>17916</v>
      </c>
      <c r="D3047" s="1" t="s">
        <v>17906</v>
      </c>
      <c r="E3047" s="1" t="s">
        <v>17917</v>
      </c>
      <c r="F3047" s="1" t="s">
        <v>17157</v>
      </c>
      <c r="G3047" s="1" t="s">
        <v>17158</v>
      </c>
    </row>
    <row r="3048" spans="1:7">
      <c r="A3048" s="1">
        <v>3047</v>
      </c>
      <c r="B3048" s="1" t="s">
        <v>17918</v>
      </c>
      <c r="D3048" s="1" t="s">
        <v>17906</v>
      </c>
      <c r="E3048" s="1" t="s">
        <v>17919</v>
      </c>
      <c r="F3048" s="1" t="s">
        <v>12050</v>
      </c>
      <c r="G3048" s="1" t="s">
        <v>1084</v>
      </c>
    </row>
    <row r="3049" spans="1:7">
      <c r="A3049" s="1">
        <v>3048</v>
      </c>
      <c r="B3049" s="1" t="s">
        <v>17920</v>
      </c>
      <c r="D3049" s="1" t="s">
        <v>17906</v>
      </c>
      <c r="E3049" s="1" t="s">
        <v>17921</v>
      </c>
      <c r="F3049" s="1" t="s">
        <v>17162</v>
      </c>
      <c r="G3049" s="1" t="s">
        <v>17163</v>
      </c>
    </row>
    <row r="3050" spans="1:7">
      <c r="A3050" s="1">
        <v>3049</v>
      </c>
      <c r="B3050" s="1" t="s">
        <v>17922</v>
      </c>
      <c r="D3050" s="1" t="s">
        <v>17906</v>
      </c>
      <c r="E3050" s="1" t="s">
        <v>17923</v>
      </c>
      <c r="F3050" s="1" t="s">
        <v>17166</v>
      </c>
      <c r="G3050" s="1" t="s">
        <v>17167</v>
      </c>
    </row>
    <row r="3051" spans="1:7">
      <c r="A3051" s="1">
        <v>3050</v>
      </c>
      <c r="B3051" s="1" t="s">
        <v>17924</v>
      </c>
      <c r="D3051" s="1" t="s">
        <v>17906</v>
      </c>
      <c r="E3051" s="1" t="s">
        <v>17925</v>
      </c>
      <c r="F3051" s="1" t="s">
        <v>17170</v>
      </c>
      <c r="G3051" s="1" t="s">
        <v>17167</v>
      </c>
    </row>
    <row r="3052" spans="1:7">
      <c r="A3052" s="1">
        <v>3051</v>
      </c>
      <c r="B3052" s="1" t="s">
        <v>17926</v>
      </c>
      <c r="D3052" s="1" t="s">
        <v>17906</v>
      </c>
      <c r="E3052" s="1" t="s">
        <v>17927</v>
      </c>
      <c r="F3052" s="1" t="s">
        <v>17172</v>
      </c>
      <c r="G3052" s="1" t="s">
        <v>17173</v>
      </c>
    </row>
    <row r="3053" spans="1:7">
      <c r="A3053" s="1">
        <v>3052</v>
      </c>
      <c r="B3053" s="1" t="s">
        <v>17928</v>
      </c>
      <c r="D3053" s="1" t="s">
        <v>17906</v>
      </c>
      <c r="E3053" s="1" t="s">
        <v>17929</v>
      </c>
      <c r="F3053" s="1" t="s">
        <v>17175</v>
      </c>
      <c r="G3053" s="1" t="s">
        <v>17176</v>
      </c>
    </row>
    <row r="3054" spans="1:7">
      <c r="A3054" s="1">
        <v>3053</v>
      </c>
      <c r="B3054" s="1" t="s">
        <v>17930</v>
      </c>
      <c r="D3054" s="1" t="s">
        <v>17906</v>
      </c>
      <c r="E3054" s="1" t="s">
        <v>17931</v>
      </c>
      <c r="F3054" s="1" t="s">
        <v>12056</v>
      </c>
      <c r="G3054" s="1" t="s">
        <v>1090</v>
      </c>
    </row>
    <row r="3055" spans="1:7">
      <c r="A3055" s="1">
        <v>3054</v>
      </c>
      <c r="B3055" s="1" t="s">
        <v>17932</v>
      </c>
      <c r="D3055" s="1" t="s">
        <v>17906</v>
      </c>
      <c r="E3055" s="1" t="s">
        <v>17933</v>
      </c>
      <c r="F3055" s="1" t="s">
        <v>12058</v>
      </c>
      <c r="G3055" s="1" t="s">
        <v>12059</v>
      </c>
    </row>
    <row r="3056" spans="1:7">
      <c r="A3056" s="1">
        <v>3055</v>
      </c>
      <c r="B3056" s="1" t="s">
        <v>17934</v>
      </c>
      <c r="D3056" s="1" t="s">
        <v>17906</v>
      </c>
      <c r="E3056" s="1" t="s">
        <v>17935</v>
      </c>
      <c r="F3056" s="1" t="s">
        <v>12062</v>
      </c>
      <c r="G3056" s="1" t="s">
        <v>1081</v>
      </c>
    </row>
    <row r="3057" spans="1:7">
      <c r="A3057" s="1">
        <v>3056</v>
      </c>
      <c r="B3057" s="1" t="s">
        <v>17936</v>
      </c>
      <c r="D3057" s="1" t="s">
        <v>17906</v>
      </c>
      <c r="E3057" s="1" t="s">
        <v>17937</v>
      </c>
      <c r="F3057" s="1" t="s">
        <v>12065</v>
      </c>
      <c r="G3057" s="1" t="s">
        <v>12066</v>
      </c>
    </row>
    <row r="3058" spans="1:7">
      <c r="A3058" s="1">
        <v>3057</v>
      </c>
      <c r="B3058" s="1" t="s">
        <v>17938</v>
      </c>
      <c r="D3058" s="1" t="s">
        <v>17906</v>
      </c>
      <c r="E3058" s="1" t="s">
        <v>17939</v>
      </c>
      <c r="F3058" s="1" t="s">
        <v>17183</v>
      </c>
      <c r="G3058" s="1" t="s">
        <v>17184</v>
      </c>
    </row>
    <row r="3059" spans="1:7">
      <c r="A3059" s="1">
        <v>3058</v>
      </c>
      <c r="B3059" s="1" t="s">
        <v>17940</v>
      </c>
      <c r="D3059" s="1" t="s">
        <v>17906</v>
      </c>
      <c r="E3059" s="1" t="s">
        <v>17941</v>
      </c>
      <c r="F3059" s="1" t="s">
        <v>12069</v>
      </c>
      <c r="G3059" s="1" t="s">
        <v>1098</v>
      </c>
    </row>
    <row r="3060" spans="1:7">
      <c r="A3060" s="1">
        <v>3059</v>
      </c>
      <c r="B3060" s="1" t="s">
        <v>17942</v>
      </c>
      <c r="D3060" s="1" t="s">
        <v>17906</v>
      </c>
      <c r="E3060" s="1" t="s">
        <v>17943</v>
      </c>
      <c r="F3060" s="1" t="s">
        <v>12072</v>
      </c>
      <c r="G3060" s="1" t="s">
        <v>1101</v>
      </c>
    </row>
    <row r="3061" spans="1:7">
      <c r="A3061" s="1">
        <v>3060</v>
      </c>
      <c r="B3061" s="1" t="s">
        <v>17944</v>
      </c>
      <c r="D3061" s="1" t="s">
        <v>17906</v>
      </c>
      <c r="E3061" s="1" t="s">
        <v>17945</v>
      </c>
      <c r="F3061" s="1" t="s">
        <v>17189</v>
      </c>
      <c r="G3061" s="1" t="s">
        <v>17190</v>
      </c>
    </row>
    <row r="3062" spans="1:7">
      <c r="A3062" s="1">
        <v>3061</v>
      </c>
      <c r="B3062" s="1" t="s">
        <v>17946</v>
      </c>
      <c r="D3062" s="1" t="s">
        <v>17906</v>
      </c>
      <c r="E3062" s="1" t="s">
        <v>17947</v>
      </c>
      <c r="F3062" s="1" t="s">
        <v>12075</v>
      </c>
      <c r="G3062" s="1" t="s">
        <v>1104</v>
      </c>
    </row>
    <row r="3063" spans="1:7">
      <c r="A3063" s="1">
        <v>3062</v>
      </c>
      <c r="B3063" s="1" t="s">
        <v>17948</v>
      </c>
      <c r="D3063" s="1" t="s">
        <v>17906</v>
      </c>
      <c r="E3063" s="1" t="s">
        <v>17949</v>
      </c>
      <c r="F3063" s="1" t="s">
        <v>12078</v>
      </c>
      <c r="G3063" s="1" t="s">
        <v>1104</v>
      </c>
    </row>
    <row r="3064" spans="1:7">
      <c r="A3064" s="1">
        <v>3063</v>
      </c>
      <c r="B3064" s="1" t="s">
        <v>17950</v>
      </c>
      <c r="D3064" s="1" t="s">
        <v>17906</v>
      </c>
      <c r="E3064" s="1" t="s">
        <v>17951</v>
      </c>
      <c r="F3064" s="1" t="s">
        <v>12081</v>
      </c>
      <c r="G3064" s="1" t="s">
        <v>1109</v>
      </c>
    </row>
    <row r="3065" spans="1:7">
      <c r="A3065" s="1">
        <v>3064</v>
      </c>
      <c r="B3065" s="1" t="s">
        <v>17952</v>
      </c>
      <c r="D3065" s="1" t="s">
        <v>17906</v>
      </c>
      <c r="E3065" s="1" t="s">
        <v>17953</v>
      </c>
      <c r="F3065" s="1" t="s">
        <v>12084</v>
      </c>
      <c r="G3065" s="1" t="s">
        <v>1112</v>
      </c>
    </row>
    <row r="3066" spans="1:7">
      <c r="A3066" s="1">
        <v>3065</v>
      </c>
      <c r="B3066" s="1" t="s">
        <v>17954</v>
      </c>
      <c r="D3066" s="1" t="s">
        <v>17906</v>
      </c>
      <c r="E3066" s="1" t="s">
        <v>17955</v>
      </c>
      <c r="F3066" s="1" t="s">
        <v>12087</v>
      </c>
      <c r="G3066" s="1" t="s">
        <v>1112</v>
      </c>
    </row>
    <row r="3067" spans="1:7">
      <c r="A3067" s="1">
        <v>3066</v>
      </c>
      <c r="B3067" s="1" t="s">
        <v>17956</v>
      </c>
      <c r="D3067" s="1" t="s">
        <v>17906</v>
      </c>
      <c r="E3067" s="1" t="s">
        <v>17957</v>
      </c>
      <c r="F3067" s="1" t="s">
        <v>12090</v>
      </c>
      <c r="G3067" s="1" t="s">
        <v>12091</v>
      </c>
    </row>
    <row r="3068" spans="1:7">
      <c r="A3068" s="1">
        <v>3067</v>
      </c>
      <c r="B3068" s="1" t="s">
        <v>17958</v>
      </c>
      <c r="D3068" s="1" t="s">
        <v>17906</v>
      </c>
      <c r="E3068" s="1" t="s">
        <v>17959</v>
      </c>
      <c r="F3068" s="1" t="s">
        <v>12094</v>
      </c>
      <c r="G3068" s="1" t="s">
        <v>1117</v>
      </c>
    </row>
    <row r="3069" spans="1:7">
      <c r="A3069" s="1">
        <v>3068</v>
      </c>
      <c r="B3069" s="1" t="s">
        <v>17960</v>
      </c>
      <c r="D3069" s="1" t="s">
        <v>17906</v>
      </c>
      <c r="E3069" s="1" t="s">
        <v>17961</v>
      </c>
      <c r="F3069" s="1" t="s">
        <v>12097</v>
      </c>
      <c r="G3069" s="1" t="s">
        <v>1120</v>
      </c>
    </row>
    <row r="3070" spans="1:7">
      <c r="A3070" s="1">
        <v>3069</v>
      </c>
      <c r="B3070" s="1" t="s">
        <v>17962</v>
      </c>
      <c r="D3070" s="1" t="s">
        <v>17906</v>
      </c>
      <c r="E3070" s="1" t="s">
        <v>17963</v>
      </c>
      <c r="F3070" s="1" t="s">
        <v>12100</v>
      </c>
      <c r="G3070" s="1" t="s">
        <v>1120</v>
      </c>
    </row>
    <row r="3071" spans="1:7">
      <c r="A3071" s="1">
        <v>3070</v>
      </c>
      <c r="B3071" s="1" t="s">
        <v>17964</v>
      </c>
      <c r="D3071" s="1" t="s">
        <v>17906</v>
      </c>
      <c r="E3071" s="1" t="s">
        <v>17965</v>
      </c>
      <c r="F3071" s="1" t="s">
        <v>17202</v>
      </c>
      <c r="G3071" s="1" t="s">
        <v>17203</v>
      </c>
    </row>
    <row r="3072" spans="1:7">
      <c r="A3072" s="1">
        <v>3071</v>
      </c>
      <c r="B3072" s="1" t="s">
        <v>17966</v>
      </c>
      <c r="D3072" s="1" t="s">
        <v>17906</v>
      </c>
      <c r="E3072" s="1" t="s">
        <v>17967</v>
      </c>
      <c r="F3072" s="1" t="s">
        <v>12103</v>
      </c>
      <c r="G3072" s="1" t="s">
        <v>1125</v>
      </c>
    </row>
    <row r="3073" spans="1:7">
      <c r="A3073" s="1">
        <v>3072</v>
      </c>
      <c r="B3073" s="1" t="s">
        <v>17968</v>
      </c>
      <c r="D3073" s="1" t="s">
        <v>17906</v>
      </c>
      <c r="E3073" s="1" t="s">
        <v>17969</v>
      </c>
      <c r="F3073" s="1" t="s">
        <v>12106</v>
      </c>
      <c r="G3073" s="1" t="s">
        <v>12107</v>
      </c>
    </row>
    <row r="3074" spans="1:7">
      <c r="A3074" s="1">
        <v>3073</v>
      </c>
      <c r="B3074" s="1" t="s">
        <v>17970</v>
      </c>
      <c r="D3074" s="1" t="s">
        <v>17906</v>
      </c>
      <c r="E3074" s="1" t="s">
        <v>17971</v>
      </c>
      <c r="F3074" s="1" t="s">
        <v>12110</v>
      </c>
      <c r="G3074" s="1" t="s">
        <v>12107</v>
      </c>
    </row>
    <row r="3075" spans="1:7">
      <c r="A3075" s="1">
        <v>3074</v>
      </c>
      <c r="B3075" s="1" t="s">
        <v>17972</v>
      </c>
      <c r="D3075" s="1" t="s">
        <v>17906</v>
      </c>
      <c r="E3075" s="1" t="s">
        <v>17973</v>
      </c>
      <c r="F3075" s="1" t="s">
        <v>12113</v>
      </c>
      <c r="G3075" s="1" t="s">
        <v>1128</v>
      </c>
    </row>
    <row r="3076" spans="1:7">
      <c r="A3076" s="1">
        <v>3075</v>
      </c>
      <c r="B3076" s="1" t="s">
        <v>17974</v>
      </c>
      <c r="D3076" s="1" t="s">
        <v>17906</v>
      </c>
      <c r="E3076" s="1" t="s">
        <v>17975</v>
      </c>
      <c r="F3076" s="1" t="s">
        <v>12116</v>
      </c>
      <c r="G3076" s="1" t="s">
        <v>1128</v>
      </c>
    </row>
    <row r="3077" spans="1:7">
      <c r="A3077" s="1">
        <v>3076</v>
      </c>
      <c r="B3077" s="1" t="s">
        <v>17976</v>
      </c>
      <c r="D3077" s="1" t="s">
        <v>17906</v>
      </c>
      <c r="E3077" s="1" t="s">
        <v>17977</v>
      </c>
      <c r="F3077" s="1" t="s">
        <v>17211</v>
      </c>
      <c r="G3077" s="1" t="s">
        <v>17212</v>
      </c>
    </row>
    <row r="3078" spans="1:7">
      <c r="A3078" s="1">
        <v>3077</v>
      </c>
      <c r="B3078" s="1" t="s">
        <v>17978</v>
      </c>
      <c r="D3078" s="1" t="s">
        <v>17906</v>
      </c>
      <c r="E3078" s="1" t="s">
        <v>17979</v>
      </c>
      <c r="F3078" s="1" t="s">
        <v>12119</v>
      </c>
      <c r="G3078" s="1" t="s">
        <v>1131</v>
      </c>
    </row>
    <row r="3079" spans="1:7">
      <c r="A3079" s="1">
        <v>3078</v>
      </c>
      <c r="B3079" s="1" t="s">
        <v>17980</v>
      </c>
      <c r="D3079" s="1" t="s">
        <v>17906</v>
      </c>
      <c r="E3079" s="1" t="s">
        <v>17981</v>
      </c>
      <c r="F3079" s="1" t="s">
        <v>12122</v>
      </c>
      <c r="G3079" s="1" t="s">
        <v>1128</v>
      </c>
    </row>
    <row r="3080" spans="1:7">
      <c r="A3080" s="1">
        <v>3079</v>
      </c>
      <c r="B3080" s="1" t="s">
        <v>17982</v>
      </c>
      <c r="D3080" s="1" t="s">
        <v>17906</v>
      </c>
      <c r="E3080" s="1" t="s">
        <v>17983</v>
      </c>
      <c r="F3080" s="1" t="s">
        <v>12125</v>
      </c>
      <c r="G3080" s="1" t="s">
        <v>1136</v>
      </c>
    </row>
    <row r="3081" spans="1:7">
      <c r="A3081" s="1">
        <v>3080</v>
      </c>
      <c r="B3081" s="1" t="s">
        <v>17984</v>
      </c>
      <c r="D3081" s="1" t="s">
        <v>17906</v>
      </c>
      <c r="E3081" s="1" t="s">
        <v>17985</v>
      </c>
      <c r="F3081" s="1" t="s">
        <v>12128</v>
      </c>
      <c r="G3081" s="1" t="s">
        <v>1139</v>
      </c>
    </row>
    <row r="3082" spans="1:7">
      <c r="A3082" s="1">
        <v>3081</v>
      </c>
      <c r="B3082" s="1" t="s">
        <v>17986</v>
      </c>
      <c r="D3082" s="1" t="s">
        <v>17906</v>
      </c>
      <c r="E3082" s="1" t="s">
        <v>17987</v>
      </c>
      <c r="F3082" s="1" t="s">
        <v>12131</v>
      </c>
      <c r="G3082" s="1" t="s">
        <v>12066</v>
      </c>
    </row>
    <row r="3083" spans="1:7">
      <c r="A3083" s="1">
        <v>3082</v>
      </c>
      <c r="B3083" s="1" t="s">
        <v>17988</v>
      </c>
      <c r="D3083" s="1" t="s">
        <v>17906</v>
      </c>
      <c r="E3083" s="1" t="s">
        <v>17989</v>
      </c>
      <c r="F3083" s="1" t="s">
        <v>12134</v>
      </c>
      <c r="G3083" s="1" t="s">
        <v>1142</v>
      </c>
    </row>
    <row r="3084" spans="1:7">
      <c r="A3084" s="1">
        <v>3083</v>
      </c>
      <c r="B3084" s="1" t="s">
        <v>17990</v>
      </c>
      <c r="D3084" s="1" t="s">
        <v>17906</v>
      </c>
      <c r="E3084" s="1" t="s">
        <v>17991</v>
      </c>
      <c r="F3084" s="1" t="s">
        <v>12137</v>
      </c>
      <c r="G3084" s="1" t="s">
        <v>1145</v>
      </c>
    </row>
    <row r="3085" spans="1:7">
      <c r="A3085" s="1">
        <v>3084</v>
      </c>
      <c r="B3085" s="1" t="s">
        <v>17992</v>
      </c>
      <c r="D3085" s="1" t="s">
        <v>17906</v>
      </c>
      <c r="E3085" s="1" t="s">
        <v>17993</v>
      </c>
      <c r="F3085" s="1" t="s">
        <v>17221</v>
      </c>
      <c r="G3085" s="1" t="s">
        <v>17994</v>
      </c>
    </row>
    <row r="3086" spans="1:7">
      <c r="A3086" s="1">
        <v>3085</v>
      </c>
      <c r="B3086" s="1" t="s">
        <v>17995</v>
      </c>
      <c r="D3086" s="1" t="s">
        <v>17906</v>
      </c>
      <c r="E3086" s="1" t="s">
        <v>17996</v>
      </c>
      <c r="F3086" s="1" t="s">
        <v>17225</v>
      </c>
      <c r="G3086" s="1" t="s">
        <v>17226</v>
      </c>
    </row>
    <row r="3087" spans="1:7">
      <c r="A3087" s="1">
        <v>3086</v>
      </c>
      <c r="B3087" s="1" t="s">
        <v>17997</v>
      </c>
      <c r="D3087" s="1" t="s">
        <v>17906</v>
      </c>
      <c r="E3087" s="1" t="s">
        <v>17998</v>
      </c>
      <c r="F3087" s="1" t="s">
        <v>17229</v>
      </c>
      <c r="G3087" s="1" t="s">
        <v>17230</v>
      </c>
    </row>
    <row r="3088" spans="1:7">
      <c r="A3088" s="1">
        <v>3087</v>
      </c>
      <c r="B3088" s="1" t="s">
        <v>17999</v>
      </c>
      <c r="D3088" s="1" t="s">
        <v>17906</v>
      </c>
      <c r="E3088" s="1" t="s">
        <v>18000</v>
      </c>
      <c r="F3088" s="1" t="s">
        <v>17232</v>
      </c>
      <c r="G3088" s="1" t="s">
        <v>18001</v>
      </c>
    </row>
    <row r="3089" spans="1:7">
      <c r="A3089" s="1">
        <v>3088</v>
      </c>
      <c r="B3089" s="1" t="s">
        <v>18002</v>
      </c>
      <c r="D3089" s="1" t="s">
        <v>17906</v>
      </c>
      <c r="E3089" s="1" t="s">
        <v>18003</v>
      </c>
      <c r="F3089" s="1" t="s">
        <v>17235</v>
      </c>
      <c r="G3089" s="1" t="s">
        <v>18004</v>
      </c>
    </row>
    <row r="3090" spans="1:7">
      <c r="A3090" s="1">
        <v>3089</v>
      </c>
      <c r="B3090" s="1" t="s">
        <v>18005</v>
      </c>
      <c r="D3090" s="1" t="s">
        <v>17906</v>
      </c>
      <c r="E3090" s="1" t="s">
        <v>18006</v>
      </c>
      <c r="F3090" s="1" t="s">
        <v>12146</v>
      </c>
      <c r="G3090" s="1" t="s">
        <v>12147</v>
      </c>
    </row>
    <row r="3091" spans="1:7">
      <c r="A3091" s="1">
        <v>3090</v>
      </c>
      <c r="B3091" s="1" t="s">
        <v>18007</v>
      </c>
      <c r="D3091" s="1" t="s">
        <v>17906</v>
      </c>
      <c r="E3091" s="1" t="s">
        <v>18008</v>
      </c>
      <c r="F3091" s="1" t="s">
        <v>17239</v>
      </c>
      <c r="G3091" s="1" t="s">
        <v>18009</v>
      </c>
    </row>
    <row r="3092" spans="1:7">
      <c r="A3092" s="1">
        <v>3091</v>
      </c>
      <c r="B3092" s="1" t="s">
        <v>18010</v>
      </c>
      <c r="D3092" s="1" t="s">
        <v>17906</v>
      </c>
      <c r="E3092" s="1" t="s">
        <v>18011</v>
      </c>
      <c r="F3092" s="1" t="s">
        <v>17242</v>
      </c>
      <c r="G3092" s="1" t="s">
        <v>17901</v>
      </c>
    </row>
    <row r="3093" spans="1:7">
      <c r="A3093" s="1">
        <v>3092</v>
      </c>
      <c r="B3093" s="1" t="s">
        <v>18012</v>
      </c>
      <c r="D3093" s="1" t="s">
        <v>17906</v>
      </c>
      <c r="E3093" s="1" t="s">
        <v>18013</v>
      </c>
      <c r="F3093" s="1" t="s">
        <v>17245</v>
      </c>
      <c r="G3093" s="1" t="s">
        <v>17903</v>
      </c>
    </row>
    <row r="3094" spans="1:7">
      <c r="A3094" s="1">
        <v>3093</v>
      </c>
      <c r="B3094" s="1" t="s">
        <v>18014</v>
      </c>
      <c r="D3094" s="1" t="s">
        <v>17906</v>
      </c>
      <c r="E3094" s="1" t="s">
        <v>18015</v>
      </c>
      <c r="F3094" s="1" t="s">
        <v>17248</v>
      </c>
      <c r="G3094" s="1" t="s">
        <v>17249</v>
      </c>
    </row>
    <row r="3095" spans="1:7">
      <c r="A3095" s="1">
        <v>3094</v>
      </c>
      <c r="B3095" s="1" t="s">
        <v>18016</v>
      </c>
      <c r="D3095" s="1" t="s">
        <v>17906</v>
      </c>
      <c r="E3095" s="1" t="s">
        <v>18017</v>
      </c>
      <c r="F3095" s="1" t="s">
        <v>17251</v>
      </c>
      <c r="G3095" s="1" t="s">
        <v>18018</v>
      </c>
    </row>
    <row r="3096" spans="1:7">
      <c r="A3096" s="1">
        <v>3095</v>
      </c>
      <c r="B3096" s="1" t="s">
        <v>18019</v>
      </c>
      <c r="D3096" s="1" t="s">
        <v>18020</v>
      </c>
      <c r="E3096" s="1" t="s">
        <v>18021</v>
      </c>
      <c r="F3096" s="1" t="s">
        <v>17149</v>
      </c>
      <c r="G3096" s="1" t="s">
        <v>17150</v>
      </c>
    </row>
    <row r="3097" spans="1:7">
      <c r="A3097" s="1">
        <v>3096</v>
      </c>
      <c r="B3097" s="1" t="s">
        <v>18022</v>
      </c>
      <c r="D3097" s="1" t="s">
        <v>18020</v>
      </c>
      <c r="E3097" s="1" t="s">
        <v>18023</v>
      </c>
      <c r="F3097" s="1" t="s">
        <v>12038</v>
      </c>
      <c r="G3097" s="1" t="s">
        <v>1076</v>
      </c>
    </row>
    <row r="3098" spans="1:7">
      <c r="A3098" s="1">
        <v>3097</v>
      </c>
      <c r="B3098" s="1" t="s">
        <v>18024</v>
      </c>
      <c r="D3098" s="1" t="s">
        <v>18020</v>
      </c>
      <c r="E3098" s="1" t="s">
        <v>18025</v>
      </c>
      <c r="F3098" s="1" t="s">
        <v>12041</v>
      </c>
      <c r="G3098" s="1" t="s">
        <v>1081</v>
      </c>
    </row>
    <row r="3099" spans="1:7">
      <c r="A3099" s="1">
        <v>3098</v>
      </c>
      <c r="B3099" s="1" t="s">
        <v>18026</v>
      </c>
      <c r="D3099" s="1" t="s">
        <v>18020</v>
      </c>
      <c r="E3099" s="1" t="s">
        <v>18027</v>
      </c>
      <c r="F3099" s="1" t="s">
        <v>12044</v>
      </c>
      <c r="G3099" s="1" t="s">
        <v>1076</v>
      </c>
    </row>
    <row r="3100" spans="1:7">
      <c r="A3100" s="1">
        <v>3099</v>
      </c>
      <c r="B3100" s="1" t="s">
        <v>18028</v>
      </c>
      <c r="D3100" s="1" t="s">
        <v>18020</v>
      </c>
      <c r="E3100" s="1" t="s">
        <v>18029</v>
      </c>
      <c r="F3100" s="1" t="s">
        <v>12046</v>
      </c>
      <c r="G3100" s="1" t="s">
        <v>12047</v>
      </c>
    </row>
    <row r="3101" spans="1:7">
      <c r="A3101" s="1">
        <v>3100</v>
      </c>
      <c r="B3101" s="1" t="s">
        <v>18030</v>
      </c>
      <c r="D3101" s="1" t="s">
        <v>18020</v>
      </c>
      <c r="E3101" s="1" t="s">
        <v>18031</v>
      </c>
      <c r="F3101" s="1" t="s">
        <v>17157</v>
      </c>
      <c r="G3101" s="1" t="s">
        <v>17158</v>
      </c>
    </row>
    <row r="3102" spans="1:7">
      <c r="A3102" s="1">
        <v>3101</v>
      </c>
      <c r="B3102" s="1" t="s">
        <v>18032</v>
      </c>
      <c r="D3102" s="1" t="s">
        <v>18020</v>
      </c>
      <c r="E3102" s="1" t="s">
        <v>18033</v>
      </c>
      <c r="F3102" s="1" t="s">
        <v>12050</v>
      </c>
      <c r="G3102" s="1" t="s">
        <v>1084</v>
      </c>
    </row>
    <row r="3103" spans="1:7">
      <c r="A3103" s="1">
        <v>3102</v>
      </c>
      <c r="B3103" s="1" t="s">
        <v>18034</v>
      </c>
      <c r="D3103" s="1" t="s">
        <v>18020</v>
      </c>
      <c r="E3103" s="1" t="s">
        <v>18035</v>
      </c>
      <c r="F3103" s="1" t="s">
        <v>17162</v>
      </c>
      <c r="G3103" s="1" t="s">
        <v>17163</v>
      </c>
    </row>
    <row r="3104" spans="1:7">
      <c r="A3104" s="1">
        <v>3103</v>
      </c>
      <c r="B3104" s="1" t="s">
        <v>18036</v>
      </c>
      <c r="D3104" s="1" t="s">
        <v>18020</v>
      </c>
      <c r="E3104" s="1" t="s">
        <v>18037</v>
      </c>
      <c r="F3104" s="1" t="s">
        <v>17166</v>
      </c>
      <c r="G3104" s="1" t="s">
        <v>17167</v>
      </c>
    </row>
    <row r="3105" spans="1:7">
      <c r="A3105" s="1">
        <v>3104</v>
      </c>
      <c r="B3105" s="1" t="s">
        <v>18038</v>
      </c>
      <c r="D3105" s="1" t="s">
        <v>18020</v>
      </c>
      <c r="E3105" s="1" t="s">
        <v>18039</v>
      </c>
      <c r="F3105" s="1" t="s">
        <v>17170</v>
      </c>
      <c r="G3105" s="1" t="s">
        <v>17167</v>
      </c>
    </row>
    <row r="3106" spans="1:7">
      <c r="A3106" s="1">
        <v>3105</v>
      </c>
      <c r="B3106" s="1" t="s">
        <v>18040</v>
      </c>
      <c r="D3106" s="1" t="s">
        <v>18020</v>
      </c>
      <c r="E3106" s="1" t="s">
        <v>18041</v>
      </c>
      <c r="F3106" s="1" t="s">
        <v>17172</v>
      </c>
      <c r="G3106" s="1" t="s">
        <v>17173</v>
      </c>
    </row>
    <row r="3107" spans="1:7">
      <c r="A3107" s="1">
        <v>3106</v>
      </c>
      <c r="B3107" s="1" t="s">
        <v>18042</v>
      </c>
      <c r="D3107" s="1" t="s">
        <v>18020</v>
      </c>
      <c r="E3107" s="1" t="s">
        <v>18043</v>
      </c>
      <c r="F3107" s="1" t="s">
        <v>17175</v>
      </c>
      <c r="G3107" s="1" t="s">
        <v>17176</v>
      </c>
    </row>
    <row r="3108" spans="1:7">
      <c r="A3108" s="1">
        <v>3107</v>
      </c>
      <c r="B3108" s="1" t="s">
        <v>18044</v>
      </c>
      <c r="D3108" s="1" t="s">
        <v>18020</v>
      </c>
      <c r="E3108" s="1" t="s">
        <v>18045</v>
      </c>
      <c r="F3108" s="1" t="s">
        <v>12056</v>
      </c>
      <c r="G3108" s="1" t="s">
        <v>1090</v>
      </c>
    </row>
    <row r="3109" spans="1:7">
      <c r="A3109" s="1">
        <v>3108</v>
      </c>
      <c r="B3109" s="1" t="s">
        <v>18046</v>
      </c>
      <c r="D3109" s="1" t="s">
        <v>18020</v>
      </c>
      <c r="E3109" s="1" t="s">
        <v>18047</v>
      </c>
      <c r="F3109" s="1" t="s">
        <v>12058</v>
      </c>
      <c r="G3109" s="1" t="s">
        <v>12059</v>
      </c>
    </row>
    <row r="3110" spans="1:7">
      <c r="A3110" s="1">
        <v>3109</v>
      </c>
      <c r="B3110" s="1" t="s">
        <v>18048</v>
      </c>
      <c r="D3110" s="1" t="s">
        <v>18020</v>
      </c>
      <c r="E3110" s="1" t="s">
        <v>18049</v>
      </c>
      <c r="F3110" s="1" t="s">
        <v>12062</v>
      </c>
      <c r="G3110" s="1" t="s">
        <v>1081</v>
      </c>
    </row>
    <row r="3111" spans="1:7">
      <c r="A3111" s="1">
        <v>3110</v>
      </c>
      <c r="B3111" s="1" t="s">
        <v>18050</v>
      </c>
      <c r="D3111" s="1" t="s">
        <v>18020</v>
      </c>
      <c r="E3111" s="1" t="s">
        <v>18051</v>
      </c>
      <c r="F3111" s="1" t="s">
        <v>12065</v>
      </c>
      <c r="G3111" s="1" t="s">
        <v>12066</v>
      </c>
    </row>
    <row r="3112" spans="1:7">
      <c r="A3112" s="1">
        <v>3111</v>
      </c>
      <c r="B3112" s="1" t="s">
        <v>18052</v>
      </c>
      <c r="D3112" s="1" t="s">
        <v>18020</v>
      </c>
      <c r="E3112" s="1" t="s">
        <v>18053</v>
      </c>
      <c r="F3112" s="1" t="s">
        <v>17183</v>
      </c>
      <c r="G3112" s="1" t="s">
        <v>17184</v>
      </c>
    </row>
    <row r="3113" spans="1:7">
      <c r="A3113" s="1">
        <v>3112</v>
      </c>
      <c r="B3113" s="1" t="s">
        <v>18054</v>
      </c>
      <c r="D3113" s="1" t="s">
        <v>18020</v>
      </c>
      <c r="E3113" s="1" t="s">
        <v>18055</v>
      </c>
      <c r="F3113" s="1" t="s">
        <v>12069</v>
      </c>
      <c r="G3113" s="1" t="s">
        <v>1098</v>
      </c>
    </row>
    <row r="3114" spans="1:7">
      <c r="A3114" s="1">
        <v>3113</v>
      </c>
      <c r="B3114" s="1" t="s">
        <v>18056</v>
      </c>
      <c r="D3114" s="1" t="s">
        <v>18020</v>
      </c>
      <c r="E3114" s="1" t="s">
        <v>18057</v>
      </c>
      <c r="F3114" s="1" t="s">
        <v>12072</v>
      </c>
      <c r="G3114" s="1" t="s">
        <v>1101</v>
      </c>
    </row>
    <row r="3115" spans="1:7">
      <c r="A3115" s="1">
        <v>3114</v>
      </c>
      <c r="B3115" s="1" t="s">
        <v>18058</v>
      </c>
      <c r="D3115" s="1" t="s">
        <v>18020</v>
      </c>
      <c r="E3115" s="1" t="s">
        <v>18059</v>
      </c>
      <c r="F3115" s="1" t="s">
        <v>17189</v>
      </c>
      <c r="G3115" s="1" t="s">
        <v>17190</v>
      </c>
    </row>
    <row r="3116" spans="1:7">
      <c r="A3116" s="1">
        <v>3115</v>
      </c>
      <c r="B3116" s="1" t="s">
        <v>18060</v>
      </c>
      <c r="D3116" s="1" t="s">
        <v>18020</v>
      </c>
      <c r="E3116" s="1" t="s">
        <v>18061</v>
      </c>
      <c r="F3116" s="1" t="s">
        <v>12075</v>
      </c>
      <c r="G3116" s="1" t="s">
        <v>1104</v>
      </c>
    </row>
    <row r="3117" spans="1:7">
      <c r="A3117" s="1">
        <v>3116</v>
      </c>
      <c r="B3117" s="1" t="s">
        <v>18062</v>
      </c>
      <c r="D3117" s="1" t="s">
        <v>18020</v>
      </c>
      <c r="E3117" s="1" t="s">
        <v>18063</v>
      </c>
      <c r="F3117" s="1" t="s">
        <v>12078</v>
      </c>
      <c r="G3117" s="1" t="s">
        <v>1104</v>
      </c>
    </row>
    <row r="3118" spans="1:7">
      <c r="A3118" s="1">
        <v>3117</v>
      </c>
      <c r="B3118" s="1" t="s">
        <v>18064</v>
      </c>
      <c r="D3118" s="1" t="s">
        <v>18020</v>
      </c>
      <c r="E3118" s="1" t="s">
        <v>18065</v>
      </c>
      <c r="F3118" s="1" t="s">
        <v>12081</v>
      </c>
      <c r="G3118" s="1" t="s">
        <v>1109</v>
      </c>
    </row>
    <row r="3119" spans="1:7">
      <c r="A3119" s="1">
        <v>3118</v>
      </c>
      <c r="B3119" s="1" t="s">
        <v>18066</v>
      </c>
      <c r="D3119" s="1" t="s">
        <v>18020</v>
      </c>
      <c r="E3119" s="1" t="s">
        <v>18067</v>
      </c>
      <c r="F3119" s="1" t="s">
        <v>12084</v>
      </c>
      <c r="G3119" s="1" t="s">
        <v>1112</v>
      </c>
    </row>
    <row r="3120" spans="1:7">
      <c r="A3120" s="1">
        <v>3119</v>
      </c>
      <c r="B3120" s="1" t="s">
        <v>18068</v>
      </c>
      <c r="D3120" s="1" t="s">
        <v>18020</v>
      </c>
      <c r="E3120" s="1" t="s">
        <v>18069</v>
      </c>
      <c r="F3120" s="1" t="s">
        <v>12087</v>
      </c>
      <c r="G3120" s="1" t="s">
        <v>1112</v>
      </c>
    </row>
    <row r="3121" spans="1:7">
      <c r="A3121" s="1">
        <v>3120</v>
      </c>
      <c r="B3121" s="1" t="s">
        <v>18070</v>
      </c>
      <c r="D3121" s="1" t="s">
        <v>18020</v>
      </c>
      <c r="E3121" s="1" t="s">
        <v>18071</v>
      </c>
      <c r="F3121" s="1" t="s">
        <v>12090</v>
      </c>
      <c r="G3121" s="1" t="s">
        <v>12091</v>
      </c>
    </row>
    <row r="3122" spans="1:7">
      <c r="A3122" s="1">
        <v>3121</v>
      </c>
      <c r="B3122" s="1" t="s">
        <v>18072</v>
      </c>
      <c r="D3122" s="1" t="s">
        <v>18020</v>
      </c>
      <c r="E3122" s="1" t="s">
        <v>18073</v>
      </c>
      <c r="F3122" s="1" t="s">
        <v>12094</v>
      </c>
      <c r="G3122" s="1" t="s">
        <v>1117</v>
      </c>
    </row>
    <row r="3123" spans="1:7">
      <c r="A3123" s="1">
        <v>3122</v>
      </c>
      <c r="B3123" s="1" t="s">
        <v>18074</v>
      </c>
      <c r="D3123" s="1" t="s">
        <v>18020</v>
      </c>
      <c r="E3123" s="1" t="s">
        <v>18075</v>
      </c>
      <c r="F3123" s="1" t="s">
        <v>12097</v>
      </c>
      <c r="G3123" s="1" t="s">
        <v>1120</v>
      </c>
    </row>
    <row r="3124" spans="1:7">
      <c r="A3124" s="1">
        <v>3123</v>
      </c>
      <c r="B3124" s="1" t="s">
        <v>18076</v>
      </c>
      <c r="D3124" s="1" t="s">
        <v>18020</v>
      </c>
      <c r="E3124" s="1" t="s">
        <v>18077</v>
      </c>
      <c r="F3124" s="1" t="s">
        <v>12100</v>
      </c>
      <c r="G3124" s="1" t="s">
        <v>1120</v>
      </c>
    </row>
    <row r="3125" spans="1:7">
      <c r="A3125" s="1">
        <v>3124</v>
      </c>
      <c r="B3125" s="1" t="s">
        <v>18078</v>
      </c>
      <c r="D3125" s="1" t="s">
        <v>18020</v>
      </c>
      <c r="E3125" s="1" t="s">
        <v>18079</v>
      </c>
      <c r="F3125" s="1" t="s">
        <v>17202</v>
      </c>
      <c r="G3125" s="1" t="s">
        <v>17203</v>
      </c>
    </row>
    <row r="3126" spans="1:7">
      <c r="A3126" s="1">
        <v>3125</v>
      </c>
      <c r="B3126" s="1" t="s">
        <v>18080</v>
      </c>
      <c r="D3126" s="1" t="s">
        <v>18020</v>
      </c>
      <c r="E3126" s="1" t="s">
        <v>18081</v>
      </c>
      <c r="F3126" s="1" t="s">
        <v>12103</v>
      </c>
      <c r="G3126" s="1" t="s">
        <v>1125</v>
      </c>
    </row>
    <row r="3127" spans="1:7">
      <c r="A3127" s="1">
        <v>3126</v>
      </c>
      <c r="B3127" s="1" t="s">
        <v>18082</v>
      </c>
      <c r="D3127" s="1" t="s">
        <v>18020</v>
      </c>
      <c r="E3127" s="1" t="s">
        <v>18083</v>
      </c>
      <c r="F3127" s="1" t="s">
        <v>12106</v>
      </c>
      <c r="G3127" s="1" t="s">
        <v>12107</v>
      </c>
    </row>
    <row r="3128" spans="1:7">
      <c r="A3128" s="1">
        <v>3127</v>
      </c>
      <c r="B3128" s="1" t="s">
        <v>18084</v>
      </c>
      <c r="D3128" s="1" t="s">
        <v>18020</v>
      </c>
      <c r="E3128" s="1" t="s">
        <v>18085</v>
      </c>
      <c r="F3128" s="1" t="s">
        <v>12110</v>
      </c>
      <c r="G3128" s="1" t="s">
        <v>12107</v>
      </c>
    </row>
    <row r="3129" spans="1:7">
      <c r="A3129" s="1">
        <v>3128</v>
      </c>
      <c r="B3129" s="1" t="s">
        <v>18086</v>
      </c>
      <c r="D3129" s="1" t="s">
        <v>18020</v>
      </c>
      <c r="E3129" s="1" t="s">
        <v>18087</v>
      </c>
      <c r="F3129" s="1" t="s">
        <v>12113</v>
      </c>
      <c r="G3129" s="1" t="s">
        <v>1128</v>
      </c>
    </row>
    <row r="3130" spans="1:7">
      <c r="A3130" s="1">
        <v>3129</v>
      </c>
      <c r="B3130" s="1" t="s">
        <v>18088</v>
      </c>
      <c r="D3130" s="1" t="s">
        <v>18020</v>
      </c>
      <c r="E3130" s="1" t="s">
        <v>18089</v>
      </c>
      <c r="F3130" s="1" t="s">
        <v>12116</v>
      </c>
      <c r="G3130" s="1" t="s">
        <v>1128</v>
      </c>
    </row>
    <row r="3131" spans="1:7">
      <c r="A3131" s="1">
        <v>3130</v>
      </c>
      <c r="B3131" s="1" t="s">
        <v>18090</v>
      </c>
      <c r="D3131" s="1" t="s">
        <v>18020</v>
      </c>
      <c r="E3131" s="1" t="s">
        <v>18091</v>
      </c>
      <c r="F3131" s="1" t="s">
        <v>17211</v>
      </c>
      <c r="G3131" s="1" t="s">
        <v>17212</v>
      </c>
    </row>
    <row r="3132" spans="1:7">
      <c r="A3132" s="1">
        <v>3131</v>
      </c>
      <c r="B3132" s="1" t="s">
        <v>18092</v>
      </c>
      <c r="D3132" s="1" t="s">
        <v>18020</v>
      </c>
      <c r="E3132" s="1" t="s">
        <v>18093</v>
      </c>
      <c r="F3132" s="1" t="s">
        <v>12119</v>
      </c>
      <c r="G3132" s="1" t="s">
        <v>1131</v>
      </c>
    </row>
    <row r="3133" spans="1:7">
      <c r="A3133" s="1">
        <v>3132</v>
      </c>
      <c r="B3133" s="1" t="s">
        <v>18094</v>
      </c>
      <c r="D3133" s="1" t="s">
        <v>18020</v>
      </c>
      <c r="E3133" s="1" t="s">
        <v>18095</v>
      </c>
      <c r="F3133" s="1" t="s">
        <v>12122</v>
      </c>
      <c r="G3133" s="1" t="s">
        <v>1128</v>
      </c>
    </row>
    <row r="3134" spans="1:7">
      <c r="A3134" s="1">
        <v>3133</v>
      </c>
      <c r="B3134" s="1" t="s">
        <v>18096</v>
      </c>
      <c r="D3134" s="1" t="s">
        <v>18020</v>
      </c>
      <c r="E3134" s="1" t="s">
        <v>18097</v>
      </c>
      <c r="F3134" s="1" t="s">
        <v>12125</v>
      </c>
      <c r="G3134" s="1" t="s">
        <v>1136</v>
      </c>
    </row>
    <row r="3135" spans="1:7">
      <c r="A3135" s="1">
        <v>3134</v>
      </c>
      <c r="B3135" s="1" t="s">
        <v>18098</v>
      </c>
      <c r="D3135" s="1" t="s">
        <v>18020</v>
      </c>
      <c r="E3135" s="1" t="s">
        <v>18099</v>
      </c>
      <c r="F3135" s="1" t="s">
        <v>12128</v>
      </c>
      <c r="G3135" s="1" t="s">
        <v>1139</v>
      </c>
    </row>
    <row r="3136" spans="1:7">
      <c r="A3136" s="1">
        <v>3135</v>
      </c>
      <c r="B3136" s="1" t="s">
        <v>18100</v>
      </c>
      <c r="D3136" s="1" t="s">
        <v>18020</v>
      </c>
      <c r="E3136" s="1" t="s">
        <v>18101</v>
      </c>
      <c r="F3136" s="1" t="s">
        <v>12131</v>
      </c>
      <c r="G3136" s="1" t="s">
        <v>12066</v>
      </c>
    </row>
    <row r="3137" spans="1:7">
      <c r="A3137" s="1">
        <v>3136</v>
      </c>
      <c r="B3137" s="1" t="s">
        <v>18102</v>
      </c>
      <c r="D3137" s="1" t="s">
        <v>18020</v>
      </c>
      <c r="E3137" s="1" t="s">
        <v>18103</v>
      </c>
      <c r="F3137" s="1" t="s">
        <v>12134</v>
      </c>
      <c r="G3137" s="1" t="s">
        <v>1142</v>
      </c>
    </row>
    <row r="3138" spans="1:7">
      <c r="A3138" s="1">
        <v>3137</v>
      </c>
      <c r="B3138" s="1" t="s">
        <v>18104</v>
      </c>
      <c r="D3138" s="1" t="s">
        <v>18020</v>
      </c>
      <c r="E3138" s="1" t="s">
        <v>18105</v>
      </c>
      <c r="F3138" s="1" t="s">
        <v>12137</v>
      </c>
      <c r="G3138" s="1" t="s">
        <v>1145</v>
      </c>
    </row>
    <row r="3139" spans="1:7">
      <c r="A3139" s="1">
        <v>3138</v>
      </c>
      <c r="B3139" s="1" t="s">
        <v>18106</v>
      </c>
      <c r="D3139" s="1" t="s">
        <v>18020</v>
      </c>
      <c r="E3139" s="1" t="s">
        <v>18107</v>
      </c>
      <c r="F3139" s="1" t="s">
        <v>17221</v>
      </c>
      <c r="G3139" s="1" t="s">
        <v>17222</v>
      </c>
    </row>
    <row r="3140" spans="1:7">
      <c r="A3140" s="1">
        <v>3139</v>
      </c>
      <c r="B3140" s="1" t="s">
        <v>18108</v>
      </c>
      <c r="D3140" s="1" t="s">
        <v>18020</v>
      </c>
      <c r="E3140" s="1" t="s">
        <v>18109</v>
      </c>
      <c r="F3140" s="1" t="s">
        <v>17225</v>
      </c>
      <c r="G3140" s="1" t="s">
        <v>17226</v>
      </c>
    </row>
    <row r="3141" spans="1:7">
      <c r="A3141" s="1">
        <v>3140</v>
      </c>
      <c r="B3141" s="1" t="s">
        <v>18110</v>
      </c>
      <c r="D3141" s="1" t="s">
        <v>18020</v>
      </c>
      <c r="E3141" s="1" t="s">
        <v>18111</v>
      </c>
      <c r="F3141" s="1" t="s">
        <v>17229</v>
      </c>
      <c r="G3141" s="1" t="s">
        <v>17230</v>
      </c>
    </row>
    <row r="3142" spans="1:7">
      <c r="A3142" s="1">
        <v>3141</v>
      </c>
      <c r="B3142" s="1" t="s">
        <v>18112</v>
      </c>
      <c r="D3142" s="1" t="s">
        <v>18020</v>
      </c>
      <c r="E3142" s="1" t="s">
        <v>18113</v>
      </c>
      <c r="F3142" s="1" t="s">
        <v>17232</v>
      </c>
      <c r="G3142" s="1" t="s">
        <v>17233</v>
      </c>
    </row>
    <row r="3143" spans="1:7">
      <c r="A3143" s="1">
        <v>3142</v>
      </c>
      <c r="B3143" s="1" t="s">
        <v>18114</v>
      </c>
      <c r="D3143" s="1" t="s">
        <v>18020</v>
      </c>
      <c r="E3143" s="1" t="s">
        <v>18115</v>
      </c>
      <c r="F3143" s="1" t="s">
        <v>17235</v>
      </c>
      <c r="G3143" s="1" t="s">
        <v>17236</v>
      </c>
    </row>
    <row r="3144" spans="1:7">
      <c r="A3144" s="1">
        <v>3143</v>
      </c>
      <c r="B3144" s="1" t="s">
        <v>18116</v>
      </c>
      <c r="D3144" s="1" t="s">
        <v>18020</v>
      </c>
      <c r="E3144" s="1" t="s">
        <v>18117</v>
      </c>
      <c r="F3144" s="1" t="s">
        <v>12146</v>
      </c>
      <c r="G3144" s="1" t="s">
        <v>12147</v>
      </c>
    </row>
    <row r="3145" spans="1:7">
      <c r="A3145" s="1">
        <v>3144</v>
      </c>
      <c r="B3145" s="1" t="s">
        <v>18118</v>
      </c>
      <c r="D3145" s="1" t="s">
        <v>18020</v>
      </c>
      <c r="E3145" s="1" t="s">
        <v>18119</v>
      </c>
      <c r="F3145" s="1" t="s">
        <v>17239</v>
      </c>
      <c r="G3145" s="1" t="s">
        <v>17240</v>
      </c>
    </row>
    <row r="3146" spans="1:7">
      <c r="A3146" s="1">
        <v>3145</v>
      </c>
      <c r="B3146" s="1" t="s">
        <v>18120</v>
      </c>
      <c r="D3146" s="1" t="s">
        <v>18020</v>
      </c>
      <c r="E3146" s="1" t="s">
        <v>18121</v>
      </c>
      <c r="F3146" s="1" t="s">
        <v>17242</v>
      </c>
      <c r="G3146" s="1" t="s">
        <v>18122</v>
      </c>
    </row>
    <row r="3147" spans="1:7">
      <c r="A3147" s="1">
        <v>3146</v>
      </c>
      <c r="B3147" s="1" t="s">
        <v>18123</v>
      </c>
      <c r="D3147" s="1" t="s">
        <v>18020</v>
      </c>
      <c r="E3147" s="1" t="s">
        <v>18124</v>
      </c>
      <c r="F3147" s="1" t="s">
        <v>17245</v>
      </c>
      <c r="G3147" s="1" t="s">
        <v>17903</v>
      </c>
    </row>
    <row r="3148" spans="1:7">
      <c r="A3148" s="1">
        <v>3147</v>
      </c>
      <c r="B3148" s="1" t="s">
        <v>18125</v>
      </c>
      <c r="D3148" s="1" t="s">
        <v>18020</v>
      </c>
      <c r="E3148" s="1" t="s">
        <v>18126</v>
      </c>
      <c r="F3148" s="1" t="s">
        <v>17248</v>
      </c>
      <c r="G3148" s="1" t="s">
        <v>17249</v>
      </c>
    </row>
    <row r="3149" spans="1:7">
      <c r="A3149" s="1">
        <v>3148</v>
      </c>
      <c r="B3149" s="1" t="s">
        <v>18127</v>
      </c>
      <c r="D3149" s="1" t="s">
        <v>18020</v>
      </c>
      <c r="E3149" s="1" t="s">
        <v>18128</v>
      </c>
      <c r="F3149" s="1" t="s">
        <v>17251</v>
      </c>
      <c r="G3149" s="1" t="s">
        <v>17890</v>
      </c>
    </row>
    <row r="3150" spans="1:7">
      <c r="A3150" s="1">
        <v>3149</v>
      </c>
      <c r="B3150" s="1" t="s">
        <v>18129</v>
      </c>
      <c r="D3150" s="1" t="s">
        <v>12153</v>
      </c>
      <c r="E3150" s="1" t="s">
        <v>2570</v>
      </c>
      <c r="F3150" s="1" t="s">
        <v>12154</v>
      </c>
      <c r="G3150" s="1" t="s">
        <v>12155</v>
      </c>
    </row>
    <row r="3151" spans="1:7">
      <c r="A3151" s="1">
        <v>3150</v>
      </c>
      <c r="B3151" s="1" t="s">
        <v>18130</v>
      </c>
      <c r="D3151" s="1" t="s">
        <v>12153</v>
      </c>
      <c r="E3151" s="1" t="s">
        <v>2574</v>
      </c>
      <c r="F3151" s="1" t="s">
        <v>12157</v>
      </c>
      <c r="G3151" s="1" t="s">
        <v>12158</v>
      </c>
    </row>
    <row r="3152" spans="1:7">
      <c r="A3152" s="1">
        <v>3151</v>
      </c>
      <c r="B3152" s="1" t="s">
        <v>18131</v>
      </c>
      <c r="D3152" s="1" t="s">
        <v>12153</v>
      </c>
      <c r="E3152" s="1" t="s">
        <v>2578</v>
      </c>
      <c r="F3152" s="1" t="s">
        <v>12160</v>
      </c>
      <c r="G3152" s="1" t="s">
        <v>12161</v>
      </c>
    </row>
    <row r="3153" spans="1:7">
      <c r="A3153" s="1">
        <v>3152</v>
      </c>
      <c r="B3153" s="1" t="s">
        <v>18132</v>
      </c>
      <c r="D3153" s="1" t="s">
        <v>12153</v>
      </c>
      <c r="E3153" s="1" t="s">
        <v>2582</v>
      </c>
      <c r="F3153" s="1" t="s">
        <v>12163</v>
      </c>
      <c r="G3153" s="1" t="s">
        <v>12164</v>
      </c>
    </row>
    <row r="3154" spans="1:7">
      <c r="A3154" s="1">
        <v>3153</v>
      </c>
      <c r="B3154" s="1" t="s">
        <v>18133</v>
      </c>
      <c r="D3154" s="1" t="s">
        <v>12153</v>
      </c>
      <c r="E3154" s="1" t="s">
        <v>2590</v>
      </c>
      <c r="F3154" s="1" t="s">
        <v>12166</v>
      </c>
      <c r="G3154" s="1" t="s">
        <v>12167</v>
      </c>
    </row>
    <row r="3155" spans="1:7">
      <c r="A3155" s="1">
        <v>3154</v>
      </c>
      <c r="B3155" s="1" t="s">
        <v>18134</v>
      </c>
      <c r="D3155" s="1" t="s">
        <v>12169</v>
      </c>
      <c r="E3155" s="1" t="s">
        <v>3977</v>
      </c>
      <c r="F3155" s="1" t="s">
        <v>12179</v>
      </c>
      <c r="G3155" s="1" t="s">
        <v>12180</v>
      </c>
    </row>
    <row r="3156" spans="1:7">
      <c r="A3156" s="1">
        <v>3155</v>
      </c>
      <c r="B3156" s="1" t="s">
        <v>18135</v>
      </c>
      <c r="D3156" s="1" t="s">
        <v>12169</v>
      </c>
      <c r="E3156" s="1" t="s">
        <v>3980</v>
      </c>
      <c r="F3156" s="1" t="s">
        <v>12182</v>
      </c>
      <c r="G3156" s="1" t="s">
        <v>12183</v>
      </c>
    </row>
    <row r="3157" spans="1:7">
      <c r="A3157" s="1">
        <v>3156</v>
      </c>
      <c r="B3157" s="1" t="s">
        <v>18136</v>
      </c>
      <c r="D3157" s="1" t="s">
        <v>12169</v>
      </c>
      <c r="E3157" s="1" t="s">
        <v>3329</v>
      </c>
      <c r="F3157" s="1" t="s">
        <v>12185</v>
      </c>
      <c r="G3157" s="1" t="s">
        <v>12186</v>
      </c>
    </row>
    <row r="3158" spans="1:7">
      <c r="A3158" s="1">
        <v>3157</v>
      </c>
      <c r="B3158" s="1" t="s">
        <v>18137</v>
      </c>
      <c r="D3158" s="1" t="s">
        <v>12169</v>
      </c>
      <c r="E3158" s="1" t="s">
        <v>3325</v>
      </c>
      <c r="F3158" s="1" t="s">
        <v>12176</v>
      </c>
      <c r="G3158" s="1" t="s">
        <v>12177</v>
      </c>
    </row>
    <row r="3159" spans="1:7">
      <c r="A3159" s="1">
        <v>3158</v>
      </c>
      <c r="B3159" s="1" t="s">
        <v>18138</v>
      </c>
      <c r="D3159" s="1" t="s">
        <v>12169</v>
      </c>
      <c r="E3159" s="1" t="s">
        <v>3326</v>
      </c>
      <c r="F3159" s="1" t="s">
        <v>12188</v>
      </c>
      <c r="G3159" s="1" t="s">
        <v>12189</v>
      </c>
    </row>
    <row r="3160" spans="1:7">
      <c r="A3160" s="1">
        <v>3159</v>
      </c>
      <c r="B3160" s="1" t="s">
        <v>18139</v>
      </c>
      <c r="D3160" s="1" t="s">
        <v>12169</v>
      </c>
      <c r="E3160" s="1" t="s">
        <v>3327</v>
      </c>
      <c r="F3160" s="1" t="s">
        <v>12191</v>
      </c>
      <c r="G3160" s="1" t="s">
        <v>12192</v>
      </c>
    </row>
    <row r="3161" spans="1:7">
      <c r="A3161" s="1">
        <v>3160</v>
      </c>
      <c r="B3161" s="1" t="s">
        <v>18140</v>
      </c>
      <c r="D3161" s="1" t="s">
        <v>12169</v>
      </c>
      <c r="E3161" s="1" t="s">
        <v>3328</v>
      </c>
      <c r="F3161" s="1" t="s">
        <v>12173</v>
      </c>
      <c r="G3161" s="1" t="s">
        <v>12174</v>
      </c>
    </row>
    <row r="3162" spans="1:7">
      <c r="A3162" s="1">
        <v>3161</v>
      </c>
      <c r="B3162" s="1" t="s">
        <v>18141</v>
      </c>
      <c r="D3162" s="1" t="s">
        <v>12169</v>
      </c>
      <c r="E3162" s="1" t="s">
        <v>3983</v>
      </c>
      <c r="F3162" s="1" t="s">
        <v>12170</v>
      </c>
      <c r="G3162" s="1" t="s">
        <v>12171</v>
      </c>
    </row>
    <row r="3163" spans="1:7">
      <c r="A3163" s="1">
        <v>3162</v>
      </c>
      <c r="B3163" s="1" t="s">
        <v>18142</v>
      </c>
      <c r="D3163" s="1" t="s">
        <v>12169</v>
      </c>
      <c r="E3163" s="1" t="s">
        <v>12194</v>
      </c>
      <c r="F3163" s="1" t="s">
        <v>12195</v>
      </c>
      <c r="G3163" s="1" t="s">
        <v>12196</v>
      </c>
    </row>
  </sheetData>
  <autoFilter ref="A1:S3163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BT2"/>
  <sheetViews>
    <sheetView tabSelected="1" workbookViewId="0">
      <pane ySplit="1" topLeftCell="A3116" activePane="bottomLeft" state="frozen"/>
      <selection/>
      <selection pane="bottomLeft" activeCell="C3126" sqref="C3126"/>
    </sheetView>
  </sheetViews>
  <sheetFormatPr defaultColWidth="9" defaultRowHeight="13.5" outlineLevelRow="1"/>
  <cols>
    <col min="1" max="1" width="38.25" customWidth="1"/>
    <col min="2" max="2" width="46.3833333333333" customWidth="1"/>
    <col min="3" max="3" width="20.8833333333333" customWidth="1"/>
  </cols>
  <sheetData>
    <row r="1" spans="1:71">
      <c r="A1" t="s">
        <v>5</v>
      </c>
      <c r="F1" s="4">
        <v>1</v>
      </c>
      <c r="G1" s="5"/>
      <c r="H1" s="5"/>
      <c r="I1" s="5"/>
      <c r="J1" s="5"/>
      <c r="K1" s="5"/>
      <c r="L1" s="5"/>
      <c r="M1" s="5"/>
      <c r="N1" s="5"/>
      <c r="O1" s="5"/>
      <c r="P1" s="4">
        <v>2</v>
      </c>
      <c r="Q1" s="5"/>
      <c r="R1" s="5"/>
      <c r="S1" s="5"/>
      <c r="T1" s="5"/>
      <c r="U1" s="5"/>
      <c r="V1" s="5"/>
      <c r="W1" s="5"/>
      <c r="X1" s="5"/>
      <c r="Y1" s="5"/>
      <c r="Z1" s="4">
        <v>3</v>
      </c>
      <c r="AA1" s="5"/>
      <c r="AB1" s="5"/>
      <c r="AC1" s="5"/>
      <c r="AD1" s="5"/>
      <c r="AE1" s="5"/>
      <c r="AF1" s="5"/>
      <c r="AG1" s="5"/>
      <c r="AH1" s="5"/>
      <c r="AI1" s="5"/>
      <c r="AJ1" s="4">
        <v>4</v>
      </c>
      <c r="AK1" s="5"/>
      <c r="AL1" s="5"/>
      <c r="AM1" s="5"/>
      <c r="AN1" s="5"/>
      <c r="AO1" s="5"/>
      <c r="AP1" s="5"/>
      <c r="AQ1" s="5"/>
      <c r="AR1" s="5"/>
      <c r="AS1" s="4">
        <v>5</v>
      </c>
      <c r="AT1" s="5"/>
      <c r="AU1" s="5"/>
      <c r="AV1" s="5"/>
      <c r="AW1" s="5"/>
      <c r="AX1" s="5"/>
      <c r="AY1" s="5"/>
      <c r="AZ1" s="5"/>
      <c r="BA1" s="5"/>
      <c r="BB1" s="4">
        <v>6</v>
      </c>
      <c r="BC1" s="5"/>
      <c r="BD1" s="5"/>
      <c r="BE1" s="5"/>
      <c r="BF1" s="5"/>
      <c r="BG1" s="5"/>
      <c r="BH1" s="5"/>
      <c r="BI1" s="5"/>
      <c r="BJ1" s="5"/>
      <c r="BK1" s="4">
        <v>7</v>
      </c>
      <c r="BL1" s="5"/>
      <c r="BM1" s="5"/>
      <c r="BN1" s="5"/>
      <c r="BO1" s="5"/>
      <c r="BP1" s="5"/>
      <c r="BQ1" s="5"/>
      <c r="BR1" s="5"/>
      <c r="BS1" s="4"/>
    </row>
    <row r="2" spans="1:72">
      <c r="A2" t="s">
        <v>4102</v>
      </c>
      <c r="B2" t="s">
        <v>18143</v>
      </c>
      <c r="C2" t="str">
        <f>IFERROR(INDEX('6.0.35'!G:G,MATCH(A2,'6.0.35'!F:F,0)),IFERROR(INDEX('5.0.42'!G:G,MATCH(A2,'5.0.42'!F:F,0)),IFERROR(INDEX('7.0.17'!G:G,MATCH(A2,'7.0.17'!F:F,0)),"")))</f>
        <v>AIX: 运行的进程太多</v>
      </c>
      <c r="D2" s="1">
        <f>IF(C2=B2,1,0)</f>
        <v>0</v>
      </c>
      <c r="E2" s="6">
        <f>(LEN(A2)-LEN(SUBSTITUTE(A2,"{","")))/LEN("{")</f>
        <v>0</v>
      </c>
      <c r="F2" s="6" t="e">
        <f>REPLACE(B2,H2,I2-H2+1,N2)</f>
        <v>#VALUE!</v>
      </c>
      <c r="G2" s="6"/>
      <c r="H2" s="6" t="e">
        <f>FIND("{",B2,1)</f>
        <v>#VALUE!</v>
      </c>
      <c r="I2" s="6" t="e">
        <f>FIND("}",B2,H2+1)</f>
        <v>#VALUE!</v>
      </c>
      <c r="J2" s="6" t="e">
        <f>MID(B2,H2,I2-H2+1)</f>
        <v>#VALUE!</v>
      </c>
      <c r="K2" s="6"/>
      <c r="L2" s="6" t="e">
        <f>FIND("{",A2,1)</f>
        <v>#VALUE!</v>
      </c>
      <c r="M2" s="6" t="e">
        <f>FIND("}",A2,L2+1)</f>
        <v>#VALUE!</v>
      </c>
      <c r="N2" s="6" t="e">
        <f>MID(A2,L2,M2-L2+1)</f>
        <v>#VALUE!</v>
      </c>
      <c r="O2" s="6"/>
      <c r="P2" s="6" t="e">
        <f>REPLACE($B2,R2,S2-R2+1,X2)</f>
        <v>#VALUE!</v>
      </c>
      <c r="Q2" s="6"/>
      <c r="R2" s="6" t="e">
        <f>FIND("{",$B2,I2+1)</f>
        <v>#VALUE!</v>
      </c>
      <c r="S2" s="6" t="e">
        <f>FIND("}",$B2,R2+1)</f>
        <v>#VALUE!</v>
      </c>
      <c r="T2" s="6" t="e">
        <f>MID($B2,R2,S2-R2+1)</f>
        <v>#VALUE!</v>
      </c>
      <c r="U2" s="6"/>
      <c r="V2" s="6" t="e">
        <f>FIND("{",$A2,M2+1)</f>
        <v>#VALUE!</v>
      </c>
      <c r="W2" s="6" t="e">
        <f>FIND("}",$A2,V2+1)</f>
        <v>#VALUE!</v>
      </c>
      <c r="X2" s="6" t="e">
        <f>MID($A2,V2,W2-V2+1)</f>
        <v>#VALUE!</v>
      </c>
      <c r="Y2" s="6"/>
      <c r="Z2" s="6" t="e">
        <f>REPLACE($B2,AB2,AC2-AB2+1,AH2)</f>
        <v>#VALUE!</v>
      </c>
      <c r="AA2" s="6"/>
      <c r="AB2" s="6" t="e">
        <f>FIND("{",$B2,S2+1)</f>
        <v>#VALUE!</v>
      </c>
      <c r="AC2" s="6" t="e">
        <f>FIND("}",$B2,AB2+1)</f>
        <v>#VALUE!</v>
      </c>
      <c r="AD2" s="6" t="e">
        <f>MID($B2,AB2,AC2-AB2+1)</f>
        <v>#VALUE!</v>
      </c>
      <c r="AE2" s="6"/>
      <c r="AF2" s="6" t="e">
        <f>FIND("{",$A2,W2+1)</f>
        <v>#VALUE!</v>
      </c>
      <c r="AG2" s="6" t="e">
        <f>FIND("}",$A2,AF2+1)</f>
        <v>#VALUE!</v>
      </c>
      <c r="AH2" s="6" t="e">
        <f>MID($A2,AF2,AG2-AF2+1)</f>
        <v>#VALUE!</v>
      </c>
      <c r="AI2" s="6"/>
      <c r="AJ2" s="6" t="e">
        <f>REPLACE($B2,AL2,AM2-AL2+1,AR2)</f>
        <v>#VALUE!</v>
      </c>
      <c r="AK2" s="6"/>
      <c r="AL2" s="6" t="e">
        <f>FIND("{",$B2,AC2+1)</f>
        <v>#VALUE!</v>
      </c>
      <c r="AM2" s="6" t="e">
        <f>FIND("}",$B2,AL2+1)</f>
        <v>#VALUE!</v>
      </c>
      <c r="AN2" s="6" t="e">
        <f>MID($B2,AL2,AM2-AL2+1)</f>
        <v>#VALUE!</v>
      </c>
      <c r="AO2" s="6"/>
      <c r="AP2" s="6" t="e">
        <f>FIND("{",$A2,AG2+1)</f>
        <v>#VALUE!</v>
      </c>
      <c r="AQ2" s="6" t="e">
        <f>FIND("}",$A2,AP2+1)</f>
        <v>#VALUE!</v>
      </c>
      <c r="AR2" s="6" t="e">
        <f>MID($A2,AP2,AQ2-AP2+1)</f>
        <v>#VALUE!</v>
      </c>
      <c r="AS2" s="6" t="e">
        <f>REPLACE($B2,AU2,AV2-AU2+1,BA2)</f>
        <v>#VALUE!</v>
      </c>
      <c r="AT2" s="6"/>
      <c r="AU2" s="6" t="e">
        <f>FIND("{",$B2,AM2+1)</f>
        <v>#VALUE!</v>
      </c>
      <c r="AV2" s="6" t="e">
        <f>FIND("}",$B2,AU2+1)</f>
        <v>#VALUE!</v>
      </c>
      <c r="AW2" s="6" t="e">
        <f>MID($B2,AU2,AV2-AU2+1)</f>
        <v>#VALUE!</v>
      </c>
      <c r="AX2" s="6"/>
      <c r="AY2" s="6" t="e">
        <f>FIND("{",$A2,AQ2+1)</f>
        <v>#VALUE!</v>
      </c>
      <c r="AZ2" s="6" t="e">
        <f>FIND("}",$A2,AY2+1)</f>
        <v>#VALUE!</v>
      </c>
      <c r="BA2" s="6" t="e">
        <f>MID($A2,AY2,AZ2-AY2+1)</f>
        <v>#VALUE!</v>
      </c>
      <c r="BB2" s="6" t="e">
        <f>REPLACE($B2,BD2,BE2-BD2+1,BJ2)</f>
        <v>#VALUE!</v>
      </c>
      <c r="BC2" s="6"/>
      <c r="BD2" s="6" t="e">
        <f>FIND("{",$B2,AV2+1)</f>
        <v>#VALUE!</v>
      </c>
      <c r="BE2" s="6" t="e">
        <f>FIND("}",$B2,BD2+1)</f>
        <v>#VALUE!</v>
      </c>
      <c r="BF2" s="6" t="e">
        <f>MID($B2,BD2,BE2-BD2+1)</f>
        <v>#VALUE!</v>
      </c>
      <c r="BG2" s="6"/>
      <c r="BH2" s="6" t="e">
        <f>FIND("{",$A2,AZ2+1)</f>
        <v>#VALUE!</v>
      </c>
      <c r="BI2" s="6" t="e">
        <f>FIND("}",$A2,BH2+1)</f>
        <v>#VALUE!</v>
      </c>
      <c r="BJ2" s="6" t="e">
        <f>MID($A2,BH2,BI2-BH2+1)</f>
        <v>#VALUE!</v>
      </c>
      <c r="BK2" s="6" t="e">
        <f>REPLACE($B2,BM2,BN2-BM2+1,BS2)</f>
        <v>#VALUE!</v>
      </c>
      <c r="BL2" s="6"/>
      <c r="BM2" s="6" t="e">
        <f>FIND("{",$B2,BE2+1)</f>
        <v>#VALUE!</v>
      </c>
      <c r="BN2" s="6" t="e">
        <f>FIND("}",$B2,BM2+1)</f>
        <v>#VALUE!</v>
      </c>
      <c r="BO2" s="6" t="e">
        <f>MID($B2,BM2,BN2-BM2+1)</f>
        <v>#VALUE!</v>
      </c>
      <c r="BP2" s="6"/>
      <c r="BQ2" s="6" t="e">
        <f>FIND("{",$A2,BI2+1)</f>
        <v>#VALUE!</v>
      </c>
      <c r="BR2" s="6" t="e">
        <f>FIND("}",$A2,BQ2+1)</f>
        <v>#VALUE!</v>
      </c>
      <c r="BS2" s="6" t="e">
        <f>MID($A2,BQ2,BR2-BQ2+1)</f>
        <v>#VALUE!</v>
      </c>
      <c r="BT2" s="1"/>
    </row>
  </sheetData>
  <autoFilter ref="A1:BT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S1116"/>
  <sheetViews>
    <sheetView topLeftCell="D1" workbookViewId="0">
      <selection activeCell="F110" sqref="F2:F110"/>
    </sheetView>
  </sheetViews>
  <sheetFormatPr defaultColWidth="8.89166666666667" defaultRowHeight="13.5"/>
  <cols>
    <col min="1" max="1" width="41.6333333333333" customWidth="1"/>
    <col min="2" max="2" width="14.25" customWidth="1"/>
    <col min="3" max="3" width="22.8833333333333" customWidth="1"/>
    <col min="6" max="6" width="41.6333333333333" customWidth="1"/>
  </cols>
  <sheetData>
    <row r="1" spans="1:19">
      <c r="A1" s="2" t="s">
        <v>12208</v>
      </c>
      <c r="B1" s="2"/>
      <c r="C1" s="2"/>
      <c r="F1" s="2"/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3"/>
    </row>
    <row r="2" spans="1:19">
      <c r="A2" t="s">
        <v>12211</v>
      </c>
      <c r="C2" s="2"/>
      <c r="F2" t="s">
        <v>18144</v>
      </c>
      <c r="H2" s="1"/>
      <c r="I2" s="1" t="str">
        <f t="shared" ref="I2:I45" si="0">IFERROR(IF(OR(MID(G2,FIND(":",G2)-1,1)="""",MID(G2,FIND(":",G2)-1,1)="}",MID(G2,FIND(":",G2)-1,1)=")",MID(G2,FIND(":",G2)-1,1)="]"),"",RIGHT(G2,LEN(G2)-FIND(":",G2)-1)),"")</f>
        <v/>
      </c>
      <c r="J2" s="1">
        <f t="shared" ref="J2:J45" si="1">IF(AND(I2="",H2=""),G2,IF(H2="",I2,H2&amp;": "&amp;I2))</f>
        <v>0</v>
      </c>
      <c r="K2" s="1" t="str">
        <f t="shared" ref="K2:K45" si="2">IFERROR(IF(OR(MID(F2,FIND(":",F2)-1,1)="""",MID(F2,FIND(":",F2)-1,1)="}",MID(F2,FIND(":",F2)-1,1)=")",MID(F2,FIND(":",F2)-1,1)="]"),"",RIGHT(F2,LEN(F2)-FIND(":",F2)-1)),"")</f>
        <v/>
      </c>
      <c r="L2" s="1">
        <f t="shared" ref="L2:L45" si="3">LEN(F2)-LEN(SUBSTITUTE(F2,":",""))</f>
        <v>0</v>
      </c>
      <c r="M2" s="1">
        <f t="shared" ref="M2:M45" si="4">LEN(G2)-LEN(SUBSTITUTE(G2,":",""))</f>
        <v>0</v>
      </c>
      <c r="N2" s="1">
        <f t="shared" ref="N2:N45" si="5">LEN(G2)-LEN(SUBSTITUTE(G2,"：",""))</f>
        <v>0</v>
      </c>
      <c r="O2" s="1" t="b">
        <f t="shared" ref="O2:O45" si="6">IF(M2&gt;=2,MID(G2,FIND(":",G2)+1,LEN(G2)))</f>
        <v>0</v>
      </c>
      <c r="P2" s="1" t="e">
        <f>INDEX(G:G,MATCH(G2,G:G,0))</f>
        <v>#N/A</v>
      </c>
      <c r="Q2" s="1" t="e">
        <f t="shared" ref="Q2:Q45" si="7">IF(P2&lt;&gt;G2,"校验","")</f>
        <v>#N/A</v>
      </c>
      <c r="R2" s="1" t="e">
        <f>INDEX('6.0.35'!I:I,MATCH(F2,'6.0.35'!K:K,0))</f>
        <v>#N/A</v>
      </c>
      <c r="S2" s="1" t="e">
        <f>INDEX('6.0.35'!J:J,MATCH(F2,'6.0.35'!F:F,0))</f>
        <v>#N/A</v>
      </c>
    </row>
    <row r="3" spans="1:19">
      <c r="A3" t="s">
        <v>12214</v>
      </c>
      <c r="C3" s="2"/>
      <c r="F3" t="s">
        <v>18145</v>
      </c>
      <c r="I3" s="1" t="str">
        <f t="shared" si="0"/>
        <v/>
      </c>
      <c r="J3" s="1">
        <f t="shared" si="1"/>
        <v>0</v>
      </c>
      <c r="K3" s="1" t="str">
        <f t="shared" si="2"/>
        <v/>
      </c>
      <c r="L3" s="1">
        <f t="shared" si="3"/>
        <v>0</v>
      </c>
      <c r="M3" s="1">
        <f t="shared" si="4"/>
        <v>0</v>
      </c>
      <c r="N3" s="1">
        <f t="shared" si="5"/>
        <v>0</v>
      </c>
      <c r="O3" s="1" t="b">
        <f t="shared" si="6"/>
        <v>0</v>
      </c>
      <c r="P3" s="1" t="e">
        <f>INDEX(G:G,MATCH(G3,G:G,0))</f>
        <v>#N/A</v>
      </c>
      <c r="Q3" s="1" t="e">
        <f t="shared" si="7"/>
        <v>#N/A</v>
      </c>
      <c r="R3" s="1" t="e">
        <f>INDEX('6.0.35'!I:I,MATCH(F3,'6.0.35'!K:K,0))</f>
        <v>#N/A</v>
      </c>
      <c r="S3" s="1" t="e">
        <f>INDEX('6.0.35'!J:J,MATCH(F3,'6.0.35'!F:F,0))</f>
        <v>#N/A</v>
      </c>
    </row>
    <row r="4" spans="1:19">
      <c r="A4" t="s">
        <v>12217</v>
      </c>
      <c r="C4" s="2"/>
      <c r="F4" t="s">
        <v>18146</v>
      </c>
      <c r="I4" s="1" t="str">
        <f t="shared" si="0"/>
        <v/>
      </c>
      <c r="J4" s="1">
        <f t="shared" si="1"/>
        <v>0</v>
      </c>
      <c r="K4" s="1" t="str">
        <f t="shared" si="2"/>
        <v/>
      </c>
      <c r="L4" s="1">
        <f t="shared" si="3"/>
        <v>0</v>
      </c>
      <c r="M4" s="1">
        <f t="shared" si="4"/>
        <v>0</v>
      </c>
      <c r="N4" s="1">
        <f t="shared" si="5"/>
        <v>0</v>
      </c>
      <c r="O4" s="1" t="b">
        <f t="shared" si="6"/>
        <v>0</v>
      </c>
      <c r="P4" s="1" t="e">
        <f>INDEX(G:G,MATCH(G4,G:G,0))</f>
        <v>#N/A</v>
      </c>
      <c r="Q4" s="1" t="e">
        <f t="shared" si="7"/>
        <v>#N/A</v>
      </c>
      <c r="R4" s="1" t="e">
        <f>INDEX('6.0.35'!I:I,MATCH(F4,'6.0.35'!K:K,0))</f>
        <v>#N/A</v>
      </c>
      <c r="S4" s="1" t="e">
        <f>INDEX('6.0.35'!J:J,MATCH(F4,'6.0.35'!F:F,0))</f>
        <v>#N/A</v>
      </c>
    </row>
    <row r="5" spans="1:19">
      <c r="A5" t="s">
        <v>12220</v>
      </c>
      <c r="C5" s="2"/>
      <c r="F5" t="s">
        <v>18147</v>
      </c>
      <c r="I5" s="1" t="str">
        <f t="shared" si="0"/>
        <v/>
      </c>
      <c r="J5" s="1">
        <f t="shared" si="1"/>
        <v>0</v>
      </c>
      <c r="K5" s="1" t="str">
        <f t="shared" si="2"/>
        <v/>
      </c>
      <c r="L5" s="1">
        <f t="shared" si="3"/>
        <v>0</v>
      </c>
      <c r="M5" s="1">
        <f t="shared" si="4"/>
        <v>0</v>
      </c>
      <c r="N5" s="1">
        <f t="shared" si="5"/>
        <v>0</v>
      </c>
      <c r="O5" s="1" t="b">
        <f t="shared" si="6"/>
        <v>0</v>
      </c>
      <c r="P5" s="1" t="e">
        <f>INDEX(G:G,MATCH(G5,G:G,0))</f>
        <v>#N/A</v>
      </c>
      <c r="Q5" s="1" t="e">
        <f t="shared" si="7"/>
        <v>#N/A</v>
      </c>
      <c r="R5" s="1" t="e">
        <f>INDEX('6.0.35'!I:I,MATCH(F5,'6.0.35'!K:K,0))</f>
        <v>#N/A</v>
      </c>
      <c r="S5" s="1" t="e">
        <f>INDEX('6.0.35'!J:J,MATCH(F5,'6.0.35'!F:F,0))</f>
        <v>#N/A</v>
      </c>
    </row>
    <row r="6" spans="1:19">
      <c r="A6" t="s">
        <v>12223</v>
      </c>
      <c r="C6" s="2"/>
      <c r="F6" t="s">
        <v>18148</v>
      </c>
      <c r="I6" s="1" t="str">
        <f t="shared" si="0"/>
        <v/>
      </c>
      <c r="J6" s="1">
        <f t="shared" si="1"/>
        <v>0</v>
      </c>
      <c r="K6" s="1" t="str">
        <f t="shared" si="2"/>
        <v/>
      </c>
      <c r="L6" s="1">
        <f t="shared" si="3"/>
        <v>0</v>
      </c>
      <c r="M6" s="1">
        <f t="shared" si="4"/>
        <v>0</v>
      </c>
      <c r="N6" s="1">
        <f t="shared" si="5"/>
        <v>0</v>
      </c>
      <c r="O6" s="1" t="b">
        <f t="shared" si="6"/>
        <v>0</v>
      </c>
      <c r="P6" s="1" t="e">
        <f>INDEX(G:G,MATCH(G6,G:G,0))</f>
        <v>#N/A</v>
      </c>
      <c r="Q6" s="1" t="e">
        <f t="shared" si="7"/>
        <v>#N/A</v>
      </c>
      <c r="R6" s="1" t="e">
        <f>INDEX('6.0.35'!I:I,MATCH(F6,'6.0.35'!K:K,0))</f>
        <v>#N/A</v>
      </c>
      <c r="S6" s="1" t="e">
        <f>INDEX('6.0.35'!J:J,MATCH(F6,'6.0.35'!F:F,0))</f>
        <v>#N/A</v>
      </c>
    </row>
    <row r="7" spans="1:19">
      <c r="A7" t="s">
        <v>12226</v>
      </c>
      <c r="C7" s="2"/>
      <c r="F7" t="s">
        <v>18149</v>
      </c>
      <c r="I7" s="1" t="str">
        <f t="shared" si="0"/>
        <v/>
      </c>
      <c r="J7" s="1">
        <f t="shared" si="1"/>
        <v>0</v>
      </c>
      <c r="K7" s="1" t="str">
        <f t="shared" si="2"/>
        <v/>
      </c>
      <c r="L7" s="1">
        <f t="shared" si="3"/>
        <v>0</v>
      </c>
      <c r="M7" s="1">
        <f t="shared" si="4"/>
        <v>0</v>
      </c>
      <c r="N7" s="1">
        <f t="shared" si="5"/>
        <v>0</v>
      </c>
      <c r="O7" s="1" t="b">
        <f t="shared" si="6"/>
        <v>0</v>
      </c>
      <c r="P7" s="1" t="e">
        <f>INDEX(G:G,MATCH(G7,G:G,0))</f>
        <v>#N/A</v>
      </c>
      <c r="Q7" s="1" t="e">
        <f t="shared" si="7"/>
        <v>#N/A</v>
      </c>
      <c r="R7" s="1" t="e">
        <f>INDEX('6.0.35'!I:I,MATCH(F7,'6.0.35'!K:K,0))</f>
        <v>#N/A</v>
      </c>
      <c r="S7" s="1" t="e">
        <f>INDEX('6.0.35'!J:J,MATCH(F7,'6.0.35'!F:F,0))</f>
        <v>#N/A</v>
      </c>
    </row>
    <row r="8" spans="1:19">
      <c r="A8" t="s">
        <v>12229</v>
      </c>
      <c r="C8" s="2"/>
      <c r="F8" t="s">
        <v>18150</v>
      </c>
      <c r="I8" s="1" t="str">
        <f t="shared" si="0"/>
        <v/>
      </c>
      <c r="J8" s="1">
        <f t="shared" si="1"/>
        <v>0</v>
      </c>
      <c r="K8" s="1" t="str">
        <f t="shared" si="2"/>
        <v/>
      </c>
      <c r="L8" s="1">
        <f t="shared" si="3"/>
        <v>0</v>
      </c>
      <c r="M8" s="1">
        <f t="shared" si="4"/>
        <v>0</v>
      </c>
      <c r="N8" s="1">
        <f t="shared" si="5"/>
        <v>0</v>
      </c>
      <c r="O8" s="1" t="b">
        <f t="shared" si="6"/>
        <v>0</v>
      </c>
      <c r="P8" s="1" t="e">
        <f>INDEX(G:G,MATCH(G8,G:G,0))</f>
        <v>#N/A</v>
      </c>
      <c r="Q8" s="1" t="e">
        <f t="shared" si="7"/>
        <v>#N/A</v>
      </c>
      <c r="R8" s="1" t="e">
        <f>INDEX('6.0.35'!I:I,MATCH(F8,'6.0.35'!K:K,0))</f>
        <v>#N/A</v>
      </c>
      <c r="S8" s="1" t="e">
        <f>INDEX('6.0.35'!J:J,MATCH(F8,'6.0.35'!F:F,0))</f>
        <v>#N/A</v>
      </c>
    </row>
    <row r="9" spans="1:19">
      <c r="A9" t="s">
        <v>12232</v>
      </c>
      <c r="C9" s="2"/>
      <c r="F9" t="s">
        <v>18151</v>
      </c>
      <c r="I9" s="1" t="str">
        <f t="shared" si="0"/>
        <v/>
      </c>
      <c r="J9" s="1">
        <f t="shared" si="1"/>
        <v>0</v>
      </c>
      <c r="K9" s="1" t="str">
        <f t="shared" si="2"/>
        <v/>
      </c>
      <c r="L9" s="1">
        <f t="shared" si="3"/>
        <v>0</v>
      </c>
      <c r="M9" s="1">
        <f t="shared" si="4"/>
        <v>0</v>
      </c>
      <c r="N9" s="1">
        <f t="shared" si="5"/>
        <v>0</v>
      </c>
      <c r="O9" s="1" t="b">
        <f t="shared" si="6"/>
        <v>0</v>
      </c>
      <c r="P9" s="1" t="e">
        <f>INDEX(G:G,MATCH(G9,G:G,0))</f>
        <v>#N/A</v>
      </c>
      <c r="Q9" s="1" t="e">
        <f t="shared" si="7"/>
        <v>#N/A</v>
      </c>
      <c r="R9" s="1" t="e">
        <f>INDEX('6.0.35'!I:I,MATCH(F9,'6.0.35'!K:K,0))</f>
        <v>#N/A</v>
      </c>
      <c r="S9" s="1" t="e">
        <f>INDEX('6.0.35'!J:J,MATCH(F9,'6.0.35'!F:F,0))</f>
        <v>#N/A</v>
      </c>
    </row>
    <row r="10" spans="1:19">
      <c r="A10" t="s">
        <v>12235</v>
      </c>
      <c r="C10" s="2"/>
      <c r="F10" t="s">
        <v>18152</v>
      </c>
      <c r="I10" s="1" t="str">
        <f t="shared" si="0"/>
        <v/>
      </c>
      <c r="J10" s="1">
        <f t="shared" si="1"/>
        <v>0</v>
      </c>
      <c r="K10" s="1" t="str">
        <f t="shared" si="2"/>
        <v/>
      </c>
      <c r="L10" s="1">
        <f t="shared" si="3"/>
        <v>0</v>
      </c>
      <c r="M10" s="1">
        <f t="shared" si="4"/>
        <v>0</v>
      </c>
      <c r="N10" s="1">
        <f t="shared" si="5"/>
        <v>0</v>
      </c>
      <c r="O10" s="1" t="b">
        <f t="shared" si="6"/>
        <v>0</v>
      </c>
      <c r="P10" s="1" t="e">
        <f>INDEX(G:G,MATCH(G10,G:G,0))</f>
        <v>#N/A</v>
      </c>
      <c r="Q10" s="1" t="e">
        <f t="shared" si="7"/>
        <v>#N/A</v>
      </c>
      <c r="R10" s="1" t="e">
        <f>INDEX('6.0.35'!I:I,MATCH(F10,'6.0.35'!K:K,0))</f>
        <v>#N/A</v>
      </c>
      <c r="S10" s="1" t="e">
        <f>INDEX('6.0.35'!J:J,MATCH(F10,'6.0.35'!F:F,0))</f>
        <v>#N/A</v>
      </c>
    </row>
    <row r="11" spans="1:19">
      <c r="A11" t="s">
        <v>12238</v>
      </c>
      <c r="C11" s="2"/>
      <c r="F11" t="s">
        <v>18153</v>
      </c>
      <c r="I11" s="1" t="str">
        <f t="shared" si="0"/>
        <v/>
      </c>
      <c r="J11" s="1">
        <f t="shared" si="1"/>
        <v>0</v>
      </c>
      <c r="K11" s="1" t="str">
        <f t="shared" si="2"/>
        <v/>
      </c>
      <c r="L11" s="1">
        <f t="shared" si="3"/>
        <v>0</v>
      </c>
      <c r="M11" s="1">
        <f t="shared" si="4"/>
        <v>0</v>
      </c>
      <c r="N11" s="1">
        <f t="shared" si="5"/>
        <v>0</v>
      </c>
      <c r="O11" s="1" t="b">
        <f t="shared" si="6"/>
        <v>0</v>
      </c>
      <c r="P11" s="1" t="e">
        <f>INDEX(G:G,MATCH(G11,G:G,0))</f>
        <v>#N/A</v>
      </c>
      <c r="Q11" s="1" t="e">
        <f t="shared" si="7"/>
        <v>#N/A</v>
      </c>
      <c r="R11" s="1" t="e">
        <f>INDEX('6.0.35'!I:I,MATCH(F11,'6.0.35'!K:K,0))</f>
        <v>#N/A</v>
      </c>
      <c r="S11" s="1" t="e">
        <f>INDEX('6.0.35'!J:J,MATCH(F11,'6.0.35'!F:F,0))</f>
        <v>#N/A</v>
      </c>
    </row>
    <row r="12" spans="1:19">
      <c r="A12" t="s">
        <v>12241</v>
      </c>
      <c r="C12" s="2"/>
      <c r="F12" t="s">
        <v>18154</v>
      </c>
      <c r="I12" s="1" t="str">
        <f t="shared" si="0"/>
        <v/>
      </c>
      <c r="J12" s="1">
        <f t="shared" si="1"/>
        <v>0</v>
      </c>
      <c r="K12" s="1" t="str">
        <f t="shared" si="2"/>
        <v/>
      </c>
      <c r="L12" s="1">
        <f t="shared" si="3"/>
        <v>0</v>
      </c>
      <c r="M12" s="1">
        <f t="shared" si="4"/>
        <v>0</v>
      </c>
      <c r="N12" s="1">
        <f t="shared" si="5"/>
        <v>0</v>
      </c>
      <c r="O12" s="1" t="b">
        <f t="shared" si="6"/>
        <v>0</v>
      </c>
      <c r="P12" s="1" t="e">
        <f>INDEX(G:G,MATCH(G12,G:G,0))</f>
        <v>#N/A</v>
      </c>
      <c r="Q12" s="1" t="e">
        <f t="shared" si="7"/>
        <v>#N/A</v>
      </c>
      <c r="R12" s="1" t="e">
        <f>INDEX('6.0.35'!I:I,MATCH(F12,'6.0.35'!K:K,0))</f>
        <v>#N/A</v>
      </c>
      <c r="S12" s="1" t="e">
        <f>INDEX('6.0.35'!J:J,MATCH(F12,'6.0.35'!F:F,0))</f>
        <v>#N/A</v>
      </c>
    </row>
    <row r="13" spans="1:19">
      <c r="A13" t="s">
        <v>12247</v>
      </c>
      <c r="C13" s="2"/>
      <c r="F13" t="s">
        <v>18155</v>
      </c>
      <c r="I13" s="1" t="str">
        <f t="shared" si="0"/>
        <v/>
      </c>
      <c r="J13" s="1">
        <f t="shared" si="1"/>
        <v>0</v>
      </c>
      <c r="K13" s="1" t="str">
        <f t="shared" si="2"/>
        <v/>
      </c>
      <c r="L13" s="1">
        <f t="shared" si="3"/>
        <v>0</v>
      </c>
      <c r="M13" s="1">
        <f t="shared" si="4"/>
        <v>0</v>
      </c>
      <c r="N13" s="1">
        <f t="shared" si="5"/>
        <v>0</v>
      </c>
      <c r="O13" s="1" t="b">
        <f t="shared" si="6"/>
        <v>0</v>
      </c>
      <c r="P13" s="1" t="e">
        <f>INDEX(G:G,MATCH(G13,G:G,0))</f>
        <v>#N/A</v>
      </c>
      <c r="Q13" s="1" t="e">
        <f t="shared" si="7"/>
        <v>#N/A</v>
      </c>
      <c r="R13" s="1" t="e">
        <f>INDEX('6.0.35'!I:I,MATCH(F13,'6.0.35'!K:K,0))</f>
        <v>#N/A</v>
      </c>
      <c r="S13" s="1" t="e">
        <f>INDEX('6.0.35'!J:J,MATCH(F13,'6.0.35'!F:F,0))</f>
        <v>#N/A</v>
      </c>
    </row>
    <row r="14" spans="1:19">
      <c r="A14" t="s">
        <v>12250</v>
      </c>
      <c r="C14" s="2"/>
      <c r="F14" t="s">
        <v>18156</v>
      </c>
      <c r="I14" s="1" t="str">
        <f t="shared" si="0"/>
        <v/>
      </c>
      <c r="J14" s="1">
        <f t="shared" si="1"/>
        <v>0</v>
      </c>
      <c r="K14" s="1" t="str">
        <f t="shared" si="2"/>
        <v/>
      </c>
      <c r="L14" s="1">
        <f t="shared" si="3"/>
        <v>0</v>
      </c>
      <c r="M14" s="1">
        <f t="shared" si="4"/>
        <v>0</v>
      </c>
      <c r="N14" s="1">
        <f t="shared" si="5"/>
        <v>0</v>
      </c>
      <c r="O14" s="1" t="b">
        <f t="shared" si="6"/>
        <v>0</v>
      </c>
      <c r="P14" s="1" t="e">
        <f>INDEX(G:G,MATCH(G14,G:G,0))</f>
        <v>#N/A</v>
      </c>
      <c r="Q14" s="1" t="e">
        <f t="shared" si="7"/>
        <v>#N/A</v>
      </c>
      <c r="R14" s="1" t="e">
        <f>INDEX('6.0.35'!I:I,MATCH(F14,'6.0.35'!K:K,0))</f>
        <v>#N/A</v>
      </c>
      <c r="S14" s="1" t="e">
        <f>INDEX('6.0.35'!J:J,MATCH(F14,'6.0.35'!F:F,0))</f>
        <v>#N/A</v>
      </c>
    </row>
    <row r="15" spans="1:19">
      <c r="A15" t="s">
        <v>12253</v>
      </c>
      <c r="C15" s="2"/>
      <c r="F15" t="s">
        <v>18157</v>
      </c>
      <c r="I15" s="1" t="str">
        <f t="shared" si="0"/>
        <v/>
      </c>
      <c r="J15" s="1">
        <f t="shared" si="1"/>
        <v>0</v>
      </c>
      <c r="K15" s="1" t="str">
        <f t="shared" si="2"/>
        <v/>
      </c>
      <c r="L15" s="1">
        <f t="shared" si="3"/>
        <v>0</v>
      </c>
      <c r="M15" s="1">
        <f t="shared" si="4"/>
        <v>0</v>
      </c>
      <c r="N15" s="1">
        <f t="shared" si="5"/>
        <v>0</v>
      </c>
      <c r="O15" s="1" t="b">
        <f t="shared" si="6"/>
        <v>0</v>
      </c>
      <c r="P15" s="1" t="e">
        <f>INDEX(G:G,MATCH(G15,G:G,0))</f>
        <v>#N/A</v>
      </c>
      <c r="Q15" s="1" t="e">
        <f t="shared" si="7"/>
        <v>#N/A</v>
      </c>
      <c r="R15" s="1" t="e">
        <f>INDEX('6.0.35'!I:I,MATCH(F15,'6.0.35'!K:K,0))</f>
        <v>#N/A</v>
      </c>
      <c r="S15" s="1" t="e">
        <f>INDEX('6.0.35'!J:J,MATCH(F15,'6.0.35'!F:F,0))</f>
        <v>#N/A</v>
      </c>
    </row>
    <row r="16" spans="1:19">
      <c r="A16" t="s">
        <v>12256</v>
      </c>
      <c r="C16" s="2"/>
      <c r="F16" t="s">
        <v>18158</v>
      </c>
      <c r="I16" s="1" t="str">
        <f t="shared" si="0"/>
        <v/>
      </c>
      <c r="J16" s="1">
        <f t="shared" si="1"/>
        <v>0</v>
      </c>
      <c r="K16" s="1" t="str">
        <f t="shared" si="2"/>
        <v/>
      </c>
      <c r="L16" s="1">
        <f t="shared" si="3"/>
        <v>0</v>
      </c>
      <c r="M16" s="1">
        <f t="shared" si="4"/>
        <v>0</v>
      </c>
      <c r="N16" s="1">
        <f t="shared" si="5"/>
        <v>0</v>
      </c>
      <c r="O16" s="1" t="b">
        <f t="shared" si="6"/>
        <v>0</v>
      </c>
      <c r="P16" s="1" t="e">
        <f>INDEX(G:G,MATCH(G16,G:G,0))</f>
        <v>#N/A</v>
      </c>
      <c r="Q16" s="1" t="e">
        <f t="shared" si="7"/>
        <v>#N/A</v>
      </c>
      <c r="R16" s="1" t="e">
        <f>INDEX('6.0.35'!I:I,MATCH(F16,'6.0.35'!K:K,0))</f>
        <v>#N/A</v>
      </c>
      <c r="S16" s="1" t="e">
        <f>INDEX('6.0.35'!J:J,MATCH(F16,'6.0.35'!F:F,0))</f>
        <v>#N/A</v>
      </c>
    </row>
    <row r="17" spans="1:19">
      <c r="A17" t="s">
        <v>12259</v>
      </c>
      <c r="C17" s="2"/>
      <c r="F17" t="s">
        <v>18159</v>
      </c>
      <c r="I17" s="1" t="str">
        <f t="shared" si="0"/>
        <v/>
      </c>
      <c r="J17" s="1">
        <f t="shared" si="1"/>
        <v>0</v>
      </c>
      <c r="K17" s="1" t="str">
        <f t="shared" si="2"/>
        <v/>
      </c>
      <c r="L17" s="1">
        <f t="shared" si="3"/>
        <v>0</v>
      </c>
      <c r="M17" s="1">
        <f t="shared" si="4"/>
        <v>0</v>
      </c>
      <c r="N17" s="1">
        <f t="shared" si="5"/>
        <v>0</v>
      </c>
      <c r="O17" s="1" t="b">
        <f t="shared" si="6"/>
        <v>0</v>
      </c>
      <c r="P17" s="1" t="e">
        <f>INDEX(G:G,MATCH(G17,G:G,0))</f>
        <v>#N/A</v>
      </c>
      <c r="Q17" s="1" t="e">
        <f t="shared" si="7"/>
        <v>#N/A</v>
      </c>
      <c r="R17" s="1" t="e">
        <f>INDEX('6.0.35'!I:I,MATCH(F17,'6.0.35'!K:K,0))</f>
        <v>#N/A</v>
      </c>
      <c r="S17" s="1" t="e">
        <f>INDEX('6.0.35'!J:J,MATCH(F17,'6.0.35'!F:F,0))</f>
        <v>#N/A</v>
      </c>
    </row>
    <row r="18" spans="1:19">
      <c r="A18" t="s">
        <v>12262</v>
      </c>
      <c r="C18" s="2"/>
      <c r="F18" t="s">
        <v>18160</v>
      </c>
      <c r="I18" s="1" t="str">
        <f t="shared" si="0"/>
        <v/>
      </c>
      <c r="J18" s="1">
        <f t="shared" si="1"/>
        <v>0</v>
      </c>
      <c r="K18" s="1" t="str">
        <f t="shared" si="2"/>
        <v/>
      </c>
      <c r="L18" s="1">
        <f t="shared" si="3"/>
        <v>0</v>
      </c>
      <c r="M18" s="1">
        <f t="shared" si="4"/>
        <v>0</v>
      </c>
      <c r="N18" s="1">
        <f t="shared" si="5"/>
        <v>0</v>
      </c>
      <c r="O18" s="1" t="b">
        <f t="shared" si="6"/>
        <v>0</v>
      </c>
      <c r="P18" s="1" t="e">
        <f>INDEX(G:G,MATCH(G18,G:G,0))</f>
        <v>#N/A</v>
      </c>
      <c r="Q18" s="1" t="e">
        <f t="shared" si="7"/>
        <v>#N/A</v>
      </c>
      <c r="R18" s="1" t="e">
        <f>INDEX('6.0.35'!I:I,MATCH(F18,'6.0.35'!K:K,0))</f>
        <v>#N/A</v>
      </c>
      <c r="S18" s="1" t="e">
        <f>INDEX('6.0.35'!J:J,MATCH(F18,'6.0.35'!F:F,0))</f>
        <v>#N/A</v>
      </c>
    </row>
    <row r="19" spans="1:19">
      <c r="A19" t="s">
        <v>12265</v>
      </c>
      <c r="C19" s="2"/>
      <c r="F19" t="s">
        <v>18161</v>
      </c>
      <c r="I19" s="1" t="str">
        <f t="shared" si="0"/>
        <v/>
      </c>
      <c r="J19" s="1">
        <f t="shared" si="1"/>
        <v>0</v>
      </c>
      <c r="K19" s="1" t="str">
        <f t="shared" si="2"/>
        <v/>
      </c>
      <c r="L19" s="1">
        <f t="shared" si="3"/>
        <v>0</v>
      </c>
      <c r="M19" s="1">
        <f t="shared" si="4"/>
        <v>0</v>
      </c>
      <c r="N19" s="1">
        <f t="shared" si="5"/>
        <v>0</v>
      </c>
      <c r="O19" s="1" t="b">
        <f t="shared" si="6"/>
        <v>0</v>
      </c>
      <c r="P19" s="1" t="e">
        <f>INDEX(G:G,MATCH(G19,G:G,0))</f>
        <v>#N/A</v>
      </c>
      <c r="Q19" s="1" t="e">
        <f t="shared" si="7"/>
        <v>#N/A</v>
      </c>
      <c r="R19" s="1" t="e">
        <f>INDEX('6.0.35'!I:I,MATCH(F19,'6.0.35'!K:K,0))</f>
        <v>#N/A</v>
      </c>
      <c r="S19" s="1" t="e">
        <f>INDEX('6.0.35'!J:J,MATCH(F19,'6.0.35'!F:F,0))</f>
        <v>#N/A</v>
      </c>
    </row>
    <row r="20" spans="1:19">
      <c r="A20" t="s">
        <v>12268</v>
      </c>
      <c r="C20" s="2"/>
      <c r="F20" t="s">
        <v>18162</v>
      </c>
      <c r="I20" s="1" t="str">
        <f t="shared" si="0"/>
        <v/>
      </c>
      <c r="J20" s="1">
        <f t="shared" si="1"/>
        <v>0</v>
      </c>
      <c r="K20" s="1" t="str">
        <f t="shared" si="2"/>
        <v/>
      </c>
      <c r="L20" s="1">
        <f t="shared" si="3"/>
        <v>0</v>
      </c>
      <c r="M20" s="1">
        <f t="shared" si="4"/>
        <v>0</v>
      </c>
      <c r="N20" s="1">
        <f t="shared" si="5"/>
        <v>0</v>
      </c>
      <c r="O20" s="1" t="b">
        <f t="shared" si="6"/>
        <v>0</v>
      </c>
      <c r="P20" s="1" t="e">
        <f>INDEX(G:G,MATCH(G20,G:G,0))</f>
        <v>#N/A</v>
      </c>
      <c r="Q20" s="1" t="e">
        <f t="shared" si="7"/>
        <v>#N/A</v>
      </c>
      <c r="R20" s="1" t="e">
        <f>INDEX('6.0.35'!I:I,MATCH(F20,'6.0.35'!K:K,0))</f>
        <v>#N/A</v>
      </c>
      <c r="S20" s="1" t="e">
        <f>INDEX('6.0.35'!J:J,MATCH(F20,'6.0.35'!F:F,0))</f>
        <v>#N/A</v>
      </c>
    </row>
    <row r="21" spans="1:19">
      <c r="A21" t="s">
        <v>12271</v>
      </c>
      <c r="C21" s="2"/>
      <c r="F21" t="s">
        <v>18163</v>
      </c>
      <c r="I21" s="1" t="str">
        <f t="shared" si="0"/>
        <v/>
      </c>
      <c r="J21" s="1">
        <f t="shared" si="1"/>
        <v>0</v>
      </c>
      <c r="K21" s="1" t="str">
        <f t="shared" si="2"/>
        <v/>
      </c>
      <c r="L21" s="1">
        <f t="shared" si="3"/>
        <v>0</v>
      </c>
      <c r="M21" s="1">
        <f t="shared" si="4"/>
        <v>0</v>
      </c>
      <c r="N21" s="1">
        <f t="shared" si="5"/>
        <v>0</v>
      </c>
      <c r="O21" s="1" t="b">
        <f t="shared" si="6"/>
        <v>0</v>
      </c>
      <c r="P21" s="1" t="e">
        <f>INDEX(G:G,MATCH(G21,G:G,0))</f>
        <v>#N/A</v>
      </c>
      <c r="Q21" s="1" t="e">
        <f t="shared" si="7"/>
        <v>#N/A</v>
      </c>
      <c r="R21" s="1" t="e">
        <f>INDEX('6.0.35'!I:I,MATCH(F21,'6.0.35'!K:K,0))</f>
        <v>#N/A</v>
      </c>
      <c r="S21" s="1" t="e">
        <f>INDEX('6.0.35'!J:J,MATCH(F21,'6.0.35'!F:F,0))</f>
        <v>#N/A</v>
      </c>
    </row>
    <row r="22" spans="1:19">
      <c r="A22" t="s">
        <v>12208</v>
      </c>
      <c r="C22" s="2"/>
      <c r="F22" t="s">
        <v>18164</v>
      </c>
      <c r="I22" s="1" t="str">
        <f t="shared" si="0"/>
        <v/>
      </c>
      <c r="J22" s="1">
        <f t="shared" si="1"/>
        <v>0</v>
      </c>
      <c r="K22" s="1" t="str">
        <f t="shared" si="2"/>
        <v/>
      </c>
      <c r="L22" s="1">
        <f t="shared" si="3"/>
        <v>0</v>
      </c>
      <c r="M22" s="1">
        <f t="shared" si="4"/>
        <v>0</v>
      </c>
      <c r="N22" s="1">
        <f t="shared" si="5"/>
        <v>0</v>
      </c>
      <c r="O22" s="1" t="b">
        <f t="shared" si="6"/>
        <v>0</v>
      </c>
      <c r="P22" s="1" t="e">
        <f>INDEX(G:G,MATCH(G22,G:G,0))</f>
        <v>#N/A</v>
      </c>
      <c r="Q22" s="1" t="e">
        <f t="shared" si="7"/>
        <v>#N/A</v>
      </c>
      <c r="R22" s="1" t="e">
        <f>INDEX('6.0.35'!I:I,MATCH(F22,'6.0.35'!K:K,0))</f>
        <v>#N/A</v>
      </c>
      <c r="S22" s="1" t="e">
        <f>INDEX('6.0.35'!J:J,MATCH(F22,'6.0.35'!F:F,0))</f>
        <v>#N/A</v>
      </c>
    </row>
    <row r="23" spans="1:19">
      <c r="A23" t="s">
        <v>12211</v>
      </c>
      <c r="C23" s="2"/>
      <c r="F23" t="s">
        <v>18165</v>
      </c>
      <c r="I23" s="1" t="str">
        <f t="shared" si="0"/>
        <v/>
      </c>
      <c r="J23" s="1">
        <f t="shared" si="1"/>
        <v>0</v>
      </c>
      <c r="K23" s="1" t="str">
        <f t="shared" si="2"/>
        <v/>
      </c>
      <c r="L23" s="1">
        <f t="shared" si="3"/>
        <v>0</v>
      </c>
      <c r="M23" s="1">
        <f t="shared" si="4"/>
        <v>0</v>
      </c>
      <c r="N23" s="1">
        <f t="shared" si="5"/>
        <v>0</v>
      </c>
      <c r="O23" s="1" t="b">
        <f t="shared" si="6"/>
        <v>0</v>
      </c>
      <c r="P23" s="1" t="e">
        <f>INDEX(G:G,MATCH(G23,G:G,0))</f>
        <v>#N/A</v>
      </c>
      <c r="Q23" s="1" t="e">
        <f t="shared" si="7"/>
        <v>#N/A</v>
      </c>
      <c r="R23" s="1" t="e">
        <f>INDEX('6.0.35'!I:I,MATCH(F23,'6.0.35'!K:K,0))</f>
        <v>#N/A</v>
      </c>
      <c r="S23" s="1" t="e">
        <f>INDEX('6.0.35'!J:J,MATCH(F23,'6.0.35'!F:F,0))</f>
        <v>#N/A</v>
      </c>
    </row>
    <row r="24" spans="1:19">
      <c r="A24" t="s">
        <v>12214</v>
      </c>
      <c r="C24" s="2"/>
      <c r="F24" t="s">
        <v>18166</v>
      </c>
      <c r="I24" s="1" t="str">
        <f t="shared" si="0"/>
        <v/>
      </c>
      <c r="J24" s="1">
        <f t="shared" si="1"/>
        <v>0</v>
      </c>
      <c r="K24" s="1" t="str">
        <f t="shared" si="2"/>
        <v/>
      </c>
      <c r="L24" s="1">
        <f t="shared" si="3"/>
        <v>0</v>
      </c>
      <c r="M24" s="1">
        <f t="shared" si="4"/>
        <v>0</v>
      </c>
      <c r="N24" s="1">
        <f t="shared" si="5"/>
        <v>0</v>
      </c>
      <c r="O24" s="1" t="b">
        <f t="shared" si="6"/>
        <v>0</v>
      </c>
      <c r="P24" s="1" t="e">
        <f>INDEX(G:G,MATCH(G24,G:G,0))</f>
        <v>#N/A</v>
      </c>
      <c r="Q24" s="1" t="e">
        <f t="shared" si="7"/>
        <v>#N/A</v>
      </c>
      <c r="R24" s="1" t="e">
        <f>INDEX('6.0.35'!I:I,MATCH(F24,'6.0.35'!K:K,0))</f>
        <v>#N/A</v>
      </c>
      <c r="S24" s="1" t="e">
        <f>INDEX('6.0.35'!J:J,MATCH(F24,'6.0.35'!F:F,0))</f>
        <v>#N/A</v>
      </c>
    </row>
    <row r="25" spans="1:19">
      <c r="A25" t="s">
        <v>12217</v>
      </c>
      <c r="C25" s="2"/>
      <c r="F25" t="s">
        <v>18167</v>
      </c>
      <c r="I25" s="1" t="str">
        <f t="shared" si="0"/>
        <v/>
      </c>
      <c r="J25" s="1">
        <f t="shared" si="1"/>
        <v>0</v>
      </c>
      <c r="K25" s="1" t="str">
        <f t="shared" si="2"/>
        <v/>
      </c>
      <c r="L25" s="1">
        <f t="shared" si="3"/>
        <v>0</v>
      </c>
      <c r="M25" s="1">
        <f t="shared" si="4"/>
        <v>0</v>
      </c>
      <c r="N25" s="1">
        <f t="shared" si="5"/>
        <v>0</v>
      </c>
      <c r="O25" s="1" t="b">
        <f t="shared" si="6"/>
        <v>0</v>
      </c>
      <c r="P25" s="1" t="e">
        <f>INDEX(G:G,MATCH(G25,G:G,0))</f>
        <v>#N/A</v>
      </c>
      <c r="Q25" s="1" t="e">
        <f t="shared" si="7"/>
        <v>#N/A</v>
      </c>
      <c r="R25" s="1" t="e">
        <f>INDEX('6.0.35'!I:I,MATCH(F25,'6.0.35'!K:K,0))</f>
        <v>#N/A</v>
      </c>
      <c r="S25" s="1" t="e">
        <f>INDEX('6.0.35'!J:J,MATCH(F25,'6.0.35'!F:F,0))</f>
        <v>#N/A</v>
      </c>
    </row>
    <row r="26" spans="1:19">
      <c r="A26" t="s">
        <v>12220</v>
      </c>
      <c r="C26" s="2"/>
      <c r="F26" t="s">
        <v>18155</v>
      </c>
      <c r="I26" s="1" t="str">
        <f t="shared" si="0"/>
        <v/>
      </c>
      <c r="J26" s="1">
        <f t="shared" si="1"/>
        <v>0</v>
      </c>
      <c r="K26" s="1" t="str">
        <f t="shared" si="2"/>
        <v/>
      </c>
      <c r="L26" s="1">
        <f t="shared" si="3"/>
        <v>0</v>
      </c>
      <c r="M26" s="1">
        <f t="shared" si="4"/>
        <v>0</v>
      </c>
      <c r="N26" s="1">
        <f t="shared" si="5"/>
        <v>0</v>
      </c>
      <c r="O26" s="1" t="b">
        <f t="shared" si="6"/>
        <v>0</v>
      </c>
      <c r="P26" s="1" t="e">
        <f>INDEX(G:G,MATCH(G26,G:G,0))</f>
        <v>#N/A</v>
      </c>
      <c r="Q26" s="1" t="e">
        <f t="shared" si="7"/>
        <v>#N/A</v>
      </c>
      <c r="R26" s="1" t="e">
        <f>INDEX('6.0.35'!I:I,MATCH(F26,'6.0.35'!K:K,0))</f>
        <v>#N/A</v>
      </c>
      <c r="S26" s="1" t="e">
        <f>INDEX('6.0.35'!J:J,MATCH(F26,'6.0.35'!F:F,0))</f>
        <v>#N/A</v>
      </c>
    </row>
    <row r="27" spans="1:19">
      <c r="A27" t="s">
        <v>12223</v>
      </c>
      <c r="C27" s="2"/>
      <c r="F27" t="s">
        <v>18156</v>
      </c>
      <c r="I27" s="1" t="str">
        <f t="shared" si="0"/>
        <v/>
      </c>
      <c r="J27" s="1">
        <f t="shared" si="1"/>
        <v>0</v>
      </c>
      <c r="K27" s="1" t="str">
        <f t="shared" si="2"/>
        <v/>
      </c>
      <c r="L27" s="1">
        <f t="shared" si="3"/>
        <v>0</v>
      </c>
      <c r="M27" s="1">
        <f t="shared" si="4"/>
        <v>0</v>
      </c>
      <c r="N27" s="1">
        <f t="shared" si="5"/>
        <v>0</v>
      </c>
      <c r="O27" s="1" t="b">
        <f t="shared" si="6"/>
        <v>0</v>
      </c>
      <c r="P27" s="1" t="e">
        <f>INDEX(G:G,MATCH(G27,G:G,0))</f>
        <v>#N/A</v>
      </c>
      <c r="Q27" s="1" t="e">
        <f t="shared" si="7"/>
        <v>#N/A</v>
      </c>
      <c r="R27" s="1" t="e">
        <f>INDEX('6.0.35'!I:I,MATCH(F27,'6.0.35'!K:K,0))</f>
        <v>#N/A</v>
      </c>
      <c r="S27" s="1" t="e">
        <f>INDEX('6.0.35'!J:J,MATCH(F27,'6.0.35'!F:F,0))</f>
        <v>#N/A</v>
      </c>
    </row>
    <row r="28" spans="1:19">
      <c r="A28" t="s">
        <v>12226</v>
      </c>
      <c r="C28" s="2"/>
      <c r="F28" t="s">
        <v>18168</v>
      </c>
      <c r="I28" s="1" t="str">
        <f t="shared" si="0"/>
        <v/>
      </c>
      <c r="J28" s="1">
        <f t="shared" si="1"/>
        <v>0</v>
      </c>
      <c r="K28" s="1" t="str">
        <f t="shared" si="2"/>
        <v/>
      </c>
      <c r="L28" s="1">
        <f t="shared" si="3"/>
        <v>0</v>
      </c>
      <c r="M28" s="1">
        <f t="shared" si="4"/>
        <v>0</v>
      </c>
      <c r="N28" s="1">
        <f t="shared" si="5"/>
        <v>0</v>
      </c>
      <c r="O28" s="1" t="b">
        <f t="shared" si="6"/>
        <v>0</v>
      </c>
      <c r="P28" s="1" t="e">
        <f>INDEX(G:G,MATCH(G28,G:G,0))</f>
        <v>#N/A</v>
      </c>
      <c r="Q28" s="1" t="e">
        <f t="shared" si="7"/>
        <v>#N/A</v>
      </c>
      <c r="R28" s="1" t="e">
        <f>INDEX('6.0.35'!I:I,MATCH(F28,'6.0.35'!K:K,0))</f>
        <v>#N/A</v>
      </c>
      <c r="S28" s="1" t="e">
        <f>INDEX('6.0.35'!J:J,MATCH(F28,'6.0.35'!F:F,0))</f>
        <v>#N/A</v>
      </c>
    </row>
    <row r="29" spans="1:19">
      <c r="A29" t="s">
        <v>12229</v>
      </c>
      <c r="F29" t="s">
        <v>18169</v>
      </c>
      <c r="I29" s="1" t="str">
        <f t="shared" si="0"/>
        <v/>
      </c>
      <c r="J29" s="1">
        <f t="shared" si="1"/>
        <v>0</v>
      </c>
      <c r="K29" s="1" t="str">
        <f t="shared" si="2"/>
        <v/>
      </c>
      <c r="L29" s="1">
        <f t="shared" si="3"/>
        <v>0</v>
      </c>
      <c r="M29" s="1">
        <f t="shared" si="4"/>
        <v>0</v>
      </c>
      <c r="N29" s="1">
        <f t="shared" si="5"/>
        <v>0</v>
      </c>
      <c r="O29" s="1" t="b">
        <f t="shared" si="6"/>
        <v>0</v>
      </c>
      <c r="P29" s="1" t="e">
        <f>INDEX(G:G,MATCH(G29,G:G,0))</f>
        <v>#N/A</v>
      </c>
      <c r="Q29" s="1" t="e">
        <f t="shared" si="7"/>
        <v>#N/A</v>
      </c>
      <c r="R29" s="1" t="e">
        <f>INDEX('6.0.35'!I:I,MATCH(F29,'6.0.35'!K:K,0))</f>
        <v>#N/A</v>
      </c>
      <c r="S29" s="1" t="e">
        <f>INDEX('6.0.35'!J:J,MATCH(F29,'6.0.35'!F:F,0))</f>
        <v>#N/A</v>
      </c>
    </row>
    <row r="30" spans="1:19">
      <c r="A30" t="s">
        <v>12232</v>
      </c>
      <c r="F30" t="s">
        <v>18170</v>
      </c>
      <c r="I30" s="1" t="str">
        <f t="shared" si="0"/>
        <v/>
      </c>
      <c r="J30" s="1">
        <f t="shared" si="1"/>
        <v>0</v>
      </c>
      <c r="K30" s="1" t="str">
        <f t="shared" si="2"/>
        <v/>
      </c>
      <c r="L30" s="1">
        <f t="shared" si="3"/>
        <v>0</v>
      </c>
      <c r="M30" s="1">
        <f t="shared" si="4"/>
        <v>0</v>
      </c>
      <c r="N30" s="1">
        <f t="shared" si="5"/>
        <v>0</v>
      </c>
      <c r="O30" s="1" t="b">
        <f t="shared" si="6"/>
        <v>0</v>
      </c>
      <c r="P30" s="1" t="e">
        <f>INDEX(G:G,MATCH(G30,G:G,0))</f>
        <v>#N/A</v>
      </c>
      <c r="Q30" s="1" t="e">
        <f t="shared" si="7"/>
        <v>#N/A</v>
      </c>
      <c r="R30" s="1" t="e">
        <f>INDEX('6.0.35'!I:I,MATCH(F30,'6.0.35'!K:K,0))</f>
        <v>#N/A</v>
      </c>
      <c r="S30" s="1" t="e">
        <f>INDEX('6.0.35'!J:J,MATCH(F30,'6.0.35'!F:F,0))</f>
        <v>#N/A</v>
      </c>
    </row>
    <row r="31" spans="1:19">
      <c r="A31" t="s">
        <v>12235</v>
      </c>
      <c r="F31" t="s">
        <v>18171</v>
      </c>
      <c r="I31" s="1" t="str">
        <f t="shared" si="0"/>
        <v/>
      </c>
      <c r="J31" s="1">
        <f t="shared" si="1"/>
        <v>0</v>
      </c>
      <c r="K31" s="1" t="str">
        <f t="shared" si="2"/>
        <v/>
      </c>
      <c r="L31" s="1">
        <f t="shared" si="3"/>
        <v>0</v>
      </c>
      <c r="M31" s="1">
        <f t="shared" si="4"/>
        <v>0</v>
      </c>
      <c r="N31" s="1">
        <f t="shared" si="5"/>
        <v>0</v>
      </c>
      <c r="O31" s="1" t="b">
        <f t="shared" si="6"/>
        <v>0</v>
      </c>
      <c r="P31" s="1" t="e">
        <f>INDEX(G:G,MATCH(G31,G:G,0))</f>
        <v>#N/A</v>
      </c>
      <c r="Q31" s="1" t="e">
        <f t="shared" si="7"/>
        <v>#N/A</v>
      </c>
      <c r="R31" s="1" t="e">
        <f>INDEX('6.0.35'!I:I,MATCH(F31,'6.0.35'!K:K,0))</f>
        <v>#N/A</v>
      </c>
      <c r="S31" s="1" t="e">
        <f>INDEX('6.0.35'!J:J,MATCH(F31,'6.0.35'!F:F,0))</f>
        <v>#N/A</v>
      </c>
    </row>
    <row r="32" spans="1:19">
      <c r="A32" t="s">
        <v>12238</v>
      </c>
      <c r="F32" t="s">
        <v>18172</v>
      </c>
      <c r="I32" s="1" t="str">
        <f t="shared" si="0"/>
        <v/>
      </c>
      <c r="J32" s="1">
        <f t="shared" si="1"/>
        <v>0</v>
      </c>
      <c r="K32" s="1" t="str">
        <f t="shared" si="2"/>
        <v/>
      </c>
      <c r="L32" s="1">
        <f t="shared" si="3"/>
        <v>0</v>
      </c>
      <c r="M32" s="1">
        <f t="shared" si="4"/>
        <v>0</v>
      </c>
      <c r="N32" s="1">
        <f t="shared" si="5"/>
        <v>0</v>
      </c>
      <c r="O32" s="1" t="b">
        <f t="shared" si="6"/>
        <v>0</v>
      </c>
      <c r="P32" s="1" t="e">
        <f>INDEX(G:G,MATCH(G32,G:G,0))</f>
        <v>#N/A</v>
      </c>
      <c r="Q32" s="1" t="e">
        <f t="shared" si="7"/>
        <v>#N/A</v>
      </c>
      <c r="R32" s="1" t="e">
        <f>INDEX('6.0.35'!I:I,MATCH(F32,'6.0.35'!K:K,0))</f>
        <v>#N/A</v>
      </c>
      <c r="S32" s="1" t="e">
        <f>INDEX('6.0.35'!J:J,MATCH(F32,'6.0.35'!F:F,0))</f>
        <v>#N/A</v>
      </c>
    </row>
    <row r="33" spans="1:19">
      <c r="A33" t="s">
        <v>12241</v>
      </c>
      <c r="F33" t="s">
        <v>18173</v>
      </c>
      <c r="I33" s="1" t="str">
        <f t="shared" si="0"/>
        <v/>
      </c>
      <c r="J33" s="1">
        <f t="shared" si="1"/>
        <v>0</v>
      </c>
      <c r="K33" s="1" t="str">
        <f t="shared" si="2"/>
        <v/>
      </c>
      <c r="L33" s="1">
        <f t="shared" si="3"/>
        <v>0</v>
      </c>
      <c r="M33" s="1">
        <f t="shared" si="4"/>
        <v>0</v>
      </c>
      <c r="N33" s="1">
        <f t="shared" si="5"/>
        <v>0</v>
      </c>
      <c r="O33" s="1" t="b">
        <f t="shared" si="6"/>
        <v>0</v>
      </c>
      <c r="P33" s="1" t="e">
        <f>INDEX(G:G,MATCH(G33,G:G,0))</f>
        <v>#N/A</v>
      </c>
      <c r="Q33" s="1" t="e">
        <f t="shared" si="7"/>
        <v>#N/A</v>
      </c>
      <c r="R33" s="1" t="e">
        <f>INDEX('6.0.35'!I:I,MATCH(F33,'6.0.35'!K:K,0))</f>
        <v>#N/A</v>
      </c>
      <c r="S33" s="1" t="e">
        <f>INDEX('6.0.35'!J:J,MATCH(F33,'6.0.35'!F:F,0))</f>
        <v>#N/A</v>
      </c>
    </row>
    <row r="34" spans="1:19">
      <c r="A34" t="s">
        <v>12244</v>
      </c>
      <c r="F34" t="s">
        <v>18174</v>
      </c>
      <c r="I34" s="1" t="str">
        <f t="shared" si="0"/>
        <v/>
      </c>
      <c r="J34" s="1">
        <f t="shared" si="1"/>
        <v>0</v>
      </c>
      <c r="K34" s="1" t="str">
        <f t="shared" si="2"/>
        <v/>
      </c>
      <c r="L34" s="1">
        <f t="shared" si="3"/>
        <v>0</v>
      </c>
      <c r="M34" s="1">
        <f t="shared" si="4"/>
        <v>0</v>
      </c>
      <c r="N34" s="1">
        <f t="shared" si="5"/>
        <v>0</v>
      </c>
      <c r="O34" s="1" t="b">
        <f t="shared" si="6"/>
        <v>0</v>
      </c>
      <c r="P34" s="1" t="e">
        <f>INDEX(G:G,MATCH(G34,G:G,0))</f>
        <v>#N/A</v>
      </c>
      <c r="Q34" s="1" t="e">
        <f t="shared" si="7"/>
        <v>#N/A</v>
      </c>
      <c r="R34" s="1" t="e">
        <f>INDEX('6.0.35'!I:I,MATCH(F34,'6.0.35'!K:K,0))</f>
        <v>#N/A</v>
      </c>
      <c r="S34" s="1" t="e">
        <f>INDEX('6.0.35'!J:J,MATCH(F34,'6.0.35'!F:F,0))</f>
        <v>#N/A</v>
      </c>
    </row>
    <row r="35" spans="1:19">
      <c r="A35" t="s">
        <v>12247</v>
      </c>
      <c r="F35" t="s">
        <v>18175</v>
      </c>
      <c r="I35" s="1" t="str">
        <f t="shared" si="0"/>
        <v/>
      </c>
      <c r="J35" s="1">
        <f t="shared" si="1"/>
        <v>0</v>
      </c>
      <c r="K35" s="1" t="str">
        <f t="shared" si="2"/>
        <v/>
      </c>
      <c r="L35" s="1">
        <f t="shared" si="3"/>
        <v>0</v>
      </c>
      <c r="M35" s="1">
        <f t="shared" si="4"/>
        <v>0</v>
      </c>
      <c r="N35" s="1">
        <f t="shared" si="5"/>
        <v>0</v>
      </c>
      <c r="O35" s="1" t="b">
        <f t="shared" si="6"/>
        <v>0</v>
      </c>
      <c r="P35" s="1" t="e">
        <f>INDEX(G:G,MATCH(G35,G:G,0))</f>
        <v>#N/A</v>
      </c>
      <c r="Q35" s="1" t="e">
        <f t="shared" si="7"/>
        <v>#N/A</v>
      </c>
      <c r="R35" s="1" t="e">
        <f>INDEX('6.0.35'!I:I,MATCH(F35,'6.0.35'!K:K,0))</f>
        <v>#N/A</v>
      </c>
      <c r="S35" s="1" t="e">
        <f>INDEX('6.0.35'!J:J,MATCH(F35,'6.0.35'!F:F,0))</f>
        <v>#N/A</v>
      </c>
    </row>
    <row r="36" spans="1:19">
      <c r="A36" t="s">
        <v>12253</v>
      </c>
      <c r="F36" t="s">
        <v>18176</v>
      </c>
      <c r="I36" s="1" t="str">
        <f t="shared" si="0"/>
        <v/>
      </c>
      <c r="J36" s="1">
        <f t="shared" si="1"/>
        <v>0</v>
      </c>
      <c r="K36" s="1" t="str">
        <f t="shared" si="2"/>
        <v/>
      </c>
      <c r="L36" s="1">
        <f t="shared" si="3"/>
        <v>0</v>
      </c>
      <c r="M36" s="1">
        <f t="shared" si="4"/>
        <v>0</v>
      </c>
      <c r="N36" s="1">
        <f t="shared" si="5"/>
        <v>0</v>
      </c>
      <c r="O36" s="1" t="b">
        <f t="shared" si="6"/>
        <v>0</v>
      </c>
      <c r="P36" s="1" t="e">
        <f>INDEX(G:G,MATCH(G36,G:G,0))</f>
        <v>#N/A</v>
      </c>
      <c r="Q36" s="1" t="e">
        <f t="shared" si="7"/>
        <v>#N/A</v>
      </c>
      <c r="R36" s="1" t="e">
        <f>INDEX('6.0.35'!I:I,MATCH(F36,'6.0.35'!K:K,0))</f>
        <v>#N/A</v>
      </c>
      <c r="S36" s="1" t="e">
        <f>INDEX('6.0.35'!J:J,MATCH(F36,'6.0.35'!F:F,0))</f>
        <v>#N/A</v>
      </c>
    </row>
    <row r="37" spans="1:19">
      <c r="A37" t="s">
        <v>12256</v>
      </c>
      <c r="F37" t="s">
        <v>18177</v>
      </c>
      <c r="I37" s="1" t="str">
        <f t="shared" si="0"/>
        <v/>
      </c>
      <c r="J37" s="1">
        <f t="shared" si="1"/>
        <v>0</v>
      </c>
      <c r="K37" s="1" t="str">
        <f t="shared" si="2"/>
        <v/>
      </c>
      <c r="L37" s="1">
        <f t="shared" si="3"/>
        <v>0</v>
      </c>
      <c r="M37" s="1">
        <f t="shared" si="4"/>
        <v>0</v>
      </c>
      <c r="N37" s="1">
        <f t="shared" si="5"/>
        <v>0</v>
      </c>
      <c r="O37" s="1" t="b">
        <f t="shared" si="6"/>
        <v>0</v>
      </c>
      <c r="P37" s="1" t="e">
        <f>INDEX(G:G,MATCH(G37,G:G,0))</f>
        <v>#N/A</v>
      </c>
      <c r="Q37" s="1" t="e">
        <f t="shared" si="7"/>
        <v>#N/A</v>
      </c>
      <c r="R37" s="1" t="e">
        <f>INDEX('6.0.35'!I:I,MATCH(F37,'6.0.35'!K:K,0))</f>
        <v>#N/A</v>
      </c>
      <c r="S37" s="1" t="e">
        <f>INDEX('6.0.35'!J:J,MATCH(F37,'6.0.35'!F:F,0))</f>
        <v>#N/A</v>
      </c>
    </row>
    <row r="38" spans="1:19">
      <c r="A38" t="s">
        <v>12259</v>
      </c>
      <c r="F38" t="s">
        <v>18178</v>
      </c>
      <c r="I38" s="1" t="str">
        <f t="shared" si="0"/>
        <v/>
      </c>
      <c r="J38" s="1">
        <f t="shared" si="1"/>
        <v>0</v>
      </c>
      <c r="K38" s="1" t="str">
        <f t="shared" si="2"/>
        <v/>
      </c>
      <c r="L38" s="1">
        <f t="shared" si="3"/>
        <v>0</v>
      </c>
      <c r="M38" s="1">
        <f t="shared" si="4"/>
        <v>0</v>
      </c>
      <c r="N38" s="1">
        <f t="shared" si="5"/>
        <v>0</v>
      </c>
      <c r="O38" s="1" t="b">
        <f t="shared" si="6"/>
        <v>0</v>
      </c>
      <c r="P38" s="1" t="e">
        <f>INDEX(G:G,MATCH(G38,G:G,0))</f>
        <v>#N/A</v>
      </c>
      <c r="Q38" s="1" t="e">
        <f t="shared" si="7"/>
        <v>#N/A</v>
      </c>
      <c r="R38" s="1" t="e">
        <f>INDEX('6.0.35'!I:I,MATCH(F38,'6.0.35'!K:K,0))</f>
        <v>#N/A</v>
      </c>
      <c r="S38" s="1" t="e">
        <f>INDEX('6.0.35'!J:J,MATCH(F38,'6.0.35'!F:F,0))</f>
        <v>#N/A</v>
      </c>
    </row>
    <row r="39" spans="1:19">
      <c r="A39" t="s">
        <v>12262</v>
      </c>
      <c r="F39" t="s">
        <v>18179</v>
      </c>
      <c r="I39" s="1" t="str">
        <f t="shared" si="0"/>
        <v/>
      </c>
      <c r="J39" s="1">
        <f t="shared" si="1"/>
        <v>0</v>
      </c>
      <c r="K39" s="1" t="str">
        <f t="shared" si="2"/>
        <v/>
      </c>
      <c r="L39" s="1">
        <f t="shared" si="3"/>
        <v>0</v>
      </c>
      <c r="M39" s="1">
        <f t="shared" si="4"/>
        <v>0</v>
      </c>
      <c r="N39" s="1">
        <f t="shared" si="5"/>
        <v>0</v>
      </c>
      <c r="O39" s="1" t="b">
        <f t="shared" si="6"/>
        <v>0</v>
      </c>
      <c r="P39" s="1" t="e">
        <f>INDEX(G:G,MATCH(G39,G:G,0))</f>
        <v>#N/A</v>
      </c>
      <c r="Q39" s="1" t="e">
        <f t="shared" si="7"/>
        <v>#N/A</v>
      </c>
      <c r="R39" s="1" t="e">
        <f>INDEX('6.0.35'!I:I,MATCH(F39,'6.0.35'!K:K,0))</f>
        <v>#N/A</v>
      </c>
      <c r="S39" s="1" t="e">
        <f>INDEX('6.0.35'!J:J,MATCH(F39,'6.0.35'!F:F,0))</f>
        <v>#N/A</v>
      </c>
    </row>
    <row r="40" spans="1:19">
      <c r="A40" t="s">
        <v>12265</v>
      </c>
      <c r="F40" t="s">
        <v>18180</v>
      </c>
      <c r="I40" s="1" t="str">
        <f t="shared" si="0"/>
        <v/>
      </c>
      <c r="J40" s="1">
        <f t="shared" si="1"/>
        <v>0</v>
      </c>
      <c r="K40" s="1" t="str">
        <f t="shared" si="2"/>
        <v/>
      </c>
      <c r="L40" s="1">
        <f t="shared" si="3"/>
        <v>0</v>
      </c>
      <c r="M40" s="1">
        <f t="shared" si="4"/>
        <v>0</v>
      </c>
      <c r="N40" s="1">
        <f t="shared" si="5"/>
        <v>0</v>
      </c>
      <c r="O40" s="1" t="b">
        <f t="shared" si="6"/>
        <v>0</v>
      </c>
      <c r="P40" s="1" t="e">
        <f>INDEX(G:G,MATCH(G40,G:G,0))</f>
        <v>#N/A</v>
      </c>
      <c r="Q40" s="1" t="e">
        <f t="shared" si="7"/>
        <v>#N/A</v>
      </c>
      <c r="R40" s="1" t="e">
        <f>INDEX('6.0.35'!I:I,MATCH(F40,'6.0.35'!K:K,0))</f>
        <v>#N/A</v>
      </c>
      <c r="S40" s="1" t="e">
        <f>INDEX('6.0.35'!J:J,MATCH(F40,'6.0.35'!F:F,0))</f>
        <v>#N/A</v>
      </c>
    </row>
    <row r="41" spans="1:19">
      <c r="A41" t="s">
        <v>12268</v>
      </c>
      <c r="F41" t="s">
        <v>18181</v>
      </c>
      <c r="I41" s="1" t="str">
        <f t="shared" si="0"/>
        <v/>
      </c>
      <c r="J41" s="1">
        <f t="shared" si="1"/>
        <v>0</v>
      </c>
      <c r="K41" s="1" t="str">
        <f t="shared" si="2"/>
        <v/>
      </c>
      <c r="L41" s="1">
        <f t="shared" si="3"/>
        <v>0</v>
      </c>
      <c r="M41" s="1">
        <f t="shared" si="4"/>
        <v>0</v>
      </c>
      <c r="N41" s="1">
        <f t="shared" si="5"/>
        <v>0</v>
      </c>
      <c r="O41" s="1" t="b">
        <f t="shared" si="6"/>
        <v>0</v>
      </c>
      <c r="P41" s="1" t="e">
        <f>INDEX(G:G,MATCH(G41,G:G,0))</f>
        <v>#N/A</v>
      </c>
      <c r="Q41" s="1" t="e">
        <f t="shared" si="7"/>
        <v>#N/A</v>
      </c>
      <c r="R41" s="1" t="e">
        <f>INDEX('6.0.35'!I:I,MATCH(F41,'6.0.35'!K:K,0))</f>
        <v>#N/A</v>
      </c>
      <c r="S41" s="1" t="e">
        <f>INDEX('6.0.35'!J:J,MATCH(F41,'6.0.35'!F:F,0))</f>
        <v>#N/A</v>
      </c>
    </row>
    <row r="42" spans="1:19">
      <c r="A42" t="s">
        <v>12271</v>
      </c>
      <c r="F42" t="s">
        <v>18182</v>
      </c>
      <c r="I42" s="1" t="str">
        <f t="shared" si="0"/>
        <v/>
      </c>
      <c r="J42" s="1">
        <f t="shared" si="1"/>
        <v>0</v>
      </c>
      <c r="K42" s="1" t="str">
        <f t="shared" si="2"/>
        <v/>
      </c>
      <c r="L42" s="1">
        <f t="shared" si="3"/>
        <v>0</v>
      </c>
      <c r="M42" s="1">
        <f t="shared" si="4"/>
        <v>0</v>
      </c>
      <c r="N42" s="1">
        <f t="shared" si="5"/>
        <v>0</v>
      </c>
      <c r="O42" s="1" t="b">
        <f t="shared" si="6"/>
        <v>0</v>
      </c>
      <c r="P42" s="1" t="e">
        <f>INDEX(G:G,MATCH(G42,G:G,0))</f>
        <v>#N/A</v>
      </c>
      <c r="Q42" s="1" t="e">
        <f t="shared" si="7"/>
        <v>#N/A</v>
      </c>
      <c r="R42" s="1" t="e">
        <f>INDEX('6.0.35'!I:I,MATCH(F42,'6.0.35'!K:K,0))</f>
        <v>#N/A</v>
      </c>
      <c r="S42" s="1" t="e">
        <f>INDEX('6.0.35'!J:J,MATCH(F42,'6.0.35'!F:F,0))</f>
        <v>#N/A</v>
      </c>
    </row>
    <row r="43" spans="1:19">
      <c r="A43" t="s">
        <v>12208</v>
      </c>
      <c r="F43" t="s">
        <v>18183</v>
      </c>
      <c r="I43" s="1" t="str">
        <f t="shared" si="0"/>
        <v/>
      </c>
      <c r="J43" s="1">
        <f t="shared" si="1"/>
        <v>0</v>
      </c>
      <c r="K43" s="1" t="str">
        <f t="shared" si="2"/>
        <v/>
      </c>
      <c r="L43" s="1">
        <f t="shared" si="3"/>
        <v>0</v>
      </c>
      <c r="M43" s="1">
        <f t="shared" si="4"/>
        <v>0</v>
      </c>
      <c r="N43" s="1">
        <f t="shared" si="5"/>
        <v>0</v>
      </c>
      <c r="O43" s="1" t="b">
        <f t="shared" si="6"/>
        <v>0</v>
      </c>
      <c r="P43" s="1" t="e">
        <f>INDEX(G:G,MATCH(G43,G:G,0))</f>
        <v>#N/A</v>
      </c>
      <c r="Q43" s="1" t="e">
        <f t="shared" si="7"/>
        <v>#N/A</v>
      </c>
      <c r="R43" s="1" t="e">
        <f>INDEX('6.0.35'!I:I,MATCH(F43,'6.0.35'!K:K,0))</f>
        <v>#N/A</v>
      </c>
      <c r="S43" s="1" t="e">
        <f>INDEX('6.0.35'!J:J,MATCH(F43,'6.0.35'!F:F,0))</f>
        <v>#N/A</v>
      </c>
    </row>
    <row r="44" spans="1:19">
      <c r="A44" t="s">
        <v>12211</v>
      </c>
      <c r="F44" t="s">
        <v>18184</v>
      </c>
      <c r="I44" s="1" t="str">
        <f t="shared" si="0"/>
        <v/>
      </c>
      <c r="J44" s="1">
        <f t="shared" si="1"/>
        <v>0</v>
      </c>
      <c r="K44" s="1" t="str">
        <f t="shared" si="2"/>
        <v/>
      </c>
      <c r="L44" s="1">
        <f t="shared" si="3"/>
        <v>0</v>
      </c>
      <c r="M44" s="1">
        <f t="shared" si="4"/>
        <v>0</v>
      </c>
      <c r="N44" s="1">
        <f t="shared" si="5"/>
        <v>0</v>
      </c>
      <c r="O44" s="1" t="b">
        <f t="shared" si="6"/>
        <v>0</v>
      </c>
      <c r="P44" s="1" t="e">
        <f>INDEX(G:G,MATCH(G44,G:G,0))</f>
        <v>#N/A</v>
      </c>
      <c r="Q44" s="1" t="e">
        <f t="shared" si="7"/>
        <v>#N/A</v>
      </c>
      <c r="R44" s="1" t="e">
        <f>INDEX('6.0.35'!I:I,MATCH(F44,'6.0.35'!K:K,0))</f>
        <v>#N/A</v>
      </c>
      <c r="S44" s="1" t="e">
        <f>INDEX('6.0.35'!J:J,MATCH(F44,'6.0.35'!F:F,0))</f>
        <v>#N/A</v>
      </c>
    </row>
    <row r="45" spans="1:19">
      <c r="A45" t="s">
        <v>12214</v>
      </c>
      <c r="F45" t="s">
        <v>18185</v>
      </c>
      <c r="I45" s="1" t="str">
        <f t="shared" si="0"/>
        <v/>
      </c>
      <c r="J45" s="1">
        <f t="shared" si="1"/>
        <v>0</v>
      </c>
      <c r="K45" s="1" t="str">
        <f t="shared" si="2"/>
        <v/>
      </c>
      <c r="L45" s="1">
        <f t="shared" si="3"/>
        <v>0</v>
      </c>
      <c r="M45" s="1">
        <f t="shared" si="4"/>
        <v>0</v>
      </c>
      <c r="N45" s="1">
        <f t="shared" si="5"/>
        <v>0</v>
      </c>
      <c r="O45" s="1" t="b">
        <f t="shared" si="6"/>
        <v>0</v>
      </c>
      <c r="P45" s="1" t="e">
        <f>INDEX(G:G,MATCH(G45,G:G,0))</f>
        <v>#N/A</v>
      </c>
      <c r="Q45" s="1" t="e">
        <f t="shared" si="7"/>
        <v>#N/A</v>
      </c>
      <c r="R45" s="1" t="e">
        <f>INDEX('6.0.35'!I:I,MATCH(F45,'6.0.35'!K:K,0))</f>
        <v>#N/A</v>
      </c>
      <c r="S45" s="1" t="e">
        <f>INDEX('6.0.35'!J:J,MATCH(F45,'6.0.35'!F:F,0))</f>
        <v>#N/A</v>
      </c>
    </row>
    <row r="46" spans="1:19">
      <c r="A46" t="s">
        <v>12220</v>
      </c>
      <c r="F46" t="s">
        <v>18186</v>
      </c>
      <c r="I46" s="1" t="str">
        <f t="shared" ref="I46:I100" si="8">IFERROR(IF(OR(MID(G46,FIND(":",G46)-1,1)="""",MID(G46,FIND(":",G46)-1,1)="}",MID(G46,FIND(":",G46)-1,1)=")",MID(G46,FIND(":",G46)-1,1)="]"),"",RIGHT(G46,LEN(G46)-FIND(":",G46)-1)),"")</f>
        <v/>
      </c>
      <c r="J46" s="1">
        <f t="shared" ref="J46:J100" si="9">IF(AND(I46="",H46=""),G46,IF(H46="",I46,H46&amp;": "&amp;I46))</f>
        <v>0</v>
      </c>
      <c r="K46" s="1" t="str">
        <f t="shared" ref="K46:K100" si="10">IFERROR(IF(OR(MID(F46,FIND(":",F46)-1,1)="""",MID(F46,FIND(":",F46)-1,1)="}",MID(F46,FIND(":",F46)-1,1)=")",MID(F46,FIND(":",F46)-1,1)="]"),"",RIGHT(F46,LEN(F46)-FIND(":",F46)-1)),"")</f>
        <v/>
      </c>
      <c r="L46" s="1">
        <f t="shared" ref="L46:L100" si="11">LEN(F46)-LEN(SUBSTITUTE(F46,":",""))</f>
        <v>0</v>
      </c>
      <c r="M46" s="1">
        <f t="shared" ref="M46:M100" si="12">LEN(G46)-LEN(SUBSTITUTE(G46,":",""))</f>
        <v>0</v>
      </c>
      <c r="N46" s="1">
        <f t="shared" ref="N46:N100" si="13">LEN(G46)-LEN(SUBSTITUTE(G46,"：",""))</f>
        <v>0</v>
      </c>
      <c r="O46" s="1" t="b">
        <f t="shared" ref="O46:O100" si="14">IF(M46&gt;=2,MID(G46,FIND(":",G46)+1,LEN(G46)))</f>
        <v>0</v>
      </c>
      <c r="P46" s="1" t="e">
        <f>INDEX(G:G,MATCH(G46,G:G,0))</f>
        <v>#N/A</v>
      </c>
      <c r="Q46" s="1" t="e">
        <f t="shared" ref="Q46:Q100" si="15">IF(P46&lt;&gt;G46,"校验","")</f>
        <v>#N/A</v>
      </c>
      <c r="R46" s="1" t="e">
        <f>INDEX('6.0.35'!I:I,MATCH(F46,'6.0.35'!K:K,0))</f>
        <v>#N/A</v>
      </c>
      <c r="S46" s="1" t="e">
        <f>INDEX('6.0.35'!J:J,MATCH(F46,'6.0.35'!F:F,0))</f>
        <v>#N/A</v>
      </c>
    </row>
    <row r="47" spans="1:19">
      <c r="A47" t="s">
        <v>12223</v>
      </c>
      <c r="F47" t="s">
        <v>18187</v>
      </c>
      <c r="I47" s="1" t="str">
        <f t="shared" si="8"/>
        <v/>
      </c>
      <c r="J47" s="1">
        <f t="shared" si="9"/>
        <v>0</v>
      </c>
      <c r="K47" s="1" t="str">
        <f t="shared" si="10"/>
        <v/>
      </c>
      <c r="L47" s="1">
        <f t="shared" si="11"/>
        <v>0</v>
      </c>
      <c r="M47" s="1">
        <f t="shared" si="12"/>
        <v>0</v>
      </c>
      <c r="N47" s="1">
        <f t="shared" si="13"/>
        <v>0</v>
      </c>
      <c r="O47" s="1" t="b">
        <f t="shared" si="14"/>
        <v>0</v>
      </c>
      <c r="P47" s="1" t="e">
        <f>INDEX(G:G,MATCH(G47,G:G,0))</f>
        <v>#N/A</v>
      </c>
      <c r="Q47" s="1" t="e">
        <f t="shared" si="15"/>
        <v>#N/A</v>
      </c>
      <c r="R47" s="1" t="e">
        <f>INDEX('6.0.35'!I:I,MATCH(F47,'6.0.35'!K:K,0))</f>
        <v>#N/A</v>
      </c>
      <c r="S47" s="1" t="e">
        <f>INDEX('6.0.35'!J:J,MATCH(F47,'6.0.35'!F:F,0))</f>
        <v>#N/A</v>
      </c>
    </row>
    <row r="48" spans="1:19">
      <c r="A48" t="s">
        <v>12226</v>
      </c>
      <c r="F48" t="s">
        <v>18188</v>
      </c>
      <c r="I48" s="1" t="str">
        <f t="shared" si="8"/>
        <v/>
      </c>
      <c r="J48" s="1">
        <f t="shared" si="9"/>
        <v>0</v>
      </c>
      <c r="K48" s="1" t="str">
        <f t="shared" si="10"/>
        <v/>
      </c>
      <c r="L48" s="1">
        <f t="shared" si="11"/>
        <v>0</v>
      </c>
      <c r="M48" s="1">
        <f t="shared" si="12"/>
        <v>0</v>
      </c>
      <c r="N48" s="1">
        <f t="shared" si="13"/>
        <v>0</v>
      </c>
      <c r="O48" s="1" t="b">
        <f t="shared" si="14"/>
        <v>0</v>
      </c>
      <c r="P48" s="1" t="e">
        <f>INDEX(G:G,MATCH(G48,G:G,0))</f>
        <v>#N/A</v>
      </c>
      <c r="Q48" s="1" t="e">
        <f t="shared" si="15"/>
        <v>#N/A</v>
      </c>
      <c r="R48" s="1" t="e">
        <f>INDEX('6.0.35'!I:I,MATCH(F48,'6.0.35'!K:K,0))</f>
        <v>#N/A</v>
      </c>
      <c r="S48" s="1" t="e">
        <f>INDEX('6.0.35'!J:J,MATCH(F48,'6.0.35'!F:F,0))</f>
        <v>#N/A</v>
      </c>
    </row>
    <row r="49" spans="1:19">
      <c r="A49" t="s">
        <v>12229</v>
      </c>
      <c r="F49" t="s">
        <v>18189</v>
      </c>
      <c r="I49" s="1" t="str">
        <f t="shared" si="8"/>
        <v/>
      </c>
      <c r="J49" s="1">
        <f t="shared" si="9"/>
        <v>0</v>
      </c>
      <c r="K49" s="1" t="str">
        <f t="shared" si="10"/>
        <v/>
      </c>
      <c r="L49" s="1">
        <f t="shared" si="11"/>
        <v>0</v>
      </c>
      <c r="M49" s="1">
        <f t="shared" si="12"/>
        <v>0</v>
      </c>
      <c r="N49" s="1">
        <f t="shared" si="13"/>
        <v>0</v>
      </c>
      <c r="O49" s="1" t="b">
        <f t="shared" si="14"/>
        <v>0</v>
      </c>
      <c r="P49" s="1" t="e">
        <f>INDEX(G:G,MATCH(G49,G:G,0))</f>
        <v>#N/A</v>
      </c>
      <c r="Q49" s="1" t="e">
        <f t="shared" si="15"/>
        <v>#N/A</v>
      </c>
      <c r="R49" s="1" t="e">
        <f>INDEX('6.0.35'!I:I,MATCH(F49,'6.0.35'!K:K,0))</f>
        <v>#N/A</v>
      </c>
      <c r="S49" s="1" t="e">
        <f>INDEX('6.0.35'!J:J,MATCH(F49,'6.0.35'!F:F,0))</f>
        <v>#N/A</v>
      </c>
    </row>
    <row r="50" spans="1:19">
      <c r="A50" t="s">
        <v>12232</v>
      </c>
      <c r="F50" t="s">
        <v>18190</v>
      </c>
      <c r="I50" s="1" t="str">
        <f t="shared" si="8"/>
        <v/>
      </c>
      <c r="J50" s="1">
        <f t="shared" si="9"/>
        <v>0</v>
      </c>
      <c r="K50" s="1" t="str">
        <f t="shared" si="10"/>
        <v/>
      </c>
      <c r="L50" s="1">
        <f t="shared" si="11"/>
        <v>0</v>
      </c>
      <c r="M50" s="1">
        <f t="shared" si="12"/>
        <v>0</v>
      </c>
      <c r="N50" s="1">
        <f t="shared" si="13"/>
        <v>0</v>
      </c>
      <c r="O50" s="1" t="b">
        <f t="shared" si="14"/>
        <v>0</v>
      </c>
      <c r="P50" s="1" t="e">
        <f>INDEX(G:G,MATCH(G50,G:G,0))</f>
        <v>#N/A</v>
      </c>
      <c r="Q50" s="1" t="e">
        <f t="shared" si="15"/>
        <v>#N/A</v>
      </c>
      <c r="R50" s="1" t="e">
        <f>INDEX('6.0.35'!I:I,MATCH(F50,'6.0.35'!K:K,0))</f>
        <v>#N/A</v>
      </c>
      <c r="S50" s="1" t="e">
        <f>INDEX('6.0.35'!J:J,MATCH(F50,'6.0.35'!F:F,0))</f>
        <v>#N/A</v>
      </c>
    </row>
    <row r="51" spans="1:19">
      <c r="A51" t="s">
        <v>12235</v>
      </c>
      <c r="F51" t="s">
        <v>18191</v>
      </c>
      <c r="I51" s="1" t="str">
        <f t="shared" si="8"/>
        <v/>
      </c>
      <c r="J51" s="1">
        <f t="shared" si="9"/>
        <v>0</v>
      </c>
      <c r="K51" s="1" t="str">
        <f t="shared" si="10"/>
        <v/>
      </c>
      <c r="L51" s="1">
        <f t="shared" si="11"/>
        <v>0</v>
      </c>
      <c r="M51" s="1">
        <f t="shared" si="12"/>
        <v>0</v>
      </c>
      <c r="N51" s="1">
        <f t="shared" si="13"/>
        <v>0</v>
      </c>
      <c r="O51" s="1" t="b">
        <f t="shared" si="14"/>
        <v>0</v>
      </c>
      <c r="P51" s="1" t="e">
        <f>INDEX(G:G,MATCH(G51,G:G,0))</f>
        <v>#N/A</v>
      </c>
      <c r="Q51" s="1" t="e">
        <f t="shared" si="15"/>
        <v>#N/A</v>
      </c>
      <c r="R51" s="1" t="e">
        <f>INDEX('6.0.35'!I:I,MATCH(F51,'6.0.35'!K:K,0))</f>
        <v>#N/A</v>
      </c>
      <c r="S51" s="1" t="e">
        <f>INDEX('6.0.35'!J:J,MATCH(F51,'6.0.35'!F:F,0))</f>
        <v>#N/A</v>
      </c>
    </row>
    <row r="52" spans="1:19">
      <c r="A52" t="s">
        <v>12238</v>
      </c>
      <c r="F52" t="s">
        <v>18192</v>
      </c>
      <c r="I52" s="1" t="str">
        <f t="shared" si="8"/>
        <v/>
      </c>
      <c r="J52" s="1">
        <f t="shared" si="9"/>
        <v>0</v>
      </c>
      <c r="K52" s="1" t="str">
        <f t="shared" si="10"/>
        <v/>
      </c>
      <c r="L52" s="1">
        <f t="shared" si="11"/>
        <v>0</v>
      </c>
      <c r="M52" s="1">
        <f t="shared" si="12"/>
        <v>0</v>
      </c>
      <c r="N52" s="1">
        <f t="shared" si="13"/>
        <v>0</v>
      </c>
      <c r="O52" s="1" t="b">
        <f t="shared" si="14"/>
        <v>0</v>
      </c>
      <c r="P52" s="1" t="e">
        <f>INDEX(G:G,MATCH(G52,G:G,0))</f>
        <v>#N/A</v>
      </c>
      <c r="Q52" s="1" t="e">
        <f t="shared" si="15"/>
        <v>#N/A</v>
      </c>
      <c r="R52" s="1" t="e">
        <f>INDEX('6.0.35'!I:I,MATCH(F52,'6.0.35'!K:K,0))</f>
        <v>#N/A</v>
      </c>
      <c r="S52" s="1" t="e">
        <f>INDEX('6.0.35'!J:J,MATCH(F52,'6.0.35'!F:F,0))</f>
        <v>#N/A</v>
      </c>
    </row>
    <row r="53" spans="1:19">
      <c r="A53" t="s">
        <v>12241</v>
      </c>
      <c r="F53" t="s">
        <v>18193</v>
      </c>
      <c r="I53" s="1" t="str">
        <f t="shared" si="8"/>
        <v/>
      </c>
      <c r="J53" s="1">
        <f t="shared" si="9"/>
        <v>0</v>
      </c>
      <c r="K53" s="1" t="str">
        <f t="shared" si="10"/>
        <v/>
      </c>
      <c r="L53" s="1">
        <f t="shared" si="11"/>
        <v>0</v>
      </c>
      <c r="M53" s="1">
        <f t="shared" si="12"/>
        <v>0</v>
      </c>
      <c r="N53" s="1">
        <f t="shared" si="13"/>
        <v>0</v>
      </c>
      <c r="O53" s="1" t="b">
        <f t="shared" si="14"/>
        <v>0</v>
      </c>
      <c r="P53" s="1" t="e">
        <f>INDEX(G:G,MATCH(G53,G:G,0))</f>
        <v>#N/A</v>
      </c>
      <c r="Q53" s="1" t="e">
        <f t="shared" si="15"/>
        <v>#N/A</v>
      </c>
      <c r="R53" s="1" t="e">
        <f>INDEX('6.0.35'!I:I,MATCH(F53,'6.0.35'!K:K,0))</f>
        <v>#N/A</v>
      </c>
      <c r="S53" s="1" t="e">
        <f>INDEX('6.0.35'!J:J,MATCH(F53,'6.0.35'!F:F,0))</f>
        <v>#N/A</v>
      </c>
    </row>
    <row r="54" spans="1:19">
      <c r="A54" t="s">
        <v>12244</v>
      </c>
      <c r="F54" t="s">
        <v>18194</v>
      </c>
      <c r="I54" s="1" t="str">
        <f t="shared" si="8"/>
        <v/>
      </c>
      <c r="J54" s="1">
        <f t="shared" si="9"/>
        <v>0</v>
      </c>
      <c r="K54" s="1" t="str">
        <f t="shared" si="10"/>
        <v/>
      </c>
      <c r="L54" s="1">
        <f t="shared" si="11"/>
        <v>0</v>
      </c>
      <c r="M54" s="1">
        <f t="shared" si="12"/>
        <v>0</v>
      </c>
      <c r="N54" s="1">
        <f t="shared" si="13"/>
        <v>0</v>
      </c>
      <c r="O54" s="1" t="b">
        <f t="shared" si="14"/>
        <v>0</v>
      </c>
      <c r="P54" s="1" t="e">
        <f>INDEX(G:G,MATCH(G54,G:G,0))</f>
        <v>#N/A</v>
      </c>
      <c r="Q54" s="1" t="e">
        <f t="shared" si="15"/>
        <v>#N/A</v>
      </c>
      <c r="R54" s="1" t="e">
        <f>INDEX('6.0.35'!I:I,MATCH(F54,'6.0.35'!K:K,0))</f>
        <v>#N/A</v>
      </c>
      <c r="S54" s="1" t="e">
        <f>INDEX('6.0.35'!J:J,MATCH(F54,'6.0.35'!F:F,0))</f>
        <v>#N/A</v>
      </c>
    </row>
    <row r="55" spans="1:19">
      <c r="A55" t="s">
        <v>12247</v>
      </c>
      <c r="F55" t="s">
        <v>18195</v>
      </c>
      <c r="I55" s="1" t="str">
        <f t="shared" si="8"/>
        <v/>
      </c>
      <c r="J55" s="1">
        <f t="shared" si="9"/>
        <v>0</v>
      </c>
      <c r="K55" s="1" t="str">
        <f t="shared" si="10"/>
        <v/>
      </c>
      <c r="L55" s="1">
        <f t="shared" si="11"/>
        <v>0</v>
      </c>
      <c r="M55" s="1">
        <f t="shared" si="12"/>
        <v>0</v>
      </c>
      <c r="N55" s="1">
        <f t="shared" si="13"/>
        <v>0</v>
      </c>
      <c r="O55" s="1" t="b">
        <f t="shared" si="14"/>
        <v>0</v>
      </c>
      <c r="P55" s="1" t="e">
        <f>INDEX(G:G,MATCH(G55,G:G,0))</f>
        <v>#N/A</v>
      </c>
      <c r="Q55" s="1" t="e">
        <f t="shared" si="15"/>
        <v>#N/A</v>
      </c>
      <c r="R55" s="1" t="e">
        <f>INDEX('6.0.35'!I:I,MATCH(F55,'6.0.35'!K:K,0))</f>
        <v>#N/A</v>
      </c>
      <c r="S55" s="1" t="e">
        <f>INDEX('6.0.35'!J:J,MATCH(F55,'6.0.35'!F:F,0))</f>
        <v>#N/A</v>
      </c>
    </row>
    <row r="56" spans="1:19">
      <c r="A56" t="s">
        <v>12253</v>
      </c>
      <c r="F56" t="s">
        <v>18196</v>
      </c>
      <c r="I56" s="1" t="str">
        <f t="shared" si="8"/>
        <v/>
      </c>
      <c r="J56" s="1">
        <f t="shared" si="9"/>
        <v>0</v>
      </c>
      <c r="K56" s="1" t="str">
        <f t="shared" si="10"/>
        <v/>
      </c>
      <c r="L56" s="1">
        <f t="shared" si="11"/>
        <v>0</v>
      </c>
      <c r="M56" s="1">
        <f t="shared" si="12"/>
        <v>0</v>
      </c>
      <c r="N56" s="1">
        <f t="shared" si="13"/>
        <v>0</v>
      </c>
      <c r="O56" s="1" t="b">
        <f t="shared" si="14"/>
        <v>0</v>
      </c>
      <c r="P56" s="1" t="e">
        <f>INDEX(G:G,MATCH(G56,G:G,0))</f>
        <v>#N/A</v>
      </c>
      <c r="Q56" s="1" t="e">
        <f t="shared" si="15"/>
        <v>#N/A</v>
      </c>
      <c r="R56" s="1" t="e">
        <f>INDEX('6.0.35'!I:I,MATCH(F56,'6.0.35'!K:K,0))</f>
        <v>#N/A</v>
      </c>
      <c r="S56" s="1" t="e">
        <f>INDEX('6.0.35'!J:J,MATCH(F56,'6.0.35'!F:F,0))</f>
        <v>#N/A</v>
      </c>
    </row>
    <row r="57" spans="1:19">
      <c r="A57" t="s">
        <v>12256</v>
      </c>
      <c r="F57" t="s">
        <v>18197</v>
      </c>
      <c r="I57" s="1" t="str">
        <f t="shared" si="8"/>
        <v/>
      </c>
      <c r="J57" s="1">
        <f t="shared" si="9"/>
        <v>0</v>
      </c>
      <c r="K57" s="1" t="str">
        <f t="shared" si="10"/>
        <v/>
      </c>
      <c r="L57" s="1">
        <f t="shared" si="11"/>
        <v>0</v>
      </c>
      <c r="M57" s="1">
        <f t="shared" si="12"/>
        <v>0</v>
      </c>
      <c r="N57" s="1">
        <f t="shared" si="13"/>
        <v>0</v>
      </c>
      <c r="O57" s="1" t="b">
        <f t="shared" si="14"/>
        <v>0</v>
      </c>
      <c r="P57" s="1" t="e">
        <f>INDEX(G:G,MATCH(G57,G:G,0))</f>
        <v>#N/A</v>
      </c>
      <c r="Q57" s="1" t="e">
        <f t="shared" si="15"/>
        <v>#N/A</v>
      </c>
      <c r="R57" s="1" t="e">
        <f>INDEX('6.0.35'!I:I,MATCH(F57,'6.0.35'!K:K,0))</f>
        <v>#N/A</v>
      </c>
      <c r="S57" s="1" t="e">
        <f>INDEX('6.0.35'!J:J,MATCH(F57,'6.0.35'!F:F,0))</f>
        <v>#N/A</v>
      </c>
    </row>
    <row r="58" spans="1:19">
      <c r="A58" t="s">
        <v>12259</v>
      </c>
      <c r="F58" t="s">
        <v>18198</v>
      </c>
      <c r="I58" s="1" t="str">
        <f t="shared" si="8"/>
        <v/>
      </c>
      <c r="J58" s="1">
        <f t="shared" si="9"/>
        <v>0</v>
      </c>
      <c r="K58" s="1" t="str">
        <f t="shared" si="10"/>
        <v/>
      </c>
      <c r="L58" s="1">
        <f t="shared" si="11"/>
        <v>0</v>
      </c>
      <c r="M58" s="1">
        <f t="shared" si="12"/>
        <v>0</v>
      </c>
      <c r="N58" s="1">
        <f t="shared" si="13"/>
        <v>0</v>
      </c>
      <c r="O58" s="1" t="b">
        <f t="shared" si="14"/>
        <v>0</v>
      </c>
      <c r="P58" s="1" t="e">
        <f>INDEX(G:G,MATCH(G58,G:G,0))</f>
        <v>#N/A</v>
      </c>
      <c r="Q58" s="1" t="e">
        <f t="shared" si="15"/>
        <v>#N/A</v>
      </c>
      <c r="R58" s="1" t="e">
        <f>INDEX('6.0.35'!I:I,MATCH(F58,'6.0.35'!K:K,0))</f>
        <v>#N/A</v>
      </c>
      <c r="S58" s="1" t="e">
        <f>INDEX('6.0.35'!J:J,MATCH(F58,'6.0.35'!F:F,0))</f>
        <v>#N/A</v>
      </c>
    </row>
    <row r="59" spans="1:19">
      <c r="A59" t="s">
        <v>12262</v>
      </c>
      <c r="F59" t="s">
        <v>18199</v>
      </c>
      <c r="I59" s="1" t="str">
        <f t="shared" si="8"/>
        <v/>
      </c>
      <c r="J59" s="1">
        <f t="shared" si="9"/>
        <v>0</v>
      </c>
      <c r="K59" s="1" t="str">
        <f t="shared" si="10"/>
        <v/>
      </c>
      <c r="L59" s="1">
        <f t="shared" si="11"/>
        <v>0</v>
      </c>
      <c r="M59" s="1">
        <f t="shared" si="12"/>
        <v>0</v>
      </c>
      <c r="N59" s="1">
        <f t="shared" si="13"/>
        <v>0</v>
      </c>
      <c r="O59" s="1" t="b">
        <f t="shared" si="14"/>
        <v>0</v>
      </c>
      <c r="P59" s="1" t="e">
        <f>INDEX(G:G,MATCH(G59,G:G,0))</f>
        <v>#N/A</v>
      </c>
      <c r="Q59" s="1" t="e">
        <f t="shared" si="15"/>
        <v>#N/A</v>
      </c>
      <c r="R59" s="1" t="e">
        <f>INDEX('6.0.35'!I:I,MATCH(F59,'6.0.35'!K:K,0))</f>
        <v>#N/A</v>
      </c>
      <c r="S59" s="1" t="e">
        <f>INDEX('6.0.35'!J:J,MATCH(F59,'6.0.35'!F:F,0))</f>
        <v>#N/A</v>
      </c>
    </row>
    <row r="60" spans="1:19">
      <c r="A60" t="s">
        <v>12265</v>
      </c>
      <c r="F60" t="s">
        <v>18200</v>
      </c>
      <c r="I60" s="1" t="str">
        <f t="shared" si="8"/>
        <v/>
      </c>
      <c r="J60" s="1">
        <f t="shared" si="9"/>
        <v>0</v>
      </c>
      <c r="K60" s="1" t="str">
        <f t="shared" si="10"/>
        <v/>
      </c>
      <c r="L60" s="1">
        <f t="shared" si="11"/>
        <v>0</v>
      </c>
      <c r="M60" s="1">
        <f t="shared" si="12"/>
        <v>0</v>
      </c>
      <c r="N60" s="1">
        <f t="shared" si="13"/>
        <v>0</v>
      </c>
      <c r="O60" s="1" t="b">
        <f t="shared" si="14"/>
        <v>0</v>
      </c>
      <c r="P60" s="1" t="e">
        <f>INDEX(G:G,MATCH(G60,G:G,0))</f>
        <v>#N/A</v>
      </c>
      <c r="Q60" s="1" t="e">
        <f t="shared" si="15"/>
        <v>#N/A</v>
      </c>
      <c r="R60" s="1" t="e">
        <f>INDEX('6.0.35'!I:I,MATCH(F60,'6.0.35'!K:K,0))</f>
        <v>#N/A</v>
      </c>
      <c r="S60" s="1" t="e">
        <f>INDEX('6.0.35'!J:J,MATCH(F60,'6.0.35'!F:F,0))</f>
        <v>#N/A</v>
      </c>
    </row>
    <row r="61" spans="1:19">
      <c r="A61" t="s">
        <v>12268</v>
      </c>
      <c r="F61" t="s">
        <v>18201</v>
      </c>
      <c r="I61" s="1" t="str">
        <f t="shared" si="8"/>
        <v/>
      </c>
      <c r="J61" s="1">
        <f t="shared" si="9"/>
        <v>0</v>
      </c>
      <c r="K61" s="1" t="str">
        <f t="shared" si="10"/>
        <v/>
      </c>
      <c r="L61" s="1">
        <f t="shared" si="11"/>
        <v>0</v>
      </c>
      <c r="M61" s="1">
        <f t="shared" si="12"/>
        <v>0</v>
      </c>
      <c r="N61" s="1">
        <f t="shared" si="13"/>
        <v>0</v>
      </c>
      <c r="O61" s="1" t="b">
        <f t="shared" si="14"/>
        <v>0</v>
      </c>
      <c r="P61" s="1" t="e">
        <f>INDEX(G:G,MATCH(G61,G:G,0))</f>
        <v>#N/A</v>
      </c>
      <c r="Q61" s="1" t="e">
        <f t="shared" si="15"/>
        <v>#N/A</v>
      </c>
      <c r="R61" s="1" t="e">
        <f>INDEX('6.0.35'!I:I,MATCH(F61,'6.0.35'!K:K,0))</f>
        <v>#N/A</v>
      </c>
      <c r="S61" s="1" t="e">
        <f>INDEX('6.0.35'!J:J,MATCH(F61,'6.0.35'!F:F,0))</f>
        <v>#N/A</v>
      </c>
    </row>
    <row r="62" spans="1:19">
      <c r="A62" t="s">
        <v>12271</v>
      </c>
      <c r="F62" t="s">
        <v>18202</v>
      </c>
      <c r="I62" s="1" t="str">
        <f t="shared" si="8"/>
        <v/>
      </c>
      <c r="J62" s="1">
        <f t="shared" si="9"/>
        <v>0</v>
      </c>
      <c r="K62" s="1" t="str">
        <f t="shared" si="10"/>
        <v/>
      </c>
      <c r="L62" s="1">
        <f t="shared" si="11"/>
        <v>0</v>
      </c>
      <c r="M62" s="1">
        <f t="shared" si="12"/>
        <v>0</v>
      </c>
      <c r="N62" s="1">
        <f t="shared" si="13"/>
        <v>0</v>
      </c>
      <c r="O62" s="1" t="b">
        <f t="shared" si="14"/>
        <v>0</v>
      </c>
      <c r="P62" s="1" t="e">
        <f>INDEX(G:G,MATCH(G62,G:G,0))</f>
        <v>#N/A</v>
      </c>
      <c r="Q62" s="1" t="e">
        <f t="shared" si="15"/>
        <v>#N/A</v>
      </c>
      <c r="R62" s="1" t="e">
        <f>INDEX('6.0.35'!I:I,MATCH(F62,'6.0.35'!K:K,0))</f>
        <v>#N/A</v>
      </c>
      <c r="S62" s="1" t="e">
        <f>INDEX('6.0.35'!J:J,MATCH(F62,'6.0.35'!F:F,0))</f>
        <v>#N/A</v>
      </c>
    </row>
    <row r="63" spans="1:19">
      <c r="A63" t="s">
        <v>12208</v>
      </c>
      <c r="F63" t="s">
        <v>18203</v>
      </c>
      <c r="I63" s="1" t="str">
        <f t="shared" si="8"/>
        <v/>
      </c>
      <c r="J63" s="1">
        <f t="shared" si="9"/>
        <v>0</v>
      </c>
      <c r="K63" s="1" t="str">
        <f t="shared" si="10"/>
        <v/>
      </c>
      <c r="L63" s="1">
        <f t="shared" si="11"/>
        <v>0</v>
      </c>
      <c r="M63" s="1">
        <f t="shared" si="12"/>
        <v>0</v>
      </c>
      <c r="N63" s="1">
        <f t="shared" si="13"/>
        <v>0</v>
      </c>
      <c r="O63" s="1" t="b">
        <f t="shared" si="14"/>
        <v>0</v>
      </c>
      <c r="P63" s="1" t="e">
        <f>INDEX(G:G,MATCH(G63,G:G,0))</f>
        <v>#N/A</v>
      </c>
      <c r="Q63" s="1" t="e">
        <f t="shared" si="15"/>
        <v>#N/A</v>
      </c>
      <c r="R63" s="1" t="e">
        <f>INDEX('6.0.35'!I:I,MATCH(F63,'6.0.35'!K:K,0))</f>
        <v>#N/A</v>
      </c>
      <c r="S63" s="1" t="e">
        <f>INDEX('6.0.35'!J:J,MATCH(F63,'6.0.35'!F:F,0))</f>
        <v>#N/A</v>
      </c>
    </row>
    <row r="64" spans="1:19">
      <c r="A64" t="s">
        <v>12211</v>
      </c>
      <c r="F64" t="s">
        <v>18204</v>
      </c>
      <c r="I64" s="1" t="str">
        <f t="shared" si="8"/>
        <v/>
      </c>
      <c r="J64" s="1">
        <f t="shared" si="9"/>
        <v>0</v>
      </c>
      <c r="K64" s="1" t="str">
        <f t="shared" si="10"/>
        <v/>
      </c>
      <c r="L64" s="1">
        <f t="shared" si="11"/>
        <v>0</v>
      </c>
      <c r="M64" s="1">
        <f t="shared" si="12"/>
        <v>0</v>
      </c>
      <c r="N64" s="1">
        <f t="shared" si="13"/>
        <v>0</v>
      </c>
      <c r="O64" s="1" t="b">
        <f t="shared" si="14"/>
        <v>0</v>
      </c>
      <c r="P64" s="1" t="e">
        <f>INDEX(G:G,MATCH(G64,G:G,0))</f>
        <v>#N/A</v>
      </c>
      <c r="Q64" s="1" t="e">
        <f t="shared" si="15"/>
        <v>#N/A</v>
      </c>
      <c r="R64" s="1" t="e">
        <f>INDEX('6.0.35'!I:I,MATCH(F64,'6.0.35'!K:K,0))</f>
        <v>#N/A</v>
      </c>
      <c r="S64" s="1" t="e">
        <f>INDEX('6.0.35'!J:J,MATCH(F64,'6.0.35'!F:F,0))</f>
        <v>#N/A</v>
      </c>
    </row>
    <row r="65" spans="1:19">
      <c r="A65" t="s">
        <v>12214</v>
      </c>
      <c r="F65" t="s">
        <v>18205</v>
      </c>
      <c r="I65" s="1" t="str">
        <f t="shared" si="8"/>
        <v/>
      </c>
      <c r="J65" s="1">
        <f t="shared" si="9"/>
        <v>0</v>
      </c>
      <c r="K65" s="1" t="str">
        <f t="shared" si="10"/>
        <v/>
      </c>
      <c r="L65" s="1">
        <f t="shared" si="11"/>
        <v>0</v>
      </c>
      <c r="M65" s="1">
        <f t="shared" si="12"/>
        <v>0</v>
      </c>
      <c r="N65" s="1">
        <f t="shared" si="13"/>
        <v>0</v>
      </c>
      <c r="O65" s="1" t="b">
        <f t="shared" si="14"/>
        <v>0</v>
      </c>
      <c r="P65" s="1" t="e">
        <f>INDEX(G:G,MATCH(G65,G:G,0))</f>
        <v>#N/A</v>
      </c>
      <c r="Q65" s="1" t="e">
        <f t="shared" si="15"/>
        <v>#N/A</v>
      </c>
      <c r="R65" s="1" t="e">
        <f>INDEX('6.0.35'!I:I,MATCH(F65,'6.0.35'!K:K,0))</f>
        <v>#N/A</v>
      </c>
      <c r="S65" s="1" t="e">
        <f>INDEX('6.0.35'!J:J,MATCH(F65,'6.0.35'!F:F,0))</f>
        <v>#N/A</v>
      </c>
    </row>
    <row r="66" spans="1:19">
      <c r="A66" t="s">
        <v>12217</v>
      </c>
      <c r="F66" t="s">
        <v>18206</v>
      </c>
      <c r="I66" s="1" t="str">
        <f t="shared" si="8"/>
        <v/>
      </c>
      <c r="J66" s="1">
        <f t="shared" si="9"/>
        <v>0</v>
      </c>
      <c r="K66" s="1" t="str">
        <f t="shared" si="10"/>
        <v/>
      </c>
      <c r="L66" s="1">
        <f t="shared" si="11"/>
        <v>0</v>
      </c>
      <c r="M66" s="1">
        <f t="shared" si="12"/>
        <v>0</v>
      </c>
      <c r="N66" s="1">
        <f t="shared" si="13"/>
        <v>0</v>
      </c>
      <c r="O66" s="1" t="b">
        <f t="shared" si="14"/>
        <v>0</v>
      </c>
      <c r="P66" s="1" t="e">
        <f>INDEX(G:G,MATCH(G66,G:G,0))</f>
        <v>#N/A</v>
      </c>
      <c r="Q66" s="1" t="e">
        <f t="shared" si="15"/>
        <v>#N/A</v>
      </c>
      <c r="R66" s="1" t="e">
        <f>INDEX('6.0.35'!I:I,MATCH(F66,'6.0.35'!K:K,0))</f>
        <v>#N/A</v>
      </c>
      <c r="S66" s="1" t="e">
        <f>INDEX('6.0.35'!J:J,MATCH(F66,'6.0.35'!F:F,0))</f>
        <v>#N/A</v>
      </c>
    </row>
    <row r="67" spans="1:19">
      <c r="A67" t="s">
        <v>12220</v>
      </c>
      <c r="F67" t="s">
        <v>18207</v>
      </c>
      <c r="I67" s="1" t="str">
        <f t="shared" si="8"/>
        <v/>
      </c>
      <c r="J67" s="1">
        <f t="shared" si="9"/>
        <v>0</v>
      </c>
      <c r="K67" s="1" t="str">
        <f t="shared" si="10"/>
        <v/>
      </c>
      <c r="L67" s="1">
        <f t="shared" si="11"/>
        <v>0</v>
      </c>
      <c r="M67" s="1">
        <f t="shared" si="12"/>
        <v>0</v>
      </c>
      <c r="N67" s="1">
        <f t="shared" si="13"/>
        <v>0</v>
      </c>
      <c r="O67" s="1" t="b">
        <f t="shared" si="14"/>
        <v>0</v>
      </c>
      <c r="P67" s="1" t="e">
        <f>INDEX(G:G,MATCH(G67,G:G,0))</f>
        <v>#N/A</v>
      </c>
      <c r="Q67" s="1" t="e">
        <f t="shared" si="15"/>
        <v>#N/A</v>
      </c>
      <c r="R67" s="1" t="e">
        <f>INDEX('6.0.35'!I:I,MATCH(F67,'6.0.35'!K:K,0))</f>
        <v>#N/A</v>
      </c>
      <c r="S67" s="1" t="e">
        <f>INDEX('6.0.35'!J:J,MATCH(F67,'6.0.35'!F:F,0))</f>
        <v>#N/A</v>
      </c>
    </row>
    <row r="68" spans="1:19">
      <c r="A68" t="s">
        <v>12223</v>
      </c>
      <c r="F68" t="s">
        <v>18208</v>
      </c>
      <c r="I68" s="1" t="str">
        <f t="shared" si="8"/>
        <v/>
      </c>
      <c r="J68" s="1">
        <f t="shared" si="9"/>
        <v>0</v>
      </c>
      <c r="K68" s="1" t="str">
        <f t="shared" si="10"/>
        <v/>
      </c>
      <c r="L68" s="1">
        <f t="shared" si="11"/>
        <v>0</v>
      </c>
      <c r="M68" s="1">
        <f t="shared" si="12"/>
        <v>0</v>
      </c>
      <c r="N68" s="1">
        <f t="shared" si="13"/>
        <v>0</v>
      </c>
      <c r="O68" s="1" t="b">
        <f t="shared" si="14"/>
        <v>0</v>
      </c>
      <c r="P68" s="1" t="e">
        <f>INDEX(G:G,MATCH(G68,G:G,0))</f>
        <v>#N/A</v>
      </c>
      <c r="Q68" s="1" t="e">
        <f t="shared" si="15"/>
        <v>#N/A</v>
      </c>
      <c r="R68" s="1" t="e">
        <f>INDEX('6.0.35'!I:I,MATCH(F68,'6.0.35'!K:K,0))</f>
        <v>#N/A</v>
      </c>
      <c r="S68" s="1" t="e">
        <f>INDEX('6.0.35'!J:J,MATCH(F68,'6.0.35'!F:F,0))</f>
        <v>#N/A</v>
      </c>
    </row>
    <row r="69" spans="1:19">
      <c r="A69" t="s">
        <v>12226</v>
      </c>
      <c r="F69" t="s">
        <v>18196</v>
      </c>
      <c r="I69" s="1" t="str">
        <f t="shared" si="8"/>
        <v/>
      </c>
      <c r="J69" s="1">
        <f t="shared" si="9"/>
        <v>0</v>
      </c>
      <c r="K69" s="1" t="str">
        <f t="shared" si="10"/>
        <v/>
      </c>
      <c r="L69" s="1">
        <f t="shared" si="11"/>
        <v>0</v>
      </c>
      <c r="M69" s="1">
        <f t="shared" si="12"/>
        <v>0</v>
      </c>
      <c r="N69" s="1">
        <f t="shared" si="13"/>
        <v>0</v>
      </c>
      <c r="O69" s="1" t="b">
        <f t="shared" si="14"/>
        <v>0</v>
      </c>
      <c r="P69" s="1" t="e">
        <f>INDEX(G:G,MATCH(G69,G:G,0))</f>
        <v>#N/A</v>
      </c>
      <c r="Q69" s="1" t="e">
        <f t="shared" si="15"/>
        <v>#N/A</v>
      </c>
      <c r="R69" s="1" t="e">
        <f>INDEX('6.0.35'!I:I,MATCH(F69,'6.0.35'!K:K,0))</f>
        <v>#N/A</v>
      </c>
      <c r="S69" s="1" t="e">
        <f>INDEX('6.0.35'!J:J,MATCH(F69,'6.0.35'!F:F,0))</f>
        <v>#N/A</v>
      </c>
    </row>
    <row r="70" spans="1:19">
      <c r="A70" t="s">
        <v>12229</v>
      </c>
      <c r="F70" t="s">
        <v>18197</v>
      </c>
      <c r="I70" s="1" t="str">
        <f t="shared" si="8"/>
        <v/>
      </c>
      <c r="J70" s="1">
        <f t="shared" si="9"/>
        <v>0</v>
      </c>
      <c r="K70" s="1" t="str">
        <f t="shared" si="10"/>
        <v/>
      </c>
      <c r="L70" s="1">
        <f t="shared" si="11"/>
        <v>0</v>
      </c>
      <c r="M70" s="1">
        <f t="shared" si="12"/>
        <v>0</v>
      </c>
      <c r="N70" s="1">
        <f t="shared" si="13"/>
        <v>0</v>
      </c>
      <c r="O70" s="1" t="b">
        <f t="shared" si="14"/>
        <v>0</v>
      </c>
      <c r="P70" s="1" t="e">
        <f>INDEX(G:G,MATCH(G70,G:G,0))</f>
        <v>#N/A</v>
      </c>
      <c r="Q70" s="1" t="e">
        <f t="shared" si="15"/>
        <v>#N/A</v>
      </c>
      <c r="R70" s="1" t="e">
        <f>INDEX('6.0.35'!I:I,MATCH(F70,'6.0.35'!K:K,0))</f>
        <v>#N/A</v>
      </c>
      <c r="S70" s="1" t="e">
        <f>INDEX('6.0.35'!J:J,MATCH(F70,'6.0.35'!F:F,0))</f>
        <v>#N/A</v>
      </c>
    </row>
    <row r="71" spans="1:19">
      <c r="A71" t="s">
        <v>12232</v>
      </c>
      <c r="F71" t="s">
        <v>18209</v>
      </c>
      <c r="I71" s="1" t="str">
        <f t="shared" si="8"/>
        <v/>
      </c>
      <c r="J71" s="1">
        <f t="shared" si="9"/>
        <v>0</v>
      </c>
      <c r="K71" s="1" t="str">
        <f t="shared" si="10"/>
        <v/>
      </c>
      <c r="L71" s="1">
        <f t="shared" si="11"/>
        <v>0</v>
      </c>
      <c r="M71" s="1">
        <f t="shared" si="12"/>
        <v>0</v>
      </c>
      <c r="N71" s="1">
        <f t="shared" si="13"/>
        <v>0</v>
      </c>
      <c r="O71" s="1" t="b">
        <f t="shared" si="14"/>
        <v>0</v>
      </c>
      <c r="P71" s="1" t="e">
        <f>INDEX(G:G,MATCH(G71,G:G,0))</f>
        <v>#N/A</v>
      </c>
      <c r="Q71" s="1" t="e">
        <f t="shared" si="15"/>
        <v>#N/A</v>
      </c>
      <c r="R71" s="1" t="e">
        <f>INDEX('6.0.35'!I:I,MATCH(F71,'6.0.35'!K:K,0))</f>
        <v>#N/A</v>
      </c>
      <c r="S71" s="1" t="e">
        <f>INDEX('6.0.35'!J:J,MATCH(F71,'6.0.35'!F:F,0))</f>
        <v>#N/A</v>
      </c>
    </row>
    <row r="72" spans="1:19">
      <c r="A72" t="s">
        <v>12235</v>
      </c>
      <c r="F72" t="s">
        <v>18210</v>
      </c>
      <c r="I72" s="1" t="str">
        <f t="shared" si="8"/>
        <v/>
      </c>
      <c r="J72" s="1">
        <f t="shared" si="9"/>
        <v>0</v>
      </c>
      <c r="K72" s="1" t="str">
        <f t="shared" si="10"/>
        <v/>
      </c>
      <c r="L72" s="1">
        <f t="shared" si="11"/>
        <v>0</v>
      </c>
      <c r="M72" s="1">
        <f t="shared" si="12"/>
        <v>0</v>
      </c>
      <c r="N72" s="1">
        <f t="shared" si="13"/>
        <v>0</v>
      </c>
      <c r="O72" s="1" t="b">
        <f t="shared" si="14"/>
        <v>0</v>
      </c>
      <c r="P72" s="1" t="e">
        <f>INDEX(G:G,MATCH(G72,G:G,0))</f>
        <v>#N/A</v>
      </c>
      <c r="Q72" s="1" t="e">
        <f t="shared" si="15"/>
        <v>#N/A</v>
      </c>
      <c r="R72" s="1" t="e">
        <f>INDEX('6.0.35'!I:I,MATCH(F72,'6.0.35'!K:K,0))</f>
        <v>#N/A</v>
      </c>
      <c r="S72" s="1" t="e">
        <f>INDEX('6.0.35'!J:J,MATCH(F72,'6.0.35'!F:F,0))</f>
        <v>#N/A</v>
      </c>
    </row>
    <row r="73" spans="1:19">
      <c r="A73" t="s">
        <v>12238</v>
      </c>
      <c r="F73" t="s">
        <v>18211</v>
      </c>
      <c r="I73" s="1" t="str">
        <f t="shared" si="8"/>
        <v/>
      </c>
      <c r="J73" s="1">
        <f t="shared" si="9"/>
        <v>0</v>
      </c>
      <c r="K73" s="1" t="str">
        <f t="shared" si="10"/>
        <v/>
      </c>
      <c r="L73" s="1">
        <f t="shared" si="11"/>
        <v>0</v>
      </c>
      <c r="M73" s="1">
        <f t="shared" si="12"/>
        <v>0</v>
      </c>
      <c r="N73" s="1">
        <f t="shared" si="13"/>
        <v>0</v>
      </c>
      <c r="O73" s="1" t="b">
        <f t="shared" si="14"/>
        <v>0</v>
      </c>
      <c r="P73" s="1" t="e">
        <f>INDEX(G:G,MATCH(G73,G:G,0))</f>
        <v>#N/A</v>
      </c>
      <c r="Q73" s="1" t="e">
        <f t="shared" si="15"/>
        <v>#N/A</v>
      </c>
      <c r="R73" s="1" t="e">
        <f>INDEX('6.0.35'!I:I,MATCH(F73,'6.0.35'!K:K,0))</f>
        <v>#N/A</v>
      </c>
      <c r="S73" s="1" t="e">
        <f>INDEX('6.0.35'!J:J,MATCH(F73,'6.0.35'!F:F,0))</f>
        <v>#N/A</v>
      </c>
    </row>
    <row r="74" spans="1:19">
      <c r="A74" t="s">
        <v>12241</v>
      </c>
      <c r="F74" t="s">
        <v>18212</v>
      </c>
      <c r="I74" s="1" t="str">
        <f t="shared" si="8"/>
        <v/>
      </c>
      <c r="J74" s="1">
        <f t="shared" si="9"/>
        <v>0</v>
      </c>
      <c r="K74" s="1" t="str">
        <f t="shared" si="10"/>
        <v/>
      </c>
      <c r="L74" s="1">
        <f t="shared" si="11"/>
        <v>0</v>
      </c>
      <c r="M74" s="1">
        <f t="shared" si="12"/>
        <v>0</v>
      </c>
      <c r="N74" s="1">
        <f t="shared" si="13"/>
        <v>0</v>
      </c>
      <c r="O74" s="1" t="b">
        <f t="shared" si="14"/>
        <v>0</v>
      </c>
      <c r="P74" s="1" t="e">
        <f>INDEX(G:G,MATCH(G74,G:G,0))</f>
        <v>#N/A</v>
      </c>
      <c r="Q74" s="1" t="e">
        <f t="shared" si="15"/>
        <v>#N/A</v>
      </c>
      <c r="R74" s="1" t="e">
        <f>INDEX('6.0.35'!I:I,MATCH(F74,'6.0.35'!K:K,0))</f>
        <v>#N/A</v>
      </c>
      <c r="S74" s="1" t="e">
        <f>INDEX('6.0.35'!J:J,MATCH(F74,'6.0.35'!F:F,0))</f>
        <v>#N/A</v>
      </c>
    </row>
    <row r="75" spans="1:19">
      <c r="A75" t="s">
        <v>12244</v>
      </c>
      <c r="F75" t="s">
        <v>18213</v>
      </c>
      <c r="I75" s="1" t="str">
        <f t="shared" si="8"/>
        <v/>
      </c>
      <c r="J75" s="1">
        <f t="shared" si="9"/>
        <v>0</v>
      </c>
      <c r="K75" s="1" t="str">
        <f t="shared" si="10"/>
        <v/>
      </c>
      <c r="L75" s="1">
        <f t="shared" si="11"/>
        <v>0</v>
      </c>
      <c r="M75" s="1">
        <f t="shared" si="12"/>
        <v>0</v>
      </c>
      <c r="N75" s="1">
        <f t="shared" si="13"/>
        <v>0</v>
      </c>
      <c r="O75" s="1" t="b">
        <f t="shared" si="14"/>
        <v>0</v>
      </c>
      <c r="P75" s="1" t="e">
        <f>INDEX(G:G,MATCH(G75,G:G,0))</f>
        <v>#N/A</v>
      </c>
      <c r="Q75" s="1" t="e">
        <f t="shared" si="15"/>
        <v>#N/A</v>
      </c>
      <c r="R75" s="1" t="e">
        <f>INDEX('6.0.35'!I:I,MATCH(F75,'6.0.35'!K:K,0))</f>
        <v>#N/A</v>
      </c>
      <c r="S75" s="1" t="e">
        <f>INDEX('6.0.35'!J:J,MATCH(F75,'6.0.35'!F:F,0))</f>
        <v>#N/A</v>
      </c>
    </row>
    <row r="76" spans="1:19">
      <c r="A76" t="s">
        <v>12247</v>
      </c>
      <c r="F76" t="s">
        <v>18214</v>
      </c>
      <c r="I76" s="1" t="str">
        <f t="shared" si="8"/>
        <v/>
      </c>
      <c r="J76" s="1">
        <f t="shared" si="9"/>
        <v>0</v>
      </c>
      <c r="K76" s="1" t="str">
        <f t="shared" si="10"/>
        <v/>
      </c>
      <c r="L76" s="1">
        <f t="shared" si="11"/>
        <v>0</v>
      </c>
      <c r="M76" s="1">
        <f t="shared" si="12"/>
        <v>0</v>
      </c>
      <c r="N76" s="1">
        <f t="shared" si="13"/>
        <v>0</v>
      </c>
      <c r="O76" s="1" t="b">
        <f t="shared" si="14"/>
        <v>0</v>
      </c>
      <c r="P76" s="1" t="e">
        <f>INDEX(G:G,MATCH(G76,G:G,0))</f>
        <v>#N/A</v>
      </c>
      <c r="Q76" s="1" t="e">
        <f t="shared" si="15"/>
        <v>#N/A</v>
      </c>
      <c r="R76" s="1" t="e">
        <f>INDEX('6.0.35'!I:I,MATCH(F76,'6.0.35'!K:K,0))</f>
        <v>#N/A</v>
      </c>
      <c r="S76" s="1" t="e">
        <f>INDEX('6.0.35'!J:J,MATCH(F76,'6.0.35'!F:F,0))</f>
        <v>#N/A</v>
      </c>
    </row>
    <row r="77" spans="1:19">
      <c r="A77" t="s">
        <v>12250</v>
      </c>
      <c r="F77" t="s">
        <v>18215</v>
      </c>
      <c r="I77" s="1" t="str">
        <f t="shared" si="8"/>
        <v/>
      </c>
      <c r="J77" s="1">
        <f t="shared" si="9"/>
        <v>0</v>
      </c>
      <c r="K77" s="1" t="str">
        <f t="shared" si="10"/>
        <v/>
      </c>
      <c r="L77" s="1">
        <f t="shared" si="11"/>
        <v>0</v>
      </c>
      <c r="M77" s="1">
        <f t="shared" si="12"/>
        <v>0</v>
      </c>
      <c r="N77" s="1">
        <f t="shared" si="13"/>
        <v>0</v>
      </c>
      <c r="O77" s="1" t="b">
        <f t="shared" si="14"/>
        <v>0</v>
      </c>
      <c r="P77" s="1" t="e">
        <f>INDEX(G:G,MATCH(G77,G:G,0))</f>
        <v>#N/A</v>
      </c>
      <c r="Q77" s="1" t="e">
        <f t="shared" si="15"/>
        <v>#N/A</v>
      </c>
      <c r="R77" s="1" t="e">
        <f>INDEX('6.0.35'!I:I,MATCH(F77,'6.0.35'!K:K,0))</f>
        <v>#N/A</v>
      </c>
      <c r="S77" s="1" t="e">
        <f>INDEX('6.0.35'!J:J,MATCH(F77,'6.0.35'!F:F,0))</f>
        <v>#N/A</v>
      </c>
    </row>
    <row r="78" spans="1:19">
      <c r="A78" t="s">
        <v>12253</v>
      </c>
      <c r="F78" t="s">
        <v>18216</v>
      </c>
      <c r="I78" s="1" t="str">
        <f t="shared" si="8"/>
        <v/>
      </c>
      <c r="J78" s="1">
        <f t="shared" si="9"/>
        <v>0</v>
      </c>
      <c r="K78" s="1" t="str">
        <f t="shared" si="10"/>
        <v/>
      </c>
      <c r="L78" s="1">
        <f t="shared" si="11"/>
        <v>0</v>
      </c>
      <c r="M78" s="1">
        <f t="shared" si="12"/>
        <v>0</v>
      </c>
      <c r="N78" s="1">
        <f t="shared" si="13"/>
        <v>0</v>
      </c>
      <c r="O78" s="1" t="b">
        <f t="shared" si="14"/>
        <v>0</v>
      </c>
      <c r="P78" s="1" t="e">
        <f>INDEX(G:G,MATCH(G78,G:G,0))</f>
        <v>#N/A</v>
      </c>
      <c r="Q78" s="1" t="e">
        <f t="shared" si="15"/>
        <v>#N/A</v>
      </c>
      <c r="R78" s="1" t="e">
        <f>INDEX('6.0.35'!I:I,MATCH(F78,'6.0.35'!K:K,0))</f>
        <v>#N/A</v>
      </c>
      <c r="S78" s="1" t="e">
        <f>INDEX('6.0.35'!J:J,MATCH(F78,'6.0.35'!F:F,0))</f>
        <v>#N/A</v>
      </c>
    </row>
    <row r="79" spans="1:19">
      <c r="A79" t="s">
        <v>12259</v>
      </c>
      <c r="F79" t="s">
        <v>18217</v>
      </c>
      <c r="I79" s="1" t="str">
        <f t="shared" si="8"/>
        <v/>
      </c>
      <c r="J79" s="1">
        <f t="shared" si="9"/>
        <v>0</v>
      </c>
      <c r="K79" s="1" t="str">
        <f t="shared" si="10"/>
        <v/>
      </c>
      <c r="L79" s="1">
        <f t="shared" si="11"/>
        <v>0</v>
      </c>
      <c r="M79" s="1">
        <f t="shared" si="12"/>
        <v>0</v>
      </c>
      <c r="N79" s="1">
        <f t="shared" si="13"/>
        <v>0</v>
      </c>
      <c r="O79" s="1" t="b">
        <f t="shared" si="14"/>
        <v>0</v>
      </c>
      <c r="P79" s="1" t="e">
        <f>INDEX(G:G,MATCH(G79,G:G,0))</f>
        <v>#N/A</v>
      </c>
      <c r="Q79" s="1" t="e">
        <f t="shared" si="15"/>
        <v>#N/A</v>
      </c>
      <c r="R79" s="1" t="e">
        <f>INDEX('6.0.35'!I:I,MATCH(F79,'6.0.35'!K:K,0))</f>
        <v>#N/A</v>
      </c>
      <c r="S79" s="1" t="e">
        <f>INDEX('6.0.35'!J:J,MATCH(F79,'6.0.35'!F:F,0))</f>
        <v>#N/A</v>
      </c>
    </row>
    <row r="80" spans="1:19">
      <c r="A80" t="s">
        <v>12262</v>
      </c>
      <c r="F80" t="s">
        <v>18218</v>
      </c>
      <c r="I80" s="1" t="str">
        <f t="shared" si="8"/>
        <v/>
      </c>
      <c r="J80" s="1">
        <f t="shared" si="9"/>
        <v>0</v>
      </c>
      <c r="K80" s="1" t="str">
        <f t="shared" si="10"/>
        <v/>
      </c>
      <c r="L80" s="1">
        <f t="shared" si="11"/>
        <v>0</v>
      </c>
      <c r="M80" s="1">
        <f t="shared" si="12"/>
        <v>0</v>
      </c>
      <c r="N80" s="1">
        <f t="shared" si="13"/>
        <v>0</v>
      </c>
      <c r="O80" s="1" t="b">
        <f t="shared" si="14"/>
        <v>0</v>
      </c>
      <c r="P80" s="1" t="e">
        <f>INDEX(G:G,MATCH(G80,G:G,0))</f>
        <v>#N/A</v>
      </c>
      <c r="Q80" s="1" t="e">
        <f t="shared" si="15"/>
        <v>#N/A</v>
      </c>
      <c r="R80" s="1" t="e">
        <f>INDEX('6.0.35'!I:I,MATCH(F80,'6.0.35'!K:K,0))</f>
        <v>#N/A</v>
      </c>
      <c r="S80" s="1" t="e">
        <f>INDEX('6.0.35'!J:J,MATCH(F80,'6.0.35'!F:F,0))</f>
        <v>#N/A</v>
      </c>
    </row>
    <row r="81" spans="1:19">
      <c r="A81" t="s">
        <v>12265</v>
      </c>
      <c r="F81" t="s">
        <v>18219</v>
      </c>
      <c r="I81" s="1" t="str">
        <f t="shared" si="8"/>
        <v/>
      </c>
      <c r="J81" s="1">
        <f t="shared" si="9"/>
        <v>0</v>
      </c>
      <c r="K81" s="1" t="str">
        <f t="shared" si="10"/>
        <v/>
      </c>
      <c r="L81" s="1">
        <f t="shared" si="11"/>
        <v>0</v>
      </c>
      <c r="M81" s="1">
        <f t="shared" si="12"/>
        <v>0</v>
      </c>
      <c r="N81" s="1">
        <f t="shared" si="13"/>
        <v>0</v>
      </c>
      <c r="O81" s="1" t="b">
        <f t="shared" si="14"/>
        <v>0</v>
      </c>
      <c r="P81" s="1" t="e">
        <f>INDEX(G:G,MATCH(G81,G:G,0))</f>
        <v>#N/A</v>
      </c>
      <c r="Q81" s="1" t="e">
        <f t="shared" si="15"/>
        <v>#N/A</v>
      </c>
      <c r="R81" s="1" t="e">
        <f>INDEX('6.0.35'!I:I,MATCH(F81,'6.0.35'!K:K,0))</f>
        <v>#N/A</v>
      </c>
      <c r="S81" s="1" t="e">
        <f>INDEX('6.0.35'!J:J,MATCH(F81,'6.0.35'!F:F,0))</f>
        <v>#N/A</v>
      </c>
    </row>
    <row r="82" spans="1:19">
      <c r="A82" t="s">
        <v>12268</v>
      </c>
      <c r="F82" t="s">
        <v>18220</v>
      </c>
      <c r="I82" s="1" t="str">
        <f t="shared" si="8"/>
        <v/>
      </c>
      <c r="J82" s="1">
        <f t="shared" si="9"/>
        <v>0</v>
      </c>
      <c r="K82" s="1" t="str">
        <f t="shared" si="10"/>
        <v/>
      </c>
      <c r="L82" s="1">
        <f t="shared" si="11"/>
        <v>0</v>
      </c>
      <c r="M82" s="1">
        <f t="shared" si="12"/>
        <v>0</v>
      </c>
      <c r="N82" s="1">
        <f t="shared" si="13"/>
        <v>0</v>
      </c>
      <c r="O82" s="1" t="b">
        <f t="shared" si="14"/>
        <v>0</v>
      </c>
      <c r="P82" s="1" t="e">
        <f>INDEX(G:G,MATCH(G82,G:G,0))</f>
        <v>#N/A</v>
      </c>
      <c r="Q82" s="1" t="e">
        <f t="shared" si="15"/>
        <v>#N/A</v>
      </c>
      <c r="R82" s="1" t="e">
        <f>INDEX('6.0.35'!I:I,MATCH(F82,'6.0.35'!K:K,0))</f>
        <v>#N/A</v>
      </c>
      <c r="S82" s="1" t="e">
        <f>INDEX('6.0.35'!J:J,MATCH(F82,'6.0.35'!F:F,0))</f>
        <v>#N/A</v>
      </c>
    </row>
    <row r="83" spans="1:19">
      <c r="A83" t="s">
        <v>12271</v>
      </c>
      <c r="F83" t="s">
        <v>18221</v>
      </c>
      <c r="I83" s="1" t="str">
        <f t="shared" si="8"/>
        <v/>
      </c>
      <c r="J83" s="1">
        <f t="shared" si="9"/>
        <v>0</v>
      </c>
      <c r="K83" s="1" t="str">
        <f t="shared" si="10"/>
        <v/>
      </c>
      <c r="L83" s="1">
        <f t="shared" si="11"/>
        <v>0</v>
      </c>
      <c r="M83" s="1">
        <f t="shared" si="12"/>
        <v>0</v>
      </c>
      <c r="N83" s="1">
        <f t="shared" si="13"/>
        <v>0</v>
      </c>
      <c r="O83" s="1" t="b">
        <f t="shared" si="14"/>
        <v>0</v>
      </c>
      <c r="P83" s="1" t="e">
        <f>INDEX(G:G,MATCH(G83,G:G,0))</f>
        <v>#N/A</v>
      </c>
      <c r="Q83" s="1" t="e">
        <f t="shared" si="15"/>
        <v>#N/A</v>
      </c>
      <c r="R83" s="1" t="e">
        <f>INDEX('6.0.35'!I:I,MATCH(F83,'6.0.35'!K:K,0))</f>
        <v>#N/A</v>
      </c>
      <c r="S83" s="1" t="e">
        <f>INDEX('6.0.35'!J:J,MATCH(F83,'6.0.35'!F:F,0))</f>
        <v>#N/A</v>
      </c>
    </row>
    <row r="84" spans="1:19">
      <c r="A84" t="s">
        <v>12208</v>
      </c>
      <c r="F84" t="s">
        <v>18222</v>
      </c>
      <c r="I84" s="1" t="str">
        <f t="shared" si="8"/>
        <v/>
      </c>
      <c r="J84" s="1">
        <f t="shared" si="9"/>
        <v>0</v>
      </c>
      <c r="K84" s="1" t="str">
        <f t="shared" si="10"/>
        <v/>
      </c>
      <c r="L84" s="1">
        <f t="shared" si="11"/>
        <v>0</v>
      </c>
      <c r="M84" s="1">
        <f t="shared" si="12"/>
        <v>0</v>
      </c>
      <c r="N84" s="1">
        <f t="shared" si="13"/>
        <v>0</v>
      </c>
      <c r="O84" s="1" t="b">
        <f t="shared" si="14"/>
        <v>0</v>
      </c>
      <c r="P84" s="1" t="e">
        <f>INDEX(G:G,MATCH(G84,G:G,0))</f>
        <v>#N/A</v>
      </c>
      <c r="Q84" s="1" t="e">
        <f t="shared" si="15"/>
        <v>#N/A</v>
      </c>
      <c r="R84" s="1" t="e">
        <f>INDEX('6.0.35'!I:I,MATCH(F84,'6.0.35'!K:K,0))</f>
        <v>#N/A</v>
      </c>
      <c r="S84" s="1" t="e">
        <f>INDEX('6.0.35'!J:J,MATCH(F84,'6.0.35'!F:F,0))</f>
        <v>#N/A</v>
      </c>
    </row>
    <row r="85" spans="1:19">
      <c r="A85" t="s">
        <v>12211</v>
      </c>
      <c r="F85" t="s">
        <v>18223</v>
      </c>
      <c r="I85" s="1" t="str">
        <f t="shared" si="8"/>
        <v/>
      </c>
      <c r="J85" s="1">
        <f t="shared" si="9"/>
        <v>0</v>
      </c>
      <c r="K85" s="1" t="str">
        <f t="shared" si="10"/>
        <v/>
      </c>
      <c r="L85" s="1">
        <f t="shared" si="11"/>
        <v>0</v>
      </c>
      <c r="M85" s="1">
        <f t="shared" si="12"/>
        <v>0</v>
      </c>
      <c r="N85" s="1">
        <f t="shared" si="13"/>
        <v>0</v>
      </c>
      <c r="O85" s="1" t="b">
        <f t="shared" si="14"/>
        <v>0</v>
      </c>
      <c r="P85" s="1" t="e">
        <f>INDEX(G:G,MATCH(G85,G:G,0))</f>
        <v>#N/A</v>
      </c>
      <c r="Q85" s="1" t="e">
        <f t="shared" si="15"/>
        <v>#N/A</v>
      </c>
      <c r="R85" s="1" t="e">
        <f>INDEX('6.0.35'!I:I,MATCH(F85,'6.0.35'!K:K,0))</f>
        <v>#N/A</v>
      </c>
      <c r="S85" s="1" t="e">
        <f>INDEX('6.0.35'!J:J,MATCH(F85,'6.0.35'!F:F,0))</f>
        <v>#N/A</v>
      </c>
    </row>
    <row r="86" spans="1:19">
      <c r="A86" t="s">
        <v>12214</v>
      </c>
      <c r="F86" t="s">
        <v>18224</v>
      </c>
      <c r="I86" s="1" t="str">
        <f t="shared" si="8"/>
        <v/>
      </c>
      <c r="J86" s="1">
        <f t="shared" si="9"/>
        <v>0</v>
      </c>
      <c r="K86" s="1" t="str">
        <f t="shared" si="10"/>
        <v/>
      </c>
      <c r="L86" s="1">
        <f t="shared" si="11"/>
        <v>0</v>
      </c>
      <c r="M86" s="1">
        <f t="shared" si="12"/>
        <v>0</v>
      </c>
      <c r="N86" s="1">
        <f t="shared" si="13"/>
        <v>0</v>
      </c>
      <c r="O86" s="1" t="b">
        <f t="shared" si="14"/>
        <v>0</v>
      </c>
      <c r="P86" s="1" t="e">
        <f>INDEX(G:G,MATCH(G86,G:G,0))</f>
        <v>#N/A</v>
      </c>
      <c r="Q86" s="1" t="e">
        <f t="shared" si="15"/>
        <v>#N/A</v>
      </c>
      <c r="R86" s="1" t="e">
        <f>INDEX('6.0.35'!I:I,MATCH(F86,'6.0.35'!K:K,0))</f>
        <v>#N/A</v>
      </c>
      <c r="S86" s="1" t="e">
        <f>INDEX('6.0.35'!J:J,MATCH(F86,'6.0.35'!F:F,0))</f>
        <v>#N/A</v>
      </c>
    </row>
    <row r="87" spans="1:19">
      <c r="A87" t="s">
        <v>12217</v>
      </c>
      <c r="F87" t="s">
        <v>18225</v>
      </c>
      <c r="I87" s="1" t="str">
        <f t="shared" si="8"/>
        <v/>
      </c>
      <c r="J87" s="1">
        <f t="shared" si="9"/>
        <v>0</v>
      </c>
      <c r="K87" s="1" t="str">
        <f t="shared" si="10"/>
        <v/>
      </c>
      <c r="L87" s="1">
        <f t="shared" si="11"/>
        <v>0</v>
      </c>
      <c r="M87" s="1">
        <f t="shared" si="12"/>
        <v>0</v>
      </c>
      <c r="N87" s="1">
        <f t="shared" si="13"/>
        <v>0</v>
      </c>
      <c r="O87" s="1" t="b">
        <f t="shared" si="14"/>
        <v>0</v>
      </c>
      <c r="P87" s="1" t="e">
        <f>INDEX(G:G,MATCH(G87,G:G,0))</f>
        <v>#N/A</v>
      </c>
      <c r="Q87" s="1" t="e">
        <f t="shared" si="15"/>
        <v>#N/A</v>
      </c>
      <c r="R87" s="1" t="e">
        <f>INDEX('6.0.35'!I:I,MATCH(F87,'6.0.35'!K:K,0))</f>
        <v>#N/A</v>
      </c>
      <c r="S87" s="1" t="e">
        <f>INDEX('6.0.35'!J:J,MATCH(F87,'6.0.35'!F:F,0))</f>
        <v>#N/A</v>
      </c>
    </row>
    <row r="88" spans="1:19">
      <c r="A88" t="s">
        <v>12220</v>
      </c>
      <c r="F88" t="s">
        <v>18226</v>
      </c>
      <c r="I88" s="1" t="str">
        <f t="shared" si="8"/>
        <v/>
      </c>
      <c r="J88" s="1">
        <f t="shared" si="9"/>
        <v>0</v>
      </c>
      <c r="K88" s="1" t="str">
        <f t="shared" si="10"/>
        <v/>
      </c>
      <c r="L88" s="1">
        <f t="shared" si="11"/>
        <v>0</v>
      </c>
      <c r="M88" s="1">
        <f t="shared" si="12"/>
        <v>0</v>
      </c>
      <c r="N88" s="1">
        <f t="shared" si="13"/>
        <v>0</v>
      </c>
      <c r="O88" s="1" t="b">
        <f t="shared" si="14"/>
        <v>0</v>
      </c>
      <c r="P88" s="1" t="e">
        <f>INDEX(G:G,MATCH(G88,G:G,0))</f>
        <v>#N/A</v>
      </c>
      <c r="Q88" s="1" t="e">
        <f t="shared" si="15"/>
        <v>#N/A</v>
      </c>
      <c r="R88" s="1" t="e">
        <f>INDEX('6.0.35'!I:I,MATCH(F88,'6.0.35'!K:K,0))</f>
        <v>#N/A</v>
      </c>
      <c r="S88" s="1" t="e">
        <f>INDEX('6.0.35'!J:J,MATCH(F88,'6.0.35'!F:F,0))</f>
        <v>#N/A</v>
      </c>
    </row>
    <row r="89" spans="1:19">
      <c r="A89" t="s">
        <v>12226</v>
      </c>
      <c r="F89" t="s">
        <v>18227</v>
      </c>
      <c r="I89" s="1" t="str">
        <f t="shared" si="8"/>
        <v/>
      </c>
      <c r="J89" s="1">
        <f t="shared" si="9"/>
        <v>0</v>
      </c>
      <c r="K89" s="1" t="str">
        <f t="shared" si="10"/>
        <v/>
      </c>
      <c r="L89" s="1">
        <f t="shared" si="11"/>
        <v>0</v>
      </c>
      <c r="M89" s="1">
        <f t="shared" si="12"/>
        <v>0</v>
      </c>
      <c r="N89" s="1">
        <f t="shared" si="13"/>
        <v>0</v>
      </c>
      <c r="O89" s="1" t="b">
        <f t="shared" si="14"/>
        <v>0</v>
      </c>
      <c r="P89" s="1" t="e">
        <f>INDEX(G:G,MATCH(G89,G:G,0))</f>
        <v>#N/A</v>
      </c>
      <c r="Q89" s="1" t="e">
        <f t="shared" si="15"/>
        <v>#N/A</v>
      </c>
      <c r="R89" s="1" t="e">
        <f>INDEX('6.0.35'!I:I,MATCH(F89,'6.0.35'!K:K,0))</f>
        <v>#N/A</v>
      </c>
      <c r="S89" s="1" t="e">
        <f>INDEX('6.0.35'!J:J,MATCH(F89,'6.0.35'!F:F,0))</f>
        <v>#N/A</v>
      </c>
    </row>
    <row r="90" spans="1:19">
      <c r="A90" t="s">
        <v>12229</v>
      </c>
      <c r="F90" t="s">
        <v>18228</v>
      </c>
      <c r="I90" s="1" t="str">
        <f t="shared" si="8"/>
        <v/>
      </c>
      <c r="J90" s="1">
        <f t="shared" si="9"/>
        <v>0</v>
      </c>
      <c r="K90" s="1" t="str">
        <f t="shared" si="10"/>
        <v/>
      </c>
      <c r="L90" s="1">
        <f t="shared" si="11"/>
        <v>0</v>
      </c>
      <c r="M90" s="1">
        <f t="shared" si="12"/>
        <v>0</v>
      </c>
      <c r="N90" s="1">
        <f t="shared" si="13"/>
        <v>0</v>
      </c>
      <c r="O90" s="1" t="b">
        <f t="shared" si="14"/>
        <v>0</v>
      </c>
      <c r="P90" s="1" t="e">
        <f>INDEX(G:G,MATCH(G90,G:G,0))</f>
        <v>#N/A</v>
      </c>
      <c r="Q90" s="1" t="e">
        <f t="shared" si="15"/>
        <v>#N/A</v>
      </c>
      <c r="R90" s="1" t="e">
        <f>INDEX('6.0.35'!I:I,MATCH(F90,'6.0.35'!K:K,0))</f>
        <v>#N/A</v>
      </c>
      <c r="S90" s="1" t="e">
        <f>INDEX('6.0.35'!J:J,MATCH(F90,'6.0.35'!F:F,0))</f>
        <v>#N/A</v>
      </c>
    </row>
    <row r="91" spans="1:19">
      <c r="A91" t="s">
        <v>12232</v>
      </c>
      <c r="F91" t="s">
        <v>18229</v>
      </c>
      <c r="I91" s="1" t="str">
        <f t="shared" si="8"/>
        <v/>
      </c>
      <c r="J91" s="1">
        <f t="shared" si="9"/>
        <v>0</v>
      </c>
      <c r="K91" s="1" t="str">
        <f t="shared" si="10"/>
        <v/>
      </c>
      <c r="L91" s="1">
        <f t="shared" si="11"/>
        <v>0</v>
      </c>
      <c r="M91" s="1">
        <f t="shared" si="12"/>
        <v>0</v>
      </c>
      <c r="N91" s="1">
        <f t="shared" si="13"/>
        <v>0</v>
      </c>
      <c r="O91" s="1" t="b">
        <f t="shared" si="14"/>
        <v>0</v>
      </c>
      <c r="P91" s="1" t="e">
        <f>INDEX(G:G,MATCH(G91,G:G,0))</f>
        <v>#N/A</v>
      </c>
      <c r="Q91" s="1" t="e">
        <f t="shared" si="15"/>
        <v>#N/A</v>
      </c>
      <c r="R91" s="1" t="e">
        <f>INDEX('6.0.35'!I:I,MATCH(F91,'6.0.35'!K:K,0))</f>
        <v>#N/A</v>
      </c>
      <c r="S91" s="1" t="e">
        <f>INDEX('6.0.35'!J:J,MATCH(F91,'6.0.35'!F:F,0))</f>
        <v>#N/A</v>
      </c>
    </row>
    <row r="92" spans="1:19">
      <c r="A92" t="s">
        <v>12235</v>
      </c>
      <c r="F92" t="s">
        <v>18230</v>
      </c>
      <c r="I92" s="1" t="str">
        <f t="shared" si="8"/>
        <v/>
      </c>
      <c r="J92" s="1">
        <f t="shared" si="9"/>
        <v>0</v>
      </c>
      <c r="K92" s="1" t="str">
        <f t="shared" si="10"/>
        <v/>
      </c>
      <c r="L92" s="1">
        <f t="shared" si="11"/>
        <v>0</v>
      </c>
      <c r="M92" s="1">
        <f t="shared" si="12"/>
        <v>0</v>
      </c>
      <c r="N92" s="1">
        <f t="shared" si="13"/>
        <v>0</v>
      </c>
      <c r="O92" s="1" t="b">
        <f t="shared" si="14"/>
        <v>0</v>
      </c>
      <c r="P92" s="1" t="e">
        <f>INDEX(G:G,MATCH(G92,G:G,0))</f>
        <v>#N/A</v>
      </c>
      <c r="Q92" s="1" t="e">
        <f t="shared" si="15"/>
        <v>#N/A</v>
      </c>
      <c r="R92" s="1" t="e">
        <f>INDEX('6.0.35'!I:I,MATCH(F92,'6.0.35'!K:K,0))</f>
        <v>#N/A</v>
      </c>
      <c r="S92" s="1" t="e">
        <f>INDEX('6.0.35'!J:J,MATCH(F92,'6.0.35'!F:F,0))</f>
        <v>#N/A</v>
      </c>
    </row>
    <row r="93" spans="1:19">
      <c r="A93" t="s">
        <v>12238</v>
      </c>
      <c r="F93" t="s">
        <v>18231</v>
      </c>
      <c r="I93" s="1" t="str">
        <f t="shared" si="8"/>
        <v/>
      </c>
      <c r="J93" s="1">
        <f t="shared" si="9"/>
        <v>0</v>
      </c>
      <c r="K93" s="1" t="str">
        <f t="shared" si="10"/>
        <v/>
      </c>
      <c r="L93" s="1">
        <f t="shared" si="11"/>
        <v>0</v>
      </c>
      <c r="M93" s="1">
        <f t="shared" si="12"/>
        <v>0</v>
      </c>
      <c r="N93" s="1">
        <f t="shared" si="13"/>
        <v>0</v>
      </c>
      <c r="O93" s="1" t="b">
        <f t="shared" si="14"/>
        <v>0</v>
      </c>
      <c r="P93" s="1" t="e">
        <f>INDEX(G:G,MATCH(G93,G:G,0))</f>
        <v>#N/A</v>
      </c>
      <c r="Q93" s="1" t="e">
        <f t="shared" si="15"/>
        <v>#N/A</v>
      </c>
      <c r="R93" s="1" t="e">
        <f>INDEX('6.0.35'!I:I,MATCH(F93,'6.0.35'!K:K,0))</f>
        <v>#N/A</v>
      </c>
      <c r="S93" s="1" t="e">
        <f>INDEX('6.0.35'!J:J,MATCH(F93,'6.0.35'!F:F,0))</f>
        <v>#N/A</v>
      </c>
    </row>
    <row r="94" spans="1:19">
      <c r="A94" t="s">
        <v>12241</v>
      </c>
      <c r="F94" t="s">
        <v>18232</v>
      </c>
      <c r="I94" s="1" t="str">
        <f t="shared" si="8"/>
        <v/>
      </c>
      <c r="J94" s="1">
        <f t="shared" si="9"/>
        <v>0</v>
      </c>
      <c r="K94" s="1" t="str">
        <f t="shared" si="10"/>
        <v/>
      </c>
      <c r="L94" s="1">
        <f t="shared" si="11"/>
        <v>0</v>
      </c>
      <c r="M94" s="1">
        <f t="shared" si="12"/>
        <v>0</v>
      </c>
      <c r="N94" s="1">
        <f t="shared" si="13"/>
        <v>0</v>
      </c>
      <c r="O94" s="1" t="b">
        <f t="shared" si="14"/>
        <v>0</v>
      </c>
      <c r="P94" s="1" t="e">
        <f>INDEX(G:G,MATCH(G94,G:G,0))</f>
        <v>#N/A</v>
      </c>
      <c r="Q94" s="1" t="e">
        <f t="shared" si="15"/>
        <v>#N/A</v>
      </c>
      <c r="R94" s="1" t="e">
        <f>INDEX('6.0.35'!I:I,MATCH(F94,'6.0.35'!K:K,0))</f>
        <v>#N/A</v>
      </c>
      <c r="S94" s="1" t="e">
        <f>INDEX('6.0.35'!J:J,MATCH(F94,'6.0.35'!F:F,0))</f>
        <v>#N/A</v>
      </c>
    </row>
    <row r="95" spans="1:19">
      <c r="A95" t="s">
        <v>12244</v>
      </c>
      <c r="F95" t="s">
        <v>18233</v>
      </c>
      <c r="I95" s="1" t="str">
        <f t="shared" si="8"/>
        <v/>
      </c>
      <c r="J95" s="1">
        <f t="shared" si="9"/>
        <v>0</v>
      </c>
      <c r="K95" s="1" t="str">
        <f t="shared" si="10"/>
        <v/>
      </c>
      <c r="L95" s="1">
        <f t="shared" si="11"/>
        <v>0</v>
      </c>
      <c r="M95" s="1">
        <f t="shared" si="12"/>
        <v>0</v>
      </c>
      <c r="N95" s="1">
        <f t="shared" si="13"/>
        <v>0</v>
      </c>
      <c r="O95" s="1" t="b">
        <f t="shared" si="14"/>
        <v>0</v>
      </c>
      <c r="P95" s="1" t="e">
        <f>INDEX(G:G,MATCH(G95,G:G,0))</f>
        <v>#N/A</v>
      </c>
      <c r="Q95" s="1" t="e">
        <f t="shared" si="15"/>
        <v>#N/A</v>
      </c>
      <c r="R95" s="1" t="e">
        <f>INDEX('6.0.35'!I:I,MATCH(F95,'6.0.35'!K:K,0))</f>
        <v>#N/A</v>
      </c>
      <c r="S95" s="1" t="e">
        <f>INDEX('6.0.35'!J:J,MATCH(F95,'6.0.35'!F:F,0))</f>
        <v>#N/A</v>
      </c>
    </row>
    <row r="96" spans="1:19">
      <c r="A96" t="s">
        <v>12247</v>
      </c>
      <c r="F96" t="s">
        <v>18234</v>
      </c>
      <c r="I96" s="1" t="str">
        <f t="shared" si="8"/>
        <v/>
      </c>
      <c r="J96" s="1">
        <f t="shared" si="9"/>
        <v>0</v>
      </c>
      <c r="K96" s="1" t="str">
        <f t="shared" si="10"/>
        <v/>
      </c>
      <c r="L96" s="1">
        <f t="shared" si="11"/>
        <v>0</v>
      </c>
      <c r="M96" s="1">
        <f t="shared" si="12"/>
        <v>0</v>
      </c>
      <c r="N96" s="1">
        <f t="shared" si="13"/>
        <v>0</v>
      </c>
      <c r="O96" s="1" t="b">
        <f t="shared" si="14"/>
        <v>0</v>
      </c>
      <c r="P96" s="1" t="e">
        <f>INDEX(G:G,MATCH(G96,G:G,0))</f>
        <v>#N/A</v>
      </c>
      <c r="Q96" s="1" t="e">
        <f t="shared" si="15"/>
        <v>#N/A</v>
      </c>
      <c r="R96" s="1" t="e">
        <f>INDEX('6.0.35'!I:I,MATCH(F96,'6.0.35'!K:K,0))</f>
        <v>#N/A</v>
      </c>
      <c r="S96" s="1" t="e">
        <f>INDEX('6.0.35'!J:J,MATCH(F96,'6.0.35'!F:F,0))</f>
        <v>#N/A</v>
      </c>
    </row>
    <row r="97" spans="1:19">
      <c r="A97" t="s">
        <v>12250</v>
      </c>
      <c r="F97" t="s">
        <v>18235</v>
      </c>
      <c r="I97" s="1" t="str">
        <f t="shared" si="8"/>
        <v/>
      </c>
      <c r="J97" s="1">
        <f t="shared" si="9"/>
        <v>0</v>
      </c>
      <c r="K97" s="1" t="str">
        <f t="shared" si="10"/>
        <v/>
      </c>
      <c r="L97" s="1">
        <f t="shared" si="11"/>
        <v>0</v>
      </c>
      <c r="M97" s="1">
        <f t="shared" si="12"/>
        <v>0</v>
      </c>
      <c r="N97" s="1">
        <f t="shared" si="13"/>
        <v>0</v>
      </c>
      <c r="O97" s="1" t="b">
        <f t="shared" si="14"/>
        <v>0</v>
      </c>
      <c r="P97" s="1" t="e">
        <f>INDEX(G:G,MATCH(G97,G:G,0))</f>
        <v>#N/A</v>
      </c>
      <c r="Q97" s="1" t="e">
        <f t="shared" si="15"/>
        <v>#N/A</v>
      </c>
      <c r="R97" s="1" t="e">
        <f>INDEX('6.0.35'!I:I,MATCH(F97,'6.0.35'!K:K,0))</f>
        <v>#N/A</v>
      </c>
      <c r="S97" s="1" t="e">
        <f>INDEX('6.0.35'!J:J,MATCH(F97,'6.0.35'!F:F,0))</f>
        <v>#N/A</v>
      </c>
    </row>
    <row r="98" spans="1:19">
      <c r="A98" t="s">
        <v>12253</v>
      </c>
      <c r="F98" t="s">
        <v>18236</v>
      </c>
      <c r="I98" s="1" t="str">
        <f t="shared" si="8"/>
        <v/>
      </c>
      <c r="J98" s="1">
        <f t="shared" si="9"/>
        <v>0</v>
      </c>
      <c r="K98" s="1" t="str">
        <f t="shared" si="10"/>
        <v/>
      </c>
      <c r="L98" s="1">
        <f t="shared" si="11"/>
        <v>0</v>
      </c>
      <c r="M98" s="1">
        <f t="shared" si="12"/>
        <v>0</v>
      </c>
      <c r="N98" s="1">
        <f t="shared" si="13"/>
        <v>0</v>
      </c>
      <c r="O98" s="1" t="b">
        <f t="shared" si="14"/>
        <v>0</v>
      </c>
      <c r="P98" s="1" t="e">
        <f>INDEX(G:G,MATCH(G98,G:G,0))</f>
        <v>#N/A</v>
      </c>
      <c r="Q98" s="1" t="e">
        <f t="shared" si="15"/>
        <v>#N/A</v>
      </c>
      <c r="R98" s="1" t="e">
        <f>INDEX('6.0.35'!I:I,MATCH(F98,'6.0.35'!K:K,0))</f>
        <v>#N/A</v>
      </c>
      <c r="S98" s="1" t="e">
        <f>INDEX('6.0.35'!J:J,MATCH(F98,'6.0.35'!F:F,0))</f>
        <v>#N/A</v>
      </c>
    </row>
    <row r="99" spans="1:19">
      <c r="A99" t="s">
        <v>12259</v>
      </c>
      <c r="F99" t="s">
        <v>18237</v>
      </c>
      <c r="I99" s="1" t="str">
        <f t="shared" si="8"/>
        <v/>
      </c>
      <c r="J99" s="1">
        <f t="shared" si="9"/>
        <v>0</v>
      </c>
      <c r="K99" s="1" t="str">
        <f t="shared" si="10"/>
        <v/>
      </c>
      <c r="L99" s="1">
        <f t="shared" si="11"/>
        <v>0</v>
      </c>
      <c r="M99" s="1">
        <f t="shared" si="12"/>
        <v>0</v>
      </c>
      <c r="N99" s="1">
        <f t="shared" si="13"/>
        <v>0</v>
      </c>
      <c r="O99" s="1" t="b">
        <f t="shared" si="14"/>
        <v>0</v>
      </c>
      <c r="P99" s="1" t="e">
        <f>INDEX(G:G,MATCH(G99,G:G,0))</f>
        <v>#N/A</v>
      </c>
      <c r="Q99" s="1" t="e">
        <f t="shared" si="15"/>
        <v>#N/A</v>
      </c>
      <c r="R99" s="1" t="e">
        <f>INDEX('6.0.35'!I:I,MATCH(F99,'6.0.35'!K:K,0))</f>
        <v>#N/A</v>
      </c>
      <c r="S99" s="1" t="e">
        <f>INDEX('6.0.35'!J:J,MATCH(F99,'6.0.35'!F:F,0))</f>
        <v>#N/A</v>
      </c>
    </row>
    <row r="100" spans="1:19">
      <c r="A100" t="s">
        <v>12262</v>
      </c>
      <c r="F100" t="s">
        <v>18238</v>
      </c>
      <c r="I100" s="1" t="str">
        <f t="shared" si="8"/>
        <v/>
      </c>
      <c r="J100" s="1">
        <f t="shared" si="9"/>
        <v>0</v>
      </c>
      <c r="K100" s="1" t="str">
        <f t="shared" si="10"/>
        <v/>
      </c>
      <c r="L100" s="1">
        <f t="shared" si="11"/>
        <v>0</v>
      </c>
      <c r="M100" s="1">
        <f t="shared" si="12"/>
        <v>0</v>
      </c>
      <c r="N100" s="1">
        <f t="shared" si="13"/>
        <v>0</v>
      </c>
      <c r="O100" s="1" t="b">
        <f t="shared" si="14"/>
        <v>0</v>
      </c>
      <c r="P100" s="1" t="e">
        <f>INDEX(G:G,MATCH(G100,G:G,0))</f>
        <v>#N/A</v>
      </c>
      <c r="Q100" s="1" t="e">
        <f t="shared" si="15"/>
        <v>#N/A</v>
      </c>
      <c r="R100" s="1" t="e">
        <f>INDEX('6.0.35'!I:I,MATCH(F100,'6.0.35'!K:K,0))</f>
        <v>#N/A</v>
      </c>
      <c r="S100" s="1" t="e">
        <f>INDEX('6.0.35'!J:J,MATCH(F100,'6.0.35'!F:F,0))</f>
        <v>#N/A</v>
      </c>
    </row>
    <row r="101" spans="1:19">
      <c r="A101" t="s">
        <v>12268</v>
      </c>
      <c r="F101" t="s">
        <v>18239</v>
      </c>
      <c r="I101" s="1" t="str">
        <f t="shared" ref="I101:I121" si="16">IFERROR(IF(OR(MID(G101,FIND(":",G101)-1,1)="""",MID(G101,FIND(":",G101)-1,1)="}",MID(G101,FIND(":",G101)-1,1)=")",MID(G101,FIND(":",G101)-1,1)="]"),"",RIGHT(G101,LEN(G101)-FIND(":",G101)-1)),"")</f>
        <v/>
      </c>
      <c r="J101" s="1">
        <f t="shared" ref="J101:J121" si="17">IF(AND(I101="",H101=""),G101,IF(H101="",I101,H101&amp;": "&amp;I101))</f>
        <v>0</v>
      </c>
      <c r="K101" s="1" t="str">
        <f t="shared" ref="K101:K121" si="18">IFERROR(IF(OR(MID(F101,FIND(":",F101)-1,1)="""",MID(F101,FIND(":",F101)-1,1)="}",MID(F101,FIND(":",F101)-1,1)=")",MID(F101,FIND(":",F101)-1,1)="]"),"",RIGHT(F101,LEN(F101)-FIND(":",F101)-1)),"")</f>
        <v/>
      </c>
      <c r="L101" s="1">
        <f t="shared" ref="L101:L121" si="19">LEN(F101)-LEN(SUBSTITUTE(F101,":",""))</f>
        <v>0</v>
      </c>
      <c r="M101" s="1">
        <f t="shared" ref="M101:M121" si="20">LEN(G101)-LEN(SUBSTITUTE(G101,":",""))</f>
        <v>0</v>
      </c>
      <c r="N101" s="1">
        <f t="shared" ref="N101:N121" si="21">LEN(G101)-LEN(SUBSTITUTE(G101,"：",""))</f>
        <v>0</v>
      </c>
      <c r="O101" s="1" t="b">
        <f t="shared" ref="O101:O121" si="22">IF(M101&gt;=2,MID(G101,FIND(":",G101)+1,LEN(G101)))</f>
        <v>0</v>
      </c>
      <c r="P101" s="1" t="e">
        <f>INDEX(G:G,MATCH(G101,G:G,0))</f>
        <v>#N/A</v>
      </c>
      <c r="Q101" s="1" t="e">
        <f t="shared" ref="Q101:Q121" si="23">IF(P101&lt;&gt;G101,"校验","")</f>
        <v>#N/A</v>
      </c>
      <c r="R101" s="1" t="e">
        <f>INDEX('6.0.35'!I:I,MATCH(F101,'6.0.35'!K:K,0))</f>
        <v>#N/A</v>
      </c>
      <c r="S101" s="1" t="e">
        <f>INDEX('6.0.35'!J:J,MATCH(F101,'6.0.35'!F:F,0))</f>
        <v>#N/A</v>
      </c>
    </row>
    <row r="102" spans="1:19">
      <c r="A102" t="s">
        <v>12271</v>
      </c>
      <c r="F102" t="s">
        <v>18240</v>
      </c>
      <c r="I102" s="1" t="str">
        <f t="shared" si="16"/>
        <v/>
      </c>
      <c r="J102" s="1">
        <f t="shared" si="17"/>
        <v>0</v>
      </c>
      <c r="K102" s="1" t="str">
        <f t="shared" si="18"/>
        <v/>
      </c>
      <c r="L102" s="1">
        <f t="shared" si="19"/>
        <v>0</v>
      </c>
      <c r="M102" s="1">
        <f t="shared" si="20"/>
        <v>0</v>
      </c>
      <c r="N102" s="1">
        <f t="shared" si="21"/>
        <v>0</v>
      </c>
      <c r="O102" s="1" t="b">
        <f t="shared" si="22"/>
        <v>0</v>
      </c>
      <c r="P102" s="1" t="e">
        <f>INDEX(G:G,MATCH(G102,G:G,0))</f>
        <v>#N/A</v>
      </c>
      <c r="Q102" s="1" t="e">
        <f t="shared" si="23"/>
        <v>#N/A</v>
      </c>
      <c r="R102" s="1" t="e">
        <f>INDEX('6.0.35'!I:I,MATCH(F102,'6.0.35'!K:K,0))</f>
        <v>#N/A</v>
      </c>
      <c r="S102" s="1" t="e">
        <f>INDEX('6.0.35'!J:J,MATCH(F102,'6.0.35'!F:F,0))</f>
        <v>#N/A</v>
      </c>
    </row>
    <row r="103" spans="1:19">
      <c r="A103" t="s">
        <v>12208</v>
      </c>
      <c r="F103" t="s">
        <v>18241</v>
      </c>
      <c r="I103" s="1" t="str">
        <f t="shared" si="16"/>
        <v/>
      </c>
      <c r="J103" s="1">
        <f t="shared" si="17"/>
        <v>0</v>
      </c>
      <c r="K103" s="1" t="str">
        <f t="shared" si="18"/>
        <v/>
      </c>
      <c r="L103" s="1">
        <f t="shared" si="19"/>
        <v>0</v>
      </c>
      <c r="M103" s="1">
        <f t="shared" si="20"/>
        <v>0</v>
      </c>
      <c r="N103" s="1">
        <f t="shared" si="21"/>
        <v>0</v>
      </c>
      <c r="O103" s="1" t="b">
        <f t="shared" si="22"/>
        <v>0</v>
      </c>
      <c r="P103" s="1" t="e">
        <f>INDEX(G:G,MATCH(G103,G:G,0))</f>
        <v>#N/A</v>
      </c>
      <c r="Q103" s="1" t="e">
        <f t="shared" si="23"/>
        <v>#N/A</v>
      </c>
      <c r="R103" s="1" t="e">
        <f>INDEX('6.0.35'!I:I,MATCH(F103,'6.0.35'!K:K,0))</f>
        <v>#N/A</v>
      </c>
      <c r="S103" s="1" t="e">
        <f>INDEX('6.0.35'!J:J,MATCH(F103,'6.0.35'!F:F,0))</f>
        <v>#N/A</v>
      </c>
    </row>
    <row r="104" spans="1:19">
      <c r="A104" t="s">
        <v>12211</v>
      </c>
      <c r="F104" t="s">
        <v>18242</v>
      </c>
      <c r="I104" s="1" t="str">
        <f t="shared" si="16"/>
        <v/>
      </c>
      <c r="J104" s="1">
        <f t="shared" si="17"/>
        <v>0</v>
      </c>
      <c r="K104" s="1" t="str">
        <f t="shared" si="18"/>
        <v/>
      </c>
      <c r="L104" s="1">
        <f t="shared" si="19"/>
        <v>0</v>
      </c>
      <c r="M104" s="1">
        <f t="shared" si="20"/>
        <v>0</v>
      </c>
      <c r="N104" s="1">
        <f t="shared" si="21"/>
        <v>0</v>
      </c>
      <c r="O104" s="1" t="b">
        <f t="shared" si="22"/>
        <v>0</v>
      </c>
      <c r="P104" s="1" t="e">
        <f>INDEX(G:G,MATCH(G104,G:G,0))</f>
        <v>#N/A</v>
      </c>
      <c r="Q104" s="1" t="e">
        <f t="shared" si="23"/>
        <v>#N/A</v>
      </c>
      <c r="R104" s="1" t="e">
        <f>INDEX('6.0.35'!I:I,MATCH(F104,'6.0.35'!K:K,0))</f>
        <v>#N/A</v>
      </c>
      <c r="S104" s="1" t="e">
        <f>INDEX('6.0.35'!J:J,MATCH(F104,'6.0.35'!F:F,0))</f>
        <v>#N/A</v>
      </c>
    </row>
    <row r="105" spans="1:19">
      <c r="A105" t="s">
        <v>12214</v>
      </c>
      <c r="F105" t="s">
        <v>18243</v>
      </c>
      <c r="I105" s="1" t="str">
        <f t="shared" si="16"/>
        <v/>
      </c>
      <c r="J105" s="1">
        <f t="shared" si="17"/>
        <v>0</v>
      </c>
      <c r="K105" s="1" t="str">
        <f t="shared" si="18"/>
        <v/>
      </c>
      <c r="L105" s="1">
        <f t="shared" si="19"/>
        <v>0</v>
      </c>
      <c r="M105" s="1">
        <f t="shared" si="20"/>
        <v>0</v>
      </c>
      <c r="N105" s="1">
        <f t="shared" si="21"/>
        <v>0</v>
      </c>
      <c r="O105" s="1" t="b">
        <f t="shared" si="22"/>
        <v>0</v>
      </c>
      <c r="P105" s="1" t="e">
        <f>INDEX(G:G,MATCH(G105,G:G,0))</f>
        <v>#N/A</v>
      </c>
      <c r="Q105" s="1" t="e">
        <f t="shared" si="23"/>
        <v>#N/A</v>
      </c>
      <c r="R105" s="1" t="e">
        <f>INDEX('6.0.35'!I:I,MATCH(F105,'6.0.35'!K:K,0))</f>
        <v>#N/A</v>
      </c>
      <c r="S105" s="1" t="e">
        <f>INDEX('6.0.35'!J:J,MATCH(F105,'6.0.35'!F:F,0))</f>
        <v>#N/A</v>
      </c>
    </row>
    <row r="106" spans="1:19">
      <c r="A106" t="s">
        <v>12217</v>
      </c>
      <c r="F106" t="s">
        <v>18244</v>
      </c>
      <c r="I106" s="1" t="str">
        <f t="shared" si="16"/>
        <v/>
      </c>
      <c r="J106" s="1">
        <f t="shared" si="17"/>
        <v>0</v>
      </c>
      <c r="K106" s="1" t="str">
        <f t="shared" si="18"/>
        <v/>
      </c>
      <c r="L106" s="1">
        <f t="shared" si="19"/>
        <v>0</v>
      </c>
      <c r="M106" s="1">
        <f t="shared" si="20"/>
        <v>0</v>
      </c>
      <c r="N106" s="1">
        <f t="shared" si="21"/>
        <v>0</v>
      </c>
      <c r="O106" s="1" t="b">
        <f t="shared" si="22"/>
        <v>0</v>
      </c>
      <c r="P106" s="1" t="e">
        <f>INDEX(G:G,MATCH(G106,G:G,0))</f>
        <v>#N/A</v>
      </c>
      <c r="Q106" s="1" t="e">
        <f t="shared" si="23"/>
        <v>#N/A</v>
      </c>
      <c r="R106" s="1" t="e">
        <f>INDEX('6.0.35'!I:I,MATCH(F106,'6.0.35'!K:K,0))</f>
        <v>#N/A</v>
      </c>
      <c r="S106" s="1" t="e">
        <f>INDEX('6.0.35'!J:J,MATCH(F106,'6.0.35'!F:F,0))</f>
        <v>#N/A</v>
      </c>
    </row>
    <row r="107" spans="1:19">
      <c r="A107" t="s">
        <v>12220</v>
      </c>
      <c r="F107" t="s">
        <v>18245</v>
      </c>
      <c r="I107" s="1" t="str">
        <f t="shared" si="16"/>
        <v/>
      </c>
      <c r="J107" s="1">
        <f t="shared" si="17"/>
        <v>0</v>
      </c>
      <c r="K107" s="1" t="str">
        <f t="shared" si="18"/>
        <v/>
      </c>
      <c r="L107" s="1">
        <f t="shared" si="19"/>
        <v>0</v>
      </c>
      <c r="M107" s="1">
        <f t="shared" si="20"/>
        <v>0</v>
      </c>
      <c r="N107" s="1">
        <f t="shared" si="21"/>
        <v>0</v>
      </c>
      <c r="O107" s="1" t="b">
        <f t="shared" si="22"/>
        <v>0</v>
      </c>
      <c r="P107" s="1" t="e">
        <f>INDEX(G:G,MATCH(G107,G:G,0))</f>
        <v>#N/A</v>
      </c>
      <c r="Q107" s="1" t="e">
        <f t="shared" si="23"/>
        <v>#N/A</v>
      </c>
      <c r="R107" s="1" t="e">
        <f>INDEX('6.0.35'!I:I,MATCH(F107,'6.0.35'!K:K,0))</f>
        <v>#N/A</v>
      </c>
      <c r="S107" s="1" t="e">
        <f>INDEX('6.0.35'!J:J,MATCH(F107,'6.0.35'!F:F,0))</f>
        <v>#N/A</v>
      </c>
    </row>
    <row r="108" spans="1:19">
      <c r="A108" t="s">
        <v>12223</v>
      </c>
      <c r="F108" t="s">
        <v>18246</v>
      </c>
      <c r="I108" s="1" t="str">
        <f t="shared" si="16"/>
        <v/>
      </c>
      <c r="J108" s="1">
        <f t="shared" si="17"/>
        <v>0</v>
      </c>
      <c r="K108" s="1" t="str">
        <f t="shared" si="18"/>
        <v/>
      </c>
      <c r="L108" s="1">
        <f t="shared" si="19"/>
        <v>0</v>
      </c>
      <c r="M108" s="1">
        <f t="shared" si="20"/>
        <v>0</v>
      </c>
      <c r="N108" s="1">
        <f t="shared" si="21"/>
        <v>0</v>
      </c>
      <c r="O108" s="1" t="b">
        <f t="shared" si="22"/>
        <v>0</v>
      </c>
      <c r="P108" s="1" t="e">
        <f>INDEX(G:G,MATCH(G108,G:G,0))</f>
        <v>#N/A</v>
      </c>
      <c r="Q108" s="1" t="e">
        <f t="shared" si="23"/>
        <v>#N/A</v>
      </c>
      <c r="R108" s="1" t="e">
        <f>INDEX('6.0.35'!I:I,MATCH(F108,'6.0.35'!K:K,0))</f>
        <v>#N/A</v>
      </c>
      <c r="S108" s="1" t="e">
        <f>INDEX('6.0.35'!J:J,MATCH(F108,'6.0.35'!F:F,0))</f>
        <v>#N/A</v>
      </c>
    </row>
    <row r="109" spans="1:19">
      <c r="A109" t="s">
        <v>12226</v>
      </c>
      <c r="F109" t="s">
        <v>18247</v>
      </c>
      <c r="I109" s="1" t="str">
        <f t="shared" si="16"/>
        <v/>
      </c>
      <c r="J109" s="1">
        <f t="shared" si="17"/>
        <v>0</v>
      </c>
      <c r="K109" s="1" t="str">
        <f t="shared" si="18"/>
        <v/>
      </c>
      <c r="L109" s="1">
        <f t="shared" si="19"/>
        <v>0</v>
      </c>
      <c r="M109" s="1">
        <f t="shared" si="20"/>
        <v>0</v>
      </c>
      <c r="N109" s="1">
        <f t="shared" si="21"/>
        <v>0</v>
      </c>
      <c r="O109" s="1" t="b">
        <f t="shared" si="22"/>
        <v>0</v>
      </c>
      <c r="P109" s="1" t="e">
        <f>INDEX(G:G,MATCH(G109,G:G,0))</f>
        <v>#N/A</v>
      </c>
      <c r="Q109" s="1" t="e">
        <f t="shared" si="23"/>
        <v>#N/A</v>
      </c>
      <c r="R109" s="1" t="e">
        <f>INDEX('6.0.35'!I:I,MATCH(F109,'6.0.35'!K:K,0))</f>
        <v>#N/A</v>
      </c>
      <c r="S109" s="1" t="e">
        <f>INDEX('6.0.35'!J:J,MATCH(F109,'6.0.35'!F:F,0))</f>
        <v>#N/A</v>
      </c>
    </row>
    <row r="110" spans="1:19">
      <c r="A110" t="s">
        <v>12229</v>
      </c>
      <c r="F110" t="s">
        <v>18248</v>
      </c>
      <c r="I110" s="1" t="str">
        <f t="shared" si="16"/>
        <v/>
      </c>
      <c r="J110" s="1">
        <f t="shared" si="17"/>
        <v>0</v>
      </c>
      <c r="K110" s="1" t="str">
        <f t="shared" si="18"/>
        <v/>
      </c>
      <c r="L110" s="1">
        <f t="shared" si="19"/>
        <v>0</v>
      </c>
      <c r="M110" s="1">
        <f t="shared" si="20"/>
        <v>0</v>
      </c>
      <c r="N110" s="1">
        <f t="shared" si="21"/>
        <v>0</v>
      </c>
      <c r="O110" s="1" t="b">
        <f t="shared" si="22"/>
        <v>0</v>
      </c>
      <c r="P110" s="1" t="e">
        <f>INDEX(G:G,MATCH(G110,G:G,0))</f>
        <v>#N/A</v>
      </c>
      <c r="Q110" s="1" t="e">
        <f t="shared" si="23"/>
        <v>#N/A</v>
      </c>
      <c r="R110" s="1" t="e">
        <f>INDEX('6.0.35'!I:I,MATCH(F110,'6.0.35'!K:K,0))</f>
        <v>#N/A</v>
      </c>
      <c r="S110" s="1" t="e">
        <f>INDEX('6.0.35'!J:J,MATCH(F110,'6.0.35'!F:F,0))</f>
        <v>#N/A</v>
      </c>
    </row>
    <row r="111" spans="1:19">
      <c r="A111" t="s">
        <v>12232</v>
      </c>
      <c r="I111" s="1" t="str">
        <f t="shared" si="16"/>
        <v/>
      </c>
      <c r="J111" s="1">
        <f t="shared" si="17"/>
        <v>0</v>
      </c>
      <c r="K111" s="1" t="str">
        <f t="shared" si="18"/>
        <v/>
      </c>
      <c r="L111" s="1">
        <f t="shared" si="19"/>
        <v>0</v>
      </c>
      <c r="M111" s="1">
        <f t="shared" si="20"/>
        <v>0</v>
      </c>
      <c r="N111" s="1">
        <f t="shared" si="21"/>
        <v>0</v>
      </c>
      <c r="O111" s="1" t="b">
        <f t="shared" si="22"/>
        <v>0</v>
      </c>
      <c r="P111" s="1" t="e">
        <f>INDEX(G:G,MATCH(G111,G:G,0))</f>
        <v>#N/A</v>
      </c>
      <c r="Q111" s="1" t="e">
        <f t="shared" si="23"/>
        <v>#N/A</v>
      </c>
      <c r="R111" s="1" t="e">
        <f>INDEX('6.0.35'!I:I,MATCH(F111,'6.0.35'!K:K,0))</f>
        <v>#N/A</v>
      </c>
      <c r="S111" s="1" t="e">
        <f>INDEX('6.0.35'!J:J,MATCH(F111,'6.0.35'!F:F,0))</f>
        <v>#N/A</v>
      </c>
    </row>
    <row r="112" spans="1:19">
      <c r="A112" t="s">
        <v>12235</v>
      </c>
      <c r="I112" s="1" t="str">
        <f t="shared" si="16"/>
        <v/>
      </c>
      <c r="J112" s="1">
        <f t="shared" si="17"/>
        <v>0</v>
      </c>
      <c r="K112" s="1" t="str">
        <f t="shared" si="18"/>
        <v/>
      </c>
      <c r="L112" s="1">
        <f t="shared" si="19"/>
        <v>0</v>
      </c>
      <c r="M112" s="1">
        <f t="shared" si="20"/>
        <v>0</v>
      </c>
      <c r="N112" s="1">
        <f t="shared" si="21"/>
        <v>0</v>
      </c>
      <c r="O112" s="1" t="b">
        <f t="shared" si="22"/>
        <v>0</v>
      </c>
      <c r="P112" s="1" t="e">
        <f>INDEX(G:G,MATCH(G112,G:G,0))</f>
        <v>#N/A</v>
      </c>
      <c r="Q112" s="1" t="e">
        <f t="shared" si="23"/>
        <v>#N/A</v>
      </c>
      <c r="R112" s="1" t="e">
        <f>INDEX('6.0.35'!I:I,MATCH(F112,'6.0.35'!K:K,0))</f>
        <v>#N/A</v>
      </c>
      <c r="S112" s="1" t="e">
        <f>INDEX('6.0.35'!J:J,MATCH(F112,'6.0.35'!F:F,0))</f>
        <v>#N/A</v>
      </c>
    </row>
    <row r="113" spans="1:19">
      <c r="A113" t="s">
        <v>12238</v>
      </c>
      <c r="I113" s="1" t="str">
        <f t="shared" si="16"/>
        <v/>
      </c>
      <c r="J113" s="1">
        <f t="shared" si="17"/>
        <v>0</v>
      </c>
      <c r="K113" s="1" t="str">
        <f t="shared" si="18"/>
        <v/>
      </c>
      <c r="L113" s="1">
        <f t="shared" si="19"/>
        <v>0</v>
      </c>
      <c r="M113" s="1">
        <f t="shared" si="20"/>
        <v>0</v>
      </c>
      <c r="N113" s="1">
        <f t="shared" si="21"/>
        <v>0</v>
      </c>
      <c r="O113" s="1" t="b">
        <f t="shared" si="22"/>
        <v>0</v>
      </c>
      <c r="P113" s="1" t="e">
        <f>INDEX(G:G,MATCH(G113,G:G,0))</f>
        <v>#N/A</v>
      </c>
      <c r="Q113" s="1" t="e">
        <f t="shared" si="23"/>
        <v>#N/A</v>
      </c>
      <c r="R113" s="1" t="e">
        <f>INDEX('6.0.35'!I:I,MATCH(F113,'6.0.35'!K:K,0))</f>
        <v>#N/A</v>
      </c>
      <c r="S113" s="1" t="e">
        <f>INDEX('6.0.35'!J:J,MATCH(F113,'6.0.35'!F:F,0))</f>
        <v>#N/A</v>
      </c>
    </row>
    <row r="114" spans="1:19">
      <c r="A114" t="s">
        <v>12241</v>
      </c>
      <c r="I114" s="1" t="str">
        <f t="shared" si="16"/>
        <v/>
      </c>
      <c r="J114" s="1">
        <f t="shared" si="17"/>
        <v>0</v>
      </c>
      <c r="K114" s="1" t="str">
        <f t="shared" si="18"/>
        <v/>
      </c>
      <c r="L114" s="1">
        <f t="shared" si="19"/>
        <v>0</v>
      </c>
      <c r="M114" s="1">
        <f t="shared" si="20"/>
        <v>0</v>
      </c>
      <c r="N114" s="1">
        <f t="shared" si="21"/>
        <v>0</v>
      </c>
      <c r="O114" s="1" t="b">
        <f t="shared" si="22"/>
        <v>0</v>
      </c>
      <c r="P114" s="1" t="e">
        <f>INDEX(G:G,MATCH(G114,G:G,0))</f>
        <v>#N/A</v>
      </c>
      <c r="Q114" s="1" t="e">
        <f t="shared" si="23"/>
        <v>#N/A</v>
      </c>
      <c r="R114" s="1" t="e">
        <f>INDEX('6.0.35'!I:I,MATCH(F114,'6.0.35'!K:K,0))</f>
        <v>#N/A</v>
      </c>
      <c r="S114" s="1" t="e">
        <f>INDEX('6.0.35'!J:J,MATCH(F114,'6.0.35'!F:F,0))</f>
        <v>#N/A</v>
      </c>
    </row>
    <row r="115" spans="1:19">
      <c r="A115" t="s">
        <v>12244</v>
      </c>
      <c r="I115" s="1" t="str">
        <f t="shared" si="16"/>
        <v/>
      </c>
      <c r="J115" s="1">
        <f t="shared" si="17"/>
        <v>0</v>
      </c>
      <c r="K115" s="1" t="str">
        <f t="shared" si="18"/>
        <v/>
      </c>
      <c r="L115" s="1">
        <f t="shared" si="19"/>
        <v>0</v>
      </c>
      <c r="M115" s="1">
        <f t="shared" si="20"/>
        <v>0</v>
      </c>
      <c r="N115" s="1">
        <f t="shared" si="21"/>
        <v>0</v>
      </c>
      <c r="O115" s="1" t="b">
        <f t="shared" si="22"/>
        <v>0</v>
      </c>
      <c r="P115" s="1" t="e">
        <f>INDEX(G:G,MATCH(G115,G:G,0))</f>
        <v>#N/A</v>
      </c>
      <c r="Q115" s="1" t="e">
        <f t="shared" si="23"/>
        <v>#N/A</v>
      </c>
      <c r="R115" s="1" t="e">
        <f>INDEX('6.0.35'!I:I,MATCH(F115,'6.0.35'!K:K,0))</f>
        <v>#N/A</v>
      </c>
      <c r="S115" s="1" t="e">
        <f>INDEX('6.0.35'!J:J,MATCH(F115,'6.0.35'!F:F,0))</f>
        <v>#N/A</v>
      </c>
    </row>
    <row r="116" spans="1:19">
      <c r="A116" t="s">
        <v>12247</v>
      </c>
      <c r="I116" s="1" t="str">
        <f t="shared" si="16"/>
        <v/>
      </c>
      <c r="J116" s="1">
        <f t="shared" si="17"/>
        <v>0</v>
      </c>
      <c r="K116" s="1" t="str">
        <f t="shared" si="18"/>
        <v/>
      </c>
      <c r="L116" s="1">
        <f t="shared" si="19"/>
        <v>0</v>
      </c>
      <c r="M116" s="1">
        <f t="shared" si="20"/>
        <v>0</v>
      </c>
      <c r="N116" s="1">
        <f t="shared" si="21"/>
        <v>0</v>
      </c>
      <c r="O116" s="1" t="b">
        <f t="shared" si="22"/>
        <v>0</v>
      </c>
      <c r="P116" s="1" t="e">
        <f>INDEX(G:G,MATCH(G116,G:G,0))</f>
        <v>#N/A</v>
      </c>
      <c r="Q116" s="1" t="e">
        <f t="shared" si="23"/>
        <v>#N/A</v>
      </c>
      <c r="R116" s="1" t="e">
        <f>INDEX('6.0.35'!I:I,MATCH(F116,'6.0.35'!K:K,0))</f>
        <v>#N/A</v>
      </c>
      <c r="S116" s="1" t="e">
        <f>INDEX('6.0.35'!J:J,MATCH(F116,'6.0.35'!F:F,0))</f>
        <v>#N/A</v>
      </c>
    </row>
    <row r="117" spans="1:19">
      <c r="A117" t="s">
        <v>12250</v>
      </c>
      <c r="I117" s="1" t="str">
        <f t="shared" si="16"/>
        <v/>
      </c>
      <c r="J117" s="1">
        <f t="shared" si="17"/>
        <v>0</v>
      </c>
      <c r="K117" s="1" t="str">
        <f t="shared" si="18"/>
        <v/>
      </c>
      <c r="L117" s="1">
        <f t="shared" si="19"/>
        <v>0</v>
      </c>
      <c r="M117" s="1">
        <f t="shared" si="20"/>
        <v>0</v>
      </c>
      <c r="N117" s="1">
        <f t="shared" si="21"/>
        <v>0</v>
      </c>
      <c r="O117" s="1" t="b">
        <f t="shared" si="22"/>
        <v>0</v>
      </c>
      <c r="P117" s="1" t="e">
        <f>INDEX(G:G,MATCH(G117,G:G,0))</f>
        <v>#N/A</v>
      </c>
      <c r="Q117" s="1" t="e">
        <f t="shared" si="23"/>
        <v>#N/A</v>
      </c>
      <c r="R117" s="1" t="e">
        <f>INDEX('6.0.35'!I:I,MATCH(F117,'6.0.35'!K:K,0))</f>
        <v>#N/A</v>
      </c>
      <c r="S117" s="1" t="e">
        <f>INDEX('6.0.35'!J:J,MATCH(F117,'6.0.35'!F:F,0))</f>
        <v>#N/A</v>
      </c>
    </row>
    <row r="118" spans="1:19">
      <c r="A118" t="s">
        <v>12253</v>
      </c>
      <c r="I118" s="1" t="str">
        <f t="shared" si="16"/>
        <v/>
      </c>
      <c r="J118" s="1">
        <f t="shared" si="17"/>
        <v>0</v>
      </c>
      <c r="K118" s="1" t="str">
        <f t="shared" si="18"/>
        <v/>
      </c>
      <c r="L118" s="1">
        <f t="shared" si="19"/>
        <v>0</v>
      </c>
      <c r="M118" s="1">
        <f t="shared" si="20"/>
        <v>0</v>
      </c>
      <c r="N118" s="1">
        <f t="shared" si="21"/>
        <v>0</v>
      </c>
      <c r="O118" s="1" t="b">
        <f t="shared" si="22"/>
        <v>0</v>
      </c>
      <c r="P118" s="1" t="e">
        <f>INDEX(G:G,MATCH(G118,G:G,0))</f>
        <v>#N/A</v>
      </c>
      <c r="Q118" s="1" t="e">
        <f t="shared" si="23"/>
        <v>#N/A</v>
      </c>
      <c r="R118" s="1" t="e">
        <f>INDEX('6.0.35'!I:I,MATCH(F118,'6.0.35'!K:K,0))</f>
        <v>#N/A</v>
      </c>
      <c r="S118" s="1" t="e">
        <f>INDEX('6.0.35'!J:J,MATCH(F118,'6.0.35'!F:F,0))</f>
        <v>#N/A</v>
      </c>
    </row>
    <row r="119" spans="1:19">
      <c r="A119" t="s">
        <v>12256</v>
      </c>
      <c r="I119" s="1" t="str">
        <f t="shared" si="16"/>
        <v/>
      </c>
      <c r="J119" s="1">
        <f t="shared" si="17"/>
        <v>0</v>
      </c>
      <c r="K119" s="1" t="str">
        <f t="shared" si="18"/>
        <v/>
      </c>
      <c r="L119" s="1">
        <f t="shared" si="19"/>
        <v>0</v>
      </c>
      <c r="M119" s="1">
        <f t="shared" si="20"/>
        <v>0</v>
      </c>
      <c r="N119" s="1">
        <f t="shared" si="21"/>
        <v>0</v>
      </c>
      <c r="O119" s="1" t="b">
        <f t="shared" si="22"/>
        <v>0</v>
      </c>
      <c r="P119" s="1" t="e">
        <f>INDEX(G:G,MATCH(G119,G:G,0))</f>
        <v>#N/A</v>
      </c>
      <c r="Q119" s="1" t="e">
        <f t="shared" si="23"/>
        <v>#N/A</v>
      </c>
      <c r="R119" s="1" t="e">
        <f>INDEX('6.0.35'!I:I,MATCH(F119,'6.0.35'!K:K,0))</f>
        <v>#N/A</v>
      </c>
      <c r="S119" s="1" t="e">
        <f>INDEX('6.0.35'!J:J,MATCH(F119,'6.0.35'!F:F,0))</f>
        <v>#N/A</v>
      </c>
    </row>
    <row r="120" spans="1:19">
      <c r="A120" t="s">
        <v>12259</v>
      </c>
      <c r="I120" s="1" t="str">
        <f t="shared" si="16"/>
        <v/>
      </c>
      <c r="J120" s="1">
        <f t="shared" si="17"/>
        <v>0</v>
      </c>
      <c r="K120" s="1" t="str">
        <f t="shared" si="18"/>
        <v/>
      </c>
      <c r="L120" s="1">
        <f t="shared" si="19"/>
        <v>0</v>
      </c>
      <c r="M120" s="1">
        <f t="shared" si="20"/>
        <v>0</v>
      </c>
      <c r="N120" s="1">
        <f t="shared" si="21"/>
        <v>0</v>
      </c>
      <c r="O120" s="1" t="b">
        <f t="shared" si="22"/>
        <v>0</v>
      </c>
      <c r="P120" s="1" t="e">
        <f>INDEX(G:G,MATCH(G120,G:G,0))</f>
        <v>#N/A</v>
      </c>
      <c r="Q120" s="1" t="e">
        <f t="shared" si="23"/>
        <v>#N/A</v>
      </c>
      <c r="R120" s="1" t="e">
        <f>INDEX('6.0.35'!I:I,MATCH(F120,'6.0.35'!K:K,0))</f>
        <v>#N/A</v>
      </c>
      <c r="S120" s="1" t="e">
        <f>INDEX('6.0.35'!J:J,MATCH(F120,'6.0.35'!F:F,0))</f>
        <v>#N/A</v>
      </c>
    </row>
    <row r="121" spans="1:19">
      <c r="A121" t="s">
        <v>12262</v>
      </c>
      <c r="I121" s="1" t="str">
        <f t="shared" si="16"/>
        <v/>
      </c>
      <c r="J121" s="1">
        <f t="shared" si="17"/>
        <v>0</v>
      </c>
      <c r="K121" s="1" t="str">
        <f t="shared" si="18"/>
        <v/>
      </c>
      <c r="L121" s="1">
        <f t="shared" si="19"/>
        <v>0</v>
      </c>
      <c r="M121" s="1">
        <f t="shared" si="20"/>
        <v>0</v>
      </c>
      <c r="N121" s="1">
        <f t="shared" si="21"/>
        <v>0</v>
      </c>
      <c r="O121" s="1" t="b">
        <f t="shared" si="22"/>
        <v>0</v>
      </c>
      <c r="P121" s="1" t="e">
        <f>INDEX(G:G,MATCH(G121,G:G,0))</f>
        <v>#N/A</v>
      </c>
      <c r="Q121" s="1" t="e">
        <f t="shared" si="23"/>
        <v>#N/A</v>
      </c>
      <c r="R121" s="1" t="e">
        <f>INDEX('6.0.35'!I:I,MATCH(F121,'6.0.35'!K:K,0))</f>
        <v>#N/A</v>
      </c>
      <c r="S121" s="1" t="e">
        <f>INDEX('6.0.35'!J:J,MATCH(F121,'6.0.35'!F:F,0))</f>
        <v>#N/A</v>
      </c>
    </row>
    <row r="122" spans="1:19">
      <c r="A122" t="s">
        <v>12265</v>
      </c>
      <c r="I122" s="1" t="str">
        <f t="shared" ref="I122:I185" si="24">IFERROR(IF(OR(MID(G122,FIND(":",G122)-1,1)="""",MID(G122,FIND(":",G122)-1,1)="}",MID(G122,FIND(":",G122)-1,1)=")",MID(G122,FIND(":",G122)-1,1)="]"),"",RIGHT(G122,LEN(G122)-FIND(":",G122)-1)),"")</f>
        <v/>
      </c>
      <c r="J122" s="1">
        <f t="shared" ref="J122:J185" si="25">IF(AND(I122="",H122=""),G122,IF(H122="",I122,H122&amp;": "&amp;I122))</f>
        <v>0</v>
      </c>
      <c r="K122" s="1" t="str">
        <f t="shared" ref="K122:K185" si="26">IFERROR(IF(OR(MID(F122,FIND(":",F122)-1,1)="""",MID(F122,FIND(":",F122)-1,1)="}",MID(F122,FIND(":",F122)-1,1)=")",MID(F122,FIND(":",F122)-1,1)="]"),"",RIGHT(F122,LEN(F122)-FIND(":",F122)-1)),"")</f>
        <v/>
      </c>
      <c r="L122" s="1">
        <f t="shared" ref="L122:L185" si="27">LEN(F122)-LEN(SUBSTITUTE(F122,":",""))</f>
        <v>0</v>
      </c>
      <c r="M122" s="1">
        <f t="shared" ref="M122:M185" si="28">LEN(G122)-LEN(SUBSTITUTE(G122,":",""))</f>
        <v>0</v>
      </c>
      <c r="N122" s="1">
        <f t="shared" ref="N122:N185" si="29">LEN(G122)-LEN(SUBSTITUTE(G122,"：",""))</f>
        <v>0</v>
      </c>
      <c r="O122" s="1" t="b">
        <f t="shared" ref="O122:O185" si="30">IF(M122&gt;=2,MID(G122,FIND(":",G122)+1,LEN(G122)))</f>
        <v>0</v>
      </c>
      <c r="P122" s="1" t="e">
        <f>INDEX(G:G,MATCH(G122,G:G,0))</f>
        <v>#N/A</v>
      </c>
      <c r="Q122" s="1" t="e">
        <f t="shared" ref="Q122:Q185" si="31">IF(P122&lt;&gt;G122,"校验","")</f>
        <v>#N/A</v>
      </c>
      <c r="R122" s="1" t="e">
        <f>INDEX('6.0.35'!I:I,MATCH(F122,'6.0.35'!K:K,0))</f>
        <v>#N/A</v>
      </c>
      <c r="S122" s="1" t="e">
        <f>INDEX('6.0.35'!J:J,MATCH(F122,'6.0.35'!F:F,0))</f>
        <v>#N/A</v>
      </c>
    </row>
    <row r="123" spans="1:19">
      <c r="A123" t="s">
        <v>12268</v>
      </c>
      <c r="I123" s="1" t="str">
        <f t="shared" si="24"/>
        <v/>
      </c>
      <c r="J123" s="1">
        <f t="shared" si="25"/>
        <v>0</v>
      </c>
      <c r="K123" s="1" t="str">
        <f t="shared" si="26"/>
        <v/>
      </c>
      <c r="L123" s="1">
        <f t="shared" si="27"/>
        <v>0</v>
      </c>
      <c r="M123" s="1">
        <f t="shared" si="28"/>
        <v>0</v>
      </c>
      <c r="N123" s="1">
        <f t="shared" si="29"/>
        <v>0</v>
      </c>
      <c r="O123" s="1" t="b">
        <f t="shared" si="30"/>
        <v>0</v>
      </c>
      <c r="P123" s="1" t="e">
        <f>INDEX(G:G,MATCH(G123,G:G,0))</f>
        <v>#N/A</v>
      </c>
      <c r="Q123" s="1" t="e">
        <f t="shared" si="31"/>
        <v>#N/A</v>
      </c>
      <c r="R123" s="1" t="e">
        <f>INDEX('6.0.35'!I:I,MATCH(F123,'6.0.35'!K:K,0))</f>
        <v>#N/A</v>
      </c>
      <c r="S123" s="1" t="e">
        <f>INDEX('6.0.35'!J:J,MATCH(F123,'6.0.35'!F:F,0))</f>
        <v>#N/A</v>
      </c>
    </row>
    <row r="124" spans="1:19">
      <c r="A124" t="s">
        <v>12271</v>
      </c>
      <c r="I124" s="1" t="str">
        <f t="shared" si="24"/>
        <v/>
      </c>
      <c r="J124" s="1">
        <f t="shared" si="25"/>
        <v>0</v>
      </c>
      <c r="K124" s="1" t="str">
        <f t="shared" si="26"/>
        <v/>
      </c>
      <c r="L124" s="1">
        <f t="shared" si="27"/>
        <v>0</v>
      </c>
      <c r="M124" s="1">
        <f t="shared" si="28"/>
        <v>0</v>
      </c>
      <c r="N124" s="1">
        <f t="shared" si="29"/>
        <v>0</v>
      </c>
      <c r="O124" s="1" t="b">
        <f t="shared" si="30"/>
        <v>0</v>
      </c>
      <c r="P124" s="1" t="e">
        <f>INDEX(G:G,MATCH(G124,G:G,0))</f>
        <v>#N/A</v>
      </c>
      <c r="Q124" s="1" t="e">
        <f t="shared" si="31"/>
        <v>#N/A</v>
      </c>
      <c r="R124" s="1" t="e">
        <f>INDEX('6.0.35'!I:I,MATCH(F124,'6.0.35'!K:K,0))</f>
        <v>#N/A</v>
      </c>
      <c r="S124" s="1" t="e">
        <f>INDEX('6.0.35'!J:J,MATCH(F124,'6.0.35'!F:F,0))</f>
        <v>#N/A</v>
      </c>
    </row>
    <row r="125" spans="1:19">
      <c r="A125" t="s">
        <v>12384</v>
      </c>
      <c r="I125" s="1" t="str">
        <f t="shared" si="24"/>
        <v/>
      </c>
      <c r="J125" s="1">
        <f t="shared" si="25"/>
        <v>0</v>
      </c>
      <c r="K125" s="1" t="str">
        <f t="shared" si="26"/>
        <v/>
      </c>
      <c r="L125" s="1">
        <f t="shared" si="27"/>
        <v>0</v>
      </c>
      <c r="M125" s="1">
        <f t="shared" si="28"/>
        <v>0</v>
      </c>
      <c r="N125" s="1">
        <f t="shared" si="29"/>
        <v>0</v>
      </c>
      <c r="O125" s="1" t="b">
        <f t="shared" si="30"/>
        <v>0</v>
      </c>
      <c r="P125" s="1" t="e">
        <f>INDEX(G:G,MATCH(G125,G:G,0))</f>
        <v>#N/A</v>
      </c>
      <c r="Q125" s="1" t="e">
        <f t="shared" si="31"/>
        <v>#N/A</v>
      </c>
      <c r="R125" s="1" t="e">
        <f>INDEX('6.0.35'!I:I,MATCH(F125,'6.0.35'!K:K,0))</f>
        <v>#N/A</v>
      </c>
      <c r="S125" s="1" t="e">
        <f>INDEX('6.0.35'!J:J,MATCH(F125,'6.0.35'!F:F,0))</f>
        <v>#N/A</v>
      </c>
    </row>
    <row r="126" spans="1:19">
      <c r="A126" t="s">
        <v>12387</v>
      </c>
      <c r="I126" s="1" t="str">
        <f t="shared" si="24"/>
        <v/>
      </c>
      <c r="J126" s="1">
        <f t="shared" si="25"/>
        <v>0</v>
      </c>
      <c r="K126" s="1" t="str">
        <f t="shared" si="26"/>
        <v/>
      </c>
      <c r="L126" s="1">
        <f t="shared" si="27"/>
        <v>0</v>
      </c>
      <c r="M126" s="1">
        <f t="shared" si="28"/>
        <v>0</v>
      </c>
      <c r="N126" s="1">
        <f t="shared" si="29"/>
        <v>0</v>
      </c>
      <c r="O126" s="1" t="b">
        <f t="shared" si="30"/>
        <v>0</v>
      </c>
      <c r="P126" s="1" t="e">
        <f>INDEX(G:G,MATCH(G126,G:G,0))</f>
        <v>#N/A</v>
      </c>
      <c r="Q126" s="1" t="e">
        <f t="shared" si="31"/>
        <v>#N/A</v>
      </c>
      <c r="R126" s="1" t="e">
        <f>INDEX('6.0.35'!I:I,MATCH(F126,'6.0.35'!K:K,0))</f>
        <v>#N/A</v>
      </c>
      <c r="S126" s="1" t="e">
        <f>INDEX('6.0.35'!J:J,MATCH(F126,'6.0.35'!F:F,0))</f>
        <v>#N/A</v>
      </c>
    </row>
    <row r="127" spans="1:19">
      <c r="A127" t="s">
        <v>12390</v>
      </c>
      <c r="I127" s="1" t="str">
        <f t="shared" si="24"/>
        <v/>
      </c>
      <c r="J127" s="1">
        <f t="shared" si="25"/>
        <v>0</v>
      </c>
      <c r="K127" s="1" t="str">
        <f t="shared" si="26"/>
        <v/>
      </c>
      <c r="L127" s="1">
        <f t="shared" si="27"/>
        <v>0</v>
      </c>
      <c r="M127" s="1">
        <f t="shared" si="28"/>
        <v>0</v>
      </c>
      <c r="N127" s="1">
        <f t="shared" si="29"/>
        <v>0</v>
      </c>
      <c r="O127" s="1" t="b">
        <f t="shared" si="30"/>
        <v>0</v>
      </c>
      <c r="P127" s="1" t="e">
        <f>INDEX(G:G,MATCH(G127,G:G,0))</f>
        <v>#N/A</v>
      </c>
      <c r="Q127" s="1" t="e">
        <f t="shared" si="31"/>
        <v>#N/A</v>
      </c>
      <c r="R127" s="1" t="e">
        <f>INDEX('6.0.35'!I:I,MATCH(F127,'6.0.35'!K:K,0))</f>
        <v>#N/A</v>
      </c>
      <c r="S127" s="1" t="e">
        <f>INDEX('6.0.35'!J:J,MATCH(F127,'6.0.35'!F:F,0))</f>
        <v>#N/A</v>
      </c>
    </row>
    <row r="128" spans="1:19">
      <c r="A128" t="s">
        <v>12393</v>
      </c>
      <c r="I128" s="1" t="str">
        <f t="shared" si="24"/>
        <v/>
      </c>
      <c r="J128" s="1">
        <f t="shared" si="25"/>
        <v>0</v>
      </c>
      <c r="K128" s="1" t="str">
        <f t="shared" si="26"/>
        <v/>
      </c>
      <c r="L128" s="1">
        <f t="shared" si="27"/>
        <v>0</v>
      </c>
      <c r="M128" s="1">
        <f t="shared" si="28"/>
        <v>0</v>
      </c>
      <c r="N128" s="1">
        <f t="shared" si="29"/>
        <v>0</v>
      </c>
      <c r="O128" s="1" t="b">
        <f t="shared" si="30"/>
        <v>0</v>
      </c>
      <c r="P128" s="1" t="e">
        <f>INDEX(G:G,MATCH(G128,G:G,0))</f>
        <v>#N/A</v>
      </c>
      <c r="Q128" s="1" t="e">
        <f t="shared" si="31"/>
        <v>#N/A</v>
      </c>
      <c r="R128" s="1" t="e">
        <f>INDEX('6.0.35'!I:I,MATCH(F128,'6.0.35'!K:K,0))</f>
        <v>#N/A</v>
      </c>
      <c r="S128" s="1" t="e">
        <f>INDEX('6.0.35'!J:J,MATCH(F128,'6.0.35'!F:F,0))</f>
        <v>#N/A</v>
      </c>
    </row>
    <row r="129" spans="1:19">
      <c r="A129" t="s">
        <v>12396</v>
      </c>
      <c r="I129" s="1" t="str">
        <f t="shared" si="24"/>
        <v/>
      </c>
      <c r="J129" s="1">
        <f t="shared" si="25"/>
        <v>0</v>
      </c>
      <c r="K129" s="1" t="str">
        <f t="shared" si="26"/>
        <v/>
      </c>
      <c r="L129" s="1">
        <f t="shared" si="27"/>
        <v>0</v>
      </c>
      <c r="M129" s="1">
        <f t="shared" si="28"/>
        <v>0</v>
      </c>
      <c r="N129" s="1">
        <f t="shared" si="29"/>
        <v>0</v>
      </c>
      <c r="O129" s="1" t="b">
        <f t="shared" si="30"/>
        <v>0</v>
      </c>
      <c r="P129" s="1" t="e">
        <f>INDEX(G:G,MATCH(G129,G:G,0))</f>
        <v>#N/A</v>
      </c>
      <c r="Q129" s="1" t="e">
        <f t="shared" si="31"/>
        <v>#N/A</v>
      </c>
      <c r="R129" s="1" t="e">
        <f>INDEX('6.0.35'!I:I,MATCH(F129,'6.0.35'!K:K,0))</f>
        <v>#N/A</v>
      </c>
      <c r="S129" s="1" t="e">
        <f>INDEX('6.0.35'!J:J,MATCH(F129,'6.0.35'!F:F,0))</f>
        <v>#N/A</v>
      </c>
    </row>
    <row r="130" spans="1:19">
      <c r="A130" t="s">
        <v>12399</v>
      </c>
      <c r="I130" s="1" t="str">
        <f t="shared" si="24"/>
        <v/>
      </c>
      <c r="J130" s="1">
        <f t="shared" si="25"/>
        <v>0</v>
      </c>
      <c r="K130" s="1" t="str">
        <f t="shared" si="26"/>
        <v/>
      </c>
      <c r="L130" s="1">
        <f t="shared" si="27"/>
        <v>0</v>
      </c>
      <c r="M130" s="1">
        <f t="shared" si="28"/>
        <v>0</v>
      </c>
      <c r="N130" s="1">
        <f t="shared" si="29"/>
        <v>0</v>
      </c>
      <c r="O130" s="1" t="b">
        <f t="shared" si="30"/>
        <v>0</v>
      </c>
      <c r="P130" s="1" t="e">
        <f>INDEX(G:G,MATCH(G130,G:G,0))</f>
        <v>#N/A</v>
      </c>
      <c r="Q130" s="1" t="e">
        <f t="shared" si="31"/>
        <v>#N/A</v>
      </c>
      <c r="R130" s="1" t="e">
        <f>INDEX('6.0.35'!I:I,MATCH(F130,'6.0.35'!K:K,0))</f>
        <v>#N/A</v>
      </c>
      <c r="S130" s="1" t="e">
        <f>INDEX('6.0.35'!J:J,MATCH(F130,'6.0.35'!F:F,0))</f>
        <v>#N/A</v>
      </c>
    </row>
    <row r="131" spans="1:19">
      <c r="A131" t="s">
        <v>12402</v>
      </c>
      <c r="I131" s="1" t="str">
        <f t="shared" si="24"/>
        <v/>
      </c>
      <c r="J131" s="1">
        <f t="shared" si="25"/>
        <v>0</v>
      </c>
      <c r="K131" s="1" t="str">
        <f t="shared" si="26"/>
        <v/>
      </c>
      <c r="L131" s="1">
        <f t="shared" si="27"/>
        <v>0</v>
      </c>
      <c r="M131" s="1">
        <f t="shared" si="28"/>
        <v>0</v>
      </c>
      <c r="N131" s="1">
        <f t="shared" si="29"/>
        <v>0</v>
      </c>
      <c r="O131" s="1" t="b">
        <f t="shared" si="30"/>
        <v>0</v>
      </c>
      <c r="P131" s="1" t="e">
        <f>INDEX(G:G,MATCH(G131,G:G,0))</f>
        <v>#N/A</v>
      </c>
      <c r="Q131" s="1" t="e">
        <f t="shared" si="31"/>
        <v>#N/A</v>
      </c>
      <c r="R131" s="1" t="e">
        <f>INDEX('6.0.35'!I:I,MATCH(F131,'6.0.35'!K:K,0))</f>
        <v>#N/A</v>
      </c>
      <c r="S131" s="1" t="e">
        <f>INDEX('6.0.35'!J:J,MATCH(F131,'6.0.35'!F:F,0))</f>
        <v>#N/A</v>
      </c>
    </row>
    <row r="132" spans="1:19">
      <c r="A132" t="s">
        <v>12405</v>
      </c>
      <c r="I132" s="1" t="str">
        <f t="shared" si="24"/>
        <v/>
      </c>
      <c r="J132" s="1">
        <f t="shared" si="25"/>
        <v>0</v>
      </c>
      <c r="K132" s="1" t="str">
        <f t="shared" si="26"/>
        <v/>
      </c>
      <c r="L132" s="1">
        <f t="shared" si="27"/>
        <v>0</v>
      </c>
      <c r="M132" s="1">
        <f t="shared" si="28"/>
        <v>0</v>
      </c>
      <c r="N132" s="1">
        <f t="shared" si="29"/>
        <v>0</v>
      </c>
      <c r="O132" s="1" t="b">
        <f t="shared" si="30"/>
        <v>0</v>
      </c>
      <c r="P132" s="1" t="e">
        <f>INDEX(G:G,MATCH(G132,G:G,0))</f>
        <v>#N/A</v>
      </c>
      <c r="Q132" s="1" t="e">
        <f t="shared" si="31"/>
        <v>#N/A</v>
      </c>
      <c r="R132" s="1" t="e">
        <f>INDEX('6.0.35'!I:I,MATCH(F132,'6.0.35'!K:K,0))</f>
        <v>#N/A</v>
      </c>
      <c r="S132" s="1" t="e">
        <f>INDEX('6.0.35'!J:J,MATCH(F132,'6.0.35'!F:F,0))</f>
        <v>#N/A</v>
      </c>
    </row>
    <row r="133" spans="1:19">
      <c r="A133" t="s">
        <v>12408</v>
      </c>
      <c r="I133" s="1" t="str">
        <f t="shared" si="24"/>
        <v/>
      </c>
      <c r="J133" s="1">
        <f t="shared" si="25"/>
        <v>0</v>
      </c>
      <c r="K133" s="1" t="str">
        <f t="shared" si="26"/>
        <v/>
      </c>
      <c r="L133" s="1">
        <f t="shared" si="27"/>
        <v>0</v>
      </c>
      <c r="M133" s="1">
        <f t="shared" si="28"/>
        <v>0</v>
      </c>
      <c r="N133" s="1">
        <f t="shared" si="29"/>
        <v>0</v>
      </c>
      <c r="O133" s="1" t="b">
        <f t="shared" si="30"/>
        <v>0</v>
      </c>
      <c r="P133" s="1" t="e">
        <f>INDEX(G:G,MATCH(G133,G:G,0))</f>
        <v>#N/A</v>
      </c>
      <c r="Q133" s="1" t="e">
        <f t="shared" si="31"/>
        <v>#N/A</v>
      </c>
      <c r="R133" s="1" t="e">
        <f>INDEX('6.0.35'!I:I,MATCH(F133,'6.0.35'!K:K,0))</f>
        <v>#N/A</v>
      </c>
      <c r="S133" s="1" t="e">
        <f>INDEX('6.0.35'!J:J,MATCH(F133,'6.0.35'!F:F,0))</f>
        <v>#N/A</v>
      </c>
    </row>
    <row r="134" spans="1:19">
      <c r="A134" t="s">
        <v>12411</v>
      </c>
      <c r="I134" s="1" t="str">
        <f t="shared" si="24"/>
        <v/>
      </c>
      <c r="J134" s="1">
        <f t="shared" si="25"/>
        <v>0</v>
      </c>
      <c r="K134" s="1" t="str">
        <f t="shared" si="26"/>
        <v/>
      </c>
      <c r="L134" s="1">
        <f t="shared" si="27"/>
        <v>0</v>
      </c>
      <c r="M134" s="1">
        <f t="shared" si="28"/>
        <v>0</v>
      </c>
      <c r="N134" s="1">
        <f t="shared" si="29"/>
        <v>0</v>
      </c>
      <c r="O134" s="1" t="b">
        <f t="shared" si="30"/>
        <v>0</v>
      </c>
      <c r="P134" s="1" t="e">
        <f>INDEX(G:G,MATCH(G134,G:G,0))</f>
        <v>#N/A</v>
      </c>
      <c r="Q134" s="1" t="e">
        <f t="shared" si="31"/>
        <v>#N/A</v>
      </c>
      <c r="R134" s="1" t="e">
        <f>INDEX('6.0.35'!I:I,MATCH(F134,'6.0.35'!K:K,0))</f>
        <v>#N/A</v>
      </c>
      <c r="S134" s="1" t="e">
        <f>INDEX('6.0.35'!J:J,MATCH(F134,'6.0.35'!F:F,0))</f>
        <v>#N/A</v>
      </c>
    </row>
    <row r="135" spans="1:19">
      <c r="A135" t="s">
        <v>12414</v>
      </c>
      <c r="I135" s="1" t="str">
        <f t="shared" si="24"/>
        <v/>
      </c>
      <c r="J135" s="1">
        <f t="shared" si="25"/>
        <v>0</v>
      </c>
      <c r="K135" s="1" t="str">
        <f t="shared" si="26"/>
        <v/>
      </c>
      <c r="L135" s="1">
        <f t="shared" si="27"/>
        <v>0</v>
      </c>
      <c r="M135" s="1">
        <f t="shared" si="28"/>
        <v>0</v>
      </c>
      <c r="N135" s="1">
        <f t="shared" si="29"/>
        <v>0</v>
      </c>
      <c r="O135" s="1" t="b">
        <f t="shared" si="30"/>
        <v>0</v>
      </c>
      <c r="P135" s="1" t="e">
        <f>INDEX(G:G,MATCH(G135,G:G,0))</f>
        <v>#N/A</v>
      </c>
      <c r="Q135" s="1" t="e">
        <f t="shared" si="31"/>
        <v>#N/A</v>
      </c>
      <c r="R135" s="1" t="e">
        <f>INDEX('6.0.35'!I:I,MATCH(F135,'6.0.35'!K:K,0))</f>
        <v>#N/A</v>
      </c>
      <c r="S135" s="1" t="e">
        <f>INDEX('6.0.35'!J:J,MATCH(F135,'6.0.35'!F:F,0))</f>
        <v>#N/A</v>
      </c>
    </row>
    <row r="136" spans="1:19">
      <c r="A136" t="s">
        <v>12417</v>
      </c>
      <c r="I136" s="1" t="str">
        <f t="shared" si="24"/>
        <v/>
      </c>
      <c r="J136" s="1">
        <f t="shared" si="25"/>
        <v>0</v>
      </c>
      <c r="K136" s="1" t="str">
        <f t="shared" si="26"/>
        <v/>
      </c>
      <c r="L136" s="1">
        <f t="shared" si="27"/>
        <v>0</v>
      </c>
      <c r="M136" s="1">
        <f t="shared" si="28"/>
        <v>0</v>
      </c>
      <c r="N136" s="1">
        <f t="shared" si="29"/>
        <v>0</v>
      </c>
      <c r="O136" s="1" t="b">
        <f t="shared" si="30"/>
        <v>0</v>
      </c>
      <c r="P136" s="1" t="e">
        <f>INDEX(G:G,MATCH(G136,G:G,0))</f>
        <v>#N/A</v>
      </c>
      <c r="Q136" s="1" t="e">
        <f t="shared" si="31"/>
        <v>#N/A</v>
      </c>
      <c r="R136" s="1" t="e">
        <f>INDEX('6.0.35'!I:I,MATCH(F136,'6.0.35'!K:K,0))</f>
        <v>#N/A</v>
      </c>
      <c r="S136" s="1" t="e">
        <f>INDEX('6.0.35'!J:J,MATCH(F136,'6.0.35'!F:F,0))</f>
        <v>#N/A</v>
      </c>
    </row>
    <row r="137" spans="1:19">
      <c r="A137" t="s">
        <v>12420</v>
      </c>
      <c r="I137" s="1" t="str">
        <f t="shared" si="24"/>
        <v/>
      </c>
      <c r="J137" s="1">
        <f t="shared" si="25"/>
        <v>0</v>
      </c>
      <c r="K137" s="1" t="str">
        <f t="shared" si="26"/>
        <v/>
      </c>
      <c r="L137" s="1">
        <f t="shared" si="27"/>
        <v>0</v>
      </c>
      <c r="M137" s="1">
        <f t="shared" si="28"/>
        <v>0</v>
      </c>
      <c r="N137" s="1">
        <f t="shared" si="29"/>
        <v>0</v>
      </c>
      <c r="O137" s="1" t="b">
        <f t="shared" si="30"/>
        <v>0</v>
      </c>
      <c r="P137" s="1" t="e">
        <f>INDEX(G:G,MATCH(G137,G:G,0))</f>
        <v>#N/A</v>
      </c>
      <c r="Q137" s="1" t="e">
        <f t="shared" si="31"/>
        <v>#N/A</v>
      </c>
      <c r="R137" s="1" t="e">
        <f>INDEX('6.0.35'!I:I,MATCH(F137,'6.0.35'!K:K,0))</f>
        <v>#N/A</v>
      </c>
      <c r="S137" s="1" t="e">
        <f>INDEX('6.0.35'!J:J,MATCH(F137,'6.0.35'!F:F,0))</f>
        <v>#N/A</v>
      </c>
    </row>
    <row r="138" spans="1:19">
      <c r="A138" t="s">
        <v>12423</v>
      </c>
      <c r="I138" s="1" t="str">
        <f t="shared" si="24"/>
        <v/>
      </c>
      <c r="J138" s="1">
        <f t="shared" si="25"/>
        <v>0</v>
      </c>
      <c r="K138" s="1" t="str">
        <f t="shared" si="26"/>
        <v/>
      </c>
      <c r="L138" s="1">
        <f t="shared" si="27"/>
        <v>0</v>
      </c>
      <c r="M138" s="1">
        <f t="shared" si="28"/>
        <v>0</v>
      </c>
      <c r="N138" s="1">
        <f t="shared" si="29"/>
        <v>0</v>
      </c>
      <c r="O138" s="1" t="b">
        <f t="shared" si="30"/>
        <v>0</v>
      </c>
      <c r="P138" s="1" t="e">
        <f>INDEX(G:G,MATCH(G138,G:G,0))</f>
        <v>#N/A</v>
      </c>
      <c r="Q138" s="1" t="e">
        <f t="shared" si="31"/>
        <v>#N/A</v>
      </c>
      <c r="R138" s="1" t="e">
        <f>INDEX('6.0.35'!I:I,MATCH(F138,'6.0.35'!K:K,0))</f>
        <v>#N/A</v>
      </c>
      <c r="S138" s="1" t="e">
        <f>INDEX('6.0.35'!J:J,MATCH(F138,'6.0.35'!F:F,0))</f>
        <v>#N/A</v>
      </c>
    </row>
    <row r="139" spans="1:19">
      <c r="A139" t="s">
        <v>12426</v>
      </c>
      <c r="I139" s="1" t="str">
        <f t="shared" si="24"/>
        <v/>
      </c>
      <c r="J139" s="1">
        <f t="shared" si="25"/>
        <v>0</v>
      </c>
      <c r="K139" s="1" t="str">
        <f t="shared" si="26"/>
        <v/>
      </c>
      <c r="L139" s="1">
        <f t="shared" si="27"/>
        <v>0</v>
      </c>
      <c r="M139" s="1">
        <f t="shared" si="28"/>
        <v>0</v>
      </c>
      <c r="N139" s="1">
        <f t="shared" si="29"/>
        <v>0</v>
      </c>
      <c r="O139" s="1" t="b">
        <f t="shared" si="30"/>
        <v>0</v>
      </c>
      <c r="P139" s="1" t="e">
        <f>INDEX(G:G,MATCH(G139,G:G,0))</f>
        <v>#N/A</v>
      </c>
      <c r="Q139" s="1" t="e">
        <f t="shared" si="31"/>
        <v>#N/A</v>
      </c>
      <c r="R139" s="1" t="e">
        <f>INDEX('6.0.35'!I:I,MATCH(F139,'6.0.35'!K:K,0))</f>
        <v>#N/A</v>
      </c>
      <c r="S139" s="1" t="e">
        <f>INDEX('6.0.35'!J:J,MATCH(F139,'6.0.35'!F:F,0))</f>
        <v>#N/A</v>
      </c>
    </row>
    <row r="140" spans="1:19">
      <c r="A140" t="s">
        <v>12429</v>
      </c>
      <c r="I140" s="1" t="str">
        <f t="shared" si="24"/>
        <v/>
      </c>
      <c r="J140" s="1">
        <f t="shared" si="25"/>
        <v>0</v>
      </c>
      <c r="K140" s="1" t="str">
        <f t="shared" si="26"/>
        <v/>
      </c>
      <c r="L140" s="1">
        <f t="shared" si="27"/>
        <v>0</v>
      </c>
      <c r="M140" s="1">
        <f t="shared" si="28"/>
        <v>0</v>
      </c>
      <c r="N140" s="1">
        <f t="shared" si="29"/>
        <v>0</v>
      </c>
      <c r="O140" s="1" t="b">
        <f t="shared" si="30"/>
        <v>0</v>
      </c>
      <c r="P140" s="1" t="e">
        <f>INDEX(G:G,MATCH(G140,G:G,0))</f>
        <v>#N/A</v>
      </c>
      <c r="Q140" s="1" t="e">
        <f t="shared" si="31"/>
        <v>#N/A</v>
      </c>
      <c r="R140" s="1" t="e">
        <f>INDEX('6.0.35'!I:I,MATCH(F140,'6.0.35'!K:K,0))</f>
        <v>#N/A</v>
      </c>
      <c r="S140" s="1" t="e">
        <f>INDEX('6.0.35'!J:J,MATCH(F140,'6.0.35'!F:F,0))</f>
        <v>#N/A</v>
      </c>
    </row>
    <row r="141" spans="1:19">
      <c r="A141" t="s">
        <v>12432</v>
      </c>
      <c r="I141" s="1" t="str">
        <f t="shared" si="24"/>
        <v/>
      </c>
      <c r="J141" s="1">
        <f t="shared" si="25"/>
        <v>0</v>
      </c>
      <c r="K141" s="1" t="str">
        <f t="shared" si="26"/>
        <v/>
      </c>
      <c r="L141" s="1">
        <f t="shared" si="27"/>
        <v>0</v>
      </c>
      <c r="M141" s="1">
        <f t="shared" si="28"/>
        <v>0</v>
      </c>
      <c r="N141" s="1">
        <f t="shared" si="29"/>
        <v>0</v>
      </c>
      <c r="O141" s="1" t="b">
        <f t="shared" si="30"/>
        <v>0</v>
      </c>
      <c r="P141" s="1" t="e">
        <f>INDEX(G:G,MATCH(G141,G:G,0))</f>
        <v>#N/A</v>
      </c>
      <c r="Q141" s="1" t="e">
        <f t="shared" si="31"/>
        <v>#N/A</v>
      </c>
      <c r="R141" s="1" t="e">
        <f>INDEX('6.0.35'!I:I,MATCH(F141,'6.0.35'!K:K,0))</f>
        <v>#N/A</v>
      </c>
      <c r="S141" s="1" t="e">
        <f>INDEX('6.0.35'!J:J,MATCH(F141,'6.0.35'!F:F,0))</f>
        <v>#N/A</v>
      </c>
    </row>
    <row r="142" spans="1:19">
      <c r="A142" t="s">
        <v>12435</v>
      </c>
      <c r="I142" s="1" t="str">
        <f t="shared" si="24"/>
        <v/>
      </c>
      <c r="J142" s="1">
        <f t="shared" si="25"/>
        <v>0</v>
      </c>
      <c r="K142" s="1" t="str">
        <f t="shared" si="26"/>
        <v/>
      </c>
      <c r="L142" s="1">
        <f t="shared" si="27"/>
        <v>0</v>
      </c>
      <c r="M142" s="1">
        <f t="shared" si="28"/>
        <v>0</v>
      </c>
      <c r="N142" s="1">
        <f t="shared" si="29"/>
        <v>0</v>
      </c>
      <c r="O142" s="1" t="b">
        <f t="shared" si="30"/>
        <v>0</v>
      </c>
      <c r="P142" s="1" t="e">
        <f>INDEX(G:G,MATCH(G142,G:G,0))</f>
        <v>#N/A</v>
      </c>
      <c r="Q142" s="1" t="e">
        <f t="shared" si="31"/>
        <v>#N/A</v>
      </c>
      <c r="R142" s="1" t="e">
        <f>INDEX('6.0.35'!I:I,MATCH(F142,'6.0.35'!K:K,0))</f>
        <v>#N/A</v>
      </c>
      <c r="S142" s="1" t="e">
        <f>INDEX('6.0.35'!J:J,MATCH(F142,'6.0.35'!F:F,0))</f>
        <v>#N/A</v>
      </c>
    </row>
    <row r="143" spans="1:19">
      <c r="A143" t="s">
        <v>12438</v>
      </c>
      <c r="I143" s="1" t="str">
        <f t="shared" si="24"/>
        <v/>
      </c>
      <c r="J143" s="1">
        <f t="shared" si="25"/>
        <v>0</v>
      </c>
      <c r="K143" s="1" t="str">
        <f t="shared" si="26"/>
        <v/>
      </c>
      <c r="L143" s="1">
        <f t="shared" si="27"/>
        <v>0</v>
      </c>
      <c r="M143" s="1">
        <f t="shared" si="28"/>
        <v>0</v>
      </c>
      <c r="N143" s="1">
        <f t="shared" si="29"/>
        <v>0</v>
      </c>
      <c r="O143" s="1" t="b">
        <f t="shared" si="30"/>
        <v>0</v>
      </c>
      <c r="P143" s="1" t="e">
        <f>INDEX(G:G,MATCH(G143,G:G,0))</f>
        <v>#N/A</v>
      </c>
      <c r="Q143" s="1" t="e">
        <f t="shared" si="31"/>
        <v>#N/A</v>
      </c>
      <c r="R143" s="1" t="e">
        <f>INDEX('6.0.35'!I:I,MATCH(F143,'6.0.35'!K:K,0))</f>
        <v>#N/A</v>
      </c>
      <c r="S143" s="1" t="e">
        <f>INDEX('6.0.35'!J:J,MATCH(F143,'6.0.35'!F:F,0))</f>
        <v>#N/A</v>
      </c>
    </row>
    <row r="144" spans="1:19">
      <c r="A144" t="s">
        <v>12441</v>
      </c>
      <c r="I144" s="1" t="str">
        <f t="shared" si="24"/>
        <v/>
      </c>
      <c r="J144" s="1">
        <f t="shared" si="25"/>
        <v>0</v>
      </c>
      <c r="K144" s="1" t="str">
        <f t="shared" si="26"/>
        <v/>
      </c>
      <c r="L144" s="1">
        <f t="shared" si="27"/>
        <v>0</v>
      </c>
      <c r="M144" s="1">
        <f t="shared" si="28"/>
        <v>0</v>
      </c>
      <c r="N144" s="1">
        <f t="shared" si="29"/>
        <v>0</v>
      </c>
      <c r="O144" s="1" t="b">
        <f t="shared" si="30"/>
        <v>0</v>
      </c>
      <c r="P144" s="1" t="e">
        <f>INDEX(G:G,MATCH(G144,G:G,0))</f>
        <v>#N/A</v>
      </c>
      <c r="Q144" s="1" t="e">
        <f t="shared" si="31"/>
        <v>#N/A</v>
      </c>
      <c r="R144" s="1" t="e">
        <f>INDEX('6.0.35'!I:I,MATCH(F144,'6.0.35'!K:K,0))</f>
        <v>#N/A</v>
      </c>
      <c r="S144" s="1" t="e">
        <f>INDEX('6.0.35'!J:J,MATCH(F144,'6.0.35'!F:F,0))</f>
        <v>#N/A</v>
      </c>
    </row>
    <row r="145" spans="1:19">
      <c r="A145" t="s">
        <v>12444</v>
      </c>
      <c r="I145" s="1" t="str">
        <f t="shared" si="24"/>
        <v/>
      </c>
      <c r="J145" s="1">
        <f t="shared" si="25"/>
        <v>0</v>
      </c>
      <c r="K145" s="1" t="str">
        <f t="shared" si="26"/>
        <v/>
      </c>
      <c r="L145" s="1">
        <f t="shared" si="27"/>
        <v>0</v>
      </c>
      <c r="M145" s="1">
        <f t="shared" si="28"/>
        <v>0</v>
      </c>
      <c r="N145" s="1">
        <f t="shared" si="29"/>
        <v>0</v>
      </c>
      <c r="O145" s="1" t="b">
        <f t="shared" si="30"/>
        <v>0</v>
      </c>
      <c r="P145" s="1" t="e">
        <f>INDEX(G:G,MATCH(G145,G:G,0))</f>
        <v>#N/A</v>
      </c>
      <c r="Q145" s="1" t="e">
        <f t="shared" si="31"/>
        <v>#N/A</v>
      </c>
      <c r="R145" s="1" t="e">
        <f>INDEX('6.0.35'!I:I,MATCH(F145,'6.0.35'!K:K,0))</f>
        <v>#N/A</v>
      </c>
      <c r="S145" s="1" t="e">
        <f>INDEX('6.0.35'!J:J,MATCH(F145,'6.0.35'!F:F,0))</f>
        <v>#N/A</v>
      </c>
    </row>
    <row r="146" spans="1:19">
      <c r="A146" t="s">
        <v>12447</v>
      </c>
      <c r="I146" s="1" t="str">
        <f t="shared" si="24"/>
        <v/>
      </c>
      <c r="J146" s="1">
        <f t="shared" si="25"/>
        <v>0</v>
      </c>
      <c r="K146" s="1" t="str">
        <f t="shared" si="26"/>
        <v/>
      </c>
      <c r="L146" s="1">
        <f t="shared" si="27"/>
        <v>0</v>
      </c>
      <c r="M146" s="1">
        <f t="shared" si="28"/>
        <v>0</v>
      </c>
      <c r="N146" s="1">
        <f t="shared" si="29"/>
        <v>0</v>
      </c>
      <c r="O146" s="1" t="b">
        <f t="shared" si="30"/>
        <v>0</v>
      </c>
      <c r="P146" s="1" t="e">
        <f>INDEX(G:G,MATCH(G146,G:G,0))</f>
        <v>#N/A</v>
      </c>
      <c r="Q146" s="1" t="e">
        <f t="shared" si="31"/>
        <v>#N/A</v>
      </c>
      <c r="R146" s="1" t="e">
        <f>INDEX('6.0.35'!I:I,MATCH(F146,'6.0.35'!K:K,0))</f>
        <v>#N/A</v>
      </c>
      <c r="S146" s="1" t="e">
        <f>INDEX('6.0.35'!J:J,MATCH(F146,'6.0.35'!F:F,0))</f>
        <v>#N/A</v>
      </c>
    </row>
    <row r="147" spans="1:19">
      <c r="A147" t="s">
        <v>12450</v>
      </c>
      <c r="I147" s="1" t="str">
        <f t="shared" si="24"/>
        <v/>
      </c>
      <c r="J147" s="1">
        <f t="shared" si="25"/>
        <v>0</v>
      </c>
      <c r="K147" s="1" t="str">
        <f t="shared" si="26"/>
        <v/>
      </c>
      <c r="L147" s="1">
        <f t="shared" si="27"/>
        <v>0</v>
      </c>
      <c r="M147" s="1">
        <f t="shared" si="28"/>
        <v>0</v>
      </c>
      <c r="N147" s="1">
        <f t="shared" si="29"/>
        <v>0</v>
      </c>
      <c r="O147" s="1" t="b">
        <f t="shared" si="30"/>
        <v>0</v>
      </c>
      <c r="P147" s="1" t="e">
        <f>INDEX(G:G,MATCH(G147,G:G,0))</f>
        <v>#N/A</v>
      </c>
      <c r="Q147" s="1" t="e">
        <f t="shared" si="31"/>
        <v>#N/A</v>
      </c>
      <c r="R147" s="1" t="e">
        <f>INDEX('6.0.35'!I:I,MATCH(F147,'6.0.35'!K:K,0))</f>
        <v>#N/A</v>
      </c>
      <c r="S147" s="1" t="e">
        <f>INDEX('6.0.35'!J:J,MATCH(F147,'6.0.35'!F:F,0))</f>
        <v>#N/A</v>
      </c>
    </row>
    <row r="148" spans="1:19">
      <c r="A148" t="s">
        <v>12453</v>
      </c>
      <c r="I148" s="1" t="str">
        <f t="shared" si="24"/>
        <v/>
      </c>
      <c r="J148" s="1">
        <f t="shared" si="25"/>
        <v>0</v>
      </c>
      <c r="K148" s="1" t="str">
        <f t="shared" si="26"/>
        <v/>
      </c>
      <c r="L148" s="1">
        <f t="shared" si="27"/>
        <v>0</v>
      </c>
      <c r="M148" s="1">
        <f t="shared" si="28"/>
        <v>0</v>
      </c>
      <c r="N148" s="1">
        <f t="shared" si="29"/>
        <v>0</v>
      </c>
      <c r="O148" s="1" t="b">
        <f t="shared" si="30"/>
        <v>0</v>
      </c>
      <c r="P148" s="1" t="e">
        <f>INDEX(G:G,MATCH(G148,G:G,0))</f>
        <v>#N/A</v>
      </c>
      <c r="Q148" s="1" t="e">
        <f t="shared" si="31"/>
        <v>#N/A</v>
      </c>
      <c r="R148" s="1" t="e">
        <f>INDEX('6.0.35'!I:I,MATCH(F148,'6.0.35'!K:K,0))</f>
        <v>#N/A</v>
      </c>
      <c r="S148" s="1" t="e">
        <f>INDEX('6.0.35'!J:J,MATCH(F148,'6.0.35'!F:F,0))</f>
        <v>#N/A</v>
      </c>
    </row>
    <row r="149" spans="1:19">
      <c r="A149" t="s">
        <v>12456</v>
      </c>
      <c r="I149" s="1" t="str">
        <f t="shared" si="24"/>
        <v/>
      </c>
      <c r="J149" s="1">
        <f t="shared" si="25"/>
        <v>0</v>
      </c>
      <c r="K149" s="1" t="str">
        <f t="shared" si="26"/>
        <v/>
      </c>
      <c r="L149" s="1">
        <f t="shared" si="27"/>
        <v>0</v>
      </c>
      <c r="M149" s="1">
        <f t="shared" si="28"/>
        <v>0</v>
      </c>
      <c r="N149" s="1">
        <f t="shared" si="29"/>
        <v>0</v>
      </c>
      <c r="O149" s="1" t="b">
        <f t="shared" si="30"/>
        <v>0</v>
      </c>
      <c r="P149" s="1" t="e">
        <f>INDEX(G:G,MATCH(G149,G:G,0))</f>
        <v>#N/A</v>
      </c>
      <c r="Q149" s="1" t="e">
        <f t="shared" si="31"/>
        <v>#N/A</v>
      </c>
      <c r="R149" s="1" t="e">
        <f>INDEX('6.0.35'!I:I,MATCH(F149,'6.0.35'!K:K,0))</f>
        <v>#N/A</v>
      </c>
      <c r="S149" s="1" t="e">
        <f>INDEX('6.0.35'!J:J,MATCH(F149,'6.0.35'!F:F,0))</f>
        <v>#N/A</v>
      </c>
    </row>
    <row r="150" spans="1:19">
      <c r="A150" t="s">
        <v>12459</v>
      </c>
      <c r="I150" s="1" t="str">
        <f t="shared" si="24"/>
        <v/>
      </c>
      <c r="J150" s="1">
        <f t="shared" si="25"/>
        <v>0</v>
      </c>
      <c r="K150" s="1" t="str">
        <f t="shared" si="26"/>
        <v/>
      </c>
      <c r="L150" s="1">
        <f t="shared" si="27"/>
        <v>0</v>
      </c>
      <c r="M150" s="1">
        <f t="shared" si="28"/>
        <v>0</v>
      </c>
      <c r="N150" s="1">
        <f t="shared" si="29"/>
        <v>0</v>
      </c>
      <c r="O150" s="1" t="b">
        <f t="shared" si="30"/>
        <v>0</v>
      </c>
      <c r="P150" s="1" t="e">
        <f>INDEX(G:G,MATCH(G150,G:G,0))</f>
        <v>#N/A</v>
      </c>
      <c r="Q150" s="1" t="e">
        <f t="shared" si="31"/>
        <v>#N/A</v>
      </c>
      <c r="R150" s="1" t="e">
        <f>INDEX('6.0.35'!I:I,MATCH(F150,'6.0.35'!K:K,0))</f>
        <v>#N/A</v>
      </c>
      <c r="S150" s="1" t="e">
        <f>INDEX('6.0.35'!J:J,MATCH(F150,'6.0.35'!F:F,0))</f>
        <v>#N/A</v>
      </c>
    </row>
    <row r="151" spans="1:19">
      <c r="A151" t="s">
        <v>12462</v>
      </c>
      <c r="I151" s="1" t="str">
        <f t="shared" si="24"/>
        <v/>
      </c>
      <c r="J151" s="1">
        <f t="shared" si="25"/>
        <v>0</v>
      </c>
      <c r="K151" s="1" t="str">
        <f t="shared" si="26"/>
        <v/>
      </c>
      <c r="L151" s="1">
        <f t="shared" si="27"/>
        <v>0</v>
      </c>
      <c r="M151" s="1">
        <f t="shared" si="28"/>
        <v>0</v>
      </c>
      <c r="N151" s="1">
        <f t="shared" si="29"/>
        <v>0</v>
      </c>
      <c r="O151" s="1" t="b">
        <f t="shared" si="30"/>
        <v>0</v>
      </c>
      <c r="P151" s="1" t="e">
        <f>INDEX(G:G,MATCH(G151,G:G,0))</f>
        <v>#N/A</v>
      </c>
      <c r="Q151" s="1" t="e">
        <f t="shared" si="31"/>
        <v>#N/A</v>
      </c>
      <c r="R151" s="1" t="e">
        <f>INDEX('6.0.35'!I:I,MATCH(F151,'6.0.35'!K:K,0))</f>
        <v>#N/A</v>
      </c>
      <c r="S151" s="1" t="e">
        <f>INDEX('6.0.35'!J:J,MATCH(F151,'6.0.35'!F:F,0))</f>
        <v>#N/A</v>
      </c>
    </row>
    <row r="152" spans="1:19">
      <c r="A152" t="s">
        <v>12465</v>
      </c>
      <c r="I152" s="1" t="str">
        <f t="shared" si="24"/>
        <v/>
      </c>
      <c r="J152" s="1">
        <f t="shared" si="25"/>
        <v>0</v>
      </c>
      <c r="K152" s="1" t="str">
        <f t="shared" si="26"/>
        <v/>
      </c>
      <c r="L152" s="1">
        <f t="shared" si="27"/>
        <v>0</v>
      </c>
      <c r="M152" s="1">
        <f t="shared" si="28"/>
        <v>0</v>
      </c>
      <c r="N152" s="1">
        <f t="shared" si="29"/>
        <v>0</v>
      </c>
      <c r="O152" s="1" t="b">
        <f t="shared" si="30"/>
        <v>0</v>
      </c>
      <c r="P152" s="1" t="e">
        <f>INDEX(G:G,MATCH(G152,G:G,0))</f>
        <v>#N/A</v>
      </c>
      <c r="Q152" s="1" t="e">
        <f t="shared" si="31"/>
        <v>#N/A</v>
      </c>
      <c r="R152" s="1" t="e">
        <f>INDEX('6.0.35'!I:I,MATCH(F152,'6.0.35'!K:K,0))</f>
        <v>#N/A</v>
      </c>
      <c r="S152" s="1" t="e">
        <f>INDEX('6.0.35'!J:J,MATCH(F152,'6.0.35'!F:F,0))</f>
        <v>#N/A</v>
      </c>
    </row>
    <row r="153" spans="1:19">
      <c r="A153" t="s">
        <v>12468</v>
      </c>
      <c r="I153" s="1" t="str">
        <f t="shared" si="24"/>
        <v/>
      </c>
      <c r="J153" s="1">
        <f t="shared" si="25"/>
        <v>0</v>
      </c>
      <c r="K153" s="1" t="str">
        <f t="shared" si="26"/>
        <v/>
      </c>
      <c r="L153" s="1">
        <f t="shared" si="27"/>
        <v>0</v>
      </c>
      <c r="M153" s="1">
        <f t="shared" si="28"/>
        <v>0</v>
      </c>
      <c r="N153" s="1">
        <f t="shared" si="29"/>
        <v>0</v>
      </c>
      <c r="O153" s="1" t="b">
        <f t="shared" si="30"/>
        <v>0</v>
      </c>
      <c r="P153" s="1" t="e">
        <f>INDEX(G:G,MATCH(G153,G:G,0))</f>
        <v>#N/A</v>
      </c>
      <c r="Q153" s="1" t="e">
        <f t="shared" si="31"/>
        <v>#N/A</v>
      </c>
      <c r="R153" s="1" t="e">
        <f>INDEX('6.0.35'!I:I,MATCH(F153,'6.0.35'!K:K,0))</f>
        <v>#N/A</v>
      </c>
      <c r="S153" s="1" t="e">
        <f>INDEX('6.0.35'!J:J,MATCH(F153,'6.0.35'!F:F,0))</f>
        <v>#N/A</v>
      </c>
    </row>
    <row r="154" spans="1:19">
      <c r="A154" t="s">
        <v>12471</v>
      </c>
      <c r="I154" s="1" t="str">
        <f t="shared" si="24"/>
        <v/>
      </c>
      <c r="J154" s="1">
        <f t="shared" si="25"/>
        <v>0</v>
      </c>
      <c r="K154" s="1" t="str">
        <f t="shared" si="26"/>
        <v/>
      </c>
      <c r="L154" s="1">
        <f t="shared" si="27"/>
        <v>0</v>
      </c>
      <c r="M154" s="1">
        <f t="shared" si="28"/>
        <v>0</v>
      </c>
      <c r="N154" s="1">
        <f t="shared" si="29"/>
        <v>0</v>
      </c>
      <c r="O154" s="1" t="b">
        <f t="shared" si="30"/>
        <v>0</v>
      </c>
      <c r="P154" s="1" t="e">
        <f>INDEX(G:G,MATCH(G154,G:G,0))</f>
        <v>#N/A</v>
      </c>
      <c r="Q154" s="1" t="e">
        <f t="shared" si="31"/>
        <v>#N/A</v>
      </c>
      <c r="R154" s="1" t="e">
        <f>INDEX('6.0.35'!I:I,MATCH(F154,'6.0.35'!K:K,0))</f>
        <v>#N/A</v>
      </c>
      <c r="S154" s="1" t="e">
        <f>INDEX('6.0.35'!J:J,MATCH(F154,'6.0.35'!F:F,0))</f>
        <v>#N/A</v>
      </c>
    </row>
    <row r="155" spans="1:19">
      <c r="A155" t="s">
        <v>12474</v>
      </c>
      <c r="I155" s="1" t="str">
        <f t="shared" si="24"/>
        <v/>
      </c>
      <c r="J155" s="1">
        <f t="shared" si="25"/>
        <v>0</v>
      </c>
      <c r="K155" s="1" t="str">
        <f t="shared" si="26"/>
        <v/>
      </c>
      <c r="L155" s="1">
        <f t="shared" si="27"/>
        <v>0</v>
      </c>
      <c r="M155" s="1">
        <f t="shared" si="28"/>
        <v>0</v>
      </c>
      <c r="N155" s="1">
        <f t="shared" si="29"/>
        <v>0</v>
      </c>
      <c r="O155" s="1" t="b">
        <f t="shared" si="30"/>
        <v>0</v>
      </c>
      <c r="P155" s="1" t="e">
        <f>INDEX(G:G,MATCH(G155,G:G,0))</f>
        <v>#N/A</v>
      </c>
      <c r="Q155" s="1" t="e">
        <f t="shared" si="31"/>
        <v>#N/A</v>
      </c>
      <c r="R155" s="1" t="e">
        <f>INDEX('6.0.35'!I:I,MATCH(F155,'6.0.35'!K:K,0))</f>
        <v>#N/A</v>
      </c>
      <c r="S155" s="1" t="e">
        <f>INDEX('6.0.35'!J:J,MATCH(F155,'6.0.35'!F:F,0))</f>
        <v>#N/A</v>
      </c>
    </row>
    <row r="156" spans="1:19">
      <c r="A156" t="s">
        <v>12477</v>
      </c>
      <c r="I156" s="1" t="str">
        <f t="shared" si="24"/>
        <v/>
      </c>
      <c r="J156" s="1">
        <f t="shared" si="25"/>
        <v>0</v>
      </c>
      <c r="K156" s="1" t="str">
        <f t="shared" si="26"/>
        <v/>
      </c>
      <c r="L156" s="1">
        <f t="shared" si="27"/>
        <v>0</v>
      </c>
      <c r="M156" s="1">
        <f t="shared" si="28"/>
        <v>0</v>
      </c>
      <c r="N156" s="1">
        <f t="shared" si="29"/>
        <v>0</v>
      </c>
      <c r="O156" s="1" t="b">
        <f t="shared" si="30"/>
        <v>0</v>
      </c>
      <c r="P156" s="1" t="e">
        <f>INDEX(G:G,MATCH(G156,G:G,0))</f>
        <v>#N/A</v>
      </c>
      <c r="Q156" s="1" t="e">
        <f t="shared" si="31"/>
        <v>#N/A</v>
      </c>
      <c r="R156" s="1" t="e">
        <f>INDEX('6.0.35'!I:I,MATCH(F156,'6.0.35'!K:K,0))</f>
        <v>#N/A</v>
      </c>
      <c r="S156" s="1" t="e">
        <f>INDEX('6.0.35'!J:J,MATCH(F156,'6.0.35'!F:F,0))</f>
        <v>#N/A</v>
      </c>
    </row>
    <row r="157" spans="1:19">
      <c r="A157" t="s">
        <v>12480</v>
      </c>
      <c r="I157" s="1" t="str">
        <f t="shared" si="24"/>
        <v/>
      </c>
      <c r="J157" s="1">
        <f t="shared" si="25"/>
        <v>0</v>
      </c>
      <c r="K157" s="1" t="str">
        <f t="shared" si="26"/>
        <v/>
      </c>
      <c r="L157" s="1">
        <f t="shared" si="27"/>
        <v>0</v>
      </c>
      <c r="M157" s="1">
        <f t="shared" si="28"/>
        <v>0</v>
      </c>
      <c r="N157" s="1">
        <f t="shared" si="29"/>
        <v>0</v>
      </c>
      <c r="O157" s="1" t="b">
        <f t="shared" si="30"/>
        <v>0</v>
      </c>
      <c r="P157" s="1" t="e">
        <f>INDEX(G:G,MATCH(G157,G:G,0))</f>
        <v>#N/A</v>
      </c>
      <c r="Q157" s="1" t="e">
        <f t="shared" si="31"/>
        <v>#N/A</v>
      </c>
      <c r="R157" s="1" t="e">
        <f>INDEX('6.0.35'!I:I,MATCH(F157,'6.0.35'!K:K,0))</f>
        <v>#N/A</v>
      </c>
      <c r="S157" s="1" t="e">
        <f>INDEX('6.0.35'!J:J,MATCH(F157,'6.0.35'!F:F,0))</f>
        <v>#N/A</v>
      </c>
    </row>
    <row r="158" spans="1:19">
      <c r="A158" t="s">
        <v>12483</v>
      </c>
      <c r="I158" s="1" t="str">
        <f t="shared" si="24"/>
        <v/>
      </c>
      <c r="J158" s="1">
        <f t="shared" si="25"/>
        <v>0</v>
      </c>
      <c r="K158" s="1" t="str">
        <f t="shared" si="26"/>
        <v/>
      </c>
      <c r="L158" s="1">
        <f t="shared" si="27"/>
        <v>0</v>
      </c>
      <c r="M158" s="1">
        <f t="shared" si="28"/>
        <v>0</v>
      </c>
      <c r="N158" s="1">
        <f t="shared" si="29"/>
        <v>0</v>
      </c>
      <c r="O158" s="1" t="b">
        <f t="shared" si="30"/>
        <v>0</v>
      </c>
      <c r="P158" s="1" t="e">
        <f>INDEX(G:G,MATCH(G158,G:G,0))</f>
        <v>#N/A</v>
      </c>
      <c r="Q158" s="1" t="e">
        <f t="shared" si="31"/>
        <v>#N/A</v>
      </c>
      <c r="R158" s="1" t="e">
        <f>INDEX('6.0.35'!I:I,MATCH(F158,'6.0.35'!K:K,0))</f>
        <v>#N/A</v>
      </c>
      <c r="S158" s="1" t="e">
        <f>INDEX('6.0.35'!J:J,MATCH(F158,'6.0.35'!F:F,0))</f>
        <v>#N/A</v>
      </c>
    </row>
    <row r="159" spans="1:19">
      <c r="A159" t="s">
        <v>12486</v>
      </c>
      <c r="I159" s="1" t="str">
        <f t="shared" si="24"/>
        <v/>
      </c>
      <c r="J159" s="1">
        <f t="shared" si="25"/>
        <v>0</v>
      </c>
      <c r="K159" s="1" t="str">
        <f t="shared" si="26"/>
        <v/>
      </c>
      <c r="L159" s="1">
        <f t="shared" si="27"/>
        <v>0</v>
      </c>
      <c r="M159" s="1">
        <f t="shared" si="28"/>
        <v>0</v>
      </c>
      <c r="N159" s="1">
        <f t="shared" si="29"/>
        <v>0</v>
      </c>
      <c r="O159" s="1" t="b">
        <f t="shared" si="30"/>
        <v>0</v>
      </c>
      <c r="P159" s="1" t="e">
        <f>INDEX(G:G,MATCH(G159,G:G,0))</f>
        <v>#N/A</v>
      </c>
      <c r="Q159" s="1" t="e">
        <f t="shared" si="31"/>
        <v>#N/A</v>
      </c>
      <c r="R159" s="1" t="e">
        <f>INDEX('6.0.35'!I:I,MATCH(F159,'6.0.35'!K:K,0))</f>
        <v>#N/A</v>
      </c>
      <c r="S159" s="1" t="e">
        <f>INDEX('6.0.35'!J:J,MATCH(F159,'6.0.35'!F:F,0))</f>
        <v>#N/A</v>
      </c>
    </row>
    <row r="160" spans="1:19">
      <c r="A160" t="s">
        <v>12489</v>
      </c>
      <c r="I160" s="1" t="str">
        <f t="shared" si="24"/>
        <v/>
      </c>
      <c r="J160" s="1">
        <f t="shared" si="25"/>
        <v>0</v>
      </c>
      <c r="K160" s="1" t="str">
        <f t="shared" si="26"/>
        <v/>
      </c>
      <c r="L160" s="1">
        <f t="shared" si="27"/>
        <v>0</v>
      </c>
      <c r="M160" s="1">
        <f t="shared" si="28"/>
        <v>0</v>
      </c>
      <c r="N160" s="1">
        <f t="shared" si="29"/>
        <v>0</v>
      </c>
      <c r="O160" s="1" t="b">
        <f t="shared" si="30"/>
        <v>0</v>
      </c>
      <c r="P160" s="1" t="e">
        <f>INDEX(G:G,MATCH(G160,G:G,0))</f>
        <v>#N/A</v>
      </c>
      <c r="Q160" s="1" t="e">
        <f t="shared" si="31"/>
        <v>#N/A</v>
      </c>
      <c r="R160" s="1" t="e">
        <f>INDEX('6.0.35'!I:I,MATCH(F160,'6.0.35'!K:K,0))</f>
        <v>#N/A</v>
      </c>
      <c r="S160" s="1" t="e">
        <f>INDEX('6.0.35'!J:J,MATCH(F160,'6.0.35'!F:F,0))</f>
        <v>#N/A</v>
      </c>
    </row>
    <row r="161" spans="1:19">
      <c r="A161" t="s">
        <v>12492</v>
      </c>
      <c r="I161" s="1" t="str">
        <f t="shared" si="24"/>
        <v/>
      </c>
      <c r="J161" s="1">
        <f t="shared" si="25"/>
        <v>0</v>
      </c>
      <c r="K161" s="1" t="str">
        <f t="shared" si="26"/>
        <v/>
      </c>
      <c r="L161" s="1">
        <f t="shared" si="27"/>
        <v>0</v>
      </c>
      <c r="M161" s="1">
        <f t="shared" si="28"/>
        <v>0</v>
      </c>
      <c r="N161" s="1">
        <f t="shared" si="29"/>
        <v>0</v>
      </c>
      <c r="O161" s="1" t="b">
        <f t="shared" si="30"/>
        <v>0</v>
      </c>
      <c r="P161" s="1" t="e">
        <f>INDEX(G:G,MATCH(G161,G:G,0))</f>
        <v>#N/A</v>
      </c>
      <c r="Q161" s="1" t="e">
        <f t="shared" si="31"/>
        <v>#N/A</v>
      </c>
      <c r="R161" s="1" t="e">
        <f>INDEX('6.0.35'!I:I,MATCH(F161,'6.0.35'!K:K,0))</f>
        <v>#N/A</v>
      </c>
      <c r="S161" s="1" t="e">
        <f>INDEX('6.0.35'!J:J,MATCH(F161,'6.0.35'!F:F,0))</f>
        <v>#N/A</v>
      </c>
    </row>
    <row r="162" spans="1:19">
      <c r="A162" t="s">
        <v>12495</v>
      </c>
      <c r="I162" s="1" t="str">
        <f t="shared" si="24"/>
        <v/>
      </c>
      <c r="J162" s="1">
        <f t="shared" si="25"/>
        <v>0</v>
      </c>
      <c r="K162" s="1" t="str">
        <f t="shared" si="26"/>
        <v/>
      </c>
      <c r="L162" s="1">
        <f t="shared" si="27"/>
        <v>0</v>
      </c>
      <c r="M162" s="1">
        <f t="shared" si="28"/>
        <v>0</v>
      </c>
      <c r="N162" s="1">
        <f t="shared" si="29"/>
        <v>0</v>
      </c>
      <c r="O162" s="1" t="b">
        <f t="shared" si="30"/>
        <v>0</v>
      </c>
      <c r="P162" s="1" t="e">
        <f>INDEX(G:G,MATCH(G162,G:G,0))</f>
        <v>#N/A</v>
      </c>
      <c r="Q162" s="1" t="e">
        <f t="shared" si="31"/>
        <v>#N/A</v>
      </c>
      <c r="R162" s="1" t="e">
        <f>INDEX('6.0.35'!I:I,MATCH(F162,'6.0.35'!K:K,0))</f>
        <v>#N/A</v>
      </c>
      <c r="S162" s="1" t="e">
        <f>INDEX('6.0.35'!J:J,MATCH(F162,'6.0.35'!F:F,0))</f>
        <v>#N/A</v>
      </c>
    </row>
    <row r="163" spans="1:19">
      <c r="A163" t="s">
        <v>12498</v>
      </c>
      <c r="I163" s="1" t="str">
        <f t="shared" si="24"/>
        <v/>
      </c>
      <c r="J163" s="1">
        <f t="shared" si="25"/>
        <v>0</v>
      </c>
      <c r="K163" s="1" t="str">
        <f t="shared" si="26"/>
        <v/>
      </c>
      <c r="L163" s="1">
        <f t="shared" si="27"/>
        <v>0</v>
      </c>
      <c r="M163" s="1">
        <f t="shared" si="28"/>
        <v>0</v>
      </c>
      <c r="N163" s="1">
        <f t="shared" si="29"/>
        <v>0</v>
      </c>
      <c r="O163" s="1" t="b">
        <f t="shared" si="30"/>
        <v>0</v>
      </c>
      <c r="P163" s="1" t="e">
        <f>INDEX(G:G,MATCH(G163,G:G,0))</f>
        <v>#N/A</v>
      </c>
      <c r="Q163" s="1" t="e">
        <f t="shared" si="31"/>
        <v>#N/A</v>
      </c>
      <c r="R163" s="1" t="e">
        <f>INDEX('6.0.35'!I:I,MATCH(F163,'6.0.35'!K:K,0))</f>
        <v>#N/A</v>
      </c>
      <c r="S163" s="1" t="e">
        <f>INDEX('6.0.35'!J:J,MATCH(F163,'6.0.35'!F:F,0))</f>
        <v>#N/A</v>
      </c>
    </row>
    <row r="164" spans="1:19">
      <c r="A164" t="s">
        <v>12501</v>
      </c>
      <c r="I164" s="1" t="str">
        <f t="shared" si="24"/>
        <v/>
      </c>
      <c r="J164" s="1">
        <f t="shared" si="25"/>
        <v>0</v>
      </c>
      <c r="K164" s="1" t="str">
        <f t="shared" si="26"/>
        <v/>
      </c>
      <c r="L164" s="1">
        <f t="shared" si="27"/>
        <v>0</v>
      </c>
      <c r="M164" s="1">
        <f t="shared" si="28"/>
        <v>0</v>
      </c>
      <c r="N164" s="1">
        <f t="shared" si="29"/>
        <v>0</v>
      </c>
      <c r="O164" s="1" t="b">
        <f t="shared" si="30"/>
        <v>0</v>
      </c>
      <c r="P164" s="1" t="e">
        <f>INDEX(G:G,MATCH(G164,G:G,0))</f>
        <v>#N/A</v>
      </c>
      <c r="Q164" s="1" t="e">
        <f t="shared" si="31"/>
        <v>#N/A</v>
      </c>
      <c r="R164" s="1" t="e">
        <f>INDEX('6.0.35'!I:I,MATCH(F164,'6.0.35'!K:K,0))</f>
        <v>#N/A</v>
      </c>
      <c r="S164" s="1" t="e">
        <f>INDEX('6.0.35'!J:J,MATCH(F164,'6.0.35'!F:F,0))</f>
        <v>#N/A</v>
      </c>
    </row>
    <row r="165" spans="1:19">
      <c r="A165" t="s">
        <v>12504</v>
      </c>
      <c r="I165" s="1" t="str">
        <f t="shared" si="24"/>
        <v/>
      </c>
      <c r="J165" s="1">
        <f t="shared" si="25"/>
        <v>0</v>
      </c>
      <c r="K165" s="1" t="str">
        <f t="shared" si="26"/>
        <v/>
      </c>
      <c r="L165" s="1">
        <f t="shared" si="27"/>
        <v>0</v>
      </c>
      <c r="M165" s="1">
        <f t="shared" si="28"/>
        <v>0</v>
      </c>
      <c r="N165" s="1">
        <f t="shared" si="29"/>
        <v>0</v>
      </c>
      <c r="O165" s="1" t="b">
        <f t="shared" si="30"/>
        <v>0</v>
      </c>
      <c r="P165" s="1" t="e">
        <f>INDEX(G:G,MATCH(G165,G:G,0))</f>
        <v>#N/A</v>
      </c>
      <c r="Q165" s="1" t="e">
        <f t="shared" si="31"/>
        <v>#N/A</v>
      </c>
      <c r="R165" s="1" t="e">
        <f>INDEX('6.0.35'!I:I,MATCH(F165,'6.0.35'!K:K,0))</f>
        <v>#N/A</v>
      </c>
      <c r="S165" s="1" t="e">
        <f>INDEX('6.0.35'!J:J,MATCH(F165,'6.0.35'!F:F,0))</f>
        <v>#N/A</v>
      </c>
    </row>
    <row r="166" spans="1:19">
      <c r="A166" t="s">
        <v>12507</v>
      </c>
      <c r="I166" s="1" t="str">
        <f t="shared" si="24"/>
        <v/>
      </c>
      <c r="J166" s="1">
        <f t="shared" si="25"/>
        <v>0</v>
      </c>
      <c r="K166" s="1" t="str">
        <f t="shared" si="26"/>
        <v/>
      </c>
      <c r="L166" s="1">
        <f t="shared" si="27"/>
        <v>0</v>
      </c>
      <c r="M166" s="1">
        <f t="shared" si="28"/>
        <v>0</v>
      </c>
      <c r="N166" s="1">
        <f t="shared" si="29"/>
        <v>0</v>
      </c>
      <c r="O166" s="1" t="b">
        <f t="shared" si="30"/>
        <v>0</v>
      </c>
      <c r="P166" s="1" t="e">
        <f>INDEX(G:G,MATCH(G166,G:G,0))</f>
        <v>#N/A</v>
      </c>
      <c r="Q166" s="1" t="e">
        <f t="shared" si="31"/>
        <v>#N/A</v>
      </c>
      <c r="R166" s="1" t="e">
        <f>INDEX('6.0.35'!I:I,MATCH(F166,'6.0.35'!K:K,0))</f>
        <v>#N/A</v>
      </c>
      <c r="S166" s="1" t="e">
        <f>INDEX('6.0.35'!J:J,MATCH(F166,'6.0.35'!F:F,0))</f>
        <v>#N/A</v>
      </c>
    </row>
    <row r="167" spans="1:19">
      <c r="A167" t="s">
        <v>12510</v>
      </c>
      <c r="I167" s="1" t="str">
        <f t="shared" si="24"/>
        <v/>
      </c>
      <c r="J167" s="1">
        <f t="shared" si="25"/>
        <v>0</v>
      </c>
      <c r="K167" s="1" t="str">
        <f t="shared" si="26"/>
        <v/>
      </c>
      <c r="L167" s="1">
        <f t="shared" si="27"/>
        <v>0</v>
      </c>
      <c r="M167" s="1">
        <f t="shared" si="28"/>
        <v>0</v>
      </c>
      <c r="N167" s="1">
        <f t="shared" si="29"/>
        <v>0</v>
      </c>
      <c r="O167" s="1" t="b">
        <f t="shared" si="30"/>
        <v>0</v>
      </c>
      <c r="P167" s="1" t="e">
        <f>INDEX(G:G,MATCH(G167,G:G,0))</f>
        <v>#N/A</v>
      </c>
      <c r="Q167" s="1" t="e">
        <f t="shared" si="31"/>
        <v>#N/A</v>
      </c>
      <c r="R167" s="1" t="e">
        <f>INDEX('6.0.35'!I:I,MATCH(F167,'6.0.35'!K:K,0))</f>
        <v>#N/A</v>
      </c>
      <c r="S167" s="1" t="e">
        <f>INDEX('6.0.35'!J:J,MATCH(F167,'6.0.35'!F:F,0))</f>
        <v>#N/A</v>
      </c>
    </row>
    <row r="168" spans="1:19">
      <c r="A168" t="s">
        <v>12513</v>
      </c>
      <c r="I168" s="1" t="str">
        <f t="shared" si="24"/>
        <v/>
      </c>
      <c r="J168" s="1">
        <f t="shared" si="25"/>
        <v>0</v>
      </c>
      <c r="K168" s="1" t="str">
        <f t="shared" si="26"/>
        <v/>
      </c>
      <c r="L168" s="1">
        <f t="shared" si="27"/>
        <v>0</v>
      </c>
      <c r="M168" s="1">
        <f t="shared" si="28"/>
        <v>0</v>
      </c>
      <c r="N168" s="1">
        <f t="shared" si="29"/>
        <v>0</v>
      </c>
      <c r="O168" s="1" t="b">
        <f t="shared" si="30"/>
        <v>0</v>
      </c>
      <c r="P168" s="1" t="e">
        <f>INDEX(G:G,MATCH(G168,G:G,0))</f>
        <v>#N/A</v>
      </c>
      <c r="Q168" s="1" t="e">
        <f t="shared" si="31"/>
        <v>#N/A</v>
      </c>
      <c r="R168" s="1" t="e">
        <f>INDEX('6.0.35'!I:I,MATCH(F168,'6.0.35'!K:K,0))</f>
        <v>#N/A</v>
      </c>
      <c r="S168" s="1" t="e">
        <f>INDEX('6.0.35'!J:J,MATCH(F168,'6.0.35'!F:F,0))</f>
        <v>#N/A</v>
      </c>
    </row>
    <row r="169" spans="1:19">
      <c r="A169" t="s">
        <v>12450</v>
      </c>
      <c r="I169" s="1" t="str">
        <f t="shared" si="24"/>
        <v/>
      </c>
      <c r="J169" s="1">
        <f t="shared" si="25"/>
        <v>0</v>
      </c>
      <c r="K169" s="1" t="str">
        <f t="shared" si="26"/>
        <v/>
      </c>
      <c r="L169" s="1">
        <f t="shared" si="27"/>
        <v>0</v>
      </c>
      <c r="M169" s="1">
        <f t="shared" si="28"/>
        <v>0</v>
      </c>
      <c r="N169" s="1">
        <f t="shared" si="29"/>
        <v>0</v>
      </c>
      <c r="O169" s="1" t="b">
        <f t="shared" si="30"/>
        <v>0</v>
      </c>
      <c r="P169" s="1" t="e">
        <f>INDEX(G:G,MATCH(G169,G:G,0))</f>
        <v>#N/A</v>
      </c>
      <c r="Q169" s="1" t="e">
        <f t="shared" si="31"/>
        <v>#N/A</v>
      </c>
      <c r="R169" s="1" t="e">
        <f>INDEX('6.0.35'!I:I,MATCH(F169,'6.0.35'!K:K,0))</f>
        <v>#N/A</v>
      </c>
      <c r="S169" s="1" t="e">
        <f>INDEX('6.0.35'!J:J,MATCH(F169,'6.0.35'!F:F,0))</f>
        <v>#N/A</v>
      </c>
    </row>
    <row r="170" spans="1:19">
      <c r="A170" t="s">
        <v>12453</v>
      </c>
      <c r="I170" s="1" t="str">
        <f t="shared" si="24"/>
        <v/>
      </c>
      <c r="J170" s="1">
        <f t="shared" si="25"/>
        <v>0</v>
      </c>
      <c r="K170" s="1" t="str">
        <f t="shared" si="26"/>
        <v/>
      </c>
      <c r="L170" s="1">
        <f t="shared" si="27"/>
        <v>0</v>
      </c>
      <c r="M170" s="1">
        <f t="shared" si="28"/>
        <v>0</v>
      </c>
      <c r="N170" s="1">
        <f t="shared" si="29"/>
        <v>0</v>
      </c>
      <c r="O170" s="1" t="b">
        <f t="shared" si="30"/>
        <v>0</v>
      </c>
      <c r="P170" s="1" t="e">
        <f>INDEX(G:G,MATCH(G170,G:G,0))</f>
        <v>#N/A</v>
      </c>
      <c r="Q170" s="1" t="e">
        <f t="shared" si="31"/>
        <v>#N/A</v>
      </c>
      <c r="R170" s="1" t="e">
        <f>INDEX('6.0.35'!I:I,MATCH(F170,'6.0.35'!K:K,0))</f>
        <v>#N/A</v>
      </c>
      <c r="S170" s="1" t="e">
        <f>INDEX('6.0.35'!J:J,MATCH(F170,'6.0.35'!F:F,0))</f>
        <v>#N/A</v>
      </c>
    </row>
    <row r="171" spans="1:19">
      <c r="A171" t="s">
        <v>12456</v>
      </c>
      <c r="I171" s="1" t="str">
        <f t="shared" si="24"/>
        <v/>
      </c>
      <c r="J171" s="1">
        <f t="shared" si="25"/>
        <v>0</v>
      </c>
      <c r="K171" s="1" t="str">
        <f t="shared" si="26"/>
        <v/>
      </c>
      <c r="L171" s="1">
        <f t="shared" si="27"/>
        <v>0</v>
      </c>
      <c r="M171" s="1">
        <f t="shared" si="28"/>
        <v>0</v>
      </c>
      <c r="N171" s="1">
        <f t="shared" si="29"/>
        <v>0</v>
      </c>
      <c r="O171" s="1" t="b">
        <f t="shared" si="30"/>
        <v>0</v>
      </c>
      <c r="P171" s="1" t="e">
        <f>INDEX(G:G,MATCH(G171,G:G,0))</f>
        <v>#N/A</v>
      </c>
      <c r="Q171" s="1" t="e">
        <f t="shared" si="31"/>
        <v>#N/A</v>
      </c>
      <c r="R171" s="1" t="e">
        <f>INDEX('6.0.35'!I:I,MATCH(F171,'6.0.35'!K:K,0))</f>
        <v>#N/A</v>
      </c>
      <c r="S171" s="1" t="e">
        <f>INDEX('6.0.35'!J:J,MATCH(F171,'6.0.35'!F:F,0))</f>
        <v>#N/A</v>
      </c>
    </row>
    <row r="172" spans="1:19">
      <c r="A172" t="s">
        <v>12459</v>
      </c>
      <c r="I172" s="1" t="str">
        <f t="shared" si="24"/>
        <v/>
      </c>
      <c r="J172" s="1">
        <f t="shared" si="25"/>
        <v>0</v>
      </c>
      <c r="K172" s="1" t="str">
        <f t="shared" si="26"/>
        <v/>
      </c>
      <c r="L172" s="1">
        <f t="shared" si="27"/>
        <v>0</v>
      </c>
      <c r="M172" s="1">
        <f t="shared" si="28"/>
        <v>0</v>
      </c>
      <c r="N172" s="1">
        <f t="shared" si="29"/>
        <v>0</v>
      </c>
      <c r="O172" s="1" t="b">
        <f t="shared" si="30"/>
        <v>0</v>
      </c>
      <c r="P172" s="1" t="e">
        <f>INDEX(G:G,MATCH(G172,G:G,0))</f>
        <v>#N/A</v>
      </c>
      <c r="Q172" s="1" t="e">
        <f t="shared" si="31"/>
        <v>#N/A</v>
      </c>
      <c r="R172" s="1" t="e">
        <f>INDEX('6.0.35'!I:I,MATCH(F172,'6.0.35'!K:K,0))</f>
        <v>#N/A</v>
      </c>
      <c r="S172" s="1" t="e">
        <f>INDEX('6.0.35'!J:J,MATCH(F172,'6.0.35'!F:F,0))</f>
        <v>#N/A</v>
      </c>
    </row>
    <row r="173" spans="1:19">
      <c r="A173" t="s">
        <v>12462</v>
      </c>
      <c r="I173" s="1" t="str">
        <f t="shared" si="24"/>
        <v/>
      </c>
      <c r="J173" s="1">
        <f t="shared" si="25"/>
        <v>0</v>
      </c>
      <c r="K173" s="1" t="str">
        <f t="shared" si="26"/>
        <v/>
      </c>
      <c r="L173" s="1">
        <f t="shared" si="27"/>
        <v>0</v>
      </c>
      <c r="M173" s="1">
        <f t="shared" si="28"/>
        <v>0</v>
      </c>
      <c r="N173" s="1">
        <f t="shared" si="29"/>
        <v>0</v>
      </c>
      <c r="O173" s="1" t="b">
        <f t="shared" si="30"/>
        <v>0</v>
      </c>
      <c r="P173" s="1" t="e">
        <f>INDEX(G:G,MATCH(G173,G:G,0))</f>
        <v>#N/A</v>
      </c>
      <c r="Q173" s="1" t="e">
        <f t="shared" si="31"/>
        <v>#N/A</v>
      </c>
      <c r="R173" s="1" t="e">
        <f>INDEX('6.0.35'!I:I,MATCH(F173,'6.0.35'!K:K,0))</f>
        <v>#N/A</v>
      </c>
      <c r="S173" s="1" t="e">
        <f>INDEX('6.0.35'!J:J,MATCH(F173,'6.0.35'!F:F,0))</f>
        <v>#N/A</v>
      </c>
    </row>
    <row r="174" spans="1:19">
      <c r="A174" t="s">
        <v>12465</v>
      </c>
      <c r="I174" s="1" t="str">
        <f t="shared" si="24"/>
        <v/>
      </c>
      <c r="J174" s="1">
        <f t="shared" si="25"/>
        <v>0</v>
      </c>
      <c r="K174" s="1" t="str">
        <f t="shared" si="26"/>
        <v/>
      </c>
      <c r="L174" s="1">
        <f t="shared" si="27"/>
        <v>0</v>
      </c>
      <c r="M174" s="1">
        <f t="shared" si="28"/>
        <v>0</v>
      </c>
      <c r="N174" s="1">
        <f t="shared" si="29"/>
        <v>0</v>
      </c>
      <c r="O174" s="1" t="b">
        <f t="shared" si="30"/>
        <v>0</v>
      </c>
      <c r="P174" s="1" t="e">
        <f>INDEX(G:G,MATCH(G174,G:G,0))</f>
        <v>#N/A</v>
      </c>
      <c r="Q174" s="1" t="e">
        <f t="shared" si="31"/>
        <v>#N/A</v>
      </c>
      <c r="R174" s="1" t="e">
        <f>INDEX('6.0.35'!I:I,MATCH(F174,'6.0.35'!K:K,0))</f>
        <v>#N/A</v>
      </c>
      <c r="S174" s="1" t="e">
        <f>INDEX('6.0.35'!J:J,MATCH(F174,'6.0.35'!F:F,0))</f>
        <v>#N/A</v>
      </c>
    </row>
    <row r="175" spans="1:19">
      <c r="A175" t="s">
        <v>12468</v>
      </c>
      <c r="I175" s="1" t="str">
        <f t="shared" si="24"/>
        <v/>
      </c>
      <c r="J175" s="1">
        <f t="shared" si="25"/>
        <v>0</v>
      </c>
      <c r="K175" s="1" t="str">
        <f t="shared" si="26"/>
        <v/>
      </c>
      <c r="L175" s="1">
        <f t="shared" si="27"/>
        <v>0</v>
      </c>
      <c r="M175" s="1">
        <f t="shared" si="28"/>
        <v>0</v>
      </c>
      <c r="N175" s="1">
        <f t="shared" si="29"/>
        <v>0</v>
      </c>
      <c r="O175" s="1" t="b">
        <f t="shared" si="30"/>
        <v>0</v>
      </c>
      <c r="P175" s="1" t="e">
        <f>INDEX(G:G,MATCH(G175,G:G,0))</f>
        <v>#N/A</v>
      </c>
      <c r="Q175" s="1" t="e">
        <f t="shared" si="31"/>
        <v>#N/A</v>
      </c>
      <c r="R175" s="1" t="e">
        <f>INDEX('6.0.35'!I:I,MATCH(F175,'6.0.35'!K:K,0))</f>
        <v>#N/A</v>
      </c>
      <c r="S175" s="1" t="e">
        <f>INDEX('6.0.35'!J:J,MATCH(F175,'6.0.35'!F:F,0))</f>
        <v>#N/A</v>
      </c>
    </row>
    <row r="176" spans="1:19">
      <c r="A176" t="s">
        <v>12471</v>
      </c>
      <c r="I176" s="1" t="str">
        <f t="shared" si="24"/>
        <v/>
      </c>
      <c r="J176" s="1">
        <f t="shared" si="25"/>
        <v>0</v>
      </c>
      <c r="K176" s="1" t="str">
        <f t="shared" si="26"/>
        <v/>
      </c>
      <c r="L176" s="1">
        <f t="shared" si="27"/>
        <v>0</v>
      </c>
      <c r="M176" s="1">
        <f t="shared" si="28"/>
        <v>0</v>
      </c>
      <c r="N176" s="1">
        <f t="shared" si="29"/>
        <v>0</v>
      </c>
      <c r="O176" s="1" t="b">
        <f t="shared" si="30"/>
        <v>0</v>
      </c>
      <c r="P176" s="1" t="e">
        <f>INDEX(G:G,MATCH(G176,G:G,0))</f>
        <v>#N/A</v>
      </c>
      <c r="Q176" s="1" t="e">
        <f t="shared" si="31"/>
        <v>#N/A</v>
      </c>
      <c r="R176" s="1" t="e">
        <f>INDEX('6.0.35'!I:I,MATCH(F176,'6.0.35'!K:K,0))</f>
        <v>#N/A</v>
      </c>
      <c r="S176" s="1" t="e">
        <f>INDEX('6.0.35'!J:J,MATCH(F176,'6.0.35'!F:F,0))</f>
        <v>#N/A</v>
      </c>
    </row>
    <row r="177" spans="1:19">
      <c r="A177" t="s">
        <v>12474</v>
      </c>
      <c r="I177" s="1" t="str">
        <f t="shared" si="24"/>
        <v/>
      </c>
      <c r="J177" s="1">
        <f t="shared" si="25"/>
        <v>0</v>
      </c>
      <c r="K177" s="1" t="str">
        <f t="shared" si="26"/>
        <v/>
      </c>
      <c r="L177" s="1">
        <f t="shared" si="27"/>
        <v>0</v>
      </c>
      <c r="M177" s="1">
        <f t="shared" si="28"/>
        <v>0</v>
      </c>
      <c r="N177" s="1">
        <f t="shared" si="29"/>
        <v>0</v>
      </c>
      <c r="O177" s="1" t="b">
        <f t="shared" si="30"/>
        <v>0</v>
      </c>
      <c r="P177" s="1" t="e">
        <f>INDEX(G:G,MATCH(G177,G:G,0))</f>
        <v>#N/A</v>
      </c>
      <c r="Q177" s="1" t="e">
        <f t="shared" si="31"/>
        <v>#N/A</v>
      </c>
      <c r="R177" s="1" t="e">
        <f>INDEX('6.0.35'!I:I,MATCH(F177,'6.0.35'!K:K,0))</f>
        <v>#N/A</v>
      </c>
      <c r="S177" s="1" t="e">
        <f>INDEX('6.0.35'!J:J,MATCH(F177,'6.0.35'!F:F,0))</f>
        <v>#N/A</v>
      </c>
    </row>
    <row r="178" spans="1:19">
      <c r="A178" t="s">
        <v>12477</v>
      </c>
      <c r="I178" s="1" t="str">
        <f t="shared" si="24"/>
        <v/>
      </c>
      <c r="J178" s="1">
        <f t="shared" si="25"/>
        <v>0</v>
      </c>
      <c r="K178" s="1" t="str">
        <f t="shared" si="26"/>
        <v/>
      </c>
      <c r="L178" s="1">
        <f t="shared" si="27"/>
        <v>0</v>
      </c>
      <c r="M178" s="1">
        <f t="shared" si="28"/>
        <v>0</v>
      </c>
      <c r="N178" s="1">
        <f t="shared" si="29"/>
        <v>0</v>
      </c>
      <c r="O178" s="1" t="b">
        <f t="shared" si="30"/>
        <v>0</v>
      </c>
      <c r="P178" s="1" t="e">
        <f>INDEX(G:G,MATCH(G178,G:G,0))</f>
        <v>#N/A</v>
      </c>
      <c r="Q178" s="1" t="e">
        <f t="shared" si="31"/>
        <v>#N/A</v>
      </c>
      <c r="R178" s="1" t="e">
        <f>INDEX('6.0.35'!I:I,MATCH(F178,'6.0.35'!K:K,0))</f>
        <v>#N/A</v>
      </c>
      <c r="S178" s="1" t="e">
        <f>INDEX('6.0.35'!J:J,MATCH(F178,'6.0.35'!F:F,0))</f>
        <v>#N/A</v>
      </c>
    </row>
    <row r="179" spans="1:19">
      <c r="A179" t="s">
        <v>12480</v>
      </c>
      <c r="I179" s="1" t="str">
        <f t="shared" si="24"/>
        <v/>
      </c>
      <c r="J179" s="1">
        <f t="shared" si="25"/>
        <v>0</v>
      </c>
      <c r="K179" s="1" t="str">
        <f t="shared" si="26"/>
        <v/>
      </c>
      <c r="L179" s="1">
        <f t="shared" si="27"/>
        <v>0</v>
      </c>
      <c r="M179" s="1">
        <f t="shared" si="28"/>
        <v>0</v>
      </c>
      <c r="N179" s="1">
        <f t="shared" si="29"/>
        <v>0</v>
      </c>
      <c r="O179" s="1" t="b">
        <f t="shared" si="30"/>
        <v>0</v>
      </c>
      <c r="P179" s="1" t="e">
        <f>INDEX(G:G,MATCH(G179,G:G,0))</f>
        <v>#N/A</v>
      </c>
      <c r="Q179" s="1" t="e">
        <f t="shared" si="31"/>
        <v>#N/A</v>
      </c>
      <c r="R179" s="1" t="e">
        <f>INDEX('6.0.35'!I:I,MATCH(F179,'6.0.35'!K:K,0))</f>
        <v>#N/A</v>
      </c>
      <c r="S179" s="1" t="e">
        <f>INDEX('6.0.35'!J:J,MATCH(F179,'6.0.35'!F:F,0))</f>
        <v>#N/A</v>
      </c>
    </row>
    <row r="180" spans="1:19">
      <c r="A180" t="s">
        <v>12483</v>
      </c>
      <c r="I180" s="1" t="str">
        <f t="shared" si="24"/>
        <v/>
      </c>
      <c r="J180" s="1">
        <f t="shared" si="25"/>
        <v>0</v>
      </c>
      <c r="K180" s="1" t="str">
        <f t="shared" si="26"/>
        <v/>
      </c>
      <c r="L180" s="1">
        <f t="shared" si="27"/>
        <v>0</v>
      </c>
      <c r="M180" s="1">
        <f t="shared" si="28"/>
        <v>0</v>
      </c>
      <c r="N180" s="1">
        <f t="shared" si="29"/>
        <v>0</v>
      </c>
      <c r="O180" s="1" t="b">
        <f t="shared" si="30"/>
        <v>0</v>
      </c>
      <c r="P180" s="1" t="e">
        <f>INDEX(G:G,MATCH(G180,G:G,0))</f>
        <v>#N/A</v>
      </c>
      <c r="Q180" s="1" t="e">
        <f t="shared" si="31"/>
        <v>#N/A</v>
      </c>
      <c r="R180" s="1" t="e">
        <f>INDEX('6.0.35'!I:I,MATCH(F180,'6.0.35'!K:K,0))</f>
        <v>#N/A</v>
      </c>
      <c r="S180" s="1" t="e">
        <f>INDEX('6.0.35'!J:J,MATCH(F180,'6.0.35'!F:F,0))</f>
        <v>#N/A</v>
      </c>
    </row>
    <row r="181" spans="1:19">
      <c r="A181" t="s">
        <v>12486</v>
      </c>
      <c r="I181" s="1" t="str">
        <f t="shared" si="24"/>
        <v/>
      </c>
      <c r="J181" s="1">
        <f t="shared" si="25"/>
        <v>0</v>
      </c>
      <c r="K181" s="1" t="str">
        <f t="shared" si="26"/>
        <v/>
      </c>
      <c r="L181" s="1">
        <f t="shared" si="27"/>
        <v>0</v>
      </c>
      <c r="M181" s="1">
        <f t="shared" si="28"/>
        <v>0</v>
      </c>
      <c r="N181" s="1">
        <f t="shared" si="29"/>
        <v>0</v>
      </c>
      <c r="O181" s="1" t="b">
        <f t="shared" si="30"/>
        <v>0</v>
      </c>
      <c r="P181" s="1" t="e">
        <f>INDEX(G:G,MATCH(G181,G:G,0))</f>
        <v>#N/A</v>
      </c>
      <c r="Q181" s="1" t="e">
        <f t="shared" si="31"/>
        <v>#N/A</v>
      </c>
      <c r="R181" s="1" t="e">
        <f>INDEX('6.0.35'!I:I,MATCH(F181,'6.0.35'!K:K,0))</f>
        <v>#N/A</v>
      </c>
      <c r="S181" s="1" t="e">
        <f>INDEX('6.0.35'!J:J,MATCH(F181,'6.0.35'!F:F,0))</f>
        <v>#N/A</v>
      </c>
    </row>
    <row r="182" spans="1:19">
      <c r="A182" t="s">
        <v>12489</v>
      </c>
      <c r="I182" s="1" t="str">
        <f t="shared" si="24"/>
        <v/>
      </c>
      <c r="J182" s="1">
        <f t="shared" si="25"/>
        <v>0</v>
      </c>
      <c r="K182" s="1" t="str">
        <f t="shared" si="26"/>
        <v/>
      </c>
      <c r="L182" s="1">
        <f t="shared" si="27"/>
        <v>0</v>
      </c>
      <c r="M182" s="1">
        <f t="shared" si="28"/>
        <v>0</v>
      </c>
      <c r="N182" s="1">
        <f t="shared" si="29"/>
        <v>0</v>
      </c>
      <c r="O182" s="1" t="b">
        <f t="shared" si="30"/>
        <v>0</v>
      </c>
      <c r="P182" s="1" t="e">
        <f>INDEX(G:G,MATCH(G182,G:G,0))</f>
        <v>#N/A</v>
      </c>
      <c r="Q182" s="1" t="e">
        <f t="shared" si="31"/>
        <v>#N/A</v>
      </c>
      <c r="R182" s="1" t="e">
        <f>INDEX('6.0.35'!I:I,MATCH(F182,'6.0.35'!K:K,0))</f>
        <v>#N/A</v>
      </c>
      <c r="S182" s="1" t="e">
        <f>INDEX('6.0.35'!J:J,MATCH(F182,'6.0.35'!F:F,0))</f>
        <v>#N/A</v>
      </c>
    </row>
    <row r="183" spans="1:19">
      <c r="A183" t="s">
        <v>12492</v>
      </c>
      <c r="I183" s="1" t="str">
        <f t="shared" si="24"/>
        <v/>
      </c>
      <c r="J183" s="1">
        <f t="shared" si="25"/>
        <v>0</v>
      </c>
      <c r="K183" s="1" t="str">
        <f t="shared" si="26"/>
        <v/>
      </c>
      <c r="L183" s="1">
        <f t="shared" si="27"/>
        <v>0</v>
      </c>
      <c r="M183" s="1">
        <f t="shared" si="28"/>
        <v>0</v>
      </c>
      <c r="N183" s="1">
        <f t="shared" si="29"/>
        <v>0</v>
      </c>
      <c r="O183" s="1" t="b">
        <f t="shared" si="30"/>
        <v>0</v>
      </c>
      <c r="P183" s="1" t="e">
        <f>INDEX(G:G,MATCH(G183,G:G,0))</f>
        <v>#N/A</v>
      </c>
      <c r="Q183" s="1" t="e">
        <f t="shared" si="31"/>
        <v>#N/A</v>
      </c>
      <c r="R183" s="1" t="e">
        <f>INDEX('6.0.35'!I:I,MATCH(F183,'6.0.35'!K:K,0))</f>
        <v>#N/A</v>
      </c>
      <c r="S183" s="1" t="e">
        <f>INDEX('6.0.35'!J:J,MATCH(F183,'6.0.35'!F:F,0))</f>
        <v>#N/A</v>
      </c>
    </row>
    <row r="184" spans="1:19">
      <c r="A184" t="s">
        <v>12495</v>
      </c>
      <c r="I184" s="1" t="str">
        <f t="shared" si="24"/>
        <v/>
      </c>
      <c r="J184" s="1">
        <f t="shared" si="25"/>
        <v>0</v>
      </c>
      <c r="K184" s="1" t="str">
        <f t="shared" si="26"/>
        <v/>
      </c>
      <c r="L184" s="1">
        <f t="shared" si="27"/>
        <v>0</v>
      </c>
      <c r="M184" s="1">
        <f t="shared" si="28"/>
        <v>0</v>
      </c>
      <c r="N184" s="1">
        <f t="shared" si="29"/>
        <v>0</v>
      </c>
      <c r="O184" s="1" t="b">
        <f t="shared" si="30"/>
        <v>0</v>
      </c>
      <c r="P184" s="1" t="e">
        <f>INDEX(G:G,MATCH(G184,G:G,0))</f>
        <v>#N/A</v>
      </c>
      <c r="Q184" s="1" t="e">
        <f t="shared" si="31"/>
        <v>#N/A</v>
      </c>
      <c r="R184" s="1" t="e">
        <f>INDEX('6.0.35'!I:I,MATCH(F184,'6.0.35'!K:K,0))</f>
        <v>#N/A</v>
      </c>
      <c r="S184" s="1" t="e">
        <f>INDEX('6.0.35'!J:J,MATCH(F184,'6.0.35'!F:F,0))</f>
        <v>#N/A</v>
      </c>
    </row>
    <row r="185" spans="1:19">
      <c r="A185" t="s">
        <v>12498</v>
      </c>
      <c r="I185" s="1" t="str">
        <f t="shared" si="24"/>
        <v/>
      </c>
      <c r="J185" s="1">
        <f t="shared" si="25"/>
        <v>0</v>
      </c>
      <c r="K185" s="1" t="str">
        <f t="shared" si="26"/>
        <v/>
      </c>
      <c r="L185" s="1">
        <f t="shared" si="27"/>
        <v>0</v>
      </c>
      <c r="M185" s="1">
        <f t="shared" si="28"/>
        <v>0</v>
      </c>
      <c r="N185" s="1">
        <f t="shared" si="29"/>
        <v>0</v>
      </c>
      <c r="O185" s="1" t="b">
        <f t="shared" si="30"/>
        <v>0</v>
      </c>
      <c r="P185" s="1" t="e">
        <f>INDEX(G:G,MATCH(G185,G:G,0))</f>
        <v>#N/A</v>
      </c>
      <c r="Q185" s="1" t="e">
        <f t="shared" si="31"/>
        <v>#N/A</v>
      </c>
      <c r="R185" s="1" t="e">
        <f>INDEX('6.0.35'!I:I,MATCH(F185,'6.0.35'!K:K,0))</f>
        <v>#N/A</v>
      </c>
      <c r="S185" s="1" t="e">
        <f>INDEX('6.0.35'!J:J,MATCH(F185,'6.0.35'!F:F,0))</f>
        <v>#N/A</v>
      </c>
    </row>
    <row r="186" spans="1:19">
      <c r="A186" t="s">
        <v>12501</v>
      </c>
      <c r="I186" s="1" t="str">
        <f t="shared" ref="I186:I249" si="32">IFERROR(IF(OR(MID(G186,FIND(":",G186)-1,1)="""",MID(G186,FIND(":",G186)-1,1)="}",MID(G186,FIND(":",G186)-1,1)=")",MID(G186,FIND(":",G186)-1,1)="]"),"",RIGHT(G186,LEN(G186)-FIND(":",G186)-1)),"")</f>
        <v/>
      </c>
      <c r="J186" s="1">
        <f t="shared" ref="J186:J249" si="33">IF(AND(I186="",H186=""),G186,IF(H186="",I186,H186&amp;": "&amp;I186))</f>
        <v>0</v>
      </c>
      <c r="K186" s="1" t="str">
        <f t="shared" ref="K186:K249" si="34">IFERROR(IF(OR(MID(F186,FIND(":",F186)-1,1)="""",MID(F186,FIND(":",F186)-1,1)="}",MID(F186,FIND(":",F186)-1,1)=")",MID(F186,FIND(":",F186)-1,1)="]"),"",RIGHT(F186,LEN(F186)-FIND(":",F186)-1)),"")</f>
        <v/>
      </c>
      <c r="L186" s="1">
        <f t="shared" ref="L186:L249" si="35">LEN(F186)-LEN(SUBSTITUTE(F186,":",""))</f>
        <v>0</v>
      </c>
      <c r="M186" s="1">
        <f t="shared" ref="M186:M249" si="36">LEN(G186)-LEN(SUBSTITUTE(G186,":",""))</f>
        <v>0</v>
      </c>
      <c r="N186" s="1">
        <f t="shared" ref="N186:N249" si="37">LEN(G186)-LEN(SUBSTITUTE(G186,"：",""))</f>
        <v>0</v>
      </c>
      <c r="O186" s="1" t="b">
        <f t="shared" ref="O186:O249" si="38">IF(M186&gt;=2,MID(G186,FIND(":",G186)+1,LEN(G186)))</f>
        <v>0</v>
      </c>
      <c r="P186" s="1" t="e">
        <f>INDEX(G:G,MATCH(G186,G:G,0))</f>
        <v>#N/A</v>
      </c>
      <c r="Q186" s="1" t="e">
        <f t="shared" ref="Q186:Q249" si="39">IF(P186&lt;&gt;G186,"校验","")</f>
        <v>#N/A</v>
      </c>
      <c r="R186" s="1" t="e">
        <f>INDEX('6.0.35'!I:I,MATCH(F186,'6.0.35'!K:K,0))</f>
        <v>#N/A</v>
      </c>
      <c r="S186" s="1" t="e">
        <f>INDEX('6.0.35'!J:J,MATCH(F186,'6.0.35'!F:F,0))</f>
        <v>#N/A</v>
      </c>
    </row>
    <row r="187" spans="1:19">
      <c r="A187" t="s">
        <v>12504</v>
      </c>
      <c r="I187" s="1" t="str">
        <f t="shared" si="32"/>
        <v/>
      </c>
      <c r="J187" s="1">
        <f t="shared" si="33"/>
        <v>0</v>
      </c>
      <c r="K187" s="1" t="str">
        <f t="shared" si="34"/>
        <v/>
      </c>
      <c r="L187" s="1">
        <f t="shared" si="35"/>
        <v>0</v>
      </c>
      <c r="M187" s="1">
        <f t="shared" si="36"/>
        <v>0</v>
      </c>
      <c r="N187" s="1">
        <f t="shared" si="37"/>
        <v>0</v>
      </c>
      <c r="O187" s="1" t="b">
        <f t="shared" si="38"/>
        <v>0</v>
      </c>
      <c r="P187" s="1" t="e">
        <f>INDEX(G:G,MATCH(G187,G:G,0))</f>
        <v>#N/A</v>
      </c>
      <c r="Q187" s="1" t="e">
        <f t="shared" si="39"/>
        <v>#N/A</v>
      </c>
      <c r="R187" s="1" t="e">
        <f>INDEX('6.0.35'!I:I,MATCH(F187,'6.0.35'!K:K,0))</f>
        <v>#N/A</v>
      </c>
      <c r="S187" s="1" t="e">
        <f>INDEX('6.0.35'!J:J,MATCH(F187,'6.0.35'!F:F,0))</f>
        <v>#N/A</v>
      </c>
    </row>
    <row r="188" spans="1:19">
      <c r="A188" t="s">
        <v>12507</v>
      </c>
      <c r="I188" s="1" t="str">
        <f t="shared" si="32"/>
        <v/>
      </c>
      <c r="J188" s="1">
        <f t="shared" si="33"/>
        <v>0</v>
      </c>
      <c r="K188" s="1" t="str">
        <f t="shared" si="34"/>
        <v/>
      </c>
      <c r="L188" s="1">
        <f t="shared" si="35"/>
        <v>0</v>
      </c>
      <c r="M188" s="1">
        <f t="shared" si="36"/>
        <v>0</v>
      </c>
      <c r="N188" s="1">
        <f t="shared" si="37"/>
        <v>0</v>
      </c>
      <c r="O188" s="1" t="b">
        <f t="shared" si="38"/>
        <v>0</v>
      </c>
      <c r="P188" s="1" t="e">
        <f>INDEX(G:G,MATCH(G188,G:G,0))</f>
        <v>#N/A</v>
      </c>
      <c r="Q188" s="1" t="e">
        <f t="shared" si="39"/>
        <v>#N/A</v>
      </c>
      <c r="R188" s="1" t="e">
        <f>INDEX('6.0.35'!I:I,MATCH(F188,'6.0.35'!K:K,0))</f>
        <v>#N/A</v>
      </c>
      <c r="S188" s="1" t="e">
        <f>INDEX('6.0.35'!J:J,MATCH(F188,'6.0.35'!F:F,0))</f>
        <v>#N/A</v>
      </c>
    </row>
    <row r="189" spans="1:19">
      <c r="A189" t="s">
        <v>12510</v>
      </c>
      <c r="I189" s="1" t="str">
        <f t="shared" si="32"/>
        <v/>
      </c>
      <c r="J189" s="1">
        <f t="shared" si="33"/>
        <v>0</v>
      </c>
      <c r="K189" s="1" t="str">
        <f t="shared" si="34"/>
        <v/>
      </c>
      <c r="L189" s="1">
        <f t="shared" si="35"/>
        <v>0</v>
      </c>
      <c r="M189" s="1">
        <f t="shared" si="36"/>
        <v>0</v>
      </c>
      <c r="N189" s="1">
        <f t="shared" si="37"/>
        <v>0</v>
      </c>
      <c r="O189" s="1" t="b">
        <f t="shared" si="38"/>
        <v>0</v>
      </c>
      <c r="P189" s="1" t="e">
        <f>INDEX(G:G,MATCH(G189,G:G,0))</f>
        <v>#N/A</v>
      </c>
      <c r="Q189" s="1" t="e">
        <f t="shared" si="39"/>
        <v>#N/A</v>
      </c>
      <c r="R189" s="1" t="e">
        <f>INDEX('6.0.35'!I:I,MATCH(F189,'6.0.35'!K:K,0))</f>
        <v>#N/A</v>
      </c>
      <c r="S189" s="1" t="e">
        <f>INDEX('6.0.35'!J:J,MATCH(F189,'6.0.35'!F:F,0))</f>
        <v>#N/A</v>
      </c>
    </row>
    <row r="190" spans="1:19">
      <c r="A190" t="s">
        <v>12513</v>
      </c>
      <c r="I190" s="1" t="str">
        <f t="shared" si="32"/>
        <v/>
      </c>
      <c r="J190" s="1">
        <f t="shared" si="33"/>
        <v>0</v>
      </c>
      <c r="K190" s="1" t="str">
        <f t="shared" si="34"/>
        <v/>
      </c>
      <c r="L190" s="1">
        <f t="shared" si="35"/>
        <v>0</v>
      </c>
      <c r="M190" s="1">
        <f t="shared" si="36"/>
        <v>0</v>
      </c>
      <c r="N190" s="1">
        <f t="shared" si="37"/>
        <v>0</v>
      </c>
      <c r="O190" s="1" t="b">
        <f t="shared" si="38"/>
        <v>0</v>
      </c>
      <c r="P190" s="1" t="e">
        <f>INDEX(G:G,MATCH(G190,G:G,0))</f>
        <v>#N/A</v>
      </c>
      <c r="Q190" s="1" t="e">
        <f t="shared" si="39"/>
        <v>#N/A</v>
      </c>
      <c r="R190" s="1" t="e">
        <f>INDEX('6.0.35'!I:I,MATCH(F190,'6.0.35'!K:K,0))</f>
        <v>#N/A</v>
      </c>
      <c r="S190" s="1" t="e">
        <f>INDEX('6.0.35'!J:J,MATCH(F190,'6.0.35'!F:F,0))</f>
        <v>#N/A</v>
      </c>
    </row>
    <row r="191" spans="1:19">
      <c r="A191" t="s">
        <v>12450</v>
      </c>
      <c r="I191" s="1" t="str">
        <f t="shared" si="32"/>
        <v/>
      </c>
      <c r="J191" s="1">
        <f t="shared" si="33"/>
        <v>0</v>
      </c>
      <c r="K191" s="1" t="str">
        <f t="shared" si="34"/>
        <v/>
      </c>
      <c r="L191" s="1">
        <f t="shared" si="35"/>
        <v>0</v>
      </c>
      <c r="M191" s="1">
        <f t="shared" si="36"/>
        <v>0</v>
      </c>
      <c r="N191" s="1">
        <f t="shared" si="37"/>
        <v>0</v>
      </c>
      <c r="O191" s="1" t="b">
        <f t="shared" si="38"/>
        <v>0</v>
      </c>
      <c r="P191" s="1" t="e">
        <f>INDEX(G:G,MATCH(G191,G:G,0))</f>
        <v>#N/A</v>
      </c>
      <c r="Q191" s="1" t="e">
        <f t="shared" si="39"/>
        <v>#N/A</v>
      </c>
      <c r="R191" s="1" t="e">
        <f>INDEX('6.0.35'!I:I,MATCH(F191,'6.0.35'!K:K,0))</f>
        <v>#N/A</v>
      </c>
      <c r="S191" s="1" t="e">
        <f>INDEX('6.0.35'!J:J,MATCH(F191,'6.0.35'!F:F,0))</f>
        <v>#N/A</v>
      </c>
    </row>
    <row r="192" spans="1:19">
      <c r="A192" t="s">
        <v>12453</v>
      </c>
      <c r="I192" s="1" t="str">
        <f t="shared" si="32"/>
        <v/>
      </c>
      <c r="J192" s="1">
        <f t="shared" si="33"/>
        <v>0</v>
      </c>
      <c r="K192" s="1" t="str">
        <f t="shared" si="34"/>
        <v/>
      </c>
      <c r="L192" s="1">
        <f t="shared" si="35"/>
        <v>0</v>
      </c>
      <c r="M192" s="1">
        <f t="shared" si="36"/>
        <v>0</v>
      </c>
      <c r="N192" s="1">
        <f t="shared" si="37"/>
        <v>0</v>
      </c>
      <c r="O192" s="1" t="b">
        <f t="shared" si="38"/>
        <v>0</v>
      </c>
      <c r="P192" s="1" t="e">
        <f>INDEX(G:G,MATCH(G192,G:G,0))</f>
        <v>#N/A</v>
      </c>
      <c r="Q192" s="1" t="e">
        <f t="shared" si="39"/>
        <v>#N/A</v>
      </c>
      <c r="R192" s="1" t="e">
        <f>INDEX('6.0.35'!I:I,MATCH(F192,'6.0.35'!K:K,0))</f>
        <v>#N/A</v>
      </c>
      <c r="S192" s="1" t="e">
        <f>INDEX('6.0.35'!J:J,MATCH(F192,'6.0.35'!F:F,0))</f>
        <v>#N/A</v>
      </c>
    </row>
    <row r="193" spans="1:19">
      <c r="A193" t="s">
        <v>12456</v>
      </c>
      <c r="I193" s="1" t="str">
        <f t="shared" si="32"/>
        <v/>
      </c>
      <c r="J193" s="1">
        <f t="shared" si="33"/>
        <v>0</v>
      </c>
      <c r="K193" s="1" t="str">
        <f t="shared" si="34"/>
        <v/>
      </c>
      <c r="L193" s="1">
        <f t="shared" si="35"/>
        <v>0</v>
      </c>
      <c r="M193" s="1">
        <f t="shared" si="36"/>
        <v>0</v>
      </c>
      <c r="N193" s="1">
        <f t="shared" si="37"/>
        <v>0</v>
      </c>
      <c r="O193" s="1" t="b">
        <f t="shared" si="38"/>
        <v>0</v>
      </c>
      <c r="P193" s="1" t="e">
        <f>INDEX(G:G,MATCH(G193,G:G,0))</f>
        <v>#N/A</v>
      </c>
      <c r="Q193" s="1" t="e">
        <f t="shared" si="39"/>
        <v>#N/A</v>
      </c>
      <c r="R193" s="1" t="e">
        <f>INDEX('6.0.35'!I:I,MATCH(F193,'6.0.35'!K:K,0))</f>
        <v>#N/A</v>
      </c>
      <c r="S193" s="1" t="e">
        <f>INDEX('6.0.35'!J:J,MATCH(F193,'6.0.35'!F:F,0))</f>
        <v>#N/A</v>
      </c>
    </row>
    <row r="194" spans="1:19">
      <c r="A194" t="s">
        <v>12459</v>
      </c>
      <c r="I194" s="1" t="str">
        <f t="shared" si="32"/>
        <v/>
      </c>
      <c r="J194" s="1">
        <f t="shared" si="33"/>
        <v>0</v>
      </c>
      <c r="K194" s="1" t="str">
        <f t="shared" si="34"/>
        <v/>
      </c>
      <c r="L194" s="1">
        <f t="shared" si="35"/>
        <v>0</v>
      </c>
      <c r="M194" s="1">
        <f t="shared" si="36"/>
        <v>0</v>
      </c>
      <c r="N194" s="1">
        <f t="shared" si="37"/>
        <v>0</v>
      </c>
      <c r="O194" s="1" t="b">
        <f t="shared" si="38"/>
        <v>0</v>
      </c>
      <c r="P194" s="1" t="e">
        <f>INDEX(G:G,MATCH(G194,G:G,0))</f>
        <v>#N/A</v>
      </c>
      <c r="Q194" s="1" t="e">
        <f t="shared" si="39"/>
        <v>#N/A</v>
      </c>
      <c r="R194" s="1" t="e">
        <f>INDEX('6.0.35'!I:I,MATCH(F194,'6.0.35'!K:K,0))</f>
        <v>#N/A</v>
      </c>
      <c r="S194" s="1" t="e">
        <f>INDEX('6.0.35'!J:J,MATCH(F194,'6.0.35'!F:F,0))</f>
        <v>#N/A</v>
      </c>
    </row>
    <row r="195" spans="1:19">
      <c r="A195" t="s">
        <v>12462</v>
      </c>
      <c r="I195" s="1" t="str">
        <f t="shared" si="32"/>
        <v/>
      </c>
      <c r="J195" s="1">
        <f t="shared" si="33"/>
        <v>0</v>
      </c>
      <c r="K195" s="1" t="str">
        <f t="shared" si="34"/>
        <v/>
      </c>
      <c r="L195" s="1">
        <f t="shared" si="35"/>
        <v>0</v>
      </c>
      <c r="M195" s="1">
        <f t="shared" si="36"/>
        <v>0</v>
      </c>
      <c r="N195" s="1">
        <f t="shared" si="37"/>
        <v>0</v>
      </c>
      <c r="O195" s="1" t="b">
        <f t="shared" si="38"/>
        <v>0</v>
      </c>
      <c r="P195" s="1" t="e">
        <f>INDEX(G:G,MATCH(G195,G:G,0))</f>
        <v>#N/A</v>
      </c>
      <c r="Q195" s="1" t="e">
        <f t="shared" si="39"/>
        <v>#N/A</v>
      </c>
      <c r="R195" s="1" t="e">
        <f>INDEX('6.0.35'!I:I,MATCH(F195,'6.0.35'!K:K,0))</f>
        <v>#N/A</v>
      </c>
      <c r="S195" s="1" t="e">
        <f>INDEX('6.0.35'!J:J,MATCH(F195,'6.0.35'!F:F,0))</f>
        <v>#N/A</v>
      </c>
    </row>
    <row r="196" spans="1:19">
      <c r="A196" t="s">
        <v>12465</v>
      </c>
      <c r="I196" s="1" t="str">
        <f t="shared" si="32"/>
        <v/>
      </c>
      <c r="J196" s="1">
        <f t="shared" si="33"/>
        <v>0</v>
      </c>
      <c r="K196" s="1" t="str">
        <f t="shared" si="34"/>
        <v/>
      </c>
      <c r="L196" s="1">
        <f t="shared" si="35"/>
        <v>0</v>
      </c>
      <c r="M196" s="1">
        <f t="shared" si="36"/>
        <v>0</v>
      </c>
      <c r="N196" s="1">
        <f t="shared" si="37"/>
        <v>0</v>
      </c>
      <c r="O196" s="1" t="b">
        <f t="shared" si="38"/>
        <v>0</v>
      </c>
      <c r="P196" s="1" t="e">
        <f>INDEX(G:G,MATCH(G196,G:G,0))</f>
        <v>#N/A</v>
      </c>
      <c r="Q196" s="1" t="e">
        <f t="shared" si="39"/>
        <v>#N/A</v>
      </c>
      <c r="R196" s="1" t="e">
        <f>INDEX('6.0.35'!I:I,MATCH(F196,'6.0.35'!K:K,0))</f>
        <v>#N/A</v>
      </c>
      <c r="S196" s="1" t="e">
        <f>INDEX('6.0.35'!J:J,MATCH(F196,'6.0.35'!F:F,0))</f>
        <v>#N/A</v>
      </c>
    </row>
    <row r="197" spans="1:19">
      <c r="A197" t="s">
        <v>12468</v>
      </c>
      <c r="I197" s="1" t="str">
        <f t="shared" si="32"/>
        <v/>
      </c>
      <c r="J197" s="1">
        <f t="shared" si="33"/>
        <v>0</v>
      </c>
      <c r="K197" s="1" t="str">
        <f t="shared" si="34"/>
        <v/>
      </c>
      <c r="L197" s="1">
        <f t="shared" si="35"/>
        <v>0</v>
      </c>
      <c r="M197" s="1">
        <f t="shared" si="36"/>
        <v>0</v>
      </c>
      <c r="N197" s="1">
        <f t="shared" si="37"/>
        <v>0</v>
      </c>
      <c r="O197" s="1" t="b">
        <f t="shared" si="38"/>
        <v>0</v>
      </c>
      <c r="P197" s="1" t="e">
        <f>INDEX(G:G,MATCH(G197,G:G,0))</f>
        <v>#N/A</v>
      </c>
      <c r="Q197" s="1" t="e">
        <f t="shared" si="39"/>
        <v>#N/A</v>
      </c>
      <c r="R197" s="1" t="e">
        <f>INDEX('6.0.35'!I:I,MATCH(F197,'6.0.35'!K:K,0))</f>
        <v>#N/A</v>
      </c>
      <c r="S197" s="1" t="e">
        <f>INDEX('6.0.35'!J:J,MATCH(F197,'6.0.35'!F:F,0))</f>
        <v>#N/A</v>
      </c>
    </row>
    <row r="198" spans="1:19">
      <c r="A198" t="s">
        <v>12471</v>
      </c>
      <c r="I198" s="1" t="str">
        <f t="shared" si="32"/>
        <v/>
      </c>
      <c r="J198" s="1">
        <f t="shared" si="33"/>
        <v>0</v>
      </c>
      <c r="K198" s="1" t="str">
        <f t="shared" si="34"/>
        <v/>
      </c>
      <c r="L198" s="1">
        <f t="shared" si="35"/>
        <v>0</v>
      </c>
      <c r="M198" s="1">
        <f t="shared" si="36"/>
        <v>0</v>
      </c>
      <c r="N198" s="1">
        <f t="shared" si="37"/>
        <v>0</v>
      </c>
      <c r="O198" s="1" t="b">
        <f t="shared" si="38"/>
        <v>0</v>
      </c>
      <c r="P198" s="1" t="e">
        <f>INDEX(G:G,MATCH(G198,G:G,0))</f>
        <v>#N/A</v>
      </c>
      <c r="Q198" s="1" t="e">
        <f t="shared" si="39"/>
        <v>#N/A</v>
      </c>
      <c r="R198" s="1" t="e">
        <f>INDEX('6.0.35'!I:I,MATCH(F198,'6.0.35'!K:K,0))</f>
        <v>#N/A</v>
      </c>
      <c r="S198" s="1" t="e">
        <f>INDEX('6.0.35'!J:J,MATCH(F198,'6.0.35'!F:F,0))</f>
        <v>#N/A</v>
      </c>
    </row>
    <row r="199" spans="1:19">
      <c r="A199" t="s">
        <v>12474</v>
      </c>
      <c r="I199" s="1" t="str">
        <f t="shared" si="32"/>
        <v/>
      </c>
      <c r="J199" s="1">
        <f t="shared" si="33"/>
        <v>0</v>
      </c>
      <c r="K199" s="1" t="str">
        <f t="shared" si="34"/>
        <v/>
      </c>
      <c r="L199" s="1">
        <f t="shared" si="35"/>
        <v>0</v>
      </c>
      <c r="M199" s="1">
        <f t="shared" si="36"/>
        <v>0</v>
      </c>
      <c r="N199" s="1">
        <f t="shared" si="37"/>
        <v>0</v>
      </c>
      <c r="O199" s="1" t="b">
        <f t="shared" si="38"/>
        <v>0</v>
      </c>
      <c r="P199" s="1" t="e">
        <f>INDEX(G:G,MATCH(G199,G:G,0))</f>
        <v>#N/A</v>
      </c>
      <c r="Q199" s="1" t="e">
        <f t="shared" si="39"/>
        <v>#N/A</v>
      </c>
      <c r="R199" s="1" t="e">
        <f>INDEX('6.0.35'!I:I,MATCH(F199,'6.0.35'!K:K,0))</f>
        <v>#N/A</v>
      </c>
      <c r="S199" s="1" t="e">
        <f>INDEX('6.0.35'!J:J,MATCH(F199,'6.0.35'!F:F,0))</f>
        <v>#N/A</v>
      </c>
    </row>
    <row r="200" spans="1:19">
      <c r="A200" t="s">
        <v>12477</v>
      </c>
      <c r="I200" s="1" t="str">
        <f t="shared" si="32"/>
        <v/>
      </c>
      <c r="J200" s="1">
        <f t="shared" si="33"/>
        <v>0</v>
      </c>
      <c r="K200" s="1" t="str">
        <f t="shared" si="34"/>
        <v/>
      </c>
      <c r="L200" s="1">
        <f t="shared" si="35"/>
        <v>0</v>
      </c>
      <c r="M200" s="1">
        <f t="shared" si="36"/>
        <v>0</v>
      </c>
      <c r="N200" s="1">
        <f t="shared" si="37"/>
        <v>0</v>
      </c>
      <c r="O200" s="1" t="b">
        <f t="shared" si="38"/>
        <v>0</v>
      </c>
      <c r="P200" s="1" t="e">
        <f>INDEX(G:G,MATCH(G200,G:G,0))</f>
        <v>#N/A</v>
      </c>
      <c r="Q200" s="1" t="e">
        <f t="shared" si="39"/>
        <v>#N/A</v>
      </c>
      <c r="R200" s="1" t="e">
        <f>INDEX('6.0.35'!I:I,MATCH(F200,'6.0.35'!K:K,0))</f>
        <v>#N/A</v>
      </c>
      <c r="S200" s="1" t="e">
        <f>INDEX('6.0.35'!J:J,MATCH(F200,'6.0.35'!F:F,0))</f>
        <v>#N/A</v>
      </c>
    </row>
    <row r="201" spans="1:19">
      <c r="A201" t="s">
        <v>12480</v>
      </c>
      <c r="I201" s="1" t="str">
        <f t="shared" si="32"/>
        <v/>
      </c>
      <c r="J201" s="1">
        <f t="shared" si="33"/>
        <v>0</v>
      </c>
      <c r="K201" s="1" t="str">
        <f t="shared" si="34"/>
        <v/>
      </c>
      <c r="L201" s="1">
        <f t="shared" si="35"/>
        <v>0</v>
      </c>
      <c r="M201" s="1">
        <f t="shared" si="36"/>
        <v>0</v>
      </c>
      <c r="N201" s="1">
        <f t="shared" si="37"/>
        <v>0</v>
      </c>
      <c r="O201" s="1" t="b">
        <f t="shared" si="38"/>
        <v>0</v>
      </c>
      <c r="P201" s="1" t="e">
        <f>INDEX(G:G,MATCH(G201,G:G,0))</f>
        <v>#N/A</v>
      </c>
      <c r="Q201" s="1" t="e">
        <f t="shared" si="39"/>
        <v>#N/A</v>
      </c>
      <c r="R201" s="1" t="e">
        <f>INDEX('6.0.35'!I:I,MATCH(F201,'6.0.35'!K:K,0))</f>
        <v>#N/A</v>
      </c>
      <c r="S201" s="1" t="e">
        <f>INDEX('6.0.35'!J:J,MATCH(F201,'6.0.35'!F:F,0))</f>
        <v>#N/A</v>
      </c>
    </row>
    <row r="202" spans="1:19">
      <c r="A202" t="s">
        <v>12483</v>
      </c>
      <c r="I202" s="1" t="str">
        <f t="shared" si="32"/>
        <v/>
      </c>
      <c r="J202" s="1">
        <f t="shared" si="33"/>
        <v>0</v>
      </c>
      <c r="K202" s="1" t="str">
        <f t="shared" si="34"/>
        <v/>
      </c>
      <c r="L202" s="1">
        <f t="shared" si="35"/>
        <v>0</v>
      </c>
      <c r="M202" s="1">
        <f t="shared" si="36"/>
        <v>0</v>
      </c>
      <c r="N202" s="1">
        <f t="shared" si="37"/>
        <v>0</v>
      </c>
      <c r="O202" s="1" t="b">
        <f t="shared" si="38"/>
        <v>0</v>
      </c>
      <c r="P202" s="1" t="e">
        <f>INDEX(G:G,MATCH(G202,G:G,0))</f>
        <v>#N/A</v>
      </c>
      <c r="Q202" s="1" t="e">
        <f t="shared" si="39"/>
        <v>#N/A</v>
      </c>
      <c r="R202" s="1" t="e">
        <f>INDEX('6.0.35'!I:I,MATCH(F202,'6.0.35'!K:K,0))</f>
        <v>#N/A</v>
      </c>
      <c r="S202" s="1" t="e">
        <f>INDEX('6.0.35'!J:J,MATCH(F202,'6.0.35'!F:F,0))</f>
        <v>#N/A</v>
      </c>
    </row>
    <row r="203" spans="1:19">
      <c r="A203" t="s">
        <v>12486</v>
      </c>
      <c r="I203" s="1" t="str">
        <f t="shared" si="32"/>
        <v/>
      </c>
      <c r="J203" s="1">
        <f t="shared" si="33"/>
        <v>0</v>
      </c>
      <c r="K203" s="1" t="str">
        <f t="shared" si="34"/>
        <v/>
      </c>
      <c r="L203" s="1">
        <f t="shared" si="35"/>
        <v>0</v>
      </c>
      <c r="M203" s="1">
        <f t="shared" si="36"/>
        <v>0</v>
      </c>
      <c r="N203" s="1">
        <f t="shared" si="37"/>
        <v>0</v>
      </c>
      <c r="O203" s="1" t="b">
        <f t="shared" si="38"/>
        <v>0</v>
      </c>
      <c r="P203" s="1" t="e">
        <f>INDEX(G:G,MATCH(G203,G:G,0))</f>
        <v>#N/A</v>
      </c>
      <c r="Q203" s="1" t="e">
        <f t="shared" si="39"/>
        <v>#N/A</v>
      </c>
      <c r="R203" s="1" t="e">
        <f>INDEX('6.0.35'!I:I,MATCH(F203,'6.0.35'!K:K,0))</f>
        <v>#N/A</v>
      </c>
      <c r="S203" s="1" t="e">
        <f>INDEX('6.0.35'!J:J,MATCH(F203,'6.0.35'!F:F,0))</f>
        <v>#N/A</v>
      </c>
    </row>
    <row r="204" spans="1:19">
      <c r="A204" t="s">
        <v>12489</v>
      </c>
      <c r="I204" s="1" t="str">
        <f t="shared" si="32"/>
        <v/>
      </c>
      <c r="J204" s="1">
        <f t="shared" si="33"/>
        <v>0</v>
      </c>
      <c r="K204" s="1" t="str">
        <f t="shared" si="34"/>
        <v/>
      </c>
      <c r="L204" s="1">
        <f t="shared" si="35"/>
        <v>0</v>
      </c>
      <c r="M204" s="1">
        <f t="shared" si="36"/>
        <v>0</v>
      </c>
      <c r="N204" s="1">
        <f t="shared" si="37"/>
        <v>0</v>
      </c>
      <c r="O204" s="1" t="b">
        <f t="shared" si="38"/>
        <v>0</v>
      </c>
      <c r="P204" s="1" t="e">
        <f>INDEX(G:G,MATCH(G204,G:G,0))</f>
        <v>#N/A</v>
      </c>
      <c r="Q204" s="1" t="e">
        <f t="shared" si="39"/>
        <v>#N/A</v>
      </c>
      <c r="R204" s="1" t="e">
        <f>INDEX('6.0.35'!I:I,MATCH(F204,'6.0.35'!K:K,0))</f>
        <v>#N/A</v>
      </c>
      <c r="S204" s="1" t="e">
        <f>INDEX('6.0.35'!J:J,MATCH(F204,'6.0.35'!F:F,0))</f>
        <v>#N/A</v>
      </c>
    </row>
    <row r="205" spans="1:19">
      <c r="A205" t="s">
        <v>12492</v>
      </c>
      <c r="I205" s="1" t="str">
        <f t="shared" si="32"/>
        <v/>
      </c>
      <c r="J205" s="1">
        <f t="shared" si="33"/>
        <v>0</v>
      </c>
      <c r="K205" s="1" t="str">
        <f t="shared" si="34"/>
        <v/>
      </c>
      <c r="L205" s="1">
        <f t="shared" si="35"/>
        <v>0</v>
      </c>
      <c r="M205" s="1">
        <f t="shared" si="36"/>
        <v>0</v>
      </c>
      <c r="N205" s="1">
        <f t="shared" si="37"/>
        <v>0</v>
      </c>
      <c r="O205" s="1" t="b">
        <f t="shared" si="38"/>
        <v>0</v>
      </c>
      <c r="P205" s="1" t="e">
        <f>INDEX(G:G,MATCH(G205,G:G,0))</f>
        <v>#N/A</v>
      </c>
      <c r="Q205" s="1" t="e">
        <f t="shared" si="39"/>
        <v>#N/A</v>
      </c>
      <c r="R205" s="1" t="e">
        <f>INDEX('6.0.35'!I:I,MATCH(F205,'6.0.35'!K:K,0))</f>
        <v>#N/A</v>
      </c>
      <c r="S205" s="1" t="e">
        <f>INDEX('6.0.35'!J:J,MATCH(F205,'6.0.35'!F:F,0))</f>
        <v>#N/A</v>
      </c>
    </row>
    <row r="206" spans="1:19">
      <c r="A206" t="s">
        <v>12495</v>
      </c>
      <c r="I206" s="1" t="str">
        <f t="shared" si="32"/>
        <v/>
      </c>
      <c r="J206" s="1">
        <f t="shared" si="33"/>
        <v>0</v>
      </c>
      <c r="K206" s="1" t="str">
        <f t="shared" si="34"/>
        <v/>
      </c>
      <c r="L206" s="1">
        <f t="shared" si="35"/>
        <v>0</v>
      </c>
      <c r="M206" s="1">
        <f t="shared" si="36"/>
        <v>0</v>
      </c>
      <c r="N206" s="1">
        <f t="shared" si="37"/>
        <v>0</v>
      </c>
      <c r="O206" s="1" t="b">
        <f t="shared" si="38"/>
        <v>0</v>
      </c>
      <c r="P206" s="1" t="e">
        <f>INDEX(G:G,MATCH(G206,G:G,0))</f>
        <v>#N/A</v>
      </c>
      <c r="Q206" s="1" t="e">
        <f t="shared" si="39"/>
        <v>#N/A</v>
      </c>
      <c r="R206" s="1" t="e">
        <f>INDEX('6.0.35'!I:I,MATCH(F206,'6.0.35'!K:K,0))</f>
        <v>#N/A</v>
      </c>
      <c r="S206" s="1" t="e">
        <f>INDEX('6.0.35'!J:J,MATCH(F206,'6.0.35'!F:F,0))</f>
        <v>#N/A</v>
      </c>
    </row>
    <row r="207" spans="1:19">
      <c r="A207" t="s">
        <v>12498</v>
      </c>
      <c r="I207" s="1" t="str">
        <f t="shared" si="32"/>
        <v/>
      </c>
      <c r="J207" s="1">
        <f t="shared" si="33"/>
        <v>0</v>
      </c>
      <c r="K207" s="1" t="str">
        <f t="shared" si="34"/>
        <v/>
      </c>
      <c r="L207" s="1">
        <f t="shared" si="35"/>
        <v>0</v>
      </c>
      <c r="M207" s="1">
        <f t="shared" si="36"/>
        <v>0</v>
      </c>
      <c r="N207" s="1">
        <f t="shared" si="37"/>
        <v>0</v>
      </c>
      <c r="O207" s="1" t="b">
        <f t="shared" si="38"/>
        <v>0</v>
      </c>
      <c r="P207" s="1" t="e">
        <f>INDEX(G:G,MATCH(G207,G:G,0))</f>
        <v>#N/A</v>
      </c>
      <c r="Q207" s="1" t="e">
        <f t="shared" si="39"/>
        <v>#N/A</v>
      </c>
      <c r="R207" s="1" t="e">
        <f>INDEX('6.0.35'!I:I,MATCH(F207,'6.0.35'!K:K,0))</f>
        <v>#N/A</v>
      </c>
      <c r="S207" s="1" t="e">
        <f>INDEX('6.0.35'!J:J,MATCH(F207,'6.0.35'!F:F,0))</f>
        <v>#N/A</v>
      </c>
    </row>
    <row r="208" spans="1:19">
      <c r="A208" t="s">
        <v>12501</v>
      </c>
      <c r="I208" s="1" t="str">
        <f t="shared" si="32"/>
        <v/>
      </c>
      <c r="J208" s="1">
        <f t="shared" si="33"/>
        <v>0</v>
      </c>
      <c r="K208" s="1" t="str">
        <f t="shared" si="34"/>
        <v/>
      </c>
      <c r="L208" s="1">
        <f t="shared" si="35"/>
        <v>0</v>
      </c>
      <c r="M208" s="1">
        <f t="shared" si="36"/>
        <v>0</v>
      </c>
      <c r="N208" s="1">
        <f t="shared" si="37"/>
        <v>0</v>
      </c>
      <c r="O208" s="1" t="b">
        <f t="shared" si="38"/>
        <v>0</v>
      </c>
      <c r="P208" s="1" t="e">
        <f>INDEX(G:G,MATCH(G208,G:G,0))</f>
        <v>#N/A</v>
      </c>
      <c r="Q208" s="1" t="e">
        <f t="shared" si="39"/>
        <v>#N/A</v>
      </c>
      <c r="R208" s="1" t="e">
        <f>INDEX('6.0.35'!I:I,MATCH(F208,'6.0.35'!K:K,0))</f>
        <v>#N/A</v>
      </c>
      <c r="S208" s="1" t="e">
        <f>INDEX('6.0.35'!J:J,MATCH(F208,'6.0.35'!F:F,0))</f>
        <v>#N/A</v>
      </c>
    </row>
    <row r="209" spans="1:19">
      <c r="A209" t="s">
        <v>12504</v>
      </c>
      <c r="I209" s="1" t="str">
        <f t="shared" si="32"/>
        <v/>
      </c>
      <c r="J209" s="1">
        <f t="shared" si="33"/>
        <v>0</v>
      </c>
      <c r="K209" s="1" t="str">
        <f t="shared" si="34"/>
        <v/>
      </c>
      <c r="L209" s="1">
        <f t="shared" si="35"/>
        <v>0</v>
      </c>
      <c r="M209" s="1">
        <f t="shared" si="36"/>
        <v>0</v>
      </c>
      <c r="N209" s="1">
        <f t="shared" si="37"/>
        <v>0</v>
      </c>
      <c r="O209" s="1" t="b">
        <f t="shared" si="38"/>
        <v>0</v>
      </c>
      <c r="P209" s="1" t="e">
        <f>INDEX(G:G,MATCH(G209,G:G,0))</f>
        <v>#N/A</v>
      </c>
      <c r="Q209" s="1" t="e">
        <f t="shared" si="39"/>
        <v>#N/A</v>
      </c>
      <c r="R209" s="1" t="e">
        <f>INDEX('6.0.35'!I:I,MATCH(F209,'6.0.35'!K:K,0))</f>
        <v>#N/A</v>
      </c>
      <c r="S209" s="1" t="e">
        <f>INDEX('6.0.35'!J:J,MATCH(F209,'6.0.35'!F:F,0))</f>
        <v>#N/A</v>
      </c>
    </row>
    <row r="210" spans="1:19">
      <c r="A210" t="s">
        <v>12507</v>
      </c>
      <c r="I210" s="1" t="str">
        <f t="shared" si="32"/>
        <v/>
      </c>
      <c r="J210" s="1">
        <f t="shared" si="33"/>
        <v>0</v>
      </c>
      <c r="K210" s="1" t="str">
        <f t="shared" si="34"/>
        <v/>
      </c>
      <c r="L210" s="1">
        <f t="shared" si="35"/>
        <v>0</v>
      </c>
      <c r="M210" s="1">
        <f t="shared" si="36"/>
        <v>0</v>
      </c>
      <c r="N210" s="1">
        <f t="shared" si="37"/>
        <v>0</v>
      </c>
      <c r="O210" s="1" t="b">
        <f t="shared" si="38"/>
        <v>0</v>
      </c>
      <c r="P210" s="1" t="e">
        <f>INDEX(G:G,MATCH(G210,G:G,0))</f>
        <v>#N/A</v>
      </c>
      <c r="Q210" s="1" t="e">
        <f t="shared" si="39"/>
        <v>#N/A</v>
      </c>
      <c r="R210" s="1" t="e">
        <f>INDEX('6.0.35'!I:I,MATCH(F210,'6.0.35'!K:K,0))</f>
        <v>#N/A</v>
      </c>
      <c r="S210" s="1" t="e">
        <f>INDEX('6.0.35'!J:J,MATCH(F210,'6.0.35'!F:F,0))</f>
        <v>#N/A</v>
      </c>
    </row>
    <row r="211" spans="1:19">
      <c r="A211" t="s">
        <v>12510</v>
      </c>
      <c r="I211" s="1" t="str">
        <f t="shared" si="32"/>
        <v/>
      </c>
      <c r="J211" s="1">
        <f t="shared" si="33"/>
        <v>0</v>
      </c>
      <c r="K211" s="1" t="str">
        <f t="shared" si="34"/>
        <v/>
      </c>
      <c r="L211" s="1">
        <f t="shared" si="35"/>
        <v>0</v>
      </c>
      <c r="M211" s="1">
        <f t="shared" si="36"/>
        <v>0</v>
      </c>
      <c r="N211" s="1">
        <f t="shared" si="37"/>
        <v>0</v>
      </c>
      <c r="O211" s="1" t="b">
        <f t="shared" si="38"/>
        <v>0</v>
      </c>
      <c r="P211" s="1" t="e">
        <f>INDEX(G:G,MATCH(G211,G:G,0))</f>
        <v>#N/A</v>
      </c>
      <c r="Q211" s="1" t="e">
        <f t="shared" si="39"/>
        <v>#N/A</v>
      </c>
      <c r="R211" s="1" t="e">
        <f>INDEX('6.0.35'!I:I,MATCH(F211,'6.0.35'!K:K,0))</f>
        <v>#N/A</v>
      </c>
      <c r="S211" s="1" t="e">
        <f>INDEX('6.0.35'!J:J,MATCH(F211,'6.0.35'!F:F,0))</f>
        <v>#N/A</v>
      </c>
    </row>
    <row r="212" spans="1:19">
      <c r="A212" t="s">
        <v>12513</v>
      </c>
      <c r="I212" s="1" t="str">
        <f t="shared" si="32"/>
        <v/>
      </c>
      <c r="J212" s="1">
        <f t="shared" si="33"/>
        <v>0</v>
      </c>
      <c r="K212" s="1" t="str">
        <f t="shared" si="34"/>
        <v/>
      </c>
      <c r="L212" s="1">
        <f t="shared" si="35"/>
        <v>0</v>
      </c>
      <c r="M212" s="1">
        <f t="shared" si="36"/>
        <v>0</v>
      </c>
      <c r="N212" s="1">
        <f t="shared" si="37"/>
        <v>0</v>
      </c>
      <c r="O212" s="1" t="b">
        <f t="shared" si="38"/>
        <v>0</v>
      </c>
      <c r="P212" s="1" t="e">
        <f>INDEX(G:G,MATCH(G212,G:G,0))</f>
        <v>#N/A</v>
      </c>
      <c r="Q212" s="1" t="e">
        <f t="shared" si="39"/>
        <v>#N/A</v>
      </c>
      <c r="R212" s="1" t="e">
        <f>INDEX('6.0.35'!I:I,MATCH(F212,'6.0.35'!K:K,0))</f>
        <v>#N/A</v>
      </c>
      <c r="S212" s="1" t="e">
        <f>INDEX('6.0.35'!J:J,MATCH(F212,'6.0.35'!F:F,0))</f>
        <v>#N/A</v>
      </c>
    </row>
    <row r="213" spans="1:19">
      <c r="A213" t="s">
        <v>12609</v>
      </c>
      <c r="I213" s="1" t="str">
        <f t="shared" si="32"/>
        <v/>
      </c>
      <c r="J213" s="1">
        <f t="shared" si="33"/>
        <v>0</v>
      </c>
      <c r="K213" s="1" t="str">
        <f t="shared" si="34"/>
        <v/>
      </c>
      <c r="L213" s="1">
        <f t="shared" si="35"/>
        <v>0</v>
      </c>
      <c r="M213" s="1">
        <f t="shared" si="36"/>
        <v>0</v>
      </c>
      <c r="N213" s="1">
        <f t="shared" si="37"/>
        <v>0</v>
      </c>
      <c r="O213" s="1" t="b">
        <f t="shared" si="38"/>
        <v>0</v>
      </c>
      <c r="P213" s="1" t="e">
        <f>INDEX(G:G,MATCH(G213,G:G,0))</f>
        <v>#N/A</v>
      </c>
      <c r="Q213" s="1" t="e">
        <f t="shared" si="39"/>
        <v>#N/A</v>
      </c>
      <c r="R213" s="1" t="e">
        <f>INDEX('6.0.35'!I:I,MATCH(F213,'6.0.35'!K:K,0))</f>
        <v>#N/A</v>
      </c>
      <c r="S213" s="1" t="e">
        <f>INDEX('6.0.35'!J:J,MATCH(F213,'6.0.35'!F:F,0))</f>
        <v>#N/A</v>
      </c>
    </row>
    <row r="214" spans="1:19">
      <c r="A214" t="s">
        <v>12612</v>
      </c>
      <c r="I214" s="1" t="str">
        <f t="shared" si="32"/>
        <v/>
      </c>
      <c r="J214" s="1">
        <f t="shared" si="33"/>
        <v>0</v>
      </c>
      <c r="K214" s="1" t="str">
        <f t="shared" si="34"/>
        <v/>
      </c>
      <c r="L214" s="1">
        <f t="shared" si="35"/>
        <v>0</v>
      </c>
      <c r="M214" s="1">
        <f t="shared" si="36"/>
        <v>0</v>
      </c>
      <c r="N214" s="1">
        <f t="shared" si="37"/>
        <v>0</v>
      </c>
      <c r="O214" s="1" t="b">
        <f t="shared" si="38"/>
        <v>0</v>
      </c>
      <c r="P214" s="1" t="e">
        <f>INDEX(G:G,MATCH(G214,G:G,0))</f>
        <v>#N/A</v>
      </c>
      <c r="Q214" s="1" t="e">
        <f t="shared" si="39"/>
        <v>#N/A</v>
      </c>
      <c r="R214" s="1" t="e">
        <f>INDEX('6.0.35'!I:I,MATCH(F214,'6.0.35'!K:K,0))</f>
        <v>#N/A</v>
      </c>
      <c r="S214" s="1" t="e">
        <f>INDEX('6.0.35'!J:J,MATCH(F214,'6.0.35'!F:F,0))</f>
        <v>#N/A</v>
      </c>
    </row>
    <row r="215" spans="1:19">
      <c r="A215" t="s">
        <v>12615</v>
      </c>
      <c r="I215" s="1" t="str">
        <f t="shared" si="32"/>
        <v/>
      </c>
      <c r="J215" s="1">
        <f t="shared" si="33"/>
        <v>0</v>
      </c>
      <c r="K215" s="1" t="str">
        <f t="shared" si="34"/>
        <v/>
      </c>
      <c r="L215" s="1">
        <f t="shared" si="35"/>
        <v>0</v>
      </c>
      <c r="M215" s="1">
        <f t="shared" si="36"/>
        <v>0</v>
      </c>
      <c r="N215" s="1">
        <f t="shared" si="37"/>
        <v>0</v>
      </c>
      <c r="O215" s="1" t="b">
        <f t="shared" si="38"/>
        <v>0</v>
      </c>
      <c r="P215" s="1" t="e">
        <f>INDEX(G:G,MATCH(G215,G:G,0))</f>
        <v>#N/A</v>
      </c>
      <c r="Q215" s="1" t="e">
        <f t="shared" si="39"/>
        <v>#N/A</v>
      </c>
      <c r="R215" s="1" t="e">
        <f>INDEX('6.0.35'!I:I,MATCH(F215,'6.0.35'!K:K,0))</f>
        <v>#N/A</v>
      </c>
      <c r="S215" s="1" t="e">
        <f>INDEX('6.0.35'!J:J,MATCH(F215,'6.0.35'!F:F,0))</f>
        <v>#N/A</v>
      </c>
    </row>
    <row r="216" spans="1:19">
      <c r="A216" t="s">
        <v>12618</v>
      </c>
      <c r="I216" s="1" t="str">
        <f t="shared" si="32"/>
        <v/>
      </c>
      <c r="J216" s="1">
        <f t="shared" si="33"/>
        <v>0</v>
      </c>
      <c r="K216" s="1" t="str">
        <f t="shared" si="34"/>
        <v/>
      </c>
      <c r="L216" s="1">
        <f t="shared" si="35"/>
        <v>0</v>
      </c>
      <c r="M216" s="1">
        <f t="shared" si="36"/>
        <v>0</v>
      </c>
      <c r="N216" s="1">
        <f t="shared" si="37"/>
        <v>0</v>
      </c>
      <c r="O216" s="1" t="b">
        <f t="shared" si="38"/>
        <v>0</v>
      </c>
      <c r="P216" s="1" t="e">
        <f>INDEX(G:G,MATCH(G216,G:G,0))</f>
        <v>#N/A</v>
      </c>
      <c r="Q216" s="1" t="e">
        <f t="shared" si="39"/>
        <v>#N/A</v>
      </c>
      <c r="R216" s="1" t="e">
        <f>INDEX('6.0.35'!I:I,MATCH(F216,'6.0.35'!K:K,0))</f>
        <v>#N/A</v>
      </c>
      <c r="S216" s="1" t="e">
        <f>INDEX('6.0.35'!J:J,MATCH(F216,'6.0.35'!F:F,0))</f>
        <v>#N/A</v>
      </c>
    </row>
    <row r="217" spans="1:19">
      <c r="A217" t="s">
        <v>12657</v>
      </c>
      <c r="I217" s="1" t="str">
        <f t="shared" si="32"/>
        <v/>
      </c>
      <c r="J217" s="1">
        <f t="shared" si="33"/>
        <v>0</v>
      </c>
      <c r="K217" s="1" t="str">
        <f t="shared" si="34"/>
        <v/>
      </c>
      <c r="L217" s="1">
        <f t="shared" si="35"/>
        <v>0</v>
      </c>
      <c r="M217" s="1">
        <f t="shared" si="36"/>
        <v>0</v>
      </c>
      <c r="N217" s="1">
        <f t="shared" si="37"/>
        <v>0</v>
      </c>
      <c r="O217" s="1" t="b">
        <f t="shared" si="38"/>
        <v>0</v>
      </c>
      <c r="P217" s="1" t="e">
        <f>INDEX(G:G,MATCH(G217,G:G,0))</f>
        <v>#N/A</v>
      </c>
      <c r="Q217" s="1" t="e">
        <f t="shared" si="39"/>
        <v>#N/A</v>
      </c>
      <c r="R217" s="1" t="e">
        <f>INDEX('6.0.35'!I:I,MATCH(F217,'6.0.35'!K:K,0))</f>
        <v>#N/A</v>
      </c>
      <c r="S217" s="1" t="e">
        <f>INDEX('6.0.35'!J:J,MATCH(F217,'6.0.35'!F:F,0))</f>
        <v>#N/A</v>
      </c>
    </row>
    <row r="218" spans="1:19">
      <c r="A218" t="s">
        <v>12660</v>
      </c>
      <c r="I218" s="1" t="str">
        <f t="shared" si="32"/>
        <v/>
      </c>
      <c r="J218" s="1">
        <f t="shared" si="33"/>
        <v>0</v>
      </c>
      <c r="K218" s="1" t="str">
        <f t="shared" si="34"/>
        <v/>
      </c>
      <c r="L218" s="1">
        <f t="shared" si="35"/>
        <v>0</v>
      </c>
      <c r="M218" s="1">
        <f t="shared" si="36"/>
        <v>0</v>
      </c>
      <c r="N218" s="1">
        <f t="shared" si="37"/>
        <v>0</v>
      </c>
      <c r="O218" s="1" t="b">
        <f t="shared" si="38"/>
        <v>0</v>
      </c>
      <c r="P218" s="1" t="e">
        <f>INDEX(G:G,MATCH(G218,G:G,0))</f>
        <v>#N/A</v>
      </c>
      <c r="Q218" s="1" t="e">
        <f t="shared" si="39"/>
        <v>#N/A</v>
      </c>
      <c r="R218" s="1" t="e">
        <f>INDEX('6.0.35'!I:I,MATCH(F218,'6.0.35'!K:K,0))</f>
        <v>#N/A</v>
      </c>
      <c r="S218" s="1" t="e">
        <f>INDEX('6.0.35'!J:J,MATCH(F218,'6.0.35'!F:F,0))</f>
        <v>#N/A</v>
      </c>
    </row>
    <row r="219" spans="1:19">
      <c r="A219" t="s">
        <v>12663</v>
      </c>
      <c r="I219" s="1" t="str">
        <f t="shared" si="32"/>
        <v/>
      </c>
      <c r="J219" s="1">
        <f t="shared" si="33"/>
        <v>0</v>
      </c>
      <c r="K219" s="1" t="str">
        <f t="shared" si="34"/>
        <v/>
      </c>
      <c r="L219" s="1">
        <f t="shared" si="35"/>
        <v>0</v>
      </c>
      <c r="M219" s="1">
        <f t="shared" si="36"/>
        <v>0</v>
      </c>
      <c r="N219" s="1">
        <f t="shared" si="37"/>
        <v>0</v>
      </c>
      <c r="O219" s="1" t="b">
        <f t="shared" si="38"/>
        <v>0</v>
      </c>
      <c r="P219" s="1" t="e">
        <f>INDEX(G:G,MATCH(G219,G:G,0))</f>
        <v>#N/A</v>
      </c>
      <c r="Q219" s="1" t="e">
        <f t="shared" si="39"/>
        <v>#N/A</v>
      </c>
      <c r="R219" s="1" t="e">
        <f>INDEX('6.0.35'!I:I,MATCH(F219,'6.0.35'!K:K,0))</f>
        <v>#N/A</v>
      </c>
      <c r="S219" s="1" t="e">
        <f>INDEX('6.0.35'!J:J,MATCH(F219,'6.0.35'!F:F,0))</f>
        <v>#N/A</v>
      </c>
    </row>
    <row r="220" spans="1:19">
      <c r="A220" t="s">
        <v>12666</v>
      </c>
      <c r="I220" s="1" t="str">
        <f t="shared" si="32"/>
        <v/>
      </c>
      <c r="J220" s="1">
        <f t="shared" si="33"/>
        <v>0</v>
      </c>
      <c r="K220" s="1" t="str">
        <f t="shared" si="34"/>
        <v/>
      </c>
      <c r="L220" s="1">
        <f t="shared" si="35"/>
        <v>0</v>
      </c>
      <c r="M220" s="1">
        <f t="shared" si="36"/>
        <v>0</v>
      </c>
      <c r="N220" s="1">
        <f t="shared" si="37"/>
        <v>0</v>
      </c>
      <c r="O220" s="1" t="b">
        <f t="shared" si="38"/>
        <v>0</v>
      </c>
      <c r="P220" s="1" t="e">
        <f>INDEX(G:G,MATCH(G220,G:G,0))</f>
        <v>#N/A</v>
      </c>
      <c r="Q220" s="1" t="e">
        <f t="shared" si="39"/>
        <v>#N/A</v>
      </c>
      <c r="R220" s="1" t="e">
        <f>INDEX('6.0.35'!I:I,MATCH(F220,'6.0.35'!K:K,0))</f>
        <v>#N/A</v>
      </c>
      <c r="S220" s="1" t="e">
        <f>INDEX('6.0.35'!J:J,MATCH(F220,'6.0.35'!F:F,0))</f>
        <v>#N/A</v>
      </c>
    </row>
    <row r="221" spans="1:19">
      <c r="A221" t="s">
        <v>12669</v>
      </c>
      <c r="I221" s="1" t="str">
        <f t="shared" si="32"/>
        <v/>
      </c>
      <c r="J221" s="1">
        <f t="shared" si="33"/>
        <v>0</v>
      </c>
      <c r="K221" s="1" t="str">
        <f t="shared" si="34"/>
        <v/>
      </c>
      <c r="L221" s="1">
        <f t="shared" si="35"/>
        <v>0</v>
      </c>
      <c r="M221" s="1">
        <f t="shared" si="36"/>
        <v>0</v>
      </c>
      <c r="N221" s="1">
        <f t="shared" si="37"/>
        <v>0</v>
      </c>
      <c r="O221" s="1" t="b">
        <f t="shared" si="38"/>
        <v>0</v>
      </c>
      <c r="P221" s="1" t="e">
        <f>INDEX(G:G,MATCH(G221,G:G,0))</f>
        <v>#N/A</v>
      </c>
      <c r="Q221" s="1" t="e">
        <f t="shared" si="39"/>
        <v>#N/A</v>
      </c>
      <c r="R221" s="1" t="e">
        <f>INDEX('6.0.35'!I:I,MATCH(F221,'6.0.35'!K:K,0))</f>
        <v>#N/A</v>
      </c>
      <c r="S221" s="1" t="e">
        <f>INDEX('6.0.35'!J:J,MATCH(F221,'6.0.35'!F:F,0))</f>
        <v>#N/A</v>
      </c>
    </row>
    <row r="222" spans="1:19">
      <c r="A222" t="s">
        <v>12672</v>
      </c>
      <c r="I222" s="1" t="str">
        <f t="shared" si="32"/>
        <v/>
      </c>
      <c r="J222" s="1">
        <f t="shared" si="33"/>
        <v>0</v>
      </c>
      <c r="K222" s="1" t="str">
        <f t="shared" si="34"/>
        <v/>
      </c>
      <c r="L222" s="1">
        <f t="shared" si="35"/>
        <v>0</v>
      </c>
      <c r="M222" s="1">
        <f t="shared" si="36"/>
        <v>0</v>
      </c>
      <c r="N222" s="1">
        <f t="shared" si="37"/>
        <v>0</v>
      </c>
      <c r="O222" s="1" t="b">
        <f t="shared" si="38"/>
        <v>0</v>
      </c>
      <c r="P222" s="1" t="e">
        <f>INDEX(G:G,MATCH(G222,G:G,0))</f>
        <v>#N/A</v>
      </c>
      <c r="Q222" s="1" t="e">
        <f t="shared" si="39"/>
        <v>#N/A</v>
      </c>
      <c r="R222" s="1" t="e">
        <f>INDEX('6.0.35'!I:I,MATCH(F222,'6.0.35'!K:K,0))</f>
        <v>#N/A</v>
      </c>
      <c r="S222" s="1" t="e">
        <f>INDEX('6.0.35'!J:J,MATCH(F222,'6.0.35'!F:F,0))</f>
        <v>#N/A</v>
      </c>
    </row>
    <row r="223" spans="1:19">
      <c r="A223" t="s">
        <v>12675</v>
      </c>
      <c r="I223" s="1" t="str">
        <f t="shared" si="32"/>
        <v/>
      </c>
      <c r="J223" s="1">
        <f t="shared" si="33"/>
        <v>0</v>
      </c>
      <c r="K223" s="1" t="str">
        <f t="shared" si="34"/>
        <v/>
      </c>
      <c r="L223" s="1">
        <f t="shared" si="35"/>
        <v>0</v>
      </c>
      <c r="M223" s="1">
        <f t="shared" si="36"/>
        <v>0</v>
      </c>
      <c r="N223" s="1">
        <f t="shared" si="37"/>
        <v>0</v>
      </c>
      <c r="O223" s="1" t="b">
        <f t="shared" si="38"/>
        <v>0</v>
      </c>
      <c r="P223" s="1" t="e">
        <f>INDEX(G:G,MATCH(G223,G:G,0))</f>
        <v>#N/A</v>
      </c>
      <c r="Q223" s="1" t="e">
        <f t="shared" si="39"/>
        <v>#N/A</v>
      </c>
      <c r="R223" s="1" t="e">
        <f>INDEX('6.0.35'!I:I,MATCH(F223,'6.0.35'!K:K,0))</f>
        <v>#N/A</v>
      </c>
      <c r="S223" s="1" t="e">
        <f>INDEX('6.0.35'!J:J,MATCH(F223,'6.0.35'!F:F,0))</f>
        <v>#N/A</v>
      </c>
    </row>
    <row r="224" spans="1:19">
      <c r="A224" t="s">
        <v>12678</v>
      </c>
      <c r="I224" s="1" t="str">
        <f t="shared" si="32"/>
        <v/>
      </c>
      <c r="J224" s="1">
        <f t="shared" si="33"/>
        <v>0</v>
      </c>
      <c r="K224" s="1" t="str">
        <f t="shared" si="34"/>
        <v/>
      </c>
      <c r="L224" s="1">
        <f t="shared" si="35"/>
        <v>0</v>
      </c>
      <c r="M224" s="1">
        <f t="shared" si="36"/>
        <v>0</v>
      </c>
      <c r="N224" s="1">
        <f t="shared" si="37"/>
        <v>0</v>
      </c>
      <c r="O224" s="1" t="b">
        <f t="shared" si="38"/>
        <v>0</v>
      </c>
      <c r="P224" s="1" t="e">
        <f>INDEX(G:G,MATCH(G224,G:G,0))</f>
        <v>#N/A</v>
      </c>
      <c r="Q224" s="1" t="e">
        <f t="shared" si="39"/>
        <v>#N/A</v>
      </c>
      <c r="R224" s="1" t="e">
        <f>INDEX('6.0.35'!I:I,MATCH(F224,'6.0.35'!K:K,0))</f>
        <v>#N/A</v>
      </c>
      <c r="S224" s="1" t="e">
        <f>INDEX('6.0.35'!J:J,MATCH(F224,'6.0.35'!F:F,0))</f>
        <v>#N/A</v>
      </c>
    </row>
    <row r="225" spans="1:19">
      <c r="A225" t="s">
        <v>12681</v>
      </c>
      <c r="I225" s="1" t="str">
        <f t="shared" si="32"/>
        <v/>
      </c>
      <c r="J225" s="1">
        <f t="shared" si="33"/>
        <v>0</v>
      </c>
      <c r="K225" s="1" t="str">
        <f t="shared" si="34"/>
        <v/>
      </c>
      <c r="L225" s="1">
        <f t="shared" si="35"/>
        <v>0</v>
      </c>
      <c r="M225" s="1">
        <f t="shared" si="36"/>
        <v>0</v>
      </c>
      <c r="N225" s="1">
        <f t="shared" si="37"/>
        <v>0</v>
      </c>
      <c r="O225" s="1" t="b">
        <f t="shared" si="38"/>
        <v>0</v>
      </c>
      <c r="P225" s="1" t="e">
        <f>INDEX(G:G,MATCH(G225,G:G,0))</f>
        <v>#N/A</v>
      </c>
      <c r="Q225" s="1" t="e">
        <f t="shared" si="39"/>
        <v>#N/A</v>
      </c>
      <c r="R225" s="1" t="e">
        <f>INDEX('6.0.35'!I:I,MATCH(F225,'6.0.35'!K:K,0))</f>
        <v>#N/A</v>
      </c>
      <c r="S225" s="1" t="e">
        <f>INDEX('6.0.35'!J:J,MATCH(F225,'6.0.35'!F:F,0))</f>
        <v>#N/A</v>
      </c>
    </row>
    <row r="226" spans="1:19">
      <c r="A226" t="s">
        <v>12690</v>
      </c>
      <c r="I226" s="1" t="str">
        <f t="shared" si="32"/>
        <v/>
      </c>
      <c r="J226" s="1">
        <f t="shared" si="33"/>
        <v>0</v>
      </c>
      <c r="K226" s="1" t="str">
        <f t="shared" si="34"/>
        <v/>
      </c>
      <c r="L226" s="1">
        <f t="shared" si="35"/>
        <v>0</v>
      </c>
      <c r="M226" s="1">
        <f t="shared" si="36"/>
        <v>0</v>
      </c>
      <c r="N226" s="1">
        <f t="shared" si="37"/>
        <v>0</v>
      </c>
      <c r="O226" s="1" t="b">
        <f t="shared" si="38"/>
        <v>0</v>
      </c>
      <c r="P226" s="1" t="e">
        <f>INDEX(G:G,MATCH(G226,G:G,0))</f>
        <v>#N/A</v>
      </c>
      <c r="Q226" s="1" t="e">
        <f t="shared" si="39"/>
        <v>#N/A</v>
      </c>
      <c r="R226" s="1" t="e">
        <f>INDEX('6.0.35'!I:I,MATCH(F226,'6.0.35'!K:K,0))</f>
        <v>#N/A</v>
      </c>
      <c r="S226" s="1" t="e">
        <f>INDEX('6.0.35'!J:J,MATCH(F226,'6.0.35'!F:F,0))</f>
        <v>#N/A</v>
      </c>
    </row>
    <row r="227" spans="1:19">
      <c r="A227" t="s">
        <v>12693</v>
      </c>
      <c r="I227" s="1" t="str">
        <f t="shared" si="32"/>
        <v/>
      </c>
      <c r="J227" s="1">
        <f t="shared" si="33"/>
        <v>0</v>
      </c>
      <c r="K227" s="1" t="str">
        <f t="shared" si="34"/>
        <v/>
      </c>
      <c r="L227" s="1">
        <f t="shared" si="35"/>
        <v>0</v>
      </c>
      <c r="M227" s="1">
        <f t="shared" si="36"/>
        <v>0</v>
      </c>
      <c r="N227" s="1">
        <f t="shared" si="37"/>
        <v>0</v>
      </c>
      <c r="O227" s="1" t="b">
        <f t="shared" si="38"/>
        <v>0</v>
      </c>
      <c r="P227" s="1" t="e">
        <f>INDEX(G:G,MATCH(G227,G:G,0))</f>
        <v>#N/A</v>
      </c>
      <c r="Q227" s="1" t="e">
        <f t="shared" si="39"/>
        <v>#N/A</v>
      </c>
      <c r="R227" s="1" t="e">
        <f>INDEX('6.0.35'!I:I,MATCH(F227,'6.0.35'!K:K,0))</f>
        <v>#N/A</v>
      </c>
      <c r="S227" s="1" t="e">
        <f>INDEX('6.0.35'!J:J,MATCH(F227,'6.0.35'!F:F,0))</f>
        <v>#N/A</v>
      </c>
    </row>
    <row r="228" spans="1:19">
      <c r="A228" t="s">
        <v>12696</v>
      </c>
      <c r="I228" s="1" t="str">
        <f t="shared" si="32"/>
        <v/>
      </c>
      <c r="J228" s="1">
        <f t="shared" si="33"/>
        <v>0</v>
      </c>
      <c r="K228" s="1" t="str">
        <f t="shared" si="34"/>
        <v/>
      </c>
      <c r="L228" s="1">
        <f t="shared" si="35"/>
        <v>0</v>
      </c>
      <c r="M228" s="1">
        <f t="shared" si="36"/>
        <v>0</v>
      </c>
      <c r="N228" s="1">
        <f t="shared" si="37"/>
        <v>0</v>
      </c>
      <c r="O228" s="1" t="b">
        <f t="shared" si="38"/>
        <v>0</v>
      </c>
      <c r="P228" s="1" t="e">
        <f>INDEX(G:G,MATCH(G228,G:G,0))</f>
        <v>#N/A</v>
      </c>
      <c r="Q228" s="1" t="e">
        <f t="shared" si="39"/>
        <v>#N/A</v>
      </c>
      <c r="R228" s="1" t="e">
        <f>INDEX('6.0.35'!I:I,MATCH(F228,'6.0.35'!K:K,0))</f>
        <v>#N/A</v>
      </c>
      <c r="S228" s="1" t="e">
        <f>INDEX('6.0.35'!J:J,MATCH(F228,'6.0.35'!F:F,0))</f>
        <v>#N/A</v>
      </c>
    </row>
    <row r="229" spans="1:19">
      <c r="A229" t="s">
        <v>12699</v>
      </c>
      <c r="I229" s="1" t="str">
        <f t="shared" si="32"/>
        <v/>
      </c>
      <c r="J229" s="1">
        <f t="shared" si="33"/>
        <v>0</v>
      </c>
      <c r="K229" s="1" t="str">
        <f t="shared" si="34"/>
        <v/>
      </c>
      <c r="L229" s="1">
        <f t="shared" si="35"/>
        <v>0</v>
      </c>
      <c r="M229" s="1">
        <f t="shared" si="36"/>
        <v>0</v>
      </c>
      <c r="N229" s="1">
        <f t="shared" si="37"/>
        <v>0</v>
      </c>
      <c r="O229" s="1" t="b">
        <f t="shared" si="38"/>
        <v>0</v>
      </c>
      <c r="P229" s="1" t="e">
        <f>INDEX(G:G,MATCH(G229,G:G,0))</f>
        <v>#N/A</v>
      </c>
      <c r="Q229" s="1" t="e">
        <f t="shared" si="39"/>
        <v>#N/A</v>
      </c>
      <c r="R229" s="1" t="e">
        <f>INDEX('6.0.35'!I:I,MATCH(F229,'6.0.35'!K:K,0))</f>
        <v>#N/A</v>
      </c>
      <c r="S229" s="1" t="e">
        <f>INDEX('6.0.35'!J:J,MATCH(F229,'6.0.35'!F:F,0))</f>
        <v>#N/A</v>
      </c>
    </row>
    <row r="230" spans="1:19">
      <c r="A230" t="s">
        <v>12702</v>
      </c>
      <c r="I230" s="1" t="str">
        <f t="shared" si="32"/>
        <v/>
      </c>
      <c r="J230" s="1">
        <f t="shared" si="33"/>
        <v>0</v>
      </c>
      <c r="K230" s="1" t="str">
        <f t="shared" si="34"/>
        <v/>
      </c>
      <c r="L230" s="1">
        <f t="shared" si="35"/>
        <v>0</v>
      </c>
      <c r="M230" s="1">
        <f t="shared" si="36"/>
        <v>0</v>
      </c>
      <c r="N230" s="1">
        <f t="shared" si="37"/>
        <v>0</v>
      </c>
      <c r="O230" s="1" t="b">
        <f t="shared" si="38"/>
        <v>0</v>
      </c>
      <c r="P230" s="1" t="e">
        <f>INDEX(G:G,MATCH(G230,G:G,0))</f>
        <v>#N/A</v>
      </c>
      <c r="Q230" s="1" t="e">
        <f t="shared" si="39"/>
        <v>#N/A</v>
      </c>
      <c r="R230" s="1" t="e">
        <f>INDEX('6.0.35'!I:I,MATCH(F230,'6.0.35'!K:K,0))</f>
        <v>#N/A</v>
      </c>
      <c r="S230" s="1" t="e">
        <f>INDEX('6.0.35'!J:J,MATCH(F230,'6.0.35'!F:F,0))</f>
        <v>#N/A</v>
      </c>
    </row>
    <row r="231" spans="1:19">
      <c r="A231" t="s">
        <v>12705</v>
      </c>
      <c r="I231" s="1" t="str">
        <f t="shared" si="32"/>
        <v/>
      </c>
      <c r="J231" s="1">
        <f t="shared" si="33"/>
        <v>0</v>
      </c>
      <c r="K231" s="1" t="str">
        <f t="shared" si="34"/>
        <v/>
      </c>
      <c r="L231" s="1">
        <f t="shared" si="35"/>
        <v>0</v>
      </c>
      <c r="M231" s="1">
        <f t="shared" si="36"/>
        <v>0</v>
      </c>
      <c r="N231" s="1">
        <f t="shared" si="37"/>
        <v>0</v>
      </c>
      <c r="O231" s="1" t="b">
        <f t="shared" si="38"/>
        <v>0</v>
      </c>
      <c r="P231" s="1" t="e">
        <f>INDEX(G:G,MATCH(G231,G:G,0))</f>
        <v>#N/A</v>
      </c>
      <c r="Q231" s="1" t="e">
        <f t="shared" si="39"/>
        <v>#N/A</v>
      </c>
      <c r="R231" s="1" t="e">
        <f>INDEX('6.0.35'!I:I,MATCH(F231,'6.0.35'!K:K,0))</f>
        <v>#N/A</v>
      </c>
      <c r="S231" s="1" t="e">
        <f>INDEX('6.0.35'!J:J,MATCH(F231,'6.0.35'!F:F,0))</f>
        <v>#N/A</v>
      </c>
    </row>
    <row r="232" spans="1:19">
      <c r="A232" t="s">
        <v>12708</v>
      </c>
      <c r="I232" s="1" t="str">
        <f t="shared" si="32"/>
        <v/>
      </c>
      <c r="J232" s="1">
        <f t="shared" si="33"/>
        <v>0</v>
      </c>
      <c r="K232" s="1" t="str">
        <f t="shared" si="34"/>
        <v/>
      </c>
      <c r="L232" s="1">
        <f t="shared" si="35"/>
        <v>0</v>
      </c>
      <c r="M232" s="1">
        <f t="shared" si="36"/>
        <v>0</v>
      </c>
      <c r="N232" s="1">
        <f t="shared" si="37"/>
        <v>0</v>
      </c>
      <c r="O232" s="1" t="b">
        <f t="shared" si="38"/>
        <v>0</v>
      </c>
      <c r="P232" s="1" t="e">
        <f>INDEX(G:G,MATCH(G232,G:G,0))</f>
        <v>#N/A</v>
      </c>
      <c r="Q232" s="1" t="e">
        <f t="shared" si="39"/>
        <v>#N/A</v>
      </c>
      <c r="R232" s="1" t="e">
        <f>INDEX('6.0.35'!I:I,MATCH(F232,'6.0.35'!K:K,0))</f>
        <v>#N/A</v>
      </c>
      <c r="S232" s="1" t="e">
        <f>INDEX('6.0.35'!J:J,MATCH(F232,'6.0.35'!F:F,0))</f>
        <v>#N/A</v>
      </c>
    </row>
    <row r="233" spans="1:19">
      <c r="A233" t="s">
        <v>12711</v>
      </c>
      <c r="I233" s="1" t="str">
        <f t="shared" si="32"/>
        <v/>
      </c>
      <c r="J233" s="1">
        <f t="shared" si="33"/>
        <v>0</v>
      </c>
      <c r="K233" s="1" t="str">
        <f t="shared" si="34"/>
        <v/>
      </c>
      <c r="L233" s="1">
        <f t="shared" si="35"/>
        <v>0</v>
      </c>
      <c r="M233" s="1">
        <f t="shared" si="36"/>
        <v>0</v>
      </c>
      <c r="N233" s="1">
        <f t="shared" si="37"/>
        <v>0</v>
      </c>
      <c r="O233" s="1" t="b">
        <f t="shared" si="38"/>
        <v>0</v>
      </c>
      <c r="P233" s="1" t="e">
        <f>INDEX(G:G,MATCH(G233,G:G,0))</f>
        <v>#N/A</v>
      </c>
      <c r="Q233" s="1" t="e">
        <f t="shared" si="39"/>
        <v>#N/A</v>
      </c>
      <c r="R233" s="1" t="e">
        <f>INDEX('6.0.35'!I:I,MATCH(F233,'6.0.35'!K:K,0))</f>
        <v>#N/A</v>
      </c>
      <c r="S233" s="1" t="e">
        <f>INDEX('6.0.35'!J:J,MATCH(F233,'6.0.35'!F:F,0))</f>
        <v>#N/A</v>
      </c>
    </row>
    <row r="234" spans="1:19">
      <c r="A234" t="s">
        <v>12714</v>
      </c>
      <c r="I234" s="1" t="str">
        <f t="shared" si="32"/>
        <v/>
      </c>
      <c r="J234" s="1">
        <f t="shared" si="33"/>
        <v>0</v>
      </c>
      <c r="K234" s="1" t="str">
        <f t="shared" si="34"/>
        <v/>
      </c>
      <c r="L234" s="1">
        <f t="shared" si="35"/>
        <v>0</v>
      </c>
      <c r="M234" s="1">
        <f t="shared" si="36"/>
        <v>0</v>
      </c>
      <c r="N234" s="1">
        <f t="shared" si="37"/>
        <v>0</v>
      </c>
      <c r="O234" s="1" t="b">
        <f t="shared" si="38"/>
        <v>0</v>
      </c>
      <c r="P234" s="1" t="e">
        <f>INDEX(G:G,MATCH(G234,G:G,0))</f>
        <v>#N/A</v>
      </c>
      <c r="Q234" s="1" t="e">
        <f t="shared" si="39"/>
        <v>#N/A</v>
      </c>
      <c r="R234" s="1" t="e">
        <f>INDEX('6.0.35'!I:I,MATCH(F234,'6.0.35'!K:K,0))</f>
        <v>#N/A</v>
      </c>
      <c r="S234" s="1" t="e">
        <f>INDEX('6.0.35'!J:J,MATCH(F234,'6.0.35'!F:F,0))</f>
        <v>#N/A</v>
      </c>
    </row>
    <row r="235" spans="1:19">
      <c r="A235" t="s">
        <v>12717</v>
      </c>
      <c r="I235" s="1" t="str">
        <f t="shared" si="32"/>
        <v/>
      </c>
      <c r="J235" s="1">
        <f t="shared" si="33"/>
        <v>0</v>
      </c>
      <c r="K235" s="1" t="str">
        <f t="shared" si="34"/>
        <v/>
      </c>
      <c r="L235" s="1">
        <f t="shared" si="35"/>
        <v>0</v>
      </c>
      <c r="M235" s="1">
        <f t="shared" si="36"/>
        <v>0</v>
      </c>
      <c r="N235" s="1">
        <f t="shared" si="37"/>
        <v>0</v>
      </c>
      <c r="O235" s="1" t="b">
        <f t="shared" si="38"/>
        <v>0</v>
      </c>
      <c r="P235" s="1" t="e">
        <f>INDEX(G:G,MATCH(G235,G:G,0))</f>
        <v>#N/A</v>
      </c>
      <c r="Q235" s="1" t="e">
        <f t="shared" si="39"/>
        <v>#N/A</v>
      </c>
      <c r="R235" s="1" t="e">
        <f>INDEX('6.0.35'!I:I,MATCH(F235,'6.0.35'!K:K,0))</f>
        <v>#N/A</v>
      </c>
      <c r="S235" s="1" t="e">
        <f>INDEX('6.0.35'!J:J,MATCH(F235,'6.0.35'!F:F,0))</f>
        <v>#N/A</v>
      </c>
    </row>
    <row r="236" spans="1:19">
      <c r="A236" t="s">
        <v>12720</v>
      </c>
      <c r="I236" s="1" t="str">
        <f t="shared" si="32"/>
        <v/>
      </c>
      <c r="J236" s="1">
        <f t="shared" si="33"/>
        <v>0</v>
      </c>
      <c r="K236" s="1" t="str">
        <f t="shared" si="34"/>
        <v/>
      </c>
      <c r="L236" s="1">
        <f t="shared" si="35"/>
        <v>0</v>
      </c>
      <c r="M236" s="1">
        <f t="shared" si="36"/>
        <v>0</v>
      </c>
      <c r="N236" s="1">
        <f t="shared" si="37"/>
        <v>0</v>
      </c>
      <c r="O236" s="1" t="b">
        <f t="shared" si="38"/>
        <v>0</v>
      </c>
      <c r="P236" s="1" t="e">
        <f>INDEX(G:G,MATCH(G236,G:G,0))</f>
        <v>#N/A</v>
      </c>
      <c r="Q236" s="1" t="e">
        <f t="shared" si="39"/>
        <v>#N/A</v>
      </c>
      <c r="R236" s="1" t="e">
        <f>INDEX('6.0.35'!I:I,MATCH(F236,'6.0.35'!K:K,0))</f>
        <v>#N/A</v>
      </c>
      <c r="S236" s="1" t="e">
        <f>INDEX('6.0.35'!J:J,MATCH(F236,'6.0.35'!F:F,0))</f>
        <v>#N/A</v>
      </c>
    </row>
    <row r="237" spans="1:19">
      <c r="A237" t="s">
        <v>12723</v>
      </c>
      <c r="I237" s="1" t="str">
        <f t="shared" si="32"/>
        <v/>
      </c>
      <c r="J237" s="1">
        <f t="shared" si="33"/>
        <v>0</v>
      </c>
      <c r="K237" s="1" t="str">
        <f t="shared" si="34"/>
        <v/>
      </c>
      <c r="L237" s="1">
        <f t="shared" si="35"/>
        <v>0</v>
      </c>
      <c r="M237" s="1">
        <f t="shared" si="36"/>
        <v>0</v>
      </c>
      <c r="N237" s="1">
        <f t="shared" si="37"/>
        <v>0</v>
      </c>
      <c r="O237" s="1" t="b">
        <f t="shared" si="38"/>
        <v>0</v>
      </c>
      <c r="P237" s="1" t="e">
        <f>INDEX(G:G,MATCH(G237,G:G,0))</f>
        <v>#N/A</v>
      </c>
      <c r="Q237" s="1" t="e">
        <f t="shared" si="39"/>
        <v>#N/A</v>
      </c>
      <c r="R237" s="1" t="e">
        <f>INDEX('6.0.35'!I:I,MATCH(F237,'6.0.35'!K:K,0))</f>
        <v>#N/A</v>
      </c>
      <c r="S237" s="1" t="e">
        <f>INDEX('6.0.35'!J:J,MATCH(F237,'6.0.35'!F:F,0))</f>
        <v>#N/A</v>
      </c>
    </row>
    <row r="238" spans="1:19">
      <c r="A238" t="s">
        <v>12727</v>
      </c>
      <c r="I238" s="1" t="str">
        <f t="shared" si="32"/>
        <v/>
      </c>
      <c r="J238" s="1">
        <f t="shared" si="33"/>
        <v>0</v>
      </c>
      <c r="K238" s="1" t="str">
        <f t="shared" si="34"/>
        <v/>
      </c>
      <c r="L238" s="1">
        <f t="shared" si="35"/>
        <v>0</v>
      </c>
      <c r="M238" s="1">
        <f t="shared" si="36"/>
        <v>0</v>
      </c>
      <c r="N238" s="1">
        <f t="shared" si="37"/>
        <v>0</v>
      </c>
      <c r="O238" s="1" t="b">
        <f t="shared" si="38"/>
        <v>0</v>
      </c>
      <c r="P238" s="1" t="e">
        <f>INDEX(G:G,MATCH(G238,G:G,0))</f>
        <v>#N/A</v>
      </c>
      <c r="Q238" s="1" t="e">
        <f t="shared" si="39"/>
        <v>#N/A</v>
      </c>
      <c r="R238" s="1" t="e">
        <f>INDEX('6.0.35'!I:I,MATCH(F238,'6.0.35'!K:K,0))</f>
        <v>#N/A</v>
      </c>
      <c r="S238" s="1" t="e">
        <f>INDEX('6.0.35'!J:J,MATCH(F238,'6.0.35'!F:F,0))</f>
        <v>#N/A</v>
      </c>
    </row>
    <row r="239" spans="1:19">
      <c r="A239" t="s">
        <v>12727</v>
      </c>
      <c r="I239" s="1" t="str">
        <f t="shared" si="32"/>
        <v/>
      </c>
      <c r="J239" s="1">
        <f t="shared" si="33"/>
        <v>0</v>
      </c>
      <c r="K239" s="1" t="str">
        <f t="shared" si="34"/>
        <v/>
      </c>
      <c r="L239" s="1">
        <f t="shared" si="35"/>
        <v>0</v>
      </c>
      <c r="M239" s="1">
        <f t="shared" si="36"/>
        <v>0</v>
      </c>
      <c r="N239" s="1">
        <f t="shared" si="37"/>
        <v>0</v>
      </c>
      <c r="O239" s="1" t="b">
        <f t="shared" si="38"/>
        <v>0</v>
      </c>
      <c r="P239" s="1" t="e">
        <f>INDEX(G:G,MATCH(G239,G:G,0))</f>
        <v>#N/A</v>
      </c>
      <c r="Q239" s="1" t="e">
        <f t="shared" si="39"/>
        <v>#N/A</v>
      </c>
      <c r="R239" s="1" t="e">
        <f>INDEX('6.0.35'!I:I,MATCH(F239,'6.0.35'!K:K,0))</f>
        <v>#N/A</v>
      </c>
      <c r="S239" s="1" t="e">
        <f>INDEX('6.0.35'!J:J,MATCH(F239,'6.0.35'!F:F,0))</f>
        <v>#N/A</v>
      </c>
    </row>
    <row r="240" spans="1:19">
      <c r="A240" t="s">
        <v>12727</v>
      </c>
      <c r="I240" s="1" t="str">
        <f t="shared" si="32"/>
        <v/>
      </c>
      <c r="J240" s="1">
        <f t="shared" si="33"/>
        <v>0</v>
      </c>
      <c r="K240" s="1" t="str">
        <f t="shared" si="34"/>
        <v/>
      </c>
      <c r="L240" s="1">
        <f t="shared" si="35"/>
        <v>0</v>
      </c>
      <c r="M240" s="1">
        <f t="shared" si="36"/>
        <v>0</v>
      </c>
      <c r="N240" s="1">
        <f t="shared" si="37"/>
        <v>0</v>
      </c>
      <c r="O240" s="1" t="b">
        <f t="shared" si="38"/>
        <v>0</v>
      </c>
      <c r="P240" s="1" t="e">
        <f>INDEX(G:G,MATCH(G240,G:G,0))</f>
        <v>#N/A</v>
      </c>
      <c r="Q240" s="1" t="e">
        <f t="shared" si="39"/>
        <v>#N/A</v>
      </c>
      <c r="R240" s="1" t="e">
        <f>INDEX('6.0.35'!I:I,MATCH(F240,'6.0.35'!K:K,0))</f>
        <v>#N/A</v>
      </c>
      <c r="S240" s="1" t="e">
        <f>INDEX('6.0.35'!J:J,MATCH(F240,'6.0.35'!F:F,0))</f>
        <v>#N/A</v>
      </c>
    </row>
    <row r="241" spans="1:19">
      <c r="A241" t="s">
        <v>12789</v>
      </c>
      <c r="I241" s="1" t="str">
        <f t="shared" si="32"/>
        <v/>
      </c>
      <c r="J241" s="1">
        <f t="shared" si="33"/>
        <v>0</v>
      </c>
      <c r="K241" s="1" t="str">
        <f t="shared" si="34"/>
        <v/>
      </c>
      <c r="L241" s="1">
        <f t="shared" si="35"/>
        <v>0</v>
      </c>
      <c r="M241" s="1">
        <f t="shared" si="36"/>
        <v>0</v>
      </c>
      <c r="N241" s="1">
        <f t="shared" si="37"/>
        <v>0</v>
      </c>
      <c r="O241" s="1" t="b">
        <f t="shared" si="38"/>
        <v>0</v>
      </c>
      <c r="P241" s="1" t="e">
        <f>INDEX(G:G,MATCH(G241,G:G,0))</f>
        <v>#N/A</v>
      </c>
      <c r="Q241" s="1" t="e">
        <f t="shared" si="39"/>
        <v>#N/A</v>
      </c>
      <c r="R241" s="1" t="e">
        <f>INDEX('6.0.35'!I:I,MATCH(F241,'6.0.35'!K:K,0))</f>
        <v>#N/A</v>
      </c>
      <c r="S241" s="1" t="e">
        <f>INDEX('6.0.35'!J:J,MATCH(F241,'6.0.35'!F:F,0))</f>
        <v>#N/A</v>
      </c>
    </row>
    <row r="242" spans="1:19">
      <c r="A242" t="s">
        <v>12792</v>
      </c>
      <c r="I242" s="1" t="str">
        <f t="shared" si="32"/>
        <v/>
      </c>
      <c r="J242" s="1">
        <f t="shared" si="33"/>
        <v>0</v>
      </c>
      <c r="K242" s="1" t="str">
        <f t="shared" si="34"/>
        <v/>
      </c>
      <c r="L242" s="1">
        <f t="shared" si="35"/>
        <v>0</v>
      </c>
      <c r="M242" s="1">
        <f t="shared" si="36"/>
        <v>0</v>
      </c>
      <c r="N242" s="1">
        <f t="shared" si="37"/>
        <v>0</v>
      </c>
      <c r="O242" s="1" t="b">
        <f t="shared" si="38"/>
        <v>0</v>
      </c>
      <c r="P242" s="1" t="e">
        <f>INDEX(G:G,MATCH(G242,G:G,0))</f>
        <v>#N/A</v>
      </c>
      <c r="Q242" s="1" t="e">
        <f t="shared" si="39"/>
        <v>#N/A</v>
      </c>
      <c r="R242" s="1" t="e">
        <f>INDEX('6.0.35'!I:I,MATCH(F242,'6.0.35'!K:K,0))</f>
        <v>#N/A</v>
      </c>
      <c r="S242" s="1" t="e">
        <f>INDEX('6.0.35'!J:J,MATCH(F242,'6.0.35'!F:F,0))</f>
        <v>#N/A</v>
      </c>
    </row>
    <row r="243" spans="1:19">
      <c r="A243" t="s">
        <v>12836</v>
      </c>
      <c r="I243" s="1" t="str">
        <f t="shared" si="32"/>
        <v/>
      </c>
      <c r="J243" s="1">
        <f t="shared" si="33"/>
        <v>0</v>
      </c>
      <c r="K243" s="1" t="str">
        <f t="shared" si="34"/>
        <v/>
      </c>
      <c r="L243" s="1">
        <f t="shared" si="35"/>
        <v>0</v>
      </c>
      <c r="M243" s="1">
        <f t="shared" si="36"/>
        <v>0</v>
      </c>
      <c r="N243" s="1">
        <f t="shared" si="37"/>
        <v>0</v>
      </c>
      <c r="O243" s="1" t="b">
        <f t="shared" si="38"/>
        <v>0</v>
      </c>
      <c r="P243" s="1" t="e">
        <f>INDEX(G:G,MATCH(G243,G:G,0))</f>
        <v>#N/A</v>
      </c>
      <c r="Q243" s="1" t="e">
        <f t="shared" si="39"/>
        <v>#N/A</v>
      </c>
      <c r="R243" s="1" t="e">
        <f>INDEX('6.0.35'!I:I,MATCH(F243,'6.0.35'!K:K,0))</f>
        <v>#N/A</v>
      </c>
      <c r="S243" s="1" t="e">
        <f>INDEX('6.0.35'!J:J,MATCH(F243,'6.0.35'!F:F,0))</f>
        <v>#N/A</v>
      </c>
    </row>
    <row r="244" spans="1:19">
      <c r="A244" t="s">
        <v>12840</v>
      </c>
      <c r="I244" s="1" t="str">
        <f t="shared" si="32"/>
        <v/>
      </c>
      <c r="J244" s="1">
        <f t="shared" si="33"/>
        <v>0</v>
      </c>
      <c r="K244" s="1" t="str">
        <f t="shared" si="34"/>
        <v/>
      </c>
      <c r="L244" s="1">
        <f t="shared" si="35"/>
        <v>0</v>
      </c>
      <c r="M244" s="1">
        <f t="shared" si="36"/>
        <v>0</v>
      </c>
      <c r="N244" s="1">
        <f t="shared" si="37"/>
        <v>0</v>
      </c>
      <c r="O244" s="1" t="b">
        <f t="shared" si="38"/>
        <v>0</v>
      </c>
      <c r="P244" s="1" t="e">
        <f>INDEX(G:G,MATCH(G244,G:G,0))</f>
        <v>#N/A</v>
      </c>
      <c r="Q244" s="1" t="e">
        <f t="shared" si="39"/>
        <v>#N/A</v>
      </c>
      <c r="R244" s="1" t="e">
        <f>INDEX('6.0.35'!I:I,MATCH(F244,'6.0.35'!K:K,0))</f>
        <v>#N/A</v>
      </c>
      <c r="S244" s="1" t="e">
        <f>INDEX('6.0.35'!J:J,MATCH(F244,'6.0.35'!F:F,0))</f>
        <v>#N/A</v>
      </c>
    </row>
    <row r="245" spans="1:19">
      <c r="A245" t="s">
        <v>12844</v>
      </c>
      <c r="I245" s="1" t="str">
        <f t="shared" si="32"/>
        <v/>
      </c>
      <c r="J245" s="1">
        <f t="shared" si="33"/>
        <v>0</v>
      </c>
      <c r="K245" s="1" t="str">
        <f t="shared" si="34"/>
        <v/>
      </c>
      <c r="L245" s="1">
        <f t="shared" si="35"/>
        <v>0</v>
      </c>
      <c r="M245" s="1">
        <f t="shared" si="36"/>
        <v>0</v>
      </c>
      <c r="N245" s="1">
        <f t="shared" si="37"/>
        <v>0</v>
      </c>
      <c r="O245" s="1" t="b">
        <f t="shared" si="38"/>
        <v>0</v>
      </c>
      <c r="P245" s="1" t="e">
        <f>INDEX(G:G,MATCH(G245,G:G,0))</f>
        <v>#N/A</v>
      </c>
      <c r="Q245" s="1" t="e">
        <f t="shared" si="39"/>
        <v>#N/A</v>
      </c>
      <c r="R245" s="1" t="e">
        <f>INDEX('6.0.35'!I:I,MATCH(F245,'6.0.35'!K:K,0))</f>
        <v>#N/A</v>
      </c>
      <c r="S245" s="1" t="e">
        <f>INDEX('6.0.35'!J:J,MATCH(F245,'6.0.35'!F:F,0))</f>
        <v>#N/A</v>
      </c>
    </row>
    <row r="246" spans="1:19">
      <c r="A246" t="s">
        <v>12848</v>
      </c>
      <c r="I246" s="1" t="str">
        <f t="shared" si="32"/>
        <v/>
      </c>
      <c r="J246" s="1">
        <f t="shared" si="33"/>
        <v>0</v>
      </c>
      <c r="K246" s="1" t="str">
        <f t="shared" si="34"/>
        <v/>
      </c>
      <c r="L246" s="1">
        <f t="shared" si="35"/>
        <v>0</v>
      </c>
      <c r="M246" s="1">
        <f t="shared" si="36"/>
        <v>0</v>
      </c>
      <c r="N246" s="1">
        <f t="shared" si="37"/>
        <v>0</v>
      </c>
      <c r="O246" s="1" t="b">
        <f t="shared" si="38"/>
        <v>0</v>
      </c>
      <c r="P246" s="1" t="e">
        <f>INDEX(G:G,MATCH(G246,G:G,0))</f>
        <v>#N/A</v>
      </c>
      <c r="Q246" s="1" t="e">
        <f t="shared" si="39"/>
        <v>#N/A</v>
      </c>
      <c r="R246" s="1" t="e">
        <f>INDEX('6.0.35'!I:I,MATCH(F246,'6.0.35'!K:K,0))</f>
        <v>#N/A</v>
      </c>
      <c r="S246" s="1" t="e">
        <f>INDEX('6.0.35'!J:J,MATCH(F246,'6.0.35'!F:F,0))</f>
        <v>#N/A</v>
      </c>
    </row>
    <row r="247" spans="1:19">
      <c r="A247" t="s">
        <v>12852</v>
      </c>
      <c r="I247" s="1" t="str">
        <f t="shared" si="32"/>
        <v/>
      </c>
      <c r="J247" s="1">
        <f t="shared" si="33"/>
        <v>0</v>
      </c>
      <c r="K247" s="1" t="str">
        <f t="shared" si="34"/>
        <v/>
      </c>
      <c r="L247" s="1">
        <f t="shared" si="35"/>
        <v>0</v>
      </c>
      <c r="M247" s="1">
        <f t="shared" si="36"/>
        <v>0</v>
      </c>
      <c r="N247" s="1">
        <f t="shared" si="37"/>
        <v>0</v>
      </c>
      <c r="O247" s="1" t="b">
        <f t="shared" si="38"/>
        <v>0</v>
      </c>
      <c r="P247" s="1" t="e">
        <f>INDEX(G:G,MATCH(G247,G:G,0))</f>
        <v>#N/A</v>
      </c>
      <c r="Q247" s="1" t="e">
        <f t="shared" si="39"/>
        <v>#N/A</v>
      </c>
      <c r="R247" s="1" t="e">
        <f>INDEX('6.0.35'!I:I,MATCH(F247,'6.0.35'!K:K,0))</f>
        <v>#N/A</v>
      </c>
      <c r="S247" s="1" t="e">
        <f>INDEX('6.0.35'!J:J,MATCH(F247,'6.0.35'!F:F,0))</f>
        <v>#N/A</v>
      </c>
    </row>
    <row r="248" spans="1:19">
      <c r="A248" t="s">
        <v>12856</v>
      </c>
      <c r="I248" s="1" t="str">
        <f t="shared" si="32"/>
        <v/>
      </c>
      <c r="J248" s="1">
        <f t="shared" si="33"/>
        <v>0</v>
      </c>
      <c r="K248" s="1" t="str">
        <f t="shared" si="34"/>
        <v/>
      </c>
      <c r="L248" s="1">
        <f t="shared" si="35"/>
        <v>0</v>
      </c>
      <c r="M248" s="1">
        <f t="shared" si="36"/>
        <v>0</v>
      </c>
      <c r="N248" s="1">
        <f t="shared" si="37"/>
        <v>0</v>
      </c>
      <c r="O248" s="1" t="b">
        <f t="shared" si="38"/>
        <v>0</v>
      </c>
      <c r="P248" s="1" t="e">
        <f>INDEX(G:G,MATCH(G248,G:G,0))</f>
        <v>#N/A</v>
      </c>
      <c r="Q248" s="1" t="e">
        <f t="shared" si="39"/>
        <v>#N/A</v>
      </c>
      <c r="R248" s="1" t="e">
        <f>INDEX('6.0.35'!I:I,MATCH(F248,'6.0.35'!K:K,0))</f>
        <v>#N/A</v>
      </c>
      <c r="S248" s="1" t="e">
        <f>INDEX('6.0.35'!J:J,MATCH(F248,'6.0.35'!F:F,0))</f>
        <v>#N/A</v>
      </c>
    </row>
    <row r="249" spans="1:19">
      <c r="A249" t="s">
        <v>12860</v>
      </c>
      <c r="I249" s="1" t="str">
        <f t="shared" si="32"/>
        <v/>
      </c>
      <c r="J249" s="1">
        <f t="shared" si="33"/>
        <v>0</v>
      </c>
      <c r="K249" s="1" t="str">
        <f t="shared" si="34"/>
        <v/>
      </c>
      <c r="L249" s="1">
        <f t="shared" si="35"/>
        <v>0</v>
      </c>
      <c r="M249" s="1">
        <f t="shared" si="36"/>
        <v>0</v>
      </c>
      <c r="N249" s="1">
        <f t="shared" si="37"/>
        <v>0</v>
      </c>
      <c r="O249" s="1" t="b">
        <f t="shared" si="38"/>
        <v>0</v>
      </c>
      <c r="P249" s="1" t="e">
        <f>INDEX(G:G,MATCH(G249,G:G,0))</f>
        <v>#N/A</v>
      </c>
      <c r="Q249" s="1" t="e">
        <f t="shared" si="39"/>
        <v>#N/A</v>
      </c>
      <c r="R249" s="1" t="e">
        <f>INDEX('6.0.35'!I:I,MATCH(F249,'6.0.35'!K:K,0))</f>
        <v>#N/A</v>
      </c>
      <c r="S249" s="1" t="e">
        <f>INDEX('6.0.35'!J:J,MATCH(F249,'6.0.35'!F:F,0))</f>
        <v>#N/A</v>
      </c>
    </row>
    <row r="250" spans="1:19">
      <c r="A250" t="s">
        <v>12864</v>
      </c>
      <c r="I250" s="1" t="str">
        <f t="shared" ref="I250:I313" si="40">IFERROR(IF(OR(MID(G250,FIND(":",G250)-1,1)="""",MID(G250,FIND(":",G250)-1,1)="}",MID(G250,FIND(":",G250)-1,1)=")",MID(G250,FIND(":",G250)-1,1)="]"),"",RIGHT(G250,LEN(G250)-FIND(":",G250)-1)),"")</f>
        <v/>
      </c>
      <c r="J250" s="1">
        <f t="shared" ref="J250:J313" si="41">IF(AND(I250="",H250=""),G250,IF(H250="",I250,H250&amp;": "&amp;I250))</f>
        <v>0</v>
      </c>
      <c r="K250" s="1" t="str">
        <f t="shared" ref="K250:K313" si="42">IFERROR(IF(OR(MID(F250,FIND(":",F250)-1,1)="""",MID(F250,FIND(":",F250)-1,1)="}",MID(F250,FIND(":",F250)-1,1)=")",MID(F250,FIND(":",F250)-1,1)="]"),"",RIGHT(F250,LEN(F250)-FIND(":",F250)-1)),"")</f>
        <v/>
      </c>
      <c r="L250" s="1">
        <f t="shared" ref="L250:L313" si="43">LEN(F250)-LEN(SUBSTITUTE(F250,":",""))</f>
        <v>0</v>
      </c>
      <c r="M250" s="1">
        <f t="shared" ref="M250:M313" si="44">LEN(G250)-LEN(SUBSTITUTE(G250,":",""))</f>
        <v>0</v>
      </c>
      <c r="N250" s="1">
        <f t="shared" ref="N250:N313" si="45">LEN(G250)-LEN(SUBSTITUTE(G250,"：",""))</f>
        <v>0</v>
      </c>
      <c r="O250" s="1" t="b">
        <f t="shared" ref="O250:O313" si="46">IF(M250&gt;=2,MID(G250,FIND(":",G250)+1,LEN(G250)))</f>
        <v>0</v>
      </c>
      <c r="P250" s="1" t="e">
        <f>INDEX(G:G,MATCH(G250,G:G,0))</f>
        <v>#N/A</v>
      </c>
      <c r="Q250" s="1" t="e">
        <f t="shared" ref="Q250:Q313" si="47">IF(P250&lt;&gt;G250,"校验","")</f>
        <v>#N/A</v>
      </c>
      <c r="R250" s="1" t="e">
        <f>INDEX('6.0.35'!I:I,MATCH(F250,'6.0.35'!K:K,0))</f>
        <v>#N/A</v>
      </c>
      <c r="S250" s="1" t="e">
        <f>INDEX('6.0.35'!J:J,MATCH(F250,'6.0.35'!F:F,0))</f>
        <v>#N/A</v>
      </c>
    </row>
    <row r="251" spans="1:19">
      <c r="A251" t="s">
        <v>12868</v>
      </c>
      <c r="I251" s="1" t="str">
        <f t="shared" si="40"/>
        <v/>
      </c>
      <c r="J251" s="1">
        <f t="shared" si="41"/>
        <v>0</v>
      </c>
      <c r="K251" s="1" t="str">
        <f t="shared" si="42"/>
        <v/>
      </c>
      <c r="L251" s="1">
        <f t="shared" si="43"/>
        <v>0</v>
      </c>
      <c r="M251" s="1">
        <f t="shared" si="44"/>
        <v>0</v>
      </c>
      <c r="N251" s="1">
        <f t="shared" si="45"/>
        <v>0</v>
      </c>
      <c r="O251" s="1" t="b">
        <f t="shared" si="46"/>
        <v>0</v>
      </c>
      <c r="P251" s="1" t="e">
        <f>INDEX(G:G,MATCH(G251,G:G,0))</f>
        <v>#N/A</v>
      </c>
      <c r="Q251" s="1" t="e">
        <f t="shared" si="47"/>
        <v>#N/A</v>
      </c>
      <c r="R251" s="1" t="e">
        <f>INDEX('6.0.35'!I:I,MATCH(F251,'6.0.35'!K:K,0))</f>
        <v>#N/A</v>
      </c>
      <c r="S251" s="1" t="e">
        <f>INDEX('6.0.35'!J:J,MATCH(F251,'6.0.35'!F:F,0))</f>
        <v>#N/A</v>
      </c>
    </row>
    <row r="252" spans="1:19">
      <c r="A252" t="s">
        <v>12872</v>
      </c>
      <c r="I252" s="1" t="str">
        <f t="shared" si="40"/>
        <v/>
      </c>
      <c r="J252" s="1">
        <f t="shared" si="41"/>
        <v>0</v>
      </c>
      <c r="K252" s="1" t="str">
        <f t="shared" si="42"/>
        <v/>
      </c>
      <c r="L252" s="1">
        <f t="shared" si="43"/>
        <v>0</v>
      </c>
      <c r="M252" s="1">
        <f t="shared" si="44"/>
        <v>0</v>
      </c>
      <c r="N252" s="1">
        <f t="shared" si="45"/>
        <v>0</v>
      </c>
      <c r="O252" s="1" t="b">
        <f t="shared" si="46"/>
        <v>0</v>
      </c>
      <c r="P252" s="1" t="e">
        <f>INDEX(G:G,MATCH(G252,G:G,0))</f>
        <v>#N/A</v>
      </c>
      <c r="Q252" s="1" t="e">
        <f t="shared" si="47"/>
        <v>#N/A</v>
      </c>
      <c r="R252" s="1" t="e">
        <f>INDEX('6.0.35'!I:I,MATCH(F252,'6.0.35'!K:K,0))</f>
        <v>#N/A</v>
      </c>
      <c r="S252" s="1" t="e">
        <f>INDEX('6.0.35'!J:J,MATCH(F252,'6.0.35'!F:F,0))</f>
        <v>#N/A</v>
      </c>
    </row>
    <row r="253" spans="1:19">
      <c r="A253" t="s">
        <v>12876</v>
      </c>
      <c r="I253" s="1" t="str">
        <f t="shared" si="40"/>
        <v/>
      </c>
      <c r="J253" s="1">
        <f t="shared" si="41"/>
        <v>0</v>
      </c>
      <c r="K253" s="1" t="str">
        <f t="shared" si="42"/>
        <v/>
      </c>
      <c r="L253" s="1">
        <f t="shared" si="43"/>
        <v>0</v>
      </c>
      <c r="M253" s="1">
        <f t="shared" si="44"/>
        <v>0</v>
      </c>
      <c r="N253" s="1">
        <f t="shared" si="45"/>
        <v>0</v>
      </c>
      <c r="O253" s="1" t="b">
        <f t="shared" si="46"/>
        <v>0</v>
      </c>
      <c r="P253" s="1" t="e">
        <f>INDEX(G:G,MATCH(G253,G:G,0))</f>
        <v>#N/A</v>
      </c>
      <c r="Q253" s="1" t="e">
        <f t="shared" si="47"/>
        <v>#N/A</v>
      </c>
      <c r="R253" s="1" t="e">
        <f>INDEX('6.0.35'!I:I,MATCH(F253,'6.0.35'!K:K,0))</f>
        <v>#N/A</v>
      </c>
      <c r="S253" s="1" t="e">
        <f>INDEX('6.0.35'!J:J,MATCH(F253,'6.0.35'!F:F,0))</f>
        <v>#N/A</v>
      </c>
    </row>
    <row r="254" spans="1:19">
      <c r="A254" t="s">
        <v>12880</v>
      </c>
      <c r="I254" s="1" t="str">
        <f t="shared" si="40"/>
        <v/>
      </c>
      <c r="J254" s="1">
        <f t="shared" si="41"/>
        <v>0</v>
      </c>
      <c r="K254" s="1" t="str">
        <f t="shared" si="42"/>
        <v/>
      </c>
      <c r="L254" s="1">
        <f t="shared" si="43"/>
        <v>0</v>
      </c>
      <c r="M254" s="1">
        <f t="shared" si="44"/>
        <v>0</v>
      </c>
      <c r="N254" s="1">
        <f t="shared" si="45"/>
        <v>0</v>
      </c>
      <c r="O254" s="1" t="b">
        <f t="shared" si="46"/>
        <v>0</v>
      </c>
      <c r="P254" s="1" t="e">
        <f>INDEX(G:G,MATCH(G254,G:G,0))</f>
        <v>#N/A</v>
      </c>
      <c r="Q254" s="1" t="e">
        <f t="shared" si="47"/>
        <v>#N/A</v>
      </c>
      <c r="R254" s="1" t="e">
        <f>INDEX('6.0.35'!I:I,MATCH(F254,'6.0.35'!K:K,0))</f>
        <v>#N/A</v>
      </c>
      <c r="S254" s="1" t="e">
        <f>INDEX('6.0.35'!J:J,MATCH(F254,'6.0.35'!F:F,0))</f>
        <v>#N/A</v>
      </c>
    </row>
    <row r="255" spans="1:19">
      <c r="A255" t="s">
        <v>12884</v>
      </c>
      <c r="I255" s="1" t="str">
        <f t="shared" si="40"/>
        <v/>
      </c>
      <c r="J255" s="1">
        <f t="shared" si="41"/>
        <v>0</v>
      </c>
      <c r="K255" s="1" t="str">
        <f t="shared" si="42"/>
        <v/>
      </c>
      <c r="L255" s="1">
        <f t="shared" si="43"/>
        <v>0</v>
      </c>
      <c r="M255" s="1">
        <f t="shared" si="44"/>
        <v>0</v>
      </c>
      <c r="N255" s="1">
        <f t="shared" si="45"/>
        <v>0</v>
      </c>
      <c r="O255" s="1" t="b">
        <f t="shared" si="46"/>
        <v>0</v>
      </c>
      <c r="P255" s="1" t="e">
        <f>INDEX(G:G,MATCH(G255,G:G,0))</f>
        <v>#N/A</v>
      </c>
      <c r="Q255" s="1" t="e">
        <f t="shared" si="47"/>
        <v>#N/A</v>
      </c>
      <c r="R255" s="1" t="e">
        <f>INDEX('6.0.35'!I:I,MATCH(F255,'6.0.35'!K:K,0))</f>
        <v>#N/A</v>
      </c>
      <c r="S255" s="1" t="e">
        <f>INDEX('6.0.35'!J:J,MATCH(F255,'6.0.35'!F:F,0))</f>
        <v>#N/A</v>
      </c>
    </row>
    <row r="256" spans="1:19">
      <c r="A256" t="s">
        <v>12888</v>
      </c>
      <c r="I256" s="1" t="str">
        <f t="shared" si="40"/>
        <v/>
      </c>
      <c r="J256" s="1">
        <f t="shared" si="41"/>
        <v>0</v>
      </c>
      <c r="K256" s="1" t="str">
        <f t="shared" si="42"/>
        <v/>
      </c>
      <c r="L256" s="1">
        <f t="shared" si="43"/>
        <v>0</v>
      </c>
      <c r="M256" s="1">
        <f t="shared" si="44"/>
        <v>0</v>
      </c>
      <c r="N256" s="1">
        <f t="shared" si="45"/>
        <v>0</v>
      </c>
      <c r="O256" s="1" t="b">
        <f t="shared" si="46"/>
        <v>0</v>
      </c>
      <c r="P256" s="1" t="e">
        <f>INDEX(G:G,MATCH(G256,G:G,0))</f>
        <v>#N/A</v>
      </c>
      <c r="Q256" s="1" t="e">
        <f t="shared" si="47"/>
        <v>#N/A</v>
      </c>
      <c r="R256" s="1" t="e">
        <f>INDEX('6.0.35'!I:I,MATCH(F256,'6.0.35'!K:K,0))</f>
        <v>#N/A</v>
      </c>
      <c r="S256" s="1" t="e">
        <f>INDEX('6.0.35'!J:J,MATCH(F256,'6.0.35'!F:F,0))</f>
        <v>#N/A</v>
      </c>
    </row>
    <row r="257" spans="1:19">
      <c r="A257" t="s">
        <v>12891</v>
      </c>
      <c r="I257" s="1" t="str">
        <f t="shared" si="40"/>
        <v/>
      </c>
      <c r="J257" s="1">
        <f t="shared" si="41"/>
        <v>0</v>
      </c>
      <c r="K257" s="1" t="str">
        <f t="shared" si="42"/>
        <v/>
      </c>
      <c r="L257" s="1">
        <f t="shared" si="43"/>
        <v>0</v>
      </c>
      <c r="M257" s="1">
        <f t="shared" si="44"/>
        <v>0</v>
      </c>
      <c r="N257" s="1">
        <f t="shared" si="45"/>
        <v>0</v>
      </c>
      <c r="O257" s="1" t="b">
        <f t="shared" si="46"/>
        <v>0</v>
      </c>
      <c r="P257" s="1" t="e">
        <f>INDEX(G:G,MATCH(G257,G:G,0))</f>
        <v>#N/A</v>
      </c>
      <c r="Q257" s="1" t="e">
        <f t="shared" si="47"/>
        <v>#N/A</v>
      </c>
      <c r="R257" s="1" t="e">
        <f>INDEX('6.0.35'!I:I,MATCH(F257,'6.0.35'!K:K,0))</f>
        <v>#N/A</v>
      </c>
      <c r="S257" s="1" t="e">
        <f>INDEX('6.0.35'!J:J,MATCH(F257,'6.0.35'!F:F,0))</f>
        <v>#N/A</v>
      </c>
    </row>
    <row r="258" spans="1:19">
      <c r="A258" t="s">
        <v>12894</v>
      </c>
      <c r="I258" s="1" t="str">
        <f t="shared" si="40"/>
        <v/>
      </c>
      <c r="J258" s="1">
        <f t="shared" si="41"/>
        <v>0</v>
      </c>
      <c r="K258" s="1" t="str">
        <f t="shared" si="42"/>
        <v/>
      </c>
      <c r="L258" s="1">
        <f t="shared" si="43"/>
        <v>0</v>
      </c>
      <c r="M258" s="1">
        <f t="shared" si="44"/>
        <v>0</v>
      </c>
      <c r="N258" s="1">
        <f t="shared" si="45"/>
        <v>0</v>
      </c>
      <c r="O258" s="1" t="b">
        <f t="shared" si="46"/>
        <v>0</v>
      </c>
      <c r="P258" s="1" t="e">
        <f>INDEX(G:G,MATCH(G258,G:G,0))</f>
        <v>#N/A</v>
      </c>
      <c r="Q258" s="1" t="e">
        <f t="shared" si="47"/>
        <v>#N/A</v>
      </c>
      <c r="R258" s="1" t="e">
        <f>INDEX('6.0.35'!I:I,MATCH(F258,'6.0.35'!K:K,0))</f>
        <v>#N/A</v>
      </c>
      <c r="S258" s="1" t="e">
        <f>INDEX('6.0.35'!J:J,MATCH(F258,'6.0.35'!F:F,0))</f>
        <v>#N/A</v>
      </c>
    </row>
    <row r="259" spans="1:19">
      <c r="A259" t="s">
        <v>12897</v>
      </c>
      <c r="I259" s="1" t="str">
        <f t="shared" si="40"/>
        <v/>
      </c>
      <c r="J259" s="1">
        <f t="shared" si="41"/>
        <v>0</v>
      </c>
      <c r="K259" s="1" t="str">
        <f t="shared" si="42"/>
        <v/>
      </c>
      <c r="L259" s="1">
        <f t="shared" si="43"/>
        <v>0</v>
      </c>
      <c r="M259" s="1">
        <f t="shared" si="44"/>
        <v>0</v>
      </c>
      <c r="N259" s="1">
        <f t="shared" si="45"/>
        <v>0</v>
      </c>
      <c r="O259" s="1" t="b">
        <f t="shared" si="46"/>
        <v>0</v>
      </c>
      <c r="P259" s="1" t="e">
        <f>INDEX(G:G,MATCH(G259,G:G,0))</f>
        <v>#N/A</v>
      </c>
      <c r="Q259" s="1" t="e">
        <f t="shared" si="47"/>
        <v>#N/A</v>
      </c>
      <c r="R259" s="1" t="e">
        <f>INDEX('6.0.35'!I:I,MATCH(F259,'6.0.35'!K:K,0))</f>
        <v>#N/A</v>
      </c>
      <c r="S259" s="1" t="e">
        <f>INDEX('6.0.35'!J:J,MATCH(F259,'6.0.35'!F:F,0))</f>
        <v>#N/A</v>
      </c>
    </row>
    <row r="260" spans="1:19">
      <c r="A260" t="s">
        <v>12901</v>
      </c>
      <c r="I260" s="1" t="str">
        <f t="shared" si="40"/>
        <v/>
      </c>
      <c r="J260" s="1">
        <f t="shared" si="41"/>
        <v>0</v>
      </c>
      <c r="K260" s="1" t="str">
        <f t="shared" si="42"/>
        <v/>
      </c>
      <c r="L260" s="1">
        <f t="shared" si="43"/>
        <v>0</v>
      </c>
      <c r="M260" s="1">
        <f t="shared" si="44"/>
        <v>0</v>
      </c>
      <c r="N260" s="1">
        <f t="shared" si="45"/>
        <v>0</v>
      </c>
      <c r="O260" s="1" t="b">
        <f t="shared" si="46"/>
        <v>0</v>
      </c>
      <c r="P260" s="1" t="e">
        <f>INDEX(G:G,MATCH(G260,G:G,0))</f>
        <v>#N/A</v>
      </c>
      <c r="Q260" s="1" t="e">
        <f t="shared" si="47"/>
        <v>#N/A</v>
      </c>
      <c r="R260" s="1" t="e">
        <f>INDEX('6.0.35'!I:I,MATCH(F260,'6.0.35'!K:K,0))</f>
        <v>#N/A</v>
      </c>
      <c r="S260" s="1" t="e">
        <f>INDEX('6.0.35'!J:J,MATCH(F260,'6.0.35'!F:F,0))</f>
        <v>#N/A</v>
      </c>
    </row>
    <row r="261" spans="1:19">
      <c r="A261" t="s">
        <v>12905</v>
      </c>
      <c r="I261" s="1" t="str">
        <f t="shared" si="40"/>
        <v/>
      </c>
      <c r="J261" s="1">
        <f t="shared" si="41"/>
        <v>0</v>
      </c>
      <c r="K261" s="1" t="str">
        <f t="shared" si="42"/>
        <v/>
      </c>
      <c r="L261" s="1">
        <f t="shared" si="43"/>
        <v>0</v>
      </c>
      <c r="M261" s="1">
        <f t="shared" si="44"/>
        <v>0</v>
      </c>
      <c r="N261" s="1">
        <f t="shared" si="45"/>
        <v>0</v>
      </c>
      <c r="O261" s="1" t="b">
        <f t="shared" si="46"/>
        <v>0</v>
      </c>
      <c r="P261" s="1" t="e">
        <f>INDEX(G:G,MATCH(G261,G:G,0))</f>
        <v>#N/A</v>
      </c>
      <c r="Q261" s="1" t="e">
        <f t="shared" si="47"/>
        <v>#N/A</v>
      </c>
      <c r="R261" s="1" t="e">
        <f>INDEX('6.0.35'!I:I,MATCH(F261,'6.0.35'!K:K,0))</f>
        <v>#N/A</v>
      </c>
      <c r="S261" s="1" t="e">
        <f>INDEX('6.0.35'!J:J,MATCH(F261,'6.0.35'!F:F,0))</f>
        <v>#N/A</v>
      </c>
    </row>
    <row r="262" spans="1:19">
      <c r="A262" t="s">
        <v>12908</v>
      </c>
      <c r="I262" s="1" t="str">
        <f t="shared" si="40"/>
        <v/>
      </c>
      <c r="J262" s="1">
        <f t="shared" si="41"/>
        <v>0</v>
      </c>
      <c r="K262" s="1" t="str">
        <f t="shared" si="42"/>
        <v/>
      </c>
      <c r="L262" s="1">
        <f t="shared" si="43"/>
        <v>0</v>
      </c>
      <c r="M262" s="1">
        <f t="shared" si="44"/>
        <v>0</v>
      </c>
      <c r="N262" s="1">
        <f t="shared" si="45"/>
        <v>0</v>
      </c>
      <c r="O262" s="1" t="b">
        <f t="shared" si="46"/>
        <v>0</v>
      </c>
      <c r="P262" s="1" t="e">
        <f>INDEX(G:G,MATCH(G262,G:G,0))</f>
        <v>#N/A</v>
      </c>
      <c r="Q262" s="1" t="e">
        <f t="shared" si="47"/>
        <v>#N/A</v>
      </c>
      <c r="R262" s="1" t="e">
        <f>INDEX('6.0.35'!I:I,MATCH(F262,'6.0.35'!K:K,0))</f>
        <v>#N/A</v>
      </c>
      <c r="S262" s="1" t="e">
        <f>INDEX('6.0.35'!J:J,MATCH(F262,'6.0.35'!F:F,0))</f>
        <v>#N/A</v>
      </c>
    </row>
    <row r="263" spans="1:19">
      <c r="A263" t="s">
        <v>12911</v>
      </c>
      <c r="I263" s="1" t="str">
        <f t="shared" si="40"/>
        <v/>
      </c>
      <c r="J263" s="1">
        <f t="shared" si="41"/>
        <v>0</v>
      </c>
      <c r="K263" s="1" t="str">
        <f t="shared" si="42"/>
        <v/>
      </c>
      <c r="L263" s="1">
        <f t="shared" si="43"/>
        <v>0</v>
      </c>
      <c r="M263" s="1">
        <f t="shared" si="44"/>
        <v>0</v>
      </c>
      <c r="N263" s="1">
        <f t="shared" si="45"/>
        <v>0</v>
      </c>
      <c r="O263" s="1" t="b">
        <f t="shared" si="46"/>
        <v>0</v>
      </c>
      <c r="P263" s="1" t="e">
        <f>INDEX(G:G,MATCH(G263,G:G,0))</f>
        <v>#N/A</v>
      </c>
      <c r="Q263" s="1" t="e">
        <f t="shared" si="47"/>
        <v>#N/A</v>
      </c>
      <c r="R263" s="1" t="e">
        <f>INDEX('6.0.35'!I:I,MATCH(F263,'6.0.35'!K:K,0))</f>
        <v>#N/A</v>
      </c>
      <c r="S263" s="1" t="e">
        <f>INDEX('6.0.35'!J:J,MATCH(F263,'6.0.35'!F:F,0))</f>
        <v>#N/A</v>
      </c>
    </row>
    <row r="264" spans="1:19">
      <c r="A264" t="s">
        <v>12915</v>
      </c>
      <c r="I264" s="1" t="str">
        <f t="shared" si="40"/>
        <v/>
      </c>
      <c r="J264" s="1">
        <f t="shared" si="41"/>
        <v>0</v>
      </c>
      <c r="K264" s="1" t="str">
        <f t="shared" si="42"/>
        <v/>
      </c>
      <c r="L264" s="1">
        <f t="shared" si="43"/>
        <v>0</v>
      </c>
      <c r="M264" s="1">
        <f t="shared" si="44"/>
        <v>0</v>
      </c>
      <c r="N264" s="1">
        <f t="shared" si="45"/>
        <v>0</v>
      </c>
      <c r="O264" s="1" t="b">
        <f t="shared" si="46"/>
        <v>0</v>
      </c>
      <c r="P264" s="1" t="e">
        <f>INDEX(G:G,MATCH(G264,G:G,0))</f>
        <v>#N/A</v>
      </c>
      <c r="Q264" s="1" t="e">
        <f t="shared" si="47"/>
        <v>#N/A</v>
      </c>
      <c r="R264" s="1" t="e">
        <f>INDEX('6.0.35'!I:I,MATCH(F264,'6.0.35'!K:K,0))</f>
        <v>#N/A</v>
      </c>
      <c r="S264" s="1" t="e">
        <f>INDEX('6.0.35'!J:J,MATCH(F264,'6.0.35'!F:F,0))</f>
        <v>#N/A</v>
      </c>
    </row>
    <row r="265" spans="1:19">
      <c r="A265" t="s">
        <v>12919</v>
      </c>
      <c r="I265" s="1" t="str">
        <f t="shared" si="40"/>
        <v/>
      </c>
      <c r="J265" s="1">
        <f t="shared" si="41"/>
        <v>0</v>
      </c>
      <c r="K265" s="1" t="str">
        <f t="shared" si="42"/>
        <v/>
      </c>
      <c r="L265" s="1">
        <f t="shared" si="43"/>
        <v>0</v>
      </c>
      <c r="M265" s="1">
        <f t="shared" si="44"/>
        <v>0</v>
      </c>
      <c r="N265" s="1">
        <f t="shared" si="45"/>
        <v>0</v>
      </c>
      <c r="O265" s="1" t="b">
        <f t="shared" si="46"/>
        <v>0</v>
      </c>
      <c r="P265" s="1" t="e">
        <f>INDEX(G:G,MATCH(G265,G:G,0))</f>
        <v>#N/A</v>
      </c>
      <c r="Q265" s="1" t="e">
        <f t="shared" si="47"/>
        <v>#N/A</v>
      </c>
      <c r="R265" s="1" t="e">
        <f>INDEX('6.0.35'!I:I,MATCH(F265,'6.0.35'!K:K,0))</f>
        <v>#N/A</v>
      </c>
      <c r="S265" s="1" t="e">
        <f>INDEX('6.0.35'!J:J,MATCH(F265,'6.0.35'!F:F,0))</f>
        <v>#N/A</v>
      </c>
    </row>
    <row r="266" spans="1:19">
      <c r="A266" t="s">
        <v>12922</v>
      </c>
      <c r="I266" s="1" t="str">
        <f t="shared" si="40"/>
        <v/>
      </c>
      <c r="J266" s="1">
        <f t="shared" si="41"/>
        <v>0</v>
      </c>
      <c r="K266" s="1" t="str">
        <f t="shared" si="42"/>
        <v/>
      </c>
      <c r="L266" s="1">
        <f t="shared" si="43"/>
        <v>0</v>
      </c>
      <c r="M266" s="1">
        <f t="shared" si="44"/>
        <v>0</v>
      </c>
      <c r="N266" s="1">
        <f t="shared" si="45"/>
        <v>0</v>
      </c>
      <c r="O266" s="1" t="b">
        <f t="shared" si="46"/>
        <v>0</v>
      </c>
      <c r="P266" s="1" t="e">
        <f>INDEX(G:G,MATCH(G266,G:G,0))</f>
        <v>#N/A</v>
      </c>
      <c r="Q266" s="1" t="e">
        <f t="shared" si="47"/>
        <v>#N/A</v>
      </c>
      <c r="R266" s="1" t="e">
        <f>INDEX('6.0.35'!I:I,MATCH(F266,'6.0.35'!K:K,0))</f>
        <v>#N/A</v>
      </c>
      <c r="S266" s="1" t="e">
        <f>INDEX('6.0.35'!J:J,MATCH(F266,'6.0.35'!F:F,0))</f>
        <v>#N/A</v>
      </c>
    </row>
    <row r="267" spans="1:19">
      <c r="A267" t="s">
        <v>12925</v>
      </c>
      <c r="I267" s="1" t="str">
        <f t="shared" si="40"/>
        <v/>
      </c>
      <c r="J267" s="1">
        <f t="shared" si="41"/>
        <v>0</v>
      </c>
      <c r="K267" s="1" t="str">
        <f t="shared" si="42"/>
        <v/>
      </c>
      <c r="L267" s="1">
        <f t="shared" si="43"/>
        <v>0</v>
      </c>
      <c r="M267" s="1">
        <f t="shared" si="44"/>
        <v>0</v>
      </c>
      <c r="N267" s="1">
        <f t="shared" si="45"/>
        <v>0</v>
      </c>
      <c r="O267" s="1" t="b">
        <f t="shared" si="46"/>
        <v>0</v>
      </c>
      <c r="P267" s="1" t="e">
        <f>INDEX(G:G,MATCH(G267,G:G,0))</f>
        <v>#N/A</v>
      </c>
      <c r="Q267" s="1" t="e">
        <f t="shared" si="47"/>
        <v>#N/A</v>
      </c>
      <c r="R267" s="1" t="e">
        <f>INDEX('6.0.35'!I:I,MATCH(F267,'6.0.35'!K:K,0))</f>
        <v>#N/A</v>
      </c>
      <c r="S267" s="1" t="e">
        <f>INDEX('6.0.35'!J:J,MATCH(F267,'6.0.35'!F:F,0))</f>
        <v>#N/A</v>
      </c>
    </row>
    <row r="268" spans="1:19">
      <c r="A268" t="s">
        <v>12928</v>
      </c>
      <c r="I268" s="1" t="str">
        <f t="shared" si="40"/>
        <v/>
      </c>
      <c r="J268" s="1">
        <f t="shared" si="41"/>
        <v>0</v>
      </c>
      <c r="K268" s="1" t="str">
        <f t="shared" si="42"/>
        <v/>
      </c>
      <c r="L268" s="1">
        <f t="shared" si="43"/>
        <v>0</v>
      </c>
      <c r="M268" s="1">
        <f t="shared" si="44"/>
        <v>0</v>
      </c>
      <c r="N268" s="1">
        <f t="shared" si="45"/>
        <v>0</v>
      </c>
      <c r="O268" s="1" t="b">
        <f t="shared" si="46"/>
        <v>0</v>
      </c>
      <c r="P268" s="1" t="e">
        <f>INDEX(G:G,MATCH(G268,G:G,0))</f>
        <v>#N/A</v>
      </c>
      <c r="Q268" s="1" t="e">
        <f t="shared" si="47"/>
        <v>#N/A</v>
      </c>
      <c r="R268" s="1" t="e">
        <f>INDEX('6.0.35'!I:I,MATCH(F268,'6.0.35'!K:K,0))</f>
        <v>#N/A</v>
      </c>
      <c r="S268" s="1" t="e">
        <f>INDEX('6.0.35'!J:J,MATCH(F268,'6.0.35'!F:F,0))</f>
        <v>#N/A</v>
      </c>
    </row>
    <row r="269" spans="1:19">
      <c r="A269" t="s">
        <v>12931</v>
      </c>
      <c r="I269" s="1" t="str">
        <f t="shared" si="40"/>
        <v/>
      </c>
      <c r="J269" s="1">
        <f t="shared" si="41"/>
        <v>0</v>
      </c>
      <c r="K269" s="1" t="str">
        <f t="shared" si="42"/>
        <v/>
      </c>
      <c r="L269" s="1">
        <f t="shared" si="43"/>
        <v>0</v>
      </c>
      <c r="M269" s="1">
        <f t="shared" si="44"/>
        <v>0</v>
      </c>
      <c r="N269" s="1">
        <f t="shared" si="45"/>
        <v>0</v>
      </c>
      <c r="O269" s="1" t="b">
        <f t="shared" si="46"/>
        <v>0</v>
      </c>
      <c r="P269" s="1" t="e">
        <f>INDEX(G:G,MATCH(G269,G:G,0))</f>
        <v>#N/A</v>
      </c>
      <c r="Q269" s="1" t="e">
        <f t="shared" si="47"/>
        <v>#N/A</v>
      </c>
      <c r="R269" s="1" t="e">
        <f>INDEX('6.0.35'!I:I,MATCH(F269,'6.0.35'!K:K,0))</f>
        <v>#N/A</v>
      </c>
      <c r="S269" s="1" t="e">
        <f>INDEX('6.0.35'!J:J,MATCH(F269,'6.0.35'!F:F,0))</f>
        <v>#N/A</v>
      </c>
    </row>
    <row r="270" spans="1:19">
      <c r="A270" t="s">
        <v>12934</v>
      </c>
      <c r="I270" s="1" t="str">
        <f t="shared" si="40"/>
        <v/>
      </c>
      <c r="J270" s="1">
        <f t="shared" si="41"/>
        <v>0</v>
      </c>
      <c r="K270" s="1" t="str">
        <f t="shared" si="42"/>
        <v/>
      </c>
      <c r="L270" s="1">
        <f t="shared" si="43"/>
        <v>0</v>
      </c>
      <c r="M270" s="1">
        <f t="shared" si="44"/>
        <v>0</v>
      </c>
      <c r="N270" s="1">
        <f t="shared" si="45"/>
        <v>0</v>
      </c>
      <c r="O270" s="1" t="b">
        <f t="shared" si="46"/>
        <v>0</v>
      </c>
      <c r="P270" s="1" t="e">
        <f>INDEX(G:G,MATCH(G270,G:G,0))</f>
        <v>#N/A</v>
      </c>
      <c r="Q270" s="1" t="e">
        <f t="shared" si="47"/>
        <v>#N/A</v>
      </c>
      <c r="R270" s="1" t="e">
        <f>INDEX('6.0.35'!I:I,MATCH(F270,'6.0.35'!K:K,0))</f>
        <v>#N/A</v>
      </c>
      <c r="S270" s="1" t="e">
        <f>INDEX('6.0.35'!J:J,MATCH(F270,'6.0.35'!F:F,0))</f>
        <v>#N/A</v>
      </c>
    </row>
    <row r="271" spans="1:19">
      <c r="A271" t="s">
        <v>12937</v>
      </c>
      <c r="I271" s="1" t="str">
        <f t="shared" si="40"/>
        <v/>
      </c>
      <c r="J271" s="1">
        <f t="shared" si="41"/>
        <v>0</v>
      </c>
      <c r="K271" s="1" t="str">
        <f t="shared" si="42"/>
        <v/>
      </c>
      <c r="L271" s="1">
        <f t="shared" si="43"/>
        <v>0</v>
      </c>
      <c r="M271" s="1">
        <f t="shared" si="44"/>
        <v>0</v>
      </c>
      <c r="N271" s="1">
        <f t="shared" si="45"/>
        <v>0</v>
      </c>
      <c r="O271" s="1" t="b">
        <f t="shared" si="46"/>
        <v>0</v>
      </c>
      <c r="P271" s="1" t="e">
        <f>INDEX(G:G,MATCH(G271,G:G,0))</f>
        <v>#N/A</v>
      </c>
      <c r="Q271" s="1" t="e">
        <f t="shared" si="47"/>
        <v>#N/A</v>
      </c>
      <c r="R271" s="1" t="e">
        <f>INDEX('6.0.35'!I:I,MATCH(F271,'6.0.35'!K:K,0))</f>
        <v>#N/A</v>
      </c>
      <c r="S271" s="1" t="e">
        <f>INDEX('6.0.35'!J:J,MATCH(F271,'6.0.35'!F:F,0))</f>
        <v>#N/A</v>
      </c>
    </row>
    <row r="272" spans="1:19">
      <c r="A272" t="s">
        <v>12940</v>
      </c>
      <c r="I272" s="1" t="str">
        <f t="shared" si="40"/>
        <v/>
      </c>
      <c r="J272" s="1">
        <f t="shared" si="41"/>
        <v>0</v>
      </c>
      <c r="K272" s="1" t="str">
        <f t="shared" si="42"/>
        <v/>
      </c>
      <c r="L272" s="1">
        <f t="shared" si="43"/>
        <v>0</v>
      </c>
      <c r="M272" s="1">
        <f t="shared" si="44"/>
        <v>0</v>
      </c>
      <c r="N272" s="1">
        <f t="shared" si="45"/>
        <v>0</v>
      </c>
      <c r="O272" s="1" t="b">
        <f t="shared" si="46"/>
        <v>0</v>
      </c>
      <c r="P272" s="1" t="e">
        <f>INDEX(G:G,MATCH(G272,G:G,0))</f>
        <v>#N/A</v>
      </c>
      <c r="Q272" s="1" t="e">
        <f t="shared" si="47"/>
        <v>#N/A</v>
      </c>
      <c r="R272" s="1" t="e">
        <f>INDEX('6.0.35'!I:I,MATCH(F272,'6.0.35'!K:K,0))</f>
        <v>#N/A</v>
      </c>
      <c r="S272" s="1" t="e">
        <f>INDEX('6.0.35'!J:J,MATCH(F272,'6.0.35'!F:F,0))</f>
        <v>#N/A</v>
      </c>
    </row>
    <row r="273" spans="1:19">
      <c r="A273" t="s">
        <v>12943</v>
      </c>
      <c r="I273" s="1" t="str">
        <f t="shared" si="40"/>
        <v/>
      </c>
      <c r="J273" s="1">
        <f t="shared" si="41"/>
        <v>0</v>
      </c>
      <c r="K273" s="1" t="str">
        <f t="shared" si="42"/>
        <v/>
      </c>
      <c r="L273" s="1">
        <f t="shared" si="43"/>
        <v>0</v>
      </c>
      <c r="M273" s="1">
        <f t="shared" si="44"/>
        <v>0</v>
      </c>
      <c r="N273" s="1">
        <f t="shared" si="45"/>
        <v>0</v>
      </c>
      <c r="O273" s="1" t="b">
        <f t="shared" si="46"/>
        <v>0</v>
      </c>
      <c r="P273" s="1" t="e">
        <f>INDEX(G:G,MATCH(G273,G:G,0))</f>
        <v>#N/A</v>
      </c>
      <c r="Q273" s="1" t="e">
        <f t="shared" si="47"/>
        <v>#N/A</v>
      </c>
      <c r="R273" s="1" t="e">
        <f>INDEX('6.0.35'!I:I,MATCH(F273,'6.0.35'!K:K,0))</f>
        <v>#N/A</v>
      </c>
      <c r="S273" s="1" t="e">
        <f>INDEX('6.0.35'!J:J,MATCH(F273,'6.0.35'!F:F,0))</f>
        <v>#N/A</v>
      </c>
    </row>
    <row r="274" spans="1:19">
      <c r="A274" t="s">
        <v>12946</v>
      </c>
      <c r="I274" s="1" t="str">
        <f t="shared" si="40"/>
        <v/>
      </c>
      <c r="J274" s="1">
        <f t="shared" si="41"/>
        <v>0</v>
      </c>
      <c r="K274" s="1" t="str">
        <f t="shared" si="42"/>
        <v/>
      </c>
      <c r="L274" s="1">
        <f t="shared" si="43"/>
        <v>0</v>
      </c>
      <c r="M274" s="1">
        <f t="shared" si="44"/>
        <v>0</v>
      </c>
      <c r="N274" s="1">
        <f t="shared" si="45"/>
        <v>0</v>
      </c>
      <c r="O274" s="1" t="b">
        <f t="shared" si="46"/>
        <v>0</v>
      </c>
      <c r="P274" s="1" t="e">
        <f>INDEX(G:G,MATCH(G274,G:G,0))</f>
        <v>#N/A</v>
      </c>
      <c r="Q274" s="1" t="e">
        <f t="shared" si="47"/>
        <v>#N/A</v>
      </c>
      <c r="R274" s="1" t="e">
        <f>INDEX('6.0.35'!I:I,MATCH(F274,'6.0.35'!K:K,0))</f>
        <v>#N/A</v>
      </c>
      <c r="S274" s="1" t="e">
        <f>INDEX('6.0.35'!J:J,MATCH(F274,'6.0.35'!F:F,0))</f>
        <v>#N/A</v>
      </c>
    </row>
    <row r="275" spans="1:19">
      <c r="A275" t="s">
        <v>12949</v>
      </c>
      <c r="I275" s="1" t="str">
        <f t="shared" si="40"/>
        <v/>
      </c>
      <c r="J275" s="1">
        <f t="shared" si="41"/>
        <v>0</v>
      </c>
      <c r="K275" s="1" t="str">
        <f t="shared" si="42"/>
        <v/>
      </c>
      <c r="L275" s="1">
        <f t="shared" si="43"/>
        <v>0</v>
      </c>
      <c r="M275" s="1">
        <f t="shared" si="44"/>
        <v>0</v>
      </c>
      <c r="N275" s="1">
        <f t="shared" si="45"/>
        <v>0</v>
      </c>
      <c r="O275" s="1" t="b">
        <f t="shared" si="46"/>
        <v>0</v>
      </c>
      <c r="P275" s="1" t="e">
        <f>INDEX(G:G,MATCH(G275,G:G,0))</f>
        <v>#N/A</v>
      </c>
      <c r="Q275" s="1" t="e">
        <f t="shared" si="47"/>
        <v>#N/A</v>
      </c>
      <c r="R275" s="1" t="e">
        <f>INDEX('6.0.35'!I:I,MATCH(F275,'6.0.35'!K:K,0))</f>
        <v>#N/A</v>
      </c>
      <c r="S275" s="1" t="e">
        <f>INDEX('6.0.35'!J:J,MATCH(F275,'6.0.35'!F:F,0))</f>
        <v>#N/A</v>
      </c>
    </row>
    <row r="276" spans="1:19">
      <c r="A276" t="s">
        <v>12952</v>
      </c>
      <c r="I276" s="1" t="str">
        <f t="shared" si="40"/>
        <v/>
      </c>
      <c r="J276" s="1">
        <f t="shared" si="41"/>
        <v>0</v>
      </c>
      <c r="K276" s="1" t="str">
        <f t="shared" si="42"/>
        <v/>
      </c>
      <c r="L276" s="1">
        <f t="shared" si="43"/>
        <v>0</v>
      </c>
      <c r="M276" s="1">
        <f t="shared" si="44"/>
        <v>0</v>
      </c>
      <c r="N276" s="1">
        <f t="shared" si="45"/>
        <v>0</v>
      </c>
      <c r="O276" s="1" t="b">
        <f t="shared" si="46"/>
        <v>0</v>
      </c>
      <c r="P276" s="1" t="e">
        <f>INDEX(G:G,MATCH(G276,G:G,0))</f>
        <v>#N/A</v>
      </c>
      <c r="Q276" s="1" t="e">
        <f t="shared" si="47"/>
        <v>#N/A</v>
      </c>
      <c r="R276" s="1" t="e">
        <f>INDEX('6.0.35'!I:I,MATCH(F276,'6.0.35'!K:K,0))</f>
        <v>#N/A</v>
      </c>
      <c r="S276" s="1" t="e">
        <f>INDEX('6.0.35'!J:J,MATCH(F276,'6.0.35'!F:F,0))</f>
        <v>#N/A</v>
      </c>
    </row>
    <row r="277" spans="1:19">
      <c r="A277" t="s">
        <v>12955</v>
      </c>
      <c r="I277" s="1" t="str">
        <f t="shared" si="40"/>
        <v/>
      </c>
      <c r="J277" s="1">
        <f t="shared" si="41"/>
        <v>0</v>
      </c>
      <c r="K277" s="1" t="str">
        <f t="shared" si="42"/>
        <v/>
      </c>
      <c r="L277" s="1">
        <f t="shared" si="43"/>
        <v>0</v>
      </c>
      <c r="M277" s="1">
        <f t="shared" si="44"/>
        <v>0</v>
      </c>
      <c r="N277" s="1">
        <f t="shared" si="45"/>
        <v>0</v>
      </c>
      <c r="O277" s="1" t="b">
        <f t="shared" si="46"/>
        <v>0</v>
      </c>
      <c r="P277" s="1" t="e">
        <f>INDEX(G:G,MATCH(G277,G:G,0))</f>
        <v>#N/A</v>
      </c>
      <c r="Q277" s="1" t="e">
        <f t="shared" si="47"/>
        <v>#N/A</v>
      </c>
      <c r="R277" s="1" t="e">
        <f>INDEX('6.0.35'!I:I,MATCH(F277,'6.0.35'!K:K,0))</f>
        <v>#N/A</v>
      </c>
      <c r="S277" s="1" t="e">
        <f>INDEX('6.0.35'!J:J,MATCH(F277,'6.0.35'!F:F,0))</f>
        <v>#N/A</v>
      </c>
    </row>
    <row r="278" spans="1:19">
      <c r="A278" t="s">
        <v>12958</v>
      </c>
      <c r="I278" s="1" t="str">
        <f t="shared" si="40"/>
        <v/>
      </c>
      <c r="J278" s="1">
        <f t="shared" si="41"/>
        <v>0</v>
      </c>
      <c r="K278" s="1" t="str">
        <f t="shared" si="42"/>
        <v/>
      </c>
      <c r="L278" s="1">
        <f t="shared" si="43"/>
        <v>0</v>
      </c>
      <c r="M278" s="1">
        <f t="shared" si="44"/>
        <v>0</v>
      </c>
      <c r="N278" s="1">
        <f t="shared" si="45"/>
        <v>0</v>
      </c>
      <c r="O278" s="1" t="b">
        <f t="shared" si="46"/>
        <v>0</v>
      </c>
      <c r="P278" s="1" t="e">
        <f>INDEX(G:G,MATCH(G278,G:G,0))</f>
        <v>#N/A</v>
      </c>
      <c r="Q278" s="1" t="e">
        <f t="shared" si="47"/>
        <v>#N/A</v>
      </c>
      <c r="R278" s="1" t="e">
        <f>INDEX('6.0.35'!I:I,MATCH(F278,'6.0.35'!K:K,0))</f>
        <v>#N/A</v>
      </c>
      <c r="S278" s="1" t="e">
        <f>INDEX('6.0.35'!J:J,MATCH(F278,'6.0.35'!F:F,0))</f>
        <v>#N/A</v>
      </c>
    </row>
    <row r="279" spans="1:19">
      <c r="A279" t="s">
        <v>12961</v>
      </c>
      <c r="I279" s="1" t="str">
        <f t="shared" si="40"/>
        <v/>
      </c>
      <c r="J279" s="1">
        <f t="shared" si="41"/>
        <v>0</v>
      </c>
      <c r="K279" s="1" t="str">
        <f t="shared" si="42"/>
        <v/>
      </c>
      <c r="L279" s="1">
        <f t="shared" si="43"/>
        <v>0</v>
      </c>
      <c r="M279" s="1">
        <f t="shared" si="44"/>
        <v>0</v>
      </c>
      <c r="N279" s="1">
        <f t="shared" si="45"/>
        <v>0</v>
      </c>
      <c r="O279" s="1" t="b">
        <f t="shared" si="46"/>
        <v>0</v>
      </c>
      <c r="P279" s="1" t="e">
        <f>INDEX(G:G,MATCH(G279,G:G,0))</f>
        <v>#N/A</v>
      </c>
      <c r="Q279" s="1" t="e">
        <f t="shared" si="47"/>
        <v>#N/A</v>
      </c>
      <c r="R279" s="1" t="e">
        <f>INDEX('6.0.35'!I:I,MATCH(F279,'6.0.35'!K:K,0))</f>
        <v>#N/A</v>
      </c>
      <c r="S279" s="1" t="e">
        <f>INDEX('6.0.35'!J:J,MATCH(F279,'6.0.35'!F:F,0))</f>
        <v>#N/A</v>
      </c>
    </row>
    <row r="280" spans="1:19">
      <c r="A280" t="s">
        <v>12964</v>
      </c>
      <c r="I280" s="1" t="str">
        <f t="shared" si="40"/>
        <v/>
      </c>
      <c r="J280" s="1">
        <f t="shared" si="41"/>
        <v>0</v>
      </c>
      <c r="K280" s="1" t="str">
        <f t="shared" si="42"/>
        <v/>
      </c>
      <c r="L280" s="1">
        <f t="shared" si="43"/>
        <v>0</v>
      </c>
      <c r="M280" s="1">
        <f t="shared" si="44"/>
        <v>0</v>
      </c>
      <c r="N280" s="1">
        <f t="shared" si="45"/>
        <v>0</v>
      </c>
      <c r="O280" s="1" t="b">
        <f t="shared" si="46"/>
        <v>0</v>
      </c>
      <c r="P280" s="1" t="e">
        <f>INDEX(G:G,MATCH(G280,G:G,0))</f>
        <v>#N/A</v>
      </c>
      <c r="Q280" s="1" t="e">
        <f t="shared" si="47"/>
        <v>#N/A</v>
      </c>
      <c r="R280" s="1" t="e">
        <f>INDEX('6.0.35'!I:I,MATCH(F280,'6.0.35'!K:K,0))</f>
        <v>#N/A</v>
      </c>
      <c r="S280" s="1" t="e">
        <f>INDEX('6.0.35'!J:J,MATCH(F280,'6.0.35'!F:F,0))</f>
        <v>#N/A</v>
      </c>
    </row>
    <row r="281" spans="1:19">
      <c r="A281" t="s">
        <v>12967</v>
      </c>
      <c r="I281" s="1" t="str">
        <f t="shared" si="40"/>
        <v/>
      </c>
      <c r="J281" s="1">
        <f t="shared" si="41"/>
        <v>0</v>
      </c>
      <c r="K281" s="1" t="str">
        <f t="shared" si="42"/>
        <v/>
      </c>
      <c r="L281" s="1">
        <f t="shared" si="43"/>
        <v>0</v>
      </c>
      <c r="M281" s="1">
        <f t="shared" si="44"/>
        <v>0</v>
      </c>
      <c r="N281" s="1">
        <f t="shared" si="45"/>
        <v>0</v>
      </c>
      <c r="O281" s="1" t="b">
        <f t="shared" si="46"/>
        <v>0</v>
      </c>
      <c r="P281" s="1" t="e">
        <f>INDEX(G:G,MATCH(G281,G:G,0))</f>
        <v>#N/A</v>
      </c>
      <c r="Q281" s="1" t="e">
        <f t="shared" si="47"/>
        <v>#N/A</v>
      </c>
      <c r="R281" s="1" t="e">
        <f>INDEX('6.0.35'!I:I,MATCH(F281,'6.0.35'!K:K,0))</f>
        <v>#N/A</v>
      </c>
      <c r="S281" s="1" t="e">
        <f>INDEX('6.0.35'!J:J,MATCH(F281,'6.0.35'!F:F,0))</f>
        <v>#N/A</v>
      </c>
    </row>
    <row r="282" spans="1:19">
      <c r="A282" t="s">
        <v>12970</v>
      </c>
      <c r="I282" s="1" t="str">
        <f t="shared" si="40"/>
        <v/>
      </c>
      <c r="J282" s="1">
        <f t="shared" si="41"/>
        <v>0</v>
      </c>
      <c r="K282" s="1" t="str">
        <f t="shared" si="42"/>
        <v/>
      </c>
      <c r="L282" s="1">
        <f t="shared" si="43"/>
        <v>0</v>
      </c>
      <c r="M282" s="1">
        <f t="shared" si="44"/>
        <v>0</v>
      </c>
      <c r="N282" s="1">
        <f t="shared" si="45"/>
        <v>0</v>
      </c>
      <c r="O282" s="1" t="b">
        <f t="shared" si="46"/>
        <v>0</v>
      </c>
      <c r="P282" s="1" t="e">
        <f>INDEX(G:G,MATCH(G282,G:G,0))</f>
        <v>#N/A</v>
      </c>
      <c r="Q282" s="1" t="e">
        <f t="shared" si="47"/>
        <v>#N/A</v>
      </c>
      <c r="R282" s="1" t="e">
        <f>INDEX('6.0.35'!I:I,MATCH(F282,'6.0.35'!K:K,0))</f>
        <v>#N/A</v>
      </c>
      <c r="S282" s="1" t="e">
        <f>INDEX('6.0.35'!J:J,MATCH(F282,'6.0.35'!F:F,0))</f>
        <v>#N/A</v>
      </c>
    </row>
    <row r="283" spans="1:19">
      <c r="A283" t="s">
        <v>12973</v>
      </c>
      <c r="I283" s="1" t="str">
        <f t="shared" si="40"/>
        <v/>
      </c>
      <c r="J283" s="1">
        <f t="shared" si="41"/>
        <v>0</v>
      </c>
      <c r="K283" s="1" t="str">
        <f t="shared" si="42"/>
        <v/>
      </c>
      <c r="L283" s="1">
        <f t="shared" si="43"/>
        <v>0</v>
      </c>
      <c r="M283" s="1">
        <f t="shared" si="44"/>
        <v>0</v>
      </c>
      <c r="N283" s="1">
        <f t="shared" si="45"/>
        <v>0</v>
      </c>
      <c r="O283" s="1" t="b">
        <f t="shared" si="46"/>
        <v>0</v>
      </c>
      <c r="P283" s="1" t="e">
        <f>INDEX(G:G,MATCH(G283,G:G,0))</f>
        <v>#N/A</v>
      </c>
      <c r="Q283" s="1" t="e">
        <f t="shared" si="47"/>
        <v>#N/A</v>
      </c>
      <c r="R283" s="1" t="e">
        <f>INDEX('6.0.35'!I:I,MATCH(F283,'6.0.35'!K:K,0))</f>
        <v>#N/A</v>
      </c>
      <c r="S283" s="1" t="e">
        <f>INDEX('6.0.35'!J:J,MATCH(F283,'6.0.35'!F:F,0))</f>
        <v>#N/A</v>
      </c>
    </row>
    <row r="284" spans="1:19">
      <c r="A284" t="s">
        <v>12976</v>
      </c>
      <c r="I284" s="1" t="str">
        <f t="shared" si="40"/>
        <v/>
      </c>
      <c r="J284" s="1">
        <f t="shared" si="41"/>
        <v>0</v>
      </c>
      <c r="K284" s="1" t="str">
        <f t="shared" si="42"/>
        <v/>
      </c>
      <c r="L284" s="1">
        <f t="shared" si="43"/>
        <v>0</v>
      </c>
      <c r="M284" s="1">
        <f t="shared" si="44"/>
        <v>0</v>
      </c>
      <c r="N284" s="1">
        <f t="shared" si="45"/>
        <v>0</v>
      </c>
      <c r="O284" s="1" t="b">
        <f t="shared" si="46"/>
        <v>0</v>
      </c>
      <c r="P284" s="1" t="e">
        <f>INDEX(G:G,MATCH(G284,G:G,0))</f>
        <v>#N/A</v>
      </c>
      <c r="Q284" s="1" t="e">
        <f t="shared" si="47"/>
        <v>#N/A</v>
      </c>
      <c r="R284" s="1" t="e">
        <f>INDEX('6.0.35'!I:I,MATCH(F284,'6.0.35'!K:K,0))</f>
        <v>#N/A</v>
      </c>
      <c r="S284" s="1" t="e">
        <f>INDEX('6.0.35'!J:J,MATCH(F284,'6.0.35'!F:F,0))</f>
        <v>#N/A</v>
      </c>
    </row>
    <row r="285" spans="1:19">
      <c r="A285" t="s">
        <v>12979</v>
      </c>
      <c r="I285" s="1" t="str">
        <f t="shared" si="40"/>
        <v/>
      </c>
      <c r="J285" s="1">
        <f t="shared" si="41"/>
        <v>0</v>
      </c>
      <c r="K285" s="1" t="str">
        <f t="shared" si="42"/>
        <v/>
      </c>
      <c r="L285" s="1">
        <f t="shared" si="43"/>
        <v>0</v>
      </c>
      <c r="M285" s="1">
        <f t="shared" si="44"/>
        <v>0</v>
      </c>
      <c r="N285" s="1">
        <f t="shared" si="45"/>
        <v>0</v>
      </c>
      <c r="O285" s="1" t="b">
        <f t="shared" si="46"/>
        <v>0</v>
      </c>
      <c r="P285" s="1" t="e">
        <f>INDEX(G:G,MATCH(G285,G:G,0))</f>
        <v>#N/A</v>
      </c>
      <c r="Q285" s="1" t="e">
        <f t="shared" si="47"/>
        <v>#N/A</v>
      </c>
      <c r="R285" s="1" t="e">
        <f>INDEX('6.0.35'!I:I,MATCH(F285,'6.0.35'!K:K,0))</f>
        <v>#N/A</v>
      </c>
      <c r="S285" s="1" t="e">
        <f>INDEX('6.0.35'!J:J,MATCH(F285,'6.0.35'!F:F,0))</f>
        <v>#N/A</v>
      </c>
    </row>
    <row r="286" spans="1:19">
      <c r="A286" t="s">
        <v>12982</v>
      </c>
      <c r="I286" s="1" t="str">
        <f t="shared" si="40"/>
        <v/>
      </c>
      <c r="J286" s="1">
        <f t="shared" si="41"/>
        <v>0</v>
      </c>
      <c r="K286" s="1" t="str">
        <f t="shared" si="42"/>
        <v/>
      </c>
      <c r="L286" s="1">
        <f t="shared" si="43"/>
        <v>0</v>
      </c>
      <c r="M286" s="1">
        <f t="shared" si="44"/>
        <v>0</v>
      </c>
      <c r="N286" s="1">
        <f t="shared" si="45"/>
        <v>0</v>
      </c>
      <c r="O286" s="1" t="b">
        <f t="shared" si="46"/>
        <v>0</v>
      </c>
      <c r="P286" s="1" t="e">
        <f>INDEX(G:G,MATCH(G286,G:G,0))</f>
        <v>#N/A</v>
      </c>
      <c r="Q286" s="1" t="e">
        <f t="shared" si="47"/>
        <v>#N/A</v>
      </c>
      <c r="R286" s="1" t="e">
        <f>INDEX('6.0.35'!I:I,MATCH(F286,'6.0.35'!K:K,0))</f>
        <v>#N/A</v>
      </c>
      <c r="S286" s="1" t="e">
        <f>INDEX('6.0.35'!J:J,MATCH(F286,'6.0.35'!F:F,0))</f>
        <v>#N/A</v>
      </c>
    </row>
    <row r="287" spans="1:19">
      <c r="A287" t="s">
        <v>12985</v>
      </c>
      <c r="I287" s="1" t="str">
        <f t="shared" si="40"/>
        <v/>
      </c>
      <c r="J287" s="1">
        <f t="shared" si="41"/>
        <v>0</v>
      </c>
      <c r="K287" s="1" t="str">
        <f t="shared" si="42"/>
        <v/>
      </c>
      <c r="L287" s="1">
        <f t="shared" si="43"/>
        <v>0</v>
      </c>
      <c r="M287" s="1">
        <f t="shared" si="44"/>
        <v>0</v>
      </c>
      <c r="N287" s="1">
        <f t="shared" si="45"/>
        <v>0</v>
      </c>
      <c r="O287" s="1" t="b">
        <f t="shared" si="46"/>
        <v>0</v>
      </c>
      <c r="P287" s="1" t="e">
        <f>INDEX(G:G,MATCH(G287,G:G,0))</f>
        <v>#N/A</v>
      </c>
      <c r="Q287" s="1" t="e">
        <f t="shared" si="47"/>
        <v>#N/A</v>
      </c>
      <c r="R287" s="1" t="e">
        <f>INDEX('6.0.35'!I:I,MATCH(F287,'6.0.35'!K:K,0))</f>
        <v>#N/A</v>
      </c>
      <c r="S287" s="1" t="e">
        <f>INDEX('6.0.35'!J:J,MATCH(F287,'6.0.35'!F:F,0))</f>
        <v>#N/A</v>
      </c>
    </row>
    <row r="288" spans="1:19">
      <c r="A288" t="s">
        <v>12988</v>
      </c>
      <c r="I288" s="1" t="str">
        <f t="shared" si="40"/>
        <v/>
      </c>
      <c r="J288" s="1">
        <f t="shared" si="41"/>
        <v>0</v>
      </c>
      <c r="K288" s="1" t="str">
        <f t="shared" si="42"/>
        <v/>
      </c>
      <c r="L288" s="1">
        <f t="shared" si="43"/>
        <v>0</v>
      </c>
      <c r="M288" s="1">
        <f t="shared" si="44"/>
        <v>0</v>
      </c>
      <c r="N288" s="1">
        <f t="shared" si="45"/>
        <v>0</v>
      </c>
      <c r="O288" s="1" t="b">
        <f t="shared" si="46"/>
        <v>0</v>
      </c>
      <c r="P288" s="1" t="e">
        <f>INDEX(G:G,MATCH(G288,G:G,0))</f>
        <v>#N/A</v>
      </c>
      <c r="Q288" s="1" t="e">
        <f t="shared" si="47"/>
        <v>#N/A</v>
      </c>
      <c r="R288" s="1" t="e">
        <f>INDEX('6.0.35'!I:I,MATCH(F288,'6.0.35'!K:K,0))</f>
        <v>#N/A</v>
      </c>
      <c r="S288" s="1" t="e">
        <f>INDEX('6.0.35'!J:J,MATCH(F288,'6.0.35'!F:F,0))</f>
        <v>#N/A</v>
      </c>
    </row>
    <row r="289" spans="1:19">
      <c r="A289" t="s">
        <v>12991</v>
      </c>
      <c r="I289" s="1" t="str">
        <f t="shared" si="40"/>
        <v/>
      </c>
      <c r="J289" s="1">
        <f t="shared" si="41"/>
        <v>0</v>
      </c>
      <c r="K289" s="1" t="str">
        <f t="shared" si="42"/>
        <v/>
      </c>
      <c r="L289" s="1">
        <f t="shared" si="43"/>
        <v>0</v>
      </c>
      <c r="M289" s="1">
        <f t="shared" si="44"/>
        <v>0</v>
      </c>
      <c r="N289" s="1">
        <f t="shared" si="45"/>
        <v>0</v>
      </c>
      <c r="O289" s="1" t="b">
        <f t="shared" si="46"/>
        <v>0</v>
      </c>
      <c r="P289" s="1" t="e">
        <f>INDEX(G:G,MATCH(G289,G:G,0))</f>
        <v>#N/A</v>
      </c>
      <c r="Q289" s="1" t="e">
        <f t="shared" si="47"/>
        <v>#N/A</v>
      </c>
      <c r="R289" s="1" t="e">
        <f>INDEX('6.0.35'!I:I,MATCH(F289,'6.0.35'!K:K,0))</f>
        <v>#N/A</v>
      </c>
      <c r="S289" s="1" t="e">
        <f>INDEX('6.0.35'!J:J,MATCH(F289,'6.0.35'!F:F,0))</f>
        <v>#N/A</v>
      </c>
    </row>
    <row r="290" spans="1:19">
      <c r="A290" t="s">
        <v>13040</v>
      </c>
      <c r="I290" s="1" t="str">
        <f t="shared" si="40"/>
        <v/>
      </c>
      <c r="J290" s="1">
        <f t="shared" si="41"/>
        <v>0</v>
      </c>
      <c r="K290" s="1" t="str">
        <f t="shared" si="42"/>
        <v/>
      </c>
      <c r="L290" s="1">
        <f t="shared" si="43"/>
        <v>0</v>
      </c>
      <c r="M290" s="1">
        <f t="shared" si="44"/>
        <v>0</v>
      </c>
      <c r="N290" s="1">
        <f t="shared" si="45"/>
        <v>0</v>
      </c>
      <c r="O290" s="1" t="b">
        <f t="shared" si="46"/>
        <v>0</v>
      </c>
      <c r="P290" s="1" t="e">
        <f>INDEX(G:G,MATCH(G290,G:G,0))</f>
        <v>#N/A</v>
      </c>
      <c r="Q290" s="1" t="e">
        <f t="shared" si="47"/>
        <v>#N/A</v>
      </c>
      <c r="R290" s="1" t="e">
        <f>INDEX('6.0.35'!I:I,MATCH(F290,'6.0.35'!K:K,0))</f>
        <v>#N/A</v>
      </c>
      <c r="S290" s="1" t="e">
        <f>INDEX('6.0.35'!J:J,MATCH(F290,'6.0.35'!F:F,0))</f>
        <v>#N/A</v>
      </c>
    </row>
    <row r="291" spans="1:19">
      <c r="A291" t="s">
        <v>13044</v>
      </c>
      <c r="I291" s="1" t="str">
        <f t="shared" si="40"/>
        <v/>
      </c>
      <c r="J291" s="1">
        <f t="shared" si="41"/>
        <v>0</v>
      </c>
      <c r="K291" s="1" t="str">
        <f t="shared" si="42"/>
        <v/>
      </c>
      <c r="L291" s="1">
        <f t="shared" si="43"/>
        <v>0</v>
      </c>
      <c r="M291" s="1">
        <f t="shared" si="44"/>
        <v>0</v>
      </c>
      <c r="N291" s="1">
        <f t="shared" si="45"/>
        <v>0</v>
      </c>
      <c r="O291" s="1" t="b">
        <f t="shared" si="46"/>
        <v>0</v>
      </c>
      <c r="P291" s="1" t="e">
        <f>INDEX(G:G,MATCH(G291,G:G,0))</f>
        <v>#N/A</v>
      </c>
      <c r="Q291" s="1" t="e">
        <f t="shared" si="47"/>
        <v>#N/A</v>
      </c>
      <c r="R291" s="1" t="e">
        <f>INDEX('6.0.35'!I:I,MATCH(F291,'6.0.35'!K:K,0))</f>
        <v>#N/A</v>
      </c>
      <c r="S291" s="1" t="e">
        <f>INDEX('6.0.35'!J:J,MATCH(F291,'6.0.35'!F:F,0))</f>
        <v>#N/A</v>
      </c>
    </row>
    <row r="292" spans="1:19">
      <c r="A292" t="s">
        <v>13048</v>
      </c>
      <c r="I292" s="1" t="str">
        <f t="shared" si="40"/>
        <v/>
      </c>
      <c r="J292" s="1">
        <f t="shared" si="41"/>
        <v>0</v>
      </c>
      <c r="K292" s="1" t="str">
        <f t="shared" si="42"/>
        <v/>
      </c>
      <c r="L292" s="1">
        <f t="shared" si="43"/>
        <v>0</v>
      </c>
      <c r="M292" s="1">
        <f t="shared" si="44"/>
        <v>0</v>
      </c>
      <c r="N292" s="1">
        <f t="shared" si="45"/>
        <v>0</v>
      </c>
      <c r="O292" s="1" t="b">
        <f t="shared" si="46"/>
        <v>0</v>
      </c>
      <c r="P292" s="1" t="e">
        <f>INDEX(G:G,MATCH(G292,G:G,0))</f>
        <v>#N/A</v>
      </c>
      <c r="Q292" s="1" t="e">
        <f t="shared" si="47"/>
        <v>#N/A</v>
      </c>
      <c r="R292" s="1" t="e">
        <f>INDEX('6.0.35'!I:I,MATCH(F292,'6.0.35'!K:K,0))</f>
        <v>#N/A</v>
      </c>
      <c r="S292" s="1" t="e">
        <f>INDEX('6.0.35'!J:J,MATCH(F292,'6.0.35'!F:F,0))</f>
        <v>#N/A</v>
      </c>
    </row>
    <row r="293" spans="1:19">
      <c r="A293" t="s">
        <v>13052</v>
      </c>
      <c r="I293" s="1" t="str">
        <f t="shared" si="40"/>
        <v/>
      </c>
      <c r="J293" s="1">
        <f t="shared" si="41"/>
        <v>0</v>
      </c>
      <c r="K293" s="1" t="str">
        <f t="shared" si="42"/>
        <v/>
      </c>
      <c r="L293" s="1">
        <f t="shared" si="43"/>
        <v>0</v>
      </c>
      <c r="M293" s="1">
        <f t="shared" si="44"/>
        <v>0</v>
      </c>
      <c r="N293" s="1">
        <f t="shared" si="45"/>
        <v>0</v>
      </c>
      <c r="O293" s="1" t="b">
        <f t="shared" si="46"/>
        <v>0</v>
      </c>
      <c r="P293" s="1" t="e">
        <f>INDEX(G:G,MATCH(G293,G:G,0))</f>
        <v>#N/A</v>
      </c>
      <c r="Q293" s="1" t="e">
        <f t="shared" si="47"/>
        <v>#N/A</v>
      </c>
      <c r="R293" s="1" t="e">
        <f>INDEX('6.0.35'!I:I,MATCH(F293,'6.0.35'!K:K,0))</f>
        <v>#N/A</v>
      </c>
      <c r="S293" s="1" t="e">
        <f>INDEX('6.0.35'!J:J,MATCH(F293,'6.0.35'!F:F,0))</f>
        <v>#N/A</v>
      </c>
    </row>
    <row r="294" spans="1:19">
      <c r="A294" t="s">
        <v>13056</v>
      </c>
      <c r="I294" s="1" t="str">
        <f t="shared" si="40"/>
        <v/>
      </c>
      <c r="J294" s="1">
        <f t="shared" si="41"/>
        <v>0</v>
      </c>
      <c r="K294" s="1" t="str">
        <f t="shared" si="42"/>
        <v/>
      </c>
      <c r="L294" s="1">
        <f t="shared" si="43"/>
        <v>0</v>
      </c>
      <c r="M294" s="1">
        <f t="shared" si="44"/>
        <v>0</v>
      </c>
      <c r="N294" s="1">
        <f t="shared" si="45"/>
        <v>0</v>
      </c>
      <c r="O294" s="1" t="b">
        <f t="shared" si="46"/>
        <v>0</v>
      </c>
      <c r="P294" s="1" t="e">
        <f>INDEX(G:G,MATCH(G294,G:G,0))</f>
        <v>#N/A</v>
      </c>
      <c r="Q294" s="1" t="e">
        <f t="shared" si="47"/>
        <v>#N/A</v>
      </c>
      <c r="R294" s="1" t="e">
        <f>INDEX('6.0.35'!I:I,MATCH(F294,'6.0.35'!K:K,0))</f>
        <v>#N/A</v>
      </c>
      <c r="S294" s="1" t="e">
        <f>INDEX('6.0.35'!J:J,MATCH(F294,'6.0.35'!F:F,0))</f>
        <v>#N/A</v>
      </c>
    </row>
    <row r="295" spans="1:19">
      <c r="A295" t="s">
        <v>13060</v>
      </c>
      <c r="I295" s="1" t="str">
        <f t="shared" si="40"/>
        <v/>
      </c>
      <c r="J295" s="1">
        <f t="shared" si="41"/>
        <v>0</v>
      </c>
      <c r="K295" s="1" t="str">
        <f t="shared" si="42"/>
        <v/>
      </c>
      <c r="L295" s="1">
        <f t="shared" si="43"/>
        <v>0</v>
      </c>
      <c r="M295" s="1">
        <f t="shared" si="44"/>
        <v>0</v>
      </c>
      <c r="N295" s="1">
        <f t="shared" si="45"/>
        <v>0</v>
      </c>
      <c r="O295" s="1" t="b">
        <f t="shared" si="46"/>
        <v>0</v>
      </c>
      <c r="P295" s="1" t="e">
        <f>INDEX(G:G,MATCH(G295,G:G,0))</f>
        <v>#N/A</v>
      </c>
      <c r="Q295" s="1" t="e">
        <f t="shared" si="47"/>
        <v>#N/A</v>
      </c>
      <c r="R295" s="1" t="e">
        <f>INDEX('6.0.35'!I:I,MATCH(F295,'6.0.35'!K:K,0))</f>
        <v>#N/A</v>
      </c>
      <c r="S295" s="1" t="e">
        <f>INDEX('6.0.35'!J:J,MATCH(F295,'6.0.35'!F:F,0))</f>
        <v>#N/A</v>
      </c>
    </row>
    <row r="296" spans="1:19">
      <c r="A296" t="s">
        <v>13064</v>
      </c>
      <c r="I296" s="1" t="str">
        <f t="shared" si="40"/>
        <v/>
      </c>
      <c r="J296" s="1">
        <f t="shared" si="41"/>
        <v>0</v>
      </c>
      <c r="K296" s="1" t="str">
        <f t="shared" si="42"/>
        <v/>
      </c>
      <c r="L296" s="1">
        <f t="shared" si="43"/>
        <v>0</v>
      </c>
      <c r="M296" s="1">
        <f t="shared" si="44"/>
        <v>0</v>
      </c>
      <c r="N296" s="1">
        <f t="shared" si="45"/>
        <v>0</v>
      </c>
      <c r="O296" s="1" t="b">
        <f t="shared" si="46"/>
        <v>0</v>
      </c>
      <c r="P296" s="1" t="e">
        <f>INDEX(G:G,MATCH(G296,G:G,0))</f>
        <v>#N/A</v>
      </c>
      <c r="Q296" s="1" t="e">
        <f t="shared" si="47"/>
        <v>#N/A</v>
      </c>
      <c r="R296" s="1" t="e">
        <f>INDEX('6.0.35'!I:I,MATCH(F296,'6.0.35'!K:K,0))</f>
        <v>#N/A</v>
      </c>
      <c r="S296" s="1" t="e">
        <f>INDEX('6.0.35'!J:J,MATCH(F296,'6.0.35'!F:F,0))</f>
        <v>#N/A</v>
      </c>
    </row>
    <row r="297" spans="1:19">
      <c r="A297" t="s">
        <v>13068</v>
      </c>
      <c r="I297" s="1" t="str">
        <f t="shared" si="40"/>
        <v/>
      </c>
      <c r="J297" s="1">
        <f t="shared" si="41"/>
        <v>0</v>
      </c>
      <c r="K297" s="1" t="str">
        <f t="shared" si="42"/>
        <v/>
      </c>
      <c r="L297" s="1">
        <f t="shared" si="43"/>
        <v>0</v>
      </c>
      <c r="M297" s="1">
        <f t="shared" si="44"/>
        <v>0</v>
      </c>
      <c r="N297" s="1">
        <f t="shared" si="45"/>
        <v>0</v>
      </c>
      <c r="O297" s="1" t="b">
        <f t="shared" si="46"/>
        <v>0</v>
      </c>
      <c r="P297" s="1" t="e">
        <f>INDEX(G:G,MATCH(G297,G:G,0))</f>
        <v>#N/A</v>
      </c>
      <c r="Q297" s="1" t="e">
        <f t="shared" si="47"/>
        <v>#N/A</v>
      </c>
      <c r="R297" s="1" t="e">
        <f>INDEX('6.0.35'!I:I,MATCH(F297,'6.0.35'!K:K,0))</f>
        <v>#N/A</v>
      </c>
      <c r="S297" s="1" t="e">
        <f>INDEX('6.0.35'!J:J,MATCH(F297,'6.0.35'!F:F,0))</f>
        <v>#N/A</v>
      </c>
    </row>
    <row r="298" spans="1:19">
      <c r="A298" t="s">
        <v>13072</v>
      </c>
      <c r="I298" s="1" t="str">
        <f t="shared" si="40"/>
        <v/>
      </c>
      <c r="J298" s="1">
        <f t="shared" si="41"/>
        <v>0</v>
      </c>
      <c r="K298" s="1" t="str">
        <f t="shared" si="42"/>
        <v/>
      </c>
      <c r="L298" s="1">
        <f t="shared" si="43"/>
        <v>0</v>
      </c>
      <c r="M298" s="1">
        <f t="shared" si="44"/>
        <v>0</v>
      </c>
      <c r="N298" s="1">
        <f t="shared" si="45"/>
        <v>0</v>
      </c>
      <c r="O298" s="1" t="b">
        <f t="shared" si="46"/>
        <v>0</v>
      </c>
      <c r="P298" s="1" t="e">
        <f>INDEX(G:G,MATCH(G298,G:G,0))</f>
        <v>#N/A</v>
      </c>
      <c r="Q298" s="1" t="e">
        <f t="shared" si="47"/>
        <v>#N/A</v>
      </c>
      <c r="R298" s="1" t="e">
        <f>INDEX('6.0.35'!I:I,MATCH(F298,'6.0.35'!K:K,0))</f>
        <v>#N/A</v>
      </c>
      <c r="S298" s="1" t="e">
        <f>INDEX('6.0.35'!J:J,MATCH(F298,'6.0.35'!F:F,0))</f>
        <v>#N/A</v>
      </c>
    </row>
    <row r="299" spans="1:19">
      <c r="A299" t="s">
        <v>13076</v>
      </c>
      <c r="I299" s="1" t="str">
        <f t="shared" si="40"/>
        <v/>
      </c>
      <c r="J299" s="1">
        <f t="shared" si="41"/>
        <v>0</v>
      </c>
      <c r="K299" s="1" t="str">
        <f t="shared" si="42"/>
        <v/>
      </c>
      <c r="L299" s="1">
        <f t="shared" si="43"/>
        <v>0</v>
      </c>
      <c r="M299" s="1">
        <f t="shared" si="44"/>
        <v>0</v>
      </c>
      <c r="N299" s="1">
        <f t="shared" si="45"/>
        <v>0</v>
      </c>
      <c r="O299" s="1" t="b">
        <f t="shared" si="46"/>
        <v>0</v>
      </c>
      <c r="P299" s="1" t="e">
        <f>INDEX(G:G,MATCH(G299,G:G,0))</f>
        <v>#N/A</v>
      </c>
      <c r="Q299" s="1" t="e">
        <f t="shared" si="47"/>
        <v>#N/A</v>
      </c>
      <c r="R299" s="1" t="e">
        <f>INDEX('6.0.35'!I:I,MATCH(F299,'6.0.35'!K:K,0))</f>
        <v>#N/A</v>
      </c>
      <c r="S299" s="1" t="e">
        <f>INDEX('6.0.35'!J:J,MATCH(F299,'6.0.35'!F:F,0))</f>
        <v>#N/A</v>
      </c>
    </row>
    <row r="300" spans="1:19">
      <c r="A300" t="s">
        <v>13080</v>
      </c>
      <c r="I300" s="1" t="str">
        <f t="shared" si="40"/>
        <v/>
      </c>
      <c r="J300" s="1">
        <f t="shared" si="41"/>
        <v>0</v>
      </c>
      <c r="K300" s="1" t="str">
        <f t="shared" si="42"/>
        <v/>
      </c>
      <c r="L300" s="1">
        <f t="shared" si="43"/>
        <v>0</v>
      </c>
      <c r="M300" s="1">
        <f t="shared" si="44"/>
        <v>0</v>
      </c>
      <c r="N300" s="1">
        <f t="shared" si="45"/>
        <v>0</v>
      </c>
      <c r="O300" s="1" t="b">
        <f t="shared" si="46"/>
        <v>0</v>
      </c>
      <c r="P300" s="1" t="e">
        <f>INDEX(G:G,MATCH(G300,G:G,0))</f>
        <v>#N/A</v>
      </c>
      <c r="Q300" s="1" t="e">
        <f t="shared" si="47"/>
        <v>#N/A</v>
      </c>
      <c r="R300" s="1" t="e">
        <f>INDEX('6.0.35'!I:I,MATCH(F300,'6.0.35'!K:K,0))</f>
        <v>#N/A</v>
      </c>
      <c r="S300" s="1" t="e">
        <f>INDEX('6.0.35'!J:J,MATCH(F300,'6.0.35'!F:F,0))</f>
        <v>#N/A</v>
      </c>
    </row>
    <row r="301" spans="1:19">
      <c r="A301" t="s">
        <v>13099</v>
      </c>
      <c r="I301" s="1" t="str">
        <f t="shared" si="40"/>
        <v/>
      </c>
      <c r="J301" s="1">
        <f t="shared" si="41"/>
        <v>0</v>
      </c>
      <c r="K301" s="1" t="str">
        <f t="shared" si="42"/>
        <v/>
      </c>
      <c r="L301" s="1">
        <f t="shared" si="43"/>
        <v>0</v>
      </c>
      <c r="M301" s="1">
        <f t="shared" si="44"/>
        <v>0</v>
      </c>
      <c r="N301" s="1">
        <f t="shared" si="45"/>
        <v>0</v>
      </c>
      <c r="O301" s="1" t="b">
        <f t="shared" si="46"/>
        <v>0</v>
      </c>
      <c r="P301" s="1" t="e">
        <f>INDEX(G:G,MATCH(G301,G:G,0))</f>
        <v>#N/A</v>
      </c>
      <c r="Q301" s="1" t="e">
        <f t="shared" si="47"/>
        <v>#N/A</v>
      </c>
      <c r="R301" s="1" t="e">
        <f>INDEX('6.0.35'!I:I,MATCH(F301,'6.0.35'!K:K,0))</f>
        <v>#N/A</v>
      </c>
      <c r="S301" s="1" t="e">
        <f>INDEX('6.0.35'!J:J,MATCH(F301,'6.0.35'!F:F,0))</f>
        <v>#N/A</v>
      </c>
    </row>
    <row r="302" spans="1:19">
      <c r="A302" t="s">
        <v>13102</v>
      </c>
      <c r="I302" s="1" t="str">
        <f t="shared" si="40"/>
        <v/>
      </c>
      <c r="J302" s="1">
        <f t="shared" si="41"/>
        <v>0</v>
      </c>
      <c r="K302" s="1" t="str">
        <f t="shared" si="42"/>
        <v/>
      </c>
      <c r="L302" s="1">
        <f t="shared" si="43"/>
        <v>0</v>
      </c>
      <c r="M302" s="1">
        <f t="shared" si="44"/>
        <v>0</v>
      </c>
      <c r="N302" s="1">
        <f t="shared" si="45"/>
        <v>0</v>
      </c>
      <c r="O302" s="1" t="b">
        <f t="shared" si="46"/>
        <v>0</v>
      </c>
      <c r="P302" s="1" t="e">
        <f>INDEX(G:G,MATCH(G302,G:G,0))</f>
        <v>#N/A</v>
      </c>
      <c r="Q302" s="1" t="e">
        <f t="shared" si="47"/>
        <v>#N/A</v>
      </c>
      <c r="R302" s="1" t="e">
        <f>INDEX('6.0.35'!I:I,MATCH(F302,'6.0.35'!K:K,0))</f>
        <v>#N/A</v>
      </c>
      <c r="S302" s="1" t="e">
        <f>INDEX('6.0.35'!J:J,MATCH(F302,'6.0.35'!F:F,0))</f>
        <v>#N/A</v>
      </c>
    </row>
    <row r="303" spans="1:19">
      <c r="A303" t="s">
        <v>13105</v>
      </c>
      <c r="I303" s="1" t="str">
        <f t="shared" si="40"/>
        <v/>
      </c>
      <c r="J303" s="1">
        <f t="shared" si="41"/>
        <v>0</v>
      </c>
      <c r="K303" s="1" t="str">
        <f t="shared" si="42"/>
        <v/>
      </c>
      <c r="L303" s="1">
        <f t="shared" si="43"/>
        <v>0</v>
      </c>
      <c r="M303" s="1">
        <f t="shared" si="44"/>
        <v>0</v>
      </c>
      <c r="N303" s="1">
        <f t="shared" si="45"/>
        <v>0</v>
      </c>
      <c r="O303" s="1" t="b">
        <f t="shared" si="46"/>
        <v>0</v>
      </c>
      <c r="P303" s="1" t="e">
        <f>INDEX(G:G,MATCH(G303,G:G,0))</f>
        <v>#N/A</v>
      </c>
      <c r="Q303" s="1" t="e">
        <f t="shared" si="47"/>
        <v>#N/A</v>
      </c>
      <c r="R303" s="1" t="e">
        <f>INDEX('6.0.35'!I:I,MATCH(F303,'6.0.35'!K:K,0))</f>
        <v>#N/A</v>
      </c>
      <c r="S303" s="1" t="e">
        <f>INDEX('6.0.35'!J:J,MATCH(F303,'6.0.35'!F:F,0))</f>
        <v>#N/A</v>
      </c>
    </row>
    <row r="304" spans="1:19">
      <c r="A304" t="s">
        <v>13108</v>
      </c>
      <c r="I304" s="1" t="str">
        <f t="shared" si="40"/>
        <v/>
      </c>
      <c r="J304" s="1">
        <f t="shared" si="41"/>
        <v>0</v>
      </c>
      <c r="K304" s="1" t="str">
        <f t="shared" si="42"/>
        <v/>
      </c>
      <c r="L304" s="1">
        <f t="shared" si="43"/>
        <v>0</v>
      </c>
      <c r="M304" s="1">
        <f t="shared" si="44"/>
        <v>0</v>
      </c>
      <c r="N304" s="1">
        <f t="shared" si="45"/>
        <v>0</v>
      </c>
      <c r="O304" s="1" t="b">
        <f t="shared" si="46"/>
        <v>0</v>
      </c>
      <c r="P304" s="1" t="e">
        <f>INDEX(G:G,MATCH(G304,G:G,0))</f>
        <v>#N/A</v>
      </c>
      <c r="Q304" s="1" t="e">
        <f t="shared" si="47"/>
        <v>#N/A</v>
      </c>
      <c r="R304" s="1" t="e">
        <f>INDEX('6.0.35'!I:I,MATCH(F304,'6.0.35'!K:K,0))</f>
        <v>#N/A</v>
      </c>
      <c r="S304" s="1" t="e">
        <f>INDEX('6.0.35'!J:J,MATCH(F304,'6.0.35'!F:F,0))</f>
        <v>#N/A</v>
      </c>
    </row>
    <row r="305" spans="1:19">
      <c r="A305" t="s">
        <v>13111</v>
      </c>
      <c r="I305" s="1" t="str">
        <f t="shared" si="40"/>
        <v/>
      </c>
      <c r="J305" s="1">
        <f t="shared" si="41"/>
        <v>0</v>
      </c>
      <c r="K305" s="1" t="str">
        <f t="shared" si="42"/>
        <v/>
      </c>
      <c r="L305" s="1">
        <f t="shared" si="43"/>
        <v>0</v>
      </c>
      <c r="M305" s="1">
        <f t="shared" si="44"/>
        <v>0</v>
      </c>
      <c r="N305" s="1">
        <f t="shared" si="45"/>
        <v>0</v>
      </c>
      <c r="O305" s="1" t="b">
        <f t="shared" si="46"/>
        <v>0</v>
      </c>
      <c r="P305" s="1" t="e">
        <f>INDEX(G:G,MATCH(G305,G:G,0))</f>
        <v>#N/A</v>
      </c>
      <c r="Q305" s="1" t="e">
        <f t="shared" si="47"/>
        <v>#N/A</v>
      </c>
      <c r="R305" s="1" t="e">
        <f>INDEX('6.0.35'!I:I,MATCH(F305,'6.0.35'!K:K,0))</f>
        <v>#N/A</v>
      </c>
      <c r="S305" s="1" t="e">
        <f>INDEX('6.0.35'!J:J,MATCH(F305,'6.0.35'!F:F,0))</f>
        <v>#N/A</v>
      </c>
    </row>
    <row r="306" spans="1:19">
      <c r="A306" t="s">
        <v>13114</v>
      </c>
      <c r="I306" s="1" t="str">
        <f t="shared" si="40"/>
        <v/>
      </c>
      <c r="J306" s="1">
        <f t="shared" si="41"/>
        <v>0</v>
      </c>
      <c r="K306" s="1" t="str">
        <f t="shared" si="42"/>
        <v/>
      </c>
      <c r="L306" s="1">
        <f t="shared" si="43"/>
        <v>0</v>
      </c>
      <c r="M306" s="1">
        <f t="shared" si="44"/>
        <v>0</v>
      </c>
      <c r="N306" s="1">
        <f t="shared" si="45"/>
        <v>0</v>
      </c>
      <c r="O306" s="1" t="b">
        <f t="shared" si="46"/>
        <v>0</v>
      </c>
      <c r="P306" s="1" t="e">
        <f>INDEX(G:G,MATCH(G306,G:G,0))</f>
        <v>#N/A</v>
      </c>
      <c r="Q306" s="1" t="e">
        <f t="shared" si="47"/>
        <v>#N/A</v>
      </c>
      <c r="R306" s="1" t="e">
        <f>INDEX('6.0.35'!I:I,MATCH(F306,'6.0.35'!K:K,0))</f>
        <v>#N/A</v>
      </c>
      <c r="S306" s="1" t="e">
        <f>INDEX('6.0.35'!J:J,MATCH(F306,'6.0.35'!F:F,0))</f>
        <v>#N/A</v>
      </c>
    </row>
    <row r="307" spans="1:19">
      <c r="A307" t="s">
        <v>13117</v>
      </c>
      <c r="I307" s="1" t="str">
        <f t="shared" si="40"/>
        <v/>
      </c>
      <c r="J307" s="1">
        <f t="shared" si="41"/>
        <v>0</v>
      </c>
      <c r="K307" s="1" t="str">
        <f t="shared" si="42"/>
        <v/>
      </c>
      <c r="L307" s="1">
        <f t="shared" si="43"/>
        <v>0</v>
      </c>
      <c r="M307" s="1">
        <f t="shared" si="44"/>
        <v>0</v>
      </c>
      <c r="N307" s="1">
        <f t="shared" si="45"/>
        <v>0</v>
      </c>
      <c r="O307" s="1" t="b">
        <f t="shared" si="46"/>
        <v>0</v>
      </c>
      <c r="P307" s="1" t="e">
        <f>INDEX(G:G,MATCH(G307,G:G,0))</f>
        <v>#N/A</v>
      </c>
      <c r="Q307" s="1" t="e">
        <f t="shared" si="47"/>
        <v>#N/A</v>
      </c>
      <c r="R307" s="1" t="e">
        <f>INDEX('6.0.35'!I:I,MATCH(F307,'6.0.35'!K:K,0))</f>
        <v>#N/A</v>
      </c>
      <c r="S307" s="1" t="e">
        <f>INDEX('6.0.35'!J:J,MATCH(F307,'6.0.35'!F:F,0))</f>
        <v>#N/A</v>
      </c>
    </row>
    <row r="308" spans="1:19">
      <c r="A308" t="s">
        <v>13120</v>
      </c>
      <c r="I308" s="1" t="str">
        <f t="shared" si="40"/>
        <v/>
      </c>
      <c r="J308" s="1">
        <f t="shared" si="41"/>
        <v>0</v>
      </c>
      <c r="K308" s="1" t="str">
        <f t="shared" si="42"/>
        <v/>
      </c>
      <c r="L308" s="1">
        <f t="shared" si="43"/>
        <v>0</v>
      </c>
      <c r="M308" s="1">
        <f t="shared" si="44"/>
        <v>0</v>
      </c>
      <c r="N308" s="1">
        <f t="shared" si="45"/>
        <v>0</v>
      </c>
      <c r="O308" s="1" t="b">
        <f t="shared" si="46"/>
        <v>0</v>
      </c>
      <c r="P308" s="1" t="e">
        <f>INDEX(G:G,MATCH(G308,G:G,0))</f>
        <v>#N/A</v>
      </c>
      <c r="Q308" s="1" t="e">
        <f t="shared" si="47"/>
        <v>#N/A</v>
      </c>
      <c r="R308" s="1" t="e">
        <f>INDEX('6.0.35'!I:I,MATCH(F308,'6.0.35'!K:K,0))</f>
        <v>#N/A</v>
      </c>
      <c r="S308" s="1" t="e">
        <f>INDEX('6.0.35'!J:J,MATCH(F308,'6.0.35'!F:F,0))</f>
        <v>#N/A</v>
      </c>
    </row>
    <row r="309" spans="1:19">
      <c r="A309" t="s">
        <v>13123</v>
      </c>
      <c r="I309" s="1" t="str">
        <f t="shared" si="40"/>
        <v/>
      </c>
      <c r="J309" s="1">
        <f t="shared" si="41"/>
        <v>0</v>
      </c>
      <c r="K309" s="1" t="str">
        <f t="shared" si="42"/>
        <v/>
      </c>
      <c r="L309" s="1">
        <f t="shared" si="43"/>
        <v>0</v>
      </c>
      <c r="M309" s="1">
        <f t="shared" si="44"/>
        <v>0</v>
      </c>
      <c r="N309" s="1">
        <f t="shared" si="45"/>
        <v>0</v>
      </c>
      <c r="O309" s="1" t="b">
        <f t="shared" si="46"/>
        <v>0</v>
      </c>
      <c r="P309" s="1" t="e">
        <f>INDEX(G:G,MATCH(G309,G:G,0))</f>
        <v>#N/A</v>
      </c>
      <c r="Q309" s="1" t="e">
        <f t="shared" si="47"/>
        <v>#N/A</v>
      </c>
      <c r="R309" s="1" t="e">
        <f>INDEX('6.0.35'!I:I,MATCH(F309,'6.0.35'!K:K,0))</f>
        <v>#N/A</v>
      </c>
      <c r="S309" s="1" t="e">
        <f>INDEX('6.0.35'!J:J,MATCH(F309,'6.0.35'!F:F,0))</f>
        <v>#N/A</v>
      </c>
    </row>
    <row r="310" spans="1:19">
      <c r="A310" t="s">
        <v>13126</v>
      </c>
      <c r="I310" s="1" t="str">
        <f t="shared" si="40"/>
        <v/>
      </c>
      <c r="J310" s="1">
        <f t="shared" si="41"/>
        <v>0</v>
      </c>
      <c r="K310" s="1" t="str">
        <f t="shared" si="42"/>
        <v/>
      </c>
      <c r="L310" s="1">
        <f t="shared" si="43"/>
        <v>0</v>
      </c>
      <c r="M310" s="1">
        <f t="shared" si="44"/>
        <v>0</v>
      </c>
      <c r="N310" s="1">
        <f t="shared" si="45"/>
        <v>0</v>
      </c>
      <c r="O310" s="1" t="b">
        <f t="shared" si="46"/>
        <v>0</v>
      </c>
      <c r="P310" s="1" t="e">
        <f>INDEX(G:G,MATCH(G310,G:G,0))</f>
        <v>#N/A</v>
      </c>
      <c r="Q310" s="1" t="e">
        <f t="shared" si="47"/>
        <v>#N/A</v>
      </c>
      <c r="R310" s="1" t="e">
        <f>INDEX('6.0.35'!I:I,MATCH(F310,'6.0.35'!K:K,0))</f>
        <v>#N/A</v>
      </c>
      <c r="S310" s="1" t="e">
        <f>INDEX('6.0.35'!J:J,MATCH(F310,'6.0.35'!F:F,0))</f>
        <v>#N/A</v>
      </c>
    </row>
    <row r="311" spans="1:19">
      <c r="A311" t="s">
        <v>13129</v>
      </c>
      <c r="I311" s="1" t="str">
        <f t="shared" si="40"/>
        <v/>
      </c>
      <c r="J311" s="1">
        <f t="shared" si="41"/>
        <v>0</v>
      </c>
      <c r="K311" s="1" t="str">
        <f t="shared" si="42"/>
        <v/>
      </c>
      <c r="L311" s="1">
        <f t="shared" si="43"/>
        <v>0</v>
      </c>
      <c r="M311" s="1">
        <f t="shared" si="44"/>
        <v>0</v>
      </c>
      <c r="N311" s="1">
        <f t="shared" si="45"/>
        <v>0</v>
      </c>
      <c r="O311" s="1" t="b">
        <f t="shared" si="46"/>
        <v>0</v>
      </c>
      <c r="P311" s="1" t="e">
        <f>INDEX(G:G,MATCH(G311,G:G,0))</f>
        <v>#N/A</v>
      </c>
      <c r="Q311" s="1" t="e">
        <f t="shared" si="47"/>
        <v>#N/A</v>
      </c>
      <c r="R311" s="1" t="e">
        <f>INDEX('6.0.35'!I:I,MATCH(F311,'6.0.35'!K:K,0))</f>
        <v>#N/A</v>
      </c>
      <c r="S311" s="1" t="e">
        <f>INDEX('6.0.35'!J:J,MATCH(F311,'6.0.35'!F:F,0))</f>
        <v>#N/A</v>
      </c>
    </row>
    <row r="312" spans="1:19">
      <c r="A312" t="s">
        <v>13132</v>
      </c>
      <c r="I312" s="1" t="str">
        <f t="shared" si="40"/>
        <v/>
      </c>
      <c r="J312" s="1">
        <f t="shared" si="41"/>
        <v>0</v>
      </c>
      <c r="K312" s="1" t="str">
        <f t="shared" si="42"/>
        <v/>
      </c>
      <c r="L312" s="1">
        <f t="shared" si="43"/>
        <v>0</v>
      </c>
      <c r="M312" s="1">
        <f t="shared" si="44"/>
        <v>0</v>
      </c>
      <c r="N312" s="1">
        <f t="shared" si="45"/>
        <v>0</v>
      </c>
      <c r="O312" s="1" t="b">
        <f t="shared" si="46"/>
        <v>0</v>
      </c>
      <c r="P312" s="1" t="e">
        <f>INDEX(G:G,MATCH(G312,G:G,0))</f>
        <v>#N/A</v>
      </c>
      <c r="Q312" s="1" t="e">
        <f t="shared" si="47"/>
        <v>#N/A</v>
      </c>
      <c r="R312" s="1" t="e">
        <f>INDEX('6.0.35'!I:I,MATCH(F312,'6.0.35'!K:K,0))</f>
        <v>#N/A</v>
      </c>
      <c r="S312" s="1" t="e">
        <f>INDEX('6.0.35'!J:J,MATCH(F312,'6.0.35'!F:F,0))</f>
        <v>#N/A</v>
      </c>
    </row>
    <row r="313" spans="1:19">
      <c r="A313" t="s">
        <v>13135</v>
      </c>
      <c r="I313" s="1" t="str">
        <f t="shared" si="40"/>
        <v/>
      </c>
      <c r="J313" s="1">
        <f t="shared" si="41"/>
        <v>0</v>
      </c>
      <c r="K313" s="1" t="str">
        <f t="shared" si="42"/>
        <v/>
      </c>
      <c r="L313" s="1">
        <f t="shared" si="43"/>
        <v>0</v>
      </c>
      <c r="M313" s="1">
        <f t="shared" si="44"/>
        <v>0</v>
      </c>
      <c r="N313" s="1">
        <f t="shared" si="45"/>
        <v>0</v>
      </c>
      <c r="O313" s="1" t="b">
        <f t="shared" si="46"/>
        <v>0</v>
      </c>
      <c r="P313" s="1" t="e">
        <f>INDEX(G:G,MATCH(G313,G:G,0))</f>
        <v>#N/A</v>
      </c>
      <c r="Q313" s="1" t="e">
        <f t="shared" si="47"/>
        <v>#N/A</v>
      </c>
      <c r="R313" s="1" t="e">
        <f>INDEX('6.0.35'!I:I,MATCH(F313,'6.0.35'!K:K,0))</f>
        <v>#N/A</v>
      </c>
      <c r="S313" s="1" t="e">
        <f>INDEX('6.0.35'!J:J,MATCH(F313,'6.0.35'!F:F,0))</f>
        <v>#N/A</v>
      </c>
    </row>
    <row r="314" spans="1:19">
      <c r="A314" t="s">
        <v>13138</v>
      </c>
      <c r="I314" s="1" t="str">
        <f t="shared" ref="I314:I377" si="48">IFERROR(IF(OR(MID(G314,FIND(":",G314)-1,1)="""",MID(G314,FIND(":",G314)-1,1)="}",MID(G314,FIND(":",G314)-1,1)=")",MID(G314,FIND(":",G314)-1,1)="]"),"",RIGHT(G314,LEN(G314)-FIND(":",G314)-1)),"")</f>
        <v/>
      </c>
      <c r="J314" s="1">
        <f t="shared" ref="J314:J377" si="49">IF(AND(I314="",H314=""),G314,IF(H314="",I314,H314&amp;": "&amp;I314))</f>
        <v>0</v>
      </c>
      <c r="K314" s="1" t="str">
        <f t="shared" ref="K314:K377" si="50">IFERROR(IF(OR(MID(F314,FIND(":",F314)-1,1)="""",MID(F314,FIND(":",F314)-1,1)="}",MID(F314,FIND(":",F314)-1,1)=")",MID(F314,FIND(":",F314)-1,1)="]"),"",RIGHT(F314,LEN(F314)-FIND(":",F314)-1)),"")</f>
        <v/>
      </c>
      <c r="L314" s="1">
        <f t="shared" ref="L314:L377" si="51">LEN(F314)-LEN(SUBSTITUTE(F314,":",""))</f>
        <v>0</v>
      </c>
      <c r="M314" s="1">
        <f t="shared" ref="M314:M377" si="52">LEN(G314)-LEN(SUBSTITUTE(G314,":",""))</f>
        <v>0</v>
      </c>
      <c r="N314" s="1">
        <f t="shared" ref="N314:N377" si="53">LEN(G314)-LEN(SUBSTITUTE(G314,"：",""))</f>
        <v>0</v>
      </c>
      <c r="O314" s="1" t="b">
        <f t="shared" ref="O314:O377" si="54">IF(M314&gt;=2,MID(G314,FIND(":",G314)+1,LEN(G314)))</f>
        <v>0</v>
      </c>
      <c r="P314" s="1" t="e">
        <f>INDEX(G:G,MATCH(G314,G:G,0))</f>
        <v>#N/A</v>
      </c>
      <c r="Q314" s="1" t="e">
        <f t="shared" ref="Q314:Q377" si="55">IF(P314&lt;&gt;G314,"校验","")</f>
        <v>#N/A</v>
      </c>
      <c r="R314" s="1" t="e">
        <f>INDEX('6.0.35'!I:I,MATCH(F314,'6.0.35'!K:K,0))</f>
        <v>#N/A</v>
      </c>
      <c r="S314" s="1" t="e">
        <f>INDEX('6.0.35'!J:J,MATCH(F314,'6.0.35'!F:F,0))</f>
        <v>#N/A</v>
      </c>
    </row>
    <row r="315" spans="1:19">
      <c r="A315" t="s">
        <v>13141</v>
      </c>
      <c r="I315" s="1" t="str">
        <f t="shared" si="48"/>
        <v/>
      </c>
      <c r="J315" s="1">
        <f t="shared" si="49"/>
        <v>0</v>
      </c>
      <c r="K315" s="1" t="str">
        <f t="shared" si="50"/>
        <v/>
      </c>
      <c r="L315" s="1">
        <f t="shared" si="51"/>
        <v>0</v>
      </c>
      <c r="M315" s="1">
        <f t="shared" si="52"/>
        <v>0</v>
      </c>
      <c r="N315" s="1">
        <f t="shared" si="53"/>
        <v>0</v>
      </c>
      <c r="O315" s="1" t="b">
        <f t="shared" si="54"/>
        <v>0</v>
      </c>
      <c r="P315" s="1" t="e">
        <f>INDEX(G:G,MATCH(G315,G:G,0))</f>
        <v>#N/A</v>
      </c>
      <c r="Q315" s="1" t="e">
        <f t="shared" si="55"/>
        <v>#N/A</v>
      </c>
      <c r="R315" s="1" t="e">
        <f>INDEX('6.0.35'!I:I,MATCH(F315,'6.0.35'!K:K,0))</f>
        <v>#N/A</v>
      </c>
      <c r="S315" s="1" t="e">
        <f>INDEX('6.0.35'!J:J,MATCH(F315,'6.0.35'!F:F,0))</f>
        <v>#N/A</v>
      </c>
    </row>
    <row r="316" spans="1:19">
      <c r="A316" t="s">
        <v>13144</v>
      </c>
      <c r="I316" s="1" t="str">
        <f t="shared" si="48"/>
        <v/>
      </c>
      <c r="J316" s="1">
        <f t="shared" si="49"/>
        <v>0</v>
      </c>
      <c r="K316" s="1" t="str">
        <f t="shared" si="50"/>
        <v/>
      </c>
      <c r="L316" s="1">
        <f t="shared" si="51"/>
        <v>0</v>
      </c>
      <c r="M316" s="1">
        <f t="shared" si="52"/>
        <v>0</v>
      </c>
      <c r="N316" s="1">
        <f t="shared" si="53"/>
        <v>0</v>
      </c>
      <c r="O316" s="1" t="b">
        <f t="shared" si="54"/>
        <v>0</v>
      </c>
      <c r="P316" s="1" t="e">
        <f>INDEX(G:G,MATCH(G316,G:G,0))</f>
        <v>#N/A</v>
      </c>
      <c r="Q316" s="1" t="e">
        <f t="shared" si="55"/>
        <v>#N/A</v>
      </c>
      <c r="R316" s="1" t="e">
        <f>INDEX('6.0.35'!I:I,MATCH(F316,'6.0.35'!K:K,0))</f>
        <v>#N/A</v>
      </c>
      <c r="S316" s="1" t="e">
        <f>INDEX('6.0.35'!J:J,MATCH(F316,'6.0.35'!F:F,0))</f>
        <v>#N/A</v>
      </c>
    </row>
    <row r="317" spans="1:19">
      <c r="A317" t="s">
        <v>13147</v>
      </c>
      <c r="I317" s="1" t="str">
        <f t="shared" si="48"/>
        <v/>
      </c>
      <c r="J317" s="1">
        <f t="shared" si="49"/>
        <v>0</v>
      </c>
      <c r="K317" s="1" t="str">
        <f t="shared" si="50"/>
        <v/>
      </c>
      <c r="L317" s="1">
        <f t="shared" si="51"/>
        <v>0</v>
      </c>
      <c r="M317" s="1">
        <f t="shared" si="52"/>
        <v>0</v>
      </c>
      <c r="N317" s="1">
        <f t="shared" si="53"/>
        <v>0</v>
      </c>
      <c r="O317" s="1" t="b">
        <f t="shared" si="54"/>
        <v>0</v>
      </c>
      <c r="P317" s="1" t="e">
        <f>INDEX(G:G,MATCH(G317,G:G,0))</f>
        <v>#N/A</v>
      </c>
      <c r="Q317" s="1" t="e">
        <f t="shared" si="55"/>
        <v>#N/A</v>
      </c>
      <c r="R317" s="1" t="e">
        <f>INDEX('6.0.35'!I:I,MATCH(F317,'6.0.35'!K:K,0))</f>
        <v>#N/A</v>
      </c>
      <c r="S317" s="1" t="e">
        <f>INDEX('6.0.35'!J:J,MATCH(F317,'6.0.35'!F:F,0))</f>
        <v>#N/A</v>
      </c>
    </row>
    <row r="318" spans="1:19">
      <c r="A318" t="s">
        <v>13150</v>
      </c>
      <c r="I318" s="1" t="str">
        <f t="shared" si="48"/>
        <v/>
      </c>
      <c r="J318" s="1">
        <f t="shared" si="49"/>
        <v>0</v>
      </c>
      <c r="K318" s="1" t="str">
        <f t="shared" si="50"/>
        <v/>
      </c>
      <c r="L318" s="1">
        <f t="shared" si="51"/>
        <v>0</v>
      </c>
      <c r="M318" s="1">
        <f t="shared" si="52"/>
        <v>0</v>
      </c>
      <c r="N318" s="1">
        <f t="shared" si="53"/>
        <v>0</v>
      </c>
      <c r="O318" s="1" t="b">
        <f t="shared" si="54"/>
        <v>0</v>
      </c>
      <c r="P318" s="1" t="e">
        <f>INDEX(G:G,MATCH(G318,G:G,0))</f>
        <v>#N/A</v>
      </c>
      <c r="Q318" s="1" t="e">
        <f t="shared" si="55"/>
        <v>#N/A</v>
      </c>
      <c r="R318" s="1" t="e">
        <f>INDEX('6.0.35'!I:I,MATCH(F318,'6.0.35'!K:K,0))</f>
        <v>#N/A</v>
      </c>
      <c r="S318" s="1" t="e">
        <f>INDEX('6.0.35'!J:J,MATCH(F318,'6.0.35'!F:F,0))</f>
        <v>#N/A</v>
      </c>
    </row>
    <row r="319" spans="1:19">
      <c r="A319" t="s">
        <v>13153</v>
      </c>
      <c r="I319" s="1" t="str">
        <f t="shared" si="48"/>
        <v/>
      </c>
      <c r="J319" s="1">
        <f t="shared" si="49"/>
        <v>0</v>
      </c>
      <c r="K319" s="1" t="str">
        <f t="shared" si="50"/>
        <v/>
      </c>
      <c r="L319" s="1">
        <f t="shared" si="51"/>
        <v>0</v>
      </c>
      <c r="M319" s="1">
        <f t="shared" si="52"/>
        <v>0</v>
      </c>
      <c r="N319" s="1">
        <f t="shared" si="53"/>
        <v>0</v>
      </c>
      <c r="O319" s="1" t="b">
        <f t="shared" si="54"/>
        <v>0</v>
      </c>
      <c r="P319" s="1" t="e">
        <f>INDEX(G:G,MATCH(G319,G:G,0))</f>
        <v>#N/A</v>
      </c>
      <c r="Q319" s="1" t="e">
        <f t="shared" si="55"/>
        <v>#N/A</v>
      </c>
      <c r="R319" s="1" t="e">
        <f>INDEX('6.0.35'!I:I,MATCH(F319,'6.0.35'!K:K,0))</f>
        <v>#N/A</v>
      </c>
      <c r="S319" s="1" t="e">
        <f>INDEX('6.0.35'!J:J,MATCH(F319,'6.0.35'!F:F,0))</f>
        <v>#N/A</v>
      </c>
    </row>
    <row r="320" spans="1:19">
      <c r="A320" t="s">
        <v>13251</v>
      </c>
      <c r="I320" s="1" t="str">
        <f t="shared" si="48"/>
        <v/>
      </c>
      <c r="J320" s="1">
        <f t="shared" si="49"/>
        <v>0</v>
      </c>
      <c r="K320" s="1" t="str">
        <f t="shared" si="50"/>
        <v/>
      </c>
      <c r="L320" s="1">
        <f t="shared" si="51"/>
        <v>0</v>
      </c>
      <c r="M320" s="1">
        <f t="shared" si="52"/>
        <v>0</v>
      </c>
      <c r="N320" s="1">
        <f t="shared" si="53"/>
        <v>0</v>
      </c>
      <c r="O320" s="1" t="b">
        <f t="shared" si="54"/>
        <v>0</v>
      </c>
      <c r="P320" s="1" t="e">
        <f>INDEX(G:G,MATCH(G320,G:G,0))</f>
        <v>#N/A</v>
      </c>
      <c r="Q320" s="1" t="e">
        <f t="shared" si="55"/>
        <v>#N/A</v>
      </c>
      <c r="R320" s="1" t="e">
        <f>INDEX('6.0.35'!I:I,MATCH(F320,'6.0.35'!K:K,0))</f>
        <v>#N/A</v>
      </c>
      <c r="S320" s="1" t="e">
        <f>INDEX('6.0.35'!J:J,MATCH(F320,'6.0.35'!F:F,0))</f>
        <v>#N/A</v>
      </c>
    </row>
    <row r="321" spans="1:19">
      <c r="A321" t="s">
        <v>13254</v>
      </c>
      <c r="I321" s="1" t="str">
        <f t="shared" si="48"/>
        <v/>
      </c>
      <c r="J321" s="1">
        <f t="shared" si="49"/>
        <v>0</v>
      </c>
      <c r="K321" s="1" t="str">
        <f t="shared" si="50"/>
        <v/>
      </c>
      <c r="L321" s="1">
        <f t="shared" si="51"/>
        <v>0</v>
      </c>
      <c r="M321" s="1">
        <f t="shared" si="52"/>
        <v>0</v>
      </c>
      <c r="N321" s="1">
        <f t="shared" si="53"/>
        <v>0</v>
      </c>
      <c r="O321" s="1" t="b">
        <f t="shared" si="54"/>
        <v>0</v>
      </c>
      <c r="P321" s="1" t="e">
        <f>INDEX(G:G,MATCH(G321,G:G,0))</f>
        <v>#N/A</v>
      </c>
      <c r="Q321" s="1" t="e">
        <f t="shared" si="55"/>
        <v>#N/A</v>
      </c>
      <c r="R321" s="1" t="e">
        <f>INDEX('6.0.35'!I:I,MATCH(F321,'6.0.35'!K:K,0))</f>
        <v>#N/A</v>
      </c>
      <c r="S321" s="1" t="e">
        <f>INDEX('6.0.35'!J:J,MATCH(F321,'6.0.35'!F:F,0))</f>
        <v>#N/A</v>
      </c>
    </row>
    <row r="322" spans="1:19">
      <c r="A322" t="s">
        <v>13258</v>
      </c>
      <c r="I322" s="1" t="str">
        <f t="shared" si="48"/>
        <v/>
      </c>
      <c r="J322" s="1">
        <f t="shared" si="49"/>
        <v>0</v>
      </c>
      <c r="K322" s="1" t="str">
        <f t="shared" si="50"/>
        <v/>
      </c>
      <c r="L322" s="1">
        <f t="shared" si="51"/>
        <v>0</v>
      </c>
      <c r="M322" s="1">
        <f t="shared" si="52"/>
        <v>0</v>
      </c>
      <c r="N322" s="1">
        <f t="shared" si="53"/>
        <v>0</v>
      </c>
      <c r="O322" s="1" t="b">
        <f t="shared" si="54"/>
        <v>0</v>
      </c>
      <c r="P322" s="1" t="e">
        <f>INDEX(G:G,MATCH(G322,G:G,0))</f>
        <v>#N/A</v>
      </c>
      <c r="Q322" s="1" t="e">
        <f t="shared" si="55"/>
        <v>#N/A</v>
      </c>
      <c r="R322" s="1" t="e">
        <f>INDEX('6.0.35'!I:I,MATCH(F322,'6.0.35'!K:K,0))</f>
        <v>#N/A</v>
      </c>
      <c r="S322" s="1" t="e">
        <f>INDEX('6.0.35'!J:J,MATCH(F322,'6.0.35'!F:F,0))</f>
        <v>#N/A</v>
      </c>
    </row>
    <row r="323" spans="1:19">
      <c r="A323" t="s">
        <v>13262</v>
      </c>
      <c r="I323" s="1" t="str">
        <f t="shared" si="48"/>
        <v/>
      </c>
      <c r="J323" s="1">
        <f t="shared" si="49"/>
        <v>0</v>
      </c>
      <c r="K323" s="1" t="str">
        <f t="shared" si="50"/>
        <v/>
      </c>
      <c r="L323" s="1">
        <f t="shared" si="51"/>
        <v>0</v>
      </c>
      <c r="M323" s="1">
        <f t="shared" si="52"/>
        <v>0</v>
      </c>
      <c r="N323" s="1">
        <f t="shared" si="53"/>
        <v>0</v>
      </c>
      <c r="O323" s="1" t="b">
        <f t="shared" si="54"/>
        <v>0</v>
      </c>
      <c r="P323" s="1" t="e">
        <f>INDEX(G:G,MATCH(G323,G:G,0))</f>
        <v>#N/A</v>
      </c>
      <c r="Q323" s="1" t="e">
        <f t="shared" si="55"/>
        <v>#N/A</v>
      </c>
      <c r="R323" s="1" t="e">
        <f>INDEX('6.0.35'!I:I,MATCH(F323,'6.0.35'!K:K,0))</f>
        <v>#N/A</v>
      </c>
      <c r="S323" s="1" t="e">
        <f>INDEX('6.0.35'!J:J,MATCH(F323,'6.0.35'!F:F,0))</f>
        <v>#N/A</v>
      </c>
    </row>
    <row r="324" spans="1:19">
      <c r="A324" t="s">
        <v>13266</v>
      </c>
      <c r="I324" s="1" t="str">
        <f t="shared" si="48"/>
        <v/>
      </c>
      <c r="J324" s="1">
        <f t="shared" si="49"/>
        <v>0</v>
      </c>
      <c r="K324" s="1" t="str">
        <f t="shared" si="50"/>
        <v/>
      </c>
      <c r="L324" s="1">
        <f t="shared" si="51"/>
        <v>0</v>
      </c>
      <c r="M324" s="1">
        <f t="shared" si="52"/>
        <v>0</v>
      </c>
      <c r="N324" s="1">
        <f t="shared" si="53"/>
        <v>0</v>
      </c>
      <c r="O324" s="1" t="b">
        <f t="shared" si="54"/>
        <v>0</v>
      </c>
      <c r="P324" s="1" t="e">
        <f>INDEX(G:G,MATCH(G324,G:G,0))</f>
        <v>#N/A</v>
      </c>
      <c r="Q324" s="1" t="e">
        <f t="shared" si="55"/>
        <v>#N/A</v>
      </c>
      <c r="R324" s="1" t="e">
        <f>INDEX('6.0.35'!I:I,MATCH(F324,'6.0.35'!K:K,0))</f>
        <v>#N/A</v>
      </c>
      <c r="S324" s="1" t="e">
        <f>INDEX('6.0.35'!J:J,MATCH(F324,'6.0.35'!F:F,0))</f>
        <v>#N/A</v>
      </c>
    </row>
    <row r="325" spans="1:19">
      <c r="A325" t="s">
        <v>13270</v>
      </c>
      <c r="I325" s="1" t="str">
        <f t="shared" si="48"/>
        <v/>
      </c>
      <c r="J325" s="1">
        <f t="shared" si="49"/>
        <v>0</v>
      </c>
      <c r="K325" s="1" t="str">
        <f t="shared" si="50"/>
        <v/>
      </c>
      <c r="L325" s="1">
        <f t="shared" si="51"/>
        <v>0</v>
      </c>
      <c r="M325" s="1">
        <f t="shared" si="52"/>
        <v>0</v>
      </c>
      <c r="N325" s="1">
        <f t="shared" si="53"/>
        <v>0</v>
      </c>
      <c r="O325" s="1" t="b">
        <f t="shared" si="54"/>
        <v>0</v>
      </c>
      <c r="P325" s="1" t="e">
        <f>INDEX(G:G,MATCH(G325,G:G,0))</f>
        <v>#N/A</v>
      </c>
      <c r="Q325" s="1" t="e">
        <f t="shared" si="55"/>
        <v>#N/A</v>
      </c>
      <c r="R325" s="1" t="e">
        <f>INDEX('6.0.35'!I:I,MATCH(F325,'6.0.35'!K:K,0))</f>
        <v>#N/A</v>
      </c>
      <c r="S325" s="1" t="e">
        <f>INDEX('6.0.35'!J:J,MATCH(F325,'6.0.35'!F:F,0))</f>
        <v>#N/A</v>
      </c>
    </row>
    <row r="326" spans="1:19">
      <c r="A326" t="s">
        <v>13274</v>
      </c>
      <c r="I326" s="1" t="str">
        <f t="shared" si="48"/>
        <v/>
      </c>
      <c r="J326" s="1">
        <f t="shared" si="49"/>
        <v>0</v>
      </c>
      <c r="K326" s="1" t="str">
        <f t="shared" si="50"/>
        <v/>
      </c>
      <c r="L326" s="1">
        <f t="shared" si="51"/>
        <v>0</v>
      </c>
      <c r="M326" s="1">
        <f t="shared" si="52"/>
        <v>0</v>
      </c>
      <c r="N326" s="1">
        <f t="shared" si="53"/>
        <v>0</v>
      </c>
      <c r="O326" s="1" t="b">
        <f t="shared" si="54"/>
        <v>0</v>
      </c>
      <c r="P326" s="1" t="e">
        <f>INDEX(G:G,MATCH(G326,G:G,0))</f>
        <v>#N/A</v>
      </c>
      <c r="Q326" s="1" t="e">
        <f t="shared" si="55"/>
        <v>#N/A</v>
      </c>
      <c r="R326" s="1" t="e">
        <f>INDEX('6.0.35'!I:I,MATCH(F326,'6.0.35'!K:K,0))</f>
        <v>#N/A</v>
      </c>
      <c r="S326" s="1" t="e">
        <f>INDEX('6.0.35'!J:J,MATCH(F326,'6.0.35'!F:F,0))</f>
        <v>#N/A</v>
      </c>
    </row>
    <row r="327" spans="1:19">
      <c r="A327" t="s">
        <v>13278</v>
      </c>
      <c r="I327" s="1" t="str">
        <f t="shared" si="48"/>
        <v/>
      </c>
      <c r="J327" s="1">
        <f t="shared" si="49"/>
        <v>0</v>
      </c>
      <c r="K327" s="1" t="str">
        <f t="shared" si="50"/>
        <v/>
      </c>
      <c r="L327" s="1">
        <f t="shared" si="51"/>
        <v>0</v>
      </c>
      <c r="M327" s="1">
        <f t="shared" si="52"/>
        <v>0</v>
      </c>
      <c r="N327" s="1">
        <f t="shared" si="53"/>
        <v>0</v>
      </c>
      <c r="O327" s="1" t="b">
        <f t="shared" si="54"/>
        <v>0</v>
      </c>
      <c r="P327" s="1" t="e">
        <f>INDEX(G:G,MATCH(G327,G:G,0))</f>
        <v>#N/A</v>
      </c>
      <c r="Q327" s="1" t="e">
        <f t="shared" si="55"/>
        <v>#N/A</v>
      </c>
      <c r="R327" s="1" t="e">
        <f>INDEX('6.0.35'!I:I,MATCH(F327,'6.0.35'!K:K,0))</f>
        <v>#N/A</v>
      </c>
      <c r="S327" s="1" t="e">
        <f>INDEX('6.0.35'!J:J,MATCH(F327,'6.0.35'!F:F,0))</f>
        <v>#N/A</v>
      </c>
    </row>
    <row r="328" spans="1:19">
      <c r="A328" t="s">
        <v>13282</v>
      </c>
      <c r="I328" s="1" t="str">
        <f t="shared" si="48"/>
        <v/>
      </c>
      <c r="J328" s="1">
        <f t="shared" si="49"/>
        <v>0</v>
      </c>
      <c r="K328" s="1" t="str">
        <f t="shared" si="50"/>
        <v/>
      </c>
      <c r="L328" s="1">
        <f t="shared" si="51"/>
        <v>0</v>
      </c>
      <c r="M328" s="1">
        <f t="shared" si="52"/>
        <v>0</v>
      </c>
      <c r="N328" s="1">
        <f t="shared" si="53"/>
        <v>0</v>
      </c>
      <c r="O328" s="1" t="b">
        <f t="shared" si="54"/>
        <v>0</v>
      </c>
      <c r="P328" s="1" t="e">
        <f>INDEX(G:G,MATCH(G328,G:G,0))</f>
        <v>#N/A</v>
      </c>
      <c r="Q328" s="1" t="e">
        <f t="shared" si="55"/>
        <v>#N/A</v>
      </c>
      <c r="R328" s="1" t="e">
        <f>INDEX('6.0.35'!I:I,MATCH(F328,'6.0.35'!K:K,0))</f>
        <v>#N/A</v>
      </c>
      <c r="S328" s="1" t="e">
        <f>INDEX('6.0.35'!J:J,MATCH(F328,'6.0.35'!F:F,0))</f>
        <v>#N/A</v>
      </c>
    </row>
    <row r="329" spans="1:19">
      <c r="A329" t="s">
        <v>13286</v>
      </c>
      <c r="I329" s="1" t="str">
        <f t="shared" si="48"/>
        <v/>
      </c>
      <c r="J329" s="1">
        <f t="shared" si="49"/>
        <v>0</v>
      </c>
      <c r="K329" s="1" t="str">
        <f t="shared" si="50"/>
        <v/>
      </c>
      <c r="L329" s="1">
        <f t="shared" si="51"/>
        <v>0</v>
      </c>
      <c r="M329" s="1">
        <f t="shared" si="52"/>
        <v>0</v>
      </c>
      <c r="N329" s="1">
        <f t="shared" si="53"/>
        <v>0</v>
      </c>
      <c r="O329" s="1" t="b">
        <f t="shared" si="54"/>
        <v>0</v>
      </c>
      <c r="P329" s="1" t="e">
        <f>INDEX(G:G,MATCH(G329,G:G,0))</f>
        <v>#N/A</v>
      </c>
      <c r="Q329" s="1" t="e">
        <f t="shared" si="55"/>
        <v>#N/A</v>
      </c>
      <c r="R329" s="1" t="e">
        <f>INDEX('6.0.35'!I:I,MATCH(F329,'6.0.35'!K:K,0))</f>
        <v>#N/A</v>
      </c>
      <c r="S329" s="1" t="e">
        <f>INDEX('6.0.35'!J:J,MATCH(F329,'6.0.35'!F:F,0))</f>
        <v>#N/A</v>
      </c>
    </row>
    <row r="330" spans="1:19">
      <c r="A330" t="s">
        <v>13290</v>
      </c>
      <c r="I330" s="1" t="str">
        <f t="shared" si="48"/>
        <v/>
      </c>
      <c r="J330" s="1">
        <f t="shared" si="49"/>
        <v>0</v>
      </c>
      <c r="K330" s="1" t="str">
        <f t="shared" si="50"/>
        <v/>
      </c>
      <c r="L330" s="1">
        <f t="shared" si="51"/>
        <v>0</v>
      </c>
      <c r="M330" s="1">
        <f t="shared" si="52"/>
        <v>0</v>
      </c>
      <c r="N330" s="1">
        <f t="shared" si="53"/>
        <v>0</v>
      </c>
      <c r="O330" s="1" t="b">
        <f t="shared" si="54"/>
        <v>0</v>
      </c>
      <c r="P330" s="1" t="e">
        <f>INDEX(G:G,MATCH(G330,G:G,0))</f>
        <v>#N/A</v>
      </c>
      <c r="Q330" s="1" t="e">
        <f t="shared" si="55"/>
        <v>#N/A</v>
      </c>
      <c r="R330" s="1" t="e">
        <f>INDEX('6.0.35'!I:I,MATCH(F330,'6.0.35'!K:K,0))</f>
        <v>#N/A</v>
      </c>
      <c r="S330" s="1" t="e">
        <f>INDEX('6.0.35'!J:J,MATCH(F330,'6.0.35'!F:F,0))</f>
        <v>#N/A</v>
      </c>
    </row>
    <row r="331" spans="1:19">
      <c r="A331" t="s">
        <v>13293</v>
      </c>
      <c r="I331" s="1" t="str">
        <f t="shared" si="48"/>
        <v/>
      </c>
      <c r="J331" s="1">
        <f t="shared" si="49"/>
        <v>0</v>
      </c>
      <c r="K331" s="1" t="str">
        <f t="shared" si="50"/>
        <v/>
      </c>
      <c r="L331" s="1">
        <f t="shared" si="51"/>
        <v>0</v>
      </c>
      <c r="M331" s="1">
        <f t="shared" si="52"/>
        <v>0</v>
      </c>
      <c r="N331" s="1">
        <f t="shared" si="53"/>
        <v>0</v>
      </c>
      <c r="O331" s="1" t="b">
        <f t="shared" si="54"/>
        <v>0</v>
      </c>
      <c r="P331" s="1" t="e">
        <f>INDEX(G:G,MATCH(G331,G:G,0))</f>
        <v>#N/A</v>
      </c>
      <c r="Q331" s="1" t="e">
        <f t="shared" si="55"/>
        <v>#N/A</v>
      </c>
      <c r="R331" s="1" t="e">
        <f>INDEX('6.0.35'!I:I,MATCH(F331,'6.0.35'!K:K,0))</f>
        <v>#N/A</v>
      </c>
      <c r="S331" s="1" t="e">
        <f>INDEX('6.0.35'!J:J,MATCH(F331,'6.0.35'!F:F,0))</f>
        <v>#N/A</v>
      </c>
    </row>
    <row r="332" spans="1:19">
      <c r="A332" t="s">
        <v>13297</v>
      </c>
      <c r="I332" s="1" t="str">
        <f t="shared" si="48"/>
        <v/>
      </c>
      <c r="J332" s="1">
        <f t="shared" si="49"/>
        <v>0</v>
      </c>
      <c r="K332" s="1" t="str">
        <f t="shared" si="50"/>
        <v/>
      </c>
      <c r="L332" s="1">
        <f t="shared" si="51"/>
        <v>0</v>
      </c>
      <c r="M332" s="1">
        <f t="shared" si="52"/>
        <v>0</v>
      </c>
      <c r="N332" s="1">
        <f t="shared" si="53"/>
        <v>0</v>
      </c>
      <c r="O332" s="1" t="b">
        <f t="shared" si="54"/>
        <v>0</v>
      </c>
      <c r="P332" s="1" t="e">
        <f>INDEX(G:G,MATCH(G332,G:G,0))</f>
        <v>#N/A</v>
      </c>
      <c r="Q332" s="1" t="e">
        <f t="shared" si="55"/>
        <v>#N/A</v>
      </c>
      <c r="R332" s="1" t="e">
        <f>INDEX('6.0.35'!I:I,MATCH(F332,'6.0.35'!K:K,0))</f>
        <v>#N/A</v>
      </c>
      <c r="S332" s="1" t="e">
        <f>INDEX('6.0.35'!J:J,MATCH(F332,'6.0.35'!F:F,0))</f>
        <v>#N/A</v>
      </c>
    </row>
    <row r="333" spans="1:19">
      <c r="A333" t="s">
        <v>13301</v>
      </c>
      <c r="I333" s="1" t="str">
        <f t="shared" si="48"/>
        <v/>
      </c>
      <c r="J333" s="1">
        <f t="shared" si="49"/>
        <v>0</v>
      </c>
      <c r="K333" s="1" t="str">
        <f t="shared" si="50"/>
        <v/>
      </c>
      <c r="L333" s="1">
        <f t="shared" si="51"/>
        <v>0</v>
      </c>
      <c r="M333" s="1">
        <f t="shared" si="52"/>
        <v>0</v>
      </c>
      <c r="N333" s="1">
        <f t="shared" si="53"/>
        <v>0</v>
      </c>
      <c r="O333" s="1" t="b">
        <f t="shared" si="54"/>
        <v>0</v>
      </c>
      <c r="P333" s="1" t="e">
        <f>INDEX(G:G,MATCH(G333,G:G,0))</f>
        <v>#N/A</v>
      </c>
      <c r="Q333" s="1" t="e">
        <f t="shared" si="55"/>
        <v>#N/A</v>
      </c>
      <c r="R333" s="1" t="e">
        <f>INDEX('6.0.35'!I:I,MATCH(F333,'6.0.35'!K:K,0))</f>
        <v>#N/A</v>
      </c>
      <c r="S333" s="1" t="e">
        <f>INDEX('6.0.35'!J:J,MATCH(F333,'6.0.35'!F:F,0))</f>
        <v>#N/A</v>
      </c>
    </row>
    <row r="334" spans="1:19">
      <c r="A334" t="s">
        <v>13304</v>
      </c>
      <c r="I334" s="1" t="str">
        <f t="shared" si="48"/>
        <v/>
      </c>
      <c r="J334" s="1">
        <f t="shared" si="49"/>
        <v>0</v>
      </c>
      <c r="K334" s="1" t="str">
        <f t="shared" si="50"/>
        <v/>
      </c>
      <c r="L334" s="1">
        <f t="shared" si="51"/>
        <v>0</v>
      </c>
      <c r="M334" s="1">
        <f t="shared" si="52"/>
        <v>0</v>
      </c>
      <c r="N334" s="1">
        <f t="shared" si="53"/>
        <v>0</v>
      </c>
      <c r="O334" s="1" t="b">
        <f t="shared" si="54"/>
        <v>0</v>
      </c>
      <c r="P334" s="1" t="e">
        <f>INDEX(G:G,MATCH(G334,G:G,0))</f>
        <v>#N/A</v>
      </c>
      <c r="Q334" s="1" t="e">
        <f t="shared" si="55"/>
        <v>#N/A</v>
      </c>
      <c r="R334" s="1" t="e">
        <f>INDEX('6.0.35'!I:I,MATCH(F334,'6.0.35'!K:K,0))</f>
        <v>#N/A</v>
      </c>
      <c r="S334" s="1" t="e">
        <f>INDEX('6.0.35'!J:J,MATCH(F334,'6.0.35'!F:F,0))</f>
        <v>#N/A</v>
      </c>
    </row>
    <row r="335" spans="1:19">
      <c r="A335" t="s">
        <v>13308</v>
      </c>
      <c r="I335" s="1" t="str">
        <f t="shared" si="48"/>
        <v/>
      </c>
      <c r="J335" s="1">
        <f t="shared" si="49"/>
        <v>0</v>
      </c>
      <c r="K335" s="1" t="str">
        <f t="shared" si="50"/>
        <v/>
      </c>
      <c r="L335" s="1">
        <f t="shared" si="51"/>
        <v>0</v>
      </c>
      <c r="M335" s="1">
        <f t="shared" si="52"/>
        <v>0</v>
      </c>
      <c r="N335" s="1">
        <f t="shared" si="53"/>
        <v>0</v>
      </c>
      <c r="O335" s="1" t="b">
        <f t="shared" si="54"/>
        <v>0</v>
      </c>
      <c r="P335" s="1" t="e">
        <f>INDEX(G:G,MATCH(G335,G:G,0))</f>
        <v>#N/A</v>
      </c>
      <c r="Q335" s="1" t="e">
        <f t="shared" si="55"/>
        <v>#N/A</v>
      </c>
      <c r="R335" s="1" t="e">
        <f>INDEX('6.0.35'!I:I,MATCH(F335,'6.0.35'!K:K,0))</f>
        <v>#N/A</v>
      </c>
      <c r="S335" s="1" t="e">
        <f>INDEX('6.0.35'!J:J,MATCH(F335,'6.0.35'!F:F,0))</f>
        <v>#N/A</v>
      </c>
    </row>
    <row r="336" spans="1:19">
      <c r="A336" t="s">
        <v>13312</v>
      </c>
      <c r="I336" s="1" t="str">
        <f t="shared" si="48"/>
        <v/>
      </c>
      <c r="J336" s="1">
        <f t="shared" si="49"/>
        <v>0</v>
      </c>
      <c r="K336" s="1" t="str">
        <f t="shared" si="50"/>
        <v/>
      </c>
      <c r="L336" s="1">
        <f t="shared" si="51"/>
        <v>0</v>
      </c>
      <c r="M336" s="1">
        <f t="shared" si="52"/>
        <v>0</v>
      </c>
      <c r="N336" s="1">
        <f t="shared" si="53"/>
        <v>0</v>
      </c>
      <c r="O336" s="1" t="b">
        <f t="shared" si="54"/>
        <v>0</v>
      </c>
      <c r="P336" s="1" t="e">
        <f>INDEX(G:G,MATCH(G336,G:G,0))</f>
        <v>#N/A</v>
      </c>
      <c r="Q336" s="1" t="e">
        <f t="shared" si="55"/>
        <v>#N/A</v>
      </c>
      <c r="R336" s="1" t="e">
        <f>INDEX('6.0.35'!I:I,MATCH(F336,'6.0.35'!K:K,0))</f>
        <v>#N/A</v>
      </c>
      <c r="S336" s="1" t="e">
        <f>INDEX('6.0.35'!J:J,MATCH(F336,'6.0.35'!F:F,0))</f>
        <v>#N/A</v>
      </c>
    </row>
    <row r="337" spans="1:19">
      <c r="A337" t="s">
        <v>13316</v>
      </c>
      <c r="I337" s="1" t="str">
        <f t="shared" si="48"/>
        <v/>
      </c>
      <c r="J337" s="1">
        <f t="shared" si="49"/>
        <v>0</v>
      </c>
      <c r="K337" s="1" t="str">
        <f t="shared" si="50"/>
        <v/>
      </c>
      <c r="L337" s="1">
        <f t="shared" si="51"/>
        <v>0</v>
      </c>
      <c r="M337" s="1">
        <f t="shared" si="52"/>
        <v>0</v>
      </c>
      <c r="N337" s="1">
        <f t="shared" si="53"/>
        <v>0</v>
      </c>
      <c r="O337" s="1" t="b">
        <f t="shared" si="54"/>
        <v>0</v>
      </c>
      <c r="P337" s="1" t="e">
        <f>INDEX(G:G,MATCH(G337,G:G,0))</f>
        <v>#N/A</v>
      </c>
      <c r="Q337" s="1" t="e">
        <f t="shared" si="55"/>
        <v>#N/A</v>
      </c>
      <c r="R337" s="1" t="e">
        <f>INDEX('6.0.35'!I:I,MATCH(F337,'6.0.35'!K:K,0))</f>
        <v>#N/A</v>
      </c>
      <c r="S337" s="1" t="e">
        <f>INDEX('6.0.35'!J:J,MATCH(F337,'6.0.35'!F:F,0))</f>
        <v>#N/A</v>
      </c>
    </row>
    <row r="338" spans="1:19">
      <c r="A338" t="s">
        <v>13320</v>
      </c>
      <c r="I338" s="1" t="str">
        <f t="shared" si="48"/>
        <v/>
      </c>
      <c r="J338" s="1">
        <f t="shared" si="49"/>
        <v>0</v>
      </c>
      <c r="K338" s="1" t="str">
        <f t="shared" si="50"/>
        <v/>
      </c>
      <c r="L338" s="1">
        <f t="shared" si="51"/>
        <v>0</v>
      </c>
      <c r="M338" s="1">
        <f t="shared" si="52"/>
        <v>0</v>
      </c>
      <c r="N338" s="1">
        <f t="shared" si="53"/>
        <v>0</v>
      </c>
      <c r="O338" s="1" t="b">
        <f t="shared" si="54"/>
        <v>0</v>
      </c>
      <c r="P338" s="1" t="e">
        <f>INDEX(G:G,MATCH(G338,G:G,0))</f>
        <v>#N/A</v>
      </c>
      <c r="Q338" s="1" t="e">
        <f t="shared" si="55"/>
        <v>#N/A</v>
      </c>
      <c r="R338" s="1" t="e">
        <f>INDEX('6.0.35'!I:I,MATCH(F338,'6.0.35'!K:K,0))</f>
        <v>#N/A</v>
      </c>
      <c r="S338" s="1" t="e">
        <f>INDEX('6.0.35'!J:J,MATCH(F338,'6.0.35'!F:F,0))</f>
        <v>#N/A</v>
      </c>
    </row>
    <row r="339" spans="1:19">
      <c r="A339" t="s">
        <v>13323</v>
      </c>
      <c r="I339" s="1" t="str">
        <f t="shared" si="48"/>
        <v/>
      </c>
      <c r="J339" s="1">
        <f t="shared" si="49"/>
        <v>0</v>
      </c>
      <c r="K339" s="1" t="str">
        <f t="shared" si="50"/>
        <v/>
      </c>
      <c r="L339" s="1">
        <f t="shared" si="51"/>
        <v>0</v>
      </c>
      <c r="M339" s="1">
        <f t="shared" si="52"/>
        <v>0</v>
      </c>
      <c r="N339" s="1">
        <f t="shared" si="53"/>
        <v>0</v>
      </c>
      <c r="O339" s="1" t="b">
        <f t="shared" si="54"/>
        <v>0</v>
      </c>
      <c r="P339" s="1" t="e">
        <f>INDEX(G:G,MATCH(G339,G:G,0))</f>
        <v>#N/A</v>
      </c>
      <c r="Q339" s="1" t="e">
        <f t="shared" si="55"/>
        <v>#N/A</v>
      </c>
      <c r="R339" s="1" t="e">
        <f>INDEX('6.0.35'!I:I,MATCH(F339,'6.0.35'!K:K,0))</f>
        <v>#N/A</v>
      </c>
      <c r="S339" s="1" t="e">
        <f>INDEX('6.0.35'!J:J,MATCH(F339,'6.0.35'!F:F,0))</f>
        <v>#N/A</v>
      </c>
    </row>
    <row r="340" spans="1:19">
      <c r="A340" t="s">
        <v>13327</v>
      </c>
      <c r="I340" s="1" t="str">
        <f t="shared" si="48"/>
        <v/>
      </c>
      <c r="J340" s="1">
        <f t="shared" si="49"/>
        <v>0</v>
      </c>
      <c r="K340" s="1" t="str">
        <f t="shared" si="50"/>
        <v/>
      </c>
      <c r="L340" s="1">
        <f t="shared" si="51"/>
        <v>0</v>
      </c>
      <c r="M340" s="1">
        <f t="shared" si="52"/>
        <v>0</v>
      </c>
      <c r="N340" s="1">
        <f t="shared" si="53"/>
        <v>0</v>
      </c>
      <c r="O340" s="1" t="b">
        <f t="shared" si="54"/>
        <v>0</v>
      </c>
      <c r="P340" s="1" t="e">
        <f>INDEX(G:G,MATCH(G340,G:G,0))</f>
        <v>#N/A</v>
      </c>
      <c r="Q340" s="1" t="e">
        <f t="shared" si="55"/>
        <v>#N/A</v>
      </c>
      <c r="R340" s="1" t="e">
        <f>INDEX('6.0.35'!I:I,MATCH(F340,'6.0.35'!K:K,0))</f>
        <v>#N/A</v>
      </c>
      <c r="S340" s="1" t="e">
        <f>INDEX('6.0.35'!J:J,MATCH(F340,'6.0.35'!F:F,0))</f>
        <v>#N/A</v>
      </c>
    </row>
    <row r="341" spans="1:19">
      <c r="A341" t="s">
        <v>13330</v>
      </c>
      <c r="I341" s="1" t="str">
        <f t="shared" si="48"/>
        <v/>
      </c>
      <c r="J341" s="1">
        <f t="shared" si="49"/>
        <v>0</v>
      </c>
      <c r="K341" s="1" t="str">
        <f t="shared" si="50"/>
        <v/>
      </c>
      <c r="L341" s="1">
        <f t="shared" si="51"/>
        <v>0</v>
      </c>
      <c r="M341" s="1">
        <f t="shared" si="52"/>
        <v>0</v>
      </c>
      <c r="N341" s="1">
        <f t="shared" si="53"/>
        <v>0</v>
      </c>
      <c r="O341" s="1" t="b">
        <f t="shared" si="54"/>
        <v>0</v>
      </c>
      <c r="P341" s="1" t="e">
        <f>INDEX(G:G,MATCH(G341,G:G,0))</f>
        <v>#N/A</v>
      </c>
      <c r="Q341" s="1" t="e">
        <f t="shared" si="55"/>
        <v>#N/A</v>
      </c>
      <c r="R341" s="1" t="e">
        <f>INDEX('6.0.35'!I:I,MATCH(F341,'6.0.35'!K:K,0))</f>
        <v>#N/A</v>
      </c>
      <c r="S341" s="1" t="e">
        <f>INDEX('6.0.35'!J:J,MATCH(F341,'6.0.35'!F:F,0))</f>
        <v>#N/A</v>
      </c>
    </row>
    <row r="342" spans="1:19">
      <c r="A342" t="s">
        <v>13333</v>
      </c>
      <c r="I342" s="1" t="str">
        <f t="shared" si="48"/>
        <v/>
      </c>
      <c r="J342" s="1">
        <f t="shared" si="49"/>
        <v>0</v>
      </c>
      <c r="K342" s="1" t="str">
        <f t="shared" si="50"/>
        <v/>
      </c>
      <c r="L342" s="1">
        <f t="shared" si="51"/>
        <v>0</v>
      </c>
      <c r="M342" s="1">
        <f t="shared" si="52"/>
        <v>0</v>
      </c>
      <c r="N342" s="1">
        <f t="shared" si="53"/>
        <v>0</v>
      </c>
      <c r="O342" s="1" t="b">
        <f t="shared" si="54"/>
        <v>0</v>
      </c>
      <c r="P342" s="1" t="e">
        <f>INDEX(G:G,MATCH(G342,G:G,0))</f>
        <v>#N/A</v>
      </c>
      <c r="Q342" s="1" t="e">
        <f t="shared" si="55"/>
        <v>#N/A</v>
      </c>
      <c r="R342" s="1" t="e">
        <f>INDEX('6.0.35'!I:I,MATCH(F342,'6.0.35'!K:K,0))</f>
        <v>#N/A</v>
      </c>
      <c r="S342" s="1" t="e">
        <f>INDEX('6.0.35'!J:J,MATCH(F342,'6.0.35'!F:F,0))</f>
        <v>#N/A</v>
      </c>
    </row>
    <row r="343" spans="1:19">
      <c r="A343" t="s">
        <v>13336</v>
      </c>
      <c r="I343" s="1" t="str">
        <f t="shared" si="48"/>
        <v/>
      </c>
      <c r="J343" s="1">
        <f t="shared" si="49"/>
        <v>0</v>
      </c>
      <c r="K343" s="1" t="str">
        <f t="shared" si="50"/>
        <v/>
      </c>
      <c r="L343" s="1">
        <f t="shared" si="51"/>
        <v>0</v>
      </c>
      <c r="M343" s="1">
        <f t="shared" si="52"/>
        <v>0</v>
      </c>
      <c r="N343" s="1">
        <f t="shared" si="53"/>
        <v>0</v>
      </c>
      <c r="O343" s="1" t="b">
        <f t="shared" si="54"/>
        <v>0</v>
      </c>
      <c r="P343" s="1" t="e">
        <f>INDEX(G:G,MATCH(G343,G:G,0))</f>
        <v>#N/A</v>
      </c>
      <c r="Q343" s="1" t="e">
        <f t="shared" si="55"/>
        <v>#N/A</v>
      </c>
      <c r="R343" s="1" t="e">
        <f>INDEX('6.0.35'!I:I,MATCH(F343,'6.0.35'!K:K,0))</f>
        <v>#N/A</v>
      </c>
      <c r="S343" s="1" t="e">
        <f>INDEX('6.0.35'!J:J,MATCH(F343,'6.0.35'!F:F,0))</f>
        <v>#N/A</v>
      </c>
    </row>
    <row r="344" spans="1:19">
      <c r="A344" t="s">
        <v>18249</v>
      </c>
      <c r="I344" s="1" t="str">
        <f t="shared" si="48"/>
        <v/>
      </c>
      <c r="J344" s="1">
        <f t="shared" si="49"/>
        <v>0</v>
      </c>
      <c r="K344" s="1" t="str">
        <f t="shared" si="50"/>
        <v/>
      </c>
      <c r="L344" s="1">
        <f t="shared" si="51"/>
        <v>0</v>
      </c>
      <c r="M344" s="1">
        <f t="shared" si="52"/>
        <v>0</v>
      </c>
      <c r="N344" s="1">
        <f t="shared" si="53"/>
        <v>0</v>
      </c>
      <c r="O344" s="1" t="b">
        <f t="shared" si="54"/>
        <v>0</v>
      </c>
      <c r="P344" s="1" t="e">
        <f>INDEX(G:G,MATCH(G344,G:G,0))</f>
        <v>#N/A</v>
      </c>
      <c r="Q344" s="1" t="e">
        <f t="shared" si="55"/>
        <v>#N/A</v>
      </c>
      <c r="R344" s="1" t="e">
        <f>INDEX('6.0.35'!I:I,MATCH(F344,'6.0.35'!K:K,0))</f>
        <v>#N/A</v>
      </c>
      <c r="S344" s="1" t="e">
        <f>INDEX('6.0.35'!J:J,MATCH(F344,'6.0.35'!F:F,0))</f>
        <v>#N/A</v>
      </c>
    </row>
    <row r="345" spans="1:19">
      <c r="A345" t="s">
        <v>18250</v>
      </c>
      <c r="I345" s="1" t="str">
        <f t="shared" si="48"/>
        <v/>
      </c>
      <c r="J345" s="1">
        <f t="shared" si="49"/>
        <v>0</v>
      </c>
      <c r="K345" s="1" t="str">
        <f t="shared" si="50"/>
        <v/>
      </c>
      <c r="L345" s="1">
        <f t="shared" si="51"/>
        <v>0</v>
      </c>
      <c r="M345" s="1">
        <f t="shared" si="52"/>
        <v>0</v>
      </c>
      <c r="N345" s="1">
        <f t="shared" si="53"/>
        <v>0</v>
      </c>
      <c r="O345" s="1" t="b">
        <f t="shared" si="54"/>
        <v>0</v>
      </c>
      <c r="P345" s="1" t="e">
        <f>INDEX(G:G,MATCH(G345,G:G,0))</f>
        <v>#N/A</v>
      </c>
      <c r="Q345" s="1" t="e">
        <f t="shared" si="55"/>
        <v>#N/A</v>
      </c>
      <c r="R345" s="1" t="e">
        <f>INDEX('6.0.35'!I:I,MATCH(F345,'6.0.35'!K:K,0))</f>
        <v>#N/A</v>
      </c>
      <c r="S345" s="1" t="e">
        <f>INDEX('6.0.35'!J:J,MATCH(F345,'6.0.35'!F:F,0))</f>
        <v>#N/A</v>
      </c>
    </row>
    <row r="346" spans="1:19">
      <c r="A346" t="s">
        <v>18251</v>
      </c>
      <c r="I346" s="1" t="str">
        <f t="shared" si="48"/>
        <v/>
      </c>
      <c r="J346" s="1">
        <f t="shared" si="49"/>
        <v>0</v>
      </c>
      <c r="K346" s="1" t="str">
        <f t="shared" si="50"/>
        <v/>
      </c>
      <c r="L346" s="1">
        <f t="shared" si="51"/>
        <v>0</v>
      </c>
      <c r="M346" s="1">
        <f t="shared" si="52"/>
        <v>0</v>
      </c>
      <c r="N346" s="1">
        <f t="shared" si="53"/>
        <v>0</v>
      </c>
      <c r="O346" s="1" t="b">
        <f t="shared" si="54"/>
        <v>0</v>
      </c>
      <c r="P346" s="1" t="e">
        <f>INDEX(G:G,MATCH(G346,G:G,0))</f>
        <v>#N/A</v>
      </c>
      <c r="Q346" s="1" t="e">
        <f t="shared" si="55"/>
        <v>#N/A</v>
      </c>
      <c r="R346" s="1" t="e">
        <f>INDEX('6.0.35'!I:I,MATCH(F346,'6.0.35'!K:K,0))</f>
        <v>#N/A</v>
      </c>
      <c r="S346" s="1" t="e">
        <f>INDEX('6.0.35'!J:J,MATCH(F346,'6.0.35'!F:F,0))</f>
        <v>#N/A</v>
      </c>
    </row>
    <row r="347" spans="1:19">
      <c r="A347" t="s">
        <v>18252</v>
      </c>
      <c r="I347" s="1" t="str">
        <f t="shared" si="48"/>
        <v/>
      </c>
      <c r="J347" s="1">
        <f t="shared" si="49"/>
        <v>0</v>
      </c>
      <c r="K347" s="1" t="str">
        <f t="shared" si="50"/>
        <v/>
      </c>
      <c r="L347" s="1">
        <f t="shared" si="51"/>
        <v>0</v>
      </c>
      <c r="M347" s="1">
        <f t="shared" si="52"/>
        <v>0</v>
      </c>
      <c r="N347" s="1">
        <f t="shared" si="53"/>
        <v>0</v>
      </c>
      <c r="O347" s="1" t="b">
        <f t="shared" si="54"/>
        <v>0</v>
      </c>
      <c r="P347" s="1" t="e">
        <f>INDEX(G:G,MATCH(G347,G:G,0))</f>
        <v>#N/A</v>
      </c>
      <c r="Q347" s="1" t="e">
        <f t="shared" si="55"/>
        <v>#N/A</v>
      </c>
      <c r="R347" s="1" t="e">
        <f>INDEX('6.0.35'!I:I,MATCH(F347,'6.0.35'!K:K,0))</f>
        <v>#N/A</v>
      </c>
      <c r="S347" s="1" t="e">
        <f>INDEX('6.0.35'!J:J,MATCH(F347,'6.0.35'!F:F,0))</f>
        <v>#N/A</v>
      </c>
    </row>
    <row r="348" spans="1:19">
      <c r="A348" t="s">
        <v>18253</v>
      </c>
      <c r="I348" s="1" t="str">
        <f t="shared" si="48"/>
        <v/>
      </c>
      <c r="J348" s="1">
        <f t="shared" si="49"/>
        <v>0</v>
      </c>
      <c r="K348" s="1" t="str">
        <f t="shared" si="50"/>
        <v/>
      </c>
      <c r="L348" s="1">
        <f t="shared" si="51"/>
        <v>0</v>
      </c>
      <c r="M348" s="1">
        <f t="shared" si="52"/>
        <v>0</v>
      </c>
      <c r="N348" s="1">
        <f t="shared" si="53"/>
        <v>0</v>
      </c>
      <c r="O348" s="1" t="b">
        <f t="shared" si="54"/>
        <v>0</v>
      </c>
      <c r="P348" s="1" t="e">
        <f>INDEX(G:G,MATCH(G348,G:G,0))</f>
        <v>#N/A</v>
      </c>
      <c r="Q348" s="1" t="e">
        <f t="shared" si="55"/>
        <v>#N/A</v>
      </c>
      <c r="R348" s="1" t="e">
        <f>INDEX('6.0.35'!I:I,MATCH(F348,'6.0.35'!K:K,0))</f>
        <v>#N/A</v>
      </c>
      <c r="S348" s="1" t="e">
        <f>INDEX('6.0.35'!J:J,MATCH(F348,'6.0.35'!F:F,0))</f>
        <v>#N/A</v>
      </c>
    </row>
    <row r="349" spans="1:19">
      <c r="A349" t="s">
        <v>18249</v>
      </c>
      <c r="I349" s="1" t="str">
        <f t="shared" si="48"/>
        <v/>
      </c>
      <c r="J349" s="1">
        <f t="shared" si="49"/>
        <v>0</v>
      </c>
      <c r="K349" s="1" t="str">
        <f t="shared" si="50"/>
        <v/>
      </c>
      <c r="L349" s="1">
        <f t="shared" si="51"/>
        <v>0</v>
      </c>
      <c r="M349" s="1">
        <f t="shared" si="52"/>
        <v>0</v>
      </c>
      <c r="N349" s="1">
        <f t="shared" si="53"/>
        <v>0</v>
      </c>
      <c r="O349" s="1" t="b">
        <f t="shared" si="54"/>
        <v>0</v>
      </c>
      <c r="P349" s="1" t="e">
        <f>INDEX(G:G,MATCH(G349,G:G,0))</f>
        <v>#N/A</v>
      </c>
      <c r="Q349" s="1" t="e">
        <f t="shared" si="55"/>
        <v>#N/A</v>
      </c>
      <c r="R349" s="1" t="e">
        <f>INDEX('6.0.35'!I:I,MATCH(F349,'6.0.35'!K:K,0))</f>
        <v>#N/A</v>
      </c>
      <c r="S349" s="1" t="e">
        <f>INDEX('6.0.35'!J:J,MATCH(F349,'6.0.35'!F:F,0))</f>
        <v>#N/A</v>
      </c>
    </row>
    <row r="350" spans="1:19">
      <c r="A350" t="s">
        <v>18250</v>
      </c>
      <c r="I350" s="1" t="str">
        <f t="shared" si="48"/>
        <v/>
      </c>
      <c r="J350" s="1">
        <f t="shared" si="49"/>
        <v>0</v>
      </c>
      <c r="K350" s="1" t="str">
        <f t="shared" si="50"/>
        <v/>
      </c>
      <c r="L350" s="1">
        <f t="shared" si="51"/>
        <v>0</v>
      </c>
      <c r="M350" s="1">
        <f t="shared" si="52"/>
        <v>0</v>
      </c>
      <c r="N350" s="1">
        <f t="shared" si="53"/>
        <v>0</v>
      </c>
      <c r="O350" s="1" t="b">
        <f t="shared" si="54"/>
        <v>0</v>
      </c>
      <c r="P350" s="1" t="e">
        <f>INDEX(G:G,MATCH(G350,G:G,0))</f>
        <v>#N/A</v>
      </c>
      <c r="Q350" s="1" t="e">
        <f t="shared" si="55"/>
        <v>#N/A</v>
      </c>
      <c r="R350" s="1" t="e">
        <f>INDEX('6.0.35'!I:I,MATCH(F350,'6.0.35'!K:K,0))</f>
        <v>#N/A</v>
      </c>
      <c r="S350" s="1" t="e">
        <f>INDEX('6.0.35'!J:J,MATCH(F350,'6.0.35'!F:F,0))</f>
        <v>#N/A</v>
      </c>
    </row>
    <row r="351" spans="1:19">
      <c r="A351" t="s">
        <v>18254</v>
      </c>
      <c r="I351" s="1" t="str">
        <f t="shared" si="48"/>
        <v/>
      </c>
      <c r="J351" s="1">
        <f t="shared" si="49"/>
        <v>0</v>
      </c>
      <c r="K351" s="1" t="str">
        <f t="shared" si="50"/>
        <v/>
      </c>
      <c r="L351" s="1">
        <f t="shared" si="51"/>
        <v>0</v>
      </c>
      <c r="M351" s="1">
        <f t="shared" si="52"/>
        <v>0</v>
      </c>
      <c r="N351" s="1">
        <f t="shared" si="53"/>
        <v>0</v>
      </c>
      <c r="O351" s="1" t="b">
        <f t="shared" si="54"/>
        <v>0</v>
      </c>
      <c r="P351" s="1" t="e">
        <f>INDEX(G:G,MATCH(G351,G:G,0))</f>
        <v>#N/A</v>
      </c>
      <c r="Q351" s="1" t="e">
        <f t="shared" si="55"/>
        <v>#N/A</v>
      </c>
      <c r="R351" s="1" t="e">
        <f>INDEX('6.0.35'!I:I,MATCH(F351,'6.0.35'!K:K,0))</f>
        <v>#N/A</v>
      </c>
      <c r="S351" s="1" t="e">
        <f>INDEX('6.0.35'!J:J,MATCH(F351,'6.0.35'!F:F,0))</f>
        <v>#N/A</v>
      </c>
    </row>
    <row r="352" spans="1:19">
      <c r="A352" t="s">
        <v>18255</v>
      </c>
      <c r="I352" s="1" t="str">
        <f t="shared" si="48"/>
        <v/>
      </c>
      <c r="J352" s="1">
        <f t="shared" si="49"/>
        <v>0</v>
      </c>
      <c r="K352" s="1" t="str">
        <f t="shared" si="50"/>
        <v/>
      </c>
      <c r="L352" s="1">
        <f t="shared" si="51"/>
        <v>0</v>
      </c>
      <c r="M352" s="1">
        <f t="shared" si="52"/>
        <v>0</v>
      </c>
      <c r="N352" s="1">
        <f t="shared" si="53"/>
        <v>0</v>
      </c>
      <c r="O352" s="1" t="b">
        <f t="shared" si="54"/>
        <v>0</v>
      </c>
      <c r="P352" s="1" t="e">
        <f>INDEX(G:G,MATCH(G352,G:G,0))</f>
        <v>#N/A</v>
      </c>
      <c r="Q352" s="1" t="e">
        <f t="shared" si="55"/>
        <v>#N/A</v>
      </c>
      <c r="R352" s="1" t="e">
        <f>INDEX('6.0.35'!I:I,MATCH(F352,'6.0.35'!K:K,0))</f>
        <v>#N/A</v>
      </c>
      <c r="S352" s="1" t="e">
        <f>INDEX('6.0.35'!J:J,MATCH(F352,'6.0.35'!F:F,0))</f>
        <v>#N/A</v>
      </c>
    </row>
    <row r="353" spans="1:19">
      <c r="A353" t="s">
        <v>18256</v>
      </c>
      <c r="I353" s="1" t="str">
        <f t="shared" si="48"/>
        <v/>
      </c>
      <c r="J353" s="1">
        <f t="shared" si="49"/>
        <v>0</v>
      </c>
      <c r="K353" s="1" t="str">
        <f t="shared" si="50"/>
        <v/>
      </c>
      <c r="L353" s="1">
        <f t="shared" si="51"/>
        <v>0</v>
      </c>
      <c r="M353" s="1">
        <f t="shared" si="52"/>
        <v>0</v>
      </c>
      <c r="N353" s="1">
        <f t="shared" si="53"/>
        <v>0</v>
      </c>
      <c r="O353" s="1" t="b">
        <f t="shared" si="54"/>
        <v>0</v>
      </c>
      <c r="P353" s="1" t="e">
        <f>INDEX(G:G,MATCH(G353,G:G,0))</f>
        <v>#N/A</v>
      </c>
      <c r="Q353" s="1" t="e">
        <f t="shared" si="55"/>
        <v>#N/A</v>
      </c>
      <c r="R353" s="1" t="e">
        <f>INDEX('6.0.35'!I:I,MATCH(F353,'6.0.35'!K:K,0))</f>
        <v>#N/A</v>
      </c>
      <c r="S353" s="1" t="e">
        <f>INDEX('6.0.35'!J:J,MATCH(F353,'6.0.35'!F:F,0))</f>
        <v>#N/A</v>
      </c>
    </row>
    <row r="354" spans="1:19">
      <c r="A354" t="s">
        <v>18257</v>
      </c>
      <c r="I354" s="1" t="str">
        <f t="shared" si="48"/>
        <v/>
      </c>
      <c r="J354" s="1">
        <f t="shared" si="49"/>
        <v>0</v>
      </c>
      <c r="K354" s="1" t="str">
        <f t="shared" si="50"/>
        <v/>
      </c>
      <c r="L354" s="1">
        <f t="shared" si="51"/>
        <v>0</v>
      </c>
      <c r="M354" s="1">
        <f t="shared" si="52"/>
        <v>0</v>
      </c>
      <c r="N354" s="1">
        <f t="shared" si="53"/>
        <v>0</v>
      </c>
      <c r="O354" s="1" t="b">
        <f t="shared" si="54"/>
        <v>0</v>
      </c>
      <c r="P354" s="1" t="e">
        <f>INDEX(G:G,MATCH(G354,G:G,0))</f>
        <v>#N/A</v>
      </c>
      <c r="Q354" s="1" t="e">
        <f t="shared" si="55"/>
        <v>#N/A</v>
      </c>
      <c r="R354" s="1" t="e">
        <f>INDEX('6.0.35'!I:I,MATCH(F354,'6.0.35'!K:K,0))</f>
        <v>#N/A</v>
      </c>
      <c r="S354" s="1" t="e">
        <f>INDEX('6.0.35'!J:J,MATCH(F354,'6.0.35'!F:F,0))</f>
        <v>#N/A</v>
      </c>
    </row>
    <row r="355" spans="1:19">
      <c r="A355" t="s">
        <v>18258</v>
      </c>
      <c r="I355" s="1" t="str">
        <f t="shared" si="48"/>
        <v/>
      </c>
      <c r="J355" s="1">
        <f t="shared" si="49"/>
        <v>0</v>
      </c>
      <c r="K355" s="1" t="str">
        <f t="shared" si="50"/>
        <v/>
      </c>
      <c r="L355" s="1">
        <f t="shared" si="51"/>
        <v>0</v>
      </c>
      <c r="M355" s="1">
        <f t="shared" si="52"/>
        <v>0</v>
      </c>
      <c r="N355" s="1">
        <f t="shared" si="53"/>
        <v>0</v>
      </c>
      <c r="O355" s="1" t="b">
        <f t="shared" si="54"/>
        <v>0</v>
      </c>
      <c r="P355" s="1" t="e">
        <f>INDEX(G:G,MATCH(G355,G:G,0))</f>
        <v>#N/A</v>
      </c>
      <c r="Q355" s="1" t="e">
        <f t="shared" si="55"/>
        <v>#N/A</v>
      </c>
      <c r="R355" s="1" t="e">
        <f>INDEX('6.0.35'!I:I,MATCH(F355,'6.0.35'!K:K,0))</f>
        <v>#N/A</v>
      </c>
      <c r="S355" s="1" t="e">
        <f>INDEX('6.0.35'!J:J,MATCH(F355,'6.0.35'!F:F,0))</f>
        <v>#N/A</v>
      </c>
    </row>
    <row r="356" spans="1:19">
      <c r="A356" t="s">
        <v>18259</v>
      </c>
      <c r="I356" s="1" t="str">
        <f t="shared" si="48"/>
        <v/>
      </c>
      <c r="J356" s="1">
        <f t="shared" si="49"/>
        <v>0</v>
      </c>
      <c r="K356" s="1" t="str">
        <f t="shared" si="50"/>
        <v/>
      </c>
      <c r="L356" s="1">
        <f t="shared" si="51"/>
        <v>0</v>
      </c>
      <c r="M356" s="1">
        <f t="shared" si="52"/>
        <v>0</v>
      </c>
      <c r="N356" s="1">
        <f t="shared" si="53"/>
        <v>0</v>
      </c>
      <c r="O356" s="1" t="b">
        <f t="shared" si="54"/>
        <v>0</v>
      </c>
      <c r="P356" s="1" t="e">
        <f>INDEX(G:G,MATCH(G356,G:G,0))</f>
        <v>#N/A</v>
      </c>
      <c r="Q356" s="1" t="e">
        <f t="shared" si="55"/>
        <v>#N/A</v>
      </c>
      <c r="R356" s="1" t="e">
        <f>INDEX('6.0.35'!I:I,MATCH(F356,'6.0.35'!K:K,0))</f>
        <v>#N/A</v>
      </c>
      <c r="S356" s="1" t="e">
        <f>INDEX('6.0.35'!J:J,MATCH(F356,'6.0.35'!F:F,0))</f>
        <v>#N/A</v>
      </c>
    </row>
    <row r="357" spans="1:19">
      <c r="A357" t="s">
        <v>18260</v>
      </c>
      <c r="I357" s="1" t="str">
        <f t="shared" si="48"/>
        <v/>
      </c>
      <c r="J357" s="1">
        <f t="shared" si="49"/>
        <v>0</v>
      </c>
      <c r="K357" s="1" t="str">
        <f t="shared" si="50"/>
        <v/>
      </c>
      <c r="L357" s="1">
        <f t="shared" si="51"/>
        <v>0</v>
      </c>
      <c r="M357" s="1">
        <f t="shared" si="52"/>
        <v>0</v>
      </c>
      <c r="N357" s="1">
        <f t="shared" si="53"/>
        <v>0</v>
      </c>
      <c r="O357" s="1" t="b">
        <f t="shared" si="54"/>
        <v>0</v>
      </c>
      <c r="P357" s="1" t="e">
        <f>INDEX(G:G,MATCH(G357,G:G,0))</f>
        <v>#N/A</v>
      </c>
      <c r="Q357" s="1" t="e">
        <f t="shared" si="55"/>
        <v>#N/A</v>
      </c>
      <c r="R357" s="1" t="e">
        <f>INDEX('6.0.35'!I:I,MATCH(F357,'6.0.35'!K:K,0))</f>
        <v>#N/A</v>
      </c>
      <c r="S357" s="1" t="e">
        <f>INDEX('6.0.35'!J:J,MATCH(F357,'6.0.35'!F:F,0))</f>
        <v>#N/A</v>
      </c>
    </row>
    <row r="358" spans="1:19">
      <c r="A358" t="s">
        <v>18261</v>
      </c>
      <c r="I358" s="1" t="str">
        <f t="shared" si="48"/>
        <v/>
      </c>
      <c r="J358" s="1">
        <f t="shared" si="49"/>
        <v>0</v>
      </c>
      <c r="K358" s="1" t="str">
        <f t="shared" si="50"/>
        <v/>
      </c>
      <c r="L358" s="1">
        <f t="shared" si="51"/>
        <v>0</v>
      </c>
      <c r="M358" s="1">
        <f t="shared" si="52"/>
        <v>0</v>
      </c>
      <c r="N358" s="1">
        <f t="shared" si="53"/>
        <v>0</v>
      </c>
      <c r="O358" s="1" t="b">
        <f t="shared" si="54"/>
        <v>0</v>
      </c>
      <c r="P358" s="1" t="e">
        <f>INDEX(G:G,MATCH(G358,G:G,0))</f>
        <v>#N/A</v>
      </c>
      <c r="Q358" s="1" t="e">
        <f t="shared" si="55"/>
        <v>#N/A</v>
      </c>
      <c r="R358" s="1" t="e">
        <f>INDEX('6.0.35'!I:I,MATCH(F358,'6.0.35'!K:K,0))</f>
        <v>#N/A</v>
      </c>
      <c r="S358" s="1" t="e">
        <f>INDEX('6.0.35'!J:J,MATCH(F358,'6.0.35'!F:F,0))</f>
        <v>#N/A</v>
      </c>
    </row>
    <row r="359" spans="1:19">
      <c r="A359" t="s">
        <v>18262</v>
      </c>
      <c r="I359" s="1" t="str">
        <f t="shared" si="48"/>
        <v/>
      </c>
      <c r="J359" s="1">
        <f t="shared" si="49"/>
        <v>0</v>
      </c>
      <c r="K359" s="1" t="str">
        <f t="shared" si="50"/>
        <v/>
      </c>
      <c r="L359" s="1">
        <f t="shared" si="51"/>
        <v>0</v>
      </c>
      <c r="M359" s="1">
        <f t="shared" si="52"/>
        <v>0</v>
      </c>
      <c r="N359" s="1">
        <f t="shared" si="53"/>
        <v>0</v>
      </c>
      <c r="O359" s="1" t="b">
        <f t="shared" si="54"/>
        <v>0</v>
      </c>
      <c r="P359" s="1" t="e">
        <f>INDEX(G:G,MATCH(G359,G:G,0))</f>
        <v>#N/A</v>
      </c>
      <c r="Q359" s="1" t="e">
        <f t="shared" si="55"/>
        <v>#N/A</v>
      </c>
      <c r="R359" s="1" t="e">
        <f>INDEX('6.0.35'!I:I,MATCH(F359,'6.0.35'!K:K,0))</f>
        <v>#N/A</v>
      </c>
      <c r="S359" s="1" t="e">
        <f>INDEX('6.0.35'!J:J,MATCH(F359,'6.0.35'!F:F,0))</f>
        <v>#N/A</v>
      </c>
    </row>
    <row r="360" spans="1:19">
      <c r="A360" t="s">
        <v>18263</v>
      </c>
      <c r="I360" s="1" t="str">
        <f t="shared" si="48"/>
        <v/>
      </c>
      <c r="J360" s="1">
        <f t="shared" si="49"/>
        <v>0</v>
      </c>
      <c r="K360" s="1" t="str">
        <f t="shared" si="50"/>
        <v/>
      </c>
      <c r="L360" s="1">
        <f t="shared" si="51"/>
        <v>0</v>
      </c>
      <c r="M360" s="1">
        <f t="shared" si="52"/>
        <v>0</v>
      </c>
      <c r="N360" s="1">
        <f t="shared" si="53"/>
        <v>0</v>
      </c>
      <c r="O360" s="1" t="b">
        <f t="shared" si="54"/>
        <v>0</v>
      </c>
      <c r="P360" s="1" t="e">
        <f>INDEX(G:G,MATCH(G360,G:G,0))</f>
        <v>#N/A</v>
      </c>
      <c r="Q360" s="1" t="e">
        <f t="shared" si="55"/>
        <v>#N/A</v>
      </c>
      <c r="R360" s="1" t="e">
        <f>INDEX('6.0.35'!I:I,MATCH(F360,'6.0.35'!K:K,0))</f>
        <v>#N/A</v>
      </c>
      <c r="S360" s="1" t="e">
        <f>INDEX('6.0.35'!J:J,MATCH(F360,'6.0.35'!F:F,0))</f>
        <v>#N/A</v>
      </c>
    </row>
    <row r="361" spans="1:19">
      <c r="A361" t="s">
        <v>18264</v>
      </c>
      <c r="I361" s="1" t="str">
        <f t="shared" si="48"/>
        <v/>
      </c>
      <c r="J361" s="1">
        <f t="shared" si="49"/>
        <v>0</v>
      </c>
      <c r="K361" s="1" t="str">
        <f t="shared" si="50"/>
        <v/>
      </c>
      <c r="L361" s="1">
        <f t="shared" si="51"/>
        <v>0</v>
      </c>
      <c r="M361" s="1">
        <f t="shared" si="52"/>
        <v>0</v>
      </c>
      <c r="N361" s="1">
        <f t="shared" si="53"/>
        <v>0</v>
      </c>
      <c r="O361" s="1" t="b">
        <f t="shared" si="54"/>
        <v>0</v>
      </c>
      <c r="P361" s="1" t="e">
        <f>INDEX(G:G,MATCH(G361,G:G,0))</f>
        <v>#N/A</v>
      </c>
      <c r="Q361" s="1" t="e">
        <f t="shared" si="55"/>
        <v>#N/A</v>
      </c>
      <c r="R361" s="1" t="e">
        <f>INDEX('6.0.35'!I:I,MATCH(F361,'6.0.35'!K:K,0))</f>
        <v>#N/A</v>
      </c>
      <c r="S361" s="1" t="e">
        <f>INDEX('6.0.35'!J:J,MATCH(F361,'6.0.35'!F:F,0))</f>
        <v>#N/A</v>
      </c>
    </row>
    <row r="362" spans="1:19">
      <c r="A362" t="s">
        <v>18265</v>
      </c>
      <c r="I362" s="1" t="str">
        <f t="shared" si="48"/>
        <v/>
      </c>
      <c r="J362" s="1">
        <f t="shared" si="49"/>
        <v>0</v>
      </c>
      <c r="K362" s="1" t="str">
        <f t="shared" si="50"/>
        <v/>
      </c>
      <c r="L362" s="1">
        <f t="shared" si="51"/>
        <v>0</v>
      </c>
      <c r="M362" s="1">
        <f t="shared" si="52"/>
        <v>0</v>
      </c>
      <c r="N362" s="1">
        <f t="shared" si="53"/>
        <v>0</v>
      </c>
      <c r="O362" s="1" t="b">
        <f t="shared" si="54"/>
        <v>0</v>
      </c>
      <c r="P362" s="1" t="e">
        <f>INDEX(G:G,MATCH(G362,G:G,0))</f>
        <v>#N/A</v>
      </c>
      <c r="Q362" s="1" t="e">
        <f t="shared" si="55"/>
        <v>#N/A</v>
      </c>
      <c r="R362" s="1" t="e">
        <f>INDEX('6.0.35'!I:I,MATCH(F362,'6.0.35'!K:K,0))</f>
        <v>#N/A</v>
      </c>
      <c r="S362" s="1" t="e">
        <f>INDEX('6.0.35'!J:J,MATCH(F362,'6.0.35'!F:F,0))</f>
        <v>#N/A</v>
      </c>
    </row>
    <row r="363" spans="1:19">
      <c r="A363" t="s">
        <v>18261</v>
      </c>
      <c r="I363" s="1" t="str">
        <f t="shared" si="48"/>
        <v/>
      </c>
      <c r="J363" s="1">
        <f t="shared" si="49"/>
        <v>0</v>
      </c>
      <c r="K363" s="1" t="str">
        <f t="shared" si="50"/>
        <v/>
      </c>
      <c r="L363" s="1">
        <f t="shared" si="51"/>
        <v>0</v>
      </c>
      <c r="M363" s="1">
        <f t="shared" si="52"/>
        <v>0</v>
      </c>
      <c r="N363" s="1">
        <f t="shared" si="53"/>
        <v>0</v>
      </c>
      <c r="O363" s="1" t="b">
        <f t="shared" si="54"/>
        <v>0</v>
      </c>
      <c r="P363" s="1" t="e">
        <f>INDEX(G:G,MATCH(G363,G:G,0))</f>
        <v>#N/A</v>
      </c>
      <c r="Q363" s="1" t="e">
        <f t="shared" si="55"/>
        <v>#N/A</v>
      </c>
      <c r="R363" s="1" t="e">
        <f>INDEX('6.0.35'!I:I,MATCH(F363,'6.0.35'!K:K,0))</f>
        <v>#N/A</v>
      </c>
      <c r="S363" s="1" t="e">
        <f>INDEX('6.0.35'!J:J,MATCH(F363,'6.0.35'!F:F,0))</f>
        <v>#N/A</v>
      </c>
    </row>
    <row r="364" spans="1:19">
      <c r="A364" t="s">
        <v>18262</v>
      </c>
      <c r="I364" s="1" t="str">
        <f t="shared" si="48"/>
        <v/>
      </c>
      <c r="J364" s="1">
        <f t="shared" si="49"/>
        <v>0</v>
      </c>
      <c r="K364" s="1" t="str">
        <f t="shared" si="50"/>
        <v/>
      </c>
      <c r="L364" s="1">
        <f t="shared" si="51"/>
        <v>0</v>
      </c>
      <c r="M364" s="1">
        <f t="shared" si="52"/>
        <v>0</v>
      </c>
      <c r="N364" s="1">
        <f t="shared" si="53"/>
        <v>0</v>
      </c>
      <c r="O364" s="1" t="b">
        <f t="shared" si="54"/>
        <v>0</v>
      </c>
      <c r="P364" s="1" t="e">
        <f>INDEX(G:G,MATCH(G364,G:G,0))</f>
        <v>#N/A</v>
      </c>
      <c r="Q364" s="1" t="e">
        <f t="shared" si="55"/>
        <v>#N/A</v>
      </c>
      <c r="R364" s="1" t="e">
        <f>INDEX('6.0.35'!I:I,MATCH(F364,'6.0.35'!K:K,0))</f>
        <v>#N/A</v>
      </c>
      <c r="S364" s="1" t="e">
        <f>INDEX('6.0.35'!J:J,MATCH(F364,'6.0.35'!F:F,0))</f>
        <v>#N/A</v>
      </c>
    </row>
    <row r="365" spans="1:19">
      <c r="A365" t="s">
        <v>18266</v>
      </c>
      <c r="I365" s="1" t="str">
        <f t="shared" si="48"/>
        <v/>
      </c>
      <c r="J365" s="1">
        <f t="shared" si="49"/>
        <v>0</v>
      </c>
      <c r="K365" s="1" t="str">
        <f t="shared" si="50"/>
        <v/>
      </c>
      <c r="L365" s="1">
        <f t="shared" si="51"/>
        <v>0</v>
      </c>
      <c r="M365" s="1">
        <f t="shared" si="52"/>
        <v>0</v>
      </c>
      <c r="N365" s="1">
        <f t="shared" si="53"/>
        <v>0</v>
      </c>
      <c r="O365" s="1" t="b">
        <f t="shared" si="54"/>
        <v>0</v>
      </c>
      <c r="P365" s="1" t="e">
        <f>INDEX(G:G,MATCH(G365,G:G,0))</f>
        <v>#N/A</v>
      </c>
      <c r="Q365" s="1" t="e">
        <f t="shared" si="55"/>
        <v>#N/A</v>
      </c>
      <c r="R365" s="1" t="e">
        <f>INDEX('6.0.35'!I:I,MATCH(F365,'6.0.35'!K:K,0))</f>
        <v>#N/A</v>
      </c>
      <c r="S365" s="1" t="e">
        <f>INDEX('6.0.35'!J:J,MATCH(F365,'6.0.35'!F:F,0))</f>
        <v>#N/A</v>
      </c>
    </row>
    <row r="366" spans="1:19">
      <c r="A366" t="s">
        <v>18267</v>
      </c>
      <c r="I366" s="1" t="str">
        <f t="shared" si="48"/>
        <v/>
      </c>
      <c r="J366" s="1">
        <f t="shared" si="49"/>
        <v>0</v>
      </c>
      <c r="K366" s="1" t="str">
        <f t="shared" si="50"/>
        <v/>
      </c>
      <c r="L366" s="1">
        <f t="shared" si="51"/>
        <v>0</v>
      </c>
      <c r="M366" s="1">
        <f t="shared" si="52"/>
        <v>0</v>
      </c>
      <c r="N366" s="1">
        <f t="shared" si="53"/>
        <v>0</v>
      </c>
      <c r="O366" s="1" t="b">
        <f t="shared" si="54"/>
        <v>0</v>
      </c>
      <c r="P366" s="1" t="e">
        <f>INDEX(G:G,MATCH(G366,G:G,0))</f>
        <v>#N/A</v>
      </c>
      <c r="Q366" s="1" t="e">
        <f t="shared" si="55"/>
        <v>#N/A</v>
      </c>
      <c r="R366" s="1" t="e">
        <f>INDEX('6.0.35'!I:I,MATCH(F366,'6.0.35'!K:K,0))</f>
        <v>#N/A</v>
      </c>
      <c r="S366" s="1" t="e">
        <f>INDEX('6.0.35'!J:J,MATCH(F366,'6.0.35'!F:F,0))</f>
        <v>#N/A</v>
      </c>
    </row>
    <row r="367" spans="1:19">
      <c r="A367" t="s">
        <v>18268</v>
      </c>
      <c r="I367" s="1" t="str">
        <f t="shared" si="48"/>
        <v/>
      </c>
      <c r="J367" s="1">
        <f t="shared" si="49"/>
        <v>0</v>
      </c>
      <c r="K367" s="1" t="str">
        <f t="shared" si="50"/>
        <v/>
      </c>
      <c r="L367" s="1">
        <f t="shared" si="51"/>
        <v>0</v>
      </c>
      <c r="M367" s="1">
        <f t="shared" si="52"/>
        <v>0</v>
      </c>
      <c r="N367" s="1">
        <f t="shared" si="53"/>
        <v>0</v>
      </c>
      <c r="O367" s="1" t="b">
        <f t="shared" si="54"/>
        <v>0</v>
      </c>
      <c r="P367" s="1" t="e">
        <f>INDEX(G:G,MATCH(G367,G:G,0))</f>
        <v>#N/A</v>
      </c>
      <c r="Q367" s="1" t="e">
        <f t="shared" si="55"/>
        <v>#N/A</v>
      </c>
      <c r="R367" s="1" t="e">
        <f>INDEX('6.0.35'!I:I,MATCH(F367,'6.0.35'!K:K,0))</f>
        <v>#N/A</v>
      </c>
      <c r="S367" s="1" t="e">
        <f>INDEX('6.0.35'!J:J,MATCH(F367,'6.0.35'!F:F,0))</f>
        <v>#N/A</v>
      </c>
    </row>
    <row r="368" spans="1:19">
      <c r="A368" t="s">
        <v>18269</v>
      </c>
      <c r="I368" s="1" t="str">
        <f t="shared" si="48"/>
        <v/>
      </c>
      <c r="J368" s="1">
        <f t="shared" si="49"/>
        <v>0</v>
      </c>
      <c r="K368" s="1" t="str">
        <f t="shared" si="50"/>
        <v/>
      </c>
      <c r="L368" s="1">
        <f t="shared" si="51"/>
        <v>0</v>
      </c>
      <c r="M368" s="1">
        <f t="shared" si="52"/>
        <v>0</v>
      </c>
      <c r="N368" s="1">
        <f t="shared" si="53"/>
        <v>0</v>
      </c>
      <c r="O368" s="1" t="b">
        <f t="shared" si="54"/>
        <v>0</v>
      </c>
      <c r="P368" s="1" t="e">
        <f>INDEX(G:G,MATCH(G368,G:G,0))</f>
        <v>#N/A</v>
      </c>
      <c r="Q368" s="1" t="e">
        <f t="shared" si="55"/>
        <v>#N/A</v>
      </c>
      <c r="R368" s="1" t="e">
        <f>INDEX('6.0.35'!I:I,MATCH(F368,'6.0.35'!K:K,0))</f>
        <v>#N/A</v>
      </c>
      <c r="S368" s="1" t="e">
        <f>INDEX('6.0.35'!J:J,MATCH(F368,'6.0.35'!F:F,0))</f>
        <v>#N/A</v>
      </c>
    </row>
    <row r="369" spans="1:19">
      <c r="A369" t="s">
        <v>18270</v>
      </c>
      <c r="I369" s="1" t="str">
        <f t="shared" si="48"/>
        <v/>
      </c>
      <c r="J369" s="1">
        <f t="shared" si="49"/>
        <v>0</v>
      </c>
      <c r="K369" s="1" t="str">
        <f t="shared" si="50"/>
        <v/>
      </c>
      <c r="L369" s="1">
        <f t="shared" si="51"/>
        <v>0</v>
      </c>
      <c r="M369" s="1">
        <f t="shared" si="52"/>
        <v>0</v>
      </c>
      <c r="N369" s="1">
        <f t="shared" si="53"/>
        <v>0</v>
      </c>
      <c r="O369" s="1" t="b">
        <f t="shared" si="54"/>
        <v>0</v>
      </c>
      <c r="P369" s="1" t="e">
        <f>INDEX(G:G,MATCH(G369,G:G,0))</f>
        <v>#N/A</v>
      </c>
      <c r="Q369" s="1" t="e">
        <f t="shared" si="55"/>
        <v>#N/A</v>
      </c>
      <c r="R369" s="1" t="e">
        <f>INDEX('6.0.35'!I:I,MATCH(F369,'6.0.35'!K:K,0))</f>
        <v>#N/A</v>
      </c>
      <c r="S369" s="1" t="e">
        <f>INDEX('6.0.35'!J:J,MATCH(F369,'6.0.35'!F:F,0))</f>
        <v>#N/A</v>
      </c>
    </row>
    <row r="370" spans="1:19">
      <c r="A370" t="s">
        <v>18271</v>
      </c>
      <c r="I370" s="1" t="str">
        <f t="shared" si="48"/>
        <v/>
      </c>
      <c r="J370" s="1">
        <f t="shared" si="49"/>
        <v>0</v>
      </c>
      <c r="K370" s="1" t="str">
        <f t="shared" si="50"/>
        <v/>
      </c>
      <c r="L370" s="1">
        <f t="shared" si="51"/>
        <v>0</v>
      </c>
      <c r="M370" s="1">
        <f t="shared" si="52"/>
        <v>0</v>
      </c>
      <c r="N370" s="1">
        <f t="shared" si="53"/>
        <v>0</v>
      </c>
      <c r="O370" s="1" t="b">
        <f t="shared" si="54"/>
        <v>0</v>
      </c>
      <c r="P370" s="1" t="e">
        <f>INDEX(G:G,MATCH(G370,G:G,0))</f>
        <v>#N/A</v>
      </c>
      <c r="Q370" s="1" t="e">
        <f t="shared" si="55"/>
        <v>#N/A</v>
      </c>
      <c r="R370" s="1" t="e">
        <f>INDEX('6.0.35'!I:I,MATCH(F370,'6.0.35'!K:K,0))</f>
        <v>#N/A</v>
      </c>
      <c r="S370" s="1" t="e">
        <f>INDEX('6.0.35'!J:J,MATCH(F370,'6.0.35'!F:F,0))</f>
        <v>#N/A</v>
      </c>
    </row>
    <row r="371" spans="1:19">
      <c r="A371" t="s">
        <v>18272</v>
      </c>
      <c r="I371" s="1" t="str">
        <f t="shared" si="48"/>
        <v/>
      </c>
      <c r="J371" s="1">
        <f t="shared" si="49"/>
        <v>0</v>
      </c>
      <c r="K371" s="1" t="str">
        <f t="shared" si="50"/>
        <v/>
      </c>
      <c r="L371" s="1">
        <f t="shared" si="51"/>
        <v>0</v>
      </c>
      <c r="M371" s="1">
        <f t="shared" si="52"/>
        <v>0</v>
      </c>
      <c r="N371" s="1">
        <f t="shared" si="53"/>
        <v>0</v>
      </c>
      <c r="O371" s="1" t="b">
        <f t="shared" si="54"/>
        <v>0</v>
      </c>
      <c r="P371" s="1" t="e">
        <f>INDEX(G:G,MATCH(G371,G:G,0))</f>
        <v>#N/A</v>
      </c>
      <c r="Q371" s="1" t="e">
        <f t="shared" si="55"/>
        <v>#N/A</v>
      </c>
      <c r="R371" s="1" t="e">
        <f>INDEX('6.0.35'!I:I,MATCH(F371,'6.0.35'!K:K,0))</f>
        <v>#N/A</v>
      </c>
      <c r="S371" s="1" t="e">
        <f>INDEX('6.0.35'!J:J,MATCH(F371,'6.0.35'!F:F,0))</f>
        <v>#N/A</v>
      </c>
    </row>
    <row r="372" spans="1:19">
      <c r="A372" t="s">
        <v>18273</v>
      </c>
      <c r="I372" s="1" t="str">
        <f t="shared" si="48"/>
        <v/>
      </c>
      <c r="J372" s="1">
        <f t="shared" si="49"/>
        <v>0</v>
      </c>
      <c r="K372" s="1" t="str">
        <f t="shared" si="50"/>
        <v/>
      </c>
      <c r="L372" s="1">
        <f t="shared" si="51"/>
        <v>0</v>
      </c>
      <c r="M372" s="1">
        <f t="shared" si="52"/>
        <v>0</v>
      </c>
      <c r="N372" s="1">
        <f t="shared" si="53"/>
        <v>0</v>
      </c>
      <c r="O372" s="1" t="b">
        <f t="shared" si="54"/>
        <v>0</v>
      </c>
      <c r="P372" s="1" t="e">
        <f>INDEX(G:G,MATCH(G372,G:G,0))</f>
        <v>#N/A</v>
      </c>
      <c r="Q372" s="1" t="e">
        <f t="shared" si="55"/>
        <v>#N/A</v>
      </c>
      <c r="R372" s="1" t="e">
        <f>INDEX('6.0.35'!I:I,MATCH(F372,'6.0.35'!K:K,0))</f>
        <v>#N/A</v>
      </c>
      <c r="S372" s="1" t="e">
        <f>INDEX('6.0.35'!J:J,MATCH(F372,'6.0.35'!F:F,0))</f>
        <v>#N/A</v>
      </c>
    </row>
    <row r="373" spans="1:19">
      <c r="A373" t="s">
        <v>18274</v>
      </c>
      <c r="I373" s="1" t="str">
        <f t="shared" si="48"/>
        <v/>
      </c>
      <c r="J373" s="1">
        <f t="shared" si="49"/>
        <v>0</v>
      </c>
      <c r="K373" s="1" t="str">
        <f t="shared" si="50"/>
        <v/>
      </c>
      <c r="L373" s="1">
        <f t="shared" si="51"/>
        <v>0</v>
      </c>
      <c r="M373" s="1">
        <f t="shared" si="52"/>
        <v>0</v>
      </c>
      <c r="N373" s="1">
        <f t="shared" si="53"/>
        <v>0</v>
      </c>
      <c r="O373" s="1" t="b">
        <f t="shared" si="54"/>
        <v>0</v>
      </c>
      <c r="P373" s="1" t="e">
        <f>INDEX(G:G,MATCH(G373,G:G,0))</f>
        <v>#N/A</v>
      </c>
      <c r="Q373" s="1" t="e">
        <f t="shared" si="55"/>
        <v>#N/A</v>
      </c>
      <c r="R373" s="1" t="e">
        <f>INDEX('6.0.35'!I:I,MATCH(F373,'6.0.35'!K:K,0))</f>
        <v>#N/A</v>
      </c>
      <c r="S373" s="1" t="e">
        <f>INDEX('6.0.35'!J:J,MATCH(F373,'6.0.35'!F:F,0))</f>
        <v>#N/A</v>
      </c>
    </row>
    <row r="374" spans="1:19">
      <c r="A374" t="s">
        <v>18275</v>
      </c>
      <c r="I374" s="1" t="str">
        <f t="shared" si="48"/>
        <v/>
      </c>
      <c r="J374" s="1">
        <f t="shared" si="49"/>
        <v>0</v>
      </c>
      <c r="K374" s="1" t="str">
        <f t="shared" si="50"/>
        <v/>
      </c>
      <c r="L374" s="1">
        <f t="shared" si="51"/>
        <v>0</v>
      </c>
      <c r="M374" s="1">
        <f t="shared" si="52"/>
        <v>0</v>
      </c>
      <c r="N374" s="1">
        <f t="shared" si="53"/>
        <v>0</v>
      </c>
      <c r="O374" s="1" t="b">
        <f t="shared" si="54"/>
        <v>0</v>
      </c>
      <c r="P374" s="1" t="e">
        <f>INDEX(G:G,MATCH(G374,G:G,0))</f>
        <v>#N/A</v>
      </c>
      <c r="Q374" s="1" t="e">
        <f t="shared" si="55"/>
        <v>#N/A</v>
      </c>
      <c r="R374" s="1" t="e">
        <f>INDEX('6.0.35'!I:I,MATCH(F374,'6.0.35'!K:K,0))</f>
        <v>#N/A</v>
      </c>
      <c r="S374" s="1" t="e">
        <f>INDEX('6.0.35'!J:J,MATCH(F374,'6.0.35'!F:F,0))</f>
        <v>#N/A</v>
      </c>
    </row>
    <row r="375" spans="1:19">
      <c r="A375" t="s">
        <v>18276</v>
      </c>
      <c r="I375" s="1" t="str">
        <f t="shared" si="48"/>
        <v/>
      </c>
      <c r="J375" s="1">
        <f t="shared" si="49"/>
        <v>0</v>
      </c>
      <c r="K375" s="1" t="str">
        <f t="shared" si="50"/>
        <v/>
      </c>
      <c r="L375" s="1">
        <f t="shared" si="51"/>
        <v>0</v>
      </c>
      <c r="M375" s="1">
        <f t="shared" si="52"/>
        <v>0</v>
      </c>
      <c r="N375" s="1">
        <f t="shared" si="53"/>
        <v>0</v>
      </c>
      <c r="O375" s="1" t="b">
        <f t="shared" si="54"/>
        <v>0</v>
      </c>
      <c r="P375" s="1" t="e">
        <f>INDEX(G:G,MATCH(G375,G:G,0))</f>
        <v>#N/A</v>
      </c>
      <c r="Q375" s="1" t="e">
        <f t="shared" si="55"/>
        <v>#N/A</v>
      </c>
      <c r="R375" s="1" t="e">
        <f>INDEX('6.0.35'!I:I,MATCH(F375,'6.0.35'!K:K,0))</f>
        <v>#N/A</v>
      </c>
      <c r="S375" s="1" t="e">
        <f>INDEX('6.0.35'!J:J,MATCH(F375,'6.0.35'!F:F,0))</f>
        <v>#N/A</v>
      </c>
    </row>
    <row r="376" spans="1:19">
      <c r="A376" t="s">
        <v>18277</v>
      </c>
      <c r="I376" s="1" t="str">
        <f t="shared" si="48"/>
        <v/>
      </c>
      <c r="J376" s="1">
        <f t="shared" si="49"/>
        <v>0</v>
      </c>
      <c r="K376" s="1" t="str">
        <f t="shared" si="50"/>
        <v/>
      </c>
      <c r="L376" s="1">
        <f t="shared" si="51"/>
        <v>0</v>
      </c>
      <c r="M376" s="1">
        <f t="shared" si="52"/>
        <v>0</v>
      </c>
      <c r="N376" s="1">
        <f t="shared" si="53"/>
        <v>0</v>
      </c>
      <c r="O376" s="1" t="b">
        <f t="shared" si="54"/>
        <v>0</v>
      </c>
      <c r="P376" s="1" t="e">
        <f>INDEX(G:G,MATCH(G376,G:G,0))</f>
        <v>#N/A</v>
      </c>
      <c r="Q376" s="1" t="e">
        <f t="shared" si="55"/>
        <v>#N/A</v>
      </c>
      <c r="R376" s="1" t="e">
        <f>INDEX('6.0.35'!I:I,MATCH(F376,'6.0.35'!K:K,0))</f>
        <v>#N/A</v>
      </c>
      <c r="S376" s="1" t="e">
        <f>INDEX('6.0.35'!J:J,MATCH(F376,'6.0.35'!F:F,0))</f>
        <v>#N/A</v>
      </c>
    </row>
    <row r="377" spans="1:19">
      <c r="A377" t="s">
        <v>18273</v>
      </c>
      <c r="I377" s="1" t="str">
        <f t="shared" si="48"/>
        <v/>
      </c>
      <c r="J377" s="1">
        <f t="shared" si="49"/>
        <v>0</v>
      </c>
      <c r="K377" s="1" t="str">
        <f t="shared" si="50"/>
        <v/>
      </c>
      <c r="L377" s="1">
        <f t="shared" si="51"/>
        <v>0</v>
      </c>
      <c r="M377" s="1">
        <f t="shared" si="52"/>
        <v>0</v>
      </c>
      <c r="N377" s="1">
        <f t="shared" si="53"/>
        <v>0</v>
      </c>
      <c r="O377" s="1" t="b">
        <f t="shared" si="54"/>
        <v>0</v>
      </c>
      <c r="P377" s="1" t="e">
        <f>INDEX(G:G,MATCH(G377,G:G,0))</f>
        <v>#N/A</v>
      </c>
      <c r="Q377" s="1" t="e">
        <f t="shared" si="55"/>
        <v>#N/A</v>
      </c>
      <c r="R377" s="1" t="e">
        <f>INDEX('6.0.35'!I:I,MATCH(F377,'6.0.35'!K:K,0))</f>
        <v>#N/A</v>
      </c>
      <c r="S377" s="1" t="e">
        <f>INDEX('6.0.35'!J:J,MATCH(F377,'6.0.35'!F:F,0))</f>
        <v>#N/A</v>
      </c>
    </row>
    <row r="378" spans="1:19">
      <c r="A378" t="s">
        <v>18274</v>
      </c>
      <c r="I378" s="1" t="str">
        <f t="shared" ref="I378:I441" si="56">IFERROR(IF(OR(MID(G378,FIND(":",G378)-1,1)="""",MID(G378,FIND(":",G378)-1,1)="}",MID(G378,FIND(":",G378)-1,1)=")",MID(G378,FIND(":",G378)-1,1)="]"),"",RIGHT(G378,LEN(G378)-FIND(":",G378)-1)),"")</f>
        <v/>
      </c>
      <c r="J378" s="1">
        <f t="shared" ref="J378:J441" si="57">IF(AND(I378="",H378=""),G378,IF(H378="",I378,H378&amp;": "&amp;I378))</f>
        <v>0</v>
      </c>
      <c r="K378" s="1" t="str">
        <f t="shared" ref="K378:K441" si="58">IFERROR(IF(OR(MID(F378,FIND(":",F378)-1,1)="""",MID(F378,FIND(":",F378)-1,1)="}",MID(F378,FIND(":",F378)-1,1)=")",MID(F378,FIND(":",F378)-1,1)="]"),"",RIGHT(F378,LEN(F378)-FIND(":",F378)-1)),"")</f>
        <v/>
      </c>
      <c r="L378" s="1">
        <f t="shared" ref="L378:L441" si="59">LEN(F378)-LEN(SUBSTITUTE(F378,":",""))</f>
        <v>0</v>
      </c>
      <c r="M378" s="1">
        <f t="shared" ref="M378:M441" si="60">LEN(G378)-LEN(SUBSTITUTE(G378,":",""))</f>
        <v>0</v>
      </c>
      <c r="N378" s="1">
        <f t="shared" ref="N378:N441" si="61">LEN(G378)-LEN(SUBSTITUTE(G378,"：",""))</f>
        <v>0</v>
      </c>
      <c r="O378" s="1" t="b">
        <f t="shared" ref="O378:O441" si="62">IF(M378&gt;=2,MID(G378,FIND(":",G378)+1,LEN(G378)))</f>
        <v>0</v>
      </c>
      <c r="P378" s="1" t="e">
        <f>INDEX(G:G,MATCH(G378,G:G,0))</f>
        <v>#N/A</v>
      </c>
      <c r="Q378" s="1" t="e">
        <f t="shared" ref="Q378:Q441" si="63">IF(P378&lt;&gt;G378,"校验","")</f>
        <v>#N/A</v>
      </c>
      <c r="R378" s="1" t="e">
        <f>INDEX('6.0.35'!I:I,MATCH(F378,'6.0.35'!K:K,0))</f>
        <v>#N/A</v>
      </c>
      <c r="S378" s="1" t="e">
        <f>INDEX('6.0.35'!J:J,MATCH(F378,'6.0.35'!F:F,0))</f>
        <v>#N/A</v>
      </c>
    </row>
    <row r="379" spans="1:19">
      <c r="A379" t="s">
        <v>18278</v>
      </c>
      <c r="I379" s="1" t="str">
        <f t="shared" si="56"/>
        <v/>
      </c>
      <c r="J379" s="1">
        <f t="shared" si="57"/>
        <v>0</v>
      </c>
      <c r="K379" s="1" t="str">
        <f t="shared" si="58"/>
        <v/>
      </c>
      <c r="L379" s="1">
        <f t="shared" si="59"/>
        <v>0</v>
      </c>
      <c r="M379" s="1">
        <f t="shared" si="60"/>
        <v>0</v>
      </c>
      <c r="N379" s="1">
        <f t="shared" si="61"/>
        <v>0</v>
      </c>
      <c r="O379" s="1" t="b">
        <f t="shared" si="62"/>
        <v>0</v>
      </c>
      <c r="P379" s="1" t="e">
        <f>INDEX(G:G,MATCH(G379,G:G,0))</f>
        <v>#N/A</v>
      </c>
      <c r="Q379" s="1" t="e">
        <f t="shared" si="63"/>
        <v>#N/A</v>
      </c>
      <c r="R379" s="1" t="e">
        <f>INDEX('6.0.35'!I:I,MATCH(F379,'6.0.35'!K:K,0))</f>
        <v>#N/A</v>
      </c>
      <c r="S379" s="1" t="e">
        <f>INDEX('6.0.35'!J:J,MATCH(F379,'6.0.35'!F:F,0))</f>
        <v>#N/A</v>
      </c>
    </row>
    <row r="380" spans="1:19">
      <c r="A380" t="s">
        <v>18279</v>
      </c>
      <c r="I380" s="1" t="str">
        <f t="shared" si="56"/>
        <v/>
      </c>
      <c r="J380" s="1">
        <f t="shared" si="57"/>
        <v>0</v>
      </c>
      <c r="K380" s="1" t="str">
        <f t="shared" si="58"/>
        <v/>
      </c>
      <c r="L380" s="1">
        <f t="shared" si="59"/>
        <v>0</v>
      </c>
      <c r="M380" s="1">
        <f t="shared" si="60"/>
        <v>0</v>
      </c>
      <c r="N380" s="1">
        <f t="shared" si="61"/>
        <v>0</v>
      </c>
      <c r="O380" s="1" t="b">
        <f t="shared" si="62"/>
        <v>0</v>
      </c>
      <c r="P380" s="1" t="e">
        <f>INDEX(G:G,MATCH(G380,G:G,0))</f>
        <v>#N/A</v>
      </c>
      <c r="Q380" s="1" t="e">
        <f t="shared" si="63"/>
        <v>#N/A</v>
      </c>
      <c r="R380" s="1" t="e">
        <f>INDEX('6.0.35'!I:I,MATCH(F380,'6.0.35'!K:K,0))</f>
        <v>#N/A</v>
      </c>
      <c r="S380" s="1" t="e">
        <f>INDEX('6.0.35'!J:J,MATCH(F380,'6.0.35'!F:F,0))</f>
        <v>#N/A</v>
      </c>
    </row>
    <row r="381" spans="1:19">
      <c r="A381" t="s">
        <v>18280</v>
      </c>
      <c r="I381" s="1" t="str">
        <f t="shared" si="56"/>
        <v/>
      </c>
      <c r="J381" s="1">
        <f t="shared" si="57"/>
        <v>0</v>
      </c>
      <c r="K381" s="1" t="str">
        <f t="shared" si="58"/>
        <v/>
      </c>
      <c r="L381" s="1">
        <f t="shared" si="59"/>
        <v>0</v>
      </c>
      <c r="M381" s="1">
        <f t="shared" si="60"/>
        <v>0</v>
      </c>
      <c r="N381" s="1">
        <f t="shared" si="61"/>
        <v>0</v>
      </c>
      <c r="O381" s="1" t="b">
        <f t="shared" si="62"/>
        <v>0</v>
      </c>
      <c r="P381" s="1" t="e">
        <f>INDEX(G:G,MATCH(G381,G:G,0))</f>
        <v>#N/A</v>
      </c>
      <c r="Q381" s="1" t="e">
        <f t="shared" si="63"/>
        <v>#N/A</v>
      </c>
      <c r="R381" s="1" t="e">
        <f>INDEX('6.0.35'!I:I,MATCH(F381,'6.0.35'!K:K,0))</f>
        <v>#N/A</v>
      </c>
      <c r="S381" s="1" t="e">
        <f>INDEX('6.0.35'!J:J,MATCH(F381,'6.0.35'!F:F,0))</f>
        <v>#N/A</v>
      </c>
    </row>
    <row r="382" spans="1:19">
      <c r="A382" t="s">
        <v>18281</v>
      </c>
      <c r="I382" s="1" t="str">
        <f t="shared" si="56"/>
        <v/>
      </c>
      <c r="J382" s="1">
        <f t="shared" si="57"/>
        <v>0</v>
      </c>
      <c r="K382" s="1" t="str">
        <f t="shared" si="58"/>
        <v/>
      </c>
      <c r="L382" s="1">
        <f t="shared" si="59"/>
        <v>0</v>
      </c>
      <c r="M382" s="1">
        <f t="shared" si="60"/>
        <v>0</v>
      </c>
      <c r="N382" s="1">
        <f t="shared" si="61"/>
        <v>0</v>
      </c>
      <c r="O382" s="1" t="b">
        <f t="shared" si="62"/>
        <v>0</v>
      </c>
      <c r="P382" s="1" t="e">
        <f>INDEX(G:G,MATCH(G382,G:G,0))</f>
        <v>#N/A</v>
      </c>
      <c r="Q382" s="1" t="e">
        <f t="shared" si="63"/>
        <v>#N/A</v>
      </c>
      <c r="R382" s="1" t="e">
        <f>INDEX('6.0.35'!I:I,MATCH(F382,'6.0.35'!K:K,0))</f>
        <v>#N/A</v>
      </c>
      <c r="S382" s="1" t="e">
        <f>INDEX('6.0.35'!J:J,MATCH(F382,'6.0.35'!F:F,0))</f>
        <v>#N/A</v>
      </c>
    </row>
    <row r="383" spans="1:19">
      <c r="A383" t="s">
        <v>18282</v>
      </c>
      <c r="I383" s="1" t="str">
        <f t="shared" si="56"/>
        <v/>
      </c>
      <c r="J383" s="1">
        <f t="shared" si="57"/>
        <v>0</v>
      </c>
      <c r="K383" s="1" t="str">
        <f t="shared" si="58"/>
        <v/>
      </c>
      <c r="L383" s="1">
        <f t="shared" si="59"/>
        <v>0</v>
      </c>
      <c r="M383" s="1">
        <f t="shared" si="60"/>
        <v>0</v>
      </c>
      <c r="N383" s="1">
        <f t="shared" si="61"/>
        <v>0</v>
      </c>
      <c r="O383" s="1" t="b">
        <f t="shared" si="62"/>
        <v>0</v>
      </c>
      <c r="P383" s="1" t="e">
        <f>INDEX(G:G,MATCH(G383,G:G,0))</f>
        <v>#N/A</v>
      </c>
      <c r="Q383" s="1" t="e">
        <f t="shared" si="63"/>
        <v>#N/A</v>
      </c>
      <c r="R383" s="1" t="e">
        <f>INDEX('6.0.35'!I:I,MATCH(F383,'6.0.35'!K:K,0))</f>
        <v>#N/A</v>
      </c>
      <c r="S383" s="1" t="e">
        <f>INDEX('6.0.35'!J:J,MATCH(F383,'6.0.35'!F:F,0))</f>
        <v>#N/A</v>
      </c>
    </row>
    <row r="384" spans="1:19">
      <c r="A384" t="s">
        <v>18283</v>
      </c>
      <c r="I384" s="1" t="str">
        <f t="shared" si="56"/>
        <v/>
      </c>
      <c r="J384" s="1">
        <f t="shared" si="57"/>
        <v>0</v>
      </c>
      <c r="K384" s="1" t="str">
        <f t="shared" si="58"/>
        <v/>
      </c>
      <c r="L384" s="1">
        <f t="shared" si="59"/>
        <v>0</v>
      </c>
      <c r="M384" s="1">
        <f t="shared" si="60"/>
        <v>0</v>
      </c>
      <c r="N384" s="1">
        <f t="shared" si="61"/>
        <v>0</v>
      </c>
      <c r="O384" s="1" t="b">
        <f t="shared" si="62"/>
        <v>0</v>
      </c>
      <c r="P384" s="1" t="e">
        <f>INDEX(G:G,MATCH(G384,G:G,0))</f>
        <v>#N/A</v>
      </c>
      <c r="Q384" s="1" t="e">
        <f t="shared" si="63"/>
        <v>#N/A</v>
      </c>
      <c r="R384" s="1" t="e">
        <f>INDEX('6.0.35'!I:I,MATCH(F384,'6.0.35'!K:K,0))</f>
        <v>#N/A</v>
      </c>
      <c r="S384" s="1" t="e">
        <f>INDEX('6.0.35'!J:J,MATCH(F384,'6.0.35'!F:F,0))</f>
        <v>#N/A</v>
      </c>
    </row>
    <row r="385" spans="1:19">
      <c r="A385" t="s">
        <v>18284</v>
      </c>
      <c r="I385" s="1" t="str">
        <f t="shared" si="56"/>
        <v/>
      </c>
      <c r="J385" s="1">
        <f t="shared" si="57"/>
        <v>0</v>
      </c>
      <c r="K385" s="1" t="str">
        <f t="shared" si="58"/>
        <v/>
      </c>
      <c r="L385" s="1">
        <f t="shared" si="59"/>
        <v>0</v>
      </c>
      <c r="M385" s="1">
        <f t="shared" si="60"/>
        <v>0</v>
      </c>
      <c r="N385" s="1">
        <f t="shared" si="61"/>
        <v>0</v>
      </c>
      <c r="O385" s="1" t="b">
        <f t="shared" si="62"/>
        <v>0</v>
      </c>
      <c r="P385" s="1" t="e">
        <f>INDEX(G:G,MATCH(G385,G:G,0))</f>
        <v>#N/A</v>
      </c>
      <c r="Q385" s="1" t="e">
        <f t="shared" si="63"/>
        <v>#N/A</v>
      </c>
      <c r="R385" s="1" t="e">
        <f>INDEX('6.0.35'!I:I,MATCH(F385,'6.0.35'!K:K,0))</f>
        <v>#N/A</v>
      </c>
      <c r="S385" s="1" t="e">
        <f>INDEX('6.0.35'!J:J,MATCH(F385,'6.0.35'!F:F,0))</f>
        <v>#N/A</v>
      </c>
    </row>
    <row r="386" spans="1:19">
      <c r="A386" t="s">
        <v>18285</v>
      </c>
      <c r="I386" s="1" t="str">
        <f t="shared" si="56"/>
        <v/>
      </c>
      <c r="J386" s="1">
        <f t="shared" si="57"/>
        <v>0</v>
      </c>
      <c r="K386" s="1" t="str">
        <f t="shared" si="58"/>
        <v/>
      </c>
      <c r="L386" s="1">
        <f t="shared" si="59"/>
        <v>0</v>
      </c>
      <c r="M386" s="1">
        <f t="shared" si="60"/>
        <v>0</v>
      </c>
      <c r="N386" s="1">
        <f t="shared" si="61"/>
        <v>0</v>
      </c>
      <c r="O386" s="1" t="b">
        <f t="shared" si="62"/>
        <v>0</v>
      </c>
      <c r="P386" s="1" t="e">
        <f>INDEX(G:G,MATCH(G386,G:G,0))</f>
        <v>#N/A</v>
      </c>
      <c r="Q386" s="1" t="e">
        <f t="shared" si="63"/>
        <v>#N/A</v>
      </c>
      <c r="R386" s="1" t="e">
        <f>INDEX('6.0.35'!I:I,MATCH(F386,'6.0.35'!K:K,0))</f>
        <v>#N/A</v>
      </c>
      <c r="S386" s="1" t="e">
        <f>INDEX('6.0.35'!J:J,MATCH(F386,'6.0.35'!F:F,0))</f>
        <v>#N/A</v>
      </c>
    </row>
    <row r="387" spans="1:19">
      <c r="A387" t="s">
        <v>18286</v>
      </c>
      <c r="I387" s="1" t="str">
        <f t="shared" si="56"/>
        <v/>
      </c>
      <c r="J387" s="1">
        <f t="shared" si="57"/>
        <v>0</v>
      </c>
      <c r="K387" s="1" t="str">
        <f t="shared" si="58"/>
        <v/>
      </c>
      <c r="L387" s="1">
        <f t="shared" si="59"/>
        <v>0</v>
      </c>
      <c r="M387" s="1">
        <f t="shared" si="60"/>
        <v>0</v>
      </c>
      <c r="N387" s="1">
        <f t="shared" si="61"/>
        <v>0</v>
      </c>
      <c r="O387" s="1" t="b">
        <f t="shared" si="62"/>
        <v>0</v>
      </c>
      <c r="P387" s="1" t="e">
        <f>INDEX(G:G,MATCH(G387,G:G,0))</f>
        <v>#N/A</v>
      </c>
      <c r="Q387" s="1" t="e">
        <f t="shared" si="63"/>
        <v>#N/A</v>
      </c>
      <c r="R387" s="1" t="e">
        <f>INDEX('6.0.35'!I:I,MATCH(F387,'6.0.35'!K:K,0))</f>
        <v>#N/A</v>
      </c>
      <c r="S387" s="1" t="e">
        <f>INDEX('6.0.35'!J:J,MATCH(F387,'6.0.35'!F:F,0))</f>
        <v>#N/A</v>
      </c>
    </row>
    <row r="388" spans="1:19">
      <c r="A388" t="s">
        <v>18287</v>
      </c>
      <c r="I388" s="1" t="str">
        <f t="shared" si="56"/>
        <v/>
      </c>
      <c r="J388" s="1">
        <f t="shared" si="57"/>
        <v>0</v>
      </c>
      <c r="K388" s="1" t="str">
        <f t="shared" si="58"/>
        <v/>
      </c>
      <c r="L388" s="1">
        <f t="shared" si="59"/>
        <v>0</v>
      </c>
      <c r="M388" s="1">
        <f t="shared" si="60"/>
        <v>0</v>
      </c>
      <c r="N388" s="1">
        <f t="shared" si="61"/>
        <v>0</v>
      </c>
      <c r="O388" s="1" t="b">
        <f t="shared" si="62"/>
        <v>0</v>
      </c>
      <c r="P388" s="1" t="e">
        <f>INDEX(G:G,MATCH(G388,G:G,0))</f>
        <v>#N/A</v>
      </c>
      <c r="Q388" s="1" t="e">
        <f t="shared" si="63"/>
        <v>#N/A</v>
      </c>
      <c r="R388" s="1" t="e">
        <f>INDEX('6.0.35'!I:I,MATCH(F388,'6.0.35'!K:K,0))</f>
        <v>#N/A</v>
      </c>
      <c r="S388" s="1" t="e">
        <f>INDEX('6.0.35'!J:J,MATCH(F388,'6.0.35'!F:F,0))</f>
        <v>#N/A</v>
      </c>
    </row>
    <row r="389" spans="1:19">
      <c r="A389" t="s">
        <v>18288</v>
      </c>
      <c r="I389" s="1" t="str">
        <f t="shared" si="56"/>
        <v/>
      </c>
      <c r="J389" s="1">
        <f t="shared" si="57"/>
        <v>0</v>
      </c>
      <c r="K389" s="1" t="str">
        <f t="shared" si="58"/>
        <v/>
      </c>
      <c r="L389" s="1">
        <f t="shared" si="59"/>
        <v>0</v>
      </c>
      <c r="M389" s="1">
        <f t="shared" si="60"/>
        <v>0</v>
      </c>
      <c r="N389" s="1">
        <f t="shared" si="61"/>
        <v>0</v>
      </c>
      <c r="O389" s="1" t="b">
        <f t="shared" si="62"/>
        <v>0</v>
      </c>
      <c r="P389" s="1" t="e">
        <f>INDEX(G:G,MATCH(G389,G:G,0))</f>
        <v>#N/A</v>
      </c>
      <c r="Q389" s="1" t="e">
        <f t="shared" si="63"/>
        <v>#N/A</v>
      </c>
      <c r="R389" s="1" t="e">
        <f>INDEX('6.0.35'!I:I,MATCH(F389,'6.0.35'!K:K,0))</f>
        <v>#N/A</v>
      </c>
      <c r="S389" s="1" t="e">
        <f>INDEX('6.0.35'!J:J,MATCH(F389,'6.0.35'!F:F,0))</f>
        <v>#N/A</v>
      </c>
    </row>
    <row r="390" spans="1:19">
      <c r="A390" t="s">
        <v>18289</v>
      </c>
      <c r="I390" s="1" t="str">
        <f t="shared" si="56"/>
        <v/>
      </c>
      <c r="J390" s="1">
        <f t="shared" si="57"/>
        <v>0</v>
      </c>
      <c r="K390" s="1" t="str">
        <f t="shared" si="58"/>
        <v/>
      </c>
      <c r="L390" s="1">
        <f t="shared" si="59"/>
        <v>0</v>
      </c>
      <c r="M390" s="1">
        <f t="shared" si="60"/>
        <v>0</v>
      </c>
      <c r="N390" s="1">
        <f t="shared" si="61"/>
        <v>0</v>
      </c>
      <c r="O390" s="1" t="b">
        <f t="shared" si="62"/>
        <v>0</v>
      </c>
      <c r="P390" s="1" t="e">
        <f>INDEX(G:G,MATCH(G390,G:G,0))</f>
        <v>#N/A</v>
      </c>
      <c r="Q390" s="1" t="e">
        <f t="shared" si="63"/>
        <v>#N/A</v>
      </c>
      <c r="R390" s="1" t="e">
        <f>INDEX('6.0.35'!I:I,MATCH(F390,'6.0.35'!K:K,0))</f>
        <v>#N/A</v>
      </c>
      <c r="S390" s="1" t="e">
        <f>INDEX('6.0.35'!J:J,MATCH(F390,'6.0.35'!F:F,0))</f>
        <v>#N/A</v>
      </c>
    </row>
    <row r="391" spans="1:19">
      <c r="A391" t="s">
        <v>18285</v>
      </c>
      <c r="I391" s="1" t="str">
        <f t="shared" si="56"/>
        <v/>
      </c>
      <c r="J391" s="1">
        <f t="shared" si="57"/>
        <v>0</v>
      </c>
      <c r="K391" s="1" t="str">
        <f t="shared" si="58"/>
        <v/>
      </c>
      <c r="L391" s="1">
        <f t="shared" si="59"/>
        <v>0</v>
      </c>
      <c r="M391" s="1">
        <f t="shared" si="60"/>
        <v>0</v>
      </c>
      <c r="N391" s="1">
        <f t="shared" si="61"/>
        <v>0</v>
      </c>
      <c r="O391" s="1" t="b">
        <f t="shared" si="62"/>
        <v>0</v>
      </c>
      <c r="P391" s="1" t="e">
        <f>INDEX(G:G,MATCH(G391,G:G,0))</f>
        <v>#N/A</v>
      </c>
      <c r="Q391" s="1" t="e">
        <f t="shared" si="63"/>
        <v>#N/A</v>
      </c>
      <c r="R391" s="1" t="e">
        <f>INDEX('6.0.35'!I:I,MATCH(F391,'6.0.35'!K:K,0))</f>
        <v>#N/A</v>
      </c>
      <c r="S391" s="1" t="e">
        <f>INDEX('6.0.35'!J:J,MATCH(F391,'6.0.35'!F:F,0))</f>
        <v>#N/A</v>
      </c>
    </row>
    <row r="392" spans="1:19">
      <c r="A392" t="s">
        <v>18286</v>
      </c>
      <c r="I392" s="1" t="str">
        <f t="shared" si="56"/>
        <v/>
      </c>
      <c r="J392" s="1">
        <f t="shared" si="57"/>
        <v>0</v>
      </c>
      <c r="K392" s="1" t="str">
        <f t="shared" si="58"/>
        <v/>
      </c>
      <c r="L392" s="1">
        <f t="shared" si="59"/>
        <v>0</v>
      </c>
      <c r="M392" s="1">
        <f t="shared" si="60"/>
        <v>0</v>
      </c>
      <c r="N392" s="1">
        <f t="shared" si="61"/>
        <v>0</v>
      </c>
      <c r="O392" s="1" t="b">
        <f t="shared" si="62"/>
        <v>0</v>
      </c>
      <c r="P392" s="1" t="e">
        <f>INDEX(G:G,MATCH(G392,G:G,0))</f>
        <v>#N/A</v>
      </c>
      <c r="Q392" s="1" t="e">
        <f t="shared" si="63"/>
        <v>#N/A</v>
      </c>
      <c r="R392" s="1" t="e">
        <f>INDEX('6.0.35'!I:I,MATCH(F392,'6.0.35'!K:K,0))</f>
        <v>#N/A</v>
      </c>
      <c r="S392" s="1" t="e">
        <f>INDEX('6.0.35'!J:J,MATCH(F392,'6.0.35'!F:F,0))</f>
        <v>#N/A</v>
      </c>
    </row>
    <row r="393" spans="1:19">
      <c r="A393" t="s">
        <v>18290</v>
      </c>
      <c r="I393" s="1" t="str">
        <f t="shared" si="56"/>
        <v/>
      </c>
      <c r="J393" s="1">
        <f t="shared" si="57"/>
        <v>0</v>
      </c>
      <c r="K393" s="1" t="str">
        <f t="shared" si="58"/>
        <v/>
      </c>
      <c r="L393" s="1">
        <f t="shared" si="59"/>
        <v>0</v>
      </c>
      <c r="M393" s="1">
        <f t="shared" si="60"/>
        <v>0</v>
      </c>
      <c r="N393" s="1">
        <f t="shared" si="61"/>
        <v>0</v>
      </c>
      <c r="O393" s="1" t="b">
        <f t="shared" si="62"/>
        <v>0</v>
      </c>
      <c r="P393" s="1" t="e">
        <f>INDEX(G:G,MATCH(G393,G:G,0))</f>
        <v>#N/A</v>
      </c>
      <c r="Q393" s="1" t="e">
        <f t="shared" si="63"/>
        <v>#N/A</v>
      </c>
      <c r="R393" s="1" t="e">
        <f>INDEX('6.0.35'!I:I,MATCH(F393,'6.0.35'!K:K,0))</f>
        <v>#N/A</v>
      </c>
      <c r="S393" s="1" t="e">
        <f>INDEX('6.0.35'!J:J,MATCH(F393,'6.0.35'!F:F,0))</f>
        <v>#N/A</v>
      </c>
    </row>
    <row r="394" spans="1:19">
      <c r="A394" t="s">
        <v>18291</v>
      </c>
      <c r="I394" s="1" t="str">
        <f t="shared" si="56"/>
        <v/>
      </c>
      <c r="J394" s="1">
        <f t="shared" si="57"/>
        <v>0</v>
      </c>
      <c r="K394" s="1" t="str">
        <f t="shared" si="58"/>
        <v/>
      </c>
      <c r="L394" s="1">
        <f t="shared" si="59"/>
        <v>0</v>
      </c>
      <c r="M394" s="1">
        <f t="shared" si="60"/>
        <v>0</v>
      </c>
      <c r="N394" s="1">
        <f t="shared" si="61"/>
        <v>0</v>
      </c>
      <c r="O394" s="1" t="b">
        <f t="shared" si="62"/>
        <v>0</v>
      </c>
      <c r="P394" s="1" t="e">
        <f>INDEX(G:G,MATCH(G394,G:G,0))</f>
        <v>#N/A</v>
      </c>
      <c r="Q394" s="1" t="e">
        <f t="shared" si="63"/>
        <v>#N/A</v>
      </c>
      <c r="R394" s="1" t="e">
        <f>INDEX('6.0.35'!I:I,MATCH(F394,'6.0.35'!K:K,0))</f>
        <v>#N/A</v>
      </c>
      <c r="S394" s="1" t="e">
        <f>INDEX('6.0.35'!J:J,MATCH(F394,'6.0.35'!F:F,0))</f>
        <v>#N/A</v>
      </c>
    </row>
    <row r="395" spans="1:19">
      <c r="A395" t="s">
        <v>18292</v>
      </c>
      <c r="I395" s="1" t="str">
        <f t="shared" si="56"/>
        <v/>
      </c>
      <c r="J395" s="1">
        <f t="shared" si="57"/>
        <v>0</v>
      </c>
      <c r="K395" s="1" t="str">
        <f t="shared" si="58"/>
        <v/>
      </c>
      <c r="L395" s="1">
        <f t="shared" si="59"/>
        <v>0</v>
      </c>
      <c r="M395" s="1">
        <f t="shared" si="60"/>
        <v>0</v>
      </c>
      <c r="N395" s="1">
        <f t="shared" si="61"/>
        <v>0</v>
      </c>
      <c r="O395" s="1" t="b">
        <f t="shared" si="62"/>
        <v>0</v>
      </c>
      <c r="P395" s="1" t="e">
        <f>INDEX(G:G,MATCH(G395,G:G,0))</f>
        <v>#N/A</v>
      </c>
      <c r="Q395" s="1" t="e">
        <f t="shared" si="63"/>
        <v>#N/A</v>
      </c>
      <c r="R395" s="1" t="e">
        <f>INDEX('6.0.35'!I:I,MATCH(F395,'6.0.35'!K:K,0))</f>
        <v>#N/A</v>
      </c>
      <c r="S395" s="1" t="e">
        <f>INDEX('6.0.35'!J:J,MATCH(F395,'6.0.35'!F:F,0))</f>
        <v>#N/A</v>
      </c>
    </row>
    <row r="396" spans="1:19">
      <c r="A396" t="s">
        <v>18293</v>
      </c>
      <c r="I396" s="1" t="str">
        <f t="shared" si="56"/>
        <v/>
      </c>
      <c r="J396" s="1">
        <f t="shared" si="57"/>
        <v>0</v>
      </c>
      <c r="K396" s="1" t="str">
        <f t="shared" si="58"/>
        <v/>
      </c>
      <c r="L396" s="1">
        <f t="shared" si="59"/>
        <v>0</v>
      </c>
      <c r="M396" s="1">
        <f t="shared" si="60"/>
        <v>0</v>
      </c>
      <c r="N396" s="1">
        <f t="shared" si="61"/>
        <v>0</v>
      </c>
      <c r="O396" s="1" t="b">
        <f t="shared" si="62"/>
        <v>0</v>
      </c>
      <c r="P396" s="1" t="e">
        <f>INDEX(G:G,MATCH(G396,G:G,0))</f>
        <v>#N/A</v>
      </c>
      <c r="Q396" s="1" t="e">
        <f t="shared" si="63"/>
        <v>#N/A</v>
      </c>
      <c r="R396" s="1" t="e">
        <f>INDEX('6.0.35'!I:I,MATCH(F396,'6.0.35'!K:K,0))</f>
        <v>#N/A</v>
      </c>
      <c r="S396" s="1" t="e">
        <f>INDEX('6.0.35'!J:J,MATCH(F396,'6.0.35'!F:F,0))</f>
        <v>#N/A</v>
      </c>
    </row>
    <row r="397" spans="1:19">
      <c r="A397" t="s">
        <v>18294</v>
      </c>
      <c r="I397" s="1" t="str">
        <f t="shared" si="56"/>
        <v/>
      </c>
      <c r="J397" s="1">
        <f t="shared" si="57"/>
        <v>0</v>
      </c>
      <c r="K397" s="1" t="str">
        <f t="shared" si="58"/>
        <v/>
      </c>
      <c r="L397" s="1">
        <f t="shared" si="59"/>
        <v>0</v>
      </c>
      <c r="M397" s="1">
        <f t="shared" si="60"/>
        <v>0</v>
      </c>
      <c r="N397" s="1">
        <f t="shared" si="61"/>
        <v>0</v>
      </c>
      <c r="O397" s="1" t="b">
        <f t="shared" si="62"/>
        <v>0</v>
      </c>
      <c r="P397" s="1" t="e">
        <f>INDEX(G:G,MATCH(G397,G:G,0))</f>
        <v>#N/A</v>
      </c>
      <c r="Q397" s="1" t="e">
        <f t="shared" si="63"/>
        <v>#N/A</v>
      </c>
      <c r="R397" s="1" t="e">
        <f>INDEX('6.0.35'!I:I,MATCH(F397,'6.0.35'!K:K,0))</f>
        <v>#N/A</v>
      </c>
      <c r="S397" s="1" t="e">
        <f>INDEX('6.0.35'!J:J,MATCH(F397,'6.0.35'!F:F,0))</f>
        <v>#N/A</v>
      </c>
    </row>
    <row r="398" spans="1:19">
      <c r="A398" t="s">
        <v>18295</v>
      </c>
      <c r="I398" s="1" t="str">
        <f t="shared" si="56"/>
        <v/>
      </c>
      <c r="J398" s="1">
        <f t="shared" si="57"/>
        <v>0</v>
      </c>
      <c r="K398" s="1" t="str">
        <f t="shared" si="58"/>
        <v/>
      </c>
      <c r="L398" s="1">
        <f t="shared" si="59"/>
        <v>0</v>
      </c>
      <c r="M398" s="1">
        <f t="shared" si="60"/>
        <v>0</v>
      </c>
      <c r="N398" s="1">
        <f t="shared" si="61"/>
        <v>0</v>
      </c>
      <c r="O398" s="1" t="b">
        <f t="shared" si="62"/>
        <v>0</v>
      </c>
      <c r="P398" s="1" t="e">
        <f>INDEX(G:G,MATCH(G398,G:G,0))</f>
        <v>#N/A</v>
      </c>
      <c r="Q398" s="1" t="e">
        <f t="shared" si="63"/>
        <v>#N/A</v>
      </c>
      <c r="R398" s="1" t="e">
        <f>INDEX('6.0.35'!I:I,MATCH(F398,'6.0.35'!K:K,0))</f>
        <v>#N/A</v>
      </c>
      <c r="S398" s="1" t="e">
        <f>INDEX('6.0.35'!J:J,MATCH(F398,'6.0.35'!F:F,0))</f>
        <v>#N/A</v>
      </c>
    </row>
    <row r="399" spans="1:19">
      <c r="A399" t="s">
        <v>18296</v>
      </c>
      <c r="I399" s="1" t="str">
        <f t="shared" si="56"/>
        <v/>
      </c>
      <c r="J399" s="1">
        <f t="shared" si="57"/>
        <v>0</v>
      </c>
      <c r="K399" s="1" t="str">
        <f t="shared" si="58"/>
        <v/>
      </c>
      <c r="L399" s="1">
        <f t="shared" si="59"/>
        <v>0</v>
      </c>
      <c r="M399" s="1">
        <f t="shared" si="60"/>
        <v>0</v>
      </c>
      <c r="N399" s="1">
        <f t="shared" si="61"/>
        <v>0</v>
      </c>
      <c r="O399" s="1" t="b">
        <f t="shared" si="62"/>
        <v>0</v>
      </c>
      <c r="P399" s="1" t="e">
        <f>INDEX(G:G,MATCH(G399,G:G,0))</f>
        <v>#N/A</v>
      </c>
      <c r="Q399" s="1" t="e">
        <f t="shared" si="63"/>
        <v>#N/A</v>
      </c>
      <c r="R399" s="1" t="e">
        <f>INDEX('6.0.35'!I:I,MATCH(F399,'6.0.35'!K:K,0))</f>
        <v>#N/A</v>
      </c>
      <c r="S399" s="1" t="e">
        <f>INDEX('6.0.35'!J:J,MATCH(F399,'6.0.35'!F:F,0))</f>
        <v>#N/A</v>
      </c>
    </row>
    <row r="400" spans="1:19">
      <c r="A400" t="s">
        <v>13915</v>
      </c>
      <c r="I400" s="1" t="str">
        <f t="shared" si="56"/>
        <v/>
      </c>
      <c r="J400" s="1">
        <f t="shared" si="57"/>
        <v>0</v>
      </c>
      <c r="K400" s="1" t="str">
        <f t="shared" si="58"/>
        <v/>
      </c>
      <c r="L400" s="1">
        <f t="shared" si="59"/>
        <v>0</v>
      </c>
      <c r="M400" s="1">
        <f t="shared" si="60"/>
        <v>0</v>
      </c>
      <c r="N400" s="1">
        <f t="shared" si="61"/>
        <v>0</v>
      </c>
      <c r="O400" s="1" t="b">
        <f t="shared" si="62"/>
        <v>0</v>
      </c>
      <c r="P400" s="1" t="e">
        <f>INDEX(G:G,MATCH(G400,G:G,0))</f>
        <v>#N/A</v>
      </c>
      <c r="Q400" s="1" t="e">
        <f t="shared" si="63"/>
        <v>#N/A</v>
      </c>
      <c r="R400" s="1" t="e">
        <f>INDEX('6.0.35'!I:I,MATCH(F400,'6.0.35'!K:K,0))</f>
        <v>#N/A</v>
      </c>
      <c r="S400" s="1" t="e">
        <f>INDEX('6.0.35'!J:J,MATCH(F400,'6.0.35'!F:F,0))</f>
        <v>#N/A</v>
      </c>
    </row>
    <row r="401" spans="1:19">
      <c r="A401" t="s">
        <v>13918</v>
      </c>
      <c r="I401" s="1" t="str">
        <f t="shared" si="56"/>
        <v/>
      </c>
      <c r="J401" s="1">
        <f t="shared" si="57"/>
        <v>0</v>
      </c>
      <c r="K401" s="1" t="str">
        <f t="shared" si="58"/>
        <v/>
      </c>
      <c r="L401" s="1">
        <f t="shared" si="59"/>
        <v>0</v>
      </c>
      <c r="M401" s="1">
        <f t="shared" si="60"/>
        <v>0</v>
      </c>
      <c r="N401" s="1">
        <f t="shared" si="61"/>
        <v>0</v>
      </c>
      <c r="O401" s="1" t="b">
        <f t="shared" si="62"/>
        <v>0</v>
      </c>
      <c r="P401" s="1" t="e">
        <f>INDEX(G:G,MATCH(G401,G:G,0))</f>
        <v>#N/A</v>
      </c>
      <c r="Q401" s="1" t="e">
        <f t="shared" si="63"/>
        <v>#N/A</v>
      </c>
      <c r="R401" s="1" t="e">
        <f>INDEX('6.0.35'!I:I,MATCH(F401,'6.0.35'!K:K,0))</f>
        <v>#N/A</v>
      </c>
      <c r="S401" s="1" t="e">
        <f>INDEX('6.0.35'!J:J,MATCH(F401,'6.0.35'!F:F,0))</f>
        <v>#N/A</v>
      </c>
    </row>
    <row r="402" spans="1:19">
      <c r="A402" t="s">
        <v>13921</v>
      </c>
      <c r="I402" s="1" t="str">
        <f t="shared" si="56"/>
        <v/>
      </c>
      <c r="J402" s="1">
        <f t="shared" si="57"/>
        <v>0</v>
      </c>
      <c r="K402" s="1" t="str">
        <f t="shared" si="58"/>
        <v/>
      </c>
      <c r="L402" s="1">
        <f t="shared" si="59"/>
        <v>0</v>
      </c>
      <c r="M402" s="1">
        <f t="shared" si="60"/>
        <v>0</v>
      </c>
      <c r="N402" s="1">
        <f t="shared" si="61"/>
        <v>0</v>
      </c>
      <c r="O402" s="1" t="b">
        <f t="shared" si="62"/>
        <v>0</v>
      </c>
      <c r="P402" s="1" t="e">
        <f>INDEX(G:G,MATCH(G402,G:G,0))</f>
        <v>#N/A</v>
      </c>
      <c r="Q402" s="1" t="e">
        <f t="shared" si="63"/>
        <v>#N/A</v>
      </c>
      <c r="R402" s="1" t="e">
        <f>INDEX('6.0.35'!I:I,MATCH(F402,'6.0.35'!K:K,0))</f>
        <v>#N/A</v>
      </c>
      <c r="S402" s="1" t="e">
        <f>INDEX('6.0.35'!J:J,MATCH(F402,'6.0.35'!F:F,0))</f>
        <v>#N/A</v>
      </c>
    </row>
    <row r="403" spans="1:19">
      <c r="A403" t="s">
        <v>13924</v>
      </c>
      <c r="I403" s="1" t="str">
        <f t="shared" si="56"/>
        <v/>
      </c>
      <c r="J403" s="1">
        <f t="shared" si="57"/>
        <v>0</v>
      </c>
      <c r="K403" s="1" t="str">
        <f t="shared" si="58"/>
        <v/>
      </c>
      <c r="L403" s="1">
        <f t="shared" si="59"/>
        <v>0</v>
      </c>
      <c r="M403" s="1">
        <f t="shared" si="60"/>
        <v>0</v>
      </c>
      <c r="N403" s="1">
        <f t="shared" si="61"/>
        <v>0</v>
      </c>
      <c r="O403" s="1" t="b">
        <f t="shared" si="62"/>
        <v>0</v>
      </c>
      <c r="P403" s="1" t="e">
        <f>INDEX(G:G,MATCH(G403,G:G,0))</f>
        <v>#N/A</v>
      </c>
      <c r="Q403" s="1" t="e">
        <f t="shared" si="63"/>
        <v>#N/A</v>
      </c>
      <c r="R403" s="1" t="e">
        <f>INDEX('6.0.35'!I:I,MATCH(F403,'6.0.35'!K:K,0))</f>
        <v>#N/A</v>
      </c>
      <c r="S403" s="1" t="e">
        <f>INDEX('6.0.35'!J:J,MATCH(F403,'6.0.35'!F:F,0))</f>
        <v>#N/A</v>
      </c>
    </row>
    <row r="404" spans="1:19">
      <c r="A404" t="s">
        <v>13927</v>
      </c>
      <c r="I404" s="1" t="str">
        <f t="shared" si="56"/>
        <v/>
      </c>
      <c r="J404" s="1">
        <f t="shared" si="57"/>
        <v>0</v>
      </c>
      <c r="K404" s="1" t="str">
        <f t="shared" si="58"/>
        <v/>
      </c>
      <c r="L404" s="1">
        <f t="shared" si="59"/>
        <v>0</v>
      </c>
      <c r="M404" s="1">
        <f t="shared" si="60"/>
        <v>0</v>
      </c>
      <c r="N404" s="1">
        <f t="shared" si="61"/>
        <v>0</v>
      </c>
      <c r="O404" s="1" t="b">
        <f t="shared" si="62"/>
        <v>0</v>
      </c>
      <c r="P404" s="1" t="e">
        <f>INDEX(G:G,MATCH(G404,G:G,0))</f>
        <v>#N/A</v>
      </c>
      <c r="Q404" s="1" t="e">
        <f t="shared" si="63"/>
        <v>#N/A</v>
      </c>
      <c r="R404" s="1" t="e">
        <f>INDEX('6.0.35'!I:I,MATCH(F404,'6.0.35'!K:K,0))</f>
        <v>#N/A</v>
      </c>
      <c r="S404" s="1" t="e">
        <f>INDEX('6.0.35'!J:J,MATCH(F404,'6.0.35'!F:F,0))</f>
        <v>#N/A</v>
      </c>
    </row>
    <row r="405" spans="1:19">
      <c r="A405" t="s">
        <v>13930</v>
      </c>
      <c r="I405" s="1" t="str">
        <f t="shared" si="56"/>
        <v/>
      </c>
      <c r="J405" s="1">
        <f t="shared" si="57"/>
        <v>0</v>
      </c>
      <c r="K405" s="1" t="str">
        <f t="shared" si="58"/>
        <v/>
      </c>
      <c r="L405" s="1">
        <f t="shared" si="59"/>
        <v>0</v>
      </c>
      <c r="M405" s="1">
        <f t="shared" si="60"/>
        <v>0</v>
      </c>
      <c r="N405" s="1">
        <f t="shared" si="61"/>
        <v>0</v>
      </c>
      <c r="O405" s="1" t="b">
        <f t="shared" si="62"/>
        <v>0</v>
      </c>
      <c r="P405" s="1" t="e">
        <f>INDEX(G:G,MATCH(G405,G:G,0))</f>
        <v>#N/A</v>
      </c>
      <c r="Q405" s="1" t="e">
        <f t="shared" si="63"/>
        <v>#N/A</v>
      </c>
      <c r="R405" s="1" t="e">
        <f>INDEX('6.0.35'!I:I,MATCH(F405,'6.0.35'!K:K,0))</f>
        <v>#N/A</v>
      </c>
      <c r="S405" s="1" t="e">
        <f>INDEX('6.0.35'!J:J,MATCH(F405,'6.0.35'!F:F,0))</f>
        <v>#N/A</v>
      </c>
    </row>
    <row r="406" spans="1:19">
      <c r="A406" t="s">
        <v>13933</v>
      </c>
      <c r="I406" s="1" t="str">
        <f t="shared" si="56"/>
        <v/>
      </c>
      <c r="J406" s="1">
        <f t="shared" si="57"/>
        <v>0</v>
      </c>
      <c r="K406" s="1" t="str">
        <f t="shared" si="58"/>
        <v/>
      </c>
      <c r="L406" s="1">
        <f t="shared" si="59"/>
        <v>0</v>
      </c>
      <c r="M406" s="1">
        <f t="shared" si="60"/>
        <v>0</v>
      </c>
      <c r="N406" s="1">
        <f t="shared" si="61"/>
        <v>0</v>
      </c>
      <c r="O406" s="1" t="b">
        <f t="shared" si="62"/>
        <v>0</v>
      </c>
      <c r="P406" s="1" t="e">
        <f>INDEX(G:G,MATCH(G406,G:G,0))</f>
        <v>#N/A</v>
      </c>
      <c r="Q406" s="1" t="e">
        <f t="shared" si="63"/>
        <v>#N/A</v>
      </c>
      <c r="R406" s="1" t="e">
        <f>INDEX('6.0.35'!I:I,MATCH(F406,'6.0.35'!K:K,0))</f>
        <v>#N/A</v>
      </c>
      <c r="S406" s="1" t="e">
        <f>INDEX('6.0.35'!J:J,MATCH(F406,'6.0.35'!F:F,0))</f>
        <v>#N/A</v>
      </c>
    </row>
    <row r="407" spans="1:19">
      <c r="A407" t="s">
        <v>13936</v>
      </c>
      <c r="I407" s="1" t="str">
        <f t="shared" si="56"/>
        <v/>
      </c>
      <c r="J407" s="1">
        <f t="shared" si="57"/>
        <v>0</v>
      </c>
      <c r="K407" s="1" t="str">
        <f t="shared" si="58"/>
        <v/>
      </c>
      <c r="L407" s="1">
        <f t="shared" si="59"/>
        <v>0</v>
      </c>
      <c r="M407" s="1">
        <f t="shared" si="60"/>
        <v>0</v>
      </c>
      <c r="N407" s="1">
        <f t="shared" si="61"/>
        <v>0</v>
      </c>
      <c r="O407" s="1" t="b">
        <f t="shared" si="62"/>
        <v>0</v>
      </c>
      <c r="P407" s="1" t="e">
        <f>INDEX(G:G,MATCH(G407,G:G,0))</f>
        <v>#N/A</v>
      </c>
      <c r="Q407" s="1" t="e">
        <f t="shared" si="63"/>
        <v>#N/A</v>
      </c>
      <c r="R407" s="1" t="e">
        <f>INDEX('6.0.35'!I:I,MATCH(F407,'6.0.35'!K:K,0))</f>
        <v>#N/A</v>
      </c>
      <c r="S407" s="1" t="e">
        <f>INDEX('6.0.35'!J:J,MATCH(F407,'6.0.35'!F:F,0))</f>
        <v>#N/A</v>
      </c>
    </row>
    <row r="408" spans="1:19">
      <c r="A408" t="s">
        <v>13939</v>
      </c>
      <c r="I408" s="1" t="str">
        <f t="shared" si="56"/>
        <v/>
      </c>
      <c r="J408" s="1">
        <f t="shared" si="57"/>
        <v>0</v>
      </c>
      <c r="K408" s="1" t="str">
        <f t="shared" si="58"/>
        <v/>
      </c>
      <c r="L408" s="1">
        <f t="shared" si="59"/>
        <v>0</v>
      </c>
      <c r="M408" s="1">
        <f t="shared" si="60"/>
        <v>0</v>
      </c>
      <c r="N408" s="1">
        <f t="shared" si="61"/>
        <v>0</v>
      </c>
      <c r="O408" s="1" t="b">
        <f t="shared" si="62"/>
        <v>0</v>
      </c>
      <c r="P408" s="1" t="e">
        <f>INDEX(G:G,MATCH(G408,G:G,0))</f>
        <v>#N/A</v>
      </c>
      <c r="Q408" s="1" t="e">
        <f t="shared" si="63"/>
        <v>#N/A</v>
      </c>
      <c r="R408" s="1" t="e">
        <f>INDEX('6.0.35'!I:I,MATCH(F408,'6.0.35'!K:K,0))</f>
        <v>#N/A</v>
      </c>
      <c r="S408" s="1" t="e">
        <f>INDEX('6.0.35'!J:J,MATCH(F408,'6.0.35'!F:F,0))</f>
        <v>#N/A</v>
      </c>
    </row>
    <row r="409" spans="1:19">
      <c r="A409" t="s">
        <v>13942</v>
      </c>
      <c r="I409" s="1" t="str">
        <f t="shared" si="56"/>
        <v/>
      </c>
      <c r="J409" s="1">
        <f t="shared" si="57"/>
        <v>0</v>
      </c>
      <c r="K409" s="1" t="str">
        <f t="shared" si="58"/>
        <v/>
      </c>
      <c r="L409" s="1">
        <f t="shared" si="59"/>
        <v>0</v>
      </c>
      <c r="M409" s="1">
        <f t="shared" si="60"/>
        <v>0</v>
      </c>
      <c r="N409" s="1">
        <f t="shared" si="61"/>
        <v>0</v>
      </c>
      <c r="O409" s="1" t="b">
        <f t="shared" si="62"/>
        <v>0</v>
      </c>
      <c r="P409" s="1" t="e">
        <f>INDEX(G:G,MATCH(G409,G:G,0))</f>
        <v>#N/A</v>
      </c>
      <c r="Q409" s="1" t="e">
        <f t="shared" si="63"/>
        <v>#N/A</v>
      </c>
      <c r="R409" s="1" t="e">
        <f>INDEX('6.0.35'!I:I,MATCH(F409,'6.0.35'!K:K,0))</f>
        <v>#N/A</v>
      </c>
      <c r="S409" s="1" t="e">
        <f>INDEX('6.0.35'!J:J,MATCH(F409,'6.0.35'!F:F,0))</f>
        <v>#N/A</v>
      </c>
    </row>
    <row r="410" spans="1:19">
      <c r="A410" t="s">
        <v>13945</v>
      </c>
      <c r="I410" s="1" t="str">
        <f t="shared" si="56"/>
        <v/>
      </c>
      <c r="J410" s="1">
        <f t="shared" si="57"/>
        <v>0</v>
      </c>
      <c r="K410" s="1" t="str">
        <f t="shared" si="58"/>
        <v/>
      </c>
      <c r="L410" s="1">
        <f t="shared" si="59"/>
        <v>0</v>
      </c>
      <c r="M410" s="1">
        <f t="shared" si="60"/>
        <v>0</v>
      </c>
      <c r="N410" s="1">
        <f t="shared" si="61"/>
        <v>0</v>
      </c>
      <c r="O410" s="1" t="b">
        <f t="shared" si="62"/>
        <v>0</v>
      </c>
      <c r="P410" s="1" t="e">
        <f>INDEX(G:G,MATCH(G410,G:G,0))</f>
        <v>#N/A</v>
      </c>
      <c r="Q410" s="1" t="e">
        <f t="shared" si="63"/>
        <v>#N/A</v>
      </c>
      <c r="R410" s="1" t="e">
        <f>INDEX('6.0.35'!I:I,MATCH(F410,'6.0.35'!K:K,0))</f>
        <v>#N/A</v>
      </c>
      <c r="S410" s="1" t="e">
        <f>INDEX('6.0.35'!J:J,MATCH(F410,'6.0.35'!F:F,0))</f>
        <v>#N/A</v>
      </c>
    </row>
    <row r="411" spans="1:19">
      <c r="A411" t="s">
        <v>13948</v>
      </c>
      <c r="I411" s="1" t="str">
        <f t="shared" si="56"/>
        <v/>
      </c>
      <c r="J411" s="1">
        <f t="shared" si="57"/>
        <v>0</v>
      </c>
      <c r="K411" s="1" t="str">
        <f t="shared" si="58"/>
        <v/>
      </c>
      <c r="L411" s="1">
        <f t="shared" si="59"/>
        <v>0</v>
      </c>
      <c r="M411" s="1">
        <f t="shared" si="60"/>
        <v>0</v>
      </c>
      <c r="N411" s="1">
        <f t="shared" si="61"/>
        <v>0</v>
      </c>
      <c r="O411" s="1" t="b">
        <f t="shared" si="62"/>
        <v>0</v>
      </c>
      <c r="P411" s="1" t="e">
        <f>INDEX(G:G,MATCH(G411,G:G,0))</f>
        <v>#N/A</v>
      </c>
      <c r="Q411" s="1" t="e">
        <f t="shared" si="63"/>
        <v>#N/A</v>
      </c>
      <c r="R411" s="1" t="e">
        <f>INDEX('6.0.35'!I:I,MATCH(F411,'6.0.35'!K:K,0))</f>
        <v>#N/A</v>
      </c>
      <c r="S411" s="1" t="e">
        <f>INDEX('6.0.35'!J:J,MATCH(F411,'6.0.35'!F:F,0))</f>
        <v>#N/A</v>
      </c>
    </row>
    <row r="412" spans="1:19">
      <c r="A412" t="s">
        <v>13974</v>
      </c>
      <c r="I412" s="1" t="str">
        <f t="shared" si="56"/>
        <v/>
      </c>
      <c r="J412" s="1">
        <f t="shared" si="57"/>
        <v>0</v>
      </c>
      <c r="K412" s="1" t="str">
        <f t="shared" si="58"/>
        <v/>
      </c>
      <c r="L412" s="1">
        <f t="shared" si="59"/>
        <v>0</v>
      </c>
      <c r="M412" s="1">
        <f t="shared" si="60"/>
        <v>0</v>
      </c>
      <c r="N412" s="1">
        <f t="shared" si="61"/>
        <v>0</v>
      </c>
      <c r="O412" s="1" t="b">
        <f t="shared" si="62"/>
        <v>0</v>
      </c>
      <c r="P412" s="1" t="e">
        <f>INDEX(G:G,MATCH(G412,G:G,0))</f>
        <v>#N/A</v>
      </c>
      <c r="Q412" s="1" t="e">
        <f t="shared" si="63"/>
        <v>#N/A</v>
      </c>
      <c r="R412" s="1" t="e">
        <f>INDEX('6.0.35'!I:I,MATCH(F412,'6.0.35'!K:K,0))</f>
        <v>#N/A</v>
      </c>
      <c r="S412" s="1" t="e">
        <f>INDEX('6.0.35'!J:J,MATCH(F412,'6.0.35'!F:F,0))</f>
        <v>#N/A</v>
      </c>
    </row>
    <row r="413" spans="1:19">
      <c r="A413" t="s">
        <v>13977</v>
      </c>
      <c r="I413" s="1" t="str">
        <f t="shared" si="56"/>
        <v/>
      </c>
      <c r="J413" s="1">
        <f t="shared" si="57"/>
        <v>0</v>
      </c>
      <c r="K413" s="1" t="str">
        <f t="shared" si="58"/>
        <v/>
      </c>
      <c r="L413" s="1">
        <f t="shared" si="59"/>
        <v>0</v>
      </c>
      <c r="M413" s="1">
        <f t="shared" si="60"/>
        <v>0</v>
      </c>
      <c r="N413" s="1">
        <f t="shared" si="61"/>
        <v>0</v>
      </c>
      <c r="O413" s="1" t="b">
        <f t="shared" si="62"/>
        <v>0</v>
      </c>
      <c r="P413" s="1" t="e">
        <f>INDEX(G:G,MATCH(G413,G:G,0))</f>
        <v>#N/A</v>
      </c>
      <c r="Q413" s="1" t="e">
        <f t="shared" si="63"/>
        <v>#N/A</v>
      </c>
      <c r="R413" s="1" t="e">
        <f>INDEX('6.0.35'!I:I,MATCH(F413,'6.0.35'!K:K,0))</f>
        <v>#N/A</v>
      </c>
      <c r="S413" s="1" t="e">
        <f>INDEX('6.0.35'!J:J,MATCH(F413,'6.0.35'!F:F,0))</f>
        <v>#N/A</v>
      </c>
    </row>
    <row r="414" spans="1:19">
      <c r="A414" t="s">
        <v>13980</v>
      </c>
      <c r="I414" s="1" t="str">
        <f t="shared" si="56"/>
        <v/>
      </c>
      <c r="J414" s="1">
        <f t="shared" si="57"/>
        <v>0</v>
      </c>
      <c r="K414" s="1" t="str">
        <f t="shared" si="58"/>
        <v/>
      </c>
      <c r="L414" s="1">
        <f t="shared" si="59"/>
        <v>0</v>
      </c>
      <c r="M414" s="1">
        <f t="shared" si="60"/>
        <v>0</v>
      </c>
      <c r="N414" s="1">
        <f t="shared" si="61"/>
        <v>0</v>
      </c>
      <c r="O414" s="1" t="b">
        <f t="shared" si="62"/>
        <v>0</v>
      </c>
      <c r="P414" s="1" t="e">
        <f>INDEX(G:G,MATCH(G414,G:G,0))</f>
        <v>#N/A</v>
      </c>
      <c r="Q414" s="1" t="e">
        <f t="shared" si="63"/>
        <v>#N/A</v>
      </c>
      <c r="R414" s="1" t="e">
        <f>INDEX('6.0.35'!I:I,MATCH(F414,'6.0.35'!K:K,0))</f>
        <v>#N/A</v>
      </c>
      <c r="S414" s="1" t="e">
        <f>INDEX('6.0.35'!J:J,MATCH(F414,'6.0.35'!F:F,0))</f>
        <v>#N/A</v>
      </c>
    </row>
    <row r="415" spans="1:19">
      <c r="A415" t="s">
        <v>14056</v>
      </c>
      <c r="I415" s="1" t="str">
        <f t="shared" si="56"/>
        <v/>
      </c>
      <c r="J415" s="1">
        <f t="shared" si="57"/>
        <v>0</v>
      </c>
      <c r="K415" s="1" t="str">
        <f t="shared" si="58"/>
        <v/>
      </c>
      <c r="L415" s="1">
        <f t="shared" si="59"/>
        <v>0</v>
      </c>
      <c r="M415" s="1">
        <f t="shared" si="60"/>
        <v>0</v>
      </c>
      <c r="N415" s="1">
        <f t="shared" si="61"/>
        <v>0</v>
      </c>
      <c r="O415" s="1" t="b">
        <f t="shared" si="62"/>
        <v>0</v>
      </c>
      <c r="P415" s="1" t="e">
        <f>INDEX(G:G,MATCH(G415,G:G,0))</f>
        <v>#N/A</v>
      </c>
      <c r="Q415" s="1" t="e">
        <f t="shared" si="63"/>
        <v>#N/A</v>
      </c>
      <c r="R415" s="1" t="e">
        <f>INDEX('6.0.35'!I:I,MATCH(F415,'6.0.35'!K:K,0))</f>
        <v>#N/A</v>
      </c>
      <c r="S415" s="1" t="e">
        <f>INDEX('6.0.35'!J:J,MATCH(F415,'6.0.35'!F:F,0))</f>
        <v>#N/A</v>
      </c>
    </row>
    <row r="416" spans="1:19">
      <c r="A416" t="s">
        <v>14059</v>
      </c>
      <c r="I416" s="1" t="str">
        <f t="shared" si="56"/>
        <v/>
      </c>
      <c r="J416" s="1">
        <f t="shared" si="57"/>
        <v>0</v>
      </c>
      <c r="K416" s="1" t="str">
        <f t="shared" si="58"/>
        <v/>
      </c>
      <c r="L416" s="1">
        <f t="shared" si="59"/>
        <v>0</v>
      </c>
      <c r="M416" s="1">
        <f t="shared" si="60"/>
        <v>0</v>
      </c>
      <c r="N416" s="1">
        <f t="shared" si="61"/>
        <v>0</v>
      </c>
      <c r="O416" s="1" t="b">
        <f t="shared" si="62"/>
        <v>0</v>
      </c>
      <c r="P416" s="1" t="e">
        <f>INDEX(G:G,MATCH(G416,G:G,0))</f>
        <v>#N/A</v>
      </c>
      <c r="Q416" s="1" t="e">
        <f t="shared" si="63"/>
        <v>#N/A</v>
      </c>
      <c r="R416" s="1" t="e">
        <f>INDEX('6.0.35'!I:I,MATCH(F416,'6.0.35'!K:K,0))</f>
        <v>#N/A</v>
      </c>
      <c r="S416" s="1" t="e">
        <f>INDEX('6.0.35'!J:J,MATCH(F416,'6.0.35'!F:F,0))</f>
        <v>#N/A</v>
      </c>
    </row>
    <row r="417" spans="1:19">
      <c r="A417" t="s">
        <v>14062</v>
      </c>
      <c r="I417" s="1" t="str">
        <f t="shared" si="56"/>
        <v/>
      </c>
      <c r="J417" s="1">
        <f t="shared" si="57"/>
        <v>0</v>
      </c>
      <c r="K417" s="1" t="str">
        <f t="shared" si="58"/>
        <v/>
      </c>
      <c r="L417" s="1">
        <f t="shared" si="59"/>
        <v>0</v>
      </c>
      <c r="M417" s="1">
        <f t="shared" si="60"/>
        <v>0</v>
      </c>
      <c r="N417" s="1">
        <f t="shared" si="61"/>
        <v>0</v>
      </c>
      <c r="O417" s="1" t="b">
        <f t="shared" si="62"/>
        <v>0</v>
      </c>
      <c r="P417" s="1" t="e">
        <f>INDEX(G:G,MATCH(G417,G:G,0))</f>
        <v>#N/A</v>
      </c>
      <c r="Q417" s="1" t="e">
        <f t="shared" si="63"/>
        <v>#N/A</v>
      </c>
      <c r="R417" s="1" t="e">
        <f>INDEX('6.0.35'!I:I,MATCH(F417,'6.0.35'!K:K,0))</f>
        <v>#N/A</v>
      </c>
      <c r="S417" s="1" t="e">
        <f>INDEX('6.0.35'!J:J,MATCH(F417,'6.0.35'!F:F,0))</f>
        <v>#N/A</v>
      </c>
    </row>
    <row r="418" spans="1:19">
      <c r="A418" t="s">
        <v>14065</v>
      </c>
      <c r="I418" s="1" t="str">
        <f t="shared" si="56"/>
        <v/>
      </c>
      <c r="J418" s="1">
        <f t="shared" si="57"/>
        <v>0</v>
      </c>
      <c r="K418" s="1" t="str">
        <f t="shared" si="58"/>
        <v/>
      </c>
      <c r="L418" s="1">
        <f t="shared" si="59"/>
        <v>0</v>
      </c>
      <c r="M418" s="1">
        <f t="shared" si="60"/>
        <v>0</v>
      </c>
      <c r="N418" s="1">
        <f t="shared" si="61"/>
        <v>0</v>
      </c>
      <c r="O418" s="1" t="b">
        <f t="shared" si="62"/>
        <v>0</v>
      </c>
      <c r="P418" s="1" t="e">
        <f>INDEX(G:G,MATCH(G418,G:G,0))</f>
        <v>#N/A</v>
      </c>
      <c r="Q418" s="1" t="e">
        <f t="shared" si="63"/>
        <v>#N/A</v>
      </c>
      <c r="R418" s="1" t="e">
        <f>INDEX('6.0.35'!I:I,MATCH(F418,'6.0.35'!K:K,0))</f>
        <v>#N/A</v>
      </c>
      <c r="S418" s="1" t="e">
        <f>INDEX('6.0.35'!J:J,MATCH(F418,'6.0.35'!F:F,0))</f>
        <v>#N/A</v>
      </c>
    </row>
    <row r="419" spans="1:19">
      <c r="A419" t="s">
        <v>14068</v>
      </c>
      <c r="I419" s="1" t="str">
        <f t="shared" si="56"/>
        <v/>
      </c>
      <c r="J419" s="1">
        <f t="shared" si="57"/>
        <v>0</v>
      </c>
      <c r="K419" s="1" t="str">
        <f t="shared" si="58"/>
        <v/>
      </c>
      <c r="L419" s="1">
        <f t="shared" si="59"/>
        <v>0</v>
      </c>
      <c r="M419" s="1">
        <f t="shared" si="60"/>
        <v>0</v>
      </c>
      <c r="N419" s="1">
        <f t="shared" si="61"/>
        <v>0</v>
      </c>
      <c r="O419" s="1" t="b">
        <f t="shared" si="62"/>
        <v>0</v>
      </c>
      <c r="P419" s="1" t="e">
        <f>INDEX(G:G,MATCH(G419,G:G,0))</f>
        <v>#N/A</v>
      </c>
      <c r="Q419" s="1" t="e">
        <f t="shared" si="63"/>
        <v>#N/A</v>
      </c>
      <c r="R419" s="1" t="e">
        <f>INDEX('6.0.35'!I:I,MATCH(F419,'6.0.35'!K:K,0))</f>
        <v>#N/A</v>
      </c>
      <c r="S419" s="1" t="e">
        <f>INDEX('6.0.35'!J:J,MATCH(F419,'6.0.35'!F:F,0))</f>
        <v>#N/A</v>
      </c>
    </row>
    <row r="420" spans="1:19">
      <c r="A420" t="s">
        <v>14071</v>
      </c>
      <c r="I420" s="1" t="str">
        <f t="shared" si="56"/>
        <v/>
      </c>
      <c r="J420" s="1">
        <f t="shared" si="57"/>
        <v>0</v>
      </c>
      <c r="K420" s="1" t="str">
        <f t="shared" si="58"/>
        <v/>
      </c>
      <c r="L420" s="1">
        <f t="shared" si="59"/>
        <v>0</v>
      </c>
      <c r="M420" s="1">
        <f t="shared" si="60"/>
        <v>0</v>
      </c>
      <c r="N420" s="1">
        <f t="shared" si="61"/>
        <v>0</v>
      </c>
      <c r="O420" s="1" t="b">
        <f t="shared" si="62"/>
        <v>0</v>
      </c>
      <c r="P420" s="1" t="e">
        <f>INDEX(G:G,MATCH(G420,G:G,0))</f>
        <v>#N/A</v>
      </c>
      <c r="Q420" s="1" t="e">
        <f t="shared" si="63"/>
        <v>#N/A</v>
      </c>
      <c r="R420" s="1" t="e">
        <f>INDEX('6.0.35'!I:I,MATCH(F420,'6.0.35'!K:K,0))</f>
        <v>#N/A</v>
      </c>
      <c r="S420" s="1" t="e">
        <f>INDEX('6.0.35'!J:J,MATCH(F420,'6.0.35'!F:F,0))</f>
        <v>#N/A</v>
      </c>
    </row>
    <row r="421" spans="1:19">
      <c r="A421" t="s">
        <v>14074</v>
      </c>
      <c r="I421" s="1" t="str">
        <f t="shared" si="56"/>
        <v/>
      </c>
      <c r="J421" s="1">
        <f t="shared" si="57"/>
        <v>0</v>
      </c>
      <c r="K421" s="1" t="str">
        <f t="shared" si="58"/>
        <v/>
      </c>
      <c r="L421" s="1">
        <f t="shared" si="59"/>
        <v>0</v>
      </c>
      <c r="M421" s="1">
        <f t="shared" si="60"/>
        <v>0</v>
      </c>
      <c r="N421" s="1">
        <f t="shared" si="61"/>
        <v>0</v>
      </c>
      <c r="O421" s="1" t="b">
        <f t="shared" si="62"/>
        <v>0</v>
      </c>
      <c r="P421" s="1" t="e">
        <f>INDEX(G:G,MATCH(G421,G:G,0))</f>
        <v>#N/A</v>
      </c>
      <c r="Q421" s="1" t="e">
        <f t="shared" si="63"/>
        <v>#N/A</v>
      </c>
      <c r="R421" s="1" t="e">
        <f>INDEX('6.0.35'!I:I,MATCH(F421,'6.0.35'!K:K,0))</f>
        <v>#N/A</v>
      </c>
      <c r="S421" s="1" t="e">
        <f>INDEX('6.0.35'!J:J,MATCH(F421,'6.0.35'!F:F,0))</f>
        <v>#N/A</v>
      </c>
    </row>
    <row r="422" spans="1:19">
      <c r="A422" t="s">
        <v>14077</v>
      </c>
      <c r="I422" s="1" t="str">
        <f t="shared" si="56"/>
        <v/>
      </c>
      <c r="J422" s="1">
        <f t="shared" si="57"/>
        <v>0</v>
      </c>
      <c r="K422" s="1" t="str">
        <f t="shared" si="58"/>
        <v/>
      </c>
      <c r="L422" s="1">
        <f t="shared" si="59"/>
        <v>0</v>
      </c>
      <c r="M422" s="1">
        <f t="shared" si="60"/>
        <v>0</v>
      </c>
      <c r="N422" s="1">
        <f t="shared" si="61"/>
        <v>0</v>
      </c>
      <c r="O422" s="1" t="b">
        <f t="shared" si="62"/>
        <v>0</v>
      </c>
      <c r="P422" s="1" t="e">
        <f>INDEX(G:G,MATCH(G422,G:G,0))</f>
        <v>#N/A</v>
      </c>
      <c r="Q422" s="1" t="e">
        <f t="shared" si="63"/>
        <v>#N/A</v>
      </c>
      <c r="R422" s="1" t="e">
        <f>INDEX('6.0.35'!I:I,MATCH(F422,'6.0.35'!K:K,0))</f>
        <v>#N/A</v>
      </c>
      <c r="S422" s="1" t="e">
        <f>INDEX('6.0.35'!J:J,MATCH(F422,'6.0.35'!F:F,0))</f>
        <v>#N/A</v>
      </c>
    </row>
    <row r="423" spans="1:19">
      <c r="A423" t="s">
        <v>14080</v>
      </c>
      <c r="I423" s="1" t="str">
        <f t="shared" si="56"/>
        <v/>
      </c>
      <c r="J423" s="1">
        <f t="shared" si="57"/>
        <v>0</v>
      </c>
      <c r="K423" s="1" t="str">
        <f t="shared" si="58"/>
        <v/>
      </c>
      <c r="L423" s="1">
        <f t="shared" si="59"/>
        <v>0</v>
      </c>
      <c r="M423" s="1">
        <f t="shared" si="60"/>
        <v>0</v>
      </c>
      <c r="N423" s="1">
        <f t="shared" si="61"/>
        <v>0</v>
      </c>
      <c r="O423" s="1" t="b">
        <f t="shared" si="62"/>
        <v>0</v>
      </c>
      <c r="P423" s="1" t="e">
        <f>INDEX(G:G,MATCH(G423,G:G,0))</f>
        <v>#N/A</v>
      </c>
      <c r="Q423" s="1" t="e">
        <f t="shared" si="63"/>
        <v>#N/A</v>
      </c>
      <c r="R423" s="1" t="e">
        <f>INDEX('6.0.35'!I:I,MATCH(F423,'6.0.35'!K:K,0))</f>
        <v>#N/A</v>
      </c>
      <c r="S423" s="1" t="e">
        <f>INDEX('6.0.35'!J:J,MATCH(F423,'6.0.35'!F:F,0))</f>
        <v>#N/A</v>
      </c>
    </row>
    <row r="424" spans="1:19">
      <c r="A424" t="s">
        <v>14083</v>
      </c>
      <c r="I424" s="1" t="str">
        <f t="shared" si="56"/>
        <v/>
      </c>
      <c r="J424" s="1">
        <f t="shared" si="57"/>
        <v>0</v>
      </c>
      <c r="K424" s="1" t="str">
        <f t="shared" si="58"/>
        <v/>
      </c>
      <c r="L424" s="1">
        <f t="shared" si="59"/>
        <v>0</v>
      </c>
      <c r="M424" s="1">
        <f t="shared" si="60"/>
        <v>0</v>
      </c>
      <c r="N424" s="1">
        <f t="shared" si="61"/>
        <v>0</v>
      </c>
      <c r="O424" s="1" t="b">
        <f t="shared" si="62"/>
        <v>0</v>
      </c>
      <c r="P424" s="1" t="e">
        <f>INDEX(G:G,MATCH(G424,G:G,0))</f>
        <v>#N/A</v>
      </c>
      <c r="Q424" s="1" t="e">
        <f t="shared" si="63"/>
        <v>#N/A</v>
      </c>
      <c r="R424" s="1" t="e">
        <f>INDEX('6.0.35'!I:I,MATCH(F424,'6.0.35'!K:K,0))</f>
        <v>#N/A</v>
      </c>
      <c r="S424" s="1" t="e">
        <f>INDEX('6.0.35'!J:J,MATCH(F424,'6.0.35'!F:F,0))</f>
        <v>#N/A</v>
      </c>
    </row>
    <row r="425" spans="1:19">
      <c r="A425" t="s">
        <v>14086</v>
      </c>
      <c r="I425" s="1" t="str">
        <f t="shared" si="56"/>
        <v/>
      </c>
      <c r="J425" s="1">
        <f t="shared" si="57"/>
        <v>0</v>
      </c>
      <c r="K425" s="1" t="str">
        <f t="shared" si="58"/>
        <v/>
      </c>
      <c r="L425" s="1">
        <f t="shared" si="59"/>
        <v>0</v>
      </c>
      <c r="M425" s="1">
        <f t="shared" si="60"/>
        <v>0</v>
      </c>
      <c r="N425" s="1">
        <f t="shared" si="61"/>
        <v>0</v>
      </c>
      <c r="O425" s="1" t="b">
        <f t="shared" si="62"/>
        <v>0</v>
      </c>
      <c r="P425" s="1" t="e">
        <f>INDEX(G:G,MATCH(G425,G:G,0))</f>
        <v>#N/A</v>
      </c>
      <c r="Q425" s="1" t="e">
        <f t="shared" si="63"/>
        <v>#N/A</v>
      </c>
      <c r="R425" s="1" t="e">
        <f>INDEX('6.0.35'!I:I,MATCH(F425,'6.0.35'!K:K,0))</f>
        <v>#N/A</v>
      </c>
      <c r="S425" s="1" t="e">
        <f>INDEX('6.0.35'!J:J,MATCH(F425,'6.0.35'!F:F,0))</f>
        <v>#N/A</v>
      </c>
    </row>
    <row r="426" spans="1:19">
      <c r="A426" t="s">
        <v>14089</v>
      </c>
      <c r="I426" s="1" t="str">
        <f t="shared" si="56"/>
        <v/>
      </c>
      <c r="J426" s="1">
        <f t="shared" si="57"/>
        <v>0</v>
      </c>
      <c r="K426" s="1" t="str">
        <f t="shared" si="58"/>
        <v/>
      </c>
      <c r="L426" s="1">
        <f t="shared" si="59"/>
        <v>0</v>
      </c>
      <c r="M426" s="1">
        <f t="shared" si="60"/>
        <v>0</v>
      </c>
      <c r="N426" s="1">
        <f t="shared" si="61"/>
        <v>0</v>
      </c>
      <c r="O426" s="1" t="b">
        <f t="shared" si="62"/>
        <v>0</v>
      </c>
      <c r="P426" s="1" t="e">
        <f>INDEX(G:G,MATCH(G426,G:G,0))</f>
        <v>#N/A</v>
      </c>
      <c r="Q426" s="1" t="e">
        <f t="shared" si="63"/>
        <v>#N/A</v>
      </c>
      <c r="R426" s="1" t="e">
        <f>INDEX('6.0.35'!I:I,MATCH(F426,'6.0.35'!K:K,0))</f>
        <v>#N/A</v>
      </c>
      <c r="S426" s="1" t="e">
        <f>INDEX('6.0.35'!J:J,MATCH(F426,'6.0.35'!F:F,0))</f>
        <v>#N/A</v>
      </c>
    </row>
    <row r="427" spans="1:19">
      <c r="A427" t="s">
        <v>14092</v>
      </c>
      <c r="I427" s="1" t="str">
        <f t="shared" si="56"/>
        <v/>
      </c>
      <c r="J427" s="1">
        <f t="shared" si="57"/>
        <v>0</v>
      </c>
      <c r="K427" s="1" t="str">
        <f t="shared" si="58"/>
        <v/>
      </c>
      <c r="L427" s="1">
        <f t="shared" si="59"/>
        <v>0</v>
      </c>
      <c r="M427" s="1">
        <f t="shared" si="60"/>
        <v>0</v>
      </c>
      <c r="N427" s="1">
        <f t="shared" si="61"/>
        <v>0</v>
      </c>
      <c r="O427" s="1" t="b">
        <f t="shared" si="62"/>
        <v>0</v>
      </c>
      <c r="P427" s="1" t="e">
        <f>INDEX(G:G,MATCH(G427,G:G,0))</f>
        <v>#N/A</v>
      </c>
      <c r="Q427" s="1" t="e">
        <f t="shared" si="63"/>
        <v>#N/A</v>
      </c>
      <c r="R427" s="1" t="e">
        <f>INDEX('6.0.35'!I:I,MATCH(F427,'6.0.35'!K:K,0))</f>
        <v>#N/A</v>
      </c>
      <c r="S427" s="1" t="e">
        <f>INDEX('6.0.35'!J:J,MATCH(F427,'6.0.35'!F:F,0))</f>
        <v>#N/A</v>
      </c>
    </row>
    <row r="428" spans="1:19">
      <c r="A428" t="s">
        <v>14095</v>
      </c>
      <c r="I428" s="1" t="str">
        <f t="shared" si="56"/>
        <v/>
      </c>
      <c r="J428" s="1">
        <f t="shared" si="57"/>
        <v>0</v>
      </c>
      <c r="K428" s="1" t="str">
        <f t="shared" si="58"/>
        <v/>
      </c>
      <c r="L428" s="1">
        <f t="shared" si="59"/>
        <v>0</v>
      </c>
      <c r="M428" s="1">
        <f t="shared" si="60"/>
        <v>0</v>
      </c>
      <c r="N428" s="1">
        <f t="shared" si="61"/>
        <v>0</v>
      </c>
      <c r="O428" s="1" t="b">
        <f t="shared" si="62"/>
        <v>0</v>
      </c>
      <c r="P428" s="1" t="e">
        <f>INDEX(G:G,MATCH(G428,G:G,0))</f>
        <v>#N/A</v>
      </c>
      <c r="Q428" s="1" t="e">
        <f t="shared" si="63"/>
        <v>#N/A</v>
      </c>
      <c r="R428" s="1" t="e">
        <f>INDEX('6.0.35'!I:I,MATCH(F428,'6.0.35'!K:K,0))</f>
        <v>#N/A</v>
      </c>
      <c r="S428" s="1" t="e">
        <f>INDEX('6.0.35'!J:J,MATCH(F428,'6.0.35'!F:F,0))</f>
        <v>#N/A</v>
      </c>
    </row>
    <row r="429" spans="1:19">
      <c r="A429" t="s">
        <v>14098</v>
      </c>
      <c r="I429" s="1" t="str">
        <f t="shared" si="56"/>
        <v/>
      </c>
      <c r="J429" s="1">
        <f t="shared" si="57"/>
        <v>0</v>
      </c>
      <c r="K429" s="1" t="str">
        <f t="shared" si="58"/>
        <v/>
      </c>
      <c r="L429" s="1">
        <f t="shared" si="59"/>
        <v>0</v>
      </c>
      <c r="M429" s="1">
        <f t="shared" si="60"/>
        <v>0</v>
      </c>
      <c r="N429" s="1">
        <f t="shared" si="61"/>
        <v>0</v>
      </c>
      <c r="O429" s="1" t="b">
        <f t="shared" si="62"/>
        <v>0</v>
      </c>
      <c r="P429" s="1" t="e">
        <f>INDEX(G:G,MATCH(G429,G:G,0))</f>
        <v>#N/A</v>
      </c>
      <c r="Q429" s="1" t="e">
        <f t="shared" si="63"/>
        <v>#N/A</v>
      </c>
      <c r="R429" s="1" t="e">
        <f>INDEX('6.0.35'!I:I,MATCH(F429,'6.0.35'!K:K,0))</f>
        <v>#N/A</v>
      </c>
      <c r="S429" s="1" t="e">
        <f>INDEX('6.0.35'!J:J,MATCH(F429,'6.0.35'!F:F,0))</f>
        <v>#N/A</v>
      </c>
    </row>
    <row r="430" spans="1:19">
      <c r="A430" t="s">
        <v>14101</v>
      </c>
      <c r="I430" s="1" t="str">
        <f t="shared" si="56"/>
        <v/>
      </c>
      <c r="J430" s="1">
        <f t="shared" si="57"/>
        <v>0</v>
      </c>
      <c r="K430" s="1" t="str">
        <f t="shared" si="58"/>
        <v/>
      </c>
      <c r="L430" s="1">
        <f t="shared" si="59"/>
        <v>0</v>
      </c>
      <c r="M430" s="1">
        <f t="shared" si="60"/>
        <v>0</v>
      </c>
      <c r="N430" s="1">
        <f t="shared" si="61"/>
        <v>0</v>
      </c>
      <c r="O430" s="1" t="b">
        <f t="shared" si="62"/>
        <v>0</v>
      </c>
      <c r="P430" s="1" t="e">
        <f>INDEX(G:G,MATCH(G430,G:G,0))</f>
        <v>#N/A</v>
      </c>
      <c r="Q430" s="1" t="e">
        <f t="shared" si="63"/>
        <v>#N/A</v>
      </c>
      <c r="R430" s="1" t="e">
        <f>INDEX('6.0.35'!I:I,MATCH(F430,'6.0.35'!K:K,0))</f>
        <v>#N/A</v>
      </c>
      <c r="S430" s="1" t="e">
        <f>INDEX('6.0.35'!J:J,MATCH(F430,'6.0.35'!F:F,0))</f>
        <v>#N/A</v>
      </c>
    </row>
    <row r="431" spans="1:19">
      <c r="A431" t="s">
        <v>14104</v>
      </c>
      <c r="I431" s="1" t="str">
        <f t="shared" si="56"/>
        <v/>
      </c>
      <c r="J431" s="1">
        <f t="shared" si="57"/>
        <v>0</v>
      </c>
      <c r="K431" s="1" t="str">
        <f t="shared" si="58"/>
        <v/>
      </c>
      <c r="L431" s="1">
        <f t="shared" si="59"/>
        <v>0</v>
      </c>
      <c r="M431" s="1">
        <f t="shared" si="60"/>
        <v>0</v>
      </c>
      <c r="N431" s="1">
        <f t="shared" si="61"/>
        <v>0</v>
      </c>
      <c r="O431" s="1" t="b">
        <f t="shared" si="62"/>
        <v>0</v>
      </c>
      <c r="P431" s="1" t="e">
        <f>INDEX(G:G,MATCH(G431,G:G,0))</f>
        <v>#N/A</v>
      </c>
      <c r="Q431" s="1" t="e">
        <f t="shared" si="63"/>
        <v>#N/A</v>
      </c>
      <c r="R431" s="1" t="e">
        <f>INDEX('6.0.35'!I:I,MATCH(F431,'6.0.35'!K:K,0))</f>
        <v>#N/A</v>
      </c>
      <c r="S431" s="1" t="e">
        <f>INDEX('6.0.35'!J:J,MATCH(F431,'6.0.35'!F:F,0))</f>
        <v>#N/A</v>
      </c>
    </row>
    <row r="432" spans="1:19">
      <c r="A432" t="s">
        <v>14108</v>
      </c>
      <c r="I432" s="1" t="str">
        <f t="shared" si="56"/>
        <v/>
      </c>
      <c r="J432" s="1">
        <f t="shared" si="57"/>
        <v>0</v>
      </c>
      <c r="K432" s="1" t="str">
        <f t="shared" si="58"/>
        <v/>
      </c>
      <c r="L432" s="1">
        <f t="shared" si="59"/>
        <v>0</v>
      </c>
      <c r="M432" s="1">
        <f t="shared" si="60"/>
        <v>0</v>
      </c>
      <c r="N432" s="1">
        <f t="shared" si="61"/>
        <v>0</v>
      </c>
      <c r="O432" s="1" t="b">
        <f t="shared" si="62"/>
        <v>0</v>
      </c>
      <c r="P432" s="1" t="e">
        <f>INDEX(G:G,MATCH(G432,G:G,0))</f>
        <v>#N/A</v>
      </c>
      <c r="Q432" s="1" t="e">
        <f t="shared" si="63"/>
        <v>#N/A</v>
      </c>
      <c r="R432" s="1" t="e">
        <f>INDEX('6.0.35'!I:I,MATCH(F432,'6.0.35'!K:K,0))</f>
        <v>#N/A</v>
      </c>
      <c r="S432" s="1" t="e">
        <f>INDEX('6.0.35'!J:J,MATCH(F432,'6.0.35'!F:F,0))</f>
        <v>#N/A</v>
      </c>
    </row>
    <row r="433" spans="1:19">
      <c r="A433" t="s">
        <v>14112</v>
      </c>
      <c r="I433" s="1" t="str">
        <f t="shared" si="56"/>
        <v/>
      </c>
      <c r="J433" s="1">
        <f t="shared" si="57"/>
        <v>0</v>
      </c>
      <c r="K433" s="1" t="str">
        <f t="shared" si="58"/>
        <v/>
      </c>
      <c r="L433" s="1">
        <f t="shared" si="59"/>
        <v>0</v>
      </c>
      <c r="M433" s="1">
        <f t="shared" si="60"/>
        <v>0</v>
      </c>
      <c r="N433" s="1">
        <f t="shared" si="61"/>
        <v>0</v>
      </c>
      <c r="O433" s="1" t="b">
        <f t="shared" si="62"/>
        <v>0</v>
      </c>
      <c r="P433" s="1" t="e">
        <f>INDEX(G:G,MATCH(G433,G:G,0))</f>
        <v>#N/A</v>
      </c>
      <c r="Q433" s="1" t="e">
        <f t="shared" si="63"/>
        <v>#N/A</v>
      </c>
      <c r="R433" s="1" t="e">
        <f>INDEX('6.0.35'!I:I,MATCH(F433,'6.0.35'!K:K,0))</f>
        <v>#N/A</v>
      </c>
      <c r="S433" s="1" t="e">
        <f>INDEX('6.0.35'!J:J,MATCH(F433,'6.0.35'!F:F,0))</f>
        <v>#N/A</v>
      </c>
    </row>
    <row r="434" spans="1:19">
      <c r="A434" t="s">
        <v>14116</v>
      </c>
      <c r="I434" s="1" t="str">
        <f t="shared" si="56"/>
        <v/>
      </c>
      <c r="J434" s="1">
        <f t="shared" si="57"/>
        <v>0</v>
      </c>
      <c r="K434" s="1" t="str">
        <f t="shared" si="58"/>
        <v/>
      </c>
      <c r="L434" s="1">
        <f t="shared" si="59"/>
        <v>0</v>
      </c>
      <c r="M434" s="1">
        <f t="shared" si="60"/>
        <v>0</v>
      </c>
      <c r="N434" s="1">
        <f t="shared" si="61"/>
        <v>0</v>
      </c>
      <c r="O434" s="1" t="b">
        <f t="shared" si="62"/>
        <v>0</v>
      </c>
      <c r="P434" s="1" t="e">
        <f>INDEX(G:G,MATCH(G434,G:G,0))</f>
        <v>#N/A</v>
      </c>
      <c r="Q434" s="1" t="e">
        <f t="shared" si="63"/>
        <v>#N/A</v>
      </c>
      <c r="R434" s="1" t="e">
        <f>INDEX('6.0.35'!I:I,MATCH(F434,'6.0.35'!K:K,0))</f>
        <v>#N/A</v>
      </c>
      <c r="S434" s="1" t="e">
        <f>INDEX('6.0.35'!J:J,MATCH(F434,'6.0.35'!F:F,0))</f>
        <v>#N/A</v>
      </c>
    </row>
    <row r="435" spans="1:19">
      <c r="A435" t="s">
        <v>14120</v>
      </c>
      <c r="I435" s="1" t="str">
        <f t="shared" si="56"/>
        <v/>
      </c>
      <c r="J435" s="1">
        <f t="shared" si="57"/>
        <v>0</v>
      </c>
      <c r="K435" s="1" t="str">
        <f t="shared" si="58"/>
        <v/>
      </c>
      <c r="L435" s="1">
        <f t="shared" si="59"/>
        <v>0</v>
      </c>
      <c r="M435" s="1">
        <f t="shared" si="60"/>
        <v>0</v>
      </c>
      <c r="N435" s="1">
        <f t="shared" si="61"/>
        <v>0</v>
      </c>
      <c r="O435" s="1" t="b">
        <f t="shared" si="62"/>
        <v>0</v>
      </c>
      <c r="P435" s="1" t="e">
        <f>INDEX(G:G,MATCH(G435,G:G,0))</f>
        <v>#N/A</v>
      </c>
      <c r="Q435" s="1" t="e">
        <f t="shared" si="63"/>
        <v>#N/A</v>
      </c>
      <c r="R435" s="1" t="e">
        <f>INDEX('6.0.35'!I:I,MATCH(F435,'6.0.35'!K:K,0))</f>
        <v>#N/A</v>
      </c>
      <c r="S435" s="1" t="e">
        <f>INDEX('6.0.35'!J:J,MATCH(F435,'6.0.35'!F:F,0))</f>
        <v>#N/A</v>
      </c>
    </row>
    <row r="436" spans="1:19">
      <c r="A436" t="s">
        <v>14124</v>
      </c>
      <c r="I436" s="1" t="str">
        <f t="shared" si="56"/>
        <v/>
      </c>
      <c r="J436" s="1">
        <f t="shared" si="57"/>
        <v>0</v>
      </c>
      <c r="K436" s="1" t="str">
        <f t="shared" si="58"/>
        <v/>
      </c>
      <c r="L436" s="1">
        <f t="shared" si="59"/>
        <v>0</v>
      </c>
      <c r="M436" s="1">
        <f t="shared" si="60"/>
        <v>0</v>
      </c>
      <c r="N436" s="1">
        <f t="shared" si="61"/>
        <v>0</v>
      </c>
      <c r="O436" s="1" t="b">
        <f t="shared" si="62"/>
        <v>0</v>
      </c>
      <c r="P436" s="1" t="e">
        <f>INDEX(G:G,MATCH(G436,G:G,0))</f>
        <v>#N/A</v>
      </c>
      <c r="Q436" s="1" t="e">
        <f t="shared" si="63"/>
        <v>#N/A</v>
      </c>
      <c r="R436" s="1" t="e">
        <f>INDEX('6.0.35'!I:I,MATCH(F436,'6.0.35'!K:K,0))</f>
        <v>#N/A</v>
      </c>
      <c r="S436" s="1" t="e">
        <f>INDEX('6.0.35'!J:J,MATCH(F436,'6.0.35'!F:F,0))</f>
        <v>#N/A</v>
      </c>
    </row>
    <row r="437" spans="1:19">
      <c r="A437" t="s">
        <v>14128</v>
      </c>
      <c r="I437" s="1" t="str">
        <f t="shared" si="56"/>
        <v/>
      </c>
      <c r="J437" s="1">
        <f t="shared" si="57"/>
        <v>0</v>
      </c>
      <c r="K437" s="1" t="str">
        <f t="shared" si="58"/>
        <v/>
      </c>
      <c r="L437" s="1">
        <f t="shared" si="59"/>
        <v>0</v>
      </c>
      <c r="M437" s="1">
        <f t="shared" si="60"/>
        <v>0</v>
      </c>
      <c r="N437" s="1">
        <f t="shared" si="61"/>
        <v>0</v>
      </c>
      <c r="O437" s="1" t="b">
        <f t="shared" si="62"/>
        <v>0</v>
      </c>
      <c r="P437" s="1" t="e">
        <f>INDEX(G:G,MATCH(G437,G:G,0))</f>
        <v>#N/A</v>
      </c>
      <c r="Q437" s="1" t="e">
        <f t="shared" si="63"/>
        <v>#N/A</v>
      </c>
      <c r="R437" s="1" t="e">
        <f>INDEX('6.0.35'!I:I,MATCH(F437,'6.0.35'!K:K,0))</f>
        <v>#N/A</v>
      </c>
      <c r="S437" s="1" t="e">
        <f>INDEX('6.0.35'!J:J,MATCH(F437,'6.0.35'!F:F,0))</f>
        <v>#N/A</v>
      </c>
    </row>
    <row r="438" spans="1:19">
      <c r="A438" t="s">
        <v>14132</v>
      </c>
      <c r="I438" s="1" t="str">
        <f t="shared" si="56"/>
        <v/>
      </c>
      <c r="J438" s="1">
        <f t="shared" si="57"/>
        <v>0</v>
      </c>
      <c r="K438" s="1" t="str">
        <f t="shared" si="58"/>
        <v/>
      </c>
      <c r="L438" s="1">
        <f t="shared" si="59"/>
        <v>0</v>
      </c>
      <c r="M438" s="1">
        <f t="shared" si="60"/>
        <v>0</v>
      </c>
      <c r="N438" s="1">
        <f t="shared" si="61"/>
        <v>0</v>
      </c>
      <c r="O438" s="1" t="b">
        <f t="shared" si="62"/>
        <v>0</v>
      </c>
      <c r="P438" s="1" t="e">
        <f>INDEX(G:G,MATCH(G438,G:G,0))</f>
        <v>#N/A</v>
      </c>
      <c r="Q438" s="1" t="e">
        <f t="shared" si="63"/>
        <v>#N/A</v>
      </c>
      <c r="R438" s="1" t="e">
        <f>INDEX('6.0.35'!I:I,MATCH(F438,'6.0.35'!K:K,0))</f>
        <v>#N/A</v>
      </c>
      <c r="S438" s="1" t="e">
        <f>INDEX('6.0.35'!J:J,MATCH(F438,'6.0.35'!F:F,0))</f>
        <v>#N/A</v>
      </c>
    </row>
    <row r="439" spans="1:19">
      <c r="A439" t="s">
        <v>14136</v>
      </c>
      <c r="I439" s="1" t="str">
        <f t="shared" si="56"/>
        <v/>
      </c>
      <c r="J439" s="1">
        <f t="shared" si="57"/>
        <v>0</v>
      </c>
      <c r="K439" s="1" t="str">
        <f t="shared" si="58"/>
        <v/>
      </c>
      <c r="L439" s="1">
        <f t="shared" si="59"/>
        <v>0</v>
      </c>
      <c r="M439" s="1">
        <f t="shared" si="60"/>
        <v>0</v>
      </c>
      <c r="N439" s="1">
        <f t="shared" si="61"/>
        <v>0</v>
      </c>
      <c r="O439" s="1" t="b">
        <f t="shared" si="62"/>
        <v>0</v>
      </c>
      <c r="P439" s="1" t="e">
        <f>INDEX(G:G,MATCH(G439,G:G,0))</f>
        <v>#N/A</v>
      </c>
      <c r="Q439" s="1" t="e">
        <f t="shared" si="63"/>
        <v>#N/A</v>
      </c>
      <c r="R439" s="1" t="e">
        <f>INDEX('6.0.35'!I:I,MATCH(F439,'6.0.35'!K:K,0))</f>
        <v>#N/A</v>
      </c>
      <c r="S439" s="1" t="e">
        <f>INDEX('6.0.35'!J:J,MATCH(F439,'6.0.35'!F:F,0))</f>
        <v>#N/A</v>
      </c>
    </row>
    <row r="440" spans="1:19">
      <c r="A440" t="s">
        <v>14140</v>
      </c>
      <c r="I440" s="1" t="str">
        <f t="shared" si="56"/>
        <v/>
      </c>
      <c r="J440" s="1">
        <f t="shared" si="57"/>
        <v>0</v>
      </c>
      <c r="K440" s="1" t="str">
        <f t="shared" si="58"/>
        <v/>
      </c>
      <c r="L440" s="1">
        <f t="shared" si="59"/>
        <v>0</v>
      </c>
      <c r="M440" s="1">
        <f t="shared" si="60"/>
        <v>0</v>
      </c>
      <c r="N440" s="1">
        <f t="shared" si="61"/>
        <v>0</v>
      </c>
      <c r="O440" s="1" t="b">
        <f t="shared" si="62"/>
        <v>0</v>
      </c>
      <c r="P440" s="1" t="e">
        <f>INDEX(G:G,MATCH(G440,G:G,0))</f>
        <v>#N/A</v>
      </c>
      <c r="Q440" s="1" t="e">
        <f t="shared" si="63"/>
        <v>#N/A</v>
      </c>
      <c r="R440" s="1" t="e">
        <f>INDEX('6.0.35'!I:I,MATCH(F440,'6.0.35'!K:K,0))</f>
        <v>#N/A</v>
      </c>
      <c r="S440" s="1" t="e">
        <f>INDEX('6.0.35'!J:J,MATCH(F440,'6.0.35'!F:F,0))</f>
        <v>#N/A</v>
      </c>
    </row>
    <row r="441" spans="1:19">
      <c r="A441" t="s">
        <v>14144</v>
      </c>
      <c r="I441" s="1" t="str">
        <f t="shared" si="56"/>
        <v/>
      </c>
      <c r="J441" s="1">
        <f t="shared" si="57"/>
        <v>0</v>
      </c>
      <c r="K441" s="1" t="str">
        <f t="shared" si="58"/>
        <v/>
      </c>
      <c r="L441" s="1">
        <f t="shared" si="59"/>
        <v>0</v>
      </c>
      <c r="M441" s="1">
        <f t="shared" si="60"/>
        <v>0</v>
      </c>
      <c r="N441" s="1">
        <f t="shared" si="61"/>
        <v>0</v>
      </c>
      <c r="O441" s="1" t="b">
        <f t="shared" si="62"/>
        <v>0</v>
      </c>
      <c r="P441" s="1" t="e">
        <f>INDEX(G:G,MATCH(G441,G:G,0))</f>
        <v>#N/A</v>
      </c>
      <c r="Q441" s="1" t="e">
        <f t="shared" si="63"/>
        <v>#N/A</v>
      </c>
      <c r="R441" s="1" t="e">
        <f>INDEX('6.0.35'!I:I,MATCH(F441,'6.0.35'!K:K,0))</f>
        <v>#N/A</v>
      </c>
      <c r="S441" s="1" t="e">
        <f>INDEX('6.0.35'!J:J,MATCH(F441,'6.0.35'!F:F,0))</f>
        <v>#N/A</v>
      </c>
    </row>
    <row r="442" spans="1:19">
      <c r="A442" t="s">
        <v>14148</v>
      </c>
      <c r="I442" s="1" t="str">
        <f t="shared" ref="I442:I505" si="64">IFERROR(IF(OR(MID(G442,FIND(":",G442)-1,1)="""",MID(G442,FIND(":",G442)-1,1)="}",MID(G442,FIND(":",G442)-1,1)=")",MID(G442,FIND(":",G442)-1,1)="]"),"",RIGHT(G442,LEN(G442)-FIND(":",G442)-1)),"")</f>
        <v/>
      </c>
      <c r="J442" s="1">
        <f t="shared" ref="J442:J505" si="65">IF(AND(I442="",H442=""),G442,IF(H442="",I442,H442&amp;": "&amp;I442))</f>
        <v>0</v>
      </c>
      <c r="K442" s="1" t="str">
        <f t="shared" ref="K442:K505" si="66">IFERROR(IF(OR(MID(F442,FIND(":",F442)-1,1)="""",MID(F442,FIND(":",F442)-1,1)="}",MID(F442,FIND(":",F442)-1,1)=")",MID(F442,FIND(":",F442)-1,1)="]"),"",RIGHT(F442,LEN(F442)-FIND(":",F442)-1)),"")</f>
        <v/>
      </c>
      <c r="L442" s="1">
        <f t="shared" ref="L442:L505" si="67">LEN(F442)-LEN(SUBSTITUTE(F442,":",""))</f>
        <v>0</v>
      </c>
      <c r="M442" s="1">
        <f t="shared" ref="M442:M505" si="68">LEN(G442)-LEN(SUBSTITUTE(G442,":",""))</f>
        <v>0</v>
      </c>
      <c r="N442" s="1">
        <f t="shared" ref="N442:N505" si="69">LEN(G442)-LEN(SUBSTITUTE(G442,"：",""))</f>
        <v>0</v>
      </c>
      <c r="O442" s="1" t="b">
        <f t="shared" ref="O442:O505" si="70">IF(M442&gt;=2,MID(G442,FIND(":",G442)+1,LEN(G442)))</f>
        <v>0</v>
      </c>
      <c r="P442" s="1" t="e">
        <f>INDEX(G:G,MATCH(G442,G:G,0))</f>
        <v>#N/A</v>
      </c>
      <c r="Q442" s="1" t="e">
        <f t="shared" ref="Q442:Q505" si="71">IF(P442&lt;&gt;G442,"校验","")</f>
        <v>#N/A</v>
      </c>
      <c r="R442" s="1" t="e">
        <f>INDEX('6.0.35'!I:I,MATCH(F442,'6.0.35'!K:K,0))</f>
        <v>#N/A</v>
      </c>
      <c r="S442" s="1" t="e">
        <f>INDEX('6.0.35'!J:J,MATCH(F442,'6.0.35'!F:F,0))</f>
        <v>#N/A</v>
      </c>
    </row>
    <row r="443" spans="1:19">
      <c r="A443" t="s">
        <v>14152</v>
      </c>
      <c r="I443" s="1" t="str">
        <f t="shared" si="64"/>
        <v/>
      </c>
      <c r="J443" s="1">
        <f t="shared" si="65"/>
        <v>0</v>
      </c>
      <c r="K443" s="1" t="str">
        <f t="shared" si="66"/>
        <v/>
      </c>
      <c r="L443" s="1">
        <f t="shared" si="67"/>
        <v>0</v>
      </c>
      <c r="M443" s="1">
        <f t="shared" si="68"/>
        <v>0</v>
      </c>
      <c r="N443" s="1">
        <f t="shared" si="69"/>
        <v>0</v>
      </c>
      <c r="O443" s="1" t="b">
        <f t="shared" si="70"/>
        <v>0</v>
      </c>
      <c r="P443" s="1" t="e">
        <f>INDEX(G:G,MATCH(G443,G:G,0))</f>
        <v>#N/A</v>
      </c>
      <c r="Q443" s="1" t="e">
        <f t="shared" si="71"/>
        <v>#N/A</v>
      </c>
      <c r="R443" s="1" t="e">
        <f>INDEX('6.0.35'!I:I,MATCH(F443,'6.0.35'!K:K,0))</f>
        <v>#N/A</v>
      </c>
      <c r="S443" s="1" t="e">
        <f>INDEX('6.0.35'!J:J,MATCH(F443,'6.0.35'!F:F,0))</f>
        <v>#N/A</v>
      </c>
    </row>
    <row r="444" spans="1:19">
      <c r="A444" t="s">
        <v>14156</v>
      </c>
      <c r="I444" s="1" t="str">
        <f t="shared" si="64"/>
        <v/>
      </c>
      <c r="J444" s="1">
        <f t="shared" si="65"/>
        <v>0</v>
      </c>
      <c r="K444" s="1" t="str">
        <f t="shared" si="66"/>
        <v/>
      </c>
      <c r="L444" s="1">
        <f t="shared" si="67"/>
        <v>0</v>
      </c>
      <c r="M444" s="1">
        <f t="shared" si="68"/>
        <v>0</v>
      </c>
      <c r="N444" s="1">
        <f t="shared" si="69"/>
        <v>0</v>
      </c>
      <c r="O444" s="1" t="b">
        <f t="shared" si="70"/>
        <v>0</v>
      </c>
      <c r="P444" s="1" t="e">
        <f>INDEX(G:G,MATCH(G444,G:G,0))</f>
        <v>#N/A</v>
      </c>
      <c r="Q444" s="1" t="e">
        <f t="shared" si="71"/>
        <v>#N/A</v>
      </c>
      <c r="R444" s="1" t="e">
        <f>INDEX('6.0.35'!I:I,MATCH(F444,'6.0.35'!K:K,0))</f>
        <v>#N/A</v>
      </c>
      <c r="S444" s="1" t="e">
        <f>INDEX('6.0.35'!J:J,MATCH(F444,'6.0.35'!F:F,0))</f>
        <v>#N/A</v>
      </c>
    </row>
    <row r="445" spans="1:19">
      <c r="A445" t="s">
        <v>14160</v>
      </c>
      <c r="I445" s="1" t="str">
        <f t="shared" si="64"/>
        <v/>
      </c>
      <c r="J445" s="1">
        <f t="shared" si="65"/>
        <v>0</v>
      </c>
      <c r="K445" s="1" t="str">
        <f t="shared" si="66"/>
        <v/>
      </c>
      <c r="L445" s="1">
        <f t="shared" si="67"/>
        <v>0</v>
      </c>
      <c r="M445" s="1">
        <f t="shared" si="68"/>
        <v>0</v>
      </c>
      <c r="N445" s="1">
        <f t="shared" si="69"/>
        <v>0</v>
      </c>
      <c r="O445" s="1" t="b">
        <f t="shared" si="70"/>
        <v>0</v>
      </c>
      <c r="P445" s="1" t="e">
        <f>INDEX(G:G,MATCH(G445,G:G,0))</f>
        <v>#N/A</v>
      </c>
      <c r="Q445" s="1" t="e">
        <f t="shared" si="71"/>
        <v>#N/A</v>
      </c>
      <c r="R445" s="1" t="e">
        <f>INDEX('6.0.35'!I:I,MATCH(F445,'6.0.35'!K:K,0))</f>
        <v>#N/A</v>
      </c>
      <c r="S445" s="1" t="e">
        <f>INDEX('6.0.35'!J:J,MATCH(F445,'6.0.35'!F:F,0))</f>
        <v>#N/A</v>
      </c>
    </row>
    <row r="446" spans="1:19">
      <c r="A446" t="s">
        <v>14164</v>
      </c>
      <c r="I446" s="1" t="str">
        <f t="shared" si="64"/>
        <v/>
      </c>
      <c r="J446" s="1">
        <f t="shared" si="65"/>
        <v>0</v>
      </c>
      <c r="K446" s="1" t="str">
        <f t="shared" si="66"/>
        <v/>
      </c>
      <c r="L446" s="1">
        <f t="shared" si="67"/>
        <v>0</v>
      </c>
      <c r="M446" s="1">
        <f t="shared" si="68"/>
        <v>0</v>
      </c>
      <c r="N446" s="1">
        <f t="shared" si="69"/>
        <v>0</v>
      </c>
      <c r="O446" s="1" t="b">
        <f t="shared" si="70"/>
        <v>0</v>
      </c>
      <c r="P446" s="1" t="e">
        <f>INDEX(G:G,MATCH(G446,G:G,0))</f>
        <v>#N/A</v>
      </c>
      <c r="Q446" s="1" t="e">
        <f t="shared" si="71"/>
        <v>#N/A</v>
      </c>
      <c r="R446" s="1" t="e">
        <f>INDEX('6.0.35'!I:I,MATCH(F446,'6.0.35'!K:K,0))</f>
        <v>#N/A</v>
      </c>
      <c r="S446" s="1" t="e">
        <f>INDEX('6.0.35'!J:J,MATCH(F446,'6.0.35'!F:F,0))</f>
        <v>#N/A</v>
      </c>
    </row>
    <row r="447" spans="1:19">
      <c r="A447" t="s">
        <v>14168</v>
      </c>
      <c r="I447" s="1" t="str">
        <f t="shared" si="64"/>
        <v/>
      </c>
      <c r="J447" s="1">
        <f t="shared" si="65"/>
        <v>0</v>
      </c>
      <c r="K447" s="1" t="str">
        <f t="shared" si="66"/>
        <v/>
      </c>
      <c r="L447" s="1">
        <f t="shared" si="67"/>
        <v>0</v>
      </c>
      <c r="M447" s="1">
        <f t="shared" si="68"/>
        <v>0</v>
      </c>
      <c r="N447" s="1">
        <f t="shared" si="69"/>
        <v>0</v>
      </c>
      <c r="O447" s="1" t="b">
        <f t="shared" si="70"/>
        <v>0</v>
      </c>
      <c r="P447" s="1" t="e">
        <f>INDEX(G:G,MATCH(G447,G:G,0))</f>
        <v>#N/A</v>
      </c>
      <c r="Q447" s="1" t="e">
        <f t="shared" si="71"/>
        <v>#N/A</v>
      </c>
      <c r="R447" s="1" t="e">
        <f>INDEX('6.0.35'!I:I,MATCH(F447,'6.0.35'!K:K,0))</f>
        <v>#N/A</v>
      </c>
      <c r="S447" s="1" t="e">
        <f>INDEX('6.0.35'!J:J,MATCH(F447,'6.0.35'!F:F,0))</f>
        <v>#N/A</v>
      </c>
    </row>
    <row r="448" spans="1:19">
      <c r="A448" t="s">
        <v>14172</v>
      </c>
      <c r="I448" s="1" t="str">
        <f t="shared" si="64"/>
        <v/>
      </c>
      <c r="J448" s="1">
        <f t="shared" si="65"/>
        <v>0</v>
      </c>
      <c r="K448" s="1" t="str">
        <f t="shared" si="66"/>
        <v/>
      </c>
      <c r="L448" s="1">
        <f t="shared" si="67"/>
        <v>0</v>
      </c>
      <c r="M448" s="1">
        <f t="shared" si="68"/>
        <v>0</v>
      </c>
      <c r="N448" s="1">
        <f t="shared" si="69"/>
        <v>0</v>
      </c>
      <c r="O448" s="1" t="b">
        <f t="shared" si="70"/>
        <v>0</v>
      </c>
      <c r="P448" s="1" t="e">
        <f>INDEX(G:G,MATCH(G448,G:G,0))</f>
        <v>#N/A</v>
      </c>
      <c r="Q448" s="1" t="e">
        <f t="shared" si="71"/>
        <v>#N/A</v>
      </c>
      <c r="R448" s="1" t="e">
        <f>INDEX('6.0.35'!I:I,MATCH(F448,'6.0.35'!K:K,0))</f>
        <v>#N/A</v>
      </c>
      <c r="S448" s="1" t="e">
        <f>INDEX('6.0.35'!J:J,MATCH(F448,'6.0.35'!F:F,0))</f>
        <v>#N/A</v>
      </c>
    </row>
    <row r="449" spans="1:19">
      <c r="A449" t="s">
        <v>14176</v>
      </c>
      <c r="I449" s="1" t="str">
        <f t="shared" si="64"/>
        <v/>
      </c>
      <c r="J449" s="1">
        <f t="shared" si="65"/>
        <v>0</v>
      </c>
      <c r="K449" s="1" t="str">
        <f t="shared" si="66"/>
        <v/>
      </c>
      <c r="L449" s="1">
        <f t="shared" si="67"/>
        <v>0</v>
      </c>
      <c r="M449" s="1">
        <f t="shared" si="68"/>
        <v>0</v>
      </c>
      <c r="N449" s="1">
        <f t="shared" si="69"/>
        <v>0</v>
      </c>
      <c r="O449" s="1" t="b">
        <f t="shared" si="70"/>
        <v>0</v>
      </c>
      <c r="P449" s="1" t="e">
        <f>INDEX(G:G,MATCH(G449,G:G,0))</f>
        <v>#N/A</v>
      </c>
      <c r="Q449" s="1" t="e">
        <f t="shared" si="71"/>
        <v>#N/A</v>
      </c>
      <c r="R449" s="1" t="e">
        <f>INDEX('6.0.35'!I:I,MATCH(F449,'6.0.35'!K:K,0))</f>
        <v>#N/A</v>
      </c>
      <c r="S449" s="1" t="e">
        <f>INDEX('6.0.35'!J:J,MATCH(F449,'6.0.35'!F:F,0))</f>
        <v>#N/A</v>
      </c>
    </row>
    <row r="450" spans="1:19">
      <c r="A450" t="s">
        <v>14180</v>
      </c>
      <c r="I450" s="1" t="str">
        <f t="shared" si="64"/>
        <v/>
      </c>
      <c r="J450" s="1">
        <f t="shared" si="65"/>
        <v>0</v>
      </c>
      <c r="K450" s="1" t="str">
        <f t="shared" si="66"/>
        <v/>
      </c>
      <c r="L450" s="1">
        <f t="shared" si="67"/>
        <v>0</v>
      </c>
      <c r="M450" s="1">
        <f t="shared" si="68"/>
        <v>0</v>
      </c>
      <c r="N450" s="1">
        <f t="shared" si="69"/>
        <v>0</v>
      </c>
      <c r="O450" s="1" t="b">
        <f t="shared" si="70"/>
        <v>0</v>
      </c>
      <c r="P450" s="1" t="e">
        <f>INDEX(G:G,MATCH(G450,G:G,0))</f>
        <v>#N/A</v>
      </c>
      <c r="Q450" s="1" t="e">
        <f t="shared" si="71"/>
        <v>#N/A</v>
      </c>
      <c r="R450" s="1" t="e">
        <f>INDEX('6.0.35'!I:I,MATCH(F450,'6.0.35'!K:K,0))</f>
        <v>#N/A</v>
      </c>
      <c r="S450" s="1" t="e">
        <f>INDEX('6.0.35'!J:J,MATCH(F450,'6.0.35'!F:F,0))</f>
        <v>#N/A</v>
      </c>
    </row>
    <row r="451" spans="1:19">
      <c r="A451" t="s">
        <v>14184</v>
      </c>
      <c r="I451" s="1" t="str">
        <f t="shared" si="64"/>
        <v/>
      </c>
      <c r="J451" s="1">
        <f t="shared" si="65"/>
        <v>0</v>
      </c>
      <c r="K451" s="1" t="str">
        <f t="shared" si="66"/>
        <v/>
      </c>
      <c r="L451" s="1">
        <f t="shared" si="67"/>
        <v>0</v>
      </c>
      <c r="M451" s="1">
        <f t="shared" si="68"/>
        <v>0</v>
      </c>
      <c r="N451" s="1">
        <f t="shared" si="69"/>
        <v>0</v>
      </c>
      <c r="O451" s="1" t="b">
        <f t="shared" si="70"/>
        <v>0</v>
      </c>
      <c r="P451" s="1" t="e">
        <f>INDEX(G:G,MATCH(G451,G:G,0))</f>
        <v>#N/A</v>
      </c>
      <c r="Q451" s="1" t="e">
        <f t="shared" si="71"/>
        <v>#N/A</v>
      </c>
      <c r="R451" s="1" t="e">
        <f>INDEX('6.0.35'!I:I,MATCH(F451,'6.0.35'!K:K,0))</f>
        <v>#N/A</v>
      </c>
      <c r="S451" s="1" t="e">
        <f>INDEX('6.0.35'!J:J,MATCH(F451,'6.0.35'!F:F,0))</f>
        <v>#N/A</v>
      </c>
    </row>
    <row r="452" spans="1:19">
      <c r="A452" t="s">
        <v>14188</v>
      </c>
      <c r="I452" s="1" t="str">
        <f t="shared" si="64"/>
        <v/>
      </c>
      <c r="J452" s="1">
        <f t="shared" si="65"/>
        <v>0</v>
      </c>
      <c r="K452" s="1" t="str">
        <f t="shared" si="66"/>
        <v/>
      </c>
      <c r="L452" s="1">
        <f t="shared" si="67"/>
        <v>0</v>
      </c>
      <c r="M452" s="1">
        <f t="shared" si="68"/>
        <v>0</v>
      </c>
      <c r="N452" s="1">
        <f t="shared" si="69"/>
        <v>0</v>
      </c>
      <c r="O452" s="1" t="b">
        <f t="shared" si="70"/>
        <v>0</v>
      </c>
      <c r="P452" s="1" t="e">
        <f>INDEX(G:G,MATCH(G452,G:G,0))</f>
        <v>#N/A</v>
      </c>
      <c r="Q452" s="1" t="e">
        <f t="shared" si="71"/>
        <v>#N/A</v>
      </c>
      <c r="R452" s="1" t="e">
        <f>INDEX('6.0.35'!I:I,MATCH(F452,'6.0.35'!K:K,0))</f>
        <v>#N/A</v>
      </c>
      <c r="S452" s="1" t="e">
        <f>INDEX('6.0.35'!J:J,MATCH(F452,'6.0.35'!F:F,0))</f>
        <v>#N/A</v>
      </c>
    </row>
    <row r="453" spans="1:19">
      <c r="A453" t="s">
        <v>14191</v>
      </c>
      <c r="I453" s="1" t="str">
        <f t="shared" si="64"/>
        <v/>
      </c>
      <c r="J453" s="1">
        <f t="shared" si="65"/>
        <v>0</v>
      </c>
      <c r="K453" s="1" t="str">
        <f t="shared" si="66"/>
        <v/>
      </c>
      <c r="L453" s="1">
        <f t="shared" si="67"/>
        <v>0</v>
      </c>
      <c r="M453" s="1">
        <f t="shared" si="68"/>
        <v>0</v>
      </c>
      <c r="N453" s="1">
        <f t="shared" si="69"/>
        <v>0</v>
      </c>
      <c r="O453" s="1" t="b">
        <f t="shared" si="70"/>
        <v>0</v>
      </c>
      <c r="P453" s="1" t="e">
        <f>INDEX(G:G,MATCH(G453,G:G,0))</f>
        <v>#N/A</v>
      </c>
      <c r="Q453" s="1" t="e">
        <f t="shared" si="71"/>
        <v>#N/A</v>
      </c>
      <c r="R453" s="1" t="e">
        <f>INDEX('6.0.35'!I:I,MATCH(F453,'6.0.35'!K:K,0))</f>
        <v>#N/A</v>
      </c>
      <c r="S453" s="1" t="e">
        <f>INDEX('6.0.35'!J:J,MATCH(F453,'6.0.35'!F:F,0))</f>
        <v>#N/A</v>
      </c>
    </row>
    <row r="454" spans="1:19">
      <c r="A454" t="s">
        <v>14196</v>
      </c>
      <c r="I454" s="1" t="str">
        <f t="shared" si="64"/>
        <v/>
      </c>
      <c r="J454" s="1">
        <f t="shared" si="65"/>
        <v>0</v>
      </c>
      <c r="K454" s="1" t="str">
        <f t="shared" si="66"/>
        <v/>
      </c>
      <c r="L454" s="1">
        <f t="shared" si="67"/>
        <v>0</v>
      </c>
      <c r="M454" s="1">
        <f t="shared" si="68"/>
        <v>0</v>
      </c>
      <c r="N454" s="1">
        <f t="shared" si="69"/>
        <v>0</v>
      </c>
      <c r="O454" s="1" t="b">
        <f t="shared" si="70"/>
        <v>0</v>
      </c>
      <c r="P454" s="1" t="e">
        <f>INDEX(G:G,MATCH(G454,G:G,0))</f>
        <v>#N/A</v>
      </c>
      <c r="Q454" s="1" t="e">
        <f t="shared" si="71"/>
        <v>#N/A</v>
      </c>
      <c r="R454" s="1" t="e">
        <f>INDEX('6.0.35'!I:I,MATCH(F454,'6.0.35'!K:K,0))</f>
        <v>#N/A</v>
      </c>
      <c r="S454" s="1" t="e">
        <f>INDEX('6.0.35'!J:J,MATCH(F454,'6.0.35'!F:F,0))</f>
        <v>#N/A</v>
      </c>
    </row>
    <row r="455" spans="1:19">
      <c r="A455" t="s">
        <v>14199</v>
      </c>
      <c r="I455" s="1" t="str">
        <f t="shared" si="64"/>
        <v/>
      </c>
      <c r="J455" s="1">
        <f t="shared" si="65"/>
        <v>0</v>
      </c>
      <c r="K455" s="1" t="str">
        <f t="shared" si="66"/>
        <v/>
      </c>
      <c r="L455" s="1">
        <f t="shared" si="67"/>
        <v>0</v>
      </c>
      <c r="M455" s="1">
        <f t="shared" si="68"/>
        <v>0</v>
      </c>
      <c r="N455" s="1">
        <f t="shared" si="69"/>
        <v>0</v>
      </c>
      <c r="O455" s="1" t="b">
        <f t="shared" si="70"/>
        <v>0</v>
      </c>
      <c r="P455" s="1" t="e">
        <f>INDEX(G:G,MATCH(G455,G:G,0))</f>
        <v>#N/A</v>
      </c>
      <c r="Q455" s="1" t="e">
        <f t="shared" si="71"/>
        <v>#N/A</v>
      </c>
      <c r="R455" s="1" t="e">
        <f>INDEX('6.0.35'!I:I,MATCH(F455,'6.0.35'!K:K,0))</f>
        <v>#N/A</v>
      </c>
      <c r="S455" s="1" t="e">
        <f>INDEX('6.0.35'!J:J,MATCH(F455,'6.0.35'!F:F,0))</f>
        <v>#N/A</v>
      </c>
    </row>
    <row r="456" spans="1:19">
      <c r="A456" t="s">
        <v>14202</v>
      </c>
      <c r="I456" s="1" t="str">
        <f t="shared" si="64"/>
        <v/>
      </c>
      <c r="J456" s="1">
        <f t="shared" si="65"/>
        <v>0</v>
      </c>
      <c r="K456" s="1" t="str">
        <f t="shared" si="66"/>
        <v/>
      </c>
      <c r="L456" s="1">
        <f t="shared" si="67"/>
        <v>0</v>
      </c>
      <c r="M456" s="1">
        <f t="shared" si="68"/>
        <v>0</v>
      </c>
      <c r="N456" s="1">
        <f t="shared" si="69"/>
        <v>0</v>
      </c>
      <c r="O456" s="1" t="b">
        <f t="shared" si="70"/>
        <v>0</v>
      </c>
      <c r="P456" s="1" t="e">
        <f>INDEX(G:G,MATCH(G456,G:G,0))</f>
        <v>#N/A</v>
      </c>
      <c r="Q456" s="1" t="e">
        <f t="shared" si="71"/>
        <v>#N/A</v>
      </c>
      <c r="R456" s="1" t="e">
        <f>INDEX('6.0.35'!I:I,MATCH(F456,'6.0.35'!K:K,0))</f>
        <v>#N/A</v>
      </c>
      <c r="S456" s="1" t="e">
        <f>INDEX('6.0.35'!J:J,MATCH(F456,'6.0.35'!F:F,0))</f>
        <v>#N/A</v>
      </c>
    </row>
    <row r="457" spans="1:19">
      <c r="A457" t="s">
        <v>14205</v>
      </c>
      <c r="I457" s="1" t="str">
        <f t="shared" si="64"/>
        <v/>
      </c>
      <c r="J457" s="1">
        <f t="shared" si="65"/>
        <v>0</v>
      </c>
      <c r="K457" s="1" t="str">
        <f t="shared" si="66"/>
        <v/>
      </c>
      <c r="L457" s="1">
        <f t="shared" si="67"/>
        <v>0</v>
      </c>
      <c r="M457" s="1">
        <f t="shared" si="68"/>
        <v>0</v>
      </c>
      <c r="N457" s="1">
        <f t="shared" si="69"/>
        <v>0</v>
      </c>
      <c r="O457" s="1" t="b">
        <f t="shared" si="70"/>
        <v>0</v>
      </c>
      <c r="P457" s="1" t="e">
        <f>INDEX(G:G,MATCH(G457,G:G,0))</f>
        <v>#N/A</v>
      </c>
      <c r="Q457" s="1" t="e">
        <f t="shared" si="71"/>
        <v>#N/A</v>
      </c>
      <c r="R457" s="1" t="e">
        <f>INDEX('6.0.35'!I:I,MATCH(F457,'6.0.35'!K:K,0))</f>
        <v>#N/A</v>
      </c>
      <c r="S457" s="1" t="e">
        <f>INDEX('6.0.35'!J:J,MATCH(F457,'6.0.35'!F:F,0))</f>
        <v>#N/A</v>
      </c>
    </row>
    <row r="458" spans="1:19">
      <c r="A458" t="s">
        <v>14208</v>
      </c>
      <c r="I458" s="1" t="str">
        <f t="shared" si="64"/>
        <v/>
      </c>
      <c r="J458" s="1">
        <f t="shared" si="65"/>
        <v>0</v>
      </c>
      <c r="K458" s="1" t="str">
        <f t="shared" si="66"/>
        <v/>
      </c>
      <c r="L458" s="1">
        <f t="shared" si="67"/>
        <v>0</v>
      </c>
      <c r="M458" s="1">
        <f t="shared" si="68"/>
        <v>0</v>
      </c>
      <c r="N458" s="1">
        <f t="shared" si="69"/>
        <v>0</v>
      </c>
      <c r="O458" s="1" t="b">
        <f t="shared" si="70"/>
        <v>0</v>
      </c>
      <c r="P458" s="1" t="e">
        <f>INDEX(G:G,MATCH(G458,G:G,0))</f>
        <v>#N/A</v>
      </c>
      <c r="Q458" s="1" t="e">
        <f t="shared" si="71"/>
        <v>#N/A</v>
      </c>
      <c r="R458" s="1" t="e">
        <f>INDEX('6.0.35'!I:I,MATCH(F458,'6.0.35'!K:K,0))</f>
        <v>#N/A</v>
      </c>
      <c r="S458" s="1" t="e">
        <f>INDEX('6.0.35'!J:J,MATCH(F458,'6.0.35'!F:F,0))</f>
        <v>#N/A</v>
      </c>
    </row>
    <row r="459" spans="1:19">
      <c r="A459" t="s">
        <v>14211</v>
      </c>
      <c r="I459" s="1" t="str">
        <f t="shared" si="64"/>
        <v/>
      </c>
      <c r="J459" s="1">
        <f t="shared" si="65"/>
        <v>0</v>
      </c>
      <c r="K459" s="1" t="str">
        <f t="shared" si="66"/>
        <v/>
      </c>
      <c r="L459" s="1">
        <f t="shared" si="67"/>
        <v>0</v>
      </c>
      <c r="M459" s="1">
        <f t="shared" si="68"/>
        <v>0</v>
      </c>
      <c r="N459" s="1">
        <f t="shared" si="69"/>
        <v>0</v>
      </c>
      <c r="O459" s="1" t="b">
        <f t="shared" si="70"/>
        <v>0</v>
      </c>
      <c r="P459" s="1" t="e">
        <f>INDEX(G:G,MATCH(G459,G:G,0))</f>
        <v>#N/A</v>
      </c>
      <c r="Q459" s="1" t="e">
        <f t="shared" si="71"/>
        <v>#N/A</v>
      </c>
      <c r="R459" s="1" t="e">
        <f>INDEX('6.0.35'!I:I,MATCH(F459,'6.0.35'!K:K,0))</f>
        <v>#N/A</v>
      </c>
      <c r="S459" s="1" t="e">
        <f>INDEX('6.0.35'!J:J,MATCH(F459,'6.0.35'!F:F,0))</f>
        <v>#N/A</v>
      </c>
    </row>
    <row r="460" spans="1:19">
      <c r="A460" t="s">
        <v>14214</v>
      </c>
      <c r="I460" s="1" t="str">
        <f t="shared" si="64"/>
        <v/>
      </c>
      <c r="J460" s="1">
        <f t="shared" si="65"/>
        <v>0</v>
      </c>
      <c r="K460" s="1" t="str">
        <f t="shared" si="66"/>
        <v/>
      </c>
      <c r="L460" s="1">
        <f t="shared" si="67"/>
        <v>0</v>
      </c>
      <c r="M460" s="1">
        <f t="shared" si="68"/>
        <v>0</v>
      </c>
      <c r="N460" s="1">
        <f t="shared" si="69"/>
        <v>0</v>
      </c>
      <c r="O460" s="1" t="b">
        <f t="shared" si="70"/>
        <v>0</v>
      </c>
      <c r="P460" s="1" t="e">
        <f>INDEX(G:G,MATCH(G460,G:G,0))</f>
        <v>#N/A</v>
      </c>
      <c r="Q460" s="1" t="e">
        <f t="shared" si="71"/>
        <v>#N/A</v>
      </c>
      <c r="R460" s="1" t="e">
        <f>INDEX('6.0.35'!I:I,MATCH(F460,'6.0.35'!K:K,0))</f>
        <v>#N/A</v>
      </c>
      <c r="S460" s="1" t="e">
        <f>INDEX('6.0.35'!J:J,MATCH(F460,'6.0.35'!F:F,0))</f>
        <v>#N/A</v>
      </c>
    </row>
    <row r="461" spans="1:19">
      <c r="A461" t="s">
        <v>14217</v>
      </c>
      <c r="I461" s="1" t="str">
        <f t="shared" si="64"/>
        <v/>
      </c>
      <c r="J461" s="1">
        <f t="shared" si="65"/>
        <v>0</v>
      </c>
      <c r="K461" s="1" t="str">
        <f t="shared" si="66"/>
        <v/>
      </c>
      <c r="L461" s="1">
        <f t="shared" si="67"/>
        <v>0</v>
      </c>
      <c r="M461" s="1">
        <f t="shared" si="68"/>
        <v>0</v>
      </c>
      <c r="N461" s="1">
        <f t="shared" si="69"/>
        <v>0</v>
      </c>
      <c r="O461" s="1" t="b">
        <f t="shared" si="70"/>
        <v>0</v>
      </c>
      <c r="P461" s="1" t="e">
        <f>INDEX(G:G,MATCH(G461,G:G,0))</f>
        <v>#N/A</v>
      </c>
      <c r="Q461" s="1" t="e">
        <f t="shared" si="71"/>
        <v>#N/A</v>
      </c>
      <c r="R461" s="1" t="e">
        <f>INDEX('6.0.35'!I:I,MATCH(F461,'6.0.35'!K:K,0))</f>
        <v>#N/A</v>
      </c>
      <c r="S461" s="1" t="e">
        <f>INDEX('6.0.35'!J:J,MATCH(F461,'6.0.35'!F:F,0))</f>
        <v>#N/A</v>
      </c>
    </row>
    <row r="462" spans="1:19">
      <c r="A462" t="s">
        <v>14220</v>
      </c>
      <c r="I462" s="1" t="str">
        <f t="shared" si="64"/>
        <v/>
      </c>
      <c r="J462" s="1">
        <f t="shared" si="65"/>
        <v>0</v>
      </c>
      <c r="K462" s="1" t="str">
        <f t="shared" si="66"/>
        <v/>
      </c>
      <c r="L462" s="1">
        <f t="shared" si="67"/>
        <v>0</v>
      </c>
      <c r="M462" s="1">
        <f t="shared" si="68"/>
        <v>0</v>
      </c>
      <c r="N462" s="1">
        <f t="shared" si="69"/>
        <v>0</v>
      </c>
      <c r="O462" s="1" t="b">
        <f t="shared" si="70"/>
        <v>0</v>
      </c>
      <c r="P462" s="1" t="e">
        <f>INDEX(G:G,MATCH(G462,G:G,0))</f>
        <v>#N/A</v>
      </c>
      <c r="Q462" s="1" t="e">
        <f t="shared" si="71"/>
        <v>#N/A</v>
      </c>
      <c r="R462" s="1" t="e">
        <f>INDEX('6.0.35'!I:I,MATCH(F462,'6.0.35'!K:K,0))</f>
        <v>#N/A</v>
      </c>
      <c r="S462" s="1" t="e">
        <f>INDEX('6.0.35'!J:J,MATCH(F462,'6.0.35'!F:F,0))</f>
        <v>#N/A</v>
      </c>
    </row>
    <row r="463" spans="1:19">
      <c r="A463" t="s">
        <v>14223</v>
      </c>
      <c r="I463" s="1" t="str">
        <f t="shared" si="64"/>
        <v/>
      </c>
      <c r="J463" s="1">
        <f t="shared" si="65"/>
        <v>0</v>
      </c>
      <c r="K463" s="1" t="str">
        <f t="shared" si="66"/>
        <v/>
      </c>
      <c r="L463" s="1">
        <f t="shared" si="67"/>
        <v>0</v>
      </c>
      <c r="M463" s="1">
        <f t="shared" si="68"/>
        <v>0</v>
      </c>
      <c r="N463" s="1">
        <f t="shared" si="69"/>
        <v>0</v>
      </c>
      <c r="O463" s="1" t="b">
        <f t="shared" si="70"/>
        <v>0</v>
      </c>
      <c r="P463" s="1" t="e">
        <f>INDEX(G:G,MATCH(G463,G:G,0))</f>
        <v>#N/A</v>
      </c>
      <c r="Q463" s="1" t="e">
        <f t="shared" si="71"/>
        <v>#N/A</v>
      </c>
      <c r="R463" s="1" t="e">
        <f>INDEX('6.0.35'!I:I,MATCH(F463,'6.0.35'!K:K,0))</f>
        <v>#N/A</v>
      </c>
      <c r="S463" s="1" t="e">
        <f>INDEX('6.0.35'!J:J,MATCH(F463,'6.0.35'!F:F,0))</f>
        <v>#N/A</v>
      </c>
    </row>
    <row r="464" spans="1:19">
      <c r="A464" t="s">
        <v>14226</v>
      </c>
      <c r="I464" s="1" t="str">
        <f t="shared" si="64"/>
        <v/>
      </c>
      <c r="J464" s="1">
        <f t="shared" si="65"/>
        <v>0</v>
      </c>
      <c r="K464" s="1" t="str">
        <f t="shared" si="66"/>
        <v/>
      </c>
      <c r="L464" s="1">
        <f t="shared" si="67"/>
        <v>0</v>
      </c>
      <c r="M464" s="1">
        <f t="shared" si="68"/>
        <v>0</v>
      </c>
      <c r="N464" s="1">
        <f t="shared" si="69"/>
        <v>0</v>
      </c>
      <c r="O464" s="1" t="b">
        <f t="shared" si="70"/>
        <v>0</v>
      </c>
      <c r="P464" s="1" t="e">
        <f>INDEX(G:G,MATCH(G464,G:G,0))</f>
        <v>#N/A</v>
      </c>
      <c r="Q464" s="1" t="e">
        <f t="shared" si="71"/>
        <v>#N/A</v>
      </c>
      <c r="R464" s="1" t="e">
        <f>INDEX('6.0.35'!I:I,MATCH(F464,'6.0.35'!K:K,0))</f>
        <v>#N/A</v>
      </c>
      <c r="S464" s="1" t="e">
        <f>INDEX('6.0.35'!J:J,MATCH(F464,'6.0.35'!F:F,0))</f>
        <v>#N/A</v>
      </c>
    </row>
    <row r="465" spans="1:19">
      <c r="A465" t="s">
        <v>14229</v>
      </c>
      <c r="I465" s="1" t="str">
        <f t="shared" si="64"/>
        <v/>
      </c>
      <c r="J465" s="1">
        <f t="shared" si="65"/>
        <v>0</v>
      </c>
      <c r="K465" s="1" t="str">
        <f t="shared" si="66"/>
        <v/>
      </c>
      <c r="L465" s="1">
        <f t="shared" si="67"/>
        <v>0</v>
      </c>
      <c r="M465" s="1">
        <f t="shared" si="68"/>
        <v>0</v>
      </c>
      <c r="N465" s="1">
        <f t="shared" si="69"/>
        <v>0</v>
      </c>
      <c r="O465" s="1" t="b">
        <f t="shared" si="70"/>
        <v>0</v>
      </c>
      <c r="P465" s="1" t="e">
        <f>INDEX(G:G,MATCH(G465,G:G,0))</f>
        <v>#N/A</v>
      </c>
      <c r="Q465" s="1" t="e">
        <f t="shared" si="71"/>
        <v>#N/A</v>
      </c>
      <c r="R465" s="1" t="e">
        <f>INDEX('6.0.35'!I:I,MATCH(F465,'6.0.35'!K:K,0))</f>
        <v>#N/A</v>
      </c>
      <c r="S465" s="1" t="e">
        <f>INDEX('6.0.35'!J:J,MATCH(F465,'6.0.35'!F:F,0))</f>
        <v>#N/A</v>
      </c>
    </row>
    <row r="466" spans="1:19">
      <c r="A466" t="s">
        <v>14232</v>
      </c>
      <c r="I466" s="1" t="str">
        <f t="shared" si="64"/>
        <v/>
      </c>
      <c r="J466" s="1">
        <f t="shared" si="65"/>
        <v>0</v>
      </c>
      <c r="K466" s="1" t="str">
        <f t="shared" si="66"/>
        <v/>
      </c>
      <c r="L466" s="1">
        <f t="shared" si="67"/>
        <v>0</v>
      </c>
      <c r="M466" s="1">
        <f t="shared" si="68"/>
        <v>0</v>
      </c>
      <c r="N466" s="1">
        <f t="shared" si="69"/>
        <v>0</v>
      </c>
      <c r="O466" s="1" t="b">
        <f t="shared" si="70"/>
        <v>0</v>
      </c>
      <c r="P466" s="1" t="e">
        <f>INDEX(G:G,MATCH(G466,G:G,0))</f>
        <v>#N/A</v>
      </c>
      <c r="Q466" s="1" t="e">
        <f t="shared" si="71"/>
        <v>#N/A</v>
      </c>
      <c r="R466" s="1" t="e">
        <f>INDEX('6.0.35'!I:I,MATCH(F466,'6.0.35'!K:K,0))</f>
        <v>#N/A</v>
      </c>
      <c r="S466" s="1" t="e">
        <f>INDEX('6.0.35'!J:J,MATCH(F466,'6.0.35'!F:F,0))</f>
        <v>#N/A</v>
      </c>
    </row>
    <row r="467" spans="1:19">
      <c r="A467" t="s">
        <v>14297</v>
      </c>
      <c r="I467" s="1" t="str">
        <f t="shared" si="64"/>
        <v/>
      </c>
      <c r="J467" s="1">
        <f t="shared" si="65"/>
        <v>0</v>
      </c>
      <c r="K467" s="1" t="str">
        <f t="shared" si="66"/>
        <v/>
      </c>
      <c r="L467" s="1">
        <f t="shared" si="67"/>
        <v>0</v>
      </c>
      <c r="M467" s="1">
        <f t="shared" si="68"/>
        <v>0</v>
      </c>
      <c r="N467" s="1">
        <f t="shared" si="69"/>
        <v>0</v>
      </c>
      <c r="O467" s="1" t="b">
        <f t="shared" si="70"/>
        <v>0</v>
      </c>
      <c r="P467" s="1" t="e">
        <f>INDEX(G:G,MATCH(G467,G:G,0))</f>
        <v>#N/A</v>
      </c>
      <c r="Q467" s="1" t="e">
        <f t="shared" si="71"/>
        <v>#N/A</v>
      </c>
      <c r="R467" s="1" t="e">
        <f>INDEX('6.0.35'!I:I,MATCH(F467,'6.0.35'!K:K,0))</f>
        <v>#N/A</v>
      </c>
      <c r="S467" s="1" t="e">
        <f>INDEX('6.0.35'!J:J,MATCH(F467,'6.0.35'!F:F,0))</f>
        <v>#N/A</v>
      </c>
    </row>
    <row r="468" spans="1:19">
      <c r="A468" t="s">
        <v>14300</v>
      </c>
      <c r="I468" s="1" t="str">
        <f t="shared" si="64"/>
        <v/>
      </c>
      <c r="J468" s="1">
        <f t="shared" si="65"/>
        <v>0</v>
      </c>
      <c r="K468" s="1" t="str">
        <f t="shared" si="66"/>
        <v/>
      </c>
      <c r="L468" s="1">
        <f t="shared" si="67"/>
        <v>0</v>
      </c>
      <c r="M468" s="1">
        <f t="shared" si="68"/>
        <v>0</v>
      </c>
      <c r="N468" s="1">
        <f t="shared" si="69"/>
        <v>0</v>
      </c>
      <c r="O468" s="1" t="b">
        <f t="shared" si="70"/>
        <v>0</v>
      </c>
      <c r="P468" s="1" t="e">
        <f>INDEX(G:G,MATCH(G468,G:G,0))</f>
        <v>#N/A</v>
      </c>
      <c r="Q468" s="1" t="e">
        <f t="shared" si="71"/>
        <v>#N/A</v>
      </c>
      <c r="R468" s="1" t="e">
        <f>INDEX('6.0.35'!I:I,MATCH(F468,'6.0.35'!K:K,0))</f>
        <v>#N/A</v>
      </c>
      <c r="S468" s="1" t="e">
        <f>INDEX('6.0.35'!J:J,MATCH(F468,'6.0.35'!F:F,0))</f>
        <v>#N/A</v>
      </c>
    </row>
    <row r="469" spans="1:19">
      <c r="A469" t="s">
        <v>14303</v>
      </c>
      <c r="I469" s="1" t="str">
        <f t="shared" si="64"/>
        <v/>
      </c>
      <c r="J469" s="1">
        <f t="shared" si="65"/>
        <v>0</v>
      </c>
      <c r="K469" s="1" t="str">
        <f t="shared" si="66"/>
        <v/>
      </c>
      <c r="L469" s="1">
        <f t="shared" si="67"/>
        <v>0</v>
      </c>
      <c r="M469" s="1">
        <f t="shared" si="68"/>
        <v>0</v>
      </c>
      <c r="N469" s="1">
        <f t="shared" si="69"/>
        <v>0</v>
      </c>
      <c r="O469" s="1" t="b">
        <f t="shared" si="70"/>
        <v>0</v>
      </c>
      <c r="P469" s="1" t="e">
        <f>INDEX(G:G,MATCH(G469,G:G,0))</f>
        <v>#N/A</v>
      </c>
      <c r="Q469" s="1" t="e">
        <f t="shared" si="71"/>
        <v>#N/A</v>
      </c>
      <c r="R469" s="1" t="e">
        <f>INDEX('6.0.35'!I:I,MATCH(F469,'6.0.35'!K:K,0))</f>
        <v>#N/A</v>
      </c>
      <c r="S469" s="1" t="e">
        <f>INDEX('6.0.35'!J:J,MATCH(F469,'6.0.35'!F:F,0))</f>
        <v>#N/A</v>
      </c>
    </row>
    <row r="470" spans="1:19">
      <c r="A470" t="s">
        <v>14306</v>
      </c>
      <c r="I470" s="1" t="str">
        <f t="shared" si="64"/>
        <v/>
      </c>
      <c r="J470" s="1">
        <f t="shared" si="65"/>
        <v>0</v>
      </c>
      <c r="K470" s="1" t="str">
        <f t="shared" si="66"/>
        <v/>
      </c>
      <c r="L470" s="1">
        <f t="shared" si="67"/>
        <v>0</v>
      </c>
      <c r="M470" s="1">
        <f t="shared" si="68"/>
        <v>0</v>
      </c>
      <c r="N470" s="1">
        <f t="shared" si="69"/>
        <v>0</v>
      </c>
      <c r="O470" s="1" t="b">
        <f t="shared" si="70"/>
        <v>0</v>
      </c>
      <c r="P470" s="1" t="e">
        <f>INDEX(G:G,MATCH(G470,G:G,0))</f>
        <v>#N/A</v>
      </c>
      <c r="Q470" s="1" t="e">
        <f t="shared" si="71"/>
        <v>#N/A</v>
      </c>
      <c r="R470" s="1" t="e">
        <f>INDEX('6.0.35'!I:I,MATCH(F470,'6.0.35'!K:K,0))</f>
        <v>#N/A</v>
      </c>
      <c r="S470" s="1" t="e">
        <f>INDEX('6.0.35'!J:J,MATCH(F470,'6.0.35'!F:F,0))</f>
        <v>#N/A</v>
      </c>
    </row>
    <row r="471" spans="1:19">
      <c r="A471" t="s">
        <v>14309</v>
      </c>
      <c r="I471" s="1" t="str">
        <f t="shared" si="64"/>
        <v/>
      </c>
      <c r="J471" s="1">
        <f t="shared" si="65"/>
        <v>0</v>
      </c>
      <c r="K471" s="1" t="str">
        <f t="shared" si="66"/>
        <v/>
      </c>
      <c r="L471" s="1">
        <f t="shared" si="67"/>
        <v>0</v>
      </c>
      <c r="M471" s="1">
        <f t="shared" si="68"/>
        <v>0</v>
      </c>
      <c r="N471" s="1">
        <f t="shared" si="69"/>
        <v>0</v>
      </c>
      <c r="O471" s="1" t="b">
        <f t="shared" si="70"/>
        <v>0</v>
      </c>
      <c r="P471" s="1" t="e">
        <f>INDEX(G:G,MATCH(G471,G:G,0))</f>
        <v>#N/A</v>
      </c>
      <c r="Q471" s="1" t="e">
        <f t="shared" si="71"/>
        <v>#N/A</v>
      </c>
      <c r="R471" s="1" t="e">
        <f>INDEX('6.0.35'!I:I,MATCH(F471,'6.0.35'!K:K,0))</f>
        <v>#N/A</v>
      </c>
      <c r="S471" s="1" t="e">
        <f>INDEX('6.0.35'!J:J,MATCH(F471,'6.0.35'!F:F,0))</f>
        <v>#N/A</v>
      </c>
    </row>
    <row r="472" spans="1:19">
      <c r="A472" t="s">
        <v>14313</v>
      </c>
      <c r="I472" s="1" t="str">
        <f t="shared" si="64"/>
        <v/>
      </c>
      <c r="J472" s="1">
        <f t="shared" si="65"/>
        <v>0</v>
      </c>
      <c r="K472" s="1" t="str">
        <f t="shared" si="66"/>
        <v/>
      </c>
      <c r="L472" s="1">
        <f t="shared" si="67"/>
        <v>0</v>
      </c>
      <c r="M472" s="1">
        <f t="shared" si="68"/>
        <v>0</v>
      </c>
      <c r="N472" s="1">
        <f t="shared" si="69"/>
        <v>0</v>
      </c>
      <c r="O472" s="1" t="b">
        <f t="shared" si="70"/>
        <v>0</v>
      </c>
      <c r="P472" s="1" t="e">
        <f>INDEX(G:G,MATCH(G472,G:G,0))</f>
        <v>#N/A</v>
      </c>
      <c r="Q472" s="1" t="e">
        <f t="shared" si="71"/>
        <v>#N/A</v>
      </c>
      <c r="R472" s="1" t="e">
        <f>INDEX('6.0.35'!I:I,MATCH(F472,'6.0.35'!K:K,0))</f>
        <v>#N/A</v>
      </c>
      <c r="S472" s="1" t="e">
        <f>INDEX('6.0.35'!J:J,MATCH(F472,'6.0.35'!F:F,0))</f>
        <v>#N/A</v>
      </c>
    </row>
    <row r="473" spans="1:19">
      <c r="A473" t="s">
        <v>14317</v>
      </c>
      <c r="I473" s="1" t="str">
        <f t="shared" si="64"/>
        <v/>
      </c>
      <c r="J473" s="1">
        <f t="shared" si="65"/>
        <v>0</v>
      </c>
      <c r="K473" s="1" t="str">
        <f t="shared" si="66"/>
        <v/>
      </c>
      <c r="L473" s="1">
        <f t="shared" si="67"/>
        <v>0</v>
      </c>
      <c r="M473" s="1">
        <f t="shared" si="68"/>
        <v>0</v>
      </c>
      <c r="N473" s="1">
        <f t="shared" si="69"/>
        <v>0</v>
      </c>
      <c r="O473" s="1" t="b">
        <f t="shared" si="70"/>
        <v>0</v>
      </c>
      <c r="P473" s="1" t="e">
        <f>INDEX(G:G,MATCH(G473,G:G,0))</f>
        <v>#N/A</v>
      </c>
      <c r="Q473" s="1" t="e">
        <f t="shared" si="71"/>
        <v>#N/A</v>
      </c>
      <c r="R473" s="1" t="e">
        <f>INDEX('6.0.35'!I:I,MATCH(F473,'6.0.35'!K:K,0))</f>
        <v>#N/A</v>
      </c>
      <c r="S473" s="1" t="e">
        <f>INDEX('6.0.35'!J:J,MATCH(F473,'6.0.35'!F:F,0))</f>
        <v>#N/A</v>
      </c>
    </row>
    <row r="474" spans="1:19">
      <c r="A474" t="s">
        <v>14321</v>
      </c>
      <c r="I474" s="1" t="str">
        <f t="shared" si="64"/>
        <v/>
      </c>
      <c r="J474" s="1">
        <f t="shared" si="65"/>
        <v>0</v>
      </c>
      <c r="K474" s="1" t="str">
        <f t="shared" si="66"/>
        <v/>
      </c>
      <c r="L474" s="1">
        <f t="shared" si="67"/>
        <v>0</v>
      </c>
      <c r="M474" s="1">
        <f t="shared" si="68"/>
        <v>0</v>
      </c>
      <c r="N474" s="1">
        <f t="shared" si="69"/>
        <v>0</v>
      </c>
      <c r="O474" s="1" t="b">
        <f t="shared" si="70"/>
        <v>0</v>
      </c>
      <c r="P474" s="1" t="e">
        <f>INDEX(G:G,MATCH(G474,G:G,0))</f>
        <v>#N/A</v>
      </c>
      <c r="Q474" s="1" t="e">
        <f t="shared" si="71"/>
        <v>#N/A</v>
      </c>
      <c r="R474" s="1" t="e">
        <f>INDEX('6.0.35'!I:I,MATCH(F474,'6.0.35'!K:K,0))</f>
        <v>#N/A</v>
      </c>
      <c r="S474" s="1" t="e">
        <f>INDEX('6.0.35'!J:J,MATCH(F474,'6.0.35'!F:F,0))</f>
        <v>#N/A</v>
      </c>
    </row>
    <row r="475" spans="1:19">
      <c r="A475" t="s">
        <v>14325</v>
      </c>
      <c r="I475" s="1" t="str">
        <f t="shared" si="64"/>
        <v/>
      </c>
      <c r="J475" s="1">
        <f t="shared" si="65"/>
        <v>0</v>
      </c>
      <c r="K475" s="1" t="str">
        <f t="shared" si="66"/>
        <v/>
      </c>
      <c r="L475" s="1">
        <f t="shared" si="67"/>
        <v>0</v>
      </c>
      <c r="M475" s="1">
        <f t="shared" si="68"/>
        <v>0</v>
      </c>
      <c r="N475" s="1">
        <f t="shared" si="69"/>
        <v>0</v>
      </c>
      <c r="O475" s="1" t="b">
        <f t="shared" si="70"/>
        <v>0</v>
      </c>
      <c r="P475" s="1" t="e">
        <f>INDEX(G:G,MATCH(G475,G:G,0))</f>
        <v>#N/A</v>
      </c>
      <c r="Q475" s="1" t="e">
        <f t="shared" si="71"/>
        <v>#N/A</v>
      </c>
      <c r="R475" s="1" t="e">
        <f>INDEX('6.0.35'!I:I,MATCH(F475,'6.0.35'!K:K,0))</f>
        <v>#N/A</v>
      </c>
      <c r="S475" s="1" t="e">
        <f>INDEX('6.0.35'!J:J,MATCH(F475,'6.0.35'!F:F,0))</f>
        <v>#N/A</v>
      </c>
    </row>
    <row r="476" spans="1:19">
      <c r="A476" t="s">
        <v>14329</v>
      </c>
      <c r="I476" s="1" t="str">
        <f t="shared" si="64"/>
        <v/>
      </c>
      <c r="J476" s="1">
        <f t="shared" si="65"/>
        <v>0</v>
      </c>
      <c r="K476" s="1" t="str">
        <f t="shared" si="66"/>
        <v/>
      </c>
      <c r="L476" s="1">
        <f t="shared" si="67"/>
        <v>0</v>
      </c>
      <c r="M476" s="1">
        <f t="shared" si="68"/>
        <v>0</v>
      </c>
      <c r="N476" s="1">
        <f t="shared" si="69"/>
        <v>0</v>
      </c>
      <c r="O476" s="1" t="b">
        <f t="shared" si="70"/>
        <v>0</v>
      </c>
      <c r="P476" s="1" t="e">
        <f>INDEX(G:G,MATCH(G476,G:G,0))</f>
        <v>#N/A</v>
      </c>
      <c r="Q476" s="1" t="e">
        <f t="shared" si="71"/>
        <v>#N/A</v>
      </c>
      <c r="R476" s="1" t="e">
        <f>INDEX('6.0.35'!I:I,MATCH(F476,'6.0.35'!K:K,0))</f>
        <v>#N/A</v>
      </c>
      <c r="S476" s="1" t="e">
        <f>INDEX('6.0.35'!J:J,MATCH(F476,'6.0.35'!F:F,0))</f>
        <v>#N/A</v>
      </c>
    </row>
    <row r="477" spans="1:19">
      <c r="A477" t="s">
        <v>14366</v>
      </c>
      <c r="I477" s="1" t="str">
        <f t="shared" si="64"/>
        <v/>
      </c>
      <c r="J477" s="1">
        <f t="shared" si="65"/>
        <v>0</v>
      </c>
      <c r="K477" s="1" t="str">
        <f t="shared" si="66"/>
        <v/>
      </c>
      <c r="L477" s="1">
        <f t="shared" si="67"/>
        <v>0</v>
      </c>
      <c r="M477" s="1">
        <f t="shared" si="68"/>
        <v>0</v>
      </c>
      <c r="N477" s="1">
        <f t="shared" si="69"/>
        <v>0</v>
      </c>
      <c r="O477" s="1" t="b">
        <f t="shared" si="70"/>
        <v>0</v>
      </c>
      <c r="P477" s="1" t="e">
        <f>INDEX(G:G,MATCH(G477,G:G,0))</f>
        <v>#N/A</v>
      </c>
      <c r="Q477" s="1" t="e">
        <f t="shared" si="71"/>
        <v>#N/A</v>
      </c>
      <c r="R477" s="1" t="e">
        <f>INDEX('6.0.35'!I:I,MATCH(F477,'6.0.35'!K:K,0))</f>
        <v>#N/A</v>
      </c>
      <c r="S477" s="1" t="e">
        <f>INDEX('6.0.35'!J:J,MATCH(F477,'6.0.35'!F:F,0))</f>
        <v>#N/A</v>
      </c>
    </row>
    <row r="478" spans="1:19">
      <c r="A478" t="s">
        <v>14369</v>
      </c>
      <c r="I478" s="1" t="str">
        <f t="shared" si="64"/>
        <v/>
      </c>
      <c r="J478" s="1">
        <f t="shared" si="65"/>
        <v>0</v>
      </c>
      <c r="K478" s="1" t="str">
        <f t="shared" si="66"/>
        <v/>
      </c>
      <c r="L478" s="1">
        <f t="shared" si="67"/>
        <v>0</v>
      </c>
      <c r="M478" s="1">
        <f t="shared" si="68"/>
        <v>0</v>
      </c>
      <c r="N478" s="1">
        <f t="shared" si="69"/>
        <v>0</v>
      </c>
      <c r="O478" s="1" t="b">
        <f t="shared" si="70"/>
        <v>0</v>
      </c>
      <c r="P478" s="1" t="e">
        <f>INDEX(G:G,MATCH(G478,G:G,0))</f>
        <v>#N/A</v>
      </c>
      <c r="Q478" s="1" t="e">
        <f t="shared" si="71"/>
        <v>#N/A</v>
      </c>
      <c r="R478" s="1" t="e">
        <f>INDEX('6.0.35'!I:I,MATCH(F478,'6.0.35'!K:K,0))</f>
        <v>#N/A</v>
      </c>
      <c r="S478" s="1" t="e">
        <f>INDEX('6.0.35'!J:J,MATCH(F478,'6.0.35'!F:F,0))</f>
        <v>#N/A</v>
      </c>
    </row>
    <row r="479" spans="1:19">
      <c r="A479" t="s">
        <v>14372</v>
      </c>
      <c r="I479" s="1" t="str">
        <f t="shared" si="64"/>
        <v/>
      </c>
      <c r="J479" s="1">
        <f t="shared" si="65"/>
        <v>0</v>
      </c>
      <c r="K479" s="1" t="str">
        <f t="shared" si="66"/>
        <v/>
      </c>
      <c r="L479" s="1">
        <f t="shared" si="67"/>
        <v>0</v>
      </c>
      <c r="M479" s="1">
        <f t="shared" si="68"/>
        <v>0</v>
      </c>
      <c r="N479" s="1">
        <f t="shared" si="69"/>
        <v>0</v>
      </c>
      <c r="O479" s="1" t="b">
        <f t="shared" si="70"/>
        <v>0</v>
      </c>
      <c r="P479" s="1" t="e">
        <f>INDEX(G:G,MATCH(G479,G:G,0))</f>
        <v>#N/A</v>
      </c>
      <c r="Q479" s="1" t="e">
        <f t="shared" si="71"/>
        <v>#N/A</v>
      </c>
      <c r="R479" s="1" t="e">
        <f>INDEX('6.0.35'!I:I,MATCH(F479,'6.0.35'!K:K,0))</f>
        <v>#N/A</v>
      </c>
      <c r="S479" s="1" t="e">
        <f>INDEX('6.0.35'!J:J,MATCH(F479,'6.0.35'!F:F,0))</f>
        <v>#N/A</v>
      </c>
    </row>
    <row r="480" spans="1:19">
      <c r="A480" t="s">
        <v>14375</v>
      </c>
      <c r="I480" s="1" t="str">
        <f t="shared" si="64"/>
        <v/>
      </c>
      <c r="J480" s="1">
        <f t="shared" si="65"/>
        <v>0</v>
      </c>
      <c r="K480" s="1" t="str">
        <f t="shared" si="66"/>
        <v/>
      </c>
      <c r="L480" s="1">
        <f t="shared" si="67"/>
        <v>0</v>
      </c>
      <c r="M480" s="1">
        <f t="shared" si="68"/>
        <v>0</v>
      </c>
      <c r="N480" s="1">
        <f t="shared" si="69"/>
        <v>0</v>
      </c>
      <c r="O480" s="1" t="b">
        <f t="shared" si="70"/>
        <v>0</v>
      </c>
      <c r="P480" s="1" t="e">
        <f>INDEX(G:G,MATCH(G480,G:G,0))</f>
        <v>#N/A</v>
      </c>
      <c r="Q480" s="1" t="e">
        <f t="shared" si="71"/>
        <v>#N/A</v>
      </c>
      <c r="R480" s="1" t="e">
        <f>INDEX('6.0.35'!I:I,MATCH(F480,'6.0.35'!K:K,0))</f>
        <v>#N/A</v>
      </c>
      <c r="S480" s="1" t="e">
        <f>INDEX('6.0.35'!J:J,MATCH(F480,'6.0.35'!F:F,0))</f>
        <v>#N/A</v>
      </c>
    </row>
    <row r="481" spans="1:19">
      <c r="A481" t="s">
        <v>14378</v>
      </c>
      <c r="I481" s="1" t="str">
        <f t="shared" si="64"/>
        <v/>
      </c>
      <c r="J481" s="1">
        <f t="shared" si="65"/>
        <v>0</v>
      </c>
      <c r="K481" s="1" t="str">
        <f t="shared" si="66"/>
        <v/>
      </c>
      <c r="L481" s="1">
        <f t="shared" si="67"/>
        <v>0</v>
      </c>
      <c r="M481" s="1">
        <f t="shared" si="68"/>
        <v>0</v>
      </c>
      <c r="N481" s="1">
        <f t="shared" si="69"/>
        <v>0</v>
      </c>
      <c r="O481" s="1" t="b">
        <f t="shared" si="70"/>
        <v>0</v>
      </c>
      <c r="P481" s="1" t="e">
        <f>INDEX(G:G,MATCH(G481,G:G,0))</f>
        <v>#N/A</v>
      </c>
      <c r="Q481" s="1" t="e">
        <f t="shared" si="71"/>
        <v>#N/A</v>
      </c>
      <c r="R481" s="1" t="e">
        <f>INDEX('6.0.35'!I:I,MATCH(F481,'6.0.35'!K:K,0))</f>
        <v>#N/A</v>
      </c>
      <c r="S481" s="1" t="e">
        <f>INDEX('6.0.35'!J:J,MATCH(F481,'6.0.35'!F:F,0))</f>
        <v>#N/A</v>
      </c>
    </row>
    <row r="482" spans="1:19">
      <c r="A482" t="s">
        <v>14381</v>
      </c>
      <c r="I482" s="1" t="str">
        <f t="shared" si="64"/>
        <v/>
      </c>
      <c r="J482" s="1">
        <f t="shared" si="65"/>
        <v>0</v>
      </c>
      <c r="K482" s="1" t="str">
        <f t="shared" si="66"/>
        <v/>
      </c>
      <c r="L482" s="1">
        <f t="shared" si="67"/>
        <v>0</v>
      </c>
      <c r="M482" s="1">
        <f t="shared" si="68"/>
        <v>0</v>
      </c>
      <c r="N482" s="1">
        <f t="shared" si="69"/>
        <v>0</v>
      </c>
      <c r="O482" s="1" t="b">
        <f t="shared" si="70"/>
        <v>0</v>
      </c>
      <c r="P482" s="1" t="e">
        <f>INDEX(G:G,MATCH(G482,G:G,0))</f>
        <v>#N/A</v>
      </c>
      <c r="Q482" s="1" t="e">
        <f t="shared" si="71"/>
        <v>#N/A</v>
      </c>
      <c r="R482" s="1" t="e">
        <f>INDEX('6.0.35'!I:I,MATCH(F482,'6.0.35'!K:K,0))</f>
        <v>#N/A</v>
      </c>
      <c r="S482" s="1" t="e">
        <f>INDEX('6.0.35'!J:J,MATCH(F482,'6.0.35'!F:F,0))</f>
        <v>#N/A</v>
      </c>
    </row>
    <row r="483" spans="1:19">
      <c r="A483" t="s">
        <v>14384</v>
      </c>
      <c r="I483" s="1" t="str">
        <f t="shared" si="64"/>
        <v/>
      </c>
      <c r="J483" s="1">
        <f t="shared" si="65"/>
        <v>0</v>
      </c>
      <c r="K483" s="1" t="str">
        <f t="shared" si="66"/>
        <v/>
      </c>
      <c r="L483" s="1">
        <f t="shared" si="67"/>
        <v>0</v>
      </c>
      <c r="M483" s="1">
        <f t="shared" si="68"/>
        <v>0</v>
      </c>
      <c r="N483" s="1">
        <f t="shared" si="69"/>
        <v>0</v>
      </c>
      <c r="O483" s="1" t="b">
        <f t="shared" si="70"/>
        <v>0</v>
      </c>
      <c r="P483" s="1" t="e">
        <f>INDEX(G:G,MATCH(G483,G:G,0))</f>
        <v>#N/A</v>
      </c>
      <c r="Q483" s="1" t="e">
        <f t="shared" si="71"/>
        <v>#N/A</v>
      </c>
      <c r="R483" s="1" t="e">
        <f>INDEX('6.0.35'!I:I,MATCH(F483,'6.0.35'!K:K,0))</f>
        <v>#N/A</v>
      </c>
      <c r="S483" s="1" t="e">
        <f>INDEX('6.0.35'!J:J,MATCH(F483,'6.0.35'!F:F,0))</f>
        <v>#N/A</v>
      </c>
    </row>
    <row r="484" spans="1:19">
      <c r="A484" t="s">
        <v>14387</v>
      </c>
      <c r="I484" s="1" t="str">
        <f t="shared" si="64"/>
        <v/>
      </c>
      <c r="J484" s="1">
        <f t="shared" si="65"/>
        <v>0</v>
      </c>
      <c r="K484" s="1" t="str">
        <f t="shared" si="66"/>
        <v/>
      </c>
      <c r="L484" s="1">
        <f t="shared" si="67"/>
        <v>0</v>
      </c>
      <c r="M484" s="1">
        <f t="shared" si="68"/>
        <v>0</v>
      </c>
      <c r="N484" s="1">
        <f t="shared" si="69"/>
        <v>0</v>
      </c>
      <c r="O484" s="1" t="b">
        <f t="shared" si="70"/>
        <v>0</v>
      </c>
      <c r="P484" s="1" t="e">
        <f>INDEX(G:G,MATCH(G484,G:G,0))</f>
        <v>#N/A</v>
      </c>
      <c r="Q484" s="1" t="e">
        <f t="shared" si="71"/>
        <v>#N/A</v>
      </c>
      <c r="R484" s="1" t="e">
        <f>INDEX('6.0.35'!I:I,MATCH(F484,'6.0.35'!K:K,0))</f>
        <v>#N/A</v>
      </c>
      <c r="S484" s="1" t="e">
        <f>INDEX('6.0.35'!J:J,MATCH(F484,'6.0.35'!F:F,0))</f>
        <v>#N/A</v>
      </c>
    </row>
    <row r="485" spans="1:19">
      <c r="A485" t="s">
        <v>14390</v>
      </c>
      <c r="I485" s="1" t="str">
        <f t="shared" si="64"/>
        <v/>
      </c>
      <c r="J485" s="1">
        <f t="shared" si="65"/>
        <v>0</v>
      </c>
      <c r="K485" s="1" t="str">
        <f t="shared" si="66"/>
        <v/>
      </c>
      <c r="L485" s="1">
        <f t="shared" si="67"/>
        <v>0</v>
      </c>
      <c r="M485" s="1">
        <f t="shared" si="68"/>
        <v>0</v>
      </c>
      <c r="N485" s="1">
        <f t="shared" si="69"/>
        <v>0</v>
      </c>
      <c r="O485" s="1" t="b">
        <f t="shared" si="70"/>
        <v>0</v>
      </c>
      <c r="P485" s="1" t="e">
        <f>INDEX(G:G,MATCH(G485,G:G,0))</f>
        <v>#N/A</v>
      </c>
      <c r="Q485" s="1" t="e">
        <f t="shared" si="71"/>
        <v>#N/A</v>
      </c>
      <c r="R485" s="1" t="e">
        <f>INDEX('6.0.35'!I:I,MATCH(F485,'6.0.35'!K:K,0))</f>
        <v>#N/A</v>
      </c>
      <c r="S485" s="1" t="e">
        <f>INDEX('6.0.35'!J:J,MATCH(F485,'6.0.35'!F:F,0))</f>
        <v>#N/A</v>
      </c>
    </row>
    <row r="486" spans="1:19">
      <c r="A486" t="s">
        <v>14393</v>
      </c>
      <c r="I486" s="1" t="str">
        <f t="shared" si="64"/>
        <v/>
      </c>
      <c r="J486" s="1">
        <f t="shared" si="65"/>
        <v>0</v>
      </c>
      <c r="K486" s="1" t="str">
        <f t="shared" si="66"/>
        <v/>
      </c>
      <c r="L486" s="1">
        <f t="shared" si="67"/>
        <v>0</v>
      </c>
      <c r="M486" s="1">
        <f t="shared" si="68"/>
        <v>0</v>
      </c>
      <c r="N486" s="1">
        <f t="shared" si="69"/>
        <v>0</v>
      </c>
      <c r="O486" s="1" t="b">
        <f t="shared" si="70"/>
        <v>0</v>
      </c>
      <c r="P486" s="1" t="e">
        <f>INDEX(G:G,MATCH(G486,G:G,0))</f>
        <v>#N/A</v>
      </c>
      <c r="Q486" s="1" t="e">
        <f t="shared" si="71"/>
        <v>#N/A</v>
      </c>
      <c r="R486" s="1" t="e">
        <f>INDEX('6.0.35'!I:I,MATCH(F486,'6.0.35'!K:K,0))</f>
        <v>#N/A</v>
      </c>
      <c r="S486" s="1" t="e">
        <f>INDEX('6.0.35'!J:J,MATCH(F486,'6.0.35'!F:F,0))</f>
        <v>#N/A</v>
      </c>
    </row>
    <row r="487" spans="1:19">
      <c r="A487" t="s">
        <v>14396</v>
      </c>
      <c r="I487" s="1" t="str">
        <f t="shared" si="64"/>
        <v/>
      </c>
      <c r="J487" s="1">
        <f t="shared" si="65"/>
        <v>0</v>
      </c>
      <c r="K487" s="1" t="str">
        <f t="shared" si="66"/>
        <v/>
      </c>
      <c r="L487" s="1">
        <f t="shared" si="67"/>
        <v>0</v>
      </c>
      <c r="M487" s="1">
        <f t="shared" si="68"/>
        <v>0</v>
      </c>
      <c r="N487" s="1">
        <f t="shared" si="69"/>
        <v>0</v>
      </c>
      <c r="O487" s="1" t="b">
        <f t="shared" si="70"/>
        <v>0</v>
      </c>
      <c r="P487" s="1" t="e">
        <f>INDEX(G:G,MATCH(G487,G:G,0))</f>
        <v>#N/A</v>
      </c>
      <c r="Q487" s="1" t="e">
        <f t="shared" si="71"/>
        <v>#N/A</v>
      </c>
      <c r="R487" s="1" t="e">
        <f>INDEX('6.0.35'!I:I,MATCH(F487,'6.0.35'!K:K,0))</f>
        <v>#N/A</v>
      </c>
      <c r="S487" s="1" t="e">
        <f>INDEX('6.0.35'!J:J,MATCH(F487,'6.0.35'!F:F,0))</f>
        <v>#N/A</v>
      </c>
    </row>
    <row r="488" spans="1:19">
      <c r="A488" t="s">
        <v>14399</v>
      </c>
      <c r="I488" s="1" t="str">
        <f t="shared" si="64"/>
        <v/>
      </c>
      <c r="J488" s="1">
        <f t="shared" si="65"/>
        <v>0</v>
      </c>
      <c r="K488" s="1" t="str">
        <f t="shared" si="66"/>
        <v/>
      </c>
      <c r="L488" s="1">
        <f t="shared" si="67"/>
        <v>0</v>
      </c>
      <c r="M488" s="1">
        <f t="shared" si="68"/>
        <v>0</v>
      </c>
      <c r="N488" s="1">
        <f t="shared" si="69"/>
        <v>0</v>
      </c>
      <c r="O488" s="1" t="b">
        <f t="shared" si="70"/>
        <v>0</v>
      </c>
      <c r="P488" s="1" t="e">
        <f>INDEX(G:G,MATCH(G488,G:G,0))</f>
        <v>#N/A</v>
      </c>
      <c r="Q488" s="1" t="e">
        <f t="shared" si="71"/>
        <v>#N/A</v>
      </c>
      <c r="R488" s="1" t="e">
        <f>INDEX('6.0.35'!I:I,MATCH(F488,'6.0.35'!K:K,0))</f>
        <v>#N/A</v>
      </c>
      <c r="S488" s="1" t="e">
        <f>INDEX('6.0.35'!J:J,MATCH(F488,'6.0.35'!F:F,0))</f>
        <v>#N/A</v>
      </c>
    </row>
    <row r="489" spans="1:19">
      <c r="A489" t="s">
        <v>14402</v>
      </c>
      <c r="I489" s="1" t="str">
        <f t="shared" si="64"/>
        <v/>
      </c>
      <c r="J489" s="1">
        <f t="shared" si="65"/>
        <v>0</v>
      </c>
      <c r="K489" s="1" t="str">
        <f t="shared" si="66"/>
        <v/>
      </c>
      <c r="L489" s="1">
        <f t="shared" si="67"/>
        <v>0</v>
      </c>
      <c r="M489" s="1">
        <f t="shared" si="68"/>
        <v>0</v>
      </c>
      <c r="N489" s="1">
        <f t="shared" si="69"/>
        <v>0</v>
      </c>
      <c r="O489" s="1" t="b">
        <f t="shared" si="70"/>
        <v>0</v>
      </c>
      <c r="P489" s="1" t="e">
        <f>INDEX(G:G,MATCH(G489,G:G,0))</f>
        <v>#N/A</v>
      </c>
      <c r="Q489" s="1" t="e">
        <f t="shared" si="71"/>
        <v>#N/A</v>
      </c>
      <c r="R489" s="1" t="e">
        <f>INDEX('6.0.35'!I:I,MATCH(F489,'6.0.35'!K:K,0))</f>
        <v>#N/A</v>
      </c>
      <c r="S489" s="1" t="e">
        <f>INDEX('6.0.35'!J:J,MATCH(F489,'6.0.35'!F:F,0))</f>
        <v>#N/A</v>
      </c>
    </row>
    <row r="490" spans="1:19">
      <c r="A490" t="s">
        <v>14405</v>
      </c>
      <c r="I490" s="1" t="str">
        <f t="shared" si="64"/>
        <v/>
      </c>
      <c r="J490" s="1">
        <f t="shared" si="65"/>
        <v>0</v>
      </c>
      <c r="K490" s="1" t="str">
        <f t="shared" si="66"/>
        <v/>
      </c>
      <c r="L490" s="1">
        <f t="shared" si="67"/>
        <v>0</v>
      </c>
      <c r="M490" s="1">
        <f t="shared" si="68"/>
        <v>0</v>
      </c>
      <c r="N490" s="1">
        <f t="shared" si="69"/>
        <v>0</v>
      </c>
      <c r="O490" s="1" t="b">
        <f t="shared" si="70"/>
        <v>0</v>
      </c>
      <c r="P490" s="1" t="e">
        <f>INDEX(G:G,MATCH(G490,G:G,0))</f>
        <v>#N/A</v>
      </c>
      <c r="Q490" s="1" t="e">
        <f t="shared" si="71"/>
        <v>#N/A</v>
      </c>
      <c r="R490" s="1" t="e">
        <f>INDEX('6.0.35'!I:I,MATCH(F490,'6.0.35'!K:K,0))</f>
        <v>#N/A</v>
      </c>
      <c r="S490" s="1" t="e">
        <f>INDEX('6.0.35'!J:J,MATCH(F490,'6.0.35'!F:F,0))</f>
        <v>#N/A</v>
      </c>
    </row>
    <row r="491" spans="1:19">
      <c r="A491" t="s">
        <v>14408</v>
      </c>
      <c r="I491" s="1" t="str">
        <f t="shared" si="64"/>
        <v/>
      </c>
      <c r="J491" s="1">
        <f t="shared" si="65"/>
        <v>0</v>
      </c>
      <c r="K491" s="1" t="str">
        <f t="shared" si="66"/>
        <v/>
      </c>
      <c r="L491" s="1">
        <f t="shared" si="67"/>
        <v>0</v>
      </c>
      <c r="M491" s="1">
        <f t="shared" si="68"/>
        <v>0</v>
      </c>
      <c r="N491" s="1">
        <f t="shared" si="69"/>
        <v>0</v>
      </c>
      <c r="O491" s="1" t="b">
        <f t="shared" si="70"/>
        <v>0</v>
      </c>
      <c r="P491" s="1" t="e">
        <f>INDEX(G:G,MATCH(G491,G:G,0))</f>
        <v>#N/A</v>
      </c>
      <c r="Q491" s="1" t="e">
        <f t="shared" si="71"/>
        <v>#N/A</v>
      </c>
      <c r="R491" s="1" t="e">
        <f>INDEX('6.0.35'!I:I,MATCH(F491,'6.0.35'!K:K,0))</f>
        <v>#N/A</v>
      </c>
      <c r="S491" s="1" t="e">
        <f>INDEX('6.0.35'!J:J,MATCH(F491,'6.0.35'!F:F,0))</f>
        <v>#N/A</v>
      </c>
    </row>
    <row r="492" spans="1:19">
      <c r="A492" t="s">
        <v>14411</v>
      </c>
      <c r="I492" s="1" t="str">
        <f t="shared" si="64"/>
        <v/>
      </c>
      <c r="J492" s="1">
        <f t="shared" si="65"/>
        <v>0</v>
      </c>
      <c r="K492" s="1" t="str">
        <f t="shared" si="66"/>
        <v/>
      </c>
      <c r="L492" s="1">
        <f t="shared" si="67"/>
        <v>0</v>
      </c>
      <c r="M492" s="1">
        <f t="shared" si="68"/>
        <v>0</v>
      </c>
      <c r="N492" s="1">
        <f t="shared" si="69"/>
        <v>0</v>
      </c>
      <c r="O492" s="1" t="b">
        <f t="shared" si="70"/>
        <v>0</v>
      </c>
      <c r="P492" s="1" t="e">
        <f>INDEX(G:G,MATCH(G492,G:G,0))</f>
        <v>#N/A</v>
      </c>
      <c r="Q492" s="1" t="e">
        <f t="shared" si="71"/>
        <v>#N/A</v>
      </c>
      <c r="R492" s="1" t="e">
        <f>INDEX('6.0.35'!I:I,MATCH(F492,'6.0.35'!K:K,0))</f>
        <v>#N/A</v>
      </c>
      <c r="S492" s="1" t="e">
        <f>INDEX('6.0.35'!J:J,MATCH(F492,'6.0.35'!F:F,0))</f>
        <v>#N/A</v>
      </c>
    </row>
    <row r="493" spans="1:19">
      <c r="A493" t="s">
        <v>14414</v>
      </c>
      <c r="I493" s="1" t="str">
        <f t="shared" si="64"/>
        <v/>
      </c>
      <c r="J493" s="1">
        <f t="shared" si="65"/>
        <v>0</v>
      </c>
      <c r="K493" s="1" t="str">
        <f t="shared" si="66"/>
        <v/>
      </c>
      <c r="L493" s="1">
        <f t="shared" si="67"/>
        <v>0</v>
      </c>
      <c r="M493" s="1">
        <f t="shared" si="68"/>
        <v>0</v>
      </c>
      <c r="N493" s="1">
        <f t="shared" si="69"/>
        <v>0</v>
      </c>
      <c r="O493" s="1" t="b">
        <f t="shared" si="70"/>
        <v>0</v>
      </c>
      <c r="P493" s="1" t="e">
        <f>INDEX(G:G,MATCH(G493,G:G,0))</f>
        <v>#N/A</v>
      </c>
      <c r="Q493" s="1" t="e">
        <f t="shared" si="71"/>
        <v>#N/A</v>
      </c>
      <c r="R493" s="1" t="e">
        <f>INDEX('6.0.35'!I:I,MATCH(F493,'6.0.35'!K:K,0))</f>
        <v>#N/A</v>
      </c>
      <c r="S493" s="1" t="e">
        <f>INDEX('6.0.35'!J:J,MATCH(F493,'6.0.35'!F:F,0))</f>
        <v>#N/A</v>
      </c>
    </row>
    <row r="494" spans="1:19">
      <c r="A494" t="s">
        <v>14418</v>
      </c>
      <c r="I494" s="1" t="str">
        <f t="shared" si="64"/>
        <v/>
      </c>
      <c r="J494" s="1">
        <f t="shared" si="65"/>
        <v>0</v>
      </c>
      <c r="K494" s="1" t="str">
        <f t="shared" si="66"/>
        <v/>
      </c>
      <c r="L494" s="1">
        <f t="shared" si="67"/>
        <v>0</v>
      </c>
      <c r="M494" s="1">
        <f t="shared" si="68"/>
        <v>0</v>
      </c>
      <c r="N494" s="1">
        <f t="shared" si="69"/>
        <v>0</v>
      </c>
      <c r="O494" s="1" t="b">
        <f t="shared" si="70"/>
        <v>0</v>
      </c>
      <c r="P494" s="1" t="e">
        <f>INDEX(G:G,MATCH(G494,G:G,0))</f>
        <v>#N/A</v>
      </c>
      <c r="Q494" s="1" t="e">
        <f t="shared" si="71"/>
        <v>#N/A</v>
      </c>
      <c r="R494" s="1" t="e">
        <f>INDEX('6.0.35'!I:I,MATCH(F494,'6.0.35'!K:K,0))</f>
        <v>#N/A</v>
      </c>
      <c r="S494" s="1" t="e">
        <f>INDEX('6.0.35'!J:J,MATCH(F494,'6.0.35'!F:F,0))</f>
        <v>#N/A</v>
      </c>
    </row>
    <row r="495" spans="1:19">
      <c r="A495" t="s">
        <v>14422</v>
      </c>
      <c r="I495" s="1" t="str">
        <f t="shared" si="64"/>
        <v/>
      </c>
      <c r="J495" s="1">
        <f t="shared" si="65"/>
        <v>0</v>
      </c>
      <c r="K495" s="1" t="str">
        <f t="shared" si="66"/>
        <v/>
      </c>
      <c r="L495" s="1">
        <f t="shared" si="67"/>
        <v>0</v>
      </c>
      <c r="M495" s="1">
        <f t="shared" si="68"/>
        <v>0</v>
      </c>
      <c r="N495" s="1">
        <f t="shared" si="69"/>
        <v>0</v>
      </c>
      <c r="O495" s="1" t="b">
        <f t="shared" si="70"/>
        <v>0</v>
      </c>
      <c r="P495" s="1" t="e">
        <f>INDEX(G:G,MATCH(G495,G:G,0))</f>
        <v>#N/A</v>
      </c>
      <c r="Q495" s="1" t="e">
        <f t="shared" si="71"/>
        <v>#N/A</v>
      </c>
      <c r="R495" s="1" t="e">
        <f>INDEX('6.0.35'!I:I,MATCH(F495,'6.0.35'!K:K,0))</f>
        <v>#N/A</v>
      </c>
      <c r="S495" s="1" t="e">
        <f>INDEX('6.0.35'!J:J,MATCH(F495,'6.0.35'!F:F,0))</f>
        <v>#N/A</v>
      </c>
    </row>
    <row r="496" spans="1:19">
      <c r="A496" t="s">
        <v>14425</v>
      </c>
      <c r="I496" s="1" t="str">
        <f t="shared" si="64"/>
        <v/>
      </c>
      <c r="J496" s="1">
        <f t="shared" si="65"/>
        <v>0</v>
      </c>
      <c r="K496" s="1" t="str">
        <f t="shared" si="66"/>
        <v/>
      </c>
      <c r="L496" s="1">
        <f t="shared" si="67"/>
        <v>0</v>
      </c>
      <c r="M496" s="1">
        <f t="shared" si="68"/>
        <v>0</v>
      </c>
      <c r="N496" s="1">
        <f t="shared" si="69"/>
        <v>0</v>
      </c>
      <c r="O496" s="1" t="b">
        <f t="shared" si="70"/>
        <v>0</v>
      </c>
      <c r="P496" s="1" t="e">
        <f>INDEX(G:G,MATCH(G496,G:G,0))</f>
        <v>#N/A</v>
      </c>
      <c r="Q496" s="1" t="e">
        <f t="shared" si="71"/>
        <v>#N/A</v>
      </c>
      <c r="R496" s="1" t="e">
        <f>INDEX('6.0.35'!I:I,MATCH(F496,'6.0.35'!K:K,0))</f>
        <v>#N/A</v>
      </c>
      <c r="S496" s="1" t="e">
        <f>INDEX('6.0.35'!J:J,MATCH(F496,'6.0.35'!F:F,0))</f>
        <v>#N/A</v>
      </c>
    </row>
    <row r="497" spans="1:19">
      <c r="A497" t="s">
        <v>14428</v>
      </c>
      <c r="I497" s="1" t="str">
        <f t="shared" si="64"/>
        <v/>
      </c>
      <c r="J497" s="1">
        <f t="shared" si="65"/>
        <v>0</v>
      </c>
      <c r="K497" s="1" t="str">
        <f t="shared" si="66"/>
        <v/>
      </c>
      <c r="L497" s="1">
        <f t="shared" si="67"/>
        <v>0</v>
      </c>
      <c r="M497" s="1">
        <f t="shared" si="68"/>
        <v>0</v>
      </c>
      <c r="N497" s="1">
        <f t="shared" si="69"/>
        <v>0</v>
      </c>
      <c r="O497" s="1" t="b">
        <f t="shared" si="70"/>
        <v>0</v>
      </c>
      <c r="P497" s="1" t="e">
        <f>INDEX(G:G,MATCH(G497,G:G,0))</f>
        <v>#N/A</v>
      </c>
      <c r="Q497" s="1" t="e">
        <f t="shared" si="71"/>
        <v>#N/A</v>
      </c>
      <c r="R497" s="1" t="e">
        <f>INDEX('6.0.35'!I:I,MATCH(F497,'6.0.35'!K:K,0))</f>
        <v>#N/A</v>
      </c>
      <c r="S497" s="1" t="e">
        <f>INDEX('6.0.35'!J:J,MATCH(F497,'6.0.35'!F:F,0))</f>
        <v>#N/A</v>
      </c>
    </row>
    <row r="498" spans="1:19">
      <c r="A498" t="s">
        <v>14431</v>
      </c>
      <c r="I498" s="1" t="str">
        <f t="shared" si="64"/>
        <v/>
      </c>
      <c r="J498" s="1">
        <f t="shared" si="65"/>
        <v>0</v>
      </c>
      <c r="K498" s="1" t="str">
        <f t="shared" si="66"/>
        <v/>
      </c>
      <c r="L498" s="1">
        <f t="shared" si="67"/>
        <v>0</v>
      </c>
      <c r="M498" s="1">
        <f t="shared" si="68"/>
        <v>0</v>
      </c>
      <c r="N498" s="1">
        <f t="shared" si="69"/>
        <v>0</v>
      </c>
      <c r="O498" s="1" t="b">
        <f t="shared" si="70"/>
        <v>0</v>
      </c>
      <c r="P498" s="1" t="e">
        <f>INDEX(G:G,MATCH(G498,G:G,0))</f>
        <v>#N/A</v>
      </c>
      <c r="Q498" s="1" t="e">
        <f t="shared" si="71"/>
        <v>#N/A</v>
      </c>
      <c r="R498" s="1" t="e">
        <f>INDEX('6.0.35'!I:I,MATCH(F498,'6.0.35'!K:K,0))</f>
        <v>#N/A</v>
      </c>
      <c r="S498" s="1" t="e">
        <f>INDEX('6.0.35'!J:J,MATCH(F498,'6.0.35'!F:F,0))</f>
        <v>#N/A</v>
      </c>
    </row>
    <row r="499" spans="1:19">
      <c r="A499" t="s">
        <v>14479</v>
      </c>
      <c r="I499" s="1" t="str">
        <f t="shared" si="64"/>
        <v/>
      </c>
      <c r="J499" s="1">
        <f t="shared" si="65"/>
        <v>0</v>
      </c>
      <c r="K499" s="1" t="str">
        <f t="shared" si="66"/>
        <v/>
      </c>
      <c r="L499" s="1">
        <f t="shared" si="67"/>
        <v>0</v>
      </c>
      <c r="M499" s="1">
        <f t="shared" si="68"/>
        <v>0</v>
      </c>
      <c r="N499" s="1">
        <f t="shared" si="69"/>
        <v>0</v>
      </c>
      <c r="O499" s="1" t="b">
        <f t="shared" si="70"/>
        <v>0</v>
      </c>
      <c r="P499" s="1" t="e">
        <f>INDEX(G:G,MATCH(G499,G:G,0))</f>
        <v>#N/A</v>
      </c>
      <c r="Q499" s="1" t="e">
        <f t="shared" si="71"/>
        <v>#N/A</v>
      </c>
      <c r="R499" s="1" t="e">
        <f>INDEX('6.0.35'!I:I,MATCH(F499,'6.0.35'!K:K,0))</f>
        <v>#N/A</v>
      </c>
      <c r="S499" s="1" t="e">
        <f>INDEX('6.0.35'!J:J,MATCH(F499,'6.0.35'!F:F,0))</f>
        <v>#N/A</v>
      </c>
    </row>
    <row r="500" spans="1:19">
      <c r="A500" t="s">
        <v>14482</v>
      </c>
      <c r="I500" s="1" t="str">
        <f t="shared" si="64"/>
        <v/>
      </c>
      <c r="J500" s="1">
        <f t="shared" si="65"/>
        <v>0</v>
      </c>
      <c r="K500" s="1" t="str">
        <f t="shared" si="66"/>
        <v/>
      </c>
      <c r="L500" s="1">
        <f t="shared" si="67"/>
        <v>0</v>
      </c>
      <c r="M500" s="1">
        <f t="shared" si="68"/>
        <v>0</v>
      </c>
      <c r="N500" s="1">
        <f t="shared" si="69"/>
        <v>0</v>
      </c>
      <c r="O500" s="1" t="b">
        <f t="shared" si="70"/>
        <v>0</v>
      </c>
      <c r="P500" s="1" t="e">
        <f>INDEX(G:G,MATCH(G500,G:G,0))</f>
        <v>#N/A</v>
      </c>
      <c r="Q500" s="1" t="e">
        <f t="shared" si="71"/>
        <v>#N/A</v>
      </c>
      <c r="R500" s="1" t="e">
        <f>INDEX('6.0.35'!I:I,MATCH(F500,'6.0.35'!K:K,0))</f>
        <v>#N/A</v>
      </c>
      <c r="S500" s="1" t="e">
        <f>INDEX('6.0.35'!J:J,MATCH(F500,'6.0.35'!F:F,0))</f>
        <v>#N/A</v>
      </c>
    </row>
    <row r="501" spans="1:19">
      <c r="A501" t="s">
        <v>14485</v>
      </c>
      <c r="I501" s="1" t="str">
        <f t="shared" si="64"/>
        <v/>
      </c>
      <c r="J501" s="1">
        <f t="shared" si="65"/>
        <v>0</v>
      </c>
      <c r="K501" s="1" t="str">
        <f t="shared" si="66"/>
        <v/>
      </c>
      <c r="L501" s="1">
        <f t="shared" si="67"/>
        <v>0</v>
      </c>
      <c r="M501" s="1">
        <f t="shared" si="68"/>
        <v>0</v>
      </c>
      <c r="N501" s="1">
        <f t="shared" si="69"/>
        <v>0</v>
      </c>
      <c r="O501" s="1" t="b">
        <f t="shared" si="70"/>
        <v>0</v>
      </c>
      <c r="P501" s="1" t="e">
        <f>INDEX(G:G,MATCH(G501,G:G,0))</f>
        <v>#N/A</v>
      </c>
      <c r="Q501" s="1" t="e">
        <f t="shared" si="71"/>
        <v>#N/A</v>
      </c>
      <c r="R501" s="1" t="e">
        <f>INDEX('6.0.35'!I:I,MATCH(F501,'6.0.35'!K:K,0))</f>
        <v>#N/A</v>
      </c>
      <c r="S501" s="1" t="e">
        <f>INDEX('6.0.35'!J:J,MATCH(F501,'6.0.35'!F:F,0))</f>
        <v>#N/A</v>
      </c>
    </row>
    <row r="502" spans="1:19">
      <c r="A502" t="s">
        <v>14488</v>
      </c>
      <c r="I502" s="1" t="str">
        <f t="shared" si="64"/>
        <v/>
      </c>
      <c r="J502" s="1">
        <f t="shared" si="65"/>
        <v>0</v>
      </c>
      <c r="K502" s="1" t="str">
        <f t="shared" si="66"/>
        <v/>
      </c>
      <c r="L502" s="1">
        <f t="shared" si="67"/>
        <v>0</v>
      </c>
      <c r="M502" s="1">
        <f t="shared" si="68"/>
        <v>0</v>
      </c>
      <c r="N502" s="1">
        <f t="shared" si="69"/>
        <v>0</v>
      </c>
      <c r="O502" s="1" t="b">
        <f t="shared" si="70"/>
        <v>0</v>
      </c>
      <c r="P502" s="1" t="e">
        <f>INDEX(G:G,MATCH(G502,G:G,0))</f>
        <v>#N/A</v>
      </c>
      <c r="Q502" s="1" t="e">
        <f t="shared" si="71"/>
        <v>#N/A</v>
      </c>
      <c r="R502" s="1" t="e">
        <f>INDEX('6.0.35'!I:I,MATCH(F502,'6.0.35'!K:K,0))</f>
        <v>#N/A</v>
      </c>
      <c r="S502" s="1" t="e">
        <f>INDEX('6.0.35'!J:J,MATCH(F502,'6.0.35'!F:F,0))</f>
        <v>#N/A</v>
      </c>
    </row>
    <row r="503" spans="1:19">
      <c r="A503" t="s">
        <v>14491</v>
      </c>
      <c r="I503" s="1" t="str">
        <f t="shared" si="64"/>
        <v/>
      </c>
      <c r="J503" s="1">
        <f t="shared" si="65"/>
        <v>0</v>
      </c>
      <c r="K503" s="1" t="str">
        <f t="shared" si="66"/>
        <v/>
      </c>
      <c r="L503" s="1">
        <f t="shared" si="67"/>
        <v>0</v>
      </c>
      <c r="M503" s="1">
        <f t="shared" si="68"/>
        <v>0</v>
      </c>
      <c r="N503" s="1">
        <f t="shared" si="69"/>
        <v>0</v>
      </c>
      <c r="O503" s="1" t="b">
        <f t="shared" si="70"/>
        <v>0</v>
      </c>
      <c r="P503" s="1" t="e">
        <f>INDEX(G:G,MATCH(G503,G:G,0))</f>
        <v>#N/A</v>
      </c>
      <c r="Q503" s="1" t="e">
        <f t="shared" si="71"/>
        <v>#N/A</v>
      </c>
      <c r="R503" s="1" t="e">
        <f>INDEX('6.0.35'!I:I,MATCH(F503,'6.0.35'!K:K,0))</f>
        <v>#N/A</v>
      </c>
      <c r="S503" s="1" t="e">
        <f>INDEX('6.0.35'!J:J,MATCH(F503,'6.0.35'!F:F,0))</f>
        <v>#N/A</v>
      </c>
    </row>
    <row r="504" spans="1:19">
      <c r="A504" t="s">
        <v>14494</v>
      </c>
      <c r="I504" s="1" t="str">
        <f t="shared" si="64"/>
        <v/>
      </c>
      <c r="J504" s="1">
        <f t="shared" si="65"/>
        <v>0</v>
      </c>
      <c r="K504" s="1" t="str">
        <f t="shared" si="66"/>
        <v/>
      </c>
      <c r="L504" s="1">
        <f t="shared" si="67"/>
        <v>0</v>
      </c>
      <c r="M504" s="1">
        <f t="shared" si="68"/>
        <v>0</v>
      </c>
      <c r="N504" s="1">
        <f t="shared" si="69"/>
        <v>0</v>
      </c>
      <c r="O504" s="1" t="b">
        <f t="shared" si="70"/>
        <v>0</v>
      </c>
      <c r="P504" s="1" t="e">
        <f>INDEX(G:G,MATCH(G504,G:G,0))</f>
        <v>#N/A</v>
      </c>
      <c r="Q504" s="1" t="e">
        <f t="shared" si="71"/>
        <v>#N/A</v>
      </c>
      <c r="R504" s="1" t="e">
        <f>INDEX('6.0.35'!I:I,MATCH(F504,'6.0.35'!K:K,0))</f>
        <v>#N/A</v>
      </c>
      <c r="S504" s="1" t="e">
        <f>INDEX('6.0.35'!J:J,MATCH(F504,'6.0.35'!F:F,0))</f>
        <v>#N/A</v>
      </c>
    </row>
    <row r="505" spans="1:19">
      <c r="A505" t="s">
        <v>14497</v>
      </c>
      <c r="I505" s="1" t="str">
        <f t="shared" si="64"/>
        <v/>
      </c>
      <c r="J505" s="1">
        <f t="shared" si="65"/>
        <v>0</v>
      </c>
      <c r="K505" s="1" t="str">
        <f t="shared" si="66"/>
        <v/>
      </c>
      <c r="L505" s="1">
        <f t="shared" si="67"/>
        <v>0</v>
      </c>
      <c r="M505" s="1">
        <f t="shared" si="68"/>
        <v>0</v>
      </c>
      <c r="N505" s="1">
        <f t="shared" si="69"/>
        <v>0</v>
      </c>
      <c r="O505" s="1" t="b">
        <f t="shared" si="70"/>
        <v>0</v>
      </c>
      <c r="P505" s="1" t="e">
        <f>INDEX(G:G,MATCH(G505,G:G,0))</f>
        <v>#N/A</v>
      </c>
      <c r="Q505" s="1" t="e">
        <f t="shared" si="71"/>
        <v>#N/A</v>
      </c>
      <c r="R505" s="1" t="e">
        <f>INDEX('6.0.35'!I:I,MATCH(F505,'6.0.35'!K:K,0))</f>
        <v>#N/A</v>
      </c>
      <c r="S505" s="1" t="e">
        <f>INDEX('6.0.35'!J:J,MATCH(F505,'6.0.35'!F:F,0))</f>
        <v>#N/A</v>
      </c>
    </row>
    <row r="506" spans="1:19">
      <c r="A506" t="s">
        <v>14500</v>
      </c>
      <c r="I506" s="1" t="str">
        <f t="shared" ref="I506:I569" si="72">IFERROR(IF(OR(MID(G506,FIND(":",G506)-1,1)="""",MID(G506,FIND(":",G506)-1,1)="}",MID(G506,FIND(":",G506)-1,1)=")",MID(G506,FIND(":",G506)-1,1)="]"),"",RIGHT(G506,LEN(G506)-FIND(":",G506)-1)),"")</f>
        <v/>
      </c>
      <c r="J506" s="1">
        <f t="shared" ref="J506:J569" si="73">IF(AND(I506="",H506=""),G506,IF(H506="",I506,H506&amp;": "&amp;I506))</f>
        <v>0</v>
      </c>
      <c r="K506" s="1" t="str">
        <f t="shared" ref="K506:K569" si="74">IFERROR(IF(OR(MID(F506,FIND(":",F506)-1,1)="""",MID(F506,FIND(":",F506)-1,1)="}",MID(F506,FIND(":",F506)-1,1)=")",MID(F506,FIND(":",F506)-1,1)="]"),"",RIGHT(F506,LEN(F506)-FIND(":",F506)-1)),"")</f>
        <v/>
      </c>
      <c r="L506" s="1">
        <f t="shared" ref="L506:L569" si="75">LEN(F506)-LEN(SUBSTITUTE(F506,":",""))</f>
        <v>0</v>
      </c>
      <c r="M506" s="1">
        <f t="shared" ref="M506:M569" si="76">LEN(G506)-LEN(SUBSTITUTE(G506,":",""))</f>
        <v>0</v>
      </c>
      <c r="N506" s="1">
        <f t="shared" ref="N506:N569" si="77">LEN(G506)-LEN(SUBSTITUTE(G506,"：",""))</f>
        <v>0</v>
      </c>
      <c r="O506" s="1" t="b">
        <f t="shared" ref="O506:O569" si="78">IF(M506&gt;=2,MID(G506,FIND(":",G506)+1,LEN(G506)))</f>
        <v>0</v>
      </c>
      <c r="P506" s="1" t="e">
        <f>INDEX(G:G,MATCH(G506,G:G,0))</f>
        <v>#N/A</v>
      </c>
      <c r="Q506" s="1" t="e">
        <f t="shared" ref="Q506:Q569" si="79">IF(P506&lt;&gt;G506,"校验","")</f>
        <v>#N/A</v>
      </c>
      <c r="R506" s="1" t="e">
        <f>INDEX('6.0.35'!I:I,MATCH(F506,'6.0.35'!K:K,0))</f>
        <v>#N/A</v>
      </c>
      <c r="S506" s="1" t="e">
        <f>INDEX('6.0.35'!J:J,MATCH(F506,'6.0.35'!F:F,0))</f>
        <v>#N/A</v>
      </c>
    </row>
    <row r="507" spans="1:19">
      <c r="A507" t="s">
        <v>18297</v>
      </c>
      <c r="I507" s="1" t="str">
        <f t="shared" si="72"/>
        <v/>
      </c>
      <c r="J507" s="1">
        <f t="shared" si="73"/>
        <v>0</v>
      </c>
      <c r="K507" s="1" t="str">
        <f t="shared" si="74"/>
        <v/>
      </c>
      <c r="L507" s="1">
        <f t="shared" si="75"/>
        <v>0</v>
      </c>
      <c r="M507" s="1">
        <f t="shared" si="76"/>
        <v>0</v>
      </c>
      <c r="N507" s="1">
        <f t="shared" si="77"/>
        <v>0</v>
      </c>
      <c r="O507" s="1" t="b">
        <f t="shared" si="78"/>
        <v>0</v>
      </c>
      <c r="P507" s="1" t="e">
        <f>INDEX(G:G,MATCH(G507,G:G,0))</f>
        <v>#N/A</v>
      </c>
      <c r="Q507" s="1" t="e">
        <f t="shared" si="79"/>
        <v>#N/A</v>
      </c>
      <c r="R507" s="1" t="e">
        <f>INDEX('6.0.35'!I:I,MATCH(F507,'6.0.35'!K:K,0))</f>
        <v>#N/A</v>
      </c>
      <c r="S507" s="1" t="e">
        <f>INDEX('6.0.35'!J:J,MATCH(F507,'6.0.35'!F:F,0))</f>
        <v>#N/A</v>
      </c>
    </row>
    <row r="508" spans="1:19">
      <c r="A508" t="s">
        <v>14506</v>
      </c>
      <c r="I508" s="1" t="str">
        <f t="shared" si="72"/>
        <v/>
      </c>
      <c r="J508" s="1">
        <f t="shared" si="73"/>
        <v>0</v>
      </c>
      <c r="K508" s="1" t="str">
        <f t="shared" si="74"/>
        <v/>
      </c>
      <c r="L508" s="1">
        <f t="shared" si="75"/>
        <v>0</v>
      </c>
      <c r="M508" s="1">
        <f t="shared" si="76"/>
        <v>0</v>
      </c>
      <c r="N508" s="1">
        <f t="shared" si="77"/>
        <v>0</v>
      </c>
      <c r="O508" s="1" t="b">
        <f t="shared" si="78"/>
        <v>0</v>
      </c>
      <c r="P508" s="1" t="e">
        <f>INDEX(G:G,MATCH(G508,G:G,0))</f>
        <v>#N/A</v>
      </c>
      <c r="Q508" s="1" t="e">
        <f t="shared" si="79"/>
        <v>#N/A</v>
      </c>
      <c r="R508" s="1" t="e">
        <f>INDEX('6.0.35'!I:I,MATCH(F508,'6.0.35'!K:K,0))</f>
        <v>#N/A</v>
      </c>
      <c r="S508" s="1" t="e">
        <f>INDEX('6.0.35'!J:J,MATCH(F508,'6.0.35'!F:F,0))</f>
        <v>#N/A</v>
      </c>
    </row>
    <row r="509" spans="1:19">
      <c r="A509" t="s">
        <v>14509</v>
      </c>
      <c r="I509" s="1" t="str">
        <f t="shared" si="72"/>
        <v/>
      </c>
      <c r="J509" s="1">
        <f t="shared" si="73"/>
        <v>0</v>
      </c>
      <c r="K509" s="1" t="str">
        <f t="shared" si="74"/>
        <v/>
      </c>
      <c r="L509" s="1">
        <f t="shared" si="75"/>
        <v>0</v>
      </c>
      <c r="M509" s="1">
        <f t="shared" si="76"/>
        <v>0</v>
      </c>
      <c r="N509" s="1">
        <f t="shared" si="77"/>
        <v>0</v>
      </c>
      <c r="O509" s="1" t="b">
        <f t="shared" si="78"/>
        <v>0</v>
      </c>
      <c r="P509" s="1" t="e">
        <f>INDEX(G:G,MATCH(G509,G:G,0))</f>
        <v>#N/A</v>
      </c>
      <c r="Q509" s="1" t="e">
        <f t="shared" si="79"/>
        <v>#N/A</v>
      </c>
      <c r="R509" s="1" t="e">
        <f>INDEX('6.0.35'!I:I,MATCH(F509,'6.0.35'!K:K,0))</f>
        <v>#N/A</v>
      </c>
      <c r="S509" s="1" t="e">
        <f>INDEX('6.0.35'!J:J,MATCH(F509,'6.0.35'!F:F,0))</f>
        <v>#N/A</v>
      </c>
    </row>
    <row r="510" spans="1:19">
      <c r="A510" t="s">
        <v>14512</v>
      </c>
      <c r="I510" s="1" t="str">
        <f t="shared" si="72"/>
        <v/>
      </c>
      <c r="J510" s="1">
        <f t="shared" si="73"/>
        <v>0</v>
      </c>
      <c r="K510" s="1" t="str">
        <f t="shared" si="74"/>
        <v/>
      </c>
      <c r="L510" s="1">
        <f t="shared" si="75"/>
        <v>0</v>
      </c>
      <c r="M510" s="1">
        <f t="shared" si="76"/>
        <v>0</v>
      </c>
      <c r="N510" s="1">
        <f t="shared" si="77"/>
        <v>0</v>
      </c>
      <c r="O510" s="1" t="b">
        <f t="shared" si="78"/>
        <v>0</v>
      </c>
      <c r="P510" s="1" t="e">
        <f>INDEX(G:G,MATCH(G510,G:G,0))</f>
        <v>#N/A</v>
      </c>
      <c r="Q510" s="1" t="e">
        <f t="shared" si="79"/>
        <v>#N/A</v>
      </c>
      <c r="R510" s="1" t="e">
        <f>INDEX('6.0.35'!I:I,MATCH(F510,'6.0.35'!K:K,0))</f>
        <v>#N/A</v>
      </c>
      <c r="S510" s="1" t="e">
        <f>INDEX('6.0.35'!J:J,MATCH(F510,'6.0.35'!F:F,0))</f>
        <v>#N/A</v>
      </c>
    </row>
    <row r="511" spans="1:19">
      <c r="A511" t="s">
        <v>14515</v>
      </c>
      <c r="I511" s="1" t="str">
        <f t="shared" si="72"/>
        <v/>
      </c>
      <c r="J511" s="1">
        <f t="shared" si="73"/>
        <v>0</v>
      </c>
      <c r="K511" s="1" t="str">
        <f t="shared" si="74"/>
        <v/>
      </c>
      <c r="L511" s="1">
        <f t="shared" si="75"/>
        <v>0</v>
      </c>
      <c r="M511" s="1">
        <f t="shared" si="76"/>
        <v>0</v>
      </c>
      <c r="N511" s="1">
        <f t="shared" si="77"/>
        <v>0</v>
      </c>
      <c r="O511" s="1" t="b">
        <f t="shared" si="78"/>
        <v>0</v>
      </c>
      <c r="P511" s="1" t="e">
        <f>INDEX(G:G,MATCH(G511,G:G,0))</f>
        <v>#N/A</v>
      </c>
      <c r="Q511" s="1" t="e">
        <f t="shared" si="79"/>
        <v>#N/A</v>
      </c>
      <c r="R511" s="1" t="e">
        <f>INDEX('6.0.35'!I:I,MATCH(F511,'6.0.35'!K:K,0))</f>
        <v>#N/A</v>
      </c>
      <c r="S511" s="1" t="e">
        <f>INDEX('6.0.35'!J:J,MATCH(F511,'6.0.35'!F:F,0))</f>
        <v>#N/A</v>
      </c>
    </row>
    <row r="512" spans="1:19">
      <c r="A512" t="s">
        <v>14518</v>
      </c>
      <c r="I512" s="1" t="str">
        <f t="shared" si="72"/>
        <v/>
      </c>
      <c r="J512" s="1">
        <f t="shared" si="73"/>
        <v>0</v>
      </c>
      <c r="K512" s="1" t="str">
        <f t="shared" si="74"/>
        <v/>
      </c>
      <c r="L512" s="1">
        <f t="shared" si="75"/>
        <v>0</v>
      </c>
      <c r="M512" s="1">
        <f t="shared" si="76"/>
        <v>0</v>
      </c>
      <c r="N512" s="1">
        <f t="shared" si="77"/>
        <v>0</v>
      </c>
      <c r="O512" s="1" t="b">
        <f t="shared" si="78"/>
        <v>0</v>
      </c>
      <c r="P512" s="1" t="e">
        <f>INDEX(G:G,MATCH(G512,G:G,0))</f>
        <v>#N/A</v>
      </c>
      <c r="Q512" s="1" t="e">
        <f t="shared" si="79"/>
        <v>#N/A</v>
      </c>
      <c r="R512" s="1" t="e">
        <f>INDEX('6.0.35'!I:I,MATCH(F512,'6.0.35'!K:K,0))</f>
        <v>#N/A</v>
      </c>
      <c r="S512" s="1" t="e">
        <f>INDEX('6.0.35'!J:J,MATCH(F512,'6.0.35'!F:F,0))</f>
        <v>#N/A</v>
      </c>
    </row>
    <row r="513" spans="1:19">
      <c r="A513" t="s">
        <v>14521</v>
      </c>
      <c r="I513" s="1" t="str">
        <f t="shared" si="72"/>
        <v/>
      </c>
      <c r="J513" s="1">
        <f t="shared" si="73"/>
        <v>0</v>
      </c>
      <c r="K513" s="1" t="str">
        <f t="shared" si="74"/>
        <v/>
      </c>
      <c r="L513" s="1">
        <f t="shared" si="75"/>
        <v>0</v>
      </c>
      <c r="M513" s="1">
        <f t="shared" si="76"/>
        <v>0</v>
      </c>
      <c r="N513" s="1">
        <f t="shared" si="77"/>
        <v>0</v>
      </c>
      <c r="O513" s="1" t="b">
        <f t="shared" si="78"/>
        <v>0</v>
      </c>
      <c r="P513" s="1" t="e">
        <f>INDEX(G:G,MATCH(G513,G:G,0))</f>
        <v>#N/A</v>
      </c>
      <c r="Q513" s="1" t="e">
        <f t="shared" si="79"/>
        <v>#N/A</v>
      </c>
      <c r="R513" s="1" t="e">
        <f>INDEX('6.0.35'!I:I,MATCH(F513,'6.0.35'!K:K,0))</f>
        <v>#N/A</v>
      </c>
      <c r="S513" s="1" t="e">
        <f>INDEX('6.0.35'!J:J,MATCH(F513,'6.0.35'!F:F,0))</f>
        <v>#N/A</v>
      </c>
    </row>
    <row r="514" spans="1:19">
      <c r="A514" t="s">
        <v>14524</v>
      </c>
      <c r="I514" s="1" t="str">
        <f t="shared" si="72"/>
        <v/>
      </c>
      <c r="J514" s="1">
        <f t="shared" si="73"/>
        <v>0</v>
      </c>
      <c r="K514" s="1" t="str">
        <f t="shared" si="74"/>
        <v/>
      </c>
      <c r="L514" s="1">
        <f t="shared" si="75"/>
        <v>0</v>
      </c>
      <c r="M514" s="1">
        <f t="shared" si="76"/>
        <v>0</v>
      </c>
      <c r="N514" s="1">
        <f t="shared" si="77"/>
        <v>0</v>
      </c>
      <c r="O514" s="1" t="b">
        <f t="shared" si="78"/>
        <v>0</v>
      </c>
      <c r="P514" s="1" t="e">
        <f>INDEX(G:G,MATCH(G514,G:G,0))</f>
        <v>#N/A</v>
      </c>
      <c r="Q514" s="1" t="e">
        <f t="shared" si="79"/>
        <v>#N/A</v>
      </c>
      <c r="R514" s="1" t="e">
        <f>INDEX('6.0.35'!I:I,MATCH(F514,'6.0.35'!K:K,0))</f>
        <v>#N/A</v>
      </c>
      <c r="S514" s="1" t="e">
        <f>INDEX('6.0.35'!J:J,MATCH(F514,'6.0.35'!F:F,0))</f>
        <v>#N/A</v>
      </c>
    </row>
    <row r="515" spans="1:19">
      <c r="A515" t="s">
        <v>14527</v>
      </c>
      <c r="I515" s="1" t="str">
        <f t="shared" si="72"/>
        <v/>
      </c>
      <c r="J515" s="1">
        <f t="shared" si="73"/>
        <v>0</v>
      </c>
      <c r="K515" s="1" t="str">
        <f t="shared" si="74"/>
        <v/>
      </c>
      <c r="L515" s="1">
        <f t="shared" si="75"/>
        <v>0</v>
      </c>
      <c r="M515" s="1">
        <f t="shared" si="76"/>
        <v>0</v>
      </c>
      <c r="N515" s="1">
        <f t="shared" si="77"/>
        <v>0</v>
      </c>
      <c r="O515" s="1" t="b">
        <f t="shared" si="78"/>
        <v>0</v>
      </c>
      <c r="P515" s="1" t="e">
        <f>INDEX(G:G,MATCH(G515,G:G,0))</f>
        <v>#N/A</v>
      </c>
      <c r="Q515" s="1" t="e">
        <f t="shared" si="79"/>
        <v>#N/A</v>
      </c>
      <c r="R515" s="1" t="e">
        <f>INDEX('6.0.35'!I:I,MATCH(F515,'6.0.35'!K:K,0))</f>
        <v>#N/A</v>
      </c>
      <c r="S515" s="1" t="e">
        <f>INDEX('6.0.35'!J:J,MATCH(F515,'6.0.35'!F:F,0))</f>
        <v>#N/A</v>
      </c>
    </row>
    <row r="516" spans="1:19">
      <c r="A516" t="s">
        <v>14530</v>
      </c>
      <c r="I516" s="1" t="str">
        <f t="shared" si="72"/>
        <v/>
      </c>
      <c r="J516" s="1">
        <f t="shared" si="73"/>
        <v>0</v>
      </c>
      <c r="K516" s="1" t="str">
        <f t="shared" si="74"/>
        <v/>
      </c>
      <c r="L516" s="1">
        <f t="shared" si="75"/>
        <v>0</v>
      </c>
      <c r="M516" s="1">
        <f t="shared" si="76"/>
        <v>0</v>
      </c>
      <c r="N516" s="1">
        <f t="shared" si="77"/>
        <v>0</v>
      </c>
      <c r="O516" s="1" t="b">
        <f t="shared" si="78"/>
        <v>0</v>
      </c>
      <c r="P516" s="1" t="e">
        <f>INDEX(G:G,MATCH(G516,G:G,0))</f>
        <v>#N/A</v>
      </c>
      <c r="Q516" s="1" t="e">
        <f t="shared" si="79"/>
        <v>#N/A</v>
      </c>
      <c r="R516" s="1" t="e">
        <f>INDEX('6.0.35'!I:I,MATCH(F516,'6.0.35'!K:K,0))</f>
        <v>#N/A</v>
      </c>
      <c r="S516" s="1" t="e">
        <f>INDEX('6.0.35'!J:J,MATCH(F516,'6.0.35'!F:F,0))</f>
        <v>#N/A</v>
      </c>
    </row>
    <row r="517" spans="1:19">
      <c r="A517" t="s">
        <v>14533</v>
      </c>
      <c r="I517" s="1" t="str">
        <f t="shared" si="72"/>
        <v/>
      </c>
      <c r="J517" s="1">
        <f t="shared" si="73"/>
        <v>0</v>
      </c>
      <c r="K517" s="1" t="str">
        <f t="shared" si="74"/>
        <v/>
      </c>
      <c r="L517" s="1">
        <f t="shared" si="75"/>
        <v>0</v>
      </c>
      <c r="M517" s="1">
        <f t="shared" si="76"/>
        <v>0</v>
      </c>
      <c r="N517" s="1">
        <f t="shared" si="77"/>
        <v>0</v>
      </c>
      <c r="O517" s="1" t="b">
        <f t="shared" si="78"/>
        <v>0</v>
      </c>
      <c r="P517" s="1" t="e">
        <f>INDEX(G:G,MATCH(G517,G:G,0))</f>
        <v>#N/A</v>
      </c>
      <c r="Q517" s="1" t="e">
        <f t="shared" si="79"/>
        <v>#N/A</v>
      </c>
      <c r="R517" s="1" t="e">
        <f>INDEX('6.0.35'!I:I,MATCH(F517,'6.0.35'!K:K,0))</f>
        <v>#N/A</v>
      </c>
      <c r="S517" s="1" t="e">
        <f>INDEX('6.0.35'!J:J,MATCH(F517,'6.0.35'!F:F,0))</f>
        <v>#N/A</v>
      </c>
    </row>
    <row r="518" spans="1:19">
      <c r="A518" t="s">
        <v>14536</v>
      </c>
      <c r="I518" s="1" t="str">
        <f t="shared" si="72"/>
        <v/>
      </c>
      <c r="J518" s="1">
        <f t="shared" si="73"/>
        <v>0</v>
      </c>
      <c r="K518" s="1" t="str">
        <f t="shared" si="74"/>
        <v/>
      </c>
      <c r="L518" s="1">
        <f t="shared" si="75"/>
        <v>0</v>
      </c>
      <c r="M518" s="1">
        <f t="shared" si="76"/>
        <v>0</v>
      </c>
      <c r="N518" s="1">
        <f t="shared" si="77"/>
        <v>0</v>
      </c>
      <c r="O518" s="1" t="b">
        <f t="shared" si="78"/>
        <v>0</v>
      </c>
      <c r="P518" s="1" t="e">
        <f>INDEX(G:G,MATCH(G518,G:G,0))</f>
        <v>#N/A</v>
      </c>
      <c r="Q518" s="1" t="e">
        <f t="shared" si="79"/>
        <v>#N/A</v>
      </c>
      <c r="R518" s="1" t="e">
        <f>INDEX('6.0.35'!I:I,MATCH(F518,'6.0.35'!K:K,0))</f>
        <v>#N/A</v>
      </c>
      <c r="S518" s="1" t="e">
        <f>INDEX('6.0.35'!J:J,MATCH(F518,'6.0.35'!F:F,0))</f>
        <v>#N/A</v>
      </c>
    </row>
    <row r="519" spans="1:19">
      <c r="A519" t="s">
        <v>14539</v>
      </c>
      <c r="I519" s="1" t="str">
        <f t="shared" si="72"/>
        <v/>
      </c>
      <c r="J519" s="1">
        <f t="shared" si="73"/>
        <v>0</v>
      </c>
      <c r="K519" s="1" t="str">
        <f t="shared" si="74"/>
        <v/>
      </c>
      <c r="L519" s="1">
        <f t="shared" si="75"/>
        <v>0</v>
      </c>
      <c r="M519" s="1">
        <f t="shared" si="76"/>
        <v>0</v>
      </c>
      <c r="N519" s="1">
        <f t="shared" si="77"/>
        <v>0</v>
      </c>
      <c r="O519" s="1" t="b">
        <f t="shared" si="78"/>
        <v>0</v>
      </c>
      <c r="P519" s="1" t="e">
        <f>INDEX(G:G,MATCH(G519,G:G,0))</f>
        <v>#N/A</v>
      </c>
      <c r="Q519" s="1" t="e">
        <f t="shared" si="79"/>
        <v>#N/A</v>
      </c>
      <c r="R519" s="1" t="e">
        <f>INDEX('6.0.35'!I:I,MATCH(F519,'6.0.35'!K:K,0))</f>
        <v>#N/A</v>
      </c>
      <c r="S519" s="1" t="e">
        <f>INDEX('6.0.35'!J:J,MATCH(F519,'6.0.35'!F:F,0))</f>
        <v>#N/A</v>
      </c>
    </row>
    <row r="520" spans="1:19">
      <c r="A520" t="s">
        <v>14542</v>
      </c>
      <c r="I520" s="1" t="str">
        <f t="shared" si="72"/>
        <v/>
      </c>
      <c r="J520" s="1">
        <f t="shared" si="73"/>
        <v>0</v>
      </c>
      <c r="K520" s="1" t="str">
        <f t="shared" si="74"/>
        <v/>
      </c>
      <c r="L520" s="1">
        <f t="shared" si="75"/>
        <v>0</v>
      </c>
      <c r="M520" s="1">
        <f t="shared" si="76"/>
        <v>0</v>
      </c>
      <c r="N520" s="1">
        <f t="shared" si="77"/>
        <v>0</v>
      </c>
      <c r="O520" s="1" t="b">
        <f t="shared" si="78"/>
        <v>0</v>
      </c>
      <c r="P520" s="1" t="e">
        <f>INDEX(G:G,MATCH(G520,G:G,0))</f>
        <v>#N/A</v>
      </c>
      <c r="Q520" s="1" t="e">
        <f t="shared" si="79"/>
        <v>#N/A</v>
      </c>
      <c r="R520" s="1" t="e">
        <f>INDEX('6.0.35'!I:I,MATCH(F520,'6.0.35'!K:K,0))</f>
        <v>#N/A</v>
      </c>
      <c r="S520" s="1" t="e">
        <f>INDEX('6.0.35'!J:J,MATCH(F520,'6.0.35'!F:F,0))</f>
        <v>#N/A</v>
      </c>
    </row>
    <row r="521" spans="1:19">
      <c r="A521" t="s">
        <v>14545</v>
      </c>
      <c r="I521" s="1" t="str">
        <f t="shared" si="72"/>
        <v/>
      </c>
      <c r="J521" s="1">
        <f t="shared" si="73"/>
        <v>0</v>
      </c>
      <c r="K521" s="1" t="str">
        <f t="shared" si="74"/>
        <v/>
      </c>
      <c r="L521" s="1">
        <f t="shared" si="75"/>
        <v>0</v>
      </c>
      <c r="M521" s="1">
        <f t="shared" si="76"/>
        <v>0</v>
      </c>
      <c r="N521" s="1">
        <f t="shared" si="77"/>
        <v>0</v>
      </c>
      <c r="O521" s="1" t="b">
        <f t="shared" si="78"/>
        <v>0</v>
      </c>
      <c r="P521" s="1" t="e">
        <f>INDEX(G:G,MATCH(G521,G:G,0))</f>
        <v>#N/A</v>
      </c>
      <c r="Q521" s="1" t="e">
        <f t="shared" si="79"/>
        <v>#N/A</v>
      </c>
      <c r="R521" s="1" t="e">
        <f>INDEX('6.0.35'!I:I,MATCH(F521,'6.0.35'!K:K,0))</f>
        <v>#N/A</v>
      </c>
      <c r="S521" s="1" t="e">
        <f>INDEX('6.0.35'!J:J,MATCH(F521,'6.0.35'!F:F,0))</f>
        <v>#N/A</v>
      </c>
    </row>
    <row r="522" spans="1:19">
      <c r="A522" t="s">
        <v>14578</v>
      </c>
      <c r="I522" s="1" t="str">
        <f t="shared" si="72"/>
        <v/>
      </c>
      <c r="J522" s="1">
        <f t="shared" si="73"/>
        <v>0</v>
      </c>
      <c r="K522" s="1" t="str">
        <f t="shared" si="74"/>
        <v/>
      </c>
      <c r="L522" s="1">
        <f t="shared" si="75"/>
        <v>0</v>
      </c>
      <c r="M522" s="1">
        <f t="shared" si="76"/>
        <v>0</v>
      </c>
      <c r="N522" s="1">
        <f t="shared" si="77"/>
        <v>0</v>
      </c>
      <c r="O522" s="1" t="b">
        <f t="shared" si="78"/>
        <v>0</v>
      </c>
      <c r="P522" s="1" t="e">
        <f>INDEX(G:G,MATCH(G522,G:G,0))</f>
        <v>#N/A</v>
      </c>
      <c r="Q522" s="1" t="e">
        <f t="shared" si="79"/>
        <v>#N/A</v>
      </c>
      <c r="R522" s="1" t="e">
        <f>INDEX('6.0.35'!I:I,MATCH(F522,'6.0.35'!K:K,0))</f>
        <v>#N/A</v>
      </c>
      <c r="S522" s="1" t="e">
        <f>INDEX('6.0.35'!J:J,MATCH(F522,'6.0.35'!F:F,0))</f>
        <v>#N/A</v>
      </c>
    </row>
    <row r="523" spans="1:19">
      <c r="A523" t="s">
        <v>14581</v>
      </c>
      <c r="I523" s="1" t="str">
        <f t="shared" si="72"/>
        <v/>
      </c>
      <c r="J523" s="1">
        <f t="shared" si="73"/>
        <v>0</v>
      </c>
      <c r="K523" s="1" t="str">
        <f t="shared" si="74"/>
        <v/>
      </c>
      <c r="L523" s="1">
        <f t="shared" si="75"/>
        <v>0</v>
      </c>
      <c r="M523" s="1">
        <f t="shared" si="76"/>
        <v>0</v>
      </c>
      <c r="N523" s="1">
        <f t="shared" si="77"/>
        <v>0</v>
      </c>
      <c r="O523" s="1" t="b">
        <f t="shared" si="78"/>
        <v>0</v>
      </c>
      <c r="P523" s="1" t="e">
        <f>INDEX(G:G,MATCH(G523,G:G,0))</f>
        <v>#N/A</v>
      </c>
      <c r="Q523" s="1" t="e">
        <f t="shared" si="79"/>
        <v>#N/A</v>
      </c>
      <c r="R523" s="1" t="e">
        <f>INDEX('6.0.35'!I:I,MATCH(F523,'6.0.35'!K:K,0))</f>
        <v>#N/A</v>
      </c>
      <c r="S523" s="1" t="e">
        <f>INDEX('6.0.35'!J:J,MATCH(F523,'6.0.35'!F:F,0))</f>
        <v>#N/A</v>
      </c>
    </row>
    <row r="524" spans="1:19">
      <c r="A524" t="s">
        <v>14584</v>
      </c>
      <c r="I524" s="1" t="str">
        <f t="shared" si="72"/>
        <v/>
      </c>
      <c r="J524" s="1">
        <f t="shared" si="73"/>
        <v>0</v>
      </c>
      <c r="K524" s="1" t="str">
        <f t="shared" si="74"/>
        <v/>
      </c>
      <c r="L524" s="1">
        <f t="shared" si="75"/>
        <v>0</v>
      </c>
      <c r="M524" s="1">
        <f t="shared" si="76"/>
        <v>0</v>
      </c>
      <c r="N524" s="1">
        <f t="shared" si="77"/>
        <v>0</v>
      </c>
      <c r="O524" s="1" t="b">
        <f t="shared" si="78"/>
        <v>0</v>
      </c>
      <c r="P524" s="1" t="e">
        <f>INDEX(G:G,MATCH(G524,G:G,0))</f>
        <v>#N/A</v>
      </c>
      <c r="Q524" s="1" t="e">
        <f t="shared" si="79"/>
        <v>#N/A</v>
      </c>
      <c r="R524" s="1" t="e">
        <f>INDEX('6.0.35'!I:I,MATCH(F524,'6.0.35'!K:K,0))</f>
        <v>#N/A</v>
      </c>
      <c r="S524" s="1" t="e">
        <f>INDEX('6.0.35'!J:J,MATCH(F524,'6.0.35'!F:F,0))</f>
        <v>#N/A</v>
      </c>
    </row>
    <row r="525" spans="1:19">
      <c r="A525" t="s">
        <v>14597</v>
      </c>
      <c r="I525" s="1" t="str">
        <f t="shared" si="72"/>
        <v/>
      </c>
      <c r="J525" s="1">
        <f t="shared" si="73"/>
        <v>0</v>
      </c>
      <c r="K525" s="1" t="str">
        <f t="shared" si="74"/>
        <v/>
      </c>
      <c r="L525" s="1">
        <f t="shared" si="75"/>
        <v>0</v>
      </c>
      <c r="M525" s="1">
        <f t="shared" si="76"/>
        <v>0</v>
      </c>
      <c r="N525" s="1">
        <f t="shared" si="77"/>
        <v>0</v>
      </c>
      <c r="O525" s="1" t="b">
        <f t="shared" si="78"/>
        <v>0</v>
      </c>
      <c r="P525" s="1" t="e">
        <f>INDEX(G:G,MATCH(G525,G:G,0))</f>
        <v>#N/A</v>
      </c>
      <c r="Q525" s="1" t="e">
        <f t="shared" si="79"/>
        <v>#N/A</v>
      </c>
      <c r="R525" s="1" t="e">
        <f>INDEX('6.0.35'!I:I,MATCH(F525,'6.0.35'!K:K,0))</f>
        <v>#N/A</v>
      </c>
      <c r="S525" s="1" t="e">
        <f>INDEX('6.0.35'!J:J,MATCH(F525,'6.0.35'!F:F,0))</f>
        <v>#N/A</v>
      </c>
    </row>
    <row r="526" spans="1:19">
      <c r="A526" t="s">
        <v>14606</v>
      </c>
      <c r="I526" s="1" t="str">
        <f t="shared" si="72"/>
        <v/>
      </c>
      <c r="J526" s="1">
        <f t="shared" si="73"/>
        <v>0</v>
      </c>
      <c r="K526" s="1" t="str">
        <f t="shared" si="74"/>
        <v/>
      </c>
      <c r="L526" s="1">
        <f t="shared" si="75"/>
        <v>0</v>
      </c>
      <c r="M526" s="1">
        <f t="shared" si="76"/>
        <v>0</v>
      </c>
      <c r="N526" s="1">
        <f t="shared" si="77"/>
        <v>0</v>
      </c>
      <c r="O526" s="1" t="b">
        <f t="shared" si="78"/>
        <v>0</v>
      </c>
      <c r="P526" s="1" t="e">
        <f>INDEX(G:G,MATCH(G526,G:G,0))</f>
        <v>#N/A</v>
      </c>
      <c r="Q526" s="1" t="e">
        <f t="shared" si="79"/>
        <v>#N/A</v>
      </c>
      <c r="R526" s="1" t="e">
        <f>INDEX('6.0.35'!I:I,MATCH(F526,'6.0.35'!K:K,0))</f>
        <v>#N/A</v>
      </c>
      <c r="S526" s="1" t="e">
        <f>INDEX('6.0.35'!J:J,MATCH(F526,'6.0.35'!F:F,0))</f>
        <v>#N/A</v>
      </c>
    </row>
    <row r="527" spans="1:19">
      <c r="A527" t="s">
        <v>14609</v>
      </c>
      <c r="I527" s="1" t="str">
        <f t="shared" si="72"/>
        <v/>
      </c>
      <c r="J527" s="1">
        <f t="shared" si="73"/>
        <v>0</v>
      </c>
      <c r="K527" s="1" t="str">
        <f t="shared" si="74"/>
        <v/>
      </c>
      <c r="L527" s="1">
        <f t="shared" si="75"/>
        <v>0</v>
      </c>
      <c r="M527" s="1">
        <f t="shared" si="76"/>
        <v>0</v>
      </c>
      <c r="N527" s="1">
        <f t="shared" si="77"/>
        <v>0</v>
      </c>
      <c r="O527" s="1" t="b">
        <f t="shared" si="78"/>
        <v>0</v>
      </c>
      <c r="P527" s="1" t="e">
        <f>INDEX(G:G,MATCH(G527,G:G,0))</f>
        <v>#N/A</v>
      </c>
      <c r="Q527" s="1" t="e">
        <f t="shared" si="79"/>
        <v>#N/A</v>
      </c>
      <c r="R527" s="1" t="e">
        <f>INDEX('6.0.35'!I:I,MATCH(F527,'6.0.35'!K:K,0))</f>
        <v>#N/A</v>
      </c>
      <c r="S527" s="1" t="e">
        <f>INDEX('6.0.35'!J:J,MATCH(F527,'6.0.35'!F:F,0))</f>
        <v>#N/A</v>
      </c>
    </row>
    <row r="528" spans="1:19">
      <c r="A528" t="s">
        <v>14612</v>
      </c>
      <c r="I528" s="1" t="str">
        <f t="shared" si="72"/>
        <v/>
      </c>
      <c r="J528" s="1">
        <f t="shared" si="73"/>
        <v>0</v>
      </c>
      <c r="K528" s="1" t="str">
        <f t="shared" si="74"/>
        <v/>
      </c>
      <c r="L528" s="1">
        <f t="shared" si="75"/>
        <v>0</v>
      </c>
      <c r="M528" s="1">
        <f t="shared" si="76"/>
        <v>0</v>
      </c>
      <c r="N528" s="1">
        <f t="shared" si="77"/>
        <v>0</v>
      </c>
      <c r="O528" s="1" t="b">
        <f t="shared" si="78"/>
        <v>0</v>
      </c>
      <c r="P528" s="1" t="e">
        <f>INDEX(G:G,MATCH(G528,G:G,0))</f>
        <v>#N/A</v>
      </c>
      <c r="Q528" s="1" t="e">
        <f t="shared" si="79"/>
        <v>#N/A</v>
      </c>
      <c r="R528" s="1" t="e">
        <f>INDEX('6.0.35'!I:I,MATCH(F528,'6.0.35'!K:K,0))</f>
        <v>#N/A</v>
      </c>
      <c r="S528" s="1" t="e">
        <f>INDEX('6.0.35'!J:J,MATCH(F528,'6.0.35'!F:F,0))</f>
        <v>#N/A</v>
      </c>
    </row>
    <row r="529" spans="1:19">
      <c r="A529" t="s">
        <v>14615</v>
      </c>
      <c r="I529" s="1" t="str">
        <f t="shared" si="72"/>
        <v/>
      </c>
      <c r="J529" s="1">
        <f t="shared" si="73"/>
        <v>0</v>
      </c>
      <c r="K529" s="1" t="str">
        <f t="shared" si="74"/>
        <v/>
      </c>
      <c r="L529" s="1">
        <f t="shared" si="75"/>
        <v>0</v>
      </c>
      <c r="M529" s="1">
        <f t="shared" si="76"/>
        <v>0</v>
      </c>
      <c r="N529" s="1">
        <f t="shared" si="77"/>
        <v>0</v>
      </c>
      <c r="O529" s="1" t="b">
        <f t="shared" si="78"/>
        <v>0</v>
      </c>
      <c r="P529" s="1" t="e">
        <f>INDEX(G:G,MATCH(G529,G:G,0))</f>
        <v>#N/A</v>
      </c>
      <c r="Q529" s="1" t="e">
        <f t="shared" si="79"/>
        <v>#N/A</v>
      </c>
      <c r="R529" s="1" t="e">
        <f>INDEX('6.0.35'!I:I,MATCH(F529,'6.0.35'!K:K,0))</f>
        <v>#N/A</v>
      </c>
      <c r="S529" s="1" t="e">
        <f>INDEX('6.0.35'!J:J,MATCH(F529,'6.0.35'!F:F,0))</f>
        <v>#N/A</v>
      </c>
    </row>
    <row r="530" spans="1:19">
      <c r="A530" t="s">
        <v>14618</v>
      </c>
      <c r="I530" s="1" t="str">
        <f t="shared" si="72"/>
        <v/>
      </c>
      <c r="J530" s="1">
        <f t="shared" si="73"/>
        <v>0</v>
      </c>
      <c r="K530" s="1" t="str">
        <f t="shared" si="74"/>
        <v/>
      </c>
      <c r="L530" s="1">
        <f t="shared" si="75"/>
        <v>0</v>
      </c>
      <c r="M530" s="1">
        <f t="shared" si="76"/>
        <v>0</v>
      </c>
      <c r="N530" s="1">
        <f t="shared" si="77"/>
        <v>0</v>
      </c>
      <c r="O530" s="1" t="b">
        <f t="shared" si="78"/>
        <v>0</v>
      </c>
      <c r="P530" s="1" t="e">
        <f>INDEX(G:G,MATCH(G530,G:G,0))</f>
        <v>#N/A</v>
      </c>
      <c r="Q530" s="1" t="e">
        <f t="shared" si="79"/>
        <v>#N/A</v>
      </c>
      <c r="R530" s="1" t="e">
        <f>INDEX('6.0.35'!I:I,MATCH(F530,'6.0.35'!K:K,0))</f>
        <v>#N/A</v>
      </c>
      <c r="S530" s="1" t="e">
        <f>INDEX('6.0.35'!J:J,MATCH(F530,'6.0.35'!F:F,0))</f>
        <v>#N/A</v>
      </c>
    </row>
    <row r="531" spans="1:19">
      <c r="A531" t="s">
        <v>14621</v>
      </c>
      <c r="I531" s="1" t="str">
        <f t="shared" si="72"/>
        <v/>
      </c>
      <c r="J531" s="1">
        <f t="shared" si="73"/>
        <v>0</v>
      </c>
      <c r="K531" s="1" t="str">
        <f t="shared" si="74"/>
        <v/>
      </c>
      <c r="L531" s="1">
        <f t="shared" si="75"/>
        <v>0</v>
      </c>
      <c r="M531" s="1">
        <f t="shared" si="76"/>
        <v>0</v>
      </c>
      <c r="N531" s="1">
        <f t="shared" si="77"/>
        <v>0</v>
      </c>
      <c r="O531" s="1" t="b">
        <f t="shared" si="78"/>
        <v>0</v>
      </c>
      <c r="P531" s="1" t="e">
        <f>INDEX(G:G,MATCH(G531,G:G,0))</f>
        <v>#N/A</v>
      </c>
      <c r="Q531" s="1" t="e">
        <f t="shared" si="79"/>
        <v>#N/A</v>
      </c>
      <c r="R531" s="1" t="e">
        <f>INDEX('6.0.35'!I:I,MATCH(F531,'6.0.35'!K:K,0))</f>
        <v>#N/A</v>
      </c>
      <c r="S531" s="1" t="e">
        <f>INDEX('6.0.35'!J:J,MATCH(F531,'6.0.35'!F:F,0))</f>
        <v>#N/A</v>
      </c>
    </row>
    <row r="532" spans="1:19">
      <c r="A532" t="s">
        <v>14624</v>
      </c>
      <c r="I532" s="1" t="str">
        <f t="shared" si="72"/>
        <v/>
      </c>
      <c r="J532" s="1">
        <f t="shared" si="73"/>
        <v>0</v>
      </c>
      <c r="K532" s="1" t="str">
        <f t="shared" si="74"/>
        <v/>
      </c>
      <c r="L532" s="1">
        <f t="shared" si="75"/>
        <v>0</v>
      </c>
      <c r="M532" s="1">
        <f t="shared" si="76"/>
        <v>0</v>
      </c>
      <c r="N532" s="1">
        <f t="shared" si="77"/>
        <v>0</v>
      </c>
      <c r="O532" s="1" t="b">
        <f t="shared" si="78"/>
        <v>0</v>
      </c>
      <c r="P532" s="1" t="e">
        <f>INDEX(G:G,MATCH(G532,G:G,0))</f>
        <v>#N/A</v>
      </c>
      <c r="Q532" s="1" t="e">
        <f t="shared" si="79"/>
        <v>#N/A</v>
      </c>
      <c r="R532" s="1" t="e">
        <f>INDEX('6.0.35'!I:I,MATCH(F532,'6.0.35'!K:K,0))</f>
        <v>#N/A</v>
      </c>
      <c r="S532" s="1" t="e">
        <f>INDEX('6.0.35'!J:J,MATCH(F532,'6.0.35'!F:F,0))</f>
        <v>#N/A</v>
      </c>
    </row>
    <row r="533" spans="1:19">
      <c r="A533" t="s">
        <v>14627</v>
      </c>
      <c r="I533" s="1" t="str">
        <f t="shared" si="72"/>
        <v/>
      </c>
      <c r="J533" s="1">
        <f t="shared" si="73"/>
        <v>0</v>
      </c>
      <c r="K533" s="1" t="str">
        <f t="shared" si="74"/>
        <v/>
      </c>
      <c r="L533" s="1">
        <f t="shared" si="75"/>
        <v>0</v>
      </c>
      <c r="M533" s="1">
        <f t="shared" si="76"/>
        <v>0</v>
      </c>
      <c r="N533" s="1">
        <f t="shared" si="77"/>
        <v>0</v>
      </c>
      <c r="O533" s="1" t="b">
        <f t="shared" si="78"/>
        <v>0</v>
      </c>
      <c r="P533" s="1" t="e">
        <f>INDEX(G:G,MATCH(G533,G:G,0))</f>
        <v>#N/A</v>
      </c>
      <c r="Q533" s="1" t="e">
        <f t="shared" si="79"/>
        <v>#N/A</v>
      </c>
      <c r="R533" s="1" t="e">
        <f>INDEX('6.0.35'!I:I,MATCH(F533,'6.0.35'!K:K,0))</f>
        <v>#N/A</v>
      </c>
      <c r="S533" s="1" t="e">
        <f>INDEX('6.0.35'!J:J,MATCH(F533,'6.0.35'!F:F,0))</f>
        <v>#N/A</v>
      </c>
    </row>
    <row r="534" spans="1:19">
      <c r="A534" t="s">
        <v>14630</v>
      </c>
      <c r="I534" s="1" t="str">
        <f t="shared" si="72"/>
        <v/>
      </c>
      <c r="J534" s="1">
        <f t="shared" si="73"/>
        <v>0</v>
      </c>
      <c r="K534" s="1" t="str">
        <f t="shared" si="74"/>
        <v/>
      </c>
      <c r="L534" s="1">
        <f t="shared" si="75"/>
        <v>0</v>
      </c>
      <c r="M534" s="1">
        <f t="shared" si="76"/>
        <v>0</v>
      </c>
      <c r="N534" s="1">
        <f t="shared" si="77"/>
        <v>0</v>
      </c>
      <c r="O534" s="1" t="b">
        <f t="shared" si="78"/>
        <v>0</v>
      </c>
      <c r="P534" s="1" t="e">
        <f>INDEX(G:G,MATCH(G534,G:G,0))</f>
        <v>#N/A</v>
      </c>
      <c r="Q534" s="1" t="e">
        <f t="shared" si="79"/>
        <v>#N/A</v>
      </c>
      <c r="R534" s="1" t="e">
        <f>INDEX('6.0.35'!I:I,MATCH(F534,'6.0.35'!K:K,0))</f>
        <v>#N/A</v>
      </c>
      <c r="S534" s="1" t="e">
        <f>INDEX('6.0.35'!J:J,MATCH(F534,'6.0.35'!F:F,0))</f>
        <v>#N/A</v>
      </c>
    </row>
    <row r="535" spans="1:19">
      <c r="A535" t="s">
        <v>14633</v>
      </c>
      <c r="I535" s="1" t="str">
        <f t="shared" si="72"/>
        <v/>
      </c>
      <c r="J535" s="1">
        <f t="shared" si="73"/>
        <v>0</v>
      </c>
      <c r="K535" s="1" t="str">
        <f t="shared" si="74"/>
        <v/>
      </c>
      <c r="L535" s="1">
        <f t="shared" si="75"/>
        <v>0</v>
      </c>
      <c r="M535" s="1">
        <f t="shared" si="76"/>
        <v>0</v>
      </c>
      <c r="N535" s="1">
        <f t="shared" si="77"/>
        <v>0</v>
      </c>
      <c r="O535" s="1" t="b">
        <f t="shared" si="78"/>
        <v>0</v>
      </c>
      <c r="P535" s="1" t="e">
        <f>INDEX(G:G,MATCH(G535,G:G,0))</f>
        <v>#N/A</v>
      </c>
      <c r="Q535" s="1" t="e">
        <f t="shared" si="79"/>
        <v>#N/A</v>
      </c>
      <c r="R535" s="1" t="e">
        <f>INDEX('6.0.35'!I:I,MATCH(F535,'6.0.35'!K:K,0))</f>
        <v>#N/A</v>
      </c>
      <c r="S535" s="1" t="e">
        <f>INDEX('6.0.35'!J:J,MATCH(F535,'6.0.35'!F:F,0))</f>
        <v>#N/A</v>
      </c>
    </row>
    <row r="536" spans="1:19">
      <c r="A536" t="s">
        <v>14636</v>
      </c>
      <c r="I536" s="1" t="str">
        <f t="shared" si="72"/>
        <v/>
      </c>
      <c r="J536" s="1">
        <f t="shared" si="73"/>
        <v>0</v>
      </c>
      <c r="K536" s="1" t="str">
        <f t="shared" si="74"/>
        <v/>
      </c>
      <c r="L536" s="1">
        <f t="shared" si="75"/>
        <v>0</v>
      </c>
      <c r="M536" s="1">
        <f t="shared" si="76"/>
        <v>0</v>
      </c>
      <c r="N536" s="1">
        <f t="shared" si="77"/>
        <v>0</v>
      </c>
      <c r="O536" s="1" t="b">
        <f t="shared" si="78"/>
        <v>0</v>
      </c>
      <c r="P536" s="1" t="e">
        <f>INDEX(G:G,MATCH(G536,G:G,0))</f>
        <v>#N/A</v>
      </c>
      <c r="Q536" s="1" t="e">
        <f t="shared" si="79"/>
        <v>#N/A</v>
      </c>
      <c r="R536" s="1" t="e">
        <f>INDEX('6.0.35'!I:I,MATCH(F536,'6.0.35'!K:K,0))</f>
        <v>#N/A</v>
      </c>
      <c r="S536" s="1" t="e">
        <f>INDEX('6.0.35'!J:J,MATCH(F536,'6.0.35'!F:F,0))</f>
        <v>#N/A</v>
      </c>
    </row>
    <row r="537" spans="1:19">
      <c r="A537" t="s">
        <v>14639</v>
      </c>
      <c r="I537" s="1" t="str">
        <f t="shared" si="72"/>
        <v/>
      </c>
      <c r="J537" s="1">
        <f t="shared" si="73"/>
        <v>0</v>
      </c>
      <c r="K537" s="1" t="str">
        <f t="shared" si="74"/>
        <v/>
      </c>
      <c r="L537" s="1">
        <f t="shared" si="75"/>
        <v>0</v>
      </c>
      <c r="M537" s="1">
        <f t="shared" si="76"/>
        <v>0</v>
      </c>
      <c r="N537" s="1">
        <f t="shared" si="77"/>
        <v>0</v>
      </c>
      <c r="O537" s="1" t="b">
        <f t="shared" si="78"/>
        <v>0</v>
      </c>
      <c r="P537" s="1" t="e">
        <f>INDEX(G:G,MATCH(G537,G:G,0))</f>
        <v>#N/A</v>
      </c>
      <c r="Q537" s="1" t="e">
        <f t="shared" si="79"/>
        <v>#N/A</v>
      </c>
      <c r="R537" s="1" t="e">
        <f>INDEX('6.0.35'!I:I,MATCH(F537,'6.0.35'!K:K,0))</f>
        <v>#N/A</v>
      </c>
      <c r="S537" s="1" t="e">
        <f>INDEX('6.0.35'!J:J,MATCH(F537,'6.0.35'!F:F,0))</f>
        <v>#N/A</v>
      </c>
    </row>
    <row r="538" spans="1:19">
      <c r="A538" t="s">
        <v>14642</v>
      </c>
      <c r="I538" s="1" t="str">
        <f t="shared" si="72"/>
        <v/>
      </c>
      <c r="J538" s="1">
        <f t="shared" si="73"/>
        <v>0</v>
      </c>
      <c r="K538" s="1" t="str">
        <f t="shared" si="74"/>
        <v/>
      </c>
      <c r="L538" s="1">
        <f t="shared" si="75"/>
        <v>0</v>
      </c>
      <c r="M538" s="1">
        <f t="shared" si="76"/>
        <v>0</v>
      </c>
      <c r="N538" s="1">
        <f t="shared" si="77"/>
        <v>0</v>
      </c>
      <c r="O538" s="1" t="b">
        <f t="shared" si="78"/>
        <v>0</v>
      </c>
      <c r="P538" s="1" t="e">
        <f>INDEX(G:G,MATCH(G538,G:G,0))</f>
        <v>#N/A</v>
      </c>
      <c r="Q538" s="1" t="e">
        <f t="shared" si="79"/>
        <v>#N/A</v>
      </c>
      <c r="R538" s="1" t="e">
        <f>INDEX('6.0.35'!I:I,MATCH(F538,'6.0.35'!K:K,0))</f>
        <v>#N/A</v>
      </c>
      <c r="S538" s="1" t="e">
        <f>INDEX('6.0.35'!J:J,MATCH(F538,'6.0.35'!F:F,0))</f>
        <v>#N/A</v>
      </c>
    </row>
    <row r="539" spans="1:19">
      <c r="A539" t="s">
        <v>14645</v>
      </c>
      <c r="I539" s="1" t="str">
        <f t="shared" si="72"/>
        <v/>
      </c>
      <c r="J539" s="1">
        <f t="shared" si="73"/>
        <v>0</v>
      </c>
      <c r="K539" s="1" t="str">
        <f t="shared" si="74"/>
        <v/>
      </c>
      <c r="L539" s="1">
        <f t="shared" si="75"/>
        <v>0</v>
      </c>
      <c r="M539" s="1">
        <f t="shared" si="76"/>
        <v>0</v>
      </c>
      <c r="N539" s="1">
        <f t="shared" si="77"/>
        <v>0</v>
      </c>
      <c r="O539" s="1" t="b">
        <f t="shared" si="78"/>
        <v>0</v>
      </c>
      <c r="P539" s="1" t="e">
        <f>INDEX(G:G,MATCH(G539,G:G,0))</f>
        <v>#N/A</v>
      </c>
      <c r="Q539" s="1" t="e">
        <f t="shared" si="79"/>
        <v>#N/A</v>
      </c>
      <c r="R539" s="1" t="e">
        <f>INDEX('6.0.35'!I:I,MATCH(F539,'6.0.35'!K:K,0))</f>
        <v>#N/A</v>
      </c>
      <c r="S539" s="1" t="e">
        <f>INDEX('6.0.35'!J:J,MATCH(F539,'6.0.35'!F:F,0))</f>
        <v>#N/A</v>
      </c>
    </row>
    <row r="540" spans="1:19">
      <c r="A540" t="s">
        <v>14648</v>
      </c>
      <c r="I540" s="1" t="str">
        <f t="shared" si="72"/>
        <v/>
      </c>
      <c r="J540" s="1">
        <f t="shared" si="73"/>
        <v>0</v>
      </c>
      <c r="K540" s="1" t="str">
        <f t="shared" si="74"/>
        <v/>
      </c>
      <c r="L540" s="1">
        <f t="shared" si="75"/>
        <v>0</v>
      </c>
      <c r="M540" s="1">
        <f t="shared" si="76"/>
        <v>0</v>
      </c>
      <c r="N540" s="1">
        <f t="shared" si="77"/>
        <v>0</v>
      </c>
      <c r="O540" s="1" t="b">
        <f t="shared" si="78"/>
        <v>0</v>
      </c>
      <c r="P540" s="1" t="e">
        <f>INDEX(G:G,MATCH(G540,G:G,0))</f>
        <v>#N/A</v>
      </c>
      <c r="Q540" s="1" t="e">
        <f t="shared" si="79"/>
        <v>#N/A</v>
      </c>
      <c r="R540" s="1" t="e">
        <f>INDEX('6.0.35'!I:I,MATCH(F540,'6.0.35'!K:K,0))</f>
        <v>#N/A</v>
      </c>
      <c r="S540" s="1" t="e">
        <f>INDEX('6.0.35'!J:J,MATCH(F540,'6.0.35'!F:F,0))</f>
        <v>#N/A</v>
      </c>
    </row>
    <row r="541" spans="1:19">
      <c r="A541" t="s">
        <v>14651</v>
      </c>
      <c r="I541" s="1" t="str">
        <f t="shared" si="72"/>
        <v/>
      </c>
      <c r="J541" s="1">
        <f t="shared" si="73"/>
        <v>0</v>
      </c>
      <c r="K541" s="1" t="str">
        <f t="shared" si="74"/>
        <v/>
      </c>
      <c r="L541" s="1">
        <f t="shared" si="75"/>
        <v>0</v>
      </c>
      <c r="M541" s="1">
        <f t="shared" si="76"/>
        <v>0</v>
      </c>
      <c r="N541" s="1">
        <f t="shared" si="77"/>
        <v>0</v>
      </c>
      <c r="O541" s="1" t="b">
        <f t="shared" si="78"/>
        <v>0</v>
      </c>
      <c r="P541" s="1" t="e">
        <f>INDEX(G:G,MATCH(G541,G:G,0))</f>
        <v>#N/A</v>
      </c>
      <c r="Q541" s="1" t="e">
        <f t="shared" si="79"/>
        <v>#N/A</v>
      </c>
      <c r="R541" s="1" t="e">
        <f>INDEX('6.0.35'!I:I,MATCH(F541,'6.0.35'!K:K,0))</f>
        <v>#N/A</v>
      </c>
      <c r="S541" s="1" t="e">
        <f>INDEX('6.0.35'!J:J,MATCH(F541,'6.0.35'!F:F,0))</f>
        <v>#N/A</v>
      </c>
    </row>
    <row r="542" spans="1:19">
      <c r="A542" t="s">
        <v>14654</v>
      </c>
      <c r="I542" s="1" t="str">
        <f t="shared" si="72"/>
        <v/>
      </c>
      <c r="J542" s="1">
        <f t="shared" si="73"/>
        <v>0</v>
      </c>
      <c r="K542" s="1" t="str">
        <f t="shared" si="74"/>
        <v/>
      </c>
      <c r="L542" s="1">
        <f t="shared" si="75"/>
        <v>0</v>
      </c>
      <c r="M542" s="1">
        <f t="shared" si="76"/>
        <v>0</v>
      </c>
      <c r="N542" s="1">
        <f t="shared" si="77"/>
        <v>0</v>
      </c>
      <c r="O542" s="1" t="b">
        <f t="shared" si="78"/>
        <v>0</v>
      </c>
      <c r="P542" s="1" t="e">
        <f>INDEX(G:G,MATCH(G542,G:G,0))</f>
        <v>#N/A</v>
      </c>
      <c r="Q542" s="1" t="e">
        <f t="shared" si="79"/>
        <v>#N/A</v>
      </c>
      <c r="R542" s="1" t="e">
        <f>INDEX('6.0.35'!I:I,MATCH(F542,'6.0.35'!K:K,0))</f>
        <v>#N/A</v>
      </c>
      <c r="S542" s="1" t="e">
        <f>INDEX('6.0.35'!J:J,MATCH(F542,'6.0.35'!F:F,0))</f>
        <v>#N/A</v>
      </c>
    </row>
    <row r="543" spans="1:19">
      <c r="A543" t="s">
        <v>14657</v>
      </c>
      <c r="I543" s="1" t="str">
        <f t="shared" si="72"/>
        <v/>
      </c>
      <c r="J543" s="1">
        <f t="shared" si="73"/>
        <v>0</v>
      </c>
      <c r="K543" s="1" t="str">
        <f t="shared" si="74"/>
        <v/>
      </c>
      <c r="L543" s="1">
        <f t="shared" si="75"/>
        <v>0</v>
      </c>
      <c r="M543" s="1">
        <f t="shared" si="76"/>
        <v>0</v>
      </c>
      <c r="N543" s="1">
        <f t="shared" si="77"/>
        <v>0</v>
      </c>
      <c r="O543" s="1" t="b">
        <f t="shared" si="78"/>
        <v>0</v>
      </c>
      <c r="P543" s="1" t="e">
        <f>INDEX(G:G,MATCH(G543,G:G,0))</f>
        <v>#N/A</v>
      </c>
      <c r="Q543" s="1" t="e">
        <f t="shared" si="79"/>
        <v>#N/A</v>
      </c>
      <c r="R543" s="1" t="e">
        <f>INDEX('6.0.35'!I:I,MATCH(F543,'6.0.35'!K:K,0))</f>
        <v>#N/A</v>
      </c>
      <c r="S543" s="1" t="e">
        <f>INDEX('6.0.35'!J:J,MATCH(F543,'6.0.35'!F:F,0))</f>
        <v>#N/A</v>
      </c>
    </row>
    <row r="544" spans="1:19">
      <c r="A544" t="s">
        <v>14660</v>
      </c>
      <c r="I544" s="1" t="str">
        <f t="shared" si="72"/>
        <v/>
      </c>
      <c r="J544" s="1">
        <f t="shared" si="73"/>
        <v>0</v>
      </c>
      <c r="K544" s="1" t="str">
        <f t="shared" si="74"/>
        <v/>
      </c>
      <c r="L544" s="1">
        <f t="shared" si="75"/>
        <v>0</v>
      </c>
      <c r="M544" s="1">
        <f t="shared" si="76"/>
        <v>0</v>
      </c>
      <c r="N544" s="1">
        <f t="shared" si="77"/>
        <v>0</v>
      </c>
      <c r="O544" s="1" t="b">
        <f t="shared" si="78"/>
        <v>0</v>
      </c>
      <c r="P544" s="1" t="e">
        <f>INDEX(G:G,MATCH(G544,G:G,0))</f>
        <v>#N/A</v>
      </c>
      <c r="Q544" s="1" t="e">
        <f t="shared" si="79"/>
        <v>#N/A</v>
      </c>
      <c r="R544" s="1" t="e">
        <f>INDEX('6.0.35'!I:I,MATCH(F544,'6.0.35'!K:K,0))</f>
        <v>#N/A</v>
      </c>
      <c r="S544" s="1" t="e">
        <f>INDEX('6.0.35'!J:J,MATCH(F544,'6.0.35'!F:F,0))</f>
        <v>#N/A</v>
      </c>
    </row>
    <row r="545" spans="1:19">
      <c r="A545" t="s">
        <v>14663</v>
      </c>
      <c r="I545" s="1" t="str">
        <f t="shared" si="72"/>
        <v/>
      </c>
      <c r="J545" s="1">
        <f t="shared" si="73"/>
        <v>0</v>
      </c>
      <c r="K545" s="1" t="str">
        <f t="shared" si="74"/>
        <v/>
      </c>
      <c r="L545" s="1">
        <f t="shared" si="75"/>
        <v>0</v>
      </c>
      <c r="M545" s="1">
        <f t="shared" si="76"/>
        <v>0</v>
      </c>
      <c r="N545" s="1">
        <f t="shared" si="77"/>
        <v>0</v>
      </c>
      <c r="O545" s="1" t="b">
        <f t="shared" si="78"/>
        <v>0</v>
      </c>
      <c r="P545" s="1" t="e">
        <f>INDEX(G:G,MATCH(G545,G:G,0))</f>
        <v>#N/A</v>
      </c>
      <c r="Q545" s="1" t="e">
        <f t="shared" si="79"/>
        <v>#N/A</v>
      </c>
      <c r="R545" s="1" t="e">
        <f>INDEX('6.0.35'!I:I,MATCH(F545,'6.0.35'!K:K,0))</f>
        <v>#N/A</v>
      </c>
      <c r="S545" s="1" t="e">
        <f>INDEX('6.0.35'!J:J,MATCH(F545,'6.0.35'!F:F,0))</f>
        <v>#N/A</v>
      </c>
    </row>
    <row r="546" spans="1:19">
      <c r="A546" t="s">
        <v>14666</v>
      </c>
      <c r="I546" s="1" t="str">
        <f t="shared" si="72"/>
        <v/>
      </c>
      <c r="J546" s="1">
        <f t="shared" si="73"/>
        <v>0</v>
      </c>
      <c r="K546" s="1" t="str">
        <f t="shared" si="74"/>
        <v/>
      </c>
      <c r="L546" s="1">
        <f t="shared" si="75"/>
        <v>0</v>
      </c>
      <c r="M546" s="1">
        <f t="shared" si="76"/>
        <v>0</v>
      </c>
      <c r="N546" s="1">
        <f t="shared" si="77"/>
        <v>0</v>
      </c>
      <c r="O546" s="1" t="b">
        <f t="shared" si="78"/>
        <v>0</v>
      </c>
      <c r="P546" s="1" t="e">
        <f>INDEX(G:G,MATCH(G546,G:G,0))</f>
        <v>#N/A</v>
      </c>
      <c r="Q546" s="1" t="e">
        <f t="shared" si="79"/>
        <v>#N/A</v>
      </c>
      <c r="R546" s="1" t="e">
        <f>INDEX('6.0.35'!I:I,MATCH(F546,'6.0.35'!K:K,0))</f>
        <v>#N/A</v>
      </c>
      <c r="S546" s="1" t="e">
        <f>INDEX('6.0.35'!J:J,MATCH(F546,'6.0.35'!F:F,0))</f>
        <v>#N/A</v>
      </c>
    </row>
    <row r="547" spans="1:19">
      <c r="A547" t="s">
        <v>14669</v>
      </c>
      <c r="I547" s="1" t="str">
        <f t="shared" si="72"/>
        <v/>
      </c>
      <c r="J547" s="1">
        <f t="shared" si="73"/>
        <v>0</v>
      </c>
      <c r="K547" s="1" t="str">
        <f t="shared" si="74"/>
        <v/>
      </c>
      <c r="L547" s="1">
        <f t="shared" si="75"/>
        <v>0</v>
      </c>
      <c r="M547" s="1">
        <f t="shared" si="76"/>
        <v>0</v>
      </c>
      <c r="N547" s="1">
        <f t="shared" si="77"/>
        <v>0</v>
      </c>
      <c r="O547" s="1" t="b">
        <f t="shared" si="78"/>
        <v>0</v>
      </c>
      <c r="P547" s="1" t="e">
        <f>INDEX(G:G,MATCH(G547,G:G,0))</f>
        <v>#N/A</v>
      </c>
      <c r="Q547" s="1" t="e">
        <f t="shared" si="79"/>
        <v>#N/A</v>
      </c>
      <c r="R547" s="1" t="e">
        <f>INDEX('6.0.35'!I:I,MATCH(F547,'6.0.35'!K:K,0))</f>
        <v>#N/A</v>
      </c>
      <c r="S547" s="1" t="e">
        <f>INDEX('6.0.35'!J:J,MATCH(F547,'6.0.35'!F:F,0))</f>
        <v>#N/A</v>
      </c>
    </row>
    <row r="548" spans="1:19">
      <c r="A548" t="s">
        <v>14672</v>
      </c>
      <c r="I548" s="1" t="str">
        <f t="shared" si="72"/>
        <v/>
      </c>
      <c r="J548" s="1">
        <f t="shared" si="73"/>
        <v>0</v>
      </c>
      <c r="K548" s="1" t="str">
        <f t="shared" si="74"/>
        <v/>
      </c>
      <c r="L548" s="1">
        <f t="shared" si="75"/>
        <v>0</v>
      </c>
      <c r="M548" s="1">
        <f t="shared" si="76"/>
        <v>0</v>
      </c>
      <c r="N548" s="1">
        <f t="shared" si="77"/>
        <v>0</v>
      </c>
      <c r="O548" s="1" t="b">
        <f t="shared" si="78"/>
        <v>0</v>
      </c>
      <c r="P548" s="1" t="e">
        <f>INDEX(G:G,MATCH(G548,G:G,0))</f>
        <v>#N/A</v>
      </c>
      <c r="Q548" s="1" t="e">
        <f t="shared" si="79"/>
        <v>#N/A</v>
      </c>
      <c r="R548" s="1" t="e">
        <f>INDEX('6.0.35'!I:I,MATCH(F548,'6.0.35'!K:K,0))</f>
        <v>#N/A</v>
      </c>
      <c r="S548" s="1" t="e">
        <f>INDEX('6.0.35'!J:J,MATCH(F548,'6.0.35'!F:F,0))</f>
        <v>#N/A</v>
      </c>
    </row>
    <row r="549" spans="1:19">
      <c r="A549" t="s">
        <v>14675</v>
      </c>
      <c r="I549" s="1" t="str">
        <f t="shared" si="72"/>
        <v/>
      </c>
      <c r="J549" s="1">
        <f t="shared" si="73"/>
        <v>0</v>
      </c>
      <c r="K549" s="1" t="str">
        <f t="shared" si="74"/>
        <v/>
      </c>
      <c r="L549" s="1">
        <f t="shared" si="75"/>
        <v>0</v>
      </c>
      <c r="M549" s="1">
        <f t="shared" si="76"/>
        <v>0</v>
      </c>
      <c r="N549" s="1">
        <f t="shared" si="77"/>
        <v>0</v>
      </c>
      <c r="O549" s="1" t="b">
        <f t="shared" si="78"/>
        <v>0</v>
      </c>
      <c r="P549" s="1" t="e">
        <f>INDEX(G:G,MATCH(G549,G:G,0))</f>
        <v>#N/A</v>
      </c>
      <c r="Q549" s="1" t="e">
        <f t="shared" si="79"/>
        <v>#N/A</v>
      </c>
      <c r="R549" s="1" t="e">
        <f>INDEX('6.0.35'!I:I,MATCH(F549,'6.0.35'!K:K,0))</f>
        <v>#N/A</v>
      </c>
      <c r="S549" s="1" t="e">
        <f>INDEX('6.0.35'!J:J,MATCH(F549,'6.0.35'!F:F,0))</f>
        <v>#N/A</v>
      </c>
    </row>
    <row r="550" spans="1:19">
      <c r="A550" t="s">
        <v>14678</v>
      </c>
      <c r="I550" s="1" t="str">
        <f t="shared" si="72"/>
        <v/>
      </c>
      <c r="J550" s="1">
        <f t="shared" si="73"/>
        <v>0</v>
      </c>
      <c r="K550" s="1" t="str">
        <f t="shared" si="74"/>
        <v/>
      </c>
      <c r="L550" s="1">
        <f t="shared" si="75"/>
        <v>0</v>
      </c>
      <c r="M550" s="1">
        <f t="shared" si="76"/>
        <v>0</v>
      </c>
      <c r="N550" s="1">
        <f t="shared" si="77"/>
        <v>0</v>
      </c>
      <c r="O550" s="1" t="b">
        <f t="shared" si="78"/>
        <v>0</v>
      </c>
      <c r="P550" s="1" t="e">
        <f>INDEX(G:G,MATCH(G550,G:G,0))</f>
        <v>#N/A</v>
      </c>
      <c r="Q550" s="1" t="e">
        <f t="shared" si="79"/>
        <v>#N/A</v>
      </c>
      <c r="R550" s="1" t="e">
        <f>INDEX('6.0.35'!I:I,MATCH(F550,'6.0.35'!K:K,0))</f>
        <v>#N/A</v>
      </c>
      <c r="S550" s="1" t="e">
        <f>INDEX('6.0.35'!J:J,MATCH(F550,'6.0.35'!F:F,0))</f>
        <v>#N/A</v>
      </c>
    </row>
    <row r="551" spans="1:19">
      <c r="A551" t="s">
        <v>14681</v>
      </c>
      <c r="I551" s="1" t="str">
        <f t="shared" si="72"/>
        <v/>
      </c>
      <c r="J551" s="1">
        <f t="shared" si="73"/>
        <v>0</v>
      </c>
      <c r="K551" s="1" t="str">
        <f t="shared" si="74"/>
        <v/>
      </c>
      <c r="L551" s="1">
        <f t="shared" si="75"/>
        <v>0</v>
      </c>
      <c r="M551" s="1">
        <f t="shared" si="76"/>
        <v>0</v>
      </c>
      <c r="N551" s="1">
        <f t="shared" si="77"/>
        <v>0</v>
      </c>
      <c r="O551" s="1" t="b">
        <f t="shared" si="78"/>
        <v>0</v>
      </c>
      <c r="P551" s="1" t="e">
        <f>INDEX(G:G,MATCH(G551,G:G,0))</f>
        <v>#N/A</v>
      </c>
      <c r="Q551" s="1" t="e">
        <f t="shared" si="79"/>
        <v>#N/A</v>
      </c>
      <c r="R551" s="1" t="e">
        <f>INDEX('6.0.35'!I:I,MATCH(F551,'6.0.35'!K:K,0))</f>
        <v>#N/A</v>
      </c>
      <c r="S551" s="1" t="e">
        <f>INDEX('6.0.35'!J:J,MATCH(F551,'6.0.35'!F:F,0))</f>
        <v>#N/A</v>
      </c>
    </row>
    <row r="552" spans="1:19">
      <c r="A552" t="s">
        <v>14684</v>
      </c>
      <c r="I552" s="1" t="str">
        <f t="shared" si="72"/>
        <v/>
      </c>
      <c r="J552" s="1">
        <f t="shared" si="73"/>
        <v>0</v>
      </c>
      <c r="K552" s="1" t="str">
        <f t="shared" si="74"/>
        <v/>
      </c>
      <c r="L552" s="1">
        <f t="shared" si="75"/>
        <v>0</v>
      </c>
      <c r="M552" s="1">
        <f t="shared" si="76"/>
        <v>0</v>
      </c>
      <c r="N552" s="1">
        <f t="shared" si="77"/>
        <v>0</v>
      </c>
      <c r="O552" s="1" t="b">
        <f t="shared" si="78"/>
        <v>0</v>
      </c>
      <c r="P552" s="1" t="e">
        <f>INDEX(G:G,MATCH(G552,G:G,0))</f>
        <v>#N/A</v>
      </c>
      <c r="Q552" s="1" t="e">
        <f t="shared" si="79"/>
        <v>#N/A</v>
      </c>
      <c r="R552" s="1" t="e">
        <f>INDEX('6.0.35'!I:I,MATCH(F552,'6.0.35'!K:K,0))</f>
        <v>#N/A</v>
      </c>
      <c r="S552" s="1" t="e">
        <f>INDEX('6.0.35'!J:J,MATCH(F552,'6.0.35'!F:F,0))</f>
        <v>#N/A</v>
      </c>
    </row>
    <row r="553" spans="1:19">
      <c r="A553" t="s">
        <v>14687</v>
      </c>
      <c r="I553" s="1" t="str">
        <f t="shared" si="72"/>
        <v/>
      </c>
      <c r="J553" s="1">
        <f t="shared" si="73"/>
        <v>0</v>
      </c>
      <c r="K553" s="1" t="str">
        <f t="shared" si="74"/>
        <v/>
      </c>
      <c r="L553" s="1">
        <f t="shared" si="75"/>
        <v>0</v>
      </c>
      <c r="M553" s="1">
        <f t="shared" si="76"/>
        <v>0</v>
      </c>
      <c r="N553" s="1">
        <f t="shared" si="77"/>
        <v>0</v>
      </c>
      <c r="O553" s="1" t="b">
        <f t="shared" si="78"/>
        <v>0</v>
      </c>
      <c r="P553" s="1" t="e">
        <f>INDEX(G:G,MATCH(G553,G:G,0))</f>
        <v>#N/A</v>
      </c>
      <c r="Q553" s="1" t="e">
        <f t="shared" si="79"/>
        <v>#N/A</v>
      </c>
      <c r="R553" s="1" t="e">
        <f>INDEX('6.0.35'!I:I,MATCH(F553,'6.0.35'!K:K,0))</f>
        <v>#N/A</v>
      </c>
      <c r="S553" s="1" t="e">
        <f>INDEX('6.0.35'!J:J,MATCH(F553,'6.0.35'!F:F,0))</f>
        <v>#N/A</v>
      </c>
    </row>
    <row r="554" spans="1:19">
      <c r="A554" t="s">
        <v>14690</v>
      </c>
      <c r="I554" s="1" t="str">
        <f t="shared" si="72"/>
        <v/>
      </c>
      <c r="J554" s="1">
        <f t="shared" si="73"/>
        <v>0</v>
      </c>
      <c r="K554" s="1" t="str">
        <f t="shared" si="74"/>
        <v/>
      </c>
      <c r="L554" s="1">
        <f t="shared" si="75"/>
        <v>0</v>
      </c>
      <c r="M554" s="1">
        <f t="shared" si="76"/>
        <v>0</v>
      </c>
      <c r="N554" s="1">
        <f t="shared" si="77"/>
        <v>0</v>
      </c>
      <c r="O554" s="1" t="b">
        <f t="shared" si="78"/>
        <v>0</v>
      </c>
      <c r="P554" s="1" t="e">
        <f>INDEX(G:G,MATCH(G554,G:G,0))</f>
        <v>#N/A</v>
      </c>
      <c r="Q554" s="1" t="e">
        <f t="shared" si="79"/>
        <v>#N/A</v>
      </c>
      <c r="R554" s="1" t="e">
        <f>INDEX('6.0.35'!I:I,MATCH(F554,'6.0.35'!K:K,0))</f>
        <v>#N/A</v>
      </c>
      <c r="S554" s="1" t="e">
        <f>INDEX('6.0.35'!J:J,MATCH(F554,'6.0.35'!F:F,0))</f>
        <v>#N/A</v>
      </c>
    </row>
    <row r="555" spans="1:19">
      <c r="A555" t="s">
        <v>14693</v>
      </c>
      <c r="I555" s="1" t="str">
        <f t="shared" si="72"/>
        <v/>
      </c>
      <c r="J555" s="1">
        <f t="shared" si="73"/>
        <v>0</v>
      </c>
      <c r="K555" s="1" t="str">
        <f t="shared" si="74"/>
        <v/>
      </c>
      <c r="L555" s="1">
        <f t="shared" si="75"/>
        <v>0</v>
      </c>
      <c r="M555" s="1">
        <f t="shared" si="76"/>
        <v>0</v>
      </c>
      <c r="N555" s="1">
        <f t="shared" si="77"/>
        <v>0</v>
      </c>
      <c r="O555" s="1" t="b">
        <f t="shared" si="78"/>
        <v>0</v>
      </c>
      <c r="P555" s="1" t="e">
        <f>INDEX(G:G,MATCH(G555,G:G,0))</f>
        <v>#N/A</v>
      </c>
      <c r="Q555" s="1" t="e">
        <f t="shared" si="79"/>
        <v>#N/A</v>
      </c>
      <c r="R555" s="1" t="e">
        <f>INDEX('6.0.35'!I:I,MATCH(F555,'6.0.35'!K:K,0))</f>
        <v>#N/A</v>
      </c>
      <c r="S555" s="1" t="e">
        <f>INDEX('6.0.35'!J:J,MATCH(F555,'6.0.35'!F:F,0))</f>
        <v>#N/A</v>
      </c>
    </row>
    <row r="556" spans="1:19">
      <c r="A556" t="s">
        <v>14696</v>
      </c>
      <c r="I556" s="1" t="str">
        <f t="shared" si="72"/>
        <v/>
      </c>
      <c r="J556" s="1">
        <f t="shared" si="73"/>
        <v>0</v>
      </c>
      <c r="K556" s="1" t="str">
        <f t="shared" si="74"/>
        <v/>
      </c>
      <c r="L556" s="1">
        <f t="shared" si="75"/>
        <v>0</v>
      </c>
      <c r="M556" s="1">
        <f t="shared" si="76"/>
        <v>0</v>
      </c>
      <c r="N556" s="1">
        <f t="shared" si="77"/>
        <v>0</v>
      </c>
      <c r="O556" s="1" t="b">
        <f t="shared" si="78"/>
        <v>0</v>
      </c>
      <c r="P556" s="1" t="e">
        <f>INDEX(G:G,MATCH(G556,G:G,0))</f>
        <v>#N/A</v>
      </c>
      <c r="Q556" s="1" t="e">
        <f t="shared" si="79"/>
        <v>#N/A</v>
      </c>
      <c r="R556" s="1" t="e">
        <f>INDEX('6.0.35'!I:I,MATCH(F556,'6.0.35'!K:K,0))</f>
        <v>#N/A</v>
      </c>
      <c r="S556" s="1" t="e">
        <f>INDEX('6.0.35'!J:J,MATCH(F556,'6.0.35'!F:F,0))</f>
        <v>#N/A</v>
      </c>
    </row>
    <row r="557" spans="1:19">
      <c r="A557" t="s">
        <v>14699</v>
      </c>
      <c r="I557" s="1" t="str">
        <f t="shared" si="72"/>
        <v/>
      </c>
      <c r="J557" s="1">
        <f t="shared" si="73"/>
        <v>0</v>
      </c>
      <c r="K557" s="1" t="str">
        <f t="shared" si="74"/>
        <v/>
      </c>
      <c r="L557" s="1">
        <f t="shared" si="75"/>
        <v>0</v>
      </c>
      <c r="M557" s="1">
        <f t="shared" si="76"/>
        <v>0</v>
      </c>
      <c r="N557" s="1">
        <f t="shared" si="77"/>
        <v>0</v>
      </c>
      <c r="O557" s="1" t="b">
        <f t="shared" si="78"/>
        <v>0</v>
      </c>
      <c r="P557" s="1" t="e">
        <f>INDEX(G:G,MATCH(G557,G:G,0))</f>
        <v>#N/A</v>
      </c>
      <c r="Q557" s="1" t="e">
        <f t="shared" si="79"/>
        <v>#N/A</v>
      </c>
      <c r="R557" s="1" t="e">
        <f>INDEX('6.0.35'!I:I,MATCH(F557,'6.0.35'!K:K,0))</f>
        <v>#N/A</v>
      </c>
      <c r="S557" s="1" t="e">
        <f>INDEX('6.0.35'!J:J,MATCH(F557,'6.0.35'!F:F,0))</f>
        <v>#N/A</v>
      </c>
    </row>
    <row r="558" spans="1:19">
      <c r="A558" t="s">
        <v>14702</v>
      </c>
      <c r="I558" s="1" t="str">
        <f t="shared" si="72"/>
        <v/>
      </c>
      <c r="J558" s="1">
        <f t="shared" si="73"/>
        <v>0</v>
      </c>
      <c r="K558" s="1" t="str">
        <f t="shared" si="74"/>
        <v/>
      </c>
      <c r="L558" s="1">
        <f t="shared" si="75"/>
        <v>0</v>
      </c>
      <c r="M558" s="1">
        <f t="shared" si="76"/>
        <v>0</v>
      </c>
      <c r="N558" s="1">
        <f t="shared" si="77"/>
        <v>0</v>
      </c>
      <c r="O558" s="1" t="b">
        <f t="shared" si="78"/>
        <v>0</v>
      </c>
      <c r="P558" s="1" t="e">
        <f>INDEX(G:G,MATCH(G558,G:G,0))</f>
        <v>#N/A</v>
      </c>
      <c r="Q558" s="1" t="e">
        <f t="shared" si="79"/>
        <v>#N/A</v>
      </c>
      <c r="R558" s="1" t="e">
        <f>INDEX('6.0.35'!I:I,MATCH(F558,'6.0.35'!K:K,0))</f>
        <v>#N/A</v>
      </c>
      <c r="S558" s="1" t="e">
        <f>INDEX('6.0.35'!J:J,MATCH(F558,'6.0.35'!F:F,0))</f>
        <v>#N/A</v>
      </c>
    </row>
    <row r="559" spans="1:19">
      <c r="A559" t="s">
        <v>14705</v>
      </c>
      <c r="I559" s="1" t="str">
        <f t="shared" si="72"/>
        <v/>
      </c>
      <c r="J559" s="1">
        <f t="shared" si="73"/>
        <v>0</v>
      </c>
      <c r="K559" s="1" t="str">
        <f t="shared" si="74"/>
        <v/>
      </c>
      <c r="L559" s="1">
        <f t="shared" si="75"/>
        <v>0</v>
      </c>
      <c r="M559" s="1">
        <f t="shared" si="76"/>
        <v>0</v>
      </c>
      <c r="N559" s="1">
        <f t="shared" si="77"/>
        <v>0</v>
      </c>
      <c r="O559" s="1" t="b">
        <f t="shared" si="78"/>
        <v>0</v>
      </c>
      <c r="P559" s="1" t="e">
        <f>INDEX(G:G,MATCH(G559,G:G,0))</f>
        <v>#N/A</v>
      </c>
      <c r="Q559" s="1" t="e">
        <f t="shared" si="79"/>
        <v>#N/A</v>
      </c>
      <c r="R559" s="1" t="e">
        <f>INDEX('6.0.35'!I:I,MATCH(F559,'6.0.35'!K:K,0))</f>
        <v>#N/A</v>
      </c>
      <c r="S559" s="1" t="e">
        <f>INDEX('6.0.35'!J:J,MATCH(F559,'6.0.35'!F:F,0))</f>
        <v>#N/A</v>
      </c>
    </row>
    <row r="560" spans="1:19">
      <c r="A560" t="s">
        <v>14708</v>
      </c>
      <c r="I560" s="1" t="str">
        <f t="shared" si="72"/>
        <v/>
      </c>
      <c r="J560" s="1">
        <f t="shared" si="73"/>
        <v>0</v>
      </c>
      <c r="K560" s="1" t="str">
        <f t="shared" si="74"/>
        <v/>
      </c>
      <c r="L560" s="1">
        <f t="shared" si="75"/>
        <v>0</v>
      </c>
      <c r="M560" s="1">
        <f t="shared" si="76"/>
        <v>0</v>
      </c>
      <c r="N560" s="1">
        <f t="shared" si="77"/>
        <v>0</v>
      </c>
      <c r="O560" s="1" t="b">
        <f t="shared" si="78"/>
        <v>0</v>
      </c>
      <c r="P560" s="1" t="e">
        <f>INDEX(G:G,MATCH(G560,G:G,0))</f>
        <v>#N/A</v>
      </c>
      <c r="Q560" s="1" t="e">
        <f t="shared" si="79"/>
        <v>#N/A</v>
      </c>
      <c r="R560" s="1" t="e">
        <f>INDEX('6.0.35'!I:I,MATCH(F560,'6.0.35'!K:K,0))</f>
        <v>#N/A</v>
      </c>
      <c r="S560" s="1" t="e">
        <f>INDEX('6.0.35'!J:J,MATCH(F560,'6.0.35'!F:F,0))</f>
        <v>#N/A</v>
      </c>
    </row>
    <row r="561" spans="1:19">
      <c r="A561" t="s">
        <v>14711</v>
      </c>
      <c r="I561" s="1" t="str">
        <f t="shared" si="72"/>
        <v/>
      </c>
      <c r="J561" s="1">
        <f t="shared" si="73"/>
        <v>0</v>
      </c>
      <c r="K561" s="1" t="str">
        <f t="shared" si="74"/>
        <v/>
      </c>
      <c r="L561" s="1">
        <f t="shared" si="75"/>
        <v>0</v>
      </c>
      <c r="M561" s="1">
        <f t="shared" si="76"/>
        <v>0</v>
      </c>
      <c r="N561" s="1">
        <f t="shared" si="77"/>
        <v>0</v>
      </c>
      <c r="O561" s="1" t="b">
        <f t="shared" si="78"/>
        <v>0</v>
      </c>
      <c r="P561" s="1" t="e">
        <f>INDEX(G:G,MATCH(G561,G:G,0))</f>
        <v>#N/A</v>
      </c>
      <c r="Q561" s="1" t="e">
        <f t="shared" si="79"/>
        <v>#N/A</v>
      </c>
      <c r="R561" s="1" t="e">
        <f>INDEX('6.0.35'!I:I,MATCH(F561,'6.0.35'!K:K,0))</f>
        <v>#N/A</v>
      </c>
      <c r="S561" s="1" t="e">
        <f>INDEX('6.0.35'!J:J,MATCH(F561,'6.0.35'!F:F,0))</f>
        <v>#N/A</v>
      </c>
    </row>
    <row r="562" spans="1:19">
      <c r="A562" t="s">
        <v>14714</v>
      </c>
      <c r="I562" s="1" t="str">
        <f t="shared" si="72"/>
        <v/>
      </c>
      <c r="J562" s="1">
        <f t="shared" si="73"/>
        <v>0</v>
      </c>
      <c r="K562" s="1" t="str">
        <f t="shared" si="74"/>
        <v/>
      </c>
      <c r="L562" s="1">
        <f t="shared" si="75"/>
        <v>0</v>
      </c>
      <c r="M562" s="1">
        <f t="shared" si="76"/>
        <v>0</v>
      </c>
      <c r="N562" s="1">
        <f t="shared" si="77"/>
        <v>0</v>
      </c>
      <c r="O562" s="1" t="b">
        <f t="shared" si="78"/>
        <v>0</v>
      </c>
      <c r="P562" s="1" t="e">
        <f>INDEX(G:G,MATCH(G562,G:G,0))</f>
        <v>#N/A</v>
      </c>
      <c r="Q562" s="1" t="e">
        <f t="shared" si="79"/>
        <v>#N/A</v>
      </c>
      <c r="R562" s="1" t="e">
        <f>INDEX('6.0.35'!I:I,MATCH(F562,'6.0.35'!K:K,0))</f>
        <v>#N/A</v>
      </c>
      <c r="S562" s="1" t="e">
        <f>INDEX('6.0.35'!J:J,MATCH(F562,'6.0.35'!F:F,0))</f>
        <v>#N/A</v>
      </c>
    </row>
    <row r="563" spans="1:19">
      <c r="A563" t="s">
        <v>14717</v>
      </c>
      <c r="I563" s="1" t="str">
        <f t="shared" si="72"/>
        <v/>
      </c>
      <c r="J563" s="1">
        <f t="shared" si="73"/>
        <v>0</v>
      </c>
      <c r="K563" s="1" t="str">
        <f t="shared" si="74"/>
        <v/>
      </c>
      <c r="L563" s="1">
        <f t="shared" si="75"/>
        <v>0</v>
      </c>
      <c r="M563" s="1">
        <f t="shared" si="76"/>
        <v>0</v>
      </c>
      <c r="N563" s="1">
        <f t="shared" si="77"/>
        <v>0</v>
      </c>
      <c r="O563" s="1" t="b">
        <f t="shared" si="78"/>
        <v>0</v>
      </c>
      <c r="P563" s="1" t="e">
        <f>INDEX(G:G,MATCH(G563,G:G,0))</f>
        <v>#N/A</v>
      </c>
      <c r="Q563" s="1" t="e">
        <f t="shared" si="79"/>
        <v>#N/A</v>
      </c>
      <c r="R563" s="1" t="e">
        <f>INDEX('6.0.35'!I:I,MATCH(F563,'6.0.35'!K:K,0))</f>
        <v>#N/A</v>
      </c>
      <c r="S563" s="1" t="e">
        <f>INDEX('6.0.35'!J:J,MATCH(F563,'6.0.35'!F:F,0))</f>
        <v>#N/A</v>
      </c>
    </row>
    <row r="564" spans="1:19">
      <c r="A564" t="s">
        <v>14720</v>
      </c>
      <c r="I564" s="1" t="str">
        <f t="shared" si="72"/>
        <v/>
      </c>
      <c r="J564" s="1">
        <f t="shared" si="73"/>
        <v>0</v>
      </c>
      <c r="K564" s="1" t="str">
        <f t="shared" si="74"/>
        <v/>
      </c>
      <c r="L564" s="1">
        <f t="shared" si="75"/>
        <v>0</v>
      </c>
      <c r="M564" s="1">
        <f t="shared" si="76"/>
        <v>0</v>
      </c>
      <c r="N564" s="1">
        <f t="shared" si="77"/>
        <v>0</v>
      </c>
      <c r="O564" s="1" t="b">
        <f t="shared" si="78"/>
        <v>0</v>
      </c>
      <c r="P564" s="1" t="e">
        <f>INDEX(G:G,MATCH(G564,G:G,0))</f>
        <v>#N/A</v>
      </c>
      <c r="Q564" s="1" t="e">
        <f t="shared" si="79"/>
        <v>#N/A</v>
      </c>
      <c r="R564" s="1" t="e">
        <f>INDEX('6.0.35'!I:I,MATCH(F564,'6.0.35'!K:K,0))</f>
        <v>#N/A</v>
      </c>
      <c r="S564" s="1" t="e">
        <f>INDEX('6.0.35'!J:J,MATCH(F564,'6.0.35'!F:F,0))</f>
        <v>#N/A</v>
      </c>
    </row>
    <row r="565" spans="1:19">
      <c r="A565" t="s">
        <v>14733</v>
      </c>
      <c r="I565" s="1" t="str">
        <f t="shared" si="72"/>
        <v/>
      </c>
      <c r="J565" s="1">
        <f t="shared" si="73"/>
        <v>0</v>
      </c>
      <c r="K565" s="1" t="str">
        <f t="shared" si="74"/>
        <v/>
      </c>
      <c r="L565" s="1">
        <f t="shared" si="75"/>
        <v>0</v>
      </c>
      <c r="M565" s="1">
        <f t="shared" si="76"/>
        <v>0</v>
      </c>
      <c r="N565" s="1">
        <f t="shared" si="77"/>
        <v>0</v>
      </c>
      <c r="O565" s="1" t="b">
        <f t="shared" si="78"/>
        <v>0</v>
      </c>
      <c r="P565" s="1" t="e">
        <f>INDEX(G:G,MATCH(G565,G:G,0))</f>
        <v>#N/A</v>
      </c>
      <c r="Q565" s="1" t="e">
        <f t="shared" si="79"/>
        <v>#N/A</v>
      </c>
      <c r="R565" s="1" t="e">
        <f>INDEX('6.0.35'!I:I,MATCH(F565,'6.0.35'!K:K,0))</f>
        <v>#N/A</v>
      </c>
      <c r="S565" s="1" t="e">
        <f>INDEX('6.0.35'!J:J,MATCH(F565,'6.0.35'!F:F,0))</f>
        <v>#N/A</v>
      </c>
    </row>
    <row r="566" spans="1:19">
      <c r="A566" t="s">
        <v>14737</v>
      </c>
      <c r="I566" s="1" t="str">
        <f t="shared" si="72"/>
        <v/>
      </c>
      <c r="J566" s="1">
        <f t="shared" si="73"/>
        <v>0</v>
      </c>
      <c r="K566" s="1" t="str">
        <f t="shared" si="74"/>
        <v/>
      </c>
      <c r="L566" s="1">
        <f t="shared" si="75"/>
        <v>0</v>
      </c>
      <c r="M566" s="1">
        <f t="shared" si="76"/>
        <v>0</v>
      </c>
      <c r="N566" s="1">
        <f t="shared" si="77"/>
        <v>0</v>
      </c>
      <c r="O566" s="1" t="b">
        <f t="shared" si="78"/>
        <v>0</v>
      </c>
      <c r="P566" s="1" t="e">
        <f>INDEX(G:G,MATCH(G566,G:G,0))</f>
        <v>#N/A</v>
      </c>
      <c r="Q566" s="1" t="e">
        <f t="shared" si="79"/>
        <v>#N/A</v>
      </c>
      <c r="R566" s="1" t="e">
        <f>INDEX('6.0.35'!I:I,MATCH(F566,'6.0.35'!K:K,0))</f>
        <v>#N/A</v>
      </c>
      <c r="S566" s="1" t="e">
        <f>INDEX('6.0.35'!J:J,MATCH(F566,'6.0.35'!F:F,0))</f>
        <v>#N/A</v>
      </c>
    </row>
    <row r="567" spans="1:19">
      <c r="A567" t="s">
        <v>14741</v>
      </c>
      <c r="I567" s="1" t="str">
        <f t="shared" si="72"/>
        <v/>
      </c>
      <c r="J567" s="1">
        <f t="shared" si="73"/>
        <v>0</v>
      </c>
      <c r="K567" s="1" t="str">
        <f t="shared" si="74"/>
        <v/>
      </c>
      <c r="L567" s="1">
        <f t="shared" si="75"/>
        <v>0</v>
      </c>
      <c r="M567" s="1">
        <f t="shared" si="76"/>
        <v>0</v>
      </c>
      <c r="N567" s="1">
        <f t="shared" si="77"/>
        <v>0</v>
      </c>
      <c r="O567" s="1" t="b">
        <f t="shared" si="78"/>
        <v>0</v>
      </c>
      <c r="P567" s="1" t="e">
        <f>INDEX(G:G,MATCH(G567,G:G,0))</f>
        <v>#N/A</v>
      </c>
      <c r="Q567" s="1" t="e">
        <f t="shared" si="79"/>
        <v>#N/A</v>
      </c>
      <c r="R567" s="1" t="e">
        <f>INDEX('6.0.35'!I:I,MATCH(F567,'6.0.35'!K:K,0))</f>
        <v>#N/A</v>
      </c>
      <c r="S567" s="1" t="e">
        <f>INDEX('6.0.35'!J:J,MATCH(F567,'6.0.35'!F:F,0))</f>
        <v>#N/A</v>
      </c>
    </row>
    <row r="568" spans="1:19">
      <c r="A568" t="s">
        <v>14745</v>
      </c>
      <c r="I568" s="1" t="str">
        <f t="shared" si="72"/>
        <v/>
      </c>
      <c r="J568" s="1">
        <f t="shared" si="73"/>
        <v>0</v>
      </c>
      <c r="K568" s="1" t="str">
        <f t="shared" si="74"/>
        <v/>
      </c>
      <c r="L568" s="1">
        <f t="shared" si="75"/>
        <v>0</v>
      </c>
      <c r="M568" s="1">
        <f t="shared" si="76"/>
        <v>0</v>
      </c>
      <c r="N568" s="1">
        <f t="shared" si="77"/>
        <v>0</v>
      </c>
      <c r="O568" s="1" t="b">
        <f t="shared" si="78"/>
        <v>0</v>
      </c>
      <c r="P568" s="1" t="e">
        <f>INDEX(G:G,MATCH(G568,G:G,0))</f>
        <v>#N/A</v>
      </c>
      <c r="Q568" s="1" t="e">
        <f t="shared" si="79"/>
        <v>#N/A</v>
      </c>
      <c r="R568" s="1" t="e">
        <f>INDEX('6.0.35'!I:I,MATCH(F568,'6.0.35'!K:K,0))</f>
        <v>#N/A</v>
      </c>
      <c r="S568" s="1" t="e">
        <f>INDEX('6.0.35'!J:J,MATCH(F568,'6.0.35'!F:F,0))</f>
        <v>#N/A</v>
      </c>
    </row>
    <row r="569" spans="1:19">
      <c r="A569" t="s">
        <v>14749</v>
      </c>
      <c r="I569" s="1" t="str">
        <f t="shared" si="72"/>
        <v/>
      </c>
      <c r="J569" s="1">
        <f t="shared" si="73"/>
        <v>0</v>
      </c>
      <c r="K569" s="1" t="str">
        <f t="shared" si="74"/>
        <v/>
      </c>
      <c r="L569" s="1">
        <f t="shared" si="75"/>
        <v>0</v>
      </c>
      <c r="M569" s="1">
        <f t="shared" si="76"/>
        <v>0</v>
      </c>
      <c r="N569" s="1">
        <f t="shared" si="77"/>
        <v>0</v>
      </c>
      <c r="O569" s="1" t="b">
        <f t="shared" si="78"/>
        <v>0</v>
      </c>
      <c r="P569" s="1" t="e">
        <f>INDEX(G:G,MATCH(G569,G:G,0))</f>
        <v>#N/A</v>
      </c>
      <c r="Q569" s="1" t="e">
        <f t="shared" si="79"/>
        <v>#N/A</v>
      </c>
      <c r="R569" s="1" t="e">
        <f>INDEX('6.0.35'!I:I,MATCH(F569,'6.0.35'!K:K,0))</f>
        <v>#N/A</v>
      </c>
      <c r="S569" s="1" t="e">
        <f>INDEX('6.0.35'!J:J,MATCH(F569,'6.0.35'!F:F,0))</f>
        <v>#N/A</v>
      </c>
    </row>
    <row r="570" spans="1:19">
      <c r="A570" t="s">
        <v>14753</v>
      </c>
      <c r="I570" s="1" t="str">
        <f t="shared" ref="I570:I633" si="80">IFERROR(IF(OR(MID(G570,FIND(":",G570)-1,1)="""",MID(G570,FIND(":",G570)-1,1)="}",MID(G570,FIND(":",G570)-1,1)=")",MID(G570,FIND(":",G570)-1,1)="]"),"",RIGHT(G570,LEN(G570)-FIND(":",G570)-1)),"")</f>
        <v/>
      </c>
      <c r="J570" s="1">
        <f t="shared" ref="J570:J633" si="81">IF(AND(I570="",H570=""),G570,IF(H570="",I570,H570&amp;": "&amp;I570))</f>
        <v>0</v>
      </c>
      <c r="K570" s="1" t="str">
        <f t="shared" ref="K570:K633" si="82">IFERROR(IF(OR(MID(F570,FIND(":",F570)-1,1)="""",MID(F570,FIND(":",F570)-1,1)="}",MID(F570,FIND(":",F570)-1,1)=")",MID(F570,FIND(":",F570)-1,1)="]"),"",RIGHT(F570,LEN(F570)-FIND(":",F570)-1)),"")</f>
        <v/>
      </c>
      <c r="L570" s="1">
        <f t="shared" ref="L570:L633" si="83">LEN(F570)-LEN(SUBSTITUTE(F570,":",""))</f>
        <v>0</v>
      </c>
      <c r="M570" s="1">
        <f t="shared" ref="M570:M633" si="84">LEN(G570)-LEN(SUBSTITUTE(G570,":",""))</f>
        <v>0</v>
      </c>
      <c r="N570" s="1">
        <f t="shared" ref="N570:N633" si="85">LEN(G570)-LEN(SUBSTITUTE(G570,"：",""))</f>
        <v>0</v>
      </c>
      <c r="O570" s="1" t="b">
        <f t="shared" ref="O570:O633" si="86">IF(M570&gt;=2,MID(G570,FIND(":",G570)+1,LEN(G570)))</f>
        <v>0</v>
      </c>
      <c r="P570" s="1" t="e">
        <f>INDEX(G:G,MATCH(G570,G:G,0))</f>
        <v>#N/A</v>
      </c>
      <c r="Q570" s="1" t="e">
        <f t="shared" ref="Q570:Q633" si="87">IF(P570&lt;&gt;G570,"校验","")</f>
        <v>#N/A</v>
      </c>
      <c r="R570" s="1" t="e">
        <f>INDEX('6.0.35'!I:I,MATCH(F570,'6.0.35'!K:K,0))</f>
        <v>#N/A</v>
      </c>
      <c r="S570" s="1" t="e">
        <f>INDEX('6.0.35'!J:J,MATCH(F570,'6.0.35'!F:F,0))</f>
        <v>#N/A</v>
      </c>
    </row>
    <row r="571" spans="1:19">
      <c r="A571" t="s">
        <v>14757</v>
      </c>
      <c r="I571" s="1" t="str">
        <f t="shared" si="80"/>
        <v/>
      </c>
      <c r="J571" s="1">
        <f t="shared" si="81"/>
        <v>0</v>
      </c>
      <c r="K571" s="1" t="str">
        <f t="shared" si="82"/>
        <v/>
      </c>
      <c r="L571" s="1">
        <f t="shared" si="83"/>
        <v>0</v>
      </c>
      <c r="M571" s="1">
        <f t="shared" si="84"/>
        <v>0</v>
      </c>
      <c r="N571" s="1">
        <f t="shared" si="85"/>
        <v>0</v>
      </c>
      <c r="O571" s="1" t="b">
        <f t="shared" si="86"/>
        <v>0</v>
      </c>
      <c r="P571" s="1" t="e">
        <f>INDEX(G:G,MATCH(G571,G:G,0))</f>
        <v>#N/A</v>
      </c>
      <c r="Q571" s="1" t="e">
        <f t="shared" si="87"/>
        <v>#N/A</v>
      </c>
      <c r="R571" s="1" t="e">
        <f>INDEX('6.0.35'!I:I,MATCH(F571,'6.0.35'!K:K,0))</f>
        <v>#N/A</v>
      </c>
      <c r="S571" s="1" t="e">
        <f>INDEX('6.0.35'!J:J,MATCH(F571,'6.0.35'!F:F,0))</f>
        <v>#N/A</v>
      </c>
    </row>
    <row r="572" spans="1:19">
      <c r="A572" t="s">
        <v>14761</v>
      </c>
      <c r="I572" s="1" t="str">
        <f t="shared" si="80"/>
        <v/>
      </c>
      <c r="J572" s="1">
        <f t="shared" si="81"/>
        <v>0</v>
      </c>
      <c r="K572" s="1" t="str">
        <f t="shared" si="82"/>
        <v/>
      </c>
      <c r="L572" s="1">
        <f t="shared" si="83"/>
        <v>0</v>
      </c>
      <c r="M572" s="1">
        <f t="shared" si="84"/>
        <v>0</v>
      </c>
      <c r="N572" s="1">
        <f t="shared" si="85"/>
        <v>0</v>
      </c>
      <c r="O572" s="1" t="b">
        <f t="shared" si="86"/>
        <v>0</v>
      </c>
      <c r="P572" s="1" t="e">
        <f>INDEX(G:G,MATCH(G572,G:G,0))</f>
        <v>#N/A</v>
      </c>
      <c r="Q572" s="1" t="e">
        <f t="shared" si="87"/>
        <v>#N/A</v>
      </c>
      <c r="R572" s="1" t="e">
        <f>INDEX('6.0.35'!I:I,MATCH(F572,'6.0.35'!K:K,0))</f>
        <v>#N/A</v>
      </c>
      <c r="S572" s="1" t="e">
        <f>INDEX('6.0.35'!J:J,MATCH(F572,'6.0.35'!F:F,0))</f>
        <v>#N/A</v>
      </c>
    </row>
    <row r="573" spans="1:19">
      <c r="A573" t="s">
        <v>14766</v>
      </c>
      <c r="I573" s="1" t="str">
        <f t="shared" si="80"/>
        <v/>
      </c>
      <c r="J573" s="1">
        <f t="shared" si="81"/>
        <v>0</v>
      </c>
      <c r="K573" s="1" t="str">
        <f t="shared" si="82"/>
        <v/>
      </c>
      <c r="L573" s="1">
        <f t="shared" si="83"/>
        <v>0</v>
      </c>
      <c r="M573" s="1">
        <f t="shared" si="84"/>
        <v>0</v>
      </c>
      <c r="N573" s="1">
        <f t="shared" si="85"/>
        <v>0</v>
      </c>
      <c r="O573" s="1" t="b">
        <f t="shared" si="86"/>
        <v>0</v>
      </c>
      <c r="P573" s="1" t="e">
        <f>INDEX(G:G,MATCH(G573,G:G,0))</f>
        <v>#N/A</v>
      </c>
      <c r="Q573" s="1" t="e">
        <f t="shared" si="87"/>
        <v>#N/A</v>
      </c>
      <c r="R573" s="1" t="e">
        <f>INDEX('6.0.35'!I:I,MATCH(F573,'6.0.35'!K:K,0))</f>
        <v>#N/A</v>
      </c>
      <c r="S573" s="1" t="e">
        <f>INDEX('6.0.35'!J:J,MATCH(F573,'6.0.35'!F:F,0))</f>
        <v>#N/A</v>
      </c>
    </row>
    <row r="574" spans="1:19">
      <c r="A574" t="s">
        <v>14770</v>
      </c>
      <c r="I574" s="1" t="str">
        <f t="shared" si="80"/>
        <v/>
      </c>
      <c r="J574" s="1">
        <f t="shared" si="81"/>
        <v>0</v>
      </c>
      <c r="K574" s="1" t="str">
        <f t="shared" si="82"/>
        <v/>
      </c>
      <c r="L574" s="1">
        <f t="shared" si="83"/>
        <v>0</v>
      </c>
      <c r="M574" s="1">
        <f t="shared" si="84"/>
        <v>0</v>
      </c>
      <c r="N574" s="1">
        <f t="shared" si="85"/>
        <v>0</v>
      </c>
      <c r="O574" s="1" t="b">
        <f t="shared" si="86"/>
        <v>0</v>
      </c>
      <c r="P574" s="1" t="e">
        <f>INDEX(G:G,MATCH(G574,G:G,0))</f>
        <v>#N/A</v>
      </c>
      <c r="Q574" s="1" t="e">
        <f t="shared" si="87"/>
        <v>#N/A</v>
      </c>
      <c r="R574" s="1" t="e">
        <f>INDEX('6.0.35'!I:I,MATCH(F574,'6.0.35'!K:K,0))</f>
        <v>#N/A</v>
      </c>
      <c r="S574" s="1" t="e">
        <f>INDEX('6.0.35'!J:J,MATCH(F574,'6.0.35'!F:F,0))</f>
        <v>#N/A</v>
      </c>
    </row>
    <row r="575" spans="1:19">
      <c r="A575" t="s">
        <v>14774</v>
      </c>
      <c r="I575" s="1" t="str">
        <f t="shared" si="80"/>
        <v/>
      </c>
      <c r="J575" s="1">
        <f t="shared" si="81"/>
        <v>0</v>
      </c>
      <c r="K575" s="1" t="str">
        <f t="shared" si="82"/>
        <v/>
      </c>
      <c r="L575" s="1">
        <f t="shared" si="83"/>
        <v>0</v>
      </c>
      <c r="M575" s="1">
        <f t="shared" si="84"/>
        <v>0</v>
      </c>
      <c r="N575" s="1">
        <f t="shared" si="85"/>
        <v>0</v>
      </c>
      <c r="O575" s="1" t="b">
        <f t="shared" si="86"/>
        <v>0</v>
      </c>
      <c r="P575" s="1" t="e">
        <f>INDEX(G:G,MATCH(G575,G:G,0))</f>
        <v>#N/A</v>
      </c>
      <c r="Q575" s="1" t="e">
        <f t="shared" si="87"/>
        <v>#N/A</v>
      </c>
      <c r="R575" s="1" t="e">
        <f>INDEX('6.0.35'!I:I,MATCH(F575,'6.0.35'!K:K,0))</f>
        <v>#N/A</v>
      </c>
      <c r="S575" s="1" t="e">
        <f>INDEX('6.0.35'!J:J,MATCH(F575,'6.0.35'!F:F,0))</f>
        <v>#N/A</v>
      </c>
    </row>
    <row r="576" spans="1:19">
      <c r="A576" t="s">
        <v>14778</v>
      </c>
      <c r="I576" s="1" t="str">
        <f t="shared" si="80"/>
        <v/>
      </c>
      <c r="J576" s="1">
        <f t="shared" si="81"/>
        <v>0</v>
      </c>
      <c r="K576" s="1" t="str">
        <f t="shared" si="82"/>
        <v/>
      </c>
      <c r="L576" s="1">
        <f t="shared" si="83"/>
        <v>0</v>
      </c>
      <c r="M576" s="1">
        <f t="shared" si="84"/>
        <v>0</v>
      </c>
      <c r="N576" s="1">
        <f t="shared" si="85"/>
        <v>0</v>
      </c>
      <c r="O576" s="1" t="b">
        <f t="shared" si="86"/>
        <v>0</v>
      </c>
      <c r="P576" s="1" t="e">
        <f>INDEX(G:G,MATCH(G576,G:G,0))</f>
        <v>#N/A</v>
      </c>
      <c r="Q576" s="1" t="e">
        <f t="shared" si="87"/>
        <v>#N/A</v>
      </c>
      <c r="R576" s="1" t="e">
        <f>INDEX('6.0.35'!I:I,MATCH(F576,'6.0.35'!K:K,0))</f>
        <v>#N/A</v>
      </c>
      <c r="S576" s="1" t="e">
        <f>INDEX('6.0.35'!J:J,MATCH(F576,'6.0.35'!F:F,0))</f>
        <v>#N/A</v>
      </c>
    </row>
    <row r="577" spans="1:19">
      <c r="A577" t="s">
        <v>14782</v>
      </c>
      <c r="I577" s="1" t="str">
        <f t="shared" si="80"/>
        <v/>
      </c>
      <c r="J577" s="1">
        <f t="shared" si="81"/>
        <v>0</v>
      </c>
      <c r="K577" s="1" t="str">
        <f t="shared" si="82"/>
        <v/>
      </c>
      <c r="L577" s="1">
        <f t="shared" si="83"/>
        <v>0</v>
      </c>
      <c r="M577" s="1">
        <f t="shared" si="84"/>
        <v>0</v>
      </c>
      <c r="N577" s="1">
        <f t="shared" si="85"/>
        <v>0</v>
      </c>
      <c r="O577" s="1" t="b">
        <f t="shared" si="86"/>
        <v>0</v>
      </c>
      <c r="P577" s="1" t="e">
        <f>INDEX(G:G,MATCH(G577,G:G,0))</f>
        <v>#N/A</v>
      </c>
      <c r="Q577" s="1" t="e">
        <f t="shared" si="87"/>
        <v>#N/A</v>
      </c>
      <c r="R577" s="1" t="e">
        <f>INDEX('6.0.35'!I:I,MATCH(F577,'6.0.35'!K:K,0))</f>
        <v>#N/A</v>
      </c>
      <c r="S577" s="1" t="e">
        <f>INDEX('6.0.35'!J:J,MATCH(F577,'6.0.35'!F:F,0))</f>
        <v>#N/A</v>
      </c>
    </row>
    <row r="578" spans="1:19">
      <c r="A578" t="s">
        <v>14786</v>
      </c>
      <c r="I578" s="1" t="str">
        <f t="shared" si="80"/>
        <v/>
      </c>
      <c r="J578" s="1">
        <f t="shared" si="81"/>
        <v>0</v>
      </c>
      <c r="K578" s="1" t="str">
        <f t="shared" si="82"/>
        <v/>
      </c>
      <c r="L578" s="1">
        <f t="shared" si="83"/>
        <v>0</v>
      </c>
      <c r="M578" s="1">
        <f t="shared" si="84"/>
        <v>0</v>
      </c>
      <c r="N578" s="1">
        <f t="shared" si="85"/>
        <v>0</v>
      </c>
      <c r="O578" s="1" t="b">
        <f t="shared" si="86"/>
        <v>0</v>
      </c>
      <c r="P578" s="1" t="e">
        <f>INDEX(G:G,MATCH(G578,G:G,0))</f>
        <v>#N/A</v>
      </c>
      <c r="Q578" s="1" t="e">
        <f t="shared" si="87"/>
        <v>#N/A</v>
      </c>
      <c r="R578" s="1" t="e">
        <f>INDEX('6.0.35'!I:I,MATCH(F578,'6.0.35'!K:K,0))</f>
        <v>#N/A</v>
      </c>
      <c r="S578" s="1" t="e">
        <f>INDEX('6.0.35'!J:J,MATCH(F578,'6.0.35'!F:F,0))</f>
        <v>#N/A</v>
      </c>
    </row>
    <row r="579" spans="1:19">
      <c r="A579" t="s">
        <v>14790</v>
      </c>
      <c r="I579" s="1" t="str">
        <f t="shared" si="80"/>
        <v/>
      </c>
      <c r="J579" s="1">
        <f t="shared" si="81"/>
        <v>0</v>
      </c>
      <c r="K579" s="1" t="str">
        <f t="shared" si="82"/>
        <v/>
      </c>
      <c r="L579" s="1">
        <f t="shared" si="83"/>
        <v>0</v>
      </c>
      <c r="M579" s="1">
        <f t="shared" si="84"/>
        <v>0</v>
      </c>
      <c r="N579" s="1">
        <f t="shared" si="85"/>
        <v>0</v>
      </c>
      <c r="O579" s="1" t="b">
        <f t="shared" si="86"/>
        <v>0</v>
      </c>
      <c r="P579" s="1" t="e">
        <f>INDEX(G:G,MATCH(G579,G:G,0))</f>
        <v>#N/A</v>
      </c>
      <c r="Q579" s="1" t="e">
        <f t="shared" si="87"/>
        <v>#N/A</v>
      </c>
      <c r="R579" s="1" t="e">
        <f>INDEX('6.0.35'!I:I,MATCH(F579,'6.0.35'!K:K,0))</f>
        <v>#N/A</v>
      </c>
      <c r="S579" s="1" t="e">
        <f>INDEX('6.0.35'!J:J,MATCH(F579,'6.0.35'!F:F,0))</f>
        <v>#N/A</v>
      </c>
    </row>
    <row r="580" spans="1:19">
      <c r="A580" t="s">
        <v>14794</v>
      </c>
      <c r="I580" s="1" t="str">
        <f t="shared" si="80"/>
        <v/>
      </c>
      <c r="J580" s="1">
        <f t="shared" si="81"/>
        <v>0</v>
      </c>
      <c r="K580" s="1" t="str">
        <f t="shared" si="82"/>
        <v/>
      </c>
      <c r="L580" s="1">
        <f t="shared" si="83"/>
        <v>0</v>
      </c>
      <c r="M580" s="1">
        <f t="shared" si="84"/>
        <v>0</v>
      </c>
      <c r="N580" s="1">
        <f t="shared" si="85"/>
        <v>0</v>
      </c>
      <c r="O580" s="1" t="b">
        <f t="shared" si="86"/>
        <v>0</v>
      </c>
      <c r="P580" s="1" t="e">
        <f>INDEX(G:G,MATCH(G580,G:G,0))</f>
        <v>#N/A</v>
      </c>
      <c r="Q580" s="1" t="e">
        <f t="shared" si="87"/>
        <v>#N/A</v>
      </c>
      <c r="R580" s="1" t="e">
        <f>INDEX('6.0.35'!I:I,MATCH(F580,'6.0.35'!K:K,0))</f>
        <v>#N/A</v>
      </c>
      <c r="S580" s="1" t="e">
        <f>INDEX('6.0.35'!J:J,MATCH(F580,'6.0.35'!F:F,0))</f>
        <v>#N/A</v>
      </c>
    </row>
    <row r="581" spans="1:19">
      <c r="A581" t="s">
        <v>14806</v>
      </c>
      <c r="I581" s="1" t="str">
        <f t="shared" si="80"/>
        <v/>
      </c>
      <c r="J581" s="1">
        <f t="shared" si="81"/>
        <v>0</v>
      </c>
      <c r="K581" s="1" t="str">
        <f t="shared" si="82"/>
        <v/>
      </c>
      <c r="L581" s="1">
        <f t="shared" si="83"/>
        <v>0</v>
      </c>
      <c r="M581" s="1">
        <f t="shared" si="84"/>
        <v>0</v>
      </c>
      <c r="N581" s="1">
        <f t="shared" si="85"/>
        <v>0</v>
      </c>
      <c r="O581" s="1" t="b">
        <f t="shared" si="86"/>
        <v>0</v>
      </c>
      <c r="P581" s="1" t="e">
        <f>INDEX(G:G,MATCH(G581,G:G,0))</f>
        <v>#N/A</v>
      </c>
      <c r="Q581" s="1" t="e">
        <f t="shared" si="87"/>
        <v>#N/A</v>
      </c>
      <c r="R581" s="1" t="e">
        <f>INDEX('6.0.35'!I:I,MATCH(F581,'6.0.35'!K:K,0))</f>
        <v>#N/A</v>
      </c>
      <c r="S581" s="1" t="e">
        <f>INDEX('6.0.35'!J:J,MATCH(F581,'6.0.35'!F:F,0))</f>
        <v>#N/A</v>
      </c>
    </row>
    <row r="582" spans="1:19">
      <c r="A582" t="s">
        <v>14809</v>
      </c>
      <c r="I582" s="1" t="str">
        <f t="shared" si="80"/>
        <v/>
      </c>
      <c r="J582" s="1">
        <f t="shared" si="81"/>
        <v>0</v>
      </c>
      <c r="K582" s="1" t="str">
        <f t="shared" si="82"/>
        <v/>
      </c>
      <c r="L582" s="1">
        <f t="shared" si="83"/>
        <v>0</v>
      </c>
      <c r="M582" s="1">
        <f t="shared" si="84"/>
        <v>0</v>
      </c>
      <c r="N582" s="1">
        <f t="shared" si="85"/>
        <v>0</v>
      </c>
      <c r="O582" s="1" t="b">
        <f t="shared" si="86"/>
        <v>0</v>
      </c>
      <c r="P582" s="1" t="e">
        <f>INDEX(G:G,MATCH(G582,G:G,0))</f>
        <v>#N/A</v>
      </c>
      <c r="Q582" s="1" t="e">
        <f t="shared" si="87"/>
        <v>#N/A</v>
      </c>
      <c r="R582" s="1" t="e">
        <f>INDEX('6.0.35'!I:I,MATCH(F582,'6.0.35'!K:K,0))</f>
        <v>#N/A</v>
      </c>
      <c r="S582" s="1" t="e">
        <f>INDEX('6.0.35'!J:J,MATCH(F582,'6.0.35'!F:F,0))</f>
        <v>#N/A</v>
      </c>
    </row>
    <row r="583" spans="1:19">
      <c r="A583" t="s">
        <v>14817</v>
      </c>
      <c r="I583" s="1" t="str">
        <f t="shared" si="80"/>
        <v/>
      </c>
      <c r="J583" s="1">
        <f t="shared" si="81"/>
        <v>0</v>
      </c>
      <c r="K583" s="1" t="str">
        <f t="shared" si="82"/>
        <v/>
      </c>
      <c r="L583" s="1">
        <f t="shared" si="83"/>
        <v>0</v>
      </c>
      <c r="M583" s="1">
        <f t="shared" si="84"/>
        <v>0</v>
      </c>
      <c r="N583" s="1">
        <f t="shared" si="85"/>
        <v>0</v>
      </c>
      <c r="O583" s="1" t="b">
        <f t="shared" si="86"/>
        <v>0</v>
      </c>
      <c r="P583" s="1" t="e">
        <f>INDEX(G:G,MATCH(G583,G:G,0))</f>
        <v>#N/A</v>
      </c>
      <c r="Q583" s="1" t="e">
        <f t="shared" si="87"/>
        <v>#N/A</v>
      </c>
      <c r="R583" s="1" t="e">
        <f>INDEX('6.0.35'!I:I,MATCH(F583,'6.0.35'!K:K,0))</f>
        <v>#N/A</v>
      </c>
      <c r="S583" s="1" t="e">
        <f>INDEX('6.0.35'!J:J,MATCH(F583,'6.0.35'!F:F,0))</f>
        <v>#N/A</v>
      </c>
    </row>
    <row r="584" spans="1:19">
      <c r="A584" t="s">
        <v>14850</v>
      </c>
      <c r="I584" s="1" t="str">
        <f t="shared" si="80"/>
        <v/>
      </c>
      <c r="J584" s="1">
        <f t="shared" si="81"/>
        <v>0</v>
      </c>
      <c r="K584" s="1" t="str">
        <f t="shared" si="82"/>
        <v/>
      </c>
      <c r="L584" s="1">
        <f t="shared" si="83"/>
        <v>0</v>
      </c>
      <c r="M584" s="1">
        <f t="shared" si="84"/>
        <v>0</v>
      </c>
      <c r="N584" s="1">
        <f t="shared" si="85"/>
        <v>0</v>
      </c>
      <c r="O584" s="1" t="b">
        <f t="shared" si="86"/>
        <v>0</v>
      </c>
      <c r="P584" s="1" t="e">
        <f>INDEX(G:G,MATCH(G584,G:G,0))</f>
        <v>#N/A</v>
      </c>
      <c r="Q584" s="1" t="e">
        <f t="shared" si="87"/>
        <v>#N/A</v>
      </c>
      <c r="R584" s="1" t="e">
        <f>INDEX('6.0.35'!I:I,MATCH(F584,'6.0.35'!K:K,0))</f>
        <v>#N/A</v>
      </c>
      <c r="S584" s="1" t="e">
        <f>INDEX('6.0.35'!J:J,MATCH(F584,'6.0.35'!F:F,0))</f>
        <v>#N/A</v>
      </c>
    </row>
    <row r="585" spans="1:19">
      <c r="A585" t="s">
        <v>14850</v>
      </c>
      <c r="I585" s="1" t="str">
        <f t="shared" si="80"/>
        <v/>
      </c>
      <c r="J585" s="1">
        <f t="shared" si="81"/>
        <v>0</v>
      </c>
      <c r="K585" s="1" t="str">
        <f t="shared" si="82"/>
        <v/>
      </c>
      <c r="L585" s="1">
        <f t="shared" si="83"/>
        <v>0</v>
      </c>
      <c r="M585" s="1">
        <f t="shared" si="84"/>
        <v>0</v>
      </c>
      <c r="N585" s="1">
        <f t="shared" si="85"/>
        <v>0</v>
      </c>
      <c r="O585" s="1" t="b">
        <f t="shared" si="86"/>
        <v>0</v>
      </c>
      <c r="P585" s="1" t="e">
        <f>INDEX(G:G,MATCH(G585,G:G,0))</f>
        <v>#N/A</v>
      </c>
      <c r="Q585" s="1" t="e">
        <f t="shared" si="87"/>
        <v>#N/A</v>
      </c>
      <c r="R585" s="1" t="e">
        <f>INDEX('6.0.35'!I:I,MATCH(F585,'6.0.35'!K:K,0))</f>
        <v>#N/A</v>
      </c>
      <c r="S585" s="1" t="e">
        <f>INDEX('6.0.35'!J:J,MATCH(F585,'6.0.35'!F:F,0))</f>
        <v>#N/A</v>
      </c>
    </row>
    <row r="586" spans="1:19">
      <c r="A586" t="s">
        <v>14873</v>
      </c>
      <c r="I586" s="1" t="str">
        <f t="shared" si="80"/>
        <v/>
      </c>
      <c r="J586" s="1">
        <f t="shared" si="81"/>
        <v>0</v>
      </c>
      <c r="K586" s="1" t="str">
        <f t="shared" si="82"/>
        <v/>
      </c>
      <c r="L586" s="1">
        <f t="shared" si="83"/>
        <v>0</v>
      </c>
      <c r="M586" s="1">
        <f t="shared" si="84"/>
        <v>0</v>
      </c>
      <c r="N586" s="1">
        <f t="shared" si="85"/>
        <v>0</v>
      </c>
      <c r="O586" s="1" t="b">
        <f t="shared" si="86"/>
        <v>0</v>
      </c>
      <c r="P586" s="1" t="e">
        <f>INDEX(G:G,MATCH(G586,G:G,0))</f>
        <v>#N/A</v>
      </c>
      <c r="Q586" s="1" t="e">
        <f t="shared" si="87"/>
        <v>#N/A</v>
      </c>
      <c r="R586" s="1" t="e">
        <f>INDEX('6.0.35'!I:I,MATCH(F586,'6.0.35'!K:K,0))</f>
        <v>#N/A</v>
      </c>
      <c r="S586" s="1" t="e">
        <f>INDEX('6.0.35'!J:J,MATCH(F586,'6.0.35'!F:F,0))</f>
        <v>#N/A</v>
      </c>
    </row>
    <row r="587" spans="1:19">
      <c r="A587" t="s">
        <v>14949</v>
      </c>
      <c r="I587" s="1" t="str">
        <f t="shared" si="80"/>
        <v/>
      </c>
      <c r="J587" s="1">
        <f t="shared" si="81"/>
        <v>0</v>
      </c>
      <c r="K587" s="1" t="str">
        <f t="shared" si="82"/>
        <v/>
      </c>
      <c r="L587" s="1">
        <f t="shared" si="83"/>
        <v>0</v>
      </c>
      <c r="M587" s="1">
        <f t="shared" si="84"/>
        <v>0</v>
      </c>
      <c r="N587" s="1">
        <f t="shared" si="85"/>
        <v>0</v>
      </c>
      <c r="O587" s="1" t="b">
        <f t="shared" si="86"/>
        <v>0</v>
      </c>
      <c r="P587" s="1" t="e">
        <f>INDEX(G:G,MATCH(G587,G:G,0))</f>
        <v>#N/A</v>
      </c>
      <c r="Q587" s="1" t="e">
        <f t="shared" si="87"/>
        <v>#N/A</v>
      </c>
      <c r="R587" s="1" t="e">
        <f>INDEX('6.0.35'!I:I,MATCH(F587,'6.0.35'!K:K,0))</f>
        <v>#N/A</v>
      </c>
      <c r="S587" s="1" t="e">
        <f>INDEX('6.0.35'!J:J,MATCH(F587,'6.0.35'!F:F,0))</f>
        <v>#N/A</v>
      </c>
    </row>
    <row r="588" spans="1:19">
      <c r="A588" t="s">
        <v>14953</v>
      </c>
      <c r="I588" s="1" t="str">
        <f t="shared" si="80"/>
        <v/>
      </c>
      <c r="J588" s="1">
        <f t="shared" si="81"/>
        <v>0</v>
      </c>
      <c r="K588" s="1" t="str">
        <f t="shared" si="82"/>
        <v/>
      </c>
      <c r="L588" s="1">
        <f t="shared" si="83"/>
        <v>0</v>
      </c>
      <c r="M588" s="1">
        <f t="shared" si="84"/>
        <v>0</v>
      </c>
      <c r="N588" s="1">
        <f t="shared" si="85"/>
        <v>0</v>
      </c>
      <c r="O588" s="1" t="b">
        <f t="shared" si="86"/>
        <v>0</v>
      </c>
      <c r="P588" s="1" t="e">
        <f>INDEX(G:G,MATCH(G588,G:G,0))</f>
        <v>#N/A</v>
      </c>
      <c r="Q588" s="1" t="e">
        <f t="shared" si="87"/>
        <v>#N/A</v>
      </c>
      <c r="R588" s="1" t="e">
        <f>INDEX('6.0.35'!I:I,MATCH(F588,'6.0.35'!K:K,0))</f>
        <v>#N/A</v>
      </c>
      <c r="S588" s="1" t="e">
        <f>INDEX('6.0.35'!J:J,MATCH(F588,'6.0.35'!F:F,0))</f>
        <v>#N/A</v>
      </c>
    </row>
    <row r="589" spans="1:19">
      <c r="A589" t="s">
        <v>14957</v>
      </c>
      <c r="I589" s="1" t="str">
        <f t="shared" si="80"/>
        <v/>
      </c>
      <c r="J589" s="1">
        <f t="shared" si="81"/>
        <v>0</v>
      </c>
      <c r="K589" s="1" t="str">
        <f t="shared" si="82"/>
        <v/>
      </c>
      <c r="L589" s="1">
        <f t="shared" si="83"/>
        <v>0</v>
      </c>
      <c r="M589" s="1">
        <f t="shared" si="84"/>
        <v>0</v>
      </c>
      <c r="N589" s="1">
        <f t="shared" si="85"/>
        <v>0</v>
      </c>
      <c r="O589" s="1" t="b">
        <f t="shared" si="86"/>
        <v>0</v>
      </c>
      <c r="P589" s="1" t="e">
        <f>INDEX(G:G,MATCH(G589,G:G,0))</f>
        <v>#N/A</v>
      </c>
      <c r="Q589" s="1" t="e">
        <f t="shared" si="87"/>
        <v>#N/A</v>
      </c>
      <c r="R589" s="1" t="e">
        <f>INDEX('6.0.35'!I:I,MATCH(F589,'6.0.35'!K:K,0))</f>
        <v>#N/A</v>
      </c>
      <c r="S589" s="1" t="e">
        <f>INDEX('6.0.35'!J:J,MATCH(F589,'6.0.35'!F:F,0))</f>
        <v>#N/A</v>
      </c>
    </row>
    <row r="590" spans="1:19">
      <c r="A590" t="s">
        <v>14961</v>
      </c>
      <c r="I590" s="1" t="str">
        <f t="shared" si="80"/>
        <v/>
      </c>
      <c r="J590" s="1">
        <f t="shared" si="81"/>
        <v>0</v>
      </c>
      <c r="K590" s="1" t="str">
        <f t="shared" si="82"/>
        <v/>
      </c>
      <c r="L590" s="1">
        <f t="shared" si="83"/>
        <v>0</v>
      </c>
      <c r="M590" s="1">
        <f t="shared" si="84"/>
        <v>0</v>
      </c>
      <c r="N590" s="1">
        <f t="shared" si="85"/>
        <v>0</v>
      </c>
      <c r="O590" s="1" t="b">
        <f t="shared" si="86"/>
        <v>0</v>
      </c>
      <c r="P590" s="1" t="e">
        <f>INDEX(G:G,MATCH(G590,G:G,0))</f>
        <v>#N/A</v>
      </c>
      <c r="Q590" s="1" t="e">
        <f t="shared" si="87"/>
        <v>#N/A</v>
      </c>
      <c r="R590" s="1" t="e">
        <f>INDEX('6.0.35'!I:I,MATCH(F590,'6.0.35'!K:K,0))</f>
        <v>#N/A</v>
      </c>
      <c r="S590" s="1" t="e">
        <f>INDEX('6.0.35'!J:J,MATCH(F590,'6.0.35'!F:F,0))</f>
        <v>#N/A</v>
      </c>
    </row>
    <row r="591" spans="1:19">
      <c r="A591" t="s">
        <v>14965</v>
      </c>
      <c r="I591" s="1" t="str">
        <f t="shared" si="80"/>
        <v/>
      </c>
      <c r="J591" s="1">
        <f t="shared" si="81"/>
        <v>0</v>
      </c>
      <c r="K591" s="1" t="str">
        <f t="shared" si="82"/>
        <v/>
      </c>
      <c r="L591" s="1">
        <f t="shared" si="83"/>
        <v>0</v>
      </c>
      <c r="M591" s="1">
        <f t="shared" si="84"/>
        <v>0</v>
      </c>
      <c r="N591" s="1">
        <f t="shared" si="85"/>
        <v>0</v>
      </c>
      <c r="O591" s="1" t="b">
        <f t="shared" si="86"/>
        <v>0</v>
      </c>
      <c r="P591" s="1" t="e">
        <f>INDEX(G:G,MATCH(G591,G:G,0))</f>
        <v>#N/A</v>
      </c>
      <c r="Q591" s="1" t="e">
        <f t="shared" si="87"/>
        <v>#N/A</v>
      </c>
      <c r="R591" s="1" t="e">
        <f>INDEX('6.0.35'!I:I,MATCH(F591,'6.0.35'!K:K,0))</f>
        <v>#N/A</v>
      </c>
      <c r="S591" s="1" t="e">
        <f>INDEX('6.0.35'!J:J,MATCH(F591,'6.0.35'!F:F,0))</f>
        <v>#N/A</v>
      </c>
    </row>
    <row r="592" spans="1:19">
      <c r="A592" t="s">
        <v>14969</v>
      </c>
      <c r="I592" s="1" t="str">
        <f t="shared" si="80"/>
        <v/>
      </c>
      <c r="J592" s="1">
        <f t="shared" si="81"/>
        <v>0</v>
      </c>
      <c r="K592" s="1" t="str">
        <f t="shared" si="82"/>
        <v/>
      </c>
      <c r="L592" s="1">
        <f t="shared" si="83"/>
        <v>0</v>
      </c>
      <c r="M592" s="1">
        <f t="shared" si="84"/>
        <v>0</v>
      </c>
      <c r="N592" s="1">
        <f t="shared" si="85"/>
        <v>0</v>
      </c>
      <c r="O592" s="1" t="b">
        <f t="shared" si="86"/>
        <v>0</v>
      </c>
      <c r="P592" s="1" t="e">
        <f>INDEX(G:G,MATCH(G592,G:G,0))</f>
        <v>#N/A</v>
      </c>
      <c r="Q592" s="1" t="e">
        <f t="shared" si="87"/>
        <v>#N/A</v>
      </c>
      <c r="R592" s="1" t="e">
        <f>INDEX('6.0.35'!I:I,MATCH(F592,'6.0.35'!K:K,0))</f>
        <v>#N/A</v>
      </c>
      <c r="S592" s="1" t="e">
        <f>INDEX('6.0.35'!J:J,MATCH(F592,'6.0.35'!F:F,0))</f>
        <v>#N/A</v>
      </c>
    </row>
    <row r="593" spans="1:19">
      <c r="A593" t="s">
        <v>14973</v>
      </c>
      <c r="I593" s="1" t="str">
        <f t="shared" si="80"/>
        <v/>
      </c>
      <c r="J593" s="1">
        <f t="shared" si="81"/>
        <v>0</v>
      </c>
      <c r="K593" s="1" t="str">
        <f t="shared" si="82"/>
        <v/>
      </c>
      <c r="L593" s="1">
        <f t="shared" si="83"/>
        <v>0</v>
      </c>
      <c r="M593" s="1">
        <f t="shared" si="84"/>
        <v>0</v>
      </c>
      <c r="N593" s="1">
        <f t="shared" si="85"/>
        <v>0</v>
      </c>
      <c r="O593" s="1" t="b">
        <f t="shared" si="86"/>
        <v>0</v>
      </c>
      <c r="P593" s="1" t="e">
        <f>INDEX(G:G,MATCH(G593,G:G,0))</f>
        <v>#N/A</v>
      </c>
      <c r="Q593" s="1" t="e">
        <f t="shared" si="87"/>
        <v>#N/A</v>
      </c>
      <c r="R593" s="1" t="e">
        <f>INDEX('6.0.35'!I:I,MATCH(F593,'6.0.35'!K:K,0))</f>
        <v>#N/A</v>
      </c>
      <c r="S593" s="1" t="e">
        <f>INDEX('6.0.35'!J:J,MATCH(F593,'6.0.35'!F:F,0))</f>
        <v>#N/A</v>
      </c>
    </row>
    <row r="594" spans="1:19">
      <c r="A594" t="s">
        <v>14976</v>
      </c>
      <c r="I594" s="1" t="str">
        <f t="shared" si="80"/>
        <v/>
      </c>
      <c r="J594" s="1">
        <f t="shared" si="81"/>
        <v>0</v>
      </c>
      <c r="K594" s="1" t="str">
        <f t="shared" si="82"/>
        <v/>
      </c>
      <c r="L594" s="1">
        <f t="shared" si="83"/>
        <v>0</v>
      </c>
      <c r="M594" s="1">
        <f t="shared" si="84"/>
        <v>0</v>
      </c>
      <c r="N594" s="1">
        <f t="shared" si="85"/>
        <v>0</v>
      </c>
      <c r="O594" s="1" t="b">
        <f t="shared" si="86"/>
        <v>0</v>
      </c>
      <c r="P594" s="1" t="e">
        <f>INDEX(G:G,MATCH(G594,G:G,0))</f>
        <v>#N/A</v>
      </c>
      <c r="Q594" s="1" t="e">
        <f t="shared" si="87"/>
        <v>#N/A</v>
      </c>
      <c r="R594" s="1" t="e">
        <f>INDEX('6.0.35'!I:I,MATCH(F594,'6.0.35'!K:K,0))</f>
        <v>#N/A</v>
      </c>
      <c r="S594" s="1" t="e">
        <f>INDEX('6.0.35'!J:J,MATCH(F594,'6.0.35'!F:F,0))</f>
        <v>#N/A</v>
      </c>
    </row>
    <row r="595" spans="1:19">
      <c r="A595" t="s">
        <v>14979</v>
      </c>
      <c r="I595" s="1" t="str">
        <f t="shared" si="80"/>
        <v/>
      </c>
      <c r="J595" s="1">
        <f t="shared" si="81"/>
        <v>0</v>
      </c>
      <c r="K595" s="1" t="str">
        <f t="shared" si="82"/>
        <v/>
      </c>
      <c r="L595" s="1">
        <f t="shared" si="83"/>
        <v>0</v>
      </c>
      <c r="M595" s="1">
        <f t="shared" si="84"/>
        <v>0</v>
      </c>
      <c r="N595" s="1">
        <f t="shared" si="85"/>
        <v>0</v>
      </c>
      <c r="O595" s="1" t="b">
        <f t="shared" si="86"/>
        <v>0</v>
      </c>
      <c r="P595" s="1" t="e">
        <f>INDEX(G:G,MATCH(G595,G:G,0))</f>
        <v>#N/A</v>
      </c>
      <c r="Q595" s="1" t="e">
        <f t="shared" si="87"/>
        <v>#N/A</v>
      </c>
      <c r="R595" s="1" t="e">
        <f>INDEX('6.0.35'!I:I,MATCH(F595,'6.0.35'!K:K,0))</f>
        <v>#N/A</v>
      </c>
      <c r="S595" s="1" t="e">
        <f>INDEX('6.0.35'!J:J,MATCH(F595,'6.0.35'!F:F,0))</f>
        <v>#N/A</v>
      </c>
    </row>
    <row r="596" spans="1:19">
      <c r="A596" t="s">
        <v>14982</v>
      </c>
      <c r="I596" s="1" t="str">
        <f t="shared" si="80"/>
        <v/>
      </c>
      <c r="J596" s="1">
        <f t="shared" si="81"/>
        <v>0</v>
      </c>
      <c r="K596" s="1" t="str">
        <f t="shared" si="82"/>
        <v/>
      </c>
      <c r="L596" s="1">
        <f t="shared" si="83"/>
        <v>0</v>
      </c>
      <c r="M596" s="1">
        <f t="shared" si="84"/>
        <v>0</v>
      </c>
      <c r="N596" s="1">
        <f t="shared" si="85"/>
        <v>0</v>
      </c>
      <c r="O596" s="1" t="b">
        <f t="shared" si="86"/>
        <v>0</v>
      </c>
      <c r="P596" s="1" t="e">
        <f>INDEX(G:G,MATCH(G596,G:G,0))</f>
        <v>#N/A</v>
      </c>
      <c r="Q596" s="1" t="e">
        <f t="shared" si="87"/>
        <v>#N/A</v>
      </c>
      <c r="R596" s="1" t="e">
        <f>INDEX('6.0.35'!I:I,MATCH(F596,'6.0.35'!K:K,0))</f>
        <v>#N/A</v>
      </c>
      <c r="S596" s="1" t="e">
        <f>INDEX('6.0.35'!J:J,MATCH(F596,'6.0.35'!F:F,0))</f>
        <v>#N/A</v>
      </c>
    </row>
    <row r="597" spans="1:19">
      <c r="A597" t="s">
        <v>15552</v>
      </c>
      <c r="I597" s="1" t="str">
        <f t="shared" si="80"/>
        <v/>
      </c>
      <c r="J597" s="1">
        <f t="shared" si="81"/>
        <v>0</v>
      </c>
      <c r="K597" s="1" t="str">
        <f t="shared" si="82"/>
        <v/>
      </c>
      <c r="L597" s="1">
        <f t="shared" si="83"/>
        <v>0</v>
      </c>
      <c r="M597" s="1">
        <f t="shared" si="84"/>
        <v>0</v>
      </c>
      <c r="N597" s="1">
        <f t="shared" si="85"/>
        <v>0</v>
      </c>
      <c r="O597" s="1" t="b">
        <f t="shared" si="86"/>
        <v>0</v>
      </c>
      <c r="P597" s="1" t="e">
        <f>INDEX(G:G,MATCH(G597,G:G,0))</f>
        <v>#N/A</v>
      </c>
      <c r="Q597" s="1" t="e">
        <f t="shared" si="87"/>
        <v>#N/A</v>
      </c>
      <c r="R597" s="1" t="e">
        <f>INDEX('6.0.35'!I:I,MATCH(F597,'6.0.35'!K:K,0))</f>
        <v>#N/A</v>
      </c>
      <c r="S597" s="1" t="e">
        <f>INDEX('6.0.35'!J:J,MATCH(F597,'6.0.35'!F:F,0))</f>
        <v>#N/A</v>
      </c>
    </row>
    <row r="598" spans="1:19">
      <c r="A598" t="s">
        <v>15555</v>
      </c>
      <c r="I598" s="1" t="str">
        <f t="shared" si="80"/>
        <v/>
      </c>
      <c r="J598" s="1">
        <f t="shared" si="81"/>
        <v>0</v>
      </c>
      <c r="K598" s="1" t="str">
        <f t="shared" si="82"/>
        <v/>
      </c>
      <c r="L598" s="1">
        <f t="shared" si="83"/>
        <v>0</v>
      </c>
      <c r="M598" s="1">
        <f t="shared" si="84"/>
        <v>0</v>
      </c>
      <c r="N598" s="1">
        <f t="shared" si="85"/>
        <v>0</v>
      </c>
      <c r="O598" s="1" t="b">
        <f t="shared" si="86"/>
        <v>0</v>
      </c>
      <c r="P598" s="1" t="e">
        <f>INDEX(G:G,MATCH(G598,G:G,0))</f>
        <v>#N/A</v>
      </c>
      <c r="Q598" s="1" t="e">
        <f t="shared" si="87"/>
        <v>#N/A</v>
      </c>
      <c r="R598" s="1" t="e">
        <f>INDEX('6.0.35'!I:I,MATCH(F598,'6.0.35'!K:K,0))</f>
        <v>#N/A</v>
      </c>
      <c r="S598" s="1" t="e">
        <f>INDEX('6.0.35'!J:J,MATCH(F598,'6.0.35'!F:F,0))</f>
        <v>#N/A</v>
      </c>
    </row>
    <row r="599" spans="1:19">
      <c r="A599" t="s">
        <v>15558</v>
      </c>
      <c r="I599" s="1" t="str">
        <f t="shared" si="80"/>
        <v/>
      </c>
      <c r="J599" s="1">
        <f t="shared" si="81"/>
        <v>0</v>
      </c>
      <c r="K599" s="1" t="str">
        <f t="shared" si="82"/>
        <v/>
      </c>
      <c r="L599" s="1">
        <f t="shared" si="83"/>
        <v>0</v>
      </c>
      <c r="M599" s="1">
        <f t="shared" si="84"/>
        <v>0</v>
      </c>
      <c r="N599" s="1">
        <f t="shared" si="85"/>
        <v>0</v>
      </c>
      <c r="O599" s="1" t="b">
        <f t="shared" si="86"/>
        <v>0</v>
      </c>
      <c r="P599" s="1" t="e">
        <f>INDEX(G:G,MATCH(G599,G:G,0))</f>
        <v>#N/A</v>
      </c>
      <c r="Q599" s="1" t="e">
        <f t="shared" si="87"/>
        <v>#N/A</v>
      </c>
      <c r="R599" s="1" t="e">
        <f>INDEX('6.0.35'!I:I,MATCH(F599,'6.0.35'!K:K,0))</f>
        <v>#N/A</v>
      </c>
      <c r="S599" s="1" t="e">
        <f>INDEX('6.0.35'!J:J,MATCH(F599,'6.0.35'!F:F,0))</f>
        <v>#N/A</v>
      </c>
    </row>
    <row r="600" spans="1:19">
      <c r="A600" t="s">
        <v>15561</v>
      </c>
      <c r="I600" s="1" t="str">
        <f t="shared" si="80"/>
        <v/>
      </c>
      <c r="J600" s="1">
        <f t="shared" si="81"/>
        <v>0</v>
      </c>
      <c r="K600" s="1" t="str">
        <f t="shared" si="82"/>
        <v/>
      </c>
      <c r="L600" s="1">
        <f t="shared" si="83"/>
        <v>0</v>
      </c>
      <c r="M600" s="1">
        <f t="shared" si="84"/>
        <v>0</v>
      </c>
      <c r="N600" s="1">
        <f t="shared" si="85"/>
        <v>0</v>
      </c>
      <c r="O600" s="1" t="b">
        <f t="shared" si="86"/>
        <v>0</v>
      </c>
      <c r="P600" s="1" t="e">
        <f>INDEX(G:G,MATCH(G600,G:G,0))</f>
        <v>#N/A</v>
      </c>
      <c r="Q600" s="1" t="e">
        <f t="shared" si="87"/>
        <v>#N/A</v>
      </c>
      <c r="R600" s="1" t="e">
        <f>INDEX('6.0.35'!I:I,MATCH(F600,'6.0.35'!K:K,0))</f>
        <v>#N/A</v>
      </c>
      <c r="S600" s="1" t="e">
        <f>INDEX('6.0.35'!J:J,MATCH(F600,'6.0.35'!F:F,0))</f>
        <v>#N/A</v>
      </c>
    </row>
    <row r="601" spans="1:19">
      <c r="A601" t="s">
        <v>15564</v>
      </c>
      <c r="I601" s="1" t="str">
        <f t="shared" si="80"/>
        <v/>
      </c>
      <c r="J601" s="1">
        <f t="shared" si="81"/>
        <v>0</v>
      </c>
      <c r="K601" s="1" t="str">
        <f t="shared" si="82"/>
        <v/>
      </c>
      <c r="L601" s="1">
        <f t="shared" si="83"/>
        <v>0</v>
      </c>
      <c r="M601" s="1">
        <f t="shared" si="84"/>
        <v>0</v>
      </c>
      <c r="N601" s="1">
        <f t="shared" si="85"/>
        <v>0</v>
      </c>
      <c r="O601" s="1" t="b">
        <f t="shared" si="86"/>
        <v>0</v>
      </c>
      <c r="P601" s="1" t="e">
        <f>INDEX(G:G,MATCH(G601,G:G,0))</f>
        <v>#N/A</v>
      </c>
      <c r="Q601" s="1" t="e">
        <f t="shared" si="87"/>
        <v>#N/A</v>
      </c>
      <c r="R601" s="1" t="e">
        <f>INDEX('6.0.35'!I:I,MATCH(F601,'6.0.35'!K:K,0))</f>
        <v>#N/A</v>
      </c>
      <c r="S601" s="1" t="e">
        <f>INDEX('6.0.35'!J:J,MATCH(F601,'6.0.35'!F:F,0))</f>
        <v>#N/A</v>
      </c>
    </row>
    <row r="602" spans="1:19">
      <c r="A602" t="s">
        <v>15567</v>
      </c>
      <c r="I602" s="1" t="str">
        <f t="shared" si="80"/>
        <v/>
      </c>
      <c r="J602" s="1">
        <f t="shared" si="81"/>
        <v>0</v>
      </c>
      <c r="K602" s="1" t="str">
        <f t="shared" si="82"/>
        <v/>
      </c>
      <c r="L602" s="1">
        <f t="shared" si="83"/>
        <v>0</v>
      </c>
      <c r="M602" s="1">
        <f t="shared" si="84"/>
        <v>0</v>
      </c>
      <c r="N602" s="1">
        <f t="shared" si="85"/>
        <v>0</v>
      </c>
      <c r="O602" s="1" t="b">
        <f t="shared" si="86"/>
        <v>0</v>
      </c>
      <c r="P602" s="1" t="e">
        <f>INDEX(G:G,MATCH(G602,G:G,0))</f>
        <v>#N/A</v>
      </c>
      <c r="Q602" s="1" t="e">
        <f t="shared" si="87"/>
        <v>#N/A</v>
      </c>
      <c r="R602" s="1" t="e">
        <f>INDEX('6.0.35'!I:I,MATCH(F602,'6.0.35'!K:K,0))</f>
        <v>#N/A</v>
      </c>
      <c r="S602" s="1" t="e">
        <f>INDEX('6.0.35'!J:J,MATCH(F602,'6.0.35'!F:F,0))</f>
        <v>#N/A</v>
      </c>
    </row>
    <row r="603" spans="1:19">
      <c r="A603" t="s">
        <v>15570</v>
      </c>
      <c r="I603" s="1" t="str">
        <f t="shared" si="80"/>
        <v/>
      </c>
      <c r="J603" s="1">
        <f t="shared" si="81"/>
        <v>0</v>
      </c>
      <c r="K603" s="1" t="str">
        <f t="shared" si="82"/>
        <v/>
      </c>
      <c r="L603" s="1">
        <f t="shared" si="83"/>
        <v>0</v>
      </c>
      <c r="M603" s="1">
        <f t="shared" si="84"/>
        <v>0</v>
      </c>
      <c r="N603" s="1">
        <f t="shared" si="85"/>
        <v>0</v>
      </c>
      <c r="O603" s="1" t="b">
        <f t="shared" si="86"/>
        <v>0</v>
      </c>
      <c r="P603" s="1" t="e">
        <f>INDEX(G:G,MATCH(G603,G:G,0))</f>
        <v>#N/A</v>
      </c>
      <c r="Q603" s="1" t="e">
        <f t="shared" si="87"/>
        <v>#N/A</v>
      </c>
      <c r="R603" s="1" t="e">
        <f>INDEX('6.0.35'!I:I,MATCH(F603,'6.0.35'!K:K,0))</f>
        <v>#N/A</v>
      </c>
      <c r="S603" s="1" t="e">
        <f>INDEX('6.0.35'!J:J,MATCH(F603,'6.0.35'!F:F,0))</f>
        <v>#N/A</v>
      </c>
    </row>
    <row r="604" spans="1:19">
      <c r="A604" t="s">
        <v>15573</v>
      </c>
      <c r="I604" s="1" t="str">
        <f t="shared" si="80"/>
        <v/>
      </c>
      <c r="J604" s="1">
        <f t="shared" si="81"/>
        <v>0</v>
      </c>
      <c r="K604" s="1" t="str">
        <f t="shared" si="82"/>
        <v/>
      </c>
      <c r="L604" s="1">
        <f t="shared" si="83"/>
        <v>0</v>
      </c>
      <c r="M604" s="1">
        <f t="shared" si="84"/>
        <v>0</v>
      </c>
      <c r="N604" s="1">
        <f t="shared" si="85"/>
        <v>0</v>
      </c>
      <c r="O604" s="1" t="b">
        <f t="shared" si="86"/>
        <v>0</v>
      </c>
      <c r="P604" s="1" t="e">
        <f>INDEX(G:G,MATCH(G604,G:G,0))</f>
        <v>#N/A</v>
      </c>
      <c r="Q604" s="1" t="e">
        <f t="shared" si="87"/>
        <v>#N/A</v>
      </c>
      <c r="R604" s="1" t="e">
        <f>INDEX('6.0.35'!I:I,MATCH(F604,'6.0.35'!K:K,0))</f>
        <v>#N/A</v>
      </c>
      <c r="S604" s="1" t="e">
        <f>INDEX('6.0.35'!J:J,MATCH(F604,'6.0.35'!F:F,0))</f>
        <v>#N/A</v>
      </c>
    </row>
    <row r="605" spans="1:19">
      <c r="A605" t="s">
        <v>15576</v>
      </c>
      <c r="I605" s="1" t="str">
        <f t="shared" si="80"/>
        <v/>
      </c>
      <c r="J605" s="1">
        <f t="shared" si="81"/>
        <v>0</v>
      </c>
      <c r="K605" s="1" t="str">
        <f t="shared" si="82"/>
        <v/>
      </c>
      <c r="L605" s="1">
        <f t="shared" si="83"/>
        <v>0</v>
      </c>
      <c r="M605" s="1">
        <f t="shared" si="84"/>
        <v>0</v>
      </c>
      <c r="N605" s="1">
        <f t="shared" si="85"/>
        <v>0</v>
      </c>
      <c r="O605" s="1" t="b">
        <f t="shared" si="86"/>
        <v>0</v>
      </c>
      <c r="P605" s="1" t="e">
        <f>INDEX(G:G,MATCH(G605,G:G,0))</f>
        <v>#N/A</v>
      </c>
      <c r="Q605" s="1" t="e">
        <f t="shared" si="87"/>
        <v>#N/A</v>
      </c>
      <c r="R605" s="1" t="e">
        <f>INDEX('6.0.35'!I:I,MATCH(F605,'6.0.35'!K:K,0))</f>
        <v>#N/A</v>
      </c>
      <c r="S605" s="1" t="e">
        <f>INDEX('6.0.35'!J:J,MATCH(F605,'6.0.35'!F:F,0))</f>
        <v>#N/A</v>
      </c>
    </row>
    <row r="606" spans="1:19">
      <c r="A606" t="s">
        <v>15579</v>
      </c>
      <c r="I606" s="1" t="str">
        <f t="shared" si="80"/>
        <v/>
      </c>
      <c r="J606" s="1">
        <f t="shared" si="81"/>
        <v>0</v>
      </c>
      <c r="K606" s="1" t="str">
        <f t="shared" si="82"/>
        <v/>
      </c>
      <c r="L606" s="1">
        <f t="shared" si="83"/>
        <v>0</v>
      </c>
      <c r="M606" s="1">
        <f t="shared" si="84"/>
        <v>0</v>
      </c>
      <c r="N606" s="1">
        <f t="shared" si="85"/>
        <v>0</v>
      </c>
      <c r="O606" s="1" t="b">
        <f t="shared" si="86"/>
        <v>0</v>
      </c>
      <c r="P606" s="1" t="e">
        <f>INDEX(G:G,MATCH(G606,G:G,0))</f>
        <v>#N/A</v>
      </c>
      <c r="Q606" s="1" t="e">
        <f t="shared" si="87"/>
        <v>#N/A</v>
      </c>
      <c r="R606" s="1" t="e">
        <f>INDEX('6.0.35'!I:I,MATCH(F606,'6.0.35'!K:K,0))</f>
        <v>#N/A</v>
      </c>
      <c r="S606" s="1" t="e">
        <f>INDEX('6.0.35'!J:J,MATCH(F606,'6.0.35'!F:F,0))</f>
        <v>#N/A</v>
      </c>
    </row>
    <row r="607" spans="1:19">
      <c r="A607" t="s">
        <v>15582</v>
      </c>
      <c r="I607" s="1" t="str">
        <f t="shared" si="80"/>
        <v/>
      </c>
      <c r="J607" s="1">
        <f t="shared" si="81"/>
        <v>0</v>
      </c>
      <c r="K607" s="1" t="str">
        <f t="shared" si="82"/>
        <v/>
      </c>
      <c r="L607" s="1">
        <f t="shared" si="83"/>
        <v>0</v>
      </c>
      <c r="M607" s="1">
        <f t="shared" si="84"/>
        <v>0</v>
      </c>
      <c r="N607" s="1">
        <f t="shared" si="85"/>
        <v>0</v>
      </c>
      <c r="O607" s="1" t="b">
        <f t="shared" si="86"/>
        <v>0</v>
      </c>
      <c r="P607" s="1" t="e">
        <f>INDEX(G:G,MATCH(G607,G:G,0))</f>
        <v>#N/A</v>
      </c>
      <c r="Q607" s="1" t="e">
        <f t="shared" si="87"/>
        <v>#N/A</v>
      </c>
      <c r="R607" s="1" t="e">
        <f>INDEX('6.0.35'!I:I,MATCH(F607,'6.0.35'!K:K,0))</f>
        <v>#N/A</v>
      </c>
      <c r="S607" s="1" t="e">
        <f>INDEX('6.0.35'!J:J,MATCH(F607,'6.0.35'!F:F,0))</f>
        <v>#N/A</v>
      </c>
    </row>
    <row r="608" spans="1:19">
      <c r="A608" t="s">
        <v>15585</v>
      </c>
      <c r="I608" s="1" t="str">
        <f t="shared" si="80"/>
        <v/>
      </c>
      <c r="J608" s="1">
        <f t="shared" si="81"/>
        <v>0</v>
      </c>
      <c r="K608" s="1" t="str">
        <f t="shared" si="82"/>
        <v/>
      </c>
      <c r="L608" s="1">
        <f t="shared" si="83"/>
        <v>0</v>
      </c>
      <c r="M608" s="1">
        <f t="shared" si="84"/>
        <v>0</v>
      </c>
      <c r="N608" s="1">
        <f t="shared" si="85"/>
        <v>0</v>
      </c>
      <c r="O608" s="1" t="b">
        <f t="shared" si="86"/>
        <v>0</v>
      </c>
      <c r="P608" s="1" t="e">
        <f>INDEX(G:G,MATCH(G608,G:G,0))</f>
        <v>#N/A</v>
      </c>
      <c r="Q608" s="1" t="e">
        <f t="shared" si="87"/>
        <v>#N/A</v>
      </c>
      <c r="R608" s="1" t="e">
        <f>INDEX('6.0.35'!I:I,MATCH(F608,'6.0.35'!K:K,0))</f>
        <v>#N/A</v>
      </c>
      <c r="S608" s="1" t="e">
        <f>INDEX('6.0.35'!J:J,MATCH(F608,'6.0.35'!F:F,0))</f>
        <v>#N/A</v>
      </c>
    </row>
    <row r="609" spans="1:19">
      <c r="A609" t="s">
        <v>15588</v>
      </c>
      <c r="I609" s="1" t="str">
        <f t="shared" si="80"/>
        <v/>
      </c>
      <c r="J609" s="1">
        <f t="shared" si="81"/>
        <v>0</v>
      </c>
      <c r="K609" s="1" t="str">
        <f t="shared" si="82"/>
        <v/>
      </c>
      <c r="L609" s="1">
        <f t="shared" si="83"/>
        <v>0</v>
      </c>
      <c r="M609" s="1">
        <f t="shared" si="84"/>
        <v>0</v>
      </c>
      <c r="N609" s="1">
        <f t="shared" si="85"/>
        <v>0</v>
      </c>
      <c r="O609" s="1" t="b">
        <f t="shared" si="86"/>
        <v>0</v>
      </c>
      <c r="P609" s="1" t="e">
        <f>INDEX(G:G,MATCH(G609,G:G,0))</f>
        <v>#N/A</v>
      </c>
      <c r="Q609" s="1" t="e">
        <f t="shared" si="87"/>
        <v>#N/A</v>
      </c>
      <c r="R609" s="1" t="e">
        <f>INDEX('6.0.35'!I:I,MATCH(F609,'6.0.35'!K:K,0))</f>
        <v>#N/A</v>
      </c>
      <c r="S609" s="1" t="e">
        <f>INDEX('6.0.35'!J:J,MATCH(F609,'6.0.35'!F:F,0))</f>
        <v>#N/A</v>
      </c>
    </row>
    <row r="610" spans="1:19">
      <c r="A610" t="s">
        <v>15591</v>
      </c>
      <c r="I610" s="1" t="str">
        <f t="shared" si="80"/>
        <v/>
      </c>
      <c r="J610" s="1">
        <f t="shared" si="81"/>
        <v>0</v>
      </c>
      <c r="K610" s="1" t="str">
        <f t="shared" si="82"/>
        <v/>
      </c>
      <c r="L610" s="1">
        <f t="shared" si="83"/>
        <v>0</v>
      </c>
      <c r="M610" s="1">
        <f t="shared" si="84"/>
        <v>0</v>
      </c>
      <c r="N610" s="1">
        <f t="shared" si="85"/>
        <v>0</v>
      </c>
      <c r="O610" s="1" t="b">
        <f t="shared" si="86"/>
        <v>0</v>
      </c>
      <c r="P610" s="1" t="e">
        <f>INDEX(G:G,MATCH(G610,G:G,0))</f>
        <v>#N/A</v>
      </c>
      <c r="Q610" s="1" t="e">
        <f t="shared" si="87"/>
        <v>#N/A</v>
      </c>
      <c r="R610" s="1" t="e">
        <f>INDEX('6.0.35'!I:I,MATCH(F610,'6.0.35'!K:K,0))</f>
        <v>#N/A</v>
      </c>
      <c r="S610" s="1" t="e">
        <f>INDEX('6.0.35'!J:J,MATCH(F610,'6.0.35'!F:F,0))</f>
        <v>#N/A</v>
      </c>
    </row>
    <row r="611" spans="1:19">
      <c r="A611" t="s">
        <v>15594</v>
      </c>
      <c r="I611" s="1" t="str">
        <f t="shared" si="80"/>
        <v/>
      </c>
      <c r="J611" s="1">
        <f t="shared" si="81"/>
        <v>0</v>
      </c>
      <c r="K611" s="1" t="str">
        <f t="shared" si="82"/>
        <v/>
      </c>
      <c r="L611" s="1">
        <f t="shared" si="83"/>
        <v>0</v>
      </c>
      <c r="M611" s="1">
        <f t="shared" si="84"/>
        <v>0</v>
      </c>
      <c r="N611" s="1">
        <f t="shared" si="85"/>
        <v>0</v>
      </c>
      <c r="O611" s="1" t="b">
        <f t="shared" si="86"/>
        <v>0</v>
      </c>
      <c r="P611" s="1" t="e">
        <f>INDEX(G:G,MATCH(G611,G:G,0))</f>
        <v>#N/A</v>
      </c>
      <c r="Q611" s="1" t="e">
        <f t="shared" si="87"/>
        <v>#N/A</v>
      </c>
      <c r="R611" s="1" t="e">
        <f>INDEX('6.0.35'!I:I,MATCH(F611,'6.0.35'!K:K,0))</f>
        <v>#N/A</v>
      </c>
      <c r="S611" s="1" t="e">
        <f>INDEX('6.0.35'!J:J,MATCH(F611,'6.0.35'!F:F,0))</f>
        <v>#N/A</v>
      </c>
    </row>
    <row r="612" spans="1:19">
      <c r="A612" t="s">
        <v>15597</v>
      </c>
      <c r="I612" s="1" t="str">
        <f t="shared" si="80"/>
        <v/>
      </c>
      <c r="J612" s="1">
        <f t="shared" si="81"/>
        <v>0</v>
      </c>
      <c r="K612" s="1" t="str">
        <f t="shared" si="82"/>
        <v/>
      </c>
      <c r="L612" s="1">
        <f t="shared" si="83"/>
        <v>0</v>
      </c>
      <c r="M612" s="1">
        <f t="shared" si="84"/>
        <v>0</v>
      </c>
      <c r="N612" s="1">
        <f t="shared" si="85"/>
        <v>0</v>
      </c>
      <c r="O612" s="1" t="b">
        <f t="shared" si="86"/>
        <v>0</v>
      </c>
      <c r="P612" s="1" t="e">
        <f>INDEX(G:G,MATCH(G612,G:G,0))</f>
        <v>#N/A</v>
      </c>
      <c r="Q612" s="1" t="e">
        <f t="shared" si="87"/>
        <v>#N/A</v>
      </c>
      <c r="R612" s="1" t="e">
        <f>INDEX('6.0.35'!I:I,MATCH(F612,'6.0.35'!K:K,0))</f>
        <v>#N/A</v>
      </c>
      <c r="S612" s="1" t="e">
        <f>INDEX('6.0.35'!J:J,MATCH(F612,'6.0.35'!F:F,0))</f>
        <v>#N/A</v>
      </c>
    </row>
    <row r="613" spans="1:19">
      <c r="A613" t="s">
        <v>15600</v>
      </c>
      <c r="I613" s="1" t="str">
        <f t="shared" si="80"/>
        <v/>
      </c>
      <c r="J613" s="1">
        <f t="shared" si="81"/>
        <v>0</v>
      </c>
      <c r="K613" s="1" t="str">
        <f t="shared" si="82"/>
        <v/>
      </c>
      <c r="L613" s="1">
        <f t="shared" si="83"/>
        <v>0</v>
      </c>
      <c r="M613" s="1">
        <f t="shared" si="84"/>
        <v>0</v>
      </c>
      <c r="N613" s="1">
        <f t="shared" si="85"/>
        <v>0</v>
      </c>
      <c r="O613" s="1" t="b">
        <f t="shared" si="86"/>
        <v>0</v>
      </c>
      <c r="P613" s="1" t="e">
        <f>INDEX(G:G,MATCH(G613,G:G,0))</f>
        <v>#N/A</v>
      </c>
      <c r="Q613" s="1" t="e">
        <f t="shared" si="87"/>
        <v>#N/A</v>
      </c>
      <c r="R613" s="1" t="e">
        <f>INDEX('6.0.35'!I:I,MATCH(F613,'6.0.35'!K:K,0))</f>
        <v>#N/A</v>
      </c>
      <c r="S613" s="1" t="e">
        <f>INDEX('6.0.35'!J:J,MATCH(F613,'6.0.35'!F:F,0))</f>
        <v>#N/A</v>
      </c>
    </row>
    <row r="614" spans="1:19">
      <c r="A614" t="s">
        <v>15603</v>
      </c>
      <c r="I614" s="1" t="str">
        <f t="shared" si="80"/>
        <v/>
      </c>
      <c r="J614" s="1">
        <f t="shared" si="81"/>
        <v>0</v>
      </c>
      <c r="K614" s="1" t="str">
        <f t="shared" si="82"/>
        <v/>
      </c>
      <c r="L614" s="1">
        <f t="shared" si="83"/>
        <v>0</v>
      </c>
      <c r="M614" s="1">
        <f t="shared" si="84"/>
        <v>0</v>
      </c>
      <c r="N614" s="1">
        <f t="shared" si="85"/>
        <v>0</v>
      </c>
      <c r="O614" s="1" t="b">
        <f t="shared" si="86"/>
        <v>0</v>
      </c>
      <c r="P614" s="1" t="e">
        <f>INDEX(G:G,MATCH(G614,G:G,0))</f>
        <v>#N/A</v>
      </c>
      <c r="Q614" s="1" t="e">
        <f t="shared" si="87"/>
        <v>#N/A</v>
      </c>
      <c r="R614" s="1" t="e">
        <f>INDEX('6.0.35'!I:I,MATCH(F614,'6.0.35'!K:K,0))</f>
        <v>#N/A</v>
      </c>
      <c r="S614" s="1" t="e">
        <f>INDEX('6.0.35'!J:J,MATCH(F614,'6.0.35'!F:F,0))</f>
        <v>#N/A</v>
      </c>
    </row>
    <row r="615" spans="1:19">
      <c r="A615" t="s">
        <v>15606</v>
      </c>
      <c r="I615" s="1" t="str">
        <f t="shared" si="80"/>
        <v/>
      </c>
      <c r="J615" s="1">
        <f t="shared" si="81"/>
        <v>0</v>
      </c>
      <c r="K615" s="1" t="str">
        <f t="shared" si="82"/>
        <v/>
      </c>
      <c r="L615" s="1">
        <f t="shared" si="83"/>
        <v>0</v>
      </c>
      <c r="M615" s="1">
        <f t="shared" si="84"/>
        <v>0</v>
      </c>
      <c r="N615" s="1">
        <f t="shared" si="85"/>
        <v>0</v>
      </c>
      <c r="O615" s="1" t="b">
        <f t="shared" si="86"/>
        <v>0</v>
      </c>
      <c r="P615" s="1" t="e">
        <f>INDEX(G:G,MATCH(G615,G:G,0))</f>
        <v>#N/A</v>
      </c>
      <c r="Q615" s="1" t="e">
        <f t="shared" si="87"/>
        <v>#N/A</v>
      </c>
      <c r="R615" s="1" t="e">
        <f>INDEX('6.0.35'!I:I,MATCH(F615,'6.0.35'!K:K,0))</f>
        <v>#N/A</v>
      </c>
      <c r="S615" s="1" t="e">
        <f>INDEX('6.0.35'!J:J,MATCH(F615,'6.0.35'!F:F,0))</f>
        <v>#N/A</v>
      </c>
    </row>
    <row r="616" spans="1:19">
      <c r="A616" t="s">
        <v>15609</v>
      </c>
      <c r="I616" s="1" t="str">
        <f t="shared" si="80"/>
        <v/>
      </c>
      <c r="J616" s="1">
        <f t="shared" si="81"/>
        <v>0</v>
      </c>
      <c r="K616" s="1" t="str">
        <f t="shared" si="82"/>
        <v/>
      </c>
      <c r="L616" s="1">
        <f t="shared" si="83"/>
        <v>0</v>
      </c>
      <c r="M616" s="1">
        <f t="shared" si="84"/>
        <v>0</v>
      </c>
      <c r="N616" s="1">
        <f t="shared" si="85"/>
        <v>0</v>
      </c>
      <c r="O616" s="1" t="b">
        <f t="shared" si="86"/>
        <v>0</v>
      </c>
      <c r="P616" s="1" t="e">
        <f>INDEX(G:G,MATCH(G616,G:G,0))</f>
        <v>#N/A</v>
      </c>
      <c r="Q616" s="1" t="e">
        <f t="shared" si="87"/>
        <v>#N/A</v>
      </c>
      <c r="R616" s="1" t="e">
        <f>INDEX('6.0.35'!I:I,MATCH(F616,'6.0.35'!K:K,0))</f>
        <v>#N/A</v>
      </c>
      <c r="S616" s="1" t="e">
        <f>INDEX('6.0.35'!J:J,MATCH(F616,'6.0.35'!F:F,0))</f>
        <v>#N/A</v>
      </c>
    </row>
    <row r="617" spans="1:19">
      <c r="A617" t="s">
        <v>15612</v>
      </c>
      <c r="I617" s="1" t="str">
        <f t="shared" si="80"/>
        <v/>
      </c>
      <c r="J617" s="1">
        <f t="shared" si="81"/>
        <v>0</v>
      </c>
      <c r="K617" s="1" t="str">
        <f t="shared" si="82"/>
        <v/>
      </c>
      <c r="L617" s="1">
        <f t="shared" si="83"/>
        <v>0</v>
      </c>
      <c r="M617" s="1">
        <f t="shared" si="84"/>
        <v>0</v>
      </c>
      <c r="N617" s="1">
        <f t="shared" si="85"/>
        <v>0</v>
      </c>
      <c r="O617" s="1" t="b">
        <f t="shared" si="86"/>
        <v>0</v>
      </c>
      <c r="P617" s="1" t="e">
        <f>INDEX(G:G,MATCH(G617,G:G,0))</f>
        <v>#N/A</v>
      </c>
      <c r="Q617" s="1" t="e">
        <f t="shared" si="87"/>
        <v>#N/A</v>
      </c>
      <c r="R617" s="1" t="e">
        <f>INDEX('6.0.35'!I:I,MATCH(F617,'6.0.35'!K:K,0))</f>
        <v>#N/A</v>
      </c>
      <c r="S617" s="1" t="e">
        <f>INDEX('6.0.35'!J:J,MATCH(F617,'6.0.35'!F:F,0))</f>
        <v>#N/A</v>
      </c>
    </row>
    <row r="618" spans="1:19">
      <c r="A618" t="s">
        <v>15615</v>
      </c>
      <c r="I618" s="1" t="str">
        <f t="shared" si="80"/>
        <v/>
      </c>
      <c r="J618" s="1">
        <f t="shared" si="81"/>
        <v>0</v>
      </c>
      <c r="K618" s="1" t="str">
        <f t="shared" si="82"/>
        <v/>
      </c>
      <c r="L618" s="1">
        <f t="shared" si="83"/>
        <v>0</v>
      </c>
      <c r="M618" s="1">
        <f t="shared" si="84"/>
        <v>0</v>
      </c>
      <c r="N618" s="1">
        <f t="shared" si="85"/>
        <v>0</v>
      </c>
      <c r="O618" s="1" t="b">
        <f t="shared" si="86"/>
        <v>0</v>
      </c>
      <c r="P618" s="1" t="e">
        <f>INDEX(G:G,MATCH(G618,G:G,0))</f>
        <v>#N/A</v>
      </c>
      <c r="Q618" s="1" t="e">
        <f t="shared" si="87"/>
        <v>#N/A</v>
      </c>
      <c r="R618" s="1" t="e">
        <f>INDEX('6.0.35'!I:I,MATCH(F618,'6.0.35'!K:K,0))</f>
        <v>#N/A</v>
      </c>
      <c r="S618" s="1" t="e">
        <f>INDEX('6.0.35'!J:J,MATCH(F618,'6.0.35'!F:F,0))</f>
        <v>#N/A</v>
      </c>
    </row>
    <row r="619" spans="1:19">
      <c r="A619" t="s">
        <v>15618</v>
      </c>
      <c r="I619" s="1" t="str">
        <f t="shared" si="80"/>
        <v/>
      </c>
      <c r="J619" s="1">
        <f t="shared" si="81"/>
        <v>0</v>
      </c>
      <c r="K619" s="1" t="str">
        <f t="shared" si="82"/>
        <v/>
      </c>
      <c r="L619" s="1">
        <f t="shared" si="83"/>
        <v>0</v>
      </c>
      <c r="M619" s="1">
        <f t="shared" si="84"/>
        <v>0</v>
      </c>
      <c r="N619" s="1">
        <f t="shared" si="85"/>
        <v>0</v>
      </c>
      <c r="O619" s="1" t="b">
        <f t="shared" si="86"/>
        <v>0</v>
      </c>
      <c r="P619" s="1" t="e">
        <f>INDEX(G:G,MATCH(G619,G:G,0))</f>
        <v>#N/A</v>
      </c>
      <c r="Q619" s="1" t="e">
        <f t="shared" si="87"/>
        <v>#N/A</v>
      </c>
      <c r="R619" s="1" t="e">
        <f>INDEX('6.0.35'!I:I,MATCH(F619,'6.0.35'!K:K,0))</f>
        <v>#N/A</v>
      </c>
      <c r="S619" s="1" t="e">
        <f>INDEX('6.0.35'!J:J,MATCH(F619,'6.0.35'!F:F,0))</f>
        <v>#N/A</v>
      </c>
    </row>
    <row r="620" spans="1:19">
      <c r="A620" t="s">
        <v>15621</v>
      </c>
      <c r="I620" s="1" t="str">
        <f t="shared" si="80"/>
        <v/>
      </c>
      <c r="J620" s="1">
        <f t="shared" si="81"/>
        <v>0</v>
      </c>
      <c r="K620" s="1" t="str">
        <f t="shared" si="82"/>
        <v/>
      </c>
      <c r="L620" s="1">
        <f t="shared" si="83"/>
        <v>0</v>
      </c>
      <c r="M620" s="1">
        <f t="shared" si="84"/>
        <v>0</v>
      </c>
      <c r="N620" s="1">
        <f t="shared" si="85"/>
        <v>0</v>
      </c>
      <c r="O620" s="1" t="b">
        <f t="shared" si="86"/>
        <v>0</v>
      </c>
      <c r="P620" s="1" t="e">
        <f>INDEX(G:G,MATCH(G620,G:G,0))</f>
        <v>#N/A</v>
      </c>
      <c r="Q620" s="1" t="e">
        <f t="shared" si="87"/>
        <v>#N/A</v>
      </c>
      <c r="R620" s="1" t="e">
        <f>INDEX('6.0.35'!I:I,MATCH(F620,'6.0.35'!K:K,0))</f>
        <v>#N/A</v>
      </c>
      <c r="S620" s="1" t="e">
        <f>INDEX('6.0.35'!J:J,MATCH(F620,'6.0.35'!F:F,0))</f>
        <v>#N/A</v>
      </c>
    </row>
    <row r="621" spans="1:19">
      <c r="A621" t="s">
        <v>15624</v>
      </c>
      <c r="I621" s="1" t="str">
        <f t="shared" si="80"/>
        <v/>
      </c>
      <c r="J621" s="1">
        <f t="shared" si="81"/>
        <v>0</v>
      </c>
      <c r="K621" s="1" t="str">
        <f t="shared" si="82"/>
        <v/>
      </c>
      <c r="L621" s="1">
        <f t="shared" si="83"/>
        <v>0</v>
      </c>
      <c r="M621" s="1">
        <f t="shared" si="84"/>
        <v>0</v>
      </c>
      <c r="N621" s="1">
        <f t="shared" si="85"/>
        <v>0</v>
      </c>
      <c r="O621" s="1" t="b">
        <f t="shared" si="86"/>
        <v>0</v>
      </c>
      <c r="P621" s="1" t="e">
        <f>INDEX(G:G,MATCH(G621,G:G,0))</f>
        <v>#N/A</v>
      </c>
      <c r="Q621" s="1" t="e">
        <f t="shared" si="87"/>
        <v>#N/A</v>
      </c>
      <c r="R621" s="1" t="e">
        <f>INDEX('6.0.35'!I:I,MATCH(F621,'6.0.35'!K:K,0))</f>
        <v>#N/A</v>
      </c>
      <c r="S621" s="1" t="e">
        <f>INDEX('6.0.35'!J:J,MATCH(F621,'6.0.35'!F:F,0))</f>
        <v>#N/A</v>
      </c>
    </row>
    <row r="622" spans="1:19">
      <c r="A622" t="s">
        <v>15627</v>
      </c>
      <c r="I622" s="1" t="str">
        <f t="shared" si="80"/>
        <v/>
      </c>
      <c r="J622" s="1">
        <f t="shared" si="81"/>
        <v>0</v>
      </c>
      <c r="K622" s="1" t="str">
        <f t="shared" si="82"/>
        <v/>
      </c>
      <c r="L622" s="1">
        <f t="shared" si="83"/>
        <v>0</v>
      </c>
      <c r="M622" s="1">
        <f t="shared" si="84"/>
        <v>0</v>
      </c>
      <c r="N622" s="1">
        <f t="shared" si="85"/>
        <v>0</v>
      </c>
      <c r="O622" s="1" t="b">
        <f t="shared" si="86"/>
        <v>0</v>
      </c>
      <c r="P622" s="1" t="e">
        <f>INDEX(G:G,MATCH(G622,G:G,0))</f>
        <v>#N/A</v>
      </c>
      <c r="Q622" s="1" t="e">
        <f t="shared" si="87"/>
        <v>#N/A</v>
      </c>
      <c r="R622" s="1" t="e">
        <f>INDEX('6.0.35'!I:I,MATCH(F622,'6.0.35'!K:K,0))</f>
        <v>#N/A</v>
      </c>
      <c r="S622" s="1" t="e">
        <f>INDEX('6.0.35'!J:J,MATCH(F622,'6.0.35'!F:F,0))</f>
        <v>#N/A</v>
      </c>
    </row>
    <row r="623" spans="1:19">
      <c r="A623" t="s">
        <v>15630</v>
      </c>
      <c r="I623" s="1" t="str">
        <f t="shared" si="80"/>
        <v/>
      </c>
      <c r="J623" s="1">
        <f t="shared" si="81"/>
        <v>0</v>
      </c>
      <c r="K623" s="1" t="str">
        <f t="shared" si="82"/>
        <v/>
      </c>
      <c r="L623" s="1">
        <f t="shared" si="83"/>
        <v>0</v>
      </c>
      <c r="M623" s="1">
        <f t="shared" si="84"/>
        <v>0</v>
      </c>
      <c r="N623" s="1">
        <f t="shared" si="85"/>
        <v>0</v>
      </c>
      <c r="O623" s="1" t="b">
        <f t="shared" si="86"/>
        <v>0</v>
      </c>
      <c r="P623" s="1" t="e">
        <f>INDEX(G:G,MATCH(G623,G:G,0))</f>
        <v>#N/A</v>
      </c>
      <c r="Q623" s="1" t="e">
        <f t="shared" si="87"/>
        <v>#N/A</v>
      </c>
      <c r="R623" s="1" t="e">
        <f>INDEX('6.0.35'!I:I,MATCH(F623,'6.0.35'!K:K,0))</f>
        <v>#N/A</v>
      </c>
      <c r="S623" s="1" t="e">
        <f>INDEX('6.0.35'!J:J,MATCH(F623,'6.0.35'!F:F,0))</f>
        <v>#N/A</v>
      </c>
    </row>
    <row r="624" spans="1:19">
      <c r="A624" t="s">
        <v>15633</v>
      </c>
      <c r="I624" s="1" t="str">
        <f t="shared" si="80"/>
        <v/>
      </c>
      <c r="J624" s="1">
        <f t="shared" si="81"/>
        <v>0</v>
      </c>
      <c r="K624" s="1" t="str">
        <f t="shared" si="82"/>
        <v/>
      </c>
      <c r="L624" s="1">
        <f t="shared" si="83"/>
        <v>0</v>
      </c>
      <c r="M624" s="1">
        <f t="shared" si="84"/>
        <v>0</v>
      </c>
      <c r="N624" s="1">
        <f t="shared" si="85"/>
        <v>0</v>
      </c>
      <c r="O624" s="1" t="b">
        <f t="shared" si="86"/>
        <v>0</v>
      </c>
      <c r="P624" s="1" t="e">
        <f>INDEX(G:G,MATCH(G624,G:G,0))</f>
        <v>#N/A</v>
      </c>
      <c r="Q624" s="1" t="e">
        <f t="shared" si="87"/>
        <v>#N/A</v>
      </c>
      <c r="R624" s="1" t="e">
        <f>INDEX('6.0.35'!I:I,MATCH(F624,'6.0.35'!K:K,0))</f>
        <v>#N/A</v>
      </c>
      <c r="S624" s="1" t="e">
        <f>INDEX('6.0.35'!J:J,MATCH(F624,'6.0.35'!F:F,0))</f>
        <v>#N/A</v>
      </c>
    </row>
    <row r="625" spans="1:19">
      <c r="A625" t="s">
        <v>15636</v>
      </c>
      <c r="I625" s="1" t="str">
        <f t="shared" si="80"/>
        <v/>
      </c>
      <c r="J625" s="1">
        <f t="shared" si="81"/>
        <v>0</v>
      </c>
      <c r="K625" s="1" t="str">
        <f t="shared" si="82"/>
        <v/>
      </c>
      <c r="L625" s="1">
        <f t="shared" si="83"/>
        <v>0</v>
      </c>
      <c r="M625" s="1">
        <f t="shared" si="84"/>
        <v>0</v>
      </c>
      <c r="N625" s="1">
        <f t="shared" si="85"/>
        <v>0</v>
      </c>
      <c r="O625" s="1" t="b">
        <f t="shared" si="86"/>
        <v>0</v>
      </c>
      <c r="P625" s="1" t="e">
        <f>INDEX(G:G,MATCH(G625,G:G,0))</f>
        <v>#N/A</v>
      </c>
      <c r="Q625" s="1" t="e">
        <f t="shared" si="87"/>
        <v>#N/A</v>
      </c>
      <c r="R625" s="1" t="e">
        <f>INDEX('6.0.35'!I:I,MATCH(F625,'6.0.35'!K:K,0))</f>
        <v>#N/A</v>
      </c>
      <c r="S625" s="1" t="e">
        <f>INDEX('6.0.35'!J:J,MATCH(F625,'6.0.35'!F:F,0))</f>
        <v>#N/A</v>
      </c>
    </row>
    <row r="626" spans="1:19">
      <c r="A626" t="s">
        <v>15639</v>
      </c>
      <c r="I626" s="1" t="str">
        <f t="shared" si="80"/>
        <v/>
      </c>
      <c r="J626" s="1">
        <f t="shared" si="81"/>
        <v>0</v>
      </c>
      <c r="K626" s="1" t="str">
        <f t="shared" si="82"/>
        <v/>
      </c>
      <c r="L626" s="1">
        <f t="shared" si="83"/>
        <v>0</v>
      </c>
      <c r="M626" s="1">
        <f t="shared" si="84"/>
        <v>0</v>
      </c>
      <c r="N626" s="1">
        <f t="shared" si="85"/>
        <v>0</v>
      </c>
      <c r="O626" s="1" t="b">
        <f t="shared" si="86"/>
        <v>0</v>
      </c>
      <c r="P626" s="1" t="e">
        <f>INDEX(G:G,MATCH(G626,G:G,0))</f>
        <v>#N/A</v>
      </c>
      <c r="Q626" s="1" t="e">
        <f t="shared" si="87"/>
        <v>#N/A</v>
      </c>
      <c r="R626" s="1" t="e">
        <f>INDEX('6.0.35'!I:I,MATCH(F626,'6.0.35'!K:K,0))</f>
        <v>#N/A</v>
      </c>
      <c r="S626" s="1" t="e">
        <f>INDEX('6.0.35'!J:J,MATCH(F626,'6.0.35'!F:F,0))</f>
        <v>#N/A</v>
      </c>
    </row>
    <row r="627" spans="1:19">
      <c r="A627" t="s">
        <v>15642</v>
      </c>
      <c r="I627" s="1" t="str">
        <f t="shared" si="80"/>
        <v/>
      </c>
      <c r="J627" s="1">
        <f t="shared" si="81"/>
        <v>0</v>
      </c>
      <c r="K627" s="1" t="str">
        <f t="shared" si="82"/>
        <v/>
      </c>
      <c r="L627" s="1">
        <f t="shared" si="83"/>
        <v>0</v>
      </c>
      <c r="M627" s="1">
        <f t="shared" si="84"/>
        <v>0</v>
      </c>
      <c r="N627" s="1">
        <f t="shared" si="85"/>
        <v>0</v>
      </c>
      <c r="O627" s="1" t="b">
        <f t="shared" si="86"/>
        <v>0</v>
      </c>
      <c r="P627" s="1" t="e">
        <f>INDEX(G:G,MATCH(G627,G:G,0))</f>
        <v>#N/A</v>
      </c>
      <c r="Q627" s="1" t="e">
        <f t="shared" si="87"/>
        <v>#N/A</v>
      </c>
      <c r="R627" s="1" t="e">
        <f>INDEX('6.0.35'!I:I,MATCH(F627,'6.0.35'!K:K,0))</f>
        <v>#N/A</v>
      </c>
      <c r="S627" s="1" t="e">
        <f>INDEX('6.0.35'!J:J,MATCH(F627,'6.0.35'!F:F,0))</f>
        <v>#N/A</v>
      </c>
    </row>
    <row r="628" spans="1:19">
      <c r="A628" t="s">
        <v>15645</v>
      </c>
      <c r="I628" s="1" t="str">
        <f t="shared" si="80"/>
        <v/>
      </c>
      <c r="J628" s="1">
        <f t="shared" si="81"/>
        <v>0</v>
      </c>
      <c r="K628" s="1" t="str">
        <f t="shared" si="82"/>
        <v/>
      </c>
      <c r="L628" s="1">
        <f t="shared" si="83"/>
        <v>0</v>
      </c>
      <c r="M628" s="1">
        <f t="shared" si="84"/>
        <v>0</v>
      </c>
      <c r="N628" s="1">
        <f t="shared" si="85"/>
        <v>0</v>
      </c>
      <c r="O628" s="1" t="b">
        <f t="shared" si="86"/>
        <v>0</v>
      </c>
      <c r="P628" s="1" t="e">
        <f>INDEX(G:G,MATCH(G628,G:G,0))</f>
        <v>#N/A</v>
      </c>
      <c r="Q628" s="1" t="e">
        <f t="shared" si="87"/>
        <v>#N/A</v>
      </c>
      <c r="R628" s="1" t="e">
        <f>INDEX('6.0.35'!I:I,MATCH(F628,'6.0.35'!K:K,0))</f>
        <v>#N/A</v>
      </c>
      <c r="S628" s="1" t="e">
        <f>INDEX('6.0.35'!J:J,MATCH(F628,'6.0.35'!F:F,0))</f>
        <v>#N/A</v>
      </c>
    </row>
    <row r="629" spans="1:19">
      <c r="A629" t="s">
        <v>15648</v>
      </c>
      <c r="I629" s="1" t="str">
        <f t="shared" si="80"/>
        <v/>
      </c>
      <c r="J629" s="1">
        <f t="shared" si="81"/>
        <v>0</v>
      </c>
      <c r="K629" s="1" t="str">
        <f t="shared" si="82"/>
        <v/>
      </c>
      <c r="L629" s="1">
        <f t="shared" si="83"/>
        <v>0</v>
      </c>
      <c r="M629" s="1">
        <f t="shared" si="84"/>
        <v>0</v>
      </c>
      <c r="N629" s="1">
        <f t="shared" si="85"/>
        <v>0</v>
      </c>
      <c r="O629" s="1" t="b">
        <f t="shared" si="86"/>
        <v>0</v>
      </c>
      <c r="P629" s="1" t="e">
        <f>INDEX(G:G,MATCH(G629,G:G,0))</f>
        <v>#N/A</v>
      </c>
      <c r="Q629" s="1" t="e">
        <f t="shared" si="87"/>
        <v>#N/A</v>
      </c>
      <c r="R629" s="1" t="e">
        <f>INDEX('6.0.35'!I:I,MATCH(F629,'6.0.35'!K:K,0))</f>
        <v>#N/A</v>
      </c>
      <c r="S629" s="1" t="e">
        <f>INDEX('6.0.35'!J:J,MATCH(F629,'6.0.35'!F:F,0))</f>
        <v>#N/A</v>
      </c>
    </row>
    <row r="630" spans="1:19">
      <c r="A630" t="s">
        <v>15651</v>
      </c>
      <c r="I630" s="1" t="str">
        <f t="shared" si="80"/>
        <v/>
      </c>
      <c r="J630" s="1">
        <f t="shared" si="81"/>
        <v>0</v>
      </c>
      <c r="K630" s="1" t="str">
        <f t="shared" si="82"/>
        <v/>
      </c>
      <c r="L630" s="1">
        <f t="shared" si="83"/>
        <v>0</v>
      </c>
      <c r="M630" s="1">
        <f t="shared" si="84"/>
        <v>0</v>
      </c>
      <c r="N630" s="1">
        <f t="shared" si="85"/>
        <v>0</v>
      </c>
      <c r="O630" s="1" t="b">
        <f t="shared" si="86"/>
        <v>0</v>
      </c>
      <c r="P630" s="1" t="e">
        <f>INDEX(G:G,MATCH(G630,G:G,0))</f>
        <v>#N/A</v>
      </c>
      <c r="Q630" s="1" t="e">
        <f t="shared" si="87"/>
        <v>#N/A</v>
      </c>
      <c r="R630" s="1" t="e">
        <f>INDEX('6.0.35'!I:I,MATCH(F630,'6.0.35'!K:K,0))</f>
        <v>#N/A</v>
      </c>
      <c r="S630" s="1" t="e">
        <f>INDEX('6.0.35'!J:J,MATCH(F630,'6.0.35'!F:F,0))</f>
        <v>#N/A</v>
      </c>
    </row>
    <row r="631" spans="1:19">
      <c r="A631" t="s">
        <v>15654</v>
      </c>
      <c r="I631" s="1" t="str">
        <f t="shared" si="80"/>
        <v/>
      </c>
      <c r="J631" s="1">
        <f t="shared" si="81"/>
        <v>0</v>
      </c>
      <c r="K631" s="1" t="str">
        <f t="shared" si="82"/>
        <v/>
      </c>
      <c r="L631" s="1">
        <f t="shared" si="83"/>
        <v>0</v>
      </c>
      <c r="M631" s="1">
        <f t="shared" si="84"/>
        <v>0</v>
      </c>
      <c r="N631" s="1">
        <f t="shared" si="85"/>
        <v>0</v>
      </c>
      <c r="O631" s="1" t="b">
        <f t="shared" si="86"/>
        <v>0</v>
      </c>
      <c r="P631" s="1" t="e">
        <f>INDEX(G:G,MATCH(G631,G:G,0))</f>
        <v>#N/A</v>
      </c>
      <c r="Q631" s="1" t="e">
        <f t="shared" si="87"/>
        <v>#N/A</v>
      </c>
      <c r="R631" s="1" t="e">
        <f>INDEX('6.0.35'!I:I,MATCH(F631,'6.0.35'!K:K,0))</f>
        <v>#N/A</v>
      </c>
      <c r="S631" s="1" t="e">
        <f>INDEX('6.0.35'!J:J,MATCH(F631,'6.0.35'!F:F,0))</f>
        <v>#N/A</v>
      </c>
    </row>
    <row r="632" spans="1:19">
      <c r="A632" t="s">
        <v>15657</v>
      </c>
      <c r="I632" s="1" t="str">
        <f t="shared" si="80"/>
        <v/>
      </c>
      <c r="J632" s="1">
        <f t="shared" si="81"/>
        <v>0</v>
      </c>
      <c r="K632" s="1" t="str">
        <f t="shared" si="82"/>
        <v/>
      </c>
      <c r="L632" s="1">
        <f t="shared" si="83"/>
        <v>0</v>
      </c>
      <c r="M632" s="1">
        <f t="shared" si="84"/>
        <v>0</v>
      </c>
      <c r="N632" s="1">
        <f t="shared" si="85"/>
        <v>0</v>
      </c>
      <c r="O632" s="1" t="b">
        <f t="shared" si="86"/>
        <v>0</v>
      </c>
      <c r="P632" s="1" t="e">
        <f>INDEX(G:G,MATCH(G632,G:G,0))</f>
        <v>#N/A</v>
      </c>
      <c r="Q632" s="1" t="e">
        <f t="shared" si="87"/>
        <v>#N/A</v>
      </c>
      <c r="R632" s="1" t="e">
        <f>INDEX('6.0.35'!I:I,MATCH(F632,'6.0.35'!K:K,0))</f>
        <v>#N/A</v>
      </c>
      <c r="S632" s="1" t="e">
        <f>INDEX('6.0.35'!J:J,MATCH(F632,'6.0.35'!F:F,0))</f>
        <v>#N/A</v>
      </c>
    </row>
    <row r="633" spans="1:19">
      <c r="A633" t="s">
        <v>15660</v>
      </c>
      <c r="I633" s="1" t="str">
        <f t="shared" si="80"/>
        <v/>
      </c>
      <c r="J633" s="1">
        <f t="shared" si="81"/>
        <v>0</v>
      </c>
      <c r="K633" s="1" t="str">
        <f t="shared" si="82"/>
        <v/>
      </c>
      <c r="L633" s="1">
        <f t="shared" si="83"/>
        <v>0</v>
      </c>
      <c r="M633" s="1">
        <f t="shared" si="84"/>
        <v>0</v>
      </c>
      <c r="N633" s="1">
        <f t="shared" si="85"/>
        <v>0</v>
      </c>
      <c r="O633" s="1" t="b">
        <f t="shared" si="86"/>
        <v>0</v>
      </c>
      <c r="P633" s="1" t="e">
        <f>INDEX(G:G,MATCH(G633,G:G,0))</f>
        <v>#N/A</v>
      </c>
      <c r="Q633" s="1" t="e">
        <f t="shared" si="87"/>
        <v>#N/A</v>
      </c>
      <c r="R633" s="1" t="e">
        <f>INDEX('6.0.35'!I:I,MATCH(F633,'6.0.35'!K:K,0))</f>
        <v>#N/A</v>
      </c>
      <c r="S633" s="1" t="e">
        <f>INDEX('6.0.35'!J:J,MATCH(F633,'6.0.35'!F:F,0))</f>
        <v>#N/A</v>
      </c>
    </row>
    <row r="634" spans="1:19">
      <c r="A634" t="s">
        <v>15663</v>
      </c>
      <c r="I634" s="1" t="str">
        <f t="shared" ref="I634:I697" si="88">IFERROR(IF(OR(MID(G634,FIND(":",G634)-1,1)="""",MID(G634,FIND(":",G634)-1,1)="}",MID(G634,FIND(":",G634)-1,1)=")",MID(G634,FIND(":",G634)-1,1)="]"),"",RIGHT(G634,LEN(G634)-FIND(":",G634)-1)),"")</f>
        <v/>
      </c>
      <c r="J634" s="1">
        <f t="shared" ref="J634:J697" si="89">IF(AND(I634="",H634=""),G634,IF(H634="",I634,H634&amp;": "&amp;I634))</f>
        <v>0</v>
      </c>
      <c r="K634" s="1" t="str">
        <f t="shared" ref="K634:K697" si="90">IFERROR(IF(OR(MID(F634,FIND(":",F634)-1,1)="""",MID(F634,FIND(":",F634)-1,1)="}",MID(F634,FIND(":",F634)-1,1)=")",MID(F634,FIND(":",F634)-1,1)="]"),"",RIGHT(F634,LEN(F634)-FIND(":",F634)-1)),"")</f>
        <v/>
      </c>
      <c r="L634" s="1">
        <f t="shared" ref="L634:L697" si="91">LEN(F634)-LEN(SUBSTITUTE(F634,":",""))</f>
        <v>0</v>
      </c>
      <c r="M634" s="1">
        <f t="shared" ref="M634:M697" si="92">LEN(G634)-LEN(SUBSTITUTE(G634,":",""))</f>
        <v>0</v>
      </c>
      <c r="N634" s="1">
        <f t="shared" ref="N634:N697" si="93">LEN(G634)-LEN(SUBSTITUTE(G634,"：",""))</f>
        <v>0</v>
      </c>
      <c r="O634" s="1" t="b">
        <f t="shared" ref="O634:O697" si="94">IF(M634&gt;=2,MID(G634,FIND(":",G634)+1,LEN(G634)))</f>
        <v>0</v>
      </c>
      <c r="P634" s="1" t="e">
        <f>INDEX(G:G,MATCH(G634,G:G,0))</f>
        <v>#N/A</v>
      </c>
      <c r="Q634" s="1" t="e">
        <f t="shared" ref="Q634:Q697" si="95">IF(P634&lt;&gt;G634,"校验","")</f>
        <v>#N/A</v>
      </c>
      <c r="R634" s="1" t="e">
        <f>INDEX('6.0.35'!I:I,MATCH(F634,'6.0.35'!K:K,0))</f>
        <v>#N/A</v>
      </c>
      <c r="S634" s="1" t="e">
        <f>INDEX('6.0.35'!J:J,MATCH(F634,'6.0.35'!F:F,0))</f>
        <v>#N/A</v>
      </c>
    </row>
    <row r="635" spans="1:19">
      <c r="A635" t="s">
        <v>15666</v>
      </c>
      <c r="I635" s="1" t="str">
        <f t="shared" si="88"/>
        <v/>
      </c>
      <c r="J635" s="1">
        <f t="shared" si="89"/>
        <v>0</v>
      </c>
      <c r="K635" s="1" t="str">
        <f t="shared" si="90"/>
        <v/>
      </c>
      <c r="L635" s="1">
        <f t="shared" si="91"/>
        <v>0</v>
      </c>
      <c r="M635" s="1">
        <f t="shared" si="92"/>
        <v>0</v>
      </c>
      <c r="N635" s="1">
        <f t="shared" si="93"/>
        <v>0</v>
      </c>
      <c r="O635" s="1" t="b">
        <f t="shared" si="94"/>
        <v>0</v>
      </c>
      <c r="P635" s="1" t="e">
        <f>INDEX(G:G,MATCH(G635,G:G,0))</f>
        <v>#N/A</v>
      </c>
      <c r="Q635" s="1" t="e">
        <f t="shared" si="95"/>
        <v>#N/A</v>
      </c>
      <c r="R635" s="1" t="e">
        <f>INDEX('6.0.35'!I:I,MATCH(F635,'6.0.35'!K:K,0))</f>
        <v>#N/A</v>
      </c>
      <c r="S635" s="1" t="e">
        <f>INDEX('6.0.35'!J:J,MATCH(F635,'6.0.35'!F:F,0))</f>
        <v>#N/A</v>
      </c>
    </row>
    <row r="636" spans="1:19">
      <c r="A636" t="s">
        <v>15669</v>
      </c>
      <c r="I636" s="1" t="str">
        <f t="shared" si="88"/>
        <v/>
      </c>
      <c r="J636" s="1">
        <f t="shared" si="89"/>
        <v>0</v>
      </c>
      <c r="K636" s="1" t="str">
        <f t="shared" si="90"/>
        <v/>
      </c>
      <c r="L636" s="1">
        <f t="shared" si="91"/>
        <v>0</v>
      </c>
      <c r="M636" s="1">
        <f t="shared" si="92"/>
        <v>0</v>
      </c>
      <c r="N636" s="1">
        <f t="shared" si="93"/>
        <v>0</v>
      </c>
      <c r="O636" s="1" t="b">
        <f t="shared" si="94"/>
        <v>0</v>
      </c>
      <c r="P636" s="1" t="e">
        <f>INDEX(G:G,MATCH(G636,G:G,0))</f>
        <v>#N/A</v>
      </c>
      <c r="Q636" s="1" t="e">
        <f t="shared" si="95"/>
        <v>#N/A</v>
      </c>
      <c r="R636" s="1" t="e">
        <f>INDEX('6.0.35'!I:I,MATCH(F636,'6.0.35'!K:K,0))</f>
        <v>#N/A</v>
      </c>
      <c r="S636" s="1" t="e">
        <f>INDEX('6.0.35'!J:J,MATCH(F636,'6.0.35'!F:F,0))</f>
        <v>#N/A</v>
      </c>
    </row>
    <row r="637" spans="1:19">
      <c r="A637" t="s">
        <v>15672</v>
      </c>
      <c r="I637" s="1" t="str">
        <f t="shared" si="88"/>
        <v/>
      </c>
      <c r="J637" s="1">
        <f t="shared" si="89"/>
        <v>0</v>
      </c>
      <c r="K637" s="1" t="str">
        <f t="shared" si="90"/>
        <v/>
      </c>
      <c r="L637" s="1">
        <f t="shared" si="91"/>
        <v>0</v>
      </c>
      <c r="M637" s="1">
        <f t="shared" si="92"/>
        <v>0</v>
      </c>
      <c r="N637" s="1">
        <f t="shared" si="93"/>
        <v>0</v>
      </c>
      <c r="O637" s="1" t="b">
        <f t="shared" si="94"/>
        <v>0</v>
      </c>
      <c r="P637" s="1" t="e">
        <f>INDEX(G:G,MATCH(G637,G:G,0))</f>
        <v>#N/A</v>
      </c>
      <c r="Q637" s="1" t="e">
        <f t="shared" si="95"/>
        <v>#N/A</v>
      </c>
      <c r="R637" s="1" t="e">
        <f>INDEX('6.0.35'!I:I,MATCH(F637,'6.0.35'!K:K,0))</f>
        <v>#N/A</v>
      </c>
      <c r="S637" s="1" t="e">
        <f>INDEX('6.0.35'!J:J,MATCH(F637,'6.0.35'!F:F,0))</f>
        <v>#N/A</v>
      </c>
    </row>
    <row r="638" spans="1:19">
      <c r="A638" t="s">
        <v>15675</v>
      </c>
      <c r="I638" s="1" t="str">
        <f t="shared" si="88"/>
        <v/>
      </c>
      <c r="J638" s="1">
        <f t="shared" si="89"/>
        <v>0</v>
      </c>
      <c r="K638" s="1" t="str">
        <f t="shared" si="90"/>
        <v/>
      </c>
      <c r="L638" s="1">
        <f t="shared" si="91"/>
        <v>0</v>
      </c>
      <c r="M638" s="1">
        <f t="shared" si="92"/>
        <v>0</v>
      </c>
      <c r="N638" s="1">
        <f t="shared" si="93"/>
        <v>0</v>
      </c>
      <c r="O638" s="1" t="b">
        <f t="shared" si="94"/>
        <v>0</v>
      </c>
      <c r="P638" s="1" t="e">
        <f>INDEX(G:G,MATCH(G638,G:G,0))</f>
        <v>#N/A</v>
      </c>
      <c r="Q638" s="1" t="e">
        <f t="shared" si="95"/>
        <v>#N/A</v>
      </c>
      <c r="R638" s="1" t="e">
        <f>INDEX('6.0.35'!I:I,MATCH(F638,'6.0.35'!K:K,0))</f>
        <v>#N/A</v>
      </c>
      <c r="S638" s="1" t="e">
        <f>INDEX('6.0.35'!J:J,MATCH(F638,'6.0.35'!F:F,0))</f>
        <v>#N/A</v>
      </c>
    </row>
    <row r="639" spans="1:19">
      <c r="A639" t="s">
        <v>15678</v>
      </c>
      <c r="I639" s="1" t="str">
        <f t="shared" si="88"/>
        <v/>
      </c>
      <c r="J639" s="1">
        <f t="shared" si="89"/>
        <v>0</v>
      </c>
      <c r="K639" s="1" t="str">
        <f t="shared" si="90"/>
        <v/>
      </c>
      <c r="L639" s="1">
        <f t="shared" si="91"/>
        <v>0</v>
      </c>
      <c r="M639" s="1">
        <f t="shared" si="92"/>
        <v>0</v>
      </c>
      <c r="N639" s="1">
        <f t="shared" si="93"/>
        <v>0</v>
      </c>
      <c r="O639" s="1" t="b">
        <f t="shared" si="94"/>
        <v>0</v>
      </c>
      <c r="P639" s="1" t="e">
        <f>INDEX(G:G,MATCH(G639,G:G,0))</f>
        <v>#N/A</v>
      </c>
      <c r="Q639" s="1" t="e">
        <f t="shared" si="95"/>
        <v>#N/A</v>
      </c>
      <c r="R639" s="1" t="e">
        <f>INDEX('6.0.35'!I:I,MATCH(F639,'6.0.35'!K:K,0))</f>
        <v>#N/A</v>
      </c>
      <c r="S639" s="1" t="e">
        <f>INDEX('6.0.35'!J:J,MATCH(F639,'6.0.35'!F:F,0))</f>
        <v>#N/A</v>
      </c>
    </row>
    <row r="640" spans="1:19">
      <c r="A640" t="s">
        <v>15681</v>
      </c>
      <c r="I640" s="1" t="str">
        <f t="shared" si="88"/>
        <v/>
      </c>
      <c r="J640" s="1">
        <f t="shared" si="89"/>
        <v>0</v>
      </c>
      <c r="K640" s="1" t="str">
        <f t="shared" si="90"/>
        <v/>
      </c>
      <c r="L640" s="1">
        <f t="shared" si="91"/>
        <v>0</v>
      </c>
      <c r="M640" s="1">
        <f t="shared" si="92"/>
        <v>0</v>
      </c>
      <c r="N640" s="1">
        <f t="shared" si="93"/>
        <v>0</v>
      </c>
      <c r="O640" s="1" t="b">
        <f t="shared" si="94"/>
        <v>0</v>
      </c>
      <c r="P640" s="1" t="e">
        <f>INDEX(G:G,MATCH(G640,G:G,0))</f>
        <v>#N/A</v>
      </c>
      <c r="Q640" s="1" t="e">
        <f t="shared" si="95"/>
        <v>#N/A</v>
      </c>
      <c r="R640" s="1" t="e">
        <f>INDEX('6.0.35'!I:I,MATCH(F640,'6.0.35'!K:K,0))</f>
        <v>#N/A</v>
      </c>
      <c r="S640" s="1" t="e">
        <f>INDEX('6.0.35'!J:J,MATCH(F640,'6.0.35'!F:F,0))</f>
        <v>#N/A</v>
      </c>
    </row>
    <row r="641" spans="1:19">
      <c r="A641" t="s">
        <v>15684</v>
      </c>
      <c r="I641" s="1" t="str">
        <f t="shared" si="88"/>
        <v/>
      </c>
      <c r="J641" s="1">
        <f t="shared" si="89"/>
        <v>0</v>
      </c>
      <c r="K641" s="1" t="str">
        <f t="shared" si="90"/>
        <v/>
      </c>
      <c r="L641" s="1">
        <f t="shared" si="91"/>
        <v>0</v>
      </c>
      <c r="M641" s="1">
        <f t="shared" si="92"/>
        <v>0</v>
      </c>
      <c r="N641" s="1">
        <f t="shared" si="93"/>
        <v>0</v>
      </c>
      <c r="O641" s="1" t="b">
        <f t="shared" si="94"/>
        <v>0</v>
      </c>
      <c r="P641" s="1" t="e">
        <f>INDEX(G:G,MATCH(G641,G:G,0))</f>
        <v>#N/A</v>
      </c>
      <c r="Q641" s="1" t="e">
        <f t="shared" si="95"/>
        <v>#N/A</v>
      </c>
      <c r="R641" s="1" t="e">
        <f>INDEX('6.0.35'!I:I,MATCH(F641,'6.0.35'!K:K,0))</f>
        <v>#N/A</v>
      </c>
      <c r="S641" s="1" t="e">
        <f>INDEX('6.0.35'!J:J,MATCH(F641,'6.0.35'!F:F,0))</f>
        <v>#N/A</v>
      </c>
    </row>
    <row r="642" spans="1:19">
      <c r="A642" t="s">
        <v>15687</v>
      </c>
      <c r="I642" s="1" t="str">
        <f t="shared" si="88"/>
        <v/>
      </c>
      <c r="J642" s="1">
        <f t="shared" si="89"/>
        <v>0</v>
      </c>
      <c r="K642" s="1" t="str">
        <f t="shared" si="90"/>
        <v/>
      </c>
      <c r="L642" s="1">
        <f t="shared" si="91"/>
        <v>0</v>
      </c>
      <c r="M642" s="1">
        <f t="shared" si="92"/>
        <v>0</v>
      </c>
      <c r="N642" s="1">
        <f t="shared" si="93"/>
        <v>0</v>
      </c>
      <c r="O642" s="1" t="b">
        <f t="shared" si="94"/>
        <v>0</v>
      </c>
      <c r="P642" s="1" t="e">
        <f>INDEX(G:G,MATCH(G642,G:G,0))</f>
        <v>#N/A</v>
      </c>
      <c r="Q642" s="1" t="e">
        <f t="shared" si="95"/>
        <v>#N/A</v>
      </c>
      <c r="R642" s="1" t="e">
        <f>INDEX('6.0.35'!I:I,MATCH(F642,'6.0.35'!K:K,0))</f>
        <v>#N/A</v>
      </c>
      <c r="S642" s="1" t="e">
        <f>INDEX('6.0.35'!J:J,MATCH(F642,'6.0.35'!F:F,0))</f>
        <v>#N/A</v>
      </c>
    </row>
    <row r="643" spans="1:19">
      <c r="A643" t="s">
        <v>15690</v>
      </c>
      <c r="I643" s="1" t="str">
        <f t="shared" si="88"/>
        <v/>
      </c>
      <c r="J643" s="1">
        <f t="shared" si="89"/>
        <v>0</v>
      </c>
      <c r="K643" s="1" t="str">
        <f t="shared" si="90"/>
        <v/>
      </c>
      <c r="L643" s="1">
        <f t="shared" si="91"/>
        <v>0</v>
      </c>
      <c r="M643" s="1">
        <f t="shared" si="92"/>
        <v>0</v>
      </c>
      <c r="N643" s="1">
        <f t="shared" si="93"/>
        <v>0</v>
      </c>
      <c r="O643" s="1" t="b">
        <f t="shared" si="94"/>
        <v>0</v>
      </c>
      <c r="P643" s="1" t="e">
        <f>INDEX(G:G,MATCH(G643,G:G,0))</f>
        <v>#N/A</v>
      </c>
      <c r="Q643" s="1" t="e">
        <f t="shared" si="95"/>
        <v>#N/A</v>
      </c>
      <c r="R643" s="1" t="e">
        <f>INDEX('6.0.35'!I:I,MATCH(F643,'6.0.35'!K:K,0))</f>
        <v>#N/A</v>
      </c>
      <c r="S643" s="1" t="e">
        <f>INDEX('6.0.35'!J:J,MATCH(F643,'6.0.35'!F:F,0))</f>
        <v>#N/A</v>
      </c>
    </row>
    <row r="644" spans="1:19">
      <c r="A644" t="s">
        <v>15693</v>
      </c>
      <c r="I644" s="1" t="str">
        <f t="shared" si="88"/>
        <v/>
      </c>
      <c r="J644" s="1">
        <f t="shared" si="89"/>
        <v>0</v>
      </c>
      <c r="K644" s="1" t="str">
        <f t="shared" si="90"/>
        <v/>
      </c>
      <c r="L644" s="1">
        <f t="shared" si="91"/>
        <v>0</v>
      </c>
      <c r="M644" s="1">
        <f t="shared" si="92"/>
        <v>0</v>
      </c>
      <c r="N644" s="1">
        <f t="shared" si="93"/>
        <v>0</v>
      </c>
      <c r="O644" s="1" t="b">
        <f t="shared" si="94"/>
        <v>0</v>
      </c>
      <c r="P644" s="1" t="e">
        <f>INDEX(G:G,MATCH(G644,G:G,0))</f>
        <v>#N/A</v>
      </c>
      <c r="Q644" s="1" t="e">
        <f t="shared" si="95"/>
        <v>#N/A</v>
      </c>
      <c r="R644" s="1" t="e">
        <f>INDEX('6.0.35'!I:I,MATCH(F644,'6.0.35'!K:K,0))</f>
        <v>#N/A</v>
      </c>
      <c r="S644" s="1" t="e">
        <f>INDEX('6.0.35'!J:J,MATCH(F644,'6.0.35'!F:F,0))</f>
        <v>#N/A</v>
      </c>
    </row>
    <row r="645" spans="1:19">
      <c r="A645" t="s">
        <v>15696</v>
      </c>
      <c r="I645" s="1" t="str">
        <f t="shared" si="88"/>
        <v/>
      </c>
      <c r="J645" s="1">
        <f t="shared" si="89"/>
        <v>0</v>
      </c>
      <c r="K645" s="1" t="str">
        <f t="shared" si="90"/>
        <v/>
      </c>
      <c r="L645" s="1">
        <f t="shared" si="91"/>
        <v>0</v>
      </c>
      <c r="M645" s="1">
        <f t="shared" si="92"/>
        <v>0</v>
      </c>
      <c r="N645" s="1">
        <f t="shared" si="93"/>
        <v>0</v>
      </c>
      <c r="O645" s="1" t="b">
        <f t="shared" si="94"/>
        <v>0</v>
      </c>
      <c r="P645" s="1" t="e">
        <f>INDEX(G:G,MATCH(G645,G:G,0))</f>
        <v>#N/A</v>
      </c>
      <c r="Q645" s="1" t="e">
        <f t="shared" si="95"/>
        <v>#N/A</v>
      </c>
      <c r="R645" s="1" t="e">
        <f>INDEX('6.0.35'!I:I,MATCH(F645,'6.0.35'!K:K,0))</f>
        <v>#N/A</v>
      </c>
      <c r="S645" s="1" t="e">
        <f>INDEX('6.0.35'!J:J,MATCH(F645,'6.0.35'!F:F,0))</f>
        <v>#N/A</v>
      </c>
    </row>
    <row r="646" spans="1:19">
      <c r="A646" t="s">
        <v>15699</v>
      </c>
      <c r="I646" s="1" t="str">
        <f t="shared" si="88"/>
        <v/>
      </c>
      <c r="J646" s="1">
        <f t="shared" si="89"/>
        <v>0</v>
      </c>
      <c r="K646" s="1" t="str">
        <f t="shared" si="90"/>
        <v/>
      </c>
      <c r="L646" s="1">
        <f t="shared" si="91"/>
        <v>0</v>
      </c>
      <c r="M646" s="1">
        <f t="shared" si="92"/>
        <v>0</v>
      </c>
      <c r="N646" s="1">
        <f t="shared" si="93"/>
        <v>0</v>
      </c>
      <c r="O646" s="1" t="b">
        <f t="shared" si="94"/>
        <v>0</v>
      </c>
      <c r="P646" s="1" t="e">
        <f>INDEX(G:G,MATCH(G646,G:G,0))</f>
        <v>#N/A</v>
      </c>
      <c r="Q646" s="1" t="e">
        <f t="shared" si="95"/>
        <v>#N/A</v>
      </c>
      <c r="R646" s="1" t="e">
        <f>INDEX('6.0.35'!I:I,MATCH(F646,'6.0.35'!K:K,0))</f>
        <v>#N/A</v>
      </c>
      <c r="S646" s="1" t="e">
        <f>INDEX('6.0.35'!J:J,MATCH(F646,'6.0.35'!F:F,0))</f>
        <v>#N/A</v>
      </c>
    </row>
    <row r="647" spans="1:19">
      <c r="A647" t="s">
        <v>15702</v>
      </c>
      <c r="I647" s="1" t="str">
        <f t="shared" si="88"/>
        <v/>
      </c>
      <c r="J647" s="1">
        <f t="shared" si="89"/>
        <v>0</v>
      </c>
      <c r="K647" s="1" t="str">
        <f t="shared" si="90"/>
        <v/>
      </c>
      <c r="L647" s="1">
        <f t="shared" si="91"/>
        <v>0</v>
      </c>
      <c r="M647" s="1">
        <f t="shared" si="92"/>
        <v>0</v>
      </c>
      <c r="N647" s="1">
        <f t="shared" si="93"/>
        <v>0</v>
      </c>
      <c r="O647" s="1" t="b">
        <f t="shared" si="94"/>
        <v>0</v>
      </c>
      <c r="P647" s="1" t="e">
        <f>INDEX(G:G,MATCH(G647,G:G,0))</f>
        <v>#N/A</v>
      </c>
      <c r="Q647" s="1" t="e">
        <f t="shared" si="95"/>
        <v>#N/A</v>
      </c>
      <c r="R647" s="1" t="e">
        <f>INDEX('6.0.35'!I:I,MATCH(F647,'6.0.35'!K:K,0))</f>
        <v>#N/A</v>
      </c>
      <c r="S647" s="1" t="e">
        <f>INDEX('6.0.35'!J:J,MATCH(F647,'6.0.35'!F:F,0))</f>
        <v>#N/A</v>
      </c>
    </row>
    <row r="648" spans="1:19">
      <c r="A648" t="s">
        <v>15705</v>
      </c>
      <c r="I648" s="1" t="str">
        <f t="shared" si="88"/>
        <v/>
      </c>
      <c r="J648" s="1">
        <f t="shared" si="89"/>
        <v>0</v>
      </c>
      <c r="K648" s="1" t="str">
        <f t="shared" si="90"/>
        <v/>
      </c>
      <c r="L648" s="1">
        <f t="shared" si="91"/>
        <v>0</v>
      </c>
      <c r="M648" s="1">
        <f t="shared" si="92"/>
        <v>0</v>
      </c>
      <c r="N648" s="1">
        <f t="shared" si="93"/>
        <v>0</v>
      </c>
      <c r="O648" s="1" t="b">
        <f t="shared" si="94"/>
        <v>0</v>
      </c>
      <c r="P648" s="1" t="e">
        <f>INDEX(G:G,MATCH(G648,G:G,0))</f>
        <v>#N/A</v>
      </c>
      <c r="Q648" s="1" t="e">
        <f t="shared" si="95"/>
        <v>#N/A</v>
      </c>
      <c r="R648" s="1" t="e">
        <f>INDEX('6.0.35'!I:I,MATCH(F648,'6.0.35'!K:K,0))</f>
        <v>#N/A</v>
      </c>
      <c r="S648" s="1" t="e">
        <f>INDEX('6.0.35'!J:J,MATCH(F648,'6.0.35'!F:F,0))</f>
        <v>#N/A</v>
      </c>
    </row>
    <row r="649" spans="1:19">
      <c r="A649" t="s">
        <v>15708</v>
      </c>
      <c r="I649" s="1" t="str">
        <f t="shared" si="88"/>
        <v/>
      </c>
      <c r="J649" s="1">
        <f t="shared" si="89"/>
        <v>0</v>
      </c>
      <c r="K649" s="1" t="str">
        <f t="shared" si="90"/>
        <v/>
      </c>
      <c r="L649" s="1">
        <f t="shared" si="91"/>
        <v>0</v>
      </c>
      <c r="M649" s="1">
        <f t="shared" si="92"/>
        <v>0</v>
      </c>
      <c r="N649" s="1">
        <f t="shared" si="93"/>
        <v>0</v>
      </c>
      <c r="O649" s="1" t="b">
        <f t="shared" si="94"/>
        <v>0</v>
      </c>
      <c r="P649" s="1" t="e">
        <f>INDEX(G:G,MATCH(G649,G:G,0))</f>
        <v>#N/A</v>
      </c>
      <c r="Q649" s="1" t="e">
        <f t="shared" si="95"/>
        <v>#N/A</v>
      </c>
      <c r="R649" s="1" t="e">
        <f>INDEX('6.0.35'!I:I,MATCH(F649,'6.0.35'!K:K,0))</f>
        <v>#N/A</v>
      </c>
      <c r="S649" s="1" t="e">
        <f>INDEX('6.0.35'!J:J,MATCH(F649,'6.0.35'!F:F,0))</f>
        <v>#N/A</v>
      </c>
    </row>
    <row r="650" spans="1:19">
      <c r="A650" t="s">
        <v>15711</v>
      </c>
      <c r="I650" s="1" t="str">
        <f t="shared" si="88"/>
        <v/>
      </c>
      <c r="J650" s="1">
        <f t="shared" si="89"/>
        <v>0</v>
      </c>
      <c r="K650" s="1" t="str">
        <f t="shared" si="90"/>
        <v/>
      </c>
      <c r="L650" s="1">
        <f t="shared" si="91"/>
        <v>0</v>
      </c>
      <c r="M650" s="1">
        <f t="shared" si="92"/>
        <v>0</v>
      </c>
      <c r="N650" s="1">
        <f t="shared" si="93"/>
        <v>0</v>
      </c>
      <c r="O650" s="1" t="b">
        <f t="shared" si="94"/>
        <v>0</v>
      </c>
      <c r="P650" s="1" t="e">
        <f>INDEX(G:G,MATCH(G650,G:G,0))</f>
        <v>#N/A</v>
      </c>
      <c r="Q650" s="1" t="e">
        <f t="shared" si="95"/>
        <v>#N/A</v>
      </c>
      <c r="R650" s="1" t="e">
        <f>INDEX('6.0.35'!I:I,MATCH(F650,'6.0.35'!K:K,0))</f>
        <v>#N/A</v>
      </c>
      <c r="S650" s="1" t="e">
        <f>INDEX('6.0.35'!J:J,MATCH(F650,'6.0.35'!F:F,0))</f>
        <v>#N/A</v>
      </c>
    </row>
    <row r="651" spans="1:19">
      <c r="A651" t="s">
        <v>15714</v>
      </c>
      <c r="I651" s="1" t="str">
        <f t="shared" si="88"/>
        <v/>
      </c>
      <c r="J651" s="1">
        <f t="shared" si="89"/>
        <v>0</v>
      </c>
      <c r="K651" s="1" t="str">
        <f t="shared" si="90"/>
        <v/>
      </c>
      <c r="L651" s="1">
        <f t="shared" si="91"/>
        <v>0</v>
      </c>
      <c r="M651" s="1">
        <f t="shared" si="92"/>
        <v>0</v>
      </c>
      <c r="N651" s="1">
        <f t="shared" si="93"/>
        <v>0</v>
      </c>
      <c r="O651" s="1" t="b">
        <f t="shared" si="94"/>
        <v>0</v>
      </c>
      <c r="P651" s="1" t="e">
        <f>INDEX(G:G,MATCH(G651,G:G,0))</f>
        <v>#N/A</v>
      </c>
      <c r="Q651" s="1" t="e">
        <f t="shared" si="95"/>
        <v>#N/A</v>
      </c>
      <c r="R651" s="1" t="e">
        <f>INDEX('6.0.35'!I:I,MATCH(F651,'6.0.35'!K:K,0))</f>
        <v>#N/A</v>
      </c>
      <c r="S651" s="1" t="e">
        <f>INDEX('6.0.35'!J:J,MATCH(F651,'6.0.35'!F:F,0))</f>
        <v>#N/A</v>
      </c>
    </row>
    <row r="652" spans="1:19">
      <c r="A652" t="s">
        <v>15717</v>
      </c>
      <c r="I652" s="1" t="str">
        <f t="shared" si="88"/>
        <v/>
      </c>
      <c r="J652" s="1">
        <f t="shared" si="89"/>
        <v>0</v>
      </c>
      <c r="K652" s="1" t="str">
        <f t="shared" si="90"/>
        <v/>
      </c>
      <c r="L652" s="1">
        <f t="shared" si="91"/>
        <v>0</v>
      </c>
      <c r="M652" s="1">
        <f t="shared" si="92"/>
        <v>0</v>
      </c>
      <c r="N652" s="1">
        <f t="shared" si="93"/>
        <v>0</v>
      </c>
      <c r="O652" s="1" t="b">
        <f t="shared" si="94"/>
        <v>0</v>
      </c>
      <c r="P652" s="1" t="e">
        <f>INDEX(G:G,MATCH(G652,G:G,0))</f>
        <v>#N/A</v>
      </c>
      <c r="Q652" s="1" t="e">
        <f t="shared" si="95"/>
        <v>#N/A</v>
      </c>
      <c r="R652" s="1" t="e">
        <f>INDEX('6.0.35'!I:I,MATCH(F652,'6.0.35'!K:K,0))</f>
        <v>#N/A</v>
      </c>
      <c r="S652" s="1" t="e">
        <f>INDEX('6.0.35'!J:J,MATCH(F652,'6.0.35'!F:F,0))</f>
        <v>#N/A</v>
      </c>
    </row>
    <row r="653" spans="1:19">
      <c r="A653" t="s">
        <v>15720</v>
      </c>
      <c r="I653" s="1" t="str">
        <f t="shared" si="88"/>
        <v/>
      </c>
      <c r="J653" s="1">
        <f t="shared" si="89"/>
        <v>0</v>
      </c>
      <c r="K653" s="1" t="str">
        <f t="shared" si="90"/>
        <v/>
      </c>
      <c r="L653" s="1">
        <f t="shared" si="91"/>
        <v>0</v>
      </c>
      <c r="M653" s="1">
        <f t="shared" si="92"/>
        <v>0</v>
      </c>
      <c r="N653" s="1">
        <f t="shared" si="93"/>
        <v>0</v>
      </c>
      <c r="O653" s="1" t="b">
        <f t="shared" si="94"/>
        <v>0</v>
      </c>
      <c r="P653" s="1" t="e">
        <f>INDEX(G:G,MATCH(G653,G:G,0))</f>
        <v>#N/A</v>
      </c>
      <c r="Q653" s="1" t="e">
        <f t="shared" si="95"/>
        <v>#N/A</v>
      </c>
      <c r="R653" s="1" t="e">
        <f>INDEX('6.0.35'!I:I,MATCH(F653,'6.0.35'!K:K,0))</f>
        <v>#N/A</v>
      </c>
      <c r="S653" s="1" t="e">
        <f>INDEX('6.0.35'!J:J,MATCH(F653,'6.0.35'!F:F,0))</f>
        <v>#N/A</v>
      </c>
    </row>
    <row r="654" spans="1:19">
      <c r="A654" t="s">
        <v>15723</v>
      </c>
      <c r="I654" s="1" t="str">
        <f t="shared" si="88"/>
        <v/>
      </c>
      <c r="J654" s="1">
        <f t="shared" si="89"/>
        <v>0</v>
      </c>
      <c r="K654" s="1" t="str">
        <f t="shared" si="90"/>
        <v/>
      </c>
      <c r="L654" s="1">
        <f t="shared" si="91"/>
        <v>0</v>
      </c>
      <c r="M654" s="1">
        <f t="shared" si="92"/>
        <v>0</v>
      </c>
      <c r="N654" s="1">
        <f t="shared" si="93"/>
        <v>0</v>
      </c>
      <c r="O654" s="1" t="b">
        <f t="shared" si="94"/>
        <v>0</v>
      </c>
      <c r="P654" s="1" t="e">
        <f>INDEX(G:G,MATCH(G654,G:G,0))</f>
        <v>#N/A</v>
      </c>
      <c r="Q654" s="1" t="e">
        <f t="shared" si="95"/>
        <v>#N/A</v>
      </c>
      <c r="R654" s="1" t="e">
        <f>INDEX('6.0.35'!I:I,MATCH(F654,'6.0.35'!K:K,0))</f>
        <v>#N/A</v>
      </c>
      <c r="S654" s="1" t="e">
        <f>INDEX('6.0.35'!J:J,MATCH(F654,'6.0.35'!F:F,0))</f>
        <v>#N/A</v>
      </c>
    </row>
    <row r="655" spans="1:19">
      <c r="A655" t="s">
        <v>15726</v>
      </c>
      <c r="I655" s="1" t="str">
        <f t="shared" si="88"/>
        <v/>
      </c>
      <c r="J655" s="1">
        <f t="shared" si="89"/>
        <v>0</v>
      </c>
      <c r="K655" s="1" t="str">
        <f t="shared" si="90"/>
        <v/>
      </c>
      <c r="L655" s="1">
        <f t="shared" si="91"/>
        <v>0</v>
      </c>
      <c r="M655" s="1">
        <f t="shared" si="92"/>
        <v>0</v>
      </c>
      <c r="N655" s="1">
        <f t="shared" si="93"/>
        <v>0</v>
      </c>
      <c r="O655" s="1" t="b">
        <f t="shared" si="94"/>
        <v>0</v>
      </c>
      <c r="P655" s="1" t="e">
        <f>INDEX(G:G,MATCH(G655,G:G,0))</f>
        <v>#N/A</v>
      </c>
      <c r="Q655" s="1" t="e">
        <f t="shared" si="95"/>
        <v>#N/A</v>
      </c>
      <c r="R655" s="1" t="e">
        <f>INDEX('6.0.35'!I:I,MATCH(F655,'6.0.35'!K:K,0))</f>
        <v>#N/A</v>
      </c>
      <c r="S655" s="1" t="e">
        <f>INDEX('6.0.35'!J:J,MATCH(F655,'6.0.35'!F:F,0))</f>
        <v>#N/A</v>
      </c>
    </row>
    <row r="656" spans="1:19">
      <c r="A656" t="s">
        <v>15729</v>
      </c>
      <c r="I656" s="1" t="str">
        <f t="shared" si="88"/>
        <v/>
      </c>
      <c r="J656" s="1">
        <f t="shared" si="89"/>
        <v>0</v>
      </c>
      <c r="K656" s="1" t="str">
        <f t="shared" si="90"/>
        <v/>
      </c>
      <c r="L656" s="1">
        <f t="shared" si="91"/>
        <v>0</v>
      </c>
      <c r="M656" s="1">
        <f t="shared" si="92"/>
        <v>0</v>
      </c>
      <c r="N656" s="1">
        <f t="shared" si="93"/>
        <v>0</v>
      </c>
      <c r="O656" s="1" t="b">
        <f t="shared" si="94"/>
        <v>0</v>
      </c>
      <c r="P656" s="1" t="e">
        <f>INDEX(G:G,MATCH(G656,G:G,0))</f>
        <v>#N/A</v>
      </c>
      <c r="Q656" s="1" t="e">
        <f t="shared" si="95"/>
        <v>#N/A</v>
      </c>
      <c r="R656" s="1" t="e">
        <f>INDEX('6.0.35'!I:I,MATCH(F656,'6.0.35'!K:K,0))</f>
        <v>#N/A</v>
      </c>
      <c r="S656" s="1" t="e">
        <f>INDEX('6.0.35'!J:J,MATCH(F656,'6.0.35'!F:F,0))</f>
        <v>#N/A</v>
      </c>
    </row>
    <row r="657" spans="1:19">
      <c r="A657" t="s">
        <v>15732</v>
      </c>
      <c r="I657" s="1" t="str">
        <f t="shared" si="88"/>
        <v/>
      </c>
      <c r="J657" s="1">
        <f t="shared" si="89"/>
        <v>0</v>
      </c>
      <c r="K657" s="1" t="str">
        <f t="shared" si="90"/>
        <v/>
      </c>
      <c r="L657" s="1">
        <f t="shared" si="91"/>
        <v>0</v>
      </c>
      <c r="M657" s="1">
        <f t="shared" si="92"/>
        <v>0</v>
      </c>
      <c r="N657" s="1">
        <f t="shared" si="93"/>
        <v>0</v>
      </c>
      <c r="O657" s="1" t="b">
        <f t="shared" si="94"/>
        <v>0</v>
      </c>
      <c r="P657" s="1" t="e">
        <f>INDEX(G:G,MATCH(G657,G:G,0))</f>
        <v>#N/A</v>
      </c>
      <c r="Q657" s="1" t="e">
        <f t="shared" si="95"/>
        <v>#N/A</v>
      </c>
      <c r="R657" s="1" t="e">
        <f>INDEX('6.0.35'!I:I,MATCH(F657,'6.0.35'!K:K,0))</f>
        <v>#N/A</v>
      </c>
      <c r="S657" s="1" t="e">
        <f>INDEX('6.0.35'!J:J,MATCH(F657,'6.0.35'!F:F,0))</f>
        <v>#N/A</v>
      </c>
    </row>
    <row r="658" spans="1:19">
      <c r="A658" t="s">
        <v>15735</v>
      </c>
      <c r="I658" s="1" t="str">
        <f t="shared" si="88"/>
        <v/>
      </c>
      <c r="J658" s="1">
        <f t="shared" si="89"/>
        <v>0</v>
      </c>
      <c r="K658" s="1" t="str">
        <f t="shared" si="90"/>
        <v/>
      </c>
      <c r="L658" s="1">
        <f t="shared" si="91"/>
        <v>0</v>
      </c>
      <c r="M658" s="1">
        <f t="shared" si="92"/>
        <v>0</v>
      </c>
      <c r="N658" s="1">
        <f t="shared" si="93"/>
        <v>0</v>
      </c>
      <c r="O658" s="1" t="b">
        <f t="shared" si="94"/>
        <v>0</v>
      </c>
      <c r="P658" s="1" t="e">
        <f>INDEX(G:G,MATCH(G658,G:G,0))</f>
        <v>#N/A</v>
      </c>
      <c r="Q658" s="1" t="e">
        <f t="shared" si="95"/>
        <v>#N/A</v>
      </c>
      <c r="R658" s="1" t="e">
        <f>INDEX('6.0.35'!I:I,MATCH(F658,'6.0.35'!K:K,0))</f>
        <v>#N/A</v>
      </c>
      <c r="S658" s="1" t="e">
        <f>INDEX('6.0.35'!J:J,MATCH(F658,'6.0.35'!F:F,0))</f>
        <v>#N/A</v>
      </c>
    </row>
    <row r="659" spans="1:19">
      <c r="A659" t="s">
        <v>15738</v>
      </c>
      <c r="I659" s="1" t="str">
        <f t="shared" si="88"/>
        <v/>
      </c>
      <c r="J659" s="1">
        <f t="shared" si="89"/>
        <v>0</v>
      </c>
      <c r="K659" s="1" t="str">
        <f t="shared" si="90"/>
        <v/>
      </c>
      <c r="L659" s="1">
        <f t="shared" si="91"/>
        <v>0</v>
      </c>
      <c r="M659" s="1">
        <f t="shared" si="92"/>
        <v>0</v>
      </c>
      <c r="N659" s="1">
        <f t="shared" si="93"/>
        <v>0</v>
      </c>
      <c r="O659" s="1" t="b">
        <f t="shared" si="94"/>
        <v>0</v>
      </c>
      <c r="P659" s="1" t="e">
        <f>INDEX(G:G,MATCH(G659,G:G,0))</f>
        <v>#N/A</v>
      </c>
      <c r="Q659" s="1" t="e">
        <f t="shared" si="95"/>
        <v>#N/A</v>
      </c>
      <c r="R659" s="1" t="e">
        <f>INDEX('6.0.35'!I:I,MATCH(F659,'6.0.35'!K:K,0))</f>
        <v>#N/A</v>
      </c>
      <c r="S659" s="1" t="e">
        <f>INDEX('6.0.35'!J:J,MATCH(F659,'6.0.35'!F:F,0))</f>
        <v>#N/A</v>
      </c>
    </row>
    <row r="660" spans="1:19">
      <c r="A660" t="s">
        <v>15741</v>
      </c>
      <c r="I660" s="1" t="str">
        <f t="shared" si="88"/>
        <v/>
      </c>
      <c r="J660" s="1">
        <f t="shared" si="89"/>
        <v>0</v>
      </c>
      <c r="K660" s="1" t="str">
        <f t="shared" si="90"/>
        <v/>
      </c>
      <c r="L660" s="1">
        <f t="shared" si="91"/>
        <v>0</v>
      </c>
      <c r="M660" s="1">
        <f t="shared" si="92"/>
        <v>0</v>
      </c>
      <c r="N660" s="1">
        <f t="shared" si="93"/>
        <v>0</v>
      </c>
      <c r="O660" s="1" t="b">
        <f t="shared" si="94"/>
        <v>0</v>
      </c>
      <c r="P660" s="1" t="e">
        <f>INDEX(G:G,MATCH(G660,G:G,0))</f>
        <v>#N/A</v>
      </c>
      <c r="Q660" s="1" t="e">
        <f t="shared" si="95"/>
        <v>#N/A</v>
      </c>
      <c r="R660" s="1" t="e">
        <f>INDEX('6.0.35'!I:I,MATCH(F660,'6.0.35'!K:K,0))</f>
        <v>#N/A</v>
      </c>
      <c r="S660" s="1" t="e">
        <f>INDEX('6.0.35'!J:J,MATCH(F660,'6.0.35'!F:F,0))</f>
        <v>#N/A</v>
      </c>
    </row>
    <row r="661" spans="1:19">
      <c r="A661" t="s">
        <v>15744</v>
      </c>
      <c r="I661" s="1" t="str">
        <f t="shared" si="88"/>
        <v/>
      </c>
      <c r="J661" s="1">
        <f t="shared" si="89"/>
        <v>0</v>
      </c>
      <c r="K661" s="1" t="str">
        <f t="shared" si="90"/>
        <v/>
      </c>
      <c r="L661" s="1">
        <f t="shared" si="91"/>
        <v>0</v>
      </c>
      <c r="M661" s="1">
        <f t="shared" si="92"/>
        <v>0</v>
      </c>
      <c r="N661" s="1">
        <f t="shared" si="93"/>
        <v>0</v>
      </c>
      <c r="O661" s="1" t="b">
        <f t="shared" si="94"/>
        <v>0</v>
      </c>
      <c r="P661" s="1" t="e">
        <f>INDEX(G:G,MATCH(G661,G:G,0))</f>
        <v>#N/A</v>
      </c>
      <c r="Q661" s="1" t="e">
        <f t="shared" si="95"/>
        <v>#N/A</v>
      </c>
      <c r="R661" s="1" t="e">
        <f>INDEX('6.0.35'!I:I,MATCH(F661,'6.0.35'!K:K,0))</f>
        <v>#N/A</v>
      </c>
      <c r="S661" s="1" t="e">
        <f>INDEX('6.0.35'!J:J,MATCH(F661,'6.0.35'!F:F,0))</f>
        <v>#N/A</v>
      </c>
    </row>
    <row r="662" spans="1:19">
      <c r="A662" t="s">
        <v>15747</v>
      </c>
      <c r="I662" s="1" t="str">
        <f t="shared" si="88"/>
        <v/>
      </c>
      <c r="J662" s="1">
        <f t="shared" si="89"/>
        <v>0</v>
      </c>
      <c r="K662" s="1" t="str">
        <f t="shared" si="90"/>
        <v/>
      </c>
      <c r="L662" s="1">
        <f t="shared" si="91"/>
        <v>0</v>
      </c>
      <c r="M662" s="1">
        <f t="shared" si="92"/>
        <v>0</v>
      </c>
      <c r="N662" s="1">
        <f t="shared" si="93"/>
        <v>0</v>
      </c>
      <c r="O662" s="1" t="b">
        <f t="shared" si="94"/>
        <v>0</v>
      </c>
      <c r="P662" s="1" t="e">
        <f>INDEX(G:G,MATCH(G662,G:G,0))</f>
        <v>#N/A</v>
      </c>
      <c r="Q662" s="1" t="e">
        <f t="shared" si="95"/>
        <v>#N/A</v>
      </c>
      <c r="R662" s="1" t="e">
        <f>INDEX('6.0.35'!I:I,MATCH(F662,'6.0.35'!K:K,0))</f>
        <v>#N/A</v>
      </c>
      <c r="S662" s="1" t="e">
        <f>INDEX('6.0.35'!J:J,MATCH(F662,'6.0.35'!F:F,0))</f>
        <v>#N/A</v>
      </c>
    </row>
    <row r="663" spans="1:19">
      <c r="A663" t="s">
        <v>15750</v>
      </c>
      <c r="I663" s="1" t="str">
        <f t="shared" si="88"/>
        <v/>
      </c>
      <c r="J663" s="1">
        <f t="shared" si="89"/>
        <v>0</v>
      </c>
      <c r="K663" s="1" t="str">
        <f t="shared" si="90"/>
        <v/>
      </c>
      <c r="L663" s="1">
        <f t="shared" si="91"/>
        <v>0</v>
      </c>
      <c r="M663" s="1">
        <f t="shared" si="92"/>
        <v>0</v>
      </c>
      <c r="N663" s="1">
        <f t="shared" si="93"/>
        <v>0</v>
      </c>
      <c r="O663" s="1" t="b">
        <f t="shared" si="94"/>
        <v>0</v>
      </c>
      <c r="P663" s="1" t="e">
        <f>INDEX(G:G,MATCH(G663,G:G,0))</f>
        <v>#N/A</v>
      </c>
      <c r="Q663" s="1" t="e">
        <f t="shared" si="95"/>
        <v>#N/A</v>
      </c>
      <c r="R663" s="1" t="e">
        <f>INDEX('6.0.35'!I:I,MATCH(F663,'6.0.35'!K:K,0))</f>
        <v>#N/A</v>
      </c>
      <c r="S663" s="1" t="e">
        <f>INDEX('6.0.35'!J:J,MATCH(F663,'6.0.35'!F:F,0))</f>
        <v>#N/A</v>
      </c>
    </row>
    <row r="664" spans="1:19">
      <c r="A664" t="s">
        <v>15753</v>
      </c>
      <c r="I664" s="1" t="str">
        <f t="shared" si="88"/>
        <v/>
      </c>
      <c r="J664" s="1">
        <f t="shared" si="89"/>
        <v>0</v>
      </c>
      <c r="K664" s="1" t="str">
        <f t="shared" si="90"/>
        <v/>
      </c>
      <c r="L664" s="1">
        <f t="shared" si="91"/>
        <v>0</v>
      </c>
      <c r="M664" s="1">
        <f t="shared" si="92"/>
        <v>0</v>
      </c>
      <c r="N664" s="1">
        <f t="shared" si="93"/>
        <v>0</v>
      </c>
      <c r="O664" s="1" t="b">
        <f t="shared" si="94"/>
        <v>0</v>
      </c>
      <c r="P664" s="1" t="e">
        <f>INDEX(G:G,MATCH(G664,G:G,0))</f>
        <v>#N/A</v>
      </c>
      <c r="Q664" s="1" t="e">
        <f t="shared" si="95"/>
        <v>#N/A</v>
      </c>
      <c r="R664" s="1" t="e">
        <f>INDEX('6.0.35'!I:I,MATCH(F664,'6.0.35'!K:K,0))</f>
        <v>#N/A</v>
      </c>
      <c r="S664" s="1" t="e">
        <f>INDEX('6.0.35'!J:J,MATCH(F664,'6.0.35'!F:F,0))</f>
        <v>#N/A</v>
      </c>
    </row>
    <row r="665" spans="1:19">
      <c r="A665" t="s">
        <v>15756</v>
      </c>
      <c r="I665" s="1" t="str">
        <f t="shared" si="88"/>
        <v/>
      </c>
      <c r="J665" s="1">
        <f t="shared" si="89"/>
        <v>0</v>
      </c>
      <c r="K665" s="1" t="str">
        <f t="shared" si="90"/>
        <v/>
      </c>
      <c r="L665" s="1">
        <f t="shared" si="91"/>
        <v>0</v>
      </c>
      <c r="M665" s="1">
        <f t="shared" si="92"/>
        <v>0</v>
      </c>
      <c r="N665" s="1">
        <f t="shared" si="93"/>
        <v>0</v>
      </c>
      <c r="O665" s="1" t="b">
        <f t="shared" si="94"/>
        <v>0</v>
      </c>
      <c r="P665" s="1" t="e">
        <f>INDEX(G:G,MATCH(G665,G:G,0))</f>
        <v>#N/A</v>
      </c>
      <c r="Q665" s="1" t="e">
        <f t="shared" si="95"/>
        <v>#N/A</v>
      </c>
      <c r="R665" s="1" t="e">
        <f>INDEX('6.0.35'!I:I,MATCH(F665,'6.0.35'!K:K,0))</f>
        <v>#N/A</v>
      </c>
      <c r="S665" s="1" t="e">
        <f>INDEX('6.0.35'!J:J,MATCH(F665,'6.0.35'!F:F,0))</f>
        <v>#N/A</v>
      </c>
    </row>
    <row r="666" spans="1:19">
      <c r="A666" t="s">
        <v>15759</v>
      </c>
      <c r="I666" s="1" t="str">
        <f t="shared" si="88"/>
        <v/>
      </c>
      <c r="J666" s="1">
        <f t="shared" si="89"/>
        <v>0</v>
      </c>
      <c r="K666" s="1" t="str">
        <f t="shared" si="90"/>
        <v/>
      </c>
      <c r="L666" s="1">
        <f t="shared" si="91"/>
        <v>0</v>
      </c>
      <c r="M666" s="1">
        <f t="shared" si="92"/>
        <v>0</v>
      </c>
      <c r="N666" s="1">
        <f t="shared" si="93"/>
        <v>0</v>
      </c>
      <c r="O666" s="1" t="b">
        <f t="shared" si="94"/>
        <v>0</v>
      </c>
      <c r="P666" s="1" t="e">
        <f>INDEX(G:G,MATCH(G666,G:G,0))</f>
        <v>#N/A</v>
      </c>
      <c r="Q666" s="1" t="e">
        <f t="shared" si="95"/>
        <v>#N/A</v>
      </c>
      <c r="R666" s="1" t="e">
        <f>INDEX('6.0.35'!I:I,MATCH(F666,'6.0.35'!K:K,0))</f>
        <v>#N/A</v>
      </c>
      <c r="S666" s="1" t="e">
        <f>INDEX('6.0.35'!J:J,MATCH(F666,'6.0.35'!F:F,0))</f>
        <v>#N/A</v>
      </c>
    </row>
    <row r="667" spans="1:19">
      <c r="A667" t="s">
        <v>15762</v>
      </c>
      <c r="I667" s="1" t="str">
        <f t="shared" si="88"/>
        <v/>
      </c>
      <c r="J667" s="1">
        <f t="shared" si="89"/>
        <v>0</v>
      </c>
      <c r="K667" s="1" t="str">
        <f t="shared" si="90"/>
        <v/>
      </c>
      <c r="L667" s="1">
        <f t="shared" si="91"/>
        <v>0</v>
      </c>
      <c r="M667" s="1">
        <f t="shared" si="92"/>
        <v>0</v>
      </c>
      <c r="N667" s="1">
        <f t="shared" si="93"/>
        <v>0</v>
      </c>
      <c r="O667" s="1" t="b">
        <f t="shared" si="94"/>
        <v>0</v>
      </c>
      <c r="P667" s="1" t="e">
        <f>INDEX(G:G,MATCH(G667,G:G,0))</f>
        <v>#N/A</v>
      </c>
      <c r="Q667" s="1" t="e">
        <f t="shared" si="95"/>
        <v>#N/A</v>
      </c>
      <c r="R667" s="1" t="e">
        <f>INDEX('6.0.35'!I:I,MATCH(F667,'6.0.35'!K:K,0))</f>
        <v>#N/A</v>
      </c>
      <c r="S667" s="1" t="e">
        <f>INDEX('6.0.35'!J:J,MATCH(F667,'6.0.35'!F:F,0))</f>
        <v>#N/A</v>
      </c>
    </row>
    <row r="668" spans="1:19">
      <c r="A668" t="s">
        <v>15765</v>
      </c>
      <c r="I668" s="1" t="str">
        <f t="shared" si="88"/>
        <v/>
      </c>
      <c r="J668" s="1">
        <f t="shared" si="89"/>
        <v>0</v>
      </c>
      <c r="K668" s="1" t="str">
        <f t="shared" si="90"/>
        <v/>
      </c>
      <c r="L668" s="1">
        <f t="shared" si="91"/>
        <v>0</v>
      </c>
      <c r="M668" s="1">
        <f t="shared" si="92"/>
        <v>0</v>
      </c>
      <c r="N668" s="1">
        <f t="shared" si="93"/>
        <v>0</v>
      </c>
      <c r="O668" s="1" t="b">
        <f t="shared" si="94"/>
        <v>0</v>
      </c>
      <c r="P668" s="1" t="e">
        <f>INDEX(G:G,MATCH(G668,G:G,0))</f>
        <v>#N/A</v>
      </c>
      <c r="Q668" s="1" t="e">
        <f t="shared" si="95"/>
        <v>#N/A</v>
      </c>
      <c r="R668" s="1" t="e">
        <f>INDEX('6.0.35'!I:I,MATCH(F668,'6.0.35'!K:K,0))</f>
        <v>#N/A</v>
      </c>
      <c r="S668" s="1" t="e">
        <f>INDEX('6.0.35'!J:J,MATCH(F668,'6.0.35'!F:F,0))</f>
        <v>#N/A</v>
      </c>
    </row>
    <row r="669" spans="1:19">
      <c r="A669" t="s">
        <v>15768</v>
      </c>
      <c r="I669" s="1" t="str">
        <f t="shared" si="88"/>
        <v/>
      </c>
      <c r="J669" s="1">
        <f t="shared" si="89"/>
        <v>0</v>
      </c>
      <c r="K669" s="1" t="str">
        <f t="shared" si="90"/>
        <v/>
      </c>
      <c r="L669" s="1">
        <f t="shared" si="91"/>
        <v>0</v>
      </c>
      <c r="M669" s="1">
        <f t="shared" si="92"/>
        <v>0</v>
      </c>
      <c r="N669" s="1">
        <f t="shared" si="93"/>
        <v>0</v>
      </c>
      <c r="O669" s="1" t="b">
        <f t="shared" si="94"/>
        <v>0</v>
      </c>
      <c r="P669" s="1" t="e">
        <f>INDEX(G:G,MATCH(G669,G:G,0))</f>
        <v>#N/A</v>
      </c>
      <c r="Q669" s="1" t="e">
        <f t="shared" si="95"/>
        <v>#N/A</v>
      </c>
      <c r="R669" s="1" t="e">
        <f>INDEX('6.0.35'!I:I,MATCH(F669,'6.0.35'!K:K,0))</f>
        <v>#N/A</v>
      </c>
      <c r="S669" s="1" t="e">
        <f>INDEX('6.0.35'!J:J,MATCH(F669,'6.0.35'!F:F,0))</f>
        <v>#N/A</v>
      </c>
    </row>
    <row r="670" spans="1:19">
      <c r="A670" t="s">
        <v>15771</v>
      </c>
      <c r="I670" s="1" t="str">
        <f t="shared" si="88"/>
        <v/>
      </c>
      <c r="J670" s="1">
        <f t="shared" si="89"/>
        <v>0</v>
      </c>
      <c r="K670" s="1" t="str">
        <f t="shared" si="90"/>
        <v/>
      </c>
      <c r="L670" s="1">
        <f t="shared" si="91"/>
        <v>0</v>
      </c>
      <c r="M670" s="1">
        <f t="shared" si="92"/>
        <v>0</v>
      </c>
      <c r="N670" s="1">
        <f t="shared" si="93"/>
        <v>0</v>
      </c>
      <c r="O670" s="1" t="b">
        <f t="shared" si="94"/>
        <v>0</v>
      </c>
      <c r="P670" s="1" t="e">
        <f>INDEX(G:G,MATCH(G670,G:G,0))</f>
        <v>#N/A</v>
      </c>
      <c r="Q670" s="1" t="e">
        <f t="shared" si="95"/>
        <v>#N/A</v>
      </c>
      <c r="R670" s="1" t="e">
        <f>INDEX('6.0.35'!I:I,MATCH(F670,'6.0.35'!K:K,0))</f>
        <v>#N/A</v>
      </c>
      <c r="S670" s="1" t="e">
        <f>INDEX('6.0.35'!J:J,MATCH(F670,'6.0.35'!F:F,0))</f>
        <v>#N/A</v>
      </c>
    </row>
    <row r="671" spans="1:19">
      <c r="A671" t="s">
        <v>15774</v>
      </c>
      <c r="I671" s="1" t="str">
        <f t="shared" si="88"/>
        <v/>
      </c>
      <c r="J671" s="1">
        <f t="shared" si="89"/>
        <v>0</v>
      </c>
      <c r="K671" s="1" t="str">
        <f t="shared" si="90"/>
        <v/>
      </c>
      <c r="L671" s="1">
        <f t="shared" si="91"/>
        <v>0</v>
      </c>
      <c r="M671" s="1">
        <f t="shared" si="92"/>
        <v>0</v>
      </c>
      <c r="N671" s="1">
        <f t="shared" si="93"/>
        <v>0</v>
      </c>
      <c r="O671" s="1" t="b">
        <f t="shared" si="94"/>
        <v>0</v>
      </c>
      <c r="P671" s="1" t="e">
        <f>INDEX(G:G,MATCH(G671,G:G,0))</f>
        <v>#N/A</v>
      </c>
      <c r="Q671" s="1" t="e">
        <f t="shared" si="95"/>
        <v>#N/A</v>
      </c>
      <c r="R671" s="1" t="e">
        <f>INDEX('6.0.35'!I:I,MATCH(F671,'6.0.35'!K:K,0))</f>
        <v>#N/A</v>
      </c>
      <c r="S671" s="1" t="e">
        <f>INDEX('6.0.35'!J:J,MATCH(F671,'6.0.35'!F:F,0))</f>
        <v>#N/A</v>
      </c>
    </row>
    <row r="672" spans="1:19">
      <c r="A672" t="s">
        <v>15777</v>
      </c>
      <c r="I672" s="1" t="str">
        <f t="shared" si="88"/>
        <v/>
      </c>
      <c r="J672" s="1">
        <f t="shared" si="89"/>
        <v>0</v>
      </c>
      <c r="K672" s="1" t="str">
        <f t="shared" si="90"/>
        <v/>
      </c>
      <c r="L672" s="1">
        <f t="shared" si="91"/>
        <v>0</v>
      </c>
      <c r="M672" s="1">
        <f t="shared" si="92"/>
        <v>0</v>
      </c>
      <c r="N672" s="1">
        <f t="shared" si="93"/>
        <v>0</v>
      </c>
      <c r="O672" s="1" t="b">
        <f t="shared" si="94"/>
        <v>0</v>
      </c>
      <c r="P672" s="1" t="e">
        <f>INDEX(G:G,MATCH(G672,G:G,0))</f>
        <v>#N/A</v>
      </c>
      <c r="Q672" s="1" t="e">
        <f t="shared" si="95"/>
        <v>#N/A</v>
      </c>
      <c r="R672" s="1" t="e">
        <f>INDEX('6.0.35'!I:I,MATCH(F672,'6.0.35'!K:K,0))</f>
        <v>#N/A</v>
      </c>
      <c r="S672" s="1" t="e">
        <f>INDEX('6.0.35'!J:J,MATCH(F672,'6.0.35'!F:F,0))</f>
        <v>#N/A</v>
      </c>
    </row>
    <row r="673" spans="1:19">
      <c r="A673" t="s">
        <v>15780</v>
      </c>
      <c r="I673" s="1" t="str">
        <f t="shared" si="88"/>
        <v/>
      </c>
      <c r="J673" s="1">
        <f t="shared" si="89"/>
        <v>0</v>
      </c>
      <c r="K673" s="1" t="str">
        <f t="shared" si="90"/>
        <v/>
      </c>
      <c r="L673" s="1">
        <f t="shared" si="91"/>
        <v>0</v>
      </c>
      <c r="M673" s="1">
        <f t="shared" si="92"/>
        <v>0</v>
      </c>
      <c r="N673" s="1">
        <f t="shared" si="93"/>
        <v>0</v>
      </c>
      <c r="O673" s="1" t="b">
        <f t="shared" si="94"/>
        <v>0</v>
      </c>
      <c r="P673" s="1" t="e">
        <f>INDEX(G:G,MATCH(G673,G:G,0))</f>
        <v>#N/A</v>
      </c>
      <c r="Q673" s="1" t="e">
        <f t="shared" si="95"/>
        <v>#N/A</v>
      </c>
      <c r="R673" s="1" t="e">
        <f>INDEX('6.0.35'!I:I,MATCH(F673,'6.0.35'!K:K,0))</f>
        <v>#N/A</v>
      </c>
      <c r="S673" s="1" t="e">
        <f>INDEX('6.0.35'!J:J,MATCH(F673,'6.0.35'!F:F,0))</f>
        <v>#N/A</v>
      </c>
    </row>
    <row r="674" spans="1:19">
      <c r="A674" t="s">
        <v>15783</v>
      </c>
      <c r="I674" s="1" t="str">
        <f t="shared" si="88"/>
        <v/>
      </c>
      <c r="J674" s="1">
        <f t="shared" si="89"/>
        <v>0</v>
      </c>
      <c r="K674" s="1" t="str">
        <f t="shared" si="90"/>
        <v/>
      </c>
      <c r="L674" s="1">
        <f t="shared" si="91"/>
        <v>0</v>
      </c>
      <c r="M674" s="1">
        <f t="shared" si="92"/>
        <v>0</v>
      </c>
      <c r="N674" s="1">
        <f t="shared" si="93"/>
        <v>0</v>
      </c>
      <c r="O674" s="1" t="b">
        <f t="shared" si="94"/>
        <v>0</v>
      </c>
      <c r="P674" s="1" t="e">
        <f>INDEX(G:G,MATCH(G674,G:G,0))</f>
        <v>#N/A</v>
      </c>
      <c r="Q674" s="1" t="e">
        <f t="shared" si="95"/>
        <v>#N/A</v>
      </c>
      <c r="R674" s="1" t="e">
        <f>INDEX('6.0.35'!I:I,MATCH(F674,'6.0.35'!K:K,0))</f>
        <v>#N/A</v>
      </c>
      <c r="S674" s="1" t="e">
        <f>INDEX('6.0.35'!J:J,MATCH(F674,'6.0.35'!F:F,0))</f>
        <v>#N/A</v>
      </c>
    </row>
    <row r="675" spans="1:19">
      <c r="A675" t="s">
        <v>15786</v>
      </c>
      <c r="I675" s="1" t="str">
        <f t="shared" si="88"/>
        <v/>
      </c>
      <c r="J675" s="1">
        <f t="shared" si="89"/>
        <v>0</v>
      </c>
      <c r="K675" s="1" t="str">
        <f t="shared" si="90"/>
        <v/>
      </c>
      <c r="L675" s="1">
        <f t="shared" si="91"/>
        <v>0</v>
      </c>
      <c r="M675" s="1">
        <f t="shared" si="92"/>
        <v>0</v>
      </c>
      <c r="N675" s="1">
        <f t="shared" si="93"/>
        <v>0</v>
      </c>
      <c r="O675" s="1" t="b">
        <f t="shared" si="94"/>
        <v>0</v>
      </c>
      <c r="P675" s="1" t="e">
        <f>INDEX(G:G,MATCH(G675,G:G,0))</f>
        <v>#N/A</v>
      </c>
      <c r="Q675" s="1" t="e">
        <f t="shared" si="95"/>
        <v>#N/A</v>
      </c>
      <c r="R675" s="1" t="e">
        <f>INDEX('6.0.35'!I:I,MATCH(F675,'6.0.35'!K:K,0))</f>
        <v>#N/A</v>
      </c>
      <c r="S675" s="1" t="e">
        <f>INDEX('6.0.35'!J:J,MATCH(F675,'6.0.35'!F:F,0))</f>
        <v>#N/A</v>
      </c>
    </row>
    <row r="676" spans="1:19">
      <c r="A676" t="s">
        <v>15789</v>
      </c>
      <c r="I676" s="1" t="str">
        <f t="shared" si="88"/>
        <v/>
      </c>
      <c r="J676" s="1">
        <f t="shared" si="89"/>
        <v>0</v>
      </c>
      <c r="K676" s="1" t="str">
        <f t="shared" si="90"/>
        <v/>
      </c>
      <c r="L676" s="1">
        <f t="shared" si="91"/>
        <v>0</v>
      </c>
      <c r="M676" s="1">
        <f t="shared" si="92"/>
        <v>0</v>
      </c>
      <c r="N676" s="1">
        <f t="shared" si="93"/>
        <v>0</v>
      </c>
      <c r="O676" s="1" t="b">
        <f t="shared" si="94"/>
        <v>0</v>
      </c>
      <c r="P676" s="1" t="e">
        <f>INDEX(G:G,MATCH(G676,G:G,0))</f>
        <v>#N/A</v>
      </c>
      <c r="Q676" s="1" t="e">
        <f t="shared" si="95"/>
        <v>#N/A</v>
      </c>
      <c r="R676" s="1" t="e">
        <f>INDEX('6.0.35'!I:I,MATCH(F676,'6.0.35'!K:K,0))</f>
        <v>#N/A</v>
      </c>
      <c r="S676" s="1" t="e">
        <f>INDEX('6.0.35'!J:J,MATCH(F676,'6.0.35'!F:F,0))</f>
        <v>#N/A</v>
      </c>
    </row>
    <row r="677" spans="1:19">
      <c r="A677" t="s">
        <v>15792</v>
      </c>
      <c r="I677" s="1" t="str">
        <f t="shared" si="88"/>
        <v/>
      </c>
      <c r="J677" s="1">
        <f t="shared" si="89"/>
        <v>0</v>
      </c>
      <c r="K677" s="1" t="str">
        <f t="shared" si="90"/>
        <v/>
      </c>
      <c r="L677" s="1">
        <f t="shared" si="91"/>
        <v>0</v>
      </c>
      <c r="M677" s="1">
        <f t="shared" si="92"/>
        <v>0</v>
      </c>
      <c r="N677" s="1">
        <f t="shared" si="93"/>
        <v>0</v>
      </c>
      <c r="O677" s="1" t="b">
        <f t="shared" si="94"/>
        <v>0</v>
      </c>
      <c r="P677" s="1" t="e">
        <f>INDEX(G:G,MATCH(G677,G:G,0))</f>
        <v>#N/A</v>
      </c>
      <c r="Q677" s="1" t="e">
        <f t="shared" si="95"/>
        <v>#N/A</v>
      </c>
      <c r="R677" s="1" t="e">
        <f>INDEX('6.0.35'!I:I,MATCH(F677,'6.0.35'!K:K,0))</f>
        <v>#N/A</v>
      </c>
      <c r="S677" s="1" t="e">
        <f>INDEX('6.0.35'!J:J,MATCH(F677,'6.0.35'!F:F,0))</f>
        <v>#N/A</v>
      </c>
    </row>
    <row r="678" spans="1:19">
      <c r="A678" t="s">
        <v>15795</v>
      </c>
      <c r="I678" s="1" t="str">
        <f t="shared" si="88"/>
        <v/>
      </c>
      <c r="J678" s="1">
        <f t="shared" si="89"/>
        <v>0</v>
      </c>
      <c r="K678" s="1" t="str">
        <f t="shared" si="90"/>
        <v/>
      </c>
      <c r="L678" s="1">
        <f t="shared" si="91"/>
        <v>0</v>
      </c>
      <c r="M678" s="1">
        <f t="shared" si="92"/>
        <v>0</v>
      </c>
      <c r="N678" s="1">
        <f t="shared" si="93"/>
        <v>0</v>
      </c>
      <c r="O678" s="1" t="b">
        <f t="shared" si="94"/>
        <v>0</v>
      </c>
      <c r="P678" s="1" t="e">
        <f>INDEX(G:G,MATCH(G678,G:G,0))</f>
        <v>#N/A</v>
      </c>
      <c r="Q678" s="1" t="e">
        <f t="shared" si="95"/>
        <v>#N/A</v>
      </c>
      <c r="R678" s="1" t="e">
        <f>INDEX('6.0.35'!I:I,MATCH(F678,'6.0.35'!K:K,0))</f>
        <v>#N/A</v>
      </c>
      <c r="S678" s="1" t="e">
        <f>INDEX('6.0.35'!J:J,MATCH(F678,'6.0.35'!F:F,0))</f>
        <v>#N/A</v>
      </c>
    </row>
    <row r="679" spans="1:19">
      <c r="A679" t="s">
        <v>15798</v>
      </c>
      <c r="I679" s="1" t="str">
        <f t="shared" si="88"/>
        <v/>
      </c>
      <c r="J679" s="1">
        <f t="shared" si="89"/>
        <v>0</v>
      </c>
      <c r="K679" s="1" t="str">
        <f t="shared" si="90"/>
        <v/>
      </c>
      <c r="L679" s="1">
        <f t="shared" si="91"/>
        <v>0</v>
      </c>
      <c r="M679" s="1">
        <f t="shared" si="92"/>
        <v>0</v>
      </c>
      <c r="N679" s="1">
        <f t="shared" si="93"/>
        <v>0</v>
      </c>
      <c r="O679" s="1" t="b">
        <f t="shared" si="94"/>
        <v>0</v>
      </c>
      <c r="P679" s="1" t="e">
        <f>INDEX(G:G,MATCH(G679,G:G,0))</f>
        <v>#N/A</v>
      </c>
      <c r="Q679" s="1" t="e">
        <f t="shared" si="95"/>
        <v>#N/A</v>
      </c>
      <c r="R679" s="1" t="e">
        <f>INDEX('6.0.35'!I:I,MATCH(F679,'6.0.35'!K:K,0))</f>
        <v>#N/A</v>
      </c>
      <c r="S679" s="1" t="e">
        <f>INDEX('6.0.35'!J:J,MATCH(F679,'6.0.35'!F:F,0))</f>
        <v>#N/A</v>
      </c>
    </row>
    <row r="680" spans="1:19">
      <c r="A680" t="s">
        <v>15801</v>
      </c>
      <c r="I680" s="1" t="str">
        <f t="shared" si="88"/>
        <v/>
      </c>
      <c r="J680" s="1">
        <f t="shared" si="89"/>
        <v>0</v>
      </c>
      <c r="K680" s="1" t="str">
        <f t="shared" si="90"/>
        <v/>
      </c>
      <c r="L680" s="1">
        <f t="shared" si="91"/>
        <v>0</v>
      </c>
      <c r="M680" s="1">
        <f t="shared" si="92"/>
        <v>0</v>
      </c>
      <c r="N680" s="1">
        <f t="shared" si="93"/>
        <v>0</v>
      </c>
      <c r="O680" s="1" t="b">
        <f t="shared" si="94"/>
        <v>0</v>
      </c>
      <c r="P680" s="1" t="e">
        <f>INDEX(G:G,MATCH(G680,G:G,0))</f>
        <v>#N/A</v>
      </c>
      <c r="Q680" s="1" t="e">
        <f t="shared" si="95"/>
        <v>#N/A</v>
      </c>
      <c r="R680" s="1" t="e">
        <f>INDEX('6.0.35'!I:I,MATCH(F680,'6.0.35'!K:K,0))</f>
        <v>#N/A</v>
      </c>
      <c r="S680" s="1" t="e">
        <f>INDEX('6.0.35'!J:J,MATCH(F680,'6.0.35'!F:F,0))</f>
        <v>#N/A</v>
      </c>
    </row>
    <row r="681" spans="1:19">
      <c r="A681" t="s">
        <v>15804</v>
      </c>
      <c r="I681" s="1" t="str">
        <f t="shared" si="88"/>
        <v/>
      </c>
      <c r="J681" s="1">
        <f t="shared" si="89"/>
        <v>0</v>
      </c>
      <c r="K681" s="1" t="str">
        <f t="shared" si="90"/>
        <v/>
      </c>
      <c r="L681" s="1">
        <f t="shared" si="91"/>
        <v>0</v>
      </c>
      <c r="M681" s="1">
        <f t="shared" si="92"/>
        <v>0</v>
      </c>
      <c r="N681" s="1">
        <f t="shared" si="93"/>
        <v>0</v>
      </c>
      <c r="O681" s="1" t="b">
        <f t="shared" si="94"/>
        <v>0</v>
      </c>
      <c r="P681" s="1" t="e">
        <f>INDEX(G:G,MATCH(G681,G:G,0))</f>
        <v>#N/A</v>
      </c>
      <c r="Q681" s="1" t="e">
        <f t="shared" si="95"/>
        <v>#N/A</v>
      </c>
      <c r="R681" s="1" t="e">
        <f>INDEX('6.0.35'!I:I,MATCH(F681,'6.0.35'!K:K,0))</f>
        <v>#N/A</v>
      </c>
      <c r="S681" s="1" t="e">
        <f>INDEX('6.0.35'!J:J,MATCH(F681,'6.0.35'!F:F,0))</f>
        <v>#N/A</v>
      </c>
    </row>
    <row r="682" spans="1:19">
      <c r="A682" t="s">
        <v>15807</v>
      </c>
      <c r="I682" s="1" t="str">
        <f t="shared" si="88"/>
        <v/>
      </c>
      <c r="J682" s="1">
        <f t="shared" si="89"/>
        <v>0</v>
      </c>
      <c r="K682" s="1" t="str">
        <f t="shared" si="90"/>
        <v/>
      </c>
      <c r="L682" s="1">
        <f t="shared" si="91"/>
        <v>0</v>
      </c>
      <c r="M682" s="1">
        <f t="shared" si="92"/>
        <v>0</v>
      </c>
      <c r="N682" s="1">
        <f t="shared" si="93"/>
        <v>0</v>
      </c>
      <c r="O682" s="1" t="b">
        <f t="shared" si="94"/>
        <v>0</v>
      </c>
      <c r="P682" s="1" t="e">
        <f>INDEX(G:G,MATCH(G682,G:G,0))</f>
        <v>#N/A</v>
      </c>
      <c r="Q682" s="1" t="e">
        <f t="shared" si="95"/>
        <v>#N/A</v>
      </c>
      <c r="R682" s="1" t="e">
        <f>INDEX('6.0.35'!I:I,MATCH(F682,'6.0.35'!K:K,0))</f>
        <v>#N/A</v>
      </c>
      <c r="S682" s="1" t="e">
        <f>INDEX('6.0.35'!J:J,MATCH(F682,'6.0.35'!F:F,0))</f>
        <v>#N/A</v>
      </c>
    </row>
    <row r="683" spans="1:19">
      <c r="A683" t="s">
        <v>15810</v>
      </c>
      <c r="I683" s="1" t="str">
        <f t="shared" si="88"/>
        <v/>
      </c>
      <c r="J683" s="1">
        <f t="shared" si="89"/>
        <v>0</v>
      </c>
      <c r="K683" s="1" t="str">
        <f t="shared" si="90"/>
        <v/>
      </c>
      <c r="L683" s="1">
        <f t="shared" si="91"/>
        <v>0</v>
      </c>
      <c r="M683" s="1">
        <f t="shared" si="92"/>
        <v>0</v>
      </c>
      <c r="N683" s="1">
        <f t="shared" si="93"/>
        <v>0</v>
      </c>
      <c r="O683" s="1" t="b">
        <f t="shared" si="94"/>
        <v>0</v>
      </c>
      <c r="P683" s="1" t="e">
        <f>INDEX(G:G,MATCH(G683,G:G,0))</f>
        <v>#N/A</v>
      </c>
      <c r="Q683" s="1" t="e">
        <f t="shared" si="95"/>
        <v>#N/A</v>
      </c>
      <c r="R683" s="1" t="e">
        <f>INDEX('6.0.35'!I:I,MATCH(F683,'6.0.35'!K:K,0))</f>
        <v>#N/A</v>
      </c>
      <c r="S683" s="1" t="e">
        <f>INDEX('6.0.35'!J:J,MATCH(F683,'6.0.35'!F:F,0))</f>
        <v>#N/A</v>
      </c>
    </row>
    <row r="684" spans="1:19">
      <c r="A684" t="s">
        <v>15813</v>
      </c>
      <c r="I684" s="1" t="str">
        <f t="shared" si="88"/>
        <v/>
      </c>
      <c r="J684" s="1">
        <f t="shared" si="89"/>
        <v>0</v>
      </c>
      <c r="K684" s="1" t="str">
        <f t="shared" si="90"/>
        <v/>
      </c>
      <c r="L684" s="1">
        <f t="shared" si="91"/>
        <v>0</v>
      </c>
      <c r="M684" s="1">
        <f t="shared" si="92"/>
        <v>0</v>
      </c>
      <c r="N684" s="1">
        <f t="shared" si="93"/>
        <v>0</v>
      </c>
      <c r="O684" s="1" t="b">
        <f t="shared" si="94"/>
        <v>0</v>
      </c>
      <c r="P684" s="1" t="e">
        <f>INDEX(G:G,MATCH(G684,G:G,0))</f>
        <v>#N/A</v>
      </c>
      <c r="Q684" s="1" t="e">
        <f t="shared" si="95"/>
        <v>#N/A</v>
      </c>
      <c r="R684" s="1" t="e">
        <f>INDEX('6.0.35'!I:I,MATCH(F684,'6.0.35'!K:K,0))</f>
        <v>#N/A</v>
      </c>
      <c r="S684" s="1" t="e">
        <f>INDEX('6.0.35'!J:J,MATCH(F684,'6.0.35'!F:F,0))</f>
        <v>#N/A</v>
      </c>
    </row>
    <row r="685" spans="1:19">
      <c r="A685" t="s">
        <v>15816</v>
      </c>
      <c r="I685" s="1" t="str">
        <f t="shared" si="88"/>
        <v/>
      </c>
      <c r="J685" s="1">
        <f t="shared" si="89"/>
        <v>0</v>
      </c>
      <c r="K685" s="1" t="str">
        <f t="shared" si="90"/>
        <v/>
      </c>
      <c r="L685" s="1">
        <f t="shared" si="91"/>
        <v>0</v>
      </c>
      <c r="M685" s="1">
        <f t="shared" si="92"/>
        <v>0</v>
      </c>
      <c r="N685" s="1">
        <f t="shared" si="93"/>
        <v>0</v>
      </c>
      <c r="O685" s="1" t="b">
        <f t="shared" si="94"/>
        <v>0</v>
      </c>
      <c r="P685" s="1" t="e">
        <f>INDEX(G:G,MATCH(G685,G:G,0))</f>
        <v>#N/A</v>
      </c>
      <c r="Q685" s="1" t="e">
        <f t="shared" si="95"/>
        <v>#N/A</v>
      </c>
      <c r="R685" s="1" t="e">
        <f>INDEX('6.0.35'!I:I,MATCH(F685,'6.0.35'!K:K,0))</f>
        <v>#N/A</v>
      </c>
      <c r="S685" s="1" t="e">
        <f>INDEX('6.0.35'!J:J,MATCH(F685,'6.0.35'!F:F,0))</f>
        <v>#N/A</v>
      </c>
    </row>
    <row r="686" spans="1:19">
      <c r="A686" t="s">
        <v>15819</v>
      </c>
      <c r="I686" s="1" t="str">
        <f t="shared" si="88"/>
        <v/>
      </c>
      <c r="J686" s="1">
        <f t="shared" si="89"/>
        <v>0</v>
      </c>
      <c r="K686" s="1" t="str">
        <f t="shared" si="90"/>
        <v/>
      </c>
      <c r="L686" s="1">
        <f t="shared" si="91"/>
        <v>0</v>
      </c>
      <c r="M686" s="1">
        <f t="shared" si="92"/>
        <v>0</v>
      </c>
      <c r="N686" s="1">
        <f t="shared" si="93"/>
        <v>0</v>
      </c>
      <c r="O686" s="1" t="b">
        <f t="shared" si="94"/>
        <v>0</v>
      </c>
      <c r="P686" s="1" t="e">
        <f>INDEX(G:G,MATCH(G686,G:G,0))</f>
        <v>#N/A</v>
      </c>
      <c r="Q686" s="1" t="e">
        <f t="shared" si="95"/>
        <v>#N/A</v>
      </c>
      <c r="R686" s="1" t="e">
        <f>INDEX('6.0.35'!I:I,MATCH(F686,'6.0.35'!K:K,0))</f>
        <v>#N/A</v>
      </c>
      <c r="S686" s="1" t="e">
        <f>INDEX('6.0.35'!J:J,MATCH(F686,'6.0.35'!F:F,0))</f>
        <v>#N/A</v>
      </c>
    </row>
    <row r="687" spans="1:19">
      <c r="A687" t="s">
        <v>15822</v>
      </c>
      <c r="I687" s="1" t="str">
        <f t="shared" si="88"/>
        <v/>
      </c>
      <c r="J687" s="1">
        <f t="shared" si="89"/>
        <v>0</v>
      </c>
      <c r="K687" s="1" t="str">
        <f t="shared" si="90"/>
        <v/>
      </c>
      <c r="L687" s="1">
        <f t="shared" si="91"/>
        <v>0</v>
      </c>
      <c r="M687" s="1">
        <f t="shared" si="92"/>
        <v>0</v>
      </c>
      <c r="N687" s="1">
        <f t="shared" si="93"/>
        <v>0</v>
      </c>
      <c r="O687" s="1" t="b">
        <f t="shared" si="94"/>
        <v>0</v>
      </c>
      <c r="P687" s="1" t="e">
        <f>INDEX(G:G,MATCH(G687,G:G,0))</f>
        <v>#N/A</v>
      </c>
      <c r="Q687" s="1" t="e">
        <f t="shared" si="95"/>
        <v>#N/A</v>
      </c>
      <c r="R687" s="1" t="e">
        <f>INDEX('6.0.35'!I:I,MATCH(F687,'6.0.35'!K:K,0))</f>
        <v>#N/A</v>
      </c>
      <c r="S687" s="1" t="e">
        <f>INDEX('6.0.35'!J:J,MATCH(F687,'6.0.35'!F:F,0))</f>
        <v>#N/A</v>
      </c>
    </row>
    <row r="688" spans="1:19">
      <c r="A688" t="s">
        <v>15825</v>
      </c>
      <c r="I688" s="1" t="str">
        <f t="shared" si="88"/>
        <v/>
      </c>
      <c r="J688" s="1">
        <f t="shared" si="89"/>
        <v>0</v>
      </c>
      <c r="K688" s="1" t="str">
        <f t="shared" si="90"/>
        <v/>
      </c>
      <c r="L688" s="1">
        <f t="shared" si="91"/>
        <v>0</v>
      </c>
      <c r="M688" s="1">
        <f t="shared" si="92"/>
        <v>0</v>
      </c>
      <c r="N688" s="1">
        <f t="shared" si="93"/>
        <v>0</v>
      </c>
      <c r="O688" s="1" t="b">
        <f t="shared" si="94"/>
        <v>0</v>
      </c>
      <c r="P688" s="1" t="e">
        <f>INDEX(G:G,MATCH(G688,G:G,0))</f>
        <v>#N/A</v>
      </c>
      <c r="Q688" s="1" t="e">
        <f t="shared" si="95"/>
        <v>#N/A</v>
      </c>
      <c r="R688" s="1" t="e">
        <f>INDEX('6.0.35'!I:I,MATCH(F688,'6.0.35'!K:K,0))</f>
        <v>#N/A</v>
      </c>
      <c r="S688" s="1" t="e">
        <f>INDEX('6.0.35'!J:J,MATCH(F688,'6.0.35'!F:F,0))</f>
        <v>#N/A</v>
      </c>
    </row>
    <row r="689" spans="1:19">
      <c r="A689" t="s">
        <v>15828</v>
      </c>
      <c r="I689" s="1" t="str">
        <f t="shared" si="88"/>
        <v/>
      </c>
      <c r="J689" s="1">
        <f t="shared" si="89"/>
        <v>0</v>
      </c>
      <c r="K689" s="1" t="str">
        <f t="shared" si="90"/>
        <v/>
      </c>
      <c r="L689" s="1">
        <f t="shared" si="91"/>
        <v>0</v>
      </c>
      <c r="M689" s="1">
        <f t="shared" si="92"/>
        <v>0</v>
      </c>
      <c r="N689" s="1">
        <f t="shared" si="93"/>
        <v>0</v>
      </c>
      <c r="O689" s="1" t="b">
        <f t="shared" si="94"/>
        <v>0</v>
      </c>
      <c r="P689" s="1" t="e">
        <f>INDEX(G:G,MATCH(G689,G:G,0))</f>
        <v>#N/A</v>
      </c>
      <c r="Q689" s="1" t="e">
        <f t="shared" si="95"/>
        <v>#N/A</v>
      </c>
      <c r="R689" s="1" t="e">
        <f>INDEX('6.0.35'!I:I,MATCH(F689,'6.0.35'!K:K,0))</f>
        <v>#N/A</v>
      </c>
      <c r="S689" s="1" t="e">
        <f>INDEX('6.0.35'!J:J,MATCH(F689,'6.0.35'!F:F,0))</f>
        <v>#N/A</v>
      </c>
    </row>
    <row r="690" spans="1:19">
      <c r="A690" t="s">
        <v>15831</v>
      </c>
      <c r="I690" s="1" t="str">
        <f t="shared" si="88"/>
        <v/>
      </c>
      <c r="J690" s="1">
        <f t="shared" si="89"/>
        <v>0</v>
      </c>
      <c r="K690" s="1" t="str">
        <f t="shared" si="90"/>
        <v/>
      </c>
      <c r="L690" s="1">
        <f t="shared" si="91"/>
        <v>0</v>
      </c>
      <c r="M690" s="1">
        <f t="shared" si="92"/>
        <v>0</v>
      </c>
      <c r="N690" s="1">
        <f t="shared" si="93"/>
        <v>0</v>
      </c>
      <c r="O690" s="1" t="b">
        <f t="shared" si="94"/>
        <v>0</v>
      </c>
      <c r="P690" s="1" t="e">
        <f>INDEX(G:G,MATCH(G690,G:G,0))</f>
        <v>#N/A</v>
      </c>
      <c r="Q690" s="1" t="e">
        <f t="shared" si="95"/>
        <v>#N/A</v>
      </c>
      <c r="R690" s="1" t="e">
        <f>INDEX('6.0.35'!I:I,MATCH(F690,'6.0.35'!K:K,0))</f>
        <v>#N/A</v>
      </c>
      <c r="S690" s="1" t="e">
        <f>INDEX('6.0.35'!J:J,MATCH(F690,'6.0.35'!F:F,0))</f>
        <v>#N/A</v>
      </c>
    </row>
    <row r="691" spans="1:19">
      <c r="A691" t="s">
        <v>15834</v>
      </c>
      <c r="I691" s="1" t="str">
        <f t="shared" si="88"/>
        <v/>
      </c>
      <c r="J691" s="1">
        <f t="shared" si="89"/>
        <v>0</v>
      </c>
      <c r="K691" s="1" t="str">
        <f t="shared" si="90"/>
        <v/>
      </c>
      <c r="L691" s="1">
        <f t="shared" si="91"/>
        <v>0</v>
      </c>
      <c r="M691" s="1">
        <f t="shared" si="92"/>
        <v>0</v>
      </c>
      <c r="N691" s="1">
        <f t="shared" si="93"/>
        <v>0</v>
      </c>
      <c r="O691" s="1" t="b">
        <f t="shared" si="94"/>
        <v>0</v>
      </c>
      <c r="P691" s="1" t="e">
        <f>INDEX(G:G,MATCH(G691,G:G,0))</f>
        <v>#N/A</v>
      </c>
      <c r="Q691" s="1" t="e">
        <f t="shared" si="95"/>
        <v>#N/A</v>
      </c>
      <c r="R691" s="1" t="e">
        <f>INDEX('6.0.35'!I:I,MATCH(F691,'6.0.35'!K:K,0))</f>
        <v>#N/A</v>
      </c>
      <c r="S691" s="1" t="e">
        <f>INDEX('6.0.35'!J:J,MATCH(F691,'6.0.35'!F:F,0))</f>
        <v>#N/A</v>
      </c>
    </row>
    <row r="692" spans="1:19">
      <c r="A692" t="s">
        <v>15837</v>
      </c>
      <c r="I692" s="1" t="str">
        <f t="shared" si="88"/>
        <v/>
      </c>
      <c r="J692" s="1">
        <f t="shared" si="89"/>
        <v>0</v>
      </c>
      <c r="K692" s="1" t="str">
        <f t="shared" si="90"/>
        <v/>
      </c>
      <c r="L692" s="1">
        <f t="shared" si="91"/>
        <v>0</v>
      </c>
      <c r="M692" s="1">
        <f t="shared" si="92"/>
        <v>0</v>
      </c>
      <c r="N692" s="1">
        <f t="shared" si="93"/>
        <v>0</v>
      </c>
      <c r="O692" s="1" t="b">
        <f t="shared" si="94"/>
        <v>0</v>
      </c>
      <c r="P692" s="1" t="e">
        <f>INDEX(G:G,MATCH(G692,G:G,0))</f>
        <v>#N/A</v>
      </c>
      <c r="Q692" s="1" t="e">
        <f t="shared" si="95"/>
        <v>#N/A</v>
      </c>
      <c r="R692" s="1" t="e">
        <f>INDEX('6.0.35'!I:I,MATCH(F692,'6.0.35'!K:K,0))</f>
        <v>#N/A</v>
      </c>
      <c r="S692" s="1" t="e">
        <f>INDEX('6.0.35'!J:J,MATCH(F692,'6.0.35'!F:F,0))</f>
        <v>#N/A</v>
      </c>
    </row>
    <row r="693" spans="1:19">
      <c r="A693" t="s">
        <v>15840</v>
      </c>
      <c r="I693" s="1" t="str">
        <f t="shared" si="88"/>
        <v/>
      </c>
      <c r="J693" s="1">
        <f t="shared" si="89"/>
        <v>0</v>
      </c>
      <c r="K693" s="1" t="str">
        <f t="shared" si="90"/>
        <v/>
      </c>
      <c r="L693" s="1">
        <f t="shared" si="91"/>
        <v>0</v>
      </c>
      <c r="M693" s="1">
        <f t="shared" si="92"/>
        <v>0</v>
      </c>
      <c r="N693" s="1">
        <f t="shared" si="93"/>
        <v>0</v>
      </c>
      <c r="O693" s="1" t="b">
        <f t="shared" si="94"/>
        <v>0</v>
      </c>
      <c r="P693" s="1" t="e">
        <f>INDEX(G:G,MATCH(G693,G:G,0))</f>
        <v>#N/A</v>
      </c>
      <c r="Q693" s="1" t="e">
        <f t="shared" si="95"/>
        <v>#N/A</v>
      </c>
      <c r="R693" s="1" t="e">
        <f>INDEX('6.0.35'!I:I,MATCH(F693,'6.0.35'!K:K,0))</f>
        <v>#N/A</v>
      </c>
      <c r="S693" s="1" t="e">
        <f>INDEX('6.0.35'!J:J,MATCH(F693,'6.0.35'!F:F,0))</f>
        <v>#N/A</v>
      </c>
    </row>
    <row r="694" spans="1:19">
      <c r="A694" t="s">
        <v>15843</v>
      </c>
      <c r="I694" s="1" t="str">
        <f t="shared" si="88"/>
        <v/>
      </c>
      <c r="J694" s="1">
        <f t="shared" si="89"/>
        <v>0</v>
      </c>
      <c r="K694" s="1" t="str">
        <f t="shared" si="90"/>
        <v/>
      </c>
      <c r="L694" s="1">
        <f t="shared" si="91"/>
        <v>0</v>
      </c>
      <c r="M694" s="1">
        <f t="shared" si="92"/>
        <v>0</v>
      </c>
      <c r="N694" s="1">
        <f t="shared" si="93"/>
        <v>0</v>
      </c>
      <c r="O694" s="1" t="b">
        <f t="shared" si="94"/>
        <v>0</v>
      </c>
      <c r="P694" s="1" t="e">
        <f>INDEX(G:G,MATCH(G694,G:G,0))</f>
        <v>#N/A</v>
      </c>
      <c r="Q694" s="1" t="e">
        <f t="shared" si="95"/>
        <v>#N/A</v>
      </c>
      <c r="R694" s="1" t="e">
        <f>INDEX('6.0.35'!I:I,MATCH(F694,'6.0.35'!K:K,0))</f>
        <v>#N/A</v>
      </c>
      <c r="S694" s="1" t="e">
        <f>INDEX('6.0.35'!J:J,MATCH(F694,'6.0.35'!F:F,0))</f>
        <v>#N/A</v>
      </c>
    </row>
    <row r="695" spans="1:19">
      <c r="A695" t="s">
        <v>15846</v>
      </c>
      <c r="I695" s="1" t="str">
        <f t="shared" si="88"/>
        <v/>
      </c>
      <c r="J695" s="1">
        <f t="shared" si="89"/>
        <v>0</v>
      </c>
      <c r="K695" s="1" t="str">
        <f t="shared" si="90"/>
        <v/>
      </c>
      <c r="L695" s="1">
        <f t="shared" si="91"/>
        <v>0</v>
      </c>
      <c r="M695" s="1">
        <f t="shared" si="92"/>
        <v>0</v>
      </c>
      <c r="N695" s="1">
        <f t="shared" si="93"/>
        <v>0</v>
      </c>
      <c r="O695" s="1" t="b">
        <f t="shared" si="94"/>
        <v>0</v>
      </c>
      <c r="P695" s="1" t="e">
        <f>INDEX(G:G,MATCH(G695,G:G,0))</f>
        <v>#N/A</v>
      </c>
      <c r="Q695" s="1" t="e">
        <f t="shared" si="95"/>
        <v>#N/A</v>
      </c>
      <c r="R695" s="1" t="e">
        <f>INDEX('6.0.35'!I:I,MATCH(F695,'6.0.35'!K:K,0))</f>
        <v>#N/A</v>
      </c>
      <c r="S695" s="1" t="e">
        <f>INDEX('6.0.35'!J:J,MATCH(F695,'6.0.35'!F:F,0))</f>
        <v>#N/A</v>
      </c>
    </row>
    <row r="696" spans="1:19">
      <c r="A696" t="s">
        <v>15849</v>
      </c>
      <c r="I696" s="1" t="str">
        <f t="shared" si="88"/>
        <v/>
      </c>
      <c r="J696" s="1">
        <f t="shared" si="89"/>
        <v>0</v>
      </c>
      <c r="K696" s="1" t="str">
        <f t="shared" si="90"/>
        <v/>
      </c>
      <c r="L696" s="1">
        <f t="shared" si="91"/>
        <v>0</v>
      </c>
      <c r="M696" s="1">
        <f t="shared" si="92"/>
        <v>0</v>
      </c>
      <c r="N696" s="1">
        <f t="shared" si="93"/>
        <v>0</v>
      </c>
      <c r="O696" s="1" t="b">
        <f t="shared" si="94"/>
        <v>0</v>
      </c>
      <c r="P696" s="1" t="e">
        <f>INDEX(G:G,MATCH(G696,G:G,0))</f>
        <v>#N/A</v>
      </c>
      <c r="Q696" s="1" t="e">
        <f t="shared" si="95"/>
        <v>#N/A</v>
      </c>
      <c r="R696" s="1" t="e">
        <f>INDEX('6.0.35'!I:I,MATCH(F696,'6.0.35'!K:K,0))</f>
        <v>#N/A</v>
      </c>
      <c r="S696" s="1" t="e">
        <f>INDEX('6.0.35'!J:J,MATCH(F696,'6.0.35'!F:F,0))</f>
        <v>#N/A</v>
      </c>
    </row>
    <row r="697" spans="1:19">
      <c r="A697" t="s">
        <v>15852</v>
      </c>
      <c r="I697" s="1" t="str">
        <f t="shared" si="88"/>
        <v/>
      </c>
      <c r="J697" s="1">
        <f t="shared" si="89"/>
        <v>0</v>
      </c>
      <c r="K697" s="1" t="str">
        <f t="shared" si="90"/>
        <v/>
      </c>
      <c r="L697" s="1">
        <f t="shared" si="91"/>
        <v>0</v>
      </c>
      <c r="M697" s="1">
        <f t="shared" si="92"/>
        <v>0</v>
      </c>
      <c r="N697" s="1">
        <f t="shared" si="93"/>
        <v>0</v>
      </c>
      <c r="O697" s="1" t="b">
        <f t="shared" si="94"/>
        <v>0</v>
      </c>
      <c r="P697" s="1" t="e">
        <f>INDEX(G:G,MATCH(G697,G:G,0))</f>
        <v>#N/A</v>
      </c>
      <c r="Q697" s="1" t="e">
        <f t="shared" si="95"/>
        <v>#N/A</v>
      </c>
      <c r="R697" s="1" t="e">
        <f>INDEX('6.0.35'!I:I,MATCH(F697,'6.0.35'!K:K,0))</f>
        <v>#N/A</v>
      </c>
      <c r="S697" s="1" t="e">
        <f>INDEX('6.0.35'!J:J,MATCH(F697,'6.0.35'!F:F,0))</f>
        <v>#N/A</v>
      </c>
    </row>
    <row r="698" spans="1:19">
      <c r="A698" t="s">
        <v>15855</v>
      </c>
      <c r="I698" s="1" t="str">
        <f t="shared" ref="I698:I761" si="96">IFERROR(IF(OR(MID(G698,FIND(":",G698)-1,1)="""",MID(G698,FIND(":",G698)-1,1)="}",MID(G698,FIND(":",G698)-1,1)=")",MID(G698,FIND(":",G698)-1,1)="]"),"",RIGHT(G698,LEN(G698)-FIND(":",G698)-1)),"")</f>
        <v/>
      </c>
      <c r="J698" s="1">
        <f t="shared" ref="J698:J761" si="97">IF(AND(I698="",H698=""),G698,IF(H698="",I698,H698&amp;": "&amp;I698))</f>
        <v>0</v>
      </c>
      <c r="K698" s="1" t="str">
        <f t="shared" ref="K698:K761" si="98">IFERROR(IF(OR(MID(F698,FIND(":",F698)-1,1)="""",MID(F698,FIND(":",F698)-1,1)="}",MID(F698,FIND(":",F698)-1,1)=")",MID(F698,FIND(":",F698)-1,1)="]"),"",RIGHT(F698,LEN(F698)-FIND(":",F698)-1)),"")</f>
        <v/>
      </c>
      <c r="L698" s="1">
        <f t="shared" ref="L698:L761" si="99">LEN(F698)-LEN(SUBSTITUTE(F698,":",""))</f>
        <v>0</v>
      </c>
      <c r="M698" s="1">
        <f t="shared" ref="M698:M761" si="100">LEN(G698)-LEN(SUBSTITUTE(G698,":",""))</f>
        <v>0</v>
      </c>
      <c r="N698" s="1">
        <f t="shared" ref="N698:N761" si="101">LEN(G698)-LEN(SUBSTITUTE(G698,"：",""))</f>
        <v>0</v>
      </c>
      <c r="O698" s="1" t="b">
        <f t="shared" ref="O698:O761" si="102">IF(M698&gt;=2,MID(G698,FIND(":",G698)+1,LEN(G698)))</f>
        <v>0</v>
      </c>
      <c r="P698" s="1" t="e">
        <f>INDEX(G:G,MATCH(G698,G:G,0))</f>
        <v>#N/A</v>
      </c>
      <c r="Q698" s="1" t="e">
        <f t="shared" ref="Q698:Q761" si="103">IF(P698&lt;&gt;G698,"校验","")</f>
        <v>#N/A</v>
      </c>
      <c r="R698" s="1" t="e">
        <f>INDEX('6.0.35'!I:I,MATCH(F698,'6.0.35'!K:K,0))</f>
        <v>#N/A</v>
      </c>
      <c r="S698" s="1" t="e">
        <f>INDEX('6.0.35'!J:J,MATCH(F698,'6.0.35'!F:F,0))</f>
        <v>#N/A</v>
      </c>
    </row>
    <row r="699" spans="1:19">
      <c r="A699" t="s">
        <v>15858</v>
      </c>
      <c r="I699" s="1" t="str">
        <f t="shared" si="96"/>
        <v/>
      </c>
      <c r="J699" s="1">
        <f t="shared" si="97"/>
        <v>0</v>
      </c>
      <c r="K699" s="1" t="str">
        <f t="shared" si="98"/>
        <v/>
      </c>
      <c r="L699" s="1">
        <f t="shared" si="99"/>
        <v>0</v>
      </c>
      <c r="M699" s="1">
        <f t="shared" si="100"/>
        <v>0</v>
      </c>
      <c r="N699" s="1">
        <f t="shared" si="101"/>
        <v>0</v>
      </c>
      <c r="O699" s="1" t="b">
        <f t="shared" si="102"/>
        <v>0</v>
      </c>
      <c r="P699" s="1" t="e">
        <f>INDEX(G:G,MATCH(G699,G:G,0))</f>
        <v>#N/A</v>
      </c>
      <c r="Q699" s="1" t="e">
        <f t="shared" si="103"/>
        <v>#N/A</v>
      </c>
      <c r="R699" s="1" t="e">
        <f>INDEX('6.0.35'!I:I,MATCH(F699,'6.0.35'!K:K,0))</f>
        <v>#N/A</v>
      </c>
      <c r="S699" s="1" t="e">
        <f>INDEX('6.0.35'!J:J,MATCH(F699,'6.0.35'!F:F,0))</f>
        <v>#N/A</v>
      </c>
    </row>
    <row r="700" spans="1:19">
      <c r="A700" t="s">
        <v>15861</v>
      </c>
      <c r="I700" s="1" t="str">
        <f t="shared" si="96"/>
        <v/>
      </c>
      <c r="J700" s="1">
        <f t="shared" si="97"/>
        <v>0</v>
      </c>
      <c r="K700" s="1" t="str">
        <f t="shared" si="98"/>
        <v/>
      </c>
      <c r="L700" s="1">
        <f t="shared" si="99"/>
        <v>0</v>
      </c>
      <c r="M700" s="1">
        <f t="shared" si="100"/>
        <v>0</v>
      </c>
      <c r="N700" s="1">
        <f t="shared" si="101"/>
        <v>0</v>
      </c>
      <c r="O700" s="1" t="b">
        <f t="shared" si="102"/>
        <v>0</v>
      </c>
      <c r="P700" s="1" t="e">
        <f>INDEX(G:G,MATCH(G700,G:G,0))</f>
        <v>#N/A</v>
      </c>
      <c r="Q700" s="1" t="e">
        <f t="shared" si="103"/>
        <v>#N/A</v>
      </c>
      <c r="R700" s="1" t="e">
        <f>INDEX('6.0.35'!I:I,MATCH(F700,'6.0.35'!K:K,0))</f>
        <v>#N/A</v>
      </c>
      <c r="S700" s="1" t="e">
        <f>INDEX('6.0.35'!J:J,MATCH(F700,'6.0.35'!F:F,0))</f>
        <v>#N/A</v>
      </c>
    </row>
    <row r="701" spans="1:19">
      <c r="A701" t="s">
        <v>15864</v>
      </c>
      <c r="I701" s="1" t="str">
        <f t="shared" si="96"/>
        <v/>
      </c>
      <c r="J701" s="1">
        <f t="shared" si="97"/>
        <v>0</v>
      </c>
      <c r="K701" s="1" t="str">
        <f t="shared" si="98"/>
        <v/>
      </c>
      <c r="L701" s="1">
        <f t="shared" si="99"/>
        <v>0</v>
      </c>
      <c r="M701" s="1">
        <f t="shared" si="100"/>
        <v>0</v>
      </c>
      <c r="N701" s="1">
        <f t="shared" si="101"/>
        <v>0</v>
      </c>
      <c r="O701" s="1" t="b">
        <f t="shared" si="102"/>
        <v>0</v>
      </c>
      <c r="P701" s="1" t="e">
        <f>INDEX(G:G,MATCH(G701,G:G,0))</f>
        <v>#N/A</v>
      </c>
      <c r="Q701" s="1" t="e">
        <f t="shared" si="103"/>
        <v>#N/A</v>
      </c>
      <c r="R701" s="1" t="e">
        <f>INDEX('6.0.35'!I:I,MATCH(F701,'6.0.35'!K:K,0))</f>
        <v>#N/A</v>
      </c>
      <c r="S701" s="1" t="e">
        <f>INDEX('6.0.35'!J:J,MATCH(F701,'6.0.35'!F:F,0))</f>
        <v>#N/A</v>
      </c>
    </row>
    <row r="702" spans="1:19">
      <c r="A702" t="s">
        <v>15867</v>
      </c>
      <c r="I702" s="1" t="str">
        <f t="shared" si="96"/>
        <v/>
      </c>
      <c r="J702" s="1">
        <f t="shared" si="97"/>
        <v>0</v>
      </c>
      <c r="K702" s="1" t="str">
        <f t="shared" si="98"/>
        <v/>
      </c>
      <c r="L702" s="1">
        <f t="shared" si="99"/>
        <v>0</v>
      </c>
      <c r="M702" s="1">
        <f t="shared" si="100"/>
        <v>0</v>
      </c>
      <c r="N702" s="1">
        <f t="shared" si="101"/>
        <v>0</v>
      </c>
      <c r="O702" s="1" t="b">
        <f t="shared" si="102"/>
        <v>0</v>
      </c>
      <c r="P702" s="1" t="e">
        <f>INDEX(G:G,MATCH(G702,G:G,0))</f>
        <v>#N/A</v>
      </c>
      <c r="Q702" s="1" t="e">
        <f t="shared" si="103"/>
        <v>#N/A</v>
      </c>
      <c r="R702" s="1" t="e">
        <f>INDEX('6.0.35'!I:I,MATCH(F702,'6.0.35'!K:K,0))</f>
        <v>#N/A</v>
      </c>
      <c r="S702" s="1" t="e">
        <f>INDEX('6.0.35'!J:J,MATCH(F702,'6.0.35'!F:F,0))</f>
        <v>#N/A</v>
      </c>
    </row>
    <row r="703" spans="1:19">
      <c r="A703" t="s">
        <v>15870</v>
      </c>
      <c r="I703" s="1" t="str">
        <f t="shared" si="96"/>
        <v/>
      </c>
      <c r="J703" s="1">
        <f t="shared" si="97"/>
        <v>0</v>
      </c>
      <c r="K703" s="1" t="str">
        <f t="shared" si="98"/>
        <v/>
      </c>
      <c r="L703" s="1">
        <f t="shared" si="99"/>
        <v>0</v>
      </c>
      <c r="M703" s="1">
        <f t="shared" si="100"/>
        <v>0</v>
      </c>
      <c r="N703" s="1">
        <f t="shared" si="101"/>
        <v>0</v>
      </c>
      <c r="O703" s="1" t="b">
        <f t="shared" si="102"/>
        <v>0</v>
      </c>
      <c r="P703" s="1" t="e">
        <f>INDEX(G:G,MATCH(G703,G:G,0))</f>
        <v>#N/A</v>
      </c>
      <c r="Q703" s="1" t="e">
        <f t="shared" si="103"/>
        <v>#N/A</v>
      </c>
      <c r="R703" s="1" t="e">
        <f>INDEX('6.0.35'!I:I,MATCH(F703,'6.0.35'!K:K,0))</f>
        <v>#N/A</v>
      </c>
      <c r="S703" s="1" t="e">
        <f>INDEX('6.0.35'!J:J,MATCH(F703,'6.0.35'!F:F,0))</f>
        <v>#N/A</v>
      </c>
    </row>
    <row r="704" spans="1:19">
      <c r="A704" t="s">
        <v>15873</v>
      </c>
      <c r="I704" s="1" t="str">
        <f t="shared" si="96"/>
        <v/>
      </c>
      <c r="J704" s="1">
        <f t="shared" si="97"/>
        <v>0</v>
      </c>
      <c r="K704" s="1" t="str">
        <f t="shared" si="98"/>
        <v/>
      </c>
      <c r="L704" s="1">
        <f t="shared" si="99"/>
        <v>0</v>
      </c>
      <c r="M704" s="1">
        <f t="shared" si="100"/>
        <v>0</v>
      </c>
      <c r="N704" s="1">
        <f t="shared" si="101"/>
        <v>0</v>
      </c>
      <c r="O704" s="1" t="b">
        <f t="shared" si="102"/>
        <v>0</v>
      </c>
      <c r="P704" s="1" t="e">
        <f>INDEX(G:G,MATCH(G704,G:G,0))</f>
        <v>#N/A</v>
      </c>
      <c r="Q704" s="1" t="e">
        <f t="shared" si="103"/>
        <v>#N/A</v>
      </c>
      <c r="R704" s="1" t="e">
        <f>INDEX('6.0.35'!I:I,MATCH(F704,'6.0.35'!K:K,0))</f>
        <v>#N/A</v>
      </c>
      <c r="S704" s="1" t="e">
        <f>INDEX('6.0.35'!J:J,MATCH(F704,'6.0.35'!F:F,0))</f>
        <v>#N/A</v>
      </c>
    </row>
    <row r="705" spans="1:19">
      <c r="A705" t="s">
        <v>15876</v>
      </c>
      <c r="I705" s="1" t="str">
        <f t="shared" si="96"/>
        <v/>
      </c>
      <c r="J705" s="1">
        <f t="shared" si="97"/>
        <v>0</v>
      </c>
      <c r="K705" s="1" t="str">
        <f t="shared" si="98"/>
        <v/>
      </c>
      <c r="L705" s="1">
        <f t="shared" si="99"/>
        <v>0</v>
      </c>
      <c r="M705" s="1">
        <f t="shared" si="100"/>
        <v>0</v>
      </c>
      <c r="N705" s="1">
        <f t="shared" si="101"/>
        <v>0</v>
      </c>
      <c r="O705" s="1" t="b">
        <f t="shared" si="102"/>
        <v>0</v>
      </c>
      <c r="P705" s="1" t="e">
        <f>INDEX(G:G,MATCH(G705,G:G,0))</f>
        <v>#N/A</v>
      </c>
      <c r="Q705" s="1" t="e">
        <f t="shared" si="103"/>
        <v>#N/A</v>
      </c>
      <c r="R705" s="1" t="e">
        <f>INDEX('6.0.35'!I:I,MATCH(F705,'6.0.35'!K:K,0))</f>
        <v>#N/A</v>
      </c>
      <c r="S705" s="1" t="e">
        <f>INDEX('6.0.35'!J:J,MATCH(F705,'6.0.35'!F:F,0))</f>
        <v>#N/A</v>
      </c>
    </row>
    <row r="706" spans="1:19">
      <c r="A706" t="s">
        <v>15879</v>
      </c>
      <c r="I706" s="1" t="str">
        <f t="shared" si="96"/>
        <v/>
      </c>
      <c r="J706" s="1">
        <f t="shared" si="97"/>
        <v>0</v>
      </c>
      <c r="K706" s="1" t="str">
        <f t="shared" si="98"/>
        <v/>
      </c>
      <c r="L706" s="1">
        <f t="shared" si="99"/>
        <v>0</v>
      </c>
      <c r="M706" s="1">
        <f t="shared" si="100"/>
        <v>0</v>
      </c>
      <c r="N706" s="1">
        <f t="shared" si="101"/>
        <v>0</v>
      </c>
      <c r="O706" s="1" t="b">
        <f t="shared" si="102"/>
        <v>0</v>
      </c>
      <c r="P706" s="1" t="e">
        <f>INDEX(G:G,MATCH(G706,G:G,0))</f>
        <v>#N/A</v>
      </c>
      <c r="Q706" s="1" t="e">
        <f t="shared" si="103"/>
        <v>#N/A</v>
      </c>
      <c r="R706" s="1" t="e">
        <f>INDEX('6.0.35'!I:I,MATCH(F706,'6.0.35'!K:K,0))</f>
        <v>#N/A</v>
      </c>
      <c r="S706" s="1" t="e">
        <f>INDEX('6.0.35'!J:J,MATCH(F706,'6.0.35'!F:F,0))</f>
        <v>#N/A</v>
      </c>
    </row>
    <row r="707" spans="1:19">
      <c r="A707" t="s">
        <v>15882</v>
      </c>
      <c r="I707" s="1" t="str">
        <f t="shared" si="96"/>
        <v/>
      </c>
      <c r="J707" s="1">
        <f t="shared" si="97"/>
        <v>0</v>
      </c>
      <c r="K707" s="1" t="str">
        <f t="shared" si="98"/>
        <v/>
      </c>
      <c r="L707" s="1">
        <f t="shared" si="99"/>
        <v>0</v>
      </c>
      <c r="M707" s="1">
        <f t="shared" si="100"/>
        <v>0</v>
      </c>
      <c r="N707" s="1">
        <f t="shared" si="101"/>
        <v>0</v>
      </c>
      <c r="O707" s="1" t="b">
        <f t="shared" si="102"/>
        <v>0</v>
      </c>
      <c r="P707" s="1" t="e">
        <f>INDEX(G:G,MATCH(G707,G:G,0))</f>
        <v>#N/A</v>
      </c>
      <c r="Q707" s="1" t="e">
        <f t="shared" si="103"/>
        <v>#N/A</v>
      </c>
      <c r="R707" s="1" t="e">
        <f>INDEX('6.0.35'!I:I,MATCH(F707,'6.0.35'!K:K,0))</f>
        <v>#N/A</v>
      </c>
      <c r="S707" s="1" t="e">
        <f>INDEX('6.0.35'!J:J,MATCH(F707,'6.0.35'!F:F,0))</f>
        <v>#N/A</v>
      </c>
    </row>
    <row r="708" spans="1:19">
      <c r="A708" t="s">
        <v>15885</v>
      </c>
      <c r="I708" s="1" t="str">
        <f t="shared" si="96"/>
        <v/>
      </c>
      <c r="J708" s="1">
        <f t="shared" si="97"/>
        <v>0</v>
      </c>
      <c r="K708" s="1" t="str">
        <f t="shared" si="98"/>
        <v/>
      </c>
      <c r="L708" s="1">
        <f t="shared" si="99"/>
        <v>0</v>
      </c>
      <c r="M708" s="1">
        <f t="shared" si="100"/>
        <v>0</v>
      </c>
      <c r="N708" s="1">
        <f t="shared" si="101"/>
        <v>0</v>
      </c>
      <c r="O708" s="1" t="b">
        <f t="shared" si="102"/>
        <v>0</v>
      </c>
      <c r="P708" s="1" t="e">
        <f>INDEX(G:G,MATCH(G708,G:G,0))</f>
        <v>#N/A</v>
      </c>
      <c r="Q708" s="1" t="e">
        <f t="shared" si="103"/>
        <v>#N/A</v>
      </c>
      <c r="R708" s="1" t="e">
        <f>INDEX('6.0.35'!I:I,MATCH(F708,'6.0.35'!K:K,0))</f>
        <v>#N/A</v>
      </c>
      <c r="S708" s="1" t="e">
        <f>INDEX('6.0.35'!J:J,MATCH(F708,'6.0.35'!F:F,0))</f>
        <v>#N/A</v>
      </c>
    </row>
    <row r="709" spans="1:19">
      <c r="A709" t="s">
        <v>15888</v>
      </c>
      <c r="I709" s="1" t="str">
        <f t="shared" si="96"/>
        <v/>
      </c>
      <c r="J709" s="1">
        <f t="shared" si="97"/>
        <v>0</v>
      </c>
      <c r="K709" s="1" t="str">
        <f t="shared" si="98"/>
        <v/>
      </c>
      <c r="L709" s="1">
        <f t="shared" si="99"/>
        <v>0</v>
      </c>
      <c r="M709" s="1">
        <f t="shared" si="100"/>
        <v>0</v>
      </c>
      <c r="N709" s="1">
        <f t="shared" si="101"/>
        <v>0</v>
      </c>
      <c r="O709" s="1" t="b">
        <f t="shared" si="102"/>
        <v>0</v>
      </c>
      <c r="P709" s="1" t="e">
        <f>INDEX(G:G,MATCH(G709,G:G,0))</f>
        <v>#N/A</v>
      </c>
      <c r="Q709" s="1" t="e">
        <f t="shared" si="103"/>
        <v>#N/A</v>
      </c>
      <c r="R709" s="1" t="e">
        <f>INDEX('6.0.35'!I:I,MATCH(F709,'6.0.35'!K:K,0))</f>
        <v>#N/A</v>
      </c>
      <c r="S709" s="1" t="e">
        <f>INDEX('6.0.35'!J:J,MATCH(F709,'6.0.35'!F:F,0))</f>
        <v>#N/A</v>
      </c>
    </row>
    <row r="710" spans="1:19">
      <c r="A710" t="s">
        <v>15891</v>
      </c>
      <c r="I710" s="1" t="str">
        <f t="shared" si="96"/>
        <v/>
      </c>
      <c r="J710" s="1">
        <f t="shared" si="97"/>
        <v>0</v>
      </c>
      <c r="K710" s="1" t="str">
        <f t="shared" si="98"/>
        <v/>
      </c>
      <c r="L710" s="1">
        <f t="shared" si="99"/>
        <v>0</v>
      </c>
      <c r="M710" s="1">
        <f t="shared" si="100"/>
        <v>0</v>
      </c>
      <c r="N710" s="1">
        <f t="shared" si="101"/>
        <v>0</v>
      </c>
      <c r="O710" s="1" t="b">
        <f t="shared" si="102"/>
        <v>0</v>
      </c>
      <c r="P710" s="1" t="e">
        <f>INDEX(G:G,MATCH(G710,G:G,0))</f>
        <v>#N/A</v>
      </c>
      <c r="Q710" s="1" t="e">
        <f t="shared" si="103"/>
        <v>#N/A</v>
      </c>
      <c r="R710" s="1" t="e">
        <f>INDEX('6.0.35'!I:I,MATCH(F710,'6.0.35'!K:K,0))</f>
        <v>#N/A</v>
      </c>
      <c r="S710" s="1" t="e">
        <f>INDEX('6.0.35'!J:J,MATCH(F710,'6.0.35'!F:F,0))</f>
        <v>#N/A</v>
      </c>
    </row>
    <row r="711" spans="1:19">
      <c r="A711" t="s">
        <v>15894</v>
      </c>
      <c r="I711" s="1" t="str">
        <f t="shared" si="96"/>
        <v/>
      </c>
      <c r="J711" s="1">
        <f t="shared" si="97"/>
        <v>0</v>
      </c>
      <c r="K711" s="1" t="str">
        <f t="shared" si="98"/>
        <v/>
      </c>
      <c r="L711" s="1">
        <f t="shared" si="99"/>
        <v>0</v>
      </c>
      <c r="M711" s="1">
        <f t="shared" si="100"/>
        <v>0</v>
      </c>
      <c r="N711" s="1">
        <f t="shared" si="101"/>
        <v>0</v>
      </c>
      <c r="O711" s="1" t="b">
        <f t="shared" si="102"/>
        <v>0</v>
      </c>
      <c r="P711" s="1" t="e">
        <f>INDEX(G:G,MATCH(G711,G:G,0))</f>
        <v>#N/A</v>
      </c>
      <c r="Q711" s="1" t="e">
        <f t="shared" si="103"/>
        <v>#N/A</v>
      </c>
      <c r="R711" s="1" t="e">
        <f>INDEX('6.0.35'!I:I,MATCH(F711,'6.0.35'!K:K,0))</f>
        <v>#N/A</v>
      </c>
      <c r="S711" s="1" t="e">
        <f>INDEX('6.0.35'!J:J,MATCH(F711,'6.0.35'!F:F,0))</f>
        <v>#N/A</v>
      </c>
    </row>
    <row r="712" spans="1:19">
      <c r="A712" t="s">
        <v>15897</v>
      </c>
      <c r="I712" s="1" t="str">
        <f t="shared" si="96"/>
        <v/>
      </c>
      <c r="J712" s="1">
        <f t="shared" si="97"/>
        <v>0</v>
      </c>
      <c r="K712" s="1" t="str">
        <f t="shared" si="98"/>
        <v/>
      </c>
      <c r="L712" s="1">
        <f t="shared" si="99"/>
        <v>0</v>
      </c>
      <c r="M712" s="1">
        <f t="shared" si="100"/>
        <v>0</v>
      </c>
      <c r="N712" s="1">
        <f t="shared" si="101"/>
        <v>0</v>
      </c>
      <c r="O712" s="1" t="b">
        <f t="shared" si="102"/>
        <v>0</v>
      </c>
      <c r="P712" s="1" t="e">
        <f>INDEX(G:G,MATCH(G712,G:G,0))</f>
        <v>#N/A</v>
      </c>
      <c r="Q712" s="1" t="e">
        <f t="shared" si="103"/>
        <v>#N/A</v>
      </c>
      <c r="R712" s="1" t="e">
        <f>INDEX('6.0.35'!I:I,MATCH(F712,'6.0.35'!K:K,0))</f>
        <v>#N/A</v>
      </c>
      <c r="S712" s="1" t="e">
        <f>INDEX('6.0.35'!J:J,MATCH(F712,'6.0.35'!F:F,0))</f>
        <v>#N/A</v>
      </c>
    </row>
    <row r="713" spans="1:19">
      <c r="A713" t="s">
        <v>15900</v>
      </c>
      <c r="I713" s="1" t="str">
        <f t="shared" si="96"/>
        <v/>
      </c>
      <c r="J713" s="1">
        <f t="shared" si="97"/>
        <v>0</v>
      </c>
      <c r="K713" s="1" t="str">
        <f t="shared" si="98"/>
        <v/>
      </c>
      <c r="L713" s="1">
        <f t="shared" si="99"/>
        <v>0</v>
      </c>
      <c r="M713" s="1">
        <f t="shared" si="100"/>
        <v>0</v>
      </c>
      <c r="N713" s="1">
        <f t="shared" si="101"/>
        <v>0</v>
      </c>
      <c r="O713" s="1" t="b">
        <f t="shared" si="102"/>
        <v>0</v>
      </c>
      <c r="P713" s="1" t="e">
        <f>INDEX(G:G,MATCH(G713,G:G,0))</f>
        <v>#N/A</v>
      </c>
      <c r="Q713" s="1" t="e">
        <f t="shared" si="103"/>
        <v>#N/A</v>
      </c>
      <c r="R713" s="1" t="e">
        <f>INDEX('6.0.35'!I:I,MATCH(F713,'6.0.35'!K:K,0))</f>
        <v>#N/A</v>
      </c>
      <c r="S713" s="1" t="e">
        <f>INDEX('6.0.35'!J:J,MATCH(F713,'6.0.35'!F:F,0))</f>
        <v>#N/A</v>
      </c>
    </row>
    <row r="714" spans="1:19">
      <c r="A714" t="s">
        <v>15903</v>
      </c>
      <c r="I714" s="1" t="str">
        <f t="shared" si="96"/>
        <v/>
      </c>
      <c r="J714" s="1">
        <f t="shared" si="97"/>
        <v>0</v>
      </c>
      <c r="K714" s="1" t="str">
        <f t="shared" si="98"/>
        <v/>
      </c>
      <c r="L714" s="1">
        <f t="shared" si="99"/>
        <v>0</v>
      </c>
      <c r="M714" s="1">
        <f t="shared" si="100"/>
        <v>0</v>
      </c>
      <c r="N714" s="1">
        <f t="shared" si="101"/>
        <v>0</v>
      </c>
      <c r="O714" s="1" t="b">
        <f t="shared" si="102"/>
        <v>0</v>
      </c>
      <c r="P714" s="1" t="e">
        <f>INDEX(G:G,MATCH(G714,G:G,0))</f>
        <v>#N/A</v>
      </c>
      <c r="Q714" s="1" t="e">
        <f t="shared" si="103"/>
        <v>#N/A</v>
      </c>
      <c r="R714" s="1" t="e">
        <f>INDEX('6.0.35'!I:I,MATCH(F714,'6.0.35'!K:K,0))</f>
        <v>#N/A</v>
      </c>
      <c r="S714" s="1" t="e">
        <f>INDEX('6.0.35'!J:J,MATCH(F714,'6.0.35'!F:F,0))</f>
        <v>#N/A</v>
      </c>
    </row>
    <row r="715" spans="1:19">
      <c r="A715" t="s">
        <v>15906</v>
      </c>
      <c r="I715" s="1" t="str">
        <f t="shared" si="96"/>
        <v/>
      </c>
      <c r="J715" s="1">
        <f t="shared" si="97"/>
        <v>0</v>
      </c>
      <c r="K715" s="1" t="str">
        <f t="shared" si="98"/>
        <v/>
      </c>
      <c r="L715" s="1">
        <f t="shared" si="99"/>
        <v>0</v>
      </c>
      <c r="M715" s="1">
        <f t="shared" si="100"/>
        <v>0</v>
      </c>
      <c r="N715" s="1">
        <f t="shared" si="101"/>
        <v>0</v>
      </c>
      <c r="O715" s="1" t="b">
        <f t="shared" si="102"/>
        <v>0</v>
      </c>
      <c r="P715" s="1" t="e">
        <f>INDEX(G:G,MATCH(G715,G:G,0))</f>
        <v>#N/A</v>
      </c>
      <c r="Q715" s="1" t="e">
        <f t="shared" si="103"/>
        <v>#N/A</v>
      </c>
      <c r="R715" s="1" t="e">
        <f>INDEX('6.0.35'!I:I,MATCH(F715,'6.0.35'!K:K,0))</f>
        <v>#N/A</v>
      </c>
      <c r="S715" s="1" t="e">
        <f>INDEX('6.0.35'!J:J,MATCH(F715,'6.0.35'!F:F,0))</f>
        <v>#N/A</v>
      </c>
    </row>
    <row r="716" spans="1:19">
      <c r="A716" t="s">
        <v>15909</v>
      </c>
      <c r="I716" s="1" t="str">
        <f t="shared" si="96"/>
        <v/>
      </c>
      <c r="J716" s="1">
        <f t="shared" si="97"/>
        <v>0</v>
      </c>
      <c r="K716" s="1" t="str">
        <f t="shared" si="98"/>
        <v/>
      </c>
      <c r="L716" s="1">
        <f t="shared" si="99"/>
        <v>0</v>
      </c>
      <c r="M716" s="1">
        <f t="shared" si="100"/>
        <v>0</v>
      </c>
      <c r="N716" s="1">
        <f t="shared" si="101"/>
        <v>0</v>
      </c>
      <c r="O716" s="1" t="b">
        <f t="shared" si="102"/>
        <v>0</v>
      </c>
      <c r="P716" s="1" t="e">
        <f>INDEX(G:G,MATCH(G716,G:G,0))</f>
        <v>#N/A</v>
      </c>
      <c r="Q716" s="1" t="e">
        <f t="shared" si="103"/>
        <v>#N/A</v>
      </c>
      <c r="R716" s="1" t="e">
        <f>INDEX('6.0.35'!I:I,MATCH(F716,'6.0.35'!K:K,0))</f>
        <v>#N/A</v>
      </c>
      <c r="S716" s="1" t="e">
        <f>INDEX('6.0.35'!J:J,MATCH(F716,'6.0.35'!F:F,0))</f>
        <v>#N/A</v>
      </c>
    </row>
    <row r="717" spans="1:19">
      <c r="A717" t="s">
        <v>15912</v>
      </c>
      <c r="I717" s="1" t="str">
        <f t="shared" si="96"/>
        <v/>
      </c>
      <c r="J717" s="1">
        <f t="shared" si="97"/>
        <v>0</v>
      </c>
      <c r="K717" s="1" t="str">
        <f t="shared" si="98"/>
        <v/>
      </c>
      <c r="L717" s="1">
        <f t="shared" si="99"/>
        <v>0</v>
      </c>
      <c r="M717" s="1">
        <f t="shared" si="100"/>
        <v>0</v>
      </c>
      <c r="N717" s="1">
        <f t="shared" si="101"/>
        <v>0</v>
      </c>
      <c r="O717" s="1" t="b">
        <f t="shared" si="102"/>
        <v>0</v>
      </c>
      <c r="P717" s="1" t="e">
        <f>INDEX(G:G,MATCH(G717,G:G,0))</f>
        <v>#N/A</v>
      </c>
      <c r="Q717" s="1" t="e">
        <f t="shared" si="103"/>
        <v>#N/A</v>
      </c>
      <c r="R717" s="1" t="e">
        <f>INDEX('6.0.35'!I:I,MATCH(F717,'6.0.35'!K:K,0))</f>
        <v>#N/A</v>
      </c>
      <c r="S717" s="1" t="e">
        <f>INDEX('6.0.35'!J:J,MATCH(F717,'6.0.35'!F:F,0))</f>
        <v>#N/A</v>
      </c>
    </row>
    <row r="718" spans="1:19">
      <c r="A718" t="s">
        <v>15915</v>
      </c>
      <c r="I718" s="1" t="str">
        <f t="shared" si="96"/>
        <v/>
      </c>
      <c r="J718" s="1">
        <f t="shared" si="97"/>
        <v>0</v>
      </c>
      <c r="K718" s="1" t="str">
        <f t="shared" si="98"/>
        <v/>
      </c>
      <c r="L718" s="1">
        <f t="shared" si="99"/>
        <v>0</v>
      </c>
      <c r="M718" s="1">
        <f t="shared" si="100"/>
        <v>0</v>
      </c>
      <c r="N718" s="1">
        <f t="shared" si="101"/>
        <v>0</v>
      </c>
      <c r="O718" s="1" t="b">
        <f t="shared" si="102"/>
        <v>0</v>
      </c>
      <c r="P718" s="1" t="e">
        <f>INDEX(G:G,MATCH(G718,G:G,0))</f>
        <v>#N/A</v>
      </c>
      <c r="Q718" s="1" t="e">
        <f t="shared" si="103"/>
        <v>#N/A</v>
      </c>
      <c r="R718" s="1" t="e">
        <f>INDEX('6.0.35'!I:I,MATCH(F718,'6.0.35'!K:K,0))</f>
        <v>#N/A</v>
      </c>
      <c r="S718" s="1" t="e">
        <f>INDEX('6.0.35'!J:J,MATCH(F718,'6.0.35'!F:F,0))</f>
        <v>#N/A</v>
      </c>
    </row>
    <row r="719" spans="1:19">
      <c r="A719" t="s">
        <v>15918</v>
      </c>
      <c r="I719" s="1" t="str">
        <f t="shared" si="96"/>
        <v/>
      </c>
      <c r="J719" s="1">
        <f t="shared" si="97"/>
        <v>0</v>
      </c>
      <c r="K719" s="1" t="str">
        <f t="shared" si="98"/>
        <v/>
      </c>
      <c r="L719" s="1">
        <f t="shared" si="99"/>
        <v>0</v>
      </c>
      <c r="M719" s="1">
        <f t="shared" si="100"/>
        <v>0</v>
      </c>
      <c r="N719" s="1">
        <f t="shared" si="101"/>
        <v>0</v>
      </c>
      <c r="O719" s="1" t="b">
        <f t="shared" si="102"/>
        <v>0</v>
      </c>
      <c r="P719" s="1" t="e">
        <f>INDEX(G:G,MATCH(G719,G:G,0))</f>
        <v>#N/A</v>
      </c>
      <c r="Q719" s="1" t="e">
        <f t="shared" si="103"/>
        <v>#N/A</v>
      </c>
      <c r="R719" s="1" t="e">
        <f>INDEX('6.0.35'!I:I,MATCH(F719,'6.0.35'!K:K,0))</f>
        <v>#N/A</v>
      </c>
      <c r="S719" s="1" t="e">
        <f>INDEX('6.0.35'!J:J,MATCH(F719,'6.0.35'!F:F,0))</f>
        <v>#N/A</v>
      </c>
    </row>
    <row r="720" spans="1:19">
      <c r="A720" t="s">
        <v>15921</v>
      </c>
      <c r="I720" s="1" t="str">
        <f t="shared" si="96"/>
        <v/>
      </c>
      <c r="J720" s="1">
        <f t="shared" si="97"/>
        <v>0</v>
      </c>
      <c r="K720" s="1" t="str">
        <f t="shared" si="98"/>
        <v/>
      </c>
      <c r="L720" s="1">
        <f t="shared" si="99"/>
        <v>0</v>
      </c>
      <c r="M720" s="1">
        <f t="shared" si="100"/>
        <v>0</v>
      </c>
      <c r="N720" s="1">
        <f t="shared" si="101"/>
        <v>0</v>
      </c>
      <c r="O720" s="1" t="b">
        <f t="shared" si="102"/>
        <v>0</v>
      </c>
      <c r="P720" s="1" t="e">
        <f>INDEX(G:G,MATCH(G720,G:G,0))</f>
        <v>#N/A</v>
      </c>
      <c r="Q720" s="1" t="e">
        <f t="shared" si="103"/>
        <v>#N/A</v>
      </c>
      <c r="R720" s="1" t="e">
        <f>INDEX('6.0.35'!I:I,MATCH(F720,'6.0.35'!K:K,0))</f>
        <v>#N/A</v>
      </c>
      <c r="S720" s="1" t="e">
        <f>INDEX('6.0.35'!J:J,MATCH(F720,'6.0.35'!F:F,0))</f>
        <v>#N/A</v>
      </c>
    </row>
    <row r="721" spans="1:19">
      <c r="A721" t="s">
        <v>15924</v>
      </c>
      <c r="I721" s="1" t="str">
        <f t="shared" si="96"/>
        <v/>
      </c>
      <c r="J721" s="1">
        <f t="shared" si="97"/>
        <v>0</v>
      </c>
      <c r="K721" s="1" t="str">
        <f t="shared" si="98"/>
        <v/>
      </c>
      <c r="L721" s="1">
        <f t="shared" si="99"/>
        <v>0</v>
      </c>
      <c r="M721" s="1">
        <f t="shared" si="100"/>
        <v>0</v>
      </c>
      <c r="N721" s="1">
        <f t="shared" si="101"/>
        <v>0</v>
      </c>
      <c r="O721" s="1" t="b">
        <f t="shared" si="102"/>
        <v>0</v>
      </c>
      <c r="P721" s="1" t="e">
        <f>INDEX(G:G,MATCH(G721,G:G,0))</f>
        <v>#N/A</v>
      </c>
      <c r="Q721" s="1" t="e">
        <f t="shared" si="103"/>
        <v>#N/A</v>
      </c>
      <c r="R721" s="1" t="e">
        <f>INDEX('6.0.35'!I:I,MATCH(F721,'6.0.35'!K:K,0))</f>
        <v>#N/A</v>
      </c>
      <c r="S721" s="1" t="e">
        <f>INDEX('6.0.35'!J:J,MATCH(F721,'6.0.35'!F:F,0))</f>
        <v>#N/A</v>
      </c>
    </row>
    <row r="722" spans="1:19">
      <c r="A722" t="s">
        <v>15927</v>
      </c>
      <c r="I722" s="1" t="str">
        <f t="shared" si="96"/>
        <v/>
      </c>
      <c r="J722" s="1">
        <f t="shared" si="97"/>
        <v>0</v>
      </c>
      <c r="K722" s="1" t="str">
        <f t="shared" si="98"/>
        <v/>
      </c>
      <c r="L722" s="1">
        <f t="shared" si="99"/>
        <v>0</v>
      </c>
      <c r="M722" s="1">
        <f t="shared" si="100"/>
        <v>0</v>
      </c>
      <c r="N722" s="1">
        <f t="shared" si="101"/>
        <v>0</v>
      </c>
      <c r="O722" s="1" t="b">
        <f t="shared" si="102"/>
        <v>0</v>
      </c>
      <c r="P722" s="1" t="e">
        <f>INDEX(G:G,MATCH(G722,G:G,0))</f>
        <v>#N/A</v>
      </c>
      <c r="Q722" s="1" t="e">
        <f t="shared" si="103"/>
        <v>#N/A</v>
      </c>
      <c r="R722" s="1" t="e">
        <f>INDEX('6.0.35'!I:I,MATCH(F722,'6.0.35'!K:K,0))</f>
        <v>#N/A</v>
      </c>
      <c r="S722" s="1" t="e">
        <f>INDEX('6.0.35'!J:J,MATCH(F722,'6.0.35'!F:F,0))</f>
        <v>#N/A</v>
      </c>
    </row>
    <row r="723" spans="1:19">
      <c r="A723" t="s">
        <v>15930</v>
      </c>
      <c r="I723" s="1" t="str">
        <f t="shared" si="96"/>
        <v/>
      </c>
      <c r="J723" s="1">
        <f t="shared" si="97"/>
        <v>0</v>
      </c>
      <c r="K723" s="1" t="str">
        <f t="shared" si="98"/>
        <v/>
      </c>
      <c r="L723" s="1">
        <f t="shared" si="99"/>
        <v>0</v>
      </c>
      <c r="M723" s="1">
        <f t="shared" si="100"/>
        <v>0</v>
      </c>
      <c r="N723" s="1">
        <f t="shared" si="101"/>
        <v>0</v>
      </c>
      <c r="O723" s="1" t="b">
        <f t="shared" si="102"/>
        <v>0</v>
      </c>
      <c r="P723" s="1" t="e">
        <f>INDEX(G:G,MATCH(G723,G:G,0))</f>
        <v>#N/A</v>
      </c>
      <c r="Q723" s="1" t="e">
        <f t="shared" si="103"/>
        <v>#N/A</v>
      </c>
      <c r="R723" s="1" t="e">
        <f>INDEX('6.0.35'!I:I,MATCH(F723,'6.0.35'!K:K,0))</f>
        <v>#N/A</v>
      </c>
      <c r="S723" s="1" t="e">
        <f>INDEX('6.0.35'!J:J,MATCH(F723,'6.0.35'!F:F,0))</f>
        <v>#N/A</v>
      </c>
    </row>
    <row r="724" spans="1:19">
      <c r="A724" t="s">
        <v>15933</v>
      </c>
      <c r="I724" s="1" t="str">
        <f t="shared" si="96"/>
        <v/>
      </c>
      <c r="J724" s="1">
        <f t="shared" si="97"/>
        <v>0</v>
      </c>
      <c r="K724" s="1" t="str">
        <f t="shared" si="98"/>
        <v/>
      </c>
      <c r="L724" s="1">
        <f t="shared" si="99"/>
        <v>0</v>
      </c>
      <c r="M724" s="1">
        <f t="shared" si="100"/>
        <v>0</v>
      </c>
      <c r="N724" s="1">
        <f t="shared" si="101"/>
        <v>0</v>
      </c>
      <c r="O724" s="1" t="b">
        <f t="shared" si="102"/>
        <v>0</v>
      </c>
      <c r="P724" s="1" t="e">
        <f>INDEX(G:G,MATCH(G724,G:G,0))</f>
        <v>#N/A</v>
      </c>
      <c r="Q724" s="1" t="e">
        <f t="shared" si="103"/>
        <v>#N/A</v>
      </c>
      <c r="R724" s="1" t="e">
        <f>INDEX('6.0.35'!I:I,MATCH(F724,'6.0.35'!K:K,0))</f>
        <v>#N/A</v>
      </c>
      <c r="S724" s="1" t="e">
        <f>INDEX('6.0.35'!J:J,MATCH(F724,'6.0.35'!F:F,0))</f>
        <v>#N/A</v>
      </c>
    </row>
    <row r="725" spans="1:19">
      <c r="A725" t="s">
        <v>15936</v>
      </c>
      <c r="I725" s="1" t="str">
        <f t="shared" si="96"/>
        <v/>
      </c>
      <c r="J725" s="1">
        <f t="shared" si="97"/>
        <v>0</v>
      </c>
      <c r="K725" s="1" t="str">
        <f t="shared" si="98"/>
        <v/>
      </c>
      <c r="L725" s="1">
        <f t="shared" si="99"/>
        <v>0</v>
      </c>
      <c r="M725" s="1">
        <f t="shared" si="100"/>
        <v>0</v>
      </c>
      <c r="N725" s="1">
        <f t="shared" si="101"/>
        <v>0</v>
      </c>
      <c r="O725" s="1" t="b">
        <f t="shared" si="102"/>
        <v>0</v>
      </c>
      <c r="P725" s="1" t="e">
        <f>INDEX(G:G,MATCH(G725,G:G,0))</f>
        <v>#N/A</v>
      </c>
      <c r="Q725" s="1" t="e">
        <f t="shared" si="103"/>
        <v>#N/A</v>
      </c>
      <c r="R725" s="1" t="e">
        <f>INDEX('6.0.35'!I:I,MATCH(F725,'6.0.35'!K:K,0))</f>
        <v>#N/A</v>
      </c>
      <c r="S725" s="1" t="e">
        <f>INDEX('6.0.35'!J:J,MATCH(F725,'6.0.35'!F:F,0))</f>
        <v>#N/A</v>
      </c>
    </row>
    <row r="726" spans="1:19">
      <c r="A726" t="s">
        <v>15939</v>
      </c>
      <c r="I726" s="1" t="str">
        <f t="shared" si="96"/>
        <v/>
      </c>
      <c r="J726" s="1">
        <f t="shared" si="97"/>
        <v>0</v>
      </c>
      <c r="K726" s="1" t="str">
        <f t="shared" si="98"/>
        <v/>
      </c>
      <c r="L726" s="1">
        <f t="shared" si="99"/>
        <v>0</v>
      </c>
      <c r="M726" s="1">
        <f t="shared" si="100"/>
        <v>0</v>
      </c>
      <c r="N726" s="1">
        <f t="shared" si="101"/>
        <v>0</v>
      </c>
      <c r="O726" s="1" t="b">
        <f t="shared" si="102"/>
        <v>0</v>
      </c>
      <c r="P726" s="1" t="e">
        <f>INDEX(G:G,MATCH(G726,G:G,0))</f>
        <v>#N/A</v>
      </c>
      <c r="Q726" s="1" t="e">
        <f t="shared" si="103"/>
        <v>#N/A</v>
      </c>
      <c r="R726" s="1" t="e">
        <f>INDEX('6.0.35'!I:I,MATCH(F726,'6.0.35'!K:K,0))</f>
        <v>#N/A</v>
      </c>
      <c r="S726" s="1" t="e">
        <f>INDEX('6.0.35'!J:J,MATCH(F726,'6.0.35'!F:F,0))</f>
        <v>#N/A</v>
      </c>
    </row>
    <row r="727" spans="1:19">
      <c r="A727" t="s">
        <v>15942</v>
      </c>
      <c r="I727" s="1" t="str">
        <f t="shared" si="96"/>
        <v/>
      </c>
      <c r="J727" s="1">
        <f t="shared" si="97"/>
        <v>0</v>
      </c>
      <c r="K727" s="1" t="str">
        <f t="shared" si="98"/>
        <v/>
      </c>
      <c r="L727" s="1">
        <f t="shared" si="99"/>
        <v>0</v>
      </c>
      <c r="M727" s="1">
        <f t="shared" si="100"/>
        <v>0</v>
      </c>
      <c r="N727" s="1">
        <f t="shared" si="101"/>
        <v>0</v>
      </c>
      <c r="O727" s="1" t="b">
        <f t="shared" si="102"/>
        <v>0</v>
      </c>
      <c r="P727" s="1" t="e">
        <f>INDEX(G:G,MATCH(G727,G:G,0))</f>
        <v>#N/A</v>
      </c>
      <c r="Q727" s="1" t="e">
        <f t="shared" si="103"/>
        <v>#N/A</v>
      </c>
      <c r="R727" s="1" t="e">
        <f>INDEX('6.0.35'!I:I,MATCH(F727,'6.0.35'!K:K,0))</f>
        <v>#N/A</v>
      </c>
      <c r="S727" s="1" t="e">
        <f>INDEX('6.0.35'!J:J,MATCH(F727,'6.0.35'!F:F,0))</f>
        <v>#N/A</v>
      </c>
    </row>
    <row r="728" spans="1:19">
      <c r="A728" t="s">
        <v>15945</v>
      </c>
      <c r="I728" s="1" t="str">
        <f t="shared" si="96"/>
        <v/>
      </c>
      <c r="J728" s="1">
        <f t="shared" si="97"/>
        <v>0</v>
      </c>
      <c r="K728" s="1" t="str">
        <f t="shared" si="98"/>
        <v/>
      </c>
      <c r="L728" s="1">
        <f t="shared" si="99"/>
        <v>0</v>
      </c>
      <c r="M728" s="1">
        <f t="shared" si="100"/>
        <v>0</v>
      </c>
      <c r="N728" s="1">
        <f t="shared" si="101"/>
        <v>0</v>
      </c>
      <c r="O728" s="1" t="b">
        <f t="shared" si="102"/>
        <v>0</v>
      </c>
      <c r="P728" s="1" t="e">
        <f>INDEX(G:G,MATCH(G728,G:G,0))</f>
        <v>#N/A</v>
      </c>
      <c r="Q728" s="1" t="e">
        <f t="shared" si="103"/>
        <v>#N/A</v>
      </c>
      <c r="R728" s="1" t="e">
        <f>INDEX('6.0.35'!I:I,MATCH(F728,'6.0.35'!K:K,0))</f>
        <v>#N/A</v>
      </c>
      <c r="S728" s="1" t="e">
        <f>INDEX('6.0.35'!J:J,MATCH(F728,'6.0.35'!F:F,0))</f>
        <v>#N/A</v>
      </c>
    </row>
    <row r="729" spans="1:19">
      <c r="A729" t="s">
        <v>15948</v>
      </c>
      <c r="I729" s="1" t="str">
        <f t="shared" si="96"/>
        <v/>
      </c>
      <c r="J729" s="1">
        <f t="shared" si="97"/>
        <v>0</v>
      </c>
      <c r="K729" s="1" t="str">
        <f t="shared" si="98"/>
        <v/>
      </c>
      <c r="L729" s="1">
        <f t="shared" si="99"/>
        <v>0</v>
      </c>
      <c r="M729" s="1">
        <f t="shared" si="100"/>
        <v>0</v>
      </c>
      <c r="N729" s="1">
        <f t="shared" si="101"/>
        <v>0</v>
      </c>
      <c r="O729" s="1" t="b">
        <f t="shared" si="102"/>
        <v>0</v>
      </c>
      <c r="P729" s="1" t="e">
        <f>INDEX(G:G,MATCH(G729,G:G,0))</f>
        <v>#N/A</v>
      </c>
      <c r="Q729" s="1" t="e">
        <f t="shared" si="103"/>
        <v>#N/A</v>
      </c>
      <c r="R729" s="1" t="e">
        <f>INDEX('6.0.35'!I:I,MATCH(F729,'6.0.35'!K:K,0))</f>
        <v>#N/A</v>
      </c>
      <c r="S729" s="1" t="e">
        <f>INDEX('6.0.35'!J:J,MATCH(F729,'6.0.35'!F:F,0))</f>
        <v>#N/A</v>
      </c>
    </row>
    <row r="730" spans="1:19">
      <c r="A730" t="s">
        <v>15951</v>
      </c>
      <c r="I730" s="1" t="str">
        <f t="shared" si="96"/>
        <v/>
      </c>
      <c r="J730" s="1">
        <f t="shared" si="97"/>
        <v>0</v>
      </c>
      <c r="K730" s="1" t="str">
        <f t="shared" si="98"/>
        <v/>
      </c>
      <c r="L730" s="1">
        <f t="shared" si="99"/>
        <v>0</v>
      </c>
      <c r="M730" s="1">
        <f t="shared" si="100"/>
        <v>0</v>
      </c>
      <c r="N730" s="1">
        <f t="shared" si="101"/>
        <v>0</v>
      </c>
      <c r="O730" s="1" t="b">
        <f t="shared" si="102"/>
        <v>0</v>
      </c>
      <c r="P730" s="1" t="e">
        <f>INDEX(G:G,MATCH(G730,G:G,0))</f>
        <v>#N/A</v>
      </c>
      <c r="Q730" s="1" t="e">
        <f t="shared" si="103"/>
        <v>#N/A</v>
      </c>
      <c r="R730" s="1" t="e">
        <f>INDEX('6.0.35'!I:I,MATCH(F730,'6.0.35'!K:K,0))</f>
        <v>#N/A</v>
      </c>
      <c r="S730" s="1" t="e">
        <f>INDEX('6.0.35'!J:J,MATCH(F730,'6.0.35'!F:F,0))</f>
        <v>#N/A</v>
      </c>
    </row>
    <row r="731" spans="1:19">
      <c r="A731" t="s">
        <v>15954</v>
      </c>
      <c r="I731" s="1" t="str">
        <f t="shared" si="96"/>
        <v/>
      </c>
      <c r="J731" s="1">
        <f t="shared" si="97"/>
        <v>0</v>
      </c>
      <c r="K731" s="1" t="str">
        <f t="shared" si="98"/>
        <v/>
      </c>
      <c r="L731" s="1">
        <f t="shared" si="99"/>
        <v>0</v>
      </c>
      <c r="M731" s="1">
        <f t="shared" si="100"/>
        <v>0</v>
      </c>
      <c r="N731" s="1">
        <f t="shared" si="101"/>
        <v>0</v>
      </c>
      <c r="O731" s="1" t="b">
        <f t="shared" si="102"/>
        <v>0</v>
      </c>
      <c r="P731" s="1" t="e">
        <f>INDEX(G:G,MATCH(G731,G:G,0))</f>
        <v>#N/A</v>
      </c>
      <c r="Q731" s="1" t="e">
        <f t="shared" si="103"/>
        <v>#N/A</v>
      </c>
      <c r="R731" s="1" t="e">
        <f>INDEX('6.0.35'!I:I,MATCH(F731,'6.0.35'!K:K,0))</f>
        <v>#N/A</v>
      </c>
      <c r="S731" s="1" t="e">
        <f>INDEX('6.0.35'!J:J,MATCH(F731,'6.0.35'!F:F,0))</f>
        <v>#N/A</v>
      </c>
    </row>
    <row r="732" spans="1:19">
      <c r="A732" t="s">
        <v>15957</v>
      </c>
      <c r="I732" s="1" t="str">
        <f t="shared" si="96"/>
        <v/>
      </c>
      <c r="J732" s="1">
        <f t="shared" si="97"/>
        <v>0</v>
      </c>
      <c r="K732" s="1" t="str">
        <f t="shared" si="98"/>
        <v/>
      </c>
      <c r="L732" s="1">
        <f t="shared" si="99"/>
        <v>0</v>
      </c>
      <c r="M732" s="1">
        <f t="shared" si="100"/>
        <v>0</v>
      </c>
      <c r="N732" s="1">
        <f t="shared" si="101"/>
        <v>0</v>
      </c>
      <c r="O732" s="1" t="b">
        <f t="shared" si="102"/>
        <v>0</v>
      </c>
      <c r="P732" s="1" t="e">
        <f>INDEX(G:G,MATCH(G732,G:G,0))</f>
        <v>#N/A</v>
      </c>
      <c r="Q732" s="1" t="e">
        <f t="shared" si="103"/>
        <v>#N/A</v>
      </c>
      <c r="R732" s="1" t="e">
        <f>INDEX('6.0.35'!I:I,MATCH(F732,'6.0.35'!K:K,0))</f>
        <v>#N/A</v>
      </c>
      <c r="S732" s="1" t="e">
        <f>INDEX('6.0.35'!J:J,MATCH(F732,'6.0.35'!F:F,0))</f>
        <v>#N/A</v>
      </c>
    </row>
    <row r="733" spans="1:19">
      <c r="A733" t="s">
        <v>15960</v>
      </c>
      <c r="I733" s="1" t="str">
        <f t="shared" si="96"/>
        <v/>
      </c>
      <c r="J733" s="1">
        <f t="shared" si="97"/>
        <v>0</v>
      </c>
      <c r="K733" s="1" t="str">
        <f t="shared" si="98"/>
        <v/>
      </c>
      <c r="L733" s="1">
        <f t="shared" si="99"/>
        <v>0</v>
      </c>
      <c r="M733" s="1">
        <f t="shared" si="100"/>
        <v>0</v>
      </c>
      <c r="N733" s="1">
        <f t="shared" si="101"/>
        <v>0</v>
      </c>
      <c r="O733" s="1" t="b">
        <f t="shared" si="102"/>
        <v>0</v>
      </c>
      <c r="P733" s="1" t="e">
        <f>INDEX(G:G,MATCH(G733,G:G,0))</f>
        <v>#N/A</v>
      </c>
      <c r="Q733" s="1" t="e">
        <f t="shared" si="103"/>
        <v>#N/A</v>
      </c>
      <c r="R733" s="1" t="e">
        <f>INDEX('6.0.35'!I:I,MATCH(F733,'6.0.35'!K:K,0))</f>
        <v>#N/A</v>
      </c>
      <c r="S733" s="1" t="e">
        <f>INDEX('6.0.35'!J:J,MATCH(F733,'6.0.35'!F:F,0))</f>
        <v>#N/A</v>
      </c>
    </row>
    <row r="734" spans="1:19">
      <c r="A734" t="s">
        <v>15963</v>
      </c>
      <c r="I734" s="1" t="str">
        <f t="shared" si="96"/>
        <v/>
      </c>
      <c r="J734" s="1">
        <f t="shared" si="97"/>
        <v>0</v>
      </c>
      <c r="K734" s="1" t="str">
        <f t="shared" si="98"/>
        <v/>
      </c>
      <c r="L734" s="1">
        <f t="shared" si="99"/>
        <v>0</v>
      </c>
      <c r="M734" s="1">
        <f t="shared" si="100"/>
        <v>0</v>
      </c>
      <c r="N734" s="1">
        <f t="shared" si="101"/>
        <v>0</v>
      </c>
      <c r="O734" s="1" t="b">
        <f t="shared" si="102"/>
        <v>0</v>
      </c>
      <c r="P734" s="1" t="e">
        <f>INDEX(G:G,MATCH(G734,G:G,0))</f>
        <v>#N/A</v>
      </c>
      <c r="Q734" s="1" t="e">
        <f t="shared" si="103"/>
        <v>#N/A</v>
      </c>
      <c r="R734" s="1" t="e">
        <f>INDEX('6.0.35'!I:I,MATCH(F734,'6.0.35'!K:K,0))</f>
        <v>#N/A</v>
      </c>
      <c r="S734" s="1" t="e">
        <f>INDEX('6.0.35'!J:J,MATCH(F734,'6.0.35'!F:F,0))</f>
        <v>#N/A</v>
      </c>
    </row>
    <row r="735" spans="1:19">
      <c r="A735" t="s">
        <v>15966</v>
      </c>
      <c r="I735" s="1" t="str">
        <f t="shared" si="96"/>
        <v/>
      </c>
      <c r="J735" s="1">
        <f t="shared" si="97"/>
        <v>0</v>
      </c>
      <c r="K735" s="1" t="str">
        <f t="shared" si="98"/>
        <v/>
      </c>
      <c r="L735" s="1">
        <f t="shared" si="99"/>
        <v>0</v>
      </c>
      <c r="M735" s="1">
        <f t="shared" si="100"/>
        <v>0</v>
      </c>
      <c r="N735" s="1">
        <f t="shared" si="101"/>
        <v>0</v>
      </c>
      <c r="O735" s="1" t="b">
        <f t="shared" si="102"/>
        <v>0</v>
      </c>
      <c r="P735" s="1" t="e">
        <f>INDEX(G:G,MATCH(G735,G:G,0))</f>
        <v>#N/A</v>
      </c>
      <c r="Q735" s="1" t="e">
        <f t="shared" si="103"/>
        <v>#N/A</v>
      </c>
      <c r="R735" s="1" t="e">
        <f>INDEX('6.0.35'!I:I,MATCH(F735,'6.0.35'!K:K,0))</f>
        <v>#N/A</v>
      </c>
      <c r="S735" s="1" t="e">
        <f>INDEX('6.0.35'!J:J,MATCH(F735,'6.0.35'!F:F,0))</f>
        <v>#N/A</v>
      </c>
    </row>
    <row r="736" spans="1:19">
      <c r="A736" t="s">
        <v>15969</v>
      </c>
      <c r="I736" s="1" t="str">
        <f t="shared" si="96"/>
        <v/>
      </c>
      <c r="J736" s="1">
        <f t="shared" si="97"/>
        <v>0</v>
      </c>
      <c r="K736" s="1" t="str">
        <f t="shared" si="98"/>
        <v/>
      </c>
      <c r="L736" s="1">
        <f t="shared" si="99"/>
        <v>0</v>
      </c>
      <c r="M736" s="1">
        <f t="shared" si="100"/>
        <v>0</v>
      </c>
      <c r="N736" s="1">
        <f t="shared" si="101"/>
        <v>0</v>
      </c>
      <c r="O736" s="1" t="b">
        <f t="shared" si="102"/>
        <v>0</v>
      </c>
      <c r="P736" s="1" t="e">
        <f>INDEX(G:G,MATCH(G736,G:G,0))</f>
        <v>#N/A</v>
      </c>
      <c r="Q736" s="1" t="e">
        <f t="shared" si="103"/>
        <v>#N/A</v>
      </c>
      <c r="R736" s="1" t="e">
        <f>INDEX('6.0.35'!I:I,MATCH(F736,'6.0.35'!K:K,0))</f>
        <v>#N/A</v>
      </c>
      <c r="S736" s="1" t="e">
        <f>INDEX('6.0.35'!J:J,MATCH(F736,'6.0.35'!F:F,0))</f>
        <v>#N/A</v>
      </c>
    </row>
    <row r="737" spans="1:19">
      <c r="A737" t="s">
        <v>15972</v>
      </c>
      <c r="I737" s="1" t="str">
        <f t="shared" si="96"/>
        <v/>
      </c>
      <c r="J737" s="1">
        <f t="shared" si="97"/>
        <v>0</v>
      </c>
      <c r="K737" s="1" t="str">
        <f t="shared" si="98"/>
        <v/>
      </c>
      <c r="L737" s="1">
        <f t="shared" si="99"/>
        <v>0</v>
      </c>
      <c r="M737" s="1">
        <f t="shared" si="100"/>
        <v>0</v>
      </c>
      <c r="N737" s="1">
        <f t="shared" si="101"/>
        <v>0</v>
      </c>
      <c r="O737" s="1" t="b">
        <f t="shared" si="102"/>
        <v>0</v>
      </c>
      <c r="P737" s="1" t="e">
        <f>INDEX(G:G,MATCH(G737,G:G,0))</f>
        <v>#N/A</v>
      </c>
      <c r="Q737" s="1" t="e">
        <f t="shared" si="103"/>
        <v>#N/A</v>
      </c>
      <c r="R737" s="1" t="e">
        <f>INDEX('6.0.35'!I:I,MATCH(F737,'6.0.35'!K:K,0))</f>
        <v>#N/A</v>
      </c>
      <c r="S737" s="1" t="e">
        <f>INDEX('6.0.35'!J:J,MATCH(F737,'6.0.35'!F:F,0))</f>
        <v>#N/A</v>
      </c>
    </row>
    <row r="738" spans="1:19">
      <c r="A738" t="s">
        <v>15975</v>
      </c>
      <c r="I738" s="1" t="str">
        <f t="shared" si="96"/>
        <v/>
      </c>
      <c r="J738" s="1">
        <f t="shared" si="97"/>
        <v>0</v>
      </c>
      <c r="K738" s="1" t="str">
        <f t="shared" si="98"/>
        <v/>
      </c>
      <c r="L738" s="1">
        <f t="shared" si="99"/>
        <v>0</v>
      </c>
      <c r="M738" s="1">
        <f t="shared" si="100"/>
        <v>0</v>
      </c>
      <c r="N738" s="1">
        <f t="shared" si="101"/>
        <v>0</v>
      </c>
      <c r="O738" s="1" t="b">
        <f t="shared" si="102"/>
        <v>0</v>
      </c>
      <c r="P738" s="1" t="e">
        <f>INDEX(G:G,MATCH(G738,G:G,0))</f>
        <v>#N/A</v>
      </c>
      <c r="Q738" s="1" t="e">
        <f t="shared" si="103"/>
        <v>#N/A</v>
      </c>
      <c r="R738" s="1" t="e">
        <f>INDEX('6.0.35'!I:I,MATCH(F738,'6.0.35'!K:K,0))</f>
        <v>#N/A</v>
      </c>
      <c r="S738" s="1" t="e">
        <f>INDEX('6.0.35'!J:J,MATCH(F738,'6.0.35'!F:F,0))</f>
        <v>#N/A</v>
      </c>
    </row>
    <row r="739" spans="1:19">
      <c r="A739" t="s">
        <v>15978</v>
      </c>
      <c r="I739" s="1" t="str">
        <f t="shared" si="96"/>
        <v/>
      </c>
      <c r="J739" s="1">
        <f t="shared" si="97"/>
        <v>0</v>
      </c>
      <c r="K739" s="1" t="str">
        <f t="shared" si="98"/>
        <v/>
      </c>
      <c r="L739" s="1">
        <f t="shared" si="99"/>
        <v>0</v>
      </c>
      <c r="M739" s="1">
        <f t="shared" si="100"/>
        <v>0</v>
      </c>
      <c r="N739" s="1">
        <f t="shared" si="101"/>
        <v>0</v>
      </c>
      <c r="O739" s="1" t="b">
        <f t="shared" si="102"/>
        <v>0</v>
      </c>
      <c r="P739" s="1" t="e">
        <f>INDEX(G:G,MATCH(G739,G:G,0))</f>
        <v>#N/A</v>
      </c>
      <c r="Q739" s="1" t="e">
        <f t="shared" si="103"/>
        <v>#N/A</v>
      </c>
      <c r="R739" s="1" t="e">
        <f>INDEX('6.0.35'!I:I,MATCH(F739,'6.0.35'!K:K,0))</f>
        <v>#N/A</v>
      </c>
      <c r="S739" s="1" t="e">
        <f>INDEX('6.0.35'!J:J,MATCH(F739,'6.0.35'!F:F,0))</f>
        <v>#N/A</v>
      </c>
    </row>
    <row r="740" spans="1:19">
      <c r="A740" t="s">
        <v>15981</v>
      </c>
      <c r="I740" s="1" t="str">
        <f t="shared" si="96"/>
        <v/>
      </c>
      <c r="J740" s="1">
        <f t="shared" si="97"/>
        <v>0</v>
      </c>
      <c r="K740" s="1" t="str">
        <f t="shared" si="98"/>
        <v/>
      </c>
      <c r="L740" s="1">
        <f t="shared" si="99"/>
        <v>0</v>
      </c>
      <c r="M740" s="1">
        <f t="shared" si="100"/>
        <v>0</v>
      </c>
      <c r="N740" s="1">
        <f t="shared" si="101"/>
        <v>0</v>
      </c>
      <c r="O740" s="1" t="b">
        <f t="shared" si="102"/>
        <v>0</v>
      </c>
      <c r="P740" s="1" t="e">
        <f>INDEX(G:G,MATCH(G740,G:G,0))</f>
        <v>#N/A</v>
      </c>
      <c r="Q740" s="1" t="e">
        <f t="shared" si="103"/>
        <v>#N/A</v>
      </c>
      <c r="R740" s="1" t="e">
        <f>INDEX('6.0.35'!I:I,MATCH(F740,'6.0.35'!K:K,0))</f>
        <v>#N/A</v>
      </c>
      <c r="S740" s="1" t="e">
        <f>INDEX('6.0.35'!J:J,MATCH(F740,'6.0.35'!F:F,0))</f>
        <v>#N/A</v>
      </c>
    </row>
    <row r="741" spans="1:19">
      <c r="A741" t="s">
        <v>15984</v>
      </c>
      <c r="I741" s="1" t="str">
        <f t="shared" si="96"/>
        <v/>
      </c>
      <c r="J741" s="1">
        <f t="shared" si="97"/>
        <v>0</v>
      </c>
      <c r="K741" s="1" t="str">
        <f t="shared" si="98"/>
        <v/>
      </c>
      <c r="L741" s="1">
        <f t="shared" si="99"/>
        <v>0</v>
      </c>
      <c r="M741" s="1">
        <f t="shared" si="100"/>
        <v>0</v>
      </c>
      <c r="N741" s="1">
        <f t="shared" si="101"/>
        <v>0</v>
      </c>
      <c r="O741" s="1" t="b">
        <f t="shared" si="102"/>
        <v>0</v>
      </c>
      <c r="P741" s="1" t="e">
        <f>INDEX(G:G,MATCH(G741,G:G,0))</f>
        <v>#N/A</v>
      </c>
      <c r="Q741" s="1" t="e">
        <f t="shared" si="103"/>
        <v>#N/A</v>
      </c>
      <c r="R741" s="1" t="e">
        <f>INDEX('6.0.35'!I:I,MATCH(F741,'6.0.35'!K:K,0))</f>
        <v>#N/A</v>
      </c>
      <c r="S741" s="1" t="e">
        <f>INDEX('6.0.35'!J:J,MATCH(F741,'6.0.35'!F:F,0))</f>
        <v>#N/A</v>
      </c>
    </row>
    <row r="742" spans="1:19">
      <c r="A742" t="s">
        <v>15987</v>
      </c>
      <c r="I742" s="1" t="str">
        <f t="shared" si="96"/>
        <v/>
      </c>
      <c r="J742" s="1">
        <f t="shared" si="97"/>
        <v>0</v>
      </c>
      <c r="K742" s="1" t="str">
        <f t="shared" si="98"/>
        <v/>
      </c>
      <c r="L742" s="1">
        <f t="shared" si="99"/>
        <v>0</v>
      </c>
      <c r="M742" s="1">
        <f t="shared" si="100"/>
        <v>0</v>
      </c>
      <c r="N742" s="1">
        <f t="shared" si="101"/>
        <v>0</v>
      </c>
      <c r="O742" s="1" t="b">
        <f t="shared" si="102"/>
        <v>0</v>
      </c>
      <c r="P742" s="1" t="e">
        <f>INDEX(G:G,MATCH(G742,G:G,0))</f>
        <v>#N/A</v>
      </c>
      <c r="Q742" s="1" t="e">
        <f t="shared" si="103"/>
        <v>#N/A</v>
      </c>
      <c r="R742" s="1" t="e">
        <f>INDEX('6.0.35'!I:I,MATCH(F742,'6.0.35'!K:K,0))</f>
        <v>#N/A</v>
      </c>
      <c r="S742" s="1" t="e">
        <f>INDEX('6.0.35'!J:J,MATCH(F742,'6.0.35'!F:F,0))</f>
        <v>#N/A</v>
      </c>
    </row>
    <row r="743" spans="1:19">
      <c r="A743" t="s">
        <v>15990</v>
      </c>
      <c r="I743" s="1" t="str">
        <f t="shared" si="96"/>
        <v/>
      </c>
      <c r="J743" s="1">
        <f t="shared" si="97"/>
        <v>0</v>
      </c>
      <c r="K743" s="1" t="str">
        <f t="shared" si="98"/>
        <v/>
      </c>
      <c r="L743" s="1">
        <f t="shared" si="99"/>
        <v>0</v>
      </c>
      <c r="M743" s="1">
        <f t="shared" si="100"/>
        <v>0</v>
      </c>
      <c r="N743" s="1">
        <f t="shared" si="101"/>
        <v>0</v>
      </c>
      <c r="O743" s="1" t="b">
        <f t="shared" si="102"/>
        <v>0</v>
      </c>
      <c r="P743" s="1" t="e">
        <f>INDEX(G:G,MATCH(G743,G:G,0))</f>
        <v>#N/A</v>
      </c>
      <c r="Q743" s="1" t="e">
        <f t="shared" si="103"/>
        <v>#N/A</v>
      </c>
      <c r="R743" s="1" t="e">
        <f>INDEX('6.0.35'!I:I,MATCH(F743,'6.0.35'!K:K,0))</f>
        <v>#N/A</v>
      </c>
      <c r="S743" s="1" t="e">
        <f>INDEX('6.0.35'!J:J,MATCH(F743,'6.0.35'!F:F,0))</f>
        <v>#N/A</v>
      </c>
    </row>
    <row r="744" spans="1:19">
      <c r="A744" t="s">
        <v>15993</v>
      </c>
      <c r="I744" s="1" t="str">
        <f t="shared" si="96"/>
        <v/>
      </c>
      <c r="J744" s="1">
        <f t="shared" si="97"/>
        <v>0</v>
      </c>
      <c r="K744" s="1" t="str">
        <f t="shared" si="98"/>
        <v/>
      </c>
      <c r="L744" s="1">
        <f t="shared" si="99"/>
        <v>0</v>
      </c>
      <c r="M744" s="1">
        <f t="shared" si="100"/>
        <v>0</v>
      </c>
      <c r="N744" s="1">
        <f t="shared" si="101"/>
        <v>0</v>
      </c>
      <c r="O744" s="1" t="b">
        <f t="shared" si="102"/>
        <v>0</v>
      </c>
      <c r="P744" s="1" t="e">
        <f>INDEX(G:G,MATCH(G744,G:G,0))</f>
        <v>#N/A</v>
      </c>
      <c r="Q744" s="1" t="e">
        <f t="shared" si="103"/>
        <v>#N/A</v>
      </c>
      <c r="R744" s="1" t="e">
        <f>INDEX('6.0.35'!I:I,MATCH(F744,'6.0.35'!K:K,0))</f>
        <v>#N/A</v>
      </c>
      <c r="S744" s="1" t="e">
        <f>INDEX('6.0.35'!J:J,MATCH(F744,'6.0.35'!F:F,0))</f>
        <v>#N/A</v>
      </c>
    </row>
    <row r="745" spans="1:19">
      <c r="A745" t="s">
        <v>15996</v>
      </c>
      <c r="I745" s="1" t="str">
        <f t="shared" si="96"/>
        <v/>
      </c>
      <c r="J745" s="1">
        <f t="shared" si="97"/>
        <v>0</v>
      </c>
      <c r="K745" s="1" t="str">
        <f t="shared" si="98"/>
        <v/>
      </c>
      <c r="L745" s="1">
        <f t="shared" si="99"/>
        <v>0</v>
      </c>
      <c r="M745" s="1">
        <f t="shared" si="100"/>
        <v>0</v>
      </c>
      <c r="N745" s="1">
        <f t="shared" si="101"/>
        <v>0</v>
      </c>
      <c r="O745" s="1" t="b">
        <f t="shared" si="102"/>
        <v>0</v>
      </c>
      <c r="P745" s="1" t="e">
        <f>INDEX(G:G,MATCH(G745,G:G,0))</f>
        <v>#N/A</v>
      </c>
      <c r="Q745" s="1" t="e">
        <f t="shared" si="103"/>
        <v>#N/A</v>
      </c>
      <c r="R745" s="1" t="e">
        <f>INDEX('6.0.35'!I:I,MATCH(F745,'6.0.35'!K:K,0))</f>
        <v>#N/A</v>
      </c>
      <c r="S745" s="1" t="e">
        <f>INDEX('6.0.35'!J:J,MATCH(F745,'6.0.35'!F:F,0))</f>
        <v>#N/A</v>
      </c>
    </row>
    <row r="746" spans="1:19">
      <c r="A746" t="s">
        <v>15999</v>
      </c>
      <c r="I746" s="1" t="str">
        <f t="shared" si="96"/>
        <v/>
      </c>
      <c r="J746" s="1">
        <f t="shared" si="97"/>
        <v>0</v>
      </c>
      <c r="K746" s="1" t="str">
        <f t="shared" si="98"/>
        <v/>
      </c>
      <c r="L746" s="1">
        <f t="shared" si="99"/>
        <v>0</v>
      </c>
      <c r="M746" s="1">
        <f t="shared" si="100"/>
        <v>0</v>
      </c>
      <c r="N746" s="1">
        <f t="shared" si="101"/>
        <v>0</v>
      </c>
      <c r="O746" s="1" t="b">
        <f t="shared" si="102"/>
        <v>0</v>
      </c>
      <c r="P746" s="1" t="e">
        <f>INDEX(G:G,MATCH(G746,G:G,0))</f>
        <v>#N/A</v>
      </c>
      <c r="Q746" s="1" t="e">
        <f t="shared" si="103"/>
        <v>#N/A</v>
      </c>
      <c r="R746" s="1" t="e">
        <f>INDEX('6.0.35'!I:I,MATCH(F746,'6.0.35'!K:K,0))</f>
        <v>#N/A</v>
      </c>
      <c r="S746" s="1" t="e">
        <f>INDEX('6.0.35'!J:J,MATCH(F746,'6.0.35'!F:F,0))</f>
        <v>#N/A</v>
      </c>
    </row>
    <row r="747" spans="1:19">
      <c r="A747" t="s">
        <v>16002</v>
      </c>
      <c r="I747" s="1" t="str">
        <f t="shared" si="96"/>
        <v/>
      </c>
      <c r="J747" s="1">
        <f t="shared" si="97"/>
        <v>0</v>
      </c>
      <c r="K747" s="1" t="str">
        <f t="shared" si="98"/>
        <v/>
      </c>
      <c r="L747" s="1">
        <f t="shared" si="99"/>
        <v>0</v>
      </c>
      <c r="M747" s="1">
        <f t="shared" si="100"/>
        <v>0</v>
      </c>
      <c r="N747" s="1">
        <f t="shared" si="101"/>
        <v>0</v>
      </c>
      <c r="O747" s="1" t="b">
        <f t="shared" si="102"/>
        <v>0</v>
      </c>
      <c r="P747" s="1" t="e">
        <f>INDEX(G:G,MATCH(G747,G:G,0))</f>
        <v>#N/A</v>
      </c>
      <c r="Q747" s="1" t="e">
        <f t="shared" si="103"/>
        <v>#N/A</v>
      </c>
      <c r="R747" s="1" t="e">
        <f>INDEX('6.0.35'!I:I,MATCH(F747,'6.0.35'!K:K,0))</f>
        <v>#N/A</v>
      </c>
      <c r="S747" s="1" t="e">
        <f>INDEX('6.0.35'!J:J,MATCH(F747,'6.0.35'!F:F,0))</f>
        <v>#N/A</v>
      </c>
    </row>
    <row r="748" spans="1:19">
      <c r="A748" t="s">
        <v>16005</v>
      </c>
      <c r="I748" s="1" t="str">
        <f t="shared" si="96"/>
        <v/>
      </c>
      <c r="J748" s="1">
        <f t="shared" si="97"/>
        <v>0</v>
      </c>
      <c r="K748" s="1" t="str">
        <f t="shared" si="98"/>
        <v/>
      </c>
      <c r="L748" s="1">
        <f t="shared" si="99"/>
        <v>0</v>
      </c>
      <c r="M748" s="1">
        <f t="shared" si="100"/>
        <v>0</v>
      </c>
      <c r="N748" s="1">
        <f t="shared" si="101"/>
        <v>0</v>
      </c>
      <c r="O748" s="1" t="b">
        <f t="shared" si="102"/>
        <v>0</v>
      </c>
      <c r="P748" s="1" t="e">
        <f>INDEX(G:G,MATCH(G748,G:G,0))</f>
        <v>#N/A</v>
      </c>
      <c r="Q748" s="1" t="e">
        <f t="shared" si="103"/>
        <v>#N/A</v>
      </c>
      <c r="R748" s="1" t="e">
        <f>INDEX('6.0.35'!I:I,MATCH(F748,'6.0.35'!K:K,0))</f>
        <v>#N/A</v>
      </c>
      <c r="S748" s="1" t="e">
        <f>INDEX('6.0.35'!J:J,MATCH(F748,'6.0.35'!F:F,0))</f>
        <v>#N/A</v>
      </c>
    </row>
    <row r="749" spans="1:19">
      <c r="A749" t="s">
        <v>16008</v>
      </c>
      <c r="I749" s="1" t="str">
        <f t="shared" si="96"/>
        <v/>
      </c>
      <c r="J749" s="1">
        <f t="shared" si="97"/>
        <v>0</v>
      </c>
      <c r="K749" s="1" t="str">
        <f t="shared" si="98"/>
        <v/>
      </c>
      <c r="L749" s="1">
        <f t="shared" si="99"/>
        <v>0</v>
      </c>
      <c r="M749" s="1">
        <f t="shared" si="100"/>
        <v>0</v>
      </c>
      <c r="N749" s="1">
        <f t="shared" si="101"/>
        <v>0</v>
      </c>
      <c r="O749" s="1" t="b">
        <f t="shared" si="102"/>
        <v>0</v>
      </c>
      <c r="P749" s="1" t="e">
        <f>INDEX(G:G,MATCH(G749,G:G,0))</f>
        <v>#N/A</v>
      </c>
      <c r="Q749" s="1" t="e">
        <f t="shared" si="103"/>
        <v>#N/A</v>
      </c>
      <c r="R749" s="1" t="e">
        <f>INDEX('6.0.35'!I:I,MATCH(F749,'6.0.35'!K:K,0))</f>
        <v>#N/A</v>
      </c>
      <c r="S749" s="1" t="e">
        <f>INDEX('6.0.35'!J:J,MATCH(F749,'6.0.35'!F:F,0))</f>
        <v>#N/A</v>
      </c>
    </row>
    <row r="750" spans="1:19">
      <c r="A750" t="s">
        <v>16011</v>
      </c>
      <c r="I750" s="1" t="str">
        <f t="shared" si="96"/>
        <v/>
      </c>
      <c r="J750" s="1">
        <f t="shared" si="97"/>
        <v>0</v>
      </c>
      <c r="K750" s="1" t="str">
        <f t="shared" si="98"/>
        <v/>
      </c>
      <c r="L750" s="1">
        <f t="shared" si="99"/>
        <v>0</v>
      </c>
      <c r="M750" s="1">
        <f t="shared" si="100"/>
        <v>0</v>
      </c>
      <c r="N750" s="1">
        <f t="shared" si="101"/>
        <v>0</v>
      </c>
      <c r="O750" s="1" t="b">
        <f t="shared" si="102"/>
        <v>0</v>
      </c>
      <c r="P750" s="1" t="e">
        <f>INDEX(G:G,MATCH(G750,G:G,0))</f>
        <v>#N/A</v>
      </c>
      <c r="Q750" s="1" t="e">
        <f t="shared" si="103"/>
        <v>#N/A</v>
      </c>
      <c r="R750" s="1" t="e">
        <f>INDEX('6.0.35'!I:I,MATCH(F750,'6.0.35'!K:K,0))</f>
        <v>#N/A</v>
      </c>
      <c r="S750" s="1" t="e">
        <f>INDEX('6.0.35'!J:J,MATCH(F750,'6.0.35'!F:F,0))</f>
        <v>#N/A</v>
      </c>
    </row>
    <row r="751" spans="1:19">
      <c r="A751" t="s">
        <v>16014</v>
      </c>
      <c r="I751" s="1" t="str">
        <f t="shared" si="96"/>
        <v/>
      </c>
      <c r="J751" s="1">
        <f t="shared" si="97"/>
        <v>0</v>
      </c>
      <c r="K751" s="1" t="str">
        <f t="shared" si="98"/>
        <v/>
      </c>
      <c r="L751" s="1">
        <f t="shared" si="99"/>
        <v>0</v>
      </c>
      <c r="M751" s="1">
        <f t="shared" si="100"/>
        <v>0</v>
      </c>
      <c r="N751" s="1">
        <f t="shared" si="101"/>
        <v>0</v>
      </c>
      <c r="O751" s="1" t="b">
        <f t="shared" si="102"/>
        <v>0</v>
      </c>
      <c r="P751" s="1" t="e">
        <f>INDEX(G:G,MATCH(G751,G:G,0))</f>
        <v>#N/A</v>
      </c>
      <c r="Q751" s="1" t="e">
        <f t="shared" si="103"/>
        <v>#N/A</v>
      </c>
      <c r="R751" s="1" t="e">
        <f>INDEX('6.0.35'!I:I,MATCH(F751,'6.0.35'!K:K,0))</f>
        <v>#N/A</v>
      </c>
      <c r="S751" s="1" t="e">
        <f>INDEX('6.0.35'!J:J,MATCH(F751,'6.0.35'!F:F,0))</f>
        <v>#N/A</v>
      </c>
    </row>
    <row r="752" spans="1:19">
      <c r="A752" t="s">
        <v>16017</v>
      </c>
      <c r="I752" s="1" t="str">
        <f t="shared" si="96"/>
        <v/>
      </c>
      <c r="J752" s="1">
        <f t="shared" si="97"/>
        <v>0</v>
      </c>
      <c r="K752" s="1" t="str">
        <f t="shared" si="98"/>
        <v/>
      </c>
      <c r="L752" s="1">
        <f t="shared" si="99"/>
        <v>0</v>
      </c>
      <c r="M752" s="1">
        <f t="shared" si="100"/>
        <v>0</v>
      </c>
      <c r="N752" s="1">
        <f t="shared" si="101"/>
        <v>0</v>
      </c>
      <c r="O752" s="1" t="b">
        <f t="shared" si="102"/>
        <v>0</v>
      </c>
      <c r="P752" s="1" t="e">
        <f>INDEX(G:G,MATCH(G752,G:G,0))</f>
        <v>#N/A</v>
      </c>
      <c r="Q752" s="1" t="e">
        <f t="shared" si="103"/>
        <v>#N/A</v>
      </c>
      <c r="R752" s="1" t="e">
        <f>INDEX('6.0.35'!I:I,MATCH(F752,'6.0.35'!K:K,0))</f>
        <v>#N/A</v>
      </c>
      <c r="S752" s="1" t="e">
        <f>INDEX('6.0.35'!J:J,MATCH(F752,'6.0.35'!F:F,0))</f>
        <v>#N/A</v>
      </c>
    </row>
    <row r="753" spans="1:19">
      <c r="A753" t="s">
        <v>16020</v>
      </c>
      <c r="I753" s="1" t="str">
        <f t="shared" si="96"/>
        <v/>
      </c>
      <c r="J753" s="1">
        <f t="shared" si="97"/>
        <v>0</v>
      </c>
      <c r="K753" s="1" t="str">
        <f t="shared" si="98"/>
        <v/>
      </c>
      <c r="L753" s="1">
        <f t="shared" si="99"/>
        <v>0</v>
      </c>
      <c r="M753" s="1">
        <f t="shared" si="100"/>
        <v>0</v>
      </c>
      <c r="N753" s="1">
        <f t="shared" si="101"/>
        <v>0</v>
      </c>
      <c r="O753" s="1" t="b">
        <f t="shared" si="102"/>
        <v>0</v>
      </c>
      <c r="P753" s="1" t="e">
        <f>INDEX(G:G,MATCH(G753,G:G,0))</f>
        <v>#N/A</v>
      </c>
      <c r="Q753" s="1" t="e">
        <f t="shared" si="103"/>
        <v>#N/A</v>
      </c>
      <c r="R753" s="1" t="e">
        <f>INDEX('6.0.35'!I:I,MATCH(F753,'6.0.35'!K:K,0))</f>
        <v>#N/A</v>
      </c>
      <c r="S753" s="1" t="e">
        <f>INDEX('6.0.35'!J:J,MATCH(F753,'6.0.35'!F:F,0))</f>
        <v>#N/A</v>
      </c>
    </row>
    <row r="754" spans="1:19">
      <c r="A754" t="s">
        <v>16023</v>
      </c>
      <c r="I754" s="1" t="str">
        <f t="shared" si="96"/>
        <v/>
      </c>
      <c r="J754" s="1">
        <f t="shared" si="97"/>
        <v>0</v>
      </c>
      <c r="K754" s="1" t="str">
        <f t="shared" si="98"/>
        <v/>
      </c>
      <c r="L754" s="1">
        <f t="shared" si="99"/>
        <v>0</v>
      </c>
      <c r="M754" s="1">
        <f t="shared" si="100"/>
        <v>0</v>
      </c>
      <c r="N754" s="1">
        <f t="shared" si="101"/>
        <v>0</v>
      </c>
      <c r="O754" s="1" t="b">
        <f t="shared" si="102"/>
        <v>0</v>
      </c>
      <c r="P754" s="1" t="e">
        <f>INDEX(G:G,MATCH(G754,G:G,0))</f>
        <v>#N/A</v>
      </c>
      <c r="Q754" s="1" t="e">
        <f t="shared" si="103"/>
        <v>#N/A</v>
      </c>
      <c r="R754" s="1" t="e">
        <f>INDEX('6.0.35'!I:I,MATCH(F754,'6.0.35'!K:K,0))</f>
        <v>#N/A</v>
      </c>
      <c r="S754" s="1" t="e">
        <f>INDEX('6.0.35'!J:J,MATCH(F754,'6.0.35'!F:F,0))</f>
        <v>#N/A</v>
      </c>
    </row>
    <row r="755" spans="1:19">
      <c r="A755" t="s">
        <v>16026</v>
      </c>
      <c r="I755" s="1" t="str">
        <f t="shared" si="96"/>
        <v/>
      </c>
      <c r="J755" s="1">
        <f t="shared" si="97"/>
        <v>0</v>
      </c>
      <c r="K755" s="1" t="str">
        <f t="shared" si="98"/>
        <v/>
      </c>
      <c r="L755" s="1">
        <f t="shared" si="99"/>
        <v>0</v>
      </c>
      <c r="M755" s="1">
        <f t="shared" si="100"/>
        <v>0</v>
      </c>
      <c r="N755" s="1">
        <f t="shared" si="101"/>
        <v>0</v>
      </c>
      <c r="O755" s="1" t="b">
        <f t="shared" si="102"/>
        <v>0</v>
      </c>
      <c r="P755" s="1" t="e">
        <f>INDEX(G:G,MATCH(G755,G:G,0))</f>
        <v>#N/A</v>
      </c>
      <c r="Q755" s="1" t="e">
        <f t="shared" si="103"/>
        <v>#N/A</v>
      </c>
      <c r="R755" s="1" t="e">
        <f>INDEX('6.0.35'!I:I,MATCH(F755,'6.0.35'!K:K,0))</f>
        <v>#N/A</v>
      </c>
      <c r="S755" s="1" t="e">
        <f>INDEX('6.0.35'!J:J,MATCH(F755,'6.0.35'!F:F,0))</f>
        <v>#N/A</v>
      </c>
    </row>
    <row r="756" spans="1:19">
      <c r="A756" t="s">
        <v>16029</v>
      </c>
      <c r="I756" s="1" t="str">
        <f t="shared" si="96"/>
        <v/>
      </c>
      <c r="J756" s="1">
        <f t="shared" si="97"/>
        <v>0</v>
      </c>
      <c r="K756" s="1" t="str">
        <f t="shared" si="98"/>
        <v/>
      </c>
      <c r="L756" s="1">
        <f t="shared" si="99"/>
        <v>0</v>
      </c>
      <c r="M756" s="1">
        <f t="shared" si="100"/>
        <v>0</v>
      </c>
      <c r="N756" s="1">
        <f t="shared" si="101"/>
        <v>0</v>
      </c>
      <c r="O756" s="1" t="b">
        <f t="shared" si="102"/>
        <v>0</v>
      </c>
      <c r="P756" s="1" t="e">
        <f>INDEX(G:G,MATCH(G756,G:G,0))</f>
        <v>#N/A</v>
      </c>
      <c r="Q756" s="1" t="e">
        <f t="shared" si="103"/>
        <v>#N/A</v>
      </c>
      <c r="R756" s="1" t="e">
        <f>INDEX('6.0.35'!I:I,MATCH(F756,'6.0.35'!K:K,0))</f>
        <v>#N/A</v>
      </c>
      <c r="S756" s="1" t="e">
        <f>INDEX('6.0.35'!J:J,MATCH(F756,'6.0.35'!F:F,0))</f>
        <v>#N/A</v>
      </c>
    </row>
    <row r="757" spans="1:19">
      <c r="A757" t="s">
        <v>16032</v>
      </c>
      <c r="I757" s="1" t="str">
        <f t="shared" si="96"/>
        <v/>
      </c>
      <c r="J757" s="1">
        <f t="shared" si="97"/>
        <v>0</v>
      </c>
      <c r="K757" s="1" t="str">
        <f t="shared" si="98"/>
        <v/>
      </c>
      <c r="L757" s="1">
        <f t="shared" si="99"/>
        <v>0</v>
      </c>
      <c r="M757" s="1">
        <f t="shared" si="100"/>
        <v>0</v>
      </c>
      <c r="N757" s="1">
        <f t="shared" si="101"/>
        <v>0</v>
      </c>
      <c r="O757" s="1" t="b">
        <f t="shared" si="102"/>
        <v>0</v>
      </c>
      <c r="P757" s="1" t="e">
        <f>INDEX(G:G,MATCH(G757,G:G,0))</f>
        <v>#N/A</v>
      </c>
      <c r="Q757" s="1" t="e">
        <f t="shared" si="103"/>
        <v>#N/A</v>
      </c>
      <c r="R757" s="1" t="e">
        <f>INDEX('6.0.35'!I:I,MATCH(F757,'6.0.35'!K:K,0))</f>
        <v>#N/A</v>
      </c>
      <c r="S757" s="1" t="e">
        <f>INDEX('6.0.35'!J:J,MATCH(F757,'6.0.35'!F:F,0))</f>
        <v>#N/A</v>
      </c>
    </row>
    <row r="758" spans="1:19">
      <c r="A758" t="s">
        <v>16035</v>
      </c>
      <c r="I758" s="1" t="str">
        <f t="shared" si="96"/>
        <v/>
      </c>
      <c r="J758" s="1">
        <f t="shared" si="97"/>
        <v>0</v>
      </c>
      <c r="K758" s="1" t="str">
        <f t="shared" si="98"/>
        <v/>
      </c>
      <c r="L758" s="1">
        <f t="shared" si="99"/>
        <v>0</v>
      </c>
      <c r="M758" s="1">
        <f t="shared" si="100"/>
        <v>0</v>
      </c>
      <c r="N758" s="1">
        <f t="shared" si="101"/>
        <v>0</v>
      </c>
      <c r="O758" s="1" t="b">
        <f t="shared" si="102"/>
        <v>0</v>
      </c>
      <c r="P758" s="1" t="e">
        <f>INDEX(G:G,MATCH(G758,G:G,0))</f>
        <v>#N/A</v>
      </c>
      <c r="Q758" s="1" t="e">
        <f t="shared" si="103"/>
        <v>#N/A</v>
      </c>
      <c r="R758" s="1" t="e">
        <f>INDEX('6.0.35'!I:I,MATCH(F758,'6.0.35'!K:K,0))</f>
        <v>#N/A</v>
      </c>
      <c r="S758" s="1" t="e">
        <f>INDEX('6.0.35'!J:J,MATCH(F758,'6.0.35'!F:F,0))</f>
        <v>#N/A</v>
      </c>
    </row>
    <row r="759" spans="1:19">
      <c r="A759" t="s">
        <v>16038</v>
      </c>
      <c r="I759" s="1" t="str">
        <f t="shared" si="96"/>
        <v/>
      </c>
      <c r="J759" s="1">
        <f t="shared" si="97"/>
        <v>0</v>
      </c>
      <c r="K759" s="1" t="str">
        <f t="shared" si="98"/>
        <v/>
      </c>
      <c r="L759" s="1">
        <f t="shared" si="99"/>
        <v>0</v>
      </c>
      <c r="M759" s="1">
        <f t="shared" si="100"/>
        <v>0</v>
      </c>
      <c r="N759" s="1">
        <f t="shared" si="101"/>
        <v>0</v>
      </c>
      <c r="O759" s="1" t="b">
        <f t="shared" si="102"/>
        <v>0</v>
      </c>
      <c r="P759" s="1" t="e">
        <f>INDEX(G:G,MATCH(G759,G:G,0))</f>
        <v>#N/A</v>
      </c>
      <c r="Q759" s="1" t="e">
        <f t="shared" si="103"/>
        <v>#N/A</v>
      </c>
      <c r="R759" s="1" t="e">
        <f>INDEX('6.0.35'!I:I,MATCH(F759,'6.0.35'!K:K,0))</f>
        <v>#N/A</v>
      </c>
      <c r="S759" s="1" t="e">
        <f>INDEX('6.0.35'!J:J,MATCH(F759,'6.0.35'!F:F,0))</f>
        <v>#N/A</v>
      </c>
    </row>
    <row r="760" spans="1:19">
      <c r="A760" t="s">
        <v>16041</v>
      </c>
      <c r="I760" s="1" t="str">
        <f t="shared" si="96"/>
        <v/>
      </c>
      <c r="J760" s="1">
        <f t="shared" si="97"/>
        <v>0</v>
      </c>
      <c r="K760" s="1" t="str">
        <f t="shared" si="98"/>
        <v/>
      </c>
      <c r="L760" s="1">
        <f t="shared" si="99"/>
        <v>0</v>
      </c>
      <c r="M760" s="1">
        <f t="shared" si="100"/>
        <v>0</v>
      </c>
      <c r="N760" s="1">
        <f t="shared" si="101"/>
        <v>0</v>
      </c>
      <c r="O760" s="1" t="b">
        <f t="shared" si="102"/>
        <v>0</v>
      </c>
      <c r="P760" s="1" t="e">
        <f>INDEX(G:G,MATCH(G760,G:G,0))</f>
        <v>#N/A</v>
      </c>
      <c r="Q760" s="1" t="e">
        <f t="shared" si="103"/>
        <v>#N/A</v>
      </c>
      <c r="R760" s="1" t="e">
        <f>INDEX('6.0.35'!I:I,MATCH(F760,'6.0.35'!K:K,0))</f>
        <v>#N/A</v>
      </c>
      <c r="S760" s="1" t="e">
        <f>INDEX('6.0.35'!J:J,MATCH(F760,'6.0.35'!F:F,0))</f>
        <v>#N/A</v>
      </c>
    </row>
    <row r="761" spans="1:19">
      <c r="A761" t="s">
        <v>16044</v>
      </c>
      <c r="I761" s="1" t="str">
        <f t="shared" si="96"/>
        <v/>
      </c>
      <c r="J761" s="1">
        <f t="shared" si="97"/>
        <v>0</v>
      </c>
      <c r="K761" s="1" t="str">
        <f t="shared" si="98"/>
        <v/>
      </c>
      <c r="L761" s="1">
        <f t="shared" si="99"/>
        <v>0</v>
      </c>
      <c r="M761" s="1">
        <f t="shared" si="100"/>
        <v>0</v>
      </c>
      <c r="N761" s="1">
        <f t="shared" si="101"/>
        <v>0</v>
      </c>
      <c r="O761" s="1" t="b">
        <f t="shared" si="102"/>
        <v>0</v>
      </c>
      <c r="P761" s="1" t="e">
        <f>INDEX(G:G,MATCH(G761,G:G,0))</f>
        <v>#N/A</v>
      </c>
      <c r="Q761" s="1" t="e">
        <f t="shared" si="103"/>
        <v>#N/A</v>
      </c>
      <c r="R761" s="1" t="e">
        <f>INDEX('6.0.35'!I:I,MATCH(F761,'6.0.35'!K:K,0))</f>
        <v>#N/A</v>
      </c>
      <c r="S761" s="1" t="e">
        <f>INDEX('6.0.35'!J:J,MATCH(F761,'6.0.35'!F:F,0))</f>
        <v>#N/A</v>
      </c>
    </row>
    <row r="762" spans="1:19">
      <c r="A762" t="s">
        <v>16047</v>
      </c>
      <c r="I762" s="1" t="str">
        <f t="shared" ref="I762:I825" si="104">IFERROR(IF(OR(MID(G762,FIND(":",G762)-1,1)="""",MID(G762,FIND(":",G762)-1,1)="}",MID(G762,FIND(":",G762)-1,1)=")",MID(G762,FIND(":",G762)-1,1)="]"),"",RIGHT(G762,LEN(G762)-FIND(":",G762)-1)),"")</f>
        <v/>
      </c>
      <c r="J762" s="1">
        <f t="shared" ref="J762:J825" si="105">IF(AND(I762="",H762=""),G762,IF(H762="",I762,H762&amp;": "&amp;I762))</f>
        <v>0</v>
      </c>
      <c r="K762" s="1" t="str">
        <f t="shared" ref="K762:K825" si="106">IFERROR(IF(OR(MID(F762,FIND(":",F762)-1,1)="""",MID(F762,FIND(":",F762)-1,1)="}",MID(F762,FIND(":",F762)-1,1)=")",MID(F762,FIND(":",F762)-1,1)="]"),"",RIGHT(F762,LEN(F762)-FIND(":",F762)-1)),"")</f>
        <v/>
      </c>
      <c r="L762" s="1">
        <f t="shared" ref="L762:L825" si="107">LEN(F762)-LEN(SUBSTITUTE(F762,":",""))</f>
        <v>0</v>
      </c>
      <c r="M762" s="1">
        <f t="shared" ref="M762:M825" si="108">LEN(G762)-LEN(SUBSTITUTE(G762,":",""))</f>
        <v>0</v>
      </c>
      <c r="N762" s="1">
        <f t="shared" ref="N762:N825" si="109">LEN(G762)-LEN(SUBSTITUTE(G762,"：",""))</f>
        <v>0</v>
      </c>
      <c r="O762" s="1" t="b">
        <f t="shared" ref="O762:O825" si="110">IF(M762&gt;=2,MID(G762,FIND(":",G762)+1,LEN(G762)))</f>
        <v>0</v>
      </c>
      <c r="P762" s="1" t="e">
        <f>INDEX(G:G,MATCH(G762,G:G,0))</f>
        <v>#N/A</v>
      </c>
      <c r="Q762" s="1" t="e">
        <f t="shared" ref="Q762:Q825" si="111">IF(P762&lt;&gt;G762,"校验","")</f>
        <v>#N/A</v>
      </c>
      <c r="R762" s="1" t="e">
        <f>INDEX('6.0.35'!I:I,MATCH(F762,'6.0.35'!K:K,0))</f>
        <v>#N/A</v>
      </c>
      <c r="S762" s="1" t="e">
        <f>INDEX('6.0.35'!J:J,MATCH(F762,'6.0.35'!F:F,0))</f>
        <v>#N/A</v>
      </c>
    </row>
    <row r="763" spans="1:19">
      <c r="A763" t="s">
        <v>16050</v>
      </c>
      <c r="I763" s="1" t="str">
        <f t="shared" si="104"/>
        <v/>
      </c>
      <c r="J763" s="1">
        <f t="shared" si="105"/>
        <v>0</v>
      </c>
      <c r="K763" s="1" t="str">
        <f t="shared" si="106"/>
        <v/>
      </c>
      <c r="L763" s="1">
        <f t="shared" si="107"/>
        <v>0</v>
      </c>
      <c r="M763" s="1">
        <f t="shared" si="108"/>
        <v>0</v>
      </c>
      <c r="N763" s="1">
        <f t="shared" si="109"/>
        <v>0</v>
      </c>
      <c r="O763" s="1" t="b">
        <f t="shared" si="110"/>
        <v>0</v>
      </c>
      <c r="P763" s="1" t="e">
        <f>INDEX(G:G,MATCH(G763,G:G,0))</f>
        <v>#N/A</v>
      </c>
      <c r="Q763" s="1" t="e">
        <f t="shared" si="111"/>
        <v>#N/A</v>
      </c>
      <c r="R763" s="1" t="e">
        <f>INDEX('6.0.35'!I:I,MATCH(F763,'6.0.35'!K:K,0))</f>
        <v>#N/A</v>
      </c>
      <c r="S763" s="1" t="e">
        <f>INDEX('6.0.35'!J:J,MATCH(F763,'6.0.35'!F:F,0))</f>
        <v>#N/A</v>
      </c>
    </row>
    <row r="764" spans="1:19">
      <c r="A764" t="s">
        <v>16053</v>
      </c>
      <c r="I764" s="1" t="str">
        <f t="shared" si="104"/>
        <v/>
      </c>
      <c r="J764" s="1">
        <f t="shared" si="105"/>
        <v>0</v>
      </c>
      <c r="K764" s="1" t="str">
        <f t="shared" si="106"/>
        <v/>
      </c>
      <c r="L764" s="1">
        <f t="shared" si="107"/>
        <v>0</v>
      </c>
      <c r="M764" s="1">
        <f t="shared" si="108"/>
        <v>0</v>
      </c>
      <c r="N764" s="1">
        <f t="shared" si="109"/>
        <v>0</v>
      </c>
      <c r="O764" s="1" t="b">
        <f t="shared" si="110"/>
        <v>0</v>
      </c>
      <c r="P764" s="1" t="e">
        <f>INDEX(G:G,MATCH(G764,G:G,0))</f>
        <v>#N/A</v>
      </c>
      <c r="Q764" s="1" t="e">
        <f t="shared" si="111"/>
        <v>#N/A</v>
      </c>
      <c r="R764" s="1" t="e">
        <f>INDEX('6.0.35'!I:I,MATCH(F764,'6.0.35'!K:K,0))</f>
        <v>#N/A</v>
      </c>
      <c r="S764" s="1" t="e">
        <f>INDEX('6.0.35'!J:J,MATCH(F764,'6.0.35'!F:F,0))</f>
        <v>#N/A</v>
      </c>
    </row>
    <row r="765" spans="1:19">
      <c r="A765" t="s">
        <v>16056</v>
      </c>
      <c r="I765" s="1" t="str">
        <f t="shared" si="104"/>
        <v/>
      </c>
      <c r="J765" s="1">
        <f t="shared" si="105"/>
        <v>0</v>
      </c>
      <c r="K765" s="1" t="str">
        <f t="shared" si="106"/>
        <v/>
      </c>
      <c r="L765" s="1">
        <f t="shared" si="107"/>
        <v>0</v>
      </c>
      <c r="M765" s="1">
        <f t="shared" si="108"/>
        <v>0</v>
      </c>
      <c r="N765" s="1">
        <f t="shared" si="109"/>
        <v>0</v>
      </c>
      <c r="O765" s="1" t="b">
        <f t="shared" si="110"/>
        <v>0</v>
      </c>
      <c r="P765" s="1" t="e">
        <f>INDEX(G:G,MATCH(G765,G:G,0))</f>
        <v>#N/A</v>
      </c>
      <c r="Q765" s="1" t="e">
        <f t="shared" si="111"/>
        <v>#N/A</v>
      </c>
      <c r="R765" s="1" t="e">
        <f>INDEX('6.0.35'!I:I,MATCH(F765,'6.0.35'!K:K,0))</f>
        <v>#N/A</v>
      </c>
      <c r="S765" s="1" t="e">
        <f>INDEX('6.0.35'!J:J,MATCH(F765,'6.0.35'!F:F,0))</f>
        <v>#N/A</v>
      </c>
    </row>
    <row r="766" spans="1:19">
      <c r="A766" t="s">
        <v>16059</v>
      </c>
      <c r="I766" s="1" t="str">
        <f t="shared" si="104"/>
        <v/>
      </c>
      <c r="J766" s="1">
        <f t="shared" si="105"/>
        <v>0</v>
      </c>
      <c r="K766" s="1" t="str">
        <f t="shared" si="106"/>
        <v/>
      </c>
      <c r="L766" s="1">
        <f t="shared" si="107"/>
        <v>0</v>
      </c>
      <c r="M766" s="1">
        <f t="shared" si="108"/>
        <v>0</v>
      </c>
      <c r="N766" s="1">
        <f t="shared" si="109"/>
        <v>0</v>
      </c>
      <c r="O766" s="1" t="b">
        <f t="shared" si="110"/>
        <v>0</v>
      </c>
      <c r="P766" s="1" t="e">
        <f>INDEX(G:G,MATCH(G766,G:G,0))</f>
        <v>#N/A</v>
      </c>
      <c r="Q766" s="1" t="e">
        <f t="shared" si="111"/>
        <v>#N/A</v>
      </c>
      <c r="R766" s="1" t="e">
        <f>INDEX('6.0.35'!I:I,MATCH(F766,'6.0.35'!K:K,0))</f>
        <v>#N/A</v>
      </c>
      <c r="S766" s="1" t="e">
        <f>INDEX('6.0.35'!J:J,MATCH(F766,'6.0.35'!F:F,0))</f>
        <v>#N/A</v>
      </c>
    </row>
    <row r="767" spans="1:19">
      <c r="A767" t="s">
        <v>16062</v>
      </c>
      <c r="I767" s="1" t="str">
        <f t="shared" si="104"/>
        <v/>
      </c>
      <c r="J767" s="1">
        <f t="shared" si="105"/>
        <v>0</v>
      </c>
      <c r="K767" s="1" t="str">
        <f t="shared" si="106"/>
        <v/>
      </c>
      <c r="L767" s="1">
        <f t="shared" si="107"/>
        <v>0</v>
      </c>
      <c r="M767" s="1">
        <f t="shared" si="108"/>
        <v>0</v>
      </c>
      <c r="N767" s="1">
        <f t="shared" si="109"/>
        <v>0</v>
      </c>
      <c r="O767" s="1" t="b">
        <f t="shared" si="110"/>
        <v>0</v>
      </c>
      <c r="P767" s="1" t="e">
        <f>INDEX(G:G,MATCH(G767,G:G,0))</f>
        <v>#N/A</v>
      </c>
      <c r="Q767" s="1" t="e">
        <f t="shared" si="111"/>
        <v>#N/A</v>
      </c>
      <c r="R767" s="1" t="e">
        <f>INDEX('6.0.35'!I:I,MATCH(F767,'6.0.35'!K:K,0))</f>
        <v>#N/A</v>
      </c>
      <c r="S767" s="1" t="e">
        <f>INDEX('6.0.35'!J:J,MATCH(F767,'6.0.35'!F:F,0))</f>
        <v>#N/A</v>
      </c>
    </row>
    <row r="768" spans="1:19">
      <c r="A768" t="s">
        <v>16065</v>
      </c>
      <c r="I768" s="1" t="str">
        <f t="shared" si="104"/>
        <v/>
      </c>
      <c r="J768" s="1">
        <f t="shared" si="105"/>
        <v>0</v>
      </c>
      <c r="K768" s="1" t="str">
        <f t="shared" si="106"/>
        <v/>
      </c>
      <c r="L768" s="1">
        <f t="shared" si="107"/>
        <v>0</v>
      </c>
      <c r="M768" s="1">
        <f t="shared" si="108"/>
        <v>0</v>
      </c>
      <c r="N768" s="1">
        <f t="shared" si="109"/>
        <v>0</v>
      </c>
      <c r="O768" s="1" t="b">
        <f t="shared" si="110"/>
        <v>0</v>
      </c>
      <c r="P768" s="1" t="e">
        <f>INDEX(G:G,MATCH(G768,G:G,0))</f>
        <v>#N/A</v>
      </c>
      <c r="Q768" s="1" t="e">
        <f t="shared" si="111"/>
        <v>#N/A</v>
      </c>
      <c r="R768" s="1" t="e">
        <f>INDEX('6.0.35'!I:I,MATCH(F768,'6.0.35'!K:K,0))</f>
        <v>#N/A</v>
      </c>
      <c r="S768" s="1" t="e">
        <f>INDEX('6.0.35'!J:J,MATCH(F768,'6.0.35'!F:F,0))</f>
        <v>#N/A</v>
      </c>
    </row>
    <row r="769" spans="1:19">
      <c r="A769" t="s">
        <v>16068</v>
      </c>
      <c r="I769" s="1" t="str">
        <f t="shared" si="104"/>
        <v/>
      </c>
      <c r="J769" s="1">
        <f t="shared" si="105"/>
        <v>0</v>
      </c>
      <c r="K769" s="1" t="str">
        <f t="shared" si="106"/>
        <v/>
      </c>
      <c r="L769" s="1">
        <f t="shared" si="107"/>
        <v>0</v>
      </c>
      <c r="M769" s="1">
        <f t="shared" si="108"/>
        <v>0</v>
      </c>
      <c r="N769" s="1">
        <f t="shared" si="109"/>
        <v>0</v>
      </c>
      <c r="O769" s="1" t="b">
        <f t="shared" si="110"/>
        <v>0</v>
      </c>
      <c r="P769" s="1" t="e">
        <f>INDEX(G:G,MATCH(G769,G:G,0))</f>
        <v>#N/A</v>
      </c>
      <c r="Q769" s="1" t="e">
        <f t="shared" si="111"/>
        <v>#N/A</v>
      </c>
      <c r="R769" s="1" t="e">
        <f>INDEX('6.0.35'!I:I,MATCH(F769,'6.0.35'!K:K,0))</f>
        <v>#N/A</v>
      </c>
      <c r="S769" s="1" t="e">
        <f>INDEX('6.0.35'!J:J,MATCH(F769,'6.0.35'!F:F,0))</f>
        <v>#N/A</v>
      </c>
    </row>
    <row r="770" spans="1:19">
      <c r="A770" t="s">
        <v>16071</v>
      </c>
      <c r="I770" s="1" t="str">
        <f t="shared" si="104"/>
        <v/>
      </c>
      <c r="J770" s="1">
        <f t="shared" si="105"/>
        <v>0</v>
      </c>
      <c r="K770" s="1" t="str">
        <f t="shared" si="106"/>
        <v/>
      </c>
      <c r="L770" s="1">
        <f t="shared" si="107"/>
        <v>0</v>
      </c>
      <c r="M770" s="1">
        <f t="shared" si="108"/>
        <v>0</v>
      </c>
      <c r="N770" s="1">
        <f t="shared" si="109"/>
        <v>0</v>
      </c>
      <c r="O770" s="1" t="b">
        <f t="shared" si="110"/>
        <v>0</v>
      </c>
      <c r="P770" s="1" t="e">
        <f>INDEX(G:G,MATCH(G770,G:G,0))</f>
        <v>#N/A</v>
      </c>
      <c r="Q770" s="1" t="e">
        <f t="shared" si="111"/>
        <v>#N/A</v>
      </c>
      <c r="R770" s="1" t="e">
        <f>INDEX('6.0.35'!I:I,MATCH(F770,'6.0.35'!K:K,0))</f>
        <v>#N/A</v>
      </c>
      <c r="S770" s="1" t="e">
        <f>INDEX('6.0.35'!J:J,MATCH(F770,'6.0.35'!F:F,0))</f>
        <v>#N/A</v>
      </c>
    </row>
    <row r="771" spans="1:19">
      <c r="A771" t="s">
        <v>16074</v>
      </c>
      <c r="I771" s="1" t="str">
        <f t="shared" si="104"/>
        <v/>
      </c>
      <c r="J771" s="1">
        <f t="shared" si="105"/>
        <v>0</v>
      </c>
      <c r="K771" s="1" t="str">
        <f t="shared" si="106"/>
        <v/>
      </c>
      <c r="L771" s="1">
        <f t="shared" si="107"/>
        <v>0</v>
      </c>
      <c r="M771" s="1">
        <f t="shared" si="108"/>
        <v>0</v>
      </c>
      <c r="N771" s="1">
        <f t="shared" si="109"/>
        <v>0</v>
      </c>
      <c r="O771" s="1" t="b">
        <f t="shared" si="110"/>
        <v>0</v>
      </c>
      <c r="P771" s="1" t="e">
        <f>INDEX(G:G,MATCH(G771,G:G,0))</f>
        <v>#N/A</v>
      </c>
      <c r="Q771" s="1" t="e">
        <f t="shared" si="111"/>
        <v>#N/A</v>
      </c>
      <c r="R771" s="1" t="e">
        <f>INDEX('6.0.35'!I:I,MATCH(F771,'6.0.35'!K:K,0))</f>
        <v>#N/A</v>
      </c>
      <c r="S771" s="1" t="e">
        <f>INDEX('6.0.35'!J:J,MATCH(F771,'6.0.35'!F:F,0))</f>
        <v>#N/A</v>
      </c>
    </row>
    <row r="772" spans="1:19">
      <c r="A772" t="s">
        <v>16077</v>
      </c>
      <c r="I772" s="1" t="str">
        <f t="shared" si="104"/>
        <v/>
      </c>
      <c r="J772" s="1">
        <f t="shared" si="105"/>
        <v>0</v>
      </c>
      <c r="K772" s="1" t="str">
        <f t="shared" si="106"/>
        <v/>
      </c>
      <c r="L772" s="1">
        <f t="shared" si="107"/>
        <v>0</v>
      </c>
      <c r="M772" s="1">
        <f t="shared" si="108"/>
        <v>0</v>
      </c>
      <c r="N772" s="1">
        <f t="shared" si="109"/>
        <v>0</v>
      </c>
      <c r="O772" s="1" t="b">
        <f t="shared" si="110"/>
        <v>0</v>
      </c>
      <c r="P772" s="1" t="e">
        <f>INDEX(G:G,MATCH(G772,G:G,0))</f>
        <v>#N/A</v>
      </c>
      <c r="Q772" s="1" t="e">
        <f t="shared" si="111"/>
        <v>#N/A</v>
      </c>
      <c r="R772" s="1" t="e">
        <f>INDEX('6.0.35'!I:I,MATCH(F772,'6.0.35'!K:K,0))</f>
        <v>#N/A</v>
      </c>
      <c r="S772" s="1" t="e">
        <f>INDEX('6.0.35'!J:J,MATCH(F772,'6.0.35'!F:F,0))</f>
        <v>#N/A</v>
      </c>
    </row>
    <row r="773" spans="1:19">
      <c r="A773" t="s">
        <v>16080</v>
      </c>
      <c r="I773" s="1" t="str">
        <f t="shared" si="104"/>
        <v/>
      </c>
      <c r="J773" s="1">
        <f t="shared" si="105"/>
        <v>0</v>
      </c>
      <c r="K773" s="1" t="str">
        <f t="shared" si="106"/>
        <v/>
      </c>
      <c r="L773" s="1">
        <f t="shared" si="107"/>
        <v>0</v>
      </c>
      <c r="M773" s="1">
        <f t="shared" si="108"/>
        <v>0</v>
      </c>
      <c r="N773" s="1">
        <f t="shared" si="109"/>
        <v>0</v>
      </c>
      <c r="O773" s="1" t="b">
        <f t="shared" si="110"/>
        <v>0</v>
      </c>
      <c r="P773" s="1" t="e">
        <f>INDEX(G:G,MATCH(G773,G:G,0))</f>
        <v>#N/A</v>
      </c>
      <c r="Q773" s="1" t="e">
        <f t="shared" si="111"/>
        <v>#N/A</v>
      </c>
      <c r="R773" s="1" t="e">
        <f>INDEX('6.0.35'!I:I,MATCH(F773,'6.0.35'!K:K,0))</f>
        <v>#N/A</v>
      </c>
      <c r="S773" s="1" t="e">
        <f>INDEX('6.0.35'!J:J,MATCH(F773,'6.0.35'!F:F,0))</f>
        <v>#N/A</v>
      </c>
    </row>
    <row r="774" spans="1:19">
      <c r="A774" t="s">
        <v>16083</v>
      </c>
      <c r="I774" s="1" t="str">
        <f t="shared" si="104"/>
        <v/>
      </c>
      <c r="J774" s="1">
        <f t="shared" si="105"/>
        <v>0</v>
      </c>
      <c r="K774" s="1" t="str">
        <f t="shared" si="106"/>
        <v/>
      </c>
      <c r="L774" s="1">
        <f t="shared" si="107"/>
        <v>0</v>
      </c>
      <c r="M774" s="1">
        <f t="shared" si="108"/>
        <v>0</v>
      </c>
      <c r="N774" s="1">
        <f t="shared" si="109"/>
        <v>0</v>
      </c>
      <c r="O774" s="1" t="b">
        <f t="shared" si="110"/>
        <v>0</v>
      </c>
      <c r="P774" s="1" t="e">
        <f>INDEX(G:G,MATCH(G774,G:G,0))</f>
        <v>#N/A</v>
      </c>
      <c r="Q774" s="1" t="e">
        <f t="shared" si="111"/>
        <v>#N/A</v>
      </c>
      <c r="R774" s="1" t="e">
        <f>INDEX('6.0.35'!I:I,MATCH(F774,'6.0.35'!K:K,0))</f>
        <v>#N/A</v>
      </c>
      <c r="S774" s="1" t="e">
        <f>INDEX('6.0.35'!J:J,MATCH(F774,'6.0.35'!F:F,0))</f>
        <v>#N/A</v>
      </c>
    </row>
    <row r="775" spans="1:19">
      <c r="A775" t="s">
        <v>16086</v>
      </c>
      <c r="I775" s="1" t="str">
        <f t="shared" si="104"/>
        <v/>
      </c>
      <c r="J775" s="1">
        <f t="shared" si="105"/>
        <v>0</v>
      </c>
      <c r="K775" s="1" t="str">
        <f t="shared" si="106"/>
        <v/>
      </c>
      <c r="L775" s="1">
        <f t="shared" si="107"/>
        <v>0</v>
      </c>
      <c r="M775" s="1">
        <f t="shared" si="108"/>
        <v>0</v>
      </c>
      <c r="N775" s="1">
        <f t="shared" si="109"/>
        <v>0</v>
      </c>
      <c r="O775" s="1" t="b">
        <f t="shared" si="110"/>
        <v>0</v>
      </c>
      <c r="P775" s="1" t="e">
        <f>INDEX(G:G,MATCH(G775,G:G,0))</f>
        <v>#N/A</v>
      </c>
      <c r="Q775" s="1" t="e">
        <f t="shared" si="111"/>
        <v>#N/A</v>
      </c>
      <c r="R775" s="1" t="e">
        <f>INDEX('6.0.35'!I:I,MATCH(F775,'6.0.35'!K:K,0))</f>
        <v>#N/A</v>
      </c>
      <c r="S775" s="1" t="e">
        <f>INDEX('6.0.35'!J:J,MATCH(F775,'6.0.35'!F:F,0))</f>
        <v>#N/A</v>
      </c>
    </row>
    <row r="776" spans="1:19">
      <c r="A776" t="s">
        <v>16089</v>
      </c>
      <c r="I776" s="1" t="str">
        <f t="shared" si="104"/>
        <v/>
      </c>
      <c r="J776" s="1">
        <f t="shared" si="105"/>
        <v>0</v>
      </c>
      <c r="K776" s="1" t="str">
        <f t="shared" si="106"/>
        <v/>
      </c>
      <c r="L776" s="1">
        <f t="shared" si="107"/>
        <v>0</v>
      </c>
      <c r="M776" s="1">
        <f t="shared" si="108"/>
        <v>0</v>
      </c>
      <c r="N776" s="1">
        <f t="shared" si="109"/>
        <v>0</v>
      </c>
      <c r="O776" s="1" t="b">
        <f t="shared" si="110"/>
        <v>0</v>
      </c>
      <c r="P776" s="1" t="e">
        <f>INDEX(G:G,MATCH(G776,G:G,0))</f>
        <v>#N/A</v>
      </c>
      <c r="Q776" s="1" t="e">
        <f t="shared" si="111"/>
        <v>#N/A</v>
      </c>
      <c r="R776" s="1" t="e">
        <f>INDEX('6.0.35'!I:I,MATCH(F776,'6.0.35'!K:K,0))</f>
        <v>#N/A</v>
      </c>
      <c r="S776" s="1" t="e">
        <f>INDEX('6.0.35'!J:J,MATCH(F776,'6.0.35'!F:F,0))</f>
        <v>#N/A</v>
      </c>
    </row>
    <row r="777" spans="1:19">
      <c r="A777" t="s">
        <v>16092</v>
      </c>
      <c r="I777" s="1" t="str">
        <f t="shared" si="104"/>
        <v/>
      </c>
      <c r="J777" s="1">
        <f t="shared" si="105"/>
        <v>0</v>
      </c>
      <c r="K777" s="1" t="str">
        <f t="shared" si="106"/>
        <v/>
      </c>
      <c r="L777" s="1">
        <f t="shared" si="107"/>
        <v>0</v>
      </c>
      <c r="M777" s="1">
        <f t="shared" si="108"/>
        <v>0</v>
      </c>
      <c r="N777" s="1">
        <f t="shared" si="109"/>
        <v>0</v>
      </c>
      <c r="O777" s="1" t="b">
        <f t="shared" si="110"/>
        <v>0</v>
      </c>
      <c r="P777" s="1" t="e">
        <f>INDEX(G:G,MATCH(G777,G:G,0))</f>
        <v>#N/A</v>
      </c>
      <c r="Q777" s="1" t="e">
        <f t="shared" si="111"/>
        <v>#N/A</v>
      </c>
      <c r="R777" s="1" t="e">
        <f>INDEX('6.0.35'!I:I,MATCH(F777,'6.0.35'!K:K,0))</f>
        <v>#N/A</v>
      </c>
      <c r="S777" s="1" t="e">
        <f>INDEX('6.0.35'!J:J,MATCH(F777,'6.0.35'!F:F,0))</f>
        <v>#N/A</v>
      </c>
    </row>
    <row r="778" spans="1:19">
      <c r="A778" t="s">
        <v>16095</v>
      </c>
      <c r="I778" s="1" t="str">
        <f t="shared" si="104"/>
        <v/>
      </c>
      <c r="J778" s="1">
        <f t="shared" si="105"/>
        <v>0</v>
      </c>
      <c r="K778" s="1" t="str">
        <f t="shared" si="106"/>
        <v/>
      </c>
      <c r="L778" s="1">
        <f t="shared" si="107"/>
        <v>0</v>
      </c>
      <c r="M778" s="1">
        <f t="shared" si="108"/>
        <v>0</v>
      </c>
      <c r="N778" s="1">
        <f t="shared" si="109"/>
        <v>0</v>
      </c>
      <c r="O778" s="1" t="b">
        <f t="shared" si="110"/>
        <v>0</v>
      </c>
      <c r="P778" s="1" t="e">
        <f>INDEX(G:G,MATCH(G778,G:G,0))</f>
        <v>#N/A</v>
      </c>
      <c r="Q778" s="1" t="e">
        <f t="shared" si="111"/>
        <v>#N/A</v>
      </c>
      <c r="R778" s="1" t="e">
        <f>INDEX('6.0.35'!I:I,MATCH(F778,'6.0.35'!K:K,0))</f>
        <v>#N/A</v>
      </c>
      <c r="S778" s="1" t="e">
        <f>INDEX('6.0.35'!J:J,MATCH(F778,'6.0.35'!F:F,0))</f>
        <v>#N/A</v>
      </c>
    </row>
    <row r="779" spans="1:19">
      <c r="A779" t="s">
        <v>16098</v>
      </c>
      <c r="I779" s="1" t="str">
        <f t="shared" si="104"/>
        <v/>
      </c>
      <c r="J779" s="1">
        <f t="shared" si="105"/>
        <v>0</v>
      </c>
      <c r="K779" s="1" t="str">
        <f t="shared" si="106"/>
        <v/>
      </c>
      <c r="L779" s="1">
        <f t="shared" si="107"/>
        <v>0</v>
      </c>
      <c r="M779" s="1">
        <f t="shared" si="108"/>
        <v>0</v>
      </c>
      <c r="N779" s="1">
        <f t="shared" si="109"/>
        <v>0</v>
      </c>
      <c r="O779" s="1" t="b">
        <f t="shared" si="110"/>
        <v>0</v>
      </c>
      <c r="P779" s="1" t="e">
        <f>INDEX(G:G,MATCH(G779,G:G,0))</f>
        <v>#N/A</v>
      </c>
      <c r="Q779" s="1" t="e">
        <f t="shared" si="111"/>
        <v>#N/A</v>
      </c>
      <c r="R779" s="1" t="e">
        <f>INDEX('6.0.35'!I:I,MATCH(F779,'6.0.35'!K:K,0))</f>
        <v>#N/A</v>
      </c>
      <c r="S779" s="1" t="e">
        <f>INDEX('6.0.35'!J:J,MATCH(F779,'6.0.35'!F:F,0))</f>
        <v>#N/A</v>
      </c>
    </row>
    <row r="780" spans="1:19">
      <c r="A780" t="s">
        <v>16101</v>
      </c>
      <c r="I780" s="1" t="str">
        <f t="shared" si="104"/>
        <v/>
      </c>
      <c r="J780" s="1">
        <f t="shared" si="105"/>
        <v>0</v>
      </c>
      <c r="K780" s="1" t="str">
        <f t="shared" si="106"/>
        <v/>
      </c>
      <c r="L780" s="1">
        <f t="shared" si="107"/>
        <v>0</v>
      </c>
      <c r="M780" s="1">
        <f t="shared" si="108"/>
        <v>0</v>
      </c>
      <c r="N780" s="1">
        <f t="shared" si="109"/>
        <v>0</v>
      </c>
      <c r="O780" s="1" t="b">
        <f t="shared" si="110"/>
        <v>0</v>
      </c>
      <c r="P780" s="1" t="e">
        <f>INDEX(G:G,MATCH(G780,G:G,0))</f>
        <v>#N/A</v>
      </c>
      <c r="Q780" s="1" t="e">
        <f t="shared" si="111"/>
        <v>#N/A</v>
      </c>
      <c r="R780" s="1" t="e">
        <f>INDEX('6.0.35'!I:I,MATCH(F780,'6.0.35'!K:K,0))</f>
        <v>#N/A</v>
      </c>
      <c r="S780" s="1" t="e">
        <f>INDEX('6.0.35'!J:J,MATCH(F780,'6.0.35'!F:F,0))</f>
        <v>#N/A</v>
      </c>
    </row>
    <row r="781" spans="1:19">
      <c r="A781" t="s">
        <v>16104</v>
      </c>
      <c r="I781" s="1" t="str">
        <f t="shared" si="104"/>
        <v/>
      </c>
      <c r="J781" s="1">
        <f t="shared" si="105"/>
        <v>0</v>
      </c>
      <c r="K781" s="1" t="str">
        <f t="shared" si="106"/>
        <v/>
      </c>
      <c r="L781" s="1">
        <f t="shared" si="107"/>
        <v>0</v>
      </c>
      <c r="M781" s="1">
        <f t="shared" si="108"/>
        <v>0</v>
      </c>
      <c r="N781" s="1">
        <f t="shared" si="109"/>
        <v>0</v>
      </c>
      <c r="O781" s="1" t="b">
        <f t="shared" si="110"/>
        <v>0</v>
      </c>
      <c r="P781" s="1" t="e">
        <f>INDEX(G:G,MATCH(G781,G:G,0))</f>
        <v>#N/A</v>
      </c>
      <c r="Q781" s="1" t="e">
        <f t="shared" si="111"/>
        <v>#N/A</v>
      </c>
      <c r="R781" s="1" t="e">
        <f>INDEX('6.0.35'!I:I,MATCH(F781,'6.0.35'!K:K,0))</f>
        <v>#N/A</v>
      </c>
      <c r="S781" s="1" t="e">
        <f>INDEX('6.0.35'!J:J,MATCH(F781,'6.0.35'!F:F,0))</f>
        <v>#N/A</v>
      </c>
    </row>
    <row r="782" spans="1:19">
      <c r="A782" t="s">
        <v>16107</v>
      </c>
      <c r="I782" s="1" t="str">
        <f t="shared" si="104"/>
        <v/>
      </c>
      <c r="J782" s="1">
        <f t="shared" si="105"/>
        <v>0</v>
      </c>
      <c r="K782" s="1" t="str">
        <f t="shared" si="106"/>
        <v/>
      </c>
      <c r="L782" s="1">
        <f t="shared" si="107"/>
        <v>0</v>
      </c>
      <c r="M782" s="1">
        <f t="shared" si="108"/>
        <v>0</v>
      </c>
      <c r="N782" s="1">
        <f t="shared" si="109"/>
        <v>0</v>
      </c>
      <c r="O782" s="1" t="b">
        <f t="shared" si="110"/>
        <v>0</v>
      </c>
      <c r="P782" s="1" t="e">
        <f>INDEX(G:G,MATCH(G782,G:G,0))</f>
        <v>#N/A</v>
      </c>
      <c r="Q782" s="1" t="e">
        <f t="shared" si="111"/>
        <v>#N/A</v>
      </c>
      <c r="R782" s="1" t="e">
        <f>INDEX('6.0.35'!I:I,MATCH(F782,'6.0.35'!K:K,0))</f>
        <v>#N/A</v>
      </c>
      <c r="S782" s="1" t="e">
        <f>INDEX('6.0.35'!J:J,MATCH(F782,'6.0.35'!F:F,0))</f>
        <v>#N/A</v>
      </c>
    </row>
    <row r="783" spans="1:19">
      <c r="A783" t="s">
        <v>16110</v>
      </c>
      <c r="I783" s="1" t="str">
        <f t="shared" si="104"/>
        <v/>
      </c>
      <c r="J783" s="1">
        <f t="shared" si="105"/>
        <v>0</v>
      </c>
      <c r="K783" s="1" t="str">
        <f t="shared" si="106"/>
        <v/>
      </c>
      <c r="L783" s="1">
        <f t="shared" si="107"/>
        <v>0</v>
      </c>
      <c r="M783" s="1">
        <f t="shared" si="108"/>
        <v>0</v>
      </c>
      <c r="N783" s="1">
        <f t="shared" si="109"/>
        <v>0</v>
      </c>
      <c r="O783" s="1" t="b">
        <f t="shared" si="110"/>
        <v>0</v>
      </c>
      <c r="P783" s="1" t="e">
        <f>INDEX(G:G,MATCH(G783,G:G,0))</f>
        <v>#N/A</v>
      </c>
      <c r="Q783" s="1" t="e">
        <f t="shared" si="111"/>
        <v>#N/A</v>
      </c>
      <c r="R783" s="1" t="e">
        <f>INDEX('6.0.35'!I:I,MATCH(F783,'6.0.35'!K:K,0))</f>
        <v>#N/A</v>
      </c>
      <c r="S783" s="1" t="e">
        <f>INDEX('6.0.35'!J:J,MATCH(F783,'6.0.35'!F:F,0))</f>
        <v>#N/A</v>
      </c>
    </row>
    <row r="784" spans="1:19">
      <c r="A784" t="s">
        <v>16113</v>
      </c>
      <c r="I784" s="1" t="str">
        <f t="shared" si="104"/>
        <v/>
      </c>
      <c r="J784" s="1">
        <f t="shared" si="105"/>
        <v>0</v>
      </c>
      <c r="K784" s="1" t="str">
        <f t="shared" si="106"/>
        <v/>
      </c>
      <c r="L784" s="1">
        <f t="shared" si="107"/>
        <v>0</v>
      </c>
      <c r="M784" s="1">
        <f t="shared" si="108"/>
        <v>0</v>
      </c>
      <c r="N784" s="1">
        <f t="shared" si="109"/>
        <v>0</v>
      </c>
      <c r="O784" s="1" t="b">
        <f t="shared" si="110"/>
        <v>0</v>
      </c>
      <c r="P784" s="1" t="e">
        <f>INDEX(G:G,MATCH(G784,G:G,0))</f>
        <v>#N/A</v>
      </c>
      <c r="Q784" s="1" t="e">
        <f t="shared" si="111"/>
        <v>#N/A</v>
      </c>
      <c r="R784" s="1" t="e">
        <f>INDEX('6.0.35'!I:I,MATCH(F784,'6.0.35'!K:K,0))</f>
        <v>#N/A</v>
      </c>
      <c r="S784" s="1" t="e">
        <f>INDEX('6.0.35'!J:J,MATCH(F784,'6.0.35'!F:F,0))</f>
        <v>#N/A</v>
      </c>
    </row>
    <row r="785" spans="1:19">
      <c r="A785" t="s">
        <v>16116</v>
      </c>
      <c r="I785" s="1" t="str">
        <f t="shared" si="104"/>
        <v/>
      </c>
      <c r="J785" s="1">
        <f t="shared" si="105"/>
        <v>0</v>
      </c>
      <c r="K785" s="1" t="str">
        <f t="shared" si="106"/>
        <v/>
      </c>
      <c r="L785" s="1">
        <f t="shared" si="107"/>
        <v>0</v>
      </c>
      <c r="M785" s="1">
        <f t="shared" si="108"/>
        <v>0</v>
      </c>
      <c r="N785" s="1">
        <f t="shared" si="109"/>
        <v>0</v>
      </c>
      <c r="O785" s="1" t="b">
        <f t="shared" si="110"/>
        <v>0</v>
      </c>
      <c r="P785" s="1" t="e">
        <f>INDEX(G:G,MATCH(G785,G:G,0))</f>
        <v>#N/A</v>
      </c>
      <c r="Q785" s="1" t="e">
        <f t="shared" si="111"/>
        <v>#N/A</v>
      </c>
      <c r="R785" s="1" t="e">
        <f>INDEX('6.0.35'!I:I,MATCH(F785,'6.0.35'!K:K,0))</f>
        <v>#N/A</v>
      </c>
      <c r="S785" s="1" t="e">
        <f>INDEX('6.0.35'!J:J,MATCH(F785,'6.0.35'!F:F,0))</f>
        <v>#N/A</v>
      </c>
    </row>
    <row r="786" spans="1:19">
      <c r="A786" t="s">
        <v>16119</v>
      </c>
      <c r="I786" s="1" t="str">
        <f t="shared" si="104"/>
        <v/>
      </c>
      <c r="J786" s="1">
        <f t="shared" si="105"/>
        <v>0</v>
      </c>
      <c r="K786" s="1" t="str">
        <f t="shared" si="106"/>
        <v/>
      </c>
      <c r="L786" s="1">
        <f t="shared" si="107"/>
        <v>0</v>
      </c>
      <c r="M786" s="1">
        <f t="shared" si="108"/>
        <v>0</v>
      </c>
      <c r="N786" s="1">
        <f t="shared" si="109"/>
        <v>0</v>
      </c>
      <c r="O786" s="1" t="b">
        <f t="shared" si="110"/>
        <v>0</v>
      </c>
      <c r="P786" s="1" t="e">
        <f>INDEX(G:G,MATCH(G786,G:G,0))</f>
        <v>#N/A</v>
      </c>
      <c r="Q786" s="1" t="e">
        <f t="shared" si="111"/>
        <v>#N/A</v>
      </c>
      <c r="R786" s="1" t="e">
        <f>INDEX('6.0.35'!I:I,MATCH(F786,'6.0.35'!K:K,0))</f>
        <v>#N/A</v>
      </c>
      <c r="S786" s="1" t="e">
        <f>INDEX('6.0.35'!J:J,MATCH(F786,'6.0.35'!F:F,0))</f>
        <v>#N/A</v>
      </c>
    </row>
    <row r="787" spans="1:19">
      <c r="A787" t="s">
        <v>16122</v>
      </c>
      <c r="I787" s="1" t="str">
        <f t="shared" si="104"/>
        <v/>
      </c>
      <c r="J787" s="1">
        <f t="shared" si="105"/>
        <v>0</v>
      </c>
      <c r="K787" s="1" t="str">
        <f t="shared" si="106"/>
        <v/>
      </c>
      <c r="L787" s="1">
        <f t="shared" si="107"/>
        <v>0</v>
      </c>
      <c r="M787" s="1">
        <f t="shared" si="108"/>
        <v>0</v>
      </c>
      <c r="N787" s="1">
        <f t="shared" si="109"/>
        <v>0</v>
      </c>
      <c r="O787" s="1" t="b">
        <f t="shared" si="110"/>
        <v>0</v>
      </c>
      <c r="P787" s="1" t="e">
        <f>INDEX(G:G,MATCH(G787,G:G,0))</f>
        <v>#N/A</v>
      </c>
      <c r="Q787" s="1" t="e">
        <f t="shared" si="111"/>
        <v>#N/A</v>
      </c>
      <c r="R787" s="1" t="e">
        <f>INDEX('6.0.35'!I:I,MATCH(F787,'6.0.35'!K:K,0))</f>
        <v>#N/A</v>
      </c>
      <c r="S787" s="1" t="e">
        <f>INDEX('6.0.35'!J:J,MATCH(F787,'6.0.35'!F:F,0))</f>
        <v>#N/A</v>
      </c>
    </row>
    <row r="788" spans="1:19">
      <c r="A788" t="s">
        <v>16125</v>
      </c>
      <c r="I788" s="1" t="str">
        <f t="shared" si="104"/>
        <v/>
      </c>
      <c r="J788" s="1">
        <f t="shared" si="105"/>
        <v>0</v>
      </c>
      <c r="K788" s="1" t="str">
        <f t="shared" si="106"/>
        <v/>
      </c>
      <c r="L788" s="1">
        <f t="shared" si="107"/>
        <v>0</v>
      </c>
      <c r="M788" s="1">
        <f t="shared" si="108"/>
        <v>0</v>
      </c>
      <c r="N788" s="1">
        <f t="shared" si="109"/>
        <v>0</v>
      </c>
      <c r="O788" s="1" t="b">
        <f t="shared" si="110"/>
        <v>0</v>
      </c>
      <c r="P788" s="1" t="e">
        <f>INDEX(G:G,MATCH(G788,G:G,0))</f>
        <v>#N/A</v>
      </c>
      <c r="Q788" s="1" t="e">
        <f t="shared" si="111"/>
        <v>#N/A</v>
      </c>
      <c r="R788" s="1" t="e">
        <f>INDEX('6.0.35'!I:I,MATCH(F788,'6.0.35'!K:K,0))</f>
        <v>#N/A</v>
      </c>
      <c r="S788" s="1" t="e">
        <f>INDEX('6.0.35'!J:J,MATCH(F788,'6.0.35'!F:F,0))</f>
        <v>#N/A</v>
      </c>
    </row>
    <row r="789" spans="1:19">
      <c r="A789" t="s">
        <v>16128</v>
      </c>
      <c r="I789" s="1" t="str">
        <f t="shared" si="104"/>
        <v/>
      </c>
      <c r="J789" s="1">
        <f t="shared" si="105"/>
        <v>0</v>
      </c>
      <c r="K789" s="1" t="str">
        <f t="shared" si="106"/>
        <v/>
      </c>
      <c r="L789" s="1">
        <f t="shared" si="107"/>
        <v>0</v>
      </c>
      <c r="M789" s="1">
        <f t="shared" si="108"/>
        <v>0</v>
      </c>
      <c r="N789" s="1">
        <f t="shared" si="109"/>
        <v>0</v>
      </c>
      <c r="O789" s="1" t="b">
        <f t="shared" si="110"/>
        <v>0</v>
      </c>
      <c r="P789" s="1" t="e">
        <f>INDEX(G:G,MATCH(G789,G:G,0))</f>
        <v>#N/A</v>
      </c>
      <c r="Q789" s="1" t="e">
        <f t="shared" si="111"/>
        <v>#N/A</v>
      </c>
      <c r="R789" s="1" t="e">
        <f>INDEX('6.0.35'!I:I,MATCH(F789,'6.0.35'!K:K,0))</f>
        <v>#N/A</v>
      </c>
      <c r="S789" s="1" t="e">
        <f>INDEX('6.0.35'!J:J,MATCH(F789,'6.0.35'!F:F,0))</f>
        <v>#N/A</v>
      </c>
    </row>
    <row r="790" spans="1:19">
      <c r="A790" t="s">
        <v>16131</v>
      </c>
      <c r="I790" s="1" t="str">
        <f t="shared" si="104"/>
        <v/>
      </c>
      <c r="J790" s="1">
        <f t="shared" si="105"/>
        <v>0</v>
      </c>
      <c r="K790" s="1" t="str">
        <f t="shared" si="106"/>
        <v/>
      </c>
      <c r="L790" s="1">
        <f t="shared" si="107"/>
        <v>0</v>
      </c>
      <c r="M790" s="1">
        <f t="shared" si="108"/>
        <v>0</v>
      </c>
      <c r="N790" s="1">
        <f t="shared" si="109"/>
        <v>0</v>
      </c>
      <c r="O790" s="1" t="b">
        <f t="shared" si="110"/>
        <v>0</v>
      </c>
      <c r="P790" s="1" t="e">
        <f>INDEX(G:G,MATCH(G790,G:G,0))</f>
        <v>#N/A</v>
      </c>
      <c r="Q790" s="1" t="e">
        <f t="shared" si="111"/>
        <v>#N/A</v>
      </c>
      <c r="R790" s="1" t="e">
        <f>INDEX('6.0.35'!I:I,MATCH(F790,'6.0.35'!K:K,0))</f>
        <v>#N/A</v>
      </c>
      <c r="S790" s="1" t="e">
        <f>INDEX('6.0.35'!J:J,MATCH(F790,'6.0.35'!F:F,0))</f>
        <v>#N/A</v>
      </c>
    </row>
    <row r="791" spans="1:19">
      <c r="A791" t="s">
        <v>16134</v>
      </c>
      <c r="I791" s="1" t="str">
        <f t="shared" si="104"/>
        <v/>
      </c>
      <c r="J791" s="1">
        <f t="shared" si="105"/>
        <v>0</v>
      </c>
      <c r="K791" s="1" t="str">
        <f t="shared" si="106"/>
        <v/>
      </c>
      <c r="L791" s="1">
        <f t="shared" si="107"/>
        <v>0</v>
      </c>
      <c r="M791" s="1">
        <f t="shared" si="108"/>
        <v>0</v>
      </c>
      <c r="N791" s="1">
        <f t="shared" si="109"/>
        <v>0</v>
      </c>
      <c r="O791" s="1" t="b">
        <f t="shared" si="110"/>
        <v>0</v>
      </c>
      <c r="P791" s="1" t="e">
        <f>INDEX(G:G,MATCH(G791,G:G,0))</f>
        <v>#N/A</v>
      </c>
      <c r="Q791" s="1" t="e">
        <f t="shared" si="111"/>
        <v>#N/A</v>
      </c>
      <c r="R791" s="1" t="e">
        <f>INDEX('6.0.35'!I:I,MATCH(F791,'6.0.35'!K:K,0))</f>
        <v>#N/A</v>
      </c>
      <c r="S791" s="1" t="e">
        <f>INDEX('6.0.35'!J:J,MATCH(F791,'6.0.35'!F:F,0))</f>
        <v>#N/A</v>
      </c>
    </row>
    <row r="792" spans="1:19">
      <c r="A792" t="s">
        <v>16137</v>
      </c>
      <c r="I792" s="1" t="str">
        <f t="shared" si="104"/>
        <v/>
      </c>
      <c r="J792" s="1">
        <f t="shared" si="105"/>
        <v>0</v>
      </c>
      <c r="K792" s="1" t="str">
        <f t="shared" si="106"/>
        <v/>
      </c>
      <c r="L792" s="1">
        <f t="shared" si="107"/>
        <v>0</v>
      </c>
      <c r="M792" s="1">
        <f t="shared" si="108"/>
        <v>0</v>
      </c>
      <c r="N792" s="1">
        <f t="shared" si="109"/>
        <v>0</v>
      </c>
      <c r="O792" s="1" t="b">
        <f t="shared" si="110"/>
        <v>0</v>
      </c>
      <c r="P792" s="1" t="e">
        <f>INDEX(G:G,MATCH(G792,G:G,0))</f>
        <v>#N/A</v>
      </c>
      <c r="Q792" s="1" t="e">
        <f t="shared" si="111"/>
        <v>#N/A</v>
      </c>
      <c r="R792" s="1" t="e">
        <f>INDEX('6.0.35'!I:I,MATCH(F792,'6.0.35'!K:K,0))</f>
        <v>#N/A</v>
      </c>
      <c r="S792" s="1" t="e">
        <f>INDEX('6.0.35'!J:J,MATCH(F792,'6.0.35'!F:F,0))</f>
        <v>#N/A</v>
      </c>
    </row>
    <row r="793" spans="1:19">
      <c r="A793" t="s">
        <v>16140</v>
      </c>
      <c r="I793" s="1" t="str">
        <f t="shared" si="104"/>
        <v/>
      </c>
      <c r="J793" s="1">
        <f t="shared" si="105"/>
        <v>0</v>
      </c>
      <c r="K793" s="1" t="str">
        <f t="shared" si="106"/>
        <v/>
      </c>
      <c r="L793" s="1">
        <f t="shared" si="107"/>
        <v>0</v>
      </c>
      <c r="M793" s="1">
        <f t="shared" si="108"/>
        <v>0</v>
      </c>
      <c r="N793" s="1">
        <f t="shared" si="109"/>
        <v>0</v>
      </c>
      <c r="O793" s="1" t="b">
        <f t="shared" si="110"/>
        <v>0</v>
      </c>
      <c r="P793" s="1" t="e">
        <f>INDEX(G:G,MATCH(G793,G:G,0))</f>
        <v>#N/A</v>
      </c>
      <c r="Q793" s="1" t="e">
        <f t="shared" si="111"/>
        <v>#N/A</v>
      </c>
      <c r="R793" s="1" t="e">
        <f>INDEX('6.0.35'!I:I,MATCH(F793,'6.0.35'!K:K,0))</f>
        <v>#N/A</v>
      </c>
      <c r="S793" s="1" t="e">
        <f>INDEX('6.0.35'!J:J,MATCH(F793,'6.0.35'!F:F,0))</f>
        <v>#N/A</v>
      </c>
    </row>
    <row r="794" spans="1:19">
      <c r="A794" t="s">
        <v>16143</v>
      </c>
      <c r="I794" s="1" t="str">
        <f t="shared" si="104"/>
        <v/>
      </c>
      <c r="J794" s="1">
        <f t="shared" si="105"/>
        <v>0</v>
      </c>
      <c r="K794" s="1" t="str">
        <f t="shared" si="106"/>
        <v/>
      </c>
      <c r="L794" s="1">
        <f t="shared" si="107"/>
        <v>0</v>
      </c>
      <c r="M794" s="1">
        <f t="shared" si="108"/>
        <v>0</v>
      </c>
      <c r="N794" s="1">
        <f t="shared" si="109"/>
        <v>0</v>
      </c>
      <c r="O794" s="1" t="b">
        <f t="shared" si="110"/>
        <v>0</v>
      </c>
      <c r="P794" s="1" t="e">
        <f>INDEX(G:G,MATCH(G794,G:G,0))</f>
        <v>#N/A</v>
      </c>
      <c r="Q794" s="1" t="e">
        <f t="shared" si="111"/>
        <v>#N/A</v>
      </c>
      <c r="R794" s="1" t="e">
        <f>INDEX('6.0.35'!I:I,MATCH(F794,'6.0.35'!K:K,0))</f>
        <v>#N/A</v>
      </c>
      <c r="S794" s="1" t="e">
        <f>INDEX('6.0.35'!J:J,MATCH(F794,'6.0.35'!F:F,0))</f>
        <v>#N/A</v>
      </c>
    </row>
    <row r="795" spans="1:19">
      <c r="A795" t="s">
        <v>16146</v>
      </c>
      <c r="I795" s="1" t="str">
        <f t="shared" si="104"/>
        <v/>
      </c>
      <c r="J795" s="1">
        <f t="shared" si="105"/>
        <v>0</v>
      </c>
      <c r="K795" s="1" t="str">
        <f t="shared" si="106"/>
        <v/>
      </c>
      <c r="L795" s="1">
        <f t="shared" si="107"/>
        <v>0</v>
      </c>
      <c r="M795" s="1">
        <f t="shared" si="108"/>
        <v>0</v>
      </c>
      <c r="N795" s="1">
        <f t="shared" si="109"/>
        <v>0</v>
      </c>
      <c r="O795" s="1" t="b">
        <f t="shared" si="110"/>
        <v>0</v>
      </c>
      <c r="P795" s="1" t="e">
        <f>INDEX(G:G,MATCH(G795,G:G,0))</f>
        <v>#N/A</v>
      </c>
      <c r="Q795" s="1" t="e">
        <f t="shared" si="111"/>
        <v>#N/A</v>
      </c>
      <c r="R795" s="1" t="e">
        <f>INDEX('6.0.35'!I:I,MATCH(F795,'6.0.35'!K:K,0))</f>
        <v>#N/A</v>
      </c>
      <c r="S795" s="1" t="e">
        <f>INDEX('6.0.35'!J:J,MATCH(F795,'6.0.35'!F:F,0))</f>
        <v>#N/A</v>
      </c>
    </row>
    <row r="796" spans="1:19">
      <c r="A796" t="s">
        <v>16149</v>
      </c>
      <c r="I796" s="1" t="str">
        <f t="shared" si="104"/>
        <v/>
      </c>
      <c r="J796" s="1">
        <f t="shared" si="105"/>
        <v>0</v>
      </c>
      <c r="K796" s="1" t="str">
        <f t="shared" si="106"/>
        <v/>
      </c>
      <c r="L796" s="1">
        <f t="shared" si="107"/>
        <v>0</v>
      </c>
      <c r="M796" s="1">
        <f t="shared" si="108"/>
        <v>0</v>
      </c>
      <c r="N796" s="1">
        <f t="shared" si="109"/>
        <v>0</v>
      </c>
      <c r="O796" s="1" t="b">
        <f t="shared" si="110"/>
        <v>0</v>
      </c>
      <c r="P796" s="1" t="e">
        <f>INDEX(G:G,MATCH(G796,G:G,0))</f>
        <v>#N/A</v>
      </c>
      <c r="Q796" s="1" t="e">
        <f t="shared" si="111"/>
        <v>#N/A</v>
      </c>
      <c r="R796" s="1" t="e">
        <f>INDEX('6.0.35'!I:I,MATCH(F796,'6.0.35'!K:K,0))</f>
        <v>#N/A</v>
      </c>
      <c r="S796" s="1" t="e">
        <f>INDEX('6.0.35'!J:J,MATCH(F796,'6.0.35'!F:F,0))</f>
        <v>#N/A</v>
      </c>
    </row>
    <row r="797" spans="1:19">
      <c r="A797" t="s">
        <v>16152</v>
      </c>
      <c r="I797" s="1" t="str">
        <f t="shared" si="104"/>
        <v/>
      </c>
      <c r="J797" s="1">
        <f t="shared" si="105"/>
        <v>0</v>
      </c>
      <c r="K797" s="1" t="str">
        <f t="shared" si="106"/>
        <v/>
      </c>
      <c r="L797" s="1">
        <f t="shared" si="107"/>
        <v>0</v>
      </c>
      <c r="M797" s="1">
        <f t="shared" si="108"/>
        <v>0</v>
      </c>
      <c r="N797" s="1">
        <f t="shared" si="109"/>
        <v>0</v>
      </c>
      <c r="O797" s="1" t="b">
        <f t="shared" si="110"/>
        <v>0</v>
      </c>
      <c r="P797" s="1" t="e">
        <f>INDEX(G:G,MATCH(G797,G:G,0))</f>
        <v>#N/A</v>
      </c>
      <c r="Q797" s="1" t="e">
        <f t="shared" si="111"/>
        <v>#N/A</v>
      </c>
      <c r="R797" s="1" t="e">
        <f>INDEX('6.0.35'!I:I,MATCH(F797,'6.0.35'!K:K,0))</f>
        <v>#N/A</v>
      </c>
      <c r="S797" s="1" t="e">
        <f>INDEX('6.0.35'!J:J,MATCH(F797,'6.0.35'!F:F,0))</f>
        <v>#N/A</v>
      </c>
    </row>
    <row r="798" spans="1:19">
      <c r="A798" t="s">
        <v>16155</v>
      </c>
      <c r="I798" s="1" t="str">
        <f t="shared" si="104"/>
        <v/>
      </c>
      <c r="J798" s="1">
        <f t="shared" si="105"/>
        <v>0</v>
      </c>
      <c r="K798" s="1" t="str">
        <f t="shared" si="106"/>
        <v/>
      </c>
      <c r="L798" s="1">
        <f t="shared" si="107"/>
        <v>0</v>
      </c>
      <c r="M798" s="1">
        <f t="shared" si="108"/>
        <v>0</v>
      </c>
      <c r="N798" s="1">
        <f t="shared" si="109"/>
        <v>0</v>
      </c>
      <c r="O798" s="1" t="b">
        <f t="shared" si="110"/>
        <v>0</v>
      </c>
      <c r="P798" s="1" t="e">
        <f>INDEX(G:G,MATCH(G798,G:G,0))</f>
        <v>#N/A</v>
      </c>
      <c r="Q798" s="1" t="e">
        <f t="shared" si="111"/>
        <v>#N/A</v>
      </c>
      <c r="R798" s="1" t="e">
        <f>INDEX('6.0.35'!I:I,MATCH(F798,'6.0.35'!K:K,0))</f>
        <v>#N/A</v>
      </c>
      <c r="S798" s="1" t="e">
        <f>INDEX('6.0.35'!J:J,MATCH(F798,'6.0.35'!F:F,0))</f>
        <v>#N/A</v>
      </c>
    </row>
    <row r="799" spans="1:19">
      <c r="A799" t="s">
        <v>16158</v>
      </c>
      <c r="I799" s="1" t="str">
        <f t="shared" si="104"/>
        <v/>
      </c>
      <c r="J799" s="1">
        <f t="shared" si="105"/>
        <v>0</v>
      </c>
      <c r="K799" s="1" t="str">
        <f t="shared" si="106"/>
        <v/>
      </c>
      <c r="L799" s="1">
        <f t="shared" si="107"/>
        <v>0</v>
      </c>
      <c r="M799" s="1">
        <f t="shared" si="108"/>
        <v>0</v>
      </c>
      <c r="N799" s="1">
        <f t="shared" si="109"/>
        <v>0</v>
      </c>
      <c r="O799" s="1" t="b">
        <f t="shared" si="110"/>
        <v>0</v>
      </c>
      <c r="P799" s="1" t="e">
        <f>INDEX(G:G,MATCH(G799,G:G,0))</f>
        <v>#N/A</v>
      </c>
      <c r="Q799" s="1" t="e">
        <f t="shared" si="111"/>
        <v>#N/A</v>
      </c>
      <c r="R799" s="1" t="e">
        <f>INDEX('6.0.35'!I:I,MATCH(F799,'6.0.35'!K:K,0))</f>
        <v>#N/A</v>
      </c>
      <c r="S799" s="1" t="e">
        <f>INDEX('6.0.35'!J:J,MATCH(F799,'6.0.35'!F:F,0))</f>
        <v>#N/A</v>
      </c>
    </row>
    <row r="800" spans="1:19">
      <c r="A800" t="s">
        <v>16161</v>
      </c>
      <c r="I800" s="1" t="str">
        <f t="shared" si="104"/>
        <v/>
      </c>
      <c r="J800" s="1">
        <f t="shared" si="105"/>
        <v>0</v>
      </c>
      <c r="K800" s="1" t="str">
        <f t="shared" si="106"/>
        <v/>
      </c>
      <c r="L800" s="1">
        <f t="shared" si="107"/>
        <v>0</v>
      </c>
      <c r="M800" s="1">
        <f t="shared" si="108"/>
        <v>0</v>
      </c>
      <c r="N800" s="1">
        <f t="shared" si="109"/>
        <v>0</v>
      </c>
      <c r="O800" s="1" t="b">
        <f t="shared" si="110"/>
        <v>0</v>
      </c>
      <c r="P800" s="1" t="e">
        <f>INDEX(G:G,MATCH(G800,G:G,0))</f>
        <v>#N/A</v>
      </c>
      <c r="Q800" s="1" t="e">
        <f t="shared" si="111"/>
        <v>#N/A</v>
      </c>
      <c r="R800" s="1" t="e">
        <f>INDEX('6.0.35'!I:I,MATCH(F800,'6.0.35'!K:K,0))</f>
        <v>#N/A</v>
      </c>
      <c r="S800" s="1" t="e">
        <f>INDEX('6.0.35'!J:J,MATCH(F800,'6.0.35'!F:F,0))</f>
        <v>#N/A</v>
      </c>
    </row>
    <row r="801" spans="1:19">
      <c r="A801" t="s">
        <v>16164</v>
      </c>
      <c r="I801" s="1" t="str">
        <f t="shared" si="104"/>
        <v/>
      </c>
      <c r="J801" s="1">
        <f t="shared" si="105"/>
        <v>0</v>
      </c>
      <c r="K801" s="1" t="str">
        <f t="shared" si="106"/>
        <v/>
      </c>
      <c r="L801" s="1">
        <f t="shared" si="107"/>
        <v>0</v>
      </c>
      <c r="M801" s="1">
        <f t="shared" si="108"/>
        <v>0</v>
      </c>
      <c r="N801" s="1">
        <f t="shared" si="109"/>
        <v>0</v>
      </c>
      <c r="O801" s="1" t="b">
        <f t="shared" si="110"/>
        <v>0</v>
      </c>
      <c r="P801" s="1" t="e">
        <f>INDEX(G:G,MATCH(G801,G:G,0))</f>
        <v>#N/A</v>
      </c>
      <c r="Q801" s="1" t="e">
        <f t="shared" si="111"/>
        <v>#N/A</v>
      </c>
      <c r="R801" s="1" t="e">
        <f>INDEX('6.0.35'!I:I,MATCH(F801,'6.0.35'!K:K,0))</f>
        <v>#N/A</v>
      </c>
      <c r="S801" s="1" t="e">
        <f>INDEX('6.0.35'!J:J,MATCH(F801,'6.0.35'!F:F,0))</f>
        <v>#N/A</v>
      </c>
    </row>
    <row r="802" spans="1:19">
      <c r="A802" t="s">
        <v>16167</v>
      </c>
      <c r="I802" s="1" t="str">
        <f t="shared" si="104"/>
        <v/>
      </c>
      <c r="J802" s="1">
        <f t="shared" si="105"/>
        <v>0</v>
      </c>
      <c r="K802" s="1" t="str">
        <f t="shared" si="106"/>
        <v/>
      </c>
      <c r="L802" s="1">
        <f t="shared" si="107"/>
        <v>0</v>
      </c>
      <c r="M802" s="1">
        <f t="shared" si="108"/>
        <v>0</v>
      </c>
      <c r="N802" s="1">
        <f t="shared" si="109"/>
        <v>0</v>
      </c>
      <c r="O802" s="1" t="b">
        <f t="shared" si="110"/>
        <v>0</v>
      </c>
      <c r="P802" s="1" t="e">
        <f>INDEX(G:G,MATCH(G802,G:G,0))</f>
        <v>#N/A</v>
      </c>
      <c r="Q802" s="1" t="e">
        <f t="shared" si="111"/>
        <v>#N/A</v>
      </c>
      <c r="R802" s="1" t="e">
        <f>INDEX('6.0.35'!I:I,MATCH(F802,'6.0.35'!K:K,0))</f>
        <v>#N/A</v>
      </c>
      <c r="S802" s="1" t="e">
        <f>INDEX('6.0.35'!J:J,MATCH(F802,'6.0.35'!F:F,0))</f>
        <v>#N/A</v>
      </c>
    </row>
    <row r="803" spans="1:19">
      <c r="A803" t="s">
        <v>16170</v>
      </c>
      <c r="I803" s="1" t="str">
        <f t="shared" si="104"/>
        <v/>
      </c>
      <c r="J803" s="1">
        <f t="shared" si="105"/>
        <v>0</v>
      </c>
      <c r="K803" s="1" t="str">
        <f t="shared" si="106"/>
        <v/>
      </c>
      <c r="L803" s="1">
        <f t="shared" si="107"/>
        <v>0</v>
      </c>
      <c r="M803" s="1">
        <f t="shared" si="108"/>
        <v>0</v>
      </c>
      <c r="N803" s="1">
        <f t="shared" si="109"/>
        <v>0</v>
      </c>
      <c r="O803" s="1" t="b">
        <f t="shared" si="110"/>
        <v>0</v>
      </c>
      <c r="P803" s="1" t="e">
        <f>INDEX(G:G,MATCH(G803,G:G,0))</f>
        <v>#N/A</v>
      </c>
      <c r="Q803" s="1" t="e">
        <f t="shared" si="111"/>
        <v>#N/A</v>
      </c>
      <c r="R803" s="1" t="e">
        <f>INDEX('6.0.35'!I:I,MATCH(F803,'6.0.35'!K:K,0))</f>
        <v>#N/A</v>
      </c>
      <c r="S803" s="1" t="e">
        <f>INDEX('6.0.35'!J:J,MATCH(F803,'6.0.35'!F:F,0))</f>
        <v>#N/A</v>
      </c>
    </row>
    <row r="804" spans="1:19">
      <c r="A804" t="s">
        <v>16173</v>
      </c>
      <c r="I804" s="1" t="str">
        <f t="shared" si="104"/>
        <v/>
      </c>
      <c r="J804" s="1">
        <f t="shared" si="105"/>
        <v>0</v>
      </c>
      <c r="K804" s="1" t="str">
        <f t="shared" si="106"/>
        <v/>
      </c>
      <c r="L804" s="1">
        <f t="shared" si="107"/>
        <v>0</v>
      </c>
      <c r="M804" s="1">
        <f t="shared" si="108"/>
        <v>0</v>
      </c>
      <c r="N804" s="1">
        <f t="shared" si="109"/>
        <v>0</v>
      </c>
      <c r="O804" s="1" t="b">
        <f t="shared" si="110"/>
        <v>0</v>
      </c>
      <c r="P804" s="1" t="e">
        <f>INDEX(G:G,MATCH(G804,G:G,0))</f>
        <v>#N/A</v>
      </c>
      <c r="Q804" s="1" t="e">
        <f t="shared" si="111"/>
        <v>#N/A</v>
      </c>
      <c r="R804" s="1" t="e">
        <f>INDEX('6.0.35'!I:I,MATCH(F804,'6.0.35'!K:K,0))</f>
        <v>#N/A</v>
      </c>
      <c r="S804" s="1" t="e">
        <f>INDEX('6.0.35'!J:J,MATCH(F804,'6.0.35'!F:F,0))</f>
        <v>#N/A</v>
      </c>
    </row>
    <row r="805" spans="1:19">
      <c r="A805" t="s">
        <v>16176</v>
      </c>
      <c r="I805" s="1" t="str">
        <f t="shared" si="104"/>
        <v/>
      </c>
      <c r="J805" s="1">
        <f t="shared" si="105"/>
        <v>0</v>
      </c>
      <c r="K805" s="1" t="str">
        <f t="shared" si="106"/>
        <v/>
      </c>
      <c r="L805" s="1">
        <f t="shared" si="107"/>
        <v>0</v>
      </c>
      <c r="M805" s="1">
        <f t="shared" si="108"/>
        <v>0</v>
      </c>
      <c r="N805" s="1">
        <f t="shared" si="109"/>
        <v>0</v>
      </c>
      <c r="O805" s="1" t="b">
        <f t="shared" si="110"/>
        <v>0</v>
      </c>
      <c r="P805" s="1" t="e">
        <f>INDEX(G:G,MATCH(G805,G:G,0))</f>
        <v>#N/A</v>
      </c>
      <c r="Q805" s="1" t="e">
        <f t="shared" si="111"/>
        <v>#N/A</v>
      </c>
      <c r="R805" s="1" t="e">
        <f>INDEX('6.0.35'!I:I,MATCH(F805,'6.0.35'!K:K,0))</f>
        <v>#N/A</v>
      </c>
      <c r="S805" s="1" t="e">
        <f>INDEX('6.0.35'!J:J,MATCH(F805,'6.0.35'!F:F,0))</f>
        <v>#N/A</v>
      </c>
    </row>
    <row r="806" spans="1:19">
      <c r="A806" t="s">
        <v>16179</v>
      </c>
      <c r="I806" s="1" t="str">
        <f t="shared" si="104"/>
        <v/>
      </c>
      <c r="J806" s="1">
        <f t="shared" si="105"/>
        <v>0</v>
      </c>
      <c r="K806" s="1" t="str">
        <f t="shared" si="106"/>
        <v/>
      </c>
      <c r="L806" s="1">
        <f t="shared" si="107"/>
        <v>0</v>
      </c>
      <c r="M806" s="1">
        <f t="shared" si="108"/>
        <v>0</v>
      </c>
      <c r="N806" s="1">
        <f t="shared" si="109"/>
        <v>0</v>
      </c>
      <c r="O806" s="1" t="b">
        <f t="shared" si="110"/>
        <v>0</v>
      </c>
      <c r="P806" s="1" t="e">
        <f>INDEX(G:G,MATCH(G806,G:G,0))</f>
        <v>#N/A</v>
      </c>
      <c r="Q806" s="1" t="e">
        <f t="shared" si="111"/>
        <v>#N/A</v>
      </c>
      <c r="R806" s="1" t="e">
        <f>INDEX('6.0.35'!I:I,MATCH(F806,'6.0.35'!K:K,0))</f>
        <v>#N/A</v>
      </c>
      <c r="S806" s="1" t="e">
        <f>INDEX('6.0.35'!J:J,MATCH(F806,'6.0.35'!F:F,0))</f>
        <v>#N/A</v>
      </c>
    </row>
    <row r="807" spans="1:19">
      <c r="A807" t="s">
        <v>16182</v>
      </c>
      <c r="I807" s="1" t="str">
        <f t="shared" si="104"/>
        <v/>
      </c>
      <c r="J807" s="1">
        <f t="shared" si="105"/>
        <v>0</v>
      </c>
      <c r="K807" s="1" t="str">
        <f t="shared" si="106"/>
        <v/>
      </c>
      <c r="L807" s="1">
        <f t="shared" si="107"/>
        <v>0</v>
      </c>
      <c r="M807" s="1">
        <f t="shared" si="108"/>
        <v>0</v>
      </c>
      <c r="N807" s="1">
        <f t="shared" si="109"/>
        <v>0</v>
      </c>
      <c r="O807" s="1" t="b">
        <f t="shared" si="110"/>
        <v>0</v>
      </c>
      <c r="P807" s="1" t="e">
        <f>INDEX(G:G,MATCH(G807,G:G,0))</f>
        <v>#N/A</v>
      </c>
      <c r="Q807" s="1" t="e">
        <f t="shared" si="111"/>
        <v>#N/A</v>
      </c>
      <c r="R807" s="1" t="e">
        <f>INDEX('6.0.35'!I:I,MATCH(F807,'6.0.35'!K:K,0))</f>
        <v>#N/A</v>
      </c>
      <c r="S807" s="1" t="e">
        <f>INDEX('6.0.35'!J:J,MATCH(F807,'6.0.35'!F:F,0))</f>
        <v>#N/A</v>
      </c>
    </row>
    <row r="808" spans="1:19">
      <c r="A808" t="s">
        <v>16185</v>
      </c>
      <c r="I808" s="1" t="str">
        <f t="shared" si="104"/>
        <v/>
      </c>
      <c r="J808" s="1">
        <f t="shared" si="105"/>
        <v>0</v>
      </c>
      <c r="K808" s="1" t="str">
        <f t="shared" si="106"/>
        <v/>
      </c>
      <c r="L808" s="1">
        <f t="shared" si="107"/>
        <v>0</v>
      </c>
      <c r="M808" s="1">
        <f t="shared" si="108"/>
        <v>0</v>
      </c>
      <c r="N808" s="1">
        <f t="shared" si="109"/>
        <v>0</v>
      </c>
      <c r="O808" s="1" t="b">
        <f t="shared" si="110"/>
        <v>0</v>
      </c>
      <c r="P808" s="1" t="e">
        <f>INDEX(G:G,MATCH(G808,G:G,0))</f>
        <v>#N/A</v>
      </c>
      <c r="Q808" s="1" t="e">
        <f t="shared" si="111"/>
        <v>#N/A</v>
      </c>
      <c r="R808" s="1" t="e">
        <f>INDEX('6.0.35'!I:I,MATCH(F808,'6.0.35'!K:K,0))</f>
        <v>#N/A</v>
      </c>
      <c r="S808" s="1" t="e">
        <f>INDEX('6.0.35'!J:J,MATCH(F808,'6.0.35'!F:F,0))</f>
        <v>#N/A</v>
      </c>
    </row>
    <row r="809" spans="1:19">
      <c r="A809" t="s">
        <v>16188</v>
      </c>
      <c r="I809" s="1" t="str">
        <f t="shared" si="104"/>
        <v/>
      </c>
      <c r="J809" s="1">
        <f t="shared" si="105"/>
        <v>0</v>
      </c>
      <c r="K809" s="1" t="str">
        <f t="shared" si="106"/>
        <v/>
      </c>
      <c r="L809" s="1">
        <f t="shared" si="107"/>
        <v>0</v>
      </c>
      <c r="M809" s="1">
        <f t="shared" si="108"/>
        <v>0</v>
      </c>
      <c r="N809" s="1">
        <f t="shared" si="109"/>
        <v>0</v>
      </c>
      <c r="O809" s="1" t="b">
        <f t="shared" si="110"/>
        <v>0</v>
      </c>
      <c r="P809" s="1" t="e">
        <f>INDEX(G:G,MATCH(G809,G:G,0))</f>
        <v>#N/A</v>
      </c>
      <c r="Q809" s="1" t="e">
        <f t="shared" si="111"/>
        <v>#N/A</v>
      </c>
      <c r="R809" s="1" t="e">
        <f>INDEX('6.0.35'!I:I,MATCH(F809,'6.0.35'!K:K,0))</f>
        <v>#N/A</v>
      </c>
      <c r="S809" s="1" t="e">
        <f>INDEX('6.0.35'!J:J,MATCH(F809,'6.0.35'!F:F,0))</f>
        <v>#N/A</v>
      </c>
    </row>
    <row r="810" spans="1:19">
      <c r="A810" t="s">
        <v>16191</v>
      </c>
      <c r="I810" s="1" t="str">
        <f t="shared" si="104"/>
        <v/>
      </c>
      <c r="J810" s="1">
        <f t="shared" si="105"/>
        <v>0</v>
      </c>
      <c r="K810" s="1" t="str">
        <f t="shared" si="106"/>
        <v/>
      </c>
      <c r="L810" s="1">
        <f t="shared" si="107"/>
        <v>0</v>
      </c>
      <c r="M810" s="1">
        <f t="shared" si="108"/>
        <v>0</v>
      </c>
      <c r="N810" s="1">
        <f t="shared" si="109"/>
        <v>0</v>
      </c>
      <c r="O810" s="1" t="b">
        <f t="shared" si="110"/>
        <v>0</v>
      </c>
      <c r="P810" s="1" t="e">
        <f>INDEX(G:G,MATCH(G810,G:G,0))</f>
        <v>#N/A</v>
      </c>
      <c r="Q810" s="1" t="e">
        <f t="shared" si="111"/>
        <v>#N/A</v>
      </c>
      <c r="R810" s="1" t="e">
        <f>INDEX('6.0.35'!I:I,MATCH(F810,'6.0.35'!K:K,0))</f>
        <v>#N/A</v>
      </c>
      <c r="S810" s="1" t="e">
        <f>INDEX('6.0.35'!J:J,MATCH(F810,'6.0.35'!F:F,0))</f>
        <v>#N/A</v>
      </c>
    </row>
    <row r="811" spans="1:19">
      <c r="A811" t="s">
        <v>16194</v>
      </c>
      <c r="I811" s="1" t="str">
        <f t="shared" si="104"/>
        <v/>
      </c>
      <c r="J811" s="1">
        <f t="shared" si="105"/>
        <v>0</v>
      </c>
      <c r="K811" s="1" t="str">
        <f t="shared" si="106"/>
        <v/>
      </c>
      <c r="L811" s="1">
        <f t="shared" si="107"/>
        <v>0</v>
      </c>
      <c r="M811" s="1">
        <f t="shared" si="108"/>
        <v>0</v>
      </c>
      <c r="N811" s="1">
        <f t="shared" si="109"/>
        <v>0</v>
      </c>
      <c r="O811" s="1" t="b">
        <f t="shared" si="110"/>
        <v>0</v>
      </c>
      <c r="P811" s="1" t="e">
        <f>INDEX(G:G,MATCH(G811,G:G,0))</f>
        <v>#N/A</v>
      </c>
      <c r="Q811" s="1" t="e">
        <f t="shared" si="111"/>
        <v>#N/A</v>
      </c>
      <c r="R811" s="1" t="e">
        <f>INDEX('6.0.35'!I:I,MATCH(F811,'6.0.35'!K:K,0))</f>
        <v>#N/A</v>
      </c>
      <c r="S811" s="1" t="e">
        <f>INDEX('6.0.35'!J:J,MATCH(F811,'6.0.35'!F:F,0))</f>
        <v>#N/A</v>
      </c>
    </row>
    <row r="812" spans="1:19">
      <c r="A812" t="s">
        <v>16197</v>
      </c>
      <c r="I812" s="1" t="str">
        <f t="shared" si="104"/>
        <v/>
      </c>
      <c r="J812" s="1">
        <f t="shared" si="105"/>
        <v>0</v>
      </c>
      <c r="K812" s="1" t="str">
        <f t="shared" si="106"/>
        <v/>
      </c>
      <c r="L812" s="1">
        <f t="shared" si="107"/>
        <v>0</v>
      </c>
      <c r="M812" s="1">
        <f t="shared" si="108"/>
        <v>0</v>
      </c>
      <c r="N812" s="1">
        <f t="shared" si="109"/>
        <v>0</v>
      </c>
      <c r="O812" s="1" t="b">
        <f t="shared" si="110"/>
        <v>0</v>
      </c>
      <c r="P812" s="1" t="e">
        <f>INDEX(G:G,MATCH(G812,G:G,0))</f>
        <v>#N/A</v>
      </c>
      <c r="Q812" s="1" t="e">
        <f t="shared" si="111"/>
        <v>#N/A</v>
      </c>
      <c r="R812" s="1" t="e">
        <f>INDEX('6.0.35'!I:I,MATCH(F812,'6.0.35'!K:K,0))</f>
        <v>#N/A</v>
      </c>
      <c r="S812" s="1" t="e">
        <f>INDEX('6.0.35'!J:J,MATCH(F812,'6.0.35'!F:F,0))</f>
        <v>#N/A</v>
      </c>
    </row>
    <row r="813" spans="1:19">
      <c r="A813" t="s">
        <v>16200</v>
      </c>
      <c r="I813" s="1" t="str">
        <f t="shared" si="104"/>
        <v/>
      </c>
      <c r="J813" s="1">
        <f t="shared" si="105"/>
        <v>0</v>
      </c>
      <c r="K813" s="1" t="str">
        <f t="shared" si="106"/>
        <v/>
      </c>
      <c r="L813" s="1">
        <f t="shared" si="107"/>
        <v>0</v>
      </c>
      <c r="M813" s="1">
        <f t="shared" si="108"/>
        <v>0</v>
      </c>
      <c r="N813" s="1">
        <f t="shared" si="109"/>
        <v>0</v>
      </c>
      <c r="O813" s="1" t="b">
        <f t="shared" si="110"/>
        <v>0</v>
      </c>
      <c r="P813" s="1" t="e">
        <f>INDEX(G:G,MATCH(G813,G:G,0))</f>
        <v>#N/A</v>
      </c>
      <c r="Q813" s="1" t="e">
        <f t="shared" si="111"/>
        <v>#N/A</v>
      </c>
      <c r="R813" s="1" t="e">
        <f>INDEX('6.0.35'!I:I,MATCH(F813,'6.0.35'!K:K,0))</f>
        <v>#N/A</v>
      </c>
      <c r="S813" s="1" t="e">
        <f>INDEX('6.0.35'!J:J,MATCH(F813,'6.0.35'!F:F,0))</f>
        <v>#N/A</v>
      </c>
    </row>
    <row r="814" spans="1:19">
      <c r="A814" t="s">
        <v>16203</v>
      </c>
      <c r="I814" s="1" t="str">
        <f t="shared" si="104"/>
        <v/>
      </c>
      <c r="J814" s="1">
        <f t="shared" si="105"/>
        <v>0</v>
      </c>
      <c r="K814" s="1" t="str">
        <f t="shared" si="106"/>
        <v/>
      </c>
      <c r="L814" s="1">
        <f t="shared" si="107"/>
        <v>0</v>
      </c>
      <c r="M814" s="1">
        <f t="shared" si="108"/>
        <v>0</v>
      </c>
      <c r="N814" s="1">
        <f t="shared" si="109"/>
        <v>0</v>
      </c>
      <c r="O814" s="1" t="b">
        <f t="shared" si="110"/>
        <v>0</v>
      </c>
      <c r="P814" s="1" t="e">
        <f>INDEX(G:G,MATCH(G814,G:G,0))</f>
        <v>#N/A</v>
      </c>
      <c r="Q814" s="1" t="e">
        <f t="shared" si="111"/>
        <v>#N/A</v>
      </c>
      <c r="R814" s="1" t="e">
        <f>INDEX('6.0.35'!I:I,MATCH(F814,'6.0.35'!K:K,0))</f>
        <v>#N/A</v>
      </c>
      <c r="S814" s="1" t="e">
        <f>INDEX('6.0.35'!J:J,MATCH(F814,'6.0.35'!F:F,0))</f>
        <v>#N/A</v>
      </c>
    </row>
    <row r="815" spans="1:19">
      <c r="A815" t="s">
        <v>16206</v>
      </c>
      <c r="I815" s="1" t="str">
        <f t="shared" si="104"/>
        <v/>
      </c>
      <c r="J815" s="1">
        <f t="shared" si="105"/>
        <v>0</v>
      </c>
      <c r="K815" s="1" t="str">
        <f t="shared" si="106"/>
        <v/>
      </c>
      <c r="L815" s="1">
        <f t="shared" si="107"/>
        <v>0</v>
      </c>
      <c r="M815" s="1">
        <f t="shared" si="108"/>
        <v>0</v>
      </c>
      <c r="N815" s="1">
        <f t="shared" si="109"/>
        <v>0</v>
      </c>
      <c r="O815" s="1" t="b">
        <f t="shared" si="110"/>
        <v>0</v>
      </c>
      <c r="P815" s="1" t="e">
        <f>INDEX(G:G,MATCH(G815,G:G,0))</f>
        <v>#N/A</v>
      </c>
      <c r="Q815" s="1" t="e">
        <f t="shared" si="111"/>
        <v>#N/A</v>
      </c>
      <c r="R815" s="1" t="e">
        <f>INDEX('6.0.35'!I:I,MATCH(F815,'6.0.35'!K:K,0))</f>
        <v>#N/A</v>
      </c>
      <c r="S815" s="1" t="e">
        <f>INDEX('6.0.35'!J:J,MATCH(F815,'6.0.35'!F:F,0))</f>
        <v>#N/A</v>
      </c>
    </row>
    <row r="816" spans="1:19">
      <c r="A816" t="s">
        <v>16209</v>
      </c>
      <c r="I816" s="1" t="str">
        <f t="shared" si="104"/>
        <v/>
      </c>
      <c r="J816" s="1">
        <f t="shared" si="105"/>
        <v>0</v>
      </c>
      <c r="K816" s="1" t="str">
        <f t="shared" si="106"/>
        <v/>
      </c>
      <c r="L816" s="1">
        <f t="shared" si="107"/>
        <v>0</v>
      </c>
      <c r="M816" s="1">
        <f t="shared" si="108"/>
        <v>0</v>
      </c>
      <c r="N816" s="1">
        <f t="shared" si="109"/>
        <v>0</v>
      </c>
      <c r="O816" s="1" t="b">
        <f t="shared" si="110"/>
        <v>0</v>
      </c>
      <c r="P816" s="1" t="e">
        <f>INDEX(G:G,MATCH(G816,G:G,0))</f>
        <v>#N/A</v>
      </c>
      <c r="Q816" s="1" t="e">
        <f t="shared" si="111"/>
        <v>#N/A</v>
      </c>
      <c r="R816" s="1" t="e">
        <f>INDEX('6.0.35'!I:I,MATCH(F816,'6.0.35'!K:K,0))</f>
        <v>#N/A</v>
      </c>
      <c r="S816" s="1" t="e">
        <f>INDEX('6.0.35'!J:J,MATCH(F816,'6.0.35'!F:F,0))</f>
        <v>#N/A</v>
      </c>
    </row>
    <row r="817" spans="1:19">
      <c r="A817" t="s">
        <v>16212</v>
      </c>
      <c r="I817" s="1" t="str">
        <f t="shared" si="104"/>
        <v/>
      </c>
      <c r="J817" s="1">
        <f t="shared" si="105"/>
        <v>0</v>
      </c>
      <c r="K817" s="1" t="str">
        <f t="shared" si="106"/>
        <v/>
      </c>
      <c r="L817" s="1">
        <f t="shared" si="107"/>
        <v>0</v>
      </c>
      <c r="M817" s="1">
        <f t="shared" si="108"/>
        <v>0</v>
      </c>
      <c r="N817" s="1">
        <f t="shared" si="109"/>
        <v>0</v>
      </c>
      <c r="O817" s="1" t="b">
        <f t="shared" si="110"/>
        <v>0</v>
      </c>
      <c r="P817" s="1" t="e">
        <f>INDEX(G:G,MATCH(G817,G:G,0))</f>
        <v>#N/A</v>
      </c>
      <c r="Q817" s="1" t="e">
        <f t="shared" si="111"/>
        <v>#N/A</v>
      </c>
      <c r="R817" s="1" t="e">
        <f>INDEX('6.0.35'!I:I,MATCH(F817,'6.0.35'!K:K,0))</f>
        <v>#N/A</v>
      </c>
      <c r="S817" s="1" t="e">
        <f>INDEX('6.0.35'!J:J,MATCH(F817,'6.0.35'!F:F,0))</f>
        <v>#N/A</v>
      </c>
    </row>
    <row r="818" spans="1:19">
      <c r="A818" t="s">
        <v>16215</v>
      </c>
      <c r="I818" s="1" t="str">
        <f t="shared" si="104"/>
        <v/>
      </c>
      <c r="J818" s="1">
        <f t="shared" si="105"/>
        <v>0</v>
      </c>
      <c r="K818" s="1" t="str">
        <f t="shared" si="106"/>
        <v/>
      </c>
      <c r="L818" s="1">
        <f t="shared" si="107"/>
        <v>0</v>
      </c>
      <c r="M818" s="1">
        <f t="shared" si="108"/>
        <v>0</v>
      </c>
      <c r="N818" s="1">
        <f t="shared" si="109"/>
        <v>0</v>
      </c>
      <c r="O818" s="1" t="b">
        <f t="shared" si="110"/>
        <v>0</v>
      </c>
      <c r="P818" s="1" t="e">
        <f>INDEX(G:G,MATCH(G818,G:G,0))</f>
        <v>#N/A</v>
      </c>
      <c r="Q818" s="1" t="e">
        <f t="shared" si="111"/>
        <v>#N/A</v>
      </c>
      <c r="R818" s="1" t="e">
        <f>INDEX('6.0.35'!I:I,MATCH(F818,'6.0.35'!K:K,0))</f>
        <v>#N/A</v>
      </c>
      <c r="S818" s="1" t="e">
        <f>INDEX('6.0.35'!J:J,MATCH(F818,'6.0.35'!F:F,0))</f>
        <v>#N/A</v>
      </c>
    </row>
    <row r="819" spans="1:19">
      <c r="A819" t="s">
        <v>16218</v>
      </c>
      <c r="I819" s="1" t="str">
        <f t="shared" si="104"/>
        <v/>
      </c>
      <c r="J819" s="1">
        <f t="shared" si="105"/>
        <v>0</v>
      </c>
      <c r="K819" s="1" t="str">
        <f t="shared" si="106"/>
        <v/>
      </c>
      <c r="L819" s="1">
        <f t="shared" si="107"/>
        <v>0</v>
      </c>
      <c r="M819" s="1">
        <f t="shared" si="108"/>
        <v>0</v>
      </c>
      <c r="N819" s="1">
        <f t="shared" si="109"/>
        <v>0</v>
      </c>
      <c r="O819" s="1" t="b">
        <f t="shared" si="110"/>
        <v>0</v>
      </c>
      <c r="P819" s="1" t="e">
        <f>INDEX(G:G,MATCH(G819,G:G,0))</f>
        <v>#N/A</v>
      </c>
      <c r="Q819" s="1" t="e">
        <f t="shared" si="111"/>
        <v>#N/A</v>
      </c>
      <c r="R819" s="1" t="e">
        <f>INDEX('6.0.35'!I:I,MATCH(F819,'6.0.35'!K:K,0))</f>
        <v>#N/A</v>
      </c>
      <c r="S819" s="1" t="e">
        <f>INDEX('6.0.35'!J:J,MATCH(F819,'6.0.35'!F:F,0))</f>
        <v>#N/A</v>
      </c>
    </row>
    <row r="820" spans="1:19">
      <c r="A820" t="s">
        <v>16221</v>
      </c>
      <c r="I820" s="1" t="str">
        <f t="shared" si="104"/>
        <v/>
      </c>
      <c r="J820" s="1">
        <f t="shared" si="105"/>
        <v>0</v>
      </c>
      <c r="K820" s="1" t="str">
        <f t="shared" si="106"/>
        <v/>
      </c>
      <c r="L820" s="1">
        <f t="shared" si="107"/>
        <v>0</v>
      </c>
      <c r="M820" s="1">
        <f t="shared" si="108"/>
        <v>0</v>
      </c>
      <c r="N820" s="1">
        <f t="shared" si="109"/>
        <v>0</v>
      </c>
      <c r="O820" s="1" t="b">
        <f t="shared" si="110"/>
        <v>0</v>
      </c>
      <c r="P820" s="1" t="e">
        <f>INDEX(G:G,MATCH(G820,G:G,0))</f>
        <v>#N/A</v>
      </c>
      <c r="Q820" s="1" t="e">
        <f t="shared" si="111"/>
        <v>#N/A</v>
      </c>
      <c r="R820" s="1" t="e">
        <f>INDEX('6.0.35'!I:I,MATCH(F820,'6.0.35'!K:K,0))</f>
        <v>#N/A</v>
      </c>
      <c r="S820" s="1" t="e">
        <f>INDEX('6.0.35'!J:J,MATCH(F820,'6.0.35'!F:F,0))</f>
        <v>#N/A</v>
      </c>
    </row>
    <row r="821" spans="1:19">
      <c r="A821" t="s">
        <v>16224</v>
      </c>
      <c r="I821" s="1" t="str">
        <f t="shared" si="104"/>
        <v/>
      </c>
      <c r="J821" s="1">
        <f t="shared" si="105"/>
        <v>0</v>
      </c>
      <c r="K821" s="1" t="str">
        <f t="shared" si="106"/>
        <v/>
      </c>
      <c r="L821" s="1">
        <f t="shared" si="107"/>
        <v>0</v>
      </c>
      <c r="M821" s="1">
        <f t="shared" si="108"/>
        <v>0</v>
      </c>
      <c r="N821" s="1">
        <f t="shared" si="109"/>
        <v>0</v>
      </c>
      <c r="O821" s="1" t="b">
        <f t="shared" si="110"/>
        <v>0</v>
      </c>
      <c r="P821" s="1" t="e">
        <f>INDEX(G:G,MATCH(G821,G:G,0))</f>
        <v>#N/A</v>
      </c>
      <c r="Q821" s="1" t="e">
        <f t="shared" si="111"/>
        <v>#N/A</v>
      </c>
      <c r="R821" s="1" t="e">
        <f>INDEX('6.0.35'!I:I,MATCH(F821,'6.0.35'!K:K,0))</f>
        <v>#N/A</v>
      </c>
      <c r="S821" s="1" t="e">
        <f>INDEX('6.0.35'!J:J,MATCH(F821,'6.0.35'!F:F,0))</f>
        <v>#N/A</v>
      </c>
    </row>
    <row r="822" spans="1:19">
      <c r="A822" t="s">
        <v>16227</v>
      </c>
      <c r="I822" s="1" t="str">
        <f t="shared" si="104"/>
        <v/>
      </c>
      <c r="J822" s="1">
        <f t="shared" si="105"/>
        <v>0</v>
      </c>
      <c r="K822" s="1" t="str">
        <f t="shared" si="106"/>
        <v/>
      </c>
      <c r="L822" s="1">
        <f t="shared" si="107"/>
        <v>0</v>
      </c>
      <c r="M822" s="1">
        <f t="shared" si="108"/>
        <v>0</v>
      </c>
      <c r="N822" s="1">
        <f t="shared" si="109"/>
        <v>0</v>
      </c>
      <c r="O822" s="1" t="b">
        <f t="shared" si="110"/>
        <v>0</v>
      </c>
      <c r="P822" s="1" t="e">
        <f>INDEX(G:G,MATCH(G822,G:G,0))</f>
        <v>#N/A</v>
      </c>
      <c r="Q822" s="1" t="e">
        <f t="shared" si="111"/>
        <v>#N/A</v>
      </c>
      <c r="R822" s="1" t="e">
        <f>INDEX('6.0.35'!I:I,MATCH(F822,'6.0.35'!K:K,0))</f>
        <v>#N/A</v>
      </c>
      <c r="S822" s="1" t="e">
        <f>INDEX('6.0.35'!J:J,MATCH(F822,'6.0.35'!F:F,0))</f>
        <v>#N/A</v>
      </c>
    </row>
    <row r="823" spans="1:19">
      <c r="A823" t="s">
        <v>16230</v>
      </c>
      <c r="I823" s="1" t="str">
        <f t="shared" si="104"/>
        <v/>
      </c>
      <c r="J823" s="1">
        <f t="shared" si="105"/>
        <v>0</v>
      </c>
      <c r="K823" s="1" t="str">
        <f t="shared" si="106"/>
        <v/>
      </c>
      <c r="L823" s="1">
        <f t="shared" si="107"/>
        <v>0</v>
      </c>
      <c r="M823" s="1">
        <f t="shared" si="108"/>
        <v>0</v>
      </c>
      <c r="N823" s="1">
        <f t="shared" si="109"/>
        <v>0</v>
      </c>
      <c r="O823" s="1" t="b">
        <f t="shared" si="110"/>
        <v>0</v>
      </c>
      <c r="P823" s="1" t="e">
        <f>INDEX(G:G,MATCH(G823,G:G,0))</f>
        <v>#N/A</v>
      </c>
      <c r="Q823" s="1" t="e">
        <f t="shared" si="111"/>
        <v>#N/A</v>
      </c>
      <c r="R823" s="1" t="e">
        <f>INDEX('6.0.35'!I:I,MATCH(F823,'6.0.35'!K:K,0))</f>
        <v>#N/A</v>
      </c>
      <c r="S823" s="1" t="e">
        <f>INDEX('6.0.35'!J:J,MATCH(F823,'6.0.35'!F:F,0))</f>
        <v>#N/A</v>
      </c>
    </row>
    <row r="824" spans="1:19">
      <c r="A824" t="s">
        <v>16233</v>
      </c>
      <c r="I824" s="1" t="str">
        <f t="shared" si="104"/>
        <v/>
      </c>
      <c r="J824" s="1">
        <f t="shared" si="105"/>
        <v>0</v>
      </c>
      <c r="K824" s="1" t="str">
        <f t="shared" si="106"/>
        <v/>
      </c>
      <c r="L824" s="1">
        <f t="shared" si="107"/>
        <v>0</v>
      </c>
      <c r="M824" s="1">
        <f t="shared" si="108"/>
        <v>0</v>
      </c>
      <c r="N824" s="1">
        <f t="shared" si="109"/>
        <v>0</v>
      </c>
      <c r="O824" s="1" t="b">
        <f t="shared" si="110"/>
        <v>0</v>
      </c>
      <c r="P824" s="1" t="e">
        <f>INDEX(G:G,MATCH(G824,G:G,0))</f>
        <v>#N/A</v>
      </c>
      <c r="Q824" s="1" t="e">
        <f t="shared" si="111"/>
        <v>#N/A</v>
      </c>
      <c r="R824" s="1" t="e">
        <f>INDEX('6.0.35'!I:I,MATCH(F824,'6.0.35'!K:K,0))</f>
        <v>#N/A</v>
      </c>
      <c r="S824" s="1" t="e">
        <f>INDEX('6.0.35'!J:J,MATCH(F824,'6.0.35'!F:F,0))</f>
        <v>#N/A</v>
      </c>
    </row>
    <row r="825" spans="1:19">
      <c r="A825" t="s">
        <v>16236</v>
      </c>
      <c r="I825" s="1" t="str">
        <f t="shared" si="104"/>
        <v/>
      </c>
      <c r="J825" s="1">
        <f t="shared" si="105"/>
        <v>0</v>
      </c>
      <c r="K825" s="1" t="str">
        <f t="shared" si="106"/>
        <v/>
      </c>
      <c r="L825" s="1">
        <f t="shared" si="107"/>
        <v>0</v>
      </c>
      <c r="M825" s="1">
        <f t="shared" si="108"/>
        <v>0</v>
      </c>
      <c r="N825" s="1">
        <f t="shared" si="109"/>
        <v>0</v>
      </c>
      <c r="O825" s="1" t="b">
        <f t="shared" si="110"/>
        <v>0</v>
      </c>
      <c r="P825" s="1" t="e">
        <f>INDEX(G:G,MATCH(G825,G:G,0))</f>
        <v>#N/A</v>
      </c>
      <c r="Q825" s="1" t="e">
        <f t="shared" si="111"/>
        <v>#N/A</v>
      </c>
      <c r="R825" s="1" t="e">
        <f>INDEX('6.0.35'!I:I,MATCH(F825,'6.0.35'!K:K,0))</f>
        <v>#N/A</v>
      </c>
      <c r="S825" s="1" t="e">
        <f>INDEX('6.0.35'!J:J,MATCH(F825,'6.0.35'!F:F,0))</f>
        <v>#N/A</v>
      </c>
    </row>
    <row r="826" spans="1:19">
      <c r="A826" t="s">
        <v>16239</v>
      </c>
      <c r="I826" s="1" t="str">
        <f t="shared" ref="I826:I889" si="112">IFERROR(IF(OR(MID(G826,FIND(":",G826)-1,1)="""",MID(G826,FIND(":",G826)-1,1)="}",MID(G826,FIND(":",G826)-1,1)=")",MID(G826,FIND(":",G826)-1,1)="]"),"",RIGHT(G826,LEN(G826)-FIND(":",G826)-1)),"")</f>
        <v/>
      </c>
      <c r="J826" s="1">
        <f t="shared" ref="J826:J889" si="113">IF(AND(I826="",H826=""),G826,IF(H826="",I826,H826&amp;": "&amp;I826))</f>
        <v>0</v>
      </c>
      <c r="K826" s="1" t="str">
        <f t="shared" ref="K826:K889" si="114">IFERROR(IF(OR(MID(F826,FIND(":",F826)-1,1)="""",MID(F826,FIND(":",F826)-1,1)="}",MID(F826,FIND(":",F826)-1,1)=")",MID(F826,FIND(":",F826)-1,1)="]"),"",RIGHT(F826,LEN(F826)-FIND(":",F826)-1)),"")</f>
        <v/>
      </c>
      <c r="L826" s="1">
        <f t="shared" ref="L826:L889" si="115">LEN(F826)-LEN(SUBSTITUTE(F826,":",""))</f>
        <v>0</v>
      </c>
      <c r="M826" s="1">
        <f t="shared" ref="M826:M889" si="116">LEN(G826)-LEN(SUBSTITUTE(G826,":",""))</f>
        <v>0</v>
      </c>
      <c r="N826" s="1">
        <f t="shared" ref="N826:N889" si="117">LEN(G826)-LEN(SUBSTITUTE(G826,"：",""))</f>
        <v>0</v>
      </c>
      <c r="O826" s="1" t="b">
        <f t="shared" ref="O826:O889" si="118">IF(M826&gt;=2,MID(G826,FIND(":",G826)+1,LEN(G826)))</f>
        <v>0</v>
      </c>
      <c r="P826" s="1" t="e">
        <f>INDEX(G:G,MATCH(G826,G:G,0))</f>
        <v>#N/A</v>
      </c>
      <c r="Q826" s="1" t="e">
        <f t="shared" ref="Q826:Q889" si="119">IF(P826&lt;&gt;G826,"校验","")</f>
        <v>#N/A</v>
      </c>
      <c r="R826" s="1" t="e">
        <f>INDEX('6.0.35'!I:I,MATCH(F826,'6.0.35'!K:K,0))</f>
        <v>#N/A</v>
      </c>
      <c r="S826" s="1" t="e">
        <f>INDEX('6.0.35'!J:J,MATCH(F826,'6.0.35'!F:F,0))</f>
        <v>#N/A</v>
      </c>
    </row>
    <row r="827" spans="1:19">
      <c r="A827" t="s">
        <v>16242</v>
      </c>
      <c r="I827" s="1" t="str">
        <f t="shared" si="112"/>
        <v/>
      </c>
      <c r="J827" s="1">
        <f t="shared" si="113"/>
        <v>0</v>
      </c>
      <c r="K827" s="1" t="str">
        <f t="shared" si="114"/>
        <v/>
      </c>
      <c r="L827" s="1">
        <f t="shared" si="115"/>
        <v>0</v>
      </c>
      <c r="M827" s="1">
        <f t="shared" si="116"/>
        <v>0</v>
      </c>
      <c r="N827" s="1">
        <f t="shared" si="117"/>
        <v>0</v>
      </c>
      <c r="O827" s="1" t="b">
        <f t="shared" si="118"/>
        <v>0</v>
      </c>
      <c r="P827" s="1" t="e">
        <f>INDEX(G:G,MATCH(G827,G:G,0))</f>
        <v>#N/A</v>
      </c>
      <c r="Q827" s="1" t="e">
        <f t="shared" si="119"/>
        <v>#N/A</v>
      </c>
      <c r="R827" s="1" t="e">
        <f>INDEX('6.0.35'!I:I,MATCH(F827,'6.0.35'!K:K,0))</f>
        <v>#N/A</v>
      </c>
      <c r="S827" s="1" t="e">
        <f>INDEX('6.0.35'!J:J,MATCH(F827,'6.0.35'!F:F,0))</f>
        <v>#N/A</v>
      </c>
    </row>
    <row r="828" spans="1:19">
      <c r="A828" t="s">
        <v>16245</v>
      </c>
      <c r="I828" s="1" t="str">
        <f t="shared" si="112"/>
        <v/>
      </c>
      <c r="J828" s="1">
        <f t="shared" si="113"/>
        <v>0</v>
      </c>
      <c r="K828" s="1" t="str">
        <f t="shared" si="114"/>
        <v/>
      </c>
      <c r="L828" s="1">
        <f t="shared" si="115"/>
        <v>0</v>
      </c>
      <c r="M828" s="1">
        <f t="shared" si="116"/>
        <v>0</v>
      </c>
      <c r="N828" s="1">
        <f t="shared" si="117"/>
        <v>0</v>
      </c>
      <c r="O828" s="1" t="b">
        <f t="shared" si="118"/>
        <v>0</v>
      </c>
      <c r="P828" s="1" t="e">
        <f>INDEX(G:G,MATCH(G828,G:G,0))</f>
        <v>#N/A</v>
      </c>
      <c r="Q828" s="1" t="e">
        <f t="shared" si="119"/>
        <v>#N/A</v>
      </c>
      <c r="R828" s="1" t="e">
        <f>INDEX('6.0.35'!I:I,MATCH(F828,'6.0.35'!K:K,0))</f>
        <v>#N/A</v>
      </c>
      <c r="S828" s="1" t="e">
        <f>INDEX('6.0.35'!J:J,MATCH(F828,'6.0.35'!F:F,0))</f>
        <v>#N/A</v>
      </c>
    </row>
    <row r="829" spans="1:19">
      <c r="A829" t="s">
        <v>16248</v>
      </c>
      <c r="I829" s="1" t="str">
        <f t="shared" si="112"/>
        <v/>
      </c>
      <c r="J829" s="1">
        <f t="shared" si="113"/>
        <v>0</v>
      </c>
      <c r="K829" s="1" t="str">
        <f t="shared" si="114"/>
        <v/>
      </c>
      <c r="L829" s="1">
        <f t="shared" si="115"/>
        <v>0</v>
      </c>
      <c r="M829" s="1">
        <f t="shared" si="116"/>
        <v>0</v>
      </c>
      <c r="N829" s="1">
        <f t="shared" si="117"/>
        <v>0</v>
      </c>
      <c r="O829" s="1" t="b">
        <f t="shared" si="118"/>
        <v>0</v>
      </c>
      <c r="P829" s="1" t="e">
        <f>INDEX(G:G,MATCH(G829,G:G,0))</f>
        <v>#N/A</v>
      </c>
      <c r="Q829" s="1" t="e">
        <f t="shared" si="119"/>
        <v>#N/A</v>
      </c>
      <c r="R829" s="1" t="e">
        <f>INDEX('6.0.35'!I:I,MATCH(F829,'6.0.35'!K:K,0))</f>
        <v>#N/A</v>
      </c>
      <c r="S829" s="1" t="e">
        <f>INDEX('6.0.35'!J:J,MATCH(F829,'6.0.35'!F:F,0))</f>
        <v>#N/A</v>
      </c>
    </row>
    <row r="830" spans="1:19">
      <c r="A830" t="s">
        <v>16251</v>
      </c>
      <c r="I830" s="1" t="str">
        <f t="shared" si="112"/>
        <v/>
      </c>
      <c r="J830" s="1">
        <f t="shared" si="113"/>
        <v>0</v>
      </c>
      <c r="K830" s="1" t="str">
        <f t="shared" si="114"/>
        <v/>
      </c>
      <c r="L830" s="1">
        <f t="shared" si="115"/>
        <v>0</v>
      </c>
      <c r="M830" s="1">
        <f t="shared" si="116"/>
        <v>0</v>
      </c>
      <c r="N830" s="1">
        <f t="shared" si="117"/>
        <v>0</v>
      </c>
      <c r="O830" s="1" t="b">
        <f t="shared" si="118"/>
        <v>0</v>
      </c>
      <c r="P830" s="1" t="e">
        <f>INDEX(G:G,MATCH(G830,G:G,0))</f>
        <v>#N/A</v>
      </c>
      <c r="Q830" s="1" t="e">
        <f t="shared" si="119"/>
        <v>#N/A</v>
      </c>
      <c r="R830" s="1" t="e">
        <f>INDEX('6.0.35'!I:I,MATCH(F830,'6.0.35'!K:K,0))</f>
        <v>#N/A</v>
      </c>
      <c r="S830" s="1" t="e">
        <f>INDEX('6.0.35'!J:J,MATCH(F830,'6.0.35'!F:F,0))</f>
        <v>#N/A</v>
      </c>
    </row>
    <row r="831" spans="1:19">
      <c r="A831" t="s">
        <v>16254</v>
      </c>
      <c r="I831" s="1" t="str">
        <f t="shared" si="112"/>
        <v/>
      </c>
      <c r="J831" s="1">
        <f t="shared" si="113"/>
        <v>0</v>
      </c>
      <c r="K831" s="1" t="str">
        <f t="shared" si="114"/>
        <v/>
      </c>
      <c r="L831" s="1">
        <f t="shared" si="115"/>
        <v>0</v>
      </c>
      <c r="M831" s="1">
        <f t="shared" si="116"/>
        <v>0</v>
      </c>
      <c r="N831" s="1">
        <f t="shared" si="117"/>
        <v>0</v>
      </c>
      <c r="O831" s="1" t="b">
        <f t="shared" si="118"/>
        <v>0</v>
      </c>
      <c r="P831" s="1" t="e">
        <f>INDEX(G:G,MATCH(G831,G:G,0))</f>
        <v>#N/A</v>
      </c>
      <c r="Q831" s="1" t="e">
        <f t="shared" si="119"/>
        <v>#N/A</v>
      </c>
      <c r="R831" s="1" t="e">
        <f>INDEX('6.0.35'!I:I,MATCH(F831,'6.0.35'!K:K,0))</f>
        <v>#N/A</v>
      </c>
      <c r="S831" s="1" t="e">
        <f>INDEX('6.0.35'!J:J,MATCH(F831,'6.0.35'!F:F,0))</f>
        <v>#N/A</v>
      </c>
    </row>
    <row r="832" spans="1:19">
      <c r="A832" t="s">
        <v>16257</v>
      </c>
      <c r="I832" s="1" t="str">
        <f t="shared" si="112"/>
        <v/>
      </c>
      <c r="J832" s="1">
        <f t="shared" si="113"/>
        <v>0</v>
      </c>
      <c r="K832" s="1" t="str">
        <f t="shared" si="114"/>
        <v/>
      </c>
      <c r="L832" s="1">
        <f t="shared" si="115"/>
        <v>0</v>
      </c>
      <c r="M832" s="1">
        <f t="shared" si="116"/>
        <v>0</v>
      </c>
      <c r="N832" s="1">
        <f t="shared" si="117"/>
        <v>0</v>
      </c>
      <c r="O832" s="1" t="b">
        <f t="shared" si="118"/>
        <v>0</v>
      </c>
      <c r="P832" s="1" t="e">
        <f>INDEX(G:G,MATCH(G832,G:G,0))</f>
        <v>#N/A</v>
      </c>
      <c r="Q832" s="1" t="e">
        <f t="shared" si="119"/>
        <v>#N/A</v>
      </c>
      <c r="R832" s="1" t="e">
        <f>INDEX('6.0.35'!I:I,MATCH(F832,'6.0.35'!K:K,0))</f>
        <v>#N/A</v>
      </c>
      <c r="S832" s="1" t="e">
        <f>INDEX('6.0.35'!J:J,MATCH(F832,'6.0.35'!F:F,0))</f>
        <v>#N/A</v>
      </c>
    </row>
    <row r="833" spans="1:19">
      <c r="A833" t="s">
        <v>16260</v>
      </c>
      <c r="I833" s="1" t="str">
        <f t="shared" si="112"/>
        <v/>
      </c>
      <c r="J833" s="1">
        <f t="shared" si="113"/>
        <v>0</v>
      </c>
      <c r="K833" s="1" t="str">
        <f t="shared" si="114"/>
        <v/>
      </c>
      <c r="L833" s="1">
        <f t="shared" si="115"/>
        <v>0</v>
      </c>
      <c r="M833" s="1">
        <f t="shared" si="116"/>
        <v>0</v>
      </c>
      <c r="N833" s="1">
        <f t="shared" si="117"/>
        <v>0</v>
      </c>
      <c r="O833" s="1" t="b">
        <f t="shared" si="118"/>
        <v>0</v>
      </c>
      <c r="P833" s="1" t="e">
        <f>INDEX(G:G,MATCH(G833,G:G,0))</f>
        <v>#N/A</v>
      </c>
      <c r="Q833" s="1" t="e">
        <f t="shared" si="119"/>
        <v>#N/A</v>
      </c>
      <c r="R833" s="1" t="e">
        <f>INDEX('6.0.35'!I:I,MATCH(F833,'6.0.35'!K:K,0))</f>
        <v>#N/A</v>
      </c>
      <c r="S833" s="1" t="e">
        <f>INDEX('6.0.35'!J:J,MATCH(F833,'6.0.35'!F:F,0))</f>
        <v>#N/A</v>
      </c>
    </row>
    <row r="834" spans="1:19">
      <c r="A834" t="s">
        <v>16263</v>
      </c>
      <c r="I834" s="1" t="str">
        <f t="shared" si="112"/>
        <v/>
      </c>
      <c r="J834" s="1">
        <f t="shared" si="113"/>
        <v>0</v>
      </c>
      <c r="K834" s="1" t="str">
        <f t="shared" si="114"/>
        <v/>
      </c>
      <c r="L834" s="1">
        <f t="shared" si="115"/>
        <v>0</v>
      </c>
      <c r="M834" s="1">
        <f t="shared" si="116"/>
        <v>0</v>
      </c>
      <c r="N834" s="1">
        <f t="shared" si="117"/>
        <v>0</v>
      </c>
      <c r="O834" s="1" t="b">
        <f t="shared" si="118"/>
        <v>0</v>
      </c>
      <c r="P834" s="1" t="e">
        <f>INDEX(G:G,MATCH(G834,G:G,0))</f>
        <v>#N/A</v>
      </c>
      <c r="Q834" s="1" t="e">
        <f t="shared" si="119"/>
        <v>#N/A</v>
      </c>
      <c r="R834" s="1" t="e">
        <f>INDEX('6.0.35'!I:I,MATCH(F834,'6.0.35'!K:K,0))</f>
        <v>#N/A</v>
      </c>
      <c r="S834" s="1" t="e">
        <f>INDEX('6.0.35'!J:J,MATCH(F834,'6.0.35'!F:F,0))</f>
        <v>#N/A</v>
      </c>
    </row>
    <row r="835" spans="1:19">
      <c r="A835" t="s">
        <v>16266</v>
      </c>
      <c r="I835" s="1" t="str">
        <f t="shared" si="112"/>
        <v/>
      </c>
      <c r="J835" s="1">
        <f t="shared" si="113"/>
        <v>0</v>
      </c>
      <c r="K835" s="1" t="str">
        <f t="shared" si="114"/>
        <v/>
      </c>
      <c r="L835" s="1">
        <f t="shared" si="115"/>
        <v>0</v>
      </c>
      <c r="M835" s="1">
        <f t="shared" si="116"/>
        <v>0</v>
      </c>
      <c r="N835" s="1">
        <f t="shared" si="117"/>
        <v>0</v>
      </c>
      <c r="O835" s="1" t="b">
        <f t="shared" si="118"/>
        <v>0</v>
      </c>
      <c r="P835" s="1" t="e">
        <f>INDEX(G:G,MATCH(G835,G:G,0))</f>
        <v>#N/A</v>
      </c>
      <c r="Q835" s="1" t="e">
        <f t="shared" si="119"/>
        <v>#N/A</v>
      </c>
      <c r="R835" s="1" t="e">
        <f>INDEX('6.0.35'!I:I,MATCH(F835,'6.0.35'!K:K,0))</f>
        <v>#N/A</v>
      </c>
      <c r="S835" s="1" t="e">
        <f>INDEX('6.0.35'!J:J,MATCH(F835,'6.0.35'!F:F,0))</f>
        <v>#N/A</v>
      </c>
    </row>
    <row r="836" spans="1:19">
      <c r="A836" t="s">
        <v>16269</v>
      </c>
      <c r="I836" s="1" t="str">
        <f t="shared" si="112"/>
        <v/>
      </c>
      <c r="J836" s="1">
        <f t="shared" si="113"/>
        <v>0</v>
      </c>
      <c r="K836" s="1" t="str">
        <f t="shared" si="114"/>
        <v/>
      </c>
      <c r="L836" s="1">
        <f t="shared" si="115"/>
        <v>0</v>
      </c>
      <c r="M836" s="1">
        <f t="shared" si="116"/>
        <v>0</v>
      </c>
      <c r="N836" s="1">
        <f t="shared" si="117"/>
        <v>0</v>
      </c>
      <c r="O836" s="1" t="b">
        <f t="shared" si="118"/>
        <v>0</v>
      </c>
      <c r="P836" s="1" t="e">
        <f>INDEX(G:G,MATCH(G836,G:G,0))</f>
        <v>#N/A</v>
      </c>
      <c r="Q836" s="1" t="e">
        <f t="shared" si="119"/>
        <v>#N/A</v>
      </c>
      <c r="R836" s="1" t="e">
        <f>INDEX('6.0.35'!I:I,MATCH(F836,'6.0.35'!K:K,0))</f>
        <v>#N/A</v>
      </c>
      <c r="S836" s="1" t="e">
        <f>INDEX('6.0.35'!J:J,MATCH(F836,'6.0.35'!F:F,0))</f>
        <v>#N/A</v>
      </c>
    </row>
    <row r="837" spans="1:19">
      <c r="A837" t="s">
        <v>16272</v>
      </c>
      <c r="I837" s="1" t="str">
        <f t="shared" si="112"/>
        <v/>
      </c>
      <c r="J837" s="1">
        <f t="shared" si="113"/>
        <v>0</v>
      </c>
      <c r="K837" s="1" t="str">
        <f t="shared" si="114"/>
        <v/>
      </c>
      <c r="L837" s="1">
        <f t="shared" si="115"/>
        <v>0</v>
      </c>
      <c r="M837" s="1">
        <f t="shared" si="116"/>
        <v>0</v>
      </c>
      <c r="N837" s="1">
        <f t="shared" si="117"/>
        <v>0</v>
      </c>
      <c r="O837" s="1" t="b">
        <f t="shared" si="118"/>
        <v>0</v>
      </c>
      <c r="P837" s="1" t="e">
        <f>INDEX(G:G,MATCH(G837,G:G,0))</f>
        <v>#N/A</v>
      </c>
      <c r="Q837" s="1" t="e">
        <f t="shared" si="119"/>
        <v>#N/A</v>
      </c>
      <c r="R837" s="1" t="e">
        <f>INDEX('6.0.35'!I:I,MATCH(F837,'6.0.35'!K:K,0))</f>
        <v>#N/A</v>
      </c>
      <c r="S837" s="1" t="e">
        <f>INDEX('6.0.35'!J:J,MATCH(F837,'6.0.35'!F:F,0))</f>
        <v>#N/A</v>
      </c>
    </row>
    <row r="838" spans="1:19">
      <c r="A838" t="s">
        <v>16275</v>
      </c>
      <c r="I838" s="1" t="str">
        <f t="shared" si="112"/>
        <v/>
      </c>
      <c r="J838" s="1">
        <f t="shared" si="113"/>
        <v>0</v>
      </c>
      <c r="K838" s="1" t="str">
        <f t="shared" si="114"/>
        <v/>
      </c>
      <c r="L838" s="1">
        <f t="shared" si="115"/>
        <v>0</v>
      </c>
      <c r="M838" s="1">
        <f t="shared" si="116"/>
        <v>0</v>
      </c>
      <c r="N838" s="1">
        <f t="shared" si="117"/>
        <v>0</v>
      </c>
      <c r="O838" s="1" t="b">
        <f t="shared" si="118"/>
        <v>0</v>
      </c>
      <c r="P838" s="1" t="e">
        <f>INDEX(G:G,MATCH(G838,G:G,0))</f>
        <v>#N/A</v>
      </c>
      <c r="Q838" s="1" t="e">
        <f t="shared" si="119"/>
        <v>#N/A</v>
      </c>
      <c r="R838" s="1" t="e">
        <f>INDEX('6.0.35'!I:I,MATCH(F838,'6.0.35'!K:K,0))</f>
        <v>#N/A</v>
      </c>
      <c r="S838" s="1" t="e">
        <f>INDEX('6.0.35'!J:J,MATCH(F838,'6.0.35'!F:F,0))</f>
        <v>#N/A</v>
      </c>
    </row>
    <row r="839" spans="1:19">
      <c r="A839" t="s">
        <v>16278</v>
      </c>
      <c r="I839" s="1" t="str">
        <f t="shared" si="112"/>
        <v/>
      </c>
      <c r="J839" s="1">
        <f t="shared" si="113"/>
        <v>0</v>
      </c>
      <c r="K839" s="1" t="str">
        <f t="shared" si="114"/>
        <v/>
      </c>
      <c r="L839" s="1">
        <f t="shared" si="115"/>
        <v>0</v>
      </c>
      <c r="M839" s="1">
        <f t="shared" si="116"/>
        <v>0</v>
      </c>
      <c r="N839" s="1">
        <f t="shared" si="117"/>
        <v>0</v>
      </c>
      <c r="O839" s="1" t="b">
        <f t="shared" si="118"/>
        <v>0</v>
      </c>
      <c r="P839" s="1" t="e">
        <f>INDEX(G:G,MATCH(G839,G:G,0))</f>
        <v>#N/A</v>
      </c>
      <c r="Q839" s="1" t="e">
        <f t="shared" si="119"/>
        <v>#N/A</v>
      </c>
      <c r="R839" s="1" t="e">
        <f>INDEX('6.0.35'!I:I,MATCH(F839,'6.0.35'!K:K,0))</f>
        <v>#N/A</v>
      </c>
      <c r="S839" s="1" t="e">
        <f>INDEX('6.0.35'!J:J,MATCH(F839,'6.0.35'!F:F,0))</f>
        <v>#N/A</v>
      </c>
    </row>
    <row r="840" spans="1:19">
      <c r="A840" t="s">
        <v>16281</v>
      </c>
      <c r="I840" s="1" t="str">
        <f t="shared" si="112"/>
        <v/>
      </c>
      <c r="J840" s="1">
        <f t="shared" si="113"/>
        <v>0</v>
      </c>
      <c r="K840" s="1" t="str">
        <f t="shared" si="114"/>
        <v/>
      </c>
      <c r="L840" s="1">
        <f t="shared" si="115"/>
        <v>0</v>
      </c>
      <c r="M840" s="1">
        <f t="shared" si="116"/>
        <v>0</v>
      </c>
      <c r="N840" s="1">
        <f t="shared" si="117"/>
        <v>0</v>
      </c>
      <c r="O840" s="1" t="b">
        <f t="shared" si="118"/>
        <v>0</v>
      </c>
      <c r="P840" s="1" t="e">
        <f>INDEX(G:G,MATCH(G840,G:G,0))</f>
        <v>#N/A</v>
      </c>
      <c r="Q840" s="1" t="e">
        <f t="shared" si="119"/>
        <v>#N/A</v>
      </c>
      <c r="R840" s="1" t="e">
        <f>INDEX('6.0.35'!I:I,MATCH(F840,'6.0.35'!K:K,0))</f>
        <v>#N/A</v>
      </c>
      <c r="S840" s="1" t="e">
        <f>INDEX('6.0.35'!J:J,MATCH(F840,'6.0.35'!F:F,0))</f>
        <v>#N/A</v>
      </c>
    </row>
    <row r="841" spans="1:19">
      <c r="A841" t="s">
        <v>16284</v>
      </c>
      <c r="I841" s="1" t="str">
        <f t="shared" si="112"/>
        <v/>
      </c>
      <c r="J841" s="1">
        <f t="shared" si="113"/>
        <v>0</v>
      </c>
      <c r="K841" s="1" t="str">
        <f t="shared" si="114"/>
        <v/>
      </c>
      <c r="L841" s="1">
        <f t="shared" si="115"/>
        <v>0</v>
      </c>
      <c r="M841" s="1">
        <f t="shared" si="116"/>
        <v>0</v>
      </c>
      <c r="N841" s="1">
        <f t="shared" si="117"/>
        <v>0</v>
      </c>
      <c r="O841" s="1" t="b">
        <f t="shared" si="118"/>
        <v>0</v>
      </c>
      <c r="P841" s="1" t="e">
        <f>INDEX(G:G,MATCH(G841,G:G,0))</f>
        <v>#N/A</v>
      </c>
      <c r="Q841" s="1" t="e">
        <f t="shared" si="119"/>
        <v>#N/A</v>
      </c>
      <c r="R841" s="1" t="e">
        <f>INDEX('6.0.35'!I:I,MATCH(F841,'6.0.35'!K:K,0))</f>
        <v>#N/A</v>
      </c>
      <c r="S841" s="1" t="e">
        <f>INDEX('6.0.35'!J:J,MATCH(F841,'6.0.35'!F:F,0))</f>
        <v>#N/A</v>
      </c>
    </row>
    <row r="842" spans="1:19">
      <c r="A842" t="s">
        <v>16287</v>
      </c>
      <c r="I842" s="1" t="str">
        <f t="shared" si="112"/>
        <v/>
      </c>
      <c r="J842" s="1">
        <f t="shared" si="113"/>
        <v>0</v>
      </c>
      <c r="K842" s="1" t="str">
        <f t="shared" si="114"/>
        <v/>
      </c>
      <c r="L842" s="1">
        <f t="shared" si="115"/>
        <v>0</v>
      </c>
      <c r="M842" s="1">
        <f t="shared" si="116"/>
        <v>0</v>
      </c>
      <c r="N842" s="1">
        <f t="shared" si="117"/>
        <v>0</v>
      </c>
      <c r="O842" s="1" t="b">
        <f t="shared" si="118"/>
        <v>0</v>
      </c>
      <c r="P842" s="1" t="e">
        <f>INDEX(G:G,MATCH(G842,G:G,0))</f>
        <v>#N/A</v>
      </c>
      <c r="Q842" s="1" t="e">
        <f t="shared" si="119"/>
        <v>#N/A</v>
      </c>
      <c r="R842" s="1" t="e">
        <f>INDEX('6.0.35'!I:I,MATCH(F842,'6.0.35'!K:K,0))</f>
        <v>#N/A</v>
      </c>
      <c r="S842" s="1" t="e">
        <f>INDEX('6.0.35'!J:J,MATCH(F842,'6.0.35'!F:F,0))</f>
        <v>#N/A</v>
      </c>
    </row>
    <row r="843" spans="1:19">
      <c r="A843" t="s">
        <v>16290</v>
      </c>
      <c r="I843" s="1" t="str">
        <f t="shared" si="112"/>
        <v/>
      </c>
      <c r="J843" s="1">
        <f t="shared" si="113"/>
        <v>0</v>
      </c>
      <c r="K843" s="1" t="str">
        <f t="shared" si="114"/>
        <v/>
      </c>
      <c r="L843" s="1">
        <f t="shared" si="115"/>
        <v>0</v>
      </c>
      <c r="M843" s="1">
        <f t="shared" si="116"/>
        <v>0</v>
      </c>
      <c r="N843" s="1">
        <f t="shared" si="117"/>
        <v>0</v>
      </c>
      <c r="O843" s="1" t="b">
        <f t="shared" si="118"/>
        <v>0</v>
      </c>
      <c r="P843" s="1" t="e">
        <f>INDEX(G:G,MATCH(G843,G:G,0))</f>
        <v>#N/A</v>
      </c>
      <c r="Q843" s="1" t="e">
        <f t="shared" si="119"/>
        <v>#N/A</v>
      </c>
      <c r="R843" s="1" t="e">
        <f>INDEX('6.0.35'!I:I,MATCH(F843,'6.0.35'!K:K,0))</f>
        <v>#N/A</v>
      </c>
      <c r="S843" s="1" t="e">
        <f>INDEX('6.0.35'!J:J,MATCH(F843,'6.0.35'!F:F,0))</f>
        <v>#N/A</v>
      </c>
    </row>
    <row r="844" spans="1:19">
      <c r="A844" t="s">
        <v>16293</v>
      </c>
      <c r="I844" s="1" t="str">
        <f t="shared" si="112"/>
        <v/>
      </c>
      <c r="J844" s="1">
        <f t="shared" si="113"/>
        <v>0</v>
      </c>
      <c r="K844" s="1" t="str">
        <f t="shared" si="114"/>
        <v/>
      </c>
      <c r="L844" s="1">
        <f t="shared" si="115"/>
        <v>0</v>
      </c>
      <c r="M844" s="1">
        <f t="shared" si="116"/>
        <v>0</v>
      </c>
      <c r="N844" s="1">
        <f t="shared" si="117"/>
        <v>0</v>
      </c>
      <c r="O844" s="1" t="b">
        <f t="shared" si="118"/>
        <v>0</v>
      </c>
      <c r="P844" s="1" t="e">
        <f>INDEX(G:G,MATCH(G844,G:G,0))</f>
        <v>#N/A</v>
      </c>
      <c r="Q844" s="1" t="e">
        <f t="shared" si="119"/>
        <v>#N/A</v>
      </c>
      <c r="R844" s="1" t="e">
        <f>INDEX('6.0.35'!I:I,MATCH(F844,'6.0.35'!K:K,0))</f>
        <v>#N/A</v>
      </c>
      <c r="S844" s="1" t="e">
        <f>INDEX('6.0.35'!J:J,MATCH(F844,'6.0.35'!F:F,0))</f>
        <v>#N/A</v>
      </c>
    </row>
    <row r="845" spans="1:19">
      <c r="A845" t="s">
        <v>16296</v>
      </c>
      <c r="I845" s="1" t="str">
        <f t="shared" si="112"/>
        <v/>
      </c>
      <c r="J845" s="1">
        <f t="shared" si="113"/>
        <v>0</v>
      </c>
      <c r="K845" s="1" t="str">
        <f t="shared" si="114"/>
        <v/>
      </c>
      <c r="L845" s="1">
        <f t="shared" si="115"/>
        <v>0</v>
      </c>
      <c r="M845" s="1">
        <f t="shared" si="116"/>
        <v>0</v>
      </c>
      <c r="N845" s="1">
        <f t="shared" si="117"/>
        <v>0</v>
      </c>
      <c r="O845" s="1" t="b">
        <f t="shared" si="118"/>
        <v>0</v>
      </c>
      <c r="P845" s="1" t="e">
        <f>INDEX(G:G,MATCH(G845,G:G,0))</f>
        <v>#N/A</v>
      </c>
      <c r="Q845" s="1" t="e">
        <f t="shared" si="119"/>
        <v>#N/A</v>
      </c>
      <c r="R845" s="1" t="e">
        <f>INDEX('6.0.35'!I:I,MATCH(F845,'6.0.35'!K:K,0))</f>
        <v>#N/A</v>
      </c>
      <c r="S845" s="1" t="e">
        <f>INDEX('6.0.35'!J:J,MATCH(F845,'6.0.35'!F:F,0))</f>
        <v>#N/A</v>
      </c>
    </row>
    <row r="846" spans="1:19">
      <c r="A846" t="s">
        <v>16299</v>
      </c>
      <c r="I846" s="1" t="str">
        <f t="shared" si="112"/>
        <v/>
      </c>
      <c r="J846" s="1">
        <f t="shared" si="113"/>
        <v>0</v>
      </c>
      <c r="K846" s="1" t="str">
        <f t="shared" si="114"/>
        <v/>
      </c>
      <c r="L846" s="1">
        <f t="shared" si="115"/>
        <v>0</v>
      </c>
      <c r="M846" s="1">
        <f t="shared" si="116"/>
        <v>0</v>
      </c>
      <c r="N846" s="1">
        <f t="shared" si="117"/>
        <v>0</v>
      </c>
      <c r="O846" s="1" t="b">
        <f t="shared" si="118"/>
        <v>0</v>
      </c>
      <c r="P846" s="1" t="e">
        <f>INDEX(G:G,MATCH(G846,G:G,0))</f>
        <v>#N/A</v>
      </c>
      <c r="Q846" s="1" t="e">
        <f t="shared" si="119"/>
        <v>#N/A</v>
      </c>
      <c r="R846" s="1" t="e">
        <f>INDEX('6.0.35'!I:I,MATCH(F846,'6.0.35'!K:K,0))</f>
        <v>#N/A</v>
      </c>
      <c r="S846" s="1" t="e">
        <f>INDEX('6.0.35'!J:J,MATCH(F846,'6.0.35'!F:F,0))</f>
        <v>#N/A</v>
      </c>
    </row>
    <row r="847" spans="1:19">
      <c r="A847" t="s">
        <v>16302</v>
      </c>
      <c r="I847" s="1" t="str">
        <f t="shared" si="112"/>
        <v/>
      </c>
      <c r="J847" s="1">
        <f t="shared" si="113"/>
        <v>0</v>
      </c>
      <c r="K847" s="1" t="str">
        <f t="shared" si="114"/>
        <v/>
      </c>
      <c r="L847" s="1">
        <f t="shared" si="115"/>
        <v>0</v>
      </c>
      <c r="M847" s="1">
        <f t="shared" si="116"/>
        <v>0</v>
      </c>
      <c r="N847" s="1">
        <f t="shared" si="117"/>
        <v>0</v>
      </c>
      <c r="O847" s="1" t="b">
        <f t="shared" si="118"/>
        <v>0</v>
      </c>
      <c r="P847" s="1" t="e">
        <f>INDEX(G:G,MATCH(G847,G:G,0))</f>
        <v>#N/A</v>
      </c>
      <c r="Q847" s="1" t="e">
        <f t="shared" si="119"/>
        <v>#N/A</v>
      </c>
      <c r="R847" s="1" t="e">
        <f>INDEX('6.0.35'!I:I,MATCH(F847,'6.0.35'!K:K,0))</f>
        <v>#N/A</v>
      </c>
      <c r="S847" s="1" t="e">
        <f>INDEX('6.0.35'!J:J,MATCH(F847,'6.0.35'!F:F,0))</f>
        <v>#N/A</v>
      </c>
    </row>
    <row r="848" spans="1:19">
      <c r="A848" t="s">
        <v>16305</v>
      </c>
      <c r="I848" s="1" t="str">
        <f t="shared" si="112"/>
        <v/>
      </c>
      <c r="J848" s="1">
        <f t="shared" si="113"/>
        <v>0</v>
      </c>
      <c r="K848" s="1" t="str">
        <f t="shared" si="114"/>
        <v/>
      </c>
      <c r="L848" s="1">
        <f t="shared" si="115"/>
        <v>0</v>
      </c>
      <c r="M848" s="1">
        <f t="shared" si="116"/>
        <v>0</v>
      </c>
      <c r="N848" s="1">
        <f t="shared" si="117"/>
        <v>0</v>
      </c>
      <c r="O848" s="1" t="b">
        <f t="shared" si="118"/>
        <v>0</v>
      </c>
      <c r="P848" s="1" t="e">
        <f>INDEX(G:G,MATCH(G848,G:G,0))</f>
        <v>#N/A</v>
      </c>
      <c r="Q848" s="1" t="e">
        <f t="shared" si="119"/>
        <v>#N/A</v>
      </c>
      <c r="R848" s="1" t="e">
        <f>INDEX('6.0.35'!I:I,MATCH(F848,'6.0.35'!K:K,0))</f>
        <v>#N/A</v>
      </c>
      <c r="S848" s="1" t="e">
        <f>INDEX('6.0.35'!J:J,MATCH(F848,'6.0.35'!F:F,0))</f>
        <v>#N/A</v>
      </c>
    </row>
    <row r="849" spans="1:19">
      <c r="A849" t="s">
        <v>16308</v>
      </c>
      <c r="I849" s="1" t="str">
        <f t="shared" si="112"/>
        <v/>
      </c>
      <c r="J849" s="1">
        <f t="shared" si="113"/>
        <v>0</v>
      </c>
      <c r="K849" s="1" t="str">
        <f t="shared" si="114"/>
        <v/>
      </c>
      <c r="L849" s="1">
        <f t="shared" si="115"/>
        <v>0</v>
      </c>
      <c r="M849" s="1">
        <f t="shared" si="116"/>
        <v>0</v>
      </c>
      <c r="N849" s="1">
        <f t="shared" si="117"/>
        <v>0</v>
      </c>
      <c r="O849" s="1" t="b">
        <f t="shared" si="118"/>
        <v>0</v>
      </c>
      <c r="P849" s="1" t="e">
        <f>INDEX(G:G,MATCH(G849,G:G,0))</f>
        <v>#N/A</v>
      </c>
      <c r="Q849" s="1" t="e">
        <f t="shared" si="119"/>
        <v>#N/A</v>
      </c>
      <c r="R849" s="1" t="e">
        <f>INDEX('6.0.35'!I:I,MATCH(F849,'6.0.35'!K:K,0))</f>
        <v>#N/A</v>
      </c>
      <c r="S849" s="1" t="e">
        <f>INDEX('6.0.35'!J:J,MATCH(F849,'6.0.35'!F:F,0))</f>
        <v>#N/A</v>
      </c>
    </row>
    <row r="850" spans="1:19">
      <c r="A850" t="s">
        <v>16311</v>
      </c>
      <c r="I850" s="1" t="str">
        <f t="shared" si="112"/>
        <v/>
      </c>
      <c r="J850" s="1">
        <f t="shared" si="113"/>
        <v>0</v>
      </c>
      <c r="K850" s="1" t="str">
        <f t="shared" si="114"/>
        <v/>
      </c>
      <c r="L850" s="1">
        <f t="shared" si="115"/>
        <v>0</v>
      </c>
      <c r="M850" s="1">
        <f t="shared" si="116"/>
        <v>0</v>
      </c>
      <c r="N850" s="1">
        <f t="shared" si="117"/>
        <v>0</v>
      </c>
      <c r="O850" s="1" t="b">
        <f t="shared" si="118"/>
        <v>0</v>
      </c>
      <c r="P850" s="1" t="e">
        <f>INDEX(G:G,MATCH(G850,G:G,0))</f>
        <v>#N/A</v>
      </c>
      <c r="Q850" s="1" t="e">
        <f t="shared" si="119"/>
        <v>#N/A</v>
      </c>
      <c r="R850" s="1" t="e">
        <f>INDEX('6.0.35'!I:I,MATCH(F850,'6.0.35'!K:K,0))</f>
        <v>#N/A</v>
      </c>
      <c r="S850" s="1" t="e">
        <f>INDEX('6.0.35'!J:J,MATCH(F850,'6.0.35'!F:F,0))</f>
        <v>#N/A</v>
      </c>
    </row>
    <row r="851" spans="1:19">
      <c r="A851" t="s">
        <v>16314</v>
      </c>
      <c r="I851" s="1" t="str">
        <f t="shared" si="112"/>
        <v/>
      </c>
      <c r="J851" s="1">
        <f t="shared" si="113"/>
        <v>0</v>
      </c>
      <c r="K851" s="1" t="str">
        <f t="shared" si="114"/>
        <v/>
      </c>
      <c r="L851" s="1">
        <f t="shared" si="115"/>
        <v>0</v>
      </c>
      <c r="M851" s="1">
        <f t="shared" si="116"/>
        <v>0</v>
      </c>
      <c r="N851" s="1">
        <f t="shared" si="117"/>
        <v>0</v>
      </c>
      <c r="O851" s="1" t="b">
        <f t="shared" si="118"/>
        <v>0</v>
      </c>
      <c r="P851" s="1" t="e">
        <f>INDEX(G:G,MATCH(G851,G:G,0))</f>
        <v>#N/A</v>
      </c>
      <c r="Q851" s="1" t="e">
        <f t="shared" si="119"/>
        <v>#N/A</v>
      </c>
      <c r="R851" s="1" t="e">
        <f>INDEX('6.0.35'!I:I,MATCH(F851,'6.0.35'!K:K,0))</f>
        <v>#N/A</v>
      </c>
      <c r="S851" s="1" t="e">
        <f>INDEX('6.0.35'!J:J,MATCH(F851,'6.0.35'!F:F,0))</f>
        <v>#N/A</v>
      </c>
    </row>
    <row r="852" spans="1:19">
      <c r="A852" t="s">
        <v>16317</v>
      </c>
      <c r="I852" s="1" t="str">
        <f t="shared" si="112"/>
        <v/>
      </c>
      <c r="J852" s="1">
        <f t="shared" si="113"/>
        <v>0</v>
      </c>
      <c r="K852" s="1" t="str">
        <f t="shared" si="114"/>
        <v/>
      </c>
      <c r="L852" s="1">
        <f t="shared" si="115"/>
        <v>0</v>
      </c>
      <c r="M852" s="1">
        <f t="shared" si="116"/>
        <v>0</v>
      </c>
      <c r="N852" s="1">
        <f t="shared" si="117"/>
        <v>0</v>
      </c>
      <c r="O852" s="1" t="b">
        <f t="shared" si="118"/>
        <v>0</v>
      </c>
      <c r="P852" s="1" t="e">
        <f>INDEX(G:G,MATCH(G852,G:G,0))</f>
        <v>#N/A</v>
      </c>
      <c r="Q852" s="1" t="e">
        <f t="shared" si="119"/>
        <v>#N/A</v>
      </c>
      <c r="R852" s="1" t="e">
        <f>INDEX('6.0.35'!I:I,MATCH(F852,'6.0.35'!K:K,0))</f>
        <v>#N/A</v>
      </c>
      <c r="S852" s="1" t="e">
        <f>INDEX('6.0.35'!J:J,MATCH(F852,'6.0.35'!F:F,0))</f>
        <v>#N/A</v>
      </c>
    </row>
    <row r="853" spans="1:19">
      <c r="A853" t="s">
        <v>16320</v>
      </c>
      <c r="I853" s="1" t="str">
        <f t="shared" si="112"/>
        <v/>
      </c>
      <c r="J853" s="1">
        <f t="shared" si="113"/>
        <v>0</v>
      </c>
      <c r="K853" s="1" t="str">
        <f t="shared" si="114"/>
        <v/>
      </c>
      <c r="L853" s="1">
        <f t="shared" si="115"/>
        <v>0</v>
      </c>
      <c r="M853" s="1">
        <f t="shared" si="116"/>
        <v>0</v>
      </c>
      <c r="N853" s="1">
        <f t="shared" si="117"/>
        <v>0</v>
      </c>
      <c r="O853" s="1" t="b">
        <f t="shared" si="118"/>
        <v>0</v>
      </c>
      <c r="P853" s="1" t="e">
        <f>INDEX(G:G,MATCH(G853,G:G,0))</f>
        <v>#N/A</v>
      </c>
      <c r="Q853" s="1" t="e">
        <f t="shared" si="119"/>
        <v>#N/A</v>
      </c>
      <c r="R853" s="1" t="e">
        <f>INDEX('6.0.35'!I:I,MATCH(F853,'6.0.35'!K:K,0))</f>
        <v>#N/A</v>
      </c>
      <c r="S853" s="1" t="e">
        <f>INDEX('6.0.35'!J:J,MATCH(F853,'6.0.35'!F:F,0))</f>
        <v>#N/A</v>
      </c>
    </row>
    <row r="854" spans="1:19">
      <c r="A854" t="s">
        <v>16323</v>
      </c>
      <c r="I854" s="1" t="str">
        <f t="shared" si="112"/>
        <v/>
      </c>
      <c r="J854" s="1">
        <f t="shared" si="113"/>
        <v>0</v>
      </c>
      <c r="K854" s="1" t="str">
        <f t="shared" si="114"/>
        <v/>
      </c>
      <c r="L854" s="1">
        <f t="shared" si="115"/>
        <v>0</v>
      </c>
      <c r="M854" s="1">
        <f t="shared" si="116"/>
        <v>0</v>
      </c>
      <c r="N854" s="1">
        <f t="shared" si="117"/>
        <v>0</v>
      </c>
      <c r="O854" s="1" t="b">
        <f t="shared" si="118"/>
        <v>0</v>
      </c>
      <c r="P854" s="1" t="e">
        <f>INDEX(G:G,MATCH(G854,G:G,0))</f>
        <v>#N/A</v>
      </c>
      <c r="Q854" s="1" t="e">
        <f t="shared" si="119"/>
        <v>#N/A</v>
      </c>
      <c r="R854" s="1" t="e">
        <f>INDEX('6.0.35'!I:I,MATCH(F854,'6.0.35'!K:K,0))</f>
        <v>#N/A</v>
      </c>
      <c r="S854" s="1" t="e">
        <f>INDEX('6.0.35'!J:J,MATCH(F854,'6.0.35'!F:F,0))</f>
        <v>#N/A</v>
      </c>
    </row>
    <row r="855" spans="1:19">
      <c r="A855" t="s">
        <v>16326</v>
      </c>
      <c r="I855" s="1" t="str">
        <f t="shared" si="112"/>
        <v/>
      </c>
      <c r="J855" s="1">
        <f t="shared" si="113"/>
        <v>0</v>
      </c>
      <c r="K855" s="1" t="str">
        <f t="shared" si="114"/>
        <v/>
      </c>
      <c r="L855" s="1">
        <f t="shared" si="115"/>
        <v>0</v>
      </c>
      <c r="M855" s="1">
        <f t="shared" si="116"/>
        <v>0</v>
      </c>
      <c r="N855" s="1">
        <f t="shared" si="117"/>
        <v>0</v>
      </c>
      <c r="O855" s="1" t="b">
        <f t="shared" si="118"/>
        <v>0</v>
      </c>
      <c r="P855" s="1" t="e">
        <f>INDEX(G:G,MATCH(G855,G:G,0))</f>
        <v>#N/A</v>
      </c>
      <c r="Q855" s="1" t="e">
        <f t="shared" si="119"/>
        <v>#N/A</v>
      </c>
      <c r="R855" s="1" t="e">
        <f>INDEX('6.0.35'!I:I,MATCH(F855,'6.0.35'!K:K,0))</f>
        <v>#N/A</v>
      </c>
      <c r="S855" s="1" t="e">
        <f>INDEX('6.0.35'!J:J,MATCH(F855,'6.0.35'!F:F,0))</f>
        <v>#N/A</v>
      </c>
    </row>
    <row r="856" spans="1:19">
      <c r="A856" t="s">
        <v>16329</v>
      </c>
      <c r="I856" s="1" t="str">
        <f t="shared" si="112"/>
        <v/>
      </c>
      <c r="J856" s="1">
        <f t="shared" si="113"/>
        <v>0</v>
      </c>
      <c r="K856" s="1" t="str">
        <f t="shared" si="114"/>
        <v/>
      </c>
      <c r="L856" s="1">
        <f t="shared" si="115"/>
        <v>0</v>
      </c>
      <c r="M856" s="1">
        <f t="shared" si="116"/>
        <v>0</v>
      </c>
      <c r="N856" s="1">
        <f t="shared" si="117"/>
        <v>0</v>
      </c>
      <c r="O856" s="1" t="b">
        <f t="shared" si="118"/>
        <v>0</v>
      </c>
      <c r="P856" s="1" t="e">
        <f>INDEX(G:G,MATCH(G856,G:G,0))</f>
        <v>#N/A</v>
      </c>
      <c r="Q856" s="1" t="e">
        <f t="shared" si="119"/>
        <v>#N/A</v>
      </c>
      <c r="R856" s="1" t="e">
        <f>INDEX('6.0.35'!I:I,MATCH(F856,'6.0.35'!K:K,0))</f>
        <v>#N/A</v>
      </c>
      <c r="S856" s="1" t="e">
        <f>INDEX('6.0.35'!J:J,MATCH(F856,'6.0.35'!F:F,0))</f>
        <v>#N/A</v>
      </c>
    </row>
    <row r="857" spans="1:19">
      <c r="A857" t="s">
        <v>16332</v>
      </c>
      <c r="I857" s="1" t="str">
        <f t="shared" si="112"/>
        <v/>
      </c>
      <c r="J857" s="1">
        <f t="shared" si="113"/>
        <v>0</v>
      </c>
      <c r="K857" s="1" t="str">
        <f t="shared" si="114"/>
        <v/>
      </c>
      <c r="L857" s="1">
        <f t="shared" si="115"/>
        <v>0</v>
      </c>
      <c r="M857" s="1">
        <f t="shared" si="116"/>
        <v>0</v>
      </c>
      <c r="N857" s="1">
        <f t="shared" si="117"/>
        <v>0</v>
      </c>
      <c r="O857" s="1" t="b">
        <f t="shared" si="118"/>
        <v>0</v>
      </c>
      <c r="P857" s="1" t="e">
        <f>INDEX(G:G,MATCH(G857,G:G,0))</f>
        <v>#N/A</v>
      </c>
      <c r="Q857" s="1" t="e">
        <f t="shared" si="119"/>
        <v>#N/A</v>
      </c>
      <c r="R857" s="1" t="e">
        <f>INDEX('6.0.35'!I:I,MATCH(F857,'6.0.35'!K:K,0))</f>
        <v>#N/A</v>
      </c>
      <c r="S857" s="1" t="e">
        <f>INDEX('6.0.35'!J:J,MATCH(F857,'6.0.35'!F:F,0))</f>
        <v>#N/A</v>
      </c>
    </row>
    <row r="858" spans="1:19">
      <c r="A858" t="s">
        <v>16335</v>
      </c>
      <c r="I858" s="1" t="str">
        <f t="shared" si="112"/>
        <v/>
      </c>
      <c r="J858" s="1">
        <f t="shared" si="113"/>
        <v>0</v>
      </c>
      <c r="K858" s="1" t="str">
        <f t="shared" si="114"/>
        <v/>
      </c>
      <c r="L858" s="1">
        <f t="shared" si="115"/>
        <v>0</v>
      </c>
      <c r="M858" s="1">
        <f t="shared" si="116"/>
        <v>0</v>
      </c>
      <c r="N858" s="1">
        <f t="shared" si="117"/>
        <v>0</v>
      </c>
      <c r="O858" s="1" t="b">
        <f t="shared" si="118"/>
        <v>0</v>
      </c>
      <c r="P858" s="1" t="e">
        <f>INDEX(G:G,MATCH(G858,G:G,0))</f>
        <v>#N/A</v>
      </c>
      <c r="Q858" s="1" t="e">
        <f t="shared" si="119"/>
        <v>#N/A</v>
      </c>
      <c r="R858" s="1" t="e">
        <f>INDEX('6.0.35'!I:I,MATCH(F858,'6.0.35'!K:K,0))</f>
        <v>#N/A</v>
      </c>
      <c r="S858" s="1" t="e">
        <f>INDEX('6.0.35'!J:J,MATCH(F858,'6.0.35'!F:F,0))</f>
        <v>#N/A</v>
      </c>
    </row>
    <row r="859" spans="1:19">
      <c r="A859" t="s">
        <v>16338</v>
      </c>
      <c r="I859" s="1" t="str">
        <f t="shared" si="112"/>
        <v/>
      </c>
      <c r="J859" s="1">
        <f t="shared" si="113"/>
        <v>0</v>
      </c>
      <c r="K859" s="1" t="str">
        <f t="shared" si="114"/>
        <v/>
      </c>
      <c r="L859" s="1">
        <f t="shared" si="115"/>
        <v>0</v>
      </c>
      <c r="M859" s="1">
        <f t="shared" si="116"/>
        <v>0</v>
      </c>
      <c r="N859" s="1">
        <f t="shared" si="117"/>
        <v>0</v>
      </c>
      <c r="O859" s="1" t="b">
        <f t="shared" si="118"/>
        <v>0</v>
      </c>
      <c r="P859" s="1" t="e">
        <f>INDEX(G:G,MATCH(G859,G:G,0))</f>
        <v>#N/A</v>
      </c>
      <c r="Q859" s="1" t="e">
        <f t="shared" si="119"/>
        <v>#N/A</v>
      </c>
      <c r="R859" s="1" t="e">
        <f>INDEX('6.0.35'!I:I,MATCH(F859,'6.0.35'!K:K,0))</f>
        <v>#N/A</v>
      </c>
      <c r="S859" s="1" t="e">
        <f>INDEX('6.0.35'!J:J,MATCH(F859,'6.0.35'!F:F,0))</f>
        <v>#N/A</v>
      </c>
    </row>
    <row r="860" spans="1:19">
      <c r="A860" t="s">
        <v>16341</v>
      </c>
      <c r="I860" s="1" t="str">
        <f t="shared" si="112"/>
        <v/>
      </c>
      <c r="J860" s="1">
        <f t="shared" si="113"/>
        <v>0</v>
      </c>
      <c r="K860" s="1" t="str">
        <f t="shared" si="114"/>
        <v/>
      </c>
      <c r="L860" s="1">
        <f t="shared" si="115"/>
        <v>0</v>
      </c>
      <c r="M860" s="1">
        <f t="shared" si="116"/>
        <v>0</v>
      </c>
      <c r="N860" s="1">
        <f t="shared" si="117"/>
        <v>0</v>
      </c>
      <c r="O860" s="1" t="b">
        <f t="shared" si="118"/>
        <v>0</v>
      </c>
      <c r="P860" s="1" t="e">
        <f>INDEX(G:G,MATCH(G860,G:G,0))</f>
        <v>#N/A</v>
      </c>
      <c r="Q860" s="1" t="e">
        <f t="shared" si="119"/>
        <v>#N/A</v>
      </c>
      <c r="R860" s="1" t="e">
        <f>INDEX('6.0.35'!I:I,MATCH(F860,'6.0.35'!K:K,0))</f>
        <v>#N/A</v>
      </c>
      <c r="S860" s="1" t="e">
        <f>INDEX('6.0.35'!J:J,MATCH(F860,'6.0.35'!F:F,0))</f>
        <v>#N/A</v>
      </c>
    </row>
    <row r="861" spans="1:19">
      <c r="A861" t="s">
        <v>16344</v>
      </c>
      <c r="I861" s="1" t="str">
        <f t="shared" si="112"/>
        <v/>
      </c>
      <c r="J861" s="1">
        <f t="shared" si="113"/>
        <v>0</v>
      </c>
      <c r="K861" s="1" t="str">
        <f t="shared" si="114"/>
        <v/>
      </c>
      <c r="L861" s="1">
        <f t="shared" si="115"/>
        <v>0</v>
      </c>
      <c r="M861" s="1">
        <f t="shared" si="116"/>
        <v>0</v>
      </c>
      <c r="N861" s="1">
        <f t="shared" si="117"/>
        <v>0</v>
      </c>
      <c r="O861" s="1" t="b">
        <f t="shared" si="118"/>
        <v>0</v>
      </c>
      <c r="P861" s="1" t="e">
        <f>INDEX(G:G,MATCH(G861,G:G,0))</f>
        <v>#N/A</v>
      </c>
      <c r="Q861" s="1" t="e">
        <f t="shared" si="119"/>
        <v>#N/A</v>
      </c>
      <c r="R861" s="1" t="e">
        <f>INDEX('6.0.35'!I:I,MATCH(F861,'6.0.35'!K:K,0))</f>
        <v>#N/A</v>
      </c>
      <c r="S861" s="1" t="e">
        <f>INDEX('6.0.35'!J:J,MATCH(F861,'6.0.35'!F:F,0))</f>
        <v>#N/A</v>
      </c>
    </row>
    <row r="862" spans="1:19">
      <c r="A862" t="s">
        <v>16347</v>
      </c>
      <c r="I862" s="1" t="str">
        <f t="shared" si="112"/>
        <v/>
      </c>
      <c r="J862" s="1">
        <f t="shared" si="113"/>
        <v>0</v>
      </c>
      <c r="K862" s="1" t="str">
        <f t="shared" si="114"/>
        <v/>
      </c>
      <c r="L862" s="1">
        <f t="shared" si="115"/>
        <v>0</v>
      </c>
      <c r="M862" s="1">
        <f t="shared" si="116"/>
        <v>0</v>
      </c>
      <c r="N862" s="1">
        <f t="shared" si="117"/>
        <v>0</v>
      </c>
      <c r="O862" s="1" t="b">
        <f t="shared" si="118"/>
        <v>0</v>
      </c>
      <c r="P862" s="1" t="e">
        <f>INDEX(G:G,MATCH(G862,G:G,0))</f>
        <v>#N/A</v>
      </c>
      <c r="Q862" s="1" t="e">
        <f t="shared" si="119"/>
        <v>#N/A</v>
      </c>
      <c r="R862" s="1" t="e">
        <f>INDEX('6.0.35'!I:I,MATCH(F862,'6.0.35'!K:K,0))</f>
        <v>#N/A</v>
      </c>
      <c r="S862" s="1" t="e">
        <f>INDEX('6.0.35'!J:J,MATCH(F862,'6.0.35'!F:F,0))</f>
        <v>#N/A</v>
      </c>
    </row>
    <row r="863" spans="1:19">
      <c r="A863" t="s">
        <v>16350</v>
      </c>
      <c r="I863" s="1" t="str">
        <f t="shared" si="112"/>
        <v/>
      </c>
      <c r="J863" s="1">
        <f t="shared" si="113"/>
        <v>0</v>
      </c>
      <c r="K863" s="1" t="str">
        <f t="shared" si="114"/>
        <v/>
      </c>
      <c r="L863" s="1">
        <f t="shared" si="115"/>
        <v>0</v>
      </c>
      <c r="M863" s="1">
        <f t="shared" si="116"/>
        <v>0</v>
      </c>
      <c r="N863" s="1">
        <f t="shared" si="117"/>
        <v>0</v>
      </c>
      <c r="O863" s="1" t="b">
        <f t="shared" si="118"/>
        <v>0</v>
      </c>
      <c r="P863" s="1" t="e">
        <f>INDEX(G:G,MATCH(G863,G:G,0))</f>
        <v>#N/A</v>
      </c>
      <c r="Q863" s="1" t="e">
        <f t="shared" si="119"/>
        <v>#N/A</v>
      </c>
      <c r="R863" s="1" t="e">
        <f>INDEX('6.0.35'!I:I,MATCH(F863,'6.0.35'!K:K,0))</f>
        <v>#N/A</v>
      </c>
      <c r="S863" s="1" t="e">
        <f>INDEX('6.0.35'!J:J,MATCH(F863,'6.0.35'!F:F,0))</f>
        <v>#N/A</v>
      </c>
    </row>
    <row r="864" spans="1:19">
      <c r="A864" t="s">
        <v>16353</v>
      </c>
      <c r="I864" s="1" t="str">
        <f t="shared" si="112"/>
        <v/>
      </c>
      <c r="J864" s="1">
        <f t="shared" si="113"/>
        <v>0</v>
      </c>
      <c r="K864" s="1" t="str">
        <f t="shared" si="114"/>
        <v/>
      </c>
      <c r="L864" s="1">
        <f t="shared" si="115"/>
        <v>0</v>
      </c>
      <c r="M864" s="1">
        <f t="shared" si="116"/>
        <v>0</v>
      </c>
      <c r="N864" s="1">
        <f t="shared" si="117"/>
        <v>0</v>
      </c>
      <c r="O864" s="1" t="b">
        <f t="shared" si="118"/>
        <v>0</v>
      </c>
      <c r="P864" s="1" t="e">
        <f>INDEX(G:G,MATCH(G864,G:G,0))</f>
        <v>#N/A</v>
      </c>
      <c r="Q864" s="1" t="e">
        <f t="shared" si="119"/>
        <v>#N/A</v>
      </c>
      <c r="R864" s="1" t="e">
        <f>INDEX('6.0.35'!I:I,MATCH(F864,'6.0.35'!K:K,0))</f>
        <v>#N/A</v>
      </c>
      <c r="S864" s="1" t="e">
        <f>INDEX('6.0.35'!J:J,MATCH(F864,'6.0.35'!F:F,0))</f>
        <v>#N/A</v>
      </c>
    </row>
    <row r="865" spans="1:19">
      <c r="A865" t="s">
        <v>16356</v>
      </c>
      <c r="I865" s="1" t="str">
        <f t="shared" si="112"/>
        <v/>
      </c>
      <c r="J865" s="1">
        <f t="shared" si="113"/>
        <v>0</v>
      </c>
      <c r="K865" s="1" t="str">
        <f t="shared" si="114"/>
        <v/>
      </c>
      <c r="L865" s="1">
        <f t="shared" si="115"/>
        <v>0</v>
      </c>
      <c r="M865" s="1">
        <f t="shared" si="116"/>
        <v>0</v>
      </c>
      <c r="N865" s="1">
        <f t="shared" si="117"/>
        <v>0</v>
      </c>
      <c r="O865" s="1" t="b">
        <f t="shared" si="118"/>
        <v>0</v>
      </c>
      <c r="P865" s="1" t="e">
        <f>INDEX(G:G,MATCH(G865,G:G,0))</f>
        <v>#N/A</v>
      </c>
      <c r="Q865" s="1" t="e">
        <f t="shared" si="119"/>
        <v>#N/A</v>
      </c>
      <c r="R865" s="1" t="e">
        <f>INDEX('6.0.35'!I:I,MATCH(F865,'6.0.35'!K:K,0))</f>
        <v>#N/A</v>
      </c>
      <c r="S865" s="1" t="e">
        <f>INDEX('6.0.35'!J:J,MATCH(F865,'6.0.35'!F:F,0))</f>
        <v>#N/A</v>
      </c>
    </row>
    <row r="866" spans="1:19">
      <c r="A866" t="s">
        <v>16359</v>
      </c>
      <c r="I866" s="1" t="str">
        <f t="shared" si="112"/>
        <v/>
      </c>
      <c r="J866" s="1">
        <f t="shared" si="113"/>
        <v>0</v>
      </c>
      <c r="K866" s="1" t="str">
        <f t="shared" si="114"/>
        <v/>
      </c>
      <c r="L866" s="1">
        <f t="shared" si="115"/>
        <v>0</v>
      </c>
      <c r="M866" s="1">
        <f t="shared" si="116"/>
        <v>0</v>
      </c>
      <c r="N866" s="1">
        <f t="shared" si="117"/>
        <v>0</v>
      </c>
      <c r="O866" s="1" t="b">
        <f t="shared" si="118"/>
        <v>0</v>
      </c>
      <c r="P866" s="1" t="e">
        <f>INDEX(G:G,MATCH(G866,G:G,0))</f>
        <v>#N/A</v>
      </c>
      <c r="Q866" s="1" t="e">
        <f t="shared" si="119"/>
        <v>#N/A</v>
      </c>
      <c r="R866" s="1" t="e">
        <f>INDEX('6.0.35'!I:I,MATCH(F866,'6.0.35'!K:K,0))</f>
        <v>#N/A</v>
      </c>
      <c r="S866" s="1" t="e">
        <f>INDEX('6.0.35'!J:J,MATCH(F866,'6.0.35'!F:F,0))</f>
        <v>#N/A</v>
      </c>
    </row>
    <row r="867" spans="1:19">
      <c r="A867" t="s">
        <v>16362</v>
      </c>
      <c r="I867" s="1" t="str">
        <f t="shared" si="112"/>
        <v/>
      </c>
      <c r="J867" s="1">
        <f t="shared" si="113"/>
        <v>0</v>
      </c>
      <c r="K867" s="1" t="str">
        <f t="shared" si="114"/>
        <v/>
      </c>
      <c r="L867" s="1">
        <f t="shared" si="115"/>
        <v>0</v>
      </c>
      <c r="M867" s="1">
        <f t="shared" si="116"/>
        <v>0</v>
      </c>
      <c r="N867" s="1">
        <f t="shared" si="117"/>
        <v>0</v>
      </c>
      <c r="O867" s="1" t="b">
        <f t="shared" si="118"/>
        <v>0</v>
      </c>
      <c r="P867" s="1" t="e">
        <f>INDEX(G:G,MATCH(G867,G:G,0))</f>
        <v>#N/A</v>
      </c>
      <c r="Q867" s="1" t="e">
        <f t="shared" si="119"/>
        <v>#N/A</v>
      </c>
      <c r="R867" s="1" t="e">
        <f>INDEX('6.0.35'!I:I,MATCH(F867,'6.0.35'!K:K,0))</f>
        <v>#N/A</v>
      </c>
      <c r="S867" s="1" t="e">
        <f>INDEX('6.0.35'!J:J,MATCH(F867,'6.0.35'!F:F,0))</f>
        <v>#N/A</v>
      </c>
    </row>
    <row r="868" spans="1:19">
      <c r="A868" t="s">
        <v>16365</v>
      </c>
      <c r="I868" s="1" t="str">
        <f t="shared" si="112"/>
        <v/>
      </c>
      <c r="J868" s="1">
        <f t="shared" si="113"/>
        <v>0</v>
      </c>
      <c r="K868" s="1" t="str">
        <f t="shared" si="114"/>
        <v/>
      </c>
      <c r="L868" s="1">
        <f t="shared" si="115"/>
        <v>0</v>
      </c>
      <c r="M868" s="1">
        <f t="shared" si="116"/>
        <v>0</v>
      </c>
      <c r="N868" s="1">
        <f t="shared" si="117"/>
        <v>0</v>
      </c>
      <c r="O868" s="1" t="b">
        <f t="shared" si="118"/>
        <v>0</v>
      </c>
      <c r="P868" s="1" t="e">
        <f>INDEX(G:G,MATCH(G868,G:G,0))</f>
        <v>#N/A</v>
      </c>
      <c r="Q868" s="1" t="e">
        <f t="shared" si="119"/>
        <v>#N/A</v>
      </c>
      <c r="R868" s="1" t="e">
        <f>INDEX('6.0.35'!I:I,MATCH(F868,'6.0.35'!K:K,0))</f>
        <v>#N/A</v>
      </c>
      <c r="S868" s="1" t="e">
        <f>INDEX('6.0.35'!J:J,MATCH(F868,'6.0.35'!F:F,0))</f>
        <v>#N/A</v>
      </c>
    </row>
    <row r="869" spans="1:19">
      <c r="A869" t="s">
        <v>16368</v>
      </c>
      <c r="I869" s="1" t="str">
        <f t="shared" si="112"/>
        <v/>
      </c>
      <c r="J869" s="1">
        <f t="shared" si="113"/>
        <v>0</v>
      </c>
      <c r="K869" s="1" t="str">
        <f t="shared" si="114"/>
        <v/>
      </c>
      <c r="L869" s="1">
        <f t="shared" si="115"/>
        <v>0</v>
      </c>
      <c r="M869" s="1">
        <f t="shared" si="116"/>
        <v>0</v>
      </c>
      <c r="N869" s="1">
        <f t="shared" si="117"/>
        <v>0</v>
      </c>
      <c r="O869" s="1" t="b">
        <f t="shared" si="118"/>
        <v>0</v>
      </c>
      <c r="P869" s="1" t="e">
        <f>INDEX(G:G,MATCH(G869,G:G,0))</f>
        <v>#N/A</v>
      </c>
      <c r="Q869" s="1" t="e">
        <f t="shared" si="119"/>
        <v>#N/A</v>
      </c>
      <c r="R869" s="1" t="e">
        <f>INDEX('6.0.35'!I:I,MATCH(F869,'6.0.35'!K:K,0))</f>
        <v>#N/A</v>
      </c>
      <c r="S869" s="1" t="e">
        <f>INDEX('6.0.35'!J:J,MATCH(F869,'6.0.35'!F:F,0))</f>
        <v>#N/A</v>
      </c>
    </row>
    <row r="870" spans="1:19">
      <c r="A870" t="s">
        <v>16371</v>
      </c>
      <c r="I870" s="1" t="str">
        <f t="shared" si="112"/>
        <v/>
      </c>
      <c r="J870" s="1">
        <f t="shared" si="113"/>
        <v>0</v>
      </c>
      <c r="K870" s="1" t="str">
        <f t="shared" si="114"/>
        <v/>
      </c>
      <c r="L870" s="1">
        <f t="shared" si="115"/>
        <v>0</v>
      </c>
      <c r="M870" s="1">
        <f t="shared" si="116"/>
        <v>0</v>
      </c>
      <c r="N870" s="1">
        <f t="shared" si="117"/>
        <v>0</v>
      </c>
      <c r="O870" s="1" t="b">
        <f t="shared" si="118"/>
        <v>0</v>
      </c>
      <c r="P870" s="1" t="e">
        <f>INDEX(G:G,MATCH(G870,G:G,0))</f>
        <v>#N/A</v>
      </c>
      <c r="Q870" s="1" t="e">
        <f t="shared" si="119"/>
        <v>#N/A</v>
      </c>
      <c r="R870" s="1" t="e">
        <f>INDEX('6.0.35'!I:I,MATCH(F870,'6.0.35'!K:K,0))</f>
        <v>#N/A</v>
      </c>
      <c r="S870" s="1" t="e">
        <f>INDEX('6.0.35'!J:J,MATCH(F870,'6.0.35'!F:F,0))</f>
        <v>#N/A</v>
      </c>
    </row>
    <row r="871" spans="1:19">
      <c r="A871" t="s">
        <v>16374</v>
      </c>
      <c r="I871" s="1" t="str">
        <f t="shared" si="112"/>
        <v/>
      </c>
      <c r="J871" s="1">
        <f t="shared" si="113"/>
        <v>0</v>
      </c>
      <c r="K871" s="1" t="str">
        <f t="shared" si="114"/>
        <v/>
      </c>
      <c r="L871" s="1">
        <f t="shared" si="115"/>
        <v>0</v>
      </c>
      <c r="M871" s="1">
        <f t="shared" si="116"/>
        <v>0</v>
      </c>
      <c r="N871" s="1">
        <f t="shared" si="117"/>
        <v>0</v>
      </c>
      <c r="O871" s="1" t="b">
        <f t="shared" si="118"/>
        <v>0</v>
      </c>
      <c r="P871" s="1" t="e">
        <f>INDEX(G:G,MATCH(G871,G:G,0))</f>
        <v>#N/A</v>
      </c>
      <c r="Q871" s="1" t="e">
        <f t="shared" si="119"/>
        <v>#N/A</v>
      </c>
      <c r="R871" s="1" t="e">
        <f>INDEX('6.0.35'!I:I,MATCH(F871,'6.0.35'!K:K,0))</f>
        <v>#N/A</v>
      </c>
      <c r="S871" s="1" t="e">
        <f>INDEX('6.0.35'!J:J,MATCH(F871,'6.0.35'!F:F,0))</f>
        <v>#N/A</v>
      </c>
    </row>
    <row r="872" spans="1:19">
      <c r="A872" t="s">
        <v>16377</v>
      </c>
      <c r="I872" s="1" t="str">
        <f t="shared" si="112"/>
        <v/>
      </c>
      <c r="J872" s="1">
        <f t="shared" si="113"/>
        <v>0</v>
      </c>
      <c r="K872" s="1" t="str">
        <f t="shared" si="114"/>
        <v/>
      </c>
      <c r="L872" s="1">
        <f t="shared" si="115"/>
        <v>0</v>
      </c>
      <c r="M872" s="1">
        <f t="shared" si="116"/>
        <v>0</v>
      </c>
      <c r="N872" s="1">
        <f t="shared" si="117"/>
        <v>0</v>
      </c>
      <c r="O872" s="1" t="b">
        <f t="shared" si="118"/>
        <v>0</v>
      </c>
      <c r="P872" s="1" t="e">
        <f>INDEX(G:G,MATCH(G872,G:G,0))</f>
        <v>#N/A</v>
      </c>
      <c r="Q872" s="1" t="e">
        <f t="shared" si="119"/>
        <v>#N/A</v>
      </c>
      <c r="R872" s="1" t="e">
        <f>INDEX('6.0.35'!I:I,MATCH(F872,'6.0.35'!K:K,0))</f>
        <v>#N/A</v>
      </c>
      <c r="S872" s="1" t="e">
        <f>INDEX('6.0.35'!J:J,MATCH(F872,'6.0.35'!F:F,0))</f>
        <v>#N/A</v>
      </c>
    </row>
    <row r="873" spans="1:19">
      <c r="A873" t="s">
        <v>16380</v>
      </c>
      <c r="I873" s="1" t="str">
        <f t="shared" si="112"/>
        <v/>
      </c>
      <c r="J873" s="1">
        <f t="shared" si="113"/>
        <v>0</v>
      </c>
      <c r="K873" s="1" t="str">
        <f t="shared" si="114"/>
        <v/>
      </c>
      <c r="L873" s="1">
        <f t="shared" si="115"/>
        <v>0</v>
      </c>
      <c r="M873" s="1">
        <f t="shared" si="116"/>
        <v>0</v>
      </c>
      <c r="N873" s="1">
        <f t="shared" si="117"/>
        <v>0</v>
      </c>
      <c r="O873" s="1" t="b">
        <f t="shared" si="118"/>
        <v>0</v>
      </c>
      <c r="P873" s="1" t="e">
        <f>INDEX(G:G,MATCH(G873,G:G,0))</f>
        <v>#N/A</v>
      </c>
      <c r="Q873" s="1" t="e">
        <f t="shared" si="119"/>
        <v>#N/A</v>
      </c>
      <c r="R873" s="1" t="e">
        <f>INDEX('6.0.35'!I:I,MATCH(F873,'6.0.35'!K:K,0))</f>
        <v>#N/A</v>
      </c>
      <c r="S873" s="1" t="e">
        <f>INDEX('6.0.35'!J:J,MATCH(F873,'6.0.35'!F:F,0))</f>
        <v>#N/A</v>
      </c>
    </row>
    <row r="874" spans="1:19">
      <c r="A874" t="s">
        <v>16383</v>
      </c>
      <c r="I874" s="1" t="str">
        <f t="shared" si="112"/>
        <v/>
      </c>
      <c r="J874" s="1">
        <f t="shared" si="113"/>
        <v>0</v>
      </c>
      <c r="K874" s="1" t="str">
        <f t="shared" si="114"/>
        <v/>
      </c>
      <c r="L874" s="1">
        <f t="shared" si="115"/>
        <v>0</v>
      </c>
      <c r="M874" s="1">
        <f t="shared" si="116"/>
        <v>0</v>
      </c>
      <c r="N874" s="1">
        <f t="shared" si="117"/>
        <v>0</v>
      </c>
      <c r="O874" s="1" t="b">
        <f t="shared" si="118"/>
        <v>0</v>
      </c>
      <c r="P874" s="1" t="e">
        <f>INDEX(G:G,MATCH(G874,G:G,0))</f>
        <v>#N/A</v>
      </c>
      <c r="Q874" s="1" t="e">
        <f t="shared" si="119"/>
        <v>#N/A</v>
      </c>
      <c r="R874" s="1" t="e">
        <f>INDEX('6.0.35'!I:I,MATCH(F874,'6.0.35'!K:K,0))</f>
        <v>#N/A</v>
      </c>
      <c r="S874" s="1" t="e">
        <f>INDEX('6.0.35'!J:J,MATCH(F874,'6.0.35'!F:F,0))</f>
        <v>#N/A</v>
      </c>
    </row>
    <row r="875" spans="1:19">
      <c r="A875" t="s">
        <v>16386</v>
      </c>
      <c r="I875" s="1" t="str">
        <f t="shared" si="112"/>
        <v/>
      </c>
      <c r="J875" s="1">
        <f t="shared" si="113"/>
        <v>0</v>
      </c>
      <c r="K875" s="1" t="str">
        <f t="shared" si="114"/>
        <v/>
      </c>
      <c r="L875" s="1">
        <f t="shared" si="115"/>
        <v>0</v>
      </c>
      <c r="M875" s="1">
        <f t="shared" si="116"/>
        <v>0</v>
      </c>
      <c r="N875" s="1">
        <f t="shared" si="117"/>
        <v>0</v>
      </c>
      <c r="O875" s="1" t="b">
        <f t="shared" si="118"/>
        <v>0</v>
      </c>
      <c r="P875" s="1" t="e">
        <f>INDEX(G:G,MATCH(G875,G:G,0))</f>
        <v>#N/A</v>
      </c>
      <c r="Q875" s="1" t="e">
        <f t="shared" si="119"/>
        <v>#N/A</v>
      </c>
      <c r="R875" s="1" t="e">
        <f>INDEX('6.0.35'!I:I,MATCH(F875,'6.0.35'!K:K,0))</f>
        <v>#N/A</v>
      </c>
      <c r="S875" s="1" t="e">
        <f>INDEX('6.0.35'!J:J,MATCH(F875,'6.0.35'!F:F,0))</f>
        <v>#N/A</v>
      </c>
    </row>
    <row r="876" spans="1:19">
      <c r="A876" t="s">
        <v>16389</v>
      </c>
      <c r="I876" s="1" t="str">
        <f t="shared" si="112"/>
        <v/>
      </c>
      <c r="J876" s="1">
        <f t="shared" si="113"/>
        <v>0</v>
      </c>
      <c r="K876" s="1" t="str">
        <f t="shared" si="114"/>
        <v/>
      </c>
      <c r="L876" s="1">
        <f t="shared" si="115"/>
        <v>0</v>
      </c>
      <c r="M876" s="1">
        <f t="shared" si="116"/>
        <v>0</v>
      </c>
      <c r="N876" s="1">
        <f t="shared" si="117"/>
        <v>0</v>
      </c>
      <c r="O876" s="1" t="b">
        <f t="shared" si="118"/>
        <v>0</v>
      </c>
      <c r="P876" s="1" t="e">
        <f>INDEX(G:G,MATCH(G876,G:G,0))</f>
        <v>#N/A</v>
      </c>
      <c r="Q876" s="1" t="e">
        <f t="shared" si="119"/>
        <v>#N/A</v>
      </c>
      <c r="R876" s="1" t="e">
        <f>INDEX('6.0.35'!I:I,MATCH(F876,'6.0.35'!K:K,0))</f>
        <v>#N/A</v>
      </c>
      <c r="S876" s="1" t="e">
        <f>INDEX('6.0.35'!J:J,MATCH(F876,'6.0.35'!F:F,0))</f>
        <v>#N/A</v>
      </c>
    </row>
    <row r="877" spans="1:19">
      <c r="A877" t="s">
        <v>16392</v>
      </c>
      <c r="I877" s="1" t="str">
        <f t="shared" si="112"/>
        <v/>
      </c>
      <c r="J877" s="1">
        <f t="shared" si="113"/>
        <v>0</v>
      </c>
      <c r="K877" s="1" t="str">
        <f t="shared" si="114"/>
        <v/>
      </c>
      <c r="L877" s="1">
        <f t="shared" si="115"/>
        <v>0</v>
      </c>
      <c r="M877" s="1">
        <f t="shared" si="116"/>
        <v>0</v>
      </c>
      <c r="N877" s="1">
        <f t="shared" si="117"/>
        <v>0</v>
      </c>
      <c r="O877" s="1" t="b">
        <f t="shared" si="118"/>
        <v>0</v>
      </c>
      <c r="P877" s="1" t="e">
        <f>INDEX(G:G,MATCH(G877,G:G,0))</f>
        <v>#N/A</v>
      </c>
      <c r="Q877" s="1" t="e">
        <f t="shared" si="119"/>
        <v>#N/A</v>
      </c>
      <c r="R877" s="1" t="e">
        <f>INDEX('6.0.35'!I:I,MATCH(F877,'6.0.35'!K:K,0))</f>
        <v>#N/A</v>
      </c>
      <c r="S877" s="1" t="e">
        <f>INDEX('6.0.35'!J:J,MATCH(F877,'6.0.35'!F:F,0))</f>
        <v>#N/A</v>
      </c>
    </row>
    <row r="878" spans="1:19">
      <c r="A878" t="s">
        <v>16395</v>
      </c>
      <c r="I878" s="1" t="str">
        <f t="shared" si="112"/>
        <v/>
      </c>
      <c r="J878" s="1">
        <f t="shared" si="113"/>
        <v>0</v>
      </c>
      <c r="K878" s="1" t="str">
        <f t="shared" si="114"/>
        <v/>
      </c>
      <c r="L878" s="1">
        <f t="shared" si="115"/>
        <v>0</v>
      </c>
      <c r="M878" s="1">
        <f t="shared" si="116"/>
        <v>0</v>
      </c>
      <c r="N878" s="1">
        <f t="shared" si="117"/>
        <v>0</v>
      </c>
      <c r="O878" s="1" t="b">
        <f t="shared" si="118"/>
        <v>0</v>
      </c>
      <c r="P878" s="1" t="e">
        <f>INDEX(G:G,MATCH(G878,G:G,0))</f>
        <v>#N/A</v>
      </c>
      <c r="Q878" s="1" t="e">
        <f t="shared" si="119"/>
        <v>#N/A</v>
      </c>
      <c r="R878" s="1" t="e">
        <f>INDEX('6.0.35'!I:I,MATCH(F878,'6.0.35'!K:K,0))</f>
        <v>#N/A</v>
      </c>
      <c r="S878" s="1" t="e">
        <f>INDEX('6.0.35'!J:J,MATCH(F878,'6.0.35'!F:F,0))</f>
        <v>#N/A</v>
      </c>
    </row>
    <row r="879" spans="1:19">
      <c r="A879" t="s">
        <v>16398</v>
      </c>
      <c r="I879" s="1" t="str">
        <f t="shared" si="112"/>
        <v/>
      </c>
      <c r="J879" s="1">
        <f t="shared" si="113"/>
        <v>0</v>
      </c>
      <c r="K879" s="1" t="str">
        <f t="shared" si="114"/>
        <v/>
      </c>
      <c r="L879" s="1">
        <f t="shared" si="115"/>
        <v>0</v>
      </c>
      <c r="M879" s="1">
        <f t="shared" si="116"/>
        <v>0</v>
      </c>
      <c r="N879" s="1">
        <f t="shared" si="117"/>
        <v>0</v>
      </c>
      <c r="O879" s="1" t="b">
        <f t="shared" si="118"/>
        <v>0</v>
      </c>
      <c r="P879" s="1" t="e">
        <f>INDEX(G:G,MATCH(G879,G:G,0))</f>
        <v>#N/A</v>
      </c>
      <c r="Q879" s="1" t="e">
        <f t="shared" si="119"/>
        <v>#N/A</v>
      </c>
      <c r="R879" s="1" t="e">
        <f>INDEX('6.0.35'!I:I,MATCH(F879,'6.0.35'!K:K,0))</f>
        <v>#N/A</v>
      </c>
      <c r="S879" s="1" t="e">
        <f>INDEX('6.0.35'!J:J,MATCH(F879,'6.0.35'!F:F,0))</f>
        <v>#N/A</v>
      </c>
    </row>
    <row r="880" spans="1:19">
      <c r="A880" t="s">
        <v>16401</v>
      </c>
      <c r="I880" s="1" t="str">
        <f t="shared" si="112"/>
        <v/>
      </c>
      <c r="J880" s="1">
        <f t="shared" si="113"/>
        <v>0</v>
      </c>
      <c r="K880" s="1" t="str">
        <f t="shared" si="114"/>
        <v/>
      </c>
      <c r="L880" s="1">
        <f t="shared" si="115"/>
        <v>0</v>
      </c>
      <c r="M880" s="1">
        <f t="shared" si="116"/>
        <v>0</v>
      </c>
      <c r="N880" s="1">
        <f t="shared" si="117"/>
        <v>0</v>
      </c>
      <c r="O880" s="1" t="b">
        <f t="shared" si="118"/>
        <v>0</v>
      </c>
      <c r="P880" s="1" t="e">
        <f>INDEX(G:G,MATCH(G880,G:G,0))</f>
        <v>#N/A</v>
      </c>
      <c r="Q880" s="1" t="e">
        <f t="shared" si="119"/>
        <v>#N/A</v>
      </c>
      <c r="R880" s="1" t="e">
        <f>INDEX('6.0.35'!I:I,MATCH(F880,'6.0.35'!K:K,0))</f>
        <v>#N/A</v>
      </c>
      <c r="S880" s="1" t="e">
        <f>INDEX('6.0.35'!J:J,MATCH(F880,'6.0.35'!F:F,0))</f>
        <v>#N/A</v>
      </c>
    </row>
    <row r="881" spans="1:19">
      <c r="A881" t="s">
        <v>16404</v>
      </c>
      <c r="I881" s="1" t="str">
        <f t="shared" si="112"/>
        <v/>
      </c>
      <c r="J881" s="1">
        <f t="shared" si="113"/>
        <v>0</v>
      </c>
      <c r="K881" s="1" t="str">
        <f t="shared" si="114"/>
        <v/>
      </c>
      <c r="L881" s="1">
        <f t="shared" si="115"/>
        <v>0</v>
      </c>
      <c r="M881" s="1">
        <f t="shared" si="116"/>
        <v>0</v>
      </c>
      <c r="N881" s="1">
        <f t="shared" si="117"/>
        <v>0</v>
      </c>
      <c r="O881" s="1" t="b">
        <f t="shared" si="118"/>
        <v>0</v>
      </c>
      <c r="P881" s="1" t="e">
        <f>INDEX(G:G,MATCH(G881,G:G,0))</f>
        <v>#N/A</v>
      </c>
      <c r="Q881" s="1" t="e">
        <f t="shared" si="119"/>
        <v>#N/A</v>
      </c>
      <c r="R881" s="1" t="e">
        <f>INDEX('6.0.35'!I:I,MATCH(F881,'6.0.35'!K:K,0))</f>
        <v>#N/A</v>
      </c>
      <c r="S881" s="1" t="e">
        <f>INDEX('6.0.35'!J:J,MATCH(F881,'6.0.35'!F:F,0))</f>
        <v>#N/A</v>
      </c>
    </row>
    <row r="882" spans="1:19">
      <c r="A882" t="s">
        <v>16407</v>
      </c>
      <c r="I882" s="1" t="str">
        <f t="shared" si="112"/>
        <v/>
      </c>
      <c r="J882" s="1">
        <f t="shared" si="113"/>
        <v>0</v>
      </c>
      <c r="K882" s="1" t="str">
        <f t="shared" si="114"/>
        <v/>
      </c>
      <c r="L882" s="1">
        <f t="shared" si="115"/>
        <v>0</v>
      </c>
      <c r="M882" s="1">
        <f t="shared" si="116"/>
        <v>0</v>
      </c>
      <c r="N882" s="1">
        <f t="shared" si="117"/>
        <v>0</v>
      </c>
      <c r="O882" s="1" t="b">
        <f t="shared" si="118"/>
        <v>0</v>
      </c>
      <c r="P882" s="1" t="e">
        <f>INDEX(G:G,MATCH(G882,G:G,0))</f>
        <v>#N/A</v>
      </c>
      <c r="Q882" s="1" t="e">
        <f t="shared" si="119"/>
        <v>#N/A</v>
      </c>
      <c r="R882" s="1" t="e">
        <f>INDEX('6.0.35'!I:I,MATCH(F882,'6.0.35'!K:K,0))</f>
        <v>#N/A</v>
      </c>
      <c r="S882" s="1" t="e">
        <f>INDEX('6.0.35'!J:J,MATCH(F882,'6.0.35'!F:F,0))</f>
        <v>#N/A</v>
      </c>
    </row>
    <row r="883" spans="1:19">
      <c r="A883" t="s">
        <v>16410</v>
      </c>
      <c r="I883" s="1" t="str">
        <f t="shared" si="112"/>
        <v/>
      </c>
      <c r="J883" s="1">
        <f t="shared" si="113"/>
        <v>0</v>
      </c>
      <c r="K883" s="1" t="str">
        <f t="shared" si="114"/>
        <v/>
      </c>
      <c r="L883" s="1">
        <f t="shared" si="115"/>
        <v>0</v>
      </c>
      <c r="M883" s="1">
        <f t="shared" si="116"/>
        <v>0</v>
      </c>
      <c r="N883" s="1">
        <f t="shared" si="117"/>
        <v>0</v>
      </c>
      <c r="O883" s="1" t="b">
        <f t="shared" si="118"/>
        <v>0</v>
      </c>
      <c r="P883" s="1" t="e">
        <f>INDEX(G:G,MATCH(G883,G:G,0))</f>
        <v>#N/A</v>
      </c>
      <c r="Q883" s="1" t="e">
        <f t="shared" si="119"/>
        <v>#N/A</v>
      </c>
      <c r="R883" s="1" t="e">
        <f>INDEX('6.0.35'!I:I,MATCH(F883,'6.0.35'!K:K,0))</f>
        <v>#N/A</v>
      </c>
      <c r="S883" s="1" t="e">
        <f>INDEX('6.0.35'!J:J,MATCH(F883,'6.0.35'!F:F,0))</f>
        <v>#N/A</v>
      </c>
    </row>
    <row r="884" spans="1:19">
      <c r="A884" t="s">
        <v>16413</v>
      </c>
      <c r="I884" s="1" t="str">
        <f t="shared" si="112"/>
        <v/>
      </c>
      <c r="J884" s="1">
        <f t="shared" si="113"/>
        <v>0</v>
      </c>
      <c r="K884" s="1" t="str">
        <f t="shared" si="114"/>
        <v/>
      </c>
      <c r="L884" s="1">
        <f t="shared" si="115"/>
        <v>0</v>
      </c>
      <c r="M884" s="1">
        <f t="shared" si="116"/>
        <v>0</v>
      </c>
      <c r="N884" s="1">
        <f t="shared" si="117"/>
        <v>0</v>
      </c>
      <c r="O884" s="1" t="b">
        <f t="shared" si="118"/>
        <v>0</v>
      </c>
      <c r="P884" s="1" t="e">
        <f>INDEX(G:G,MATCH(G884,G:G,0))</f>
        <v>#N/A</v>
      </c>
      <c r="Q884" s="1" t="e">
        <f t="shared" si="119"/>
        <v>#N/A</v>
      </c>
      <c r="R884" s="1" t="e">
        <f>INDEX('6.0.35'!I:I,MATCH(F884,'6.0.35'!K:K,0))</f>
        <v>#N/A</v>
      </c>
      <c r="S884" s="1" t="e">
        <f>INDEX('6.0.35'!J:J,MATCH(F884,'6.0.35'!F:F,0))</f>
        <v>#N/A</v>
      </c>
    </row>
    <row r="885" spans="1:19">
      <c r="A885" t="s">
        <v>16416</v>
      </c>
      <c r="I885" s="1" t="str">
        <f t="shared" si="112"/>
        <v/>
      </c>
      <c r="J885" s="1">
        <f t="shared" si="113"/>
        <v>0</v>
      </c>
      <c r="K885" s="1" t="str">
        <f t="shared" si="114"/>
        <v/>
      </c>
      <c r="L885" s="1">
        <f t="shared" si="115"/>
        <v>0</v>
      </c>
      <c r="M885" s="1">
        <f t="shared" si="116"/>
        <v>0</v>
      </c>
      <c r="N885" s="1">
        <f t="shared" si="117"/>
        <v>0</v>
      </c>
      <c r="O885" s="1" t="b">
        <f t="shared" si="118"/>
        <v>0</v>
      </c>
      <c r="P885" s="1" t="e">
        <f>INDEX(G:G,MATCH(G885,G:G,0))</f>
        <v>#N/A</v>
      </c>
      <c r="Q885" s="1" t="e">
        <f t="shared" si="119"/>
        <v>#N/A</v>
      </c>
      <c r="R885" s="1" t="e">
        <f>INDEX('6.0.35'!I:I,MATCH(F885,'6.0.35'!K:K,0))</f>
        <v>#N/A</v>
      </c>
      <c r="S885" s="1" t="e">
        <f>INDEX('6.0.35'!J:J,MATCH(F885,'6.0.35'!F:F,0))</f>
        <v>#N/A</v>
      </c>
    </row>
    <row r="886" spans="1:19">
      <c r="A886" t="s">
        <v>16419</v>
      </c>
      <c r="I886" s="1" t="str">
        <f t="shared" si="112"/>
        <v/>
      </c>
      <c r="J886" s="1">
        <f t="shared" si="113"/>
        <v>0</v>
      </c>
      <c r="K886" s="1" t="str">
        <f t="shared" si="114"/>
        <v/>
      </c>
      <c r="L886" s="1">
        <f t="shared" si="115"/>
        <v>0</v>
      </c>
      <c r="M886" s="1">
        <f t="shared" si="116"/>
        <v>0</v>
      </c>
      <c r="N886" s="1">
        <f t="shared" si="117"/>
        <v>0</v>
      </c>
      <c r="O886" s="1" t="b">
        <f t="shared" si="118"/>
        <v>0</v>
      </c>
      <c r="P886" s="1" t="e">
        <f>INDEX(G:G,MATCH(G886,G:G,0))</f>
        <v>#N/A</v>
      </c>
      <c r="Q886" s="1" t="e">
        <f t="shared" si="119"/>
        <v>#N/A</v>
      </c>
      <c r="R886" s="1" t="e">
        <f>INDEX('6.0.35'!I:I,MATCH(F886,'6.0.35'!K:K,0))</f>
        <v>#N/A</v>
      </c>
      <c r="S886" s="1" t="e">
        <f>INDEX('6.0.35'!J:J,MATCH(F886,'6.0.35'!F:F,0))</f>
        <v>#N/A</v>
      </c>
    </row>
    <row r="887" spans="1:19">
      <c r="A887" t="s">
        <v>16422</v>
      </c>
      <c r="I887" s="1" t="str">
        <f t="shared" si="112"/>
        <v/>
      </c>
      <c r="J887" s="1">
        <f t="shared" si="113"/>
        <v>0</v>
      </c>
      <c r="K887" s="1" t="str">
        <f t="shared" si="114"/>
        <v/>
      </c>
      <c r="L887" s="1">
        <f t="shared" si="115"/>
        <v>0</v>
      </c>
      <c r="M887" s="1">
        <f t="shared" si="116"/>
        <v>0</v>
      </c>
      <c r="N887" s="1">
        <f t="shared" si="117"/>
        <v>0</v>
      </c>
      <c r="O887" s="1" t="b">
        <f t="shared" si="118"/>
        <v>0</v>
      </c>
      <c r="P887" s="1" t="e">
        <f>INDEX(G:G,MATCH(G887,G:G,0))</f>
        <v>#N/A</v>
      </c>
      <c r="Q887" s="1" t="e">
        <f t="shared" si="119"/>
        <v>#N/A</v>
      </c>
      <c r="R887" s="1" t="e">
        <f>INDEX('6.0.35'!I:I,MATCH(F887,'6.0.35'!K:K,0))</f>
        <v>#N/A</v>
      </c>
      <c r="S887" s="1" t="e">
        <f>INDEX('6.0.35'!J:J,MATCH(F887,'6.0.35'!F:F,0))</f>
        <v>#N/A</v>
      </c>
    </row>
    <row r="888" spans="1:19">
      <c r="A888" t="s">
        <v>16425</v>
      </c>
      <c r="I888" s="1" t="str">
        <f t="shared" si="112"/>
        <v/>
      </c>
      <c r="J888" s="1">
        <f t="shared" si="113"/>
        <v>0</v>
      </c>
      <c r="K888" s="1" t="str">
        <f t="shared" si="114"/>
        <v/>
      </c>
      <c r="L888" s="1">
        <f t="shared" si="115"/>
        <v>0</v>
      </c>
      <c r="M888" s="1">
        <f t="shared" si="116"/>
        <v>0</v>
      </c>
      <c r="N888" s="1">
        <f t="shared" si="117"/>
        <v>0</v>
      </c>
      <c r="O888" s="1" t="b">
        <f t="shared" si="118"/>
        <v>0</v>
      </c>
      <c r="P888" s="1" t="e">
        <f>INDEX(G:G,MATCH(G888,G:G,0))</f>
        <v>#N/A</v>
      </c>
      <c r="Q888" s="1" t="e">
        <f t="shared" si="119"/>
        <v>#N/A</v>
      </c>
      <c r="R888" s="1" t="e">
        <f>INDEX('6.0.35'!I:I,MATCH(F888,'6.0.35'!K:K,0))</f>
        <v>#N/A</v>
      </c>
      <c r="S888" s="1" t="e">
        <f>INDEX('6.0.35'!J:J,MATCH(F888,'6.0.35'!F:F,0))</f>
        <v>#N/A</v>
      </c>
    </row>
    <row r="889" spans="1:19">
      <c r="A889" t="s">
        <v>16428</v>
      </c>
      <c r="I889" s="1" t="str">
        <f t="shared" si="112"/>
        <v/>
      </c>
      <c r="J889" s="1">
        <f t="shared" si="113"/>
        <v>0</v>
      </c>
      <c r="K889" s="1" t="str">
        <f t="shared" si="114"/>
        <v/>
      </c>
      <c r="L889" s="1">
        <f t="shared" si="115"/>
        <v>0</v>
      </c>
      <c r="M889" s="1">
        <f t="shared" si="116"/>
        <v>0</v>
      </c>
      <c r="N889" s="1">
        <f t="shared" si="117"/>
        <v>0</v>
      </c>
      <c r="O889" s="1" t="b">
        <f t="shared" si="118"/>
        <v>0</v>
      </c>
      <c r="P889" s="1" t="e">
        <f>INDEX(G:G,MATCH(G889,G:G,0))</f>
        <v>#N/A</v>
      </c>
      <c r="Q889" s="1" t="e">
        <f t="shared" si="119"/>
        <v>#N/A</v>
      </c>
      <c r="R889" s="1" t="e">
        <f>INDEX('6.0.35'!I:I,MATCH(F889,'6.0.35'!K:K,0))</f>
        <v>#N/A</v>
      </c>
      <c r="S889" s="1" t="e">
        <f>INDEX('6.0.35'!J:J,MATCH(F889,'6.0.35'!F:F,0))</f>
        <v>#N/A</v>
      </c>
    </row>
    <row r="890" spans="1:19">
      <c r="A890" t="s">
        <v>16431</v>
      </c>
      <c r="I890" s="1" t="str">
        <f t="shared" ref="I890:I953" si="120">IFERROR(IF(OR(MID(G890,FIND(":",G890)-1,1)="""",MID(G890,FIND(":",G890)-1,1)="}",MID(G890,FIND(":",G890)-1,1)=")",MID(G890,FIND(":",G890)-1,1)="]"),"",RIGHT(G890,LEN(G890)-FIND(":",G890)-1)),"")</f>
        <v/>
      </c>
      <c r="J890" s="1">
        <f t="shared" ref="J890:J953" si="121">IF(AND(I890="",H890=""),G890,IF(H890="",I890,H890&amp;": "&amp;I890))</f>
        <v>0</v>
      </c>
      <c r="K890" s="1" t="str">
        <f t="shared" ref="K890:K953" si="122">IFERROR(IF(OR(MID(F890,FIND(":",F890)-1,1)="""",MID(F890,FIND(":",F890)-1,1)="}",MID(F890,FIND(":",F890)-1,1)=")",MID(F890,FIND(":",F890)-1,1)="]"),"",RIGHT(F890,LEN(F890)-FIND(":",F890)-1)),"")</f>
        <v/>
      </c>
      <c r="L890" s="1">
        <f t="shared" ref="L890:L953" si="123">LEN(F890)-LEN(SUBSTITUTE(F890,":",""))</f>
        <v>0</v>
      </c>
      <c r="M890" s="1">
        <f t="shared" ref="M890:M953" si="124">LEN(G890)-LEN(SUBSTITUTE(G890,":",""))</f>
        <v>0</v>
      </c>
      <c r="N890" s="1">
        <f t="shared" ref="N890:N953" si="125">LEN(G890)-LEN(SUBSTITUTE(G890,"：",""))</f>
        <v>0</v>
      </c>
      <c r="O890" s="1" t="b">
        <f t="shared" ref="O890:O953" si="126">IF(M890&gt;=2,MID(G890,FIND(":",G890)+1,LEN(G890)))</f>
        <v>0</v>
      </c>
      <c r="P890" s="1" t="e">
        <f>INDEX(G:G,MATCH(G890,G:G,0))</f>
        <v>#N/A</v>
      </c>
      <c r="Q890" s="1" t="e">
        <f t="shared" ref="Q890:Q953" si="127">IF(P890&lt;&gt;G890,"校验","")</f>
        <v>#N/A</v>
      </c>
      <c r="R890" s="1" t="e">
        <f>INDEX('6.0.35'!I:I,MATCH(F890,'6.0.35'!K:K,0))</f>
        <v>#N/A</v>
      </c>
      <c r="S890" s="1" t="e">
        <f>INDEX('6.0.35'!J:J,MATCH(F890,'6.0.35'!F:F,0))</f>
        <v>#N/A</v>
      </c>
    </row>
    <row r="891" spans="1:19">
      <c r="A891" t="s">
        <v>16434</v>
      </c>
      <c r="I891" s="1" t="str">
        <f t="shared" si="120"/>
        <v/>
      </c>
      <c r="J891" s="1">
        <f t="shared" si="121"/>
        <v>0</v>
      </c>
      <c r="K891" s="1" t="str">
        <f t="shared" si="122"/>
        <v/>
      </c>
      <c r="L891" s="1">
        <f t="shared" si="123"/>
        <v>0</v>
      </c>
      <c r="M891" s="1">
        <f t="shared" si="124"/>
        <v>0</v>
      </c>
      <c r="N891" s="1">
        <f t="shared" si="125"/>
        <v>0</v>
      </c>
      <c r="O891" s="1" t="b">
        <f t="shared" si="126"/>
        <v>0</v>
      </c>
      <c r="P891" s="1" t="e">
        <f>INDEX(G:G,MATCH(G891,G:G,0))</f>
        <v>#N/A</v>
      </c>
      <c r="Q891" s="1" t="e">
        <f t="shared" si="127"/>
        <v>#N/A</v>
      </c>
      <c r="R891" s="1" t="e">
        <f>INDEX('6.0.35'!I:I,MATCH(F891,'6.0.35'!K:K,0))</f>
        <v>#N/A</v>
      </c>
      <c r="S891" s="1" t="e">
        <f>INDEX('6.0.35'!J:J,MATCH(F891,'6.0.35'!F:F,0))</f>
        <v>#N/A</v>
      </c>
    </row>
    <row r="892" spans="1:19">
      <c r="A892" t="s">
        <v>16437</v>
      </c>
      <c r="I892" s="1" t="str">
        <f t="shared" si="120"/>
        <v/>
      </c>
      <c r="J892" s="1">
        <f t="shared" si="121"/>
        <v>0</v>
      </c>
      <c r="K892" s="1" t="str">
        <f t="shared" si="122"/>
        <v/>
      </c>
      <c r="L892" s="1">
        <f t="shared" si="123"/>
        <v>0</v>
      </c>
      <c r="M892" s="1">
        <f t="shared" si="124"/>
        <v>0</v>
      </c>
      <c r="N892" s="1">
        <f t="shared" si="125"/>
        <v>0</v>
      </c>
      <c r="O892" s="1" t="b">
        <f t="shared" si="126"/>
        <v>0</v>
      </c>
      <c r="P892" s="1" t="e">
        <f>INDEX(G:G,MATCH(G892,G:G,0))</f>
        <v>#N/A</v>
      </c>
      <c r="Q892" s="1" t="e">
        <f t="shared" si="127"/>
        <v>#N/A</v>
      </c>
      <c r="R892" s="1" t="e">
        <f>INDEX('6.0.35'!I:I,MATCH(F892,'6.0.35'!K:K,0))</f>
        <v>#N/A</v>
      </c>
      <c r="S892" s="1" t="e">
        <f>INDEX('6.0.35'!J:J,MATCH(F892,'6.0.35'!F:F,0))</f>
        <v>#N/A</v>
      </c>
    </row>
    <row r="893" spans="1:19">
      <c r="A893" t="s">
        <v>16440</v>
      </c>
      <c r="I893" s="1" t="str">
        <f t="shared" si="120"/>
        <v/>
      </c>
      <c r="J893" s="1">
        <f t="shared" si="121"/>
        <v>0</v>
      </c>
      <c r="K893" s="1" t="str">
        <f t="shared" si="122"/>
        <v/>
      </c>
      <c r="L893" s="1">
        <f t="shared" si="123"/>
        <v>0</v>
      </c>
      <c r="M893" s="1">
        <f t="shared" si="124"/>
        <v>0</v>
      </c>
      <c r="N893" s="1">
        <f t="shared" si="125"/>
        <v>0</v>
      </c>
      <c r="O893" s="1" t="b">
        <f t="shared" si="126"/>
        <v>0</v>
      </c>
      <c r="P893" s="1" t="e">
        <f>INDEX(G:G,MATCH(G893,G:G,0))</f>
        <v>#N/A</v>
      </c>
      <c r="Q893" s="1" t="e">
        <f t="shared" si="127"/>
        <v>#N/A</v>
      </c>
      <c r="R893" s="1" t="e">
        <f>INDEX('6.0.35'!I:I,MATCH(F893,'6.0.35'!K:K,0))</f>
        <v>#N/A</v>
      </c>
      <c r="S893" s="1" t="e">
        <f>INDEX('6.0.35'!J:J,MATCH(F893,'6.0.35'!F:F,0))</f>
        <v>#N/A</v>
      </c>
    </row>
    <row r="894" spans="1:19">
      <c r="A894" t="s">
        <v>16443</v>
      </c>
      <c r="I894" s="1" t="str">
        <f t="shared" si="120"/>
        <v/>
      </c>
      <c r="J894" s="1">
        <f t="shared" si="121"/>
        <v>0</v>
      </c>
      <c r="K894" s="1" t="str">
        <f t="shared" si="122"/>
        <v/>
      </c>
      <c r="L894" s="1">
        <f t="shared" si="123"/>
        <v>0</v>
      </c>
      <c r="M894" s="1">
        <f t="shared" si="124"/>
        <v>0</v>
      </c>
      <c r="N894" s="1">
        <f t="shared" si="125"/>
        <v>0</v>
      </c>
      <c r="O894" s="1" t="b">
        <f t="shared" si="126"/>
        <v>0</v>
      </c>
      <c r="P894" s="1" t="e">
        <f>INDEX(G:G,MATCH(G894,G:G,0))</f>
        <v>#N/A</v>
      </c>
      <c r="Q894" s="1" t="e">
        <f t="shared" si="127"/>
        <v>#N/A</v>
      </c>
      <c r="R894" s="1" t="e">
        <f>INDEX('6.0.35'!I:I,MATCH(F894,'6.0.35'!K:K,0))</f>
        <v>#N/A</v>
      </c>
      <c r="S894" s="1" t="e">
        <f>INDEX('6.0.35'!J:J,MATCH(F894,'6.0.35'!F:F,0))</f>
        <v>#N/A</v>
      </c>
    </row>
    <row r="895" spans="1:19">
      <c r="A895" t="s">
        <v>16446</v>
      </c>
      <c r="I895" s="1" t="str">
        <f t="shared" si="120"/>
        <v/>
      </c>
      <c r="J895" s="1">
        <f t="shared" si="121"/>
        <v>0</v>
      </c>
      <c r="K895" s="1" t="str">
        <f t="shared" si="122"/>
        <v/>
      </c>
      <c r="L895" s="1">
        <f t="shared" si="123"/>
        <v>0</v>
      </c>
      <c r="M895" s="1">
        <f t="shared" si="124"/>
        <v>0</v>
      </c>
      <c r="N895" s="1">
        <f t="shared" si="125"/>
        <v>0</v>
      </c>
      <c r="O895" s="1" t="b">
        <f t="shared" si="126"/>
        <v>0</v>
      </c>
      <c r="P895" s="1" t="e">
        <f>INDEX(G:G,MATCH(G895,G:G,0))</f>
        <v>#N/A</v>
      </c>
      <c r="Q895" s="1" t="e">
        <f t="shared" si="127"/>
        <v>#N/A</v>
      </c>
      <c r="R895" s="1" t="e">
        <f>INDEX('6.0.35'!I:I,MATCH(F895,'6.0.35'!K:K,0))</f>
        <v>#N/A</v>
      </c>
      <c r="S895" s="1" t="e">
        <f>INDEX('6.0.35'!J:J,MATCH(F895,'6.0.35'!F:F,0))</f>
        <v>#N/A</v>
      </c>
    </row>
    <row r="896" spans="1:19">
      <c r="A896" t="s">
        <v>16449</v>
      </c>
      <c r="I896" s="1" t="str">
        <f t="shared" si="120"/>
        <v/>
      </c>
      <c r="J896" s="1">
        <f t="shared" si="121"/>
        <v>0</v>
      </c>
      <c r="K896" s="1" t="str">
        <f t="shared" si="122"/>
        <v/>
      </c>
      <c r="L896" s="1">
        <f t="shared" si="123"/>
        <v>0</v>
      </c>
      <c r="M896" s="1">
        <f t="shared" si="124"/>
        <v>0</v>
      </c>
      <c r="N896" s="1">
        <f t="shared" si="125"/>
        <v>0</v>
      </c>
      <c r="O896" s="1" t="b">
        <f t="shared" si="126"/>
        <v>0</v>
      </c>
      <c r="P896" s="1" t="e">
        <f>INDEX(G:G,MATCH(G896,G:G,0))</f>
        <v>#N/A</v>
      </c>
      <c r="Q896" s="1" t="e">
        <f t="shared" si="127"/>
        <v>#N/A</v>
      </c>
      <c r="R896" s="1" t="e">
        <f>INDEX('6.0.35'!I:I,MATCH(F896,'6.0.35'!K:K,0))</f>
        <v>#N/A</v>
      </c>
      <c r="S896" s="1" t="e">
        <f>INDEX('6.0.35'!J:J,MATCH(F896,'6.0.35'!F:F,0))</f>
        <v>#N/A</v>
      </c>
    </row>
    <row r="897" spans="1:19">
      <c r="A897" t="s">
        <v>16452</v>
      </c>
      <c r="I897" s="1" t="str">
        <f t="shared" si="120"/>
        <v/>
      </c>
      <c r="J897" s="1">
        <f t="shared" si="121"/>
        <v>0</v>
      </c>
      <c r="K897" s="1" t="str">
        <f t="shared" si="122"/>
        <v/>
      </c>
      <c r="L897" s="1">
        <f t="shared" si="123"/>
        <v>0</v>
      </c>
      <c r="M897" s="1">
        <f t="shared" si="124"/>
        <v>0</v>
      </c>
      <c r="N897" s="1">
        <f t="shared" si="125"/>
        <v>0</v>
      </c>
      <c r="O897" s="1" t="b">
        <f t="shared" si="126"/>
        <v>0</v>
      </c>
      <c r="P897" s="1" t="e">
        <f>INDEX(G:G,MATCH(G897,G:G,0))</f>
        <v>#N/A</v>
      </c>
      <c r="Q897" s="1" t="e">
        <f t="shared" si="127"/>
        <v>#N/A</v>
      </c>
      <c r="R897" s="1" t="e">
        <f>INDEX('6.0.35'!I:I,MATCH(F897,'6.0.35'!K:K,0))</f>
        <v>#N/A</v>
      </c>
      <c r="S897" s="1" t="e">
        <f>INDEX('6.0.35'!J:J,MATCH(F897,'6.0.35'!F:F,0))</f>
        <v>#N/A</v>
      </c>
    </row>
    <row r="898" spans="1:19">
      <c r="A898" t="s">
        <v>16455</v>
      </c>
      <c r="I898" s="1" t="str">
        <f t="shared" si="120"/>
        <v/>
      </c>
      <c r="J898" s="1">
        <f t="shared" si="121"/>
        <v>0</v>
      </c>
      <c r="K898" s="1" t="str">
        <f t="shared" si="122"/>
        <v/>
      </c>
      <c r="L898" s="1">
        <f t="shared" si="123"/>
        <v>0</v>
      </c>
      <c r="M898" s="1">
        <f t="shared" si="124"/>
        <v>0</v>
      </c>
      <c r="N898" s="1">
        <f t="shared" si="125"/>
        <v>0</v>
      </c>
      <c r="O898" s="1" t="b">
        <f t="shared" si="126"/>
        <v>0</v>
      </c>
      <c r="P898" s="1" t="e">
        <f>INDEX(G:G,MATCH(G898,G:G,0))</f>
        <v>#N/A</v>
      </c>
      <c r="Q898" s="1" t="e">
        <f t="shared" si="127"/>
        <v>#N/A</v>
      </c>
      <c r="R898" s="1" t="e">
        <f>INDEX('6.0.35'!I:I,MATCH(F898,'6.0.35'!K:K,0))</f>
        <v>#N/A</v>
      </c>
      <c r="S898" s="1" t="e">
        <f>INDEX('6.0.35'!J:J,MATCH(F898,'6.0.35'!F:F,0))</f>
        <v>#N/A</v>
      </c>
    </row>
    <row r="899" spans="1:19">
      <c r="A899" t="s">
        <v>16458</v>
      </c>
      <c r="I899" s="1" t="str">
        <f t="shared" si="120"/>
        <v/>
      </c>
      <c r="J899" s="1">
        <f t="shared" si="121"/>
        <v>0</v>
      </c>
      <c r="K899" s="1" t="str">
        <f t="shared" si="122"/>
        <v/>
      </c>
      <c r="L899" s="1">
        <f t="shared" si="123"/>
        <v>0</v>
      </c>
      <c r="M899" s="1">
        <f t="shared" si="124"/>
        <v>0</v>
      </c>
      <c r="N899" s="1">
        <f t="shared" si="125"/>
        <v>0</v>
      </c>
      <c r="O899" s="1" t="b">
        <f t="shared" si="126"/>
        <v>0</v>
      </c>
      <c r="P899" s="1" t="e">
        <f>INDEX(G:G,MATCH(G899,G:G,0))</f>
        <v>#N/A</v>
      </c>
      <c r="Q899" s="1" t="e">
        <f t="shared" si="127"/>
        <v>#N/A</v>
      </c>
      <c r="R899" s="1" t="e">
        <f>INDEX('6.0.35'!I:I,MATCH(F899,'6.0.35'!K:K,0))</f>
        <v>#N/A</v>
      </c>
      <c r="S899" s="1" t="e">
        <f>INDEX('6.0.35'!J:J,MATCH(F899,'6.0.35'!F:F,0))</f>
        <v>#N/A</v>
      </c>
    </row>
    <row r="900" spans="1:19">
      <c r="A900" t="s">
        <v>16461</v>
      </c>
      <c r="I900" s="1" t="str">
        <f t="shared" si="120"/>
        <v/>
      </c>
      <c r="J900" s="1">
        <f t="shared" si="121"/>
        <v>0</v>
      </c>
      <c r="K900" s="1" t="str">
        <f t="shared" si="122"/>
        <v/>
      </c>
      <c r="L900" s="1">
        <f t="shared" si="123"/>
        <v>0</v>
      </c>
      <c r="M900" s="1">
        <f t="shared" si="124"/>
        <v>0</v>
      </c>
      <c r="N900" s="1">
        <f t="shared" si="125"/>
        <v>0</v>
      </c>
      <c r="O900" s="1" t="b">
        <f t="shared" si="126"/>
        <v>0</v>
      </c>
      <c r="P900" s="1" t="e">
        <f>INDEX(G:G,MATCH(G900,G:G,0))</f>
        <v>#N/A</v>
      </c>
      <c r="Q900" s="1" t="e">
        <f t="shared" si="127"/>
        <v>#N/A</v>
      </c>
      <c r="R900" s="1" t="e">
        <f>INDEX('6.0.35'!I:I,MATCH(F900,'6.0.35'!K:K,0))</f>
        <v>#N/A</v>
      </c>
      <c r="S900" s="1" t="e">
        <f>INDEX('6.0.35'!J:J,MATCH(F900,'6.0.35'!F:F,0))</f>
        <v>#N/A</v>
      </c>
    </row>
    <row r="901" spans="1:19">
      <c r="A901" t="s">
        <v>16464</v>
      </c>
      <c r="I901" s="1" t="str">
        <f t="shared" si="120"/>
        <v/>
      </c>
      <c r="J901" s="1">
        <f t="shared" si="121"/>
        <v>0</v>
      </c>
      <c r="K901" s="1" t="str">
        <f t="shared" si="122"/>
        <v/>
      </c>
      <c r="L901" s="1">
        <f t="shared" si="123"/>
        <v>0</v>
      </c>
      <c r="M901" s="1">
        <f t="shared" si="124"/>
        <v>0</v>
      </c>
      <c r="N901" s="1">
        <f t="shared" si="125"/>
        <v>0</v>
      </c>
      <c r="O901" s="1" t="b">
        <f t="shared" si="126"/>
        <v>0</v>
      </c>
      <c r="P901" s="1" t="e">
        <f>INDEX(G:G,MATCH(G901,G:G,0))</f>
        <v>#N/A</v>
      </c>
      <c r="Q901" s="1" t="e">
        <f t="shared" si="127"/>
        <v>#N/A</v>
      </c>
      <c r="R901" s="1" t="e">
        <f>INDEX('6.0.35'!I:I,MATCH(F901,'6.0.35'!K:K,0))</f>
        <v>#N/A</v>
      </c>
      <c r="S901" s="1" t="e">
        <f>INDEX('6.0.35'!J:J,MATCH(F901,'6.0.35'!F:F,0))</f>
        <v>#N/A</v>
      </c>
    </row>
    <row r="902" spans="1:19">
      <c r="A902" t="s">
        <v>16467</v>
      </c>
      <c r="I902" s="1" t="str">
        <f t="shared" si="120"/>
        <v/>
      </c>
      <c r="J902" s="1">
        <f t="shared" si="121"/>
        <v>0</v>
      </c>
      <c r="K902" s="1" t="str">
        <f t="shared" si="122"/>
        <v/>
      </c>
      <c r="L902" s="1">
        <f t="shared" si="123"/>
        <v>0</v>
      </c>
      <c r="M902" s="1">
        <f t="shared" si="124"/>
        <v>0</v>
      </c>
      <c r="N902" s="1">
        <f t="shared" si="125"/>
        <v>0</v>
      </c>
      <c r="O902" s="1" t="b">
        <f t="shared" si="126"/>
        <v>0</v>
      </c>
      <c r="P902" s="1" t="e">
        <f>INDEX(G:G,MATCH(G902,G:G,0))</f>
        <v>#N/A</v>
      </c>
      <c r="Q902" s="1" t="e">
        <f t="shared" si="127"/>
        <v>#N/A</v>
      </c>
      <c r="R902" s="1" t="e">
        <f>INDEX('6.0.35'!I:I,MATCH(F902,'6.0.35'!K:K,0))</f>
        <v>#N/A</v>
      </c>
      <c r="S902" s="1" t="e">
        <f>INDEX('6.0.35'!J:J,MATCH(F902,'6.0.35'!F:F,0))</f>
        <v>#N/A</v>
      </c>
    </row>
    <row r="903" spans="1:19">
      <c r="A903" t="s">
        <v>16470</v>
      </c>
      <c r="I903" s="1" t="str">
        <f t="shared" si="120"/>
        <v/>
      </c>
      <c r="J903" s="1">
        <f t="shared" si="121"/>
        <v>0</v>
      </c>
      <c r="K903" s="1" t="str">
        <f t="shared" si="122"/>
        <v/>
      </c>
      <c r="L903" s="1">
        <f t="shared" si="123"/>
        <v>0</v>
      </c>
      <c r="M903" s="1">
        <f t="shared" si="124"/>
        <v>0</v>
      </c>
      <c r="N903" s="1">
        <f t="shared" si="125"/>
        <v>0</v>
      </c>
      <c r="O903" s="1" t="b">
        <f t="shared" si="126"/>
        <v>0</v>
      </c>
      <c r="P903" s="1" t="e">
        <f>INDEX(G:G,MATCH(G903,G:G,0))</f>
        <v>#N/A</v>
      </c>
      <c r="Q903" s="1" t="e">
        <f t="shared" si="127"/>
        <v>#N/A</v>
      </c>
      <c r="R903" s="1" t="e">
        <f>INDEX('6.0.35'!I:I,MATCH(F903,'6.0.35'!K:K,0))</f>
        <v>#N/A</v>
      </c>
      <c r="S903" s="1" t="e">
        <f>INDEX('6.0.35'!J:J,MATCH(F903,'6.0.35'!F:F,0))</f>
        <v>#N/A</v>
      </c>
    </row>
    <row r="904" spans="1:19">
      <c r="A904" t="s">
        <v>16473</v>
      </c>
      <c r="I904" s="1" t="str">
        <f t="shared" si="120"/>
        <v/>
      </c>
      <c r="J904" s="1">
        <f t="shared" si="121"/>
        <v>0</v>
      </c>
      <c r="K904" s="1" t="str">
        <f t="shared" si="122"/>
        <v/>
      </c>
      <c r="L904" s="1">
        <f t="shared" si="123"/>
        <v>0</v>
      </c>
      <c r="M904" s="1">
        <f t="shared" si="124"/>
        <v>0</v>
      </c>
      <c r="N904" s="1">
        <f t="shared" si="125"/>
        <v>0</v>
      </c>
      <c r="O904" s="1" t="b">
        <f t="shared" si="126"/>
        <v>0</v>
      </c>
      <c r="P904" s="1" t="e">
        <f>INDEX(G:G,MATCH(G904,G:G,0))</f>
        <v>#N/A</v>
      </c>
      <c r="Q904" s="1" t="e">
        <f t="shared" si="127"/>
        <v>#N/A</v>
      </c>
      <c r="R904" s="1" t="e">
        <f>INDEX('6.0.35'!I:I,MATCH(F904,'6.0.35'!K:K,0))</f>
        <v>#N/A</v>
      </c>
      <c r="S904" s="1" t="e">
        <f>INDEX('6.0.35'!J:J,MATCH(F904,'6.0.35'!F:F,0))</f>
        <v>#N/A</v>
      </c>
    </row>
    <row r="905" spans="1:19">
      <c r="A905" t="s">
        <v>16476</v>
      </c>
      <c r="I905" s="1" t="str">
        <f t="shared" si="120"/>
        <v/>
      </c>
      <c r="J905" s="1">
        <f t="shared" si="121"/>
        <v>0</v>
      </c>
      <c r="K905" s="1" t="str">
        <f t="shared" si="122"/>
        <v/>
      </c>
      <c r="L905" s="1">
        <f t="shared" si="123"/>
        <v>0</v>
      </c>
      <c r="M905" s="1">
        <f t="shared" si="124"/>
        <v>0</v>
      </c>
      <c r="N905" s="1">
        <f t="shared" si="125"/>
        <v>0</v>
      </c>
      <c r="O905" s="1" t="b">
        <f t="shared" si="126"/>
        <v>0</v>
      </c>
      <c r="P905" s="1" t="e">
        <f>INDEX(G:G,MATCH(G905,G:G,0))</f>
        <v>#N/A</v>
      </c>
      <c r="Q905" s="1" t="e">
        <f t="shared" si="127"/>
        <v>#N/A</v>
      </c>
      <c r="R905" s="1" t="e">
        <f>INDEX('6.0.35'!I:I,MATCH(F905,'6.0.35'!K:K,0))</f>
        <v>#N/A</v>
      </c>
      <c r="S905" s="1" t="e">
        <f>INDEX('6.0.35'!J:J,MATCH(F905,'6.0.35'!F:F,0))</f>
        <v>#N/A</v>
      </c>
    </row>
    <row r="906" spans="1:19">
      <c r="A906" t="s">
        <v>16558</v>
      </c>
      <c r="I906" s="1" t="str">
        <f t="shared" si="120"/>
        <v/>
      </c>
      <c r="J906" s="1">
        <f t="shared" si="121"/>
        <v>0</v>
      </c>
      <c r="K906" s="1" t="str">
        <f t="shared" si="122"/>
        <v/>
      </c>
      <c r="L906" s="1">
        <f t="shared" si="123"/>
        <v>0</v>
      </c>
      <c r="M906" s="1">
        <f t="shared" si="124"/>
        <v>0</v>
      </c>
      <c r="N906" s="1">
        <f t="shared" si="125"/>
        <v>0</v>
      </c>
      <c r="O906" s="1" t="b">
        <f t="shared" si="126"/>
        <v>0</v>
      </c>
      <c r="P906" s="1" t="e">
        <f>INDEX(G:G,MATCH(G906,G:G,0))</f>
        <v>#N/A</v>
      </c>
      <c r="Q906" s="1" t="e">
        <f t="shared" si="127"/>
        <v>#N/A</v>
      </c>
      <c r="R906" s="1" t="e">
        <f>INDEX('6.0.35'!I:I,MATCH(F906,'6.0.35'!K:K,0))</f>
        <v>#N/A</v>
      </c>
      <c r="S906" s="1" t="e">
        <f>INDEX('6.0.35'!J:J,MATCH(F906,'6.0.35'!F:F,0))</f>
        <v>#N/A</v>
      </c>
    </row>
    <row r="907" spans="1:19">
      <c r="A907" t="s">
        <v>16561</v>
      </c>
      <c r="I907" s="1" t="str">
        <f t="shared" si="120"/>
        <v/>
      </c>
      <c r="J907" s="1">
        <f t="shared" si="121"/>
        <v>0</v>
      </c>
      <c r="K907" s="1" t="str">
        <f t="shared" si="122"/>
        <v/>
      </c>
      <c r="L907" s="1">
        <f t="shared" si="123"/>
        <v>0</v>
      </c>
      <c r="M907" s="1">
        <f t="shared" si="124"/>
        <v>0</v>
      </c>
      <c r="N907" s="1">
        <f t="shared" si="125"/>
        <v>0</v>
      </c>
      <c r="O907" s="1" t="b">
        <f t="shared" si="126"/>
        <v>0</v>
      </c>
      <c r="P907" s="1" t="e">
        <f>INDEX(G:G,MATCH(G907,G:G,0))</f>
        <v>#N/A</v>
      </c>
      <c r="Q907" s="1" t="e">
        <f t="shared" si="127"/>
        <v>#N/A</v>
      </c>
      <c r="R907" s="1" t="e">
        <f>INDEX('6.0.35'!I:I,MATCH(F907,'6.0.35'!K:K,0))</f>
        <v>#N/A</v>
      </c>
      <c r="S907" s="1" t="e">
        <f>INDEX('6.0.35'!J:J,MATCH(F907,'6.0.35'!F:F,0))</f>
        <v>#N/A</v>
      </c>
    </row>
    <row r="908" spans="1:19">
      <c r="A908" t="s">
        <v>16564</v>
      </c>
      <c r="I908" s="1" t="str">
        <f t="shared" si="120"/>
        <v/>
      </c>
      <c r="J908" s="1">
        <f t="shared" si="121"/>
        <v>0</v>
      </c>
      <c r="K908" s="1" t="str">
        <f t="shared" si="122"/>
        <v/>
      </c>
      <c r="L908" s="1">
        <f t="shared" si="123"/>
        <v>0</v>
      </c>
      <c r="M908" s="1">
        <f t="shared" si="124"/>
        <v>0</v>
      </c>
      <c r="N908" s="1">
        <f t="shared" si="125"/>
        <v>0</v>
      </c>
      <c r="O908" s="1" t="b">
        <f t="shared" si="126"/>
        <v>0</v>
      </c>
      <c r="P908" s="1" t="e">
        <f>INDEX(G:G,MATCH(G908,G:G,0))</f>
        <v>#N/A</v>
      </c>
      <c r="Q908" s="1" t="e">
        <f t="shared" si="127"/>
        <v>#N/A</v>
      </c>
      <c r="R908" s="1" t="e">
        <f>INDEX('6.0.35'!I:I,MATCH(F908,'6.0.35'!K:K,0))</f>
        <v>#N/A</v>
      </c>
      <c r="S908" s="1" t="e">
        <f>INDEX('6.0.35'!J:J,MATCH(F908,'6.0.35'!F:F,0))</f>
        <v>#N/A</v>
      </c>
    </row>
    <row r="909" spans="1:19">
      <c r="A909" t="s">
        <v>16567</v>
      </c>
      <c r="I909" s="1" t="str">
        <f t="shared" si="120"/>
        <v/>
      </c>
      <c r="J909" s="1">
        <f t="shared" si="121"/>
        <v>0</v>
      </c>
      <c r="K909" s="1" t="str">
        <f t="shared" si="122"/>
        <v/>
      </c>
      <c r="L909" s="1">
        <f t="shared" si="123"/>
        <v>0</v>
      </c>
      <c r="M909" s="1">
        <f t="shared" si="124"/>
        <v>0</v>
      </c>
      <c r="N909" s="1">
        <f t="shared" si="125"/>
        <v>0</v>
      </c>
      <c r="O909" s="1" t="b">
        <f t="shared" si="126"/>
        <v>0</v>
      </c>
      <c r="P909" s="1" t="e">
        <f>INDEX(G:G,MATCH(G909,G:G,0))</f>
        <v>#N/A</v>
      </c>
      <c r="Q909" s="1" t="e">
        <f t="shared" si="127"/>
        <v>#N/A</v>
      </c>
      <c r="R909" s="1" t="e">
        <f>INDEX('6.0.35'!I:I,MATCH(F909,'6.0.35'!K:K,0))</f>
        <v>#N/A</v>
      </c>
      <c r="S909" s="1" t="e">
        <f>INDEX('6.0.35'!J:J,MATCH(F909,'6.0.35'!F:F,0))</f>
        <v>#N/A</v>
      </c>
    </row>
    <row r="910" spans="1:19">
      <c r="A910" t="s">
        <v>16570</v>
      </c>
      <c r="I910" s="1" t="str">
        <f t="shared" si="120"/>
        <v/>
      </c>
      <c r="J910" s="1">
        <f t="shared" si="121"/>
        <v>0</v>
      </c>
      <c r="K910" s="1" t="str">
        <f t="shared" si="122"/>
        <v/>
      </c>
      <c r="L910" s="1">
        <f t="shared" si="123"/>
        <v>0</v>
      </c>
      <c r="M910" s="1">
        <f t="shared" si="124"/>
        <v>0</v>
      </c>
      <c r="N910" s="1">
        <f t="shared" si="125"/>
        <v>0</v>
      </c>
      <c r="O910" s="1" t="b">
        <f t="shared" si="126"/>
        <v>0</v>
      </c>
      <c r="P910" s="1" t="e">
        <f>INDEX(G:G,MATCH(G910,G:G,0))</f>
        <v>#N/A</v>
      </c>
      <c r="Q910" s="1" t="e">
        <f t="shared" si="127"/>
        <v>#N/A</v>
      </c>
      <c r="R910" s="1" t="e">
        <f>INDEX('6.0.35'!I:I,MATCH(F910,'6.0.35'!K:K,0))</f>
        <v>#N/A</v>
      </c>
      <c r="S910" s="1" t="e">
        <f>INDEX('6.0.35'!J:J,MATCH(F910,'6.0.35'!F:F,0))</f>
        <v>#N/A</v>
      </c>
    </row>
    <row r="911" spans="1:19">
      <c r="A911" t="s">
        <v>16592</v>
      </c>
      <c r="I911" s="1" t="str">
        <f t="shared" si="120"/>
        <v/>
      </c>
      <c r="J911" s="1">
        <f t="shared" si="121"/>
        <v>0</v>
      </c>
      <c r="K911" s="1" t="str">
        <f t="shared" si="122"/>
        <v/>
      </c>
      <c r="L911" s="1">
        <f t="shared" si="123"/>
        <v>0</v>
      </c>
      <c r="M911" s="1">
        <f t="shared" si="124"/>
        <v>0</v>
      </c>
      <c r="N911" s="1">
        <f t="shared" si="125"/>
        <v>0</v>
      </c>
      <c r="O911" s="1" t="b">
        <f t="shared" si="126"/>
        <v>0</v>
      </c>
      <c r="P911" s="1" t="e">
        <f>INDEX(G:G,MATCH(G911,G:G,0))</f>
        <v>#N/A</v>
      </c>
      <c r="Q911" s="1" t="e">
        <f t="shared" si="127"/>
        <v>#N/A</v>
      </c>
      <c r="R911" s="1" t="e">
        <f>INDEX('6.0.35'!I:I,MATCH(F911,'6.0.35'!K:K,0))</f>
        <v>#N/A</v>
      </c>
      <c r="S911" s="1" t="e">
        <f>INDEX('6.0.35'!J:J,MATCH(F911,'6.0.35'!F:F,0))</f>
        <v>#N/A</v>
      </c>
    </row>
    <row r="912" spans="1:19">
      <c r="A912" t="s">
        <v>16595</v>
      </c>
      <c r="I912" s="1" t="str">
        <f t="shared" si="120"/>
        <v/>
      </c>
      <c r="J912" s="1">
        <f t="shared" si="121"/>
        <v>0</v>
      </c>
      <c r="K912" s="1" t="str">
        <f t="shared" si="122"/>
        <v/>
      </c>
      <c r="L912" s="1">
        <f t="shared" si="123"/>
        <v>0</v>
      </c>
      <c r="M912" s="1">
        <f t="shared" si="124"/>
        <v>0</v>
      </c>
      <c r="N912" s="1">
        <f t="shared" si="125"/>
        <v>0</v>
      </c>
      <c r="O912" s="1" t="b">
        <f t="shared" si="126"/>
        <v>0</v>
      </c>
      <c r="P912" s="1" t="e">
        <f>INDEX(G:G,MATCH(G912,G:G,0))</f>
        <v>#N/A</v>
      </c>
      <c r="Q912" s="1" t="e">
        <f t="shared" si="127"/>
        <v>#N/A</v>
      </c>
      <c r="R912" s="1" t="e">
        <f>INDEX('6.0.35'!I:I,MATCH(F912,'6.0.35'!K:K,0))</f>
        <v>#N/A</v>
      </c>
      <c r="S912" s="1" t="e">
        <f>INDEX('6.0.35'!J:J,MATCH(F912,'6.0.35'!F:F,0))</f>
        <v>#N/A</v>
      </c>
    </row>
    <row r="913" spans="1:19">
      <c r="A913" t="s">
        <v>16598</v>
      </c>
      <c r="I913" s="1" t="str">
        <f t="shared" si="120"/>
        <v/>
      </c>
      <c r="J913" s="1">
        <f t="shared" si="121"/>
        <v>0</v>
      </c>
      <c r="K913" s="1" t="str">
        <f t="shared" si="122"/>
        <v/>
      </c>
      <c r="L913" s="1">
        <f t="shared" si="123"/>
        <v>0</v>
      </c>
      <c r="M913" s="1">
        <f t="shared" si="124"/>
        <v>0</v>
      </c>
      <c r="N913" s="1">
        <f t="shared" si="125"/>
        <v>0</v>
      </c>
      <c r="O913" s="1" t="b">
        <f t="shared" si="126"/>
        <v>0</v>
      </c>
      <c r="P913" s="1" t="e">
        <f>INDEX(G:G,MATCH(G913,G:G,0))</f>
        <v>#N/A</v>
      </c>
      <c r="Q913" s="1" t="e">
        <f t="shared" si="127"/>
        <v>#N/A</v>
      </c>
      <c r="R913" s="1" t="e">
        <f>INDEX('6.0.35'!I:I,MATCH(F913,'6.0.35'!K:K,0))</f>
        <v>#N/A</v>
      </c>
      <c r="S913" s="1" t="e">
        <f>INDEX('6.0.35'!J:J,MATCH(F913,'6.0.35'!F:F,0))</f>
        <v>#N/A</v>
      </c>
    </row>
    <row r="914" spans="1:19">
      <c r="A914" t="s">
        <v>16601</v>
      </c>
      <c r="I914" s="1" t="str">
        <f t="shared" si="120"/>
        <v/>
      </c>
      <c r="J914" s="1">
        <f t="shared" si="121"/>
        <v>0</v>
      </c>
      <c r="K914" s="1" t="str">
        <f t="shared" si="122"/>
        <v/>
      </c>
      <c r="L914" s="1">
        <f t="shared" si="123"/>
        <v>0</v>
      </c>
      <c r="M914" s="1">
        <f t="shared" si="124"/>
        <v>0</v>
      </c>
      <c r="N914" s="1">
        <f t="shared" si="125"/>
        <v>0</v>
      </c>
      <c r="O914" s="1" t="b">
        <f t="shared" si="126"/>
        <v>0</v>
      </c>
      <c r="P914" s="1" t="e">
        <f>INDEX(G:G,MATCH(G914,G:G,0))</f>
        <v>#N/A</v>
      </c>
      <c r="Q914" s="1" t="e">
        <f t="shared" si="127"/>
        <v>#N/A</v>
      </c>
      <c r="R914" s="1" t="e">
        <f>INDEX('6.0.35'!I:I,MATCH(F914,'6.0.35'!K:K,0))</f>
        <v>#N/A</v>
      </c>
      <c r="S914" s="1" t="e">
        <f>INDEX('6.0.35'!J:J,MATCH(F914,'6.0.35'!F:F,0))</f>
        <v>#N/A</v>
      </c>
    </row>
    <row r="915" spans="1:19">
      <c r="A915" t="s">
        <v>16604</v>
      </c>
      <c r="I915" s="1" t="str">
        <f t="shared" si="120"/>
        <v/>
      </c>
      <c r="J915" s="1">
        <f t="shared" si="121"/>
        <v>0</v>
      </c>
      <c r="K915" s="1" t="str">
        <f t="shared" si="122"/>
        <v/>
      </c>
      <c r="L915" s="1">
        <f t="shared" si="123"/>
        <v>0</v>
      </c>
      <c r="M915" s="1">
        <f t="shared" si="124"/>
        <v>0</v>
      </c>
      <c r="N915" s="1">
        <f t="shared" si="125"/>
        <v>0</v>
      </c>
      <c r="O915" s="1" t="b">
        <f t="shared" si="126"/>
        <v>0</v>
      </c>
      <c r="P915" s="1" t="e">
        <f>INDEX(G:G,MATCH(G915,G:G,0))</f>
        <v>#N/A</v>
      </c>
      <c r="Q915" s="1" t="e">
        <f t="shared" si="127"/>
        <v>#N/A</v>
      </c>
      <c r="R915" s="1" t="e">
        <f>INDEX('6.0.35'!I:I,MATCH(F915,'6.0.35'!K:K,0))</f>
        <v>#N/A</v>
      </c>
      <c r="S915" s="1" t="e">
        <f>INDEX('6.0.35'!J:J,MATCH(F915,'6.0.35'!F:F,0))</f>
        <v>#N/A</v>
      </c>
    </row>
    <row r="916" spans="1:19">
      <c r="A916" t="s">
        <v>16607</v>
      </c>
      <c r="I916" s="1" t="str">
        <f t="shared" si="120"/>
        <v/>
      </c>
      <c r="J916" s="1">
        <f t="shared" si="121"/>
        <v>0</v>
      </c>
      <c r="K916" s="1" t="str">
        <f t="shared" si="122"/>
        <v/>
      </c>
      <c r="L916" s="1">
        <f t="shared" si="123"/>
        <v>0</v>
      </c>
      <c r="M916" s="1">
        <f t="shared" si="124"/>
        <v>0</v>
      </c>
      <c r="N916" s="1">
        <f t="shared" si="125"/>
        <v>0</v>
      </c>
      <c r="O916" s="1" t="b">
        <f t="shared" si="126"/>
        <v>0</v>
      </c>
      <c r="P916" s="1" t="e">
        <f>INDEX(G:G,MATCH(G916,G:G,0))</f>
        <v>#N/A</v>
      </c>
      <c r="Q916" s="1" t="e">
        <f t="shared" si="127"/>
        <v>#N/A</v>
      </c>
      <c r="R916" s="1" t="e">
        <f>INDEX('6.0.35'!I:I,MATCH(F916,'6.0.35'!K:K,0))</f>
        <v>#N/A</v>
      </c>
      <c r="S916" s="1" t="e">
        <f>INDEX('6.0.35'!J:J,MATCH(F916,'6.0.35'!F:F,0))</f>
        <v>#N/A</v>
      </c>
    </row>
    <row r="917" spans="1:19">
      <c r="A917" t="s">
        <v>16636</v>
      </c>
      <c r="I917" s="1" t="str">
        <f t="shared" si="120"/>
        <v/>
      </c>
      <c r="J917" s="1">
        <f t="shared" si="121"/>
        <v>0</v>
      </c>
      <c r="K917" s="1" t="str">
        <f t="shared" si="122"/>
        <v/>
      </c>
      <c r="L917" s="1">
        <f t="shared" si="123"/>
        <v>0</v>
      </c>
      <c r="M917" s="1">
        <f t="shared" si="124"/>
        <v>0</v>
      </c>
      <c r="N917" s="1">
        <f t="shared" si="125"/>
        <v>0</v>
      </c>
      <c r="O917" s="1" t="b">
        <f t="shared" si="126"/>
        <v>0</v>
      </c>
      <c r="P917" s="1" t="e">
        <f>INDEX(G:G,MATCH(G917,G:G,0))</f>
        <v>#N/A</v>
      </c>
      <c r="Q917" s="1" t="e">
        <f t="shared" si="127"/>
        <v>#N/A</v>
      </c>
      <c r="R917" s="1" t="e">
        <f>INDEX('6.0.35'!I:I,MATCH(F917,'6.0.35'!K:K,0))</f>
        <v>#N/A</v>
      </c>
      <c r="S917" s="1" t="e">
        <f>INDEX('6.0.35'!J:J,MATCH(F917,'6.0.35'!F:F,0))</f>
        <v>#N/A</v>
      </c>
    </row>
    <row r="918" spans="1:19">
      <c r="A918" t="s">
        <v>16640</v>
      </c>
      <c r="I918" s="1" t="str">
        <f t="shared" si="120"/>
        <v/>
      </c>
      <c r="J918" s="1">
        <f t="shared" si="121"/>
        <v>0</v>
      </c>
      <c r="K918" s="1" t="str">
        <f t="shared" si="122"/>
        <v/>
      </c>
      <c r="L918" s="1">
        <f t="shared" si="123"/>
        <v>0</v>
      </c>
      <c r="M918" s="1">
        <f t="shared" si="124"/>
        <v>0</v>
      </c>
      <c r="N918" s="1">
        <f t="shared" si="125"/>
        <v>0</v>
      </c>
      <c r="O918" s="1" t="b">
        <f t="shared" si="126"/>
        <v>0</v>
      </c>
      <c r="P918" s="1" t="e">
        <f>INDEX(G:G,MATCH(G918,G:G,0))</f>
        <v>#N/A</v>
      </c>
      <c r="Q918" s="1" t="e">
        <f t="shared" si="127"/>
        <v>#N/A</v>
      </c>
      <c r="R918" s="1" t="e">
        <f>INDEX('6.0.35'!I:I,MATCH(F918,'6.0.35'!K:K,0))</f>
        <v>#N/A</v>
      </c>
      <c r="S918" s="1" t="e">
        <f>INDEX('6.0.35'!J:J,MATCH(F918,'6.0.35'!F:F,0))</f>
        <v>#N/A</v>
      </c>
    </row>
    <row r="919" spans="1:19">
      <c r="A919" t="s">
        <v>16644</v>
      </c>
      <c r="I919" s="1" t="str">
        <f t="shared" si="120"/>
        <v/>
      </c>
      <c r="J919" s="1">
        <f t="shared" si="121"/>
        <v>0</v>
      </c>
      <c r="K919" s="1" t="str">
        <f t="shared" si="122"/>
        <v/>
      </c>
      <c r="L919" s="1">
        <f t="shared" si="123"/>
        <v>0</v>
      </c>
      <c r="M919" s="1">
        <f t="shared" si="124"/>
        <v>0</v>
      </c>
      <c r="N919" s="1">
        <f t="shared" si="125"/>
        <v>0</v>
      </c>
      <c r="O919" s="1" t="b">
        <f t="shared" si="126"/>
        <v>0</v>
      </c>
      <c r="P919" s="1" t="e">
        <f>INDEX(G:G,MATCH(G919,G:G,0))</f>
        <v>#N/A</v>
      </c>
      <c r="Q919" s="1" t="e">
        <f t="shared" si="127"/>
        <v>#N/A</v>
      </c>
      <c r="R919" s="1" t="e">
        <f>INDEX('6.0.35'!I:I,MATCH(F919,'6.0.35'!K:K,0))</f>
        <v>#N/A</v>
      </c>
      <c r="S919" s="1" t="e">
        <f>INDEX('6.0.35'!J:J,MATCH(F919,'6.0.35'!F:F,0))</f>
        <v>#N/A</v>
      </c>
    </row>
    <row r="920" spans="1:19">
      <c r="A920" t="s">
        <v>16636</v>
      </c>
      <c r="I920" s="1" t="str">
        <f t="shared" si="120"/>
        <v/>
      </c>
      <c r="J920" s="1">
        <f t="shared" si="121"/>
        <v>0</v>
      </c>
      <c r="K920" s="1" t="str">
        <f t="shared" si="122"/>
        <v/>
      </c>
      <c r="L920" s="1">
        <f t="shared" si="123"/>
        <v>0</v>
      </c>
      <c r="M920" s="1">
        <f t="shared" si="124"/>
        <v>0</v>
      </c>
      <c r="N920" s="1">
        <f t="shared" si="125"/>
        <v>0</v>
      </c>
      <c r="O920" s="1" t="b">
        <f t="shared" si="126"/>
        <v>0</v>
      </c>
      <c r="P920" s="1" t="e">
        <f>INDEX(G:G,MATCH(G920,G:G,0))</f>
        <v>#N/A</v>
      </c>
      <c r="Q920" s="1" t="e">
        <f t="shared" si="127"/>
        <v>#N/A</v>
      </c>
      <c r="R920" s="1" t="e">
        <f>INDEX('6.0.35'!I:I,MATCH(F920,'6.0.35'!K:K,0))</f>
        <v>#N/A</v>
      </c>
      <c r="S920" s="1" t="e">
        <f>INDEX('6.0.35'!J:J,MATCH(F920,'6.0.35'!F:F,0))</f>
        <v>#N/A</v>
      </c>
    </row>
    <row r="921" spans="1:19">
      <c r="A921" t="s">
        <v>16651</v>
      </c>
      <c r="I921" s="1" t="str">
        <f t="shared" si="120"/>
        <v/>
      </c>
      <c r="J921" s="1">
        <f t="shared" si="121"/>
        <v>0</v>
      </c>
      <c r="K921" s="1" t="str">
        <f t="shared" si="122"/>
        <v/>
      </c>
      <c r="L921" s="1">
        <f t="shared" si="123"/>
        <v>0</v>
      </c>
      <c r="M921" s="1">
        <f t="shared" si="124"/>
        <v>0</v>
      </c>
      <c r="N921" s="1">
        <f t="shared" si="125"/>
        <v>0</v>
      </c>
      <c r="O921" s="1" t="b">
        <f t="shared" si="126"/>
        <v>0</v>
      </c>
      <c r="P921" s="1" t="e">
        <f>INDEX(G:G,MATCH(G921,G:G,0))</f>
        <v>#N/A</v>
      </c>
      <c r="Q921" s="1" t="e">
        <f t="shared" si="127"/>
        <v>#N/A</v>
      </c>
      <c r="R921" s="1" t="e">
        <f>INDEX('6.0.35'!I:I,MATCH(F921,'6.0.35'!K:K,0))</f>
        <v>#N/A</v>
      </c>
      <c r="S921" s="1" t="e">
        <f>INDEX('6.0.35'!J:J,MATCH(F921,'6.0.35'!F:F,0))</f>
        <v>#N/A</v>
      </c>
    </row>
    <row r="922" spans="1:19">
      <c r="A922" t="s">
        <v>16655</v>
      </c>
      <c r="I922" s="1" t="str">
        <f t="shared" si="120"/>
        <v/>
      </c>
      <c r="J922" s="1">
        <f t="shared" si="121"/>
        <v>0</v>
      </c>
      <c r="K922" s="1" t="str">
        <f t="shared" si="122"/>
        <v/>
      </c>
      <c r="L922" s="1">
        <f t="shared" si="123"/>
        <v>0</v>
      </c>
      <c r="M922" s="1">
        <f t="shared" si="124"/>
        <v>0</v>
      </c>
      <c r="N922" s="1">
        <f t="shared" si="125"/>
        <v>0</v>
      </c>
      <c r="O922" s="1" t="b">
        <f t="shared" si="126"/>
        <v>0</v>
      </c>
      <c r="P922" s="1" t="e">
        <f>INDEX(G:G,MATCH(G922,G:G,0))</f>
        <v>#N/A</v>
      </c>
      <c r="Q922" s="1" t="e">
        <f t="shared" si="127"/>
        <v>#N/A</v>
      </c>
      <c r="R922" s="1" t="e">
        <f>INDEX('6.0.35'!I:I,MATCH(F922,'6.0.35'!K:K,0))</f>
        <v>#N/A</v>
      </c>
      <c r="S922" s="1" t="e">
        <f>INDEX('6.0.35'!J:J,MATCH(F922,'6.0.35'!F:F,0))</f>
        <v>#N/A</v>
      </c>
    </row>
    <row r="923" spans="1:19">
      <c r="A923" t="s">
        <v>16640</v>
      </c>
      <c r="I923" s="1" t="str">
        <f t="shared" si="120"/>
        <v/>
      </c>
      <c r="J923" s="1">
        <f t="shared" si="121"/>
        <v>0</v>
      </c>
      <c r="K923" s="1" t="str">
        <f t="shared" si="122"/>
        <v/>
      </c>
      <c r="L923" s="1">
        <f t="shared" si="123"/>
        <v>0</v>
      </c>
      <c r="M923" s="1">
        <f t="shared" si="124"/>
        <v>0</v>
      </c>
      <c r="N923" s="1">
        <f t="shared" si="125"/>
        <v>0</v>
      </c>
      <c r="O923" s="1" t="b">
        <f t="shared" si="126"/>
        <v>0</v>
      </c>
      <c r="P923" s="1" t="e">
        <f>INDEX(G:G,MATCH(G923,G:G,0))</f>
        <v>#N/A</v>
      </c>
      <c r="Q923" s="1" t="e">
        <f t="shared" si="127"/>
        <v>#N/A</v>
      </c>
      <c r="R923" s="1" t="e">
        <f>INDEX('6.0.35'!I:I,MATCH(F923,'6.0.35'!K:K,0))</f>
        <v>#N/A</v>
      </c>
      <c r="S923" s="1" t="e">
        <f>INDEX('6.0.35'!J:J,MATCH(F923,'6.0.35'!F:F,0))</f>
        <v>#N/A</v>
      </c>
    </row>
    <row r="924" spans="1:19">
      <c r="A924" t="s">
        <v>16662</v>
      </c>
      <c r="I924" s="1" t="str">
        <f t="shared" si="120"/>
        <v/>
      </c>
      <c r="J924" s="1">
        <f t="shared" si="121"/>
        <v>0</v>
      </c>
      <c r="K924" s="1" t="str">
        <f t="shared" si="122"/>
        <v/>
      </c>
      <c r="L924" s="1">
        <f t="shared" si="123"/>
        <v>0</v>
      </c>
      <c r="M924" s="1">
        <f t="shared" si="124"/>
        <v>0</v>
      </c>
      <c r="N924" s="1">
        <f t="shared" si="125"/>
        <v>0</v>
      </c>
      <c r="O924" s="1" t="b">
        <f t="shared" si="126"/>
        <v>0</v>
      </c>
      <c r="P924" s="1" t="e">
        <f>INDEX(G:G,MATCH(G924,G:G,0))</f>
        <v>#N/A</v>
      </c>
      <c r="Q924" s="1" t="e">
        <f t="shared" si="127"/>
        <v>#N/A</v>
      </c>
      <c r="R924" s="1" t="e">
        <f>INDEX('6.0.35'!I:I,MATCH(F924,'6.0.35'!K:K,0))</f>
        <v>#N/A</v>
      </c>
      <c r="S924" s="1" t="e">
        <f>INDEX('6.0.35'!J:J,MATCH(F924,'6.0.35'!F:F,0))</f>
        <v>#N/A</v>
      </c>
    </row>
    <row r="925" spans="1:19">
      <c r="A925" t="s">
        <v>16666</v>
      </c>
      <c r="I925" s="1" t="str">
        <f t="shared" si="120"/>
        <v/>
      </c>
      <c r="J925" s="1">
        <f t="shared" si="121"/>
        <v>0</v>
      </c>
      <c r="K925" s="1" t="str">
        <f t="shared" si="122"/>
        <v/>
      </c>
      <c r="L925" s="1">
        <f t="shared" si="123"/>
        <v>0</v>
      </c>
      <c r="M925" s="1">
        <f t="shared" si="124"/>
        <v>0</v>
      </c>
      <c r="N925" s="1">
        <f t="shared" si="125"/>
        <v>0</v>
      </c>
      <c r="O925" s="1" t="b">
        <f t="shared" si="126"/>
        <v>0</v>
      </c>
      <c r="P925" s="1" t="e">
        <f>INDEX(G:G,MATCH(G925,G:G,0))</f>
        <v>#N/A</v>
      </c>
      <c r="Q925" s="1" t="e">
        <f t="shared" si="127"/>
        <v>#N/A</v>
      </c>
      <c r="R925" s="1" t="e">
        <f>INDEX('6.0.35'!I:I,MATCH(F925,'6.0.35'!K:K,0))</f>
        <v>#N/A</v>
      </c>
      <c r="S925" s="1" t="e">
        <f>INDEX('6.0.35'!J:J,MATCH(F925,'6.0.35'!F:F,0))</f>
        <v>#N/A</v>
      </c>
    </row>
    <row r="926" spans="1:19">
      <c r="A926" t="s">
        <v>16670</v>
      </c>
      <c r="I926" s="1" t="str">
        <f t="shared" si="120"/>
        <v/>
      </c>
      <c r="J926" s="1">
        <f t="shared" si="121"/>
        <v>0</v>
      </c>
      <c r="K926" s="1" t="str">
        <f t="shared" si="122"/>
        <v/>
      </c>
      <c r="L926" s="1">
        <f t="shared" si="123"/>
        <v>0</v>
      </c>
      <c r="M926" s="1">
        <f t="shared" si="124"/>
        <v>0</v>
      </c>
      <c r="N926" s="1">
        <f t="shared" si="125"/>
        <v>0</v>
      </c>
      <c r="O926" s="1" t="b">
        <f t="shared" si="126"/>
        <v>0</v>
      </c>
      <c r="P926" s="1" t="e">
        <f>INDEX(G:G,MATCH(G926,G:G,0))</f>
        <v>#N/A</v>
      </c>
      <c r="Q926" s="1" t="e">
        <f t="shared" si="127"/>
        <v>#N/A</v>
      </c>
      <c r="R926" s="1" t="e">
        <f>INDEX('6.0.35'!I:I,MATCH(F926,'6.0.35'!K:K,0))</f>
        <v>#N/A</v>
      </c>
      <c r="S926" s="1" t="e">
        <f>INDEX('6.0.35'!J:J,MATCH(F926,'6.0.35'!F:F,0))</f>
        <v>#N/A</v>
      </c>
    </row>
    <row r="927" spans="1:19">
      <c r="A927" t="s">
        <v>16697</v>
      </c>
      <c r="I927" s="1" t="str">
        <f t="shared" si="120"/>
        <v/>
      </c>
      <c r="J927" s="1">
        <f t="shared" si="121"/>
        <v>0</v>
      </c>
      <c r="K927" s="1" t="str">
        <f t="shared" si="122"/>
        <v/>
      </c>
      <c r="L927" s="1">
        <f t="shared" si="123"/>
        <v>0</v>
      </c>
      <c r="M927" s="1">
        <f t="shared" si="124"/>
        <v>0</v>
      </c>
      <c r="N927" s="1">
        <f t="shared" si="125"/>
        <v>0</v>
      </c>
      <c r="O927" s="1" t="b">
        <f t="shared" si="126"/>
        <v>0</v>
      </c>
      <c r="P927" s="1" t="e">
        <f>INDEX(G:G,MATCH(G927,G:G,0))</f>
        <v>#N/A</v>
      </c>
      <c r="Q927" s="1" t="e">
        <f t="shared" si="127"/>
        <v>#N/A</v>
      </c>
      <c r="R927" s="1" t="e">
        <f>INDEX('6.0.35'!I:I,MATCH(F927,'6.0.35'!K:K,0))</f>
        <v>#N/A</v>
      </c>
      <c r="S927" s="1" t="e">
        <f>INDEX('6.0.35'!J:J,MATCH(F927,'6.0.35'!F:F,0))</f>
        <v>#N/A</v>
      </c>
    </row>
    <row r="928" spans="1:19">
      <c r="A928" t="s">
        <v>16700</v>
      </c>
      <c r="I928" s="1" t="str">
        <f t="shared" si="120"/>
        <v/>
      </c>
      <c r="J928" s="1">
        <f t="shared" si="121"/>
        <v>0</v>
      </c>
      <c r="K928" s="1" t="str">
        <f t="shared" si="122"/>
        <v/>
      </c>
      <c r="L928" s="1">
        <f t="shared" si="123"/>
        <v>0</v>
      </c>
      <c r="M928" s="1">
        <f t="shared" si="124"/>
        <v>0</v>
      </c>
      <c r="N928" s="1">
        <f t="shared" si="125"/>
        <v>0</v>
      </c>
      <c r="O928" s="1" t="b">
        <f t="shared" si="126"/>
        <v>0</v>
      </c>
      <c r="P928" s="1" t="e">
        <f>INDEX(G:G,MATCH(G928,G:G,0))</f>
        <v>#N/A</v>
      </c>
      <c r="Q928" s="1" t="e">
        <f t="shared" si="127"/>
        <v>#N/A</v>
      </c>
      <c r="R928" s="1" t="e">
        <f>INDEX('6.0.35'!I:I,MATCH(F928,'6.0.35'!K:K,0))</f>
        <v>#N/A</v>
      </c>
      <c r="S928" s="1" t="e">
        <f>INDEX('6.0.35'!J:J,MATCH(F928,'6.0.35'!F:F,0))</f>
        <v>#N/A</v>
      </c>
    </row>
    <row r="929" spans="1:19">
      <c r="A929" t="s">
        <v>16703</v>
      </c>
      <c r="I929" s="1" t="str">
        <f t="shared" si="120"/>
        <v/>
      </c>
      <c r="J929" s="1">
        <f t="shared" si="121"/>
        <v>0</v>
      </c>
      <c r="K929" s="1" t="str">
        <f t="shared" si="122"/>
        <v/>
      </c>
      <c r="L929" s="1">
        <f t="shared" si="123"/>
        <v>0</v>
      </c>
      <c r="M929" s="1">
        <f t="shared" si="124"/>
        <v>0</v>
      </c>
      <c r="N929" s="1">
        <f t="shared" si="125"/>
        <v>0</v>
      </c>
      <c r="O929" s="1" t="b">
        <f t="shared" si="126"/>
        <v>0</v>
      </c>
      <c r="P929" s="1" t="e">
        <f>INDEX(G:G,MATCH(G929,G:G,0))</f>
        <v>#N/A</v>
      </c>
      <c r="Q929" s="1" t="e">
        <f t="shared" si="127"/>
        <v>#N/A</v>
      </c>
      <c r="R929" s="1" t="e">
        <f>INDEX('6.0.35'!I:I,MATCH(F929,'6.0.35'!K:K,0))</f>
        <v>#N/A</v>
      </c>
      <c r="S929" s="1" t="e">
        <f>INDEX('6.0.35'!J:J,MATCH(F929,'6.0.35'!F:F,0))</f>
        <v>#N/A</v>
      </c>
    </row>
    <row r="930" spans="1:19">
      <c r="A930" t="s">
        <v>16706</v>
      </c>
      <c r="I930" s="1" t="str">
        <f t="shared" si="120"/>
        <v/>
      </c>
      <c r="J930" s="1">
        <f t="shared" si="121"/>
        <v>0</v>
      </c>
      <c r="K930" s="1" t="str">
        <f t="shared" si="122"/>
        <v/>
      </c>
      <c r="L930" s="1">
        <f t="shared" si="123"/>
        <v>0</v>
      </c>
      <c r="M930" s="1">
        <f t="shared" si="124"/>
        <v>0</v>
      </c>
      <c r="N930" s="1">
        <f t="shared" si="125"/>
        <v>0</v>
      </c>
      <c r="O930" s="1" t="b">
        <f t="shared" si="126"/>
        <v>0</v>
      </c>
      <c r="P930" s="1" t="e">
        <f>INDEX(G:G,MATCH(G930,G:G,0))</f>
        <v>#N/A</v>
      </c>
      <c r="Q930" s="1" t="e">
        <f t="shared" si="127"/>
        <v>#N/A</v>
      </c>
      <c r="R930" s="1" t="e">
        <f>INDEX('6.0.35'!I:I,MATCH(F930,'6.0.35'!K:K,0))</f>
        <v>#N/A</v>
      </c>
      <c r="S930" s="1" t="e">
        <f>INDEX('6.0.35'!J:J,MATCH(F930,'6.0.35'!F:F,0))</f>
        <v>#N/A</v>
      </c>
    </row>
    <row r="931" spans="1:19">
      <c r="A931" t="s">
        <v>16709</v>
      </c>
      <c r="I931" s="1" t="str">
        <f t="shared" si="120"/>
        <v/>
      </c>
      <c r="J931" s="1">
        <f t="shared" si="121"/>
        <v>0</v>
      </c>
      <c r="K931" s="1" t="str">
        <f t="shared" si="122"/>
        <v/>
      </c>
      <c r="L931" s="1">
        <f t="shared" si="123"/>
        <v>0</v>
      </c>
      <c r="M931" s="1">
        <f t="shared" si="124"/>
        <v>0</v>
      </c>
      <c r="N931" s="1">
        <f t="shared" si="125"/>
        <v>0</v>
      </c>
      <c r="O931" s="1" t="b">
        <f t="shared" si="126"/>
        <v>0</v>
      </c>
      <c r="P931" s="1" t="e">
        <f>INDEX(G:G,MATCH(G931,G:G,0))</f>
        <v>#N/A</v>
      </c>
      <c r="Q931" s="1" t="e">
        <f t="shared" si="127"/>
        <v>#N/A</v>
      </c>
      <c r="R931" s="1" t="e">
        <f>INDEX('6.0.35'!I:I,MATCH(F931,'6.0.35'!K:K,0))</f>
        <v>#N/A</v>
      </c>
      <c r="S931" s="1" t="e">
        <f>INDEX('6.0.35'!J:J,MATCH(F931,'6.0.35'!F:F,0))</f>
        <v>#N/A</v>
      </c>
    </row>
    <row r="932" spans="1:19">
      <c r="A932" t="s">
        <v>16712</v>
      </c>
      <c r="I932" s="1" t="str">
        <f t="shared" si="120"/>
        <v/>
      </c>
      <c r="J932" s="1">
        <f t="shared" si="121"/>
        <v>0</v>
      </c>
      <c r="K932" s="1" t="str">
        <f t="shared" si="122"/>
        <v/>
      </c>
      <c r="L932" s="1">
        <f t="shared" si="123"/>
        <v>0</v>
      </c>
      <c r="M932" s="1">
        <f t="shared" si="124"/>
        <v>0</v>
      </c>
      <c r="N932" s="1">
        <f t="shared" si="125"/>
        <v>0</v>
      </c>
      <c r="O932" s="1" t="b">
        <f t="shared" si="126"/>
        <v>0</v>
      </c>
      <c r="P932" s="1" t="e">
        <f>INDEX(G:G,MATCH(G932,G:G,0))</f>
        <v>#N/A</v>
      </c>
      <c r="Q932" s="1" t="e">
        <f t="shared" si="127"/>
        <v>#N/A</v>
      </c>
      <c r="R932" s="1" t="e">
        <f>INDEX('6.0.35'!I:I,MATCH(F932,'6.0.35'!K:K,0))</f>
        <v>#N/A</v>
      </c>
      <c r="S932" s="1" t="e">
        <f>INDEX('6.0.35'!J:J,MATCH(F932,'6.0.35'!F:F,0))</f>
        <v>#N/A</v>
      </c>
    </row>
    <row r="933" spans="1:19">
      <c r="A933" t="s">
        <v>16886</v>
      </c>
      <c r="I933" s="1" t="str">
        <f t="shared" si="120"/>
        <v/>
      </c>
      <c r="J933" s="1">
        <f t="shared" si="121"/>
        <v>0</v>
      </c>
      <c r="K933" s="1" t="str">
        <f t="shared" si="122"/>
        <v/>
      </c>
      <c r="L933" s="1">
        <f t="shared" si="123"/>
        <v>0</v>
      </c>
      <c r="M933" s="1">
        <f t="shared" si="124"/>
        <v>0</v>
      </c>
      <c r="N933" s="1">
        <f t="shared" si="125"/>
        <v>0</v>
      </c>
      <c r="O933" s="1" t="b">
        <f t="shared" si="126"/>
        <v>0</v>
      </c>
      <c r="P933" s="1" t="e">
        <f>INDEX(G:G,MATCH(G933,G:G,0))</f>
        <v>#N/A</v>
      </c>
      <c r="Q933" s="1" t="e">
        <f t="shared" si="127"/>
        <v>#N/A</v>
      </c>
      <c r="R933" s="1" t="e">
        <f>INDEX('6.0.35'!I:I,MATCH(F933,'6.0.35'!K:K,0))</f>
        <v>#N/A</v>
      </c>
      <c r="S933" s="1" t="e">
        <f>INDEX('6.0.35'!J:J,MATCH(F933,'6.0.35'!F:F,0))</f>
        <v>#N/A</v>
      </c>
    </row>
    <row r="934" spans="1:19">
      <c r="A934" t="s">
        <v>16886</v>
      </c>
      <c r="I934" s="1" t="str">
        <f t="shared" si="120"/>
        <v/>
      </c>
      <c r="J934" s="1">
        <f t="shared" si="121"/>
        <v>0</v>
      </c>
      <c r="K934" s="1" t="str">
        <f t="shared" si="122"/>
        <v/>
      </c>
      <c r="L934" s="1">
        <f t="shared" si="123"/>
        <v>0</v>
      </c>
      <c r="M934" s="1">
        <f t="shared" si="124"/>
        <v>0</v>
      </c>
      <c r="N934" s="1">
        <f t="shared" si="125"/>
        <v>0</v>
      </c>
      <c r="O934" s="1" t="b">
        <f t="shared" si="126"/>
        <v>0</v>
      </c>
      <c r="P934" s="1" t="e">
        <f>INDEX(G:G,MATCH(G934,G:G,0))</f>
        <v>#N/A</v>
      </c>
      <c r="Q934" s="1" t="e">
        <f t="shared" si="127"/>
        <v>#N/A</v>
      </c>
      <c r="R934" s="1" t="e">
        <f>INDEX('6.0.35'!I:I,MATCH(F934,'6.0.35'!K:K,0))</f>
        <v>#N/A</v>
      </c>
      <c r="S934" s="1" t="e">
        <f>INDEX('6.0.35'!J:J,MATCH(F934,'6.0.35'!F:F,0))</f>
        <v>#N/A</v>
      </c>
    </row>
    <row r="935" spans="1:19">
      <c r="A935" t="s">
        <v>16930</v>
      </c>
      <c r="I935" s="1" t="str">
        <f t="shared" si="120"/>
        <v/>
      </c>
      <c r="J935" s="1">
        <f t="shared" si="121"/>
        <v>0</v>
      </c>
      <c r="K935" s="1" t="str">
        <f t="shared" si="122"/>
        <v/>
      </c>
      <c r="L935" s="1">
        <f t="shared" si="123"/>
        <v>0</v>
      </c>
      <c r="M935" s="1">
        <f t="shared" si="124"/>
        <v>0</v>
      </c>
      <c r="N935" s="1">
        <f t="shared" si="125"/>
        <v>0</v>
      </c>
      <c r="O935" s="1" t="b">
        <f t="shared" si="126"/>
        <v>0</v>
      </c>
      <c r="P935" s="1" t="e">
        <f>INDEX(G:G,MATCH(G935,G:G,0))</f>
        <v>#N/A</v>
      </c>
      <c r="Q935" s="1" t="e">
        <f t="shared" si="127"/>
        <v>#N/A</v>
      </c>
      <c r="R935" s="1" t="e">
        <f>INDEX('6.0.35'!I:I,MATCH(F935,'6.0.35'!K:K,0))</f>
        <v>#N/A</v>
      </c>
      <c r="S935" s="1" t="e">
        <f>INDEX('6.0.35'!J:J,MATCH(F935,'6.0.35'!F:F,0))</f>
        <v>#N/A</v>
      </c>
    </row>
    <row r="936" spans="1:19">
      <c r="A936" t="s">
        <v>17027</v>
      </c>
      <c r="I936" s="1" t="str">
        <f t="shared" si="120"/>
        <v/>
      </c>
      <c r="J936" s="1">
        <f t="shared" si="121"/>
        <v>0</v>
      </c>
      <c r="K936" s="1" t="str">
        <f t="shared" si="122"/>
        <v/>
      </c>
      <c r="L936" s="1">
        <f t="shared" si="123"/>
        <v>0</v>
      </c>
      <c r="M936" s="1">
        <f t="shared" si="124"/>
        <v>0</v>
      </c>
      <c r="N936" s="1">
        <f t="shared" si="125"/>
        <v>0</v>
      </c>
      <c r="O936" s="1" t="b">
        <f t="shared" si="126"/>
        <v>0</v>
      </c>
      <c r="P936" s="1" t="e">
        <f>INDEX(G:G,MATCH(G936,G:G,0))</f>
        <v>#N/A</v>
      </c>
      <c r="Q936" s="1" t="e">
        <f t="shared" si="127"/>
        <v>#N/A</v>
      </c>
      <c r="R936" s="1" t="e">
        <f>INDEX('6.0.35'!I:I,MATCH(F936,'6.0.35'!K:K,0))</f>
        <v>#N/A</v>
      </c>
      <c r="S936" s="1" t="e">
        <f>INDEX('6.0.35'!J:J,MATCH(F936,'6.0.35'!F:F,0))</f>
        <v>#N/A</v>
      </c>
    </row>
    <row r="937" spans="1:19">
      <c r="A937" t="s">
        <v>17027</v>
      </c>
      <c r="I937" s="1" t="str">
        <f t="shared" si="120"/>
        <v/>
      </c>
      <c r="J937" s="1">
        <f t="shared" si="121"/>
        <v>0</v>
      </c>
      <c r="K937" s="1" t="str">
        <f t="shared" si="122"/>
        <v/>
      </c>
      <c r="L937" s="1">
        <f t="shared" si="123"/>
        <v>0</v>
      </c>
      <c r="M937" s="1">
        <f t="shared" si="124"/>
        <v>0</v>
      </c>
      <c r="N937" s="1">
        <f t="shared" si="125"/>
        <v>0</v>
      </c>
      <c r="O937" s="1" t="b">
        <f t="shared" si="126"/>
        <v>0</v>
      </c>
      <c r="P937" s="1" t="e">
        <f>INDEX(G:G,MATCH(G937,G:G,0))</f>
        <v>#N/A</v>
      </c>
      <c r="Q937" s="1" t="e">
        <f t="shared" si="127"/>
        <v>#N/A</v>
      </c>
      <c r="R937" s="1" t="e">
        <f>INDEX('6.0.35'!I:I,MATCH(F937,'6.0.35'!K:K,0))</f>
        <v>#N/A</v>
      </c>
      <c r="S937" s="1" t="e">
        <f>INDEX('6.0.35'!J:J,MATCH(F937,'6.0.35'!F:F,0))</f>
        <v>#N/A</v>
      </c>
    </row>
    <row r="938" spans="1:19">
      <c r="A938" t="s">
        <v>17031</v>
      </c>
      <c r="I938" s="1" t="str">
        <f t="shared" si="120"/>
        <v/>
      </c>
      <c r="J938" s="1">
        <f t="shared" si="121"/>
        <v>0</v>
      </c>
      <c r="K938" s="1" t="str">
        <f t="shared" si="122"/>
        <v/>
      </c>
      <c r="L938" s="1">
        <f t="shared" si="123"/>
        <v>0</v>
      </c>
      <c r="M938" s="1">
        <f t="shared" si="124"/>
        <v>0</v>
      </c>
      <c r="N938" s="1">
        <f t="shared" si="125"/>
        <v>0</v>
      </c>
      <c r="O938" s="1" t="b">
        <f t="shared" si="126"/>
        <v>0</v>
      </c>
      <c r="P938" s="1" t="e">
        <f>INDEX(G:G,MATCH(G938,G:G,0))</f>
        <v>#N/A</v>
      </c>
      <c r="Q938" s="1" t="e">
        <f t="shared" si="127"/>
        <v>#N/A</v>
      </c>
      <c r="R938" s="1" t="e">
        <f>INDEX('6.0.35'!I:I,MATCH(F938,'6.0.35'!K:K,0))</f>
        <v>#N/A</v>
      </c>
      <c r="S938" s="1" t="e">
        <f>INDEX('6.0.35'!J:J,MATCH(F938,'6.0.35'!F:F,0))</f>
        <v>#N/A</v>
      </c>
    </row>
    <row r="939" spans="1:19">
      <c r="A939" t="s">
        <v>17034</v>
      </c>
      <c r="I939" s="1" t="str">
        <f t="shared" si="120"/>
        <v/>
      </c>
      <c r="J939" s="1">
        <f t="shared" si="121"/>
        <v>0</v>
      </c>
      <c r="K939" s="1" t="str">
        <f t="shared" si="122"/>
        <v/>
      </c>
      <c r="L939" s="1">
        <f t="shared" si="123"/>
        <v>0</v>
      </c>
      <c r="M939" s="1">
        <f t="shared" si="124"/>
        <v>0</v>
      </c>
      <c r="N939" s="1">
        <f t="shared" si="125"/>
        <v>0</v>
      </c>
      <c r="O939" s="1" t="b">
        <f t="shared" si="126"/>
        <v>0</v>
      </c>
      <c r="P939" s="1" t="e">
        <f>INDEX(G:G,MATCH(G939,G:G,0))</f>
        <v>#N/A</v>
      </c>
      <c r="Q939" s="1" t="e">
        <f t="shared" si="127"/>
        <v>#N/A</v>
      </c>
      <c r="R939" s="1" t="e">
        <f>INDEX('6.0.35'!I:I,MATCH(F939,'6.0.35'!K:K,0))</f>
        <v>#N/A</v>
      </c>
      <c r="S939" s="1" t="e">
        <f>INDEX('6.0.35'!J:J,MATCH(F939,'6.0.35'!F:F,0))</f>
        <v>#N/A</v>
      </c>
    </row>
    <row r="940" spans="1:19">
      <c r="A940" t="s">
        <v>17037</v>
      </c>
      <c r="I940" s="1" t="str">
        <f t="shared" si="120"/>
        <v/>
      </c>
      <c r="J940" s="1">
        <f t="shared" si="121"/>
        <v>0</v>
      </c>
      <c r="K940" s="1" t="str">
        <f t="shared" si="122"/>
        <v/>
      </c>
      <c r="L940" s="1">
        <f t="shared" si="123"/>
        <v>0</v>
      </c>
      <c r="M940" s="1">
        <f t="shared" si="124"/>
        <v>0</v>
      </c>
      <c r="N940" s="1">
        <f t="shared" si="125"/>
        <v>0</v>
      </c>
      <c r="O940" s="1" t="b">
        <f t="shared" si="126"/>
        <v>0</v>
      </c>
      <c r="P940" s="1" t="e">
        <f>INDEX(G:G,MATCH(G940,G:G,0))</f>
        <v>#N/A</v>
      </c>
      <c r="Q940" s="1" t="e">
        <f t="shared" si="127"/>
        <v>#N/A</v>
      </c>
      <c r="R940" s="1" t="e">
        <f>INDEX('6.0.35'!I:I,MATCH(F940,'6.0.35'!K:K,0))</f>
        <v>#N/A</v>
      </c>
      <c r="S940" s="1" t="e">
        <f>INDEX('6.0.35'!J:J,MATCH(F940,'6.0.35'!F:F,0))</f>
        <v>#N/A</v>
      </c>
    </row>
    <row r="941" spans="1:19">
      <c r="A941" t="s">
        <v>17040</v>
      </c>
      <c r="I941" s="1" t="str">
        <f t="shared" si="120"/>
        <v/>
      </c>
      <c r="J941" s="1">
        <f t="shared" si="121"/>
        <v>0</v>
      </c>
      <c r="K941" s="1" t="str">
        <f t="shared" si="122"/>
        <v/>
      </c>
      <c r="L941" s="1">
        <f t="shared" si="123"/>
        <v>0</v>
      </c>
      <c r="M941" s="1">
        <f t="shared" si="124"/>
        <v>0</v>
      </c>
      <c r="N941" s="1">
        <f t="shared" si="125"/>
        <v>0</v>
      </c>
      <c r="O941" s="1" t="b">
        <f t="shared" si="126"/>
        <v>0</v>
      </c>
      <c r="P941" s="1" t="e">
        <f>INDEX(G:G,MATCH(G941,G:G,0))</f>
        <v>#N/A</v>
      </c>
      <c r="Q941" s="1" t="e">
        <f t="shared" si="127"/>
        <v>#N/A</v>
      </c>
      <c r="R941" s="1" t="e">
        <f>INDEX('6.0.35'!I:I,MATCH(F941,'6.0.35'!K:K,0))</f>
        <v>#N/A</v>
      </c>
      <c r="S941" s="1" t="e">
        <f>INDEX('6.0.35'!J:J,MATCH(F941,'6.0.35'!F:F,0))</f>
        <v>#N/A</v>
      </c>
    </row>
    <row r="942" spans="1:19">
      <c r="A942" t="s">
        <v>17043</v>
      </c>
      <c r="I942" s="1" t="str">
        <f t="shared" si="120"/>
        <v/>
      </c>
      <c r="J942" s="1">
        <f t="shared" si="121"/>
        <v>0</v>
      </c>
      <c r="K942" s="1" t="str">
        <f t="shared" si="122"/>
        <v/>
      </c>
      <c r="L942" s="1">
        <f t="shared" si="123"/>
        <v>0</v>
      </c>
      <c r="M942" s="1">
        <f t="shared" si="124"/>
        <v>0</v>
      </c>
      <c r="N942" s="1">
        <f t="shared" si="125"/>
        <v>0</v>
      </c>
      <c r="O942" s="1" t="b">
        <f t="shared" si="126"/>
        <v>0</v>
      </c>
      <c r="P942" s="1" t="e">
        <f>INDEX(G:G,MATCH(G942,G:G,0))</f>
        <v>#N/A</v>
      </c>
      <c r="Q942" s="1" t="e">
        <f t="shared" si="127"/>
        <v>#N/A</v>
      </c>
      <c r="R942" s="1" t="e">
        <f>INDEX('6.0.35'!I:I,MATCH(F942,'6.0.35'!K:K,0))</f>
        <v>#N/A</v>
      </c>
      <c r="S942" s="1" t="e">
        <f>INDEX('6.0.35'!J:J,MATCH(F942,'6.0.35'!F:F,0))</f>
        <v>#N/A</v>
      </c>
    </row>
    <row r="943" spans="1:19">
      <c r="A943" t="s">
        <v>17046</v>
      </c>
      <c r="I943" s="1" t="str">
        <f t="shared" si="120"/>
        <v/>
      </c>
      <c r="J943" s="1">
        <f t="shared" si="121"/>
        <v>0</v>
      </c>
      <c r="K943" s="1" t="str">
        <f t="shared" si="122"/>
        <v/>
      </c>
      <c r="L943" s="1">
        <f t="shared" si="123"/>
        <v>0</v>
      </c>
      <c r="M943" s="1">
        <f t="shared" si="124"/>
        <v>0</v>
      </c>
      <c r="N943" s="1">
        <f t="shared" si="125"/>
        <v>0</v>
      </c>
      <c r="O943" s="1" t="b">
        <f t="shared" si="126"/>
        <v>0</v>
      </c>
      <c r="P943" s="1" t="e">
        <f>INDEX(G:G,MATCH(G943,G:G,0))</f>
        <v>#N/A</v>
      </c>
      <c r="Q943" s="1" t="e">
        <f t="shared" si="127"/>
        <v>#N/A</v>
      </c>
      <c r="R943" s="1" t="e">
        <f>INDEX('6.0.35'!I:I,MATCH(F943,'6.0.35'!K:K,0))</f>
        <v>#N/A</v>
      </c>
      <c r="S943" s="1" t="e">
        <f>INDEX('6.0.35'!J:J,MATCH(F943,'6.0.35'!F:F,0))</f>
        <v>#N/A</v>
      </c>
    </row>
    <row r="944" spans="1:19">
      <c r="A944" t="s">
        <v>17049</v>
      </c>
      <c r="I944" s="1" t="str">
        <f t="shared" si="120"/>
        <v/>
      </c>
      <c r="J944" s="1">
        <f t="shared" si="121"/>
        <v>0</v>
      </c>
      <c r="K944" s="1" t="str">
        <f t="shared" si="122"/>
        <v/>
      </c>
      <c r="L944" s="1">
        <f t="shared" si="123"/>
        <v>0</v>
      </c>
      <c r="M944" s="1">
        <f t="shared" si="124"/>
        <v>0</v>
      </c>
      <c r="N944" s="1">
        <f t="shared" si="125"/>
        <v>0</v>
      </c>
      <c r="O944" s="1" t="b">
        <f t="shared" si="126"/>
        <v>0</v>
      </c>
      <c r="P944" s="1" t="e">
        <f>INDEX(G:G,MATCH(G944,G:G,0))</f>
        <v>#N/A</v>
      </c>
      <c r="Q944" s="1" t="e">
        <f t="shared" si="127"/>
        <v>#N/A</v>
      </c>
      <c r="R944" s="1" t="e">
        <f>INDEX('6.0.35'!I:I,MATCH(F944,'6.0.35'!K:K,0))</f>
        <v>#N/A</v>
      </c>
      <c r="S944" s="1" t="e">
        <f>INDEX('6.0.35'!J:J,MATCH(F944,'6.0.35'!F:F,0))</f>
        <v>#N/A</v>
      </c>
    </row>
    <row r="945" spans="1:19">
      <c r="A945" t="s">
        <v>17052</v>
      </c>
      <c r="I945" s="1" t="str">
        <f t="shared" si="120"/>
        <v/>
      </c>
      <c r="J945" s="1">
        <f t="shared" si="121"/>
        <v>0</v>
      </c>
      <c r="K945" s="1" t="str">
        <f t="shared" si="122"/>
        <v/>
      </c>
      <c r="L945" s="1">
        <f t="shared" si="123"/>
        <v>0</v>
      </c>
      <c r="M945" s="1">
        <f t="shared" si="124"/>
        <v>0</v>
      </c>
      <c r="N945" s="1">
        <f t="shared" si="125"/>
        <v>0</v>
      </c>
      <c r="O945" s="1" t="b">
        <f t="shared" si="126"/>
        <v>0</v>
      </c>
      <c r="P945" s="1" t="e">
        <f>INDEX(G:G,MATCH(G945,G:G,0))</f>
        <v>#N/A</v>
      </c>
      <c r="Q945" s="1" t="e">
        <f t="shared" si="127"/>
        <v>#N/A</v>
      </c>
      <c r="R945" s="1" t="e">
        <f>INDEX('6.0.35'!I:I,MATCH(F945,'6.0.35'!K:K,0))</f>
        <v>#N/A</v>
      </c>
      <c r="S945" s="1" t="e">
        <f>INDEX('6.0.35'!J:J,MATCH(F945,'6.0.35'!F:F,0))</f>
        <v>#N/A</v>
      </c>
    </row>
    <row r="946" spans="1:19">
      <c r="A946" t="s">
        <v>17055</v>
      </c>
      <c r="I946" s="1" t="str">
        <f t="shared" si="120"/>
        <v/>
      </c>
      <c r="J946" s="1">
        <f t="shared" si="121"/>
        <v>0</v>
      </c>
      <c r="K946" s="1" t="str">
        <f t="shared" si="122"/>
        <v/>
      </c>
      <c r="L946" s="1">
        <f t="shared" si="123"/>
        <v>0</v>
      </c>
      <c r="M946" s="1">
        <f t="shared" si="124"/>
        <v>0</v>
      </c>
      <c r="N946" s="1">
        <f t="shared" si="125"/>
        <v>0</v>
      </c>
      <c r="O946" s="1" t="b">
        <f t="shared" si="126"/>
        <v>0</v>
      </c>
      <c r="P946" s="1" t="e">
        <f>INDEX(G:G,MATCH(G946,G:G,0))</f>
        <v>#N/A</v>
      </c>
      <c r="Q946" s="1" t="e">
        <f t="shared" si="127"/>
        <v>#N/A</v>
      </c>
      <c r="R946" s="1" t="e">
        <f>INDEX('6.0.35'!I:I,MATCH(F946,'6.0.35'!K:K,0))</f>
        <v>#N/A</v>
      </c>
      <c r="S946" s="1" t="e">
        <f>INDEX('6.0.35'!J:J,MATCH(F946,'6.0.35'!F:F,0))</f>
        <v>#N/A</v>
      </c>
    </row>
    <row r="947" spans="1:19">
      <c r="A947" t="s">
        <v>17040</v>
      </c>
      <c r="I947" s="1" t="str">
        <f t="shared" si="120"/>
        <v/>
      </c>
      <c r="J947" s="1">
        <f t="shared" si="121"/>
        <v>0</v>
      </c>
      <c r="K947" s="1" t="str">
        <f t="shared" si="122"/>
        <v/>
      </c>
      <c r="L947" s="1">
        <f t="shared" si="123"/>
        <v>0</v>
      </c>
      <c r="M947" s="1">
        <f t="shared" si="124"/>
        <v>0</v>
      </c>
      <c r="N947" s="1">
        <f t="shared" si="125"/>
        <v>0</v>
      </c>
      <c r="O947" s="1" t="b">
        <f t="shared" si="126"/>
        <v>0</v>
      </c>
      <c r="P947" s="1" t="e">
        <f>INDEX(G:G,MATCH(G947,G:G,0))</f>
        <v>#N/A</v>
      </c>
      <c r="Q947" s="1" t="e">
        <f t="shared" si="127"/>
        <v>#N/A</v>
      </c>
      <c r="R947" s="1" t="e">
        <f>INDEX('6.0.35'!I:I,MATCH(F947,'6.0.35'!K:K,0))</f>
        <v>#N/A</v>
      </c>
      <c r="S947" s="1" t="e">
        <f>INDEX('6.0.35'!J:J,MATCH(F947,'6.0.35'!F:F,0))</f>
        <v>#N/A</v>
      </c>
    </row>
    <row r="948" spans="1:19">
      <c r="A948" t="s">
        <v>17043</v>
      </c>
      <c r="I948" s="1" t="str">
        <f t="shared" si="120"/>
        <v/>
      </c>
      <c r="J948" s="1">
        <f t="shared" si="121"/>
        <v>0</v>
      </c>
      <c r="K948" s="1" t="str">
        <f t="shared" si="122"/>
        <v/>
      </c>
      <c r="L948" s="1">
        <f t="shared" si="123"/>
        <v>0</v>
      </c>
      <c r="M948" s="1">
        <f t="shared" si="124"/>
        <v>0</v>
      </c>
      <c r="N948" s="1">
        <f t="shared" si="125"/>
        <v>0</v>
      </c>
      <c r="O948" s="1" t="b">
        <f t="shared" si="126"/>
        <v>0</v>
      </c>
      <c r="P948" s="1" t="e">
        <f>INDEX(G:G,MATCH(G948,G:G,0))</f>
        <v>#N/A</v>
      </c>
      <c r="Q948" s="1" t="e">
        <f t="shared" si="127"/>
        <v>#N/A</v>
      </c>
      <c r="R948" s="1" t="e">
        <f>INDEX('6.0.35'!I:I,MATCH(F948,'6.0.35'!K:K,0))</f>
        <v>#N/A</v>
      </c>
      <c r="S948" s="1" t="e">
        <f>INDEX('6.0.35'!J:J,MATCH(F948,'6.0.35'!F:F,0))</f>
        <v>#N/A</v>
      </c>
    </row>
    <row r="949" spans="1:19">
      <c r="A949" t="s">
        <v>17046</v>
      </c>
      <c r="I949" s="1" t="str">
        <f t="shared" si="120"/>
        <v/>
      </c>
      <c r="J949" s="1">
        <f t="shared" si="121"/>
        <v>0</v>
      </c>
      <c r="K949" s="1" t="str">
        <f t="shared" si="122"/>
        <v/>
      </c>
      <c r="L949" s="1">
        <f t="shared" si="123"/>
        <v>0</v>
      </c>
      <c r="M949" s="1">
        <f t="shared" si="124"/>
        <v>0</v>
      </c>
      <c r="N949" s="1">
        <f t="shared" si="125"/>
        <v>0</v>
      </c>
      <c r="O949" s="1" t="b">
        <f t="shared" si="126"/>
        <v>0</v>
      </c>
      <c r="P949" s="1" t="e">
        <f>INDEX(G:G,MATCH(G949,G:G,0))</f>
        <v>#N/A</v>
      </c>
      <c r="Q949" s="1" t="e">
        <f t="shared" si="127"/>
        <v>#N/A</v>
      </c>
      <c r="R949" s="1" t="e">
        <f>INDEX('6.0.35'!I:I,MATCH(F949,'6.0.35'!K:K,0))</f>
        <v>#N/A</v>
      </c>
      <c r="S949" s="1" t="e">
        <f>INDEX('6.0.35'!J:J,MATCH(F949,'6.0.35'!F:F,0))</f>
        <v>#N/A</v>
      </c>
    </row>
    <row r="950" spans="1:19">
      <c r="A950" t="s">
        <v>17049</v>
      </c>
      <c r="I950" s="1" t="str">
        <f t="shared" si="120"/>
        <v/>
      </c>
      <c r="J950" s="1">
        <f t="shared" si="121"/>
        <v>0</v>
      </c>
      <c r="K950" s="1" t="str">
        <f t="shared" si="122"/>
        <v/>
      </c>
      <c r="L950" s="1">
        <f t="shared" si="123"/>
        <v>0</v>
      </c>
      <c r="M950" s="1">
        <f t="shared" si="124"/>
        <v>0</v>
      </c>
      <c r="N950" s="1">
        <f t="shared" si="125"/>
        <v>0</v>
      </c>
      <c r="O950" s="1" t="b">
        <f t="shared" si="126"/>
        <v>0</v>
      </c>
      <c r="P950" s="1" t="e">
        <f>INDEX(G:G,MATCH(G950,G:G,0))</f>
        <v>#N/A</v>
      </c>
      <c r="Q950" s="1" t="e">
        <f t="shared" si="127"/>
        <v>#N/A</v>
      </c>
      <c r="R950" s="1" t="e">
        <f>INDEX('6.0.35'!I:I,MATCH(F950,'6.0.35'!K:K,0))</f>
        <v>#N/A</v>
      </c>
      <c r="S950" s="1" t="e">
        <f>INDEX('6.0.35'!J:J,MATCH(F950,'6.0.35'!F:F,0))</f>
        <v>#N/A</v>
      </c>
    </row>
    <row r="951" spans="1:19">
      <c r="A951" t="s">
        <v>17055</v>
      </c>
      <c r="I951" s="1" t="str">
        <f t="shared" si="120"/>
        <v/>
      </c>
      <c r="J951" s="1">
        <f t="shared" si="121"/>
        <v>0</v>
      </c>
      <c r="K951" s="1" t="str">
        <f t="shared" si="122"/>
        <v/>
      </c>
      <c r="L951" s="1">
        <f t="shared" si="123"/>
        <v>0</v>
      </c>
      <c r="M951" s="1">
        <f t="shared" si="124"/>
        <v>0</v>
      </c>
      <c r="N951" s="1">
        <f t="shared" si="125"/>
        <v>0</v>
      </c>
      <c r="O951" s="1" t="b">
        <f t="shared" si="126"/>
        <v>0</v>
      </c>
      <c r="P951" s="1" t="e">
        <f>INDEX(G:G,MATCH(G951,G:G,0))</f>
        <v>#N/A</v>
      </c>
      <c r="Q951" s="1" t="e">
        <f t="shared" si="127"/>
        <v>#N/A</v>
      </c>
      <c r="R951" s="1" t="e">
        <f>INDEX('6.0.35'!I:I,MATCH(F951,'6.0.35'!K:K,0))</f>
        <v>#N/A</v>
      </c>
      <c r="S951" s="1" t="e">
        <f>INDEX('6.0.35'!J:J,MATCH(F951,'6.0.35'!F:F,0))</f>
        <v>#N/A</v>
      </c>
    </row>
    <row r="952" spans="1:19">
      <c r="A952" t="s">
        <v>17076</v>
      </c>
      <c r="I952" s="1" t="str">
        <f t="shared" si="120"/>
        <v/>
      </c>
      <c r="J952" s="1">
        <f t="shared" si="121"/>
        <v>0</v>
      </c>
      <c r="K952" s="1" t="str">
        <f t="shared" si="122"/>
        <v/>
      </c>
      <c r="L952" s="1">
        <f t="shared" si="123"/>
        <v>0</v>
      </c>
      <c r="M952" s="1">
        <f t="shared" si="124"/>
        <v>0</v>
      </c>
      <c r="N952" s="1">
        <f t="shared" si="125"/>
        <v>0</v>
      </c>
      <c r="O952" s="1" t="b">
        <f t="shared" si="126"/>
        <v>0</v>
      </c>
      <c r="P952" s="1" t="e">
        <f>INDEX(G:G,MATCH(G952,G:G,0))</f>
        <v>#N/A</v>
      </c>
      <c r="Q952" s="1" t="e">
        <f t="shared" si="127"/>
        <v>#N/A</v>
      </c>
      <c r="R952" s="1" t="e">
        <f>INDEX('6.0.35'!I:I,MATCH(F952,'6.0.35'!K:K,0))</f>
        <v>#N/A</v>
      </c>
      <c r="S952" s="1" t="e">
        <f>INDEX('6.0.35'!J:J,MATCH(F952,'6.0.35'!F:F,0))</f>
        <v>#N/A</v>
      </c>
    </row>
    <row r="953" spans="1:19">
      <c r="A953" t="s">
        <v>17081</v>
      </c>
      <c r="I953" s="1" t="str">
        <f t="shared" si="120"/>
        <v/>
      </c>
      <c r="J953" s="1">
        <f t="shared" si="121"/>
        <v>0</v>
      </c>
      <c r="K953" s="1" t="str">
        <f t="shared" si="122"/>
        <v/>
      </c>
      <c r="L953" s="1">
        <f t="shared" si="123"/>
        <v>0</v>
      </c>
      <c r="M953" s="1">
        <f t="shared" si="124"/>
        <v>0</v>
      </c>
      <c r="N953" s="1">
        <f t="shared" si="125"/>
        <v>0</v>
      </c>
      <c r="O953" s="1" t="b">
        <f t="shared" si="126"/>
        <v>0</v>
      </c>
      <c r="P953" s="1" t="e">
        <f>INDEX(G:G,MATCH(G953,G:G,0))</f>
        <v>#N/A</v>
      </c>
      <c r="Q953" s="1" t="e">
        <f t="shared" si="127"/>
        <v>#N/A</v>
      </c>
      <c r="R953" s="1" t="e">
        <f>INDEX('6.0.35'!I:I,MATCH(F953,'6.0.35'!K:K,0))</f>
        <v>#N/A</v>
      </c>
      <c r="S953" s="1" t="e">
        <f>INDEX('6.0.35'!J:J,MATCH(F953,'6.0.35'!F:F,0))</f>
        <v>#N/A</v>
      </c>
    </row>
    <row r="954" spans="1:19">
      <c r="A954" t="s">
        <v>17086</v>
      </c>
      <c r="I954" s="1" t="str">
        <f t="shared" ref="I954:I1017" si="128">IFERROR(IF(OR(MID(G954,FIND(":",G954)-1,1)="""",MID(G954,FIND(":",G954)-1,1)="}",MID(G954,FIND(":",G954)-1,1)=")",MID(G954,FIND(":",G954)-1,1)="]"),"",RIGHT(G954,LEN(G954)-FIND(":",G954)-1)),"")</f>
        <v/>
      </c>
      <c r="J954" s="1">
        <f t="shared" ref="J954:J1017" si="129">IF(AND(I954="",H954=""),G954,IF(H954="",I954,H954&amp;": "&amp;I954))</f>
        <v>0</v>
      </c>
      <c r="K954" s="1" t="str">
        <f t="shared" ref="K954:K1017" si="130">IFERROR(IF(OR(MID(F954,FIND(":",F954)-1,1)="""",MID(F954,FIND(":",F954)-1,1)="}",MID(F954,FIND(":",F954)-1,1)=")",MID(F954,FIND(":",F954)-1,1)="]"),"",RIGHT(F954,LEN(F954)-FIND(":",F954)-1)),"")</f>
        <v/>
      </c>
      <c r="L954" s="1">
        <f t="shared" ref="L954:L1017" si="131">LEN(F954)-LEN(SUBSTITUTE(F954,":",""))</f>
        <v>0</v>
      </c>
      <c r="M954" s="1">
        <f t="shared" ref="M954:M1017" si="132">LEN(G954)-LEN(SUBSTITUTE(G954,":",""))</f>
        <v>0</v>
      </c>
      <c r="N954" s="1">
        <f t="shared" ref="N954:N1017" si="133">LEN(G954)-LEN(SUBSTITUTE(G954,"：",""))</f>
        <v>0</v>
      </c>
      <c r="O954" s="1" t="b">
        <f t="shared" ref="O954:O1017" si="134">IF(M954&gt;=2,MID(G954,FIND(":",G954)+1,LEN(G954)))</f>
        <v>0</v>
      </c>
      <c r="P954" s="1" t="e">
        <f>INDEX(G:G,MATCH(G954,G:G,0))</f>
        <v>#N/A</v>
      </c>
      <c r="Q954" s="1" t="e">
        <f t="shared" ref="Q954:Q1017" si="135">IF(P954&lt;&gt;G954,"校验","")</f>
        <v>#N/A</v>
      </c>
      <c r="R954" s="1" t="e">
        <f>INDEX('6.0.35'!I:I,MATCH(F954,'6.0.35'!K:K,0))</f>
        <v>#N/A</v>
      </c>
      <c r="S954" s="1" t="e">
        <f>INDEX('6.0.35'!J:J,MATCH(F954,'6.0.35'!F:F,0))</f>
        <v>#N/A</v>
      </c>
    </row>
    <row r="955" spans="1:19">
      <c r="A955" t="s">
        <v>17089</v>
      </c>
      <c r="I955" s="1" t="str">
        <f t="shared" si="128"/>
        <v/>
      </c>
      <c r="J955" s="1">
        <f t="shared" si="129"/>
        <v>0</v>
      </c>
      <c r="K955" s="1" t="str">
        <f t="shared" si="130"/>
        <v/>
      </c>
      <c r="L955" s="1">
        <f t="shared" si="131"/>
        <v>0</v>
      </c>
      <c r="M955" s="1">
        <f t="shared" si="132"/>
        <v>0</v>
      </c>
      <c r="N955" s="1">
        <f t="shared" si="133"/>
        <v>0</v>
      </c>
      <c r="O955" s="1" t="b">
        <f t="shared" si="134"/>
        <v>0</v>
      </c>
      <c r="P955" s="1" t="e">
        <f>INDEX(G:G,MATCH(G955,G:G,0))</f>
        <v>#N/A</v>
      </c>
      <c r="Q955" s="1" t="e">
        <f t="shared" si="135"/>
        <v>#N/A</v>
      </c>
      <c r="R955" s="1" t="e">
        <f>INDEX('6.0.35'!I:I,MATCH(F955,'6.0.35'!K:K,0))</f>
        <v>#N/A</v>
      </c>
      <c r="S955" s="1" t="e">
        <f>INDEX('6.0.35'!J:J,MATCH(F955,'6.0.35'!F:F,0))</f>
        <v>#N/A</v>
      </c>
    </row>
    <row r="956" spans="1:19">
      <c r="A956" t="s">
        <v>17094</v>
      </c>
      <c r="I956" s="1" t="str">
        <f t="shared" si="128"/>
        <v/>
      </c>
      <c r="J956" s="1">
        <f t="shared" si="129"/>
        <v>0</v>
      </c>
      <c r="K956" s="1" t="str">
        <f t="shared" si="130"/>
        <v/>
      </c>
      <c r="L956" s="1">
        <f t="shared" si="131"/>
        <v>0</v>
      </c>
      <c r="M956" s="1">
        <f t="shared" si="132"/>
        <v>0</v>
      </c>
      <c r="N956" s="1">
        <f t="shared" si="133"/>
        <v>0</v>
      </c>
      <c r="O956" s="1" t="b">
        <f t="shared" si="134"/>
        <v>0</v>
      </c>
      <c r="P956" s="1" t="e">
        <f>INDEX(G:G,MATCH(G956,G:G,0))</f>
        <v>#N/A</v>
      </c>
      <c r="Q956" s="1" t="e">
        <f t="shared" si="135"/>
        <v>#N/A</v>
      </c>
      <c r="R956" s="1" t="e">
        <f>INDEX('6.0.35'!I:I,MATCH(F956,'6.0.35'!K:K,0))</f>
        <v>#N/A</v>
      </c>
      <c r="S956" s="1" t="e">
        <f>INDEX('6.0.35'!J:J,MATCH(F956,'6.0.35'!F:F,0))</f>
        <v>#N/A</v>
      </c>
    </row>
    <row r="957" spans="1:19">
      <c r="A957" t="s">
        <v>17100</v>
      </c>
      <c r="I957" s="1" t="str">
        <f t="shared" si="128"/>
        <v/>
      </c>
      <c r="J957" s="1">
        <f t="shared" si="129"/>
        <v>0</v>
      </c>
      <c r="K957" s="1" t="str">
        <f t="shared" si="130"/>
        <v/>
      </c>
      <c r="L957" s="1">
        <f t="shared" si="131"/>
        <v>0</v>
      </c>
      <c r="M957" s="1">
        <f t="shared" si="132"/>
        <v>0</v>
      </c>
      <c r="N957" s="1">
        <f t="shared" si="133"/>
        <v>0</v>
      </c>
      <c r="O957" s="1" t="b">
        <f t="shared" si="134"/>
        <v>0</v>
      </c>
      <c r="P957" s="1" t="e">
        <f>INDEX(G:G,MATCH(G957,G:G,0))</f>
        <v>#N/A</v>
      </c>
      <c r="Q957" s="1" t="e">
        <f t="shared" si="135"/>
        <v>#N/A</v>
      </c>
      <c r="R957" s="1" t="e">
        <f>INDEX('6.0.35'!I:I,MATCH(F957,'6.0.35'!K:K,0))</f>
        <v>#N/A</v>
      </c>
      <c r="S957" s="1" t="e">
        <f>INDEX('6.0.35'!J:J,MATCH(F957,'6.0.35'!F:F,0))</f>
        <v>#N/A</v>
      </c>
    </row>
    <row r="958" spans="1:19">
      <c r="A958" t="s">
        <v>17112</v>
      </c>
      <c r="I958" s="1" t="str">
        <f t="shared" si="128"/>
        <v/>
      </c>
      <c r="J958" s="1">
        <f t="shared" si="129"/>
        <v>0</v>
      </c>
      <c r="K958" s="1" t="str">
        <f t="shared" si="130"/>
        <v/>
      </c>
      <c r="L958" s="1">
        <f t="shared" si="131"/>
        <v>0</v>
      </c>
      <c r="M958" s="1">
        <f t="shared" si="132"/>
        <v>0</v>
      </c>
      <c r="N958" s="1">
        <f t="shared" si="133"/>
        <v>0</v>
      </c>
      <c r="O958" s="1" t="b">
        <f t="shared" si="134"/>
        <v>0</v>
      </c>
      <c r="P958" s="1" t="e">
        <f>INDEX(G:G,MATCH(G958,G:G,0))</f>
        <v>#N/A</v>
      </c>
      <c r="Q958" s="1" t="e">
        <f t="shared" si="135"/>
        <v>#N/A</v>
      </c>
      <c r="R958" s="1" t="e">
        <f>INDEX('6.0.35'!I:I,MATCH(F958,'6.0.35'!K:K,0))</f>
        <v>#N/A</v>
      </c>
      <c r="S958" s="1" t="e">
        <f>INDEX('6.0.35'!J:J,MATCH(F958,'6.0.35'!F:F,0))</f>
        <v>#N/A</v>
      </c>
    </row>
    <row r="959" spans="1:19">
      <c r="A959" t="s">
        <v>18298</v>
      </c>
      <c r="I959" s="1" t="str">
        <f t="shared" si="128"/>
        <v/>
      </c>
      <c r="J959" s="1">
        <f t="shared" si="129"/>
        <v>0</v>
      </c>
      <c r="K959" s="1" t="str">
        <f t="shared" si="130"/>
        <v/>
      </c>
      <c r="L959" s="1">
        <f t="shared" si="131"/>
        <v>0</v>
      </c>
      <c r="M959" s="1">
        <f t="shared" si="132"/>
        <v>0</v>
      </c>
      <c r="N959" s="1">
        <f t="shared" si="133"/>
        <v>0</v>
      </c>
      <c r="O959" s="1" t="b">
        <f t="shared" si="134"/>
        <v>0</v>
      </c>
      <c r="P959" s="1" t="e">
        <f>INDEX(G:G,MATCH(G959,G:G,0))</f>
        <v>#N/A</v>
      </c>
      <c r="Q959" s="1" t="e">
        <f t="shared" si="135"/>
        <v>#N/A</v>
      </c>
      <c r="R959" s="1" t="e">
        <f>INDEX('6.0.35'!I:I,MATCH(F959,'6.0.35'!K:K,0))</f>
        <v>#N/A</v>
      </c>
      <c r="S959" s="1" t="e">
        <f>INDEX('6.0.35'!J:J,MATCH(F959,'6.0.35'!F:F,0))</f>
        <v>#N/A</v>
      </c>
    </row>
    <row r="960" spans="1:19">
      <c r="A960" t="s">
        <v>17131</v>
      </c>
      <c r="I960" s="1" t="str">
        <f t="shared" si="128"/>
        <v/>
      </c>
      <c r="J960" s="1">
        <f t="shared" si="129"/>
        <v>0</v>
      </c>
      <c r="K960" s="1" t="str">
        <f t="shared" si="130"/>
        <v/>
      </c>
      <c r="L960" s="1">
        <f t="shared" si="131"/>
        <v>0</v>
      </c>
      <c r="M960" s="1">
        <f t="shared" si="132"/>
        <v>0</v>
      </c>
      <c r="N960" s="1">
        <f t="shared" si="133"/>
        <v>0</v>
      </c>
      <c r="O960" s="1" t="b">
        <f t="shared" si="134"/>
        <v>0</v>
      </c>
      <c r="P960" s="1" t="e">
        <f>INDEX(G:G,MATCH(G960,G:G,0))</f>
        <v>#N/A</v>
      </c>
      <c r="Q960" s="1" t="e">
        <f t="shared" si="135"/>
        <v>#N/A</v>
      </c>
      <c r="R960" s="1" t="e">
        <f>INDEX('6.0.35'!I:I,MATCH(F960,'6.0.35'!K:K,0))</f>
        <v>#N/A</v>
      </c>
      <c r="S960" s="1" t="e">
        <f>INDEX('6.0.35'!J:J,MATCH(F960,'6.0.35'!F:F,0))</f>
        <v>#N/A</v>
      </c>
    </row>
    <row r="961" spans="1:19">
      <c r="A961" t="s">
        <v>17149</v>
      </c>
      <c r="I961" s="1" t="str">
        <f t="shared" si="128"/>
        <v/>
      </c>
      <c r="J961" s="1">
        <f t="shared" si="129"/>
        <v>0</v>
      </c>
      <c r="K961" s="1" t="str">
        <f t="shared" si="130"/>
        <v/>
      </c>
      <c r="L961" s="1">
        <f t="shared" si="131"/>
        <v>0</v>
      </c>
      <c r="M961" s="1">
        <f t="shared" si="132"/>
        <v>0</v>
      </c>
      <c r="N961" s="1">
        <f t="shared" si="133"/>
        <v>0</v>
      </c>
      <c r="O961" s="1" t="b">
        <f t="shared" si="134"/>
        <v>0</v>
      </c>
      <c r="P961" s="1" t="e">
        <f>INDEX(G:G,MATCH(G961,G:G,0))</f>
        <v>#N/A</v>
      </c>
      <c r="Q961" s="1" t="e">
        <f t="shared" si="135"/>
        <v>#N/A</v>
      </c>
      <c r="R961" s="1" t="e">
        <f>INDEX('6.0.35'!I:I,MATCH(F961,'6.0.35'!K:K,0))</f>
        <v>#N/A</v>
      </c>
      <c r="S961" s="1" t="e">
        <f>INDEX('6.0.35'!J:J,MATCH(F961,'6.0.35'!F:F,0))</f>
        <v>#N/A</v>
      </c>
    </row>
    <row r="962" spans="1:19">
      <c r="A962" t="s">
        <v>17157</v>
      </c>
      <c r="I962" s="1" t="str">
        <f t="shared" si="128"/>
        <v/>
      </c>
      <c r="J962" s="1">
        <f t="shared" si="129"/>
        <v>0</v>
      </c>
      <c r="K962" s="1" t="str">
        <f t="shared" si="130"/>
        <v/>
      </c>
      <c r="L962" s="1">
        <f t="shared" si="131"/>
        <v>0</v>
      </c>
      <c r="M962" s="1">
        <f t="shared" si="132"/>
        <v>0</v>
      </c>
      <c r="N962" s="1">
        <f t="shared" si="133"/>
        <v>0</v>
      </c>
      <c r="O962" s="1" t="b">
        <f t="shared" si="134"/>
        <v>0</v>
      </c>
      <c r="P962" s="1" t="e">
        <f>INDEX(G:G,MATCH(G962,G:G,0))</f>
        <v>#N/A</v>
      </c>
      <c r="Q962" s="1" t="e">
        <f t="shared" si="135"/>
        <v>#N/A</v>
      </c>
      <c r="R962" s="1" t="e">
        <f>INDEX('6.0.35'!I:I,MATCH(F962,'6.0.35'!K:K,0))</f>
        <v>#N/A</v>
      </c>
      <c r="S962" s="1" t="e">
        <f>INDEX('6.0.35'!J:J,MATCH(F962,'6.0.35'!F:F,0))</f>
        <v>#N/A</v>
      </c>
    </row>
    <row r="963" spans="1:19">
      <c r="A963" t="s">
        <v>17162</v>
      </c>
      <c r="I963" s="1" t="str">
        <f t="shared" si="128"/>
        <v/>
      </c>
      <c r="J963" s="1">
        <f t="shared" si="129"/>
        <v>0</v>
      </c>
      <c r="K963" s="1" t="str">
        <f t="shared" si="130"/>
        <v/>
      </c>
      <c r="L963" s="1">
        <f t="shared" si="131"/>
        <v>0</v>
      </c>
      <c r="M963" s="1">
        <f t="shared" si="132"/>
        <v>0</v>
      </c>
      <c r="N963" s="1">
        <f t="shared" si="133"/>
        <v>0</v>
      </c>
      <c r="O963" s="1" t="b">
        <f t="shared" si="134"/>
        <v>0</v>
      </c>
      <c r="P963" s="1" t="e">
        <f>INDEX(G:G,MATCH(G963,G:G,0))</f>
        <v>#N/A</v>
      </c>
      <c r="Q963" s="1" t="e">
        <f t="shared" si="135"/>
        <v>#N/A</v>
      </c>
      <c r="R963" s="1" t="e">
        <f>INDEX('6.0.35'!I:I,MATCH(F963,'6.0.35'!K:K,0))</f>
        <v>#N/A</v>
      </c>
      <c r="S963" s="1" t="e">
        <f>INDEX('6.0.35'!J:J,MATCH(F963,'6.0.35'!F:F,0))</f>
        <v>#N/A</v>
      </c>
    </row>
    <row r="964" spans="1:19">
      <c r="A964" t="s">
        <v>17166</v>
      </c>
      <c r="I964" s="1" t="str">
        <f t="shared" si="128"/>
        <v/>
      </c>
      <c r="J964" s="1">
        <f t="shared" si="129"/>
        <v>0</v>
      </c>
      <c r="K964" s="1" t="str">
        <f t="shared" si="130"/>
        <v/>
      </c>
      <c r="L964" s="1">
        <f t="shared" si="131"/>
        <v>0</v>
      </c>
      <c r="M964" s="1">
        <f t="shared" si="132"/>
        <v>0</v>
      </c>
      <c r="N964" s="1">
        <f t="shared" si="133"/>
        <v>0</v>
      </c>
      <c r="O964" s="1" t="b">
        <f t="shared" si="134"/>
        <v>0</v>
      </c>
      <c r="P964" s="1" t="e">
        <f>INDEX(G:G,MATCH(G964,G:G,0))</f>
        <v>#N/A</v>
      </c>
      <c r="Q964" s="1" t="e">
        <f t="shared" si="135"/>
        <v>#N/A</v>
      </c>
      <c r="R964" s="1" t="e">
        <f>INDEX('6.0.35'!I:I,MATCH(F964,'6.0.35'!K:K,0))</f>
        <v>#N/A</v>
      </c>
      <c r="S964" s="1" t="e">
        <f>INDEX('6.0.35'!J:J,MATCH(F964,'6.0.35'!F:F,0))</f>
        <v>#N/A</v>
      </c>
    </row>
    <row r="965" spans="1:19">
      <c r="A965" t="s">
        <v>17170</v>
      </c>
      <c r="I965" s="1" t="str">
        <f t="shared" si="128"/>
        <v/>
      </c>
      <c r="J965" s="1">
        <f t="shared" si="129"/>
        <v>0</v>
      </c>
      <c r="K965" s="1" t="str">
        <f t="shared" si="130"/>
        <v/>
      </c>
      <c r="L965" s="1">
        <f t="shared" si="131"/>
        <v>0</v>
      </c>
      <c r="M965" s="1">
        <f t="shared" si="132"/>
        <v>0</v>
      </c>
      <c r="N965" s="1">
        <f t="shared" si="133"/>
        <v>0</v>
      </c>
      <c r="O965" s="1" t="b">
        <f t="shared" si="134"/>
        <v>0</v>
      </c>
      <c r="P965" s="1" t="e">
        <f>INDEX(G:G,MATCH(G965,G:G,0))</f>
        <v>#N/A</v>
      </c>
      <c r="Q965" s="1" t="e">
        <f t="shared" si="135"/>
        <v>#N/A</v>
      </c>
      <c r="R965" s="1" t="e">
        <f>INDEX('6.0.35'!I:I,MATCH(F965,'6.0.35'!K:K,0))</f>
        <v>#N/A</v>
      </c>
      <c r="S965" s="1" t="e">
        <f>INDEX('6.0.35'!J:J,MATCH(F965,'6.0.35'!F:F,0))</f>
        <v>#N/A</v>
      </c>
    </row>
    <row r="966" spans="1:19">
      <c r="A966" t="s">
        <v>17172</v>
      </c>
      <c r="I966" s="1" t="str">
        <f t="shared" si="128"/>
        <v/>
      </c>
      <c r="J966" s="1">
        <f t="shared" si="129"/>
        <v>0</v>
      </c>
      <c r="K966" s="1" t="str">
        <f t="shared" si="130"/>
        <v/>
      </c>
      <c r="L966" s="1">
        <f t="shared" si="131"/>
        <v>0</v>
      </c>
      <c r="M966" s="1">
        <f t="shared" si="132"/>
        <v>0</v>
      </c>
      <c r="N966" s="1">
        <f t="shared" si="133"/>
        <v>0</v>
      </c>
      <c r="O966" s="1" t="b">
        <f t="shared" si="134"/>
        <v>0</v>
      </c>
      <c r="P966" s="1" t="e">
        <f>INDEX(G:G,MATCH(G966,G:G,0))</f>
        <v>#N/A</v>
      </c>
      <c r="Q966" s="1" t="e">
        <f t="shared" si="135"/>
        <v>#N/A</v>
      </c>
      <c r="R966" s="1" t="e">
        <f>INDEX('6.0.35'!I:I,MATCH(F966,'6.0.35'!K:K,0))</f>
        <v>#N/A</v>
      </c>
      <c r="S966" s="1" t="e">
        <f>INDEX('6.0.35'!J:J,MATCH(F966,'6.0.35'!F:F,0))</f>
        <v>#N/A</v>
      </c>
    </row>
    <row r="967" spans="1:19">
      <c r="A967" t="s">
        <v>17175</v>
      </c>
      <c r="I967" s="1" t="str">
        <f t="shared" si="128"/>
        <v/>
      </c>
      <c r="J967" s="1">
        <f t="shared" si="129"/>
        <v>0</v>
      </c>
      <c r="K967" s="1" t="str">
        <f t="shared" si="130"/>
        <v/>
      </c>
      <c r="L967" s="1">
        <f t="shared" si="131"/>
        <v>0</v>
      </c>
      <c r="M967" s="1">
        <f t="shared" si="132"/>
        <v>0</v>
      </c>
      <c r="N967" s="1">
        <f t="shared" si="133"/>
        <v>0</v>
      </c>
      <c r="O967" s="1" t="b">
        <f t="shared" si="134"/>
        <v>0</v>
      </c>
      <c r="P967" s="1" t="e">
        <f>INDEX(G:G,MATCH(G967,G:G,0))</f>
        <v>#N/A</v>
      </c>
      <c r="Q967" s="1" t="e">
        <f t="shared" si="135"/>
        <v>#N/A</v>
      </c>
      <c r="R967" s="1" t="e">
        <f>INDEX('6.0.35'!I:I,MATCH(F967,'6.0.35'!K:K,0))</f>
        <v>#N/A</v>
      </c>
      <c r="S967" s="1" t="e">
        <f>INDEX('6.0.35'!J:J,MATCH(F967,'6.0.35'!F:F,0))</f>
        <v>#N/A</v>
      </c>
    </row>
    <row r="968" spans="1:19">
      <c r="A968" t="s">
        <v>17183</v>
      </c>
      <c r="I968" s="1" t="str">
        <f t="shared" si="128"/>
        <v/>
      </c>
      <c r="J968" s="1">
        <f t="shared" si="129"/>
        <v>0</v>
      </c>
      <c r="K968" s="1" t="str">
        <f t="shared" si="130"/>
        <v/>
      </c>
      <c r="L968" s="1">
        <f t="shared" si="131"/>
        <v>0</v>
      </c>
      <c r="M968" s="1">
        <f t="shared" si="132"/>
        <v>0</v>
      </c>
      <c r="N968" s="1">
        <f t="shared" si="133"/>
        <v>0</v>
      </c>
      <c r="O968" s="1" t="b">
        <f t="shared" si="134"/>
        <v>0</v>
      </c>
      <c r="P968" s="1" t="e">
        <f>INDEX(G:G,MATCH(G968,G:G,0))</f>
        <v>#N/A</v>
      </c>
      <c r="Q968" s="1" t="e">
        <f t="shared" si="135"/>
        <v>#N/A</v>
      </c>
      <c r="R968" s="1" t="e">
        <f>INDEX('6.0.35'!I:I,MATCH(F968,'6.0.35'!K:K,0))</f>
        <v>#N/A</v>
      </c>
      <c r="S968" s="1" t="e">
        <f>INDEX('6.0.35'!J:J,MATCH(F968,'6.0.35'!F:F,0))</f>
        <v>#N/A</v>
      </c>
    </row>
    <row r="969" spans="1:19">
      <c r="A969" t="s">
        <v>17189</v>
      </c>
      <c r="I969" s="1" t="str">
        <f t="shared" si="128"/>
        <v/>
      </c>
      <c r="J969" s="1">
        <f t="shared" si="129"/>
        <v>0</v>
      </c>
      <c r="K969" s="1" t="str">
        <f t="shared" si="130"/>
        <v/>
      </c>
      <c r="L969" s="1">
        <f t="shared" si="131"/>
        <v>0</v>
      </c>
      <c r="M969" s="1">
        <f t="shared" si="132"/>
        <v>0</v>
      </c>
      <c r="N969" s="1">
        <f t="shared" si="133"/>
        <v>0</v>
      </c>
      <c r="O969" s="1" t="b">
        <f t="shared" si="134"/>
        <v>0</v>
      </c>
      <c r="P969" s="1" t="e">
        <f>INDEX(G:G,MATCH(G969,G:G,0))</f>
        <v>#N/A</v>
      </c>
      <c r="Q969" s="1" t="e">
        <f t="shared" si="135"/>
        <v>#N/A</v>
      </c>
      <c r="R969" s="1" t="e">
        <f>INDEX('6.0.35'!I:I,MATCH(F969,'6.0.35'!K:K,0))</f>
        <v>#N/A</v>
      </c>
      <c r="S969" s="1" t="e">
        <f>INDEX('6.0.35'!J:J,MATCH(F969,'6.0.35'!F:F,0))</f>
        <v>#N/A</v>
      </c>
    </row>
    <row r="970" spans="1:19">
      <c r="A970" t="s">
        <v>17202</v>
      </c>
      <c r="I970" s="1" t="str">
        <f t="shared" si="128"/>
        <v/>
      </c>
      <c r="J970" s="1">
        <f t="shared" si="129"/>
        <v>0</v>
      </c>
      <c r="K970" s="1" t="str">
        <f t="shared" si="130"/>
        <v/>
      </c>
      <c r="L970" s="1">
        <f t="shared" si="131"/>
        <v>0</v>
      </c>
      <c r="M970" s="1">
        <f t="shared" si="132"/>
        <v>0</v>
      </c>
      <c r="N970" s="1">
        <f t="shared" si="133"/>
        <v>0</v>
      </c>
      <c r="O970" s="1" t="b">
        <f t="shared" si="134"/>
        <v>0</v>
      </c>
      <c r="P970" s="1" t="e">
        <f>INDEX(G:G,MATCH(G970,G:G,0))</f>
        <v>#N/A</v>
      </c>
      <c r="Q970" s="1" t="e">
        <f t="shared" si="135"/>
        <v>#N/A</v>
      </c>
      <c r="R970" s="1" t="e">
        <f>INDEX('6.0.35'!I:I,MATCH(F970,'6.0.35'!K:K,0))</f>
        <v>#N/A</v>
      </c>
      <c r="S970" s="1" t="e">
        <f>INDEX('6.0.35'!J:J,MATCH(F970,'6.0.35'!F:F,0))</f>
        <v>#N/A</v>
      </c>
    </row>
    <row r="971" spans="1:19">
      <c r="A971" t="s">
        <v>17211</v>
      </c>
      <c r="I971" s="1" t="str">
        <f t="shared" si="128"/>
        <v/>
      </c>
      <c r="J971" s="1">
        <f t="shared" si="129"/>
        <v>0</v>
      </c>
      <c r="K971" s="1" t="str">
        <f t="shared" si="130"/>
        <v/>
      </c>
      <c r="L971" s="1">
        <f t="shared" si="131"/>
        <v>0</v>
      </c>
      <c r="M971" s="1">
        <f t="shared" si="132"/>
        <v>0</v>
      </c>
      <c r="N971" s="1">
        <f t="shared" si="133"/>
        <v>0</v>
      </c>
      <c r="O971" s="1" t="b">
        <f t="shared" si="134"/>
        <v>0</v>
      </c>
      <c r="P971" s="1" t="e">
        <f>INDEX(G:G,MATCH(G971,G:G,0))</f>
        <v>#N/A</v>
      </c>
      <c r="Q971" s="1" t="e">
        <f t="shared" si="135"/>
        <v>#N/A</v>
      </c>
      <c r="R971" s="1" t="e">
        <f>INDEX('6.0.35'!I:I,MATCH(F971,'6.0.35'!K:K,0))</f>
        <v>#N/A</v>
      </c>
      <c r="S971" s="1" t="e">
        <f>INDEX('6.0.35'!J:J,MATCH(F971,'6.0.35'!F:F,0))</f>
        <v>#N/A</v>
      </c>
    </row>
    <row r="972" spans="1:19">
      <c r="A972" t="s">
        <v>17225</v>
      </c>
      <c r="I972" s="1" t="str">
        <f t="shared" si="128"/>
        <v/>
      </c>
      <c r="J972" s="1">
        <f t="shared" si="129"/>
        <v>0</v>
      </c>
      <c r="K972" s="1" t="str">
        <f t="shared" si="130"/>
        <v/>
      </c>
      <c r="L972" s="1">
        <f t="shared" si="131"/>
        <v>0</v>
      </c>
      <c r="M972" s="1">
        <f t="shared" si="132"/>
        <v>0</v>
      </c>
      <c r="N972" s="1">
        <f t="shared" si="133"/>
        <v>0</v>
      </c>
      <c r="O972" s="1" t="b">
        <f t="shared" si="134"/>
        <v>0</v>
      </c>
      <c r="P972" s="1" t="e">
        <f>INDEX(G:G,MATCH(G972,G:G,0))</f>
        <v>#N/A</v>
      </c>
      <c r="Q972" s="1" t="e">
        <f t="shared" si="135"/>
        <v>#N/A</v>
      </c>
      <c r="R972" s="1" t="e">
        <f>INDEX('6.0.35'!I:I,MATCH(F972,'6.0.35'!K:K,0))</f>
        <v>#N/A</v>
      </c>
      <c r="S972" s="1" t="e">
        <f>INDEX('6.0.35'!J:J,MATCH(F972,'6.0.35'!F:F,0))</f>
        <v>#N/A</v>
      </c>
    </row>
    <row r="973" spans="1:19">
      <c r="A973" t="s">
        <v>17287</v>
      </c>
      <c r="I973" s="1" t="str">
        <f t="shared" si="128"/>
        <v/>
      </c>
      <c r="J973" s="1">
        <f t="shared" si="129"/>
        <v>0</v>
      </c>
      <c r="K973" s="1" t="str">
        <f t="shared" si="130"/>
        <v/>
      </c>
      <c r="L973" s="1">
        <f t="shared" si="131"/>
        <v>0</v>
      </c>
      <c r="M973" s="1">
        <f t="shared" si="132"/>
        <v>0</v>
      </c>
      <c r="N973" s="1">
        <f t="shared" si="133"/>
        <v>0</v>
      </c>
      <c r="O973" s="1" t="b">
        <f t="shared" si="134"/>
        <v>0</v>
      </c>
      <c r="P973" s="1" t="e">
        <f>INDEX(G:G,MATCH(G973,G:G,0))</f>
        <v>#N/A</v>
      </c>
      <c r="Q973" s="1" t="e">
        <f t="shared" si="135"/>
        <v>#N/A</v>
      </c>
      <c r="R973" s="1" t="e">
        <f>INDEX('6.0.35'!I:I,MATCH(F973,'6.0.35'!K:K,0))</f>
        <v>#N/A</v>
      </c>
      <c r="S973" s="1" t="e">
        <f>INDEX('6.0.35'!J:J,MATCH(F973,'6.0.35'!F:F,0))</f>
        <v>#N/A</v>
      </c>
    </row>
    <row r="974" spans="1:19">
      <c r="A974" t="s">
        <v>18299</v>
      </c>
      <c r="I974" s="1" t="str">
        <f t="shared" si="128"/>
        <v/>
      </c>
      <c r="J974" s="1">
        <f t="shared" si="129"/>
        <v>0</v>
      </c>
      <c r="K974" s="1" t="str">
        <f t="shared" si="130"/>
        <v/>
      </c>
      <c r="L974" s="1">
        <f t="shared" si="131"/>
        <v>0</v>
      </c>
      <c r="M974" s="1">
        <f t="shared" si="132"/>
        <v>0</v>
      </c>
      <c r="N974" s="1">
        <f t="shared" si="133"/>
        <v>0</v>
      </c>
      <c r="O974" s="1" t="b">
        <f t="shared" si="134"/>
        <v>0</v>
      </c>
      <c r="P974" s="1" t="e">
        <f>INDEX(G:G,MATCH(G974,G:G,0))</f>
        <v>#N/A</v>
      </c>
      <c r="Q974" s="1" t="e">
        <f t="shared" si="135"/>
        <v>#N/A</v>
      </c>
      <c r="R974" s="1" t="e">
        <f>INDEX('6.0.35'!I:I,MATCH(F974,'6.0.35'!K:K,0))</f>
        <v>#N/A</v>
      </c>
      <c r="S974" s="1" t="e">
        <f>INDEX('6.0.35'!J:J,MATCH(F974,'6.0.35'!F:F,0))</f>
        <v>#N/A</v>
      </c>
    </row>
    <row r="975" spans="1:19">
      <c r="A975" t="s">
        <v>17293</v>
      </c>
      <c r="I975" s="1" t="str">
        <f t="shared" si="128"/>
        <v/>
      </c>
      <c r="J975" s="1">
        <f t="shared" si="129"/>
        <v>0</v>
      </c>
      <c r="K975" s="1" t="str">
        <f t="shared" si="130"/>
        <v/>
      </c>
      <c r="L975" s="1">
        <f t="shared" si="131"/>
        <v>0</v>
      </c>
      <c r="M975" s="1">
        <f t="shared" si="132"/>
        <v>0</v>
      </c>
      <c r="N975" s="1">
        <f t="shared" si="133"/>
        <v>0</v>
      </c>
      <c r="O975" s="1" t="b">
        <f t="shared" si="134"/>
        <v>0</v>
      </c>
      <c r="P975" s="1" t="e">
        <f>INDEX(G:G,MATCH(G975,G:G,0))</f>
        <v>#N/A</v>
      </c>
      <c r="Q975" s="1" t="e">
        <f t="shared" si="135"/>
        <v>#N/A</v>
      </c>
      <c r="R975" s="1" t="e">
        <f>INDEX('6.0.35'!I:I,MATCH(F975,'6.0.35'!K:K,0))</f>
        <v>#N/A</v>
      </c>
      <c r="S975" s="1" t="e">
        <f>INDEX('6.0.35'!J:J,MATCH(F975,'6.0.35'!F:F,0))</f>
        <v>#N/A</v>
      </c>
    </row>
    <row r="976" spans="1:19">
      <c r="A976" t="s">
        <v>17296</v>
      </c>
      <c r="I976" s="1" t="str">
        <f t="shared" si="128"/>
        <v/>
      </c>
      <c r="J976" s="1">
        <f t="shared" si="129"/>
        <v>0</v>
      </c>
      <c r="K976" s="1" t="str">
        <f t="shared" si="130"/>
        <v/>
      </c>
      <c r="L976" s="1">
        <f t="shared" si="131"/>
        <v>0</v>
      </c>
      <c r="M976" s="1">
        <f t="shared" si="132"/>
        <v>0</v>
      </c>
      <c r="N976" s="1">
        <f t="shared" si="133"/>
        <v>0</v>
      </c>
      <c r="O976" s="1" t="b">
        <f t="shared" si="134"/>
        <v>0</v>
      </c>
      <c r="P976" s="1" t="e">
        <f>INDEX(G:G,MATCH(G976,G:G,0))</f>
        <v>#N/A</v>
      </c>
      <c r="Q976" s="1" t="e">
        <f t="shared" si="135"/>
        <v>#N/A</v>
      </c>
      <c r="R976" s="1" t="e">
        <f>INDEX('6.0.35'!I:I,MATCH(F976,'6.0.35'!K:K,0))</f>
        <v>#N/A</v>
      </c>
      <c r="S976" s="1" t="e">
        <f>INDEX('6.0.35'!J:J,MATCH(F976,'6.0.35'!F:F,0))</f>
        <v>#N/A</v>
      </c>
    </row>
    <row r="977" spans="1:19">
      <c r="A977" t="s">
        <v>17299</v>
      </c>
      <c r="I977" s="1" t="str">
        <f t="shared" si="128"/>
        <v/>
      </c>
      <c r="J977" s="1">
        <f t="shared" si="129"/>
        <v>0</v>
      </c>
      <c r="K977" s="1" t="str">
        <f t="shared" si="130"/>
        <v/>
      </c>
      <c r="L977" s="1">
        <f t="shared" si="131"/>
        <v>0</v>
      </c>
      <c r="M977" s="1">
        <f t="shared" si="132"/>
        <v>0</v>
      </c>
      <c r="N977" s="1">
        <f t="shared" si="133"/>
        <v>0</v>
      </c>
      <c r="O977" s="1" t="b">
        <f t="shared" si="134"/>
        <v>0</v>
      </c>
      <c r="P977" s="1" t="e">
        <f>INDEX(G:G,MATCH(G977,G:G,0))</f>
        <v>#N/A</v>
      </c>
      <c r="Q977" s="1" t="e">
        <f t="shared" si="135"/>
        <v>#N/A</v>
      </c>
      <c r="R977" s="1" t="e">
        <f>INDEX('6.0.35'!I:I,MATCH(F977,'6.0.35'!K:K,0))</f>
        <v>#N/A</v>
      </c>
      <c r="S977" s="1" t="e">
        <f>INDEX('6.0.35'!J:J,MATCH(F977,'6.0.35'!F:F,0))</f>
        <v>#N/A</v>
      </c>
    </row>
    <row r="978" spans="1:19">
      <c r="A978" t="s">
        <v>18300</v>
      </c>
      <c r="I978" s="1" t="str">
        <f t="shared" si="128"/>
        <v/>
      </c>
      <c r="J978" s="1">
        <f t="shared" si="129"/>
        <v>0</v>
      </c>
      <c r="K978" s="1" t="str">
        <f t="shared" si="130"/>
        <v/>
      </c>
      <c r="L978" s="1">
        <f t="shared" si="131"/>
        <v>0</v>
      </c>
      <c r="M978" s="1">
        <f t="shared" si="132"/>
        <v>0</v>
      </c>
      <c r="N978" s="1">
        <f t="shared" si="133"/>
        <v>0</v>
      </c>
      <c r="O978" s="1" t="b">
        <f t="shared" si="134"/>
        <v>0</v>
      </c>
      <c r="P978" s="1" t="e">
        <f>INDEX(G:G,MATCH(G978,G:G,0))</f>
        <v>#N/A</v>
      </c>
      <c r="Q978" s="1" t="e">
        <f t="shared" si="135"/>
        <v>#N/A</v>
      </c>
      <c r="R978" s="1" t="e">
        <f>INDEX('6.0.35'!I:I,MATCH(F978,'6.0.35'!K:K,0))</f>
        <v>#N/A</v>
      </c>
      <c r="S978" s="1" t="e">
        <f>INDEX('6.0.35'!J:J,MATCH(F978,'6.0.35'!F:F,0))</f>
        <v>#N/A</v>
      </c>
    </row>
    <row r="979" spans="1:19">
      <c r="A979" t="s">
        <v>17305</v>
      </c>
      <c r="I979" s="1" t="str">
        <f t="shared" si="128"/>
        <v/>
      </c>
      <c r="J979" s="1">
        <f t="shared" si="129"/>
        <v>0</v>
      </c>
      <c r="K979" s="1" t="str">
        <f t="shared" si="130"/>
        <v/>
      </c>
      <c r="L979" s="1">
        <f t="shared" si="131"/>
        <v>0</v>
      </c>
      <c r="M979" s="1">
        <f t="shared" si="132"/>
        <v>0</v>
      </c>
      <c r="N979" s="1">
        <f t="shared" si="133"/>
        <v>0</v>
      </c>
      <c r="O979" s="1" t="b">
        <f t="shared" si="134"/>
        <v>0</v>
      </c>
      <c r="P979" s="1" t="e">
        <f>INDEX(G:G,MATCH(G979,G:G,0))</f>
        <v>#N/A</v>
      </c>
      <c r="Q979" s="1" t="e">
        <f t="shared" si="135"/>
        <v>#N/A</v>
      </c>
      <c r="R979" s="1" t="e">
        <f>INDEX('6.0.35'!I:I,MATCH(F979,'6.0.35'!K:K,0))</f>
        <v>#N/A</v>
      </c>
      <c r="S979" s="1" t="e">
        <f>INDEX('6.0.35'!J:J,MATCH(F979,'6.0.35'!F:F,0))</f>
        <v>#N/A</v>
      </c>
    </row>
    <row r="980" spans="1:19">
      <c r="A980" t="s">
        <v>17322</v>
      </c>
      <c r="I980" s="1" t="str">
        <f t="shared" si="128"/>
        <v/>
      </c>
      <c r="J980" s="1">
        <f t="shared" si="129"/>
        <v>0</v>
      </c>
      <c r="K980" s="1" t="str">
        <f t="shared" si="130"/>
        <v/>
      </c>
      <c r="L980" s="1">
        <f t="shared" si="131"/>
        <v>0</v>
      </c>
      <c r="M980" s="1">
        <f t="shared" si="132"/>
        <v>0</v>
      </c>
      <c r="N980" s="1">
        <f t="shared" si="133"/>
        <v>0</v>
      </c>
      <c r="O980" s="1" t="b">
        <f t="shared" si="134"/>
        <v>0</v>
      </c>
      <c r="P980" s="1" t="e">
        <f>INDEX(G:G,MATCH(G980,G:G,0))</f>
        <v>#N/A</v>
      </c>
      <c r="Q980" s="1" t="e">
        <f t="shared" si="135"/>
        <v>#N/A</v>
      </c>
      <c r="R980" s="1" t="e">
        <f>INDEX('6.0.35'!I:I,MATCH(F980,'6.0.35'!K:K,0))</f>
        <v>#N/A</v>
      </c>
      <c r="S980" s="1" t="e">
        <f>INDEX('6.0.35'!J:J,MATCH(F980,'6.0.35'!F:F,0))</f>
        <v>#N/A</v>
      </c>
    </row>
    <row r="981" spans="1:19">
      <c r="A981" t="s">
        <v>17325</v>
      </c>
      <c r="I981" s="1" t="str">
        <f t="shared" si="128"/>
        <v/>
      </c>
      <c r="J981" s="1">
        <f t="shared" si="129"/>
        <v>0</v>
      </c>
      <c r="K981" s="1" t="str">
        <f t="shared" si="130"/>
        <v/>
      </c>
      <c r="L981" s="1">
        <f t="shared" si="131"/>
        <v>0</v>
      </c>
      <c r="M981" s="1">
        <f t="shared" si="132"/>
        <v>0</v>
      </c>
      <c r="N981" s="1">
        <f t="shared" si="133"/>
        <v>0</v>
      </c>
      <c r="O981" s="1" t="b">
        <f t="shared" si="134"/>
        <v>0</v>
      </c>
      <c r="P981" s="1" t="e">
        <f>INDEX(G:G,MATCH(G981,G:G,0))</f>
        <v>#N/A</v>
      </c>
      <c r="Q981" s="1" t="e">
        <f t="shared" si="135"/>
        <v>#N/A</v>
      </c>
      <c r="R981" s="1" t="e">
        <f>INDEX('6.0.35'!I:I,MATCH(F981,'6.0.35'!K:K,0))</f>
        <v>#N/A</v>
      </c>
      <c r="S981" s="1" t="e">
        <f>INDEX('6.0.35'!J:J,MATCH(F981,'6.0.35'!F:F,0))</f>
        <v>#N/A</v>
      </c>
    </row>
    <row r="982" spans="1:19">
      <c r="A982" t="s">
        <v>17371</v>
      </c>
      <c r="I982" s="1" t="str">
        <f t="shared" si="128"/>
        <v/>
      </c>
      <c r="J982" s="1">
        <f t="shared" si="129"/>
        <v>0</v>
      </c>
      <c r="K982" s="1" t="str">
        <f t="shared" si="130"/>
        <v/>
      </c>
      <c r="L982" s="1">
        <f t="shared" si="131"/>
        <v>0</v>
      </c>
      <c r="M982" s="1">
        <f t="shared" si="132"/>
        <v>0</v>
      </c>
      <c r="N982" s="1">
        <f t="shared" si="133"/>
        <v>0</v>
      </c>
      <c r="O982" s="1" t="b">
        <f t="shared" si="134"/>
        <v>0</v>
      </c>
      <c r="P982" s="1" t="e">
        <f>INDEX(G:G,MATCH(G982,G:G,0))</f>
        <v>#N/A</v>
      </c>
      <c r="Q982" s="1" t="e">
        <f t="shared" si="135"/>
        <v>#N/A</v>
      </c>
      <c r="R982" s="1" t="e">
        <f>INDEX('6.0.35'!I:I,MATCH(F982,'6.0.35'!K:K,0))</f>
        <v>#N/A</v>
      </c>
      <c r="S982" s="1" t="e">
        <f>INDEX('6.0.35'!J:J,MATCH(F982,'6.0.35'!F:F,0))</f>
        <v>#N/A</v>
      </c>
    </row>
    <row r="983" spans="1:19">
      <c r="A983" t="s">
        <v>17375</v>
      </c>
      <c r="I983" s="1" t="str">
        <f t="shared" si="128"/>
        <v/>
      </c>
      <c r="J983" s="1">
        <f t="shared" si="129"/>
        <v>0</v>
      </c>
      <c r="K983" s="1" t="str">
        <f t="shared" si="130"/>
        <v/>
      </c>
      <c r="L983" s="1">
        <f t="shared" si="131"/>
        <v>0</v>
      </c>
      <c r="M983" s="1">
        <f t="shared" si="132"/>
        <v>0</v>
      </c>
      <c r="N983" s="1">
        <f t="shared" si="133"/>
        <v>0</v>
      </c>
      <c r="O983" s="1" t="b">
        <f t="shared" si="134"/>
        <v>0</v>
      </c>
      <c r="P983" s="1" t="e">
        <f>INDEX(G:G,MATCH(G983,G:G,0))</f>
        <v>#N/A</v>
      </c>
      <c r="Q983" s="1" t="e">
        <f t="shared" si="135"/>
        <v>#N/A</v>
      </c>
      <c r="R983" s="1" t="e">
        <f>INDEX('6.0.35'!I:I,MATCH(F983,'6.0.35'!K:K,0))</f>
        <v>#N/A</v>
      </c>
      <c r="S983" s="1" t="e">
        <f>INDEX('6.0.35'!J:J,MATCH(F983,'6.0.35'!F:F,0))</f>
        <v>#N/A</v>
      </c>
    </row>
    <row r="984" spans="1:19">
      <c r="A984" t="s">
        <v>17380</v>
      </c>
      <c r="I984" s="1" t="str">
        <f t="shared" si="128"/>
        <v/>
      </c>
      <c r="J984" s="1">
        <f t="shared" si="129"/>
        <v>0</v>
      </c>
      <c r="K984" s="1" t="str">
        <f t="shared" si="130"/>
        <v/>
      </c>
      <c r="L984" s="1">
        <f t="shared" si="131"/>
        <v>0</v>
      </c>
      <c r="M984" s="1">
        <f t="shared" si="132"/>
        <v>0</v>
      </c>
      <c r="N984" s="1">
        <f t="shared" si="133"/>
        <v>0</v>
      </c>
      <c r="O984" s="1" t="b">
        <f t="shared" si="134"/>
        <v>0</v>
      </c>
      <c r="P984" s="1" t="e">
        <f>INDEX(G:G,MATCH(G984,G:G,0))</f>
        <v>#N/A</v>
      </c>
      <c r="Q984" s="1" t="e">
        <f t="shared" si="135"/>
        <v>#N/A</v>
      </c>
      <c r="R984" s="1" t="e">
        <f>INDEX('6.0.35'!I:I,MATCH(F984,'6.0.35'!K:K,0))</f>
        <v>#N/A</v>
      </c>
      <c r="S984" s="1" t="e">
        <f>INDEX('6.0.35'!J:J,MATCH(F984,'6.0.35'!F:F,0))</f>
        <v>#N/A</v>
      </c>
    </row>
    <row r="985" spans="1:19">
      <c r="A985" t="s">
        <v>17384</v>
      </c>
      <c r="I985" s="1" t="str">
        <f t="shared" si="128"/>
        <v/>
      </c>
      <c r="J985" s="1">
        <f t="shared" si="129"/>
        <v>0</v>
      </c>
      <c r="K985" s="1" t="str">
        <f t="shared" si="130"/>
        <v/>
      </c>
      <c r="L985" s="1">
        <f t="shared" si="131"/>
        <v>0</v>
      </c>
      <c r="M985" s="1">
        <f t="shared" si="132"/>
        <v>0</v>
      </c>
      <c r="N985" s="1">
        <f t="shared" si="133"/>
        <v>0</v>
      </c>
      <c r="O985" s="1" t="b">
        <f t="shared" si="134"/>
        <v>0</v>
      </c>
      <c r="P985" s="1" t="e">
        <f>INDEX(G:G,MATCH(G985,G:G,0))</f>
        <v>#N/A</v>
      </c>
      <c r="Q985" s="1" t="e">
        <f t="shared" si="135"/>
        <v>#N/A</v>
      </c>
      <c r="R985" s="1" t="e">
        <f>INDEX('6.0.35'!I:I,MATCH(F985,'6.0.35'!K:K,0))</f>
        <v>#N/A</v>
      </c>
      <c r="S985" s="1" t="e">
        <f>INDEX('6.0.35'!J:J,MATCH(F985,'6.0.35'!F:F,0))</f>
        <v>#N/A</v>
      </c>
    </row>
    <row r="986" spans="1:19">
      <c r="A986" t="s">
        <v>17388</v>
      </c>
      <c r="I986" s="1" t="str">
        <f t="shared" si="128"/>
        <v/>
      </c>
      <c r="J986" s="1">
        <f t="shared" si="129"/>
        <v>0</v>
      </c>
      <c r="K986" s="1" t="str">
        <f t="shared" si="130"/>
        <v/>
      </c>
      <c r="L986" s="1">
        <f t="shared" si="131"/>
        <v>0</v>
      </c>
      <c r="M986" s="1">
        <f t="shared" si="132"/>
        <v>0</v>
      </c>
      <c r="N986" s="1">
        <f t="shared" si="133"/>
        <v>0</v>
      </c>
      <c r="O986" s="1" t="b">
        <f t="shared" si="134"/>
        <v>0</v>
      </c>
      <c r="P986" s="1" t="e">
        <f>INDEX(G:G,MATCH(G986,G:G,0))</f>
        <v>#N/A</v>
      </c>
      <c r="Q986" s="1" t="e">
        <f t="shared" si="135"/>
        <v>#N/A</v>
      </c>
      <c r="R986" s="1" t="e">
        <f>INDEX('6.0.35'!I:I,MATCH(F986,'6.0.35'!K:K,0))</f>
        <v>#N/A</v>
      </c>
      <c r="S986" s="1" t="e">
        <f>INDEX('6.0.35'!J:J,MATCH(F986,'6.0.35'!F:F,0))</f>
        <v>#N/A</v>
      </c>
    </row>
    <row r="987" spans="1:19">
      <c r="A987" t="s">
        <v>17391</v>
      </c>
      <c r="I987" s="1" t="str">
        <f t="shared" si="128"/>
        <v/>
      </c>
      <c r="J987" s="1">
        <f t="shared" si="129"/>
        <v>0</v>
      </c>
      <c r="K987" s="1" t="str">
        <f t="shared" si="130"/>
        <v/>
      </c>
      <c r="L987" s="1">
        <f t="shared" si="131"/>
        <v>0</v>
      </c>
      <c r="M987" s="1">
        <f t="shared" si="132"/>
        <v>0</v>
      </c>
      <c r="N987" s="1">
        <f t="shared" si="133"/>
        <v>0</v>
      </c>
      <c r="O987" s="1" t="b">
        <f t="shared" si="134"/>
        <v>0</v>
      </c>
      <c r="P987" s="1" t="e">
        <f>INDEX(G:G,MATCH(G987,G:G,0))</f>
        <v>#N/A</v>
      </c>
      <c r="Q987" s="1" t="e">
        <f t="shared" si="135"/>
        <v>#N/A</v>
      </c>
      <c r="R987" s="1" t="e">
        <f>INDEX('6.0.35'!I:I,MATCH(F987,'6.0.35'!K:K,0))</f>
        <v>#N/A</v>
      </c>
      <c r="S987" s="1" t="e">
        <f>INDEX('6.0.35'!J:J,MATCH(F987,'6.0.35'!F:F,0))</f>
        <v>#N/A</v>
      </c>
    </row>
    <row r="988" spans="1:19">
      <c r="A988" t="s">
        <v>17395</v>
      </c>
      <c r="I988" s="1" t="str">
        <f t="shared" si="128"/>
        <v/>
      </c>
      <c r="J988" s="1">
        <f t="shared" si="129"/>
        <v>0</v>
      </c>
      <c r="K988" s="1" t="str">
        <f t="shared" si="130"/>
        <v/>
      </c>
      <c r="L988" s="1">
        <f t="shared" si="131"/>
        <v>0</v>
      </c>
      <c r="M988" s="1">
        <f t="shared" si="132"/>
        <v>0</v>
      </c>
      <c r="N988" s="1">
        <f t="shared" si="133"/>
        <v>0</v>
      </c>
      <c r="O988" s="1" t="b">
        <f t="shared" si="134"/>
        <v>0</v>
      </c>
      <c r="P988" s="1" t="e">
        <f>INDEX(G:G,MATCH(G988,G:G,0))</f>
        <v>#N/A</v>
      </c>
      <c r="Q988" s="1" t="e">
        <f t="shared" si="135"/>
        <v>#N/A</v>
      </c>
      <c r="R988" s="1" t="e">
        <f>INDEX('6.0.35'!I:I,MATCH(F988,'6.0.35'!K:K,0))</f>
        <v>#N/A</v>
      </c>
      <c r="S988" s="1" t="e">
        <f>INDEX('6.0.35'!J:J,MATCH(F988,'6.0.35'!F:F,0))</f>
        <v>#N/A</v>
      </c>
    </row>
    <row r="989" spans="1:19">
      <c r="A989" t="s">
        <v>17399</v>
      </c>
      <c r="I989" s="1" t="str">
        <f t="shared" si="128"/>
        <v/>
      </c>
      <c r="J989" s="1">
        <f t="shared" si="129"/>
        <v>0</v>
      </c>
      <c r="K989" s="1" t="str">
        <f t="shared" si="130"/>
        <v/>
      </c>
      <c r="L989" s="1">
        <f t="shared" si="131"/>
        <v>0</v>
      </c>
      <c r="M989" s="1">
        <f t="shared" si="132"/>
        <v>0</v>
      </c>
      <c r="N989" s="1">
        <f t="shared" si="133"/>
        <v>0</v>
      </c>
      <c r="O989" s="1" t="b">
        <f t="shared" si="134"/>
        <v>0</v>
      </c>
      <c r="P989" s="1" t="e">
        <f>INDEX(G:G,MATCH(G989,G:G,0))</f>
        <v>#N/A</v>
      </c>
      <c r="Q989" s="1" t="e">
        <f t="shared" si="135"/>
        <v>#N/A</v>
      </c>
      <c r="R989" s="1" t="e">
        <f>INDEX('6.0.35'!I:I,MATCH(F989,'6.0.35'!K:K,0))</f>
        <v>#N/A</v>
      </c>
      <c r="S989" s="1" t="e">
        <f>INDEX('6.0.35'!J:J,MATCH(F989,'6.0.35'!F:F,0))</f>
        <v>#N/A</v>
      </c>
    </row>
    <row r="990" spans="1:19">
      <c r="A990" t="s">
        <v>17402</v>
      </c>
      <c r="I990" s="1" t="str">
        <f t="shared" si="128"/>
        <v/>
      </c>
      <c r="J990" s="1">
        <f t="shared" si="129"/>
        <v>0</v>
      </c>
      <c r="K990" s="1" t="str">
        <f t="shared" si="130"/>
        <v/>
      </c>
      <c r="L990" s="1">
        <f t="shared" si="131"/>
        <v>0</v>
      </c>
      <c r="M990" s="1">
        <f t="shared" si="132"/>
        <v>0</v>
      </c>
      <c r="N990" s="1">
        <f t="shared" si="133"/>
        <v>0</v>
      </c>
      <c r="O990" s="1" t="b">
        <f t="shared" si="134"/>
        <v>0</v>
      </c>
      <c r="P990" s="1" t="e">
        <f>INDEX(G:G,MATCH(G990,G:G,0))</f>
        <v>#N/A</v>
      </c>
      <c r="Q990" s="1" t="e">
        <f t="shared" si="135"/>
        <v>#N/A</v>
      </c>
      <c r="R990" s="1" t="e">
        <f>INDEX('6.0.35'!I:I,MATCH(F990,'6.0.35'!K:K,0))</f>
        <v>#N/A</v>
      </c>
      <c r="S990" s="1" t="e">
        <f>INDEX('6.0.35'!J:J,MATCH(F990,'6.0.35'!F:F,0))</f>
        <v>#N/A</v>
      </c>
    </row>
    <row r="991" spans="1:19">
      <c r="A991" t="s">
        <v>17405</v>
      </c>
      <c r="I991" s="1" t="str">
        <f t="shared" si="128"/>
        <v/>
      </c>
      <c r="J991" s="1">
        <f t="shared" si="129"/>
        <v>0</v>
      </c>
      <c r="K991" s="1" t="str">
        <f t="shared" si="130"/>
        <v/>
      </c>
      <c r="L991" s="1">
        <f t="shared" si="131"/>
        <v>0</v>
      </c>
      <c r="M991" s="1">
        <f t="shared" si="132"/>
        <v>0</v>
      </c>
      <c r="N991" s="1">
        <f t="shared" si="133"/>
        <v>0</v>
      </c>
      <c r="O991" s="1" t="b">
        <f t="shared" si="134"/>
        <v>0</v>
      </c>
      <c r="P991" s="1" t="e">
        <f>INDEX(G:G,MATCH(G991,G:G,0))</f>
        <v>#N/A</v>
      </c>
      <c r="Q991" s="1" t="e">
        <f t="shared" si="135"/>
        <v>#N/A</v>
      </c>
      <c r="R991" s="1" t="e">
        <f>INDEX('6.0.35'!I:I,MATCH(F991,'6.0.35'!K:K,0))</f>
        <v>#N/A</v>
      </c>
      <c r="S991" s="1" t="e">
        <f>INDEX('6.0.35'!J:J,MATCH(F991,'6.0.35'!F:F,0))</f>
        <v>#N/A</v>
      </c>
    </row>
    <row r="992" spans="1:19">
      <c r="A992" t="s">
        <v>17408</v>
      </c>
      <c r="I992" s="1" t="str">
        <f t="shared" si="128"/>
        <v/>
      </c>
      <c r="J992" s="1">
        <f t="shared" si="129"/>
        <v>0</v>
      </c>
      <c r="K992" s="1" t="str">
        <f t="shared" si="130"/>
        <v/>
      </c>
      <c r="L992" s="1">
        <f t="shared" si="131"/>
        <v>0</v>
      </c>
      <c r="M992" s="1">
        <f t="shared" si="132"/>
        <v>0</v>
      </c>
      <c r="N992" s="1">
        <f t="shared" si="133"/>
        <v>0</v>
      </c>
      <c r="O992" s="1" t="b">
        <f t="shared" si="134"/>
        <v>0</v>
      </c>
      <c r="P992" s="1" t="e">
        <f>INDEX(G:G,MATCH(G992,G:G,0))</f>
        <v>#N/A</v>
      </c>
      <c r="Q992" s="1" t="e">
        <f t="shared" si="135"/>
        <v>#N/A</v>
      </c>
      <c r="R992" s="1" t="e">
        <f>INDEX('6.0.35'!I:I,MATCH(F992,'6.0.35'!K:K,0))</f>
        <v>#N/A</v>
      </c>
      <c r="S992" s="1" t="e">
        <f>INDEX('6.0.35'!J:J,MATCH(F992,'6.0.35'!F:F,0))</f>
        <v>#N/A</v>
      </c>
    </row>
    <row r="993" spans="1:19">
      <c r="A993" t="s">
        <v>17411</v>
      </c>
      <c r="I993" s="1" t="str">
        <f t="shared" si="128"/>
        <v/>
      </c>
      <c r="J993" s="1">
        <f t="shared" si="129"/>
        <v>0</v>
      </c>
      <c r="K993" s="1" t="str">
        <f t="shared" si="130"/>
        <v/>
      </c>
      <c r="L993" s="1">
        <f t="shared" si="131"/>
        <v>0</v>
      </c>
      <c r="M993" s="1">
        <f t="shared" si="132"/>
        <v>0</v>
      </c>
      <c r="N993" s="1">
        <f t="shared" si="133"/>
        <v>0</v>
      </c>
      <c r="O993" s="1" t="b">
        <f t="shared" si="134"/>
        <v>0</v>
      </c>
      <c r="P993" s="1" t="e">
        <f>INDEX(G:G,MATCH(G993,G:G,0))</f>
        <v>#N/A</v>
      </c>
      <c r="Q993" s="1" t="e">
        <f t="shared" si="135"/>
        <v>#N/A</v>
      </c>
      <c r="R993" s="1" t="e">
        <f>INDEX('6.0.35'!I:I,MATCH(F993,'6.0.35'!K:K,0))</f>
        <v>#N/A</v>
      </c>
      <c r="S993" s="1" t="e">
        <f>INDEX('6.0.35'!J:J,MATCH(F993,'6.0.35'!F:F,0))</f>
        <v>#N/A</v>
      </c>
    </row>
    <row r="994" spans="1:19">
      <c r="A994" t="s">
        <v>17414</v>
      </c>
      <c r="I994" s="1" t="str">
        <f t="shared" si="128"/>
        <v/>
      </c>
      <c r="J994" s="1">
        <f t="shared" si="129"/>
        <v>0</v>
      </c>
      <c r="K994" s="1" t="str">
        <f t="shared" si="130"/>
        <v/>
      </c>
      <c r="L994" s="1">
        <f t="shared" si="131"/>
        <v>0</v>
      </c>
      <c r="M994" s="1">
        <f t="shared" si="132"/>
        <v>0</v>
      </c>
      <c r="N994" s="1">
        <f t="shared" si="133"/>
        <v>0</v>
      </c>
      <c r="O994" s="1" t="b">
        <f t="shared" si="134"/>
        <v>0</v>
      </c>
      <c r="P994" s="1" t="e">
        <f>INDEX(G:G,MATCH(G994,G:G,0))</f>
        <v>#N/A</v>
      </c>
      <c r="Q994" s="1" t="e">
        <f t="shared" si="135"/>
        <v>#N/A</v>
      </c>
      <c r="R994" s="1" t="e">
        <f>INDEX('6.0.35'!I:I,MATCH(F994,'6.0.35'!K:K,0))</f>
        <v>#N/A</v>
      </c>
      <c r="S994" s="1" t="e">
        <f>INDEX('6.0.35'!J:J,MATCH(F994,'6.0.35'!F:F,0))</f>
        <v>#N/A</v>
      </c>
    </row>
    <row r="995" spans="1:19">
      <c r="A995" t="s">
        <v>17417</v>
      </c>
      <c r="I995" s="1" t="str">
        <f t="shared" si="128"/>
        <v/>
      </c>
      <c r="J995" s="1">
        <f t="shared" si="129"/>
        <v>0</v>
      </c>
      <c r="K995" s="1" t="str">
        <f t="shared" si="130"/>
        <v/>
      </c>
      <c r="L995" s="1">
        <f t="shared" si="131"/>
        <v>0</v>
      </c>
      <c r="M995" s="1">
        <f t="shared" si="132"/>
        <v>0</v>
      </c>
      <c r="N995" s="1">
        <f t="shared" si="133"/>
        <v>0</v>
      </c>
      <c r="O995" s="1" t="b">
        <f t="shared" si="134"/>
        <v>0</v>
      </c>
      <c r="P995" s="1" t="e">
        <f>INDEX(G:G,MATCH(G995,G:G,0))</f>
        <v>#N/A</v>
      </c>
      <c r="Q995" s="1" t="e">
        <f t="shared" si="135"/>
        <v>#N/A</v>
      </c>
      <c r="R995" s="1" t="e">
        <f>INDEX('6.0.35'!I:I,MATCH(F995,'6.0.35'!K:K,0))</f>
        <v>#N/A</v>
      </c>
      <c r="S995" s="1" t="e">
        <f>INDEX('6.0.35'!J:J,MATCH(F995,'6.0.35'!F:F,0))</f>
        <v>#N/A</v>
      </c>
    </row>
    <row r="996" spans="1:19">
      <c r="A996" t="s">
        <v>17421</v>
      </c>
      <c r="I996" s="1" t="str">
        <f t="shared" si="128"/>
        <v/>
      </c>
      <c r="J996" s="1">
        <f t="shared" si="129"/>
        <v>0</v>
      </c>
      <c r="K996" s="1" t="str">
        <f t="shared" si="130"/>
        <v/>
      </c>
      <c r="L996" s="1">
        <f t="shared" si="131"/>
        <v>0</v>
      </c>
      <c r="M996" s="1">
        <f t="shared" si="132"/>
        <v>0</v>
      </c>
      <c r="N996" s="1">
        <f t="shared" si="133"/>
        <v>0</v>
      </c>
      <c r="O996" s="1" t="b">
        <f t="shared" si="134"/>
        <v>0</v>
      </c>
      <c r="P996" s="1" t="e">
        <f>INDEX(G:G,MATCH(G996,G:G,0))</f>
        <v>#N/A</v>
      </c>
      <c r="Q996" s="1" t="e">
        <f t="shared" si="135"/>
        <v>#N/A</v>
      </c>
      <c r="R996" s="1" t="e">
        <f>INDEX('6.0.35'!I:I,MATCH(F996,'6.0.35'!K:K,0))</f>
        <v>#N/A</v>
      </c>
      <c r="S996" s="1" t="e">
        <f>INDEX('6.0.35'!J:J,MATCH(F996,'6.0.35'!F:F,0))</f>
        <v>#N/A</v>
      </c>
    </row>
    <row r="997" spans="1:19">
      <c r="A997" t="s">
        <v>17417</v>
      </c>
      <c r="I997" s="1" t="str">
        <f t="shared" si="128"/>
        <v/>
      </c>
      <c r="J997" s="1">
        <f t="shared" si="129"/>
        <v>0</v>
      </c>
      <c r="K997" s="1" t="str">
        <f t="shared" si="130"/>
        <v/>
      </c>
      <c r="L997" s="1">
        <f t="shared" si="131"/>
        <v>0</v>
      </c>
      <c r="M997" s="1">
        <f t="shared" si="132"/>
        <v>0</v>
      </c>
      <c r="N997" s="1">
        <f t="shared" si="133"/>
        <v>0</v>
      </c>
      <c r="O997" s="1" t="b">
        <f t="shared" si="134"/>
        <v>0</v>
      </c>
      <c r="P997" s="1" t="e">
        <f>INDEX(G:G,MATCH(G997,G:G,0))</f>
        <v>#N/A</v>
      </c>
      <c r="Q997" s="1" t="e">
        <f t="shared" si="135"/>
        <v>#N/A</v>
      </c>
      <c r="R997" s="1" t="e">
        <f>INDEX('6.0.35'!I:I,MATCH(F997,'6.0.35'!K:K,0))</f>
        <v>#N/A</v>
      </c>
      <c r="S997" s="1" t="e">
        <f>INDEX('6.0.35'!J:J,MATCH(F997,'6.0.35'!F:F,0))</f>
        <v>#N/A</v>
      </c>
    </row>
    <row r="998" spans="1:19">
      <c r="A998" t="s">
        <v>17427</v>
      </c>
      <c r="I998" s="1" t="str">
        <f t="shared" si="128"/>
        <v/>
      </c>
      <c r="J998" s="1">
        <f t="shared" si="129"/>
        <v>0</v>
      </c>
      <c r="K998" s="1" t="str">
        <f t="shared" si="130"/>
        <v/>
      </c>
      <c r="L998" s="1">
        <f t="shared" si="131"/>
        <v>0</v>
      </c>
      <c r="M998" s="1">
        <f t="shared" si="132"/>
        <v>0</v>
      </c>
      <c r="N998" s="1">
        <f t="shared" si="133"/>
        <v>0</v>
      </c>
      <c r="O998" s="1" t="b">
        <f t="shared" si="134"/>
        <v>0</v>
      </c>
      <c r="P998" s="1" t="e">
        <f>INDEX(G:G,MATCH(G998,G:G,0))</f>
        <v>#N/A</v>
      </c>
      <c r="Q998" s="1" t="e">
        <f t="shared" si="135"/>
        <v>#N/A</v>
      </c>
      <c r="R998" s="1" t="e">
        <f>INDEX('6.0.35'!I:I,MATCH(F998,'6.0.35'!K:K,0))</f>
        <v>#N/A</v>
      </c>
      <c r="S998" s="1" t="e">
        <f>INDEX('6.0.35'!J:J,MATCH(F998,'6.0.35'!F:F,0))</f>
        <v>#N/A</v>
      </c>
    </row>
    <row r="999" spans="1:19">
      <c r="A999" t="s">
        <v>17431</v>
      </c>
      <c r="I999" s="1" t="str">
        <f t="shared" si="128"/>
        <v/>
      </c>
      <c r="J999" s="1">
        <f t="shared" si="129"/>
        <v>0</v>
      </c>
      <c r="K999" s="1" t="str">
        <f t="shared" si="130"/>
        <v/>
      </c>
      <c r="L999" s="1">
        <f t="shared" si="131"/>
        <v>0</v>
      </c>
      <c r="M999" s="1">
        <f t="shared" si="132"/>
        <v>0</v>
      </c>
      <c r="N999" s="1">
        <f t="shared" si="133"/>
        <v>0</v>
      </c>
      <c r="O999" s="1" t="b">
        <f t="shared" si="134"/>
        <v>0</v>
      </c>
      <c r="P999" s="1" t="e">
        <f>INDEX(G:G,MATCH(G999,G:G,0))</f>
        <v>#N/A</v>
      </c>
      <c r="Q999" s="1" t="e">
        <f t="shared" si="135"/>
        <v>#N/A</v>
      </c>
      <c r="R999" s="1" t="e">
        <f>INDEX('6.0.35'!I:I,MATCH(F999,'6.0.35'!K:K,0))</f>
        <v>#N/A</v>
      </c>
      <c r="S999" s="1" t="e">
        <f>INDEX('6.0.35'!J:J,MATCH(F999,'6.0.35'!F:F,0))</f>
        <v>#N/A</v>
      </c>
    </row>
    <row r="1000" spans="1:19">
      <c r="A1000" t="s">
        <v>17435</v>
      </c>
      <c r="I1000" s="1" t="str">
        <f t="shared" si="128"/>
        <v/>
      </c>
      <c r="J1000" s="1">
        <f t="shared" si="129"/>
        <v>0</v>
      </c>
      <c r="K1000" s="1" t="str">
        <f t="shared" si="130"/>
        <v/>
      </c>
      <c r="L1000" s="1">
        <f t="shared" si="131"/>
        <v>0</v>
      </c>
      <c r="M1000" s="1">
        <f t="shared" si="132"/>
        <v>0</v>
      </c>
      <c r="N1000" s="1">
        <f t="shared" si="133"/>
        <v>0</v>
      </c>
      <c r="O1000" s="1" t="b">
        <f t="shared" si="134"/>
        <v>0</v>
      </c>
      <c r="P1000" s="1" t="e">
        <f>INDEX(G:G,MATCH(G1000,G:G,0))</f>
        <v>#N/A</v>
      </c>
      <c r="Q1000" s="1" t="e">
        <f t="shared" si="135"/>
        <v>#N/A</v>
      </c>
      <c r="R1000" s="1" t="e">
        <f>INDEX('6.0.35'!I:I,MATCH(F1000,'6.0.35'!K:K,0))</f>
        <v>#N/A</v>
      </c>
      <c r="S1000" s="1" t="e">
        <f>INDEX('6.0.35'!J:J,MATCH(F1000,'6.0.35'!F:F,0))</f>
        <v>#N/A</v>
      </c>
    </row>
    <row r="1001" spans="1:19">
      <c r="A1001" t="s">
        <v>17438</v>
      </c>
      <c r="I1001" s="1" t="str">
        <f t="shared" si="128"/>
        <v/>
      </c>
      <c r="J1001" s="1">
        <f t="shared" si="129"/>
        <v>0</v>
      </c>
      <c r="K1001" s="1" t="str">
        <f t="shared" si="130"/>
        <v/>
      </c>
      <c r="L1001" s="1">
        <f t="shared" si="131"/>
        <v>0</v>
      </c>
      <c r="M1001" s="1">
        <f t="shared" si="132"/>
        <v>0</v>
      </c>
      <c r="N1001" s="1">
        <f t="shared" si="133"/>
        <v>0</v>
      </c>
      <c r="O1001" s="1" t="b">
        <f t="shared" si="134"/>
        <v>0</v>
      </c>
      <c r="P1001" s="1" t="e">
        <f>INDEX(G:G,MATCH(G1001,G:G,0))</f>
        <v>#N/A</v>
      </c>
      <c r="Q1001" s="1" t="e">
        <f t="shared" si="135"/>
        <v>#N/A</v>
      </c>
      <c r="R1001" s="1" t="e">
        <f>INDEX('6.0.35'!I:I,MATCH(F1001,'6.0.35'!K:K,0))</f>
        <v>#N/A</v>
      </c>
      <c r="S1001" s="1" t="e">
        <f>INDEX('6.0.35'!J:J,MATCH(F1001,'6.0.35'!F:F,0))</f>
        <v>#N/A</v>
      </c>
    </row>
    <row r="1002" spans="1:19">
      <c r="A1002" t="s">
        <v>17441</v>
      </c>
      <c r="I1002" s="1" t="str">
        <f t="shared" si="128"/>
        <v/>
      </c>
      <c r="J1002" s="1">
        <f t="shared" si="129"/>
        <v>0</v>
      </c>
      <c r="K1002" s="1" t="str">
        <f t="shared" si="130"/>
        <v/>
      </c>
      <c r="L1002" s="1">
        <f t="shared" si="131"/>
        <v>0</v>
      </c>
      <c r="M1002" s="1">
        <f t="shared" si="132"/>
        <v>0</v>
      </c>
      <c r="N1002" s="1">
        <f t="shared" si="133"/>
        <v>0</v>
      </c>
      <c r="O1002" s="1" t="b">
        <f t="shared" si="134"/>
        <v>0</v>
      </c>
      <c r="P1002" s="1" t="e">
        <f>INDEX(G:G,MATCH(G1002,G:G,0))</f>
        <v>#N/A</v>
      </c>
      <c r="Q1002" s="1" t="e">
        <f t="shared" si="135"/>
        <v>#N/A</v>
      </c>
      <c r="R1002" s="1" t="e">
        <f>INDEX('6.0.35'!I:I,MATCH(F1002,'6.0.35'!K:K,0))</f>
        <v>#N/A</v>
      </c>
      <c r="S1002" s="1" t="e">
        <f>INDEX('6.0.35'!J:J,MATCH(F1002,'6.0.35'!F:F,0))</f>
        <v>#N/A</v>
      </c>
    </row>
    <row r="1003" spans="1:19">
      <c r="A1003" t="s">
        <v>17444</v>
      </c>
      <c r="I1003" s="1" t="str">
        <f t="shared" si="128"/>
        <v/>
      </c>
      <c r="J1003" s="1">
        <f t="shared" si="129"/>
        <v>0</v>
      </c>
      <c r="K1003" s="1" t="str">
        <f t="shared" si="130"/>
        <v/>
      </c>
      <c r="L1003" s="1">
        <f t="shared" si="131"/>
        <v>0</v>
      </c>
      <c r="M1003" s="1">
        <f t="shared" si="132"/>
        <v>0</v>
      </c>
      <c r="N1003" s="1">
        <f t="shared" si="133"/>
        <v>0</v>
      </c>
      <c r="O1003" s="1" t="b">
        <f t="shared" si="134"/>
        <v>0</v>
      </c>
      <c r="P1003" s="1" t="e">
        <f>INDEX(G:G,MATCH(G1003,G:G,0))</f>
        <v>#N/A</v>
      </c>
      <c r="Q1003" s="1" t="e">
        <f t="shared" si="135"/>
        <v>#N/A</v>
      </c>
      <c r="R1003" s="1" t="e">
        <f>INDEX('6.0.35'!I:I,MATCH(F1003,'6.0.35'!K:K,0))</f>
        <v>#N/A</v>
      </c>
      <c r="S1003" s="1" t="e">
        <f>INDEX('6.0.35'!J:J,MATCH(F1003,'6.0.35'!F:F,0))</f>
        <v>#N/A</v>
      </c>
    </row>
    <row r="1004" spans="1:19">
      <c r="A1004" t="s">
        <v>17438</v>
      </c>
      <c r="I1004" s="1" t="str">
        <f t="shared" si="128"/>
        <v/>
      </c>
      <c r="J1004" s="1">
        <f t="shared" si="129"/>
        <v>0</v>
      </c>
      <c r="K1004" s="1" t="str">
        <f t="shared" si="130"/>
        <v/>
      </c>
      <c r="L1004" s="1">
        <f t="shared" si="131"/>
        <v>0</v>
      </c>
      <c r="M1004" s="1">
        <f t="shared" si="132"/>
        <v>0</v>
      </c>
      <c r="N1004" s="1">
        <f t="shared" si="133"/>
        <v>0</v>
      </c>
      <c r="O1004" s="1" t="b">
        <f t="shared" si="134"/>
        <v>0</v>
      </c>
      <c r="P1004" s="1" t="e">
        <f>INDEX(G:G,MATCH(G1004,G:G,0))</f>
        <v>#N/A</v>
      </c>
      <c r="Q1004" s="1" t="e">
        <f t="shared" si="135"/>
        <v>#N/A</v>
      </c>
      <c r="R1004" s="1" t="e">
        <f>INDEX('6.0.35'!I:I,MATCH(F1004,'6.0.35'!K:K,0))</f>
        <v>#N/A</v>
      </c>
      <c r="S1004" s="1" t="e">
        <f>INDEX('6.0.35'!J:J,MATCH(F1004,'6.0.35'!F:F,0))</f>
        <v>#N/A</v>
      </c>
    </row>
    <row r="1005" spans="1:19">
      <c r="A1005" t="s">
        <v>17441</v>
      </c>
      <c r="I1005" s="1" t="str">
        <f t="shared" si="128"/>
        <v/>
      </c>
      <c r="J1005" s="1">
        <f t="shared" si="129"/>
        <v>0</v>
      </c>
      <c r="K1005" s="1" t="str">
        <f t="shared" si="130"/>
        <v/>
      </c>
      <c r="L1005" s="1">
        <f t="shared" si="131"/>
        <v>0</v>
      </c>
      <c r="M1005" s="1">
        <f t="shared" si="132"/>
        <v>0</v>
      </c>
      <c r="N1005" s="1">
        <f t="shared" si="133"/>
        <v>0</v>
      </c>
      <c r="O1005" s="1" t="b">
        <f t="shared" si="134"/>
        <v>0</v>
      </c>
      <c r="P1005" s="1" t="e">
        <f>INDEX(G:G,MATCH(G1005,G:G,0))</f>
        <v>#N/A</v>
      </c>
      <c r="Q1005" s="1" t="e">
        <f t="shared" si="135"/>
        <v>#N/A</v>
      </c>
      <c r="R1005" s="1" t="e">
        <f>INDEX('6.0.35'!I:I,MATCH(F1005,'6.0.35'!K:K,0))</f>
        <v>#N/A</v>
      </c>
      <c r="S1005" s="1" t="e">
        <f>INDEX('6.0.35'!J:J,MATCH(F1005,'6.0.35'!F:F,0))</f>
        <v>#N/A</v>
      </c>
    </row>
    <row r="1006" spans="1:19">
      <c r="A1006" t="s">
        <v>17444</v>
      </c>
      <c r="I1006" s="1" t="str">
        <f t="shared" si="128"/>
        <v/>
      </c>
      <c r="J1006" s="1">
        <f t="shared" si="129"/>
        <v>0</v>
      </c>
      <c r="K1006" s="1" t="str">
        <f t="shared" si="130"/>
        <v/>
      </c>
      <c r="L1006" s="1">
        <f t="shared" si="131"/>
        <v>0</v>
      </c>
      <c r="M1006" s="1">
        <f t="shared" si="132"/>
        <v>0</v>
      </c>
      <c r="N1006" s="1">
        <f t="shared" si="133"/>
        <v>0</v>
      </c>
      <c r="O1006" s="1" t="b">
        <f t="shared" si="134"/>
        <v>0</v>
      </c>
      <c r="P1006" s="1" t="e">
        <f>INDEX(G:G,MATCH(G1006,G:G,0))</f>
        <v>#N/A</v>
      </c>
      <c r="Q1006" s="1" t="e">
        <f t="shared" si="135"/>
        <v>#N/A</v>
      </c>
      <c r="R1006" s="1" t="e">
        <f>INDEX('6.0.35'!I:I,MATCH(F1006,'6.0.35'!K:K,0))</f>
        <v>#N/A</v>
      </c>
      <c r="S1006" s="1" t="e">
        <f>INDEX('6.0.35'!J:J,MATCH(F1006,'6.0.35'!F:F,0))</f>
        <v>#N/A</v>
      </c>
    </row>
    <row r="1007" spans="1:19">
      <c r="A1007" t="s">
        <v>17454</v>
      </c>
      <c r="I1007" s="1" t="str">
        <f t="shared" si="128"/>
        <v/>
      </c>
      <c r="J1007" s="1">
        <f t="shared" si="129"/>
        <v>0</v>
      </c>
      <c r="K1007" s="1" t="str">
        <f t="shared" si="130"/>
        <v/>
      </c>
      <c r="L1007" s="1">
        <f t="shared" si="131"/>
        <v>0</v>
      </c>
      <c r="M1007" s="1">
        <f t="shared" si="132"/>
        <v>0</v>
      </c>
      <c r="N1007" s="1">
        <f t="shared" si="133"/>
        <v>0</v>
      </c>
      <c r="O1007" s="1" t="b">
        <f t="shared" si="134"/>
        <v>0</v>
      </c>
      <c r="P1007" s="1" t="e">
        <f>INDEX(G:G,MATCH(G1007,G:G,0))</f>
        <v>#N/A</v>
      </c>
      <c r="Q1007" s="1" t="e">
        <f t="shared" si="135"/>
        <v>#N/A</v>
      </c>
      <c r="R1007" s="1" t="e">
        <f>INDEX('6.0.35'!I:I,MATCH(F1007,'6.0.35'!K:K,0))</f>
        <v>#N/A</v>
      </c>
      <c r="S1007" s="1" t="e">
        <f>INDEX('6.0.35'!J:J,MATCH(F1007,'6.0.35'!F:F,0))</f>
        <v>#N/A</v>
      </c>
    </row>
    <row r="1008" spans="1:19">
      <c r="A1008" t="s">
        <v>17457</v>
      </c>
      <c r="I1008" s="1" t="str">
        <f t="shared" si="128"/>
        <v/>
      </c>
      <c r="J1008" s="1">
        <f t="shared" si="129"/>
        <v>0</v>
      </c>
      <c r="K1008" s="1" t="str">
        <f t="shared" si="130"/>
        <v/>
      </c>
      <c r="L1008" s="1">
        <f t="shared" si="131"/>
        <v>0</v>
      </c>
      <c r="M1008" s="1">
        <f t="shared" si="132"/>
        <v>0</v>
      </c>
      <c r="N1008" s="1">
        <f t="shared" si="133"/>
        <v>0</v>
      </c>
      <c r="O1008" s="1" t="b">
        <f t="shared" si="134"/>
        <v>0</v>
      </c>
      <c r="P1008" s="1" t="e">
        <f>INDEX(G:G,MATCH(G1008,G:G,0))</f>
        <v>#N/A</v>
      </c>
      <c r="Q1008" s="1" t="e">
        <f t="shared" si="135"/>
        <v>#N/A</v>
      </c>
      <c r="R1008" s="1" t="e">
        <f>INDEX('6.0.35'!I:I,MATCH(F1008,'6.0.35'!K:K,0))</f>
        <v>#N/A</v>
      </c>
      <c r="S1008" s="1" t="e">
        <f>INDEX('6.0.35'!J:J,MATCH(F1008,'6.0.35'!F:F,0))</f>
        <v>#N/A</v>
      </c>
    </row>
    <row r="1009" spans="1:19">
      <c r="A1009" t="s">
        <v>17460</v>
      </c>
      <c r="I1009" s="1" t="str">
        <f t="shared" si="128"/>
        <v/>
      </c>
      <c r="J1009" s="1">
        <f t="shared" si="129"/>
        <v>0</v>
      </c>
      <c r="K1009" s="1" t="str">
        <f t="shared" si="130"/>
        <v/>
      </c>
      <c r="L1009" s="1">
        <f t="shared" si="131"/>
        <v>0</v>
      </c>
      <c r="M1009" s="1">
        <f t="shared" si="132"/>
        <v>0</v>
      </c>
      <c r="N1009" s="1">
        <f t="shared" si="133"/>
        <v>0</v>
      </c>
      <c r="O1009" s="1" t="b">
        <f t="shared" si="134"/>
        <v>0</v>
      </c>
      <c r="P1009" s="1" t="e">
        <f>INDEX(G:G,MATCH(G1009,G:G,0))</f>
        <v>#N/A</v>
      </c>
      <c r="Q1009" s="1" t="e">
        <f t="shared" si="135"/>
        <v>#N/A</v>
      </c>
      <c r="R1009" s="1" t="e">
        <f>INDEX('6.0.35'!I:I,MATCH(F1009,'6.0.35'!K:K,0))</f>
        <v>#N/A</v>
      </c>
      <c r="S1009" s="1" t="e">
        <f>INDEX('6.0.35'!J:J,MATCH(F1009,'6.0.35'!F:F,0))</f>
        <v>#N/A</v>
      </c>
    </row>
    <row r="1010" spans="1:19">
      <c r="A1010" t="s">
        <v>17463</v>
      </c>
      <c r="I1010" s="1" t="str">
        <f t="shared" si="128"/>
        <v/>
      </c>
      <c r="J1010" s="1">
        <f t="shared" si="129"/>
        <v>0</v>
      </c>
      <c r="K1010" s="1" t="str">
        <f t="shared" si="130"/>
        <v/>
      </c>
      <c r="L1010" s="1">
        <f t="shared" si="131"/>
        <v>0</v>
      </c>
      <c r="M1010" s="1">
        <f t="shared" si="132"/>
        <v>0</v>
      </c>
      <c r="N1010" s="1">
        <f t="shared" si="133"/>
        <v>0</v>
      </c>
      <c r="O1010" s="1" t="b">
        <f t="shared" si="134"/>
        <v>0</v>
      </c>
      <c r="P1010" s="1" t="e">
        <f>INDEX(G:G,MATCH(G1010,G:G,0))</f>
        <v>#N/A</v>
      </c>
      <c r="Q1010" s="1" t="e">
        <f t="shared" si="135"/>
        <v>#N/A</v>
      </c>
      <c r="R1010" s="1" t="e">
        <f>INDEX('6.0.35'!I:I,MATCH(F1010,'6.0.35'!K:K,0))</f>
        <v>#N/A</v>
      </c>
      <c r="S1010" s="1" t="e">
        <f>INDEX('6.0.35'!J:J,MATCH(F1010,'6.0.35'!F:F,0))</f>
        <v>#N/A</v>
      </c>
    </row>
    <row r="1011" spans="1:19">
      <c r="A1011" t="s">
        <v>17466</v>
      </c>
      <c r="I1011" s="1" t="str">
        <f t="shared" si="128"/>
        <v/>
      </c>
      <c r="J1011" s="1">
        <f t="shared" si="129"/>
        <v>0</v>
      </c>
      <c r="K1011" s="1" t="str">
        <f t="shared" si="130"/>
        <v/>
      </c>
      <c r="L1011" s="1">
        <f t="shared" si="131"/>
        <v>0</v>
      </c>
      <c r="M1011" s="1">
        <f t="shared" si="132"/>
        <v>0</v>
      </c>
      <c r="N1011" s="1">
        <f t="shared" si="133"/>
        <v>0</v>
      </c>
      <c r="O1011" s="1" t="b">
        <f t="shared" si="134"/>
        <v>0</v>
      </c>
      <c r="P1011" s="1" t="e">
        <f>INDEX(G:G,MATCH(G1011,G:G,0))</f>
        <v>#N/A</v>
      </c>
      <c r="Q1011" s="1" t="e">
        <f t="shared" si="135"/>
        <v>#N/A</v>
      </c>
      <c r="R1011" s="1" t="e">
        <f>INDEX('6.0.35'!I:I,MATCH(F1011,'6.0.35'!K:K,0))</f>
        <v>#N/A</v>
      </c>
      <c r="S1011" s="1" t="e">
        <f>INDEX('6.0.35'!J:J,MATCH(F1011,'6.0.35'!F:F,0))</f>
        <v>#N/A</v>
      </c>
    </row>
    <row r="1012" spans="1:19">
      <c r="A1012" t="s">
        <v>17469</v>
      </c>
      <c r="I1012" s="1" t="str">
        <f t="shared" si="128"/>
        <v/>
      </c>
      <c r="J1012" s="1">
        <f t="shared" si="129"/>
        <v>0</v>
      </c>
      <c r="K1012" s="1" t="str">
        <f t="shared" si="130"/>
        <v/>
      </c>
      <c r="L1012" s="1">
        <f t="shared" si="131"/>
        <v>0</v>
      </c>
      <c r="M1012" s="1">
        <f t="shared" si="132"/>
        <v>0</v>
      </c>
      <c r="N1012" s="1">
        <f t="shared" si="133"/>
        <v>0</v>
      </c>
      <c r="O1012" s="1" t="b">
        <f t="shared" si="134"/>
        <v>0</v>
      </c>
      <c r="P1012" s="1" t="e">
        <f>INDEX(G:G,MATCH(G1012,G:G,0))</f>
        <v>#N/A</v>
      </c>
      <c r="Q1012" s="1" t="e">
        <f t="shared" si="135"/>
        <v>#N/A</v>
      </c>
      <c r="R1012" s="1" t="e">
        <f>INDEX('6.0.35'!I:I,MATCH(F1012,'6.0.35'!K:K,0))</f>
        <v>#N/A</v>
      </c>
      <c r="S1012" s="1" t="e">
        <f>INDEX('6.0.35'!J:J,MATCH(F1012,'6.0.35'!F:F,0))</f>
        <v>#N/A</v>
      </c>
    </row>
    <row r="1013" spans="1:19">
      <c r="A1013" t="s">
        <v>17472</v>
      </c>
      <c r="I1013" s="1" t="str">
        <f t="shared" si="128"/>
        <v/>
      </c>
      <c r="J1013" s="1">
        <f t="shared" si="129"/>
        <v>0</v>
      </c>
      <c r="K1013" s="1" t="str">
        <f t="shared" si="130"/>
        <v/>
      </c>
      <c r="L1013" s="1">
        <f t="shared" si="131"/>
        <v>0</v>
      </c>
      <c r="M1013" s="1">
        <f t="shared" si="132"/>
        <v>0</v>
      </c>
      <c r="N1013" s="1">
        <f t="shared" si="133"/>
        <v>0</v>
      </c>
      <c r="O1013" s="1" t="b">
        <f t="shared" si="134"/>
        <v>0</v>
      </c>
      <c r="P1013" s="1" t="e">
        <f>INDEX(G:G,MATCH(G1013,G:G,0))</f>
        <v>#N/A</v>
      </c>
      <c r="Q1013" s="1" t="e">
        <f t="shared" si="135"/>
        <v>#N/A</v>
      </c>
      <c r="R1013" s="1" t="e">
        <f>INDEX('6.0.35'!I:I,MATCH(F1013,'6.0.35'!K:K,0))</f>
        <v>#N/A</v>
      </c>
      <c r="S1013" s="1" t="e">
        <f>INDEX('6.0.35'!J:J,MATCH(F1013,'6.0.35'!F:F,0))</f>
        <v>#N/A</v>
      </c>
    </row>
    <row r="1014" spans="1:19">
      <c r="A1014" t="s">
        <v>17490</v>
      </c>
      <c r="I1014" s="1" t="str">
        <f t="shared" si="128"/>
        <v/>
      </c>
      <c r="J1014" s="1">
        <f t="shared" si="129"/>
        <v>0</v>
      </c>
      <c r="K1014" s="1" t="str">
        <f t="shared" si="130"/>
        <v/>
      </c>
      <c r="L1014" s="1">
        <f t="shared" si="131"/>
        <v>0</v>
      </c>
      <c r="M1014" s="1">
        <f t="shared" si="132"/>
        <v>0</v>
      </c>
      <c r="N1014" s="1">
        <f t="shared" si="133"/>
        <v>0</v>
      </c>
      <c r="O1014" s="1" t="b">
        <f t="shared" si="134"/>
        <v>0</v>
      </c>
      <c r="P1014" s="1" t="e">
        <f>INDEX(G:G,MATCH(G1014,G:G,0))</f>
        <v>#N/A</v>
      </c>
      <c r="Q1014" s="1" t="e">
        <f t="shared" si="135"/>
        <v>#N/A</v>
      </c>
      <c r="R1014" s="1" t="e">
        <f>INDEX('6.0.35'!I:I,MATCH(F1014,'6.0.35'!K:K,0))</f>
        <v>#N/A</v>
      </c>
      <c r="S1014" s="1" t="e">
        <f>INDEX('6.0.35'!J:J,MATCH(F1014,'6.0.35'!F:F,0))</f>
        <v>#N/A</v>
      </c>
    </row>
    <row r="1015" spans="1:19">
      <c r="A1015" t="s">
        <v>17490</v>
      </c>
      <c r="I1015" s="1" t="str">
        <f t="shared" si="128"/>
        <v/>
      </c>
      <c r="J1015" s="1">
        <f t="shared" si="129"/>
        <v>0</v>
      </c>
      <c r="K1015" s="1" t="str">
        <f t="shared" si="130"/>
        <v/>
      </c>
      <c r="L1015" s="1">
        <f t="shared" si="131"/>
        <v>0</v>
      </c>
      <c r="M1015" s="1">
        <f t="shared" si="132"/>
        <v>0</v>
      </c>
      <c r="N1015" s="1">
        <f t="shared" si="133"/>
        <v>0</v>
      </c>
      <c r="O1015" s="1" t="b">
        <f t="shared" si="134"/>
        <v>0</v>
      </c>
      <c r="P1015" s="1" t="e">
        <f>INDEX(G:G,MATCH(G1015,G:G,0))</f>
        <v>#N/A</v>
      </c>
      <c r="Q1015" s="1" t="e">
        <f t="shared" si="135"/>
        <v>#N/A</v>
      </c>
      <c r="R1015" s="1" t="e">
        <f>INDEX('6.0.35'!I:I,MATCH(F1015,'6.0.35'!K:K,0))</f>
        <v>#N/A</v>
      </c>
      <c r="S1015" s="1" t="e">
        <f>INDEX('6.0.35'!J:J,MATCH(F1015,'6.0.35'!F:F,0))</f>
        <v>#N/A</v>
      </c>
    </row>
    <row r="1016" spans="1:19">
      <c r="A1016" t="s">
        <v>17509</v>
      </c>
      <c r="I1016" s="1" t="str">
        <f t="shared" si="128"/>
        <v/>
      </c>
      <c r="J1016" s="1">
        <f t="shared" si="129"/>
        <v>0</v>
      </c>
      <c r="K1016" s="1" t="str">
        <f t="shared" si="130"/>
        <v/>
      </c>
      <c r="L1016" s="1">
        <f t="shared" si="131"/>
        <v>0</v>
      </c>
      <c r="M1016" s="1">
        <f t="shared" si="132"/>
        <v>0</v>
      </c>
      <c r="N1016" s="1">
        <f t="shared" si="133"/>
        <v>0</v>
      </c>
      <c r="O1016" s="1" t="b">
        <f t="shared" si="134"/>
        <v>0</v>
      </c>
      <c r="P1016" s="1" t="e">
        <f>INDEX(G:G,MATCH(G1016,G:G,0))</f>
        <v>#N/A</v>
      </c>
      <c r="Q1016" s="1" t="e">
        <f t="shared" si="135"/>
        <v>#N/A</v>
      </c>
      <c r="R1016" s="1" t="e">
        <f>INDEX('6.0.35'!I:I,MATCH(F1016,'6.0.35'!K:K,0))</f>
        <v>#N/A</v>
      </c>
      <c r="S1016" s="1" t="e">
        <f>INDEX('6.0.35'!J:J,MATCH(F1016,'6.0.35'!F:F,0))</f>
        <v>#N/A</v>
      </c>
    </row>
    <row r="1017" spans="1:19">
      <c r="A1017" t="s">
        <v>17536</v>
      </c>
      <c r="I1017" s="1" t="str">
        <f t="shared" si="128"/>
        <v/>
      </c>
      <c r="J1017" s="1">
        <f t="shared" si="129"/>
        <v>0</v>
      </c>
      <c r="K1017" s="1" t="str">
        <f t="shared" si="130"/>
        <v/>
      </c>
      <c r="L1017" s="1">
        <f t="shared" si="131"/>
        <v>0</v>
      </c>
      <c r="M1017" s="1">
        <f t="shared" si="132"/>
        <v>0</v>
      </c>
      <c r="N1017" s="1">
        <f t="shared" si="133"/>
        <v>0</v>
      </c>
      <c r="O1017" s="1" t="b">
        <f t="shared" si="134"/>
        <v>0</v>
      </c>
      <c r="P1017" s="1" t="e">
        <f>INDEX(G:G,MATCH(G1017,G:G,0))</f>
        <v>#N/A</v>
      </c>
      <c r="Q1017" s="1" t="e">
        <f t="shared" si="135"/>
        <v>#N/A</v>
      </c>
      <c r="R1017" s="1" t="e">
        <f>INDEX('6.0.35'!I:I,MATCH(F1017,'6.0.35'!K:K,0))</f>
        <v>#N/A</v>
      </c>
      <c r="S1017" s="1" t="e">
        <f>INDEX('6.0.35'!J:J,MATCH(F1017,'6.0.35'!F:F,0))</f>
        <v>#N/A</v>
      </c>
    </row>
    <row r="1018" spans="1:19">
      <c r="A1018" t="s">
        <v>17539</v>
      </c>
      <c r="I1018" s="1" t="str">
        <f t="shared" ref="I1018:I1081" si="136">IFERROR(IF(OR(MID(G1018,FIND(":",G1018)-1,1)="""",MID(G1018,FIND(":",G1018)-1,1)="}",MID(G1018,FIND(":",G1018)-1,1)=")",MID(G1018,FIND(":",G1018)-1,1)="]"),"",RIGHT(G1018,LEN(G1018)-FIND(":",G1018)-1)),"")</f>
        <v/>
      </c>
      <c r="J1018" s="1">
        <f t="shared" ref="J1018:J1081" si="137">IF(AND(I1018="",H1018=""),G1018,IF(H1018="",I1018,H1018&amp;": "&amp;I1018))</f>
        <v>0</v>
      </c>
      <c r="K1018" s="1" t="str">
        <f t="shared" ref="K1018:K1081" si="138">IFERROR(IF(OR(MID(F1018,FIND(":",F1018)-1,1)="""",MID(F1018,FIND(":",F1018)-1,1)="}",MID(F1018,FIND(":",F1018)-1,1)=")",MID(F1018,FIND(":",F1018)-1,1)="]"),"",RIGHT(F1018,LEN(F1018)-FIND(":",F1018)-1)),"")</f>
        <v/>
      </c>
      <c r="L1018" s="1">
        <f t="shared" ref="L1018:L1081" si="139">LEN(F1018)-LEN(SUBSTITUTE(F1018,":",""))</f>
        <v>0</v>
      </c>
      <c r="M1018" s="1">
        <f t="shared" ref="M1018:M1081" si="140">LEN(G1018)-LEN(SUBSTITUTE(G1018,":",""))</f>
        <v>0</v>
      </c>
      <c r="N1018" s="1">
        <f t="shared" ref="N1018:N1081" si="141">LEN(G1018)-LEN(SUBSTITUTE(G1018,"：",""))</f>
        <v>0</v>
      </c>
      <c r="O1018" s="1" t="b">
        <f t="shared" ref="O1018:O1081" si="142">IF(M1018&gt;=2,MID(G1018,FIND(":",G1018)+1,LEN(G1018)))</f>
        <v>0</v>
      </c>
      <c r="P1018" s="1" t="e">
        <f>INDEX(G:G,MATCH(G1018,G:G,0))</f>
        <v>#N/A</v>
      </c>
      <c r="Q1018" s="1" t="e">
        <f t="shared" ref="Q1018:Q1081" si="143">IF(P1018&lt;&gt;G1018,"校验","")</f>
        <v>#N/A</v>
      </c>
      <c r="R1018" s="1" t="e">
        <f>INDEX('6.0.35'!I:I,MATCH(F1018,'6.0.35'!K:K,0))</f>
        <v>#N/A</v>
      </c>
      <c r="S1018" s="1" t="e">
        <f>INDEX('6.0.35'!J:J,MATCH(F1018,'6.0.35'!F:F,0))</f>
        <v>#N/A</v>
      </c>
    </row>
    <row r="1019" spans="1:19">
      <c r="A1019" t="s">
        <v>17542</v>
      </c>
      <c r="I1019" s="1" t="str">
        <f t="shared" si="136"/>
        <v/>
      </c>
      <c r="J1019" s="1">
        <f t="shared" si="137"/>
        <v>0</v>
      </c>
      <c r="K1019" s="1" t="str">
        <f t="shared" si="138"/>
        <v/>
      </c>
      <c r="L1019" s="1">
        <f t="shared" si="139"/>
        <v>0</v>
      </c>
      <c r="M1019" s="1">
        <f t="shared" si="140"/>
        <v>0</v>
      </c>
      <c r="N1019" s="1">
        <f t="shared" si="141"/>
        <v>0</v>
      </c>
      <c r="O1019" s="1" t="b">
        <f t="shared" si="142"/>
        <v>0</v>
      </c>
      <c r="P1019" s="1" t="e">
        <f>INDEX(G:G,MATCH(G1019,G:G,0))</f>
        <v>#N/A</v>
      </c>
      <c r="Q1019" s="1" t="e">
        <f t="shared" si="143"/>
        <v>#N/A</v>
      </c>
      <c r="R1019" s="1" t="e">
        <f>INDEX('6.0.35'!I:I,MATCH(F1019,'6.0.35'!K:K,0))</f>
        <v>#N/A</v>
      </c>
      <c r="S1019" s="1" t="e">
        <f>INDEX('6.0.35'!J:J,MATCH(F1019,'6.0.35'!F:F,0))</f>
        <v>#N/A</v>
      </c>
    </row>
    <row r="1020" spans="1:19">
      <c r="A1020" t="s">
        <v>17545</v>
      </c>
      <c r="I1020" s="1" t="str">
        <f t="shared" si="136"/>
        <v/>
      </c>
      <c r="J1020" s="1">
        <f t="shared" si="137"/>
        <v>0</v>
      </c>
      <c r="K1020" s="1" t="str">
        <f t="shared" si="138"/>
        <v/>
      </c>
      <c r="L1020" s="1">
        <f t="shared" si="139"/>
        <v>0</v>
      </c>
      <c r="M1020" s="1">
        <f t="shared" si="140"/>
        <v>0</v>
      </c>
      <c r="N1020" s="1">
        <f t="shared" si="141"/>
        <v>0</v>
      </c>
      <c r="O1020" s="1" t="b">
        <f t="shared" si="142"/>
        <v>0</v>
      </c>
      <c r="P1020" s="1" t="e">
        <f>INDEX(G:G,MATCH(G1020,G:G,0))</f>
        <v>#N/A</v>
      </c>
      <c r="Q1020" s="1" t="e">
        <f t="shared" si="143"/>
        <v>#N/A</v>
      </c>
      <c r="R1020" s="1" t="e">
        <f>INDEX('6.0.35'!I:I,MATCH(F1020,'6.0.35'!K:K,0))</f>
        <v>#N/A</v>
      </c>
      <c r="S1020" s="1" t="e">
        <f>INDEX('6.0.35'!J:J,MATCH(F1020,'6.0.35'!F:F,0))</f>
        <v>#N/A</v>
      </c>
    </row>
    <row r="1021" spans="1:19">
      <c r="A1021" t="s">
        <v>17548</v>
      </c>
      <c r="I1021" s="1" t="str">
        <f t="shared" si="136"/>
        <v/>
      </c>
      <c r="J1021" s="1">
        <f t="shared" si="137"/>
        <v>0</v>
      </c>
      <c r="K1021" s="1" t="str">
        <f t="shared" si="138"/>
        <v/>
      </c>
      <c r="L1021" s="1">
        <f t="shared" si="139"/>
        <v>0</v>
      </c>
      <c r="M1021" s="1">
        <f t="shared" si="140"/>
        <v>0</v>
      </c>
      <c r="N1021" s="1">
        <f t="shared" si="141"/>
        <v>0</v>
      </c>
      <c r="O1021" s="1" t="b">
        <f t="shared" si="142"/>
        <v>0</v>
      </c>
      <c r="P1021" s="1" t="e">
        <f>INDEX(G:G,MATCH(G1021,G:G,0))</f>
        <v>#N/A</v>
      </c>
      <c r="Q1021" s="1" t="e">
        <f t="shared" si="143"/>
        <v>#N/A</v>
      </c>
      <c r="R1021" s="1" t="e">
        <f>INDEX('6.0.35'!I:I,MATCH(F1021,'6.0.35'!K:K,0))</f>
        <v>#N/A</v>
      </c>
      <c r="S1021" s="1" t="e">
        <f>INDEX('6.0.35'!J:J,MATCH(F1021,'6.0.35'!F:F,0))</f>
        <v>#N/A</v>
      </c>
    </row>
    <row r="1022" spans="1:19">
      <c r="A1022" t="s">
        <v>17551</v>
      </c>
      <c r="I1022" s="1" t="str">
        <f t="shared" si="136"/>
        <v/>
      </c>
      <c r="J1022" s="1">
        <f t="shared" si="137"/>
        <v>0</v>
      </c>
      <c r="K1022" s="1" t="str">
        <f t="shared" si="138"/>
        <v/>
      </c>
      <c r="L1022" s="1">
        <f t="shared" si="139"/>
        <v>0</v>
      </c>
      <c r="M1022" s="1">
        <f t="shared" si="140"/>
        <v>0</v>
      </c>
      <c r="N1022" s="1">
        <f t="shared" si="141"/>
        <v>0</v>
      </c>
      <c r="O1022" s="1" t="b">
        <f t="shared" si="142"/>
        <v>0</v>
      </c>
      <c r="P1022" s="1" t="e">
        <f>INDEX(G:G,MATCH(G1022,G:G,0))</f>
        <v>#N/A</v>
      </c>
      <c r="Q1022" s="1" t="e">
        <f t="shared" si="143"/>
        <v>#N/A</v>
      </c>
      <c r="R1022" s="1" t="e">
        <f>INDEX('6.0.35'!I:I,MATCH(F1022,'6.0.35'!K:K,0))</f>
        <v>#N/A</v>
      </c>
      <c r="S1022" s="1" t="e">
        <f>INDEX('6.0.35'!J:J,MATCH(F1022,'6.0.35'!F:F,0))</f>
        <v>#N/A</v>
      </c>
    </row>
    <row r="1023" spans="1:19">
      <c r="A1023" t="s">
        <v>17536</v>
      </c>
      <c r="I1023" s="1" t="str">
        <f t="shared" si="136"/>
        <v/>
      </c>
      <c r="J1023" s="1">
        <f t="shared" si="137"/>
        <v>0</v>
      </c>
      <c r="K1023" s="1" t="str">
        <f t="shared" si="138"/>
        <v/>
      </c>
      <c r="L1023" s="1">
        <f t="shared" si="139"/>
        <v>0</v>
      </c>
      <c r="M1023" s="1">
        <f t="shared" si="140"/>
        <v>0</v>
      </c>
      <c r="N1023" s="1">
        <f t="shared" si="141"/>
        <v>0</v>
      </c>
      <c r="O1023" s="1" t="b">
        <f t="shared" si="142"/>
        <v>0</v>
      </c>
      <c r="P1023" s="1" t="e">
        <f>INDEX(G:G,MATCH(G1023,G:G,0))</f>
        <v>#N/A</v>
      </c>
      <c r="Q1023" s="1" t="e">
        <f t="shared" si="143"/>
        <v>#N/A</v>
      </c>
      <c r="R1023" s="1" t="e">
        <f>INDEX('6.0.35'!I:I,MATCH(F1023,'6.0.35'!K:K,0))</f>
        <v>#N/A</v>
      </c>
      <c r="S1023" s="1" t="e">
        <f>INDEX('6.0.35'!J:J,MATCH(F1023,'6.0.35'!F:F,0))</f>
        <v>#N/A</v>
      </c>
    </row>
    <row r="1024" spans="1:19">
      <c r="A1024" t="s">
        <v>17555</v>
      </c>
      <c r="I1024" s="1" t="str">
        <f t="shared" si="136"/>
        <v/>
      </c>
      <c r="J1024" s="1">
        <f t="shared" si="137"/>
        <v>0</v>
      </c>
      <c r="K1024" s="1" t="str">
        <f t="shared" si="138"/>
        <v/>
      </c>
      <c r="L1024" s="1">
        <f t="shared" si="139"/>
        <v>0</v>
      </c>
      <c r="M1024" s="1">
        <f t="shared" si="140"/>
        <v>0</v>
      </c>
      <c r="N1024" s="1">
        <f t="shared" si="141"/>
        <v>0</v>
      </c>
      <c r="O1024" s="1" t="b">
        <f t="shared" si="142"/>
        <v>0</v>
      </c>
      <c r="P1024" s="1" t="e">
        <f>INDEX(G:G,MATCH(G1024,G:G,0))</f>
        <v>#N/A</v>
      </c>
      <c r="Q1024" s="1" t="e">
        <f t="shared" si="143"/>
        <v>#N/A</v>
      </c>
      <c r="R1024" s="1" t="e">
        <f>INDEX('6.0.35'!I:I,MATCH(F1024,'6.0.35'!K:K,0))</f>
        <v>#N/A</v>
      </c>
      <c r="S1024" s="1" t="e">
        <f>INDEX('6.0.35'!J:J,MATCH(F1024,'6.0.35'!F:F,0))</f>
        <v>#N/A</v>
      </c>
    </row>
    <row r="1025" spans="1:19">
      <c r="A1025" t="s">
        <v>17539</v>
      </c>
      <c r="I1025" s="1" t="str">
        <f t="shared" si="136"/>
        <v/>
      </c>
      <c r="J1025" s="1">
        <f t="shared" si="137"/>
        <v>0</v>
      </c>
      <c r="K1025" s="1" t="str">
        <f t="shared" si="138"/>
        <v/>
      </c>
      <c r="L1025" s="1">
        <f t="shared" si="139"/>
        <v>0</v>
      </c>
      <c r="M1025" s="1">
        <f t="shared" si="140"/>
        <v>0</v>
      </c>
      <c r="N1025" s="1">
        <f t="shared" si="141"/>
        <v>0</v>
      </c>
      <c r="O1025" s="1" t="b">
        <f t="shared" si="142"/>
        <v>0</v>
      </c>
      <c r="P1025" s="1" t="e">
        <f>INDEX(G:G,MATCH(G1025,G:G,0))</f>
        <v>#N/A</v>
      </c>
      <c r="Q1025" s="1" t="e">
        <f t="shared" si="143"/>
        <v>#N/A</v>
      </c>
      <c r="R1025" s="1" t="e">
        <f>INDEX('6.0.35'!I:I,MATCH(F1025,'6.0.35'!K:K,0))</f>
        <v>#N/A</v>
      </c>
      <c r="S1025" s="1" t="e">
        <f>INDEX('6.0.35'!J:J,MATCH(F1025,'6.0.35'!F:F,0))</f>
        <v>#N/A</v>
      </c>
    </row>
    <row r="1026" spans="1:19">
      <c r="A1026" t="s">
        <v>17542</v>
      </c>
      <c r="I1026" s="1" t="str">
        <f t="shared" si="136"/>
        <v/>
      </c>
      <c r="J1026" s="1">
        <f t="shared" si="137"/>
        <v>0</v>
      </c>
      <c r="K1026" s="1" t="str">
        <f t="shared" si="138"/>
        <v/>
      </c>
      <c r="L1026" s="1">
        <f t="shared" si="139"/>
        <v>0</v>
      </c>
      <c r="M1026" s="1">
        <f t="shared" si="140"/>
        <v>0</v>
      </c>
      <c r="N1026" s="1">
        <f t="shared" si="141"/>
        <v>0</v>
      </c>
      <c r="O1026" s="1" t="b">
        <f t="shared" si="142"/>
        <v>0</v>
      </c>
      <c r="P1026" s="1" t="e">
        <f>INDEX(G:G,MATCH(G1026,G:G,0))</f>
        <v>#N/A</v>
      </c>
      <c r="Q1026" s="1" t="e">
        <f t="shared" si="143"/>
        <v>#N/A</v>
      </c>
      <c r="R1026" s="1" t="e">
        <f>INDEX('6.0.35'!I:I,MATCH(F1026,'6.0.35'!K:K,0))</f>
        <v>#N/A</v>
      </c>
      <c r="S1026" s="1" t="e">
        <f>INDEX('6.0.35'!J:J,MATCH(F1026,'6.0.35'!F:F,0))</f>
        <v>#N/A</v>
      </c>
    </row>
    <row r="1027" spans="1:19">
      <c r="A1027" t="s">
        <v>17545</v>
      </c>
      <c r="I1027" s="1" t="str">
        <f t="shared" si="136"/>
        <v/>
      </c>
      <c r="J1027" s="1">
        <f t="shared" si="137"/>
        <v>0</v>
      </c>
      <c r="K1027" s="1" t="str">
        <f t="shared" si="138"/>
        <v/>
      </c>
      <c r="L1027" s="1">
        <f t="shared" si="139"/>
        <v>0</v>
      </c>
      <c r="M1027" s="1">
        <f t="shared" si="140"/>
        <v>0</v>
      </c>
      <c r="N1027" s="1">
        <f t="shared" si="141"/>
        <v>0</v>
      </c>
      <c r="O1027" s="1" t="b">
        <f t="shared" si="142"/>
        <v>0</v>
      </c>
      <c r="P1027" s="1" t="e">
        <f>INDEX(G:G,MATCH(G1027,G:G,0))</f>
        <v>#N/A</v>
      </c>
      <c r="Q1027" s="1" t="e">
        <f t="shared" si="143"/>
        <v>#N/A</v>
      </c>
      <c r="R1027" s="1" t="e">
        <f>INDEX('6.0.35'!I:I,MATCH(F1027,'6.0.35'!K:K,0))</f>
        <v>#N/A</v>
      </c>
      <c r="S1027" s="1" t="e">
        <f>INDEX('6.0.35'!J:J,MATCH(F1027,'6.0.35'!F:F,0))</f>
        <v>#N/A</v>
      </c>
    </row>
    <row r="1028" spans="1:19">
      <c r="A1028" t="s">
        <v>17548</v>
      </c>
      <c r="I1028" s="1" t="str">
        <f t="shared" si="136"/>
        <v/>
      </c>
      <c r="J1028" s="1">
        <f t="shared" si="137"/>
        <v>0</v>
      </c>
      <c r="K1028" s="1" t="str">
        <f t="shared" si="138"/>
        <v/>
      </c>
      <c r="L1028" s="1">
        <f t="shared" si="139"/>
        <v>0</v>
      </c>
      <c r="M1028" s="1">
        <f t="shared" si="140"/>
        <v>0</v>
      </c>
      <c r="N1028" s="1">
        <f t="shared" si="141"/>
        <v>0</v>
      </c>
      <c r="O1028" s="1" t="b">
        <f t="shared" si="142"/>
        <v>0</v>
      </c>
      <c r="P1028" s="1" t="e">
        <f>INDEX(G:G,MATCH(G1028,G:G,0))</f>
        <v>#N/A</v>
      </c>
      <c r="Q1028" s="1" t="e">
        <f t="shared" si="143"/>
        <v>#N/A</v>
      </c>
      <c r="R1028" s="1" t="e">
        <f>INDEX('6.0.35'!I:I,MATCH(F1028,'6.0.35'!K:K,0))</f>
        <v>#N/A</v>
      </c>
      <c r="S1028" s="1" t="e">
        <f>INDEX('6.0.35'!J:J,MATCH(F1028,'6.0.35'!F:F,0))</f>
        <v>#N/A</v>
      </c>
    </row>
    <row r="1029" spans="1:19">
      <c r="A1029" t="s">
        <v>17536</v>
      </c>
      <c r="I1029" s="1" t="str">
        <f t="shared" si="136"/>
        <v/>
      </c>
      <c r="J1029" s="1">
        <f t="shared" si="137"/>
        <v>0</v>
      </c>
      <c r="K1029" s="1" t="str">
        <f t="shared" si="138"/>
        <v/>
      </c>
      <c r="L1029" s="1">
        <f t="shared" si="139"/>
        <v>0</v>
      </c>
      <c r="M1029" s="1">
        <f t="shared" si="140"/>
        <v>0</v>
      </c>
      <c r="N1029" s="1">
        <f t="shared" si="141"/>
        <v>0</v>
      </c>
      <c r="O1029" s="1" t="b">
        <f t="shared" si="142"/>
        <v>0</v>
      </c>
      <c r="P1029" s="1" t="e">
        <f>INDEX(G:G,MATCH(G1029,G:G,0))</f>
        <v>#N/A</v>
      </c>
      <c r="Q1029" s="1" t="e">
        <f t="shared" si="143"/>
        <v>#N/A</v>
      </c>
      <c r="R1029" s="1" t="e">
        <f>INDEX('6.0.35'!I:I,MATCH(F1029,'6.0.35'!K:K,0))</f>
        <v>#N/A</v>
      </c>
      <c r="S1029" s="1" t="e">
        <f>INDEX('6.0.35'!J:J,MATCH(F1029,'6.0.35'!F:F,0))</f>
        <v>#N/A</v>
      </c>
    </row>
    <row r="1030" spans="1:19">
      <c r="A1030" t="s">
        <v>17555</v>
      </c>
      <c r="I1030" s="1" t="str">
        <f t="shared" si="136"/>
        <v/>
      </c>
      <c r="J1030" s="1">
        <f t="shared" si="137"/>
        <v>0</v>
      </c>
      <c r="K1030" s="1" t="str">
        <f t="shared" si="138"/>
        <v/>
      </c>
      <c r="L1030" s="1">
        <f t="shared" si="139"/>
        <v>0</v>
      </c>
      <c r="M1030" s="1">
        <f t="shared" si="140"/>
        <v>0</v>
      </c>
      <c r="N1030" s="1">
        <f t="shared" si="141"/>
        <v>0</v>
      </c>
      <c r="O1030" s="1" t="b">
        <f t="shared" si="142"/>
        <v>0</v>
      </c>
      <c r="P1030" s="1" t="e">
        <f>INDEX(G:G,MATCH(G1030,G:G,0))</f>
        <v>#N/A</v>
      </c>
      <c r="Q1030" s="1" t="e">
        <f t="shared" si="143"/>
        <v>#N/A</v>
      </c>
      <c r="R1030" s="1" t="e">
        <f>INDEX('6.0.35'!I:I,MATCH(F1030,'6.0.35'!K:K,0))</f>
        <v>#N/A</v>
      </c>
      <c r="S1030" s="1" t="e">
        <f>INDEX('6.0.35'!J:J,MATCH(F1030,'6.0.35'!F:F,0))</f>
        <v>#N/A</v>
      </c>
    </row>
    <row r="1031" spans="1:19">
      <c r="A1031" t="s">
        <v>17539</v>
      </c>
      <c r="I1031" s="1" t="str">
        <f t="shared" si="136"/>
        <v/>
      </c>
      <c r="J1031" s="1">
        <f t="shared" si="137"/>
        <v>0</v>
      </c>
      <c r="K1031" s="1" t="str">
        <f t="shared" si="138"/>
        <v/>
      </c>
      <c r="L1031" s="1">
        <f t="shared" si="139"/>
        <v>0</v>
      </c>
      <c r="M1031" s="1">
        <f t="shared" si="140"/>
        <v>0</v>
      </c>
      <c r="N1031" s="1">
        <f t="shared" si="141"/>
        <v>0</v>
      </c>
      <c r="O1031" s="1" t="b">
        <f t="shared" si="142"/>
        <v>0</v>
      </c>
      <c r="P1031" s="1" t="e">
        <f>INDEX(G:G,MATCH(G1031,G:G,0))</f>
        <v>#N/A</v>
      </c>
      <c r="Q1031" s="1" t="e">
        <f t="shared" si="143"/>
        <v>#N/A</v>
      </c>
      <c r="R1031" s="1" t="e">
        <f>INDEX('6.0.35'!I:I,MATCH(F1031,'6.0.35'!K:K,0))</f>
        <v>#N/A</v>
      </c>
      <c r="S1031" s="1" t="e">
        <f>INDEX('6.0.35'!J:J,MATCH(F1031,'6.0.35'!F:F,0))</f>
        <v>#N/A</v>
      </c>
    </row>
    <row r="1032" spans="1:19">
      <c r="A1032" t="s">
        <v>17542</v>
      </c>
      <c r="I1032" s="1" t="str">
        <f t="shared" si="136"/>
        <v/>
      </c>
      <c r="J1032" s="1">
        <f t="shared" si="137"/>
        <v>0</v>
      </c>
      <c r="K1032" s="1" t="str">
        <f t="shared" si="138"/>
        <v/>
      </c>
      <c r="L1032" s="1">
        <f t="shared" si="139"/>
        <v>0</v>
      </c>
      <c r="M1032" s="1">
        <f t="shared" si="140"/>
        <v>0</v>
      </c>
      <c r="N1032" s="1">
        <f t="shared" si="141"/>
        <v>0</v>
      </c>
      <c r="O1032" s="1" t="b">
        <f t="shared" si="142"/>
        <v>0</v>
      </c>
      <c r="P1032" s="1" t="e">
        <f>INDEX(G:G,MATCH(G1032,G:G,0))</f>
        <v>#N/A</v>
      </c>
      <c r="Q1032" s="1" t="e">
        <f t="shared" si="143"/>
        <v>#N/A</v>
      </c>
      <c r="R1032" s="1" t="e">
        <f>INDEX('6.0.35'!I:I,MATCH(F1032,'6.0.35'!K:K,0))</f>
        <v>#N/A</v>
      </c>
      <c r="S1032" s="1" t="e">
        <f>INDEX('6.0.35'!J:J,MATCH(F1032,'6.0.35'!F:F,0))</f>
        <v>#N/A</v>
      </c>
    </row>
    <row r="1033" spans="1:19">
      <c r="A1033" t="s">
        <v>17545</v>
      </c>
      <c r="I1033" s="1" t="str">
        <f t="shared" si="136"/>
        <v/>
      </c>
      <c r="J1033" s="1">
        <f t="shared" si="137"/>
        <v>0</v>
      </c>
      <c r="K1033" s="1" t="str">
        <f t="shared" si="138"/>
        <v/>
      </c>
      <c r="L1033" s="1">
        <f t="shared" si="139"/>
        <v>0</v>
      </c>
      <c r="M1033" s="1">
        <f t="shared" si="140"/>
        <v>0</v>
      </c>
      <c r="N1033" s="1">
        <f t="shared" si="141"/>
        <v>0</v>
      </c>
      <c r="O1033" s="1" t="b">
        <f t="shared" si="142"/>
        <v>0</v>
      </c>
      <c r="P1033" s="1" t="e">
        <f>INDEX(G:G,MATCH(G1033,G:G,0))</f>
        <v>#N/A</v>
      </c>
      <c r="Q1033" s="1" t="e">
        <f t="shared" si="143"/>
        <v>#N/A</v>
      </c>
      <c r="R1033" s="1" t="e">
        <f>INDEX('6.0.35'!I:I,MATCH(F1033,'6.0.35'!K:K,0))</f>
        <v>#N/A</v>
      </c>
      <c r="S1033" s="1" t="e">
        <f>INDEX('6.0.35'!J:J,MATCH(F1033,'6.0.35'!F:F,0))</f>
        <v>#N/A</v>
      </c>
    </row>
    <row r="1034" spans="1:19">
      <c r="A1034" t="s">
        <v>17548</v>
      </c>
      <c r="I1034" s="1" t="str">
        <f t="shared" si="136"/>
        <v/>
      </c>
      <c r="J1034" s="1">
        <f t="shared" si="137"/>
        <v>0</v>
      </c>
      <c r="K1034" s="1" t="str">
        <f t="shared" si="138"/>
        <v/>
      </c>
      <c r="L1034" s="1">
        <f t="shared" si="139"/>
        <v>0</v>
      </c>
      <c r="M1034" s="1">
        <f t="shared" si="140"/>
        <v>0</v>
      </c>
      <c r="N1034" s="1">
        <f t="shared" si="141"/>
        <v>0</v>
      </c>
      <c r="O1034" s="1" t="b">
        <f t="shared" si="142"/>
        <v>0</v>
      </c>
      <c r="P1034" s="1" t="e">
        <f>INDEX(G:G,MATCH(G1034,G:G,0))</f>
        <v>#N/A</v>
      </c>
      <c r="Q1034" s="1" t="e">
        <f t="shared" si="143"/>
        <v>#N/A</v>
      </c>
      <c r="R1034" s="1" t="e">
        <f>INDEX('6.0.35'!I:I,MATCH(F1034,'6.0.35'!K:K,0))</f>
        <v>#N/A</v>
      </c>
      <c r="S1034" s="1" t="e">
        <f>INDEX('6.0.35'!J:J,MATCH(F1034,'6.0.35'!F:F,0))</f>
        <v>#N/A</v>
      </c>
    </row>
    <row r="1035" spans="1:19">
      <c r="A1035" t="s">
        <v>17536</v>
      </c>
      <c r="I1035" s="1" t="str">
        <f t="shared" si="136"/>
        <v/>
      </c>
      <c r="J1035" s="1">
        <f t="shared" si="137"/>
        <v>0</v>
      </c>
      <c r="K1035" s="1" t="str">
        <f t="shared" si="138"/>
        <v/>
      </c>
      <c r="L1035" s="1">
        <f t="shared" si="139"/>
        <v>0</v>
      </c>
      <c r="M1035" s="1">
        <f t="shared" si="140"/>
        <v>0</v>
      </c>
      <c r="N1035" s="1">
        <f t="shared" si="141"/>
        <v>0</v>
      </c>
      <c r="O1035" s="1" t="b">
        <f t="shared" si="142"/>
        <v>0</v>
      </c>
      <c r="P1035" s="1" t="e">
        <f>INDEX(G:G,MATCH(G1035,G:G,0))</f>
        <v>#N/A</v>
      </c>
      <c r="Q1035" s="1" t="e">
        <f t="shared" si="143"/>
        <v>#N/A</v>
      </c>
      <c r="R1035" s="1" t="e">
        <f>INDEX('6.0.35'!I:I,MATCH(F1035,'6.0.35'!K:K,0))</f>
        <v>#N/A</v>
      </c>
      <c r="S1035" s="1" t="e">
        <f>INDEX('6.0.35'!J:J,MATCH(F1035,'6.0.35'!F:F,0))</f>
        <v>#N/A</v>
      </c>
    </row>
    <row r="1036" spans="1:19">
      <c r="A1036" t="s">
        <v>17542</v>
      </c>
      <c r="I1036" s="1" t="str">
        <f t="shared" si="136"/>
        <v/>
      </c>
      <c r="J1036" s="1">
        <f t="shared" si="137"/>
        <v>0</v>
      </c>
      <c r="K1036" s="1" t="str">
        <f t="shared" si="138"/>
        <v/>
      </c>
      <c r="L1036" s="1">
        <f t="shared" si="139"/>
        <v>0</v>
      </c>
      <c r="M1036" s="1">
        <f t="shared" si="140"/>
        <v>0</v>
      </c>
      <c r="N1036" s="1">
        <f t="shared" si="141"/>
        <v>0</v>
      </c>
      <c r="O1036" s="1" t="b">
        <f t="shared" si="142"/>
        <v>0</v>
      </c>
      <c r="P1036" s="1" t="e">
        <f>INDEX(G:G,MATCH(G1036,G:G,0))</f>
        <v>#N/A</v>
      </c>
      <c r="Q1036" s="1" t="e">
        <f t="shared" si="143"/>
        <v>#N/A</v>
      </c>
      <c r="R1036" s="1" t="e">
        <f>INDEX('6.0.35'!I:I,MATCH(F1036,'6.0.35'!K:K,0))</f>
        <v>#N/A</v>
      </c>
      <c r="S1036" s="1" t="e">
        <f>INDEX('6.0.35'!J:J,MATCH(F1036,'6.0.35'!F:F,0))</f>
        <v>#N/A</v>
      </c>
    </row>
    <row r="1037" spans="1:19">
      <c r="A1037" t="s">
        <v>17545</v>
      </c>
      <c r="I1037" s="1" t="str">
        <f t="shared" si="136"/>
        <v/>
      </c>
      <c r="J1037" s="1">
        <f t="shared" si="137"/>
        <v>0</v>
      </c>
      <c r="K1037" s="1" t="str">
        <f t="shared" si="138"/>
        <v/>
      </c>
      <c r="L1037" s="1">
        <f t="shared" si="139"/>
        <v>0</v>
      </c>
      <c r="M1037" s="1">
        <f t="shared" si="140"/>
        <v>0</v>
      </c>
      <c r="N1037" s="1">
        <f t="shared" si="141"/>
        <v>0</v>
      </c>
      <c r="O1037" s="1" t="b">
        <f t="shared" si="142"/>
        <v>0</v>
      </c>
      <c r="P1037" s="1" t="e">
        <f>INDEX(G:G,MATCH(G1037,G:G,0))</f>
        <v>#N/A</v>
      </c>
      <c r="Q1037" s="1" t="e">
        <f t="shared" si="143"/>
        <v>#N/A</v>
      </c>
      <c r="R1037" s="1" t="e">
        <f>INDEX('6.0.35'!I:I,MATCH(F1037,'6.0.35'!K:K,0))</f>
        <v>#N/A</v>
      </c>
      <c r="S1037" s="1" t="e">
        <f>INDEX('6.0.35'!J:J,MATCH(F1037,'6.0.35'!F:F,0))</f>
        <v>#N/A</v>
      </c>
    </row>
    <row r="1038" spans="1:19">
      <c r="A1038" t="s">
        <v>17536</v>
      </c>
      <c r="I1038" s="1" t="str">
        <f t="shared" si="136"/>
        <v/>
      </c>
      <c r="J1038" s="1">
        <f t="shared" si="137"/>
        <v>0</v>
      </c>
      <c r="K1038" s="1" t="str">
        <f t="shared" si="138"/>
        <v/>
      </c>
      <c r="L1038" s="1">
        <f t="shared" si="139"/>
        <v>0</v>
      </c>
      <c r="M1038" s="1">
        <f t="shared" si="140"/>
        <v>0</v>
      </c>
      <c r="N1038" s="1">
        <f t="shared" si="141"/>
        <v>0</v>
      </c>
      <c r="O1038" s="1" t="b">
        <f t="shared" si="142"/>
        <v>0</v>
      </c>
      <c r="P1038" s="1" t="e">
        <f>INDEX(G:G,MATCH(G1038,G:G,0))</f>
        <v>#N/A</v>
      </c>
      <c r="Q1038" s="1" t="e">
        <f t="shared" si="143"/>
        <v>#N/A</v>
      </c>
      <c r="R1038" s="1" t="e">
        <f>INDEX('6.0.35'!I:I,MATCH(F1038,'6.0.35'!K:K,0))</f>
        <v>#N/A</v>
      </c>
      <c r="S1038" s="1" t="e">
        <f>INDEX('6.0.35'!J:J,MATCH(F1038,'6.0.35'!F:F,0))</f>
        <v>#N/A</v>
      </c>
    </row>
    <row r="1039" spans="1:19">
      <c r="A1039" t="s">
        <v>17542</v>
      </c>
      <c r="I1039" s="1" t="str">
        <f t="shared" si="136"/>
        <v/>
      </c>
      <c r="J1039" s="1">
        <f t="shared" si="137"/>
        <v>0</v>
      </c>
      <c r="K1039" s="1" t="str">
        <f t="shared" si="138"/>
        <v/>
      </c>
      <c r="L1039" s="1">
        <f t="shared" si="139"/>
        <v>0</v>
      </c>
      <c r="M1039" s="1">
        <f t="shared" si="140"/>
        <v>0</v>
      </c>
      <c r="N1039" s="1">
        <f t="shared" si="141"/>
        <v>0</v>
      </c>
      <c r="O1039" s="1" t="b">
        <f t="shared" si="142"/>
        <v>0</v>
      </c>
      <c r="P1039" s="1" t="e">
        <f>INDEX(G:G,MATCH(G1039,G:G,0))</f>
        <v>#N/A</v>
      </c>
      <c r="Q1039" s="1" t="e">
        <f t="shared" si="143"/>
        <v>#N/A</v>
      </c>
      <c r="R1039" s="1" t="e">
        <f>INDEX('6.0.35'!I:I,MATCH(F1039,'6.0.35'!K:K,0))</f>
        <v>#N/A</v>
      </c>
      <c r="S1039" s="1" t="e">
        <f>INDEX('6.0.35'!J:J,MATCH(F1039,'6.0.35'!F:F,0))</f>
        <v>#N/A</v>
      </c>
    </row>
    <row r="1040" spans="1:19">
      <c r="A1040" t="s">
        <v>17545</v>
      </c>
      <c r="I1040" s="1" t="str">
        <f t="shared" si="136"/>
        <v/>
      </c>
      <c r="J1040" s="1">
        <f t="shared" si="137"/>
        <v>0</v>
      </c>
      <c r="K1040" s="1" t="str">
        <f t="shared" si="138"/>
        <v/>
      </c>
      <c r="L1040" s="1">
        <f t="shared" si="139"/>
        <v>0</v>
      </c>
      <c r="M1040" s="1">
        <f t="shared" si="140"/>
        <v>0</v>
      </c>
      <c r="N1040" s="1">
        <f t="shared" si="141"/>
        <v>0</v>
      </c>
      <c r="O1040" s="1" t="b">
        <f t="shared" si="142"/>
        <v>0</v>
      </c>
      <c r="P1040" s="1" t="e">
        <f>INDEX(G:G,MATCH(G1040,G:G,0))</f>
        <v>#N/A</v>
      </c>
      <c r="Q1040" s="1" t="e">
        <f t="shared" si="143"/>
        <v>#N/A</v>
      </c>
      <c r="R1040" s="1" t="e">
        <f>INDEX('6.0.35'!I:I,MATCH(F1040,'6.0.35'!K:K,0))</f>
        <v>#N/A</v>
      </c>
      <c r="S1040" s="1" t="e">
        <f>INDEX('6.0.35'!J:J,MATCH(F1040,'6.0.35'!F:F,0))</f>
        <v>#N/A</v>
      </c>
    </row>
    <row r="1041" spans="1:19">
      <c r="A1041" t="s">
        <v>17536</v>
      </c>
      <c r="I1041" s="1" t="str">
        <f t="shared" si="136"/>
        <v/>
      </c>
      <c r="J1041" s="1">
        <f t="shared" si="137"/>
        <v>0</v>
      </c>
      <c r="K1041" s="1" t="str">
        <f t="shared" si="138"/>
        <v/>
      </c>
      <c r="L1041" s="1">
        <f t="shared" si="139"/>
        <v>0</v>
      </c>
      <c r="M1041" s="1">
        <f t="shared" si="140"/>
        <v>0</v>
      </c>
      <c r="N1041" s="1">
        <f t="shared" si="141"/>
        <v>0</v>
      </c>
      <c r="O1041" s="1" t="b">
        <f t="shared" si="142"/>
        <v>0</v>
      </c>
      <c r="P1041" s="1" t="e">
        <f>INDEX(G:G,MATCH(G1041,G:G,0))</f>
        <v>#N/A</v>
      </c>
      <c r="Q1041" s="1" t="e">
        <f t="shared" si="143"/>
        <v>#N/A</v>
      </c>
      <c r="R1041" s="1" t="e">
        <f>INDEX('6.0.35'!I:I,MATCH(F1041,'6.0.35'!K:K,0))</f>
        <v>#N/A</v>
      </c>
      <c r="S1041" s="1" t="e">
        <f>INDEX('6.0.35'!J:J,MATCH(F1041,'6.0.35'!F:F,0))</f>
        <v>#N/A</v>
      </c>
    </row>
    <row r="1042" spans="1:19">
      <c r="A1042" t="s">
        <v>17539</v>
      </c>
      <c r="I1042" s="1" t="str">
        <f t="shared" si="136"/>
        <v/>
      </c>
      <c r="J1042" s="1">
        <f t="shared" si="137"/>
        <v>0</v>
      </c>
      <c r="K1042" s="1" t="str">
        <f t="shared" si="138"/>
        <v/>
      </c>
      <c r="L1042" s="1">
        <f t="shared" si="139"/>
        <v>0</v>
      </c>
      <c r="M1042" s="1">
        <f t="shared" si="140"/>
        <v>0</v>
      </c>
      <c r="N1042" s="1">
        <f t="shared" si="141"/>
        <v>0</v>
      </c>
      <c r="O1042" s="1" t="b">
        <f t="shared" si="142"/>
        <v>0</v>
      </c>
      <c r="P1042" s="1" t="e">
        <f>INDEX(G:G,MATCH(G1042,G:G,0))</f>
        <v>#N/A</v>
      </c>
      <c r="Q1042" s="1" t="e">
        <f t="shared" si="143"/>
        <v>#N/A</v>
      </c>
      <c r="R1042" s="1" t="e">
        <f>INDEX('6.0.35'!I:I,MATCH(F1042,'6.0.35'!K:K,0))</f>
        <v>#N/A</v>
      </c>
      <c r="S1042" s="1" t="e">
        <f>INDEX('6.0.35'!J:J,MATCH(F1042,'6.0.35'!F:F,0))</f>
        <v>#N/A</v>
      </c>
    </row>
    <row r="1043" spans="1:19">
      <c r="A1043" t="s">
        <v>17542</v>
      </c>
      <c r="I1043" s="1" t="str">
        <f t="shared" si="136"/>
        <v/>
      </c>
      <c r="J1043" s="1">
        <f t="shared" si="137"/>
        <v>0</v>
      </c>
      <c r="K1043" s="1" t="str">
        <f t="shared" si="138"/>
        <v/>
      </c>
      <c r="L1043" s="1">
        <f t="shared" si="139"/>
        <v>0</v>
      </c>
      <c r="M1043" s="1">
        <f t="shared" si="140"/>
        <v>0</v>
      </c>
      <c r="N1043" s="1">
        <f t="shared" si="141"/>
        <v>0</v>
      </c>
      <c r="O1043" s="1" t="b">
        <f t="shared" si="142"/>
        <v>0</v>
      </c>
      <c r="P1043" s="1" t="e">
        <f>INDEX(G:G,MATCH(G1043,G:G,0))</f>
        <v>#N/A</v>
      </c>
      <c r="Q1043" s="1" t="e">
        <f t="shared" si="143"/>
        <v>#N/A</v>
      </c>
      <c r="R1043" s="1" t="e">
        <f>INDEX('6.0.35'!I:I,MATCH(F1043,'6.0.35'!K:K,0))</f>
        <v>#N/A</v>
      </c>
      <c r="S1043" s="1" t="e">
        <f>INDEX('6.0.35'!J:J,MATCH(F1043,'6.0.35'!F:F,0))</f>
        <v>#N/A</v>
      </c>
    </row>
    <row r="1044" spans="1:19">
      <c r="A1044" t="s">
        <v>17545</v>
      </c>
      <c r="I1044" s="1" t="str">
        <f t="shared" si="136"/>
        <v/>
      </c>
      <c r="J1044" s="1">
        <f t="shared" si="137"/>
        <v>0</v>
      </c>
      <c r="K1044" s="1" t="str">
        <f t="shared" si="138"/>
        <v/>
      </c>
      <c r="L1044" s="1">
        <f t="shared" si="139"/>
        <v>0</v>
      </c>
      <c r="M1044" s="1">
        <f t="shared" si="140"/>
        <v>0</v>
      </c>
      <c r="N1044" s="1">
        <f t="shared" si="141"/>
        <v>0</v>
      </c>
      <c r="O1044" s="1" t="b">
        <f t="shared" si="142"/>
        <v>0</v>
      </c>
      <c r="P1044" s="1" t="e">
        <f>INDEX(G:G,MATCH(G1044,G:G,0))</f>
        <v>#N/A</v>
      </c>
      <c r="Q1044" s="1" t="e">
        <f t="shared" si="143"/>
        <v>#N/A</v>
      </c>
      <c r="R1044" s="1" t="e">
        <f>INDEX('6.0.35'!I:I,MATCH(F1044,'6.0.35'!K:K,0))</f>
        <v>#N/A</v>
      </c>
      <c r="S1044" s="1" t="e">
        <f>INDEX('6.0.35'!J:J,MATCH(F1044,'6.0.35'!F:F,0))</f>
        <v>#N/A</v>
      </c>
    </row>
    <row r="1045" spans="1:19">
      <c r="A1045" t="s">
        <v>17548</v>
      </c>
      <c r="I1045" s="1" t="str">
        <f t="shared" si="136"/>
        <v/>
      </c>
      <c r="J1045" s="1">
        <f t="shared" si="137"/>
        <v>0</v>
      </c>
      <c r="K1045" s="1" t="str">
        <f t="shared" si="138"/>
        <v/>
      </c>
      <c r="L1045" s="1">
        <f t="shared" si="139"/>
        <v>0</v>
      </c>
      <c r="M1045" s="1">
        <f t="shared" si="140"/>
        <v>0</v>
      </c>
      <c r="N1045" s="1">
        <f t="shared" si="141"/>
        <v>0</v>
      </c>
      <c r="O1045" s="1" t="b">
        <f t="shared" si="142"/>
        <v>0</v>
      </c>
      <c r="P1045" s="1" t="e">
        <f>INDEX(G:G,MATCH(G1045,G:G,0))</f>
        <v>#N/A</v>
      </c>
      <c r="Q1045" s="1" t="e">
        <f t="shared" si="143"/>
        <v>#N/A</v>
      </c>
      <c r="R1045" s="1" t="e">
        <f>INDEX('6.0.35'!I:I,MATCH(F1045,'6.0.35'!K:K,0))</f>
        <v>#N/A</v>
      </c>
      <c r="S1045" s="1" t="e">
        <f>INDEX('6.0.35'!J:J,MATCH(F1045,'6.0.35'!F:F,0))</f>
        <v>#N/A</v>
      </c>
    </row>
    <row r="1046" spans="1:19">
      <c r="A1046" t="s">
        <v>17551</v>
      </c>
      <c r="I1046" s="1" t="str">
        <f t="shared" si="136"/>
        <v/>
      </c>
      <c r="J1046" s="1">
        <f t="shared" si="137"/>
        <v>0</v>
      </c>
      <c r="K1046" s="1" t="str">
        <f t="shared" si="138"/>
        <v/>
      </c>
      <c r="L1046" s="1">
        <f t="shared" si="139"/>
        <v>0</v>
      </c>
      <c r="M1046" s="1">
        <f t="shared" si="140"/>
        <v>0</v>
      </c>
      <c r="N1046" s="1">
        <f t="shared" si="141"/>
        <v>0</v>
      </c>
      <c r="O1046" s="1" t="b">
        <f t="shared" si="142"/>
        <v>0</v>
      </c>
      <c r="P1046" s="1" t="e">
        <f>INDEX(G:G,MATCH(G1046,G:G,0))</f>
        <v>#N/A</v>
      </c>
      <c r="Q1046" s="1" t="e">
        <f t="shared" si="143"/>
        <v>#N/A</v>
      </c>
      <c r="R1046" s="1" t="e">
        <f>INDEX('6.0.35'!I:I,MATCH(F1046,'6.0.35'!K:K,0))</f>
        <v>#N/A</v>
      </c>
      <c r="S1046" s="1" t="e">
        <f>INDEX('6.0.35'!J:J,MATCH(F1046,'6.0.35'!F:F,0))</f>
        <v>#N/A</v>
      </c>
    </row>
    <row r="1047" spans="1:19">
      <c r="A1047" t="s">
        <v>17536</v>
      </c>
      <c r="I1047" s="1" t="str">
        <f t="shared" si="136"/>
        <v/>
      </c>
      <c r="J1047" s="1">
        <f t="shared" si="137"/>
        <v>0</v>
      </c>
      <c r="K1047" s="1" t="str">
        <f t="shared" si="138"/>
        <v/>
      </c>
      <c r="L1047" s="1">
        <f t="shared" si="139"/>
        <v>0</v>
      </c>
      <c r="M1047" s="1">
        <f t="shared" si="140"/>
        <v>0</v>
      </c>
      <c r="N1047" s="1">
        <f t="shared" si="141"/>
        <v>0</v>
      </c>
      <c r="O1047" s="1" t="b">
        <f t="shared" si="142"/>
        <v>0</v>
      </c>
      <c r="P1047" s="1" t="e">
        <f>INDEX(G:G,MATCH(G1047,G:G,0))</f>
        <v>#N/A</v>
      </c>
      <c r="Q1047" s="1" t="e">
        <f t="shared" si="143"/>
        <v>#N/A</v>
      </c>
      <c r="R1047" s="1" t="e">
        <f>INDEX('6.0.35'!I:I,MATCH(F1047,'6.0.35'!K:K,0))</f>
        <v>#N/A</v>
      </c>
      <c r="S1047" s="1" t="e">
        <f>INDEX('6.0.35'!J:J,MATCH(F1047,'6.0.35'!F:F,0))</f>
        <v>#N/A</v>
      </c>
    </row>
    <row r="1048" spans="1:19">
      <c r="A1048" t="s">
        <v>17555</v>
      </c>
      <c r="I1048" s="1" t="str">
        <f t="shared" si="136"/>
        <v/>
      </c>
      <c r="J1048" s="1">
        <f t="shared" si="137"/>
        <v>0</v>
      </c>
      <c r="K1048" s="1" t="str">
        <f t="shared" si="138"/>
        <v/>
      </c>
      <c r="L1048" s="1">
        <f t="shared" si="139"/>
        <v>0</v>
      </c>
      <c r="M1048" s="1">
        <f t="shared" si="140"/>
        <v>0</v>
      </c>
      <c r="N1048" s="1">
        <f t="shared" si="141"/>
        <v>0</v>
      </c>
      <c r="O1048" s="1" t="b">
        <f t="shared" si="142"/>
        <v>0</v>
      </c>
      <c r="P1048" s="1" t="e">
        <f>INDEX(G:G,MATCH(G1048,G:G,0))</f>
        <v>#N/A</v>
      </c>
      <c r="Q1048" s="1" t="e">
        <f t="shared" si="143"/>
        <v>#N/A</v>
      </c>
      <c r="R1048" s="1" t="e">
        <f>INDEX('6.0.35'!I:I,MATCH(F1048,'6.0.35'!K:K,0))</f>
        <v>#N/A</v>
      </c>
      <c r="S1048" s="1" t="e">
        <f>INDEX('6.0.35'!J:J,MATCH(F1048,'6.0.35'!F:F,0))</f>
        <v>#N/A</v>
      </c>
    </row>
    <row r="1049" spans="1:19">
      <c r="A1049" t="s">
        <v>17539</v>
      </c>
      <c r="I1049" s="1" t="str">
        <f t="shared" si="136"/>
        <v/>
      </c>
      <c r="J1049" s="1">
        <f t="shared" si="137"/>
        <v>0</v>
      </c>
      <c r="K1049" s="1" t="str">
        <f t="shared" si="138"/>
        <v/>
      </c>
      <c r="L1049" s="1">
        <f t="shared" si="139"/>
        <v>0</v>
      </c>
      <c r="M1049" s="1">
        <f t="shared" si="140"/>
        <v>0</v>
      </c>
      <c r="N1049" s="1">
        <f t="shared" si="141"/>
        <v>0</v>
      </c>
      <c r="O1049" s="1" t="b">
        <f t="shared" si="142"/>
        <v>0</v>
      </c>
      <c r="P1049" s="1" t="e">
        <f>INDEX(G:G,MATCH(G1049,G:G,0))</f>
        <v>#N/A</v>
      </c>
      <c r="Q1049" s="1" t="e">
        <f t="shared" si="143"/>
        <v>#N/A</v>
      </c>
      <c r="R1049" s="1" t="e">
        <f>INDEX('6.0.35'!I:I,MATCH(F1049,'6.0.35'!K:K,0))</f>
        <v>#N/A</v>
      </c>
      <c r="S1049" s="1" t="e">
        <f>INDEX('6.0.35'!J:J,MATCH(F1049,'6.0.35'!F:F,0))</f>
        <v>#N/A</v>
      </c>
    </row>
    <row r="1050" spans="1:19">
      <c r="A1050" t="s">
        <v>17542</v>
      </c>
      <c r="I1050" s="1" t="str">
        <f t="shared" si="136"/>
        <v/>
      </c>
      <c r="J1050" s="1">
        <f t="shared" si="137"/>
        <v>0</v>
      </c>
      <c r="K1050" s="1" t="str">
        <f t="shared" si="138"/>
        <v/>
      </c>
      <c r="L1050" s="1">
        <f t="shared" si="139"/>
        <v>0</v>
      </c>
      <c r="M1050" s="1">
        <f t="shared" si="140"/>
        <v>0</v>
      </c>
      <c r="N1050" s="1">
        <f t="shared" si="141"/>
        <v>0</v>
      </c>
      <c r="O1050" s="1" t="b">
        <f t="shared" si="142"/>
        <v>0</v>
      </c>
      <c r="P1050" s="1" t="e">
        <f>INDEX(G:G,MATCH(G1050,G:G,0))</f>
        <v>#N/A</v>
      </c>
      <c r="Q1050" s="1" t="e">
        <f t="shared" si="143"/>
        <v>#N/A</v>
      </c>
      <c r="R1050" s="1" t="e">
        <f>INDEX('6.0.35'!I:I,MATCH(F1050,'6.0.35'!K:K,0))</f>
        <v>#N/A</v>
      </c>
      <c r="S1050" s="1" t="e">
        <f>INDEX('6.0.35'!J:J,MATCH(F1050,'6.0.35'!F:F,0))</f>
        <v>#N/A</v>
      </c>
    </row>
    <row r="1051" spans="1:19">
      <c r="A1051" t="s">
        <v>17545</v>
      </c>
      <c r="I1051" s="1" t="str">
        <f t="shared" si="136"/>
        <v/>
      </c>
      <c r="J1051" s="1">
        <f t="shared" si="137"/>
        <v>0</v>
      </c>
      <c r="K1051" s="1" t="str">
        <f t="shared" si="138"/>
        <v/>
      </c>
      <c r="L1051" s="1">
        <f t="shared" si="139"/>
        <v>0</v>
      </c>
      <c r="M1051" s="1">
        <f t="shared" si="140"/>
        <v>0</v>
      </c>
      <c r="N1051" s="1">
        <f t="shared" si="141"/>
        <v>0</v>
      </c>
      <c r="O1051" s="1" t="b">
        <f t="shared" si="142"/>
        <v>0</v>
      </c>
      <c r="P1051" s="1" t="e">
        <f>INDEX(G:G,MATCH(G1051,G:G,0))</f>
        <v>#N/A</v>
      </c>
      <c r="Q1051" s="1" t="e">
        <f t="shared" si="143"/>
        <v>#N/A</v>
      </c>
      <c r="R1051" s="1" t="e">
        <f>INDEX('6.0.35'!I:I,MATCH(F1051,'6.0.35'!K:K,0))</f>
        <v>#N/A</v>
      </c>
      <c r="S1051" s="1" t="e">
        <f>INDEX('6.0.35'!J:J,MATCH(F1051,'6.0.35'!F:F,0))</f>
        <v>#N/A</v>
      </c>
    </row>
    <row r="1052" spans="1:19">
      <c r="A1052" t="s">
        <v>17548</v>
      </c>
      <c r="I1052" s="1" t="str">
        <f t="shared" si="136"/>
        <v/>
      </c>
      <c r="J1052" s="1">
        <f t="shared" si="137"/>
        <v>0</v>
      </c>
      <c r="K1052" s="1" t="str">
        <f t="shared" si="138"/>
        <v/>
      </c>
      <c r="L1052" s="1">
        <f t="shared" si="139"/>
        <v>0</v>
      </c>
      <c r="M1052" s="1">
        <f t="shared" si="140"/>
        <v>0</v>
      </c>
      <c r="N1052" s="1">
        <f t="shared" si="141"/>
        <v>0</v>
      </c>
      <c r="O1052" s="1" t="b">
        <f t="shared" si="142"/>
        <v>0</v>
      </c>
      <c r="P1052" s="1" t="e">
        <f>INDEX(G:G,MATCH(G1052,G:G,0))</f>
        <v>#N/A</v>
      </c>
      <c r="Q1052" s="1" t="e">
        <f t="shared" si="143"/>
        <v>#N/A</v>
      </c>
      <c r="R1052" s="1" t="e">
        <f>INDEX('6.0.35'!I:I,MATCH(F1052,'6.0.35'!K:K,0))</f>
        <v>#N/A</v>
      </c>
      <c r="S1052" s="1" t="e">
        <f>INDEX('6.0.35'!J:J,MATCH(F1052,'6.0.35'!F:F,0))</f>
        <v>#N/A</v>
      </c>
    </row>
    <row r="1053" spans="1:19">
      <c r="A1053" t="s">
        <v>17536</v>
      </c>
      <c r="I1053" s="1" t="str">
        <f t="shared" si="136"/>
        <v/>
      </c>
      <c r="J1053" s="1">
        <f t="shared" si="137"/>
        <v>0</v>
      </c>
      <c r="K1053" s="1" t="str">
        <f t="shared" si="138"/>
        <v/>
      </c>
      <c r="L1053" s="1">
        <f t="shared" si="139"/>
        <v>0</v>
      </c>
      <c r="M1053" s="1">
        <f t="shared" si="140"/>
        <v>0</v>
      </c>
      <c r="N1053" s="1">
        <f t="shared" si="141"/>
        <v>0</v>
      </c>
      <c r="O1053" s="1" t="b">
        <f t="shared" si="142"/>
        <v>0</v>
      </c>
      <c r="P1053" s="1" t="e">
        <f>INDEX(G:G,MATCH(G1053,G:G,0))</f>
        <v>#N/A</v>
      </c>
      <c r="Q1053" s="1" t="e">
        <f t="shared" si="143"/>
        <v>#N/A</v>
      </c>
      <c r="R1053" s="1" t="e">
        <f>INDEX('6.0.35'!I:I,MATCH(F1053,'6.0.35'!K:K,0))</f>
        <v>#N/A</v>
      </c>
      <c r="S1053" s="1" t="e">
        <f>INDEX('6.0.35'!J:J,MATCH(F1053,'6.0.35'!F:F,0))</f>
        <v>#N/A</v>
      </c>
    </row>
    <row r="1054" spans="1:19">
      <c r="A1054" t="s">
        <v>17555</v>
      </c>
      <c r="I1054" s="1" t="str">
        <f t="shared" si="136"/>
        <v/>
      </c>
      <c r="J1054" s="1">
        <f t="shared" si="137"/>
        <v>0</v>
      </c>
      <c r="K1054" s="1" t="str">
        <f t="shared" si="138"/>
        <v/>
      </c>
      <c r="L1054" s="1">
        <f t="shared" si="139"/>
        <v>0</v>
      </c>
      <c r="M1054" s="1">
        <f t="shared" si="140"/>
        <v>0</v>
      </c>
      <c r="N1054" s="1">
        <f t="shared" si="141"/>
        <v>0</v>
      </c>
      <c r="O1054" s="1" t="b">
        <f t="shared" si="142"/>
        <v>0</v>
      </c>
      <c r="P1054" s="1" t="e">
        <f>INDEX(G:G,MATCH(G1054,G:G,0))</f>
        <v>#N/A</v>
      </c>
      <c r="Q1054" s="1" t="e">
        <f t="shared" si="143"/>
        <v>#N/A</v>
      </c>
      <c r="R1054" s="1" t="e">
        <f>INDEX('6.0.35'!I:I,MATCH(F1054,'6.0.35'!K:K,0))</f>
        <v>#N/A</v>
      </c>
      <c r="S1054" s="1" t="e">
        <f>INDEX('6.0.35'!J:J,MATCH(F1054,'6.0.35'!F:F,0))</f>
        <v>#N/A</v>
      </c>
    </row>
    <row r="1055" spans="1:19">
      <c r="A1055" t="s">
        <v>17539</v>
      </c>
      <c r="I1055" s="1" t="str">
        <f t="shared" si="136"/>
        <v/>
      </c>
      <c r="J1055" s="1">
        <f t="shared" si="137"/>
        <v>0</v>
      </c>
      <c r="K1055" s="1" t="str">
        <f t="shared" si="138"/>
        <v/>
      </c>
      <c r="L1055" s="1">
        <f t="shared" si="139"/>
        <v>0</v>
      </c>
      <c r="M1055" s="1">
        <f t="shared" si="140"/>
        <v>0</v>
      </c>
      <c r="N1055" s="1">
        <f t="shared" si="141"/>
        <v>0</v>
      </c>
      <c r="O1055" s="1" t="b">
        <f t="shared" si="142"/>
        <v>0</v>
      </c>
      <c r="P1055" s="1" t="e">
        <f>INDEX(G:G,MATCH(G1055,G:G,0))</f>
        <v>#N/A</v>
      </c>
      <c r="Q1055" s="1" t="e">
        <f t="shared" si="143"/>
        <v>#N/A</v>
      </c>
      <c r="R1055" s="1" t="e">
        <f>INDEX('6.0.35'!I:I,MATCH(F1055,'6.0.35'!K:K,0))</f>
        <v>#N/A</v>
      </c>
      <c r="S1055" s="1" t="e">
        <f>INDEX('6.0.35'!J:J,MATCH(F1055,'6.0.35'!F:F,0))</f>
        <v>#N/A</v>
      </c>
    </row>
    <row r="1056" spans="1:19">
      <c r="A1056" t="s">
        <v>17542</v>
      </c>
      <c r="I1056" s="1" t="str">
        <f t="shared" si="136"/>
        <v/>
      </c>
      <c r="J1056" s="1">
        <f t="shared" si="137"/>
        <v>0</v>
      </c>
      <c r="K1056" s="1" t="str">
        <f t="shared" si="138"/>
        <v/>
      </c>
      <c r="L1056" s="1">
        <f t="shared" si="139"/>
        <v>0</v>
      </c>
      <c r="M1056" s="1">
        <f t="shared" si="140"/>
        <v>0</v>
      </c>
      <c r="N1056" s="1">
        <f t="shared" si="141"/>
        <v>0</v>
      </c>
      <c r="O1056" s="1" t="b">
        <f t="shared" si="142"/>
        <v>0</v>
      </c>
      <c r="P1056" s="1" t="e">
        <f>INDEX(G:G,MATCH(G1056,G:G,0))</f>
        <v>#N/A</v>
      </c>
      <c r="Q1056" s="1" t="e">
        <f t="shared" si="143"/>
        <v>#N/A</v>
      </c>
      <c r="R1056" s="1" t="e">
        <f>INDEX('6.0.35'!I:I,MATCH(F1056,'6.0.35'!K:K,0))</f>
        <v>#N/A</v>
      </c>
      <c r="S1056" s="1" t="e">
        <f>INDEX('6.0.35'!J:J,MATCH(F1056,'6.0.35'!F:F,0))</f>
        <v>#N/A</v>
      </c>
    </row>
    <row r="1057" spans="1:19">
      <c r="A1057" t="s">
        <v>17545</v>
      </c>
      <c r="I1057" s="1" t="str">
        <f t="shared" si="136"/>
        <v/>
      </c>
      <c r="J1057" s="1">
        <f t="shared" si="137"/>
        <v>0</v>
      </c>
      <c r="K1057" s="1" t="str">
        <f t="shared" si="138"/>
        <v/>
      </c>
      <c r="L1057" s="1">
        <f t="shared" si="139"/>
        <v>0</v>
      </c>
      <c r="M1057" s="1">
        <f t="shared" si="140"/>
        <v>0</v>
      </c>
      <c r="N1057" s="1">
        <f t="shared" si="141"/>
        <v>0</v>
      </c>
      <c r="O1057" s="1" t="b">
        <f t="shared" si="142"/>
        <v>0</v>
      </c>
      <c r="P1057" s="1" t="e">
        <f>INDEX(G:G,MATCH(G1057,G:G,0))</f>
        <v>#N/A</v>
      </c>
      <c r="Q1057" s="1" t="e">
        <f t="shared" si="143"/>
        <v>#N/A</v>
      </c>
      <c r="R1057" s="1" t="e">
        <f>INDEX('6.0.35'!I:I,MATCH(F1057,'6.0.35'!K:K,0))</f>
        <v>#N/A</v>
      </c>
      <c r="S1057" s="1" t="e">
        <f>INDEX('6.0.35'!J:J,MATCH(F1057,'6.0.35'!F:F,0))</f>
        <v>#N/A</v>
      </c>
    </row>
    <row r="1058" spans="1:19">
      <c r="A1058" t="s">
        <v>17548</v>
      </c>
      <c r="I1058" s="1" t="str">
        <f t="shared" si="136"/>
        <v/>
      </c>
      <c r="J1058" s="1">
        <f t="shared" si="137"/>
        <v>0</v>
      </c>
      <c r="K1058" s="1" t="str">
        <f t="shared" si="138"/>
        <v/>
      </c>
      <c r="L1058" s="1">
        <f t="shared" si="139"/>
        <v>0</v>
      </c>
      <c r="M1058" s="1">
        <f t="shared" si="140"/>
        <v>0</v>
      </c>
      <c r="N1058" s="1">
        <f t="shared" si="141"/>
        <v>0</v>
      </c>
      <c r="O1058" s="1" t="b">
        <f t="shared" si="142"/>
        <v>0</v>
      </c>
      <c r="P1058" s="1" t="e">
        <f>INDEX(G:G,MATCH(G1058,G:G,0))</f>
        <v>#N/A</v>
      </c>
      <c r="Q1058" s="1" t="e">
        <f t="shared" si="143"/>
        <v>#N/A</v>
      </c>
      <c r="R1058" s="1" t="e">
        <f>INDEX('6.0.35'!I:I,MATCH(F1058,'6.0.35'!K:K,0))</f>
        <v>#N/A</v>
      </c>
      <c r="S1058" s="1" t="e">
        <f>INDEX('6.0.35'!J:J,MATCH(F1058,'6.0.35'!F:F,0))</f>
        <v>#N/A</v>
      </c>
    </row>
    <row r="1059" spans="1:19">
      <c r="A1059" t="s">
        <v>17536</v>
      </c>
      <c r="I1059" s="1" t="str">
        <f t="shared" si="136"/>
        <v/>
      </c>
      <c r="J1059" s="1">
        <f t="shared" si="137"/>
        <v>0</v>
      </c>
      <c r="K1059" s="1" t="str">
        <f t="shared" si="138"/>
        <v/>
      </c>
      <c r="L1059" s="1">
        <f t="shared" si="139"/>
        <v>0</v>
      </c>
      <c r="M1059" s="1">
        <f t="shared" si="140"/>
        <v>0</v>
      </c>
      <c r="N1059" s="1">
        <f t="shared" si="141"/>
        <v>0</v>
      </c>
      <c r="O1059" s="1" t="b">
        <f t="shared" si="142"/>
        <v>0</v>
      </c>
      <c r="P1059" s="1" t="e">
        <f>INDEX(G:G,MATCH(G1059,G:G,0))</f>
        <v>#N/A</v>
      </c>
      <c r="Q1059" s="1" t="e">
        <f t="shared" si="143"/>
        <v>#N/A</v>
      </c>
      <c r="R1059" s="1" t="e">
        <f>INDEX('6.0.35'!I:I,MATCH(F1059,'6.0.35'!K:K,0))</f>
        <v>#N/A</v>
      </c>
      <c r="S1059" s="1" t="e">
        <f>INDEX('6.0.35'!J:J,MATCH(F1059,'6.0.35'!F:F,0))</f>
        <v>#N/A</v>
      </c>
    </row>
    <row r="1060" spans="1:19">
      <c r="A1060" t="s">
        <v>17555</v>
      </c>
      <c r="I1060" s="1" t="str">
        <f t="shared" si="136"/>
        <v/>
      </c>
      <c r="J1060" s="1">
        <f t="shared" si="137"/>
        <v>0</v>
      </c>
      <c r="K1060" s="1" t="str">
        <f t="shared" si="138"/>
        <v/>
      </c>
      <c r="L1060" s="1">
        <f t="shared" si="139"/>
        <v>0</v>
      </c>
      <c r="M1060" s="1">
        <f t="shared" si="140"/>
        <v>0</v>
      </c>
      <c r="N1060" s="1">
        <f t="shared" si="141"/>
        <v>0</v>
      </c>
      <c r="O1060" s="1" t="b">
        <f t="shared" si="142"/>
        <v>0</v>
      </c>
      <c r="P1060" s="1" t="e">
        <f>INDEX(G:G,MATCH(G1060,G:G,0))</f>
        <v>#N/A</v>
      </c>
      <c r="Q1060" s="1" t="e">
        <f t="shared" si="143"/>
        <v>#N/A</v>
      </c>
      <c r="R1060" s="1" t="e">
        <f>INDEX('6.0.35'!I:I,MATCH(F1060,'6.0.35'!K:K,0))</f>
        <v>#N/A</v>
      </c>
      <c r="S1060" s="1" t="e">
        <f>INDEX('6.0.35'!J:J,MATCH(F1060,'6.0.35'!F:F,0))</f>
        <v>#N/A</v>
      </c>
    </row>
    <row r="1061" spans="1:19">
      <c r="A1061" t="s">
        <v>17539</v>
      </c>
      <c r="I1061" s="1" t="str">
        <f t="shared" si="136"/>
        <v/>
      </c>
      <c r="J1061" s="1">
        <f t="shared" si="137"/>
        <v>0</v>
      </c>
      <c r="K1061" s="1" t="str">
        <f t="shared" si="138"/>
        <v/>
      </c>
      <c r="L1061" s="1">
        <f t="shared" si="139"/>
        <v>0</v>
      </c>
      <c r="M1061" s="1">
        <f t="shared" si="140"/>
        <v>0</v>
      </c>
      <c r="N1061" s="1">
        <f t="shared" si="141"/>
        <v>0</v>
      </c>
      <c r="O1061" s="1" t="b">
        <f t="shared" si="142"/>
        <v>0</v>
      </c>
      <c r="P1061" s="1" t="e">
        <f>INDEX(G:G,MATCH(G1061,G:G,0))</f>
        <v>#N/A</v>
      </c>
      <c r="Q1061" s="1" t="e">
        <f t="shared" si="143"/>
        <v>#N/A</v>
      </c>
      <c r="R1061" s="1" t="e">
        <f>INDEX('6.0.35'!I:I,MATCH(F1061,'6.0.35'!K:K,0))</f>
        <v>#N/A</v>
      </c>
      <c r="S1061" s="1" t="e">
        <f>INDEX('6.0.35'!J:J,MATCH(F1061,'6.0.35'!F:F,0))</f>
        <v>#N/A</v>
      </c>
    </row>
    <row r="1062" spans="1:19">
      <c r="A1062" t="s">
        <v>17542</v>
      </c>
      <c r="I1062" s="1" t="str">
        <f t="shared" si="136"/>
        <v/>
      </c>
      <c r="J1062" s="1">
        <f t="shared" si="137"/>
        <v>0</v>
      </c>
      <c r="K1062" s="1" t="str">
        <f t="shared" si="138"/>
        <v/>
      </c>
      <c r="L1062" s="1">
        <f t="shared" si="139"/>
        <v>0</v>
      </c>
      <c r="M1062" s="1">
        <f t="shared" si="140"/>
        <v>0</v>
      </c>
      <c r="N1062" s="1">
        <f t="shared" si="141"/>
        <v>0</v>
      </c>
      <c r="O1062" s="1" t="b">
        <f t="shared" si="142"/>
        <v>0</v>
      </c>
      <c r="P1062" s="1" t="e">
        <f>INDEX(G:G,MATCH(G1062,G:G,0))</f>
        <v>#N/A</v>
      </c>
      <c r="Q1062" s="1" t="e">
        <f t="shared" si="143"/>
        <v>#N/A</v>
      </c>
      <c r="R1062" s="1" t="e">
        <f>INDEX('6.0.35'!I:I,MATCH(F1062,'6.0.35'!K:K,0))</f>
        <v>#N/A</v>
      </c>
      <c r="S1062" s="1" t="e">
        <f>INDEX('6.0.35'!J:J,MATCH(F1062,'6.0.35'!F:F,0))</f>
        <v>#N/A</v>
      </c>
    </row>
    <row r="1063" spans="1:19">
      <c r="A1063" t="s">
        <v>17545</v>
      </c>
      <c r="I1063" s="1" t="str">
        <f t="shared" si="136"/>
        <v/>
      </c>
      <c r="J1063" s="1">
        <f t="shared" si="137"/>
        <v>0</v>
      </c>
      <c r="K1063" s="1" t="str">
        <f t="shared" si="138"/>
        <v/>
      </c>
      <c r="L1063" s="1">
        <f t="shared" si="139"/>
        <v>0</v>
      </c>
      <c r="M1063" s="1">
        <f t="shared" si="140"/>
        <v>0</v>
      </c>
      <c r="N1063" s="1">
        <f t="shared" si="141"/>
        <v>0</v>
      </c>
      <c r="O1063" s="1" t="b">
        <f t="shared" si="142"/>
        <v>0</v>
      </c>
      <c r="P1063" s="1" t="e">
        <f>INDEX(G:G,MATCH(G1063,G:G,0))</f>
        <v>#N/A</v>
      </c>
      <c r="Q1063" s="1" t="e">
        <f t="shared" si="143"/>
        <v>#N/A</v>
      </c>
      <c r="R1063" s="1" t="e">
        <f>INDEX('6.0.35'!I:I,MATCH(F1063,'6.0.35'!K:K,0))</f>
        <v>#N/A</v>
      </c>
      <c r="S1063" s="1" t="e">
        <f>INDEX('6.0.35'!J:J,MATCH(F1063,'6.0.35'!F:F,0))</f>
        <v>#N/A</v>
      </c>
    </row>
    <row r="1064" spans="1:19">
      <c r="A1064" t="s">
        <v>17548</v>
      </c>
      <c r="I1064" s="1" t="str">
        <f t="shared" si="136"/>
        <v/>
      </c>
      <c r="J1064" s="1">
        <f t="shared" si="137"/>
        <v>0</v>
      </c>
      <c r="K1064" s="1" t="str">
        <f t="shared" si="138"/>
        <v/>
      </c>
      <c r="L1064" s="1">
        <f t="shared" si="139"/>
        <v>0</v>
      </c>
      <c r="M1064" s="1">
        <f t="shared" si="140"/>
        <v>0</v>
      </c>
      <c r="N1064" s="1">
        <f t="shared" si="141"/>
        <v>0</v>
      </c>
      <c r="O1064" s="1" t="b">
        <f t="shared" si="142"/>
        <v>0</v>
      </c>
      <c r="P1064" s="1" t="e">
        <f>INDEX(G:G,MATCH(G1064,G:G,0))</f>
        <v>#N/A</v>
      </c>
      <c r="Q1064" s="1" t="e">
        <f t="shared" si="143"/>
        <v>#N/A</v>
      </c>
      <c r="R1064" s="1" t="e">
        <f>INDEX('6.0.35'!I:I,MATCH(F1064,'6.0.35'!K:K,0))</f>
        <v>#N/A</v>
      </c>
      <c r="S1064" s="1" t="e">
        <f>INDEX('6.0.35'!J:J,MATCH(F1064,'6.0.35'!F:F,0))</f>
        <v>#N/A</v>
      </c>
    </row>
    <row r="1065" spans="1:19">
      <c r="A1065" t="s">
        <v>17536</v>
      </c>
      <c r="I1065" s="1" t="str">
        <f t="shared" si="136"/>
        <v/>
      </c>
      <c r="J1065" s="1">
        <f t="shared" si="137"/>
        <v>0</v>
      </c>
      <c r="K1065" s="1" t="str">
        <f t="shared" si="138"/>
        <v/>
      </c>
      <c r="L1065" s="1">
        <f t="shared" si="139"/>
        <v>0</v>
      </c>
      <c r="M1065" s="1">
        <f t="shared" si="140"/>
        <v>0</v>
      </c>
      <c r="N1065" s="1">
        <f t="shared" si="141"/>
        <v>0</v>
      </c>
      <c r="O1065" s="1" t="b">
        <f t="shared" si="142"/>
        <v>0</v>
      </c>
      <c r="P1065" s="1" t="e">
        <f>INDEX(G:G,MATCH(G1065,G:G,0))</f>
        <v>#N/A</v>
      </c>
      <c r="Q1065" s="1" t="e">
        <f t="shared" si="143"/>
        <v>#N/A</v>
      </c>
      <c r="R1065" s="1" t="e">
        <f>INDEX('6.0.35'!I:I,MATCH(F1065,'6.0.35'!K:K,0))</f>
        <v>#N/A</v>
      </c>
      <c r="S1065" s="1" t="e">
        <f>INDEX('6.0.35'!J:J,MATCH(F1065,'6.0.35'!F:F,0))</f>
        <v>#N/A</v>
      </c>
    </row>
    <row r="1066" spans="1:19">
      <c r="A1066" t="s">
        <v>17555</v>
      </c>
      <c r="I1066" s="1" t="str">
        <f t="shared" si="136"/>
        <v/>
      </c>
      <c r="J1066" s="1">
        <f t="shared" si="137"/>
        <v>0</v>
      </c>
      <c r="K1066" s="1" t="str">
        <f t="shared" si="138"/>
        <v/>
      </c>
      <c r="L1066" s="1">
        <f t="shared" si="139"/>
        <v>0</v>
      </c>
      <c r="M1066" s="1">
        <f t="shared" si="140"/>
        <v>0</v>
      </c>
      <c r="N1066" s="1">
        <f t="shared" si="141"/>
        <v>0</v>
      </c>
      <c r="O1066" s="1" t="b">
        <f t="shared" si="142"/>
        <v>0</v>
      </c>
      <c r="P1066" s="1" t="e">
        <f>INDEX(G:G,MATCH(G1066,G:G,0))</f>
        <v>#N/A</v>
      </c>
      <c r="Q1066" s="1" t="e">
        <f t="shared" si="143"/>
        <v>#N/A</v>
      </c>
      <c r="R1066" s="1" t="e">
        <f>INDEX('6.0.35'!I:I,MATCH(F1066,'6.0.35'!K:K,0))</f>
        <v>#N/A</v>
      </c>
      <c r="S1066" s="1" t="e">
        <f>INDEX('6.0.35'!J:J,MATCH(F1066,'6.0.35'!F:F,0))</f>
        <v>#N/A</v>
      </c>
    </row>
    <row r="1067" spans="1:19">
      <c r="A1067" t="s">
        <v>17539</v>
      </c>
      <c r="I1067" s="1" t="str">
        <f t="shared" si="136"/>
        <v/>
      </c>
      <c r="J1067" s="1">
        <f t="shared" si="137"/>
        <v>0</v>
      </c>
      <c r="K1067" s="1" t="str">
        <f t="shared" si="138"/>
        <v/>
      </c>
      <c r="L1067" s="1">
        <f t="shared" si="139"/>
        <v>0</v>
      </c>
      <c r="M1067" s="1">
        <f t="shared" si="140"/>
        <v>0</v>
      </c>
      <c r="N1067" s="1">
        <f t="shared" si="141"/>
        <v>0</v>
      </c>
      <c r="O1067" s="1" t="b">
        <f t="shared" si="142"/>
        <v>0</v>
      </c>
      <c r="P1067" s="1" t="e">
        <f>INDEX(G:G,MATCH(G1067,G:G,0))</f>
        <v>#N/A</v>
      </c>
      <c r="Q1067" s="1" t="e">
        <f t="shared" si="143"/>
        <v>#N/A</v>
      </c>
      <c r="R1067" s="1" t="e">
        <f>INDEX('6.0.35'!I:I,MATCH(F1067,'6.0.35'!K:K,0))</f>
        <v>#N/A</v>
      </c>
      <c r="S1067" s="1" t="e">
        <f>INDEX('6.0.35'!J:J,MATCH(F1067,'6.0.35'!F:F,0))</f>
        <v>#N/A</v>
      </c>
    </row>
    <row r="1068" spans="1:19">
      <c r="A1068" t="s">
        <v>17542</v>
      </c>
      <c r="I1068" s="1" t="str">
        <f t="shared" si="136"/>
        <v/>
      </c>
      <c r="J1068" s="1">
        <f t="shared" si="137"/>
        <v>0</v>
      </c>
      <c r="K1068" s="1" t="str">
        <f t="shared" si="138"/>
        <v/>
      </c>
      <c r="L1068" s="1">
        <f t="shared" si="139"/>
        <v>0</v>
      </c>
      <c r="M1068" s="1">
        <f t="shared" si="140"/>
        <v>0</v>
      </c>
      <c r="N1068" s="1">
        <f t="shared" si="141"/>
        <v>0</v>
      </c>
      <c r="O1068" s="1" t="b">
        <f t="shared" si="142"/>
        <v>0</v>
      </c>
      <c r="P1068" s="1" t="e">
        <f>INDEX(G:G,MATCH(G1068,G:G,0))</f>
        <v>#N/A</v>
      </c>
      <c r="Q1068" s="1" t="e">
        <f t="shared" si="143"/>
        <v>#N/A</v>
      </c>
      <c r="R1068" s="1" t="e">
        <f>INDEX('6.0.35'!I:I,MATCH(F1068,'6.0.35'!K:K,0))</f>
        <v>#N/A</v>
      </c>
      <c r="S1068" s="1" t="e">
        <f>INDEX('6.0.35'!J:J,MATCH(F1068,'6.0.35'!F:F,0))</f>
        <v>#N/A</v>
      </c>
    </row>
    <row r="1069" spans="1:19">
      <c r="A1069" t="s">
        <v>17602</v>
      </c>
      <c r="I1069" s="1" t="str">
        <f t="shared" si="136"/>
        <v/>
      </c>
      <c r="J1069" s="1">
        <f t="shared" si="137"/>
        <v>0</v>
      </c>
      <c r="K1069" s="1" t="str">
        <f t="shared" si="138"/>
        <v/>
      </c>
      <c r="L1069" s="1">
        <f t="shared" si="139"/>
        <v>0</v>
      </c>
      <c r="M1069" s="1">
        <f t="shared" si="140"/>
        <v>0</v>
      </c>
      <c r="N1069" s="1">
        <f t="shared" si="141"/>
        <v>0</v>
      </c>
      <c r="O1069" s="1" t="b">
        <f t="shared" si="142"/>
        <v>0</v>
      </c>
      <c r="P1069" s="1" t="e">
        <f>INDEX(G:G,MATCH(G1069,G:G,0))</f>
        <v>#N/A</v>
      </c>
      <c r="Q1069" s="1" t="e">
        <f t="shared" si="143"/>
        <v>#N/A</v>
      </c>
      <c r="R1069" s="1" t="e">
        <f>INDEX('6.0.35'!I:I,MATCH(F1069,'6.0.35'!K:K,0))</f>
        <v>#N/A</v>
      </c>
      <c r="S1069" s="1" t="e">
        <f>INDEX('6.0.35'!J:J,MATCH(F1069,'6.0.35'!F:F,0))</f>
        <v>#N/A</v>
      </c>
    </row>
    <row r="1070" spans="1:19">
      <c r="A1070" t="s">
        <v>17545</v>
      </c>
      <c r="I1070" s="1" t="str">
        <f t="shared" si="136"/>
        <v/>
      </c>
      <c r="J1070" s="1">
        <f t="shared" si="137"/>
        <v>0</v>
      </c>
      <c r="K1070" s="1" t="str">
        <f t="shared" si="138"/>
        <v/>
      </c>
      <c r="L1070" s="1">
        <f t="shared" si="139"/>
        <v>0</v>
      </c>
      <c r="M1070" s="1">
        <f t="shared" si="140"/>
        <v>0</v>
      </c>
      <c r="N1070" s="1">
        <f t="shared" si="141"/>
        <v>0</v>
      </c>
      <c r="O1070" s="1" t="b">
        <f t="shared" si="142"/>
        <v>0</v>
      </c>
      <c r="P1070" s="1" t="e">
        <f>INDEX(G:G,MATCH(G1070,G:G,0))</f>
        <v>#N/A</v>
      </c>
      <c r="Q1070" s="1" t="e">
        <f t="shared" si="143"/>
        <v>#N/A</v>
      </c>
      <c r="R1070" s="1" t="e">
        <f>INDEX('6.0.35'!I:I,MATCH(F1070,'6.0.35'!K:K,0))</f>
        <v>#N/A</v>
      </c>
      <c r="S1070" s="1" t="e">
        <f>INDEX('6.0.35'!J:J,MATCH(F1070,'6.0.35'!F:F,0))</f>
        <v>#N/A</v>
      </c>
    </row>
    <row r="1071" spans="1:19">
      <c r="A1071" t="s">
        <v>17548</v>
      </c>
      <c r="I1071" s="1" t="str">
        <f t="shared" si="136"/>
        <v/>
      </c>
      <c r="J1071" s="1">
        <f t="shared" si="137"/>
        <v>0</v>
      </c>
      <c r="K1071" s="1" t="str">
        <f t="shared" si="138"/>
        <v/>
      </c>
      <c r="L1071" s="1">
        <f t="shared" si="139"/>
        <v>0</v>
      </c>
      <c r="M1071" s="1">
        <f t="shared" si="140"/>
        <v>0</v>
      </c>
      <c r="N1071" s="1">
        <f t="shared" si="141"/>
        <v>0</v>
      </c>
      <c r="O1071" s="1" t="b">
        <f t="shared" si="142"/>
        <v>0</v>
      </c>
      <c r="P1071" s="1" t="e">
        <f>INDEX(G:G,MATCH(G1071,G:G,0))</f>
        <v>#N/A</v>
      </c>
      <c r="Q1071" s="1" t="e">
        <f t="shared" si="143"/>
        <v>#N/A</v>
      </c>
      <c r="R1071" s="1" t="e">
        <f>INDEX('6.0.35'!I:I,MATCH(F1071,'6.0.35'!K:K,0))</f>
        <v>#N/A</v>
      </c>
      <c r="S1071" s="1" t="e">
        <f>INDEX('6.0.35'!J:J,MATCH(F1071,'6.0.35'!F:F,0))</f>
        <v>#N/A</v>
      </c>
    </row>
    <row r="1072" spans="1:19">
      <c r="A1072" t="s">
        <v>17536</v>
      </c>
      <c r="I1072" s="1" t="str">
        <f t="shared" si="136"/>
        <v/>
      </c>
      <c r="J1072" s="1">
        <f t="shared" si="137"/>
        <v>0</v>
      </c>
      <c r="K1072" s="1" t="str">
        <f t="shared" si="138"/>
        <v/>
      </c>
      <c r="L1072" s="1">
        <f t="shared" si="139"/>
        <v>0</v>
      </c>
      <c r="M1072" s="1">
        <f t="shared" si="140"/>
        <v>0</v>
      </c>
      <c r="N1072" s="1">
        <f t="shared" si="141"/>
        <v>0</v>
      </c>
      <c r="O1072" s="1" t="b">
        <f t="shared" si="142"/>
        <v>0</v>
      </c>
      <c r="P1072" s="1" t="e">
        <f>INDEX(G:G,MATCH(G1072,G:G,0))</f>
        <v>#N/A</v>
      </c>
      <c r="Q1072" s="1" t="e">
        <f t="shared" si="143"/>
        <v>#N/A</v>
      </c>
      <c r="R1072" s="1" t="e">
        <f>INDEX('6.0.35'!I:I,MATCH(F1072,'6.0.35'!K:K,0))</f>
        <v>#N/A</v>
      </c>
      <c r="S1072" s="1" t="e">
        <f>INDEX('6.0.35'!J:J,MATCH(F1072,'6.0.35'!F:F,0))</f>
        <v>#N/A</v>
      </c>
    </row>
    <row r="1073" spans="1:19">
      <c r="A1073" t="s">
        <v>17555</v>
      </c>
      <c r="I1073" s="1" t="str">
        <f t="shared" si="136"/>
        <v/>
      </c>
      <c r="J1073" s="1">
        <f t="shared" si="137"/>
        <v>0</v>
      </c>
      <c r="K1073" s="1" t="str">
        <f t="shared" si="138"/>
        <v/>
      </c>
      <c r="L1073" s="1">
        <f t="shared" si="139"/>
        <v>0</v>
      </c>
      <c r="M1073" s="1">
        <f t="shared" si="140"/>
        <v>0</v>
      </c>
      <c r="N1073" s="1">
        <f t="shared" si="141"/>
        <v>0</v>
      </c>
      <c r="O1073" s="1" t="b">
        <f t="shared" si="142"/>
        <v>0</v>
      </c>
      <c r="P1073" s="1" t="e">
        <f>INDEX(G:G,MATCH(G1073,G:G,0))</f>
        <v>#N/A</v>
      </c>
      <c r="Q1073" s="1" t="e">
        <f t="shared" si="143"/>
        <v>#N/A</v>
      </c>
      <c r="R1073" s="1" t="e">
        <f>INDEX('6.0.35'!I:I,MATCH(F1073,'6.0.35'!K:K,0))</f>
        <v>#N/A</v>
      </c>
      <c r="S1073" s="1" t="e">
        <f>INDEX('6.0.35'!J:J,MATCH(F1073,'6.0.35'!F:F,0))</f>
        <v>#N/A</v>
      </c>
    </row>
    <row r="1074" spans="1:19">
      <c r="A1074" t="s">
        <v>17539</v>
      </c>
      <c r="I1074" s="1" t="str">
        <f t="shared" si="136"/>
        <v/>
      </c>
      <c r="J1074" s="1">
        <f t="shared" si="137"/>
        <v>0</v>
      </c>
      <c r="K1074" s="1" t="str">
        <f t="shared" si="138"/>
        <v/>
      </c>
      <c r="L1074" s="1">
        <f t="shared" si="139"/>
        <v>0</v>
      </c>
      <c r="M1074" s="1">
        <f t="shared" si="140"/>
        <v>0</v>
      </c>
      <c r="N1074" s="1">
        <f t="shared" si="141"/>
        <v>0</v>
      </c>
      <c r="O1074" s="1" t="b">
        <f t="shared" si="142"/>
        <v>0</v>
      </c>
      <c r="P1074" s="1" t="e">
        <f>INDEX(G:G,MATCH(G1074,G:G,0))</f>
        <v>#N/A</v>
      </c>
      <c r="Q1074" s="1" t="e">
        <f t="shared" si="143"/>
        <v>#N/A</v>
      </c>
      <c r="R1074" s="1" t="e">
        <f>INDEX('6.0.35'!I:I,MATCH(F1074,'6.0.35'!K:K,0))</f>
        <v>#N/A</v>
      </c>
      <c r="S1074" s="1" t="e">
        <f>INDEX('6.0.35'!J:J,MATCH(F1074,'6.0.35'!F:F,0))</f>
        <v>#N/A</v>
      </c>
    </row>
    <row r="1075" spans="1:19">
      <c r="A1075" t="s">
        <v>17542</v>
      </c>
      <c r="I1075" s="1" t="str">
        <f t="shared" si="136"/>
        <v/>
      </c>
      <c r="J1075" s="1">
        <f t="shared" si="137"/>
        <v>0</v>
      </c>
      <c r="K1075" s="1" t="str">
        <f t="shared" si="138"/>
        <v/>
      </c>
      <c r="L1075" s="1">
        <f t="shared" si="139"/>
        <v>0</v>
      </c>
      <c r="M1075" s="1">
        <f t="shared" si="140"/>
        <v>0</v>
      </c>
      <c r="N1075" s="1">
        <f t="shared" si="141"/>
        <v>0</v>
      </c>
      <c r="O1075" s="1" t="b">
        <f t="shared" si="142"/>
        <v>0</v>
      </c>
      <c r="P1075" s="1" t="e">
        <f>INDEX(G:G,MATCH(G1075,G:G,0))</f>
        <v>#N/A</v>
      </c>
      <c r="Q1075" s="1" t="e">
        <f t="shared" si="143"/>
        <v>#N/A</v>
      </c>
      <c r="R1075" s="1" t="e">
        <f>INDEX('6.0.35'!I:I,MATCH(F1075,'6.0.35'!K:K,0))</f>
        <v>#N/A</v>
      </c>
      <c r="S1075" s="1" t="e">
        <f>INDEX('6.0.35'!J:J,MATCH(F1075,'6.0.35'!F:F,0))</f>
        <v>#N/A</v>
      </c>
    </row>
    <row r="1076" spans="1:19">
      <c r="A1076" t="s">
        <v>17545</v>
      </c>
      <c r="I1076" s="1" t="str">
        <f t="shared" si="136"/>
        <v/>
      </c>
      <c r="J1076" s="1">
        <f t="shared" si="137"/>
        <v>0</v>
      </c>
      <c r="K1076" s="1" t="str">
        <f t="shared" si="138"/>
        <v/>
      </c>
      <c r="L1076" s="1">
        <f t="shared" si="139"/>
        <v>0</v>
      </c>
      <c r="M1076" s="1">
        <f t="shared" si="140"/>
        <v>0</v>
      </c>
      <c r="N1076" s="1">
        <f t="shared" si="141"/>
        <v>0</v>
      </c>
      <c r="O1076" s="1" t="b">
        <f t="shared" si="142"/>
        <v>0</v>
      </c>
      <c r="P1076" s="1" t="e">
        <f>INDEX(G:G,MATCH(G1076,G:G,0))</f>
        <v>#N/A</v>
      </c>
      <c r="Q1076" s="1" t="e">
        <f t="shared" si="143"/>
        <v>#N/A</v>
      </c>
      <c r="R1076" s="1" t="e">
        <f>INDEX('6.0.35'!I:I,MATCH(F1076,'6.0.35'!K:K,0))</f>
        <v>#N/A</v>
      </c>
      <c r="S1076" s="1" t="e">
        <f>INDEX('6.0.35'!J:J,MATCH(F1076,'6.0.35'!F:F,0))</f>
        <v>#N/A</v>
      </c>
    </row>
    <row r="1077" spans="1:19">
      <c r="A1077" t="s">
        <v>17548</v>
      </c>
      <c r="I1077" s="1" t="str">
        <f t="shared" si="136"/>
        <v/>
      </c>
      <c r="J1077" s="1">
        <f t="shared" si="137"/>
        <v>0</v>
      </c>
      <c r="K1077" s="1" t="str">
        <f t="shared" si="138"/>
        <v/>
      </c>
      <c r="L1077" s="1">
        <f t="shared" si="139"/>
        <v>0</v>
      </c>
      <c r="M1077" s="1">
        <f t="shared" si="140"/>
        <v>0</v>
      </c>
      <c r="N1077" s="1">
        <f t="shared" si="141"/>
        <v>0</v>
      </c>
      <c r="O1077" s="1" t="b">
        <f t="shared" si="142"/>
        <v>0</v>
      </c>
      <c r="P1077" s="1" t="e">
        <f>INDEX(G:G,MATCH(G1077,G:G,0))</f>
        <v>#N/A</v>
      </c>
      <c r="Q1077" s="1" t="e">
        <f t="shared" si="143"/>
        <v>#N/A</v>
      </c>
      <c r="R1077" s="1" t="e">
        <f>INDEX('6.0.35'!I:I,MATCH(F1077,'6.0.35'!K:K,0))</f>
        <v>#N/A</v>
      </c>
      <c r="S1077" s="1" t="e">
        <f>INDEX('6.0.35'!J:J,MATCH(F1077,'6.0.35'!F:F,0))</f>
        <v>#N/A</v>
      </c>
    </row>
    <row r="1078" spans="1:19">
      <c r="A1078" t="s">
        <v>17536</v>
      </c>
      <c r="I1078" s="1" t="str">
        <f t="shared" si="136"/>
        <v/>
      </c>
      <c r="J1078" s="1">
        <f t="shared" si="137"/>
        <v>0</v>
      </c>
      <c r="K1078" s="1" t="str">
        <f t="shared" si="138"/>
        <v/>
      </c>
      <c r="L1078" s="1">
        <f t="shared" si="139"/>
        <v>0</v>
      </c>
      <c r="M1078" s="1">
        <f t="shared" si="140"/>
        <v>0</v>
      </c>
      <c r="N1078" s="1">
        <f t="shared" si="141"/>
        <v>0</v>
      </c>
      <c r="O1078" s="1" t="b">
        <f t="shared" si="142"/>
        <v>0</v>
      </c>
      <c r="P1078" s="1" t="e">
        <f>INDEX(G:G,MATCH(G1078,G:G,0))</f>
        <v>#N/A</v>
      </c>
      <c r="Q1078" s="1" t="e">
        <f t="shared" si="143"/>
        <v>#N/A</v>
      </c>
      <c r="R1078" s="1" t="e">
        <f>INDEX('6.0.35'!I:I,MATCH(F1078,'6.0.35'!K:K,0))</f>
        <v>#N/A</v>
      </c>
      <c r="S1078" s="1" t="e">
        <f>INDEX('6.0.35'!J:J,MATCH(F1078,'6.0.35'!F:F,0))</f>
        <v>#N/A</v>
      </c>
    </row>
    <row r="1079" spans="1:19">
      <c r="A1079" t="s">
        <v>17555</v>
      </c>
      <c r="I1079" s="1" t="str">
        <f t="shared" si="136"/>
        <v/>
      </c>
      <c r="J1079" s="1">
        <f t="shared" si="137"/>
        <v>0</v>
      </c>
      <c r="K1079" s="1" t="str">
        <f t="shared" si="138"/>
        <v/>
      </c>
      <c r="L1079" s="1">
        <f t="shared" si="139"/>
        <v>0</v>
      </c>
      <c r="M1079" s="1">
        <f t="shared" si="140"/>
        <v>0</v>
      </c>
      <c r="N1079" s="1">
        <f t="shared" si="141"/>
        <v>0</v>
      </c>
      <c r="O1079" s="1" t="b">
        <f t="shared" si="142"/>
        <v>0</v>
      </c>
      <c r="P1079" s="1" t="e">
        <f>INDEX(G:G,MATCH(G1079,G:G,0))</f>
        <v>#N/A</v>
      </c>
      <c r="Q1079" s="1" t="e">
        <f t="shared" si="143"/>
        <v>#N/A</v>
      </c>
      <c r="R1079" s="1" t="e">
        <f>INDEX('6.0.35'!I:I,MATCH(F1079,'6.0.35'!K:K,0))</f>
        <v>#N/A</v>
      </c>
      <c r="S1079" s="1" t="e">
        <f>INDEX('6.0.35'!J:J,MATCH(F1079,'6.0.35'!F:F,0))</f>
        <v>#N/A</v>
      </c>
    </row>
    <row r="1080" spans="1:19">
      <c r="A1080" t="s">
        <v>17539</v>
      </c>
      <c r="I1080" s="1" t="str">
        <f t="shared" si="136"/>
        <v/>
      </c>
      <c r="J1080" s="1">
        <f t="shared" si="137"/>
        <v>0</v>
      </c>
      <c r="K1080" s="1" t="str">
        <f t="shared" si="138"/>
        <v/>
      </c>
      <c r="L1080" s="1">
        <f t="shared" si="139"/>
        <v>0</v>
      </c>
      <c r="M1080" s="1">
        <f t="shared" si="140"/>
        <v>0</v>
      </c>
      <c r="N1080" s="1">
        <f t="shared" si="141"/>
        <v>0</v>
      </c>
      <c r="O1080" s="1" t="b">
        <f t="shared" si="142"/>
        <v>0</v>
      </c>
      <c r="P1080" s="1" t="e">
        <f>INDEX(G:G,MATCH(G1080,G:G,0))</f>
        <v>#N/A</v>
      </c>
      <c r="Q1080" s="1" t="e">
        <f t="shared" si="143"/>
        <v>#N/A</v>
      </c>
      <c r="R1080" s="1" t="e">
        <f>INDEX('6.0.35'!I:I,MATCH(F1080,'6.0.35'!K:K,0))</f>
        <v>#N/A</v>
      </c>
      <c r="S1080" s="1" t="e">
        <f>INDEX('6.0.35'!J:J,MATCH(F1080,'6.0.35'!F:F,0))</f>
        <v>#N/A</v>
      </c>
    </row>
    <row r="1081" spans="1:19">
      <c r="A1081" t="s">
        <v>17542</v>
      </c>
      <c r="I1081" s="1" t="str">
        <f t="shared" si="136"/>
        <v/>
      </c>
      <c r="J1081" s="1">
        <f t="shared" si="137"/>
        <v>0</v>
      </c>
      <c r="K1081" s="1" t="str">
        <f t="shared" si="138"/>
        <v/>
      </c>
      <c r="L1081" s="1">
        <f t="shared" si="139"/>
        <v>0</v>
      </c>
      <c r="M1081" s="1">
        <f t="shared" si="140"/>
        <v>0</v>
      </c>
      <c r="N1081" s="1">
        <f t="shared" si="141"/>
        <v>0</v>
      </c>
      <c r="O1081" s="1" t="b">
        <f t="shared" si="142"/>
        <v>0</v>
      </c>
      <c r="P1081" s="1" t="e">
        <f>INDEX(G:G,MATCH(G1081,G:G,0))</f>
        <v>#N/A</v>
      </c>
      <c r="Q1081" s="1" t="e">
        <f t="shared" si="143"/>
        <v>#N/A</v>
      </c>
      <c r="R1081" s="1" t="e">
        <f>INDEX('6.0.35'!I:I,MATCH(F1081,'6.0.35'!K:K,0))</f>
        <v>#N/A</v>
      </c>
      <c r="S1081" s="1" t="e">
        <f>INDEX('6.0.35'!J:J,MATCH(F1081,'6.0.35'!F:F,0))</f>
        <v>#N/A</v>
      </c>
    </row>
    <row r="1082" spans="1:19">
      <c r="A1082" t="s">
        <v>17545</v>
      </c>
      <c r="I1082" s="1" t="str">
        <f t="shared" ref="I1082:I1115" si="144">IFERROR(IF(OR(MID(G1082,FIND(":",G1082)-1,1)="""",MID(G1082,FIND(":",G1082)-1,1)="}",MID(G1082,FIND(":",G1082)-1,1)=")",MID(G1082,FIND(":",G1082)-1,1)="]"),"",RIGHT(G1082,LEN(G1082)-FIND(":",G1082)-1)),"")</f>
        <v/>
      </c>
      <c r="J1082" s="1">
        <f t="shared" ref="J1082:J1116" si="145">IF(AND(I1082="",H1082=""),G1082,IF(H1082="",I1082,H1082&amp;": "&amp;I1082))</f>
        <v>0</v>
      </c>
      <c r="K1082" s="1" t="str">
        <f t="shared" ref="K1082:K1116" si="146">IFERROR(IF(OR(MID(F1082,FIND(":",F1082)-1,1)="""",MID(F1082,FIND(":",F1082)-1,1)="}",MID(F1082,FIND(":",F1082)-1,1)=")",MID(F1082,FIND(":",F1082)-1,1)="]"),"",RIGHT(F1082,LEN(F1082)-FIND(":",F1082)-1)),"")</f>
        <v/>
      </c>
      <c r="L1082" s="1">
        <f t="shared" ref="L1082:L1116" si="147">LEN(F1082)-LEN(SUBSTITUTE(F1082,":",""))</f>
        <v>0</v>
      </c>
      <c r="M1082" s="1">
        <f t="shared" ref="M1082:M1116" si="148">LEN(G1082)-LEN(SUBSTITUTE(G1082,":",""))</f>
        <v>0</v>
      </c>
      <c r="N1082" s="1">
        <f t="shared" ref="N1082:N1116" si="149">LEN(G1082)-LEN(SUBSTITUTE(G1082,"：",""))</f>
        <v>0</v>
      </c>
      <c r="O1082" s="1" t="b">
        <f t="shared" ref="O1082:O1116" si="150">IF(M1082&gt;=2,MID(G1082,FIND(":",G1082)+1,LEN(G1082)))</f>
        <v>0</v>
      </c>
      <c r="P1082" s="1" t="e">
        <f>INDEX(G:G,MATCH(G1082,G:G,0))</f>
        <v>#N/A</v>
      </c>
      <c r="Q1082" s="1" t="e">
        <f t="shared" ref="Q1082:Q1116" si="151">IF(P1082&lt;&gt;G1082,"校验","")</f>
        <v>#N/A</v>
      </c>
      <c r="R1082" s="1" t="e">
        <f>INDEX('6.0.35'!I:I,MATCH(F1082,'6.0.35'!K:K,0))</f>
        <v>#N/A</v>
      </c>
      <c r="S1082" s="1" t="e">
        <f>INDEX('6.0.35'!J:J,MATCH(F1082,'6.0.35'!F:F,0))</f>
        <v>#N/A</v>
      </c>
    </row>
    <row r="1083" spans="1:19">
      <c r="A1083" t="s">
        <v>17548</v>
      </c>
      <c r="I1083" s="1" t="str">
        <f t="shared" si="144"/>
        <v/>
      </c>
      <c r="J1083" s="1">
        <f t="shared" si="145"/>
        <v>0</v>
      </c>
      <c r="K1083" s="1" t="str">
        <f t="shared" si="146"/>
        <v/>
      </c>
      <c r="L1083" s="1">
        <f t="shared" si="147"/>
        <v>0</v>
      </c>
      <c r="M1083" s="1">
        <f t="shared" si="148"/>
        <v>0</v>
      </c>
      <c r="N1083" s="1">
        <f t="shared" si="149"/>
        <v>0</v>
      </c>
      <c r="O1083" s="1" t="b">
        <f t="shared" si="150"/>
        <v>0</v>
      </c>
      <c r="P1083" s="1" t="e">
        <f>INDEX(G:G,MATCH(G1083,G:G,0))</f>
        <v>#N/A</v>
      </c>
      <c r="Q1083" s="1" t="e">
        <f t="shared" si="151"/>
        <v>#N/A</v>
      </c>
      <c r="R1083" s="1" t="e">
        <f>INDEX('6.0.35'!I:I,MATCH(F1083,'6.0.35'!K:K,0))</f>
        <v>#N/A</v>
      </c>
      <c r="S1083" s="1" t="e">
        <f>INDEX('6.0.35'!J:J,MATCH(F1083,'6.0.35'!F:F,0))</f>
        <v>#N/A</v>
      </c>
    </row>
    <row r="1084" spans="1:19">
      <c r="A1084" t="s">
        <v>17536</v>
      </c>
      <c r="I1084" s="1" t="str">
        <f t="shared" si="144"/>
        <v/>
      </c>
      <c r="J1084" s="1">
        <f t="shared" si="145"/>
        <v>0</v>
      </c>
      <c r="K1084" s="1" t="str">
        <f t="shared" si="146"/>
        <v/>
      </c>
      <c r="L1084" s="1">
        <f t="shared" si="147"/>
        <v>0</v>
      </c>
      <c r="M1084" s="1">
        <f t="shared" si="148"/>
        <v>0</v>
      </c>
      <c r="N1084" s="1">
        <f t="shared" si="149"/>
        <v>0</v>
      </c>
      <c r="O1084" s="1" t="b">
        <f t="shared" si="150"/>
        <v>0</v>
      </c>
      <c r="P1084" s="1" t="e">
        <f>INDEX(G:G,MATCH(G1084,G:G,0))</f>
        <v>#N/A</v>
      </c>
      <c r="Q1084" s="1" t="e">
        <f t="shared" si="151"/>
        <v>#N/A</v>
      </c>
      <c r="R1084" s="1" t="e">
        <f>INDEX('6.0.35'!I:I,MATCH(F1084,'6.0.35'!K:K,0))</f>
        <v>#N/A</v>
      </c>
      <c r="S1084" s="1" t="e">
        <f>INDEX('6.0.35'!J:J,MATCH(F1084,'6.0.35'!F:F,0))</f>
        <v>#N/A</v>
      </c>
    </row>
    <row r="1085" spans="1:19">
      <c r="A1085" t="s">
        <v>17555</v>
      </c>
      <c r="I1085" s="1" t="str">
        <f t="shared" si="144"/>
        <v/>
      </c>
      <c r="J1085" s="1">
        <f t="shared" si="145"/>
        <v>0</v>
      </c>
      <c r="K1085" s="1" t="str">
        <f t="shared" si="146"/>
        <v/>
      </c>
      <c r="L1085" s="1">
        <f t="shared" si="147"/>
        <v>0</v>
      </c>
      <c r="M1085" s="1">
        <f t="shared" si="148"/>
        <v>0</v>
      </c>
      <c r="N1085" s="1">
        <f t="shared" si="149"/>
        <v>0</v>
      </c>
      <c r="O1085" s="1" t="b">
        <f t="shared" si="150"/>
        <v>0</v>
      </c>
      <c r="P1085" s="1" t="e">
        <f>INDEX(G:G,MATCH(G1085,G:G,0))</f>
        <v>#N/A</v>
      </c>
      <c r="Q1085" s="1" t="e">
        <f t="shared" si="151"/>
        <v>#N/A</v>
      </c>
      <c r="R1085" s="1" t="e">
        <f>INDEX('6.0.35'!I:I,MATCH(F1085,'6.0.35'!K:K,0))</f>
        <v>#N/A</v>
      </c>
      <c r="S1085" s="1" t="e">
        <f>INDEX('6.0.35'!J:J,MATCH(F1085,'6.0.35'!F:F,0))</f>
        <v>#N/A</v>
      </c>
    </row>
    <row r="1086" spans="1:19">
      <c r="A1086" t="s">
        <v>17539</v>
      </c>
      <c r="I1086" s="1" t="str">
        <f t="shared" si="144"/>
        <v/>
      </c>
      <c r="J1086" s="1">
        <f t="shared" si="145"/>
        <v>0</v>
      </c>
      <c r="K1086" s="1" t="str">
        <f t="shared" si="146"/>
        <v/>
      </c>
      <c r="L1086" s="1">
        <f t="shared" si="147"/>
        <v>0</v>
      </c>
      <c r="M1086" s="1">
        <f t="shared" si="148"/>
        <v>0</v>
      </c>
      <c r="N1086" s="1">
        <f t="shared" si="149"/>
        <v>0</v>
      </c>
      <c r="O1086" s="1" t="b">
        <f t="shared" si="150"/>
        <v>0</v>
      </c>
      <c r="P1086" s="1" t="e">
        <f>INDEX(G:G,MATCH(G1086,G:G,0))</f>
        <v>#N/A</v>
      </c>
      <c r="Q1086" s="1" t="e">
        <f t="shared" si="151"/>
        <v>#N/A</v>
      </c>
      <c r="R1086" s="1" t="e">
        <f>INDEX('6.0.35'!I:I,MATCH(F1086,'6.0.35'!K:K,0))</f>
        <v>#N/A</v>
      </c>
      <c r="S1086" s="1" t="e">
        <f>INDEX('6.0.35'!J:J,MATCH(F1086,'6.0.35'!F:F,0))</f>
        <v>#N/A</v>
      </c>
    </row>
    <row r="1087" spans="1:19">
      <c r="A1087" t="s">
        <v>17542</v>
      </c>
      <c r="I1087" s="1" t="str">
        <f t="shared" si="144"/>
        <v/>
      </c>
      <c r="J1087" s="1">
        <f t="shared" si="145"/>
        <v>0</v>
      </c>
      <c r="K1087" s="1" t="str">
        <f t="shared" si="146"/>
        <v/>
      </c>
      <c r="L1087" s="1">
        <f t="shared" si="147"/>
        <v>0</v>
      </c>
      <c r="M1087" s="1">
        <f t="shared" si="148"/>
        <v>0</v>
      </c>
      <c r="N1087" s="1">
        <f t="shared" si="149"/>
        <v>0</v>
      </c>
      <c r="O1087" s="1" t="b">
        <f t="shared" si="150"/>
        <v>0</v>
      </c>
      <c r="P1087" s="1" t="e">
        <f>INDEX(G:G,MATCH(G1087,G:G,0))</f>
        <v>#N/A</v>
      </c>
      <c r="Q1087" s="1" t="e">
        <f t="shared" si="151"/>
        <v>#N/A</v>
      </c>
      <c r="R1087" s="1" t="e">
        <f>INDEX('6.0.35'!I:I,MATCH(F1087,'6.0.35'!K:K,0))</f>
        <v>#N/A</v>
      </c>
      <c r="S1087" s="1" t="e">
        <f>INDEX('6.0.35'!J:J,MATCH(F1087,'6.0.35'!F:F,0))</f>
        <v>#N/A</v>
      </c>
    </row>
    <row r="1088" spans="1:19">
      <c r="A1088" t="s">
        <v>17602</v>
      </c>
      <c r="I1088" s="1" t="str">
        <f t="shared" si="144"/>
        <v/>
      </c>
      <c r="J1088" s="1">
        <f t="shared" si="145"/>
        <v>0</v>
      </c>
      <c r="K1088" s="1" t="str">
        <f t="shared" si="146"/>
        <v/>
      </c>
      <c r="L1088" s="1">
        <f t="shared" si="147"/>
        <v>0</v>
      </c>
      <c r="M1088" s="1">
        <f t="shared" si="148"/>
        <v>0</v>
      </c>
      <c r="N1088" s="1">
        <f t="shared" si="149"/>
        <v>0</v>
      </c>
      <c r="O1088" s="1" t="b">
        <f t="shared" si="150"/>
        <v>0</v>
      </c>
      <c r="P1088" s="1" t="e">
        <f>INDEX(G:G,MATCH(G1088,G:G,0))</f>
        <v>#N/A</v>
      </c>
      <c r="Q1088" s="1" t="e">
        <f t="shared" si="151"/>
        <v>#N/A</v>
      </c>
      <c r="R1088" s="1" t="e">
        <f>INDEX('6.0.35'!I:I,MATCH(F1088,'6.0.35'!K:K,0))</f>
        <v>#N/A</v>
      </c>
      <c r="S1088" s="1" t="e">
        <f>INDEX('6.0.35'!J:J,MATCH(F1088,'6.0.35'!F:F,0))</f>
        <v>#N/A</v>
      </c>
    </row>
    <row r="1089" spans="1:19">
      <c r="A1089" t="s">
        <v>17545</v>
      </c>
      <c r="I1089" s="1" t="str">
        <f t="shared" si="144"/>
        <v/>
      </c>
      <c r="J1089" s="1">
        <f t="shared" si="145"/>
        <v>0</v>
      </c>
      <c r="K1089" s="1" t="str">
        <f t="shared" si="146"/>
        <v/>
      </c>
      <c r="L1089" s="1">
        <f t="shared" si="147"/>
        <v>0</v>
      </c>
      <c r="M1089" s="1">
        <f t="shared" si="148"/>
        <v>0</v>
      </c>
      <c r="N1089" s="1">
        <f t="shared" si="149"/>
        <v>0</v>
      </c>
      <c r="O1089" s="1" t="b">
        <f t="shared" si="150"/>
        <v>0</v>
      </c>
      <c r="P1089" s="1" t="e">
        <f>INDEX(G:G,MATCH(G1089,G:G,0))</f>
        <v>#N/A</v>
      </c>
      <c r="Q1089" s="1" t="e">
        <f t="shared" si="151"/>
        <v>#N/A</v>
      </c>
      <c r="R1089" s="1" t="e">
        <f>INDEX('6.0.35'!I:I,MATCH(F1089,'6.0.35'!K:K,0))</f>
        <v>#N/A</v>
      </c>
      <c r="S1089" s="1" t="e">
        <f>INDEX('6.0.35'!J:J,MATCH(F1089,'6.0.35'!F:F,0))</f>
        <v>#N/A</v>
      </c>
    </row>
    <row r="1090" spans="1:19">
      <c r="A1090" t="s">
        <v>17548</v>
      </c>
      <c r="I1090" s="1" t="str">
        <f t="shared" si="144"/>
        <v/>
      </c>
      <c r="J1090" s="1">
        <f t="shared" si="145"/>
        <v>0</v>
      </c>
      <c r="K1090" s="1" t="str">
        <f t="shared" si="146"/>
        <v/>
      </c>
      <c r="L1090" s="1">
        <f t="shared" si="147"/>
        <v>0</v>
      </c>
      <c r="M1090" s="1">
        <f t="shared" si="148"/>
        <v>0</v>
      </c>
      <c r="N1090" s="1">
        <f t="shared" si="149"/>
        <v>0</v>
      </c>
      <c r="O1090" s="1" t="b">
        <f t="shared" si="150"/>
        <v>0</v>
      </c>
      <c r="P1090" s="1" t="e">
        <f>INDEX(G:G,MATCH(G1090,G:G,0))</f>
        <v>#N/A</v>
      </c>
      <c r="Q1090" s="1" t="e">
        <f t="shared" si="151"/>
        <v>#N/A</v>
      </c>
      <c r="R1090" s="1" t="e">
        <f>INDEX('6.0.35'!I:I,MATCH(F1090,'6.0.35'!K:K,0))</f>
        <v>#N/A</v>
      </c>
      <c r="S1090" s="1" t="e">
        <f>INDEX('6.0.35'!J:J,MATCH(F1090,'6.0.35'!F:F,0))</f>
        <v>#N/A</v>
      </c>
    </row>
    <row r="1091" spans="1:19">
      <c r="A1091" t="s">
        <v>17536</v>
      </c>
      <c r="I1091" s="1" t="str">
        <f t="shared" si="144"/>
        <v/>
      </c>
      <c r="J1091" s="1">
        <f t="shared" si="145"/>
        <v>0</v>
      </c>
      <c r="K1091" s="1" t="str">
        <f t="shared" si="146"/>
        <v/>
      </c>
      <c r="L1091" s="1">
        <f t="shared" si="147"/>
        <v>0</v>
      </c>
      <c r="M1091" s="1">
        <f t="shared" si="148"/>
        <v>0</v>
      </c>
      <c r="N1091" s="1">
        <f t="shared" si="149"/>
        <v>0</v>
      </c>
      <c r="O1091" s="1" t="b">
        <f t="shared" si="150"/>
        <v>0</v>
      </c>
      <c r="P1091" s="1" t="e">
        <f>INDEX(G:G,MATCH(G1091,G:G,0))</f>
        <v>#N/A</v>
      </c>
      <c r="Q1091" s="1" t="e">
        <f t="shared" si="151"/>
        <v>#N/A</v>
      </c>
      <c r="R1091" s="1" t="e">
        <f>INDEX('6.0.35'!I:I,MATCH(F1091,'6.0.35'!K:K,0))</f>
        <v>#N/A</v>
      </c>
      <c r="S1091" s="1" t="e">
        <f>INDEX('6.0.35'!J:J,MATCH(F1091,'6.0.35'!F:F,0))</f>
        <v>#N/A</v>
      </c>
    </row>
    <row r="1092" spans="1:19">
      <c r="A1092" t="s">
        <v>17555</v>
      </c>
      <c r="I1092" s="1" t="str">
        <f t="shared" si="144"/>
        <v/>
      </c>
      <c r="J1092" s="1">
        <f t="shared" si="145"/>
        <v>0</v>
      </c>
      <c r="K1092" s="1" t="str">
        <f t="shared" si="146"/>
        <v/>
      </c>
      <c r="L1092" s="1">
        <f t="shared" si="147"/>
        <v>0</v>
      </c>
      <c r="M1092" s="1">
        <f t="shared" si="148"/>
        <v>0</v>
      </c>
      <c r="N1092" s="1">
        <f t="shared" si="149"/>
        <v>0</v>
      </c>
      <c r="O1092" s="1" t="b">
        <f t="shared" si="150"/>
        <v>0</v>
      </c>
      <c r="P1092" s="1" t="e">
        <f>INDEX(G:G,MATCH(G1092,G:G,0))</f>
        <v>#N/A</v>
      </c>
      <c r="Q1092" s="1" t="e">
        <f t="shared" si="151"/>
        <v>#N/A</v>
      </c>
      <c r="R1092" s="1" t="e">
        <f>INDEX('6.0.35'!I:I,MATCH(F1092,'6.0.35'!K:K,0))</f>
        <v>#N/A</v>
      </c>
      <c r="S1092" s="1" t="e">
        <f>INDEX('6.0.35'!J:J,MATCH(F1092,'6.0.35'!F:F,0))</f>
        <v>#N/A</v>
      </c>
    </row>
    <row r="1093" spans="1:19">
      <c r="A1093" t="s">
        <v>17539</v>
      </c>
      <c r="I1093" s="1" t="str">
        <f t="shared" si="144"/>
        <v/>
      </c>
      <c r="J1093" s="1">
        <f t="shared" si="145"/>
        <v>0</v>
      </c>
      <c r="K1093" s="1" t="str">
        <f t="shared" si="146"/>
        <v/>
      </c>
      <c r="L1093" s="1">
        <f t="shared" si="147"/>
        <v>0</v>
      </c>
      <c r="M1093" s="1">
        <f t="shared" si="148"/>
        <v>0</v>
      </c>
      <c r="N1093" s="1">
        <f t="shared" si="149"/>
        <v>0</v>
      </c>
      <c r="O1093" s="1" t="b">
        <f t="shared" si="150"/>
        <v>0</v>
      </c>
      <c r="P1093" s="1" t="e">
        <f>INDEX(G:G,MATCH(G1093,G:G,0))</f>
        <v>#N/A</v>
      </c>
      <c r="Q1093" s="1" t="e">
        <f t="shared" si="151"/>
        <v>#N/A</v>
      </c>
      <c r="R1093" s="1" t="e">
        <f>INDEX('6.0.35'!I:I,MATCH(F1093,'6.0.35'!K:K,0))</f>
        <v>#N/A</v>
      </c>
      <c r="S1093" s="1" t="e">
        <f>INDEX('6.0.35'!J:J,MATCH(F1093,'6.0.35'!F:F,0))</f>
        <v>#N/A</v>
      </c>
    </row>
    <row r="1094" spans="1:19">
      <c r="A1094" t="s">
        <v>17542</v>
      </c>
      <c r="I1094" s="1" t="str">
        <f t="shared" si="144"/>
        <v/>
      </c>
      <c r="J1094" s="1">
        <f t="shared" si="145"/>
        <v>0</v>
      </c>
      <c r="K1094" s="1" t="str">
        <f t="shared" si="146"/>
        <v/>
      </c>
      <c r="L1094" s="1">
        <f t="shared" si="147"/>
        <v>0</v>
      </c>
      <c r="M1094" s="1">
        <f t="shared" si="148"/>
        <v>0</v>
      </c>
      <c r="N1094" s="1">
        <f t="shared" si="149"/>
        <v>0</v>
      </c>
      <c r="O1094" s="1" t="b">
        <f t="shared" si="150"/>
        <v>0</v>
      </c>
      <c r="P1094" s="1" t="e">
        <f>INDEX(G:G,MATCH(G1094,G:G,0))</f>
        <v>#N/A</v>
      </c>
      <c r="Q1094" s="1" t="e">
        <f t="shared" si="151"/>
        <v>#N/A</v>
      </c>
      <c r="R1094" s="1" t="e">
        <f>INDEX('6.0.35'!I:I,MATCH(F1094,'6.0.35'!K:K,0))</f>
        <v>#N/A</v>
      </c>
      <c r="S1094" s="1" t="e">
        <f>INDEX('6.0.35'!J:J,MATCH(F1094,'6.0.35'!F:F,0))</f>
        <v>#N/A</v>
      </c>
    </row>
    <row r="1095" spans="1:19">
      <c r="A1095" t="s">
        <v>17545</v>
      </c>
      <c r="I1095" s="1" t="str">
        <f t="shared" si="144"/>
        <v/>
      </c>
      <c r="J1095" s="1">
        <f t="shared" si="145"/>
        <v>0</v>
      </c>
      <c r="K1095" s="1" t="str">
        <f t="shared" si="146"/>
        <v/>
      </c>
      <c r="L1095" s="1">
        <f t="shared" si="147"/>
        <v>0</v>
      </c>
      <c r="M1095" s="1">
        <f t="shared" si="148"/>
        <v>0</v>
      </c>
      <c r="N1095" s="1">
        <f t="shared" si="149"/>
        <v>0</v>
      </c>
      <c r="O1095" s="1" t="b">
        <f t="shared" si="150"/>
        <v>0</v>
      </c>
      <c r="P1095" s="1" t="e">
        <f>INDEX(G:G,MATCH(G1095,G:G,0))</f>
        <v>#N/A</v>
      </c>
      <c r="Q1095" s="1" t="e">
        <f t="shared" si="151"/>
        <v>#N/A</v>
      </c>
      <c r="R1095" s="1" t="e">
        <f>INDEX('6.0.35'!I:I,MATCH(F1095,'6.0.35'!K:K,0))</f>
        <v>#N/A</v>
      </c>
      <c r="S1095" s="1" t="e">
        <f>INDEX('6.0.35'!J:J,MATCH(F1095,'6.0.35'!F:F,0))</f>
        <v>#N/A</v>
      </c>
    </row>
    <row r="1096" spans="1:19">
      <c r="A1096" t="s">
        <v>17548</v>
      </c>
      <c r="I1096" s="1" t="str">
        <f t="shared" si="144"/>
        <v/>
      </c>
      <c r="J1096" s="1">
        <f t="shared" si="145"/>
        <v>0</v>
      </c>
      <c r="K1096" s="1" t="str">
        <f t="shared" si="146"/>
        <v/>
      </c>
      <c r="L1096" s="1">
        <f t="shared" si="147"/>
        <v>0</v>
      </c>
      <c r="M1096" s="1">
        <f t="shared" si="148"/>
        <v>0</v>
      </c>
      <c r="N1096" s="1">
        <f t="shared" si="149"/>
        <v>0</v>
      </c>
      <c r="O1096" s="1" t="b">
        <f t="shared" si="150"/>
        <v>0</v>
      </c>
      <c r="P1096" s="1" t="e">
        <f>INDEX(G:G,MATCH(G1096,G:G,0))</f>
        <v>#N/A</v>
      </c>
      <c r="Q1096" s="1" t="e">
        <f t="shared" si="151"/>
        <v>#N/A</v>
      </c>
      <c r="R1096" s="1" t="e">
        <f>INDEX('6.0.35'!I:I,MATCH(F1096,'6.0.35'!K:K,0))</f>
        <v>#N/A</v>
      </c>
      <c r="S1096" s="1" t="e">
        <f>INDEX('6.0.35'!J:J,MATCH(F1096,'6.0.35'!F:F,0))</f>
        <v>#N/A</v>
      </c>
    </row>
    <row r="1097" spans="1:19">
      <c r="A1097" t="s">
        <v>17076</v>
      </c>
      <c r="I1097" s="1" t="str">
        <f t="shared" si="144"/>
        <v/>
      </c>
      <c r="J1097" s="1">
        <f t="shared" si="145"/>
        <v>0</v>
      </c>
      <c r="K1097" s="1" t="str">
        <f t="shared" si="146"/>
        <v/>
      </c>
      <c r="L1097" s="1">
        <f t="shared" si="147"/>
        <v>0</v>
      </c>
      <c r="M1097" s="1">
        <f t="shared" si="148"/>
        <v>0</v>
      </c>
      <c r="N1097" s="1">
        <f t="shared" si="149"/>
        <v>0</v>
      </c>
      <c r="O1097" s="1" t="b">
        <f t="shared" si="150"/>
        <v>0</v>
      </c>
      <c r="P1097" s="1" t="e">
        <f>INDEX(G:G,MATCH(G1097,G:G,0))</f>
        <v>#N/A</v>
      </c>
      <c r="Q1097" s="1" t="e">
        <f t="shared" si="151"/>
        <v>#N/A</v>
      </c>
      <c r="R1097" s="1" t="e">
        <f>INDEX('6.0.35'!I:I,MATCH(F1097,'6.0.35'!K:K,0))</f>
        <v>#N/A</v>
      </c>
      <c r="S1097" s="1" t="e">
        <f>INDEX('6.0.35'!J:J,MATCH(F1097,'6.0.35'!F:F,0))</f>
        <v>#N/A</v>
      </c>
    </row>
    <row r="1098" spans="1:19">
      <c r="A1098" t="s">
        <v>17081</v>
      </c>
      <c r="I1098" s="1" t="str">
        <f t="shared" si="144"/>
        <v/>
      </c>
      <c r="J1098" s="1">
        <f t="shared" si="145"/>
        <v>0</v>
      </c>
      <c r="K1098" s="1" t="str">
        <f t="shared" si="146"/>
        <v/>
      </c>
      <c r="L1098" s="1">
        <f t="shared" si="147"/>
        <v>0</v>
      </c>
      <c r="M1098" s="1">
        <f t="shared" si="148"/>
        <v>0</v>
      </c>
      <c r="N1098" s="1">
        <f t="shared" si="149"/>
        <v>0</v>
      </c>
      <c r="O1098" s="1" t="b">
        <f t="shared" si="150"/>
        <v>0</v>
      </c>
      <c r="P1098" s="1" t="e">
        <f>INDEX(G:G,MATCH(G1098,G:G,0))</f>
        <v>#N/A</v>
      </c>
      <c r="Q1098" s="1" t="e">
        <f t="shared" si="151"/>
        <v>#N/A</v>
      </c>
      <c r="R1098" s="1" t="e">
        <f>INDEX('6.0.35'!I:I,MATCH(F1098,'6.0.35'!K:K,0))</f>
        <v>#N/A</v>
      </c>
      <c r="S1098" s="1" t="e">
        <f>INDEX('6.0.35'!J:J,MATCH(F1098,'6.0.35'!F:F,0))</f>
        <v>#N/A</v>
      </c>
    </row>
    <row r="1099" spans="1:19">
      <c r="A1099" t="s">
        <v>17086</v>
      </c>
      <c r="I1099" s="1" t="str">
        <f t="shared" si="144"/>
        <v/>
      </c>
      <c r="J1099" s="1">
        <f t="shared" si="145"/>
        <v>0</v>
      </c>
      <c r="K1099" s="1" t="str">
        <f t="shared" si="146"/>
        <v/>
      </c>
      <c r="L1099" s="1">
        <f t="shared" si="147"/>
        <v>0</v>
      </c>
      <c r="M1099" s="1">
        <f t="shared" si="148"/>
        <v>0</v>
      </c>
      <c r="N1099" s="1">
        <f t="shared" si="149"/>
        <v>0</v>
      </c>
      <c r="O1099" s="1" t="b">
        <f t="shared" si="150"/>
        <v>0</v>
      </c>
      <c r="P1099" s="1" t="e">
        <f>INDEX(G:G,MATCH(G1099,G:G,0))</f>
        <v>#N/A</v>
      </c>
      <c r="Q1099" s="1" t="e">
        <f t="shared" si="151"/>
        <v>#N/A</v>
      </c>
      <c r="R1099" s="1" t="e">
        <f>INDEX('6.0.35'!I:I,MATCH(F1099,'6.0.35'!K:K,0))</f>
        <v>#N/A</v>
      </c>
      <c r="S1099" s="1" t="e">
        <f>INDEX('6.0.35'!J:J,MATCH(F1099,'6.0.35'!F:F,0))</f>
        <v>#N/A</v>
      </c>
    </row>
    <row r="1100" spans="1:19">
      <c r="A1100" t="s">
        <v>17089</v>
      </c>
      <c r="I1100" s="1" t="str">
        <f t="shared" si="144"/>
        <v/>
      </c>
      <c r="J1100" s="1">
        <f t="shared" si="145"/>
        <v>0</v>
      </c>
      <c r="K1100" s="1" t="str">
        <f t="shared" si="146"/>
        <v/>
      </c>
      <c r="L1100" s="1">
        <f t="shared" si="147"/>
        <v>0</v>
      </c>
      <c r="M1100" s="1">
        <f t="shared" si="148"/>
        <v>0</v>
      </c>
      <c r="N1100" s="1">
        <f t="shared" si="149"/>
        <v>0</v>
      </c>
      <c r="O1100" s="1" t="b">
        <f t="shared" si="150"/>
        <v>0</v>
      </c>
      <c r="P1100" s="1" t="e">
        <f>INDEX(G:G,MATCH(G1100,G:G,0))</f>
        <v>#N/A</v>
      </c>
      <c r="Q1100" s="1" t="e">
        <f t="shared" si="151"/>
        <v>#N/A</v>
      </c>
      <c r="R1100" s="1" t="e">
        <f>INDEX('6.0.35'!I:I,MATCH(F1100,'6.0.35'!K:K,0))</f>
        <v>#N/A</v>
      </c>
      <c r="S1100" s="1" t="e">
        <f>INDEX('6.0.35'!J:J,MATCH(F1100,'6.0.35'!F:F,0))</f>
        <v>#N/A</v>
      </c>
    </row>
    <row r="1101" spans="1:19">
      <c r="A1101" t="s">
        <v>17094</v>
      </c>
      <c r="I1101" s="1" t="str">
        <f t="shared" si="144"/>
        <v/>
      </c>
      <c r="J1101" s="1">
        <f t="shared" si="145"/>
        <v>0</v>
      </c>
      <c r="K1101" s="1" t="str">
        <f t="shared" si="146"/>
        <v/>
      </c>
      <c r="L1101" s="1">
        <f t="shared" si="147"/>
        <v>0</v>
      </c>
      <c r="M1101" s="1">
        <f t="shared" si="148"/>
        <v>0</v>
      </c>
      <c r="N1101" s="1">
        <f t="shared" si="149"/>
        <v>0</v>
      </c>
      <c r="O1101" s="1" t="b">
        <f t="shared" si="150"/>
        <v>0</v>
      </c>
      <c r="P1101" s="1" t="e">
        <f>INDEX(G:G,MATCH(G1101,G:G,0))</f>
        <v>#N/A</v>
      </c>
      <c r="Q1101" s="1" t="e">
        <f t="shared" si="151"/>
        <v>#N/A</v>
      </c>
      <c r="R1101" s="1" t="e">
        <f>INDEX('6.0.35'!I:I,MATCH(F1101,'6.0.35'!K:K,0))</f>
        <v>#N/A</v>
      </c>
      <c r="S1101" s="1" t="e">
        <f>INDEX('6.0.35'!J:J,MATCH(F1101,'6.0.35'!F:F,0))</f>
        <v>#N/A</v>
      </c>
    </row>
    <row r="1102" spans="1:19">
      <c r="A1102" t="s">
        <v>17100</v>
      </c>
      <c r="I1102" s="1" t="str">
        <f t="shared" si="144"/>
        <v/>
      </c>
      <c r="J1102" s="1">
        <f t="shared" si="145"/>
        <v>0</v>
      </c>
      <c r="K1102" s="1" t="str">
        <f t="shared" si="146"/>
        <v/>
      </c>
      <c r="L1102" s="1">
        <f t="shared" si="147"/>
        <v>0</v>
      </c>
      <c r="M1102" s="1">
        <f t="shared" si="148"/>
        <v>0</v>
      </c>
      <c r="N1102" s="1">
        <f t="shared" si="149"/>
        <v>0</v>
      </c>
      <c r="O1102" s="1" t="b">
        <f t="shared" si="150"/>
        <v>0</v>
      </c>
      <c r="P1102" s="1" t="e">
        <f>INDEX(G:G,MATCH(G1102,G:G,0))</f>
        <v>#N/A</v>
      </c>
      <c r="Q1102" s="1" t="e">
        <f t="shared" si="151"/>
        <v>#N/A</v>
      </c>
      <c r="R1102" s="1" t="e">
        <f>INDEX('6.0.35'!I:I,MATCH(F1102,'6.0.35'!K:K,0))</f>
        <v>#N/A</v>
      </c>
      <c r="S1102" s="1" t="e">
        <f>INDEX('6.0.35'!J:J,MATCH(F1102,'6.0.35'!F:F,0))</f>
        <v>#N/A</v>
      </c>
    </row>
    <row r="1103" spans="1:19">
      <c r="A1103" t="s">
        <v>17112</v>
      </c>
      <c r="I1103" s="1" t="str">
        <f t="shared" si="144"/>
        <v/>
      </c>
      <c r="J1103" s="1">
        <f t="shared" si="145"/>
        <v>0</v>
      </c>
      <c r="K1103" s="1" t="str">
        <f t="shared" si="146"/>
        <v/>
      </c>
      <c r="L1103" s="1">
        <f t="shared" si="147"/>
        <v>0</v>
      </c>
      <c r="M1103" s="1">
        <f t="shared" si="148"/>
        <v>0</v>
      </c>
      <c r="N1103" s="1">
        <f t="shared" si="149"/>
        <v>0</v>
      </c>
      <c r="O1103" s="1" t="b">
        <f t="shared" si="150"/>
        <v>0</v>
      </c>
      <c r="P1103" s="1" t="e">
        <f>INDEX(G:G,MATCH(G1103,G:G,0))</f>
        <v>#N/A</v>
      </c>
      <c r="Q1103" s="1" t="e">
        <f t="shared" si="151"/>
        <v>#N/A</v>
      </c>
      <c r="R1103" s="1" t="e">
        <f>INDEX('6.0.35'!I:I,MATCH(F1103,'6.0.35'!K:K,0))</f>
        <v>#N/A</v>
      </c>
      <c r="S1103" s="1" t="e">
        <f>INDEX('6.0.35'!J:J,MATCH(F1103,'6.0.35'!F:F,0))</f>
        <v>#N/A</v>
      </c>
    </row>
    <row r="1104" spans="1:19">
      <c r="A1104" t="s">
        <v>18298</v>
      </c>
      <c r="I1104" s="1" t="str">
        <f t="shared" si="144"/>
        <v/>
      </c>
      <c r="J1104" s="1">
        <f t="shared" si="145"/>
        <v>0</v>
      </c>
      <c r="K1104" s="1" t="str">
        <f t="shared" si="146"/>
        <v/>
      </c>
      <c r="L1104" s="1">
        <f t="shared" si="147"/>
        <v>0</v>
      </c>
      <c r="M1104" s="1">
        <f t="shared" si="148"/>
        <v>0</v>
      </c>
      <c r="N1104" s="1">
        <f t="shared" si="149"/>
        <v>0</v>
      </c>
      <c r="O1104" s="1" t="b">
        <f t="shared" si="150"/>
        <v>0</v>
      </c>
      <c r="P1104" s="1" t="e">
        <f>INDEX(G:G,MATCH(G1104,G:G,0))</f>
        <v>#N/A</v>
      </c>
      <c r="Q1104" s="1" t="e">
        <f t="shared" si="151"/>
        <v>#N/A</v>
      </c>
      <c r="R1104" s="1" t="e">
        <f>INDEX('6.0.35'!I:I,MATCH(F1104,'6.0.35'!K:K,0))</f>
        <v>#N/A</v>
      </c>
      <c r="S1104" s="1" t="e">
        <f>INDEX('6.0.35'!J:J,MATCH(F1104,'6.0.35'!F:F,0))</f>
        <v>#N/A</v>
      </c>
    </row>
    <row r="1105" spans="1:19">
      <c r="A1105" t="s">
        <v>17149</v>
      </c>
      <c r="I1105" s="1" t="str">
        <f t="shared" si="144"/>
        <v/>
      </c>
      <c r="J1105" s="1">
        <f t="shared" si="145"/>
        <v>0</v>
      </c>
      <c r="K1105" s="1" t="str">
        <f t="shared" si="146"/>
        <v/>
      </c>
      <c r="L1105" s="1">
        <f t="shared" si="147"/>
        <v>0</v>
      </c>
      <c r="M1105" s="1">
        <f t="shared" si="148"/>
        <v>0</v>
      </c>
      <c r="N1105" s="1">
        <f t="shared" si="149"/>
        <v>0</v>
      </c>
      <c r="O1105" s="1" t="b">
        <f t="shared" si="150"/>
        <v>0</v>
      </c>
      <c r="P1105" s="1" t="e">
        <f>INDEX(G:G,MATCH(G1105,G:G,0))</f>
        <v>#N/A</v>
      </c>
      <c r="Q1105" s="1" t="e">
        <f t="shared" si="151"/>
        <v>#N/A</v>
      </c>
      <c r="R1105" s="1" t="e">
        <f>INDEX('6.0.35'!I:I,MATCH(F1105,'6.0.35'!K:K,0))</f>
        <v>#N/A</v>
      </c>
      <c r="S1105" s="1" t="e">
        <f>INDEX('6.0.35'!J:J,MATCH(F1105,'6.0.35'!F:F,0))</f>
        <v>#N/A</v>
      </c>
    </row>
    <row r="1106" spans="1:19">
      <c r="A1106" t="s">
        <v>17157</v>
      </c>
      <c r="I1106" s="1" t="str">
        <f t="shared" si="144"/>
        <v/>
      </c>
      <c r="J1106" s="1">
        <f t="shared" si="145"/>
        <v>0</v>
      </c>
      <c r="K1106" s="1" t="str">
        <f t="shared" si="146"/>
        <v/>
      </c>
      <c r="L1106" s="1">
        <f t="shared" si="147"/>
        <v>0</v>
      </c>
      <c r="M1106" s="1">
        <f t="shared" si="148"/>
        <v>0</v>
      </c>
      <c r="N1106" s="1">
        <f t="shared" si="149"/>
        <v>0</v>
      </c>
      <c r="O1106" s="1" t="b">
        <f t="shared" si="150"/>
        <v>0</v>
      </c>
      <c r="P1106" s="1" t="e">
        <f>INDEX(G:G,MATCH(G1106,G:G,0))</f>
        <v>#N/A</v>
      </c>
      <c r="Q1106" s="1" t="e">
        <f t="shared" si="151"/>
        <v>#N/A</v>
      </c>
      <c r="R1106" s="1" t="e">
        <f>INDEX('6.0.35'!I:I,MATCH(F1106,'6.0.35'!K:K,0))</f>
        <v>#N/A</v>
      </c>
      <c r="S1106" s="1" t="e">
        <f>INDEX('6.0.35'!J:J,MATCH(F1106,'6.0.35'!F:F,0))</f>
        <v>#N/A</v>
      </c>
    </row>
    <row r="1107" spans="1:19">
      <c r="A1107" t="s">
        <v>17162</v>
      </c>
      <c r="I1107" s="1" t="str">
        <f t="shared" si="144"/>
        <v/>
      </c>
      <c r="J1107" s="1">
        <f t="shared" si="145"/>
        <v>0</v>
      </c>
      <c r="K1107" s="1" t="str">
        <f t="shared" si="146"/>
        <v/>
      </c>
      <c r="L1107" s="1">
        <f t="shared" si="147"/>
        <v>0</v>
      </c>
      <c r="M1107" s="1">
        <f t="shared" si="148"/>
        <v>0</v>
      </c>
      <c r="N1107" s="1">
        <f t="shared" si="149"/>
        <v>0</v>
      </c>
      <c r="O1107" s="1" t="b">
        <f t="shared" si="150"/>
        <v>0</v>
      </c>
      <c r="P1107" s="1" t="e">
        <f>INDEX(G:G,MATCH(G1107,G:G,0))</f>
        <v>#N/A</v>
      </c>
      <c r="Q1107" s="1" t="e">
        <f t="shared" si="151"/>
        <v>#N/A</v>
      </c>
      <c r="R1107" s="1" t="e">
        <f>INDEX('6.0.35'!I:I,MATCH(F1107,'6.0.35'!K:K,0))</f>
        <v>#N/A</v>
      </c>
      <c r="S1107" s="1" t="e">
        <f>INDEX('6.0.35'!J:J,MATCH(F1107,'6.0.35'!F:F,0))</f>
        <v>#N/A</v>
      </c>
    </row>
    <row r="1108" spans="1:19">
      <c r="A1108" t="s">
        <v>17166</v>
      </c>
      <c r="I1108" s="1" t="str">
        <f t="shared" si="144"/>
        <v/>
      </c>
      <c r="J1108" s="1">
        <f t="shared" si="145"/>
        <v>0</v>
      </c>
      <c r="K1108" s="1" t="str">
        <f t="shared" si="146"/>
        <v/>
      </c>
      <c r="L1108" s="1">
        <f t="shared" si="147"/>
        <v>0</v>
      </c>
      <c r="M1108" s="1">
        <f t="shared" si="148"/>
        <v>0</v>
      </c>
      <c r="N1108" s="1">
        <f t="shared" si="149"/>
        <v>0</v>
      </c>
      <c r="O1108" s="1" t="b">
        <f t="shared" si="150"/>
        <v>0</v>
      </c>
      <c r="P1108" s="1" t="e">
        <f>INDEX(G:G,MATCH(G1108,G:G,0))</f>
        <v>#N/A</v>
      </c>
      <c r="Q1108" s="1" t="e">
        <f t="shared" si="151"/>
        <v>#N/A</v>
      </c>
      <c r="R1108" s="1" t="e">
        <f>INDEX('6.0.35'!I:I,MATCH(F1108,'6.0.35'!K:K,0))</f>
        <v>#N/A</v>
      </c>
      <c r="S1108" s="1" t="e">
        <f>INDEX('6.0.35'!J:J,MATCH(F1108,'6.0.35'!F:F,0))</f>
        <v>#N/A</v>
      </c>
    </row>
    <row r="1109" spans="1:19">
      <c r="A1109" t="s">
        <v>17170</v>
      </c>
      <c r="I1109" s="1" t="str">
        <f t="shared" si="144"/>
        <v/>
      </c>
      <c r="J1109" s="1">
        <f t="shared" si="145"/>
        <v>0</v>
      </c>
      <c r="K1109" s="1" t="str">
        <f t="shared" si="146"/>
        <v/>
      </c>
      <c r="L1109" s="1">
        <f t="shared" si="147"/>
        <v>0</v>
      </c>
      <c r="M1109" s="1">
        <f t="shared" si="148"/>
        <v>0</v>
      </c>
      <c r="N1109" s="1">
        <f t="shared" si="149"/>
        <v>0</v>
      </c>
      <c r="O1109" s="1" t="b">
        <f t="shared" si="150"/>
        <v>0</v>
      </c>
      <c r="P1109" s="1" t="e">
        <f>INDEX(G:G,MATCH(G1109,G:G,0))</f>
        <v>#N/A</v>
      </c>
      <c r="Q1109" s="1" t="e">
        <f t="shared" si="151"/>
        <v>#N/A</v>
      </c>
      <c r="R1109" s="1" t="e">
        <f>INDEX('6.0.35'!I:I,MATCH(F1109,'6.0.35'!K:K,0))</f>
        <v>#N/A</v>
      </c>
      <c r="S1109" s="1" t="e">
        <f>INDEX('6.0.35'!J:J,MATCH(F1109,'6.0.35'!F:F,0))</f>
        <v>#N/A</v>
      </c>
    </row>
    <row r="1110" spans="1:19">
      <c r="A1110" t="s">
        <v>17172</v>
      </c>
      <c r="I1110" s="1" t="str">
        <f t="shared" si="144"/>
        <v/>
      </c>
      <c r="J1110" s="1">
        <f t="shared" si="145"/>
        <v>0</v>
      </c>
      <c r="K1110" s="1" t="str">
        <f t="shared" si="146"/>
        <v/>
      </c>
      <c r="L1110" s="1">
        <f t="shared" si="147"/>
        <v>0</v>
      </c>
      <c r="M1110" s="1">
        <f t="shared" si="148"/>
        <v>0</v>
      </c>
      <c r="N1110" s="1">
        <f t="shared" si="149"/>
        <v>0</v>
      </c>
      <c r="O1110" s="1" t="b">
        <f t="shared" si="150"/>
        <v>0</v>
      </c>
      <c r="P1110" s="1" t="e">
        <f>INDEX(G:G,MATCH(G1110,G:G,0))</f>
        <v>#N/A</v>
      </c>
      <c r="Q1110" s="1" t="e">
        <f t="shared" si="151"/>
        <v>#N/A</v>
      </c>
      <c r="R1110" s="1" t="e">
        <f>INDEX('6.0.35'!I:I,MATCH(F1110,'6.0.35'!K:K,0))</f>
        <v>#N/A</v>
      </c>
      <c r="S1110" s="1" t="e">
        <f>INDEX('6.0.35'!J:J,MATCH(F1110,'6.0.35'!F:F,0))</f>
        <v>#N/A</v>
      </c>
    </row>
    <row r="1111" spans="1:19">
      <c r="A1111" t="s">
        <v>17175</v>
      </c>
      <c r="I1111" s="1" t="str">
        <f t="shared" si="144"/>
        <v/>
      </c>
      <c r="J1111" s="1">
        <f t="shared" si="145"/>
        <v>0</v>
      </c>
      <c r="K1111" s="1" t="str">
        <f t="shared" si="146"/>
        <v/>
      </c>
      <c r="L1111" s="1">
        <f t="shared" si="147"/>
        <v>0</v>
      </c>
      <c r="M1111" s="1">
        <f t="shared" si="148"/>
        <v>0</v>
      </c>
      <c r="N1111" s="1">
        <f t="shared" si="149"/>
        <v>0</v>
      </c>
      <c r="O1111" s="1" t="b">
        <f t="shared" si="150"/>
        <v>0</v>
      </c>
      <c r="P1111" s="1" t="e">
        <f>INDEX(G:G,MATCH(G1111,G:G,0))</f>
        <v>#N/A</v>
      </c>
      <c r="Q1111" s="1" t="e">
        <f t="shared" si="151"/>
        <v>#N/A</v>
      </c>
      <c r="R1111" s="1" t="e">
        <f>INDEX('6.0.35'!I:I,MATCH(F1111,'6.0.35'!K:K,0))</f>
        <v>#N/A</v>
      </c>
      <c r="S1111" s="1" t="e">
        <f>INDEX('6.0.35'!J:J,MATCH(F1111,'6.0.35'!F:F,0))</f>
        <v>#N/A</v>
      </c>
    </row>
    <row r="1112" spans="1:19">
      <c r="A1112" t="s">
        <v>17183</v>
      </c>
      <c r="I1112" s="1" t="str">
        <f t="shared" si="144"/>
        <v/>
      </c>
      <c r="J1112" s="1">
        <f t="shared" si="145"/>
        <v>0</v>
      </c>
      <c r="K1112" s="1" t="str">
        <f t="shared" si="146"/>
        <v/>
      </c>
      <c r="L1112" s="1">
        <f t="shared" si="147"/>
        <v>0</v>
      </c>
      <c r="M1112" s="1">
        <f t="shared" si="148"/>
        <v>0</v>
      </c>
      <c r="N1112" s="1">
        <f t="shared" si="149"/>
        <v>0</v>
      </c>
      <c r="O1112" s="1" t="b">
        <f t="shared" si="150"/>
        <v>0</v>
      </c>
      <c r="P1112" s="1" t="e">
        <f>INDEX(G:G,MATCH(G1112,G:G,0))</f>
        <v>#N/A</v>
      </c>
      <c r="Q1112" s="1" t="e">
        <f t="shared" si="151"/>
        <v>#N/A</v>
      </c>
      <c r="R1112" s="1" t="e">
        <f>INDEX('6.0.35'!I:I,MATCH(F1112,'6.0.35'!K:K,0))</f>
        <v>#N/A</v>
      </c>
      <c r="S1112" s="1" t="e">
        <f>INDEX('6.0.35'!J:J,MATCH(F1112,'6.0.35'!F:F,0))</f>
        <v>#N/A</v>
      </c>
    </row>
    <row r="1113" spans="1:19">
      <c r="A1113" t="s">
        <v>17189</v>
      </c>
      <c r="I1113" s="1" t="str">
        <f t="shared" si="144"/>
        <v/>
      </c>
      <c r="J1113" s="1">
        <f t="shared" si="145"/>
        <v>0</v>
      </c>
      <c r="K1113" s="1" t="str">
        <f t="shared" si="146"/>
        <v/>
      </c>
      <c r="L1113" s="1">
        <f t="shared" si="147"/>
        <v>0</v>
      </c>
      <c r="M1113" s="1">
        <f t="shared" si="148"/>
        <v>0</v>
      </c>
      <c r="N1113" s="1">
        <f t="shared" si="149"/>
        <v>0</v>
      </c>
      <c r="O1113" s="1" t="b">
        <f t="shared" si="150"/>
        <v>0</v>
      </c>
      <c r="P1113" s="1" t="e">
        <f>INDEX(G:G,MATCH(G1113,G:G,0))</f>
        <v>#N/A</v>
      </c>
      <c r="Q1113" s="1" t="e">
        <f t="shared" si="151"/>
        <v>#N/A</v>
      </c>
      <c r="R1113" s="1" t="e">
        <f>INDEX('6.0.35'!I:I,MATCH(F1113,'6.0.35'!K:K,0))</f>
        <v>#N/A</v>
      </c>
      <c r="S1113" s="1" t="e">
        <f>INDEX('6.0.35'!J:J,MATCH(F1113,'6.0.35'!F:F,0))</f>
        <v>#N/A</v>
      </c>
    </row>
    <row r="1114" spans="1:19">
      <c r="A1114" t="s">
        <v>17202</v>
      </c>
      <c r="I1114" s="1" t="str">
        <f t="shared" si="144"/>
        <v/>
      </c>
      <c r="J1114" s="1">
        <f t="shared" si="145"/>
        <v>0</v>
      </c>
      <c r="K1114" s="1" t="str">
        <f t="shared" si="146"/>
        <v/>
      </c>
      <c r="L1114" s="1">
        <f t="shared" si="147"/>
        <v>0</v>
      </c>
      <c r="M1114" s="1">
        <f t="shared" si="148"/>
        <v>0</v>
      </c>
      <c r="N1114" s="1">
        <f t="shared" si="149"/>
        <v>0</v>
      </c>
      <c r="O1114" s="1" t="b">
        <f t="shared" si="150"/>
        <v>0</v>
      </c>
      <c r="P1114" s="1" t="e">
        <f>INDEX(G:G,MATCH(G1114,G:G,0))</f>
        <v>#N/A</v>
      </c>
      <c r="Q1114" s="1" t="e">
        <f t="shared" si="151"/>
        <v>#N/A</v>
      </c>
      <c r="R1114" s="1" t="e">
        <f>INDEX('6.0.35'!I:I,MATCH(F1114,'6.0.35'!K:K,0))</f>
        <v>#N/A</v>
      </c>
      <c r="S1114" s="1" t="e">
        <f>INDEX('6.0.35'!J:J,MATCH(F1114,'6.0.35'!F:F,0))</f>
        <v>#N/A</v>
      </c>
    </row>
    <row r="1115" spans="1:19">
      <c r="A1115" t="s">
        <v>17211</v>
      </c>
      <c r="I1115" s="1" t="str">
        <f t="shared" si="144"/>
        <v/>
      </c>
      <c r="J1115" s="1">
        <f t="shared" si="145"/>
        <v>0</v>
      </c>
      <c r="K1115" s="1" t="str">
        <f t="shared" si="146"/>
        <v/>
      </c>
      <c r="L1115" s="1">
        <f t="shared" si="147"/>
        <v>0</v>
      </c>
      <c r="M1115" s="1">
        <f t="shared" si="148"/>
        <v>0</v>
      </c>
      <c r="N1115" s="1">
        <f t="shared" si="149"/>
        <v>0</v>
      </c>
      <c r="O1115" s="1" t="b">
        <f t="shared" si="150"/>
        <v>0</v>
      </c>
      <c r="P1115" s="1" t="e">
        <f>INDEX(G:G,MATCH(G1115,G:G,0))</f>
        <v>#N/A</v>
      </c>
      <c r="Q1115" s="1" t="e">
        <f t="shared" si="151"/>
        <v>#N/A</v>
      </c>
      <c r="R1115" s="1" t="e">
        <f>INDEX('6.0.35'!I:I,MATCH(F1115,'6.0.35'!K:K,0))</f>
        <v>#N/A</v>
      </c>
      <c r="S1115" s="1" t="e">
        <f>INDEX('6.0.35'!J:J,MATCH(F1115,'6.0.35'!F:F,0))</f>
        <v>#N/A</v>
      </c>
    </row>
    <row r="1116" spans="10:19">
      <c r="J1116" s="1">
        <f t="shared" si="145"/>
        <v>0</v>
      </c>
      <c r="K1116" s="1" t="str">
        <f t="shared" si="146"/>
        <v/>
      </c>
      <c r="L1116" s="1">
        <f t="shared" si="147"/>
        <v>0</v>
      </c>
      <c r="M1116" s="1">
        <f t="shared" si="148"/>
        <v>0</v>
      </c>
      <c r="N1116" s="1">
        <f t="shared" si="149"/>
        <v>0</v>
      </c>
      <c r="O1116" s="1" t="b">
        <f t="shared" si="150"/>
        <v>0</v>
      </c>
      <c r="P1116" s="1" t="e">
        <f>INDEX(G:G,MATCH(G1116,G:G,0))</f>
        <v>#N/A</v>
      </c>
      <c r="Q1116" s="1" t="e">
        <f t="shared" si="151"/>
        <v>#N/A</v>
      </c>
      <c r="R1116" s="1" t="e">
        <f>INDEX('6.0.35'!I:I,MATCH(F1116,'6.0.35'!K:K,0))</f>
        <v>#N/A</v>
      </c>
      <c r="S1116" s="1" t="e">
        <f>INDEX('6.0.35'!J:J,MATCH(F1116,'6.0.35'!F:F,0))</f>
        <v>#N/A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687"/>
  <sheetViews>
    <sheetView workbookViewId="0">
      <selection activeCell="G1" sqref="G$1:G$1048576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1</v>
      </c>
      <c r="B2" s="1" t="s">
        <v>18301</v>
      </c>
      <c r="C2" s="1" t="s">
        <v>131</v>
      </c>
      <c r="D2" s="1" t="s">
        <v>4086</v>
      </c>
      <c r="E2" s="1" t="s">
        <v>3360</v>
      </c>
      <c r="F2" s="1" t="s">
        <v>4087</v>
      </c>
      <c r="G2" s="1" t="s">
        <v>4088</v>
      </c>
      <c r="H2" s="1" t="str">
        <f t="shared" ref="H2:H65" si="0">IFERROR(IF(OR(MID(G2,FIND(":",G2)-1,1)="""",MID(G2,FIND(":",G2)-1,1)="}",MID(G2,FIND(":",G2)-1,1)=")",MID(G2,FIND(":",G2)-1,1)="]"),"",LEFT(F2,FIND(":",F2)-1)),"")</f>
        <v>AIX</v>
      </c>
      <c r="I2" s="1" t="str">
        <f>IFERROR(IF(OR(MID(G2,FIND(":",G2)-1,1)="""",MID(G2,FIND(":",G2)-1,1)="}",MID(G2,FIND(":",G2)-1,1)=")",MID(G2,FIND(":",G2)-1,1)="]"),"",RIGHT(G2,LEN(G2)-FIND(":",G2)-1)),"")</f>
        <v>服务器上缺少可用内存</v>
      </c>
      <c r="J2" s="1" t="str">
        <f>IF(AND(I2="",H2=""),G2,H2&amp;": "&amp;I2)</f>
        <v>AIX: 服务器上缺少可用内存</v>
      </c>
      <c r="K2" s="1" t="str">
        <f>IFERROR(IF(OR(MID(F2,FIND(":",F2)-1,1)="""",MID(F2,FIND(":",F2)-1,1)="}",MID(F2,FIND(":",F2)-1,1)=")",MID(F2,FIND(":",F2)-1,1)="]"),"",RIGHT(F2,LEN(F2)-FIND(":",F2)-1)),"")</f>
        <v>Lack of available memory on server</v>
      </c>
    </row>
    <row r="3" spans="1:8">
      <c r="A3" s="1">
        <v>2</v>
      </c>
      <c r="B3" s="1" t="s">
        <v>18301</v>
      </c>
      <c r="C3" s="1" t="s">
        <v>136</v>
      </c>
      <c r="D3" s="1" t="s">
        <v>4086</v>
      </c>
      <c r="E3" s="1" t="s">
        <v>3214</v>
      </c>
      <c r="F3" s="1" t="s">
        <v>4090</v>
      </c>
      <c r="G3" s="1" t="s">
        <v>4091</v>
      </c>
      <c r="H3" s="1" t="str">
        <f t="shared" si="0"/>
        <v>AIX</v>
      </c>
    </row>
    <row r="4" spans="1:8">
      <c r="A4" s="1">
        <v>3</v>
      </c>
      <c r="B4" s="1" t="s">
        <v>18301</v>
      </c>
      <c r="C4" s="1" t="s">
        <v>138</v>
      </c>
      <c r="D4" s="1" t="s">
        <v>4086</v>
      </c>
      <c r="E4" s="1" t="s">
        <v>3217</v>
      </c>
      <c r="F4" s="1" t="s">
        <v>4093</v>
      </c>
      <c r="G4" s="1" t="s">
        <v>4094</v>
      </c>
      <c r="H4" s="1" t="str">
        <f t="shared" si="0"/>
        <v>AIX</v>
      </c>
    </row>
    <row r="5" spans="1:8">
      <c r="A5" s="1">
        <v>4</v>
      </c>
      <c r="B5" s="1" t="s">
        <v>18301</v>
      </c>
      <c r="C5" s="1" t="s">
        <v>140</v>
      </c>
      <c r="D5" s="1" t="s">
        <v>4086</v>
      </c>
      <c r="E5" s="1" t="s">
        <v>3205</v>
      </c>
      <c r="F5" s="1" t="s">
        <v>4096</v>
      </c>
      <c r="G5" s="1" t="s">
        <v>4097</v>
      </c>
      <c r="H5" s="1" t="str">
        <f t="shared" si="0"/>
        <v>AIX</v>
      </c>
    </row>
    <row r="6" spans="1:8">
      <c r="A6" s="1">
        <v>5</v>
      </c>
      <c r="B6" s="1" t="s">
        <v>18301</v>
      </c>
      <c r="C6" s="1" t="s">
        <v>142</v>
      </c>
      <c r="D6" s="1" t="s">
        <v>4086</v>
      </c>
      <c r="E6" s="1" t="s">
        <v>3223</v>
      </c>
      <c r="F6" s="1" t="s">
        <v>4099</v>
      </c>
      <c r="G6" s="1" t="s">
        <v>4100</v>
      </c>
      <c r="H6" s="1" t="str">
        <f t="shared" si="0"/>
        <v>AIX</v>
      </c>
    </row>
    <row r="7" spans="1:8">
      <c r="A7" s="1">
        <v>6</v>
      </c>
      <c r="B7" s="1" t="s">
        <v>18301</v>
      </c>
      <c r="C7" s="1" t="s">
        <v>144</v>
      </c>
      <c r="D7" s="1" t="s">
        <v>4086</v>
      </c>
      <c r="E7" s="1" t="s">
        <v>3226</v>
      </c>
      <c r="F7" s="1" t="s">
        <v>4102</v>
      </c>
      <c r="G7" s="1" t="s">
        <v>4103</v>
      </c>
      <c r="H7" s="1" t="str">
        <f t="shared" si="0"/>
        <v>AIX</v>
      </c>
    </row>
    <row r="8" spans="1:8">
      <c r="A8" s="1">
        <v>7</v>
      </c>
      <c r="B8" s="1" t="s">
        <v>18301</v>
      </c>
      <c r="C8" s="1" t="s">
        <v>146</v>
      </c>
      <c r="D8" s="1" t="s">
        <v>4086</v>
      </c>
      <c r="E8" s="1" t="s">
        <v>3220</v>
      </c>
      <c r="F8" s="1" t="s">
        <v>4105</v>
      </c>
      <c r="G8" s="1" t="s">
        <v>4106</v>
      </c>
      <c r="H8" s="1" t="str">
        <f t="shared" si="0"/>
        <v>AIX</v>
      </c>
    </row>
    <row r="9" spans="1:8">
      <c r="A9" s="1">
        <v>8</v>
      </c>
      <c r="B9" s="1" t="s">
        <v>18301</v>
      </c>
      <c r="C9" s="1" t="s">
        <v>148</v>
      </c>
      <c r="D9" s="1" t="s">
        <v>4086</v>
      </c>
      <c r="E9" s="1" t="s">
        <v>3208</v>
      </c>
      <c r="F9" s="1" t="s">
        <v>4108</v>
      </c>
      <c r="G9" s="1" t="s">
        <v>4109</v>
      </c>
      <c r="H9" s="1" t="str">
        <f t="shared" si="0"/>
        <v>AIX</v>
      </c>
    </row>
    <row r="10" spans="1:8">
      <c r="A10" s="1">
        <v>9</v>
      </c>
      <c r="B10" s="1" t="s">
        <v>18301</v>
      </c>
      <c r="C10" s="1" t="s">
        <v>150</v>
      </c>
      <c r="D10" s="1" t="s">
        <v>4086</v>
      </c>
      <c r="E10" s="1" t="s">
        <v>3211</v>
      </c>
      <c r="F10" s="1" t="s">
        <v>4111</v>
      </c>
      <c r="G10" s="1" t="s">
        <v>4112</v>
      </c>
      <c r="H10" s="1" t="str">
        <f t="shared" si="0"/>
        <v>AIX</v>
      </c>
    </row>
    <row r="11" spans="1:8">
      <c r="A11" s="1">
        <v>10</v>
      </c>
      <c r="B11" s="1" t="s">
        <v>18301</v>
      </c>
      <c r="C11" s="1" t="s">
        <v>152</v>
      </c>
      <c r="D11" s="1" t="s">
        <v>4086</v>
      </c>
      <c r="E11" s="1" t="s">
        <v>4114</v>
      </c>
      <c r="F11" s="1" t="s">
        <v>4115</v>
      </c>
      <c r="G11" s="1" t="s">
        <v>18302</v>
      </c>
      <c r="H11" s="1" t="str">
        <f t="shared" si="0"/>
        <v>AIX</v>
      </c>
    </row>
    <row r="12" spans="1:8">
      <c r="A12" s="1">
        <v>11</v>
      </c>
      <c r="B12" s="1" t="s">
        <v>18303</v>
      </c>
      <c r="C12" s="1" t="s">
        <v>3400</v>
      </c>
      <c r="D12" s="1" t="s">
        <v>4118</v>
      </c>
      <c r="E12" s="1" t="s">
        <v>4119</v>
      </c>
      <c r="F12" s="1" t="s">
        <v>4120</v>
      </c>
      <c r="G12" s="1" t="s">
        <v>4121</v>
      </c>
      <c r="H12" s="1" t="str">
        <f t="shared" si="0"/>
        <v>APC Smart-UPS 2200 RM</v>
      </c>
    </row>
    <row r="13" spans="1:8">
      <c r="A13" s="1">
        <v>12</v>
      </c>
      <c r="B13" s="1" t="s">
        <v>18303</v>
      </c>
      <c r="C13" s="1" t="s">
        <v>3405</v>
      </c>
      <c r="D13" s="1" t="s">
        <v>4118</v>
      </c>
      <c r="E13" s="1" t="s">
        <v>4123</v>
      </c>
      <c r="F13" s="1" t="s">
        <v>4124</v>
      </c>
      <c r="G13" s="1" t="s">
        <v>4125</v>
      </c>
      <c r="H13" s="1" t="str">
        <f t="shared" si="0"/>
        <v>APC Smart-UPS 2200 RM</v>
      </c>
    </row>
    <row r="14" spans="1:8">
      <c r="A14" s="1">
        <v>13</v>
      </c>
      <c r="B14" s="1" t="s">
        <v>18303</v>
      </c>
      <c r="C14" s="1" t="s">
        <v>3409</v>
      </c>
      <c r="D14" s="1" t="s">
        <v>4118</v>
      </c>
      <c r="E14" s="1" t="s">
        <v>213</v>
      </c>
      <c r="F14" s="1" t="s">
        <v>4127</v>
      </c>
      <c r="G14" s="1" t="s">
        <v>4128</v>
      </c>
      <c r="H14" s="1" t="str">
        <f t="shared" si="0"/>
        <v>APC Smart-UPS 2200 RM</v>
      </c>
    </row>
    <row r="15" spans="1:8">
      <c r="A15" s="1">
        <v>14</v>
      </c>
      <c r="B15" s="1" t="s">
        <v>18303</v>
      </c>
      <c r="C15" s="1" t="s">
        <v>3413</v>
      </c>
      <c r="D15" s="1" t="s">
        <v>4118</v>
      </c>
      <c r="E15" s="1" t="s">
        <v>215</v>
      </c>
      <c r="F15" s="1" t="s">
        <v>4130</v>
      </c>
      <c r="G15" s="1" t="s">
        <v>4131</v>
      </c>
      <c r="H15" s="1" t="str">
        <f t="shared" si="0"/>
        <v>APC Smart-UPS 2200 RM</v>
      </c>
    </row>
    <row r="16" spans="1:8">
      <c r="A16" s="1">
        <v>15</v>
      </c>
      <c r="B16" s="1" t="s">
        <v>18303</v>
      </c>
      <c r="C16" s="1" t="s">
        <v>3417</v>
      </c>
      <c r="D16" s="1" t="s">
        <v>4118</v>
      </c>
      <c r="E16" s="1" t="s">
        <v>219</v>
      </c>
      <c r="F16" s="1" t="s">
        <v>4133</v>
      </c>
      <c r="G16" s="1" t="s">
        <v>4134</v>
      </c>
      <c r="H16" s="1" t="str">
        <f t="shared" si="0"/>
        <v>APC Smart-UPS 2200 RM</v>
      </c>
    </row>
    <row r="17" spans="1:8">
      <c r="A17" s="1">
        <v>16</v>
      </c>
      <c r="B17" s="1" t="s">
        <v>18303</v>
      </c>
      <c r="C17" s="1" t="s">
        <v>3421</v>
      </c>
      <c r="D17" s="1" t="s">
        <v>4118</v>
      </c>
      <c r="E17" s="1" t="s">
        <v>221</v>
      </c>
      <c r="F17" s="1" t="s">
        <v>4136</v>
      </c>
      <c r="G17" s="1" t="s">
        <v>4137</v>
      </c>
      <c r="H17" s="1" t="str">
        <f t="shared" si="0"/>
        <v>APC Smart-UPS 2200 RM</v>
      </c>
    </row>
    <row r="18" spans="1:8">
      <c r="A18" s="1">
        <v>17</v>
      </c>
      <c r="B18" s="1" t="s">
        <v>18303</v>
      </c>
      <c r="C18" s="1" t="s">
        <v>3425</v>
      </c>
      <c r="D18" s="1" t="s">
        <v>4118</v>
      </c>
      <c r="E18" s="1" t="s">
        <v>225</v>
      </c>
      <c r="F18" s="1" t="s">
        <v>4139</v>
      </c>
      <c r="G18" s="1" t="s">
        <v>4140</v>
      </c>
      <c r="H18" s="1" t="str">
        <f t="shared" si="0"/>
        <v>APC Smart-UPS 2200 RM</v>
      </c>
    </row>
    <row r="19" spans="1:8">
      <c r="A19" s="1">
        <v>18</v>
      </c>
      <c r="B19" s="1" t="s">
        <v>18303</v>
      </c>
      <c r="C19" s="1" t="s">
        <v>3429</v>
      </c>
      <c r="D19" s="1" t="s">
        <v>4118</v>
      </c>
      <c r="E19" s="1" t="s">
        <v>4142</v>
      </c>
      <c r="F19" s="1" t="s">
        <v>4143</v>
      </c>
      <c r="G19" s="1" t="s">
        <v>4144</v>
      </c>
      <c r="H19" s="1" t="str">
        <f t="shared" si="0"/>
        <v>APC Smart-UPS 2200 RM</v>
      </c>
    </row>
    <row r="20" spans="1:8">
      <c r="A20" s="1">
        <v>19</v>
      </c>
      <c r="B20" s="1" t="s">
        <v>18303</v>
      </c>
      <c r="C20" s="1" t="s">
        <v>3433</v>
      </c>
      <c r="D20" s="1" t="s">
        <v>4118</v>
      </c>
      <c r="E20" s="1" t="s">
        <v>4146</v>
      </c>
      <c r="F20" s="1" t="s">
        <v>4147</v>
      </c>
      <c r="G20" s="1" t="s">
        <v>4148</v>
      </c>
      <c r="H20" s="1" t="str">
        <f t="shared" si="0"/>
        <v>APC Smart-UPS 2200 RM</v>
      </c>
    </row>
    <row r="21" spans="1:8">
      <c r="A21" s="1">
        <v>20</v>
      </c>
      <c r="B21" s="1" t="s">
        <v>18303</v>
      </c>
      <c r="C21" s="1" t="s">
        <v>3437</v>
      </c>
      <c r="D21" s="1" t="s">
        <v>4118</v>
      </c>
      <c r="E21" s="1" t="s">
        <v>4150</v>
      </c>
      <c r="F21" s="1" t="s">
        <v>4151</v>
      </c>
      <c r="G21" s="1" t="s">
        <v>4152</v>
      </c>
      <c r="H21" s="1" t="str">
        <f t="shared" si="0"/>
        <v>APC Smart-UPS 2200 RM</v>
      </c>
    </row>
    <row r="22" spans="1:8">
      <c r="A22" s="1">
        <v>21</v>
      </c>
      <c r="B22" s="1" t="s">
        <v>18303</v>
      </c>
      <c r="C22" s="1" t="s">
        <v>3441</v>
      </c>
      <c r="D22" s="1" t="s">
        <v>4118</v>
      </c>
      <c r="E22" s="1" t="s">
        <v>4154</v>
      </c>
      <c r="F22" s="1" t="s">
        <v>4155</v>
      </c>
      <c r="G22" s="1" t="s">
        <v>4156</v>
      </c>
      <c r="H22" s="1" t="str">
        <f t="shared" si="0"/>
        <v>APC Smart-UPS 2200 RM</v>
      </c>
    </row>
    <row r="23" spans="1:8">
      <c r="A23" s="1">
        <v>22</v>
      </c>
      <c r="B23" s="1" t="s">
        <v>18303</v>
      </c>
      <c r="C23" s="1" t="s">
        <v>3445</v>
      </c>
      <c r="D23" s="1" t="s">
        <v>4118</v>
      </c>
      <c r="E23" s="1" t="s">
        <v>4158</v>
      </c>
      <c r="F23" s="1" t="s">
        <v>4159</v>
      </c>
      <c r="G23" s="1" t="s">
        <v>4160</v>
      </c>
      <c r="H23" s="1" t="str">
        <f t="shared" si="0"/>
        <v>APC Smart-UPS 2200 RM</v>
      </c>
    </row>
    <row r="24" spans="1:8">
      <c r="A24" s="1">
        <v>23</v>
      </c>
      <c r="B24" s="1" t="s">
        <v>18303</v>
      </c>
      <c r="C24" s="1" t="s">
        <v>3449</v>
      </c>
      <c r="D24" s="1" t="s">
        <v>4118</v>
      </c>
      <c r="E24" s="1" t="s">
        <v>4162</v>
      </c>
      <c r="F24" s="1" t="s">
        <v>4163</v>
      </c>
      <c r="G24" s="1" t="s">
        <v>4164</v>
      </c>
      <c r="H24" s="1" t="str">
        <f t="shared" si="0"/>
        <v>APC Smart-UPS 2200 RM</v>
      </c>
    </row>
    <row r="25" spans="1:8">
      <c r="A25" s="1">
        <v>24</v>
      </c>
      <c r="B25" s="1" t="s">
        <v>18303</v>
      </c>
      <c r="C25" s="1" t="s">
        <v>3453</v>
      </c>
      <c r="D25" s="1" t="s">
        <v>4118</v>
      </c>
      <c r="E25" s="1" t="s">
        <v>4166</v>
      </c>
      <c r="F25" s="1" t="s">
        <v>4167</v>
      </c>
      <c r="G25" s="1" t="s">
        <v>4168</v>
      </c>
      <c r="H25" s="1" t="str">
        <f t="shared" si="0"/>
        <v>APC Smart-UPS 2200 RM</v>
      </c>
    </row>
    <row r="26" spans="1:8">
      <c r="A26" s="1">
        <v>25</v>
      </c>
      <c r="B26" s="1" t="s">
        <v>18303</v>
      </c>
      <c r="C26" s="1" t="s">
        <v>3457</v>
      </c>
      <c r="D26" s="1" t="s">
        <v>4118</v>
      </c>
      <c r="E26" s="1" t="s">
        <v>4170</v>
      </c>
      <c r="F26" s="1" t="s">
        <v>4171</v>
      </c>
      <c r="G26" s="1" t="s">
        <v>4172</v>
      </c>
      <c r="H26" s="1" t="str">
        <f t="shared" si="0"/>
        <v>APC Smart-UPS 2200 RM</v>
      </c>
    </row>
    <row r="27" spans="1:8">
      <c r="A27" s="1">
        <v>26</v>
      </c>
      <c r="B27" s="1" t="s">
        <v>18303</v>
      </c>
      <c r="C27" s="1" t="s">
        <v>3461</v>
      </c>
      <c r="D27" s="1" t="s">
        <v>4118</v>
      </c>
      <c r="E27" s="1" t="s">
        <v>1342</v>
      </c>
      <c r="F27" s="1" t="s">
        <v>4174</v>
      </c>
      <c r="G27" s="1" t="s">
        <v>4175</v>
      </c>
      <c r="H27" s="1" t="str">
        <f t="shared" si="0"/>
        <v>APC Smart-UPS 2200 RM</v>
      </c>
    </row>
    <row r="28" spans="1:8">
      <c r="A28" s="1">
        <v>27</v>
      </c>
      <c r="B28" s="1" t="s">
        <v>18303</v>
      </c>
      <c r="C28" s="1" t="s">
        <v>3465</v>
      </c>
      <c r="D28" s="1" t="s">
        <v>4118</v>
      </c>
      <c r="E28" s="1" t="s">
        <v>1346</v>
      </c>
      <c r="F28" s="1" t="s">
        <v>4177</v>
      </c>
      <c r="G28" s="1" t="s">
        <v>4178</v>
      </c>
      <c r="H28" s="1" t="str">
        <f t="shared" si="0"/>
        <v>APC Smart-UPS 2200 RM</v>
      </c>
    </row>
    <row r="29" spans="1:8">
      <c r="A29" s="1">
        <v>28</v>
      </c>
      <c r="B29" s="1" t="s">
        <v>18303</v>
      </c>
      <c r="C29" s="1" t="s">
        <v>3469</v>
      </c>
      <c r="D29" s="1" t="s">
        <v>4118</v>
      </c>
      <c r="E29" s="1" t="s">
        <v>4180</v>
      </c>
      <c r="F29" s="1" t="s">
        <v>4181</v>
      </c>
      <c r="G29" s="1" t="s">
        <v>4182</v>
      </c>
      <c r="H29" s="1" t="str">
        <f t="shared" si="0"/>
        <v>APC Smart-UPS 2200 RM</v>
      </c>
    </row>
    <row r="30" spans="1:8">
      <c r="A30" s="1">
        <v>29</v>
      </c>
      <c r="B30" s="1" t="s">
        <v>18303</v>
      </c>
      <c r="C30" s="1" t="s">
        <v>3473</v>
      </c>
      <c r="D30" s="1" t="s">
        <v>4118</v>
      </c>
      <c r="E30" s="1" t="s">
        <v>4184</v>
      </c>
      <c r="F30" s="1" t="s">
        <v>4185</v>
      </c>
      <c r="G30" s="1" t="s">
        <v>4186</v>
      </c>
      <c r="H30" s="1" t="str">
        <f t="shared" si="0"/>
        <v>APC Smart-UPS 2200 RM</v>
      </c>
    </row>
    <row r="31" spans="1:8">
      <c r="A31" s="1">
        <v>30</v>
      </c>
      <c r="B31" s="1" t="s">
        <v>18303</v>
      </c>
      <c r="C31" s="1" t="s">
        <v>3477</v>
      </c>
      <c r="D31" s="1" t="s">
        <v>4118</v>
      </c>
      <c r="E31" s="1" t="s">
        <v>4188</v>
      </c>
      <c r="F31" s="1" t="s">
        <v>4189</v>
      </c>
      <c r="G31" s="1" t="s">
        <v>4190</v>
      </c>
      <c r="H31" s="1" t="str">
        <f t="shared" si="0"/>
        <v>APC Smart-UPS 2200 RM</v>
      </c>
    </row>
    <row r="32" spans="1:8">
      <c r="A32" s="1">
        <v>31</v>
      </c>
      <c r="B32" s="1" t="s">
        <v>18303</v>
      </c>
      <c r="C32" s="1" t="s">
        <v>3479</v>
      </c>
      <c r="D32" s="1" t="s">
        <v>4118</v>
      </c>
      <c r="E32" s="1" t="s">
        <v>4192</v>
      </c>
      <c r="F32" s="1" t="s">
        <v>4193</v>
      </c>
      <c r="G32" s="1" t="s">
        <v>4194</v>
      </c>
      <c r="H32" s="1" t="str">
        <f t="shared" si="0"/>
        <v>APC Smart-UPS 2200 RM</v>
      </c>
    </row>
    <row r="33" spans="1:8">
      <c r="A33" s="1">
        <v>32</v>
      </c>
      <c r="B33" s="1" t="s">
        <v>18303</v>
      </c>
      <c r="C33" s="1" t="s">
        <v>3481</v>
      </c>
      <c r="D33" s="1" t="s">
        <v>4118</v>
      </c>
      <c r="E33" s="1" t="s">
        <v>4196</v>
      </c>
      <c r="F33" s="1" t="s">
        <v>4197</v>
      </c>
      <c r="G33" s="1" t="s">
        <v>4198</v>
      </c>
      <c r="H33" s="1" t="str">
        <f t="shared" si="0"/>
        <v>APC Smart-UPS 2200 RM</v>
      </c>
    </row>
    <row r="34" spans="1:8">
      <c r="A34" s="1">
        <v>33</v>
      </c>
      <c r="B34" s="1" t="s">
        <v>18304</v>
      </c>
      <c r="C34" s="1" t="s">
        <v>3400</v>
      </c>
      <c r="D34" s="1" t="s">
        <v>4200</v>
      </c>
      <c r="E34" s="1" t="s">
        <v>1085</v>
      </c>
      <c r="F34" s="1" t="s">
        <v>4201</v>
      </c>
      <c r="G34" s="1" t="s">
        <v>4202</v>
      </c>
      <c r="H34" s="1" t="str">
        <f t="shared" si="0"/>
        <v>APC Smart-UPS 3000 XLM</v>
      </c>
    </row>
    <row r="35" spans="1:8">
      <c r="A35" s="1">
        <v>34</v>
      </c>
      <c r="B35" s="1" t="s">
        <v>18304</v>
      </c>
      <c r="C35" s="1" t="s">
        <v>3405</v>
      </c>
      <c r="D35" s="1" t="s">
        <v>4200</v>
      </c>
      <c r="E35" s="1" t="s">
        <v>1088</v>
      </c>
      <c r="F35" s="1" t="s">
        <v>4204</v>
      </c>
      <c r="G35" s="1" t="s">
        <v>4205</v>
      </c>
      <c r="H35" s="1" t="str">
        <f t="shared" si="0"/>
        <v>APC Smart-UPS 3000 XLM</v>
      </c>
    </row>
    <row r="36" spans="1:8">
      <c r="A36" s="1">
        <v>35</v>
      </c>
      <c r="B36" s="1" t="s">
        <v>18304</v>
      </c>
      <c r="C36" s="1" t="s">
        <v>3409</v>
      </c>
      <c r="D36" s="1" t="s">
        <v>4200</v>
      </c>
      <c r="E36" s="1" t="s">
        <v>4207</v>
      </c>
      <c r="F36" s="1" t="s">
        <v>4208</v>
      </c>
      <c r="G36" s="1" t="s">
        <v>4209</v>
      </c>
      <c r="H36" s="1" t="str">
        <f t="shared" si="0"/>
        <v>APC Smart-UPS 3000 XLM</v>
      </c>
    </row>
    <row r="37" spans="1:8">
      <c r="A37" s="1">
        <v>36</v>
      </c>
      <c r="B37" s="1" t="s">
        <v>18304</v>
      </c>
      <c r="C37" s="1" t="s">
        <v>3413</v>
      </c>
      <c r="D37" s="1" t="s">
        <v>4200</v>
      </c>
      <c r="E37" s="1" t="s">
        <v>1091</v>
      </c>
      <c r="F37" s="1" t="s">
        <v>4211</v>
      </c>
      <c r="G37" s="1" t="s">
        <v>4212</v>
      </c>
      <c r="H37" s="1" t="str">
        <f t="shared" si="0"/>
        <v>APC Smart-UPS 3000 XLM</v>
      </c>
    </row>
    <row r="38" spans="1:8">
      <c r="A38" s="1">
        <v>37</v>
      </c>
      <c r="B38" s="1" t="s">
        <v>18304</v>
      </c>
      <c r="C38" s="1" t="s">
        <v>3417</v>
      </c>
      <c r="D38" s="1" t="s">
        <v>4200</v>
      </c>
      <c r="E38" s="1" t="s">
        <v>1093</v>
      </c>
      <c r="F38" s="1" t="s">
        <v>4214</v>
      </c>
      <c r="G38" s="1" t="s">
        <v>4215</v>
      </c>
      <c r="H38" s="1" t="str">
        <f t="shared" si="0"/>
        <v>APC Smart-UPS 3000 XLM</v>
      </c>
    </row>
    <row r="39" spans="1:8">
      <c r="A39" s="1">
        <v>38</v>
      </c>
      <c r="B39" s="1" t="s">
        <v>18304</v>
      </c>
      <c r="C39" s="1" t="s">
        <v>3421</v>
      </c>
      <c r="D39" s="1" t="s">
        <v>4200</v>
      </c>
      <c r="E39" s="1" t="s">
        <v>1096</v>
      </c>
      <c r="F39" s="1" t="s">
        <v>4217</v>
      </c>
      <c r="G39" s="1" t="s">
        <v>4218</v>
      </c>
      <c r="H39" s="1" t="str">
        <f t="shared" si="0"/>
        <v>APC Smart-UPS 3000 XLM</v>
      </c>
    </row>
    <row r="40" spans="1:8">
      <c r="A40" s="1">
        <v>39</v>
      </c>
      <c r="B40" s="1" t="s">
        <v>18304</v>
      </c>
      <c r="C40" s="1" t="s">
        <v>3425</v>
      </c>
      <c r="D40" s="1" t="s">
        <v>4200</v>
      </c>
      <c r="E40" s="1" t="s">
        <v>1099</v>
      </c>
      <c r="F40" s="1" t="s">
        <v>4220</v>
      </c>
      <c r="G40" s="1" t="s">
        <v>4221</v>
      </c>
      <c r="H40" s="1" t="str">
        <f t="shared" si="0"/>
        <v>APC Smart-UPS 3000 XLM</v>
      </c>
    </row>
    <row r="41" spans="1:8">
      <c r="A41" s="1">
        <v>40</v>
      </c>
      <c r="B41" s="1" t="s">
        <v>18304</v>
      </c>
      <c r="C41" s="1" t="s">
        <v>3429</v>
      </c>
      <c r="D41" s="1" t="s">
        <v>4200</v>
      </c>
      <c r="E41" s="1" t="s">
        <v>1102</v>
      </c>
      <c r="F41" s="1" t="s">
        <v>4223</v>
      </c>
      <c r="G41" s="1" t="s">
        <v>4224</v>
      </c>
      <c r="H41" s="1" t="str">
        <f t="shared" si="0"/>
        <v>APC Smart-UPS 3000 XLM</v>
      </c>
    </row>
    <row r="42" spans="1:8">
      <c r="A42" s="1">
        <v>41</v>
      </c>
      <c r="B42" s="1" t="s">
        <v>18304</v>
      </c>
      <c r="C42" s="1" t="s">
        <v>3433</v>
      </c>
      <c r="D42" s="1" t="s">
        <v>4200</v>
      </c>
      <c r="E42" s="1" t="s">
        <v>1105</v>
      </c>
      <c r="F42" s="1" t="s">
        <v>4226</v>
      </c>
      <c r="G42" s="1" t="s">
        <v>4227</v>
      </c>
      <c r="H42" s="1" t="str">
        <f t="shared" si="0"/>
        <v>APC Smart-UPS 3000 XLM</v>
      </c>
    </row>
    <row r="43" spans="1:8">
      <c r="A43" s="1">
        <v>42</v>
      </c>
      <c r="B43" s="1" t="s">
        <v>18304</v>
      </c>
      <c r="C43" s="1" t="s">
        <v>3437</v>
      </c>
      <c r="D43" s="1" t="s">
        <v>4200</v>
      </c>
      <c r="E43" s="1" t="s">
        <v>1107</v>
      </c>
      <c r="F43" s="1" t="s">
        <v>4229</v>
      </c>
      <c r="G43" s="1" t="s">
        <v>4230</v>
      </c>
      <c r="H43" s="1" t="str">
        <f t="shared" si="0"/>
        <v>APC Smart-UPS 3000 XLM</v>
      </c>
    </row>
    <row r="44" spans="1:8">
      <c r="A44" s="1">
        <v>43</v>
      </c>
      <c r="B44" s="1" t="s">
        <v>18304</v>
      </c>
      <c r="C44" s="1" t="s">
        <v>3441</v>
      </c>
      <c r="D44" s="1" t="s">
        <v>4200</v>
      </c>
      <c r="E44" s="1" t="s">
        <v>1110</v>
      </c>
      <c r="F44" s="1" t="s">
        <v>4232</v>
      </c>
      <c r="G44" s="1" t="s">
        <v>4233</v>
      </c>
      <c r="H44" s="1" t="str">
        <f t="shared" si="0"/>
        <v>APC Smart-UPS 3000 XLM</v>
      </c>
    </row>
    <row r="45" spans="1:8">
      <c r="A45" s="1">
        <v>44</v>
      </c>
      <c r="B45" s="1" t="s">
        <v>18304</v>
      </c>
      <c r="C45" s="1" t="s">
        <v>3445</v>
      </c>
      <c r="D45" s="1" t="s">
        <v>4200</v>
      </c>
      <c r="E45" s="1" t="s">
        <v>1113</v>
      </c>
      <c r="F45" s="1" t="s">
        <v>4235</v>
      </c>
      <c r="G45" s="1" t="s">
        <v>4236</v>
      </c>
      <c r="H45" s="1" t="str">
        <f t="shared" si="0"/>
        <v>APC Smart-UPS 3000 XLM</v>
      </c>
    </row>
    <row r="46" spans="1:8">
      <c r="A46" s="1">
        <v>45</v>
      </c>
      <c r="B46" s="1" t="s">
        <v>18304</v>
      </c>
      <c r="C46" s="1" t="s">
        <v>3449</v>
      </c>
      <c r="D46" s="1" t="s">
        <v>4200</v>
      </c>
      <c r="E46" s="1" t="s">
        <v>1115</v>
      </c>
      <c r="F46" s="1" t="s">
        <v>4238</v>
      </c>
      <c r="G46" s="1" t="s">
        <v>4239</v>
      </c>
      <c r="H46" s="1" t="str">
        <f t="shared" si="0"/>
        <v>APC Smart-UPS 3000 XLM</v>
      </c>
    </row>
    <row r="47" spans="1:8">
      <c r="A47" s="1">
        <v>46</v>
      </c>
      <c r="B47" s="1" t="s">
        <v>18304</v>
      </c>
      <c r="C47" s="1" t="s">
        <v>3453</v>
      </c>
      <c r="D47" s="1" t="s">
        <v>4200</v>
      </c>
      <c r="E47" s="1" t="s">
        <v>1118</v>
      </c>
      <c r="F47" s="1" t="s">
        <v>4241</v>
      </c>
      <c r="G47" s="1" t="s">
        <v>4242</v>
      </c>
      <c r="H47" s="1" t="str">
        <f t="shared" si="0"/>
        <v>APC Smart-UPS 3000 XLM</v>
      </c>
    </row>
    <row r="48" spans="1:8">
      <c r="A48" s="1">
        <v>47</v>
      </c>
      <c r="B48" s="1" t="s">
        <v>18304</v>
      </c>
      <c r="C48" s="1" t="s">
        <v>3457</v>
      </c>
      <c r="D48" s="1" t="s">
        <v>4200</v>
      </c>
      <c r="E48" s="1" t="s">
        <v>1121</v>
      </c>
      <c r="F48" s="1" t="s">
        <v>4244</v>
      </c>
      <c r="G48" s="1" t="s">
        <v>4245</v>
      </c>
      <c r="H48" s="1" t="str">
        <f t="shared" si="0"/>
        <v>APC Smart-UPS 3000 XLM</v>
      </c>
    </row>
    <row r="49" spans="1:8">
      <c r="A49" s="1">
        <v>48</v>
      </c>
      <c r="B49" s="1" t="s">
        <v>18304</v>
      </c>
      <c r="C49" s="1" t="s">
        <v>3461</v>
      </c>
      <c r="D49" s="1" t="s">
        <v>4200</v>
      </c>
      <c r="E49" s="1" t="s">
        <v>1123</v>
      </c>
      <c r="F49" s="1" t="s">
        <v>4247</v>
      </c>
      <c r="G49" s="1" t="s">
        <v>4248</v>
      </c>
      <c r="H49" s="1" t="str">
        <f t="shared" si="0"/>
        <v>APC Smart-UPS 3000 XLM</v>
      </c>
    </row>
    <row r="50" spans="1:8">
      <c r="A50" s="1">
        <v>49</v>
      </c>
      <c r="B50" s="1" t="s">
        <v>18304</v>
      </c>
      <c r="C50" s="1" t="s">
        <v>3465</v>
      </c>
      <c r="D50" s="1" t="s">
        <v>4200</v>
      </c>
      <c r="E50" s="1" t="s">
        <v>4250</v>
      </c>
      <c r="F50" s="1" t="s">
        <v>4251</v>
      </c>
      <c r="G50" s="1" t="s">
        <v>4252</v>
      </c>
      <c r="H50" s="1" t="str">
        <f t="shared" si="0"/>
        <v>APC Smart-UPS 3000 XLM</v>
      </c>
    </row>
    <row r="51" spans="1:8">
      <c r="A51" s="1">
        <v>50</v>
      </c>
      <c r="B51" s="1" t="s">
        <v>18304</v>
      </c>
      <c r="C51" s="1" t="s">
        <v>3469</v>
      </c>
      <c r="D51" s="1" t="s">
        <v>4200</v>
      </c>
      <c r="E51" s="1" t="s">
        <v>4254</v>
      </c>
      <c r="F51" s="1" t="s">
        <v>4255</v>
      </c>
      <c r="G51" s="1" t="s">
        <v>4256</v>
      </c>
      <c r="H51" s="1" t="str">
        <f t="shared" si="0"/>
        <v>APC Smart-UPS 3000 XLM</v>
      </c>
    </row>
    <row r="52" spans="1:8">
      <c r="A52" s="1">
        <v>51</v>
      </c>
      <c r="B52" s="1" t="s">
        <v>18304</v>
      </c>
      <c r="C52" s="1" t="s">
        <v>3473</v>
      </c>
      <c r="D52" s="1" t="s">
        <v>4200</v>
      </c>
      <c r="E52" s="1" t="s">
        <v>1126</v>
      </c>
      <c r="F52" s="1" t="s">
        <v>4258</v>
      </c>
      <c r="G52" s="1" t="s">
        <v>4259</v>
      </c>
      <c r="H52" s="1" t="str">
        <f t="shared" si="0"/>
        <v>APC Smart-UPS 3000 XLM</v>
      </c>
    </row>
    <row r="53" spans="1:8">
      <c r="A53" s="1">
        <v>52</v>
      </c>
      <c r="B53" s="1" t="s">
        <v>18304</v>
      </c>
      <c r="C53" s="1" t="s">
        <v>3477</v>
      </c>
      <c r="D53" s="1" t="s">
        <v>4200</v>
      </c>
      <c r="E53" s="1" t="s">
        <v>1134</v>
      </c>
      <c r="F53" s="1" t="s">
        <v>4261</v>
      </c>
      <c r="G53" s="1" t="s">
        <v>4262</v>
      </c>
      <c r="H53" s="1" t="str">
        <f t="shared" si="0"/>
        <v>APC Smart-UPS 3000 XLM</v>
      </c>
    </row>
    <row r="54" spans="1:8">
      <c r="A54" s="1">
        <v>53</v>
      </c>
      <c r="B54" s="1" t="s">
        <v>18304</v>
      </c>
      <c r="C54" s="1" t="s">
        <v>3479</v>
      </c>
      <c r="D54" s="1" t="s">
        <v>4200</v>
      </c>
      <c r="E54" s="1" t="s">
        <v>1129</v>
      </c>
      <c r="F54" s="1" t="s">
        <v>4264</v>
      </c>
      <c r="G54" s="1" t="s">
        <v>4265</v>
      </c>
      <c r="H54" s="1" t="str">
        <f t="shared" si="0"/>
        <v>APC Smart-UPS 3000 XLM</v>
      </c>
    </row>
    <row r="55" spans="1:8">
      <c r="A55" s="1">
        <v>54</v>
      </c>
      <c r="B55" s="1" t="s">
        <v>18304</v>
      </c>
      <c r="C55" s="1" t="s">
        <v>3481</v>
      </c>
      <c r="D55" s="1" t="s">
        <v>4200</v>
      </c>
      <c r="E55" s="1" t="s">
        <v>1132</v>
      </c>
      <c r="F55" s="1" t="s">
        <v>4267</v>
      </c>
      <c r="G55" s="1" t="s">
        <v>4268</v>
      </c>
      <c r="H55" s="1" t="str">
        <f t="shared" si="0"/>
        <v>APC Smart-UPS 3000 XLM</v>
      </c>
    </row>
    <row r="56" spans="1:8">
      <c r="A56" s="1">
        <v>55</v>
      </c>
      <c r="B56" s="1" t="s">
        <v>18305</v>
      </c>
      <c r="C56" s="1" t="s">
        <v>3400</v>
      </c>
      <c r="D56" s="1" t="s">
        <v>4270</v>
      </c>
      <c r="E56" s="1" t="s">
        <v>1169</v>
      </c>
      <c r="F56" s="1" t="s">
        <v>4271</v>
      </c>
      <c r="G56" s="1" t="s">
        <v>4272</v>
      </c>
      <c r="H56" s="1" t="str">
        <f t="shared" si="0"/>
        <v>APC Smart-UPS RT 1000 RM XL</v>
      </c>
    </row>
    <row r="57" spans="1:8">
      <c r="A57" s="1">
        <v>56</v>
      </c>
      <c r="B57" s="1" t="s">
        <v>18305</v>
      </c>
      <c r="C57" s="1" t="s">
        <v>3405</v>
      </c>
      <c r="D57" s="1" t="s">
        <v>4270</v>
      </c>
      <c r="E57" s="1" t="s">
        <v>4274</v>
      </c>
      <c r="F57" s="1" t="s">
        <v>4275</v>
      </c>
      <c r="G57" s="1" t="s">
        <v>4276</v>
      </c>
      <c r="H57" s="1" t="str">
        <f t="shared" si="0"/>
        <v>APC Smart-UPS RT 1000 RM XL</v>
      </c>
    </row>
    <row r="58" spans="1:8">
      <c r="A58" s="1">
        <v>57</v>
      </c>
      <c r="B58" s="1" t="s">
        <v>18305</v>
      </c>
      <c r="C58" s="1" t="s">
        <v>3409</v>
      </c>
      <c r="D58" s="1" t="s">
        <v>4270</v>
      </c>
      <c r="E58" s="1" t="s">
        <v>4278</v>
      </c>
      <c r="F58" s="1" t="s">
        <v>4279</v>
      </c>
      <c r="G58" s="1" t="s">
        <v>4280</v>
      </c>
      <c r="H58" s="1" t="str">
        <f t="shared" si="0"/>
        <v>APC Smart-UPS RT 1000 RM XL</v>
      </c>
    </row>
    <row r="59" spans="1:8">
      <c r="A59" s="1">
        <v>58</v>
      </c>
      <c r="B59" s="1" t="s">
        <v>18305</v>
      </c>
      <c r="C59" s="1" t="s">
        <v>3413</v>
      </c>
      <c r="D59" s="1" t="s">
        <v>4270</v>
      </c>
      <c r="E59" s="1" t="s">
        <v>4282</v>
      </c>
      <c r="F59" s="1" t="s">
        <v>4283</v>
      </c>
      <c r="G59" s="1" t="s">
        <v>4284</v>
      </c>
      <c r="H59" s="1" t="str">
        <f t="shared" si="0"/>
        <v>APC Smart-UPS RT 1000 RM XL</v>
      </c>
    </row>
    <row r="60" spans="1:8">
      <c r="A60" s="1">
        <v>59</v>
      </c>
      <c r="B60" s="1" t="s">
        <v>18305</v>
      </c>
      <c r="C60" s="1" t="s">
        <v>3417</v>
      </c>
      <c r="D60" s="1" t="s">
        <v>4270</v>
      </c>
      <c r="E60" s="1" t="s">
        <v>4286</v>
      </c>
      <c r="F60" s="1" t="s">
        <v>4287</v>
      </c>
      <c r="G60" s="1" t="s">
        <v>4288</v>
      </c>
      <c r="H60" s="1" t="str">
        <f t="shared" si="0"/>
        <v>APC Smart-UPS RT 1000 RM XL</v>
      </c>
    </row>
    <row r="61" spans="1:8">
      <c r="A61" s="1">
        <v>60</v>
      </c>
      <c r="B61" s="1" t="s">
        <v>18305</v>
      </c>
      <c r="C61" s="1" t="s">
        <v>3421</v>
      </c>
      <c r="D61" s="1" t="s">
        <v>4270</v>
      </c>
      <c r="E61" s="1" t="s">
        <v>4290</v>
      </c>
      <c r="F61" s="1" t="s">
        <v>4291</v>
      </c>
      <c r="G61" s="1" t="s">
        <v>4292</v>
      </c>
      <c r="H61" s="1" t="str">
        <f t="shared" si="0"/>
        <v>APC Smart-UPS RT 1000 RM XL</v>
      </c>
    </row>
    <row r="62" spans="1:8">
      <c r="A62" s="1">
        <v>61</v>
      </c>
      <c r="B62" s="1" t="s">
        <v>18305</v>
      </c>
      <c r="C62" s="1" t="s">
        <v>3425</v>
      </c>
      <c r="D62" s="1" t="s">
        <v>4270</v>
      </c>
      <c r="E62" s="1" t="s">
        <v>4294</v>
      </c>
      <c r="F62" s="1" t="s">
        <v>4295</v>
      </c>
      <c r="G62" s="1" t="s">
        <v>4296</v>
      </c>
      <c r="H62" s="1" t="str">
        <f t="shared" si="0"/>
        <v>APC Smart-UPS RT 1000 RM XL</v>
      </c>
    </row>
    <row r="63" spans="1:8">
      <c r="A63" s="1">
        <v>62</v>
      </c>
      <c r="B63" s="1" t="s">
        <v>18305</v>
      </c>
      <c r="C63" s="1" t="s">
        <v>3429</v>
      </c>
      <c r="D63" s="1" t="s">
        <v>4270</v>
      </c>
      <c r="E63" s="1" t="s">
        <v>4298</v>
      </c>
      <c r="F63" s="1" t="s">
        <v>4299</v>
      </c>
      <c r="G63" s="1" t="s">
        <v>4300</v>
      </c>
      <c r="H63" s="1" t="str">
        <f t="shared" si="0"/>
        <v>APC Smart-UPS RT 1000 RM XL</v>
      </c>
    </row>
    <row r="64" spans="1:8">
      <c r="A64" s="1">
        <v>63</v>
      </c>
      <c r="B64" s="1" t="s">
        <v>18305</v>
      </c>
      <c r="C64" s="1" t="s">
        <v>3433</v>
      </c>
      <c r="D64" s="1" t="s">
        <v>4270</v>
      </c>
      <c r="E64" s="1" t="s">
        <v>4302</v>
      </c>
      <c r="F64" s="1" t="s">
        <v>4303</v>
      </c>
      <c r="G64" s="1" t="s">
        <v>4304</v>
      </c>
      <c r="H64" s="1" t="str">
        <f t="shared" si="0"/>
        <v>APC Smart-UPS RT 1000 RM XL</v>
      </c>
    </row>
    <row r="65" spans="1:8">
      <c r="A65" s="1">
        <v>64</v>
      </c>
      <c r="B65" s="1" t="s">
        <v>18305</v>
      </c>
      <c r="C65" s="1" t="s">
        <v>3437</v>
      </c>
      <c r="D65" s="1" t="s">
        <v>4270</v>
      </c>
      <c r="E65" s="1" t="s">
        <v>4306</v>
      </c>
      <c r="F65" s="1" t="s">
        <v>4307</v>
      </c>
      <c r="G65" s="1" t="s">
        <v>4308</v>
      </c>
      <c r="H65" s="1" t="str">
        <f t="shared" si="0"/>
        <v>APC Smart-UPS RT 1000 RM XL</v>
      </c>
    </row>
    <row r="66" spans="1:8">
      <c r="A66" s="1">
        <v>65</v>
      </c>
      <c r="B66" s="1" t="s">
        <v>18305</v>
      </c>
      <c r="C66" s="1" t="s">
        <v>3441</v>
      </c>
      <c r="D66" s="1" t="s">
        <v>4270</v>
      </c>
      <c r="E66" s="1" t="s">
        <v>4310</v>
      </c>
      <c r="F66" s="1" t="s">
        <v>4311</v>
      </c>
      <c r="G66" s="1" t="s">
        <v>4312</v>
      </c>
      <c r="H66" s="1" t="str">
        <f t="shared" ref="H66:H129" si="1">IFERROR(IF(OR(MID(G66,FIND(":",G66)-1,1)="""",MID(G66,FIND(":",G66)-1,1)="}",MID(G66,FIND(":",G66)-1,1)=")",MID(G66,FIND(":",G66)-1,1)="]"),"",LEFT(F66,FIND(":",F66)-1)),"")</f>
        <v>APC Smart-UPS RT 1000 RM XL</v>
      </c>
    </row>
    <row r="67" spans="1:8">
      <c r="A67" s="1">
        <v>66</v>
      </c>
      <c r="B67" s="1" t="s">
        <v>18305</v>
      </c>
      <c r="C67" s="1" t="s">
        <v>3445</v>
      </c>
      <c r="D67" s="1" t="s">
        <v>4270</v>
      </c>
      <c r="E67" s="1" t="s">
        <v>4314</v>
      </c>
      <c r="F67" s="1" t="s">
        <v>4315</v>
      </c>
      <c r="G67" s="1" t="s">
        <v>4316</v>
      </c>
      <c r="H67" s="1" t="str">
        <f t="shared" si="1"/>
        <v>APC Smart-UPS RT 1000 RM XL</v>
      </c>
    </row>
    <row r="68" spans="1:8">
      <c r="A68" s="1">
        <v>67</v>
      </c>
      <c r="B68" s="1" t="s">
        <v>18305</v>
      </c>
      <c r="C68" s="1" t="s">
        <v>3449</v>
      </c>
      <c r="D68" s="1" t="s">
        <v>4270</v>
      </c>
      <c r="E68" s="1" t="s">
        <v>4318</v>
      </c>
      <c r="F68" s="1" t="s">
        <v>4319</v>
      </c>
      <c r="G68" s="1" t="s">
        <v>4320</v>
      </c>
      <c r="H68" s="1" t="str">
        <f t="shared" si="1"/>
        <v>APC Smart-UPS RT 1000 RM XL</v>
      </c>
    </row>
    <row r="69" spans="1:8">
      <c r="A69" s="1">
        <v>68</v>
      </c>
      <c r="B69" s="1" t="s">
        <v>18305</v>
      </c>
      <c r="C69" s="1" t="s">
        <v>3453</v>
      </c>
      <c r="D69" s="1" t="s">
        <v>4270</v>
      </c>
      <c r="E69" s="1" t="s">
        <v>4322</v>
      </c>
      <c r="F69" s="1" t="s">
        <v>4323</v>
      </c>
      <c r="G69" s="1" t="s">
        <v>4324</v>
      </c>
      <c r="H69" s="1" t="str">
        <f t="shared" si="1"/>
        <v>APC Smart-UPS RT 1000 RM XL</v>
      </c>
    </row>
    <row r="70" spans="1:8">
      <c r="A70" s="1">
        <v>69</v>
      </c>
      <c r="B70" s="1" t="s">
        <v>18305</v>
      </c>
      <c r="C70" s="1" t="s">
        <v>3457</v>
      </c>
      <c r="D70" s="1" t="s">
        <v>4270</v>
      </c>
      <c r="E70" s="1" t="s">
        <v>4326</v>
      </c>
      <c r="F70" s="1" t="s">
        <v>4327</v>
      </c>
      <c r="G70" s="1" t="s">
        <v>4328</v>
      </c>
      <c r="H70" s="1" t="str">
        <f t="shared" si="1"/>
        <v>APC Smart-UPS RT 1000 RM XL</v>
      </c>
    </row>
    <row r="71" spans="1:8">
      <c r="A71" s="1">
        <v>70</v>
      </c>
      <c r="B71" s="1" t="s">
        <v>18305</v>
      </c>
      <c r="C71" s="1" t="s">
        <v>3461</v>
      </c>
      <c r="D71" s="1" t="s">
        <v>4270</v>
      </c>
      <c r="E71" s="1" t="s">
        <v>4330</v>
      </c>
      <c r="F71" s="1" t="s">
        <v>4331</v>
      </c>
      <c r="G71" s="1" t="s">
        <v>4332</v>
      </c>
      <c r="H71" s="1" t="str">
        <f t="shared" si="1"/>
        <v>APC Smart-UPS RT 1000 RM XL</v>
      </c>
    </row>
    <row r="72" spans="1:8">
      <c r="A72" s="1">
        <v>71</v>
      </c>
      <c r="B72" s="1" t="s">
        <v>18305</v>
      </c>
      <c r="C72" s="1" t="s">
        <v>3465</v>
      </c>
      <c r="D72" s="1" t="s">
        <v>4270</v>
      </c>
      <c r="E72" s="1" t="s">
        <v>4334</v>
      </c>
      <c r="F72" s="1" t="s">
        <v>4335</v>
      </c>
      <c r="G72" s="1" t="s">
        <v>4336</v>
      </c>
      <c r="H72" s="1" t="str">
        <f t="shared" si="1"/>
        <v>APC Smart-UPS RT 1000 RM XL</v>
      </c>
    </row>
    <row r="73" spans="1:8">
      <c r="A73" s="1">
        <v>72</v>
      </c>
      <c r="B73" s="1" t="s">
        <v>18305</v>
      </c>
      <c r="C73" s="1" t="s">
        <v>3469</v>
      </c>
      <c r="D73" s="1" t="s">
        <v>4270</v>
      </c>
      <c r="E73" s="1" t="s">
        <v>4338</v>
      </c>
      <c r="F73" s="1" t="s">
        <v>4339</v>
      </c>
      <c r="G73" s="1" t="s">
        <v>4340</v>
      </c>
      <c r="H73" s="1" t="str">
        <f t="shared" si="1"/>
        <v>APC Smart-UPS RT 1000 RM XL</v>
      </c>
    </row>
    <row r="74" spans="1:8">
      <c r="A74" s="1">
        <v>73</v>
      </c>
      <c r="B74" s="1" t="s">
        <v>18305</v>
      </c>
      <c r="C74" s="1" t="s">
        <v>3473</v>
      </c>
      <c r="D74" s="1" t="s">
        <v>4270</v>
      </c>
      <c r="E74" s="1" t="s">
        <v>4342</v>
      </c>
      <c r="F74" s="1" t="s">
        <v>4343</v>
      </c>
      <c r="G74" s="1" t="s">
        <v>4344</v>
      </c>
      <c r="H74" s="1" t="str">
        <f t="shared" si="1"/>
        <v>APC Smart-UPS RT 1000 RM XL</v>
      </c>
    </row>
    <row r="75" spans="1:8">
      <c r="A75" s="1">
        <v>74</v>
      </c>
      <c r="B75" s="1" t="s">
        <v>18305</v>
      </c>
      <c r="C75" s="1" t="s">
        <v>3477</v>
      </c>
      <c r="D75" s="1" t="s">
        <v>4270</v>
      </c>
      <c r="E75" s="1" t="s">
        <v>4346</v>
      </c>
      <c r="F75" s="1" t="s">
        <v>4347</v>
      </c>
      <c r="G75" s="1" t="s">
        <v>4348</v>
      </c>
      <c r="H75" s="1" t="str">
        <f t="shared" si="1"/>
        <v>APC Smart-UPS RT 1000 RM XL</v>
      </c>
    </row>
    <row r="76" spans="1:8">
      <c r="A76" s="1">
        <v>75</v>
      </c>
      <c r="B76" s="1" t="s">
        <v>18305</v>
      </c>
      <c r="C76" s="1" t="s">
        <v>3479</v>
      </c>
      <c r="D76" s="1" t="s">
        <v>4270</v>
      </c>
      <c r="E76" s="1" t="s">
        <v>4350</v>
      </c>
      <c r="F76" s="1" t="s">
        <v>4351</v>
      </c>
      <c r="G76" s="1" t="s">
        <v>4352</v>
      </c>
      <c r="H76" s="1" t="str">
        <f t="shared" si="1"/>
        <v>APC Smart-UPS RT 1000 RM XL</v>
      </c>
    </row>
    <row r="77" spans="1:8">
      <c r="A77" s="1">
        <v>76</v>
      </c>
      <c r="B77" s="1" t="s">
        <v>18305</v>
      </c>
      <c r="C77" s="1" t="s">
        <v>3481</v>
      </c>
      <c r="D77" s="1" t="s">
        <v>4270</v>
      </c>
      <c r="E77" s="1" t="s">
        <v>4354</v>
      </c>
      <c r="F77" s="1" t="s">
        <v>4355</v>
      </c>
      <c r="G77" s="1" t="s">
        <v>4356</v>
      </c>
      <c r="H77" s="1" t="str">
        <f t="shared" si="1"/>
        <v>APC Smart-UPS RT 1000 RM XL</v>
      </c>
    </row>
    <row r="78" spans="1:8">
      <c r="A78" s="1">
        <v>77</v>
      </c>
      <c r="B78" s="1" t="s">
        <v>18306</v>
      </c>
      <c r="C78" s="1" t="s">
        <v>3400</v>
      </c>
      <c r="D78" s="1" t="s">
        <v>4358</v>
      </c>
      <c r="E78" s="1" t="s">
        <v>4359</v>
      </c>
      <c r="F78" s="1" t="s">
        <v>4360</v>
      </c>
      <c r="G78" s="1" t="s">
        <v>4361</v>
      </c>
      <c r="H78" s="1" t="str">
        <f t="shared" si="1"/>
        <v>APC Smart-UPS RT 1000 XL</v>
      </c>
    </row>
    <row r="79" spans="1:8">
      <c r="A79" s="1">
        <v>78</v>
      </c>
      <c r="B79" s="1" t="s">
        <v>18306</v>
      </c>
      <c r="C79" s="1" t="s">
        <v>3405</v>
      </c>
      <c r="D79" s="1" t="s">
        <v>4358</v>
      </c>
      <c r="E79" s="1" t="s">
        <v>4363</v>
      </c>
      <c r="F79" s="1" t="s">
        <v>4364</v>
      </c>
      <c r="G79" s="1" t="s">
        <v>4365</v>
      </c>
      <c r="H79" s="1" t="str">
        <f t="shared" si="1"/>
        <v>APC Smart-UPS RT 1000 XL</v>
      </c>
    </row>
    <row r="80" spans="1:8">
      <c r="A80" s="1">
        <v>79</v>
      </c>
      <c r="B80" s="1" t="s">
        <v>18306</v>
      </c>
      <c r="C80" s="1" t="s">
        <v>3409</v>
      </c>
      <c r="D80" s="1" t="s">
        <v>4358</v>
      </c>
      <c r="E80" s="1" t="s">
        <v>4367</v>
      </c>
      <c r="F80" s="1" t="s">
        <v>4368</v>
      </c>
      <c r="G80" s="1" t="s">
        <v>4369</v>
      </c>
      <c r="H80" s="1" t="str">
        <f t="shared" si="1"/>
        <v>APC Smart-UPS RT 1000 XL</v>
      </c>
    </row>
    <row r="81" spans="1:8">
      <c r="A81" s="1">
        <v>80</v>
      </c>
      <c r="B81" s="1" t="s">
        <v>18306</v>
      </c>
      <c r="C81" s="1" t="s">
        <v>3413</v>
      </c>
      <c r="D81" s="1" t="s">
        <v>4358</v>
      </c>
      <c r="E81" s="1" t="s">
        <v>4371</v>
      </c>
      <c r="F81" s="1" t="s">
        <v>4372</v>
      </c>
      <c r="G81" s="1" t="s">
        <v>4373</v>
      </c>
      <c r="H81" s="1" t="str">
        <f t="shared" si="1"/>
        <v>APC Smart-UPS RT 1000 XL</v>
      </c>
    </row>
    <row r="82" spans="1:8">
      <c r="A82" s="1">
        <v>81</v>
      </c>
      <c r="B82" s="1" t="s">
        <v>18306</v>
      </c>
      <c r="C82" s="1" t="s">
        <v>3417</v>
      </c>
      <c r="D82" s="1" t="s">
        <v>4358</v>
      </c>
      <c r="E82" s="1" t="s">
        <v>4375</v>
      </c>
      <c r="F82" s="1" t="s">
        <v>4376</v>
      </c>
      <c r="G82" s="1" t="s">
        <v>4377</v>
      </c>
      <c r="H82" s="1" t="str">
        <f t="shared" si="1"/>
        <v>APC Smart-UPS RT 1000 XL</v>
      </c>
    </row>
    <row r="83" spans="1:8">
      <c r="A83" s="1">
        <v>82</v>
      </c>
      <c r="B83" s="1" t="s">
        <v>18306</v>
      </c>
      <c r="C83" s="1" t="s">
        <v>3421</v>
      </c>
      <c r="D83" s="1" t="s">
        <v>4358</v>
      </c>
      <c r="E83" s="1" t="s">
        <v>4379</v>
      </c>
      <c r="F83" s="1" t="s">
        <v>4380</v>
      </c>
      <c r="G83" s="1" t="s">
        <v>4381</v>
      </c>
      <c r="H83" s="1" t="str">
        <f t="shared" si="1"/>
        <v>APC Smart-UPS RT 1000 XL</v>
      </c>
    </row>
    <row r="84" spans="1:8">
      <c r="A84" s="1">
        <v>83</v>
      </c>
      <c r="B84" s="1" t="s">
        <v>18306</v>
      </c>
      <c r="C84" s="1" t="s">
        <v>3425</v>
      </c>
      <c r="D84" s="1" t="s">
        <v>4358</v>
      </c>
      <c r="E84" s="1" t="s">
        <v>4383</v>
      </c>
      <c r="F84" s="1" t="s">
        <v>4384</v>
      </c>
      <c r="G84" s="1" t="s">
        <v>4385</v>
      </c>
      <c r="H84" s="1" t="str">
        <f t="shared" si="1"/>
        <v>APC Smart-UPS RT 1000 XL</v>
      </c>
    </row>
    <row r="85" spans="1:8">
      <c r="A85" s="1">
        <v>84</v>
      </c>
      <c r="B85" s="1" t="s">
        <v>18306</v>
      </c>
      <c r="C85" s="1" t="s">
        <v>3429</v>
      </c>
      <c r="D85" s="1" t="s">
        <v>4358</v>
      </c>
      <c r="E85" s="1" t="s">
        <v>811</v>
      </c>
      <c r="F85" s="1" t="s">
        <v>4387</v>
      </c>
      <c r="G85" s="1" t="s">
        <v>4388</v>
      </c>
      <c r="H85" s="1" t="str">
        <f t="shared" si="1"/>
        <v>APC Smart-UPS RT 1000 XL</v>
      </c>
    </row>
    <row r="86" spans="1:8">
      <c r="A86" s="1">
        <v>85</v>
      </c>
      <c r="B86" s="1" t="s">
        <v>18306</v>
      </c>
      <c r="C86" s="1" t="s">
        <v>3433</v>
      </c>
      <c r="D86" s="1" t="s">
        <v>4358</v>
      </c>
      <c r="E86" s="1" t="s">
        <v>815</v>
      </c>
      <c r="F86" s="1" t="s">
        <v>4390</v>
      </c>
      <c r="G86" s="1" t="s">
        <v>4391</v>
      </c>
      <c r="H86" s="1" t="str">
        <f t="shared" si="1"/>
        <v>APC Smart-UPS RT 1000 XL</v>
      </c>
    </row>
    <row r="87" spans="1:8">
      <c r="A87" s="1">
        <v>86</v>
      </c>
      <c r="B87" s="1" t="s">
        <v>18306</v>
      </c>
      <c r="C87" s="1" t="s">
        <v>3437</v>
      </c>
      <c r="D87" s="1" t="s">
        <v>4358</v>
      </c>
      <c r="E87" s="1" t="s">
        <v>818</v>
      </c>
      <c r="F87" s="1" t="s">
        <v>4393</v>
      </c>
      <c r="G87" s="1" t="s">
        <v>4394</v>
      </c>
      <c r="H87" s="1" t="str">
        <f t="shared" si="1"/>
        <v>APC Smart-UPS RT 1000 XL</v>
      </c>
    </row>
    <row r="88" spans="1:8">
      <c r="A88" s="1">
        <v>87</v>
      </c>
      <c r="B88" s="1" t="s">
        <v>18306</v>
      </c>
      <c r="C88" s="1" t="s">
        <v>3441</v>
      </c>
      <c r="D88" s="1" t="s">
        <v>4358</v>
      </c>
      <c r="E88" s="1" t="s">
        <v>4396</v>
      </c>
      <c r="F88" s="1" t="s">
        <v>4397</v>
      </c>
      <c r="G88" s="1" t="s">
        <v>4398</v>
      </c>
      <c r="H88" s="1" t="str">
        <f t="shared" si="1"/>
        <v>APC Smart-UPS RT 1000 XL</v>
      </c>
    </row>
    <row r="89" spans="1:8">
      <c r="A89" s="1">
        <v>88</v>
      </c>
      <c r="B89" s="1" t="s">
        <v>18306</v>
      </c>
      <c r="C89" s="1" t="s">
        <v>3445</v>
      </c>
      <c r="D89" s="1" t="s">
        <v>4358</v>
      </c>
      <c r="E89" s="1" t="s">
        <v>822</v>
      </c>
      <c r="F89" s="1" t="s">
        <v>4400</v>
      </c>
      <c r="G89" s="1" t="s">
        <v>4401</v>
      </c>
      <c r="H89" s="1" t="str">
        <f t="shared" si="1"/>
        <v>APC Smart-UPS RT 1000 XL</v>
      </c>
    </row>
    <row r="90" spans="1:8">
      <c r="A90" s="1">
        <v>89</v>
      </c>
      <c r="B90" s="1" t="s">
        <v>18306</v>
      </c>
      <c r="C90" s="1" t="s">
        <v>3449</v>
      </c>
      <c r="D90" s="1" t="s">
        <v>4358</v>
      </c>
      <c r="E90" s="1" t="s">
        <v>826</v>
      </c>
      <c r="F90" s="1" t="s">
        <v>4403</v>
      </c>
      <c r="G90" s="1" t="s">
        <v>4404</v>
      </c>
      <c r="H90" s="1" t="str">
        <f t="shared" si="1"/>
        <v>APC Smart-UPS RT 1000 XL</v>
      </c>
    </row>
    <row r="91" spans="1:8">
      <c r="A91" s="1">
        <v>90</v>
      </c>
      <c r="B91" s="1" t="s">
        <v>18306</v>
      </c>
      <c r="C91" s="1" t="s">
        <v>3453</v>
      </c>
      <c r="D91" s="1" t="s">
        <v>4358</v>
      </c>
      <c r="E91" s="1" t="s">
        <v>830</v>
      </c>
      <c r="F91" s="1" t="s">
        <v>4406</v>
      </c>
      <c r="G91" s="1" t="s">
        <v>4407</v>
      </c>
      <c r="H91" s="1" t="str">
        <f t="shared" si="1"/>
        <v>APC Smart-UPS RT 1000 XL</v>
      </c>
    </row>
    <row r="92" spans="1:8">
      <c r="A92" s="1">
        <v>91</v>
      </c>
      <c r="B92" s="1" t="s">
        <v>18306</v>
      </c>
      <c r="C92" s="1" t="s">
        <v>3457</v>
      </c>
      <c r="D92" s="1" t="s">
        <v>4358</v>
      </c>
      <c r="E92" s="1" t="s">
        <v>4409</v>
      </c>
      <c r="F92" s="1" t="s">
        <v>4410</v>
      </c>
      <c r="G92" s="1" t="s">
        <v>4411</v>
      </c>
      <c r="H92" s="1" t="str">
        <f t="shared" si="1"/>
        <v>APC Smart-UPS RT 1000 XL</v>
      </c>
    </row>
    <row r="93" spans="1:8">
      <c r="A93" s="1">
        <v>92</v>
      </c>
      <c r="B93" s="1" t="s">
        <v>18306</v>
      </c>
      <c r="C93" s="1" t="s">
        <v>3461</v>
      </c>
      <c r="D93" s="1" t="s">
        <v>4358</v>
      </c>
      <c r="E93" s="1" t="s">
        <v>834</v>
      </c>
      <c r="F93" s="1" t="s">
        <v>4413</v>
      </c>
      <c r="G93" s="1" t="s">
        <v>4414</v>
      </c>
      <c r="H93" s="1" t="str">
        <f t="shared" si="1"/>
        <v>APC Smart-UPS RT 1000 XL</v>
      </c>
    </row>
    <row r="94" spans="1:8">
      <c r="A94" s="1">
        <v>93</v>
      </c>
      <c r="B94" s="1" t="s">
        <v>18306</v>
      </c>
      <c r="C94" s="1" t="s">
        <v>3465</v>
      </c>
      <c r="D94" s="1" t="s">
        <v>4358</v>
      </c>
      <c r="E94" s="1" t="s">
        <v>837</v>
      </c>
      <c r="F94" s="1" t="s">
        <v>4416</v>
      </c>
      <c r="G94" s="1" t="s">
        <v>4417</v>
      </c>
      <c r="H94" s="1" t="str">
        <f t="shared" si="1"/>
        <v>APC Smart-UPS RT 1000 XL</v>
      </c>
    </row>
    <row r="95" spans="1:8">
      <c r="A95" s="1">
        <v>94</v>
      </c>
      <c r="B95" s="1" t="s">
        <v>18306</v>
      </c>
      <c r="C95" s="1" t="s">
        <v>3469</v>
      </c>
      <c r="D95" s="1" t="s">
        <v>4358</v>
      </c>
      <c r="E95" s="1" t="s">
        <v>841</v>
      </c>
      <c r="F95" s="1" t="s">
        <v>4419</v>
      </c>
      <c r="G95" s="1" t="s">
        <v>4420</v>
      </c>
      <c r="H95" s="1" t="str">
        <f t="shared" si="1"/>
        <v>APC Smart-UPS RT 1000 XL</v>
      </c>
    </row>
    <row r="96" spans="1:8">
      <c r="A96" s="1">
        <v>95</v>
      </c>
      <c r="B96" s="1" t="s">
        <v>18306</v>
      </c>
      <c r="C96" s="1" t="s">
        <v>3473</v>
      </c>
      <c r="D96" s="1" t="s">
        <v>4358</v>
      </c>
      <c r="E96" s="1" t="s">
        <v>845</v>
      </c>
      <c r="F96" s="1" t="s">
        <v>4422</v>
      </c>
      <c r="G96" s="1" t="s">
        <v>4423</v>
      </c>
      <c r="H96" s="1" t="str">
        <f t="shared" si="1"/>
        <v>APC Smart-UPS RT 1000 XL</v>
      </c>
    </row>
    <row r="97" spans="1:8">
      <c r="A97" s="1">
        <v>96</v>
      </c>
      <c r="B97" s="1" t="s">
        <v>18306</v>
      </c>
      <c r="C97" s="1" t="s">
        <v>3477</v>
      </c>
      <c r="D97" s="1" t="s">
        <v>4358</v>
      </c>
      <c r="E97" s="1" t="s">
        <v>856</v>
      </c>
      <c r="F97" s="1" t="s">
        <v>4425</v>
      </c>
      <c r="G97" s="1" t="s">
        <v>4426</v>
      </c>
      <c r="H97" s="1" t="str">
        <f t="shared" si="1"/>
        <v>APC Smart-UPS RT 1000 XL</v>
      </c>
    </row>
    <row r="98" spans="1:8">
      <c r="A98" s="1">
        <v>97</v>
      </c>
      <c r="B98" s="1" t="s">
        <v>18306</v>
      </c>
      <c r="C98" s="1" t="s">
        <v>3479</v>
      </c>
      <c r="D98" s="1" t="s">
        <v>4358</v>
      </c>
      <c r="E98" s="1" t="s">
        <v>849</v>
      </c>
      <c r="F98" s="1" t="s">
        <v>4428</v>
      </c>
      <c r="G98" s="1" t="s">
        <v>4429</v>
      </c>
      <c r="H98" s="1" t="str">
        <f t="shared" si="1"/>
        <v>APC Smart-UPS RT 1000 XL</v>
      </c>
    </row>
    <row r="99" spans="1:8">
      <c r="A99" s="1">
        <v>98</v>
      </c>
      <c r="B99" s="1" t="s">
        <v>18306</v>
      </c>
      <c r="C99" s="1" t="s">
        <v>3481</v>
      </c>
      <c r="D99" s="1" t="s">
        <v>4358</v>
      </c>
      <c r="E99" s="1" t="s">
        <v>853</v>
      </c>
      <c r="F99" s="1" t="s">
        <v>4431</v>
      </c>
      <c r="G99" s="1" t="s">
        <v>4432</v>
      </c>
      <c r="H99" s="1" t="str">
        <f t="shared" si="1"/>
        <v>APC Smart-UPS RT 1000 XL</v>
      </c>
    </row>
    <row r="100" spans="1:8">
      <c r="A100" s="1">
        <v>99</v>
      </c>
      <c r="B100" s="1" t="s">
        <v>18307</v>
      </c>
      <c r="C100" s="1" t="s">
        <v>3400</v>
      </c>
      <c r="D100" s="1" t="s">
        <v>4434</v>
      </c>
      <c r="E100" s="1" t="s">
        <v>4435</v>
      </c>
      <c r="F100" s="1" t="s">
        <v>4436</v>
      </c>
      <c r="G100" s="1" t="s">
        <v>4437</v>
      </c>
      <c r="H100" s="1" t="str">
        <f t="shared" si="1"/>
        <v>APC Smart-UPS SRT 5000</v>
      </c>
    </row>
    <row r="101" spans="1:8">
      <c r="A101" s="1">
        <v>100</v>
      </c>
      <c r="B101" s="1" t="s">
        <v>18307</v>
      </c>
      <c r="C101" s="1" t="s">
        <v>3405</v>
      </c>
      <c r="D101" s="1" t="s">
        <v>4434</v>
      </c>
      <c r="E101" s="1" t="s">
        <v>4439</v>
      </c>
      <c r="F101" s="1" t="s">
        <v>4440</v>
      </c>
      <c r="G101" s="1" t="s">
        <v>4441</v>
      </c>
      <c r="H101" s="1" t="str">
        <f t="shared" si="1"/>
        <v>APC Smart-UPS SRT 5000</v>
      </c>
    </row>
    <row r="102" spans="1:8">
      <c r="A102" s="1">
        <v>101</v>
      </c>
      <c r="B102" s="1" t="s">
        <v>18307</v>
      </c>
      <c r="C102" s="1" t="s">
        <v>3409</v>
      </c>
      <c r="D102" s="1" t="s">
        <v>4434</v>
      </c>
      <c r="E102" s="1" t="s">
        <v>4443</v>
      </c>
      <c r="F102" s="1" t="s">
        <v>4444</v>
      </c>
      <c r="G102" s="1" t="s">
        <v>4445</v>
      </c>
      <c r="H102" s="1" t="str">
        <f t="shared" si="1"/>
        <v>APC Smart-UPS SRT 5000</v>
      </c>
    </row>
    <row r="103" spans="1:8">
      <c r="A103" s="1">
        <v>102</v>
      </c>
      <c r="B103" s="1" t="s">
        <v>18307</v>
      </c>
      <c r="C103" s="1" t="s">
        <v>3413</v>
      </c>
      <c r="D103" s="1" t="s">
        <v>4434</v>
      </c>
      <c r="E103" s="1" t="s">
        <v>4447</v>
      </c>
      <c r="F103" s="1" t="s">
        <v>4448</v>
      </c>
      <c r="G103" s="1" t="s">
        <v>4449</v>
      </c>
      <c r="H103" s="1" t="str">
        <f t="shared" si="1"/>
        <v>APC Smart-UPS SRT 5000</v>
      </c>
    </row>
    <row r="104" spans="1:8">
      <c r="A104" s="1">
        <v>103</v>
      </c>
      <c r="B104" s="1" t="s">
        <v>18307</v>
      </c>
      <c r="C104" s="1" t="s">
        <v>3417</v>
      </c>
      <c r="D104" s="1" t="s">
        <v>4434</v>
      </c>
      <c r="E104" s="1" t="s">
        <v>4451</v>
      </c>
      <c r="F104" s="1" t="s">
        <v>4452</v>
      </c>
      <c r="G104" s="1" t="s">
        <v>4453</v>
      </c>
      <c r="H104" s="1" t="str">
        <f t="shared" si="1"/>
        <v>APC Smart-UPS SRT 5000</v>
      </c>
    </row>
    <row r="105" spans="1:8">
      <c r="A105" s="1">
        <v>104</v>
      </c>
      <c r="B105" s="1" t="s">
        <v>18307</v>
      </c>
      <c r="C105" s="1" t="s">
        <v>3421</v>
      </c>
      <c r="D105" s="1" t="s">
        <v>4434</v>
      </c>
      <c r="E105" s="1" t="s">
        <v>4455</v>
      </c>
      <c r="F105" s="1" t="s">
        <v>4456</v>
      </c>
      <c r="G105" s="1" t="s">
        <v>4457</v>
      </c>
      <c r="H105" s="1" t="str">
        <f t="shared" si="1"/>
        <v>APC Smart-UPS SRT 5000</v>
      </c>
    </row>
    <row r="106" spans="1:8">
      <c r="A106" s="1">
        <v>105</v>
      </c>
      <c r="B106" s="1" t="s">
        <v>18307</v>
      </c>
      <c r="C106" s="1" t="s">
        <v>3425</v>
      </c>
      <c r="D106" s="1" t="s">
        <v>4434</v>
      </c>
      <c r="E106" s="1" t="s">
        <v>4459</v>
      </c>
      <c r="F106" s="1" t="s">
        <v>4460</v>
      </c>
      <c r="G106" s="1" t="s">
        <v>4461</v>
      </c>
      <c r="H106" s="1" t="str">
        <f t="shared" si="1"/>
        <v>APC Smart-UPS SRT 5000</v>
      </c>
    </row>
    <row r="107" spans="1:8">
      <c r="A107" s="1">
        <v>106</v>
      </c>
      <c r="B107" s="1" t="s">
        <v>18307</v>
      </c>
      <c r="C107" s="1" t="s">
        <v>3429</v>
      </c>
      <c r="D107" s="1" t="s">
        <v>4434</v>
      </c>
      <c r="E107" s="1" t="s">
        <v>4463</v>
      </c>
      <c r="F107" s="1" t="s">
        <v>4464</v>
      </c>
      <c r="G107" s="1" t="s">
        <v>4465</v>
      </c>
      <c r="H107" s="1" t="str">
        <f t="shared" si="1"/>
        <v>APC Smart-UPS SRT 5000</v>
      </c>
    </row>
    <row r="108" spans="1:8">
      <c r="A108" s="1">
        <v>107</v>
      </c>
      <c r="B108" s="1" t="s">
        <v>18307</v>
      </c>
      <c r="C108" s="1" t="s">
        <v>3433</v>
      </c>
      <c r="D108" s="1" t="s">
        <v>4434</v>
      </c>
      <c r="E108" s="1" t="s">
        <v>4467</v>
      </c>
      <c r="F108" s="1" t="s">
        <v>4468</v>
      </c>
      <c r="G108" s="1" t="s">
        <v>4469</v>
      </c>
      <c r="H108" s="1" t="str">
        <f t="shared" si="1"/>
        <v>APC Smart-UPS SRT 5000</v>
      </c>
    </row>
    <row r="109" spans="1:8">
      <c r="A109" s="1">
        <v>108</v>
      </c>
      <c r="B109" s="1" t="s">
        <v>18307</v>
      </c>
      <c r="C109" s="1" t="s">
        <v>3437</v>
      </c>
      <c r="D109" s="1" t="s">
        <v>4434</v>
      </c>
      <c r="E109" s="1" t="s">
        <v>4471</v>
      </c>
      <c r="F109" s="1" t="s">
        <v>4472</v>
      </c>
      <c r="G109" s="1" t="s">
        <v>4473</v>
      </c>
      <c r="H109" s="1" t="str">
        <f t="shared" si="1"/>
        <v>APC Smart-UPS SRT 5000</v>
      </c>
    </row>
    <row r="110" spans="1:8">
      <c r="A110" s="1">
        <v>109</v>
      </c>
      <c r="B110" s="1" t="s">
        <v>18307</v>
      </c>
      <c r="C110" s="1" t="s">
        <v>3441</v>
      </c>
      <c r="D110" s="1" t="s">
        <v>4434</v>
      </c>
      <c r="E110" s="1" t="s">
        <v>4475</v>
      </c>
      <c r="F110" s="1" t="s">
        <v>4476</v>
      </c>
      <c r="G110" s="1" t="s">
        <v>4477</v>
      </c>
      <c r="H110" s="1" t="str">
        <f t="shared" si="1"/>
        <v>APC Smart-UPS SRT 5000</v>
      </c>
    </row>
    <row r="111" spans="1:8">
      <c r="A111" s="1">
        <v>110</v>
      </c>
      <c r="B111" s="1" t="s">
        <v>18307</v>
      </c>
      <c r="C111" s="1" t="s">
        <v>3445</v>
      </c>
      <c r="D111" s="1" t="s">
        <v>4434</v>
      </c>
      <c r="E111" s="1" t="s">
        <v>4479</v>
      </c>
      <c r="F111" s="1" t="s">
        <v>4480</v>
      </c>
      <c r="G111" s="1" t="s">
        <v>4481</v>
      </c>
      <c r="H111" s="1" t="str">
        <f t="shared" si="1"/>
        <v>APC Smart-UPS SRT 5000</v>
      </c>
    </row>
    <row r="112" spans="1:8">
      <c r="A112" s="1">
        <v>111</v>
      </c>
      <c r="B112" s="1" t="s">
        <v>18307</v>
      </c>
      <c r="C112" s="1" t="s">
        <v>3449</v>
      </c>
      <c r="D112" s="1" t="s">
        <v>4434</v>
      </c>
      <c r="E112" s="1" t="s">
        <v>4483</v>
      </c>
      <c r="F112" s="1" t="s">
        <v>4484</v>
      </c>
      <c r="G112" s="1" t="s">
        <v>4485</v>
      </c>
      <c r="H112" s="1" t="str">
        <f t="shared" si="1"/>
        <v>APC Smart-UPS SRT 5000</v>
      </c>
    </row>
    <row r="113" spans="1:8">
      <c r="A113" s="1">
        <v>112</v>
      </c>
      <c r="B113" s="1" t="s">
        <v>18307</v>
      </c>
      <c r="C113" s="1" t="s">
        <v>3453</v>
      </c>
      <c r="D113" s="1" t="s">
        <v>4434</v>
      </c>
      <c r="E113" s="1" t="s">
        <v>4487</v>
      </c>
      <c r="F113" s="1" t="s">
        <v>4488</v>
      </c>
      <c r="G113" s="1" t="s">
        <v>4489</v>
      </c>
      <c r="H113" s="1" t="str">
        <f t="shared" si="1"/>
        <v>APC Smart-UPS SRT 5000</v>
      </c>
    </row>
    <row r="114" spans="1:8">
      <c r="A114" s="1">
        <v>113</v>
      </c>
      <c r="B114" s="1" t="s">
        <v>18307</v>
      </c>
      <c r="C114" s="1" t="s">
        <v>3457</v>
      </c>
      <c r="D114" s="1" t="s">
        <v>4434</v>
      </c>
      <c r="E114" s="1" t="s">
        <v>4491</v>
      </c>
      <c r="F114" s="1" t="s">
        <v>4492</v>
      </c>
      <c r="G114" s="1" t="s">
        <v>4493</v>
      </c>
      <c r="H114" s="1" t="str">
        <f t="shared" si="1"/>
        <v>APC Smart-UPS SRT 5000</v>
      </c>
    </row>
    <row r="115" spans="1:8">
      <c r="A115" s="1">
        <v>114</v>
      </c>
      <c r="B115" s="1" t="s">
        <v>18307</v>
      </c>
      <c r="C115" s="1" t="s">
        <v>3461</v>
      </c>
      <c r="D115" s="1" t="s">
        <v>4434</v>
      </c>
      <c r="E115" s="1" t="s">
        <v>4495</v>
      </c>
      <c r="F115" s="1" t="s">
        <v>4496</v>
      </c>
      <c r="G115" s="1" t="s">
        <v>4497</v>
      </c>
      <c r="H115" s="1" t="str">
        <f t="shared" si="1"/>
        <v>APC Smart-UPS SRT 5000</v>
      </c>
    </row>
    <row r="116" spans="1:8">
      <c r="A116" s="1">
        <v>115</v>
      </c>
      <c r="B116" s="1" t="s">
        <v>18307</v>
      </c>
      <c r="C116" s="1" t="s">
        <v>3465</v>
      </c>
      <c r="D116" s="1" t="s">
        <v>4434</v>
      </c>
      <c r="E116" s="1" t="s">
        <v>4499</v>
      </c>
      <c r="F116" s="1" t="s">
        <v>4500</v>
      </c>
      <c r="G116" s="1" t="s">
        <v>4501</v>
      </c>
      <c r="H116" s="1" t="str">
        <f t="shared" si="1"/>
        <v>APC Smart-UPS SRT 5000</v>
      </c>
    </row>
    <row r="117" spans="1:8">
      <c r="A117" s="1">
        <v>116</v>
      </c>
      <c r="B117" s="1" t="s">
        <v>18307</v>
      </c>
      <c r="C117" s="1" t="s">
        <v>3469</v>
      </c>
      <c r="D117" s="1" t="s">
        <v>4434</v>
      </c>
      <c r="E117" s="1" t="s">
        <v>4503</v>
      </c>
      <c r="F117" s="1" t="s">
        <v>4504</v>
      </c>
      <c r="G117" s="1" t="s">
        <v>4505</v>
      </c>
      <c r="H117" s="1" t="str">
        <f t="shared" si="1"/>
        <v>APC Smart-UPS SRT 5000</v>
      </c>
    </row>
    <row r="118" spans="1:8">
      <c r="A118" s="1">
        <v>117</v>
      </c>
      <c r="B118" s="1" t="s">
        <v>18307</v>
      </c>
      <c r="C118" s="1" t="s">
        <v>3473</v>
      </c>
      <c r="D118" s="1" t="s">
        <v>4434</v>
      </c>
      <c r="E118" s="1" t="s">
        <v>4507</v>
      </c>
      <c r="F118" s="1" t="s">
        <v>4508</v>
      </c>
      <c r="G118" s="1" t="s">
        <v>4509</v>
      </c>
      <c r="H118" s="1" t="str">
        <f t="shared" si="1"/>
        <v>APC Smart-UPS SRT 5000</v>
      </c>
    </row>
    <row r="119" spans="1:8">
      <c r="A119" s="1">
        <v>118</v>
      </c>
      <c r="B119" s="1" t="s">
        <v>18307</v>
      </c>
      <c r="C119" s="1" t="s">
        <v>3477</v>
      </c>
      <c r="D119" s="1" t="s">
        <v>4434</v>
      </c>
      <c r="E119" s="1" t="s">
        <v>4511</v>
      </c>
      <c r="F119" s="1" t="s">
        <v>4512</v>
      </c>
      <c r="G119" s="1" t="s">
        <v>4513</v>
      </c>
      <c r="H119" s="1" t="str">
        <f t="shared" si="1"/>
        <v>APC Smart-UPS SRT 5000</v>
      </c>
    </row>
    <row r="120" spans="1:8">
      <c r="A120" s="1">
        <v>119</v>
      </c>
      <c r="B120" s="1" t="s">
        <v>18307</v>
      </c>
      <c r="C120" s="1" t="s">
        <v>3479</v>
      </c>
      <c r="D120" s="1" t="s">
        <v>4434</v>
      </c>
      <c r="E120" s="1" t="s">
        <v>4515</v>
      </c>
      <c r="F120" s="1" t="s">
        <v>4516</v>
      </c>
      <c r="G120" s="1" t="s">
        <v>4517</v>
      </c>
      <c r="H120" s="1" t="str">
        <f t="shared" si="1"/>
        <v>APC Smart-UPS SRT 5000</v>
      </c>
    </row>
    <row r="121" spans="1:8">
      <c r="A121" s="1">
        <v>120</v>
      </c>
      <c r="B121" s="1" t="s">
        <v>18307</v>
      </c>
      <c r="C121" s="1" t="s">
        <v>3481</v>
      </c>
      <c r="D121" s="1" t="s">
        <v>4434</v>
      </c>
      <c r="E121" s="1" t="s">
        <v>4519</v>
      </c>
      <c r="F121" s="1" t="s">
        <v>4520</v>
      </c>
      <c r="G121" s="1" t="s">
        <v>4521</v>
      </c>
      <c r="H121" s="1" t="str">
        <f t="shared" si="1"/>
        <v>APC Smart-UPS SRT 5000</v>
      </c>
    </row>
    <row r="122" spans="1:8">
      <c r="A122" s="1">
        <v>121</v>
      </c>
      <c r="B122" s="1" t="s">
        <v>18308</v>
      </c>
      <c r="C122" s="1" t="s">
        <v>3400</v>
      </c>
      <c r="D122" s="1" t="s">
        <v>4523</v>
      </c>
      <c r="E122" s="1" t="s">
        <v>4524</v>
      </c>
      <c r="F122" s="1" t="s">
        <v>4525</v>
      </c>
      <c r="G122" s="1" t="s">
        <v>4526</v>
      </c>
      <c r="H122" s="1" t="str">
        <f t="shared" si="1"/>
        <v>APC Smart-UPS SRT 8000</v>
      </c>
    </row>
    <row r="123" spans="1:8">
      <c r="A123" s="1">
        <v>122</v>
      </c>
      <c r="B123" s="1" t="s">
        <v>18308</v>
      </c>
      <c r="C123" s="1" t="s">
        <v>3405</v>
      </c>
      <c r="D123" s="1" t="s">
        <v>4523</v>
      </c>
      <c r="E123" s="1" t="s">
        <v>4528</v>
      </c>
      <c r="F123" s="1" t="s">
        <v>4529</v>
      </c>
      <c r="G123" s="1" t="s">
        <v>4530</v>
      </c>
      <c r="H123" s="1" t="str">
        <f t="shared" si="1"/>
        <v>APC Smart-UPS SRT 8000</v>
      </c>
    </row>
    <row r="124" spans="1:8">
      <c r="A124" s="1">
        <v>123</v>
      </c>
      <c r="B124" s="1" t="s">
        <v>18308</v>
      </c>
      <c r="C124" s="1" t="s">
        <v>3409</v>
      </c>
      <c r="D124" s="1" t="s">
        <v>4523</v>
      </c>
      <c r="E124" s="1" t="s">
        <v>4532</v>
      </c>
      <c r="F124" s="1" t="s">
        <v>4533</v>
      </c>
      <c r="G124" s="1" t="s">
        <v>4534</v>
      </c>
      <c r="H124" s="1" t="str">
        <f t="shared" si="1"/>
        <v>APC Smart-UPS SRT 8000</v>
      </c>
    </row>
    <row r="125" spans="1:8">
      <c r="A125" s="1">
        <v>124</v>
      </c>
      <c r="B125" s="1" t="s">
        <v>18308</v>
      </c>
      <c r="C125" s="1" t="s">
        <v>3413</v>
      </c>
      <c r="D125" s="1" t="s">
        <v>4523</v>
      </c>
      <c r="E125" s="1" t="s">
        <v>4536</v>
      </c>
      <c r="F125" s="1" t="s">
        <v>4537</v>
      </c>
      <c r="G125" s="1" t="s">
        <v>4538</v>
      </c>
      <c r="H125" s="1" t="str">
        <f t="shared" si="1"/>
        <v>APC Smart-UPS SRT 8000</v>
      </c>
    </row>
    <row r="126" spans="1:8">
      <c r="A126" s="1">
        <v>125</v>
      </c>
      <c r="B126" s="1" t="s">
        <v>18308</v>
      </c>
      <c r="C126" s="1" t="s">
        <v>3417</v>
      </c>
      <c r="D126" s="1" t="s">
        <v>4523</v>
      </c>
      <c r="E126" s="1" t="s">
        <v>4540</v>
      </c>
      <c r="F126" s="1" t="s">
        <v>4541</v>
      </c>
      <c r="G126" s="1" t="s">
        <v>4542</v>
      </c>
      <c r="H126" s="1" t="str">
        <f t="shared" si="1"/>
        <v>APC Smart-UPS SRT 8000</v>
      </c>
    </row>
    <row r="127" spans="1:8">
      <c r="A127" s="1">
        <v>126</v>
      </c>
      <c r="B127" s="1" t="s">
        <v>18308</v>
      </c>
      <c r="C127" s="1" t="s">
        <v>3421</v>
      </c>
      <c r="D127" s="1" t="s">
        <v>4523</v>
      </c>
      <c r="E127" s="1" t="s">
        <v>4544</v>
      </c>
      <c r="F127" s="1" t="s">
        <v>4545</v>
      </c>
      <c r="G127" s="1" t="s">
        <v>4546</v>
      </c>
      <c r="H127" s="1" t="str">
        <f t="shared" si="1"/>
        <v>APC Smart-UPS SRT 8000</v>
      </c>
    </row>
    <row r="128" spans="1:8">
      <c r="A128" s="1">
        <v>127</v>
      </c>
      <c r="B128" s="1" t="s">
        <v>18308</v>
      </c>
      <c r="C128" s="1" t="s">
        <v>3425</v>
      </c>
      <c r="D128" s="1" t="s">
        <v>4523</v>
      </c>
      <c r="E128" s="1" t="s">
        <v>4548</v>
      </c>
      <c r="F128" s="1" t="s">
        <v>4549</v>
      </c>
      <c r="G128" s="1" t="s">
        <v>4550</v>
      </c>
      <c r="H128" s="1" t="str">
        <f t="shared" si="1"/>
        <v>APC Smart-UPS SRT 8000</v>
      </c>
    </row>
    <row r="129" spans="1:8">
      <c r="A129" s="1">
        <v>128</v>
      </c>
      <c r="B129" s="1" t="s">
        <v>18308</v>
      </c>
      <c r="C129" s="1" t="s">
        <v>3429</v>
      </c>
      <c r="D129" s="1" t="s">
        <v>4523</v>
      </c>
      <c r="E129" s="1" t="s">
        <v>4552</v>
      </c>
      <c r="F129" s="1" t="s">
        <v>4553</v>
      </c>
      <c r="G129" s="1" t="s">
        <v>4554</v>
      </c>
      <c r="H129" s="1" t="str">
        <f t="shared" si="1"/>
        <v>APC Smart-UPS SRT 8000</v>
      </c>
    </row>
    <row r="130" spans="1:8">
      <c r="A130" s="1">
        <v>129</v>
      </c>
      <c r="B130" s="1" t="s">
        <v>18308</v>
      </c>
      <c r="C130" s="1" t="s">
        <v>3433</v>
      </c>
      <c r="D130" s="1" t="s">
        <v>4523</v>
      </c>
      <c r="E130" s="1" t="s">
        <v>4556</v>
      </c>
      <c r="F130" s="1" t="s">
        <v>4557</v>
      </c>
      <c r="G130" s="1" t="s">
        <v>4558</v>
      </c>
      <c r="H130" s="1" t="str">
        <f t="shared" ref="H130:H193" si="2">IFERROR(IF(OR(MID(G130,FIND(":",G130)-1,1)="""",MID(G130,FIND(":",G130)-1,1)="}",MID(G130,FIND(":",G130)-1,1)=")",MID(G130,FIND(":",G130)-1,1)="]"),"",LEFT(F130,FIND(":",F130)-1)),"")</f>
        <v>APC Smart-UPS SRT 8000</v>
      </c>
    </row>
    <row r="131" spans="1:8">
      <c r="A131" s="1">
        <v>130</v>
      </c>
      <c r="B131" s="1" t="s">
        <v>18308</v>
      </c>
      <c r="C131" s="1" t="s">
        <v>3437</v>
      </c>
      <c r="D131" s="1" t="s">
        <v>4523</v>
      </c>
      <c r="E131" s="1" t="s">
        <v>4560</v>
      </c>
      <c r="F131" s="1" t="s">
        <v>4561</v>
      </c>
      <c r="G131" s="1" t="s">
        <v>4562</v>
      </c>
      <c r="H131" s="1" t="str">
        <f t="shared" si="2"/>
        <v>APC Smart-UPS SRT 8000</v>
      </c>
    </row>
    <row r="132" spans="1:8">
      <c r="A132" s="1">
        <v>131</v>
      </c>
      <c r="B132" s="1" t="s">
        <v>18308</v>
      </c>
      <c r="C132" s="1" t="s">
        <v>3441</v>
      </c>
      <c r="D132" s="1" t="s">
        <v>4523</v>
      </c>
      <c r="E132" s="1" t="s">
        <v>4564</v>
      </c>
      <c r="F132" s="1" t="s">
        <v>4565</v>
      </c>
      <c r="G132" s="1" t="s">
        <v>4566</v>
      </c>
      <c r="H132" s="1" t="str">
        <f t="shared" si="2"/>
        <v>APC Smart-UPS SRT 8000</v>
      </c>
    </row>
    <row r="133" spans="1:8">
      <c r="A133" s="1">
        <v>132</v>
      </c>
      <c r="B133" s="1" t="s">
        <v>18308</v>
      </c>
      <c r="C133" s="1" t="s">
        <v>3445</v>
      </c>
      <c r="D133" s="1" t="s">
        <v>4523</v>
      </c>
      <c r="E133" s="1" t="s">
        <v>4568</v>
      </c>
      <c r="F133" s="1" t="s">
        <v>4569</v>
      </c>
      <c r="G133" s="1" t="s">
        <v>4570</v>
      </c>
      <c r="H133" s="1" t="str">
        <f t="shared" si="2"/>
        <v>APC Smart-UPS SRT 8000</v>
      </c>
    </row>
    <row r="134" spans="1:8">
      <c r="A134" s="1">
        <v>133</v>
      </c>
      <c r="B134" s="1" t="s">
        <v>18308</v>
      </c>
      <c r="C134" s="1" t="s">
        <v>3449</v>
      </c>
      <c r="D134" s="1" t="s">
        <v>4523</v>
      </c>
      <c r="E134" s="1" t="s">
        <v>4572</v>
      </c>
      <c r="F134" s="1" t="s">
        <v>4573</v>
      </c>
      <c r="G134" s="1" t="s">
        <v>4574</v>
      </c>
      <c r="H134" s="1" t="str">
        <f t="shared" si="2"/>
        <v>APC Smart-UPS SRT 8000</v>
      </c>
    </row>
    <row r="135" spans="1:8">
      <c r="A135" s="1">
        <v>134</v>
      </c>
      <c r="B135" s="1" t="s">
        <v>18308</v>
      </c>
      <c r="C135" s="1" t="s">
        <v>3453</v>
      </c>
      <c r="D135" s="1" t="s">
        <v>4523</v>
      </c>
      <c r="E135" s="1" t="s">
        <v>4576</v>
      </c>
      <c r="F135" s="1" t="s">
        <v>4577</v>
      </c>
      <c r="G135" s="1" t="s">
        <v>4578</v>
      </c>
      <c r="H135" s="1" t="str">
        <f t="shared" si="2"/>
        <v>APC Smart-UPS SRT 8000</v>
      </c>
    </row>
    <row r="136" spans="1:8">
      <c r="A136" s="1">
        <v>135</v>
      </c>
      <c r="B136" s="1" t="s">
        <v>18308</v>
      </c>
      <c r="C136" s="1" t="s">
        <v>3457</v>
      </c>
      <c r="D136" s="1" t="s">
        <v>4523</v>
      </c>
      <c r="E136" s="1" t="s">
        <v>4580</v>
      </c>
      <c r="F136" s="1" t="s">
        <v>4581</v>
      </c>
      <c r="G136" s="1" t="s">
        <v>4582</v>
      </c>
      <c r="H136" s="1" t="str">
        <f t="shared" si="2"/>
        <v>APC Smart-UPS SRT 8000</v>
      </c>
    </row>
    <row r="137" spans="1:8">
      <c r="A137" s="1">
        <v>136</v>
      </c>
      <c r="B137" s="1" t="s">
        <v>18308</v>
      </c>
      <c r="C137" s="1" t="s">
        <v>3461</v>
      </c>
      <c r="D137" s="1" t="s">
        <v>4523</v>
      </c>
      <c r="E137" s="1" t="s">
        <v>4584</v>
      </c>
      <c r="F137" s="1" t="s">
        <v>4585</v>
      </c>
      <c r="G137" s="1" t="s">
        <v>4586</v>
      </c>
      <c r="H137" s="1" t="str">
        <f t="shared" si="2"/>
        <v>APC Smart-UPS SRT 8000</v>
      </c>
    </row>
    <row r="138" spans="1:8">
      <c r="A138" s="1">
        <v>137</v>
      </c>
      <c r="B138" s="1" t="s">
        <v>18308</v>
      </c>
      <c r="C138" s="1" t="s">
        <v>3465</v>
      </c>
      <c r="D138" s="1" t="s">
        <v>4523</v>
      </c>
      <c r="E138" s="1" t="s">
        <v>4588</v>
      </c>
      <c r="F138" s="1" t="s">
        <v>4589</v>
      </c>
      <c r="G138" s="1" t="s">
        <v>4590</v>
      </c>
      <c r="H138" s="1" t="str">
        <f t="shared" si="2"/>
        <v>APC Smart-UPS SRT 8000</v>
      </c>
    </row>
    <row r="139" spans="1:8">
      <c r="A139" s="1">
        <v>138</v>
      </c>
      <c r="B139" s="1" t="s">
        <v>18308</v>
      </c>
      <c r="C139" s="1" t="s">
        <v>3469</v>
      </c>
      <c r="D139" s="1" t="s">
        <v>4523</v>
      </c>
      <c r="E139" s="1" t="s">
        <v>4592</v>
      </c>
      <c r="F139" s="1" t="s">
        <v>4593</v>
      </c>
      <c r="G139" s="1" t="s">
        <v>4594</v>
      </c>
      <c r="H139" s="1" t="str">
        <f t="shared" si="2"/>
        <v>APC Smart-UPS SRT 8000</v>
      </c>
    </row>
    <row r="140" spans="1:8">
      <c r="A140" s="1">
        <v>139</v>
      </c>
      <c r="B140" s="1" t="s">
        <v>18308</v>
      </c>
      <c r="C140" s="1" t="s">
        <v>3473</v>
      </c>
      <c r="D140" s="1" t="s">
        <v>4523</v>
      </c>
      <c r="E140" s="1" t="s">
        <v>4596</v>
      </c>
      <c r="F140" s="1" t="s">
        <v>4597</v>
      </c>
      <c r="G140" s="1" t="s">
        <v>4598</v>
      </c>
      <c r="H140" s="1" t="str">
        <f t="shared" si="2"/>
        <v>APC Smart-UPS SRT 8000</v>
      </c>
    </row>
    <row r="141" spans="1:8">
      <c r="A141" s="1">
        <v>140</v>
      </c>
      <c r="B141" s="1" t="s">
        <v>18308</v>
      </c>
      <c r="C141" s="1" t="s">
        <v>3477</v>
      </c>
      <c r="D141" s="1" t="s">
        <v>4523</v>
      </c>
      <c r="E141" s="1" t="s">
        <v>4600</v>
      </c>
      <c r="F141" s="1" t="s">
        <v>4601</v>
      </c>
      <c r="G141" s="1" t="s">
        <v>4602</v>
      </c>
      <c r="H141" s="1" t="str">
        <f t="shared" si="2"/>
        <v>APC Smart-UPS SRT 8000</v>
      </c>
    </row>
    <row r="142" spans="1:8">
      <c r="A142" s="1">
        <v>141</v>
      </c>
      <c r="B142" s="1" t="s">
        <v>18308</v>
      </c>
      <c r="C142" s="1" t="s">
        <v>3479</v>
      </c>
      <c r="D142" s="1" t="s">
        <v>4523</v>
      </c>
      <c r="E142" s="1" t="s">
        <v>4604</v>
      </c>
      <c r="F142" s="1" t="s">
        <v>4605</v>
      </c>
      <c r="G142" s="1" t="s">
        <v>4606</v>
      </c>
      <c r="H142" s="1" t="str">
        <f t="shared" si="2"/>
        <v>APC Smart-UPS SRT 8000</v>
      </c>
    </row>
    <row r="143" spans="1:8">
      <c r="A143" s="1">
        <v>142</v>
      </c>
      <c r="B143" s="1" t="s">
        <v>18308</v>
      </c>
      <c r="C143" s="1" t="s">
        <v>3481</v>
      </c>
      <c r="D143" s="1" t="s">
        <v>4523</v>
      </c>
      <c r="E143" s="1" t="s">
        <v>4608</v>
      </c>
      <c r="F143" s="1" t="s">
        <v>4609</v>
      </c>
      <c r="G143" s="1" t="s">
        <v>4610</v>
      </c>
      <c r="H143" s="1" t="str">
        <f t="shared" si="2"/>
        <v>APC Smart-UPS SRT 8000</v>
      </c>
    </row>
    <row r="144" spans="1:8">
      <c r="A144" s="1">
        <v>143</v>
      </c>
      <c r="B144" s="1" t="s">
        <v>18309</v>
      </c>
      <c r="C144" s="1" t="s">
        <v>3400</v>
      </c>
      <c r="D144" s="1" t="s">
        <v>4612</v>
      </c>
      <c r="E144" s="1" t="s">
        <v>3714</v>
      </c>
      <c r="F144" s="1" t="s">
        <v>4613</v>
      </c>
      <c r="G144" s="1" t="s">
        <v>4614</v>
      </c>
      <c r="H144" s="1" t="str">
        <f t="shared" si="2"/>
        <v>APC UPS Galaxy 3500</v>
      </c>
    </row>
    <row r="145" spans="1:8">
      <c r="A145" s="1">
        <v>144</v>
      </c>
      <c r="B145" s="1" t="s">
        <v>18309</v>
      </c>
      <c r="C145" s="1" t="s">
        <v>3405</v>
      </c>
      <c r="D145" s="1" t="s">
        <v>4612</v>
      </c>
      <c r="E145" s="1" t="s">
        <v>3715</v>
      </c>
      <c r="F145" s="1" t="s">
        <v>4616</v>
      </c>
      <c r="G145" s="1" t="s">
        <v>4617</v>
      </c>
      <c r="H145" s="1" t="str">
        <f t="shared" si="2"/>
        <v>APC UPS Galaxy 3500</v>
      </c>
    </row>
    <row r="146" spans="1:8">
      <c r="A146" s="1">
        <v>145</v>
      </c>
      <c r="B146" s="1" t="s">
        <v>18309</v>
      </c>
      <c r="C146" s="1" t="s">
        <v>3409</v>
      </c>
      <c r="D146" s="1" t="s">
        <v>4612</v>
      </c>
      <c r="E146" s="1" t="s">
        <v>3716</v>
      </c>
      <c r="F146" s="1" t="s">
        <v>4619</v>
      </c>
      <c r="G146" s="1" t="s">
        <v>4620</v>
      </c>
      <c r="H146" s="1" t="str">
        <f t="shared" si="2"/>
        <v>APC UPS Galaxy 3500</v>
      </c>
    </row>
    <row r="147" spans="1:8">
      <c r="A147" s="1">
        <v>146</v>
      </c>
      <c r="B147" s="1" t="s">
        <v>18309</v>
      </c>
      <c r="C147" s="1" t="s">
        <v>3413</v>
      </c>
      <c r="D147" s="1" t="s">
        <v>4612</v>
      </c>
      <c r="E147" s="1" t="s">
        <v>3717</v>
      </c>
      <c r="F147" s="1" t="s">
        <v>4622</v>
      </c>
      <c r="G147" s="1" t="s">
        <v>4623</v>
      </c>
      <c r="H147" s="1" t="str">
        <f t="shared" si="2"/>
        <v>APC UPS Galaxy 3500</v>
      </c>
    </row>
    <row r="148" spans="1:8">
      <c r="A148" s="1">
        <v>147</v>
      </c>
      <c r="B148" s="1" t="s">
        <v>18309</v>
      </c>
      <c r="C148" s="1" t="s">
        <v>3417</v>
      </c>
      <c r="D148" s="1" t="s">
        <v>4612</v>
      </c>
      <c r="E148" s="1" t="s">
        <v>3718</v>
      </c>
      <c r="F148" s="1" t="s">
        <v>4625</v>
      </c>
      <c r="G148" s="1" t="s">
        <v>4626</v>
      </c>
      <c r="H148" s="1" t="str">
        <f t="shared" si="2"/>
        <v>APC UPS Galaxy 3500</v>
      </c>
    </row>
    <row r="149" spans="1:8">
      <c r="A149" s="1">
        <v>148</v>
      </c>
      <c r="B149" s="1" t="s">
        <v>18309</v>
      </c>
      <c r="C149" s="1" t="s">
        <v>3421</v>
      </c>
      <c r="D149" s="1" t="s">
        <v>4612</v>
      </c>
      <c r="E149" s="1" t="s">
        <v>3719</v>
      </c>
      <c r="F149" s="1" t="s">
        <v>4628</v>
      </c>
      <c r="G149" s="1" t="s">
        <v>4629</v>
      </c>
      <c r="H149" s="1" t="str">
        <f t="shared" si="2"/>
        <v>APC UPS Galaxy 3500</v>
      </c>
    </row>
    <row r="150" spans="1:8">
      <c r="A150" s="1">
        <v>149</v>
      </c>
      <c r="B150" s="1" t="s">
        <v>18309</v>
      </c>
      <c r="C150" s="1" t="s">
        <v>3425</v>
      </c>
      <c r="D150" s="1" t="s">
        <v>4612</v>
      </c>
      <c r="E150" s="1" t="s">
        <v>4631</v>
      </c>
      <c r="F150" s="1" t="s">
        <v>4632</v>
      </c>
      <c r="G150" s="1" t="s">
        <v>4633</v>
      </c>
      <c r="H150" s="1" t="str">
        <f t="shared" si="2"/>
        <v>APC UPS Galaxy 3500</v>
      </c>
    </row>
    <row r="151" spans="1:8">
      <c r="A151" s="1">
        <v>150</v>
      </c>
      <c r="B151" s="1" t="s">
        <v>18309</v>
      </c>
      <c r="C151" s="1" t="s">
        <v>3429</v>
      </c>
      <c r="D151" s="1" t="s">
        <v>4612</v>
      </c>
      <c r="E151" s="1" t="s">
        <v>3720</v>
      </c>
      <c r="F151" s="1" t="s">
        <v>4635</v>
      </c>
      <c r="G151" s="1" t="s">
        <v>4636</v>
      </c>
      <c r="H151" s="1" t="str">
        <f t="shared" si="2"/>
        <v>APC UPS Galaxy 3500</v>
      </c>
    </row>
    <row r="152" spans="1:8">
      <c r="A152" s="1">
        <v>151</v>
      </c>
      <c r="B152" s="1" t="s">
        <v>18309</v>
      </c>
      <c r="C152" s="1" t="s">
        <v>3433</v>
      </c>
      <c r="D152" s="1" t="s">
        <v>4612</v>
      </c>
      <c r="E152" s="1" t="s">
        <v>3721</v>
      </c>
      <c r="F152" s="1" t="s">
        <v>4638</v>
      </c>
      <c r="G152" s="1" t="s">
        <v>4639</v>
      </c>
      <c r="H152" s="1" t="str">
        <f t="shared" si="2"/>
        <v>APC UPS Galaxy 3500</v>
      </c>
    </row>
    <row r="153" spans="1:8">
      <c r="A153" s="1">
        <v>152</v>
      </c>
      <c r="B153" s="1" t="s">
        <v>18309</v>
      </c>
      <c r="C153" s="1" t="s">
        <v>3437</v>
      </c>
      <c r="D153" s="1" t="s">
        <v>4612</v>
      </c>
      <c r="E153" s="1" t="s">
        <v>4641</v>
      </c>
      <c r="F153" s="1" t="s">
        <v>4642</v>
      </c>
      <c r="G153" s="1" t="s">
        <v>4643</v>
      </c>
      <c r="H153" s="1" t="str">
        <f t="shared" si="2"/>
        <v>APC UPS Galaxy 3500</v>
      </c>
    </row>
    <row r="154" spans="1:8">
      <c r="A154" s="1">
        <v>153</v>
      </c>
      <c r="B154" s="1" t="s">
        <v>18309</v>
      </c>
      <c r="C154" s="1" t="s">
        <v>3441</v>
      </c>
      <c r="D154" s="1" t="s">
        <v>4612</v>
      </c>
      <c r="E154" s="1" t="s">
        <v>4645</v>
      </c>
      <c r="F154" s="1" t="s">
        <v>4646</v>
      </c>
      <c r="G154" s="1" t="s">
        <v>4647</v>
      </c>
      <c r="H154" s="1" t="str">
        <f t="shared" si="2"/>
        <v>APC UPS Galaxy 3500</v>
      </c>
    </row>
    <row r="155" spans="1:8">
      <c r="A155" s="1">
        <v>154</v>
      </c>
      <c r="B155" s="1" t="s">
        <v>18309</v>
      </c>
      <c r="C155" s="1" t="s">
        <v>3445</v>
      </c>
      <c r="D155" s="1" t="s">
        <v>4612</v>
      </c>
      <c r="E155" s="1" t="s">
        <v>4649</v>
      </c>
      <c r="F155" s="1" t="s">
        <v>4650</v>
      </c>
      <c r="G155" s="1" t="s">
        <v>4651</v>
      </c>
      <c r="H155" s="1" t="str">
        <f t="shared" si="2"/>
        <v>APC UPS Galaxy 3500</v>
      </c>
    </row>
    <row r="156" spans="1:8">
      <c r="A156" s="1">
        <v>155</v>
      </c>
      <c r="B156" s="1" t="s">
        <v>18309</v>
      </c>
      <c r="C156" s="1" t="s">
        <v>3449</v>
      </c>
      <c r="D156" s="1" t="s">
        <v>4612</v>
      </c>
      <c r="E156" s="1" t="s">
        <v>4653</v>
      </c>
      <c r="F156" s="1" t="s">
        <v>4654</v>
      </c>
      <c r="G156" s="1" t="s">
        <v>4655</v>
      </c>
      <c r="H156" s="1" t="str">
        <f t="shared" si="2"/>
        <v>APC UPS Galaxy 3500</v>
      </c>
    </row>
    <row r="157" spans="1:8">
      <c r="A157" s="1">
        <v>156</v>
      </c>
      <c r="B157" s="1" t="s">
        <v>18309</v>
      </c>
      <c r="C157" s="1" t="s">
        <v>3453</v>
      </c>
      <c r="D157" s="1" t="s">
        <v>4612</v>
      </c>
      <c r="E157" s="1" t="s">
        <v>4657</v>
      </c>
      <c r="F157" s="1" t="s">
        <v>4658</v>
      </c>
      <c r="G157" s="1" t="s">
        <v>4659</v>
      </c>
      <c r="H157" s="1" t="str">
        <f t="shared" si="2"/>
        <v>APC UPS Galaxy 3500</v>
      </c>
    </row>
    <row r="158" spans="1:8">
      <c r="A158" s="1">
        <v>157</v>
      </c>
      <c r="B158" s="1" t="s">
        <v>18309</v>
      </c>
      <c r="C158" s="1" t="s">
        <v>3457</v>
      </c>
      <c r="D158" s="1" t="s">
        <v>4612</v>
      </c>
      <c r="E158" s="1" t="s">
        <v>4661</v>
      </c>
      <c r="F158" s="1" t="s">
        <v>4662</v>
      </c>
      <c r="G158" s="1" t="s">
        <v>4663</v>
      </c>
      <c r="H158" s="1" t="str">
        <f t="shared" si="2"/>
        <v>APC UPS Galaxy 3500</v>
      </c>
    </row>
    <row r="159" spans="1:8">
      <c r="A159" s="1">
        <v>158</v>
      </c>
      <c r="B159" s="1" t="s">
        <v>18309</v>
      </c>
      <c r="C159" s="1" t="s">
        <v>3461</v>
      </c>
      <c r="D159" s="1" t="s">
        <v>4612</v>
      </c>
      <c r="E159" s="1" t="s">
        <v>4665</v>
      </c>
      <c r="F159" s="1" t="s">
        <v>4666</v>
      </c>
      <c r="G159" s="1" t="s">
        <v>4667</v>
      </c>
      <c r="H159" s="1" t="str">
        <f t="shared" si="2"/>
        <v>APC UPS Galaxy 3500</v>
      </c>
    </row>
    <row r="160" spans="1:8">
      <c r="A160" s="1">
        <v>159</v>
      </c>
      <c r="B160" s="1" t="s">
        <v>18309</v>
      </c>
      <c r="C160" s="1" t="s">
        <v>3465</v>
      </c>
      <c r="D160" s="1" t="s">
        <v>4612</v>
      </c>
      <c r="E160" s="1" t="s">
        <v>4669</v>
      </c>
      <c r="F160" s="1" t="s">
        <v>4670</v>
      </c>
      <c r="G160" s="1" t="s">
        <v>4671</v>
      </c>
      <c r="H160" s="1" t="str">
        <f t="shared" si="2"/>
        <v>APC UPS Galaxy 3500</v>
      </c>
    </row>
    <row r="161" spans="1:8">
      <c r="A161" s="1">
        <v>160</v>
      </c>
      <c r="B161" s="1" t="s">
        <v>18309</v>
      </c>
      <c r="C161" s="1" t="s">
        <v>3469</v>
      </c>
      <c r="D161" s="1" t="s">
        <v>4612</v>
      </c>
      <c r="E161" s="1" t="s">
        <v>4673</v>
      </c>
      <c r="F161" s="1" t="s">
        <v>4674</v>
      </c>
      <c r="G161" s="1" t="s">
        <v>4675</v>
      </c>
      <c r="H161" s="1" t="str">
        <f t="shared" si="2"/>
        <v>APC UPS Galaxy 3500</v>
      </c>
    </row>
    <row r="162" spans="1:8">
      <c r="A162" s="1">
        <v>161</v>
      </c>
      <c r="B162" s="1" t="s">
        <v>18309</v>
      </c>
      <c r="C162" s="1" t="s">
        <v>3473</v>
      </c>
      <c r="D162" s="1" t="s">
        <v>4612</v>
      </c>
      <c r="E162" s="1" t="s">
        <v>4677</v>
      </c>
      <c r="F162" s="1" t="s">
        <v>4678</v>
      </c>
      <c r="G162" s="1" t="s">
        <v>4679</v>
      </c>
      <c r="H162" s="1" t="str">
        <f t="shared" si="2"/>
        <v>APC UPS Galaxy 3500</v>
      </c>
    </row>
    <row r="163" spans="1:8">
      <c r="A163" s="1">
        <v>162</v>
      </c>
      <c r="B163" s="1" t="s">
        <v>18309</v>
      </c>
      <c r="C163" s="1" t="s">
        <v>3477</v>
      </c>
      <c r="D163" s="1" t="s">
        <v>4612</v>
      </c>
      <c r="E163" s="1" t="s">
        <v>3482</v>
      </c>
      <c r="F163" s="1" t="s">
        <v>4681</v>
      </c>
      <c r="G163" s="1" t="s">
        <v>4682</v>
      </c>
      <c r="H163" s="1" t="str">
        <f t="shared" si="2"/>
        <v>APC UPS Galaxy 3500</v>
      </c>
    </row>
    <row r="164" spans="1:8">
      <c r="A164" s="1">
        <v>163</v>
      </c>
      <c r="B164" s="1" t="s">
        <v>18309</v>
      </c>
      <c r="C164" s="1" t="s">
        <v>3479</v>
      </c>
      <c r="D164" s="1" t="s">
        <v>4612</v>
      </c>
      <c r="E164" s="1" t="s">
        <v>4684</v>
      </c>
      <c r="F164" s="1" t="s">
        <v>4685</v>
      </c>
      <c r="G164" s="1" t="s">
        <v>4686</v>
      </c>
      <c r="H164" s="1" t="str">
        <f t="shared" si="2"/>
        <v>APC UPS Galaxy 3500</v>
      </c>
    </row>
    <row r="165" spans="1:8">
      <c r="A165" s="1">
        <v>164</v>
      </c>
      <c r="B165" s="1" t="s">
        <v>18309</v>
      </c>
      <c r="C165" s="1" t="s">
        <v>3481</v>
      </c>
      <c r="D165" s="1" t="s">
        <v>4612</v>
      </c>
      <c r="E165" s="1" t="s">
        <v>3626</v>
      </c>
      <c r="F165" s="1" t="s">
        <v>4688</v>
      </c>
      <c r="G165" s="1" t="s">
        <v>4689</v>
      </c>
      <c r="H165" s="1" t="str">
        <f t="shared" si="2"/>
        <v>APC UPS Galaxy 3500</v>
      </c>
    </row>
    <row r="166" spans="1:8">
      <c r="A166" s="1">
        <v>165</v>
      </c>
      <c r="B166" s="1" t="s">
        <v>18310</v>
      </c>
      <c r="C166" s="1" t="s">
        <v>3400</v>
      </c>
      <c r="D166" s="1" t="s">
        <v>4691</v>
      </c>
      <c r="E166" s="1" t="s">
        <v>4692</v>
      </c>
      <c r="F166" s="1" t="s">
        <v>4693</v>
      </c>
      <c r="G166" s="1" t="s">
        <v>4694</v>
      </c>
      <c r="H166" s="1" t="str">
        <f t="shared" si="2"/>
        <v>APC UPS Symmetra LX</v>
      </c>
    </row>
    <row r="167" spans="1:8">
      <c r="A167" s="1">
        <v>166</v>
      </c>
      <c r="B167" s="1" t="s">
        <v>18310</v>
      </c>
      <c r="C167" s="1" t="s">
        <v>3405</v>
      </c>
      <c r="D167" s="1" t="s">
        <v>4691</v>
      </c>
      <c r="E167" s="1" t="s">
        <v>4696</v>
      </c>
      <c r="F167" s="1" t="s">
        <v>4697</v>
      </c>
      <c r="G167" s="1" t="s">
        <v>4698</v>
      </c>
      <c r="H167" s="1" t="str">
        <f t="shared" si="2"/>
        <v>APC UPS Symmetra LX</v>
      </c>
    </row>
    <row r="168" spans="1:8">
      <c r="A168" s="1">
        <v>167</v>
      </c>
      <c r="B168" s="1" t="s">
        <v>18310</v>
      </c>
      <c r="C168" s="1" t="s">
        <v>3409</v>
      </c>
      <c r="D168" s="1" t="s">
        <v>4691</v>
      </c>
      <c r="E168" s="1" t="s">
        <v>4700</v>
      </c>
      <c r="F168" s="1" t="s">
        <v>4701</v>
      </c>
      <c r="G168" s="1" t="s">
        <v>4702</v>
      </c>
      <c r="H168" s="1" t="str">
        <f t="shared" si="2"/>
        <v>APC UPS Symmetra LX</v>
      </c>
    </row>
    <row r="169" spans="1:8">
      <c r="A169" s="1">
        <v>168</v>
      </c>
      <c r="B169" s="1" t="s">
        <v>18310</v>
      </c>
      <c r="C169" s="1" t="s">
        <v>3413</v>
      </c>
      <c r="D169" s="1" t="s">
        <v>4691</v>
      </c>
      <c r="E169" s="1" t="s">
        <v>4704</v>
      </c>
      <c r="F169" s="1" t="s">
        <v>4705</v>
      </c>
      <c r="G169" s="1" t="s">
        <v>4706</v>
      </c>
      <c r="H169" s="1" t="str">
        <f t="shared" si="2"/>
        <v>APC UPS Symmetra LX</v>
      </c>
    </row>
    <row r="170" spans="1:8">
      <c r="A170" s="1">
        <v>169</v>
      </c>
      <c r="B170" s="1" t="s">
        <v>18310</v>
      </c>
      <c r="C170" s="1" t="s">
        <v>3417</v>
      </c>
      <c r="D170" s="1" t="s">
        <v>4691</v>
      </c>
      <c r="E170" s="1" t="s">
        <v>4708</v>
      </c>
      <c r="F170" s="1" t="s">
        <v>4709</v>
      </c>
      <c r="G170" s="1" t="s">
        <v>4710</v>
      </c>
      <c r="H170" s="1" t="str">
        <f t="shared" si="2"/>
        <v>APC UPS Symmetra LX</v>
      </c>
    </row>
    <row r="171" spans="1:8">
      <c r="A171" s="1">
        <v>170</v>
      </c>
      <c r="B171" s="1" t="s">
        <v>18310</v>
      </c>
      <c r="C171" s="1" t="s">
        <v>3421</v>
      </c>
      <c r="D171" s="1" t="s">
        <v>4691</v>
      </c>
      <c r="E171" s="1" t="s">
        <v>4712</v>
      </c>
      <c r="F171" s="1" t="s">
        <v>4713</v>
      </c>
      <c r="G171" s="1" t="s">
        <v>4714</v>
      </c>
      <c r="H171" s="1" t="str">
        <f t="shared" si="2"/>
        <v>APC UPS Symmetra LX</v>
      </c>
    </row>
    <row r="172" spans="1:8">
      <c r="A172" s="1">
        <v>171</v>
      </c>
      <c r="B172" s="1" t="s">
        <v>18310</v>
      </c>
      <c r="C172" s="1" t="s">
        <v>3425</v>
      </c>
      <c r="D172" s="1" t="s">
        <v>4691</v>
      </c>
      <c r="E172" s="1" t="s">
        <v>4716</v>
      </c>
      <c r="F172" s="1" t="s">
        <v>4717</v>
      </c>
      <c r="G172" s="1" t="s">
        <v>4718</v>
      </c>
      <c r="H172" s="1" t="str">
        <f t="shared" si="2"/>
        <v>APC UPS Symmetra LX</v>
      </c>
    </row>
    <row r="173" spans="1:8">
      <c r="A173" s="1">
        <v>172</v>
      </c>
      <c r="B173" s="1" t="s">
        <v>18310</v>
      </c>
      <c r="C173" s="1" t="s">
        <v>3429</v>
      </c>
      <c r="D173" s="1" t="s">
        <v>4691</v>
      </c>
      <c r="E173" s="1" t="s">
        <v>4720</v>
      </c>
      <c r="F173" s="1" t="s">
        <v>4721</v>
      </c>
      <c r="G173" s="1" t="s">
        <v>4722</v>
      </c>
      <c r="H173" s="1" t="str">
        <f t="shared" si="2"/>
        <v>APC UPS Symmetra LX</v>
      </c>
    </row>
    <row r="174" spans="1:8">
      <c r="A174" s="1">
        <v>173</v>
      </c>
      <c r="B174" s="1" t="s">
        <v>18310</v>
      </c>
      <c r="C174" s="1" t="s">
        <v>3433</v>
      </c>
      <c r="D174" s="1" t="s">
        <v>4691</v>
      </c>
      <c r="E174" s="1" t="s">
        <v>4724</v>
      </c>
      <c r="F174" s="1" t="s">
        <v>4725</v>
      </c>
      <c r="G174" s="1" t="s">
        <v>4726</v>
      </c>
      <c r="H174" s="1" t="str">
        <f t="shared" si="2"/>
        <v>APC UPS Symmetra LX</v>
      </c>
    </row>
    <row r="175" spans="1:8">
      <c r="A175" s="1">
        <v>174</v>
      </c>
      <c r="B175" s="1" t="s">
        <v>18310</v>
      </c>
      <c r="C175" s="1" t="s">
        <v>3437</v>
      </c>
      <c r="D175" s="1" t="s">
        <v>4691</v>
      </c>
      <c r="E175" s="1" t="s">
        <v>4728</v>
      </c>
      <c r="F175" s="1" t="s">
        <v>4729</v>
      </c>
      <c r="G175" s="1" t="s">
        <v>4730</v>
      </c>
      <c r="H175" s="1" t="str">
        <f t="shared" si="2"/>
        <v>APC UPS Symmetra LX</v>
      </c>
    </row>
    <row r="176" spans="1:8">
      <c r="A176" s="1">
        <v>175</v>
      </c>
      <c r="B176" s="1" t="s">
        <v>18310</v>
      </c>
      <c r="C176" s="1" t="s">
        <v>3441</v>
      </c>
      <c r="D176" s="1" t="s">
        <v>4691</v>
      </c>
      <c r="E176" s="1" t="s">
        <v>4732</v>
      </c>
      <c r="F176" s="1" t="s">
        <v>4733</v>
      </c>
      <c r="G176" s="1" t="s">
        <v>4734</v>
      </c>
      <c r="H176" s="1" t="str">
        <f t="shared" si="2"/>
        <v>APC UPS Symmetra LX</v>
      </c>
    </row>
    <row r="177" spans="1:8">
      <c r="A177" s="1">
        <v>176</v>
      </c>
      <c r="B177" s="1" t="s">
        <v>18310</v>
      </c>
      <c r="C177" s="1" t="s">
        <v>3445</v>
      </c>
      <c r="D177" s="1" t="s">
        <v>4691</v>
      </c>
      <c r="E177" s="1" t="s">
        <v>4736</v>
      </c>
      <c r="F177" s="1" t="s">
        <v>4737</v>
      </c>
      <c r="G177" s="1" t="s">
        <v>4738</v>
      </c>
      <c r="H177" s="1" t="str">
        <f t="shared" si="2"/>
        <v>APC UPS Symmetra LX</v>
      </c>
    </row>
    <row r="178" spans="1:8">
      <c r="A178" s="1">
        <v>177</v>
      </c>
      <c r="B178" s="1" t="s">
        <v>18310</v>
      </c>
      <c r="C178" s="1" t="s">
        <v>3449</v>
      </c>
      <c r="D178" s="1" t="s">
        <v>4691</v>
      </c>
      <c r="E178" s="1" t="s">
        <v>4740</v>
      </c>
      <c r="F178" s="1" t="s">
        <v>4741</v>
      </c>
      <c r="G178" s="1" t="s">
        <v>4742</v>
      </c>
      <c r="H178" s="1" t="str">
        <f t="shared" si="2"/>
        <v>APC UPS Symmetra LX</v>
      </c>
    </row>
    <row r="179" spans="1:8">
      <c r="A179" s="1">
        <v>178</v>
      </c>
      <c r="B179" s="1" t="s">
        <v>18310</v>
      </c>
      <c r="C179" s="1" t="s">
        <v>3453</v>
      </c>
      <c r="D179" s="1" t="s">
        <v>4691</v>
      </c>
      <c r="E179" s="1" t="s">
        <v>4744</v>
      </c>
      <c r="F179" s="1" t="s">
        <v>4745</v>
      </c>
      <c r="G179" s="1" t="s">
        <v>4746</v>
      </c>
      <c r="H179" s="1" t="str">
        <f t="shared" si="2"/>
        <v>APC UPS Symmetra LX</v>
      </c>
    </row>
    <row r="180" spans="1:8">
      <c r="A180" s="1">
        <v>179</v>
      </c>
      <c r="B180" s="1" t="s">
        <v>18310</v>
      </c>
      <c r="C180" s="1" t="s">
        <v>3457</v>
      </c>
      <c r="D180" s="1" t="s">
        <v>4691</v>
      </c>
      <c r="E180" s="1" t="s">
        <v>4748</v>
      </c>
      <c r="F180" s="1" t="s">
        <v>4749</v>
      </c>
      <c r="G180" s="1" t="s">
        <v>4750</v>
      </c>
      <c r="H180" s="1" t="str">
        <f t="shared" si="2"/>
        <v>APC UPS Symmetra LX</v>
      </c>
    </row>
    <row r="181" spans="1:8">
      <c r="A181" s="1">
        <v>180</v>
      </c>
      <c r="B181" s="1" t="s">
        <v>18310</v>
      </c>
      <c r="C181" s="1" t="s">
        <v>3461</v>
      </c>
      <c r="D181" s="1" t="s">
        <v>4691</v>
      </c>
      <c r="E181" s="1" t="s">
        <v>4752</v>
      </c>
      <c r="F181" s="1" t="s">
        <v>4753</v>
      </c>
      <c r="G181" s="1" t="s">
        <v>4754</v>
      </c>
      <c r="H181" s="1" t="str">
        <f t="shared" si="2"/>
        <v>APC UPS Symmetra LX</v>
      </c>
    </row>
    <row r="182" spans="1:8">
      <c r="A182" s="1">
        <v>181</v>
      </c>
      <c r="B182" s="1" t="s">
        <v>18310</v>
      </c>
      <c r="C182" s="1" t="s">
        <v>3465</v>
      </c>
      <c r="D182" s="1" t="s">
        <v>4691</v>
      </c>
      <c r="E182" s="1" t="s">
        <v>4756</v>
      </c>
      <c r="F182" s="1" t="s">
        <v>4757</v>
      </c>
      <c r="G182" s="1" t="s">
        <v>4758</v>
      </c>
      <c r="H182" s="1" t="str">
        <f t="shared" si="2"/>
        <v>APC UPS Symmetra LX</v>
      </c>
    </row>
    <row r="183" spans="1:8">
      <c r="A183" s="1">
        <v>182</v>
      </c>
      <c r="B183" s="1" t="s">
        <v>18310</v>
      </c>
      <c r="C183" s="1" t="s">
        <v>3469</v>
      </c>
      <c r="D183" s="1" t="s">
        <v>4691</v>
      </c>
      <c r="E183" s="1" t="s">
        <v>4760</v>
      </c>
      <c r="F183" s="1" t="s">
        <v>4761</v>
      </c>
      <c r="G183" s="1" t="s">
        <v>4762</v>
      </c>
      <c r="H183" s="1" t="str">
        <f t="shared" si="2"/>
        <v>APC UPS Symmetra LX</v>
      </c>
    </row>
    <row r="184" spans="1:8">
      <c r="A184" s="1">
        <v>183</v>
      </c>
      <c r="B184" s="1" t="s">
        <v>18310</v>
      </c>
      <c r="C184" s="1" t="s">
        <v>3473</v>
      </c>
      <c r="D184" s="1" t="s">
        <v>4691</v>
      </c>
      <c r="E184" s="1" t="s">
        <v>4764</v>
      </c>
      <c r="F184" s="1" t="s">
        <v>4765</v>
      </c>
      <c r="G184" s="1" t="s">
        <v>4766</v>
      </c>
      <c r="H184" s="1" t="str">
        <f t="shared" si="2"/>
        <v>APC UPS Symmetra LX</v>
      </c>
    </row>
    <row r="185" spans="1:8">
      <c r="A185" s="1">
        <v>184</v>
      </c>
      <c r="B185" s="1" t="s">
        <v>18310</v>
      </c>
      <c r="C185" s="1" t="s">
        <v>3477</v>
      </c>
      <c r="D185" s="1" t="s">
        <v>4691</v>
      </c>
      <c r="E185" s="1" t="s">
        <v>4768</v>
      </c>
      <c r="F185" s="1" t="s">
        <v>4769</v>
      </c>
      <c r="G185" s="1" t="s">
        <v>4770</v>
      </c>
      <c r="H185" s="1" t="str">
        <f t="shared" si="2"/>
        <v>APC UPS Symmetra LX</v>
      </c>
    </row>
    <row r="186" spans="1:8">
      <c r="A186" s="1">
        <v>185</v>
      </c>
      <c r="B186" s="1" t="s">
        <v>18310</v>
      </c>
      <c r="C186" s="1" t="s">
        <v>3479</v>
      </c>
      <c r="D186" s="1" t="s">
        <v>4691</v>
      </c>
      <c r="E186" s="1" t="s">
        <v>4772</v>
      </c>
      <c r="F186" s="1" t="s">
        <v>4773</v>
      </c>
      <c r="G186" s="1" t="s">
        <v>4774</v>
      </c>
      <c r="H186" s="1" t="str">
        <f t="shared" si="2"/>
        <v>APC UPS Symmetra LX</v>
      </c>
    </row>
    <row r="187" spans="1:8">
      <c r="A187" s="1">
        <v>186</v>
      </c>
      <c r="B187" s="1" t="s">
        <v>18310</v>
      </c>
      <c r="C187" s="1" t="s">
        <v>3481</v>
      </c>
      <c r="D187" s="1" t="s">
        <v>4691</v>
      </c>
      <c r="E187" s="1" t="s">
        <v>4776</v>
      </c>
      <c r="F187" s="1" t="s">
        <v>4777</v>
      </c>
      <c r="G187" s="1" t="s">
        <v>4778</v>
      </c>
      <c r="H187" s="1" t="str">
        <f t="shared" si="2"/>
        <v>APC UPS Symmetra LX</v>
      </c>
    </row>
    <row r="188" spans="1:8">
      <c r="A188" s="1">
        <v>187</v>
      </c>
      <c r="B188" s="1" t="s">
        <v>18311</v>
      </c>
      <c r="C188" s="1" t="s">
        <v>3400</v>
      </c>
      <c r="D188" s="1" t="s">
        <v>4780</v>
      </c>
      <c r="E188" s="1" t="s">
        <v>4781</v>
      </c>
      <c r="F188" s="1" t="s">
        <v>4782</v>
      </c>
      <c r="G188" s="1" t="s">
        <v>4783</v>
      </c>
      <c r="H188" s="1" t="str">
        <f t="shared" si="2"/>
        <v>APC UPS Symmetra RM</v>
      </c>
    </row>
    <row r="189" spans="1:8">
      <c r="A189" s="1">
        <v>188</v>
      </c>
      <c r="B189" s="1" t="s">
        <v>18311</v>
      </c>
      <c r="C189" s="1" t="s">
        <v>3405</v>
      </c>
      <c r="D189" s="1" t="s">
        <v>4780</v>
      </c>
      <c r="E189" s="1" t="s">
        <v>4785</v>
      </c>
      <c r="F189" s="1" t="s">
        <v>4786</v>
      </c>
      <c r="G189" s="1" t="s">
        <v>4787</v>
      </c>
      <c r="H189" s="1" t="str">
        <f t="shared" si="2"/>
        <v>APC UPS Symmetra RM</v>
      </c>
    </row>
    <row r="190" spans="1:8">
      <c r="A190" s="1">
        <v>189</v>
      </c>
      <c r="B190" s="1" t="s">
        <v>18311</v>
      </c>
      <c r="C190" s="1" t="s">
        <v>3409</v>
      </c>
      <c r="D190" s="1" t="s">
        <v>4780</v>
      </c>
      <c r="E190" s="1" t="s">
        <v>4789</v>
      </c>
      <c r="F190" s="1" t="s">
        <v>4790</v>
      </c>
      <c r="G190" s="1" t="s">
        <v>4791</v>
      </c>
      <c r="H190" s="1" t="str">
        <f t="shared" si="2"/>
        <v>APC UPS Symmetra RM</v>
      </c>
    </row>
    <row r="191" spans="1:8">
      <c r="A191" s="1">
        <v>190</v>
      </c>
      <c r="B191" s="1" t="s">
        <v>18311</v>
      </c>
      <c r="C191" s="1" t="s">
        <v>3413</v>
      </c>
      <c r="D191" s="1" t="s">
        <v>4780</v>
      </c>
      <c r="E191" s="1" t="s">
        <v>4793</v>
      </c>
      <c r="F191" s="1" t="s">
        <v>4794</v>
      </c>
      <c r="G191" s="1" t="s">
        <v>4795</v>
      </c>
      <c r="H191" s="1" t="str">
        <f t="shared" si="2"/>
        <v>APC UPS Symmetra RM</v>
      </c>
    </row>
    <row r="192" spans="1:8">
      <c r="A192" s="1">
        <v>191</v>
      </c>
      <c r="B192" s="1" t="s">
        <v>18311</v>
      </c>
      <c r="C192" s="1" t="s">
        <v>3417</v>
      </c>
      <c r="D192" s="1" t="s">
        <v>4780</v>
      </c>
      <c r="E192" s="1" t="s">
        <v>4797</v>
      </c>
      <c r="F192" s="1" t="s">
        <v>4798</v>
      </c>
      <c r="G192" s="1" t="s">
        <v>4799</v>
      </c>
      <c r="H192" s="1" t="str">
        <f t="shared" si="2"/>
        <v>APC UPS Symmetra RM</v>
      </c>
    </row>
    <row r="193" spans="1:8">
      <c r="A193" s="1">
        <v>192</v>
      </c>
      <c r="B193" s="1" t="s">
        <v>18311</v>
      </c>
      <c r="C193" s="1" t="s">
        <v>3421</v>
      </c>
      <c r="D193" s="1" t="s">
        <v>4780</v>
      </c>
      <c r="E193" s="1" t="s">
        <v>4801</v>
      </c>
      <c r="F193" s="1" t="s">
        <v>4802</v>
      </c>
      <c r="G193" s="1" t="s">
        <v>4803</v>
      </c>
      <c r="H193" s="1" t="str">
        <f t="shared" si="2"/>
        <v>APC UPS Symmetra RM</v>
      </c>
    </row>
    <row r="194" spans="1:8">
      <c r="A194" s="1">
        <v>193</v>
      </c>
      <c r="B194" s="1" t="s">
        <v>18311</v>
      </c>
      <c r="C194" s="1" t="s">
        <v>3425</v>
      </c>
      <c r="D194" s="1" t="s">
        <v>4780</v>
      </c>
      <c r="E194" s="1" t="s">
        <v>4805</v>
      </c>
      <c r="F194" s="1" t="s">
        <v>4806</v>
      </c>
      <c r="G194" s="1" t="s">
        <v>4807</v>
      </c>
      <c r="H194" s="1" t="str">
        <f t="shared" ref="H194:H257" si="3">IFERROR(IF(OR(MID(G194,FIND(":",G194)-1,1)="""",MID(G194,FIND(":",G194)-1,1)="}",MID(G194,FIND(":",G194)-1,1)=")",MID(G194,FIND(":",G194)-1,1)="]"),"",LEFT(F194,FIND(":",F194)-1)),"")</f>
        <v>APC UPS Symmetra RM</v>
      </c>
    </row>
    <row r="195" spans="1:8">
      <c r="A195" s="1">
        <v>194</v>
      </c>
      <c r="B195" s="1" t="s">
        <v>18311</v>
      </c>
      <c r="C195" s="1" t="s">
        <v>3429</v>
      </c>
      <c r="D195" s="1" t="s">
        <v>4780</v>
      </c>
      <c r="E195" s="1" t="s">
        <v>4809</v>
      </c>
      <c r="F195" s="1" t="s">
        <v>4810</v>
      </c>
      <c r="G195" s="1" t="s">
        <v>4811</v>
      </c>
      <c r="H195" s="1" t="str">
        <f t="shared" si="3"/>
        <v>APC UPS Symmetra RM</v>
      </c>
    </row>
    <row r="196" spans="1:8">
      <c r="A196" s="1">
        <v>195</v>
      </c>
      <c r="B196" s="1" t="s">
        <v>18311</v>
      </c>
      <c r="C196" s="1" t="s">
        <v>3433</v>
      </c>
      <c r="D196" s="1" t="s">
        <v>4780</v>
      </c>
      <c r="E196" s="1" t="s">
        <v>4813</v>
      </c>
      <c r="F196" s="1" t="s">
        <v>4814</v>
      </c>
      <c r="G196" s="1" t="s">
        <v>4815</v>
      </c>
      <c r="H196" s="1" t="str">
        <f t="shared" si="3"/>
        <v>APC UPS Symmetra RM</v>
      </c>
    </row>
    <row r="197" spans="1:8">
      <c r="A197" s="1">
        <v>196</v>
      </c>
      <c r="B197" s="1" t="s">
        <v>18311</v>
      </c>
      <c r="C197" s="1" t="s">
        <v>3437</v>
      </c>
      <c r="D197" s="1" t="s">
        <v>4780</v>
      </c>
      <c r="E197" s="1" t="s">
        <v>4817</v>
      </c>
      <c r="F197" s="1" t="s">
        <v>4818</v>
      </c>
      <c r="G197" s="1" t="s">
        <v>4819</v>
      </c>
      <c r="H197" s="1" t="str">
        <f t="shared" si="3"/>
        <v>APC UPS Symmetra RM</v>
      </c>
    </row>
    <row r="198" spans="1:8">
      <c r="A198" s="1">
        <v>197</v>
      </c>
      <c r="B198" s="1" t="s">
        <v>18311</v>
      </c>
      <c r="C198" s="1" t="s">
        <v>3441</v>
      </c>
      <c r="D198" s="1" t="s">
        <v>4780</v>
      </c>
      <c r="E198" s="1" t="s">
        <v>4821</v>
      </c>
      <c r="F198" s="1" t="s">
        <v>4822</v>
      </c>
      <c r="G198" s="1" t="s">
        <v>4823</v>
      </c>
      <c r="H198" s="1" t="str">
        <f t="shared" si="3"/>
        <v>APC UPS Symmetra RM</v>
      </c>
    </row>
    <row r="199" spans="1:8">
      <c r="A199" s="1">
        <v>198</v>
      </c>
      <c r="B199" s="1" t="s">
        <v>18311</v>
      </c>
      <c r="C199" s="1" t="s">
        <v>3445</v>
      </c>
      <c r="D199" s="1" t="s">
        <v>4780</v>
      </c>
      <c r="E199" s="1" t="s">
        <v>4825</v>
      </c>
      <c r="F199" s="1" t="s">
        <v>4826</v>
      </c>
      <c r="G199" s="1" t="s">
        <v>4827</v>
      </c>
      <c r="H199" s="1" t="str">
        <f t="shared" si="3"/>
        <v>APC UPS Symmetra RM</v>
      </c>
    </row>
    <row r="200" spans="1:8">
      <c r="A200" s="1">
        <v>199</v>
      </c>
      <c r="B200" s="1" t="s">
        <v>18311</v>
      </c>
      <c r="C200" s="1" t="s">
        <v>3449</v>
      </c>
      <c r="D200" s="1" t="s">
        <v>4780</v>
      </c>
      <c r="E200" s="1" t="s">
        <v>4829</v>
      </c>
      <c r="F200" s="1" t="s">
        <v>4830</v>
      </c>
      <c r="G200" s="1" t="s">
        <v>4831</v>
      </c>
      <c r="H200" s="1" t="str">
        <f t="shared" si="3"/>
        <v>APC UPS Symmetra RM</v>
      </c>
    </row>
    <row r="201" spans="1:8">
      <c r="A201" s="1">
        <v>200</v>
      </c>
      <c r="B201" s="1" t="s">
        <v>18311</v>
      </c>
      <c r="C201" s="1" t="s">
        <v>3453</v>
      </c>
      <c r="D201" s="1" t="s">
        <v>4780</v>
      </c>
      <c r="E201" s="1" t="s">
        <v>4833</v>
      </c>
      <c r="F201" s="1" t="s">
        <v>4834</v>
      </c>
      <c r="G201" s="1" t="s">
        <v>4835</v>
      </c>
      <c r="H201" s="1" t="str">
        <f t="shared" si="3"/>
        <v>APC UPS Symmetra RM</v>
      </c>
    </row>
    <row r="202" spans="1:8">
      <c r="A202" s="1">
        <v>201</v>
      </c>
      <c r="B202" s="1" t="s">
        <v>18311</v>
      </c>
      <c r="C202" s="1" t="s">
        <v>3457</v>
      </c>
      <c r="D202" s="1" t="s">
        <v>4780</v>
      </c>
      <c r="E202" s="1" t="s">
        <v>4837</v>
      </c>
      <c r="F202" s="1" t="s">
        <v>4838</v>
      </c>
      <c r="G202" s="1" t="s">
        <v>4839</v>
      </c>
      <c r="H202" s="1" t="str">
        <f t="shared" si="3"/>
        <v>APC UPS Symmetra RM</v>
      </c>
    </row>
    <row r="203" spans="1:8">
      <c r="A203" s="1">
        <v>202</v>
      </c>
      <c r="B203" s="1" t="s">
        <v>18311</v>
      </c>
      <c r="C203" s="1" t="s">
        <v>3461</v>
      </c>
      <c r="D203" s="1" t="s">
        <v>4780</v>
      </c>
      <c r="E203" s="1" t="s">
        <v>4841</v>
      </c>
      <c r="F203" s="1" t="s">
        <v>4842</v>
      </c>
      <c r="G203" s="1" t="s">
        <v>4843</v>
      </c>
      <c r="H203" s="1" t="str">
        <f t="shared" si="3"/>
        <v>APC UPS Symmetra RM</v>
      </c>
    </row>
    <row r="204" spans="1:8">
      <c r="A204" s="1">
        <v>203</v>
      </c>
      <c r="B204" s="1" t="s">
        <v>18311</v>
      </c>
      <c r="C204" s="1" t="s">
        <v>3465</v>
      </c>
      <c r="D204" s="1" t="s">
        <v>4780</v>
      </c>
      <c r="E204" s="1" t="s">
        <v>4845</v>
      </c>
      <c r="F204" s="1" t="s">
        <v>4846</v>
      </c>
      <c r="G204" s="1" t="s">
        <v>4847</v>
      </c>
      <c r="H204" s="1" t="str">
        <f t="shared" si="3"/>
        <v>APC UPS Symmetra RM</v>
      </c>
    </row>
    <row r="205" spans="1:8">
      <c r="A205" s="1">
        <v>204</v>
      </c>
      <c r="B205" s="1" t="s">
        <v>18311</v>
      </c>
      <c r="C205" s="1" t="s">
        <v>3469</v>
      </c>
      <c r="D205" s="1" t="s">
        <v>4780</v>
      </c>
      <c r="E205" s="1" t="s">
        <v>4849</v>
      </c>
      <c r="F205" s="1" t="s">
        <v>4850</v>
      </c>
      <c r="G205" s="1" t="s">
        <v>4851</v>
      </c>
      <c r="H205" s="1" t="str">
        <f t="shared" si="3"/>
        <v>APC UPS Symmetra RM</v>
      </c>
    </row>
    <row r="206" spans="1:8">
      <c r="A206" s="1">
        <v>205</v>
      </c>
      <c r="B206" s="1" t="s">
        <v>18311</v>
      </c>
      <c r="C206" s="1" t="s">
        <v>3473</v>
      </c>
      <c r="D206" s="1" t="s">
        <v>4780</v>
      </c>
      <c r="E206" s="1" t="s">
        <v>4853</v>
      </c>
      <c r="F206" s="1" t="s">
        <v>4854</v>
      </c>
      <c r="G206" s="1" t="s">
        <v>4855</v>
      </c>
      <c r="H206" s="1" t="str">
        <f t="shared" si="3"/>
        <v>APC UPS Symmetra RM</v>
      </c>
    </row>
    <row r="207" spans="1:8">
      <c r="A207" s="1">
        <v>206</v>
      </c>
      <c r="B207" s="1" t="s">
        <v>18311</v>
      </c>
      <c r="C207" s="1" t="s">
        <v>3477</v>
      </c>
      <c r="D207" s="1" t="s">
        <v>4780</v>
      </c>
      <c r="E207" s="1" t="s">
        <v>4857</v>
      </c>
      <c r="F207" s="1" t="s">
        <v>4858</v>
      </c>
      <c r="G207" s="1" t="s">
        <v>4859</v>
      </c>
      <c r="H207" s="1" t="str">
        <f t="shared" si="3"/>
        <v>APC UPS Symmetra RM</v>
      </c>
    </row>
    <row r="208" spans="1:8">
      <c r="A208" s="1">
        <v>207</v>
      </c>
      <c r="B208" s="1" t="s">
        <v>18311</v>
      </c>
      <c r="C208" s="1" t="s">
        <v>3479</v>
      </c>
      <c r="D208" s="1" t="s">
        <v>4780</v>
      </c>
      <c r="E208" s="1" t="s">
        <v>4861</v>
      </c>
      <c r="F208" s="1" t="s">
        <v>4862</v>
      </c>
      <c r="G208" s="1" t="s">
        <v>4863</v>
      </c>
      <c r="H208" s="1" t="str">
        <f t="shared" si="3"/>
        <v>APC UPS Symmetra RM</v>
      </c>
    </row>
    <row r="209" spans="1:8">
      <c r="A209" s="1">
        <v>208</v>
      </c>
      <c r="B209" s="1" t="s">
        <v>18311</v>
      </c>
      <c r="C209" s="1" t="s">
        <v>3481</v>
      </c>
      <c r="D209" s="1" t="s">
        <v>4780</v>
      </c>
      <c r="E209" s="1" t="s">
        <v>4865</v>
      </c>
      <c r="F209" s="1" t="s">
        <v>4866</v>
      </c>
      <c r="G209" s="1" t="s">
        <v>4867</v>
      </c>
      <c r="H209" s="1" t="str">
        <f t="shared" si="3"/>
        <v>APC UPS Symmetra RM</v>
      </c>
    </row>
    <row r="210" spans="1:8">
      <c r="A210" s="1">
        <v>209</v>
      </c>
      <c r="B210" s="1" t="s">
        <v>18312</v>
      </c>
      <c r="C210" s="1" t="s">
        <v>3400</v>
      </c>
      <c r="D210" s="1" t="s">
        <v>4869</v>
      </c>
      <c r="E210" s="1" t="s">
        <v>4870</v>
      </c>
      <c r="F210" s="1" t="s">
        <v>4871</v>
      </c>
      <c r="G210" s="1" t="s">
        <v>4872</v>
      </c>
      <c r="H210" s="1" t="str">
        <f t="shared" si="3"/>
        <v>APC UPS Symmetra RX</v>
      </c>
    </row>
    <row r="211" spans="1:8">
      <c r="A211" s="1">
        <v>210</v>
      </c>
      <c r="B211" s="1" t="s">
        <v>18312</v>
      </c>
      <c r="C211" s="1" t="s">
        <v>3405</v>
      </c>
      <c r="D211" s="1" t="s">
        <v>4869</v>
      </c>
      <c r="E211" s="1" t="s">
        <v>4874</v>
      </c>
      <c r="F211" s="1" t="s">
        <v>4875</v>
      </c>
      <c r="G211" s="1" t="s">
        <v>4876</v>
      </c>
      <c r="H211" s="1" t="str">
        <f t="shared" si="3"/>
        <v>APC UPS Symmetra RX</v>
      </c>
    </row>
    <row r="212" spans="1:8">
      <c r="A212" s="1">
        <v>211</v>
      </c>
      <c r="B212" s="1" t="s">
        <v>18312</v>
      </c>
      <c r="C212" s="1" t="s">
        <v>3409</v>
      </c>
      <c r="D212" s="1" t="s">
        <v>4869</v>
      </c>
      <c r="E212" s="1" t="s">
        <v>4878</v>
      </c>
      <c r="F212" s="1" t="s">
        <v>4879</v>
      </c>
      <c r="G212" s="1" t="s">
        <v>4880</v>
      </c>
      <c r="H212" s="1" t="str">
        <f t="shared" si="3"/>
        <v>APC UPS Symmetra RX</v>
      </c>
    </row>
    <row r="213" spans="1:8">
      <c r="A213" s="1">
        <v>212</v>
      </c>
      <c r="B213" s="1" t="s">
        <v>18312</v>
      </c>
      <c r="C213" s="1" t="s">
        <v>3413</v>
      </c>
      <c r="D213" s="1" t="s">
        <v>4869</v>
      </c>
      <c r="E213" s="1" t="s">
        <v>4882</v>
      </c>
      <c r="F213" s="1" t="s">
        <v>4883</v>
      </c>
      <c r="G213" s="1" t="s">
        <v>4884</v>
      </c>
      <c r="H213" s="1" t="str">
        <f t="shared" si="3"/>
        <v>APC UPS Symmetra RX</v>
      </c>
    </row>
    <row r="214" spans="1:8">
      <c r="A214" s="1">
        <v>213</v>
      </c>
      <c r="B214" s="1" t="s">
        <v>18312</v>
      </c>
      <c r="C214" s="1" t="s">
        <v>3417</v>
      </c>
      <c r="D214" s="1" t="s">
        <v>4869</v>
      </c>
      <c r="E214" s="1" t="s">
        <v>4886</v>
      </c>
      <c r="F214" s="1" t="s">
        <v>4887</v>
      </c>
      <c r="G214" s="1" t="s">
        <v>4888</v>
      </c>
      <c r="H214" s="1" t="str">
        <f t="shared" si="3"/>
        <v>APC UPS Symmetra RX</v>
      </c>
    </row>
    <row r="215" spans="1:8">
      <c r="A215" s="1">
        <v>214</v>
      </c>
      <c r="B215" s="1" t="s">
        <v>18312</v>
      </c>
      <c r="C215" s="1" t="s">
        <v>3421</v>
      </c>
      <c r="D215" s="1" t="s">
        <v>4869</v>
      </c>
      <c r="E215" s="1" t="s">
        <v>4890</v>
      </c>
      <c r="F215" s="1" t="s">
        <v>4891</v>
      </c>
      <c r="G215" s="1" t="s">
        <v>4892</v>
      </c>
      <c r="H215" s="1" t="str">
        <f t="shared" si="3"/>
        <v>APC UPS Symmetra RX</v>
      </c>
    </row>
    <row r="216" spans="1:8">
      <c r="A216" s="1">
        <v>215</v>
      </c>
      <c r="B216" s="1" t="s">
        <v>18312</v>
      </c>
      <c r="C216" s="1" t="s">
        <v>3425</v>
      </c>
      <c r="D216" s="1" t="s">
        <v>4869</v>
      </c>
      <c r="E216" s="1" t="s">
        <v>4894</v>
      </c>
      <c r="F216" s="1" t="s">
        <v>4895</v>
      </c>
      <c r="G216" s="1" t="s">
        <v>4896</v>
      </c>
      <c r="H216" s="1" t="str">
        <f t="shared" si="3"/>
        <v>APC UPS Symmetra RX</v>
      </c>
    </row>
    <row r="217" spans="1:8">
      <c r="A217" s="1">
        <v>216</v>
      </c>
      <c r="B217" s="1" t="s">
        <v>18312</v>
      </c>
      <c r="C217" s="1" t="s">
        <v>3429</v>
      </c>
      <c r="D217" s="1" t="s">
        <v>4869</v>
      </c>
      <c r="E217" s="1" t="s">
        <v>4898</v>
      </c>
      <c r="F217" s="1" t="s">
        <v>4899</v>
      </c>
      <c r="G217" s="1" t="s">
        <v>4900</v>
      </c>
      <c r="H217" s="1" t="str">
        <f t="shared" si="3"/>
        <v>APC UPS Symmetra RX</v>
      </c>
    </row>
    <row r="218" spans="1:8">
      <c r="A218" s="1">
        <v>217</v>
      </c>
      <c r="B218" s="1" t="s">
        <v>18312</v>
      </c>
      <c r="C218" s="1" t="s">
        <v>3433</v>
      </c>
      <c r="D218" s="1" t="s">
        <v>4869</v>
      </c>
      <c r="E218" s="1" t="s">
        <v>4902</v>
      </c>
      <c r="F218" s="1" t="s">
        <v>4903</v>
      </c>
      <c r="G218" s="1" t="s">
        <v>4904</v>
      </c>
      <c r="H218" s="1" t="str">
        <f t="shared" si="3"/>
        <v>APC UPS Symmetra RX</v>
      </c>
    </row>
    <row r="219" spans="1:8">
      <c r="A219" s="1">
        <v>218</v>
      </c>
      <c r="B219" s="1" t="s">
        <v>18312</v>
      </c>
      <c r="C219" s="1" t="s">
        <v>3437</v>
      </c>
      <c r="D219" s="1" t="s">
        <v>4869</v>
      </c>
      <c r="E219" s="1" t="s">
        <v>4906</v>
      </c>
      <c r="F219" s="1" t="s">
        <v>4907</v>
      </c>
      <c r="G219" s="1" t="s">
        <v>4908</v>
      </c>
      <c r="H219" s="1" t="str">
        <f t="shared" si="3"/>
        <v>APC UPS Symmetra RX</v>
      </c>
    </row>
    <row r="220" spans="1:8">
      <c r="A220" s="1">
        <v>219</v>
      </c>
      <c r="B220" s="1" t="s">
        <v>18312</v>
      </c>
      <c r="C220" s="1" t="s">
        <v>3441</v>
      </c>
      <c r="D220" s="1" t="s">
        <v>4869</v>
      </c>
      <c r="E220" s="1" t="s">
        <v>4910</v>
      </c>
      <c r="F220" s="1" t="s">
        <v>4911</v>
      </c>
      <c r="G220" s="1" t="s">
        <v>4912</v>
      </c>
      <c r="H220" s="1" t="str">
        <f t="shared" si="3"/>
        <v>APC UPS Symmetra RX</v>
      </c>
    </row>
    <row r="221" spans="1:8">
      <c r="A221" s="1">
        <v>220</v>
      </c>
      <c r="B221" s="1" t="s">
        <v>18312</v>
      </c>
      <c r="C221" s="1" t="s">
        <v>3445</v>
      </c>
      <c r="D221" s="1" t="s">
        <v>4869</v>
      </c>
      <c r="E221" s="1" t="s">
        <v>4914</v>
      </c>
      <c r="F221" s="1" t="s">
        <v>4915</v>
      </c>
      <c r="G221" s="1" t="s">
        <v>4916</v>
      </c>
      <c r="H221" s="1" t="str">
        <f t="shared" si="3"/>
        <v>APC UPS Symmetra RX</v>
      </c>
    </row>
    <row r="222" spans="1:8">
      <c r="A222" s="1">
        <v>221</v>
      </c>
      <c r="B222" s="1" t="s">
        <v>18312</v>
      </c>
      <c r="C222" s="1" t="s">
        <v>3449</v>
      </c>
      <c r="D222" s="1" t="s">
        <v>4869</v>
      </c>
      <c r="E222" s="1" t="s">
        <v>4918</v>
      </c>
      <c r="F222" s="1" t="s">
        <v>4919</v>
      </c>
      <c r="G222" s="1" t="s">
        <v>4920</v>
      </c>
      <c r="H222" s="1" t="str">
        <f t="shared" si="3"/>
        <v>APC UPS Symmetra RX</v>
      </c>
    </row>
    <row r="223" spans="1:8">
      <c r="A223" s="1">
        <v>222</v>
      </c>
      <c r="B223" s="1" t="s">
        <v>18312</v>
      </c>
      <c r="C223" s="1" t="s">
        <v>3453</v>
      </c>
      <c r="D223" s="1" t="s">
        <v>4869</v>
      </c>
      <c r="E223" s="1" t="s">
        <v>4922</v>
      </c>
      <c r="F223" s="1" t="s">
        <v>4923</v>
      </c>
      <c r="G223" s="1" t="s">
        <v>4924</v>
      </c>
      <c r="H223" s="1" t="str">
        <f t="shared" si="3"/>
        <v>APC UPS Symmetra RX</v>
      </c>
    </row>
    <row r="224" spans="1:8">
      <c r="A224" s="1">
        <v>223</v>
      </c>
      <c r="B224" s="1" t="s">
        <v>18312</v>
      </c>
      <c r="C224" s="1" t="s">
        <v>3457</v>
      </c>
      <c r="D224" s="1" t="s">
        <v>4869</v>
      </c>
      <c r="E224" s="1" t="s">
        <v>4926</v>
      </c>
      <c r="F224" s="1" t="s">
        <v>4927</v>
      </c>
      <c r="G224" s="1" t="s">
        <v>4928</v>
      </c>
      <c r="H224" s="1" t="str">
        <f t="shared" si="3"/>
        <v>APC UPS Symmetra RX</v>
      </c>
    </row>
    <row r="225" spans="1:8">
      <c r="A225" s="1">
        <v>224</v>
      </c>
      <c r="B225" s="1" t="s">
        <v>18312</v>
      </c>
      <c r="C225" s="1" t="s">
        <v>3461</v>
      </c>
      <c r="D225" s="1" t="s">
        <v>4869</v>
      </c>
      <c r="E225" s="1" t="s">
        <v>4930</v>
      </c>
      <c r="F225" s="1" t="s">
        <v>4931</v>
      </c>
      <c r="G225" s="1" t="s">
        <v>4932</v>
      </c>
      <c r="H225" s="1" t="str">
        <f t="shared" si="3"/>
        <v>APC UPS Symmetra RX</v>
      </c>
    </row>
    <row r="226" spans="1:8">
      <c r="A226" s="1">
        <v>225</v>
      </c>
      <c r="B226" s="1" t="s">
        <v>18312</v>
      </c>
      <c r="C226" s="1" t="s">
        <v>3465</v>
      </c>
      <c r="D226" s="1" t="s">
        <v>4869</v>
      </c>
      <c r="E226" s="1" t="s">
        <v>4934</v>
      </c>
      <c r="F226" s="1" t="s">
        <v>4935</v>
      </c>
      <c r="G226" s="1" t="s">
        <v>4936</v>
      </c>
      <c r="H226" s="1" t="str">
        <f t="shared" si="3"/>
        <v>APC UPS Symmetra RX</v>
      </c>
    </row>
    <row r="227" spans="1:8">
      <c r="A227" s="1">
        <v>226</v>
      </c>
      <c r="B227" s="1" t="s">
        <v>18312</v>
      </c>
      <c r="C227" s="1" t="s">
        <v>3469</v>
      </c>
      <c r="D227" s="1" t="s">
        <v>4869</v>
      </c>
      <c r="E227" s="1" t="s">
        <v>4938</v>
      </c>
      <c r="F227" s="1" t="s">
        <v>4939</v>
      </c>
      <c r="G227" s="1" t="s">
        <v>4940</v>
      </c>
      <c r="H227" s="1" t="str">
        <f t="shared" si="3"/>
        <v>APC UPS Symmetra RX</v>
      </c>
    </row>
    <row r="228" spans="1:8">
      <c r="A228" s="1">
        <v>227</v>
      </c>
      <c r="B228" s="1" t="s">
        <v>18312</v>
      </c>
      <c r="C228" s="1" t="s">
        <v>3473</v>
      </c>
      <c r="D228" s="1" t="s">
        <v>4869</v>
      </c>
      <c r="E228" s="1" t="s">
        <v>4942</v>
      </c>
      <c r="F228" s="1" t="s">
        <v>4943</v>
      </c>
      <c r="G228" s="1" t="s">
        <v>4944</v>
      </c>
      <c r="H228" s="1" t="str">
        <f t="shared" si="3"/>
        <v>APC UPS Symmetra RX</v>
      </c>
    </row>
    <row r="229" spans="1:8">
      <c r="A229" s="1">
        <v>228</v>
      </c>
      <c r="B229" s="1" t="s">
        <v>18312</v>
      </c>
      <c r="C229" s="1" t="s">
        <v>3477</v>
      </c>
      <c r="D229" s="1" t="s">
        <v>4869</v>
      </c>
      <c r="E229" s="1" t="s">
        <v>4946</v>
      </c>
      <c r="F229" s="1" t="s">
        <v>4947</v>
      </c>
      <c r="G229" s="1" t="s">
        <v>4948</v>
      </c>
      <c r="H229" s="1" t="str">
        <f t="shared" si="3"/>
        <v>APC UPS Symmetra RX</v>
      </c>
    </row>
    <row r="230" spans="1:8">
      <c r="A230" s="1">
        <v>229</v>
      </c>
      <c r="B230" s="1" t="s">
        <v>18312</v>
      </c>
      <c r="C230" s="1" t="s">
        <v>3479</v>
      </c>
      <c r="D230" s="1" t="s">
        <v>4869</v>
      </c>
      <c r="E230" s="1" t="s">
        <v>4950</v>
      </c>
      <c r="F230" s="1" t="s">
        <v>4951</v>
      </c>
      <c r="G230" s="1" t="s">
        <v>4952</v>
      </c>
      <c r="H230" s="1" t="str">
        <f t="shared" si="3"/>
        <v>APC UPS Symmetra RX</v>
      </c>
    </row>
    <row r="231" spans="1:8">
      <c r="A231" s="1">
        <v>230</v>
      </c>
      <c r="B231" s="1" t="s">
        <v>18312</v>
      </c>
      <c r="C231" s="1" t="s">
        <v>3481</v>
      </c>
      <c r="D231" s="1" t="s">
        <v>4869</v>
      </c>
      <c r="E231" s="1" t="s">
        <v>4954</v>
      </c>
      <c r="F231" s="1" t="s">
        <v>4955</v>
      </c>
      <c r="G231" s="1" t="s">
        <v>4956</v>
      </c>
      <c r="H231" s="1" t="str">
        <f t="shared" si="3"/>
        <v>APC UPS Symmetra RX</v>
      </c>
    </row>
    <row r="232" spans="1:8">
      <c r="A232" s="1">
        <v>231</v>
      </c>
      <c r="B232" s="1" t="s">
        <v>18313</v>
      </c>
      <c r="C232" s="1" t="s">
        <v>3400</v>
      </c>
      <c r="D232" s="1" t="s">
        <v>4958</v>
      </c>
      <c r="E232" s="1" t="s">
        <v>4959</v>
      </c>
      <c r="F232" s="1" t="s">
        <v>4960</v>
      </c>
      <c r="G232" s="1" t="s">
        <v>4961</v>
      </c>
      <c r="H232" s="1" t="str">
        <f t="shared" si="3"/>
        <v>APC UPS</v>
      </c>
    </row>
    <row r="233" spans="1:8">
      <c r="A233" s="1">
        <v>232</v>
      </c>
      <c r="B233" s="1" t="s">
        <v>18313</v>
      </c>
      <c r="C233" s="1" t="s">
        <v>3405</v>
      </c>
      <c r="D233" s="1" t="s">
        <v>4958</v>
      </c>
      <c r="E233" s="1" t="s">
        <v>3601</v>
      </c>
      <c r="F233" s="1" t="s">
        <v>4963</v>
      </c>
      <c r="G233" s="1" t="s">
        <v>4964</v>
      </c>
      <c r="H233" s="1" t="str">
        <f t="shared" si="3"/>
        <v>APC UPS</v>
      </c>
    </row>
    <row r="234" spans="1:8">
      <c r="A234" s="1">
        <v>233</v>
      </c>
      <c r="B234" s="1" t="s">
        <v>18313</v>
      </c>
      <c r="C234" s="1" t="s">
        <v>3409</v>
      </c>
      <c r="D234" s="1" t="s">
        <v>4958</v>
      </c>
      <c r="E234" s="1" t="s">
        <v>4966</v>
      </c>
      <c r="F234" s="1" t="s">
        <v>4967</v>
      </c>
      <c r="G234" s="1" t="s">
        <v>4968</v>
      </c>
      <c r="H234" s="1" t="str">
        <f t="shared" si="3"/>
        <v>APC UPS</v>
      </c>
    </row>
    <row r="235" spans="1:8">
      <c r="A235" s="1">
        <v>234</v>
      </c>
      <c r="B235" s="1" t="s">
        <v>18313</v>
      </c>
      <c r="C235" s="1" t="s">
        <v>3413</v>
      </c>
      <c r="D235" s="1" t="s">
        <v>4958</v>
      </c>
      <c r="E235" s="1" t="s">
        <v>4970</v>
      </c>
      <c r="F235" s="1" t="s">
        <v>4971</v>
      </c>
      <c r="G235" s="1" t="s">
        <v>4972</v>
      </c>
      <c r="H235" s="1" t="str">
        <f t="shared" si="3"/>
        <v>APC UPS</v>
      </c>
    </row>
    <row r="236" spans="1:8">
      <c r="A236" s="1">
        <v>235</v>
      </c>
      <c r="B236" s="1" t="s">
        <v>18313</v>
      </c>
      <c r="C236" s="1" t="s">
        <v>3417</v>
      </c>
      <c r="D236" s="1" t="s">
        <v>4958</v>
      </c>
      <c r="E236" s="1" t="s">
        <v>4974</v>
      </c>
      <c r="F236" s="1" t="s">
        <v>4975</v>
      </c>
      <c r="G236" s="1" t="s">
        <v>4976</v>
      </c>
      <c r="H236" s="1" t="str">
        <f t="shared" si="3"/>
        <v>APC UPS</v>
      </c>
    </row>
    <row r="237" spans="1:8">
      <c r="A237" s="1">
        <v>236</v>
      </c>
      <c r="B237" s="1" t="s">
        <v>18313</v>
      </c>
      <c r="C237" s="1" t="s">
        <v>3421</v>
      </c>
      <c r="D237" s="1" t="s">
        <v>4958</v>
      </c>
      <c r="E237" s="1" t="s">
        <v>4978</v>
      </c>
      <c r="F237" s="1" t="s">
        <v>4979</v>
      </c>
      <c r="G237" s="1" t="s">
        <v>4980</v>
      </c>
      <c r="H237" s="1" t="str">
        <f t="shared" si="3"/>
        <v>APC UPS</v>
      </c>
    </row>
    <row r="238" spans="1:8">
      <c r="A238" s="1">
        <v>237</v>
      </c>
      <c r="B238" s="1" t="s">
        <v>18313</v>
      </c>
      <c r="C238" s="1" t="s">
        <v>3425</v>
      </c>
      <c r="D238" s="1" t="s">
        <v>4958</v>
      </c>
      <c r="E238" s="1" t="s">
        <v>4982</v>
      </c>
      <c r="F238" s="1" t="s">
        <v>4983</v>
      </c>
      <c r="G238" s="1" t="s">
        <v>4984</v>
      </c>
      <c r="H238" s="1" t="str">
        <f t="shared" si="3"/>
        <v>APC UPS</v>
      </c>
    </row>
    <row r="239" spans="1:8">
      <c r="A239" s="1">
        <v>238</v>
      </c>
      <c r="B239" s="1" t="s">
        <v>18313</v>
      </c>
      <c r="C239" s="1" t="s">
        <v>3429</v>
      </c>
      <c r="D239" s="1" t="s">
        <v>4958</v>
      </c>
      <c r="E239" s="1" t="s">
        <v>4986</v>
      </c>
      <c r="F239" s="1" t="s">
        <v>4987</v>
      </c>
      <c r="G239" s="1" t="s">
        <v>4988</v>
      </c>
      <c r="H239" s="1" t="str">
        <f t="shared" si="3"/>
        <v>APC UPS</v>
      </c>
    </row>
    <row r="240" spans="1:8">
      <c r="A240" s="1">
        <v>239</v>
      </c>
      <c r="B240" s="1" t="s">
        <v>18313</v>
      </c>
      <c r="C240" s="1" t="s">
        <v>3433</v>
      </c>
      <c r="D240" s="1" t="s">
        <v>4958</v>
      </c>
      <c r="E240" s="1" t="s">
        <v>4990</v>
      </c>
      <c r="F240" s="1" t="s">
        <v>4991</v>
      </c>
      <c r="G240" s="1" t="s">
        <v>4992</v>
      </c>
      <c r="H240" s="1" t="str">
        <f t="shared" si="3"/>
        <v>APC UPS</v>
      </c>
    </row>
    <row r="241" spans="1:8">
      <c r="A241" s="1">
        <v>240</v>
      </c>
      <c r="B241" s="1" t="s">
        <v>18313</v>
      </c>
      <c r="C241" s="1" t="s">
        <v>3437</v>
      </c>
      <c r="D241" s="1" t="s">
        <v>4958</v>
      </c>
      <c r="E241" s="1" t="s">
        <v>4994</v>
      </c>
      <c r="F241" s="1" t="s">
        <v>4995</v>
      </c>
      <c r="G241" s="1" t="s">
        <v>4996</v>
      </c>
      <c r="H241" s="1" t="str">
        <f t="shared" si="3"/>
        <v>APC UPS</v>
      </c>
    </row>
    <row r="242" spans="1:8">
      <c r="A242" s="1">
        <v>241</v>
      </c>
      <c r="B242" s="1" t="s">
        <v>18313</v>
      </c>
      <c r="C242" s="1" t="s">
        <v>3441</v>
      </c>
      <c r="D242" s="1" t="s">
        <v>4958</v>
      </c>
      <c r="E242" s="1" t="s">
        <v>3649</v>
      </c>
      <c r="F242" s="1" t="s">
        <v>4998</v>
      </c>
      <c r="G242" s="1" t="s">
        <v>4999</v>
      </c>
      <c r="H242" s="1" t="str">
        <f t="shared" si="3"/>
        <v>APC UPS</v>
      </c>
    </row>
    <row r="243" spans="1:8">
      <c r="A243" s="1">
        <v>242</v>
      </c>
      <c r="B243" s="1" t="s">
        <v>18313</v>
      </c>
      <c r="C243" s="1" t="s">
        <v>3445</v>
      </c>
      <c r="D243" s="1" t="s">
        <v>4958</v>
      </c>
      <c r="E243" s="1" t="s">
        <v>5001</v>
      </c>
      <c r="F243" s="1" t="s">
        <v>5002</v>
      </c>
      <c r="G243" s="1" t="s">
        <v>5003</v>
      </c>
      <c r="H243" s="1" t="str">
        <f t="shared" si="3"/>
        <v>APC UPS</v>
      </c>
    </row>
    <row r="244" spans="1:8">
      <c r="A244" s="1">
        <v>243</v>
      </c>
      <c r="B244" s="1" t="s">
        <v>18313</v>
      </c>
      <c r="C244" s="1" t="s">
        <v>3449</v>
      </c>
      <c r="D244" s="1" t="s">
        <v>4958</v>
      </c>
      <c r="E244" s="1" t="s">
        <v>5005</v>
      </c>
      <c r="F244" s="1" t="s">
        <v>5006</v>
      </c>
      <c r="G244" s="1" t="s">
        <v>5007</v>
      </c>
      <c r="H244" s="1" t="str">
        <f t="shared" si="3"/>
        <v>APC UPS</v>
      </c>
    </row>
    <row r="245" spans="1:8">
      <c r="A245" s="1">
        <v>244</v>
      </c>
      <c r="B245" s="1" t="s">
        <v>18313</v>
      </c>
      <c r="C245" s="1" t="s">
        <v>3453</v>
      </c>
      <c r="D245" s="1" t="s">
        <v>4958</v>
      </c>
      <c r="E245" s="1" t="s">
        <v>3653</v>
      </c>
      <c r="F245" s="1" t="s">
        <v>5009</v>
      </c>
      <c r="G245" s="1" t="s">
        <v>5010</v>
      </c>
      <c r="H245" s="1" t="str">
        <f t="shared" si="3"/>
        <v>APC UPS</v>
      </c>
    </row>
    <row r="246" spans="1:8">
      <c r="A246" s="1">
        <v>245</v>
      </c>
      <c r="B246" s="1" t="s">
        <v>18313</v>
      </c>
      <c r="C246" s="1" t="s">
        <v>3457</v>
      </c>
      <c r="D246" s="1" t="s">
        <v>4958</v>
      </c>
      <c r="E246" s="1" t="s">
        <v>3654</v>
      </c>
      <c r="F246" s="1" t="s">
        <v>5012</v>
      </c>
      <c r="G246" s="1" t="s">
        <v>5013</v>
      </c>
      <c r="H246" s="1" t="str">
        <f t="shared" si="3"/>
        <v>APC UPS</v>
      </c>
    </row>
    <row r="247" spans="1:8">
      <c r="A247" s="1">
        <v>246</v>
      </c>
      <c r="B247" s="1" t="s">
        <v>18313</v>
      </c>
      <c r="C247" s="1" t="s">
        <v>3461</v>
      </c>
      <c r="D247" s="1" t="s">
        <v>4958</v>
      </c>
      <c r="E247" s="1" t="s">
        <v>3655</v>
      </c>
      <c r="F247" s="1" t="s">
        <v>5015</v>
      </c>
      <c r="G247" s="1" t="s">
        <v>5016</v>
      </c>
      <c r="H247" s="1" t="str">
        <f t="shared" si="3"/>
        <v>APC UPS</v>
      </c>
    </row>
    <row r="248" spans="1:8">
      <c r="A248" s="1">
        <v>247</v>
      </c>
      <c r="B248" s="1" t="s">
        <v>18313</v>
      </c>
      <c r="C248" s="1" t="s">
        <v>3465</v>
      </c>
      <c r="D248" s="1" t="s">
        <v>4958</v>
      </c>
      <c r="E248" s="1" t="s">
        <v>3656</v>
      </c>
      <c r="F248" s="1" t="s">
        <v>5018</v>
      </c>
      <c r="G248" s="1" t="s">
        <v>5019</v>
      </c>
      <c r="H248" s="1" t="str">
        <f t="shared" si="3"/>
        <v>APC UPS</v>
      </c>
    </row>
    <row r="249" spans="1:8">
      <c r="A249" s="1">
        <v>248</v>
      </c>
      <c r="B249" s="1" t="s">
        <v>18313</v>
      </c>
      <c r="C249" s="1" t="s">
        <v>3469</v>
      </c>
      <c r="D249" s="1" t="s">
        <v>4958</v>
      </c>
      <c r="E249" s="1" t="s">
        <v>3657</v>
      </c>
      <c r="F249" s="1" t="s">
        <v>5021</v>
      </c>
      <c r="G249" s="1" t="s">
        <v>5022</v>
      </c>
      <c r="H249" s="1" t="str">
        <f t="shared" si="3"/>
        <v>APC UPS</v>
      </c>
    </row>
    <row r="250" spans="1:8">
      <c r="A250" s="1">
        <v>249</v>
      </c>
      <c r="B250" s="1" t="s">
        <v>18313</v>
      </c>
      <c r="C250" s="1" t="s">
        <v>3473</v>
      </c>
      <c r="D250" s="1" t="s">
        <v>4958</v>
      </c>
      <c r="E250" s="1" t="s">
        <v>5024</v>
      </c>
      <c r="F250" s="1" t="s">
        <v>5025</v>
      </c>
      <c r="G250" s="1" t="s">
        <v>5026</v>
      </c>
      <c r="H250" s="1" t="str">
        <f t="shared" si="3"/>
        <v>APC UPS</v>
      </c>
    </row>
    <row r="251" spans="1:8">
      <c r="A251" s="1">
        <v>250</v>
      </c>
      <c r="B251" s="1" t="s">
        <v>18313</v>
      </c>
      <c r="C251" s="1" t="s">
        <v>3477</v>
      </c>
      <c r="D251" s="1" t="s">
        <v>4958</v>
      </c>
      <c r="E251" s="1" t="s">
        <v>3658</v>
      </c>
      <c r="F251" s="1" t="s">
        <v>5028</v>
      </c>
      <c r="G251" s="1" t="s">
        <v>5029</v>
      </c>
      <c r="H251" s="1" t="str">
        <f t="shared" si="3"/>
        <v>APC UPS</v>
      </c>
    </row>
    <row r="252" spans="1:8">
      <c r="A252" s="1">
        <v>251</v>
      </c>
      <c r="B252" s="1" t="s">
        <v>18313</v>
      </c>
      <c r="C252" s="1" t="s">
        <v>3479</v>
      </c>
      <c r="D252" s="1" t="s">
        <v>4958</v>
      </c>
      <c r="E252" s="1" t="s">
        <v>5031</v>
      </c>
      <c r="F252" s="1" t="s">
        <v>5032</v>
      </c>
      <c r="G252" s="1" t="s">
        <v>5033</v>
      </c>
      <c r="H252" s="1" t="str">
        <f t="shared" si="3"/>
        <v>APC UPS</v>
      </c>
    </row>
    <row r="253" spans="1:8">
      <c r="A253" s="1">
        <v>252</v>
      </c>
      <c r="B253" s="1" t="s">
        <v>18313</v>
      </c>
      <c r="C253" s="1" t="s">
        <v>3481</v>
      </c>
      <c r="D253" s="1" t="s">
        <v>4958</v>
      </c>
      <c r="E253" s="1" t="s">
        <v>5035</v>
      </c>
      <c r="F253" s="1" t="s">
        <v>5036</v>
      </c>
      <c r="G253" s="1" t="s">
        <v>5037</v>
      </c>
      <c r="H253" s="1" t="str">
        <f t="shared" si="3"/>
        <v>APC UPS</v>
      </c>
    </row>
    <row r="254" spans="1:8">
      <c r="A254" s="1">
        <v>253</v>
      </c>
      <c r="B254" s="1" t="s">
        <v>18314</v>
      </c>
      <c r="C254" s="1" t="s">
        <v>131</v>
      </c>
      <c r="D254" s="1" t="s">
        <v>5039</v>
      </c>
      <c r="E254" s="1" t="s">
        <v>12588</v>
      </c>
      <c r="F254" s="1" t="s">
        <v>5041</v>
      </c>
      <c r="G254" s="1" t="s">
        <v>5042</v>
      </c>
      <c r="H254" s="1" t="str">
        <f t="shared" si="3"/>
        <v>AWS EC2</v>
      </c>
    </row>
    <row r="255" spans="1:8">
      <c r="A255" s="1">
        <v>254</v>
      </c>
      <c r="B255" s="1" t="s">
        <v>18314</v>
      </c>
      <c r="C255" s="1" t="s">
        <v>136</v>
      </c>
      <c r="D255" s="1" t="s">
        <v>5039</v>
      </c>
      <c r="E255" s="1" t="s">
        <v>12584</v>
      </c>
      <c r="F255" s="1" t="s">
        <v>5045</v>
      </c>
      <c r="G255" s="1" t="s">
        <v>5046</v>
      </c>
      <c r="H255" s="1" t="str">
        <f t="shared" si="3"/>
        <v>AWS EC2</v>
      </c>
    </row>
    <row r="256" spans="1:8">
      <c r="A256" s="1">
        <v>255</v>
      </c>
      <c r="B256" s="1" t="s">
        <v>18314</v>
      </c>
      <c r="C256" s="1" t="s">
        <v>138</v>
      </c>
      <c r="D256" s="1" t="s">
        <v>5039</v>
      </c>
      <c r="E256" s="1" t="s">
        <v>12586</v>
      </c>
      <c r="F256" s="1" t="s">
        <v>5049</v>
      </c>
      <c r="G256" s="1" t="s">
        <v>5050</v>
      </c>
      <c r="H256" s="1" t="str">
        <f t="shared" si="3"/>
        <v>AWS EC2</v>
      </c>
    </row>
    <row r="257" spans="1:8">
      <c r="A257" s="1">
        <v>256</v>
      </c>
      <c r="B257" s="1" t="s">
        <v>18314</v>
      </c>
      <c r="C257" s="1" t="s">
        <v>140</v>
      </c>
      <c r="D257" s="1" t="s">
        <v>5039</v>
      </c>
      <c r="E257" s="1" t="s">
        <v>12590</v>
      </c>
      <c r="F257" s="1" t="s">
        <v>5053</v>
      </c>
      <c r="G257" s="1" t="s">
        <v>5054</v>
      </c>
      <c r="H257" s="1" t="str">
        <f t="shared" si="3"/>
        <v>AWS EC2</v>
      </c>
    </row>
    <row r="258" spans="1:8">
      <c r="A258" s="1">
        <v>257</v>
      </c>
      <c r="B258" s="1" t="s">
        <v>18314</v>
      </c>
      <c r="C258" s="1" t="s">
        <v>142</v>
      </c>
      <c r="D258" s="1" t="s">
        <v>5039</v>
      </c>
      <c r="E258" s="1" t="s">
        <v>12592</v>
      </c>
      <c r="F258" s="1" t="s">
        <v>5057</v>
      </c>
      <c r="G258" s="1" t="s">
        <v>5058</v>
      </c>
      <c r="H258" s="1" t="str">
        <f t="shared" ref="H258:H321" si="4">IFERROR(IF(OR(MID(G258,FIND(":",G258)-1,1)="""",MID(G258,FIND(":",G258)-1,1)="}",MID(G258,FIND(":",G258)-1,1)=")",MID(G258,FIND(":",G258)-1,1)="]"),"",LEFT(F258,FIND(":",F258)-1)),"")</f>
        <v>AWS EC2</v>
      </c>
    </row>
    <row r="259" spans="1:8">
      <c r="A259" s="1">
        <v>258</v>
      </c>
      <c r="B259" s="1" t="s">
        <v>18314</v>
      </c>
      <c r="C259" s="1" t="s">
        <v>144</v>
      </c>
      <c r="D259" s="1" t="s">
        <v>5039</v>
      </c>
      <c r="E259" s="1" t="s">
        <v>12582</v>
      </c>
      <c r="F259" s="1" t="s">
        <v>5061</v>
      </c>
      <c r="G259" s="1" t="s">
        <v>5062</v>
      </c>
      <c r="H259" s="1" t="str">
        <f t="shared" si="4"/>
        <v>AWS EC2</v>
      </c>
    </row>
    <row r="260" spans="1:8">
      <c r="A260" s="1">
        <v>259</v>
      </c>
      <c r="B260" s="1" t="s">
        <v>18314</v>
      </c>
      <c r="C260" s="1" t="s">
        <v>146</v>
      </c>
      <c r="D260" s="1" t="s">
        <v>5039</v>
      </c>
      <c r="E260" s="1" t="s">
        <v>12594</v>
      </c>
      <c r="F260" s="1" t="s">
        <v>5065</v>
      </c>
      <c r="G260" s="1" t="s">
        <v>5066</v>
      </c>
      <c r="H260" s="1" t="str">
        <f t="shared" si="4"/>
        <v>AWS EC2</v>
      </c>
    </row>
    <row r="261" spans="1:8">
      <c r="A261" s="1">
        <v>260</v>
      </c>
      <c r="B261" s="1" t="s">
        <v>18314</v>
      </c>
      <c r="C261" s="1" t="s">
        <v>148</v>
      </c>
      <c r="D261" s="1" t="s">
        <v>5039</v>
      </c>
      <c r="E261" s="1" t="s">
        <v>12600</v>
      </c>
      <c r="F261" s="1" t="s">
        <v>5069</v>
      </c>
      <c r="G261" s="1" t="s">
        <v>5070</v>
      </c>
      <c r="H261" s="1" t="str">
        <f t="shared" si="4"/>
        <v>AWS EC2</v>
      </c>
    </row>
    <row r="262" spans="1:8">
      <c r="A262" s="1">
        <v>261</v>
      </c>
      <c r="B262" s="1" t="s">
        <v>18314</v>
      </c>
      <c r="C262" s="1" t="s">
        <v>150</v>
      </c>
      <c r="D262" s="1" t="s">
        <v>5039</v>
      </c>
      <c r="E262" s="1" t="s">
        <v>12596</v>
      </c>
      <c r="F262" s="1" t="s">
        <v>5073</v>
      </c>
      <c r="G262" s="1" t="s">
        <v>5074</v>
      </c>
      <c r="H262" s="1" t="str">
        <f t="shared" si="4"/>
        <v>AWS EC2</v>
      </c>
    </row>
    <row r="263" spans="1:8">
      <c r="A263" s="1">
        <v>262</v>
      </c>
      <c r="B263" s="1" t="s">
        <v>18314</v>
      </c>
      <c r="C263" s="1" t="s">
        <v>152</v>
      </c>
      <c r="D263" s="1" t="s">
        <v>5039</v>
      </c>
      <c r="E263" s="1" t="s">
        <v>12598</v>
      </c>
      <c r="F263" s="1" t="s">
        <v>5077</v>
      </c>
      <c r="G263" s="1" t="s">
        <v>5078</v>
      </c>
      <c r="H263" s="1" t="str">
        <f t="shared" si="4"/>
        <v>AWS EC2</v>
      </c>
    </row>
    <row r="264" spans="1:8">
      <c r="A264" s="1">
        <v>263</v>
      </c>
      <c r="B264" s="1" t="s">
        <v>18315</v>
      </c>
      <c r="C264" s="1" t="s">
        <v>267</v>
      </c>
      <c r="D264" s="1" t="s">
        <v>5080</v>
      </c>
      <c r="E264" s="1" t="s">
        <v>7433</v>
      </c>
      <c r="F264" s="1" t="s">
        <v>5082</v>
      </c>
      <c r="G264" s="1" t="s">
        <v>5083</v>
      </c>
      <c r="H264" s="1" t="str">
        <f t="shared" si="4"/>
        <v>AWS ECS Cluster</v>
      </c>
    </row>
    <row r="265" spans="1:8">
      <c r="A265" s="1">
        <v>264</v>
      </c>
      <c r="B265" s="1" t="s">
        <v>18315</v>
      </c>
      <c r="C265" s="1" t="s">
        <v>272</v>
      </c>
      <c r="D265" s="1" t="s">
        <v>5080</v>
      </c>
      <c r="E265" s="1" t="s">
        <v>7449</v>
      </c>
      <c r="F265" s="1" t="s">
        <v>5086</v>
      </c>
      <c r="G265" s="1" t="s">
        <v>5087</v>
      </c>
      <c r="H265" s="1" t="str">
        <f t="shared" si="4"/>
        <v>AWS ECS Cluster</v>
      </c>
    </row>
    <row r="266" spans="1:8">
      <c r="A266" s="1">
        <v>265</v>
      </c>
      <c r="B266" s="1" t="s">
        <v>18315</v>
      </c>
      <c r="C266" s="1" t="s">
        <v>276</v>
      </c>
      <c r="D266" s="1" t="s">
        <v>5080</v>
      </c>
      <c r="E266" s="1" t="s">
        <v>7469</v>
      </c>
      <c r="F266" s="1" t="s">
        <v>5090</v>
      </c>
      <c r="G266" s="1" t="s">
        <v>5091</v>
      </c>
      <c r="H266" s="1" t="str">
        <f t="shared" si="4"/>
        <v>AWS ECS Cluster</v>
      </c>
    </row>
    <row r="267" spans="1:8">
      <c r="A267" s="1">
        <v>266</v>
      </c>
      <c r="B267" s="1" t="s">
        <v>18315</v>
      </c>
      <c r="C267" s="1" t="s">
        <v>280</v>
      </c>
      <c r="D267" s="1" t="s">
        <v>5080</v>
      </c>
      <c r="E267" s="1" t="s">
        <v>7453</v>
      </c>
      <c r="F267" s="1" t="s">
        <v>5094</v>
      </c>
      <c r="G267" s="1" t="s">
        <v>5095</v>
      </c>
      <c r="H267" s="1" t="str">
        <f t="shared" si="4"/>
        <v>AWS ECS Cluster</v>
      </c>
    </row>
    <row r="268" spans="1:8">
      <c r="A268" s="1">
        <v>267</v>
      </c>
      <c r="B268" s="1" t="s">
        <v>18316</v>
      </c>
      <c r="C268" s="1" t="s">
        <v>267</v>
      </c>
      <c r="D268" s="1" t="s">
        <v>5097</v>
      </c>
      <c r="E268" s="1" t="s">
        <v>7498</v>
      </c>
      <c r="F268" s="1" t="s">
        <v>5082</v>
      </c>
      <c r="G268" s="1" t="s">
        <v>5083</v>
      </c>
      <c r="H268" s="1" t="str">
        <f t="shared" si="4"/>
        <v>AWS ECS Cluster</v>
      </c>
    </row>
    <row r="269" spans="1:8">
      <c r="A269" s="1">
        <v>268</v>
      </c>
      <c r="B269" s="1" t="s">
        <v>18316</v>
      </c>
      <c r="C269" s="1" t="s">
        <v>272</v>
      </c>
      <c r="D269" s="1" t="s">
        <v>5097</v>
      </c>
      <c r="E269" s="1" t="s">
        <v>7478</v>
      </c>
      <c r="F269" s="1" t="s">
        <v>5086</v>
      </c>
      <c r="G269" s="1" t="s">
        <v>5087</v>
      </c>
      <c r="H269" s="1" t="str">
        <f t="shared" si="4"/>
        <v>AWS ECS Cluster</v>
      </c>
    </row>
    <row r="270" spans="1:8">
      <c r="A270" s="1">
        <v>269</v>
      </c>
      <c r="B270" s="1" t="s">
        <v>18316</v>
      </c>
      <c r="C270" s="1" t="s">
        <v>276</v>
      </c>
      <c r="D270" s="1" t="s">
        <v>5097</v>
      </c>
      <c r="E270" s="1" t="s">
        <v>7482</v>
      </c>
      <c r="F270" s="1" t="s">
        <v>5090</v>
      </c>
      <c r="G270" s="1" t="s">
        <v>5091</v>
      </c>
      <c r="H270" s="1" t="str">
        <f t="shared" si="4"/>
        <v>AWS ECS Cluster</v>
      </c>
    </row>
    <row r="271" spans="1:8">
      <c r="A271" s="1">
        <v>270</v>
      </c>
      <c r="B271" s="1" t="s">
        <v>18316</v>
      </c>
      <c r="C271" s="1" t="s">
        <v>280</v>
      </c>
      <c r="D271" s="1" t="s">
        <v>5097</v>
      </c>
      <c r="E271" s="1" t="s">
        <v>7490</v>
      </c>
      <c r="F271" s="1" t="s">
        <v>5094</v>
      </c>
      <c r="G271" s="1" t="s">
        <v>5095</v>
      </c>
      <c r="H271" s="1" t="str">
        <f t="shared" si="4"/>
        <v>AWS ECS Cluster</v>
      </c>
    </row>
    <row r="272" spans="1:8">
      <c r="A272" s="1">
        <v>271</v>
      </c>
      <c r="B272" s="1" t="s">
        <v>18317</v>
      </c>
      <c r="C272" s="1" t="s">
        <v>267</v>
      </c>
      <c r="D272" s="1" t="s">
        <v>5106</v>
      </c>
      <c r="E272" s="1" t="s">
        <v>18318</v>
      </c>
      <c r="F272" s="1" t="s">
        <v>5108</v>
      </c>
      <c r="G272" s="1" t="s">
        <v>18319</v>
      </c>
      <c r="H272" s="1" t="str">
        <f t="shared" si="4"/>
        <v/>
      </c>
    </row>
    <row r="273" spans="1:8">
      <c r="A273" s="1">
        <v>272</v>
      </c>
      <c r="B273" s="1" t="s">
        <v>18317</v>
      </c>
      <c r="C273" s="1" t="s">
        <v>272</v>
      </c>
      <c r="D273" s="1" t="s">
        <v>5106</v>
      </c>
      <c r="E273" s="1" t="s">
        <v>18320</v>
      </c>
      <c r="F273" s="1" t="s">
        <v>5112</v>
      </c>
      <c r="G273" s="1" t="s">
        <v>18321</v>
      </c>
      <c r="H273" s="1" t="str">
        <f t="shared" si="4"/>
        <v/>
      </c>
    </row>
    <row r="274" spans="1:8">
      <c r="A274" s="1">
        <v>273</v>
      </c>
      <c r="B274" s="1" t="s">
        <v>18317</v>
      </c>
      <c r="C274" s="1" t="s">
        <v>276</v>
      </c>
      <c r="D274" s="1" t="s">
        <v>5106</v>
      </c>
      <c r="E274" s="1" t="s">
        <v>18322</v>
      </c>
      <c r="F274" s="1" t="s">
        <v>5116</v>
      </c>
      <c r="G274" s="1" t="s">
        <v>18323</v>
      </c>
      <c r="H274" s="1" t="str">
        <f t="shared" si="4"/>
        <v/>
      </c>
    </row>
    <row r="275" spans="1:8">
      <c r="A275" s="1">
        <v>274</v>
      </c>
      <c r="B275" s="1" t="s">
        <v>18317</v>
      </c>
      <c r="C275" s="1" t="s">
        <v>280</v>
      </c>
      <c r="D275" s="1" t="s">
        <v>5106</v>
      </c>
      <c r="E275" s="1" t="s">
        <v>18324</v>
      </c>
      <c r="F275" s="1" t="s">
        <v>5120</v>
      </c>
      <c r="G275" s="1" t="s">
        <v>18325</v>
      </c>
      <c r="H275" s="1" t="str">
        <f t="shared" si="4"/>
        <v/>
      </c>
    </row>
    <row r="276" spans="1:8">
      <c r="A276" s="1">
        <v>275</v>
      </c>
      <c r="B276" s="1" t="s">
        <v>18326</v>
      </c>
      <c r="C276" s="1" t="s">
        <v>131</v>
      </c>
      <c r="D276" s="1" t="s">
        <v>5141</v>
      </c>
      <c r="E276" s="1" t="s">
        <v>12635</v>
      </c>
      <c r="F276" s="1" t="s">
        <v>5143</v>
      </c>
      <c r="G276" s="1" t="s">
        <v>5144</v>
      </c>
      <c r="H276" s="1" t="str">
        <f t="shared" si="4"/>
        <v>AWS RDS</v>
      </c>
    </row>
    <row r="277" spans="1:8">
      <c r="A277" s="1">
        <v>276</v>
      </c>
      <c r="B277" s="1" t="s">
        <v>18326</v>
      </c>
      <c r="C277" s="1" t="s">
        <v>136</v>
      </c>
      <c r="D277" s="1" t="s">
        <v>5141</v>
      </c>
      <c r="E277" s="1" t="s">
        <v>12639</v>
      </c>
      <c r="F277" s="1" t="s">
        <v>5147</v>
      </c>
      <c r="G277" s="1" t="s">
        <v>5148</v>
      </c>
      <c r="H277" s="1" t="str">
        <f t="shared" si="4"/>
        <v>AWS RDS</v>
      </c>
    </row>
    <row r="278" spans="1:8">
      <c r="A278" s="1">
        <v>277</v>
      </c>
      <c r="B278" s="1" t="s">
        <v>18326</v>
      </c>
      <c r="C278" s="1" t="s">
        <v>138</v>
      </c>
      <c r="D278" s="1" t="s">
        <v>5141</v>
      </c>
      <c r="E278" s="1" t="s">
        <v>12637</v>
      </c>
      <c r="F278" s="1" t="s">
        <v>5151</v>
      </c>
      <c r="G278" s="1" t="s">
        <v>5152</v>
      </c>
      <c r="H278" s="1" t="str">
        <f t="shared" si="4"/>
        <v>AWS RDS</v>
      </c>
    </row>
    <row r="279" spans="1:8">
      <c r="A279" s="1">
        <v>278</v>
      </c>
      <c r="B279" s="1" t="s">
        <v>18326</v>
      </c>
      <c r="C279" s="1" t="s">
        <v>140</v>
      </c>
      <c r="D279" s="1" t="s">
        <v>5141</v>
      </c>
      <c r="E279" s="1" t="s">
        <v>12641</v>
      </c>
      <c r="F279" s="1" t="s">
        <v>5155</v>
      </c>
      <c r="G279" s="1" t="s">
        <v>5156</v>
      </c>
      <c r="H279" s="1" t="str">
        <f t="shared" si="4"/>
        <v>AWS RDS</v>
      </c>
    </row>
    <row r="280" spans="1:8">
      <c r="A280" s="1">
        <v>279</v>
      </c>
      <c r="B280" s="1" t="s">
        <v>18326</v>
      </c>
      <c r="C280" s="1" t="s">
        <v>142</v>
      </c>
      <c r="D280" s="1" t="s">
        <v>5141</v>
      </c>
      <c r="E280" s="1" t="s">
        <v>12643</v>
      </c>
      <c r="F280" s="1" t="s">
        <v>5159</v>
      </c>
      <c r="G280" s="1" t="s">
        <v>5160</v>
      </c>
      <c r="H280" s="1" t="str">
        <f t="shared" si="4"/>
        <v>AWS RDS</v>
      </c>
    </row>
    <row r="281" spans="1:8">
      <c r="A281" s="1">
        <v>280</v>
      </c>
      <c r="B281" s="1" t="s">
        <v>18326</v>
      </c>
      <c r="C281" s="1" t="s">
        <v>144</v>
      </c>
      <c r="D281" s="1" t="s">
        <v>5141</v>
      </c>
      <c r="E281" s="1" t="s">
        <v>12633</v>
      </c>
      <c r="F281" s="1" t="s">
        <v>5163</v>
      </c>
      <c r="G281" s="1" t="s">
        <v>5164</v>
      </c>
      <c r="H281" s="1" t="str">
        <f t="shared" si="4"/>
        <v>AWS RDS</v>
      </c>
    </row>
    <row r="282" spans="1:8">
      <c r="A282" s="1">
        <v>281</v>
      </c>
      <c r="B282" s="1" t="s">
        <v>18326</v>
      </c>
      <c r="C282" s="1" t="s">
        <v>146</v>
      </c>
      <c r="D282" s="1" t="s">
        <v>5141</v>
      </c>
      <c r="E282" s="1" t="s">
        <v>12645</v>
      </c>
      <c r="F282" s="1" t="s">
        <v>5167</v>
      </c>
      <c r="G282" s="1" t="s">
        <v>5168</v>
      </c>
      <c r="H282" s="1" t="str">
        <f t="shared" si="4"/>
        <v>AWS RDS</v>
      </c>
    </row>
    <row r="283" spans="1:8">
      <c r="A283" s="1">
        <v>282</v>
      </c>
      <c r="B283" s="1" t="s">
        <v>18326</v>
      </c>
      <c r="C283" s="1" t="s">
        <v>148</v>
      </c>
      <c r="D283" s="1" t="s">
        <v>5141</v>
      </c>
      <c r="E283" s="1" t="s">
        <v>12647</v>
      </c>
      <c r="F283" s="1" t="s">
        <v>5171</v>
      </c>
      <c r="G283" s="1" t="s">
        <v>5172</v>
      </c>
      <c r="H283" s="1" t="str">
        <f t="shared" si="4"/>
        <v>AWS RDS</v>
      </c>
    </row>
    <row r="284" spans="1:8">
      <c r="A284" s="1">
        <v>283</v>
      </c>
      <c r="B284" s="1" t="s">
        <v>18326</v>
      </c>
      <c r="C284" s="1" t="s">
        <v>150</v>
      </c>
      <c r="D284" s="1" t="s">
        <v>5141</v>
      </c>
      <c r="E284" s="1" t="s">
        <v>12649</v>
      </c>
      <c r="F284" s="1" t="s">
        <v>5175</v>
      </c>
      <c r="G284" s="1" t="s">
        <v>5176</v>
      </c>
      <c r="H284" s="1" t="str">
        <f t="shared" si="4"/>
        <v>AWS RDS</v>
      </c>
    </row>
    <row r="285" spans="1:8">
      <c r="A285" s="1">
        <v>284</v>
      </c>
      <c r="B285" s="1" t="s">
        <v>18326</v>
      </c>
      <c r="C285" s="1" t="s">
        <v>152</v>
      </c>
      <c r="D285" s="1" t="s">
        <v>5141</v>
      </c>
      <c r="E285" s="1" t="s">
        <v>12651</v>
      </c>
      <c r="F285" s="1" t="s">
        <v>5179</v>
      </c>
      <c r="G285" s="1" t="s">
        <v>5180</v>
      </c>
      <c r="H285" s="1" t="str">
        <f t="shared" si="4"/>
        <v>AWS RDS</v>
      </c>
    </row>
    <row r="286" spans="1:8">
      <c r="A286" s="1">
        <v>285</v>
      </c>
      <c r="B286" s="1" t="s">
        <v>18327</v>
      </c>
      <c r="C286" s="1" t="s">
        <v>201</v>
      </c>
      <c r="D286" s="1" t="s">
        <v>5182</v>
      </c>
      <c r="E286" s="1" t="s">
        <v>12653</v>
      </c>
      <c r="F286" s="1" t="s">
        <v>5184</v>
      </c>
      <c r="G286" s="1" t="s">
        <v>5185</v>
      </c>
      <c r="H286" s="1" t="str">
        <f t="shared" si="4"/>
        <v>AWS S3</v>
      </c>
    </row>
    <row r="287" spans="1:8">
      <c r="A287" s="1">
        <v>286</v>
      </c>
      <c r="B287" s="1" t="s">
        <v>18327</v>
      </c>
      <c r="C287" s="1" t="s">
        <v>206</v>
      </c>
      <c r="D287" s="1" t="s">
        <v>5182</v>
      </c>
      <c r="E287" s="1" t="s">
        <v>12655</v>
      </c>
      <c r="F287" s="1" t="s">
        <v>5188</v>
      </c>
      <c r="G287" s="1" t="s">
        <v>5189</v>
      </c>
      <c r="H287" s="1" t="str">
        <f t="shared" si="4"/>
        <v>AWS S3</v>
      </c>
    </row>
    <row r="288" spans="1:8">
      <c r="A288" s="1">
        <v>287</v>
      </c>
      <c r="B288" s="1" t="s">
        <v>18328</v>
      </c>
      <c r="C288" s="1" t="s">
        <v>93</v>
      </c>
      <c r="D288" s="1" t="s">
        <v>5191</v>
      </c>
      <c r="E288" s="1" t="s">
        <v>1833</v>
      </c>
      <c r="F288" s="1" t="s">
        <v>5192</v>
      </c>
      <c r="G288" s="1" t="s">
        <v>5193</v>
      </c>
      <c r="H288" s="1" t="str">
        <f t="shared" si="4"/>
        <v>Alcatel Timetra TiMOS</v>
      </c>
    </row>
    <row r="289" spans="1:8">
      <c r="A289" s="1">
        <v>288</v>
      </c>
      <c r="B289" s="1" t="s">
        <v>18328</v>
      </c>
      <c r="C289" s="1" t="s">
        <v>98</v>
      </c>
      <c r="D289" s="1" t="s">
        <v>5191</v>
      </c>
      <c r="E289" s="1" t="s">
        <v>5195</v>
      </c>
      <c r="F289" s="1" t="s">
        <v>5196</v>
      </c>
      <c r="G289" s="1" t="s">
        <v>5197</v>
      </c>
      <c r="H289" s="1" t="str">
        <f t="shared" si="4"/>
        <v>Alcatel Timetra TiMOS</v>
      </c>
    </row>
    <row r="290" spans="1:8">
      <c r="A290" s="1">
        <v>289</v>
      </c>
      <c r="B290" s="1" t="s">
        <v>18328</v>
      </c>
      <c r="C290" s="1" t="s">
        <v>102</v>
      </c>
      <c r="D290" s="1" t="s">
        <v>5191</v>
      </c>
      <c r="E290" s="1" t="s">
        <v>5199</v>
      </c>
      <c r="F290" s="1" t="s">
        <v>5200</v>
      </c>
      <c r="G290" s="1" t="s">
        <v>5201</v>
      </c>
      <c r="H290" s="1" t="str">
        <f t="shared" si="4"/>
        <v>Alcatel Timetra TiMOS</v>
      </c>
    </row>
    <row r="291" spans="1:8">
      <c r="A291" s="1">
        <v>290</v>
      </c>
      <c r="B291" s="1" t="s">
        <v>18328</v>
      </c>
      <c r="C291" s="1" t="s">
        <v>106</v>
      </c>
      <c r="D291" s="1" t="s">
        <v>5191</v>
      </c>
      <c r="E291" s="1" t="s">
        <v>5203</v>
      </c>
      <c r="F291" s="1" t="s">
        <v>5204</v>
      </c>
      <c r="G291" s="1" t="s">
        <v>5205</v>
      </c>
      <c r="H291" s="1" t="str">
        <f t="shared" si="4"/>
        <v>Alcatel Timetra TiMOS</v>
      </c>
    </row>
    <row r="292" spans="1:8">
      <c r="A292" s="1">
        <v>291</v>
      </c>
      <c r="B292" s="1" t="s">
        <v>18328</v>
      </c>
      <c r="C292" s="1" t="s">
        <v>110</v>
      </c>
      <c r="D292" s="1" t="s">
        <v>5191</v>
      </c>
      <c r="E292" s="1" t="s">
        <v>69</v>
      </c>
      <c r="F292" s="1" t="s">
        <v>5207</v>
      </c>
      <c r="G292" s="1" t="s">
        <v>5208</v>
      </c>
      <c r="H292" s="1" t="str">
        <f t="shared" si="4"/>
        <v>Alcatel Timetra TiMOS</v>
      </c>
    </row>
    <row r="293" spans="1:8">
      <c r="A293" s="1">
        <v>292</v>
      </c>
      <c r="B293" s="1" t="s">
        <v>18328</v>
      </c>
      <c r="C293" s="1" t="s">
        <v>114</v>
      </c>
      <c r="D293" s="1" t="s">
        <v>5191</v>
      </c>
      <c r="E293" s="1" t="s">
        <v>1834</v>
      </c>
      <c r="F293" s="1" t="s">
        <v>5210</v>
      </c>
      <c r="G293" s="1" t="s">
        <v>5211</v>
      </c>
      <c r="H293" s="1" t="str">
        <f t="shared" si="4"/>
        <v>Alcatel Timetra TiMOS</v>
      </c>
    </row>
    <row r="294" spans="1:8">
      <c r="A294" s="1">
        <v>293</v>
      </c>
      <c r="B294" s="1" t="s">
        <v>18328</v>
      </c>
      <c r="C294" s="1" t="s">
        <v>118</v>
      </c>
      <c r="D294" s="1" t="s">
        <v>5191</v>
      </c>
      <c r="E294" s="1" t="s">
        <v>5213</v>
      </c>
      <c r="F294" s="1" t="s">
        <v>5214</v>
      </c>
      <c r="G294" s="1" t="s">
        <v>5215</v>
      </c>
      <c r="H294" s="1" t="str">
        <f t="shared" si="4"/>
        <v>Alcatel Timetra TiMOS</v>
      </c>
    </row>
    <row r="295" spans="1:8">
      <c r="A295" s="1">
        <v>294</v>
      </c>
      <c r="B295" s="1" t="s">
        <v>18328</v>
      </c>
      <c r="C295" s="1" t="s">
        <v>122</v>
      </c>
      <c r="D295" s="1" t="s">
        <v>5191</v>
      </c>
      <c r="E295" s="1" t="s">
        <v>5217</v>
      </c>
      <c r="F295" s="1" t="s">
        <v>5218</v>
      </c>
      <c r="G295" s="1" t="s">
        <v>5219</v>
      </c>
      <c r="H295" s="1" t="str">
        <f t="shared" si="4"/>
        <v>Alcatel Timetra TiMOS</v>
      </c>
    </row>
    <row r="296" spans="1:8">
      <c r="A296" s="1">
        <v>295</v>
      </c>
      <c r="B296" s="1" t="s">
        <v>18328</v>
      </c>
      <c r="C296" s="1" t="s">
        <v>126</v>
      </c>
      <c r="D296" s="1" t="s">
        <v>5191</v>
      </c>
      <c r="E296" s="1" t="s">
        <v>5221</v>
      </c>
      <c r="F296" s="1" t="s">
        <v>5222</v>
      </c>
      <c r="G296" s="1" t="s">
        <v>5223</v>
      </c>
      <c r="H296" s="1" t="str">
        <f t="shared" si="4"/>
        <v>Alcatel Timetra TiMOS</v>
      </c>
    </row>
    <row r="297" spans="1:8">
      <c r="A297" s="1">
        <v>296</v>
      </c>
      <c r="B297" s="1" t="s">
        <v>18329</v>
      </c>
      <c r="C297" s="1" t="s">
        <v>251</v>
      </c>
      <c r="D297" s="1" t="s">
        <v>5225</v>
      </c>
      <c r="E297" s="1" t="s">
        <v>2656</v>
      </c>
      <c r="F297" s="1" t="s">
        <v>5226</v>
      </c>
      <c r="G297" s="1" t="s">
        <v>5227</v>
      </c>
      <c r="H297" s="1" t="str">
        <f t="shared" si="4"/>
        <v>Apache Cassandra</v>
      </c>
    </row>
    <row r="298" spans="1:8">
      <c r="A298" s="1">
        <v>297</v>
      </c>
      <c r="B298" s="1" t="s">
        <v>18329</v>
      </c>
      <c r="C298" s="1" t="s">
        <v>254</v>
      </c>
      <c r="D298" s="1" t="s">
        <v>5225</v>
      </c>
      <c r="E298" s="1" t="s">
        <v>2642</v>
      </c>
      <c r="F298" s="1" t="s">
        <v>5229</v>
      </c>
      <c r="G298" s="1" t="s">
        <v>5230</v>
      </c>
      <c r="H298" s="1" t="str">
        <f t="shared" si="4"/>
        <v>Apache Cassandra</v>
      </c>
    </row>
    <row r="299" spans="1:8">
      <c r="A299" s="1">
        <v>298</v>
      </c>
      <c r="B299" s="1" t="s">
        <v>18329</v>
      </c>
      <c r="C299" s="1" t="s">
        <v>256</v>
      </c>
      <c r="D299" s="1" t="s">
        <v>5225</v>
      </c>
      <c r="E299" s="1" t="s">
        <v>2646</v>
      </c>
      <c r="F299" s="1" t="s">
        <v>5232</v>
      </c>
      <c r="G299" s="1" t="s">
        <v>5233</v>
      </c>
      <c r="H299" s="1" t="str">
        <f t="shared" si="4"/>
        <v>Apache Cassandra</v>
      </c>
    </row>
    <row r="300" spans="1:8">
      <c r="A300" s="1">
        <v>299</v>
      </c>
      <c r="B300" s="1" t="s">
        <v>18329</v>
      </c>
      <c r="C300" s="1" t="s">
        <v>260</v>
      </c>
      <c r="D300" s="1" t="s">
        <v>5225</v>
      </c>
      <c r="E300" s="1" t="s">
        <v>2648</v>
      </c>
      <c r="F300" s="1" t="s">
        <v>5235</v>
      </c>
      <c r="G300" s="1" t="s">
        <v>5236</v>
      </c>
      <c r="H300" s="1" t="str">
        <f t="shared" si="4"/>
        <v>Apache Cassandra</v>
      </c>
    </row>
    <row r="301" spans="1:8">
      <c r="A301" s="1">
        <v>300</v>
      </c>
      <c r="B301" s="1" t="s">
        <v>18329</v>
      </c>
      <c r="C301" s="1" t="s">
        <v>262</v>
      </c>
      <c r="D301" s="1" t="s">
        <v>5225</v>
      </c>
      <c r="E301" s="1" t="s">
        <v>2652</v>
      </c>
      <c r="F301" s="1" t="s">
        <v>5238</v>
      </c>
      <c r="G301" s="1" t="s">
        <v>5239</v>
      </c>
      <c r="H301" s="1" t="str">
        <f t="shared" si="4"/>
        <v>Apache Cassandra</v>
      </c>
    </row>
    <row r="302" spans="1:8">
      <c r="A302" s="1">
        <v>301</v>
      </c>
      <c r="B302" s="1" t="s">
        <v>18329</v>
      </c>
      <c r="C302" s="1" t="s">
        <v>264</v>
      </c>
      <c r="D302" s="1" t="s">
        <v>5225</v>
      </c>
      <c r="E302" s="1" t="s">
        <v>2638</v>
      </c>
      <c r="F302" s="1" t="s">
        <v>5241</v>
      </c>
      <c r="G302" s="1" t="s">
        <v>5242</v>
      </c>
      <c r="H302" s="1" t="str">
        <f t="shared" si="4"/>
        <v>Apache Cassandra</v>
      </c>
    </row>
    <row r="303" spans="1:8">
      <c r="A303" s="1">
        <v>302</v>
      </c>
      <c r="B303" s="1" t="s">
        <v>18330</v>
      </c>
      <c r="C303" s="1" t="s">
        <v>155</v>
      </c>
      <c r="D303" s="1" t="s">
        <v>5244</v>
      </c>
      <c r="E303" s="1" t="s">
        <v>2505</v>
      </c>
      <c r="F303" s="1" t="s">
        <v>5245</v>
      </c>
      <c r="G303" s="1" t="s">
        <v>5246</v>
      </c>
      <c r="H303" s="1" t="str">
        <f t="shared" si="4"/>
        <v>Kafka</v>
      </c>
    </row>
    <row r="304" spans="1:8">
      <c r="A304" s="1">
        <v>303</v>
      </c>
      <c r="B304" s="1" t="s">
        <v>18330</v>
      </c>
      <c r="C304" s="1" t="s">
        <v>160</v>
      </c>
      <c r="D304" s="1" t="s">
        <v>5244</v>
      </c>
      <c r="E304" s="1" t="s">
        <v>2502</v>
      </c>
      <c r="F304" s="1" t="s">
        <v>5248</v>
      </c>
      <c r="G304" s="1" t="s">
        <v>5249</v>
      </c>
      <c r="H304" s="1" t="str">
        <f t="shared" si="4"/>
        <v>Kafka</v>
      </c>
    </row>
    <row r="305" spans="1:8">
      <c r="A305" s="1">
        <v>304</v>
      </c>
      <c r="B305" s="1" t="s">
        <v>18330</v>
      </c>
      <c r="C305" s="1" t="s">
        <v>164</v>
      </c>
      <c r="D305" s="1" t="s">
        <v>5244</v>
      </c>
      <c r="E305" s="1" t="s">
        <v>2499</v>
      </c>
      <c r="F305" s="1" t="s">
        <v>166</v>
      </c>
      <c r="G305" s="1" t="s">
        <v>167</v>
      </c>
      <c r="H305" s="1" t="str">
        <f t="shared" si="4"/>
        <v>Kafka</v>
      </c>
    </row>
    <row r="306" spans="1:8">
      <c r="A306" s="1">
        <v>305</v>
      </c>
      <c r="B306" s="1" t="s">
        <v>18330</v>
      </c>
      <c r="C306" s="1" t="s">
        <v>168</v>
      </c>
      <c r="D306" s="1" t="s">
        <v>5244</v>
      </c>
      <c r="E306" s="1" t="s">
        <v>2496</v>
      </c>
      <c r="F306" s="1" t="s">
        <v>162</v>
      </c>
      <c r="G306" s="1" t="s">
        <v>163</v>
      </c>
      <c r="H306" s="1" t="str">
        <f t="shared" si="4"/>
        <v>Kafka</v>
      </c>
    </row>
    <row r="307" spans="1:8">
      <c r="A307" s="1">
        <v>306</v>
      </c>
      <c r="B307" s="1" t="s">
        <v>18330</v>
      </c>
      <c r="C307" s="1" t="s">
        <v>172</v>
      </c>
      <c r="D307" s="1" t="s">
        <v>5244</v>
      </c>
      <c r="E307" s="1" t="s">
        <v>2514</v>
      </c>
      <c r="F307" s="1" t="s">
        <v>5253</v>
      </c>
      <c r="G307" s="1" t="s">
        <v>5254</v>
      </c>
      <c r="H307" s="1" t="str">
        <f t="shared" si="4"/>
        <v>Kafka</v>
      </c>
    </row>
    <row r="308" spans="1:8">
      <c r="A308" s="1">
        <v>307</v>
      </c>
      <c r="B308" s="1" t="s">
        <v>18330</v>
      </c>
      <c r="C308" s="1" t="s">
        <v>176</v>
      </c>
      <c r="D308" s="1" t="s">
        <v>5244</v>
      </c>
      <c r="E308" s="1" t="s">
        <v>2493</v>
      </c>
      <c r="F308" s="1" t="s">
        <v>158</v>
      </c>
      <c r="G308" s="1" t="s">
        <v>159</v>
      </c>
      <c r="H308" s="1" t="str">
        <f t="shared" si="4"/>
        <v>Kafka</v>
      </c>
    </row>
    <row r="309" spans="1:8">
      <c r="A309" s="1">
        <v>308</v>
      </c>
      <c r="B309" s="1" t="s">
        <v>18330</v>
      </c>
      <c r="C309" s="1" t="s">
        <v>180</v>
      </c>
      <c r="D309" s="1" t="s">
        <v>5244</v>
      </c>
      <c r="E309" s="1" t="s">
        <v>2517</v>
      </c>
      <c r="F309" s="1" t="s">
        <v>190</v>
      </c>
      <c r="G309" s="1" t="s">
        <v>191</v>
      </c>
      <c r="H309" s="1" t="str">
        <f t="shared" si="4"/>
        <v>Kafka</v>
      </c>
    </row>
    <row r="310" spans="1:8">
      <c r="A310" s="1">
        <v>309</v>
      </c>
      <c r="B310" s="1" t="s">
        <v>18330</v>
      </c>
      <c r="C310" s="1" t="s">
        <v>184</v>
      </c>
      <c r="D310" s="1" t="s">
        <v>5244</v>
      </c>
      <c r="E310" s="1" t="s">
        <v>2520</v>
      </c>
      <c r="F310" s="1" t="s">
        <v>194</v>
      </c>
      <c r="G310" s="1" t="s">
        <v>195</v>
      </c>
      <c r="H310" s="1" t="str">
        <f t="shared" si="4"/>
        <v>Kafka</v>
      </c>
    </row>
    <row r="311" spans="1:8">
      <c r="A311" s="1">
        <v>310</v>
      </c>
      <c r="B311" s="1" t="s">
        <v>18330</v>
      </c>
      <c r="C311" s="1" t="s">
        <v>188</v>
      </c>
      <c r="D311" s="1" t="s">
        <v>5244</v>
      </c>
      <c r="E311" s="1" t="s">
        <v>2508</v>
      </c>
      <c r="F311" s="1" t="s">
        <v>5259</v>
      </c>
      <c r="G311" s="1" t="s">
        <v>5260</v>
      </c>
      <c r="H311" s="1" t="str">
        <f t="shared" si="4"/>
        <v>Kafka</v>
      </c>
    </row>
    <row r="312" spans="1:8">
      <c r="A312" s="1">
        <v>311</v>
      </c>
      <c r="B312" s="1" t="s">
        <v>18330</v>
      </c>
      <c r="C312" s="1" t="s">
        <v>192</v>
      </c>
      <c r="D312" s="1" t="s">
        <v>5244</v>
      </c>
      <c r="E312" s="1" t="s">
        <v>2511</v>
      </c>
      <c r="F312" s="1" t="s">
        <v>5262</v>
      </c>
      <c r="G312" s="1" t="s">
        <v>5263</v>
      </c>
      <c r="H312" s="1" t="str">
        <f t="shared" si="4"/>
        <v>Kafka</v>
      </c>
    </row>
    <row r="313" spans="1:8">
      <c r="A313" s="1">
        <v>312</v>
      </c>
      <c r="B313" s="1" t="s">
        <v>18330</v>
      </c>
      <c r="C313" s="1" t="s">
        <v>196</v>
      </c>
      <c r="D313" s="1" t="s">
        <v>5244</v>
      </c>
      <c r="E313" s="1" t="s">
        <v>2523</v>
      </c>
      <c r="F313" s="1" t="s">
        <v>198</v>
      </c>
      <c r="G313" s="1" t="s">
        <v>18331</v>
      </c>
      <c r="H313" s="1" t="str">
        <f t="shared" si="4"/>
        <v>Kafka</v>
      </c>
    </row>
    <row r="314" spans="1:8">
      <c r="A314" s="1">
        <v>313</v>
      </c>
      <c r="B314" s="1" t="s">
        <v>18332</v>
      </c>
      <c r="C314" s="1" t="s">
        <v>84</v>
      </c>
      <c r="D314" s="1" t="s">
        <v>5266</v>
      </c>
      <c r="E314" s="1" t="s">
        <v>2524</v>
      </c>
      <c r="F314" s="1" t="s">
        <v>231</v>
      </c>
      <c r="G314" s="1" t="s">
        <v>232</v>
      </c>
      <c r="H314" s="1" t="str">
        <f t="shared" si="4"/>
        <v>Tomcat</v>
      </c>
    </row>
    <row r="315" spans="1:8">
      <c r="A315" s="1">
        <v>314</v>
      </c>
      <c r="B315" s="1" t="s">
        <v>18333</v>
      </c>
      <c r="C315" s="1" t="s">
        <v>211</v>
      </c>
      <c r="D315" s="1" t="s">
        <v>5268</v>
      </c>
      <c r="E315" s="1" t="s">
        <v>235</v>
      </c>
      <c r="F315" s="1" t="s">
        <v>5269</v>
      </c>
      <c r="G315" s="1" t="s">
        <v>5270</v>
      </c>
      <c r="H315" s="1" t="str">
        <f t="shared" si="4"/>
        <v>Apache</v>
      </c>
    </row>
    <row r="316" spans="1:8">
      <c r="A316" s="1">
        <v>315</v>
      </c>
      <c r="B316" s="1" t="s">
        <v>18333</v>
      </c>
      <c r="C316" s="1" t="s">
        <v>214</v>
      </c>
      <c r="D316" s="1" t="s">
        <v>5268</v>
      </c>
      <c r="E316" s="1" t="s">
        <v>238</v>
      </c>
      <c r="F316" s="1" t="s">
        <v>239</v>
      </c>
      <c r="G316" s="1" t="s">
        <v>240</v>
      </c>
      <c r="H316" s="1" t="str">
        <f t="shared" si="4"/>
        <v>Apache</v>
      </c>
    </row>
    <row r="317" spans="1:8">
      <c r="A317" s="1">
        <v>316</v>
      </c>
      <c r="B317" s="1" t="s">
        <v>18333</v>
      </c>
      <c r="C317" s="1" t="s">
        <v>218</v>
      </c>
      <c r="D317" s="1" t="s">
        <v>5268</v>
      </c>
      <c r="E317" s="1" t="s">
        <v>241</v>
      </c>
      <c r="F317" s="1" t="s">
        <v>5273</v>
      </c>
      <c r="G317" s="1" t="s">
        <v>5274</v>
      </c>
      <c r="H317" s="1" t="str">
        <f t="shared" si="4"/>
        <v>Apache</v>
      </c>
    </row>
    <row r="318" spans="1:8">
      <c r="A318" s="1">
        <v>317</v>
      </c>
      <c r="B318" s="1" t="s">
        <v>18333</v>
      </c>
      <c r="C318" s="1" t="s">
        <v>220</v>
      </c>
      <c r="D318" s="1" t="s">
        <v>5268</v>
      </c>
      <c r="E318" s="1" t="s">
        <v>244</v>
      </c>
      <c r="F318" s="1" t="s">
        <v>5276</v>
      </c>
      <c r="G318" s="1" t="s">
        <v>5277</v>
      </c>
      <c r="H318" s="1" t="str">
        <f t="shared" si="4"/>
        <v>Apache</v>
      </c>
    </row>
    <row r="319" spans="1:8">
      <c r="A319" s="1">
        <v>318</v>
      </c>
      <c r="B319" s="1" t="s">
        <v>18333</v>
      </c>
      <c r="C319" s="1" t="s">
        <v>224</v>
      </c>
      <c r="D319" s="1" t="s">
        <v>5268</v>
      </c>
      <c r="E319" s="1" t="s">
        <v>247</v>
      </c>
      <c r="F319" s="1" t="s">
        <v>5279</v>
      </c>
      <c r="G319" s="1" t="s">
        <v>5280</v>
      </c>
      <c r="H319" s="1" t="str">
        <f t="shared" si="4"/>
        <v>Apache</v>
      </c>
    </row>
    <row r="320" spans="1:8">
      <c r="A320" s="1">
        <v>319</v>
      </c>
      <c r="B320" s="1" t="s">
        <v>18334</v>
      </c>
      <c r="C320" s="1" t="s">
        <v>201</v>
      </c>
      <c r="D320" s="1" t="s">
        <v>5282</v>
      </c>
      <c r="E320" s="1" t="s">
        <v>261</v>
      </c>
      <c r="F320" s="1" t="s">
        <v>5276</v>
      </c>
      <c r="G320" s="1" t="s">
        <v>5277</v>
      </c>
      <c r="H320" s="1" t="str">
        <f t="shared" si="4"/>
        <v>Apache</v>
      </c>
    </row>
    <row r="321" spans="1:8">
      <c r="A321" s="1">
        <v>320</v>
      </c>
      <c r="B321" s="1" t="s">
        <v>18334</v>
      </c>
      <c r="C321" s="1" t="s">
        <v>206</v>
      </c>
      <c r="D321" s="1" t="s">
        <v>5282</v>
      </c>
      <c r="E321" s="1" t="s">
        <v>263</v>
      </c>
      <c r="F321" s="1" t="s">
        <v>5279</v>
      </c>
      <c r="G321" s="1" t="s">
        <v>5280</v>
      </c>
      <c r="H321" s="1" t="str">
        <f t="shared" si="4"/>
        <v>Apache</v>
      </c>
    </row>
    <row r="322" spans="1:8">
      <c r="A322" s="1">
        <v>321</v>
      </c>
      <c r="B322" s="1" t="s">
        <v>18335</v>
      </c>
      <c r="C322" s="1" t="s">
        <v>392</v>
      </c>
      <c r="D322" s="1" t="s">
        <v>5289</v>
      </c>
      <c r="E322" s="1" t="s">
        <v>5290</v>
      </c>
      <c r="F322" s="1" t="s">
        <v>5291</v>
      </c>
      <c r="G322" s="1" t="s">
        <v>5292</v>
      </c>
      <c r="H322" s="1" t="str">
        <f t="shared" ref="H322:H385" si="5">IFERROR(IF(OR(MID(G322,FIND(":",G322)-1,1)="""",MID(G322,FIND(":",G322)-1,1)="}",MID(G322,FIND(":",G322)-1,1)=")",MID(G322,FIND(":",G322)-1,1)="]"),"",LEFT(F322,FIND(":",F322)-1)),"")</f>
        <v>Arista</v>
      </c>
    </row>
    <row r="323" spans="1:8">
      <c r="A323" s="1">
        <v>322</v>
      </c>
      <c r="B323" s="1" t="s">
        <v>18335</v>
      </c>
      <c r="C323" s="1" t="s">
        <v>397</v>
      </c>
      <c r="D323" s="1" t="s">
        <v>5289</v>
      </c>
      <c r="E323" s="1" t="s">
        <v>5294</v>
      </c>
      <c r="F323" s="1" t="s">
        <v>5295</v>
      </c>
      <c r="G323" s="1" t="s">
        <v>5296</v>
      </c>
      <c r="H323" s="1" t="str">
        <f t="shared" si="5"/>
        <v>Arista</v>
      </c>
    </row>
    <row r="324" spans="1:8">
      <c r="A324" s="1">
        <v>323</v>
      </c>
      <c r="B324" s="1" t="s">
        <v>18335</v>
      </c>
      <c r="C324" s="1" t="s">
        <v>401</v>
      </c>
      <c r="D324" s="1" t="s">
        <v>5289</v>
      </c>
      <c r="E324" s="1" t="s">
        <v>5298</v>
      </c>
      <c r="F324" s="1" t="s">
        <v>5299</v>
      </c>
      <c r="G324" s="1" t="s">
        <v>5300</v>
      </c>
      <c r="H324" s="1" t="str">
        <f t="shared" si="5"/>
        <v>Arista</v>
      </c>
    </row>
    <row r="325" spans="1:8">
      <c r="A325" s="1">
        <v>324</v>
      </c>
      <c r="B325" s="1" t="s">
        <v>18335</v>
      </c>
      <c r="C325" s="1" t="s">
        <v>405</v>
      </c>
      <c r="D325" s="1" t="s">
        <v>5289</v>
      </c>
      <c r="E325" s="1" t="s">
        <v>5302</v>
      </c>
      <c r="F325" s="1" t="s">
        <v>5303</v>
      </c>
      <c r="G325" s="1" t="s">
        <v>5304</v>
      </c>
      <c r="H325" s="1" t="str">
        <f t="shared" si="5"/>
        <v>Arista</v>
      </c>
    </row>
    <row r="326" spans="1:8">
      <c r="A326" s="1">
        <v>325</v>
      </c>
      <c r="B326" s="1" t="s">
        <v>18335</v>
      </c>
      <c r="C326" s="1" t="s">
        <v>409</v>
      </c>
      <c r="D326" s="1" t="s">
        <v>5289</v>
      </c>
      <c r="E326" s="1" t="s">
        <v>5306</v>
      </c>
      <c r="F326" s="1" t="s">
        <v>5307</v>
      </c>
      <c r="G326" s="1" t="s">
        <v>5308</v>
      </c>
      <c r="H326" s="1" t="str">
        <f t="shared" si="5"/>
        <v>Arista</v>
      </c>
    </row>
    <row r="327" spans="1:8">
      <c r="A327" s="1">
        <v>326</v>
      </c>
      <c r="B327" s="1" t="s">
        <v>18335</v>
      </c>
      <c r="C327" s="1" t="s">
        <v>413</v>
      </c>
      <c r="D327" s="1" t="s">
        <v>5289</v>
      </c>
      <c r="E327" s="1" t="s">
        <v>5310</v>
      </c>
      <c r="F327" s="1" t="s">
        <v>5311</v>
      </c>
      <c r="G327" s="1" t="s">
        <v>5312</v>
      </c>
      <c r="H327" s="1" t="str">
        <f t="shared" si="5"/>
        <v>Arista</v>
      </c>
    </row>
    <row r="328" spans="1:8">
      <c r="A328" s="1">
        <v>327</v>
      </c>
      <c r="B328" s="1" t="s">
        <v>18335</v>
      </c>
      <c r="C328" s="1" t="s">
        <v>417</v>
      </c>
      <c r="D328" s="1" t="s">
        <v>5289</v>
      </c>
      <c r="E328" s="1" t="s">
        <v>5314</v>
      </c>
      <c r="F328" s="1" t="s">
        <v>5315</v>
      </c>
      <c r="G328" s="1" t="s">
        <v>5316</v>
      </c>
      <c r="H328" s="1" t="str">
        <f t="shared" si="5"/>
        <v>Arista</v>
      </c>
    </row>
    <row r="329" spans="1:8">
      <c r="A329" s="1">
        <v>328</v>
      </c>
      <c r="B329" s="1" t="s">
        <v>18336</v>
      </c>
      <c r="C329" s="1" t="s">
        <v>93</v>
      </c>
      <c r="D329" s="1" t="s">
        <v>5318</v>
      </c>
      <c r="E329" s="1" t="s">
        <v>5319</v>
      </c>
      <c r="F329" s="1" t="s">
        <v>5320</v>
      </c>
      <c r="G329" s="1" t="s">
        <v>5321</v>
      </c>
      <c r="H329" s="1" t="str">
        <f t="shared" si="5"/>
        <v>Asterisk</v>
      </c>
    </row>
    <row r="330" spans="1:8">
      <c r="A330" s="1">
        <v>329</v>
      </c>
      <c r="B330" s="1" t="s">
        <v>18336</v>
      </c>
      <c r="C330" s="1" t="s">
        <v>98</v>
      </c>
      <c r="D330" s="1" t="s">
        <v>5318</v>
      </c>
      <c r="E330" s="1" t="s">
        <v>3185</v>
      </c>
      <c r="F330" s="1" t="s">
        <v>5323</v>
      </c>
      <c r="G330" s="1" t="s">
        <v>5324</v>
      </c>
      <c r="H330" s="1" t="str">
        <f t="shared" si="5"/>
        <v>Asterisk</v>
      </c>
    </row>
    <row r="331" spans="1:8">
      <c r="A331" s="1">
        <v>330</v>
      </c>
      <c r="B331" s="1" t="s">
        <v>18336</v>
      </c>
      <c r="C331" s="1" t="s">
        <v>102</v>
      </c>
      <c r="D331" s="1" t="s">
        <v>5318</v>
      </c>
      <c r="E331" s="1" t="s">
        <v>688</v>
      </c>
      <c r="F331" s="1" t="s">
        <v>5326</v>
      </c>
      <c r="G331" s="1" t="s">
        <v>5327</v>
      </c>
      <c r="H331" s="1" t="str">
        <f t="shared" si="5"/>
        <v>Asterisk</v>
      </c>
    </row>
    <row r="332" spans="1:8">
      <c r="A332" s="1">
        <v>331</v>
      </c>
      <c r="B332" s="1" t="s">
        <v>18336</v>
      </c>
      <c r="C332" s="1" t="s">
        <v>106</v>
      </c>
      <c r="D332" s="1" t="s">
        <v>5318</v>
      </c>
      <c r="E332" s="1" t="s">
        <v>689</v>
      </c>
      <c r="F332" s="1" t="s">
        <v>5329</v>
      </c>
      <c r="G332" s="1" t="s">
        <v>5330</v>
      </c>
      <c r="H332" s="1" t="str">
        <f t="shared" si="5"/>
        <v>Asterisk</v>
      </c>
    </row>
    <row r="333" spans="1:8">
      <c r="A333" s="1">
        <v>332</v>
      </c>
      <c r="B333" s="1" t="s">
        <v>18336</v>
      </c>
      <c r="C333" s="1" t="s">
        <v>110</v>
      </c>
      <c r="D333" s="1" t="s">
        <v>5318</v>
      </c>
      <c r="E333" s="1" t="s">
        <v>3188</v>
      </c>
      <c r="F333" s="1" t="s">
        <v>5332</v>
      </c>
      <c r="G333" s="1" t="s">
        <v>5333</v>
      </c>
      <c r="H333" s="1" t="str">
        <f t="shared" si="5"/>
        <v>Asterisk</v>
      </c>
    </row>
    <row r="334" spans="1:8">
      <c r="A334" s="1">
        <v>333</v>
      </c>
      <c r="B334" s="1" t="s">
        <v>18336</v>
      </c>
      <c r="C334" s="1" t="s">
        <v>114</v>
      </c>
      <c r="D334" s="1" t="s">
        <v>5318</v>
      </c>
      <c r="E334" s="1" t="s">
        <v>5335</v>
      </c>
      <c r="F334" s="1" t="s">
        <v>5336</v>
      </c>
      <c r="G334" s="1" t="s">
        <v>5337</v>
      </c>
      <c r="H334" s="1" t="str">
        <f t="shared" si="5"/>
        <v>Asterisk</v>
      </c>
    </row>
    <row r="335" spans="1:8">
      <c r="A335" s="1">
        <v>334</v>
      </c>
      <c r="B335" s="1" t="s">
        <v>18336</v>
      </c>
      <c r="C335" s="1" t="s">
        <v>118</v>
      </c>
      <c r="D335" s="1" t="s">
        <v>5318</v>
      </c>
      <c r="E335" s="1" t="s">
        <v>5339</v>
      </c>
      <c r="F335" s="1" t="s">
        <v>5340</v>
      </c>
      <c r="G335" s="1" t="s">
        <v>5341</v>
      </c>
      <c r="H335" s="1" t="str">
        <f t="shared" si="5"/>
        <v>Asterisk</v>
      </c>
    </row>
    <row r="336" spans="1:8">
      <c r="A336" s="1">
        <v>335</v>
      </c>
      <c r="B336" s="1" t="s">
        <v>18336</v>
      </c>
      <c r="C336" s="1" t="s">
        <v>122</v>
      </c>
      <c r="D336" s="1" t="s">
        <v>5318</v>
      </c>
      <c r="E336" s="1" t="s">
        <v>686</v>
      </c>
      <c r="F336" s="1" t="s">
        <v>5343</v>
      </c>
      <c r="G336" s="1" t="s">
        <v>5344</v>
      </c>
      <c r="H336" s="1" t="str">
        <f t="shared" si="5"/>
        <v>Asterisk</v>
      </c>
    </row>
    <row r="337" spans="1:8">
      <c r="A337" s="1">
        <v>336</v>
      </c>
      <c r="B337" s="1" t="s">
        <v>18336</v>
      </c>
      <c r="C337" s="1" t="s">
        <v>126</v>
      </c>
      <c r="D337" s="1" t="s">
        <v>5318</v>
      </c>
      <c r="E337" s="1" t="s">
        <v>687</v>
      </c>
      <c r="F337" s="1" t="s">
        <v>5346</v>
      </c>
      <c r="G337" s="1" t="s">
        <v>5347</v>
      </c>
      <c r="H337" s="1" t="str">
        <f t="shared" si="5"/>
        <v>Asterisk</v>
      </c>
    </row>
    <row r="338" spans="1:8">
      <c r="A338" s="1">
        <v>337</v>
      </c>
      <c r="B338" s="1" t="s">
        <v>18337</v>
      </c>
      <c r="C338" s="1" t="s">
        <v>201</v>
      </c>
      <c r="D338" s="1" t="s">
        <v>5349</v>
      </c>
      <c r="E338" s="1" t="s">
        <v>10702</v>
      </c>
      <c r="F338" s="1" t="s">
        <v>5351</v>
      </c>
      <c r="G338" s="1" t="s">
        <v>5352</v>
      </c>
      <c r="H338" s="1" t="str">
        <f t="shared" si="5"/>
        <v>Azure MongoDB</v>
      </c>
    </row>
    <row r="339" spans="1:8">
      <c r="A339" s="1">
        <v>338</v>
      </c>
      <c r="B339" s="1" t="s">
        <v>18337</v>
      </c>
      <c r="C339" s="1" t="s">
        <v>206</v>
      </c>
      <c r="D339" s="1" t="s">
        <v>5349</v>
      </c>
      <c r="E339" s="1" t="s">
        <v>18338</v>
      </c>
      <c r="F339" s="1" t="s">
        <v>5355</v>
      </c>
      <c r="G339" s="1" t="s">
        <v>18339</v>
      </c>
      <c r="H339" s="1" t="str">
        <f t="shared" si="5"/>
        <v>Azure MongoDB</v>
      </c>
    </row>
    <row r="340" spans="1:8">
      <c r="A340" s="1">
        <v>339</v>
      </c>
      <c r="B340" s="1" t="s">
        <v>18340</v>
      </c>
      <c r="C340" s="1" t="s">
        <v>392</v>
      </c>
      <c r="D340" s="1" t="s">
        <v>5358</v>
      </c>
      <c r="E340" s="1" t="s">
        <v>12835</v>
      </c>
      <c r="F340" s="1" t="s">
        <v>5360</v>
      </c>
      <c r="G340" s="1" t="s">
        <v>5361</v>
      </c>
      <c r="H340" s="1" t="str">
        <f t="shared" si="5"/>
        <v>Azure Microsoft SQL</v>
      </c>
    </row>
    <row r="341" spans="1:8">
      <c r="A341" s="1">
        <v>340</v>
      </c>
      <c r="B341" s="1" t="s">
        <v>18340</v>
      </c>
      <c r="C341" s="1" t="s">
        <v>397</v>
      </c>
      <c r="D341" s="1" t="s">
        <v>5358</v>
      </c>
      <c r="E341" s="1" t="s">
        <v>12839</v>
      </c>
      <c r="F341" s="1" t="s">
        <v>5364</v>
      </c>
      <c r="G341" s="1" t="s">
        <v>5365</v>
      </c>
      <c r="H341" s="1" t="str">
        <f t="shared" si="5"/>
        <v>Azure Microsoft SQL</v>
      </c>
    </row>
    <row r="342" spans="1:8">
      <c r="A342" s="1">
        <v>341</v>
      </c>
      <c r="B342" s="1" t="s">
        <v>18340</v>
      </c>
      <c r="C342" s="1" t="s">
        <v>401</v>
      </c>
      <c r="D342" s="1" t="s">
        <v>5358</v>
      </c>
      <c r="E342" s="1" t="s">
        <v>12843</v>
      </c>
      <c r="F342" s="1" t="s">
        <v>5368</v>
      </c>
      <c r="G342" s="1" t="s">
        <v>5369</v>
      </c>
      <c r="H342" s="1" t="str">
        <f t="shared" si="5"/>
        <v>Azure Microsoft SQL</v>
      </c>
    </row>
    <row r="343" spans="1:8">
      <c r="A343" s="1">
        <v>342</v>
      </c>
      <c r="B343" s="1" t="s">
        <v>18340</v>
      </c>
      <c r="C343" s="1" t="s">
        <v>405</v>
      </c>
      <c r="D343" s="1" t="s">
        <v>5358</v>
      </c>
      <c r="E343" s="1" t="s">
        <v>12855</v>
      </c>
      <c r="F343" s="1" t="s">
        <v>5372</v>
      </c>
      <c r="G343" s="1" t="s">
        <v>5373</v>
      </c>
      <c r="H343" s="1" t="str">
        <f t="shared" si="5"/>
        <v>Azure Microsoft SQL</v>
      </c>
    </row>
    <row r="344" spans="1:8">
      <c r="A344" s="1">
        <v>343</v>
      </c>
      <c r="B344" s="1" t="s">
        <v>18340</v>
      </c>
      <c r="C344" s="1" t="s">
        <v>409</v>
      </c>
      <c r="D344" s="1" t="s">
        <v>5358</v>
      </c>
      <c r="E344" s="1" t="s">
        <v>12859</v>
      </c>
      <c r="F344" s="1" t="s">
        <v>5376</v>
      </c>
      <c r="G344" s="1" t="s">
        <v>5377</v>
      </c>
      <c r="H344" s="1" t="str">
        <f t="shared" si="5"/>
        <v>Azure Microsoft SQL</v>
      </c>
    </row>
    <row r="345" spans="1:8">
      <c r="A345" s="1">
        <v>344</v>
      </c>
      <c r="B345" s="1" t="s">
        <v>18340</v>
      </c>
      <c r="C345" s="1" t="s">
        <v>413</v>
      </c>
      <c r="D345" s="1" t="s">
        <v>5358</v>
      </c>
      <c r="E345" s="1" t="s">
        <v>12851</v>
      </c>
      <c r="F345" s="1" t="s">
        <v>5380</v>
      </c>
      <c r="G345" s="1" t="s">
        <v>5381</v>
      </c>
      <c r="H345" s="1" t="str">
        <f t="shared" si="5"/>
        <v>Azure Microsoft SQL</v>
      </c>
    </row>
    <row r="346" spans="1:8">
      <c r="A346" s="1">
        <v>345</v>
      </c>
      <c r="B346" s="1" t="s">
        <v>18340</v>
      </c>
      <c r="C346" s="1" t="s">
        <v>417</v>
      </c>
      <c r="D346" s="1" t="s">
        <v>5358</v>
      </c>
      <c r="E346" s="1" t="s">
        <v>12847</v>
      </c>
      <c r="F346" s="1" t="s">
        <v>5384</v>
      </c>
      <c r="G346" s="1" t="s">
        <v>5385</v>
      </c>
      <c r="H346" s="1" t="str">
        <f t="shared" si="5"/>
        <v>Azure Microsoft SQL</v>
      </c>
    </row>
    <row r="347" spans="1:8">
      <c r="A347" s="1">
        <v>346</v>
      </c>
      <c r="B347" s="1" t="s">
        <v>18341</v>
      </c>
      <c r="C347" s="1" t="s">
        <v>392</v>
      </c>
      <c r="D347" s="1" t="s">
        <v>5387</v>
      </c>
      <c r="E347" s="1" t="s">
        <v>12863</v>
      </c>
      <c r="F347" s="1" t="s">
        <v>5360</v>
      </c>
      <c r="G347" s="1" t="s">
        <v>5361</v>
      </c>
      <c r="H347" s="1" t="str">
        <f t="shared" si="5"/>
        <v>Azure Microsoft SQL</v>
      </c>
    </row>
    <row r="348" spans="1:8">
      <c r="A348" s="1">
        <v>347</v>
      </c>
      <c r="B348" s="1" t="s">
        <v>18341</v>
      </c>
      <c r="C348" s="1" t="s">
        <v>397</v>
      </c>
      <c r="D348" s="1" t="s">
        <v>5387</v>
      </c>
      <c r="E348" s="1" t="s">
        <v>12867</v>
      </c>
      <c r="F348" s="1" t="s">
        <v>5364</v>
      </c>
      <c r="G348" s="1" t="s">
        <v>5365</v>
      </c>
      <c r="H348" s="1" t="str">
        <f t="shared" si="5"/>
        <v>Azure Microsoft SQL</v>
      </c>
    </row>
    <row r="349" spans="1:8">
      <c r="A349" s="1">
        <v>348</v>
      </c>
      <c r="B349" s="1" t="s">
        <v>18341</v>
      </c>
      <c r="C349" s="1" t="s">
        <v>401</v>
      </c>
      <c r="D349" s="1" t="s">
        <v>5387</v>
      </c>
      <c r="E349" s="1" t="s">
        <v>12871</v>
      </c>
      <c r="F349" s="1" t="s">
        <v>5368</v>
      </c>
      <c r="G349" s="1" t="s">
        <v>5369</v>
      </c>
      <c r="H349" s="1" t="str">
        <f t="shared" si="5"/>
        <v>Azure Microsoft SQL</v>
      </c>
    </row>
    <row r="350" spans="1:8">
      <c r="A350" s="1">
        <v>349</v>
      </c>
      <c r="B350" s="1" t="s">
        <v>18341</v>
      </c>
      <c r="C350" s="1" t="s">
        <v>405</v>
      </c>
      <c r="D350" s="1" t="s">
        <v>5387</v>
      </c>
      <c r="E350" s="1" t="s">
        <v>12883</v>
      </c>
      <c r="F350" s="1" t="s">
        <v>5372</v>
      </c>
      <c r="G350" s="1" t="s">
        <v>5373</v>
      </c>
      <c r="H350" s="1" t="str">
        <f t="shared" si="5"/>
        <v>Azure Microsoft SQL</v>
      </c>
    </row>
    <row r="351" spans="1:8">
      <c r="A351" s="1">
        <v>350</v>
      </c>
      <c r="B351" s="1" t="s">
        <v>18341</v>
      </c>
      <c r="C351" s="1" t="s">
        <v>409</v>
      </c>
      <c r="D351" s="1" t="s">
        <v>5387</v>
      </c>
      <c r="E351" s="1" t="s">
        <v>12887</v>
      </c>
      <c r="F351" s="1" t="s">
        <v>5376</v>
      </c>
      <c r="G351" s="1" t="s">
        <v>5377</v>
      </c>
      <c r="H351" s="1" t="str">
        <f t="shared" si="5"/>
        <v>Azure Microsoft SQL</v>
      </c>
    </row>
    <row r="352" spans="1:8">
      <c r="A352" s="1">
        <v>351</v>
      </c>
      <c r="B352" s="1" t="s">
        <v>18341</v>
      </c>
      <c r="C352" s="1" t="s">
        <v>413</v>
      </c>
      <c r="D352" s="1" t="s">
        <v>5387</v>
      </c>
      <c r="E352" s="1" t="s">
        <v>12879</v>
      </c>
      <c r="F352" s="1" t="s">
        <v>5380</v>
      </c>
      <c r="G352" s="1" t="s">
        <v>5381</v>
      </c>
      <c r="H352" s="1" t="str">
        <f t="shared" si="5"/>
        <v>Azure Microsoft SQL</v>
      </c>
    </row>
    <row r="353" spans="1:8">
      <c r="A353" s="1">
        <v>352</v>
      </c>
      <c r="B353" s="1" t="s">
        <v>18341</v>
      </c>
      <c r="C353" s="1" t="s">
        <v>417</v>
      </c>
      <c r="D353" s="1" t="s">
        <v>5387</v>
      </c>
      <c r="E353" s="1" t="s">
        <v>12875</v>
      </c>
      <c r="F353" s="1" t="s">
        <v>5384</v>
      </c>
      <c r="G353" s="1" t="s">
        <v>5385</v>
      </c>
      <c r="H353" s="1" t="str">
        <f t="shared" si="5"/>
        <v>Azure Microsoft SQL</v>
      </c>
    </row>
    <row r="354" spans="1:8">
      <c r="A354" s="1">
        <v>353</v>
      </c>
      <c r="B354" s="1" t="s">
        <v>18342</v>
      </c>
      <c r="C354" s="1" t="s">
        <v>9</v>
      </c>
      <c r="D354" s="1" t="s">
        <v>5402</v>
      </c>
      <c r="E354" s="1" t="s">
        <v>5170</v>
      </c>
      <c r="F354" s="1" t="s">
        <v>5404</v>
      </c>
      <c r="G354" s="1" t="s">
        <v>5405</v>
      </c>
      <c r="H354" s="1" t="str">
        <f t="shared" si="5"/>
        <v>Azure MySQL</v>
      </c>
    </row>
    <row r="355" spans="1:8">
      <c r="A355" s="1">
        <v>354</v>
      </c>
      <c r="B355" s="1" t="s">
        <v>18342</v>
      </c>
      <c r="C355" s="1" t="s">
        <v>14</v>
      </c>
      <c r="D355" s="1" t="s">
        <v>5402</v>
      </c>
      <c r="E355" s="1" t="s">
        <v>5174</v>
      </c>
      <c r="F355" s="1" t="s">
        <v>5408</v>
      </c>
      <c r="G355" s="1" t="s">
        <v>5409</v>
      </c>
      <c r="H355" s="1" t="str">
        <f t="shared" si="5"/>
        <v>Azure MySQL</v>
      </c>
    </row>
    <row r="356" spans="1:8">
      <c r="A356" s="1">
        <v>355</v>
      </c>
      <c r="B356" s="1" t="s">
        <v>18342</v>
      </c>
      <c r="C356" s="1" t="s">
        <v>19</v>
      </c>
      <c r="D356" s="1" t="s">
        <v>5402</v>
      </c>
      <c r="E356" s="1" t="s">
        <v>5178</v>
      </c>
      <c r="F356" s="1" t="s">
        <v>5412</v>
      </c>
      <c r="G356" s="1" t="s">
        <v>5413</v>
      </c>
      <c r="H356" s="1" t="str">
        <f t="shared" si="5"/>
        <v>Azure MySQL</v>
      </c>
    </row>
    <row r="357" spans="1:8">
      <c r="A357" s="1">
        <v>356</v>
      </c>
      <c r="B357" s="1" t="s">
        <v>18342</v>
      </c>
      <c r="C357" s="1" t="s">
        <v>23</v>
      </c>
      <c r="D357" s="1" t="s">
        <v>5402</v>
      </c>
      <c r="E357" s="1" t="s">
        <v>12900</v>
      </c>
      <c r="F357" s="1" t="s">
        <v>5416</v>
      </c>
      <c r="G357" s="1" t="s">
        <v>5417</v>
      </c>
      <c r="H357" s="1" t="str">
        <f t="shared" si="5"/>
        <v>Azure MySQL</v>
      </c>
    </row>
    <row r="358" spans="1:8">
      <c r="A358" s="1">
        <v>357</v>
      </c>
      <c r="B358" s="1" t="s">
        <v>18342</v>
      </c>
      <c r="C358" s="1" t="s">
        <v>27</v>
      </c>
      <c r="D358" s="1" t="s">
        <v>5402</v>
      </c>
      <c r="E358" s="1" t="s">
        <v>5183</v>
      </c>
      <c r="F358" s="1" t="s">
        <v>5420</v>
      </c>
      <c r="G358" s="1" t="s">
        <v>5421</v>
      </c>
      <c r="H358" s="1" t="str">
        <f t="shared" si="5"/>
        <v>Azure MySQL</v>
      </c>
    </row>
    <row r="359" spans="1:8">
      <c r="A359" s="1">
        <v>358</v>
      </c>
      <c r="B359" s="1" t="s">
        <v>18342</v>
      </c>
      <c r="C359" s="1" t="s">
        <v>31</v>
      </c>
      <c r="D359" s="1" t="s">
        <v>5402</v>
      </c>
      <c r="E359" s="1" t="s">
        <v>12904</v>
      </c>
      <c r="F359" s="1" t="s">
        <v>5424</v>
      </c>
      <c r="G359" s="1" t="s">
        <v>5425</v>
      </c>
      <c r="H359" s="1" t="str">
        <f t="shared" si="5"/>
        <v>Azure MySQL</v>
      </c>
    </row>
    <row r="360" spans="1:8">
      <c r="A360" s="1">
        <v>359</v>
      </c>
      <c r="B360" s="1" t="s">
        <v>18342</v>
      </c>
      <c r="C360" s="1" t="s">
        <v>35</v>
      </c>
      <c r="D360" s="1" t="s">
        <v>5402</v>
      </c>
      <c r="E360" s="1" t="s">
        <v>5187</v>
      </c>
      <c r="F360" s="1" t="s">
        <v>5428</v>
      </c>
      <c r="G360" s="1" t="s">
        <v>5429</v>
      </c>
      <c r="H360" s="1" t="str">
        <f t="shared" si="5"/>
        <v>Azure MySQL</v>
      </c>
    </row>
    <row r="361" spans="1:8">
      <c r="A361" s="1">
        <v>360</v>
      </c>
      <c r="B361" s="1" t="s">
        <v>18342</v>
      </c>
      <c r="C361" s="1" t="s">
        <v>39</v>
      </c>
      <c r="D361" s="1" t="s">
        <v>5402</v>
      </c>
      <c r="E361" s="1" t="s">
        <v>12914</v>
      </c>
      <c r="F361" s="1" t="s">
        <v>5432</v>
      </c>
      <c r="G361" s="1" t="s">
        <v>5433</v>
      </c>
      <c r="H361" s="1" t="str">
        <f t="shared" si="5"/>
        <v>Azure MySQL</v>
      </c>
    </row>
    <row r="362" spans="1:8">
      <c r="A362" s="1">
        <v>361</v>
      </c>
      <c r="B362" s="1" t="s">
        <v>18343</v>
      </c>
      <c r="C362" s="1" t="s">
        <v>93</v>
      </c>
      <c r="D362" s="1" t="s">
        <v>5435</v>
      </c>
      <c r="E362" s="1" t="s">
        <v>12918</v>
      </c>
      <c r="F362" s="1" t="s">
        <v>5404</v>
      </c>
      <c r="G362" s="1" t="s">
        <v>5405</v>
      </c>
      <c r="H362" s="1" t="str">
        <f t="shared" si="5"/>
        <v>Azure MySQL</v>
      </c>
    </row>
    <row r="363" spans="1:8">
      <c r="A363" s="1">
        <v>362</v>
      </c>
      <c r="B363" s="1" t="s">
        <v>18343</v>
      </c>
      <c r="C363" s="1" t="s">
        <v>98</v>
      </c>
      <c r="D363" s="1" t="s">
        <v>5435</v>
      </c>
      <c r="E363" s="1" t="s">
        <v>5555</v>
      </c>
      <c r="F363" s="1" t="s">
        <v>5408</v>
      </c>
      <c r="G363" s="1" t="s">
        <v>5409</v>
      </c>
      <c r="H363" s="1" t="str">
        <f t="shared" si="5"/>
        <v>Azure MySQL</v>
      </c>
    </row>
    <row r="364" spans="1:8">
      <c r="A364" s="1">
        <v>363</v>
      </c>
      <c r="B364" s="1" t="s">
        <v>18343</v>
      </c>
      <c r="C364" s="1" t="s">
        <v>102</v>
      </c>
      <c r="D364" s="1" t="s">
        <v>5435</v>
      </c>
      <c r="E364" s="1" t="s">
        <v>5359</v>
      </c>
      <c r="F364" s="1" t="s">
        <v>5412</v>
      </c>
      <c r="G364" s="1" t="s">
        <v>5413</v>
      </c>
      <c r="H364" s="1" t="str">
        <f t="shared" si="5"/>
        <v>Azure MySQL</v>
      </c>
    </row>
    <row r="365" spans="1:8">
      <c r="A365" s="1">
        <v>364</v>
      </c>
      <c r="B365" s="1" t="s">
        <v>18343</v>
      </c>
      <c r="C365" s="1" t="s">
        <v>106</v>
      </c>
      <c r="D365" s="1" t="s">
        <v>5435</v>
      </c>
      <c r="E365" s="1" t="s">
        <v>5363</v>
      </c>
      <c r="F365" s="1" t="s">
        <v>5443</v>
      </c>
      <c r="G365" s="1" t="s">
        <v>5444</v>
      </c>
      <c r="H365" s="1" t="str">
        <f t="shared" si="5"/>
        <v>Azure MySQL</v>
      </c>
    </row>
    <row r="366" spans="1:8">
      <c r="A366" s="1">
        <v>365</v>
      </c>
      <c r="B366" s="1" t="s">
        <v>18343</v>
      </c>
      <c r="C366" s="1" t="s">
        <v>110</v>
      </c>
      <c r="D366" s="1" t="s">
        <v>5435</v>
      </c>
      <c r="E366" s="1" t="s">
        <v>5383</v>
      </c>
      <c r="F366" s="1" t="s">
        <v>5420</v>
      </c>
      <c r="G366" s="1" t="s">
        <v>5421</v>
      </c>
      <c r="H366" s="1" t="str">
        <f t="shared" si="5"/>
        <v>Azure MySQL</v>
      </c>
    </row>
    <row r="367" spans="1:8">
      <c r="A367" s="1">
        <v>366</v>
      </c>
      <c r="B367" s="1" t="s">
        <v>18343</v>
      </c>
      <c r="C367" s="1" t="s">
        <v>114</v>
      </c>
      <c r="D367" s="1" t="s">
        <v>5435</v>
      </c>
      <c r="E367" s="1" t="s">
        <v>5379</v>
      </c>
      <c r="F367" s="1" t="s">
        <v>5449</v>
      </c>
      <c r="G367" s="1" t="s">
        <v>5450</v>
      </c>
      <c r="H367" s="1" t="str">
        <f t="shared" si="5"/>
        <v>Azure MySQL</v>
      </c>
    </row>
    <row r="368" spans="1:8">
      <c r="A368" s="1">
        <v>367</v>
      </c>
      <c r="B368" s="1" t="s">
        <v>18343</v>
      </c>
      <c r="C368" s="1" t="s">
        <v>118</v>
      </c>
      <c r="D368" s="1" t="s">
        <v>5435</v>
      </c>
      <c r="E368" s="1" t="s">
        <v>5367</v>
      </c>
      <c r="F368" s="1" t="s">
        <v>5424</v>
      </c>
      <c r="G368" s="1" t="s">
        <v>5425</v>
      </c>
      <c r="H368" s="1" t="str">
        <f t="shared" si="5"/>
        <v>Azure MySQL</v>
      </c>
    </row>
    <row r="369" spans="1:8">
      <c r="A369" s="1">
        <v>368</v>
      </c>
      <c r="B369" s="1" t="s">
        <v>18343</v>
      </c>
      <c r="C369" s="1" t="s">
        <v>122</v>
      </c>
      <c r="D369" s="1" t="s">
        <v>5435</v>
      </c>
      <c r="E369" s="1" t="s">
        <v>5371</v>
      </c>
      <c r="F369" s="1" t="s">
        <v>5428</v>
      </c>
      <c r="G369" s="1" t="s">
        <v>5429</v>
      </c>
      <c r="H369" s="1" t="str">
        <f t="shared" si="5"/>
        <v>Azure MySQL</v>
      </c>
    </row>
    <row r="370" spans="1:8">
      <c r="A370" s="1">
        <v>369</v>
      </c>
      <c r="B370" s="1" t="s">
        <v>18343</v>
      </c>
      <c r="C370" s="1" t="s">
        <v>126</v>
      </c>
      <c r="D370" s="1" t="s">
        <v>5435</v>
      </c>
      <c r="E370" s="1" t="s">
        <v>5375</v>
      </c>
      <c r="F370" s="1" t="s">
        <v>5432</v>
      </c>
      <c r="G370" s="1" t="s">
        <v>5433</v>
      </c>
      <c r="H370" s="1" t="str">
        <f t="shared" si="5"/>
        <v>Azure MySQL</v>
      </c>
    </row>
    <row r="371" spans="1:8">
      <c r="A371" s="1">
        <v>370</v>
      </c>
      <c r="B371" s="1" t="s">
        <v>18344</v>
      </c>
      <c r="C371" s="1" t="s">
        <v>9</v>
      </c>
      <c r="D371" s="1" t="s">
        <v>5458</v>
      </c>
      <c r="E371" s="1" t="s">
        <v>5390</v>
      </c>
      <c r="F371" s="1" t="s">
        <v>5460</v>
      </c>
      <c r="G371" s="1" t="s">
        <v>5461</v>
      </c>
      <c r="H371" s="1" t="str">
        <f t="shared" si="5"/>
        <v>Azure PostgreSQL</v>
      </c>
    </row>
    <row r="372" spans="1:8">
      <c r="A372" s="1">
        <v>371</v>
      </c>
      <c r="B372" s="1" t="s">
        <v>18344</v>
      </c>
      <c r="C372" s="1" t="s">
        <v>14</v>
      </c>
      <c r="D372" s="1" t="s">
        <v>5458</v>
      </c>
      <c r="E372" s="1" t="s">
        <v>5392</v>
      </c>
      <c r="F372" s="1" t="s">
        <v>5464</v>
      </c>
      <c r="G372" s="1" t="s">
        <v>5465</v>
      </c>
      <c r="H372" s="1" t="str">
        <f t="shared" si="5"/>
        <v>Azure PostgreSQL</v>
      </c>
    </row>
    <row r="373" spans="1:8">
      <c r="A373" s="1">
        <v>372</v>
      </c>
      <c r="B373" s="1" t="s">
        <v>18344</v>
      </c>
      <c r="C373" s="1" t="s">
        <v>19</v>
      </c>
      <c r="D373" s="1" t="s">
        <v>5458</v>
      </c>
      <c r="E373" s="1" t="s">
        <v>5400</v>
      </c>
      <c r="F373" s="1" t="s">
        <v>5468</v>
      </c>
      <c r="G373" s="1" t="s">
        <v>5469</v>
      </c>
      <c r="H373" s="1" t="str">
        <f t="shared" si="5"/>
        <v>Azure PostgreSQL</v>
      </c>
    </row>
    <row r="374" spans="1:8">
      <c r="A374" s="1">
        <v>373</v>
      </c>
      <c r="B374" s="1" t="s">
        <v>18344</v>
      </c>
      <c r="C374" s="1" t="s">
        <v>23</v>
      </c>
      <c r="D374" s="1" t="s">
        <v>5458</v>
      </c>
      <c r="E374" s="1" t="s">
        <v>5394</v>
      </c>
      <c r="F374" s="1" t="s">
        <v>5472</v>
      </c>
      <c r="G374" s="1" t="s">
        <v>5473</v>
      </c>
      <c r="H374" s="1" t="str">
        <f t="shared" si="5"/>
        <v>Azure PostgreSQL</v>
      </c>
    </row>
    <row r="375" spans="1:8">
      <c r="A375" s="1">
        <v>374</v>
      </c>
      <c r="B375" s="1" t="s">
        <v>18344</v>
      </c>
      <c r="C375" s="1" t="s">
        <v>27</v>
      </c>
      <c r="D375" s="1" t="s">
        <v>5458</v>
      </c>
      <c r="E375" s="1" t="s">
        <v>5396</v>
      </c>
      <c r="F375" s="1" t="s">
        <v>5476</v>
      </c>
      <c r="G375" s="1" t="s">
        <v>5477</v>
      </c>
      <c r="H375" s="1" t="str">
        <f t="shared" si="5"/>
        <v>Azure PostgreSQL</v>
      </c>
    </row>
    <row r="376" spans="1:8">
      <c r="A376" s="1">
        <v>375</v>
      </c>
      <c r="B376" s="1" t="s">
        <v>18344</v>
      </c>
      <c r="C376" s="1" t="s">
        <v>31</v>
      </c>
      <c r="D376" s="1" t="s">
        <v>5458</v>
      </c>
      <c r="E376" s="1" t="s">
        <v>5398</v>
      </c>
      <c r="F376" s="1" t="s">
        <v>5480</v>
      </c>
      <c r="G376" s="1" t="s">
        <v>5481</v>
      </c>
      <c r="H376" s="1" t="str">
        <f t="shared" si="5"/>
        <v>Azure PostgreSQL</v>
      </c>
    </row>
    <row r="377" spans="1:8">
      <c r="A377" s="1">
        <v>376</v>
      </c>
      <c r="B377" s="1" t="s">
        <v>18344</v>
      </c>
      <c r="C377" s="1" t="s">
        <v>35</v>
      </c>
      <c r="D377" s="1" t="s">
        <v>5458</v>
      </c>
      <c r="E377" s="1" t="s">
        <v>5403</v>
      </c>
      <c r="F377" s="1" t="s">
        <v>5484</v>
      </c>
      <c r="G377" s="1" t="s">
        <v>5485</v>
      </c>
      <c r="H377" s="1" t="str">
        <f t="shared" si="5"/>
        <v>Azure PostgreSQL</v>
      </c>
    </row>
    <row r="378" spans="1:8">
      <c r="A378" s="1">
        <v>377</v>
      </c>
      <c r="B378" s="1" t="s">
        <v>18344</v>
      </c>
      <c r="C378" s="1" t="s">
        <v>39</v>
      </c>
      <c r="D378" s="1" t="s">
        <v>5458</v>
      </c>
      <c r="E378" s="1" t="s">
        <v>5407</v>
      </c>
      <c r="F378" s="1" t="s">
        <v>5488</v>
      </c>
      <c r="G378" s="1" t="s">
        <v>5489</v>
      </c>
      <c r="H378" s="1" t="str">
        <f t="shared" si="5"/>
        <v>Azure PostgreSQL</v>
      </c>
    </row>
    <row r="379" spans="1:8">
      <c r="A379" s="1">
        <v>378</v>
      </c>
      <c r="B379" s="1" t="s">
        <v>18345</v>
      </c>
      <c r="C379" s="1" t="s">
        <v>9</v>
      </c>
      <c r="D379" s="1" t="s">
        <v>5491</v>
      </c>
      <c r="E379" s="1" t="s">
        <v>5411</v>
      </c>
      <c r="F379" s="1" t="s">
        <v>5460</v>
      </c>
      <c r="G379" s="1" t="s">
        <v>5461</v>
      </c>
      <c r="H379" s="1" t="str">
        <f t="shared" si="5"/>
        <v>Azure PostgreSQL</v>
      </c>
    </row>
    <row r="380" spans="1:8">
      <c r="A380" s="1">
        <v>379</v>
      </c>
      <c r="B380" s="1" t="s">
        <v>18345</v>
      </c>
      <c r="C380" s="1" t="s">
        <v>14</v>
      </c>
      <c r="D380" s="1" t="s">
        <v>5491</v>
      </c>
      <c r="E380" s="1" t="s">
        <v>5415</v>
      </c>
      <c r="F380" s="1" t="s">
        <v>5464</v>
      </c>
      <c r="G380" s="1" t="s">
        <v>5465</v>
      </c>
      <c r="H380" s="1" t="str">
        <f t="shared" si="5"/>
        <v>Azure PostgreSQL</v>
      </c>
    </row>
    <row r="381" spans="1:8">
      <c r="A381" s="1">
        <v>380</v>
      </c>
      <c r="B381" s="1" t="s">
        <v>18345</v>
      </c>
      <c r="C381" s="1" t="s">
        <v>19</v>
      </c>
      <c r="D381" s="1" t="s">
        <v>5491</v>
      </c>
      <c r="E381" s="1" t="s">
        <v>5423</v>
      </c>
      <c r="F381" s="1" t="s">
        <v>5468</v>
      </c>
      <c r="G381" s="1" t="s">
        <v>5469</v>
      </c>
      <c r="H381" s="1" t="str">
        <f t="shared" si="5"/>
        <v>Azure PostgreSQL</v>
      </c>
    </row>
    <row r="382" spans="1:8">
      <c r="A382" s="1">
        <v>381</v>
      </c>
      <c r="B382" s="1" t="s">
        <v>18345</v>
      </c>
      <c r="C382" s="1" t="s">
        <v>23</v>
      </c>
      <c r="D382" s="1" t="s">
        <v>5491</v>
      </c>
      <c r="E382" s="1" t="s">
        <v>5427</v>
      </c>
      <c r="F382" s="1" t="s">
        <v>5472</v>
      </c>
      <c r="G382" s="1" t="s">
        <v>5473</v>
      </c>
      <c r="H382" s="1" t="str">
        <f t="shared" si="5"/>
        <v>Azure PostgreSQL</v>
      </c>
    </row>
    <row r="383" spans="1:8">
      <c r="A383" s="1">
        <v>382</v>
      </c>
      <c r="B383" s="1" t="s">
        <v>18345</v>
      </c>
      <c r="C383" s="1" t="s">
        <v>27</v>
      </c>
      <c r="D383" s="1" t="s">
        <v>5491</v>
      </c>
      <c r="E383" s="1" t="s">
        <v>5431</v>
      </c>
      <c r="F383" s="1" t="s">
        <v>5476</v>
      </c>
      <c r="G383" s="1" t="s">
        <v>5477</v>
      </c>
      <c r="H383" s="1" t="str">
        <f t="shared" si="5"/>
        <v>Azure PostgreSQL</v>
      </c>
    </row>
    <row r="384" spans="1:8">
      <c r="A384" s="1">
        <v>383</v>
      </c>
      <c r="B384" s="1" t="s">
        <v>18345</v>
      </c>
      <c r="C384" s="1" t="s">
        <v>31</v>
      </c>
      <c r="D384" s="1" t="s">
        <v>5491</v>
      </c>
      <c r="E384" s="1" t="s">
        <v>5419</v>
      </c>
      <c r="F384" s="1" t="s">
        <v>5480</v>
      </c>
      <c r="G384" s="1" t="s">
        <v>5481</v>
      </c>
      <c r="H384" s="1" t="str">
        <f t="shared" si="5"/>
        <v>Azure PostgreSQL</v>
      </c>
    </row>
    <row r="385" spans="1:8">
      <c r="A385" s="1">
        <v>384</v>
      </c>
      <c r="B385" s="1" t="s">
        <v>18345</v>
      </c>
      <c r="C385" s="1" t="s">
        <v>35</v>
      </c>
      <c r="D385" s="1" t="s">
        <v>5491</v>
      </c>
      <c r="E385" s="1" t="s">
        <v>5436</v>
      </c>
      <c r="F385" s="1" t="s">
        <v>5484</v>
      </c>
      <c r="G385" s="1" t="s">
        <v>5485</v>
      </c>
      <c r="H385" s="1" t="str">
        <f t="shared" si="5"/>
        <v>Azure PostgreSQL</v>
      </c>
    </row>
    <row r="386" spans="1:8">
      <c r="A386" s="1">
        <v>385</v>
      </c>
      <c r="B386" s="1" t="s">
        <v>18345</v>
      </c>
      <c r="C386" s="1" t="s">
        <v>39</v>
      </c>
      <c r="D386" s="1" t="s">
        <v>5491</v>
      </c>
      <c r="E386" s="1" t="s">
        <v>5438</v>
      </c>
      <c r="F386" s="1" t="s">
        <v>5488</v>
      </c>
      <c r="G386" s="1" t="s">
        <v>5489</v>
      </c>
      <c r="H386" s="1" t="str">
        <f t="shared" ref="H386:H449" si="6">IFERROR(IF(OR(MID(G386,FIND(":",G386)-1,1)="""",MID(G386,FIND(":",G386)-1,1)="}",MID(G386,FIND(":",G386)-1,1)=")",MID(G386,FIND(":",G386)-1,1)="]"),"",LEFT(F386,FIND(":",F386)-1)),"")</f>
        <v>Azure PostgreSQL</v>
      </c>
    </row>
    <row r="387" spans="1:8">
      <c r="A387" s="1">
        <v>386</v>
      </c>
      <c r="B387" s="1" t="s">
        <v>18346</v>
      </c>
      <c r="C387" s="1" t="s">
        <v>211</v>
      </c>
      <c r="D387" s="1" t="s">
        <v>5533</v>
      </c>
      <c r="E387" s="1" t="s">
        <v>13063</v>
      </c>
      <c r="F387" s="1" t="s">
        <v>5535</v>
      </c>
      <c r="G387" s="1" t="s">
        <v>5536</v>
      </c>
      <c r="H387" s="1" t="str">
        <f t="shared" si="6"/>
        <v>Azure</v>
      </c>
    </row>
    <row r="388" spans="1:8">
      <c r="A388" s="1">
        <v>387</v>
      </c>
      <c r="B388" s="1" t="s">
        <v>18346</v>
      </c>
      <c r="C388" s="1" t="s">
        <v>214</v>
      </c>
      <c r="D388" s="1" t="s">
        <v>5533</v>
      </c>
      <c r="E388" s="1" t="s">
        <v>13067</v>
      </c>
      <c r="F388" s="1" t="s">
        <v>5539</v>
      </c>
      <c r="G388" s="1" t="s">
        <v>5540</v>
      </c>
      <c r="H388" s="1" t="str">
        <f t="shared" si="6"/>
        <v>Azure</v>
      </c>
    </row>
    <row r="389" spans="1:8">
      <c r="A389" s="1">
        <v>388</v>
      </c>
      <c r="B389" s="1" t="s">
        <v>18346</v>
      </c>
      <c r="C389" s="1" t="s">
        <v>218</v>
      </c>
      <c r="D389" s="1" t="s">
        <v>5533</v>
      </c>
      <c r="E389" s="1" t="s">
        <v>13071</v>
      </c>
      <c r="F389" s="1" t="s">
        <v>5543</v>
      </c>
      <c r="G389" s="1" t="s">
        <v>5544</v>
      </c>
      <c r="H389" s="1" t="str">
        <f t="shared" si="6"/>
        <v>Azure</v>
      </c>
    </row>
    <row r="390" spans="1:8">
      <c r="A390" s="1">
        <v>389</v>
      </c>
      <c r="B390" s="1" t="s">
        <v>18346</v>
      </c>
      <c r="C390" s="1" t="s">
        <v>220</v>
      </c>
      <c r="D390" s="1" t="s">
        <v>5533</v>
      </c>
      <c r="E390" s="1" t="s">
        <v>13079</v>
      </c>
      <c r="F390" s="1" t="s">
        <v>5551</v>
      </c>
      <c r="G390" s="1" t="s">
        <v>5552</v>
      </c>
      <c r="H390" s="1" t="str">
        <f t="shared" si="6"/>
        <v>Azure</v>
      </c>
    </row>
    <row r="391" spans="1:8">
      <c r="A391" s="1">
        <v>390</v>
      </c>
      <c r="B391" s="1" t="s">
        <v>18346</v>
      </c>
      <c r="C391" s="1" t="s">
        <v>224</v>
      </c>
      <c r="D391" s="1" t="s">
        <v>5533</v>
      </c>
      <c r="E391" s="1" t="s">
        <v>13075</v>
      </c>
      <c r="F391" s="1" t="s">
        <v>5547</v>
      </c>
      <c r="G391" s="1" t="s">
        <v>5548</v>
      </c>
      <c r="H391" s="1" t="str">
        <f t="shared" si="6"/>
        <v>Azure</v>
      </c>
    </row>
    <row r="392" spans="1:8">
      <c r="A392" s="1">
        <v>391</v>
      </c>
      <c r="B392" s="1" t="s">
        <v>18347</v>
      </c>
      <c r="C392" s="1" t="s">
        <v>201</v>
      </c>
      <c r="D392" s="1" t="s">
        <v>5554</v>
      </c>
      <c r="E392" s="1" t="s">
        <v>13083</v>
      </c>
      <c r="F392" s="1" t="s">
        <v>5551</v>
      </c>
      <c r="G392" s="1" t="s">
        <v>5552</v>
      </c>
      <c r="H392" s="1" t="str">
        <f t="shared" si="6"/>
        <v>Azure</v>
      </c>
    </row>
    <row r="393" spans="1:8">
      <c r="A393" s="1">
        <v>392</v>
      </c>
      <c r="B393" s="1" t="s">
        <v>18347</v>
      </c>
      <c r="C393" s="1" t="s">
        <v>206</v>
      </c>
      <c r="D393" s="1" t="s">
        <v>5554</v>
      </c>
      <c r="E393" s="1" t="s">
        <v>5104</v>
      </c>
      <c r="F393" s="1" t="s">
        <v>5558</v>
      </c>
      <c r="G393" s="1" t="s">
        <v>5559</v>
      </c>
      <c r="H393" s="1" t="str">
        <f t="shared" si="6"/>
        <v>Azure</v>
      </c>
    </row>
    <row r="394" spans="1:8">
      <c r="A394" s="1">
        <v>393</v>
      </c>
      <c r="B394" s="1" t="s">
        <v>18348</v>
      </c>
      <c r="C394" s="1" t="s">
        <v>299</v>
      </c>
      <c r="D394" s="1" t="s">
        <v>5561</v>
      </c>
      <c r="E394" s="1" t="s">
        <v>1863</v>
      </c>
      <c r="F394" s="1" t="s">
        <v>5562</v>
      </c>
      <c r="G394" s="1" t="s">
        <v>5563</v>
      </c>
      <c r="H394" s="1" t="str">
        <f t="shared" si="6"/>
        <v>Brocade FC</v>
      </c>
    </row>
    <row r="395" spans="1:8">
      <c r="A395" s="1">
        <v>394</v>
      </c>
      <c r="B395" s="1" t="s">
        <v>18348</v>
      </c>
      <c r="C395" s="1" t="s">
        <v>304</v>
      </c>
      <c r="D395" s="1" t="s">
        <v>5561</v>
      </c>
      <c r="E395" s="1" t="s">
        <v>1852</v>
      </c>
      <c r="F395" s="1" t="s">
        <v>5565</v>
      </c>
      <c r="G395" s="1" t="s">
        <v>5566</v>
      </c>
      <c r="H395" s="1" t="str">
        <f t="shared" si="6"/>
        <v>Brocade FC</v>
      </c>
    </row>
    <row r="396" spans="1:8">
      <c r="A396" s="1">
        <v>395</v>
      </c>
      <c r="B396" s="1" t="s">
        <v>18348</v>
      </c>
      <c r="C396" s="1" t="s">
        <v>308</v>
      </c>
      <c r="D396" s="1" t="s">
        <v>5561</v>
      </c>
      <c r="E396" s="1" t="s">
        <v>1851</v>
      </c>
      <c r="F396" s="1" t="s">
        <v>5568</v>
      </c>
      <c r="G396" s="1" t="s">
        <v>5569</v>
      </c>
      <c r="H396" s="1" t="str">
        <f t="shared" si="6"/>
        <v>Brocade FC</v>
      </c>
    </row>
    <row r="397" spans="1:8">
      <c r="A397" s="1">
        <v>396</v>
      </c>
      <c r="B397" s="1" t="s">
        <v>18348</v>
      </c>
      <c r="C397" s="1" t="s">
        <v>312</v>
      </c>
      <c r="D397" s="1" t="s">
        <v>5561</v>
      </c>
      <c r="E397" s="1" t="s">
        <v>5571</v>
      </c>
      <c r="F397" s="1" t="s">
        <v>5572</v>
      </c>
      <c r="G397" s="1" t="s">
        <v>5573</v>
      </c>
      <c r="H397" s="1" t="str">
        <f t="shared" si="6"/>
        <v>Brocade FC</v>
      </c>
    </row>
    <row r="398" spans="1:8">
      <c r="A398" s="1">
        <v>397</v>
      </c>
      <c r="B398" s="1" t="s">
        <v>18348</v>
      </c>
      <c r="C398" s="1" t="s">
        <v>316</v>
      </c>
      <c r="D398" s="1" t="s">
        <v>5561</v>
      </c>
      <c r="E398" s="1" t="s">
        <v>5575</v>
      </c>
      <c r="F398" s="1" t="s">
        <v>5576</v>
      </c>
      <c r="G398" s="1" t="s">
        <v>5577</v>
      </c>
      <c r="H398" s="1" t="str">
        <f t="shared" si="6"/>
        <v>Brocade FC</v>
      </c>
    </row>
    <row r="399" spans="1:8">
      <c r="A399" s="1">
        <v>398</v>
      </c>
      <c r="B399" s="1" t="s">
        <v>18348</v>
      </c>
      <c r="C399" s="1" t="s">
        <v>320</v>
      </c>
      <c r="D399" s="1" t="s">
        <v>5561</v>
      </c>
      <c r="E399" s="1" t="s">
        <v>5579</v>
      </c>
      <c r="F399" s="1" t="s">
        <v>5580</v>
      </c>
      <c r="G399" s="1" t="s">
        <v>5581</v>
      </c>
      <c r="H399" s="1" t="str">
        <f t="shared" si="6"/>
        <v>Brocade FC</v>
      </c>
    </row>
    <row r="400" spans="1:8">
      <c r="A400" s="1">
        <v>399</v>
      </c>
      <c r="B400" s="1" t="s">
        <v>18348</v>
      </c>
      <c r="C400" s="1" t="s">
        <v>324</v>
      </c>
      <c r="D400" s="1" t="s">
        <v>5561</v>
      </c>
      <c r="E400" s="1" t="s">
        <v>70</v>
      </c>
      <c r="F400" s="1" t="s">
        <v>5583</v>
      </c>
      <c r="G400" s="1" t="s">
        <v>5584</v>
      </c>
      <c r="H400" s="1" t="str">
        <f t="shared" si="6"/>
        <v>Brocade FC</v>
      </c>
    </row>
    <row r="401" spans="1:8">
      <c r="A401" s="1">
        <v>400</v>
      </c>
      <c r="B401" s="1" t="s">
        <v>18348</v>
      </c>
      <c r="C401" s="1" t="s">
        <v>328</v>
      </c>
      <c r="D401" s="1" t="s">
        <v>5561</v>
      </c>
      <c r="E401" s="1" t="s">
        <v>1855</v>
      </c>
      <c r="F401" s="1" t="s">
        <v>5586</v>
      </c>
      <c r="G401" s="1" t="s">
        <v>5587</v>
      </c>
      <c r="H401" s="1" t="str">
        <f t="shared" si="6"/>
        <v>Brocade FC</v>
      </c>
    </row>
    <row r="402" spans="1:8">
      <c r="A402" s="1">
        <v>401</v>
      </c>
      <c r="B402" s="1" t="s">
        <v>18348</v>
      </c>
      <c r="C402" s="1" t="s">
        <v>332</v>
      </c>
      <c r="D402" s="1" t="s">
        <v>5561</v>
      </c>
      <c r="E402" s="1" t="s">
        <v>1858</v>
      </c>
      <c r="F402" s="1" t="s">
        <v>5589</v>
      </c>
      <c r="G402" s="1" t="s">
        <v>5590</v>
      </c>
      <c r="H402" s="1" t="str">
        <f t="shared" si="6"/>
        <v>Brocade FC</v>
      </c>
    </row>
    <row r="403" spans="1:8">
      <c r="A403" s="1">
        <v>402</v>
      </c>
      <c r="B403" s="1" t="s">
        <v>18348</v>
      </c>
      <c r="C403" s="1" t="s">
        <v>336</v>
      </c>
      <c r="D403" s="1" t="s">
        <v>5561</v>
      </c>
      <c r="E403" s="1" t="s">
        <v>5592</v>
      </c>
      <c r="F403" s="1" t="s">
        <v>5593</v>
      </c>
      <c r="G403" s="1" t="s">
        <v>5594</v>
      </c>
      <c r="H403" s="1" t="str">
        <f t="shared" si="6"/>
        <v>Brocade FC</v>
      </c>
    </row>
    <row r="404" spans="1:8">
      <c r="A404" s="1">
        <v>403</v>
      </c>
      <c r="B404" s="1" t="s">
        <v>18348</v>
      </c>
      <c r="C404" s="1" t="s">
        <v>340</v>
      </c>
      <c r="D404" s="1" t="s">
        <v>5561</v>
      </c>
      <c r="E404" s="1" t="s">
        <v>5596</v>
      </c>
      <c r="F404" s="1" t="s">
        <v>5597</v>
      </c>
      <c r="G404" s="1" t="s">
        <v>5598</v>
      </c>
      <c r="H404" s="1" t="str">
        <f t="shared" si="6"/>
        <v>Brocade FC</v>
      </c>
    </row>
    <row r="405" spans="1:8">
      <c r="A405" s="1">
        <v>404</v>
      </c>
      <c r="B405" s="1" t="s">
        <v>18348</v>
      </c>
      <c r="C405" s="1" t="s">
        <v>344</v>
      </c>
      <c r="D405" s="1" t="s">
        <v>5561</v>
      </c>
      <c r="E405" s="1" t="s">
        <v>5600</v>
      </c>
      <c r="F405" s="1" t="s">
        <v>5601</v>
      </c>
      <c r="G405" s="1" t="s">
        <v>5602</v>
      </c>
      <c r="H405" s="1" t="str">
        <f t="shared" si="6"/>
        <v>Brocade FC</v>
      </c>
    </row>
    <row r="406" spans="1:8">
      <c r="A406" s="1">
        <v>405</v>
      </c>
      <c r="B406" s="1" t="s">
        <v>18349</v>
      </c>
      <c r="C406" s="1" t="s">
        <v>131</v>
      </c>
      <c r="D406" s="1" t="s">
        <v>5604</v>
      </c>
      <c r="E406" s="1" t="s">
        <v>5605</v>
      </c>
      <c r="F406" s="1" t="s">
        <v>5606</v>
      </c>
      <c r="G406" s="1" t="s">
        <v>5607</v>
      </c>
      <c r="H406" s="1" t="str">
        <f t="shared" si="6"/>
        <v>Brocade</v>
      </c>
    </row>
    <row r="407" spans="1:8">
      <c r="A407" s="1">
        <v>406</v>
      </c>
      <c r="B407" s="1" t="s">
        <v>18349</v>
      </c>
      <c r="C407" s="1" t="s">
        <v>136</v>
      </c>
      <c r="D407" s="1" t="s">
        <v>5604</v>
      </c>
      <c r="E407" s="1" t="s">
        <v>1872</v>
      </c>
      <c r="F407" s="1" t="s">
        <v>5609</v>
      </c>
      <c r="G407" s="1" t="s">
        <v>5610</v>
      </c>
      <c r="H407" s="1" t="str">
        <f t="shared" si="6"/>
        <v>Brocade</v>
      </c>
    </row>
    <row r="408" spans="1:8">
      <c r="A408" s="1">
        <v>407</v>
      </c>
      <c r="B408" s="1" t="s">
        <v>18349</v>
      </c>
      <c r="C408" s="1" t="s">
        <v>138</v>
      </c>
      <c r="D408" s="1" t="s">
        <v>5604</v>
      </c>
      <c r="E408" s="1" t="s">
        <v>1871</v>
      </c>
      <c r="F408" s="1" t="s">
        <v>5612</v>
      </c>
      <c r="G408" s="1" t="s">
        <v>5613</v>
      </c>
      <c r="H408" s="1" t="str">
        <f t="shared" si="6"/>
        <v>Brocade</v>
      </c>
    </row>
    <row r="409" spans="1:8">
      <c r="A409" s="1">
        <v>408</v>
      </c>
      <c r="B409" s="1" t="s">
        <v>18349</v>
      </c>
      <c r="C409" s="1" t="s">
        <v>140</v>
      </c>
      <c r="D409" s="1" t="s">
        <v>5604</v>
      </c>
      <c r="E409" s="1" t="s">
        <v>5615</v>
      </c>
      <c r="F409" s="1" t="s">
        <v>5616</v>
      </c>
      <c r="G409" s="1" t="s">
        <v>5617</v>
      </c>
      <c r="H409" s="1" t="str">
        <f t="shared" si="6"/>
        <v>Brocade</v>
      </c>
    </row>
    <row r="410" spans="1:8">
      <c r="A410" s="1">
        <v>409</v>
      </c>
      <c r="B410" s="1" t="s">
        <v>18349</v>
      </c>
      <c r="C410" s="1" t="s">
        <v>142</v>
      </c>
      <c r="D410" s="1" t="s">
        <v>5604</v>
      </c>
      <c r="E410" s="1" t="s">
        <v>5619</v>
      </c>
      <c r="F410" s="1" t="s">
        <v>5620</v>
      </c>
      <c r="G410" s="1" t="s">
        <v>5621</v>
      </c>
      <c r="H410" s="1" t="str">
        <f t="shared" si="6"/>
        <v>Brocade</v>
      </c>
    </row>
    <row r="411" spans="1:8">
      <c r="A411" s="1">
        <v>410</v>
      </c>
      <c r="B411" s="1" t="s">
        <v>18349</v>
      </c>
      <c r="C411" s="1" t="s">
        <v>144</v>
      </c>
      <c r="D411" s="1" t="s">
        <v>5604</v>
      </c>
      <c r="E411" s="1" t="s">
        <v>5623</v>
      </c>
      <c r="F411" s="1" t="s">
        <v>5624</v>
      </c>
      <c r="G411" s="1" t="s">
        <v>5625</v>
      </c>
      <c r="H411" s="1" t="str">
        <f t="shared" si="6"/>
        <v>Brocade</v>
      </c>
    </row>
    <row r="412" spans="1:8">
      <c r="A412" s="1">
        <v>411</v>
      </c>
      <c r="B412" s="1" t="s">
        <v>18349</v>
      </c>
      <c r="C412" s="1" t="s">
        <v>146</v>
      </c>
      <c r="D412" s="1" t="s">
        <v>5604</v>
      </c>
      <c r="E412" s="1" t="s">
        <v>5627</v>
      </c>
      <c r="F412" s="1" t="s">
        <v>5628</v>
      </c>
      <c r="G412" s="1" t="s">
        <v>5629</v>
      </c>
      <c r="H412" s="1" t="str">
        <f t="shared" si="6"/>
        <v>Brocade</v>
      </c>
    </row>
    <row r="413" spans="1:8">
      <c r="A413" s="1">
        <v>412</v>
      </c>
      <c r="B413" s="1" t="s">
        <v>18349</v>
      </c>
      <c r="C413" s="1" t="s">
        <v>148</v>
      </c>
      <c r="D413" s="1" t="s">
        <v>5604</v>
      </c>
      <c r="E413" s="1" t="s">
        <v>5631</v>
      </c>
      <c r="F413" s="1" t="s">
        <v>5632</v>
      </c>
      <c r="G413" s="1" t="s">
        <v>5633</v>
      </c>
      <c r="H413" s="1" t="str">
        <f t="shared" si="6"/>
        <v>Brocade</v>
      </c>
    </row>
    <row r="414" spans="1:8">
      <c r="A414" s="1">
        <v>413</v>
      </c>
      <c r="B414" s="1" t="s">
        <v>18349</v>
      </c>
      <c r="C414" s="1" t="s">
        <v>150</v>
      </c>
      <c r="D414" s="1" t="s">
        <v>5604</v>
      </c>
      <c r="E414" s="1" t="s">
        <v>5635</v>
      </c>
      <c r="F414" s="1" t="s">
        <v>5636</v>
      </c>
      <c r="G414" s="1" t="s">
        <v>5637</v>
      </c>
      <c r="H414" s="1" t="str">
        <f t="shared" si="6"/>
        <v>Brocade</v>
      </c>
    </row>
    <row r="415" spans="1:8">
      <c r="A415" s="1">
        <v>414</v>
      </c>
      <c r="B415" s="1" t="s">
        <v>18349</v>
      </c>
      <c r="C415" s="1" t="s">
        <v>152</v>
      </c>
      <c r="D415" s="1" t="s">
        <v>5604</v>
      </c>
      <c r="E415" s="1" t="s">
        <v>5639</v>
      </c>
      <c r="F415" s="1" t="s">
        <v>5640</v>
      </c>
      <c r="G415" s="1" t="s">
        <v>5641</v>
      </c>
      <c r="H415" s="1" t="str">
        <f t="shared" si="6"/>
        <v>Brocade</v>
      </c>
    </row>
    <row r="416" spans="1:8">
      <c r="A416" s="1">
        <v>415</v>
      </c>
      <c r="B416" s="1" t="s">
        <v>18350</v>
      </c>
      <c r="C416" s="1" t="s">
        <v>93</v>
      </c>
      <c r="D416" s="1" t="s">
        <v>5650</v>
      </c>
      <c r="E416" s="1" t="s">
        <v>5651</v>
      </c>
      <c r="F416" s="1" t="s">
        <v>5606</v>
      </c>
      <c r="G416" s="1" t="s">
        <v>5607</v>
      </c>
      <c r="H416" s="1" t="str">
        <f t="shared" si="6"/>
        <v>Brocade</v>
      </c>
    </row>
    <row r="417" spans="1:8">
      <c r="A417" s="1">
        <v>416</v>
      </c>
      <c r="B417" s="1" t="s">
        <v>18350</v>
      </c>
      <c r="C417" s="1" t="s">
        <v>98</v>
      </c>
      <c r="D417" s="1" t="s">
        <v>5650</v>
      </c>
      <c r="E417" s="1" t="s">
        <v>1883</v>
      </c>
      <c r="F417" s="1" t="s">
        <v>5609</v>
      </c>
      <c r="G417" s="1" t="s">
        <v>5610</v>
      </c>
      <c r="H417" s="1" t="str">
        <f t="shared" si="6"/>
        <v>Brocade</v>
      </c>
    </row>
    <row r="418" spans="1:8">
      <c r="A418" s="1">
        <v>417</v>
      </c>
      <c r="B418" s="1" t="s">
        <v>18350</v>
      </c>
      <c r="C418" s="1" t="s">
        <v>102</v>
      </c>
      <c r="D418" s="1" t="s">
        <v>5650</v>
      </c>
      <c r="E418" s="1" t="s">
        <v>5654</v>
      </c>
      <c r="F418" s="1" t="s">
        <v>5616</v>
      </c>
      <c r="G418" s="1" t="s">
        <v>5617</v>
      </c>
      <c r="H418" s="1" t="str">
        <f t="shared" si="6"/>
        <v>Brocade</v>
      </c>
    </row>
    <row r="419" spans="1:8">
      <c r="A419" s="1">
        <v>418</v>
      </c>
      <c r="B419" s="1" t="s">
        <v>18350</v>
      </c>
      <c r="C419" s="1" t="s">
        <v>106</v>
      </c>
      <c r="D419" s="1" t="s">
        <v>5650</v>
      </c>
      <c r="E419" s="1" t="s">
        <v>5656</v>
      </c>
      <c r="F419" s="1" t="s">
        <v>5620</v>
      </c>
      <c r="G419" s="1" t="s">
        <v>5621</v>
      </c>
      <c r="H419" s="1" t="str">
        <f t="shared" si="6"/>
        <v>Brocade</v>
      </c>
    </row>
    <row r="420" spans="1:8">
      <c r="A420" s="1">
        <v>419</v>
      </c>
      <c r="B420" s="1" t="s">
        <v>18350</v>
      </c>
      <c r="C420" s="1" t="s">
        <v>110</v>
      </c>
      <c r="D420" s="1" t="s">
        <v>5650</v>
      </c>
      <c r="E420" s="1" t="s">
        <v>5658</v>
      </c>
      <c r="F420" s="1" t="s">
        <v>5624</v>
      </c>
      <c r="G420" s="1" t="s">
        <v>5625</v>
      </c>
      <c r="H420" s="1" t="str">
        <f t="shared" si="6"/>
        <v>Brocade</v>
      </c>
    </row>
    <row r="421" spans="1:8">
      <c r="A421" s="1">
        <v>420</v>
      </c>
      <c r="B421" s="1" t="s">
        <v>18350</v>
      </c>
      <c r="C421" s="1" t="s">
        <v>114</v>
      </c>
      <c r="D421" s="1" t="s">
        <v>5650</v>
      </c>
      <c r="E421" s="1" t="s">
        <v>5660</v>
      </c>
      <c r="F421" s="1" t="s">
        <v>5628</v>
      </c>
      <c r="G421" s="1" t="s">
        <v>5629</v>
      </c>
      <c r="H421" s="1" t="str">
        <f t="shared" si="6"/>
        <v>Brocade</v>
      </c>
    </row>
    <row r="422" spans="1:8">
      <c r="A422" s="1">
        <v>421</v>
      </c>
      <c r="B422" s="1" t="s">
        <v>18350</v>
      </c>
      <c r="C422" s="1" t="s">
        <v>118</v>
      </c>
      <c r="D422" s="1" t="s">
        <v>5650</v>
      </c>
      <c r="E422" s="1" t="s">
        <v>5662</v>
      </c>
      <c r="F422" s="1" t="s">
        <v>5632</v>
      </c>
      <c r="G422" s="1" t="s">
        <v>5633</v>
      </c>
      <c r="H422" s="1" t="str">
        <f t="shared" si="6"/>
        <v>Brocade</v>
      </c>
    </row>
    <row r="423" spans="1:8">
      <c r="A423" s="1">
        <v>422</v>
      </c>
      <c r="B423" s="1" t="s">
        <v>18350</v>
      </c>
      <c r="C423" s="1" t="s">
        <v>122</v>
      </c>
      <c r="D423" s="1" t="s">
        <v>5650</v>
      </c>
      <c r="E423" s="1" t="s">
        <v>5664</v>
      </c>
      <c r="F423" s="1" t="s">
        <v>5636</v>
      </c>
      <c r="G423" s="1" t="s">
        <v>5637</v>
      </c>
      <c r="H423" s="1" t="str">
        <f t="shared" si="6"/>
        <v>Brocade</v>
      </c>
    </row>
    <row r="424" spans="1:8">
      <c r="A424" s="1">
        <v>423</v>
      </c>
      <c r="B424" s="1" t="s">
        <v>18350</v>
      </c>
      <c r="C424" s="1" t="s">
        <v>126</v>
      </c>
      <c r="D424" s="1" t="s">
        <v>5650</v>
      </c>
      <c r="E424" s="1" t="s">
        <v>5666</v>
      </c>
      <c r="F424" s="1" t="s">
        <v>5640</v>
      </c>
      <c r="G424" s="1" t="s">
        <v>5641</v>
      </c>
      <c r="H424" s="1" t="str">
        <f t="shared" si="6"/>
        <v>Brocade</v>
      </c>
    </row>
    <row r="425" spans="1:8">
      <c r="A425" s="1">
        <v>424</v>
      </c>
      <c r="B425" s="1" t="s">
        <v>18351</v>
      </c>
      <c r="C425" s="1" t="s">
        <v>267</v>
      </c>
      <c r="D425" s="1" t="s">
        <v>5668</v>
      </c>
      <c r="E425" s="1" t="s">
        <v>2170</v>
      </c>
      <c r="F425" s="1" t="s">
        <v>5669</v>
      </c>
      <c r="G425" s="1" t="s">
        <v>5670</v>
      </c>
      <c r="H425" s="1" t="str">
        <f t="shared" si="6"/>
        <v>Ceph</v>
      </c>
    </row>
    <row r="426" spans="1:8">
      <c r="A426" s="1">
        <v>425</v>
      </c>
      <c r="B426" s="1" t="s">
        <v>18351</v>
      </c>
      <c r="C426" s="1" t="s">
        <v>272</v>
      </c>
      <c r="D426" s="1" t="s">
        <v>5668</v>
      </c>
      <c r="E426" s="1" t="s">
        <v>2174</v>
      </c>
      <c r="F426" s="1" t="s">
        <v>274</v>
      </c>
      <c r="G426" s="1" t="s">
        <v>275</v>
      </c>
      <c r="H426" s="1" t="str">
        <f t="shared" si="6"/>
        <v>Ceph</v>
      </c>
    </row>
    <row r="427" spans="1:8">
      <c r="A427" s="1">
        <v>426</v>
      </c>
      <c r="B427" s="1" t="s">
        <v>18351</v>
      </c>
      <c r="C427" s="1" t="s">
        <v>276</v>
      </c>
      <c r="D427" s="1" t="s">
        <v>5668</v>
      </c>
      <c r="E427" s="1" t="s">
        <v>2178</v>
      </c>
      <c r="F427" s="1" t="s">
        <v>278</v>
      </c>
      <c r="G427" s="1" t="s">
        <v>279</v>
      </c>
      <c r="H427" s="1" t="str">
        <f t="shared" si="6"/>
        <v>Ceph</v>
      </c>
    </row>
    <row r="428" spans="1:8">
      <c r="A428" s="1">
        <v>427</v>
      </c>
      <c r="B428" s="1" t="s">
        <v>18351</v>
      </c>
      <c r="C428" s="1" t="s">
        <v>280</v>
      </c>
      <c r="D428" s="1" t="s">
        <v>5668</v>
      </c>
      <c r="E428" s="1" t="s">
        <v>2182</v>
      </c>
      <c r="F428" s="1" t="s">
        <v>282</v>
      </c>
      <c r="G428" s="1" t="s">
        <v>283</v>
      </c>
      <c r="H428" s="1" t="str">
        <f t="shared" si="6"/>
        <v>Ceph</v>
      </c>
    </row>
    <row r="429" spans="1:8">
      <c r="A429" s="1">
        <v>428</v>
      </c>
      <c r="B429" s="1" t="s">
        <v>18352</v>
      </c>
      <c r="C429" s="1" t="s">
        <v>131</v>
      </c>
      <c r="D429" s="1" t="s">
        <v>5675</v>
      </c>
      <c r="E429" s="1" t="s">
        <v>7941</v>
      </c>
      <c r="F429" s="1" t="s">
        <v>5677</v>
      </c>
      <c r="G429" s="1" t="s">
        <v>18353</v>
      </c>
      <c r="H429" s="1" t="str">
        <f t="shared" si="6"/>
        <v/>
      </c>
    </row>
    <row r="430" spans="1:8">
      <c r="A430" s="1">
        <v>429</v>
      </c>
      <c r="B430" s="1" t="s">
        <v>18352</v>
      </c>
      <c r="C430" s="1" t="s">
        <v>136</v>
      </c>
      <c r="D430" s="1" t="s">
        <v>5675</v>
      </c>
      <c r="E430" s="1" t="s">
        <v>7945</v>
      </c>
      <c r="F430" s="1" t="s">
        <v>5681</v>
      </c>
      <c r="G430" s="1" t="s">
        <v>18354</v>
      </c>
      <c r="H430" s="1" t="str">
        <f t="shared" si="6"/>
        <v/>
      </c>
    </row>
    <row r="431" spans="1:8">
      <c r="A431" s="1">
        <v>430</v>
      </c>
      <c r="B431" s="1" t="s">
        <v>18352</v>
      </c>
      <c r="C431" s="1" t="s">
        <v>138</v>
      </c>
      <c r="D431" s="1" t="s">
        <v>5675</v>
      </c>
      <c r="E431" s="1" t="s">
        <v>7925</v>
      </c>
      <c r="F431" s="1" t="s">
        <v>5685</v>
      </c>
      <c r="G431" s="1" t="s">
        <v>18355</v>
      </c>
      <c r="H431" s="1" t="str">
        <f t="shared" si="6"/>
        <v/>
      </c>
    </row>
    <row r="432" spans="1:8">
      <c r="A432" s="1">
        <v>431</v>
      </c>
      <c r="B432" s="1" t="s">
        <v>18352</v>
      </c>
      <c r="C432" s="1" t="s">
        <v>140</v>
      </c>
      <c r="D432" s="1" t="s">
        <v>5675</v>
      </c>
      <c r="E432" s="1" t="s">
        <v>7929</v>
      </c>
      <c r="F432" s="1" t="s">
        <v>5689</v>
      </c>
      <c r="G432" s="1" t="s">
        <v>18356</v>
      </c>
      <c r="H432" s="1" t="str">
        <f t="shared" si="6"/>
        <v/>
      </c>
    </row>
    <row r="433" spans="1:8">
      <c r="A433" s="1">
        <v>432</v>
      </c>
      <c r="B433" s="1" t="s">
        <v>18352</v>
      </c>
      <c r="C433" s="1" t="s">
        <v>142</v>
      </c>
      <c r="D433" s="1" t="s">
        <v>5675</v>
      </c>
      <c r="E433" s="1" t="s">
        <v>7933</v>
      </c>
      <c r="F433" s="1" t="s">
        <v>5693</v>
      </c>
      <c r="G433" s="1" t="s">
        <v>18357</v>
      </c>
      <c r="H433" s="1" t="str">
        <f t="shared" si="6"/>
        <v/>
      </c>
    </row>
    <row r="434" spans="1:8">
      <c r="A434" s="1">
        <v>433</v>
      </c>
      <c r="B434" s="1" t="s">
        <v>18352</v>
      </c>
      <c r="C434" s="1" t="s">
        <v>144</v>
      </c>
      <c r="D434" s="1" t="s">
        <v>5675</v>
      </c>
      <c r="E434" s="1" t="s">
        <v>18358</v>
      </c>
      <c r="F434" s="1" t="s">
        <v>5697</v>
      </c>
      <c r="G434" s="1" t="s">
        <v>18359</v>
      </c>
      <c r="H434" s="1" t="str">
        <f t="shared" si="6"/>
        <v/>
      </c>
    </row>
    <row r="435" spans="1:8">
      <c r="A435" s="1">
        <v>434</v>
      </c>
      <c r="B435" s="1" t="s">
        <v>18352</v>
      </c>
      <c r="C435" s="1" t="s">
        <v>146</v>
      </c>
      <c r="D435" s="1" t="s">
        <v>5675</v>
      </c>
      <c r="E435" s="1" t="s">
        <v>7937</v>
      </c>
      <c r="F435" s="1" t="s">
        <v>5701</v>
      </c>
      <c r="G435" s="1" t="s">
        <v>18360</v>
      </c>
      <c r="H435" s="1" t="str">
        <f t="shared" si="6"/>
        <v/>
      </c>
    </row>
    <row r="436" spans="1:8">
      <c r="A436" s="1">
        <v>435</v>
      </c>
      <c r="B436" s="1" t="s">
        <v>18352</v>
      </c>
      <c r="C436" s="1" t="s">
        <v>148</v>
      </c>
      <c r="D436" s="1" t="s">
        <v>5675</v>
      </c>
      <c r="E436" s="1" t="s">
        <v>18361</v>
      </c>
      <c r="F436" s="1" t="s">
        <v>5705</v>
      </c>
      <c r="G436" s="1" t="s">
        <v>18362</v>
      </c>
      <c r="H436" s="1" t="str">
        <f t="shared" si="6"/>
        <v/>
      </c>
    </row>
    <row r="437" spans="1:8">
      <c r="A437" s="1">
        <v>436</v>
      </c>
      <c r="B437" s="1" t="s">
        <v>18352</v>
      </c>
      <c r="C437" s="1" t="s">
        <v>150</v>
      </c>
      <c r="D437" s="1" t="s">
        <v>5675</v>
      </c>
      <c r="E437" s="1" t="s">
        <v>7917</v>
      </c>
      <c r="F437" s="1" t="s">
        <v>5709</v>
      </c>
      <c r="G437" s="1" t="s">
        <v>18363</v>
      </c>
      <c r="H437" s="1" t="str">
        <f t="shared" si="6"/>
        <v/>
      </c>
    </row>
    <row r="438" spans="1:8">
      <c r="A438" s="1">
        <v>437</v>
      </c>
      <c r="B438" s="1" t="s">
        <v>18352</v>
      </c>
      <c r="C438" s="1" t="s">
        <v>152</v>
      </c>
      <c r="D438" s="1" t="s">
        <v>5675</v>
      </c>
      <c r="E438" s="1" t="s">
        <v>7921</v>
      </c>
      <c r="F438" s="1" t="s">
        <v>5713</v>
      </c>
      <c r="G438" s="1" t="s">
        <v>18364</v>
      </c>
      <c r="H438" s="1" t="str">
        <f t="shared" si="6"/>
        <v/>
      </c>
    </row>
    <row r="439" spans="1:8">
      <c r="A439" s="1">
        <v>438</v>
      </c>
      <c r="B439" s="1" t="s">
        <v>18365</v>
      </c>
      <c r="C439" s="1" t="s">
        <v>201</v>
      </c>
      <c r="D439" s="1" t="s">
        <v>5716</v>
      </c>
      <c r="E439" s="1" t="s">
        <v>5717</v>
      </c>
      <c r="F439" s="1" t="s">
        <v>1895</v>
      </c>
      <c r="G439" s="1" t="s">
        <v>1896</v>
      </c>
      <c r="H439" s="1" t="str">
        <f t="shared" si="6"/>
        <v>Cisco ASAv</v>
      </c>
    </row>
    <row r="440" spans="1:8">
      <c r="A440" s="1">
        <v>439</v>
      </c>
      <c r="B440" s="1" t="s">
        <v>18365</v>
      </c>
      <c r="C440" s="1" t="s">
        <v>206</v>
      </c>
      <c r="D440" s="1" t="s">
        <v>5716</v>
      </c>
      <c r="E440" s="1" t="s">
        <v>5719</v>
      </c>
      <c r="F440" s="1" t="s">
        <v>5720</v>
      </c>
      <c r="G440" s="1" t="s">
        <v>5721</v>
      </c>
      <c r="H440" s="1" t="str">
        <f t="shared" si="6"/>
        <v>Cisco ASAv</v>
      </c>
    </row>
    <row r="441" spans="1:8">
      <c r="A441" s="1">
        <v>440</v>
      </c>
      <c r="B441" s="1" t="s">
        <v>18366</v>
      </c>
      <c r="C441" s="1" t="s">
        <v>9</v>
      </c>
      <c r="D441" s="1" t="s">
        <v>5723</v>
      </c>
      <c r="E441" s="1" t="s">
        <v>5724</v>
      </c>
      <c r="F441" s="1" t="s">
        <v>5725</v>
      </c>
      <c r="G441" s="1" t="s">
        <v>5726</v>
      </c>
      <c r="H441" s="1" t="str">
        <f t="shared" si="6"/>
        <v>Cisco Catalyst 3750V2-24FS</v>
      </c>
    </row>
    <row r="442" spans="1:8">
      <c r="A442" s="1">
        <v>441</v>
      </c>
      <c r="B442" s="1" t="s">
        <v>18366</v>
      </c>
      <c r="C442" s="1" t="s">
        <v>14</v>
      </c>
      <c r="D442" s="1" t="s">
        <v>5723</v>
      </c>
      <c r="E442" s="1" t="s">
        <v>5728</v>
      </c>
      <c r="F442" s="1" t="s">
        <v>5729</v>
      </c>
      <c r="G442" s="1" t="s">
        <v>5730</v>
      </c>
      <c r="H442" s="1" t="str">
        <f t="shared" si="6"/>
        <v>Cisco Catalyst 3750V2-24FS</v>
      </c>
    </row>
    <row r="443" spans="1:8">
      <c r="A443" s="1">
        <v>442</v>
      </c>
      <c r="B443" s="1" t="s">
        <v>18366</v>
      </c>
      <c r="C443" s="1" t="s">
        <v>19</v>
      </c>
      <c r="D443" s="1" t="s">
        <v>5723</v>
      </c>
      <c r="E443" s="1" t="s">
        <v>5732</v>
      </c>
      <c r="F443" s="1" t="s">
        <v>5733</v>
      </c>
      <c r="G443" s="1" t="s">
        <v>5734</v>
      </c>
      <c r="H443" s="1" t="str">
        <f t="shared" si="6"/>
        <v>Cisco Catalyst 3750V2-24FS</v>
      </c>
    </row>
    <row r="444" spans="1:8">
      <c r="A444" s="1">
        <v>443</v>
      </c>
      <c r="B444" s="1" t="s">
        <v>18366</v>
      </c>
      <c r="C444" s="1" t="s">
        <v>23</v>
      </c>
      <c r="D444" s="1" t="s">
        <v>5723</v>
      </c>
      <c r="E444" s="1" t="s">
        <v>5736</v>
      </c>
      <c r="F444" s="1" t="s">
        <v>5737</v>
      </c>
      <c r="G444" s="1" t="s">
        <v>5738</v>
      </c>
      <c r="H444" s="1" t="str">
        <f t="shared" si="6"/>
        <v>Cisco Catalyst 3750V2-24FS</v>
      </c>
    </row>
    <row r="445" spans="1:8">
      <c r="A445" s="1">
        <v>444</v>
      </c>
      <c r="B445" s="1" t="s">
        <v>18366</v>
      </c>
      <c r="C445" s="1" t="s">
        <v>27</v>
      </c>
      <c r="D445" s="1" t="s">
        <v>5723</v>
      </c>
      <c r="E445" s="1" t="s">
        <v>5740</v>
      </c>
      <c r="F445" s="1" t="s">
        <v>5741</v>
      </c>
      <c r="G445" s="1" t="s">
        <v>5742</v>
      </c>
      <c r="H445" s="1" t="str">
        <f t="shared" si="6"/>
        <v>Cisco Catalyst 3750V2-24FS</v>
      </c>
    </row>
    <row r="446" spans="1:8">
      <c r="A446" s="1">
        <v>445</v>
      </c>
      <c r="B446" s="1" t="s">
        <v>18366</v>
      </c>
      <c r="C446" s="1" t="s">
        <v>31</v>
      </c>
      <c r="D446" s="1" t="s">
        <v>5723</v>
      </c>
      <c r="E446" s="1" t="s">
        <v>3485</v>
      </c>
      <c r="F446" s="1" t="s">
        <v>5744</v>
      </c>
      <c r="G446" s="1" t="s">
        <v>5745</v>
      </c>
      <c r="H446" s="1" t="str">
        <f t="shared" si="6"/>
        <v>Cisco Catalyst 3750V2-24FS</v>
      </c>
    </row>
    <row r="447" spans="1:8">
      <c r="A447" s="1">
        <v>446</v>
      </c>
      <c r="B447" s="1" t="s">
        <v>18366</v>
      </c>
      <c r="C447" s="1" t="s">
        <v>35</v>
      </c>
      <c r="D447" s="1" t="s">
        <v>5723</v>
      </c>
      <c r="E447" s="1" t="s">
        <v>5747</v>
      </c>
      <c r="F447" s="1" t="s">
        <v>5748</v>
      </c>
      <c r="G447" s="1" t="s">
        <v>5749</v>
      </c>
      <c r="H447" s="1" t="str">
        <f t="shared" si="6"/>
        <v>Cisco Catalyst 3750V2-24FS</v>
      </c>
    </row>
    <row r="448" spans="1:8">
      <c r="A448" s="1">
        <v>447</v>
      </c>
      <c r="B448" s="1" t="s">
        <v>18366</v>
      </c>
      <c r="C448" s="1" t="s">
        <v>39</v>
      </c>
      <c r="D448" s="1" t="s">
        <v>5723</v>
      </c>
      <c r="E448" s="1" t="s">
        <v>5751</v>
      </c>
      <c r="F448" s="1" t="s">
        <v>5752</v>
      </c>
      <c r="G448" s="1" t="s">
        <v>5753</v>
      </c>
      <c r="H448" s="1" t="str">
        <f t="shared" si="6"/>
        <v>Cisco Catalyst 3750V2-24FS</v>
      </c>
    </row>
    <row r="449" spans="1:8">
      <c r="A449" s="1">
        <v>448</v>
      </c>
      <c r="B449" s="1" t="s">
        <v>18367</v>
      </c>
      <c r="C449" s="1" t="s">
        <v>9</v>
      </c>
      <c r="D449" s="1" t="s">
        <v>5755</v>
      </c>
      <c r="E449" s="1" t="s">
        <v>3504</v>
      </c>
      <c r="F449" s="1" t="s">
        <v>5756</v>
      </c>
      <c r="G449" s="1" t="s">
        <v>5757</v>
      </c>
      <c r="H449" s="1" t="str">
        <f t="shared" si="6"/>
        <v>Cisco Catalyst 3750V2-24PS</v>
      </c>
    </row>
    <row r="450" spans="1:8">
      <c r="A450" s="1">
        <v>449</v>
      </c>
      <c r="B450" s="1" t="s">
        <v>18367</v>
      </c>
      <c r="C450" s="1" t="s">
        <v>14</v>
      </c>
      <c r="D450" s="1" t="s">
        <v>5755</v>
      </c>
      <c r="E450" s="1" t="s">
        <v>3503</v>
      </c>
      <c r="F450" s="1" t="s">
        <v>5759</v>
      </c>
      <c r="G450" s="1" t="s">
        <v>5760</v>
      </c>
      <c r="H450" s="1" t="str">
        <f t="shared" ref="H450:H513" si="7">IFERROR(IF(OR(MID(G450,FIND(":",G450)-1,1)="""",MID(G450,FIND(":",G450)-1,1)="}",MID(G450,FIND(":",G450)-1,1)=")",MID(G450,FIND(":",G450)-1,1)="]"),"",LEFT(F450,FIND(":",F450)-1)),"")</f>
        <v>Cisco Catalyst 3750V2-24PS</v>
      </c>
    </row>
    <row r="451" spans="1:8">
      <c r="A451" s="1">
        <v>450</v>
      </c>
      <c r="B451" s="1" t="s">
        <v>18367</v>
      </c>
      <c r="C451" s="1" t="s">
        <v>19</v>
      </c>
      <c r="D451" s="1" t="s">
        <v>5755</v>
      </c>
      <c r="E451" s="1" t="s">
        <v>3502</v>
      </c>
      <c r="F451" s="1" t="s">
        <v>5762</v>
      </c>
      <c r="G451" s="1" t="s">
        <v>5763</v>
      </c>
      <c r="H451" s="1" t="str">
        <f t="shared" si="7"/>
        <v>Cisco Catalyst 3750V2-24PS</v>
      </c>
    </row>
    <row r="452" spans="1:8">
      <c r="A452" s="1">
        <v>451</v>
      </c>
      <c r="B452" s="1" t="s">
        <v>18367</v>
      </c>
      <c r="C452" s="1" t="s">
        <v>23</v>
      </c>
      <c r="D452" s="1" t="s">
        <v>5755</v>
      </c>
      <c r="E452" s="1" t="s">
        <v>5765</v>
      </c>
      <c r="F452" s="1" t="s">
        <v>5766</v>
      </c>
      <c r="G452" s="1" t="s">
        <v>5767</v>
      </c>
      <c r="H452" s="1" t="str">
        <f t="shared" si="7"/>
        <v>Cisco Catalyst 3750V2-24PS</v>
      </c>
    </row>
    <row r="453" spans="1:8">
      <c r="A453" s="1">
        <v>452</v>
      </c>
      <c r="B453" s="1" t="s">
        <v>18367</v>
      </c>
      <c r="C453" s="1" t="s">
        <v>27</v>
      </c>
      <c r="D453" s="1" t="s">
        <v>5755</v>
      </c>
      <c r="E453" s="1" t="s">
        <v>5769</v>
      </c>
      <c r="F453" s="1" t="s">
        <v>5770</v>
      </c>
      <c r="G453" s="1" t="s">
        <v>5771</v>
      </c>
      <c r="H453" s="1" t="str">
        <f t="shared" si="7"/>
        <v>Cisco Catalyst 3750V2-24PS</v>
      </c>
    </row>
    <row r="454" spans="1:8">
      <c r="A454" s="1">
        <v>453</v>
      </c>
      <c r="B454" s="1" t="s">
        <v>18367</v>
      </c>
      <c r="C454" s="1" t="s">
        <v>31</v>
      </c>
      <c r="D454" s="1" t="s">
        <v>5755</v>
      </c>
      <c r="E454" s="1" t="s">
        <v>5773</v>
      </c>
      <c r="F454" s="1" t="s">
        <v>5774</v>
      </c>
      <c r="G454" s="1" t="s">
        <v>5775</v>
      </c>
      <c r="H454" s="1" t="str">
        <f t="shared" si="7"/>
        <v>Cisco Catalyst 3750V2-24PS</v>
      </c>
    </row>
    <row r="455" spans="1:8">
      <c r="A455" s="1">
        <v>454</v>
      </c>
      <c r="B455" s="1" t="s">
        <v>18367</v>
      </c>
      <c r="C455" s="1" t="s">
        <v>35</v>
      </c>
      <c r="D455" s="1" t="s">
        <v>5755</v>
      </c>
      <c r="E455" s="1" t="s">
        <v>3505</v>
      </c>
      <c r="F455" s="1" t="s">
        <v>5777</v>
      </c>
      <c r="G455" s="1" t="s">
        <v>5778</v>
      </c>
      <c r="H455" s="1" t="str">
        <f t="shared" si="7"/>
        <v>Cisco Catalyst 3750V2-24PS</v>
      </c>
    </row>
    <row r="456" spans="1:8">
      <c r="A456" s="1">
        <v>455</v>
      </c>
      <c r="B456" s="1" t="s">
        <v>18367</v>
      </c>
      <c r="C456" s="1" t="s">
        <v>39</v>
      </c>
      <c r="D456" s="1" t="s">
        <v>5755</v>
      </c>
      <c r="E456" s="1" t="s">
        <v>5780</v>
      </c>
      <c r="F456" s="1" t="s">
        <v>5781</v>
      </c>
      <c r="G456" s="1" t="s">
        <v>5782</v>
      </c>
      <c r="H456" s="1" t="str">
        <f t="shared" si="7"/>
        <v>Cisco Catalyst 3750V2-24PS</v>
      </c>
    </row>
    <row r="457" spans="1:8">
      <c r="A457" s="1">
        <v>456</v>
      </c>
      <c r="B457" s="1" t="s">
        <v>18368</v>
      </c>
      <c r="C457" s="1" t="s">
        <v>9</v>
      </c>
      <c r="D457" s="1" t="s">
        <v>5784</v>
      </c>
      <c r="E457" s="1" t="s">
        <v>3520</v>
      </c>
      <c r="F457" s="1" t="s">
        <v>5785</v>
      </c>
      <c r="G457" s="1" t="s">
        <v>5786</v>
      </c>
      <c r="H457" s="1" t="str">
        <f t="shared" si="7"/>
        <v>Cisco Catalyst 3750V2-24TS</v>
      </c>
    </row>
    <row r="458" spans="1:8">
      <c r="A458" s="1">
        <v>457</v>
      </c>
      <c r="B458" s="1" t="s">
        <v>18368</v>
      </c>
      <c r="C458" s="1" t="s">
        <v>14</v>
      </c>
      <c r="D458" s="1" t="s">
        <v>5784</v>
      </c>
      <c r="E458" s="1" t="s">
        <v>3518</v>
      </c>
      <c r="F458" s="1" t="s">
        <v>5788</v>
      </c>
      <c r="G458" s="1" t="s">
        <v>5789</v>
      </c>
      <c r="H458" s="1" t="str">
        <f t="shared" si="7"/>
        <v>Cisco Catalyst 3750V2-24TS</v>
      </c>
    </row>
    <row r="459" spans="1:8">
      <c r="A459" s="1">
        <v>458</v>
      </c>
      <c r="B459" s="1" t="s">
        <v>18368</v>
      </c>
      <c r="C459" s="1" t="s">
        <v>19</v>
      </c>
      <c r="D459" s="1" t="s">
        <v>5784</v>
      </c>
      <c r="E459" s="1" t="s">
        <v>3517</v>
      </c>
      <c r="F459" s="1" t="s">
        <v>5791</v>
      </c>
      <c r="G459" s="1" t="s">
        <v>5792</v>
      </c>
      <c r="H459" s="1" t="str">
        <f t="shared" si="7"/>
        <v>Cisco Catalyst 3750V2-24TS</v>
      </c>
    </row>
    <row r="460" spans="1:8">
      <c r="A460" s="1">
        <v>459</v>
      </c>
      <c r="B460" s="1" t="s">
        <v>18368</v>
      </c>
      <c r="C460" s="1" t="s">
        <v>23</v>
      </c>
      <c r="D460" s="1" t="s">
        <v>5784</v>
      </c>
      <c r="E460" s="1" t="s">
        <v>3519</v>
      </c>
      <c r="F460" s="1" t="s">
        <v>5794</v>
      </c>
      <c r="G460" s="1" t="s">
        <v>5795</v>
      </c>
      <c r="H460" s="1" t="str">
        <f t="shared" si="7"/>
        <v>Cisco Catalyst 3750V2-24TS</v>
      </c>
    </row>
    <row r="461" spans="1:8">
      <c r="A461" s="1">
        <v>460</v>
      </c>
      <c r="B461" s="1" t="s">
        <v>18368</v>
      </c>
      <c r="C461" s="1" t="s">
        <v>27</v>
      </c>
      <c r="D461" s="1" t="s">
        <v>5784</v>
      </c>
      <c r="E461" s="1" t="s">
        <v>3522</v>
      </c>
      <c r="F461" s="1" t="s">
        <v>5797</v>
      </c>
      <c r="G461" s="1" t="s">
        <v>5798</v>
      </c>
      <c r="H461" s="1" t="str">
        <f t="shared" si="7"/>
        <v>Cisco Catalyst 3750V2-24TS</v>
      </c>
    </row>
    <row r="462" spans="1:8">
      <c r="A462" s="1">
        <v>461</v>
      </c>
      <c r="B462" s="1" t="s">
        <v>18368</v>
      </c>
      <c r="C462" s="1" t="s">
        <v>31</v>
      </c>
      <c r="D462" s="1" t="s">
        <v>5784</v>
      </c>
      <c r="E462" s="1" t="s">
        <v>3524</v>
      </c>
      <c r="F462" s="1" t="s">
        <v>5800</v>
      </c>
      <c r="G462" s="1" t="s">
        <v>5801</v>
      </c>
      <c r="H462" s="1" t="str">
        <f t="shared" si="7"/>
        <v>Cisco Catalyst 3750V2-24TS</v>
      </c>
    </row>
    <row r="463" spans="1:8">
      <c r="A463" s="1">
        <v>462</v>
      </c>
      <c r="B463" s="1" t="s">
        <v>18368</v>
      </c>
      <c r="C463" s="1" t="s">
        <v>35</v>
      </c>
      <c r="D463" s="1" t="s">
        <v>5784</v>
      </c>
      <c r="E463" s="1" t="s">
        <v>3521</v>
      </c>
      <c r="F463" s="1" t="s">
        <v>5803</v>
      </c>
      <c r="G463" s="1" t="s">
        <v>5804</v>
      </c>
      <c r="H463" s="1" t="str">
        <f t="shared" si="7"/>
        <v>Cisco Catalyst 3750V2-24TS</v>
      </c>
    </row>
    <row r="464" spans="1:8">
      <c r="A464" s="1">
        <v>463</v>
      </c>
      <c r="B464" s="1" t="s">
        <v>18368</v>
      </c>
      <c r="C464" s="1" t="s">
        <v>39</v>
      </c>
      <c r="D464" s="1" t="s">
        <v>5784</v>
      </c>
      <c r="E464" s="1" t="s">
        <v>3523</v>
      </c>
      <c r="F464" s="1" t="s">
        <v>5806</v>
      </c>
      <c r="G464" s="1" t="s">
        <v>5807</v>
      </c>
      <c r="H464" s="1" t="str">
        <f t="shared" si="7"/>
        <v>Cisco Catalyst 3750V2-24TS</v>
      </c>
    </row>
    <row r="465" spans="1:8">
      <c r="A465" s="1">
        <v>464</v>
      </c>
      <c r="B465" s="1" t="s">
        <v>18369</v>
      </c>
      <c r="C465" s="1" t="s">
        <v>9</v>
      </c>
      <c r="D465" s="1" t="s">
        <v>5809</v>
      </c>
      <c r="E465" s="1" t="s">
        <v>5810</v>
      </c>
      <c r="F465" s="1" t="s">
        <v>5811</v>
      </c>
      <c r="G465" s="1" t="s">
        <v>5812</v>
      </c>
      <c r="H465" s="1" t="str">
        <f t="shared" si="7"/>
        <v>Cisco Catalyst 3750V2-48PS</v>
      </c>
    </row>
    <row r="466" spans="1:8">
      <c r="A466" s="1">
        <v>465</v>
      </c>
      <c r="B466" s="1" t="s">
        <v>18369</v>
      </c>
      <c r="C466" s="1" t="s">
        <v>14</v>
      </c>
      <c r="D466" s="1" t="s">
        <v>5809</v>
      </c>
      <c r="E466" s="1" t="s">
        <v>3536</v>
      </c>
      <c r="F466" s="1" t="s">
        <v>5814</v>
      </c>
      <c r="G466" s="1" t="s">
        <v>5815</v>
      </c>
      <c r="H466" s="1" t="str">
        <f t="shared" si="7"/>
        <v>Cisco Catalyst 3750V2-48PS</v>
      </c>
    </row>
    <row r="467" spans="1:8">
      <c r="A467" s="1">
        <v>466</v>
      </c>
      <c r="B467" s="1" t="s">
        <v>18369</v>
      </c>
      <c r="C467" s="1" t="s">
        <v>19</v>
      </c>
      <c r="D467" s="1" t="s">
        <v>5809</v>
      </c>
      <c r="E467" s="1" t="s">
        <v>3535</v>
      </c>
      <c r="F467" s="1" t="s">
        <v>5817</v>
      </c>
      <c r="G467" s="1" t="s">
        <v>5818</v>
      </c>
      <c r="H467" s="1" t="str">
        <f t="shared" si="7"/>
        <v>Cisco Catalyst 3750V2-48PS</v>
      </c>
    </row>
    <row r="468" spans="1:8">
      <c r="A468" s="1">
        <v>467</v>
      </c>
      <c r="B468" s="1" t="s">
        <v>18369</v>
      </c>
      <c r="C468" s="1" t="s">
        <v>23</v>
      </c>
      <c r="D468" s="1" t="s">
        <v>5809</v>
      </c>
      <c r="E468" s="1" t="s">
        <v>3537</v>
      </c>
      <c r="F468" s="1" t="s">
        <v>5820</v>
      </c>
      <c r="G468" s="1" t="s">
        <v>5821</v>
      </c>
      <c r="H468" s="1" t="str">
        <f t="shared" si="7"/>
        <v>Cisco Catalyst 3750V2-48PS</v>
      </c>
    </row>
    <row r="469" spans="1:8">
      <c r="A469" s="1">
        <v>468</v>
      </c>
      <c r="B469" s="1" t="s">
        <v>18369</v>
      </c>
      <c r="C469" s="1" t="s">
        <v>27</v>
      </c>
      <c r="D469" s="1" t="s">
        <v>5809</v>
      </c>
      <c r="E469" s="1" t="s">
        <v>5823</v>
      </c>
      <c r="F469" s="1" t="s">
        <v>5824</v>
      </c>
      <c r="G469" s="1" t="s">
        <v>5825</v>
      </c>
      <c r="H469" s="1" t="str">
        <f t="shared" si="7"/>
        <v>Cisco Catalyst 3750V2-48PS</v>
      </c>
    </row>
    <row r="470" spans="1:8">
      <c r="A470" s="1">
        <v>469</v>
      </c>
      <c r="B470" s="1" t="s">
        <v>18369</v>
      </c>
      <c r="C470" s="1" t="s">
        <v>31</v>
      </c>
      <c r="D470" s="1" t="s">
        <v>5809</v>
      </c>
      <c r="E470" s="1" t="s">
        <v>3539</v>
      </c>
      <c r="F470" s="1" t="s">
        <v>5827</v>
      </c>
      <c r="G470" s="1" t="s">
        <v>5828</v>
      </c>
      <c r="H470" s="1" t="str">
        <f t="shared" si="7"/>
        <v>Cisco Catalyst 3750V2-48PS</v>
      </c>
    </row>
    <row r="471" spans="1:8">
      <c r="A471" s="1">
        <v>470</v>
      </c>
      <c r="B471" s="1" t="s">
        <v>18369</v>
      </c>
      <c r="C471" s="1" t="s">
        <v>35</v>
      </c>
      <c r="D471" s="1" t="s">
        <v>5809</v>
      </c>
      <c r="E471" s="1" t="s">
        <v>5830</v>
      </c>
      <c r="F471" s="1" t="s">
        <v>5831</v>
      </c>
      <c r="G471" s="1" t="s">
        <v>5832</v>
      </c>
      <c r="H471" s="1" t="str">
        <f t="shared" si="7"/>
        <v>Cisco Catalyst 3750V2-48PS</v>
      </c>
    </row>
    <row r="472" spans="1:8">
      <c r="A472" s="1">
        <v>471</v>
      </c>
      <c r="B472" s="1" t="s">
        <v>18369</v>
      </c>
      <c r="C472" s="1" t="s">
        <v>39</v>
      </c>
      <c r="D472" s="1" t="s">
        <v>5809</v>
      </c>
      <c r="E472" s="1" t="s">
        <v>3538</v>
      </c>
      <c r="F472" s="1" t="s">
        <v>5834</v>
      </c>
      <c r="G472" s="1" t="s">
        <v>5835</v>
      </c>
      <c r="H472" s="1" t="str">
        <f t="shared" si="7"/>
        <v>Cisco Catalyst 3750V2-48PS</v>
      </c>
    </row>
    <row r="473" spans="1:8">
      <c r="A473" s="1">
        <v>472</v>
      </c>
      <c r="B473" s="1" t="s">
        <v>18370</v>
      </c>
      <c r="C473" s="1" t="s">
        <v>9</v>
      </c>
      <c r="D473" s="1" t="s">
        <v>5837</v>
      </c>
      <c r="E473" s="1" t="s">
        <v>5838</v>
      </c>
      <c r="F473" s="1" t="s">
        <v>5839</v>
      </c>
      <c r="G473" s="1" t="s">
        <v>5840</v>
      </c>
      <c r="H473" s="1" t="str">
        <f t="shared" si="7"/>
        <v>Cisco Catalyst 3750V2-48TS</v>
      </c>
    </row>
    <row r="474" spans="1:8">
      <c r="A474" s="1">
        <v>473</v>
      </c>
      <c r="B474" s="1" t="s">
        <v>18370</v>
      </c>
      <c r="C474" s="1" t="s">
        <v>14</v>
      </c>
      <c r="D474" s="1" t="s">
        <v>5837</v>
      </c>
      <c r="E474" s="1" t="s">
        <v>5842</v>
      </c>
      <c r="F474" s="1" t="s">
        <v>5843</v>
      </c>
      <c r="G474" s="1" t="s">
        <v>5844</v>
      </c>
      <c r="H474" s="1" t="str">
        <f t="shared" si="7"/>
        <v>Cisco Catalyst 3750V2-48TS</v>
      </c>
    </row>
    <row r="475" spans="1:8">
      <c r="A475" s="1">
        <v>474</v>
      </c>
      <c r="B475" s="1" t="s">
        <v>18370</v>
      </c>
      <c r="C475" s="1" t="s">
        <v>19</v>
      </c>
      <c r="D475" s="1" t="s">
        <v>5837</v>
      </c>
      <c r="E475" s="1" t="s">
        <v>5846</v>
      </c>
      <c r="F475" s="1" t="s">
        <v>5847</v>
      </c>
      <c r="G475" s="1" t="s">
        <v>5848</v>
      </c>
      <c r="H475" s="1" t="str">
        <f t="shared" si="7"/>
        <v>Cisco Catalyst 3750V2-48TS</v>
      </c>
    </row>
    <row r="476" spans="1:8">
      <c r="A476" s="1">
        <v>475</v>
      </c>
      <c r="B476" s="1" t="s">
        <v>18370</v>
      </c>
      <c r="C476" s="1" t="s">
        <v>23</v>
      </c>
      <c r="D476" s="1" t="s">
        <v>5837</v>
      </c>
      <c r="E476" s="1" t="s">
        <v>5850</v>
      </c>
      <c r="F476" s="1" t="s">
        <v>5851</v>
      </c>
      <c r="G476" s="1" t="s">
        <v>5852</v>
      </c>
      <c r="H476" s="1" t="str">
        <f t="shared" si="7"/>
        <v>Cisco Catalyst 3750V2-48TS</v>
      </c>
    </row>
    <row r="477" spans="1:8">
      <c r="A477" s="1">
        <v>476</v>
      </c>
      <c r="B477" s="1" t="s">
        <v>18370</v>
      </c>
      <c r="C477" s="1" t="s">
        <v>27</v>
      </c>
      <c r="D477" s="1" t="s">
        <v>5837</v>
      </c>
      <c r="E477" s="1" t="s">
        <v>5854</v>
      </c>
      <c r="F477" s="1" t="s">
        <v>5855</v>
      </c>
      <c r="G477" s="1" t="s">
        <v>5856</v>
      </c>
      <c r="H477" s="1" t="str">
        <f t="shared" si="7"/>
        <v>Cisco Catalyst 3750V2-48TS</v>
      </c>
    </row>
    <row r="478" spans="1:8">
      <c r="A478" s="1">
        <v>477</v>
      </c>
      <c r="B478" s="1" t="s">
        <v>18370</v>
      </c>
      <c r="C478" s="1" t="s">
        <v>31</v>
      </c>
      <c r="D478" s="1" t="s">
        <v>5837</v>
      </c>
      <c r="E478" s="1" t="s">
        <v>3557</v>
      </c>
      <c r="F478" s="1" t="s">
        <v>5858</v>
      </c>
      <c r="G478" s="1" t="s">
        <v>5859</v>
      </c>
      <c r="H478" s="1" t="str">
        <f t="shared" si="7"/>
        <v>Cisco Catalyst 3750V2-48TS</v>
      </c>
    </row>
    <row r="479" spans="1:8">
      <c r="A479" s="1">
        <v>478</v>
      </c>
      <c r="B479" s="1" t="s">
        <v>18370</v>
      </c>
      <c r="C479" s="1" t="s">
        <v>35</v>
      </c>
      <c r="D479" s="1" t="s">
        <v>5837</v>
      </c>
      <c r="E479" s="1" t="s">
        <v>5861</v>
      </c>
      <c r="F479" s="1" t="s">
        <v>5862</v>
      </c>
      <c r="G479" s="1" t="s">
        <v>5863</v>
      </c>
      <c r="H479" s="1" t="str">
        <f t="shared" si="7"/>
        <v>Cisco Catalyst 3750V2-48TS</v>
      </c>
    </row>
    <row r="480" spans="1:8">
      <c r="A480" s="1">
        <v>479</v>
      </c>
      <c r="B480" s="1" t="s">
        <v>18370</v>
      </c>
      <c r="C480" s="1" t="s">
        <v>39</v>
      </c>
      <c r="D480" s="1" t="s">
        <v>5837</v>
      </c>
      <c r="E480" s="1" t="s">
        <v>5865</v>
      </c>
      <c r="F480" s="1" t="s">
        <v>5866</v>
      </c>
      <c r="G480" s="1" t="s">
        <v>5867</v>
      </c>
      <c r="H480" s="1" t="str">
        <f t="shared" si="7"/>
        <v>Cisco Catalyst 3750V2-48TS</v>
      </c>
    </row>
    <row r="481" spans="1:8">
      <c r="A481" s="1">
        <v>480</v>
      </c>
      <c r="B481" s="1" t="s">
        <v>18371</v>
      </c>
      <c r="C481" s="1" t="s">
        <v>9</v>
      </c>
      <c r="D481" s="1" t="s">
        <v>5869</v>
      </c>
      <c r="E481" s="1" t="s">
        <v>5870</v>
      </c>
      <c r="F481" s="1" t="s">
        <v>5871</v>
      </c>
      <c r="G481" s="1" t="s">
        <v>5872</v>
      </c>
      <c r="H481" s="1" t="str">
        <f t="shared" si="7"/>
        <v>Cisco IOS</v>
      </c>
    </row>
    <row r="482" spans="1:8">
      <c r="A482" s="1">
        <v>481</v>
      </c>
      <c r="B482" s="1" t="s">
        <v>18371</v>
      </c>
      <c r="C482" s="1" t="s">
        <v>14</v>
      </c>
      <c r="D482" s="1" t="s">
        <v>5869</v>
      </c>
      <c r="E482" s="1" t="s">
        <v>5874</v>
      </c>
      <c r="F482" s="1" t="s">
        <v>5875</v>
      </c>
      <c r="G482" s="1" t="s">
        <v>5876</v>
      </c>
      <c r="H482" s="1" t="str">
        <f t="shared" si="7"/>
        <v>Cisco IOS</v>
      </c>
    </row>
    <row r="483" spans="1:8">
      <c r="A483" s="1">
        <v>482</v>
      </c>
      <c r="B483" s="1" t="s">
        <v>18371</v>
      </c>
      <c r="C483" s="1" t="s">
        <v>19</v>
      </c>
      <c r="D483" s="1" t="s">
        <v>5869</v>
      </c>
      <c r="E483" s="1" t="s">
        <v>5878</v>
      </c>
      <c r="F483" s="1" t="s">
        <v>5879</v>
      </c>
      <c r="G483" s="1" t="s">
        <v>5880</v>
      </c>
      <c r="H483" s="1" t="str">
        <f t="shared" si="7"/>
        <v>Cisco IOS</v>
      </c>
    </row>
    <row r="484" spans="1:8">
      <c r="A484" s="1">
        <v>483</v>
      </c>
      <c r="B484" s="1" t="s">
        <v>18371</v>
      </c>
      <c r="C484" s="1" t="s">
        <v>23</v>
      </c>
      <c r="D484" s="1" t="s">
        <v>5869</v>
      </c>
      <c r="E484" s="1" t="s">
        <v>5882</v>
      </c>
      <c r="F484" s="1" t="s">
        <v>5883</v>
      </c>
      <c r="G484" s="1" t="s">
        <v>5884</v>
      </c>
      <c r="H484" s="1" t="str">
        <f t="shared" si="7"/>
        <v>Cisco IOS</v>
      </c>
    </row>
    <row r="485" spans="1:8">
      <c r="A485" s="1">
        <v>484</v>
      </c>
      <c r="B485" s="1" t="s">
        <v>18371</v>
      </c>
      <c r="C485" s="1" t="s">
        <v>27</v>
      </c>
      <c r="D485" s="1" t="s">
        <v>5869</v>
      </c>
      <c r="E485" s="1" t="s">
        <v>5886</v>
      </c>
      <c r="F485" s="1" t="s">
        <v>5887</v>
      </c>
      <c r="G485" s="1" t="s">
        <v>5888</v>
      </c>
      <c r="H485" s="1" t="str">
        <f t="shared" si="7"/>
        <v>Cisco IOS</v>
      </c>
    </row>
    <row r="486" spans="1:8">
      <c r="A486" s="1">
        <v>485</v>
      </c>
      <c r="B486" s="1" t="s">
        <v>18371</v>
      </c>
      <c r="C486" s="1" t="s">
        <v>31</v>
      </c>
      <c r="D486" s="1" t="s">
        <v>5869</v>
      </c>
      <c r="E486" s="1" t="s">
        <v>5890</v>
      </c>
      <c r="F486" s="1" t="s">
        <v>5891</v>
      </c>
      <c r="G486" s="1" t="s">
        <v>5892</v>
      </c>
      <c r="H486" s="1" t="str">
        <f t="shared" si="7"/>
        <v>Cisco IOS</v>
      </c>
    </row>
    <row r="487" spans="1:8">
      <c r="A487" s="1">
        <v>486</v>
      </c>
      <c r="B487" s="1" t="s">
        <v>18371</v>
      </c>
      <c r="C487" s="1" t="s">
        <v>35</v>
      </c>
      <c r="D487" s="1" t="s">
        <v>5869</v>
      </c>
      <c r="E487" s="1" t="s">
        <v>5894</v>
      </c>
      <c r="F487" s="1" t="s">
        <v>5895</v>
      </c>
      <c r="G487" s="1" t="s">
        <v>5896</v>
      </c>
      <c r="H487" s="1" t="str">
        <f t="shared" si="7"/>
        <v>Cisco IOS</v>
      </c>
    </row>
    <row r="488" spans="1:8">
      <c r="A488" s="1">
        <v>487</v>
      </c>
      <c r="B488" s="1" t="s">
        <v>18371</v>
      </c>
      <c r="C488" s="1" t="s">
        <v>39</v>
      </c>
      <c r="D488" s="1" t="s">
        <v>5869</v>
      </c>
      <c r="E488" s="1" t="s">
        <v>5898</v>
      </c>
      <c r="F488" s="1" t="s">
        <v>5899</v>
      </c>
      <c r="G488" s="1" t="s">
        <v>5900</v>
      </c>
      <c r="H488" s="1" t="str">
        <f t="shared" si="7"/>
        <v>Cisco IOS</v>
      </c>
    </row>
    <row r="489" spans="1:8">
      <c r="A489" s="1">
        <v>488</v>
      </c>
      <c r="B489" s="1" t="s">
        <v>18372</v>
      </c>
      <c r="C489" s="1" t="s">
        <v>93</v>
      </c>
      <c r="D489" s="1" t="s">
        <v>5902</v>
      </c>
      <c r="E489" s="1" t="s">
        <v>5903</v>
      </c>
      <c r="F489" s="1" t="s">
        <v>5904</v>
      </c>
      <c r="G489" s="1" t="s">
        <v>5905</v>
      </c>
      <c r="H489" s="1" t="str">
        <f t="shared" si="7"/>
        <v>Cisco IOS</v>
      </c>
    </row>
    <row r="490" spans="1:8">
      <c r="A490" s="1">
        <v>489</v>
      </c>
      <c r="B490" s="1" t="s">
        <v>18372</v>
      </c>
      <c r="C490" s="1" t="s">
        <v>98</v>
      </c>
      <c r="D490" s="1" t="s">
        <v>5902</v>
      </c>
      <c r="E490" s="1" t="s">
        <v>5907</v>
      </c>
      <c r="F490" s="1" t="s">
        <v>5871</v>
      </c>
      <c r="G490" s="1" t="s">
        <v>5872</v>
      </c>
      <c r="H490" s="1" t="str">
        <f t="shared" si="7"/>
        <v>Cisco IOS</v>
      </c>
    </row>
    <row r="491" spans="1:8">
      <c r="A491" s="1">
        <v>490</v>
      </c>
      <c r="B491" s="1" t="s">
        <v>18372</v>
      </c>
      <c r="C491" s="1" t="s">
        <v>102</v>
      </c>
      <c r="D491" s="1" t="s">
        <v>5902</v>
      </c>
      <c r="E491" s="1" t="s">
        <v>5909</v>
      </c>
      <c r="F491" s="1" t="s">
        <v>5875</v>
      </c>
      <c r="G491" s="1" t="s">
        <v>5876</v>
      </c>
      <c r="H491" s="1" t="str">
        <f t="shared" si="7"/>
        <v>Cisco IOS</v>
      </c>
    </row>
    <row r="492" spans="1:8">
      <c r="A492" s="1">
        <v>491</v>
      </c>
      <c r="B492" s="1" t="s">
        <v>18372</v>
      </c>
      <c r="C492" s="1" t="s">
        <v>106</v>
      </c>
      <c r="D492" s="1" t="s">
        <v>5902</v>
      </c>
      <c r="E492" s="1" t="s">
        <v>5911</v>
      </c>
      <c r="F492" s="1" t="s">
        <v>5879</v>
      </c>
      <c r="G492" s="1" t="s">
        <v>5880</v>
      </c>
      <c r="H492" s="1" t="str">
        <f t="shared" si="7"/>
        <v>Cisco IOS</v>
      </c>
    </row>
    <row r="493" spans="1:8">
      <c r="A493" s="1">
        <v>492</v>
      </c>
      <c r="B493" s="1" t="s">
        <v>18372</v>
      </c>
      <c r="C493" s="1" t="s">
        <v>110</v>
      </c>
      <c r="D493" s="1" t="s">
        <v>5902</v>
      </c>
      <c r="E493" s="1" t="s">
        <v>5913</v>
      </c>
      <c r="F493" s="1" t="s">
        <v>5883</v>
      </c>
      <c r="G493" s="1" t="s">
        <v>5884</v>
      </c>
      <c r="H493" s="1" t="str">
        <f t="shared" si="7"/>
        <v>Cisco IOS</v>
      </c>
    </row>
    <row r="494" spans="1:8">
      <c r="A494" s="1">
        <v>493</v>
      </c>
      <c r="B494" s="1" t="s">
        <v>18372</v>
      </c>
      <c r="C494" s="1" t="s">
        <v>114</v>
      </c>
      <c r="D494" s="1" t="s">
        <v>5902</v>
      </c>
      <c r="E494" s="1" t="s">
        <v>5915</v>
      </c>
      <c r="F494" s="1" t="s">
        <v>5887</v>
      </c>
      <c r="G494" s="1" t="s">
        <v>5888</v>
      </c>
      <c r="H494" s="1" t="str">
        <f t="shared" si="7"/>
        <v>Cisco IOS</v>
      </c>
    </row>
    <row r="495" spans="1:8">
      <c r="A495" s="1">
        <v>494</v>
      </c>
      <c r="B495" s="1" t="s">
        <v>18372</v>
      </c>
      <c r="C495" s="1" t="s">
        <v>118</v>
      </c>
      <c r="D495" s="1" t="s">
        <v>5902</v>
      </c>
      <c r="E495" s="1" t="s">
        <v>5917</v>
      </c>
      <c r="F495" s="1" t="s">
        <v>5891</v>
      </c>
      <c r="G495" s="1" t="s">
        <v>5892</v>
      </c>
      <c r="H495" s="1" t="str">
        <f t="shared" si="7"/>
        <v>Cisco IOS</v>
      </c>
    </row>
    <row r="496" spans="1:8">
      <c r="A496" s="1">
        <v>495</v>
      </c>
      <c r="B496" s="1" t="s">
        <v>18372</v>
      </c>
      <c r="C496" s="1" t="s">
        <v>122</v>
      </c>
      <c r="D496" s="1" t="s">
        <v>5902</v>
      </c>
      <c r="E496" s="1" t="s">
        <v>5919</v>
      </c>
      <c r="F496" s="1" t="s">
        <v>5895</v>
      </c>
      <c r="G496" s="1" t="s">
        <v>5896</v>
      </c>
      <c r="H496" s="1" t="str">
        <f t="shared" si="7"/>
        <v>Cisco IOS</v>
      </c>
    </row>
    <row r="497" spans="1:8">
      <c r="A497" s="1">
        <v>496</v>
      </c>
      <c r="B497" s="1" t="s">
        <v>18372</v>
      </c>
      <c r="C497" s="1" t="s">
        <v>126</v>
      </c>
      <c r="D497" s="1" t="s">
        <v>5902</v>
      </c>
      <c r="E497" s="1" t="s">
        <v>5921</v>
      </c>
      <c r="F497" s="1" t="s">
        <v>5899</v>
      </c>
      <c r="G497" s="1" t="s">
        <v>5900</v>
      </c>
      <c r="H497" s="1" t="str">
        <f t="shared" si="7"/>
        <v>Cisco IOS</v>
      </c>
    </row>
    <row r="498" spans="1:8">
      <c r="A498" s="1">
        <v>497</v>
      </c>
      <c r="B498" s="1" t="s">
        <v>18373</v>
      </c>
      <c r="C498" s="1" t="s">
        <v>9</v>
      </c>
      <c r="D498" s="1" t="s">
        <v>5923</v>
      </c>
      <c r="E498" s="1" t="s">
        <v>5924</v>
      </c>
      <c r="F498" s="1" t="s">
        <v>5871</v>
      </c>
      <c r="G498" s="1" t="s">
        <v>5872</v>
      </c>
      <c r="H498" s="1" t="str">
        <f t="shared" si="7"/>
        <v>Cisco IOS</v>
      </c>
    </row>
    <row r="499" spans="1:8">
      <c r="A499" s="1">
        <v>498</v>
      </c>
      <c r="B499" s="1" t="s">
        <v>18373</v>
      </c>
      <c r="C499" s="1" t="s">
        <v>14</v>
      </c>
      <c r="D499" s="1" t="s">
        <v>5923</v>
      </c>
      <c r="E499" s="1" t="s">
        <v>5926</v>
      </c>
      <c r="F499" s="1" t="s">
        <v>5875</v>
      </c>
      <c r="G499" s="1" t="s">
        <v>5876</v>
      </c>
      <c r="H499" s="1" t="str">
        <f t="shared" si="7"/>
        <v>Cisco IOS</v>
      </c>
    </row>
    <row r="500" spans="1:8">
      <c r="A500" s="1">
        <v>499</v>
      </c>
      <c r="B500" s="1" t="s">
        <v>18373</v>
      </c>
      <c r="C500" s="1" t="s">
        <v>19</v>
      </c>
      <c r="D500" s="1" t="s">
        <v>5923</v>
      </c>
      <c r="E500" s="1" t="s">
        <v>5928</v>
      </c>
      <c r="F500" s="1" t="s">
        <v>5879</v>
      </c>
      <c r="G500" s="1" t="s">
        <v>5880</v>
      </c>
      <c r="H500" s="1" t="str">
        <f t="shared" si="7"/>
        <v>Cisco IOS</v>
      </c>
    </row>
    <row r="501" spans="1:8">
      <c r="A501" s="1">
        <v>500</v>
      </c>
      <c r="B501" s="1" t="s">
        <v>18373</v>
      </c>
      <c r="C501" s="1" t="s">
        <v>23</v>
      </c>
      <c r="D501" s="1" t="s">
        <v>5923</v>
      </c>
      <c r="E501" s="1" t="s">
        <v>5930</v>
      </c>
      <c r="F501" s="1" t="s">
        <v>5883</v>
      </c>
      <c r="G501" s="1" t="s">
        <v>5884</v>
      </c>
      <c r="H501" s="1" t="str">
        <f t="shared" si="7"/>
        <v>Cisco IOS</v>
      </c>
    </row>
    <row r="502" spans="1:8">
      <c r="A502" s="1">
        <v>501</v>
      </c>
      <c r="B502" s="1" t="s">
        <v>18373</v>
      </c>
      <c r="C502" s="1" t="s">
        <v>27</v>
      </c>
      <c r="D502" s="1" t="s">
        <v>5923</v>
      </c>
      <c r="E502" s="1" t="s">
        <v>5932</v>
      </c>
      <c r="F502" s="1" t="s">
        <v>5887</v>
      </c>
      <c r="G502" s="1" t="s">
        <v>5888</v>
      </c>
      <c r="H502" s="1" t="str">
        <f t="shared" si="7"/>
        <v>Cisco IOS</v>
      </c>
    </row>
    <row r="503" spans="1:8">
      <c r="A503" s="1">
        <v>502</v>
      </c>
      <c r="B503" s="1" t="s">
        <v>18373</v>
      </c>
      <c r="C503" s="1" t="s">
        <v>31</v>
      </c>
      <c r="D503" s="1" t="s">
        <v>5923</v>
      </c>
      <c r="E503" s="1" t="s">
        <v>5934</v>
      </c>
      <c r="F503" s="1" t="s">
        <v>5891</v>
      </c>
      <c r="G503" s="1" t="s">
        <v>5892</v>
      </c>
      <c r="H503" s="1" t="str">
        <f t="shared" si="7"/>
        <v>Cisco IOS</v>
      </c>
    </row>
    <row r="504" spans="1:8">
      <c r="A504" s="1">
        <v>503</v>
      </c>
      <c r="B504" s="1" t="s">
        <v>18373</v>
      </c>
      <c r="C504" s="1" t="s">
        <v>35</v>
      </c>
      <c r="D504" s="1" t="s">
        <v>5923</v>
      </c>
      <c r="E504" s="1" t="s">
        <v>5936</v>
      </c>
      <c r="F504" s="1" t="s">
        <v>5895</v>
      </c>
      <c r="G504" s="1" t="s">
        <v>5896</v>
      </c>
      <c r="H504" s="1" t="str">
        <f t="shared" si="7"/>
        <v>Cisco IOS</v>
      </c>
    </row>
    <row r="505" spans="1:8">
      <c r="A505" s="1">
        <v>504</v>
      </c>
      <c r="B505" s="1" t="s">
        <v>18373</v>
      </c>
      <c r="C505" s="1" t="s">
        <v>39</v>
      </c>
      <c r="D505" s="1" t="s">
        <v>5923</v>
      </c>
      <c r="E505" s="1" t="s">
        <v>5938</v>
      </c>
      <c r="F505" s="1" t="s">
        <v>5899</v>
      </c>
      <c r="G505" s="1" t="s">
        <v>5900</v>
      </c>
      <c r="H505" s="1" t="str">
        <f t="shared" si="7"/>
        <v>Cisco IOS</v>
      </c>
    </row>
    <row r="506" spans="1:8">
      <c r="A506" s="1">
        <v>505</v>
      </c>
      <c r="B506" s="1" t="s">
        <v>18374</v>
      </c>
      <c r="C506" s="1" t="s">
        <v>84</v>
      </c>
      <c r="D506" s="1" t="s">
        <v>5947</v>
      </c>
      <c r="E506" s="1" t="s">
        <v>5440</v>
      </c>
      <c r="F506" s="1" t="s">
        <v>5949</v>
      </c>
      <c r="G506" s="1" t="s">
        <v>5950</v>
      </c>
      <c r="H506" s="1" t="str">
        <f t="shared" si="7"/>
        <v>Meraki</v>
      </c>
    </row>
    <row r="507" spans="1:8">
      <c r="A507" s="1">
        <v>506</v>
      </c>
      <c r="B507" s="1" t="s">
        <v>18375</v>
      </c>
      <c r="C507" s="1" t="s">
        <v>201</v>
      </c>
      <c r="D507" s="1" t="s">
        <v>5952</v>
      </c>
      <c r="E507" s="1" t="s">
        <v>5452</v>
      </c>
      <c r="F507" s="1" t="s">
        <v>5954</v>
      </c>
      <c r="G507" s="1" t="s">
        <v>5955</v>
      </c>
      <c r="H507" s="1" t="str">
        <f t="shared" si="7"/>
        <v>Meraki</v>
      </c>
    </row>
    <row r="508" spans="1:8">
      <c r="A508" s="1">
        <v>507</v>
      </c>
      <c r="B508" s="1" t="s">
        <v>18375</v>
      </c>
      <c r="C508" s="1" t="s">
        <v>206</v>
      </c>
      <c r="D508" s="1" t="s">
        <v>5952</v>
      </c>
      <c r="E508" s="1" t="s">
        <v>5442</v>
      </c>
      <c r="F508" s="1" t="s">
        <v>5958</v>
      </c>
      <c r="G508" s="1" t="s">
        <v>5959</v>
      </c>
      <c r="H508" s="1" t="str">
        <f t="shared" si="7"/>
        <v>Meraki</v>
      </c>
    </row>
    <row r="509" spans="1:8">
      <c r="A509" s="1">
        <v>508</v>
      </c>
      <c r="B509" s="1" t="s">
        <v>18376</v>
      </c>
      <c r="C509" s="1" t="s">
        <v>211</v>
      </c>
      <c r="D509" s="1" t="s">
        <v>5961</v>
      </c>
      <c r="E509" s="1" t="s">
        <v>5446</v>
      </c>
      <c r="F509" s="1" t="s">
        <v>5963</v>
      </c>
      <c r="G509" s="1" t="s">
        <v>5964</v>
      </c>
      <c r="H509" s="1" t="str">
        <f t="shared" si="7"/>
        <v>Meraki</v>
      </c>
    </row>
    <row r="510" spans="1:8">
      <c r="A510" s="1">
        <v>509</v>
      </c>
      <c r="B510" s="1" t="s">
        <v>18376</v>
      </c>
      <c r="C510" s="1" t="s">
        <v>214</v>
      </c>
      <c r="D510" s="1" t="s">
        <v>5961</v>
      </c>
      <c r="E510" s="1" t="s">
        <v>5456</v>
      </c>
      <c r="F510" s="1" t="s">
        <v>5967</v>
      </c>
      <c r="G510" s="1" t="s">
        <v>5968</v>
      </c>
      <c r="H510" s="1" t="str">
        <f t="shared" si="7"/>
        <v>Meraki</v>
      </c>
    </row>
    <row r="511" spans="1:8">
      <c r="A511" s="1">
        <v>510</v>
      </c>
      <c r="B511" s="1" t="s">
        <v>18376</v>
      </c>
      <c r="C511" s="1" t="s">
        <v>218</v>
      </c>
      <c r="D511" s="1" t="s">
        <v>5961</v>
      </c>
      <c r="E511" s="1" t="s">
        <v>5459</v>
      </c>
      <c r="F511" s="1" t="s">
        <v>5971</v>
      </c>
      <c r="G511" s="1" t="s">
        <v>5972</v>
      </c>
      <c r="H511" s="1" t="str">
        <f t="shared" si="7"/>
        <v>Meraki</v>
      </c>
    </row>
    <row r="512" spans="1:8">
      <c r="A512" s="1">
        <v>511</v>
      </c>
      <c r="B512" s="1" t="s">
        <v>18376</v>
      </c>
      <c r="C512" s="1" t="s">
        <v>220</v>
      </c>
      <c r="D512" s="1" t="s">
        <v>5961</v>
      </c>
      <c r="E512" s="1" t="s">
        <v>5448</v>
      </c>
      <c r="F512" s="1" t="s">
        <v>5975</v>
      </c>
      <c r="G512" s="1" t="s">
        <v>5976</v>
      </c>
      <c r="H512" s="1" t="str">
        <f t="shared" si="7"/>
        <v>Meraki</v>
      </c>
    </row>
    <row r="513" spans="1:8">
      <c r="A513" s="1">
        <v>512</v>
      </c>
      <c r="B513" s="1" t="s">
        <v>18376</v>
      </c>
      <c r="C513" s="1" t="s">
        <v>224</v>
      </c>
      <c r="D513" s="1" t="s">
        <v>5961</v>
      </c>
      <c r="E513" s="1" t="s">
        <v>5454</v>
      </c>
      <c r="F513" s="1" t="s">
        <v>5979</v>
      </c>
      <c r="G513" s="1" t="s">
        <v>5980</v>
      </c>
      <c r="H513" s="1" t="str">
        <f t="shared" si="7"/>
        <v>Meraki</v>
      </c>
    </row>
    <row r="514" spans="1:8">
      <c r="A514" s="1">
        <v>513</v>
      </c>
      <c r="B514" s="1" t="s">
        <v>18377</v>
      </c>
      <c r="C514" s="1" t="s">
        <v>9</v>
      </c>
      <c r="D514" s="1" t="s">
        <v>5982</v>
      </c>
      <c r="E514" s="1" t="s">
        <v>13261</v>
      </c>
      <c r="F514" s="1" t="s">
        <v>5984</v>
      </c>
      <c r="G514" s="1" t="s">
        <v>5985</v>
      </c>
      <c r="H514" s="1" t="str">
        <f t="shared" ref="H514:H577" si="8">IFERROR(IF(OR(MID(G514,FIND(":",G514)-1,1)="""",MID(G514,FIND(":",G514)-1,1)="}",MID(G514,FIND(":",G514)-1,1)=")",MID(G514,FIND(":",G514)-1,1)="]"),"",LEFT(F514,FIND(":",F514)-1)),"")</f>
        <v>Cisco Nexus 9000 Series</v>
      </c>
    </row>
    <row r="515" spans="1:8">
      <c r="A515" s="1">
        <v>514</v>
      </c>
      <c r="B515" s="1" t="s">
        <v>18377</v>
      </c>
      <c r="C515" s="1" t="s">
        <v>14</v>
      </c>
      <c r="D515" s="1" t="s">
        <v>5982</v>
      </c>
      <c r="E515" s="1" t="s">
        <v>6228</v>
      </c>
      <c r="F515" s="1" t="s">
        <v>5988</v>
      </c>
      <c r="G515" s="1" t="s">
        <v>5989</v>
      </c>
      <c r="H515" s="1" t="str">
        <f t="shared" si="8"/>
        <v>Cisco Nexus 9000 Series</v>
      </c>
    </row>
    <row r="516" spans="1:8">
      <c r="A516" s="1">
        <v>515</v>
      </c>
      <c r="B516" s="1" t="s">
        <v>18377</v>
      </c>
      <c r="C516" s="1" t="s">
        <v>19</v>
      </c>
      <c r="D516" s="1" t="s">
        <v>5982</v>
      </c>
      <c r="E516" s="1" t="s">
        <v>6224</v>
      </c>
      <c r="F516" s="1" t="s">
        <v>5992</v>
      </c>
      <c r="G516" s="1" t="s">
        <v>5993</v>
      </c>
      <c r="H516" s="1" t="str">
        <f t="shared" si="8"/>
        <v>Cisco Nexus 9000 Series</v>
      </c>
    </row>
    <row r="517" spans="1:8">
      <c r="A517" s="1">
        <v>516</v>
      </c>
      <c r="B517" s="1" t="s">
        <v>18377</v>
      </c>
      <c r="C517" s="1" t="s">
        <v>23</v>
      </c>
      <c r="D517" s="1" t="s">
        <v>5982</v>
      </c>
      <c r="E517" s="1" t="s">
        <v>13257</v>
      </c>
      <c r="F517" s="1" t="s">
        <v>5996</v>
      </c>
      <c r="G517" s="1" t="s">
        <v>5997</v>
      </c>
      <c r="H517" s="1" t="str">
        <f t="shared" si="8"/>
        <v>Cisco Nexus 9000 Series</v>
      </c>
    </row>
    <row r="518" spans="1:8">
      <c r="A518" s="1">
        <v>517</v>
      </c>
      <c r="B518" s="1" t="s">
        <v>18377</v>
      </c>
      <c r="C518" s="1" t="s">
        <v>27</v>
      </c>
      <c r="D518" s="1" t="s">
        <v>5982</v>
      </c>
      <c r="E518" s="1" t="s">
        <v>13269</v>
      </c>
      <c r="F518" s="1" t="s">
        <v>6000</v>
      </c>
      <c r="G518" s="1" t="s">
        <v>6001</v>
      </c>
      <c r="H518" s="1" t="str">
        <f t="shared" si="8"/>
        <v>Cisco Nexus 9000 Series</v>
      </c>
    </row>
    <row r="519" spans="1:8">
      <c r="A519" s="1">
        <v>518</v>
      </c>
      <c r="B519" s="1" t="s">
        <v>18377</v>
      </c>
      <c r="C519" s="1" t="s">
        <v>31</v>
      </c>
      <c r="D519" s="1" t="s">
        <v>5982</v>
      </c>
      <c r="E519" s="1" t="s">
        <v>13277</v>
      </c>
      <c r="F519" s="1" t="s">
        <v>6004</v>
      </c>
      <c r="G519" s="1" t="s">
        <v>6005</v>
      </c>
      <c r="H519" s="1" t="str">
        <f t="shared" si="8"/>
        <v>Cisco Nexus 9000 Series</v>
      </c>
    </row>
    <row r="520" spans="1:8">
      <c r="A520" s="1">
        <v>519</v>
      </c>
      <c r="B520" s="1" t="s">
        <v>18377</v>
      </c>
      <c r="C520" s="1" t="s">
        <v>35</v>
      </c>
      <c r="D520" s="1" t="s">
        <v>5982</v>
      </c>
      <c r="E520" s="1" t="s">
        <v>13265</v>
      </c>
      <c r="F520" s="1" t="s">
        <v>6008</v>
      </c>
      <c r="G520" s="1" t="s">
        <v>6009</v>
      </c>
      <c r="H520" s="1" t="str">
        <f t="shared" si="8"/>
        <v>Cisco Nexus 9000 Series</v>
      </c>
    </row>
    <row r="521" spans="1:8">
      <c r="A521" s="1">
        <v>520</v>
      </c>
      <c r="B521" s="1" t="s">
        <v>18377</v>
      </c>
      <c r="C521" s="1" t="s">
        <v>39</v>
      </c>
      <c r="D521" s="1" t="s">
        <v>5982</v>
      </c>
      <c r="E521" s="1" t="s">
        <v>13273</v>
      </c>
      <c r="F521" s="1" t="s">
        <v>6012</v>
      </c>
      <c r="G521" s="1" t="s">
        <v>6013</v>
      </c>
      <c r="H521" s="1" t="str">
        <f t="shared" si="8"/>
        <v>Cisco Nexus 9000 Series</v>
      </c>
    </row>
    <row r="522" spans="1:8">
      <c r="A522" s="1">
        <v>521</v>
      </c>
      <c r="B522" s="1" t="s">
        <v>18378</v>
      </c>
      <c r="C522" s="1" t="s">
        <v>201</v>
      </c>
      <c r="D522" s="1" t="s">
        <v>6019</v>
      </c>
      <c r="E522" s="1" t="s">
        <v>10714</v>
      </c>
      <c r="F522" s="1" t="s">
        <v>6021</v>
      </c>
      <c r="G522" s="1" t="s">
        <v>6022</v>
      </c>
      <c r="H522" s="1" t="str">
        <f t="shared" si="8"/>
        <v>SD-WAN</v>
      </c>
    </row>
    <row r="523" spans="1:8">
      <c r="A523" s="1">
        <v>522</v>
      </c>
      <c r="B523" s="1" t="s">
        <v>18378</v>
      </c>
      <c r="C523" s="1" t="s">
        <v>206</v>
      </c>
      <c r="D523" s="1" t="s">
        <v>6019</v>
      </c>
      <c r="E523" s="1" t="s">
        <v>6674</v>
      </c>
      <c r="F523" s="1" t="s">
        <v>6025</v>
      </c>
      <c r="G523" s="1" t="s">
        <v>6026</v>
      </c>
      <c r="H523" s="1" t="str">
        <f t="shared" si="8"/>
        <v>SD-WAN</v>
      </c>
    </row>
    <row r="524" spans="1:8">
      <c r="A524" s="1">
        <v>523</v>
      </c>
      <c r="B524" s="1" t="s">
        <v>18379</v>
      </c>
      <c r="C524" s="1" t="s">
        <v>452</v>
      </c>
      <c r="D524" s="1" t="s">
        <v>6028</v>
      </c>
      <c r="E524" s="1" t="s">
        <v>6702</v>
      </c>
      <c r="F524" s="1" t="s">
        <v>6030</v>
      </c>
      <c r="G524" s="1" t="s">
        <v>6031</v>
      </c>
      <c r="H524" s="1" t="str">
        <f t="shared" si="8"/>
        <v>SD-WAN</v>
      </c>
    </row>
    <row r="525" spans="1:8">
      <c r="A525" s="1">
        <v>524</v>
      </c>
      <c r="B525" s="1" t="s">
        <v>18379</v>
      </c>
      <c r="C525" s="1" t="s">
        <v>457</v>
      </c>
      <c r="D525" s="1" t="s">
        <v>6028</v>
      </c>
      <c r="E525" s="1" t="s">
        <v>6686</v>
      </c>
      <c r="F525" s="1" t="s">
        <v>6034</v>
      </c>
      <c r="G525" s="1" t="s">
        <v>6035</v>
      </c>
      <c r="H525" s="1" t="str">
        <f t="shared" si="8"/>
        <v>SD-WAN</v>
      </c>
    </row>
    <row r="526" spans="1:8">
      <c r="A526" s="1">
        <v>525</v>
      </c>
      <c r="B526" s="1" t="s">
        <v>18379</v>
      </c>
      <c r="C526" s="1" t="s">
        <v>461</v>
      </c>
      <c r="D526" s="1" t="s">
        <v>6028</v>
      </c>
      <c r="E526" s="1" t="s">
        <v>6690</v>
      </c>
      <c r="F526" s="1" t="s">
        <v>6038</v>
      </c>
      <c r="G526" s="1" t="s">
        <v>6039</v>
      </c>
      <c r="H526" s="1" t="str">
        <f t="shared" si="8"/>
        <v>SD-WAN</v>
      </c>
    </row>
    <row r="527" spans="1:8">
      <c r="A527" s="1">
        <v>526</v>
      </c>
      <c r="B527" s="1" t="s">
        <v>18379</v>
      </c>
      <c r="C527" s="1" t="s">
        <v>465</v>
      </c>
      <c r="D527" s="1" t="s">
        <v>6028</v>
      </c>
      <c r="E527" s="1" t="s">
        <v>6730</v>
      </c>
      <c r="F527" s="1" t="s">
        <v>6042</v>
      </c>
      <c r="G527" s="1" t="s">
        <v>6043</v>
      </c>
      <c r="H527" s="1" t="str">
        <f t="shared" si="8"/>
        <v>SD-WAN</v>
      </c>
    </row>
    <row r="528" spans="1:8">
      <c r="A528" s="1">
        <v>527</v>
      </c>
      <c r="B528" s="1" t="s">
        <v>18379</v>
      </c>
      <c r="C528" s="1" t="s">
        <v>469</v>
      </c>
      <c r="D528" s="1" t="s">
        <v>6028</v>
      </c>
      <c r="E528" s="1" t="s">
        <v>6734</v>
      </c>
      <c r="F528" s="1" t="s">
        <v>6046</v>
      </c>
      <c r="G528" s="1" t="s">
        <v>6047</v>
      </c>
      <c r="H528" s="1" t="str">
        <f t="shared" si="8"/>
        <v>SD-WAN</v>
      </c>
    </row>
    <row r="529" spans="1:8">
      <c r="A529" s="1">
        <v>528</v>
      </c>
      <c r="B529" s="1" t="s">
        <v>18379</v>
      </c>
      <c r="C529" s="1" t="s">
        <v>473</v>
      </c>
      <c r="D529" s="1" t="s">
        <v>6028</v>
      </c>
      <c r="E529" s="1" t="s">
        <v>6714</v>
      </c>
      <c r="F529" s="1" t="s">
        <v>6050</v>
      </c>
      <c r="G529" s="1" t="s">
        <v>6051</v>
      </c>
      <c r="H529" s="1" t="str">
        <f t="shared" si="8"/>
        <v>SD-WAN</v>
      </c>
    </row>
    <row r="530" spans="1:8">
      <c r="A530" s="1">
        <v>529</v>
      </c>
      <c r="B530" s="1" t="s">
        <v>18379</v>
      </c>
      <c r="C530" s="1" t="s">
        <v>477</v>
      </c>
      <c r="D530" s="1" t="s">
        <v>6028</v>
      </c>
      <c r="E530" s="1" t="s">
        <v>6742</v>
      </c>
      <c r="F530" s="1" t="s">
        <v>6054</v>
      </c>
      <c r="G530" s="1" t="s">
        <v>6055</v>
      </c>
      <c r="H530" s="1" t="str">
        <f t="shared" si="8"/>
        <v>SD-WAN</v>
      </c>
    </row>
    <row r="531" spans="1:8">
      <c r="A531" s="1">
        <v>530</v>
      </c>
      <c r="B531" s="1" t="s">
        <v>18379</v>
      </c>
      <c r="C531" s="1" t="s">
        <v>481</v>
      </c>
      <c r="D531" s="1" t="s">
        <v>6028</v>
      </c>
      <c r="E531" s="1" t="s">
        <v>6698</v>
      </c>
      <c r="F531" s="1" t="s">
        <v>6058</v>
      </c>
      <c r="G531" s="1" t="s">
        <v>6059</v>
      </c>
      <c r="H531" s="1" t="str">
        <f t="shared" si="8"/>
        <v>SD-WAN</v>
      </c>
    </row>
    <row r="532" spans="1:8">
      <c r="A532" s="1">
        <v>531</v>
      </c>
      <c r="B532" s="1" t="s">
        <v>18379</v>
      </c>
      <c r="C532" s="1" t="s">
        <v>485</v>
      </c>
      <c r="D532" s="1" t="s">
        <v>6028</v>
      </c>
      <c r="E532" s="1" t="s">
        <v>6726</v>
      </c>
      <c r="F532" s="1" t="s">
        <v>6062</v>
      </c>
      <c r="G532" s="1" t="s">
        <v>6063</v>
      </c>
      <c r="H532" s="1" t="str">
        <f t="shared" si="8"/>
        <v>SD-WAN</v>
      </c>
    </row>
    <row r="533" spans="1:8">
      <c r="A533" s="1">
        <v>532</v>
      </c>
      <c r="B533" s="1" t="s">
        <v>18379</v>
      </c>
      <c r="C533" s="1" t="s">
        <v>489</v>
      </c>
      <c r="D533" s="1" t="s">
        <v>6028</v>
      </c>
      <c r="E533" s="1" t="s">
        <v>6706</v>
      </c>
      <c r="F533" s="1" t="s">
        <v>6066</v>
      </c>
      <c r="G533" s="1" t="s">
        <v>6067</v>
      </c>
      <c r="H533" s="1" t="str">
        <f t="shared" si="8"/>
        <v>SD-WAN</v>
      </c>
    </row>
    <row r="534" spans="1:8">
      <c r="A534" s="1">
        <v>533</v>
      </c>
      <c r="B534" s="1" t="s">
        <v>18379</v>
      </c>
      <c r="C534" s="1" t="s">
        <v>493</v>
      </c>
      <c r="D534" s="1" t="s">
        <v>6028</v>
      </c>
      <c r="E534" s="1" t="s">
        <v>6694</v>
      </c>
      <c r="F534" s="1" t="s">
        <v>6070</v>
      </c>
      <c r="G534" s="1" t="s">
        <v>6071</v>
      </c>
      <c r="H534" s="1" t="str">
        <f t="shared" si="8"/>
        <v>SD-WAN</v>
      </c>
    </row>
    <row r="535" spans="1:8">
      <c r="A535" s="1">
        <v>534</v>
      </c>
      <c r="B535" s="1" t="s">
        <v>18379</v>
      </c>
      <c r="C535" s="1" t="s">
        <v>497</v>
      </c>
      <c r="D535" s="1" t="s">
        <v>6028</v>
      </c>
      <c r="E535" s="1" t="s">
        <v>6718</v>
      </c>
      <c r="F535" s="1" t="s">
        <v>6074</v>
      </c>
      <c r="G535" s="1" t="s">
        <v>6075</v>
      </c>
      <c r="H535" s="1" t="str">
        <f t="shared" si="8"/>
        <v>SD-WAN</v>
      </c>
    </row>
    <row r="536" spans="1:8">
      <c r="A536" s="1">
        <v>535</v>
      </c>
      <c r="B536" s="1" t="s">
        <v>18379</v>
      </c>
      <c r="C536" s="1" t="s">
        <v>501</v>
      </c>
      <c r="D536" s="1" t="s">
        <v>6028</v>
      </c>
      <c r="E536" s="1" t="s">
        <v>6678</v>
      </c>
      <c r="F536" s="1" t="s">
        <v>6078</v>
      </c>
      <c r="G536" s="1" t="s">
        <v>6079</v>
      </c>
      <c r="H536" s="1" t="str">
        <f t="shared" si="8"/>
        <v>SD-WAN</v>
      </c>
    </row>
    <row r="537" spans="1:8">
      <c r="A537" s="1">
        <v>536</v>
      </c>
      <c r="B537" s="1" t="s">
        <v>18379</v>
      </c>
      <c r="C537" s="1" t="s">
        <v>505</v>
      </c>
      <c r="D537" s="1" t="s">
        <v>6028</v>
      </c>
      <c r="E537" s="1" t="s">
        <v>6722</v>
      </c>
      <c r="F537" s="1" t="s">
        <v>6082</v>
      </c>
      <c r="G537" s="1" t="s">
        <v>6083</v>
      </c>
      <c r="H537" s="1" t="str">
        <f t="shared" si="8"/>
        <v>SD-WAN</v>
      </c>
    </row>
    <row r="538" spans="1:8">
      <c r="A538" s="1">
        <v>537</v>
      </c>
      <c r="B538" s="1" t="s">
        <v>18380</v>
      </c>
      <c r="C538" s="1" t="s">
        <v>285</v>
      </c>
      <c r="D538" s="1" t="s">
        <v>6085</v>
      </c>
      <c r="E538" s="1" t="s">
        <v>6086</v>
      </c>
      <c r="F538" s="1" t="s">
        <v>6087</v>
      </c>
      <c r="G538" s="1" t="s">
        <v>6088</v>
      </c>
      <c r="H538" s="1" t="str">
        <f t="shared" si="8"/>
        <v>Cisco UCS Manager</v>
      </c>
    </row>
    <row r="539" spans="1:8">
      <c r="A539" s="1">
        <v>538</v>
      </c>
      <c r="B539" s="1" t="s">
        <v>18380</v>
      </c>
      <c r="C539" s="1" t="s">
        <v>290</v>
      </c>
      <c r="D539" s="1" t="s">
        <v>6085</v>
      </c>
      <c r="E539" s="1" t="s">
        <v>6090</v>
      </c>
      <c r="F539" s="1" t="s">
        <v>6091</v>
      </c>
      <c r="G539" s="1" t="s">
        <v>6092</v>
      </c>
      <c r="H539" s="1" t="str">
        <f t="shared" si="8"/>
        <v>Cisco UCS Manager</v>
      </c>
    </row>
    <row r="540" spans="1:8">
      <c r="A540" s="1">
        <v>539</v>
      </c>
      <c r="B540" s="1" t="s">
        <v>18380</v>
      </c>
      <c r="C540" s="1" t="s">
        <v>294</v>
      </c>
      <c r="D540" s="1" t="s">
        <v>6085</v>
      </c>
      <c r="E540" s="1" t="s">
        <v>6094</v>
      </c>
      <c r="F540" s="1" t="s">
        <v>6095</v>
      </c>
      <c r="G540" s="1" t="s">
        <v>6096</v>
      </c>
      <c r="H540" s="1" t="str">
        <f t="shared" si="8"/>
        <v>Cisco UCS Manager</v>
      </c>
    </row>
    <row r="541" spans="1:8">
      <c r="A541" s="1">
        <v>540</v>
      </c>
      <c r="B541" s="1" t="s">
        <v>18381</v>
      </c>
      <c r="C541" s="1" t="s">
        <v>251</v>
      </c>
      <c r="D541" s="1" t="s">
        <v>6098</v>
      </c>
      <c r="E541" s="1" t="s">
        <v>6099</v>
      </c>
      <c r="F541" s="1" t="s">
        <v>6100</v>
      </c>
      <c r="G541" s="1" t="s">
        <v>6101</v>
      </c>
      <c r="H541" s="1" t="str">
        <f t="shared" si="8"/>
        <v>Cisco UCS</v>
      </c>
    </row>
    <row r="542" spans="1:8">
      <c r="A542" s="1">
        <v>541</v>
      </c>
      <c r="B542" s="1" t="s">
        <v>18381</v>
      </c>
      <c r="C542" s="1" t="s">
        <v>254</v>
      </c>
      <c r="D542" s="1" t="s">
        <v>6098</v>
      </c>
      <c r="E542" s="1" t="s">
        <v>6103</v>
      </c>
      <c r="F542" s="1" t="s">
        <v>6104</v>
      </c>
      <c r="G542" s="1" t="s">
        <v>6105</v>
      </c>
      <c r="H542" s="1" t="str">
        <f t="shared" si="8"/>
        <v>Cisco UCS</v>
      </c>
    </row>
    <row r="543" spans="1:8">
      <c r="A543" s="1">
        <v>542</v>
      </c>
      <c r="B543" s="1" t="s">
        <v>18381</v>
      </c>
      <c r="C543" s="1" t="s">
        <v>256</v>
      </c>
      <c r="D543" s="1" t="s">
        <v>6098</v>
      </c>
      <c r="E543" s="1" t="s">
        <v>6107</v>
      </c>
      <c r="F543" s="1" t="s">
        <v>6108</v>
      </c>
      <c r="G543" s="1" t="s">
        <v>6109</v>
      </c>
      <c r="H543" s="1" t="str">
        <f t="shared" si="8"/>
        <v>Cisco UCS</v>
      </c>
    </row>
    <row r="544" spans="1:8">
      <c r="A544" s="1">
        <v>543</v>
      </c>
      <c r="B544" s="1" t="s">
        <v>18381</v>
      </c>
      <c r="C544" s="1" t="s">
        <v>260</v>
      </c>
      <c r="D544" s="1" t="s">
        <v>6098</v>
      </c>
      <c r="E544" s="1" t="s">
        <v>6111</v>
      </c>
      <c r="F544" s="1" t="s">
        <v>6112</v>
      </c>
      <c r="G544" s="1" t="s">
        <v>6113</v>
      </c>
      <c r="H544" s="1" t="str">
        <f t="shared" si="8"/>
        <v>Cisco UCS</v>
      </c>
    </row>
    <row r="545" spans="1:8">
      <c r="A545" s="1">
        <v>544</v>
      </c>
      <c r="B545" s="1" t="s">
        <v>18381</v>
      </c>
      <c r="C545" s="1" t="s">
        <v>262</v>
      </c>
      <c r="D545" s="1" t="s">
        <v>6098</v>
      </c>
      <c r="E545" s="1" t="s">
        <v>6115</v>
      </c>
      <c r="F545" s="1" t="s">
        <v>6116</v>
      </c>
      <c r="G545" s="1" t="s">
        <v>6117</v>
      </c>
      <c r="H545" s="1" t="str">
        <f t="shared" si="8"/>
        <v>Cisco UCS</v>
      </c>
    </row>
    <row r="546" spans="1:8">
      <c r="A546" s="1">
        <v>545</v>
      </c>
      <c r="B546" s="1" t="s">
        <v>18381</v>
      </c>
      <c r="C546" s="1" t="s">
        <v>264</v>
      </c>
      <c r="D546" s="1" t="s">
        <v>6098</v>
      </c>
      <c r="E546" s="1" t="s">
        <v>6119</v>
      </c>
      <c r="F546" s="1" t="s">
        <v>6120</v>
      </c>
      <c r="G546" s="1" t="s">
        <v>6121</v>
      </c>
      <c r="H546" s="1" t="str">
        <f t="shared" si="8"/>
        <v>Cisco UCS</v>
      </c>
    </row>
    <row r="547" spans="1:8">
      <c r="A547" s="1">
        <v>546</v>
      </c>
      <c r="B547" s="1" t="s">
        <v>18382</v>
      </c>
      <c r="C547" s="1" t="s">
        <v>1210</v>
      </c>
      <c r="D547" s="1" t="s">
        <v>6123</v>
      </c>
      <c r="E547" s="1" t="s">
        <v>1252</v>
      </c>
      <c r="F547" s="1" t="s">
        <v>1253</v>
      </c>
      <c r="G547" s="1" t="s">
        <v>1254</v>
      </c>
      <c r="H547" s="1" t="str">
        <f t="shared" si="8"/>
        <v>ClickHouse</v>
      </c>
    </row>
    <row r="548" spans="1:8">
      <c r="A548" s="1">
        <v>547</v>
      </c>
      <c r="B548" s="1" t="s">
        <v>18382</v>
      </c>
      <c r="C548" s="1" t="s">
        <v>1215</v>
      </c>
      <c r="D548" s="1" t="s">
        <v>6123</v>
      </c>
      <c r="E548" s="1" t="s">
        <v>6125</v>
      </c>
      <c r="F548" s="1" t="s">
        <v>1257</v>
      </c>
      <c r="G548" s="1" t="s">
        <v>1258</v>
      </c>
      <c r="H548" s="1" t="str">
        <f t="shared" si="8"/>
        <v>ClickHouse</v>
      </c>
    </row>
    <row r="549" spans="1:8">
      <c r="A549" s="1">
        <v>548</v>
      </c>
      <c r="B549" s="1" t="s">
        <v>18382</v>
      </c>
      <c r="C549" s="1" t="s">
        <v>1219</v>
      </c>
      <c r="D549" s="1" t="s">
        <v>6123</v>
      </c>
      <c r="E549" s="1" t="s">
        <v>1212</v>
      </c>
      <c r="F549" s="1" t="s">
        <v>6127</v>
      </c>
      <c r="G549" s="1" t="s">
        <v>6128</v>
      </c>
      <c r="H549" s="1" t="str">
        <f t="shared" si="8"/>
        <v>ClickHouse</v>
      </c>
    </row>
    <row r="550" spans="1:8">
      <c r="A550" s="1">
        <v>549</v>
      </c>
      <c r="B550" s="1" t="s">
        <v>18382</v>
      </c>
      <c r="C550" s="1" t="s">
        <v>1223</v>
      </c>
      <c r="D550" s="1" t="s">
        <v>6123</v>
      </c>
      <c r="E550" s="1" t="s">
        <v>1216</v>
      </c>
      <c r="F550" s="1" t="s">
        <v>6130</v>
      </c>
      <c r="G550" s="1" t="s">
        <v>6131</v>
      </c>
      <c r="H550" s="1" t="str">
        <f t="shared" si="8"/>
        <v>ClickHouse</v>
      </c>
    </row>
    <row r="551" spans="1:8">
      <c r="A551" s="1">
        <v>550</v>
      </c>
      <c r="B551" s="1" t="s">
        <v>18382</v>
      </c>
      <c r="C551" s="1" t="s">
        <v>1227</v>
      </c>
      <c r="D551" s="1" t="s">
        <v>6123</v>
      </c>
      <c r="E551" s="1" t="s">
        <v>1236</v>
      </c>
      <c r="F551" s="1" t="s">
        <v>1237</v>
      </c>
      <c r="G551" s="1" t="s">
        <v>1238</v>
      </c>
      <c r="H551" s="1" t="str">
        <f t="shared" si="8"/>
        <v>ClickHouse</v>
      </c>
    </row>
    <row r="552" spans="1:8">
      <c r="A552" s="1">
        <v>551</v>
      </c>
      <c r="B552" s="1" t="s">
        <v>18382</v>
      </c>
      <c r="C552" s="1" t="s">
        <v>1231</v>
      </c>
      <c r="D552" s="1" t="s">
        <v>6123</v>
      </c>
      <c r="E552" s="1" t="s">
        <v>1228</v>
      </c>
      <c r="F552" s="1" t="s">
        <v>6134</v>
      </c>
      <c r="G552" s="1" t="s">
        <v>6135</v>
      </c>
      <c r="H552" s="1" t="str">
        <f t="shared" si="8"/>
        <v>ClickHouse</v>
      </c>
    </row>
    <row r="553" spans="1:8">
      <c r="A553" s="1">
        <v>552</v>
      </c>
      <c r="B553" s="1" t="s">
        <v>18382</v>
      </c>
      <c r="C553" s="1" t="s">
        <v>1235</v>
      </c>
      <c r="D553" s="1" t="s">
        <v>6123</v>
      </c>
      <c r="E553" s="1" t="s">
        <v>1220</v>
      </c>
      <c r="F553" s="1" t="s">
        <v>6137</v>
      </c>
      <c r="G553" s="1" t="s">
        <v>6138</v>
      </c>
      <c r="H553" s="1" t="str">
        <f t="shared" si="8"/>
        <v>ClickHouse</v>
      </c>
    </row>
    <row r="554" spans="1:8">
      <c r="A554" s="1">
        <v>553</v>
      </c>
      <c r="B554" s="1" t="s">
        <v>18382</v>
      </c>
      <c r="C554" s="1" t="s">
        <v>1239</v>
      </c>
      <c r="D554" s="1" t="s">
        <v>6123</v>
      </c>
      <c r="E554" s="1" t="s">
        <v>1224</v>
      </c>
      <c r="F554" s="1" t="s">
        <v>6140</v>
      </c>
      <c r="G554" s="1" t="s">
        <v>6141</v>
      </c>
      <c r="H554" s="1" t="str">
        <f t="shared" si="8"/>
        <v>ClickHouse</v>
      </c>
    </row>
    <row r="555" spans="1:8">
      <c r="A555" s="1">
        <v>554</v>
      </c>
      <c r="B555" s="1" t="s">
        <v>18382</v>
      </c>
      <c r="C555" s="1" t="s">
        <v>1243</v>
      </c>
      <c r="D555" s="1" t="s">
        <v>6123</v>
      </c>
      <c r="E555" s="1" t="s">
        <v>1232</v>
      </c>
      <c r="F555" s="1" t="s">
        <v>6143</v>
      </c>
      <c r="G555" s="1" t="s">
        <v>6144</v>
      </c>
      <c r="H555" s="1" t="str">
        <f t="shared" si="8"/>
        <v>ClickHouse</v>
      </c>
    </row>
    <row r="556" spans="1:8">
      <c r="A556" s="1">
        <v>555</v>
      </c>
      <c r="B556" s="1" t="s">
        <v>18382</v>
      </c>
      <c r="C556" s="1" t="s">
        <v>1247</v>
      </c>
      <c r="D556" s="1" t="s">
        <v>6123</v>
      </c>
      <c r="E556" s="1" t="s">
        <v>1240</v>
      </c>
      <c r="F556" s="1" t="s">
        <v>6146</v>
      </c>
      <c r="G556" s="1" t="s">
        <v>6147</v>
      </c>
      <c r="H556" s="1" t="str">
        <f t="shared" si="8"/>
        <v>ClickHouse</v>
      </c>
    </row>
    <row r="557" spans="1:8">
      <c r="A557" s="1">
        <v>556</v>
      </c>
      <c r="B557" s="1" t="s">
        <v>18382</v>
      </c>
      <c r="C557" s="1" t="s">
        <v>1251</v>
      </c>
      <c r="D557" s="1" t="s">
        <v>6123</v>
      </c>
      <c r="E557" s="1" t="s">
        <v>1244</v>
      </c>
      <c r="F557" s="1" t="s">
        <v>6149</v>
      </c>
      <c r="G557" s="1" t="s">
        <v>6150</v>
      </c>
      <c r="H557" s="1" t="str">
        <f t="shared" si="8"/>
        <v>ClickHouse</v>
      </c>
    </row>
    <row r="558" spans="1:8">
      <c r="A558" s="1">
        <v>557</v>
      </c>
      <c r="B558" s="1" t="s">
        <v>18382</v>
      </c>
      <c r="C558" s="1" t="s">
        <v>1255</v>
      </c>
      <c r="D558" s="1" t="s">
        <v>6123</v>
      </c>
      <c r="E558" s="1" t="s">
        <v>1248</v>
      </c>
      <c r="F558" s="1" t="s">
        <v>6152</v>
      </c>
      <c r="G558" s="1" t="s">
        <v>6153</v>
      </c>
      <c r="H558" s="1" t="str">
        <f t="shared" si="8"/>
        <v>ClickHouse</v>
      </c>
    </row>
    <row r="559" spans="1:8">
      <c r="A559" s="1">
        <v>558</v>
      </c>
      <c r="B559" s="1" t="s">
        <v>18382</v>
      </c>
      <c r="C559" s="1" t="s">
        <v>1259</v>
      </c>
      <c r="D559" s="1" t="s">
        <v>6123</v>
      </c>
      <c r="E559" s="1" t="s">
        <v>6155</v>
      </c>
      <c r="F559" s="1" t="s">
        <v>1261</v>
      </c>
      <c r="G559" s="1" t="s">
        <v>1262</v>
      </c>
      <c r="H559" s="1" t="str">
        <f t="shared" si="8"/>
        <v>ClickHouse</v>
      </c>
    </row>
    <row r="560" spans="1:8">
      <c r="A560" s="1">
        <v>559</v>
      </c>
      <c r="B560" s="1" t="s">
        <v>18383</v>
      </c>
      <c r="C560" s="1" t="s">
        <v>201</v>
      </c>
      <c r="D560" s="1" t="s">
        <v>6157</v>
      </c>
      <c r="E560" s="1" t="s">
        <v>6158</v>
      </c>
      <c r="F560" s="1" t="s">
        <v>6159</v>
      </c>
      <c r="G560" s="1" t="s">
        <v>6160</v>
      </c>
      <c r="H560" s="1" t="str">
        <f t="shared" si="8"/>
        <v>Cloudflare</v>
      </c>
    </row>
    <row r="561" spans="1:8">
      <c r="A561" s="1">
        <v>560</v>
      </c>
      <c r="B561" s="1" t="s">
        <v>18383</v>
      </c>
      <c r="C561" s="1" t="s">
        <v>206</v>
      </c>
      <c r="D561" s="1" t="s">
        <v>6157</v>
      </c>
      <c r="E561" s="1" t="s">
        <v>6162</v>
      </c>
      <c r="F561" s="1" t="s">
        <v>6163</v>
      </c>
      <c r="G561" s="1" t="s">
        <v>6164</v>
      </c>
      <c r="H561" s="1" t="str">
        <f t="shared" si="8"/>
        <v>Cloudflare</v>
      </c>
    </row>
    <row r="562" spans="1:8">
      <c r="A562" s="1">
        <v>561</v>
      </c>
      <c r="B562" s="1" t="s">
        <v>18384</v>
      </c>
      <c r="C562" s="1" t="s">
        <v>299</v>
      </c>
      <c r="D562" s="1" t="s">
        <v>6166</v>
      </c>
      <c r="E562" s="1" t="s">
        <v>13388</v>
      </c>
      <c r="F562" s="1" t="s">
        <v>6168</v>
      </c>
      <c r="G562" s="1" t="s">
        <v>6169</v>
      </c>
      <c r="H562" s="1" t="str">
        <f t="shared" si="8"/>
        <v>CockroachDB</v>
      </c>
    </row>
    <row r="563" spans="1:8">
      <c r="A563" s="1">
        <v>562</v>
      </c>
      <c r="B563" s="1" t="s">
        <v>18384</v>
      </c>
      <c r="C563" s="1" t="s">
        <v>304</v>
      </c>
      <c r="D563" s="1" t="s">
        <v>6166</v>
      </c>
      <c r="E563" s="1" t="s">
        <v>13392</v>
      </c>
      <c r="F563" s="1" t="s">
        <v>6172</v>
      </c>
      <c r="G563" s="1" t="s">
        <v>6173</v>
      </c>
      <c r="H563" s="1" t="str">
        <f t="shared" si="8"/>
        <v>CockroachDB</v>
      </c>
    </row>
    <row r="564" spans="1:8">
      <c r="A564" s="1">
        <v>563</v>
      </c>
      <c r="B564" s="1" t="s">
        <v>18384</v>
      </c>
      <c r="C564" s="1" t="s">
        <v>308</v>
      </c>
      <c r="D564" s="1" t="s">
        <v>6166</v>
      </c>
      <c r="E564" s="1" t="s">
        <v>13394</v>
      </c>
      <c r="F564" s="1" t="s">
        <v>6176</v>
      </c>
      <c r="G564" s="1" t="s">
        <v>6177</v>
      </c>
      <c r="H564" s="1" t="str">
        <f t="shared" si="8"/>
        <v>CockroachDB</v>
      </c>
    </row>
    <row r="565" spans="1:8">
      <c r="A565" s="1">
        <v>564</v>
      </c>
      <c r="B565" s="1" t="s">
        <v>18384</v>
      </c>
      <c r="C565" s="1" t="s">
        <v>312</v>
      </c>
      <c r="D565" s="1" t="s">
        <v>6166</v>
      </c>
      <c r="E565" s="1" t="s">
        <v>13396</v>
      </c>
      <c r="F565" s="1" t="s">
        <v>6180</v>
      </c>
      <c r="G565" s="1" t="s">
        <v>6181</v>
      </c>
      <c r="H565" s="1" t="str">
        <f t="shared" si="8"/>
        <v>CockroachDB</v>
      </c>
    </row>
    <row r="566" spans="1:8">
      <c r="A566" s="1">
        <v>565</v>
      </c>
      <c r="B566" s="1" t="s">
        <v>18384</v>
      </c>
      <c r="C566" s="1" t="s">
        <v>316</v>
      </c>
      <c r="D566" s="1" t="s">
        <v>6166</v>
      </c>
      <c r="E566" s="1" t="s">
        <v>13398</v>
      </c>
      <c r="F566" s="1" t="s">
        <v>6184</v>
      </c>
      <c r="G566" s="1" t="s">
        <v>6185</v>
      </c>
      <c r="H566" s="1" t="str">
        <f t="shared" si="8"/>
        <v>CockroachDB</v>
      </c>
    </row>
    <row r="567" spans="1:8">
      <c r="A567" s="1">
        <v>566</v>
      </c>
      <c r="B567" s="1" t="s">
        <v>18384</v>
      </c>
      <c r="C567" s="1" t="s">
        <v>320</v>
      </c>
      <c r="D567" s="1" t="s">
        <v>6166</v>
      </c>
      <c r="E567" s="1" t="s">
        <v>13390</v>
      </c>
      <c r="F567" s="1" t="s">
        <v>6188</v>
      </c>
      <c r="G567" s="1" t="s">
        <v>6189</v>
      </c>
      <c r="H567" s="1" t="str">
        <f t="shared" si="8"/>
        <v>CockroachDB</v>
      </c>
    </row>
    <row r="568" spans="1:8">
      <c r="A568" s="1">
        <v>567</v>
      </c>
      <c r="B568" s="1" t="s">
        <v>18384</v>
      </c>
      <c r="C568" s="1" t="s">
        <v>324</v>
      </c>
      <c r="D568" s="1" t="s">
        <v>6166</v>
      </c>
      <c r="E568" s="1" t="s">
        <v>13410</v>
      </c>
      <c r="F568" s="1" t="s">
        <v>6192</v>
      </c>
      <c r="G568" s="1" t="s">
        <v>6193</v>
      </c>
      <c r="H568" s="1" t="str">
        <f t="shared" si="8"/>
        <v>CockroachDB</v>
      </c>
    </row>
    <row r="569" spans="1:8">
      <c r="A569" s="1">
        <v>568</v>
      </c>
      <c r="B569" s="1" t="s">
        <v>18384</v>
      </c>
      <c r="C569" s="1" t="s">
        <v>328</v>
      </c>
      <c r="D569" s="1" t="s">
        <v>6166</v>
      </c>
      <c r="E569" s="1" t="s">
        <v>13400</v>
      </c>
      <c r="F569" s="1" t="s">
        <v>6196</v>
      </c>
      <c r="G569" s="1" t="s">
        <v>6197</v>
      </c>
      <c r="H569" s="1" t="str">
        <f t="shared" si="8"/>
        <v>CockroachDB</v>
      </c>
    </row>
    <row r="570" spans="1:8">
      <c r="A570" s="1">
        <v>569</v>
      </c>
      <c r="B570" s="1" t="s">
        <v>18384</v>
      </c>
      <c r="C570" s="1" t="s">
        <v>332</v>
      </c>
      <c r="D570" s="1" t="s">
        <v>6166</v>
      </c>
      <c r="E570" s="1" t="s">
        <v>13402</v>
      </c>
      <c r="F570" s="1" t="s">
        <v>6200</v>
      </c>
      <c r="G570" s="1" t="s">
        <v>6201</v>
      </c>
      <c r="H570" s="1" t="str">
        <f t="shared" si="8"/>
        <v>CockroachDB</v>
      </c>
    </row>
    <row r="571" spans="1:8">
      <c r="A571" s="1">
        <v>570</v>
      </c>
      <c r="B571" s="1" t="s">
        <v>18384</v>
      </c>
      <c r="C571" s="1" t="s">
        <v>336</v>
      </c>
      <c r="D571" s="1" t="s">
        <v>6166</v>
      </c>
      <c r="E571" s="1" t="s">
        <v>13404</v>
      </c>
      <c r="F571" s="1" t="s">
        <v>6204</v>
      </c>
      <c r="G571" s="1" t="s">
        <v>6205</v>
      </c>
      <c r="H571" s="1" t="str">
        <f t="shared" si="8"/>
        <v>CockroachDB</v>
      </c>
    </row>
    <row r="572" spans="1:8">
      <c r="A572" s="1">
        <v>571</v>
      </c>
      <c r="B572" s="1" t="s">
        <v>18384</v>
      </c>
      <c r="C572" s="1" t="s">
        <v>340</v>
      </c>
      <c r="D572" s="1" t="s">
        <v>6166</v>
      </c>
      <c r="E572" s="1" t="s">
        <v>13406</v>
      </c>
      <c r="F572" s="1" t="s">
        <v>6208</v>
      </c>
      <c r="G572" s="1" t="s">
        <v>6209</v>
      </c>
      <c r="H572" s="1" t="str">
        <f t="shared" si="8"/>
        <v>CockroachDB</v>
      </c>
    </row>
    <row r="573" spans="1:8">
      <c r="A573" s="1">
        <v>572</v>
      </c>
      <c r="B573" s="1" t="s">
        <v>18384</v>
      </c>
      <c r="C573" s="1" t="s">
        <v>344</v>
      </c>
      <c r="D573" s="1" t="s">
        <v>6166</v>
      </c>
      <c r="E573" s="1" t="s">
        <v>13408</v>
      </c>
      <c r="F573" s="1" t="s">
        <v>6212</v>
      </c>
      <c r="G573" s="1" t="s">
        <v>6213</v>
      </c>
      <c r="H573" s="1" t="str">
        <f t="shared" si="8"/>
        <v>CockroachDB</v>
      </c>
    </row>
    <row r="574" spans="1:8">
      <c r="A574" s="1">
        <v>573</v>
      </c>
      <c r="B574" s="1" t="s">
        <v>18385</v>
      </c>
      <c r="C574" s="1" t="s">
        <v>267</v>
      </c>
      <c r="D574" s="1" t="s">
        <v>6215</v>
      </c>
      <c r="E574" s="1" t="s">
        <v>13412</v>
      </c>
      <c r="F574" s="1" t="s">
        <v>6217</v>
      </c>
      <c r="G574" s="1" t="s">
        <v>6218</v>
      </c>
      <c r="H574" s="1" t="str">
        <f t="shared" si="8"/>
        <v>Control-M</v>
      </c>
    </row>
    <row r="575" spans="1:8">
      <c r="A575" s="1">
        <v>574</v>
      </c>
      <c r="B575" s="1" t="s">
        <v>18385</v>
      </c>
      <c r="C575" s="1" t="s">
        <v>272</v>
      </c>
      <c r="D575" s="1" t="s">
        <v>6215</v>
      </c>
      <c r="E575" s="1" t="s">
        <v>13414</v>
      </c>
      <c r="F575" s="1" t="s">
        <v>6221</v>
      </c>
      <c r="G575" s="1" t="s">
        <v>6222</v>
      </c>
      <c r="H575" s="1" t="str">
        <f t="shared" si="8"/>
        <v>Control-M</v>
      </c>
    </row>
    <row r="576" spans="1:8">
      <c r="A576" s="1">
        <v>575</v>
      </c>
      <c r="B576" s="1" t="s">
        <v>18385</v>
      </c>
      <c r="C576" s="1" t="s">
        <v>276</v>
      </c>
      <c r="D576" s="1" t="s">
        <v>6215</v>
      </c>
      <c r="E576" s="1" t="s">
        <v>13416</v>
      </c>
      <c r="F576" s="1" t="s">
        <v>6225</v>
      </c>
      <c r="G576" s="1" t="s">
        <v>6226</v>
      </c>
      <c r="H576" s="1" t="str">
        <f t="shared" si="8"/>
        <v>Control-M</v>
      </c>
    </row>
    <row r="577" spans="1:8">
      <c r="A577" s="1">
        <v>576</v>
      </c>
      <c r="B577" s="1" t="s">
        <v>18385</v>
      </c>
      <c r="C577" s="1" t="s">
        <v>280</v>
      </c>
      <c r="D577" s="1" t="s">
        <v>6215</v>
      </c>
      <c r="E577" s="1" t="s">
        <v>13418</v>
      </c>
      <c r="F577" s="1" t="s">
        <v>6229</v>
      </c>
      <c r="G577" s="1" t="s">
        <v>6230</v>
      </c>
      <c r="H577" s="1" t="str">
        <f t="shared" si="8"/>
        <v>Control-M</v>
      </c>
    </row>
    <row r="578" spans="1:8">
      <c r="A578" s="1">
        <v>577</v>
      </c>
      <c r="B578" s="1" t="s">
        <v>18386</v>
      </c>
      <c r="C578" s="1" t="s">
        <v>93</v>
      </c>
      <c r="D578" s="1" t="s">
        <v>6232</v>
      </c>
      <c r="E578" s="1" t="s">
        <v>1936</v>
      </c>
      <c r="F578" s="1" t="s">
        <v>6233</v>
      </c>
      <c r="G578" s="1" t="s">
        <v>6234</v>
      </c>
      <c r="H578" s="1" t="str">
        <f t="shared" ref="H578:H641" si="9">IFERROR(IF(OR(MID(G578,FIND(":",G578)-1,1)="""",MID(G578,FIND(":",G578)-1,1)="}",MID(G578,FIND(":",G578)-1,1)=")",MID(G578,FIND(":",G578)-1,1)="]"),"",LEFT(F578,FIND(":",F578)-1)),"")</f>
        <v>D-Link DES 7200</v>
      </c>
    </row>
    <row r="579" spans="1:8">
      <c r="A579" s="1">
        <v>578</v>
      </c>
      <c r="B579" s="1" t="s">
        <v>18386</v>
      </c>
      <c r="C579" s="1" t="s">
        <v>98</v>
      </c>
      <c r="D579" s="1" t="s">
        <v>6232</v>
      </c>
      <c r="E579" s="1" t="s">
        <v>1933</v>
      </c>
      <c r="F579" s="1" t="s">
        <v>6236</v>
      </c>
      <c r="G579" s="1" t="s">
        <v>6237</v>
      </c>
      <c r="H579" s="1" t="str">
        <f t="shared" si="9"/>
        <v>D-Link DES 7200</v>
      </c>
    </row>
    <row r="580" spans="1:8">
      <c r="A580" s="1">
        <v>579</v>
      </c>
      <c r="B580" s="1" t="s">
        <v>18386</v>
      </c>
      <c r="C580" s="1" t="s">
        <v>102</v>
      </c>
      <c r="D580" s="1" t="s">
        <v>6232</v>
      </c>
      <c r="E580" s="1" t="s">
        <v>6239</v>
      </c>
      <c r="F580" s="1" t="s">
        <v>6240</v>
      </c>
      <c r="G580" s="1" t="s">
        <v>6241</v>
      </c>
      <c r="H580" s="1" t="str">
        <f t="shared" si="9"/>
        <v>D-Link DES 7200</v>
      </c>
    </row>
    <row r="581" spans="1:8">
      <c r="A581" s="1">
        <v>580</v>
      </c>
      <c r="B581" s="1" t="s">
        <v>18386</v>
      </c>
      <c r="C581" s="1" t="s">
        <v>106</v>
      </c>
      <c r="D581" s="1" t="s">
        <v>6232</v>
      </c>
      <c r="E581" s="1" t="s">
        <v>6243</v>
      </c>
      <c r="F581" s="1" t="s">
        <v>6244</v>
      </c>
      <c r="G581" s="1" t="s">
        <v>6245</v>
      </c>
      <c r="H581" s="1" t="str">
        <f t="shared" si="9"/>
        <v>D-Link DES 7200</v>
      </c>
    </row>
    <row r="582" spans="1:8">
      <c r="A582" s="1">
        <v>581</v>
      </c>
      <c r="B582" s="1" t="s">
        <v>18386</v>
      </c>
      <c r="C582" s="1" t="s">
        <v>110</v>
      </c>
      <c r="D582" s="1" t="s">
        <v>6232</v>
      </c>
      <c r="E582" s="1" t="s">
        <v>6247</v>
      </c>
      <c r="F582" s="1" t="s">
        <v>6248</v>
      </c>
      <c r="G582" s="1" t="s">
        <v>6249</v>
      </c>
      <c r="H582" s="1" t="str">
        <f t="shared" si="9"/>
        <v>D-Link DES 7200</v>
      </c>
    </row>
    <row r="583" spans="1:8">
      <c r="A583" s="1">
        <v>582</v>
      </c>
      <c r="B583" s="1" t="s">
        <v>18386</v>
      </c>
      <c r="C583" s="1" t="s">
        <v>114</v>
      </c>
      <c r="D583" s="1" t="s">
        <v>6232</v>
      </c>
      <c r="E583" s="1" t="s">
        <v>1937</v>
      </c>
      <c r="F583" s="1" t="s">
        <v>6251</v>
      </c>
      <c r="G583" s="1" t="s">
        <v>6252</v>
      </c>
      <c r="H583" s="1" t="str">
        <f t="shared" si="9"/>
        <v>D-Link DES 7200</v>
      </c>
    </row>
    <row r="584" spans="1:8">
      <c r="A584" s="1">
        <v>583</v>
      </c>
      <c r="B584" s="1" t="s">
        <v>18386</v>
      </c>
      <c r="C584" s="1" t="s">
        <v>118</v>
      </c>
      <c r="D584" s="1" t="s">
        <v>6232</v>
      </c>
      <c r="E584" s="1" t="s">
        <v>6254</v>
      </c>
      <c r="F584" s="1" t="s">
        <v>6255</v>
      </c>
      <c r="G584" s="1" t="s">
        <v>6256</v>
      </c>
      <c r="H584" s="1" t="str">
        <f t="shared" si="9"/>
        <v>D-Link DES 7200</v>
      </c>
    </row>
    <row r="585" spans="1:8">
      <c r="A585" s="1">
        <v>584</v>
      </c>
      <c r="B585" s="1" t="s">
        <v>18386</v>
      </c>
      <c r="C585" s="1" t="s">
        <v>122</v>
      </c>
      <c r="D585" s="1" t="s">
        <v>6232</v>
      </c>
      <c r="E585" s="1" t="s">
        <v>6258</v>
      </c>
      <c r="F585" s="1" t="s">
        <v>6259</v>
      </c>
      <c r="G585" s="1" t="s">
        <v>6260</v>
      </c>
      <c r="H585" s="1" t="str">
        <f t="shared" si="9"/>
        <v>D-Link DES 7200</v>
      </c>
    </row>
    <row r="586" spans="1:8">
      <c r="A586" s="1">
        <v>585</v>
      </c>
      <c r="B586" s="1" t="s">
        <v>18386</v>
      </c>
      <c r="C586" s="1" t="s">
        <v>126</v>
      </c>
      <c r="D586" s="1" t="s">
        <v>6232</v>
      </c>
      <c r="E586" s="1" t="s">
        <v>6262</v>
      </c>
      <c r="F586" s="1" t="s">
        <v>6263</v>
      </c>
      <c r="G586" s="1" t="s">
        <v>6264</v>
      </c>
      <c r="H586" s="1" t="str">
        <f t="shared" si="9"/>
        <v>D-Link DES 7200</v>
      </c>
    </row>
    <row r="587" spans="1:8">
      <c r="A587" s="1">
        <v>586</v>
      </c>
      <c r="B587" s="1" t="s">
        <v>18387</v>
      </c>
      <c r="C587" s="1" t="s">
        <v>93</v>
      </c>
      <c r="D587" s="1" t="s">
        <v>6266</v>
      </c>
      <c r="E587" s="1" t="s">
        <v>1948</v>
      </c>
      <c r="F587" s="1" t="s">
        <v>6267</v>
      </c>
      <c r="G587" s="1" t="s">
        <v>6268</v>
      </c>
      <c r="H587" s="1" t="str">
        <f t="shared" si="9"/>
        <v>D-Link DES_DGS Switch</v>
      </c>
    </row>
    <row r="588" spans="1:8">
      <c r="A588" s="1">
        <v>587</v>
      </c>
      <c r="B588" s="1" t="s">
        <v>18387</v>
      </c>
      <c r="C588" s="1" t="s">
        <v>98</v>
      </c>
      <c r="D588" s="1" t="s">
        <v>6266</v>
      </c>
      <c r="E588" s="1" t="s">
        <v>1945</v>
      </c>
      <c r="F588" s="1" t="s">
        <v>6270</v>
      </c>
      <c r="G588" s="1" t="s">
        <v>6271</v>
      </c>
      <c r="H588" s="1" t="str">
        <f t="shared" si="9"/>
        <v>D-Link DES_DGS Switch</v>
      </c>
    </row>
    <row r="589" spans="1:8">
      <c r="A589" s="1">
        <v>588</v>
      </c>
      <c r="B589" s="1" t="s">
        <v>18387</v>
      </c>
      <c r="C589" s="1" t="s">
        <v>102</v>
      </c>
      <c r="D589" s="1" t="s">
        <v>6266</v>
      </c>
      <c r="E589" s="1" t="s">
        <v>1944</v>
      </c>
      <c r="F589" s="1" t="s">
        <v>6273</v>
      </c>
      <c r="G589" s="1" t="s">
        <v>6274</v>
      </c>
      <c r="H589" s="1" t="str">
        <f t="shared" si="9"/>
        <v>D-Link DES_DGS Switch</v>
      </c>
    </row>
    <row r="590" spans="1:8">
      <c r="A590" s="1">
        <v>589</v>
      </c>
      <c r="B590" s="1" t="s">
        <v>18387</v>
      </c>
      <c r="C590" s="1" t="s">
        <v>106</v>
      </c>
      <c r="D590" s="1" t="s">
        <v>6266</v>
      </c>
      <c r="E590" s="1" t="s">
        <v>6276</v>
      </c>
      <c r="F590" s="1" t="s">
        <v>6277</v>
      </c>
      <c r="G590" s="1" t="s">
        <v>6278</v>
      </c>
      <c r="H590" s="1" t="str">
        <f t="shared" si="9"/>
        <v>D-Link DES_DGS Switch</v>
      </c>
    </row>
    <row r="591" spans="1:8">
      <c r="A591" s="1">
        <v>590</v>
      </c>
      <c r="B591" s="1" t="s">
        <v>18387</v>
      </c>
      <c r="C591" s="1" t="s">
        <v>110</v>
      </c>
      <c r="D591" s="1" t="s">
        <v>6266</v>
      </c>
      <c r="E591" s="1" t="s">
        <v>6280</v>
      </c>
      <c r="F591" s="1" t="s">
        <v>6281</v>
      </c>
      <c r="G591" s="1" t="s">
        <v>6282</v>
      </c>
      <c r="H591" s="1" t="str">
        <f t="shared" si="9"/>
        <v>D-Link DES_DGS Switch</v>
      </c>
    </row>
    <row r="592" spans="1:8">
      <c r="A592" s="1">
        <v>591</v>
      </c>
      <c r="B592" s="1" t="s">
        <v>18387</v>
      </c>
      <c r="C592" s="1" t="s">
        <v>114</v>
      </c>
      <c r="D592" s="1" t="s">
        <v>6266</v>
      </c>
      <c r="E592" s="1" t="s">
        <v>6284</v>
      </c>
      <c r="F592" s="1" t="s">
        <v>6285</v>
      </c>
      <c r="G592" s="1" t="s">
        <v>6286</v>
      </c>
      <c r="H592" s="1" t="str">
        <f t="shared" si="9"/>
        <v>D-Link DES_DGS Switch</v>
      </c>
    </row>
    <row r="593" spans="1:8">
      <c r="A593" s="1">
        <v>592</v>
      </c>
      <c r="B593" s="1" t="s">
        <v>18387</v>
      </c>
      <c r="C593" s="1" t="s">
        <v>118</v>
      </c>
      <c r="D593" s="1" t="s">
        <v>6266</v>
      </c>
      <c r="E593" s="1" t="s">
        <v>6288</v>
      </c>
      <c r="F593" s="1" t="s">
        <v>6289</v>
      </c>
      <c r="G593" s="1" t="s">
        <v>6290</v>
      </c>
      <c r="H593" s="1" t="str">
        <f t="shared" si="9"/>
        <v>D-Link DES_DGS Switch</v>
      </c>
    </row>
    <row r="594" spans="1:8">
      <c r="A594" s="1">
        <v>593</v>
      </c>
      <c r="B594" s="1" t="s">
        <v>18387</v>
      </c>
      <c r="C594" s="1" t="s">
        <v>122</v>
      </c>
      <c r="D594" s="1" t="s">
        <v>6266</v>
      </c>
      <c r="E594" s="1" t="s">
        <v>6292</v>
      </c>
      <c r="F594" s="1" t="s">
        <v>6293</v>
      </c>
      <c r="G594" s="1" t="s">
        <v>6294</v>
      </c>
      <c r="H594" s="1" t="str">
        <f t="shared" si="9"/>
        <v>D-Link DES_DGS Switch</v>
      </c>
    </row>
    <row r="595" spans="1:8">
      <c r="A595" s="1">
        <v>594</v>
      </c>
      <c r="B595" s="1" t="s">
        <v>18387</v>
      </c>
      <c r="C595" s="1" t="s">
        <v>126</v>
      </c>
      <c r="D595" s="1" t="s">
        <v>6266</v>
      </c>
      <c r="E595" s="1" t="s">
        <v>6296</v>
      </c>
      <c r="F595" s="1" t="s">
        <v>6297</v>
      </c>
      <c r="G595" s="1" t="s">
        <v>6298</v>
      </c>
      <c r="H595" s="1" t="str">
        <f t="shared" si="9"/>
        <v>D-Link DES_DGS Switch</v>
      </c>
    </row>
    <row r="596" spans="1:8">
      <c r="A596" s="1">
        <v>595</v>
      </c>
      <c r="B596" s="1" t="s">
        <v>18388</v>
      </c>
      <c r="C596" s="1" t="s">
        <v>211</v>
      </c>
      <c r="D596" s="1" t="s">
        <v>6300</v>
      </c>
      <c r="E596" s="1" t="s">
        <v>6301</v>
      </c>
      <c r="F596" s="1" t="s">
        <v>3767</v>
      </c>
      <c r="G596" s="1" t="s">
        <v>3768</v>
      </c>
      <c r="H596" s="1" t="str">
        <f t="shared" si="9"/>
        <v>Dell R720</v>
      </c>
    </row>
    <row r="597" spans="1:8">
      <c r="A597" s="1">
        <v>596</v>
      </c>
      <c r="B597" s="1" t="s">
        <v>18388</v>
      </c>
      <c r="C597" s="1" t="s">
        <v>214</v>
      </c>
      <c r="D597" s="1" t="s">
        <v>6300</v>
      </c>
      <c r="E597" s="1" t="s">
        <v>6303</v>
      </c>
      <c r="F597" s="1" t="s">
        <v>6304</v>
      </c>
      <c r="G597" s="1" t="s">
        <v>6305</v>
      </c>
      <c r="H597" s="1" t="str">
        <f t="shared" si="9"/>
        <v>Dell R720</v>
      </c>
    </row>
    <row r="598" spans="1:8">
      <c r="A598" s="1">
        <v>597</v>
      </c>
      <c r="B598" s="1" t="s">
        <v>18388</v>
      </c>
      <c r="C598" s="1" t="s">
        <v>218</v>
      </c>
      <c r="D598" s="1" t="s">
        <v>6300</v>
      </c>
      <c r="E598" s="1" t="s">
        <v>6307</v>
      </c>
      <c r="F598" s="1" t="s">
        <v>6308</v>
      </c>
      <c r="G598" s="1" t="s">
        <v>6309</v>
      </c>
      <c r="H598" s="1" t="str">
        <f t="shared" si="9"/>
        <v>Dell R720</v>
      </c>
    </row>
    <row r="599" spans="1:8">
      <c r="A599" s="1">
        <v>598</v>
      </c>
      <c r="B599" s="1" t="s">
        <v>18388</v>
      </c>
      <c r="C599" s="1" t="s">
        <v>220</v>
      </c>
      <c r="D599" s="1" t="s">
        <v>6300</v>
      </c>
      <c r="E599" s="1" t="s">
        <v>6311</v>
      </c>
      <c r="F599" s="1" t="s">
        <v>6312</v>
      </c>
      <c r="G599" s="1" t="s">
        <v>6313</v>
      </c>
      <c r="H599" s="1" t="str">
        <f t="shared" si="9"/>
        <v>Dell R720</v>
      </c>
    </row>
    <row r="600" spans="1:8">
      <c r="A600" s="1">
        <v>599</v>
      </c>
      <c r="B600" s="1" t="s">
        <v>18388</v>
      </c>
      <c r="C600" s="1" t="s">
        <v>224</v>
      </c>
      <c r="D600" s="1" t="s">
        <v>6300</v>
      </c>
      <c r="E600" s="1" t="s">
        <v>6315</v>
      </c>
      <c r="F600" s="1" t="s">
        <v>6316</v>
      </c>
      <c r="G600" s="1" t="s">
        <v>6317</v>
      </c>
      <c r="H600" s="1" t="str">
        <f t="shared" si="9"/>
        <v>Dell R720</v>
      </c>
    </row>
    <row r="601" spans="1:8">
      <c r="A601" s="1">
        <v>600</v>
      </c>
      <c r="B601" s="1" t="s">
        <v>18389</v>
      </c>
      <c r="C601" s="1" t="s">
        <v>93</v>
      </c>
      <c r="D601" s="1" t="s">
        <v>6319</v>
      </c>
      <c r="E601" s="1" t="s">
        <v>6320</v>
      </c>
      <c r="F601" s="1" t="s">
        <v>3767</v>
      </c>
      <c r="G601" s="1" t="s">
        <v>3768</v>
      </c>
      <c r="H601" s="1" t="str">
        <f t="shared" si="9"/>
        <v>Dell R720</v>
      </c>
    </row>
    <row r="602" spans="1:8">
      <c r="A602" s="1">
        <v>601</v>
      </c>
      <c r="B602" s="1" t="s">
        <v>18389</v>
      </c>
      <c r="C602" s="1" t="s">
        <v>98</v>
      </c>
      <c r="D602" s="1" t="s">
        <v>6319</v>
      </c>
      <c r="E602" s="1" t="s">
        <v>6322</v>
      </c>
      <c r="F602" s="1" t="s">
        <v>6304</v>
      </c>
      <c r="G602" s="1" t="s">
        <v>6305</v>
      </c>
      <c r="H602" s="1" t="str">
        <f t="shared" si="9"/>
        <v>Dell R720</v>
      </c>
    </row>
    <row r="603" spans="1:8">
      <c r="A603" s="1">
        <v>602</v>
      </c>
      <c r="B603" s="1" t="s">
        <v>18389</v>
      </c>
      <c r="C603" s="1" t="s">
        <v>102</v>
      </c>
      <c r="D603" s="1" t="s">
        <v>6319</v>
      </c>
      <c r="E603" s="1" t="s">
        <v>6324</v>
      </c>
      <c r="F603" s="1" t="s">
        <v>3785</v>
      </c>
      <c r="G603" s="1" t="s">
        <v>3786</v>
      </c>
      <c r="H603" s="1" t="str">
        <f t="shared" si="9"/>
        <v>Dell R720</v>
      </c>
    </row>
    <row r="604" spans="1:8">
      <c r="A604" s="1">
        <v>603</v>
      </c>
      <c r="B604" s="1" t="s">
        <v>18389</v>
      </c>
      <c r="C604" s="1" t="s">
        <v>106</v>
      </c>
      <c r="D604" s="1" t="s">
        <v>6319</v>
      </c>
      <c r="E604" s="1" t="s">
        <v>6326</v>
      </c>
      <c r="F604" s="1" t="s">
        <v>3776</v>
      </c>
      <c r="G604" s="1" t="s">
        <v>3777</v>
      </c>
      <c r="H604" s="1" t="str">
        <f t="shared" si="9"/>
        <v>Dell R720</v>
      </c>
    </row>
    <row r="605" spans="1:8">
      <c r="A605" s="1">
        <v>604</v>
      </c>
      <c r="B605" s="1" t="s">
        <v>18389</v>
      </c>
      <c r="C605" s="1" t="s">
        <v>110</v>
      </c>
      <c r="D605" s="1" t="s">
        <v>6319</v>
      </c>
      <c r="E605" s="1" t="s">
        <v>6328</v>
      </c>
      <c r="F605" s="1" t="s">
        <v>3779</v>
      </c>
      <c r="G605" s="1" t="s">
        <v>3780</v>
      </c>
      <c r="H605" s="1" t="str">
        <f t="shared" si="9"/>
        <v>Dell R720</v>
      </c>
    </row>
    <row r="606" spans="1:8">
      <c r="A606" s="1">
        <v>605</v>
      </c>
      <c r="B606" s="1" t="s">
        <v>18389</v>
      </c>
      <c r="C606" s="1" t="s">
        <v>114</v>
      </c>
      <c r="D606" s="1" t="s">
        <v>6319</v>
      </c>
      <c r="E606" s="1" t="s">
        <v>6330</v>
      </c>
      <c r="F606" s="1" t="s">
        <v>3782</v>
      </c>
      <c r="G606" s="1" t="s">
        <v>3783</v>
      </c>
      <c r="H606" s="1" t="str">
        <f t="shared" si="9"/>
        <v>Dell R720</v>
      </c>
    </row>
    <row r="607" spans="1:8">
      <c r="A607" s="1">
        <v>606</v>
      </c>
      <c r="B607" s="1" t="s">
        <v>18389</v>
      </c>
      <c r="C607" s="1" t="s">
        <v>118</v>
      </c>
      <c r="D607" s="1" t="s">
        <v>6319</v>
      </c>
      <c r="E607" s="1" t="s">
        <v>6332</v>
      </c>
      <c r="F607" s="1" t="s">
        <v>3791</v>
      </c>
      <c r="G607" s="1" t="s">
        <v>3792</v>
      </c>
      <c r="H607" s="1" t="str">
        <f t="shared" si="9"/>
        <v>Dell R720</v>
      </c>
    </row>
    <row r="608" spans="1:8">
      <c r="A608" s="1">
        <v>607</v>
      </c>
      <c r="B608" s="1" t="s">
        <v>18389</v>
      </c>
      <c r="C608" s="1" t="s">
        <v>122</v>
      </c>
      <c r="D608" s="1" t="s">
        <v>6319</v>
      </c>
      <c r="E608" s="1" t="s">
        <v>6334</v>
      </c>
      <c r="F608" s="1" t="s">
        <v>6335</v>
      </c>
      <c r="G608" s="1" t="s">
        <v>6336</v>
      </c>
      <c r="H608" s="1" t="str">
        <f t="shared" si="9"/>
        <v>Dell R720</v>
      </c>
    </row>
    <row r="609" spans="1:8">
      <c r="A609" s="1">
        <v>608</v>
      </c>
      <c r="B609" s="1" t="s">
        <v>18389</v>
      </c>
      <c r="C609" s="1" t="s">
        <v>126</v>
      </c>
      <c r="D609" s="1" t="s">
        <v>6319</v>
      </c>
      <c r="E609" s="1" t="s">
        <v>6338</v>
      </c>
      <c r="F609" s="1" t="s">
        <v>6339</v>
      </c>
      <c r="G609" s="1" t="s">
        <v>6340</v>
      </c>
      <c r="H609" s="1" t="str">
        <f t="shared" si="9"/>
        <v>Dell R720</v>
      </c>
    </row>
    <row r="610" spans="1:8">
      <c r="A610" s="1">
        <v>609</v>
      </c>
      <c r="B610" s="1" t="s">
        <v>18390</v>
      </c>
      <c r="C610" s="1" t="s">
        <v>211</v>
      </c>
      <c r="D610" s="1" t="s">
        <v>6342</v>
      </c>
      <c r="E610" s="1" t="s">
        <v>6343</v>
      </c>
      <c r="F610" s="1" t="s">
        <v>3796</v>
      </c>
      <c r="G610" s="1" t="s">
        <v>3797</v>
      </c>
      <c r="H610" s="1" t="str">
        <f t="shared" si="9"/>
        <v>Dell R740</v>
      </c>
    </row>
    <row r="611" spans="1:8">
      <c r="A611" s="1">
        <v>610</v>
      </c>
      <c r="B611" s="1" t="s">
        <v>18390</v>
      </c>
      <c r="C611" s="1" t="s">
        <v>214</v>
      </c>
      <c r="D611" s="1" t="s">
        <v>6342</v>
      </c>
      <c r="E611" s="1" t="s">
        <v>6345</v>
      </c>
      <c r="F611" s="1" t="s">
        <v>6346</v>
      </c>
      <c r="G611" s="1" t="s">
        <v>6347</v>
      </c>
      <c r="H611" s="1" t="str">
        <f t="shared" si="9"/>
        <v>Dell R740</v>
      </c>
    </row>
    <row r="612" spans="1:8">
      <c r="A612" s="1">
        <v>611</v>
      </c>
      <c r="B612" s="1" t="s">
        <v>18390</v>
      </c>
      <c r="C612" s="1" t="s">
        <v>218</v>
      </c>
      <c r="D612" s="1" t="s">
        <v>6342</v>
      </c>
      <c r="E612" s="1" t="s">
        <v>6349</v>
      </c>
      <c r="F612" s="1" t="s">
        <v>6350</v>
      </c>
      <c r="G612" s="1" t="s">
        <v>6351</v>
      </c>
      <c r="H612" s="1" t="str">
        <f t="shared" si="9"/>
        <v>Dell R740</v>
      </c>
    </row>
    <row r="613" spans="1:8">
      <c r="A613" s="1">
        <v>612</v>
      </c>
      <c r="B613" s="1" t="s">
        <v>18390</v>
      </c>
      <c r="C613" s="1" t="s">
        <v>220</v>
      </c>
      <c r="D613" s="1" t="s">
        <v>6342</v>
      </c>
      <c r="E613" s="1" t="s">
        <v>6353</v>
      </c>
      <c r="F613" s="1" t="s">
        <v>6354</v>
      </c>
      <c r="G613" s="1" t="s">
        <v>6355</v>
      </c>
      <c r="H613" s="1" t="str">
        <f t="shared" si="9"/>
        <v>Dell R740</v>
      </c>
    </row>
    <row r="614" spans="1:8">
      <c r="A614" s="1">
        <v>613</v>
      </c>
      <c r="B614" s="1" t="s">
        <v>18390</v>
      </c>
      <c r="C614" s="1" t="s">
        <v>224</v>
      </c>
      <c r="D614" s="1" t="s">
        <v>6342</v>
      </c>
      <c r="E614" s="1" t="s">
        <v>6357</v>
      </c>
      <c r="F614" s="1" t="s">
        <v>6358</v>
      </c>
      <c r="G614" s="1" t="s">
        <v>6359</v>
      </c>
      <c r="H614" s="1" t="str">
        <f t="shared" si="9"/>
        <v>Dell R740</v>
      </c>
    </row>
    <row r="615" spans="1:8">
      <c r="A615" s="1">
        <v>614</v>
      </c>
      <c r="B615" s="1" t="s">
        <v>18391</v>
      </c>
      <c r="C615" s="1" t="s">
        <v>93</v>
      </c>
      <c r="D615" s="1" t="s">
        <v>6361</v>
      </c>
      <c r="E615" s="1" t="s">
        <v>6362</v>
      </c>
      <c r="F615" s="1" t="s">
        <v>3796</v>
      </c>
      <c r="G615" s="1" t="s">
        <v>3797</v>
      </c>
      <c r="H615" s="1" t="str">
        <f t="shared" si="9"/>
        <v>Dell R740</v>
      </c>
    </row>
    <row r="616" spans="1:8">
      <c r="A616" s="1">
        <v>615</v>
      </c>
      <c r="B616" s="1" t="s">
        <v>18391</v>
      </c>
      <c r="C616" s="1" t="s">
        <v>98</v>
      </c>
      <c r="D616" s="1" t="s">
        <v>6361</v>
      </c>
      <c r="E616" s="1" t="s">
        <v>6364</v>
      </c>
      <c r="F616" s="1" t="s">
        <v>6346</v>
      </c>
      <c r="G616" s="1" t="s">
        <v>6347</v>
      </c>
      <c r="H616" s="1" t="str">
        <f t="shared" si="9"/>
        <v>Dell R740</v>
      </c>
    </row>
    <row r="617" spans="1:8">
      <c r="A617" s="1">
        <v>616</v>
      </c>
      <c r="B617" s="1" t="s">
        <v>18391</v>
      </c>
      <c r="C617" s="1" t="s">
        <v>102</v>
      </c>
      <c r="D617" s="1" t="s">
        <v>6361</v>
      </c>
      <c r="E617" s="1" t="s">
        <v>3935</v>
      </c>
      <c r="F617" s="1" t="s">
        <v>3814</v>
      </c>
      <c r="G617" s="1" t="s">
        <v>3815</v>
      </c>
      <c r="H617" s="1" t="str">
        <f t="shared" si="9"/>
        <v>Dell R740</v>
      </c>
    </row>
    <row r="618" spans="1:8">
      <c r="A618" s="1">
        <v>617</v>
      </c>
      <c r="B618" s="1" t="s">
        <v>18391</v>
      </c>
      <c r="C618" s="1" t="s">
        <v>106</v>
      </c>
      <c r="D618" s="1" t="s">
        <v>6361</v>
      </c>
      <c r="E618" s="1" t="s">
        <v>6367</v>
      </c>
      <c r="F618" s="1" t="s">
        <v>3805</v>
      </c>
      <c r="G618" s="1" t="s">
        <v>3806</v>
      </c>
      <c r="H618" s="1" t="str">
        <f t="shared" si="9"/>
        <v>Dell R740</v>
      </c>
    </row>
    <row r="619" spans="1:8">
      <c r="A619" s="1">
        <v>618</v>
      </c>
      <c r="B619" s="1" t="s">
        <v>18391</v>
      </c>
      <c r="C619" s="1" t="s">
        <v>110</v>
      </c>
      <c r="D619" s="1" t="s">
        <v>6361</v>
      </c>
      <c r="E619" s="1" t="s">
        <v>3933</v>
      </c>
      <c r="F619" s="1" t="s">
        <v>3808</v>
      </c>
      <c r="G619" s="1" t="s">
        <v>3809</v>
      </c>
      <c r="H619" s="1" t="str">
        <f t="shared" si="9"/>
        <v>Dell R740</v>
      </c>
    </row>
    <row r="620" spans="1:8">
      <c r="A620" s="1">
        <v>619</v>
      </c>
      <c r="B620" s="1" t="s">
        <v>18391</v>
      </c>
      <c r="C620" s="1" t="s">
        <v>114</v>
      </c>
      <c r="D620" s="1" t="s">
        <v>6361</v>
      </c>
      <c r="E620" s="1" t="s">
        <v>3934</v>
      </c>
      <c r="F620" s="1" t="s">
        <v>3811</v>
      </c>
      <c r="G620" s="1" t="s">
        <v>3812</v>
      </c>
      <c r="H620" s="1" t="str">
        <f t="shared" si="9"/>
        <v>Dell R740</v>
      </c>
    </row>
    <row r="621" spans="1:8">
      <c r="A621" s="1">
        <v>620</v>
      </c>
      <c r="B621" s="1" t="s">
        <v>18391</v>
      </c>
      <c r="C621" s="1" t="s">
        <v>118</v>
      </c>
      <c r="D621" s="1" t="s">
        <v>6361</v>
      </c>
      <c r="E621" s="1" t="s">
        <v>3937</v>
      </c>
      <c r="F621" s="1" t="s">
        <v>3820</v>
      </c>
      <c r="G621" s="1" t="s">
        <v>3821</v>
      </c>
      <c r="H621" s="1" t="str">
        <f t="shared" si="9"/>
        <v>Dell R740</v>
      </c>
    </row>
    <row r="622" spans="1:8">
      <c r="A622" s="1">
        <v>621</v>
      </c>
      <c r="B622" s="1" t="s">
        <v>18391</v>
      </c>
      <c r="C622" s="1" t="s">
        <v>122</v>
      </c>
      <c r="D622" s="1" t="s">
        <v>6361</v>
      </c>
      <c r="E622" s="1" t="s">
        <v>6372</v>
      </c>
      <c r="F622" s="1" t="s">
        <v>6373</v>
      </c>
      <c r="G622" s="1" t="s">
        <v>6374</v>
      </c>
      <c r="H622" s="1" t="str">
        <f t="shared" si="9"/>
        <v>Dell R740</v>
      </c>
    </row>
    <row r="623" spans="1:8">
      <c r="A623" s="1">
        <v>622</v>
      </c>
      <c r="B623" s="1" t="s">
        <v>18391</v>
      </c>
      <c r="C623" s="1" t="s">
        <v>126</v>
      </c>
      <c r="D623" s="1" t="s">
        <v>6361</v>
      </c>
      <c r="E623" s="1" t="s">
        <v>3936</v>
      </c>
      <c r="F623" s="1" t="s">
        <v>6376</v>
      </c>
      <c r="G623" s="1" t="s">
        <v>6377</v>
      </c>
      <c r="H623" s="1" t="str">
        <f t="shared" si="9"/>
        <v>Dell R740</v>
      </c>
    </row>
    <row r="624" spans="1:8">
      <c r="A624" s="1">
        <v>623</v>
      </c>
      <c r="B624" s="1" t="s">
        <v>18392</v>
      </c>
      <c r="C624" s="1" t="s">
        <v>211</v>
      </c>
      <c r="D624" s="1" t="s">
        <v>6379</v>
      </c>
      <c r="E624" s="1" t="s">
        <v>6380</v>
      </c>
      <c r="F624" s="1" t="s">
        <v>3825</v>
      </c>
      <c r="G624" s="1" t="s">
        <v>3826</v>
      </c>
      <c r="H624" s="1" t="str">
        <f t="shared" si="9"/>
        <v>Dell R820</v>
      </c>
    </row>
    <row r="625" spans="1:8">
      <c r="A625" s="1">
        <v>624</v>
      </c>
      <c r="B625" s="1" t="s">
        <v>18392</v>
      </c>
      <c r="C625" s="1" t="s">
        <v>214</v>
      </c>
      <c r="D625" s="1" t="s">
        <v>6379</v>
      </c>
      <c r="E625" s="1" t="s">
        <v>6382</v>
      </c>
      <c r="F625" s="1" t="s">
        <v>6383</v>
      </c>
      <c r="G625" s="1" t="s">
        <v>6384</v>
      </c>
      <c r="H625" s="1" t="str">
        <f t="shared" si="9"/>
        <v>Dell R820</v>
      </c>
    </row>
    <row r="626" spans="1:8">
      <c r="A626" s="1">
        <v>625</v>
      </c>
      <c r="B626" s="1" t="s">
        <v>18392</v>
      </c>
      <c r="C626" s="1" t="s">
        <v>218</v>
      </c>
      <c r="D626" s="1" t="s">
        <v>6379</v>
      </c>
      <c r="E626" s="1" t="s">
        <v>6386</v>
      </c>
      <c r="F626" s="1" t="s">
        <v>6387</v>
      </c>
      <c r="G626" s="1" t="s">
        <v>6388</v>
      </c>
      <c r="H626" s="1" t="str">
        <f t="shared" si="9"/>
        <v>Dell R820</v>
      </c>
    </row>
    <row r="627" spans="1:8">
      <c r="A627" s="1">
        <v>626</v>
      </c>
      <c r="B627" s="1" t="s">
        <v>18392</v>
      </c>
      <c r="C627" s="1" t="s">
        <v>220</v>
      </c>
      <c r="D627" s="1" t="s">
        <v>6379</v>
      </c>
      <c r="E627" s="1" t="s">
        <v>6390</v>
      </c>
      <c r="F627" s="1" t="s">
        <v>6391</v>
      </c>
      <c r="G627" s="1" t="s">
        <v>6392</v>
      </c>
      <c r="H627" s="1" t="str">
        <f t="shared" si="9"/>
        <v>Dell R820</v>
      </c>
    </row>
    <row r="628" spans="1:8">
      <c r="A628" s="1">
        <v>627</v>
      </c>
      <c r="B628" s="1" t="s">
        <v>18392</v>
      </c>
      <c r="C628" s="1" t="s">
        <v>224</v>
      </c>
      <c r="D628" s="1" t="s">
        <v>6379</v>
      </c>
      <c r="E628" s="1" t="s">
        <v>6394</v>
      </c>
      <c r="F628" s="1" t="s">
        <v>6395</v>
      </c>
      <c r="G628" s="1" t="s">
        <v>6396</v>
      </c>
      <c r="H628" s="1" t="str">
        <f t="shared" si="9"/>
        <v>Dell R820</v>
      </c>
    </row>
    <row r="629" spans="1:8">
      <c r="A629" s="1">
        <v>628</v>
      </c>
      <c r="B629" s="1" t="s">
        <v>18393</v>
      </c>
      <c r="C629" s="1" t="s">
        <v>93</v>
      </c>
      <c r="D629" s="1" t="s">
        <v>6398</v>
      </c>
      <c r="E629" s="1" t="s">
        <v>6399</v>
      </c>
      <c r="F629" s="1" t="s">
        <v>3825</v>
      </c>
      <c r="G629" s="1" t="s">
        <v>3826</v>
      </c>
      <c r="H629" s="1" t="str">
        <f t="shared" si="9"/>
        <v>Dell R820</v>
      </c>
    </row>
    <row r="630" spans="1:8">
      <c r="A630" s="1">
        <v>629</v>
      </c>
      <c r="B630" s="1" t="s">
        <v>18393</v>
      </c>
      <c r="C630" s="1" t="s">
        <v>98</v>
      </c>
      <c r="D630" s="1" t="s">
        <v>6398</v>
      </c>
      <c r="E630" s="1" t="s">
        <v>6401</v>
      </c>
      <c r="F630" s="1" t="s">
        <v>6383</v>
      </c>
      <c r="G630" s="1" t="s">
        <v>6384</v>
      </c>
      <c r="H630" s="1" t="str">
        <f t="shared" si="9"/>
        <v>Dell R820</v>
      </c>
    </row>
    <row r="631" spans="1:8">
      <c r="A631" s="1">
        <v>630</v>
      </c>
      <c r="B631" s="1" t="s">
        <v>18393</v>
      </c>
      <c r="C631" s="1" t="s">
        <v>102</v>
      </c>
      <c r="D631" s="1" t="s">
        <v>6398</v>
      </c>
      <c r="E631" s="1" t="s">
        <v>6403</v>
      </c>
      <c r="F631" s="1" t="s">
        <v>3843</v>
      </c>
      <c r="G631" s="1" t="s">
        <v>3844</v>
      </c>
      <c r="H631" s="1" t="str">
        <f t="shared" si="9"/>
        <v>Dell R820</v>
      </c>
    </row>
    <row r="632" spans="1:8">
      <c r="A632" s="1">
        <v>631</v>
      </c>
      <c r="B632" s="1" t="s">
        <v>18393</v>
      </c>
      <c r="C632" s="1" t="s">
        <v>106</v>
      </c>
      <c r="D632" s="1" t="s">
        <v>6398</v>
      </c>
      <c r="E632" s="1" t="s">
        <v>6405</v>
      </c>
      <c r="F632" s="1" t="s">
        <v>3834</v>
      </c>
      <c r="G632" s="1" t="s">
        <v>3835</v>
      </c>
      <c r="H632" s="1" t="str">
        <f t="shared" si="9"/>
        <v>Dell R820</v>
      </c>
    </row>
    <row r="633" spans="1:8">
      <c r="A633" s="1">
        <v>632</v>
      </c>
      <c r="B633" s="1" t="s">
        <v>18393</v>
      </c>
      <c r="C633" s="1" t="s">
        <v>110</v>
      </c>
      <c r="D633" s="1" t="s">
        <v>6398</v>
      </c>
      <c r="E633" s="1" t="s">
        <v>6407</v>
      </c>
      <c r="F633" s="1" t="s">
        <v>3837</v>
      </c>
      <c r="G633" s="1" t="s">
        <v>3838</v>
      </c>
      <c r="H633" s="1" t="str">
        <f t="shared" si="9"/>
        <v>Dell R820</v>
      </c>
    </row>
    <row r="634" spans="1:8">
      <c r="A634" s="1">
        <v>633</v>
      </c>
      <c r="B634" s="1" t="s">
        <v>18393</v>
      </c>
      <c r="C634" s="1" t="s">
        <v>114</v>
      </c>
      <c r="D634" s="1" t="s">
        <v>6398</v>
      </c>
      <c r="E634" s="1" t="s">
        <v>6409</v>
      </c>
      <c r="F634" s="1" t="s">
        <v>3840</v>
      </c>
      <c r="G634" s="1" t="s">
        <v>3841</v>
      </c>
      <c r="H634" s="1" t="str">
        <f t="shared" si="9"/>
        <v>Dell R820</v>
      </c>
    </row>
    <row r="635" spans="1:8">
      <c r="A635" s="1">
        <v>634</v>
      </c>
      <c r="B635" s="1" t="s">
        <v>18393</v>
      </c>
      <c r="C635" s="1" t="s">
        <v>118</v>
      </c>
      <c r="D635" s="1" t="s">
        <v>6398</v>
      </c>
      <c r="E635" s="1" t="s">
        <v>6411</v>
      </c>
      <c r="F635" s="1" t="s">
        <v>3849</v>
      </c>
      <c r="G635" s="1" t="s">
        <v>3850</v>
      </c>
      <c r="H635" s="1" t="str">
        <f t="shared" si="9"/>
        <v>Dell R820</v>
      </c>
    </row>
    <row r="636" spans="1:8">
      <c r="A636" s="1">
        <v>635</v>
      </c>
      <c r="B636" s="1" t="s">
        <v>18393</v>
      </c>
      <c r="C636" s="1" t="s">
        <v>122</v>
      </c>
      <c r="D636" s="1" t="s">
        <v>6398</v>
      </c>
      <c r="E636" s="1" t="s">
        <v>6413</v>
      </c>
      <c r="F636" s="1" t="s">
        <v>6414</v>
      </c>
      <c r="G636" s="1" t="s">
        <v>6415</v>
      </c>
      <c r="H636" s="1" t="str">
        <f t="shared" si="9"/>
        <v>Dell R820</v>
      </c>
    </row>
    <row r="637" spans="1:8">
      <c r="A637" s="1">
        <v>636</v>
      </c>
      <c r="B637" s="1" t="s">
        <v>18393</v>
      </c>
      <c r="C637" s="1" t="s">
        <v>126</v>
      </c>
      <c r="D637" s="1" t="s">
        <v>6398</v>
      </c>
      <c r="E637" s="1" t="s">
        <v>6417</v>
      </c>
      <c r="F637" s="1" t="s">
        <v>6418</v>
      </c>
      <c r="G637" s="1" t="s">
        <v>6419</v>
      </c>
      <c r="H637" s="1" t="str">
        <f t="shared" si="9"/>
        <v>Dell R820</v>
      </c>
    </row>
    <row r="638" spans="1:8">
      <c r="A638" s="1">
        <v>637</v>
      </c>
      <c r="B638" s="1" t="s">
        <v>18394</v>
      </c>
      <c r="C638" s="1" t="s">
        <v>211</v>
      </c>
      <c r="D638" s="1" t="s">
        <v>6421</v>
      </c>
      <c r="E638" s="1" t="s">
        <v>6422</v>
      </c>
      <c r="F638" s="1" t="s">
        <v>3854</v>
      </c>
      <c r="G638" s="1" t="s">
        <v>3855</v>
      </c>
      <c r="H638" s="1" t="str">
        <f t="shared" si="9"/>
        <v>Dell R840</v>
      </c>
    </row>
    <row r="639" spans="1:8">
      <c r="A639" s="1">
        <v>638</v>
      </c>
      <c r="B639" s="1" t="s">
        <v>18394</v>
      </c>
      <c r="C639" s="1" t="s">
        <v>214</v>
      </c>
      <c r="D639" s="1" t="s">
        <v>6421</v>
      </c>
      <c r="E639" s="1" t="s">
        <v>1656</v>
      </c>
      <c r="F639" s="1" t="s">
        <v>6424</v>
      </c>
      <c r="G639" s="1" t="s">
        <v>6425</v>
      </c>
      <c r="H639" s="1" t="str">
        <f t="shared" si="9"/>
        <v>Dell R840</v>
      </c>
    </row>
    <row r="640" spans="1:8">
      <c r="A640" s="1">
        <v>639</v>
      </c>
      <c r="B640" s="1" t="s">
        <v>18394</v>
      </c>
      <c r="C640" s="1" t="s">
        <v>218</v>
      </c>
      <c r="D640" s="1" t="s">
        <v>6421</v>
      </c>
      <c r="E640" s="1" t="s">
        <v>1659</v>
      </c>
      <c r="F640" s="1" t="s">
        <v>6427</v>
      </c>
      <c r="G640" s="1" t="s">
        <v>6428</v>
      </c>
      <c r="H640" s="1" t="str">
        <f t="shared" si="9"/>
        <v>Dell R840</v>
      </c>
    </row>
    <row r="641" spans="1:8">
      <c r="A641" s="1">
        <v>640</v>
      </c>
      <c r="B641" s="1" t="s">
        <v>18394</v>
      </c>
      <c r="C641" s="1" t="s">
        <v>220</v>
      </c>
      <c r="D641" s="1" t="s">
        <v>6421</v>
      </c>
      <c r="E641" s="1" t="s">
        <v>1662</v>
      </c>
      <c r="F641" s="1" t="s">
        <v>6430</v>
      </c>
      <c r="G641" s="1" t="s">
        <v>6431</v>
      </c>
      <c r="H641" s="1" t="str">
        <f t="shared" si="9"/>
        <v>Dell R840</v>
      </c>
    </row>
    <row r="642" spans="1:8">
      <c r="A642" s="1">
        <v>641</v>
      </c>
      <c r="B642" s="1" t="s">
        <v>18394</v>
      </c>
      <c r="C642" s="1" t="s">
        <v>224</v>
      </c>
      <c r="D642" s="1" t="s">
        <v>6421</v>
      </c>
      <c r="E642" s="1" t="s">
        <v>6433</v>
      </c>
      <c r="F642" s="1" t="s">
        <v>6434</v>
      </c>
      <c r="G642" s="1" t="s">
        <v>6435</v>
      </c>
      <c r="H642" s="1" t="str">
        <f t="shared" ref="H642:H705" si="10">IFERROR(IF(OR(MID(G642,FIND(":",G642)-1,1)="""",MID(G642,FIND(":",G642)-1,1)="}",MID(G642,FIND(":",G642)-1,1)=")",MID(G642,FIND(":",G642)-1,1)="]"),"",LEFT(F642,FIND(":",F642)-1)),"")</f>
        <v>Dell R840</v>
      </c>
    </row>
    <row r="643" spans="1:8">
      <c r="A643" s="1">
        <v>642</v>
      </c>
      <c r="B643" s="1" t="s">
        <v>18395</v>
      </c>
      <c r="C643" s="1" t="s">
        <v>93</v>
      </c>
      <c r="D643" s="1" t="s">
        <v>6437</v>
      </c>
      <c r="E643" s="1" t="s">
        <v>6438</v>
      </c>
      <c r="F643" s="1" t="s">
        <v>3854</v>
      </c>
      <c r="G643" s="1" t="s">
        <v>3855</v>
      </c>
      <c r="H643" s="1" t="str">
        <f t="shared" si="10"/>
        <v>Dell R840</v>
      </c>
    </row>
    <row r="644" spans="1:8">
      <c r="A644" s="1">
        <v>643</v>
      </c>
      <c r="B644" s="1" t="s">
        <v>18395</v>
      </c>
      <c r="C644" s="1" t="s">
        <v>98</v>
      </c>
      <c r="D644" s="1" t="s">
        <v>6437</v>
      </c>
      <c r="E644" s="1" t="s">
        <v>6440</v>
      </c>
      <c r="F644" s="1" t="s">
        <v>6424</v>
      </c>
      <c r="G644" s="1" t="s">
        <v>6425</v>
      </c>
      <c r="H644" s="1" t="str">
        <f t="shared" si="10"/>
        <v>Dell R840</v>
      </c>
    </row>
    <row r="645" spans="1:8">
      <c r="A645" s="1">
        <v>644</v>
      </c>
      <c r="B645" s="1" t="s">
        <v>18395</v>
      </c>
      <c r="C645" s="1" t="s">
        <v>102</v>
      </c>
      <c r="D645" s="1" t="s">
        <v>6437</v>
      </c>
      <c r="E645" s="1" t="s">
        <v>6442</v>
      </c>
      <c r="F645" s="1" t="s">
        <v>3872</v>
      </c>
      <c r="G645" s="1" t="s">
        <v>3873</v>
      </c>
      <c r="H645" s="1" t="str">
        <f t="shared" si="10"/>
        <v>Dell R840</v>
      </c>
    </row>
    <row r="646" spans="1:8">
      <c r="A646" s="1">
        <v>645</v>
      </c>
      <c r="B646" s="1" t="s">
        <v>18395</v>
      </c>
      <c r="C646" s="1" t="s">
        <v>106</v>
      </c>
      <c r="D646" s="1" t="s">
        <v>6437</v>
      </c>
      <c r="E646" s="1" t="s">
        <v>6444</v>
      </c>
      <c r="F646" s="1" t="s">
        <v>3863</v>
      </c>
      <c r="G646" s="1" t="s">
        <v>3864</v>
      </c>
      <c r="H646" s="1" t="str">
        <f t="shared" si="10"/>
        <v>Dell R840</v>
      </c>
    </row>
    <row r="647" spans="1:8">
      <c r="A647" s="1">
        <v>646</v>
      </c>
      <c r="B647" s="1" t="s">
        <v>18395</v>
      </c>
      <c r="C647" s="1" t="s">
        <v>110</v>
      </c>
      <c r="D647" s="1" t="s">
        <v>6437</v>
      </c>
      <c r="E647" s="1" t="s">
        <v>6446</v>
      </c>
      <c r="F647" s="1" t="s">
        <v>3866</v>
      </c>
      <c r="G647" s="1" t="s">
        <v>3867</v>
      </c>
      <c r="H647" s="1" t="str">
        <f t="shared" si="10"/>
        <v>Dell R840</v>
      </c>
    </row>
    <row r="648" spans="1:8">
      <c r="A648" s="1">
        <v>647</v>
      </c>
      <c r="B648" s="1" t="s">
        <v>18395</v>
      </c>
      <c r="C648" s="1" t="s">
        <v>114</v>
      </c>
      <c r="D648" s="1" t="s">
        <v>6437</v>
      </c>
      <c r="E648" s="1" t="s">
        <v>6448</v>
      </c>
      <c r="F648" s="1" t="s">
        <v>3869</v>
      </c>
      <c r="G648" s="1" t="s">
        <v>3870</v>
      </c>
      <c r="H648" s="1" t="str">
        <f t="shared" si="10"/>
        <v>Dell R840</v>
      </c>
    </row>
    <row r="649" spans="1:8">
      <c r="A649" s="1">
        <v>648</v>
      </c>
      <c r="B649" s="1" t="s">
        <v>18395</v>
      </c>
      <c r="C649" s="1" t="s">
        <v>118</v>
      </c>
      <c r="D649" s="1" t="s">
        <v>6437</v>
      </c>
      <c r="E649" s="1" t="s">
        <v>6450</v>
      </c>
      <c r="F649" s="1" t="s">
        <v>3878</v>
      </c>
      <c r="G649" s="1" t="s">
        <v>3879</v>
      </c>
      <c r="H649" s="1" t="str">
        <f t="shared" si="10"/>
        <v>Dell R840</v>
      </c>
    </row>
    <row r="650" spans="1:8">
      <c r="A650" s="1">
        <v>649</v>
      </c>
      <c r="B650" s="1" t="s">
        <v>18395</v>
      </c>
      <c r="C650" s="1" t="s">
        <v>122</v>
      </c>
      <c r="D650" s="1" t="s">
        <v>6437</v>
      </c>
      <c r="E650" s="1" t="s">
        <v>6452</v>
      </c>
      <c r="F650" s="1" t="s">
        <v>6453</v>
      </c>
      <c r="G650" s="1" t="s">
        <v>6454</v>
      </c>
      <c r="H650" s="1" t="str">
        <f t="shared" si="10"/>
        <v>Dell R840</v>
      </c>
    </row>
    <row r="651" spans="1:8">
      <c r="A651" s="1">
        <v>650</v>
      </c>
      <c r="B651" s="1" t="s">
        <v>18395</v>
      </c>
      <c r="C651" s="1" t="s">
        <v>126</v>
      </c>
      <c r="D651" s="1" t="s">
        <v>6437</v>
      </c>
      <c r="E651" s="1" t="s">
        <v>6456</v>
      </c>
      <c r="F651" s="1" t="s">
        <v>6457</v>
      </c>
      <c r="G651" s="1" t="s">
        <v>6458</v>
      </c>
      <c r="H651" s="1" t="str">
        <f t="shared" si="10"/>
        <v>Dell R840</v>
      </c>
    </row>
    <row r="652" spans="1:8">
      <c r="A652" s="1">
        <v>651</v>
      </c>
      <c r="B652" s="1" t="s">
        <v>18396</v>
      </c>
      <c r="C652" s="1" t="s">
        <v>251</v>
      </c>
      <c r="D652" s="1" t="s">
        <v>6460</v>
      </c>
      <c r="E652" s="1" t="s">
        <v>6461</v>
      </c>
      <c r="F652" s="1" t="s">
        <v>6462</v>
      </c>
      <c r="G652" s="1" t="s">
        <v>6463</v>
      </c>
      <c r="H652" s="1" t="str">
        <f t="shared" si="10"/>
        <v>Dell Force S-Series</v>
      </c>
    </row>
    <row r="653" spans="1:8">
      <c r="A653" s="1">
        <v>652</v>
      </c>
      <c r="B653" s="1" t="s">
        <v>18396</v>
      </c>
      <c r="C653" s="1" t="s">
        <v>254</v>
      </c>
      <c r="D653" s="1" t="s">
        <v>6460</v>
      </c>
      <c r="E653" s="1" t="s">
        <v>6465</v>
      </c>
      <c r="F653" s="1" t="s">
        <v>6466</v>
      </c>
      <c r="G653" s="1" t="s">
        <v>6467</v>
      </c>
      <c r="H653" s="1" t="str">
        <f t="shared" si="10"/>
        <v>Dell Force S-Series</v>
      </c>
    </row>
    <row r="654" spans="1:8">
      <c r="A654" s="1">
        <v>653</v>
      </c>
      <c r="B654" s="1" t="s">
        <v>18396</v>
      </c>
      <c r="C654" s="1" t="s">
        <v>256</v>
      </c>
      <c r="D654" s="1" t="s">
        <v>6460</v>
      </c>
      <c r="E654" s="1" t="s">
        <v>6469</v>
      </c>
      <c r="F654" s="1" t="s">
        <v>6470</v>
      </c>
      <c r="G654" s="1" t="s">
        <v>6471</v>
      </c>
      <c r="H654" s="1" t="str">
        <f t="shared" si="10"/>
        <v>Dell Force S-Series</v>
      </c>
    </row>
    <row r="655" spans="1:8">
      <c r="A655" s="1">
        <v>654</v>
      </c>
      <c r="B655" s="1" t="s">
        <v>18396</v>
      </c>
      <c r="C655" s="1" t="s">
        <v>260</v>
      </c>
      <c r="D655" s="1" t="s">
        <v>6460</v>
      </c>
      <c r="E655" s="1" t="s">
        <v>6473</v>
      </c>
      <c r="F655" s="1" t="s">
        <v>6474</v>
      </c>
      <c r="G655" s="1" t="s">
        <v>6475</v>
      </c>
      <c r="H655" s="1" t="str">
        <f t="shared" si="10"/>
        <v>Dell Force S-Series</v>
      </c>
    </row>
    <row r="656" spans="1:8">
      <c r="A656" s="1">
        <v>655</v>
      </c>
      <c r="B656" s="1" t="s">
        <v>18396</v>
      </c>
      <c r="C656" s="1" t="s">
        <v>262</v>
      </c>
      <c r="D656" s="1" t="s">
        <v>6460</v>
      </c>
      <c r="E656" s="1" t="s">
        <v>6477</v>
      </c>
      <c r="F656" s="1" t="s">
        <v>6478</v>
      </c>
      <c r="G656" s="1" t="s">
        <v>6479</v>
      </c>
      <c r="H656" s="1" t="str">
        <f t="shared" si="10"/>
        <v>Dell Force S-Series</v>
      </c>
    </row>
    <row r="657" spans="1:8">
      <c r="A657" s="1">
        <v>656</v>
      </c>
      <c r="B657" s="1" t="s">
        <v>18396</v>
      </c>
      <c r="C657" s="1" t="s">
        <v>264</v>
      </c>
      <c r="D657" s="1" t="s">
        <v>6460</v>
      </c>
      <c r="E657" s="1" t="s">
        <v>6481</v>
      </c>
      <c r="F657" s="1" t="s">
        <v>6482</v>
      </c>
      <c r="G657" s="1" t="s">
        <v>6483</v>
      </c>
      <c r="H657" s="1" t="str">
        <f t="shared" si="10"/>
        <v>Dell Force S-Series</v>
      </c>
    </row>
    <row r="658" spans="1:8">
      <c r="A658" s="1">
        <v>657</v>
      </c>
      <c r="B658" s="1" t="s">
        <v>18397</v>
      </c>
      <c r="C658" s="1" t="s">
        <v>299</v>
      </c>
      <c r="D658" s="1" t="s">
        <v>6485</v>
      </c>
      <c r="E658" s="1" t="s">
        <v>3891</v>
      </c>
      <c r="F658" s="1" t="s">
        <v>6486</v>
      </c>
      <c r="G658" s="1" t="s">
        <v>6487</v>
      </c>
      <c r="H658" s="1" t="str">
        <f t="shared" si="10"/>
        <v>Dell iDRAC</v>
      </c>
    </row>
    <row r="659" spans="1:8">
      <c r="A659" s="1">
        <v>658</v>
      </c>
      <c r="B659" s="1" t="s">
        <v>18397</v>
      </c>
      <c r="C659" s="1" t="s">
        <v>304</v>
      </c>
      <c r="D659" s="1" t="s">
        <v>6485</v>
      </c>
      <c r="E659" s="1" t="s">
        <v>3890</v>
      </c>
      <c r="F659" s="1" t="s">
        <v>6489</v>
      </c>
      <c r="G659" s="1" t="s">
        <v>6490</v>
      </c>
      <c r="H659" s="1" t="str">
        <f t="shared" si="10"/>
        <v>Dell iDRAC</v>
      </c>
    </row>
    <row r="660" spans="1:8">
      <c r="A660" s="1">
        <v>659</v>
      </c>
      <c r="B660" s="1" t="s">
        <v>18397</v>
      </c>
      <c r="C660" s="1" t="s">
        <v>308</v>
      </c>
      <c r="D660" s="1" t="s">
        <v>6485</v>
      </c>
      <c r="E660" s="1" t="s">
        <v>6492</v>
      </c>
      <c r="F660" s="1" t="s">
        <v>6493</v>
      </c>
      <c r="G660" s="1" t="s">
        <v>6494</v>
      </c>
      <c r="H660" s="1" t="str">
        <f t="shared" si="10"/>
        <v>Dell iDRAC</v>
      </c>
    </row>
    <row r="661" spans="1:8">
      <c r="A661" s="1">
        <v>660</v>
      </c>
      <c r="B661" s="1" t="s">
        <v>18397</v>
      </c>
      <c r="C661" s="1" t="s">
        <v>312</v>
      </c>
      <c r="D661" s="1" t="s">
        <v>6485</v>
      </c>
      <c r="E661" s="1" t="s">
        <v>6496</v>
      </c>
      <c r="F661" s="1" t="s">
        <v>6497</v>
      </c>
      <c r="G661" s="1" t="s">
        <v>6498</v>
      </c>
      <c r="H661" s="1" t="str">
        <f t="shared" si="10"/>
        <v>Dell iDRAC</v>
      </c>
    </row>
    <row r="662" spans="1:8">
      <c r="A662" s="1">
        <v>661</v>
      </c>
      <c r="B662" s="1" t="s">
        <v>18397</v>
      </c>
      <c r="C662" s="1" t="s">
        <v>316</v>
      </c>
      <c r="D662" s="1" t="s">
        <v>6485</v>
      </c>
      <c r="E662" s="1" t="s">
        <v>6500</v>
      </c>
      <c r="F662" s="1" t="s">
        <v>6501</v>
      </c>
      <c r="G662" s="1" t="s">
        <v>6502</v>
      </c>
      <c r="H662" s="1" t="str">
        <f t="shared" si="10"/>
        <v>Dell iDRAC</v>
      </c>
    </row>
    <row r="663" spans="1:8">
      <c r="A663" s="1">
        <v>662</v>
      </c>
      <c r="B663" s="1" t="s">
        <v>18397</v>
      </c>
      <c r="C663" s="1" t="s">
        <v>320</v>
      </c>
      <c r="D663" s="1" t="s">
        <v>6485</v>
      </c>
      <c r="E663" s="1" t="s">
        <v>3894</v>
      </c>
      <c r="F663" s="1" t="s">
        <v>6504</v>
      </c>
      <c r="G663" s="1" t="s">
        <v>6505</v>
      </c>
      <c r="H663" s="1" t="str">
        <f t="shared" si="10"/>
        <v>Dell iDRAC</v>
      </c>
    </row>
    <row r="664" spans="1:8">
      <c r="A664" s="1">
        <v>663</v>
      </c>
      <c r="B664" s="1" t="s">
        <v>18397</v>
      </c>
      <c r="C664" s="1" t="s">
        <v>324</v>
      </c>
      <c r="D664" s="1" t="s">
        <v>6485</v>
      </c>
      <c r="E664" s="1" t="s">
        <v>3888</v>
      </c>
      <c r="F664" s="1" t="s">
        <v>6507</v>
      </c>
      <c r="G664" s="1" t="s">
        <v>6508</v>
      </c>
      <c r="H664" s="1" t="str">
        <f t="shared" si="10"/>
        <v>Dell iDRAC</v>
      </c>
    </row>
    <row r="665" spans="1:8">
      <c r="A665" s="1">
        <v>664</v>
      </c>
      <c r="B665" s="1" t="s">
        <v>18397</v>
      </c>
      <c r="C665" s="1" t="s">
        <v>328</v>
      </c>
      <c r="D665" s="1" t="s">
        <v>6485</v>
      </c>
      <c r="E665" s="1" t="s">
        <v>3885</v>
      </c>
      <c r="F665" s="1" t="s">
        <v>6510</v>
      </c>
      <c r="G665" s="1" t="s">
        <v>6511</v>
      </c>
      <c r="H665" s="1" t="str">
        <f t="shared" si="10"/>
        <v>Dell iDRAC</v>
      </c>
    </row>
    <row r="666" spans="1:8">
      <c r="A666" s="1">
        <v>665</v>
      </c>
      <c r="B666" s="1" t="s">
        <v>18397</v>
      </c>
      <c r="C666" s="1" t="s">
        <v>332</v>
      </c>
      <c r="D666" s="1" t="s">
        <v>6485</v>
      </c>
      <c r="E666" s="1" t="s">
        <v>3889</v>
      </c>
      <c r="F666" s="1" t="s">
        <v>6513</v>
      </c>
      <c r="G666" s="1" t="s">
        <v>6514</v>
      </c>
      <c r="H666" s="1" t="str">
        <f t="shared" si="10"/>
        <v>Dell iDRAC</v>
      </c>
    </row>
    <row r="667" spans="1:8">
      <c r="A667" s="1">
        <v>666</v>
      </c>
      <c r="B667" s="1" t="s">
        <v>18397</v>
      </c>
      <c r="C667" s="1" t="s">
        <v>336</v>
      </c>
      <c r="D667" s="1" t="s">
        <v>6485</v>
      </c>
      <c r="E667" s="1" t="s">
        <v>6516</v>
      </c>
      <c r="F667" s="1" t="s">
        <v>6517</v>
      </c>
      <c r="G667" s="1" t="s">
        <v>6518</v>
      </c>
      <c r="H667" s="1" t="str">
        <f t="shared" si="10"/>
        <v>Dell iDRAC</v>
      </c>
    </row>
    <row r="668" spans="1:8">
      <c r="A668" s="1">
        <v>667</v>
      </c>
      <c r="B668" s="1" t="s">
        <v>18397</v>
      </c>
      <c r="C668" s="1" t="s">
        <v>340</v>
      </c>
      <c r="D668" s="1" t="s">
        <v>6485</v>
      </c>
      <c r="E668" s="1" t="s">
        <v>6520</v>
      </c>
      <c r="F668" s="1" t="s">
        <v>6521</v>
      </c>
      <c r="G668" s="1" t="s">
        <v>6522</v>
      </c>
      <c r="H668" s="1" t="str">
        <f t="shared" si="10"/>
        <v>Dell iDRAC</v>
      </c>
    </row>
    <row r="669" spans="1:8">
      <c r="A669" s="1">
        <v>668</v>
      </c>
      <c r="B669" s="1" t="s">
        <v>18397</v>
      </c>
      <c r="C669" s="1" t="s">
        <v>344</v>
      </c>
      <c r="D669" s="1" t="s">
        <v>6485</v>
      </c>
      <c r="E669" s="1" t="s">
        <v>6524</v>
      </c>
      <c r="F669" s="1" t="s">
        <v>6525</v>
      </c>
      <c r="G669" s="1" t="s">
        <v>6526</v>
      </c>
      <c r="H669" s="1" t="str">
        <f t="shared" si="10"/>
        <v>Dell iDRAC</v>
      </c>
    </row>
    <row r="670" spans="1:8">
      <c r="A670" s="1">
        <v>669</v>
      </c>
      <c r="B670" s="1" t="s">
        <v>18398</v>
      </c>
      <c r="C670" s="1" t="s">
        <v>285</v>
      </c>
      <c r="D670" s="1" t="s">
        <v>6528</v>
      </c>
      <c r="E670" s="1" t="s">
        <v>287</v>
      </c>
      <c r="F670" s="1" t="s">
        <v>6529</v>
      </c>
      <c r="G670" s="1" t="s">
        <v>6530</v>
      </c>
      <c r="H670" s="1" t="str">
        <f t="shared" si="10"/>
        <v>Docker</v>
      </c>
    </row>
    <row r="671" spans="1:8">
      <c r="A671" s="1">
        <v>670</v>
      </c>
      <c r="B671" s="1" t="s">
        <v>18398</v>
      </c>
      <c r="C671" s="1" t="s">
        <v>290</v>
      </c>
      <c r="D671" s="1" t="s">
        <v>6528</v>
      </c>
      <c r="E671" s="1" t="s">
        <v>291</v>
      </c>
      <c r="F671" s="1" t="s">
        <v>292</v>
      </c>
      <c r="G671" s="1" t="s">
        <v>293</v>
      </c>
      <c r="H671" s="1" t="str">
        <f t="shared" si="10"/>
        <v>Docker</v>
      </c>
    </row>
    <row r="672" spans="1:8">
      <c r="A672" s="1">
        <v>671</v>
      </c>
      <c r="B672" s="1" t="s">
        <v>18398</v>
      </c>
      <c r="C672" s="1" t="s">
        <v>294</v>
      </c>
      <c r="D672" s="1" t="s">
        <v>6528</v>
      </c>
      <c r="E672" s="1" t="s">
        <v>295</v>
      </c>
      <c r="F672" s="1" t="s">
        <v>6533</v>
      </c>
      <c r="G672" s="1" t="s">
        <v>6534</v>
      </c>
      <c r="H672" s="1" t="str">
        <f t="shared" si="10"/>
        <v>Docker</v>
      </c>
    </row>
    <row r="673" spans="1:8">
      <c r="A673" s="1">
        <v>672</v>
      </c>
      <c r="B673" s="1" t="s">
        <v>18399</v>
      </c>
      <c r="C673" s="1" t="s">
        <v>299</v>
      </c>
      <c r="D673" s="1" t="s">
        <v>6536</v>
      </c>
      <c r="E673" s="1" t="s">
        <v>317</v>
      </c>
      <c r="F673" s="1" t="s">
        <v>318</v>
      </c>
      <c r="G673" s="1" t="s">
        <v>319</v>
      </c>
      <c r="H673" s="1" t="str">
        <f t="shared" si="10"/>
        <v>ES</v>
      </c>
    </row>
    <row r="674" spans="1:8">
      <c r="A674" s="1">
        <v>673</v>
      </c>
      <c r="B674" s="1" t="s">
        <v>18399</v>
      </c>
      <c r="C674" s="1" t="s">
        <v>304</v>
      </c>
      <c r="D674" s="1" t="s">
        <v>6536</v>
      </c>
      <c r="E674" s="1" t="s">
        <v>321</v>
      </c>
      <c r="F674" s="1" t="s">
        <v>322</v>
      </c>
      <c r="G674" s="1" t="s">
        <v>323</v>
      </c>
      <c r="H674" s="1" t="str">
        <f t="shared" si="10"/>
        <v>ES</v>
      </c>
    </row>
    <row r="675" spans="1:8">
      <c r="A675" s="1">
        <v>674</v>
      </c>
      <c r="B675" s="1" t="s">
        <v>18399</v>
      </c>
      <c r="C675" s="1" t="s">
        <v>308</v>
      </c>
      <c r="D675" s="1" t="s">
        <v>6536</v>
      </c>
      <c r="E675" s="1" t="s">
        <v>325</v>
      </c>
      <c r="F675" s="1" t="s">
        <v>326</v>
      </c>
      <c r="G675" s="1" t="s">
        <v>327</v>
      </c>
      <c r="H675" s="1" t="str">
        <f t="shared" si="10"/>
        <v>ES</v>
      </c>
    </row>
    <row r="676" spans="1:8">
      <c r="A676" s="1">
        <v>675</v>
      </c>
      <c r="B676" s="1" t="s">
        <v>18399</v>
      </c>
      <c r="C676" s="1" t="s">
        <v>312</v>
      </c>
      <c r="D676" s="1" t="s">
        <v>6536</v>
      </c>
      <c r="E676" s="1" t="s">
        <v>6540</v>
      </c>
      <c r="F676" s="1" t="s">
        <v>6541</v>
      </c>
      <c r="G676" s="1" t="s">
        <v>6542</v>
      </c>
      <c r="H676" s="1" t="str">
        <f t="shared" si="10"/>
        <v>ES</v>
      </c>
    </row>
    <row r="677" spans="1:8">
      <c r="A677" s="1">
        <v>676</v>
      </c>
      <c r="B677" s="1" t="s">
        <v>18399</v>
      </c>
      <c r="C677" s="1" t="s">
        <v>316</v>
      </c>
      <c r="D677" s="1" t="s">
        <v>6536</v>
      </c>
      <c r="E677" s="1" t="s">
        <v>333</v>
      </c>
      <c r="F677" s="1" t="s">
        <v>334</v>
      </c>
      <c r="G677" s="1" t="s">
        <v>335</v>
      </c>
      <c r="H677" s="1" t="str">
        <f t="shared" si="10"/>
        <v>ES</v>
      </c>
    </row>
    <row r="678" spans="1:8">
      <c r="A678" s="1">
        <v>677</v>
      </c>
      <c r="B678" s="1" t="s">
        <v>18399</v>
      </c>
      <c r="C678" s="1" t="s">
        <v>320</v>
      </c>
      <c r="D678" s="1" t="s">
        <v>6536</v>
      </c>
      <c r="E678" s="1" t="s">
        <v>301</v>
      </c>
      <c r="F678" s="1" t="s">
        <v>302</v>
      </c>
      <c r="G678" s="1" t="s">
        <v>303</v>
      </c>
      <c r="H678" s="1" t="str">
        <f t="shared" si="10"/>
        <v>ES</v>
      </c>
    </row>
    <row r="679" spans="1:8">
      <c r="A679" s="1">
        <v>678</v>
      </c>
      <c r="B679" s="1" t="s">
        <v>18399</v>
      </c>
      <c r="C679" s="1" t="s">
        <v>324</v>
      </c>
      <c r="D679" s="1" t="s">
        <v>6536</v>
      </c>
      <c r="E679" s="1" t="s">
        <v>305</v>
      </c>
      <c r="F679" s="1" t="s">
        <v>306</v>
      </c>
      <c r="G679" s="1" t="s">
        <v>307</v>
      </c>
      <c r="H679" s="1" t="str">
        <f t="shared" si="10"/>
        <v>ES</v>
      </c>
    </row>
    <row r="680" spans="1:8">
      <c r="A680" s="1">
        <v>679</v>
      </c>
      <c r="B680" s="1" t="s">
        <v>18399</v>
      </c>
      <c r="C680" s="1" t="s">
        <v>328</v>
      </c>
      <c r="D680" s="1" t="s">
        <v>6536</v>
      </c>
      <c r="E680" s="1" t="s">
        <v>309</v>
      </c>
      <c r="F680" s="1" t="s">
        <v>310</v>
      </c>
      <c r="G680" s="1" t="s">
        <v>311</v>
      </c>
      <c r="H680" s="1" t="str">
        <f t="shared" si="10"/>
        <v>ES</v>
      </c>
    </row>
    <row r="681" spans="1:8">
      <c r="A681" s="1">
        <v>680</v>
      </c>
      <c r="B681" s="1" t="s">
        <v>18399</v>
      </c>
      <c r="C681" s="1" t="s">
        <v>332</v>
      </c>
      <c r="D681" s="1" t="s">
        <v>6536</v>
      </c>
      <c r="E681" s="1" t="s">
        <v>313</v>
      </c>
      <c r="F681" s="1" t="s">
        <v>314</v>
      </c>
      <c r="G681" s="1" t="s">
        <v>315</v>
      </c>
      <c r="H681" s="1" t="str">
        <f t="shared" si="10"/>
        <v>ES</v>
      </c>
    </row>
    <row r="682" spans="1:8">
      <c r="A682" s="1">
        <v>681</v>
      </c>
      <c r="B682" s="1" t="s">
        <v>18399</v>
      </c>
      <c r="C682" s="1" t="s">
        <v>336</v>
      </c>
      <c r="D682" s="1" t="s">
        <v>6536</v>
      </c>
      <c r="E682" s="1" t="s">
        <v>329</v>
      </c>
      <c r="F682" s="1" t="s">
        <v>330</v>
      </c>
      <c r="G682" s="1" t="s">
        <v>331</v>
      </c>
      <c r="H682" s="1" t="str">
        <f t="shared" si="10"/>
        <v>ES</v>
      </c>
    </row>
    <row r="683" spans="1:8">
      <c r="A683" s="1">
        <v>682</v>
      </c>
      <c r="B683" s="1" t="s">
        <v>18399</v>
      </c>
      <c r="C683" s="1" t="s">
        <v>340</v>
      </c>
      <c r="D683" s="1" t="s">
        <v>6536</v>
      </c>
      <c r="E683" s="1" t="s">
        <v>337</v>
      </c>
      <c r="F683" s="1" t="s">
        <v>6550</v>
      </c>
      <c r="G683" s="1" t="s">
        <v>6551</v>
      </c>
      <c r="H683" s="1" t="str">
        <f t="shared" si="10"/>
        <v>ES</v>
      </c>
    </row>
    <row r="684" spans="1:8">
      <c r="A684" s="1">
        <v>683</v>
      </c>
      <c r="B684" s="1" t="s">
        <v>18399</v>
      </c>
      <c r="C684" s="1" t="s">
        <v>344</v>
      </c>
      <c r="D684" s="1" t="s">
        <v>6536</v>
      </c>
      <c r="E684" s="1" t="s">
        <v>341</v>
      </c>
      <c r="F684" s="1" t="s">
        <v>342</v>
      </c>
      <c r="G684" s="1" t="s">
        <v>343</v>
      </c>
      <c r="H684" s="1" t="str">
        <f t="shared" si="10"/>
        <v>ES</v>
      </c>
    </row>
    <row r="685" spans="1:8">
      <c r="A685" s="1">
        <v>684</v>
      </c>
      <c r="B685" s="1" t="s">
        <v>18400</v>
      </c>
      <c r="C685" s="1" t="s">
        <v>267</v>
      </c>
      <c r="D685" s="1" t="s">
        <v>6554</v>
      </c>
      <c r="E685" s="1" t="s">
        <v>13951</v>
      </c>
      <c r="F685" s="1" t="s">
        <v>6556</v>
      </c>
      <c r="G685" s="1" t="s">
        <v>6557</v>
      </c>
      <c r="H685" s="1" t="str">
        <f t="shared" si="10"/>
        <v>Envoy Proxy</v>
      </c>
    </row>
    <row r="686" spans="1:8">
      <c r="A686" s="1">
        <v>685</v>
      </c>
      <c r="B686" s="1" t="s">
        <v>18400</v>
      </c>
      <c r="C686" s="1" t="s">
        <v>272</v>
      </c>
      <c r="D686" s="1" t="s">
        <v>6554</v>
      </c>
      <c r="E686" s="1" t="s">
        <v>13953</v>
      </c>
      <c r="F686" s="1" t="s">
        <v>6560</v>
      </c>
      <c r="G686" s="1" t="s">
        <v>6561</v>
      </c>
      <c r="H686" s="1" t="str">
        <f t="shared" si="10"/>
        <v>Envoy Proxy</v>
      </c>
    </row>
    <row r="687" spans="1:8">
      <c r="A687" s="1">
        <v>686</v>
      </c>
      <c r="B687" s="1" t="s">
        <v>18400</v>
      </c>
      <c r="C687" s="1" t="s">
        <v>276</v>
      </c>
      <c r="D687" s="1" t="s">
        <v>6554</v>
      </c>
      <c r="E687" s="1" t="s">
        <v>13955</v>
      </c>
      <c r="F687" s="1" t="s">
        <v>6564</v>
      </c>
      <c r="G687" s="1" t="s">
        <v>6565</v>
      </c>
      <c r="H687" s="1" t="str">
        <f t="shared" si="10"/>
        <v>Envoy Proxy</v>
      </c>
    </row>
    <row r="688" spans="1:8">
      <c r="A688" s="1">
        <v>687</v>
      </c>
      <c r="B688" s="1" t="s">
        <v>18400</v>
      </c>
      <c r="C688" s="1" t="s">
        <v>280</v>
      </c>
      <c r="D688" s="1" t="s">
        <v>6554</v>
      </c>
      <c r="E688" s="1" t="s">
        <v>13957</v>
      </c>
      <c r="F688" s="1" t="s">
        <v>6568</v>
      </c>
      <c r="G688" s="1" t="s">
        <v>6569</v>
      </c>
      <c r="H688" s="1" t="str">
        <f t="shared" si="10"/>
        <v>Envoy Proxy</v>
      </c>
    </row>
    <row r="689" spans="1:8">
      <c r="A689" s="1">
        <v>688</v>
      </c>
      <c r="B689" s="1" t="s">
        <v>18401</v>
      </c>
      <c r="C689" s="1" t="s">
        <v>299</v>
      </c>
      <c r="D689" s="1" t="s">
        <v>6571</v>
      </c>
      <c r="E689" s="1" t="s">
        <v>353</v>
      </c>
      <c r="F689" s="1" t="s">
        <v>6572</v>
      </c>
      <c r="G689" s="1" t="s">
        <v>6573</v>
      </c>
      <c r="H689" s="1" t="str">
        <f t="shared" si="10"/>
        <v>Etcd</v>
      </c>
    </row>
    <row r="690" spans="1:8">
      <c r="A690" s="1">
        <v>689</v>
      </c>
      <c r="B690" s="1" t="s">
        <v>18401</v>
      </c>
      <c r="C690" s="1" t="s">
        <v>304</v>
      </c>
      <c r="D690" s="1" t="s">
        <v>6571</v>
      </c>
      <c r="E690" s="1" t="s">
        <v>362</v>
      </c>
      <c r="F690" s="1" t="s">
        <v>6575</v>
      </c>
      <c r="G690" s="1" t="s">
        <v>6576</v>
      </c>
      <c r="H690" s="1" t="str">
        <f t="shared" si="10"/>
        <v>Etcd</v>
      </c>
    </row>
    <row r="691" spans="1:8">
      <c r="A691" s="1">
        <v>690</v>
      </c>
      <c r="B691" s="1" t="s">
        <v>18401</v>
      </c>
      <c r="C691" s="1" t="s">
        <v>308</v>
      </c>
      <c r="D691" s="1" t="s">
        <v>6571</v>
      </c>
      <c r="E691" s="1" t="s">
        <v>368</v>
      </c>
      <c r="F691" s="1" t="s">
        <v>6578</v>
      </c>
      <c r="G691" s="1" t="s">
        <v>6579</v>
      </c>
      <c r="H691" s="1" t="str">
        <f t="shared" si="10"/>
        <v>Etcd</v>
      </c>
    </row>
    <row r="692" spans="1:8">
      <c r="A692" s="1">
        <v>691</v>
      </c>
      <c r="B692" s="1" t="s">
        <v>18401</v>
      </c>
      <c r="C692" s="1" t="s">
        <v>312</v>
      </c>
      <c r="D692" s="1" t="s">
        <v>6571</v>
      </c>
      <c r="E692" s="1" t="s">
        <v>350</v>
      </c>
      <c r="F692" s="1" t="s">
        <v>6581</v>
      </c>
      <c r="G692" s="1" t="s">
        <v>6582</v>
      </c>
      <c r="H692" s="1" t="str">
        <f t="shared" si="10"/>
        <v>Etcd</v>
      </c>
    </row>
    <row r="693" spans="1:8">
      <c r="A693" s="1">
        <v>692</v>
      </c>
      <c r="B693" s="1" t="s">
        <v>18401</v>
      </c>
      <c r="C693" s="1" t="s">
        <v>316</v>
      </c>
      <c r="D693" s="1" t="s">
        <v>6571</v>
      </c>
      <c r="E693" s="1" t="s">
        <v>359</v>
      </c>
      <c r="F693" s="1" t="s">
        <v>360</v>
      </c>
      <c r="G693" s="1" t="s">
        <v>361</v>
      </c>
      <c r="H693" s="1" t="str">
        <f t="shared" si="10"/>
        <v>Etcd</v>
      </c>
    </row>
    <row r="694" spans="1:8">
      <c r="A694" s="1">
        <v>693</v>
      </c>
      <c r="B694" s="1" t="s">
        <v>18401</v>
      </c>
      <c r="C694" s="1" t="s">
        <v>320</v>
      </c>
      <c r="D694" s="1" t="s">
        <v>6571</v>
      </c>
      <c r="E694" s="1" t="s">
        <v>371</v>
      </c>
      <c r="F694" s="1" t="s">
        <v>6585</v>
      </c>
      <c r="G694" s="1" t="s">
        <v>6586</v>
      </c>
      <c r="H694" s="1" t="str">
        <f t="shared" si="10"/>
        <v>Etcd</v>
      </c>
    </row>
    <row r="695" spans="1:8">
      <c r="A695" s="1">
        <v>694</v>
      </c>
      <c r="B695" s="1" t="s">
        <v>18401</v>
      </c>
      <c r="C695" s="1" t="s">
        <v>324</v>
      </c>
      <c r="D695" s="1" t="s">
        <v>6571</v>
      </c>
      <c r="E695" s="1" t="s">
        <v>374</v>
      </c>
      <c r="F695" s="1" t="s">
        <v>6588</v>
      </c>
      <c r="G695" s="1" t="s">
        <v>6589</v>
      </c>
      <c r="H695" s="1" t="str">
        <f t="shared" si="10"/>
        <v>Etcd</v>
      </c>
    </row>
    <row r="696" spans="1:8">
      <c r="A696" s="1">
        <v>695</v>
      </c>
      <c r="B696" s="1" t="s">
        <v>18401</v>
      </c>
      <c r="C696" s="1" t="s">
        <v>328</v>
      </c>
      <c r="D696" s="1" t="s">
        <v>6571</v>
      </c>
      <c r="E696" s="1" t="s">
        <v>356</v>
      </c>
      <c r="F696" s="1" t="s">
        <v>357</v>
      </c>
      <c r="G696" s="1" t="s">
        <v>358</v>
      </c>
      <c r="H696" s="1" t="str">
        <f t="shared" si="10"/>
        <v/>
      </c>
    </row>
    <row r="697" spans="1:8">
      <c r="A697" s="1">
        <v>696</v>
      </c>
      <c r="B697" s="1" t="s">
        <v>18401</v>
      </c>
      <c r="C697" s="1" t="s">
        <v>332</v>
      </c>
      <c r="D697" s="1" t="s">
        <v>6571</v>
      </c>
      <c r="E697" s="1" t="s">
        <v>365</v>
      </c>
      <c r="F697" s="1" t="s">
        <v>6593</v>
      </c>
      <c r="G697" s="1" t="s">
        <v>6594</v>
      </c>
      <c r="H697" s="1" t="str">
        <f t="shared" si="10"/>
        <v>Etcd</v>
      </c>
    </row>
    <row r="698" spans="1:8">
      <c r="A698" s="1">
        <v>697</v>
      </c>
      <c r="B698" s="1" t="s">
        <v>18401</v>
      </c>
      <c r="C698" s="1" t="s">
        <v>336</v>
      </c>
      <c r="D698" s="1" t="s">
        <v>6571</v>
      </c>
      <c r="E698" s="1" t="s">
        <v>377</v>
      </c>
      <c r="F698" s="1" t="s">
        <v>6596</v>
      </c>
      <c r="G698" s="1" t="s">
        <v>6597</v>
      </c>
      <c r="H698" s="1" t="str">
        <f t="shared" si="10"/>
        <v>Etcd</v>
      </c>
    </row>
    <row r="699" spans="1:8">
      <c r="A699" s="1">
        <v>698</v>
      </c>
      <c r="B699" s="1" t="s">
        <v>18401</v>
      </c>
      <c r="C699" s="1" t="s">
        <v>340</v>
      </c>
      <c r="D699" s="1" t="s">
        <v>6571</v>
      </c>
      <c r="E699" s="1" t="s">
        <v>383</v>
      </c>
      <c r="F699" s="1" t="s">
        <v>384</v>
      </c>
      <c r="G699" s="1" t="s">
        <v>385</v>
      </c>
      <c r="H699" s="1" t="str">
        <f t="shared" si="10"/>
        <v>Etcd</v>
      </c>
    </row>
    <row r="700" spans="1:8">
      <c r="A700" s="1">
        <v>699</v>
      </c>
      <c r="B700" s="1" t="s">
        <v>18401</v>
      </c>
      <c r="C700" s="1" t="s">
        <v>344</v>
      </c>
      <c r="D700" s="1" t="s">
        <v>6571</v>
      </c>
      <c r="E700" s="1" t="s">
        <v>380</v>
      </c>
      <c r="F700" s="1" t="s">
        <v>6600</v>
      </c>
      <c r="G700" s="1" t="s">
        <v>6601</v>
      </c>
      <c r="H700" s="1" t="str">
        <f t="shared" si="10"/>
        <v>Etcd</v>
      </c>
    </row>
    <row r="701" spans="1:8">
      <c r="A701" s="1">
        <v>700</v>
      </c>
      <c r="B701" s="1" t="s">
        <v>18402</v>
      </c>
      <c r="C701" s="1" t="s">
        <v>1210</v>
      </c>
      <c r="D701" s="1" t="s">
        <v>6603</v>
      </c>
      <c r="E701" s="1" t="s">
        <v>1963</v>
      </c>
      <c r="F701" s="1" t="s">
        <v>6604</v>
      </c>
      <c r="G701" s="1" t="s">
        <v>6605</v>
      </c>
      <c r="H701" s="1" t="str">
        <f t="shared" si="10"/>
        <v>Device</v>
      </c>
    </row>
    <row r="702" spans="1:8">
      <c r="A702" s="1">
        <v>701</v>
      </c>
      <c r="B702" s="1" t="s">
        <v>18402</v>
      </c>
      <c r="C702" s="1" t="s">
        <v>1215</v>
      </c>
      <c r="D702" s="1" t="s">
        <v>6603</v>
      </c>
      <c r="E702" s="1" t="s">
        <v>1966</v>
      </c>
      <c r="F702" s="1" t="s">
        <v>6607</v>
      </c>
      <c r="G702" s="1" t="s">
        <v>6608</v>
      </c>
      <c r="H702" s="1" t="str">
        <f t="shared" si="10"/>
        <v>Device</v>
      </c>
    </row>
    <row r="703" spans="1:8">
      <c r="A703" s="1">
        <v>702</v>
      </c>
      <c r="B703" s="1" t="s">
        <v>18402</v>
      </c>
      <c r="C703" s="1" t="s">
        <v>1219</v>
      </c>
      <c r="D703" s="1" t="s">
        <v>6603</v>
      </c>
      <c r="E703" s="1" t="s">
        <v>2748</v>
      </c>
      <c r="F703" s="1" t="s">
        <v>6610</v>
      </c>
      <c r="G703" s="1" t="s">
        <v>6611</v>
      </c>
      <c r="H703" s="1" t="str">
        <f t="shared" si="10"/>
        <v>Device</v>
      </c>
    </row>
    <row r="704" spans="1:8">
      <c r="A704" s="1">
        <v>703</v>
      </c>
      <c r="B704" s="1" t="s">
        <v>18402</v>
      </c>
      <c r="C704" s="1" t="s">
        <v>1223</v>
      </c>
      <c r="D704" s="1" t="s">
        <v>6603</v>
      </c>
      <c r="E704" s="1" t="s">
        <v>1973</v>
      </c>
      <c r="F704" s="1" t="s">
        <v>6613</v>
      </c>
      <c r="G704" s="1" t="s">
        <v>6614</v>
      </c>
      <c r="H704" s="1" t="str">
        <f t="shared" si="10"/>
        <v>Extreme EXOS</v>
      </c>
    </row>
    <row r="705" spans="1:8">
      <c r="A705" s="1">
        <v>704</v>
      </c>
      <c r="B705" s="1" t="s">
        <v>18402</v>
      </c>
      <c r="C705" s="1" t="s">
        <v>1227</v>
      </c>
      <c r="D705" s="1" t="s">
        <v>6603</v>
      </c>
      <c r="E705" s="1" t="s">
        <v>1970</v>
      </c>
      <c r="F705" s="1" t="s">
        <v>6616</v>
      </c>
      <c r="G705" s="1" t="s">
        <v>6617</v>
      </c>
      <c r="H705" s="1" t="str">
        <f t="shared" si="10"/>
        <v>Extreme EXOS</v>
      </c>
    </row>
    <row r="706" spans="1:8">
      <c r="A706" s="1">
        <v>705</v>
      </c>
      <c r="B706" s="1" t="s">
        <v>18402</v>
      </c>
      <c r="C706" s="1" t="s">
        <v>1231</v>
      </c>
      <c r="D706" s="1" t="s">
        <v>6603</v>
      </c>
      <c r="E706" s="1" t="s">
        <v>1969</v>
      </c>
      <c r="F706" s="1" t="s">
        <v>6619</v>
      </c>
      <c r="G706" s="1" t="s">
        <v>6620</v>
      </c>
      <c r="H706" s="1" t="str">
        <f t="shared" ref="H706:H769" si="11">IFERROR(IF(OR(MID(G706,FIND(":",G706)-1,1)="""",MID(G706,FIND(":",G706)-1,1)="}",MID(G706,FIND(":",G706)-1,1)=")",MID(G706,FIND(":",G706)-1,1)="]"),"",LEFT(F706,FIND(":",F706)-1)),"")</f>
        <v>Extreme EXOS</v>
      </c>
    </row>
    <row r="707" spans="1:8">
      <c r="A707" s="1">
        <v>706</v>
      </c>
      <c r="B707" s="1" t="s">
        <v>18402</v>
      </c>
      <c r="C707" s="1" t="s">
        <v>1235</v>
      </c>
      <c r="D707" s="1" t="s">
        <v>6603</v>
      </c>
      <c r="E707" s="1" t="s">
        <v>6622</v>
      </c>
      <c r="F707" s="1" t="s">
        <v>6623</v>
      </c>
      <c r="G707" s="1" t="s">
        <v>6624</v>
      </c>
      <c r="H707" s="1" t="str">
        <f t="shared" si="11"/>
        <v>Extreme EXOS</v>
      </c>
    </row>
    <row r="708" spans="1:8">
      <c r="A708" s="1">
        <v>707</v>
      </c>
      <c r="B708" s="1" t="s">
        <v>18402</v>
      </c>
      <c r="C708" s="1" t="s">
        <v>1239</v>
      </c>
      <c r="D708" s="1" t="s">
        <v>6603</v>
      </c>
      <c r="E708" s="1" t="s">
        <v>6626</v>
      </c>
      <c r="F708" s="1" t="s">
        <v>6627</v>
      </c>
      <c r="G708" s="1" t="s">
        <v>6628</v>
      </c>
      <c r="H708" s="1" t="str">
        <f t="shared" si="11"/>
        <v>Extreme EXOS</v>
      </c>
    </row>
    <row r="709" spans="1:8">
      <c r="A709" s="1">
        <v>708</v>
      </c>
      <c r="B709" s="1" t="s">
        <v>18402</v>
      </c>
      <c r="C709" s="1" t="s">
        <v>1243</v>
      </c>
      <c r="D709" s="1" t="s">
        <v>6603</v>
      </c>
      <c r="E709" s="1" t="s">
        <v>6630</v>
      </c>
      <c r="F709" s="1" t="s">
        <v>6631</v>
      </c>
      <c r="G709" s="1" t="s">
        <v>6632</v>
      </c>
      <c r="H709" s="1" t="str">
        <f t="shared" si="11"/>
        <v>Extreme EXOS</v>
      </c>
    </row>
    <row r="710" spans="1:8">
      <c r="A710" s="1">
        <v>709</v>
      </c>
      <c r="B710" s="1" t="s">
        <v>18402</v>
      </c>
      <c r="C710" s="1" t="s">
        <v>1247</v>
      </c>
      <c r="D710" s="1" t="s">
        <v>6603</v>
      </c>
      <c r="E710" s="1" t="s">
        <v>1974</v>
      </c>
      <c r="F710" s="1" t="s">
        <v>6634</v>
      </c>
      <c r="G710" s="1" t="s">
        <v>6635</v>
      </c>
      <c r="H710" s="1" t="str">
        <f t="shared" si="11"/>
        <v>Extreme EXOS</v>
      </c>
    </row>
    <row r="711" spans="1:8">
      <c r="A711" s="1">
        <v>710</v>
      </c>
      <c r="B711" s="1" t="s">
        <v>18402</v>
      </c>
      <c r="C711" s="1" t="s">
        <v>1251</v>
      </c>
      <c r="D711" s="1" t="s">
        <v>6603</v>
      </c>
      <c r="E711" s="1" t="s">
        <v>6637</v>
      </c>
      <c r="F711" s="1" t="s">
        <v>6638</v>
      </c>
      <c r="G711" s="1" t="s">
        <v>6639</v>
      </c>
      <c r="H711" s="1" t="str">
        <f t="shared" si="11"/>
        <v>Extreme EXOS</v>
      </c>
    </row>
    <row r="712" spans="1:8">
      <c r="A712" s="1">
        <v>711</v>
      </c>
      <c r="B712" s="1" t="s">
        <v>18402</v>
      </c>
      <c r="C712" s="1" t="s">
        <v>1255</v>
      </c>
      <c r="D712" s="1" t="s">
        <v>6603</v>
      </c>
      <c r="E712" s="1" t="s">
        <v>6641</v>
      </c>
      <c r="F712" s="1" t="s">
        <v>6642</v>
      </c>
      <c r="G712" s="1" t="s">
        <v>6643</v>
      </c>
      <c r="H712" s="1" t="str">
        <f t="shared" si="11"/>
        <v>Extreme EXOS</v>
      </c>
    </row>
    <row r="713" spans="1:8">
      <c r="A713" s="1">
        <v>712</v>
      </c>
      <c r="B713" s="1" t="s">
        <v>18402</v>
      </c>
      <c r="C713" s="1" t="s">
        <v>1259</v>
      </c>
      <c r="D713" s="1" t="s">
        <v>6603</v>
      </c>
      <c r="E713" s="1" t="s">
        <v>6645</v>
      </c>
      <c r="F713" s="1" t="s">
        <v>6646</v>
      </c>
      <c r="G713" s="1" t="s">
        <v>6647</v>
      </c>
      <c r="H713" s="1" t="str">
        <f t="shared" si="11"/>
        <v>Extreme EXOS</v>
      </c>
    </row>
    <row r="714" spans="1:8">
      <c r="A714" s="1">
        <v>713</v>
      </c>
      <c r="B714" s="1" t="s">
        <v>18403</v>
      </c>
      <c r="C714" s="1" t="s">
        <v>251</v>
      </c>
      <c r="D714" s="1" t="s">
        <v>6649</v>
      </c>
      <c r="E714" s="1" t="s">
        <v>6650</v>
      </c>
      <c r="F714" s="1" t="s">
        <v>6651</v>
      </c>
      <c r="G714" s="1" t="s">
        <v>6652</v>
      </c>
      <c r="H714" s="1" t="str">
        <f t="shared" si="11"/>
        <v>F5 BIG-IP</v>
      </c>
    </row>
    <row r="715" spans="1:8">
      <c r="A715" s="1">
        <v>714</v>
      </c>
      <c r="B715" s="1" t="s">
        <v>18403</v>
      </c>
      <c r="C715" s="1" t="s">
        <v>254</v>
      </c>
      <c r="D715" s="1" t="s">
        <v>6649</v>
      </c>
      <c r="E715" s="1" t="s">
        <v>6654</v>
      </c>
      <c r="F715" s="1" t="s">
        <v>6655</v>
      </c>
      <c r="G715" s="1" t="s">
        <v>6656</v>
      </c>
      <c r="H715" s="1" t="str">
        <f t="shared" si="11"/>
        <v>F5 BIG-IP</v>
      </c>
    </row>
    <row r="716" spans="1:8">
      <c r="A716" s="1">
        <v>715</v>
      </c>
      <c r="B716" s="1" t="s">
        <v>18403</v>
      </c>
      <c r="C716" s="1" t="s">
        <v>256</v>
      </c>
      <c r="D716" s="1" t="s">
        <v>6649</v>
      </c>
      <c r="E716" s="1" t="s">
        <v>3769</v>
      </c>
      <c r="F716" s="1" t="s">
        <v>1663</v>
      </c>
      <c r="G716" s="1" t="s">
        <v>1664</v>
      </c>
      <c r="H716" s="1" t="str">
        <f t="shared" si="11"/>
        <v>F5 BIG-IP</v>
      </c>
    </row>
    <row r="717" spans="1:8">
      <c r="A717" s="1">
        <v>716</v>
      </c>
      <c r="B717" s="1" t="s">
        <v>18403</v>
      </c>
      <c r="C717" s="1" t="s">
        <v>260</v>
      </c>
      <c r="D717" s="1" t="s">
        <v>6649</v>
      </c>
      <c r="E717" s="1" t="s">
        <v>6659</v>
      </c>
      <c r="F717" s="1" t="s">
        <v>6660</v>
      </c>
      <c r="G717" s="1" t="s">
        <v>6661</v>
      </c>
      <c r="H717" s="1" t="str">
        <f t="shared" si="11"/>
        <v>F5 BIG-IP</v>
      </c>
    </row>
    <row r="718" spans="1:8">
      <c r="A718" s="1">
        <v>717</v>
      </c>
      <c r="B718" s="1" t="s">
        <v>18403</v>
      </c>
      <c r="C718" s="1" t="s">
        <v>262</v>
      </c>
      <c r="D718" s="1" t="s">
        <v>6649</v>
      </c>
      <c r="E718" s="1" t="s">
        <v>6663</v>
      </c>
      <c r="F718" s="1" t="s">
        <v>6664</v>
      </c>
      <c r="G718" s="1" t="s">
        <v>6665</v>
      </c>
      <c r="H718" s="1" t="str">
        <f t="shared" si="11"/>
        <v>F5 BIG-IP</v>
      </c>
    </row>
    <row r="719" spans="1:8">
      <c r="A719" s="1">
        <v>718</v>
      </c>
      <c r="B719" s="1" t="s">
        <v>18403</v>
      </c>
      <c r="C719" s="1" t="s">
        <v>264</v>
      </c>
      <c r="D719" s="1" t="s">
        <v>6649</v>
      </c>
      <c r="E719" s="1" t="s">
        <v>3766</v>
      </c>
      <c r="F719" s="1" t="s">
        <v>6667</v>
      </c>
      <c r="G719" s="1" t="s">
        <v>6668</v>
      </c>
      <c r="H719" s="1" t="str">
        <f t="shared" si="11"/>
        <v>F5 BIG-IP</v>
      </c>
    </row>
    <row r="720" spans="1:8">
      <c r="A720" s="1">
        <v>719</v>
      </c>
      <c r="B720" s="1" t="s">
        <v>18404</v>
      </c>
      <c r="C720" s="1" t="s">
        <v>18405</v>
      </c>
      <c r="D720" s="1" t="s">
        <v>6673</v>
      </c>
      <c r="E720" s="1" t="s">
        <v>18406</v>
      </c>
      <c r="F720" s="1" t="s">
        <v>6675</v>
      </c>
      <c r="G720" s="1" t="s">
        <v>18407</v>
      </c>
      <c r="H720" s="1" t="str">
        <f t="shared" si="11"/>
        <v/>
      </c>
    </row>
    <row r="721" spans="1:8">
      <c r="A721" s="1">
        <v>720</v>
      </c>
      <c r="B721" s="1" t="s">
        <v>18404</v>
      </c>
      <c r="C721" s="1" t="s">
        <v>18408</v>
      </c>
      <c r="D721" s="1" t="s">
        <v>6673</v>
      </c>
      <c r="E721" s="1" t="s">
        <v>16610</v>
      </c>
      <c r="F721" s="1" t="s">
        <v>6679</v>
      </c>
      <c r="G721" s="1" t="s">
        <v>6680</v>
      </c>
      <c r="H721" s="1" t="str">
        <f t="shared" si="11"/>
        <v>FortiGate</v>
      </c>
    </row>
    <row r="722" spans="1:8">
      <c r="A722" s="1">
        <v>721</v>
      </c>
      <c r="B722" s="1" t="s">
        <v>18404</v>
      </c>
      <c r="C722" s="1" t="s">
        <v>18409</v>
      </c>
      <c r="D722" s="1" t="s">
        <v>6673</v>
      </c>
      <c r="E722" s="1" t="s">
        <v>11663</v>
      </c>
      <c r="F722" s="1" t="s">
        <v>6683</v>
      </c>
      <c r="G722" s="1" t="s">
        <v>18410</v>
      </c>
      <c r="H722" s="1" t="str">
        <f t="shared" si="11"/>
        <v/>
      </c>
    </row>
    <row r="723" spans="1:8">
      <c r="A723" s="1">
        <v>722</v>
      </c>
      <c r="B723" s="1" t="s">
        <v>18404</v>
      </c>
      <c r="C723" s="1" t="s">
        <v>18411</v>
      </c>
      <c r="D723" s="1" t="s">
        <v>6673</v>
      </c>
      <c r="E723" s="1" t="s">
        <v>18412</v>
      </c>
      <c r="F723" s="1" t="s">
        <v>6687</v>
      </c>
      <c r="G723" s="1" t="s">
        <v>18413</v>
      </c>
      <c r="H723" s="1" t="str">
        <f t="shared" si="11"/>
        <v/>
      </c>
    </row>
    <row r="724" spans="1:8">
      <c r="A724" s="1">
        <v>723</v>
      </c>
      <c r="B724" s="1" t="s">
        <v>18404</v>
      </c>
      <c r="C724" s="1" t="s">
        <v>18414</v>
      </c>
      <c r="D724" s="1" t="s">
        <v>6673</v>
      </c>
      <c r="E724" s="1" t="s">
        <v>18415</v>
      </c>
      <c r="F724" s="1" t="s">
        <v>6691</v>
      </c>
      <c r="G724" s="1" t="s">
        <v>18416</v>
      </c>
      <c r="H724" s="1" t="str">
        <f t="shared" si="11"/>
        <v/>
      </c>
    </row>
    <row r="725" spans="1:8">
      <c r="A725" s="1">
        <v>724</v>
      </c>
      <c r="B725" s="1" t="s">
        <v>18404</v>
      </c>
      <c r="C725" s="1" t="s">
        <v>18417</v>
      </c>
      <c r="D725" s="1" t="s">
        <v>6673</v>
      </c>
      <c r="E725" s="1" t="s">
        <v>16614</v>
      </c>
      <c r="F725" s="1" t="s">
        <v>6695</v>
      </c>
      <c r="G725" s="1" t="s">
        <v>18418</v>
      </c>
      <c r="H725" s="1" t="str">
        <f t="shared" si="11"/>
        <v/>
      </c>
    </row>
    <row r="726" spans="1:8">
      <c r="A726" s="1">
        <v>725</v>
      </c>
      <c r="B726" s="1" t="s">
        <v>18404</v>
      </c>
      <c r="C726" s="1" t="s">
        <v>18419</v>
      </c>
      <c r="D726" s="1" t="s">
        <v>6673</v>
      </c>
      <c r="E726" s="1" t="s">
        <v>11631</v>
      </c>
      <c r="F726" s="1" t="s">
        <v>6699</v>
      </c>
      <c r="G726" s="1" t="s">
        <v>18420</v>
      </c>
      <c r="H726" s="1" t="str">
        <f t="shared" si="11"/>
        <v/>
      </c>
    </row>
    <row r="727" spans="1:8">
      <c r="A727" s="1">
        <v>726</v>
      </c>
      <c r="B727" s="1" t="s">
        <v>18404</v>
      </c>
      <c r="C727" s="1" t="s">
        <v>18421</v>
      </c>
      <c r="D727" s="1" t="s">
        <v>6673</v>
      </c>
      <c r="E727" s="1" t="s">
        <v>11635</v>
      </c>
      <c r="F727" s="1" t="s">
        <v>6703</v>
      </c>
      <c r="G727" s="1" t="s">
        <v>18422</v>
      </c>
      <c r="H727" s="1" t="str">
        <f t="shared" si="11"/>
        <v/>
      </c>
    </row>
    <row r="728" spans="1:8">
      <c r="A728" s="1">
        <v>727</v>
      </c>
      <c r="B728" s="1" t="s">
        <v>18404</v>
      </c>
      <c r="C728" s="1" t="s">
        <v>18423</v>
      </c>
      <c r="D728" s="1" t="s">
        <v>6673</v>
      </c>
      <c r="E728" s="1" t="s">
        <v>16612</v>
      </c>
      <c r="F728" s="1" t="s">
        <v>6707</v>
      </c>
      <c r="G728" s="1" t="s">
        <v>18424</v>
      </c>
      <c r="H728" s="1" t="str">
        <f t="shared" si="11"/>
        <v/>
      </c>
    </row>
    <row r="729" spans="1:8">
      <c r="A729" s="1">
        <v>728</v>
      </c>
      <c r="B729" s="1" t="s">
        <v>18404</v>
      </c>
      <c r="C729" s="1" t="s">
        <v>18425</v>
      </c>
      <c r="D729" s="1" t="s">
        <v>6673</v>
      </c>
      <c r="E729" s="1" t="s">
        <v>11655</v>
      </c>
      <c r="F729" s="1" t="s">
        <v>6711</v>
      </c>
      <c r="G729" s="1" t="s">
        <v>18426</v>
      </c>
      <c r="H729" s="1" t="str">
        <f t="shared" si="11"/>
        <v/>
      </c>
    </row>
    <row r="730" spans="1:8">
      <c r="A730" s="1">
        <v>729</v>
      </c>
      <c r="B730" s="1" t="s">
        <v>18404</v>
      </c>
      <c r="C730" s="1" t="s">
        <v>18427</v>
      </c>
      <c r="D730" s="1" t="s">
        <v>6673</v>
      </c>
      <c r="E730" s="1" t="s">
        <v>16616</v>
      </c>
      <c r="F730" s="1" t="s">
        <v>6715</v>
      </c>
      <c r="G730" s="1" t="s">
        <v>18428</v>
      </c>
      <c r="H730" s="1" t="str">
        <f t="shared" si="11"/>
        <v/>
      </c>
    </row>
    <row r="731" spans="1:8">
      <c r="A731" s="1">
        <v>730</v>
      </c>
      <c r="B731" s="1" t="s">
        <v>18404</v>
      </c>
      <c r="C731" s="1" t="s">
        <v>18429</v>
      </c>
      <c r="D731" s="1" t="s">
        <v>6673</v>
      </c>
      <c r="E731" s="1" t="s">
        <v>11676</v>
      </c>
      <c r="F731" s="1" t="s">
        <v>6719</v>
      </c>
      <c r="G731" s="1" t="s">
        <v>18430</v>
      </c>
      <c r="H731" s="1" t="str">
        <f t="shared" si="11"/>
        <v/>
      </c>
    </row>
    <row r="732" spans="1:8">
      <c r="A732" s="1">
        <v>731</v>
      </c>
      <c r="B732" s="1" t="s">
        <v>18404</v>
      </c>
      <c r="C732" s="1" t="s">
        <v>18431</v>
      </c>
      <c r="D732" s="1" t="s">
        <v>6673</v>
      </c>
      <c r="E732" s="1" t="s">
        <v>11667</v>
      </c>
      <c r="F732" s="1" t="s">
        <v>6723</v>
      </c>
      <c r="G732" s="1" t="s">
        <v>18432</v>
      </c>
      <c r="H732" s="1" t="str">
        <f t="shared" si="11"/>
        <v/>
      </c>
    </row>
    <row r="733" spans="1:8">
      <c r="A733" s="1">
        <v>732</v>
      </c>
      <c r="B733" s="1" t="s">
        <v>18404</v>
      </c>
      <c r="C733" s="1" t="s">
        <v>18433</v>
      </c>
      <c r="D733" s="1" t="s">
        <v>6673</v>
      </c>
      <c r="E733" s="1" t="s">
        <v>11647</v>
      </c>
      <c r="F733" s="1" t="s">
        <v>6727</v>
      </c>
      <c r="G733" s="1" t="s">
        <v>18434</v>
      </c>
      <c r="H733" s="1" t="str">
        <f t="shared" si="11"/>
        <v/>
      </c>
    </row>
    <row r="734" spans="1:8">
      <c r="A734" s="1">
        <v>733</v>
      </c>
      <c r="B734" s="1" t="s">
        <v>18404</v>
      </c>
      <c r="C734" s="1" t="s">
        <v>18435</v>
      </c>
      <c r="D734" s="1" t="s">
        <v>6673</v>
      </c>
      <c r="E734" s="1" t="s">
        <v>11671</v>
      </c>
      <c r="F734" s="1" t="s">
        <v>6731</v>
      </c>
      <c r="G734" s="1" t="s">
        <v>18436</v>
      </c>
      <c r="H734" s="1" t="str">
        <f t="shared" si="11"/>
        <v/>
      </c>
    </row>
    <row r="735" spans="1:8">
      <c r="A735" s="1">
        <v>734</v>
      </c>
      <c r="B735" s="1" t="s">
        <v>18404</v>
      </c>
      <c r="C735" s="1" t="s">
        <v>18437</v>
      </c>
      <c r="D735" s="1" t="s">
        <v>6673</v>
      </c>
      <c r="E735" s="1" t="s">
        <v>11623</v>
      </c>
      <c r="F735" s="1" t="s">
        <v>6735</v>
      </c>
      <c r="G735" s="1" t="s">
        <v>18438</v>
      </c>
      <c r="H735" s="1" t="str">
        <f t="shared" si="11"/>
        <v/>
      </c>
    </row>
    <row r="736" spans="1:8">
      <c r="A736" s="1">
        <v>735</v>
      </c>
      <c r="B736" s="1" t="s">
        <v>18404</v>
      </c>
      <c r="C736" s="1" t="s">
        <v>18439</v>
      </c>
      <c r="D736" s="1" t="s">
        <v>6673</v>
      </c>
      <c r="E736" s="1" t="s">
        <v>11651</v>
      </c>
      <c r="F736" s="1" t="s">
        <v>6739</v>
      </c>
      <c r="G736" s="1" t="s">
        <v>18440</v>
      </c>
      <c r="H736" s="1" t="str">
        <f t="shared" si="11"/>
        <v/>
      </c>
    </row>
    <row r="737" spans="1:8">
      <c r="A737" s="1">
        <v>736</v>
      </c>
      <c r="B737" s="1" t="s">
        <v>18404</v>
      </c>
      <c r="C737" s="1" t="s">
        <v>18441</v>
      </c>
      <c r="D737" s="1" t="s">
        <v>6673</v>
      </c>
      <c r="E737" s="1" t="s">
        <v>11627</v>
      </c>
      <c r="F737" s="1" t="s">
        <v>6743</v>
      </c>
      <c r="G737" s="1" t="s">
        <v>18442</v>
      </c>
      <c r="H737" s="1" t="str">
        <f t="shared" si="11"/>
        <v/>
      </c>
    </row>
    <row r="738" spans="1:8">
      <c r="A738" s="1">
        <v>737</v>
      </c>
      <c r="B738" s="1" t="s">
        <v>18404</v>
      </c>
      <c r="C738" s="1" t="s">
        <v>18443</v>
      </c>
      <c r="D738" s="1" t="s">
        <v>6673</v>
      </c>
      <c r="E738" s="1" t="s">
        <v>11659</v>
      </c>
      <c r="F738" s="1" t="s">
        <v>6747</v>
      </c>
      <c r="G738" s="1" t="s">
        <v>18444</v>
      </c>
      <c r="H738" s="1" t="str">
        <f t="shared" si="11"/>
        <v/>
      </c>
    </row>
    <row r="739" spans="1:8">
      <c r="A739" s="1">
        <v>738</v>
      </c>
      <c r="B739" s="1" t="s">
        <v>18445</v>
      </c>
      <c r="C739" s="1" t="s">
        <v>155</v>
      </c>
      <c r="D739" s="1" t="s">
        <v>6750</v>
      </c>
      <c r="E739" s="1" t="s">
        <v>8269</v>
      </c>
      <c r="F739" s="1" t="s">
        <v>6752</v>
      </c>
      <c r="G739" s="1" t="s">
        <v>18413</v>
      </c>
      <c r="H739" s="1" t="str">
        <f t="shared" si="11"/>
        <v/>
      </c>
    </row>
    <row r="740" spans="1:8">
      <c r="A740" s="1">
        <v>739</v>
      </c>
      <c r="B740" s="1" t="s">
        <v>18445</v>
      </c>
      <c r="C740" s="1" t="s">
        <v>160</v>
      </c>
      <c r="D740" s="1" t="s">
        <v>6750</v>
      </c>
      <c r="E740" s="1" t="s">
        <v>8299</v>
      </c>
      <c r="F740" s="1" t="s">
        <v>6719</v>
      </c>
      <c r="G740" s="1" t="s">
        <v>18430</v>
      </c>
      <c r="H740" s="1" t="str">
        <f t="shared" si="11"/>
        <v/>
      </c>
    </row>
    <row r="741" spans="1:8">
      <c r="A741" s="1">
        <v>740</v>
      </c>
      <c r="B741" s="1" t="s">
        <v>18445</v>
      </c>
      <c r="C741" s="1" t="s">
        <v>164</v>
      </c>
      <c r="D741" s="1" t="s">
        <v>6750</v>
      </c>
      <c r="E741" s="1" t="s">
        <v>16722</v>
      </c>
      <c r="F741" s="1" t="s">
        <v>6715</v>
      </c>
      <c r="G741" s="1" t="s">
        <v>18428</v>
      </c>
      <c r="H741" s="1" t="str">
        <f t="shared" si="11"/>
        <v/>
      </c>
    </row>
    <row r="742" spans="1:8">
      <c r="A742" s="1">
        <v>741</v>
      </c>
      <c r="B742" s="1" t="s">
        <v>18445</v>
      </c>
      <c r="C742" s="1" t="s">
        <v>168</v>
      </c>
      <c r="D742" s="1" t="s">
        <v>6750</v>
      </c>
      <c r="E742" s="1" t="s">
        <v>8271</v>
      </c>
      <c r="F742" s="1" t="s">
        <v>6707</v>
      </c>
      <c r="G742" s="1" t="s">
        <v>18424</v>
      </c>
      <c r="H742" s="1" t="str">
        <f t="shared" si="11"/>
        <v/>
      </c>
    </row>
    <row r="743" spans="1:8">
      <c r="A743" s="1">
        <v>742</v>
      </c>
      <c r="B743" s="1" t="s">
        <v>18445</v>
      </c>
      <c r="C743" s="1" t="s">
        <v>172</v>
      </c>
      <c r="D743" s="1" t="s">
        <v>6750</v>
      </c>
      <c r="E743" s="1" t="s">
        <v>8291</v>
      </c>
      <c r="F743" s="1" t="s">
        <v>6761</v>
      </c>
      <c r="G743" s="1" t="s">
        <v>18446</v>
      </c>
      <c r="H743" s="1" t="str">
        <f t="shared" si="11"/>
        <v/>
      </c>
    </row>
    <row r="744" spans="1:8">
      <c r="A744" s="1">
        <v>743</v>
      </c>
      <c r="B744" s="1" t="s">
        <v>18445</v>
      </c>
      <c r="C744" s="1" t="s">
        <v>176</v>
      </c>
      <c r="D744" s="1" t="s">
        <v>6750</v>
      </c>
      <c r="E744" s="1" t="s">
        <v>14015</v>
      </c>
      <c r="F744" s="1" t="s">
        <v>6765</v>
      </c>
      <c r="G744" s="1" t="s">
        <v>18447</v>
      </c>
      <c r="H744" s="1" t="str">
        <f t="shared" si="11"/>
        <v/>
      </c>
    </row>
    <row r="745" spans="1:8">
      <c r="A745" s="1">
        <v>744</v>
      </c>
      <c r="B745" s="1" t="s">
        <v>18445</v>
      </c>
      <c r="C745" s="1" t="s">
        <v>180</v>
      </c>
      <c r="D745" s="1" t="s">
        <v>6750</v>
      </c>
      <c r="E745" s="1" t="s">
        <v>8267</v>
      </c>
      <c r="F745" s="1" t="s">
        <v>6769</v>
      </c>
      <c r="G745" s="1" t="s">
        <v>18448</v>
      </c>
      <c r="H745" s="1" t="str">
        <f t="shared" si="11"/>
        <v/>
      </c>
    </row>
    <row r="746" spans="1:8">
      <c r="A746" s="1">
        <v>745</v>
      </c>
      <c r="B746" s="1" t="s">
        <v>18445</v>
      </c>
      <c r="C746" s="1" t="s">
        <v>184</v>
      </c>
      <c r="D746" s="1" t="s">
        <v>6750</v>
      </c>
      <c r="E746" s="1" t="s">
        <v>8297</v>
      </c>
      <c r="F746" s="1" t="s">
        <v>6773</v>
      </c>
      <c r="G746" s="1" t="s">
        <v>18436</v>
      </c>
      <c r="H746" s="1" t="str">
        <f t="shared" si="11"/>
        <v/>
      </c>
    </row>
    <row r="747" spans="1:8">
      <c r="A747" s="1">
        <v>746</v>
      </c>
      <c r="B747" s="1" t="s">
        <v>18445</v>
      </c>
      <c r="C747" s="1" t="s">
        <v>188</v>
      </c>
      <c r="D747" s="1" t="s">
        <v>6750</v>
      </c>
      <c r="E747" s="1" t="s">
        <v>8295</v>
      </c>
      <c r="F747" s="1" t="s">
        <v>6776</v>
      </c>
      <c r="G747" s="1" t="s">
        <v>18449</v>
      </c>
      <c r="H747" s="1" t="str">
        <f t="shared" si="11"/>
        <v/>
      </c>
    </row>
    <row r="748" spans="1:8">
      <c r="A748" s="1">
        <v>747</v>
      </c>
      <c r="B748" s="1" t="s">
        <v>18445</v>
      </c>
      <c r="C748" s="1" t="s">
        <v>192</v>
      </c>
      <c r="D748" s="1" t="s">
        <v>6750</v>
      </c>
      <c r="E748" s="1" t="s">
        <v>8275</v>
      </c>
      <c r="F748" s="1" t="s">
        <v>6743</v>
      </c>
      <c r="G748" s="1" t="s">
        <v>18442</v>
      </c>
      <c r="H748" s="1" t="str">
        <f t="shared" si="11"/>
        <v/>
      </c>
    </row>
    <row r="749" spans="1:8">
      <c r="A749" s="1">
        <v>748</v>
      </c>
      <c r="B749" s="1" t="s">
        <v>18445</v>
      </c>
      <c r="C749" s="1" t="s">
        <v>196</v>
      </c>
      <c r="D749" s="1" t="s">
        <v>6750</v>
      </c>
      <c r="E749" s="1" t="s">
        <v>8293</v>
      </c>
      <c r="F749" s="1" t="s">
        <v>6747</v>
      </c>
      <c r="G749" s="1" t="s">
        <v>18444</v>
      </c>
      <c r="H749" s="1" t="str">
        <f t="shared" si="11"/>
        <v/>
      </c>
    </row>
    <row r="750" spans="1:8">
      <c r="A750" s="1">
        <v>749</v>
      </c>
      <c r="B750" s="1" t="s">
        <v>18450</v>
      </c>
      <c r="C750" s="1" t="s">
        <v>299</v>
      </c>
      <c r="D750" s="1" t="s">
        <v>6783</v>
      </c>
      <c r="E750" s="1" t="s">
        <v>3956</v>
      </c>
      <c r="F750" s="1" t="s">
        <v>6784</v>
      </c>
      <c r="G750" s="1" t="s">
        <v>6785</v>
      </c>
      <c r="H750" s="1" t="str">
        <f t="shared" si="11"/>
        <v>FreeBSD</v>
      </c>
    </row>
    <row r="751" spans="1:8">
      <c r="A751" s="1">
        <v>750</v>
      </c>
      <c r="B751" s="1" t="s">
        <v>18450</v>
      </c>
      <c r="C751" s="1" t="s">
        <v>304</v>
      </c>
      <c r="D751" s="1" t="s">
        <v>6783</v>
      </c>
      <c r="E751" s="1" t="s">
        <v>3238</v>
      </c>
      <c r="F751" s="1" t="s">
        <v>6787</v>
      </c>
      <c r="G751" s="1" t="s">
        <v>6788</v>
      </c>
      <c r="H751" s="1" t="str">
        <f t="shared" si="11"/>
        <v>FreeBSD</v>
      </c>
    </row>
    <row r="752" spans="1:8">
      <c r="A752" s="1">
        <v>751</v>
      </c>
      <c r="B752" s="1" t="s">
        <v>18450</v>
      </c>
      <c r="C752" s="1" t="s">
        <v>308</v>
      </c>
      <c r="D752" s="1" t="s">
        <v>6783</v>
      </c>
      <c r="E752" s="1" t="s">
        <v>3959</v>
      </c>
      <c r="F752" s="1" t="s">
        <v>6790</v>
      </c>
      <c r="G752" s="1" t="s">
        <v>6791</v>
      </c>
      <c r="H752" s="1" t="str">
        <f t="shared" si="11"/>
        <v>FreeBSD</v>
      </c>
    </row>
    <row r="753" spans="1:8">
      <c r="A753" s="1">
        <v>752</v>
      </c>
      <c r="B753" s="1" t="s">
        <v>18450</v>
      </c>
      <c r="C753" s="1" t="s">
        <v>312</v>
      </c>
      <c r="D753" s="1" t="s">
        <v>6783</v>
      </c>
      <c r="E753" s="1" t="s">
        <v>3235</v>
      </c>
      <c r="F753" s="1" t="s">
        <v>6793</v>
      </c>
      <c r="G753" s="1" t="s">
        <v>6794</v>
      </c>
      <c r="H753" s="1" t="str">
        <f t="shared" si="11"/>
        <v>FreeBSD</v>
      </c>
    </row>
    <row r="754" spans="1:8">
      <c r="A754" s="1">
        <v>753</v>
      </c>
      <c r="B754" s="1" t="s">
        <v>18450</v>
      </c>
      <c r="C754" s="1" t="s">
        <v>316</v>
      </c>
      <c r="D754" s="1" t="s">
        <v>6783</v>
      </c>
      <c r="E754" s="1" t="s">
        <v>6796</v>
      </c>
      <c r="F754" s="1" t="s">
        <v>6797</v>
      </c>
      <c r="G754" s="1" t="s">
        <v>6798</v>
      </c>
      <c r="H754" s="1" t="str">
        <f t="shared" si="11"/>
        <v>FreeBSD</v>
      </c>
    </row>
    <row r="755" spans="1:8">
      <c r="A755" s="1">
        <v>754</v>
      </c>
      <c r="B755" s="1" t="s">
        <v>18450</v>
      </c>
      <c r="C755" s="1" t="s">
        <v>320</v>
      </c>
      <c r="D755" s="1" t="s">
        <v>6783</v>
      </c>
      <c r="E755" s="1" t="s">
        <v>3953</v>
      </c>
      <c r="F755" s="1" t="s">
        <v>6800</v>
      </c>
      <c r="G755" s="1" t="s">
        <v>6801</v>
      </c>
      <c r="H755" s="1" t="str">
        <f t="shared" si="11"/>
        <v>FreeBSD</v>
      </c>
    </row>
    <row r="756" spans="1:8">
      <c r="A756" s="1">
        <v>755</v>
      </c>
      <c r="B756" s="1" t="s">
        <v>18450</v>
      </c>
      <c r="C756" s="1" t="s">
        <v>324</v>
      </c>
      <c r="D756" s="1" t="s">
        <v>6783</v>
      </c>
      <c r="E756" s="1" t="s">
        <v>3240</v>
      </c>
      <c r="F756" s="1" t="s">
        <v>6803</v>
      </c>
      <c r="G756" s="1" t="s">
        <v>6804</v>
      </c>
      <c r="H756" s="1" t="str">
        <f t="shared" si="11"/>
        <v>FreeBSD</v>
      </c>
    </row>
    <row r="757" spans="1:8">
      <c r="A757" s="1">
        <v>756</v>
      </c>
      <c r="B757" s="1" t="s">
        <v>18450</v>
      </c>
      <c r="C757" s="1" t="s">
        <v>328</v>
      </c>
      <c r="D757" s="1" t="s">
        <v>6783</v>
      </c>
      <c r="E757" s="1" t="s">
        <v>3241</v>
      </c>
      <c r="F757" s="1" t="s">
        <v>6806</v>
      </c>
      <c r="G757" s="1" t="s">
        <v>6807</v>
      </c>
      <c r="H757" s="1" t="str">
        <f t="shared" si="11"/>
        <v>FreeBSD</v>
      </c>
    </row>
    <row r="758" spans="1:8">
      <c r="A758" s="1">
        <v>757</v>
      </c>
      <c r="B758" s="1" t="s">
        <v>18450</v>
      </c>
      <c r="C758" s="1" t="s">
        <v>332</v>
      </c>
      <c r="D758" s="1" t="s">
        <v>6783</v>
      </c>
      <c r="E758" s="1" t="s">
        <v>3239</v>
      </c>
      <c r="F758" s="1" t="s">
        <v>6809</v>
      </c>
      <c r="G758" s="1" t="s">
        <v>6810</v>
      </c>
      <c r="H758" s="1" t="str">
        <f t="shared" si="11"/>
        <v>FreeBSD</v>
      </c>
    </row>
    <row r="759" spans="1:8">
      <c r="A759" s="1">
        <v>758</v>
      </c>
      <c r="B759" s="1" t="s">
        <v>18450</v>
      </c>
      <c r="C759" s="1" t="s">
        <v>336</v>
      </c>
      <c r="D759" s="1" t="s">
        <v>6783</v>
      </c>
      <c r="E759" s="1" t="s">
        <v>3236</v>
      </c>
      <c r="F759" s="1" t="s">
        <v>6812</v>
      </c>
      <c r="G759" s="1" t="s">
        <v>6813</v>
      </c>
      <c r="H759" s="1" t="str">
        <f t="shared" si="11"/>
        <v>FreeBSD</v>
      </c>
    </row>
    <row r="760" spans="1:8">
      <c r="A760" s="1">
        <v>759</v>
      </c>
      <c r="B760" s="1" t="s">
        <v>18450</v>
      </c>
      <c r="C760" s="1" t="s">
        <v>340</v>
      </c>
      <c r="D760" s="1" t="s">
        <v>6783</v>
      </c>
      <c r="E760" s="1" t="s">
        <v>3237</v>
      </c>
      <c r="F760" s="1" t="s">
        <v>6815</v>
      </c>
      <c r="G760" s="1" t="s">
        <v>6816</v>
      </c>
      <c r="H760" s="1" t="str">
        <f t="shared" si="11"/>
        <v>FreeBSD</v>
      </c>
    </row>
    <row r="761" spans="1:8">
      <c r="A761" s="1">
        <v>760</v>
      </c>
      <c r="B761" s="1" t="s">
        <v>18450</v>
      </c>
      <c r="C761" s="1" t="s">
        <v>344</v>
      </c>
      <c r="D761" s="1" t="s">
        <v>6783</v>
      </c>
      <c r="E761" s="1" t="s">
        <v>6818</v>
      </c>
      <c r="F761" s="1" t="s">
        <v>6819</v>
      </c>
      <c r="G761" s="1" t="s">
        <v>18451</v>
      </c>
      <c r="H761" s="1" t="str">
        <f t="shared" si="11"/>
        <v>FreeBSD</v>
      </c>
    </row>
    <row r="762" spans="1:8">
      <c r="A762" s="1">
        <v>761</v>
      </c>
      <c r="B762" s="1" t="s">
        <v>18452</v>
      </c>
      <c r="C762" s="1" t="s">
        <v>155</v>
      </c>
      <c r="D762" s="1" t="s">
        <v>6822</v>
      </c>
      <c r="E762" s="1" t="s">
        <v>14055</v>
      </c>
      <c r="F762" s="1" t="s">
        <v>6824</v>
      </c>
      <c r="G762" s="1" t="s">
        <v>6825</v>
      </c>
      <c r="H762" s="1" t="str">
        <f t="shared" si="11"/>
        <v>GCP Cloud SQL MSSQL</v>
      </c>
    </row>
    <row r="763" spans="1:8">
      <c r="A763" s="1">
        <v>762</v>
      </c>
      <c r="B763" s="1" t="s">
        <v>18452</v>
      </c>
      <c r="C763" s="1" t="s">
        <v>160</v>
      </c>
      <c r="D763" s="1" t="s">
        <v>6822</v>
      </c>
      <c r="E763" s="1" t="s">
        <v>6020</v>
      </c>
      <c r="F763" s="1" t="s">
        <v>6828</v>
      </c>
      <c r="G763" s="1" t="s">
        <v>6829</v>
      </c>
      <c r="H763" s="1" t="str">
        <f t="shared" si="11"/>
        <v>GCP Cloud SQL MSSQL</v>
      </c>
    </row>
    <row r="764" spans="1:8">
      <c r="A764" s="1">
        <v>763</v>
      </c>
      <c r="B764" s="1" t="s">
        <v>18452</v>
      </c>
      <c r="C764" s="1" t="s">
        <v>164</v>
      </c>
      <c r="D764" s="1" t="s">
        <v>6822</v>
      </c>
      <c r="E764" s="1" t="s">
        <v>6024</v>
      </c>
      <c r="F764" s="1" t="s">
        <v>6832</v>
      </c>
      <c r="G764" s="1" t="s">
        <v>6833</v>
      </c>
      <c r="H764" s="1" t="str">
        <f t="shared" si="11"/>
        <v>GCP Cloud SQL MSSQL</v>
      </c>
    </row>
    <row r="765" spans="1:8">
      <c r="A765" s="1">
        <v>764</v>
      </c>
      <c r="B765" s="1" t="s">
        <v>18452</v>
      </c>
      <c r="C765" s="1" t="s">
        <v>168</v>
      </c>
      <c r="D765" s="1" t="s">
        <v>6822</v>
      </c>
      <c r="E765" s="1" t="s">
        <v>6033</v>
      </c>
      <c r="F765" s="1" t="s">
        <v>6836</v>
      </c>
      <c r="G765" s="1" t="s">
        <v>6837</v>
      </c>
      <c r="H765" s="1" t="str">
        <f t="shared" si="11"/>
        <v>GCP Cloud SQL MSSQL</v>
      </c>
    </row>
    <row r="766" spans="1:8">
      <c r="A766" s="1">
        <v>765</v>
      </c>
      <c r="B766" s="1" t="s">
        <v>18452</v>
      </c>
      <c r="C766" s="1" t="s">
        <v>172</v>
      </c>
      <c r="D766" s="1" t="s">
        <v>6822</v>
      </c>
      <c r="E766" s="1" t="s">
        <v>6037</v>
      </c>
      <c r="F766" s="1" t="s">
        <v>6840</v>
      </c>
      <c r="G766" s="1" t="s">
        <v>6841</v>
      </c>
      <c r="H766" s="1" t="str">
        <f t="shared" si="11"/>
        <v>GCP Cloud SQL MSSQL</v>
      </c>
    </row>
    <row r="767" spans="1:8">
      <c r="A767" s="1">
        <v>766</v>
      </c>
      <c r="B767" s="1" t="s">
        <v>18452</v>
      </c>
      <c r="C767" s="1" t="s">
        <v>176</v>
      </c>
      <c r="D767" s="1" t="s">
        <v>6822</v>
      </c>
      <c r="E767" s="1" t="s">
        <v>6077</v>
      </c>
      <c r="F767" s="1" t="s">
        <v>6844</v>
      </c>
      <c r="G767" s="1" t="s">
        <v>6845</v>
      </c>
      <c r="H767" s="1" t="str">
        <f t="shared" si="11"/>
        <v>GCP Cloud SQL MSSQL</v>
      </c>
    </row>
    <row r="768" spans="1:8">
      <c r="A768" s="1">
        <v>767</v>
      </c>
      <c r="B768" s="1" t="s">
        <v>18452</v>
      </c>
      <c r="C768" s="1" t="s">
        <v>180</v>
      </c>
      <c r="D768" s="1" t="s">
        <v>6822</v>
      </c>
      <c r="E768" s="1" t="s">
        <v>6065</v>
      </c>
      <c r="F768" s="1" t="s">
        <v>6848</v>
      </c>
      <c r="G768" s="1" t="s">
        <v>6849</v>
      </c>
      <c r="H768" s="1" t="str">
        <f t="shared" si="11"/>
        <v>GCP Cloud SQL MSSQL</v>
      </c>
    </row>
    <row r="769" spans="1:8">
      <c r="A769" s="1">
        <v>768</v>
      </c>
      <c r="B769" s="1" t="s">
        <v>18452</v>
      </c>
      <c r="C769" s="1" t="s">
        <v>184</v>
      </c>
      <c r="D769" s="1" t="s">
        <v>6822</v>
      </c>
      <c r="E769" s="1" t="s">
        <v>6069</v>
      </c>
      <c r="F769" s="1" t="s">
        <v>6852</v>
      </c>
      <c r="G769" s="1" t="s">
        <v>6853</v>
      </c>
      <c r="H769" s="1" t="str">
        <f t="shared" si="11"/>
        <v>GCP Cloud SQL MSSQL</v>
      </c>
    </row>
    <row r="770" spans="1:8">
      <c r="A770" s="1">
        <v>769</v>
      </c>
      <c r="B770" s="1" t="s">
        <v>18452</v>
      </c>
      <c r="C770" s="1" t="s">
        <v>188</v>
      </c>
      <c r="D770" s="1" t="s">
        <v>6822</v>
      </c>
      <c r="E770" s="1" t="s">
        <v>6049</v>
      </c>
      <c r="F770" s="1" t="s">
        <v>6856</v>
      </c>
      <c r="G770" s="1" t="s">
        <v>6857</v>
      </c>
      <c r="H770" s="1" t="str">
        <f t="shared" ref="H770:H833" si="12">IFERROR(IF(OR(MID(G770,FIND(":",G770)-1,1)="""",MID(G770,FIND(":",G770)-1,1)="}",MID(G770,FIND(":",G770)-1,1)=")",MID(G770,FIND(":",G770)-1,1)="]"),"",LEFT(F770,FIND(":",F770)-1)),"")</f>
        <v>GCP Cloud SQL MSSQL</v>
      </c>
    </row>
    <row r="771" spans="1:8">
      <c r="A771" s="1">
        <v>770</v>
      </c>
      <c r="B771" s="1" t="s">
        <v>18452</v>
      </c>
      <c r="C771" s="1" t="s">
        <v>192</v>
      </c>
      <c r="D771" s="1" t="s">
        <v>6822</v>
      </c>
      <c r="E771" s="1" t="s">
        <v>6073</v>
      </c>
      <c r="F771" s="1" t="s">
        <v>6860</v>
      </c>
      <c r="G771" s="1" t="s">
        <v>6861</v>
      </c>
      <c r="H771" s="1" t="str">
        <f t="shared" si="12"/>
        <v>GCP Cloud SQL MSSQL</v>
      </c>
    </row>
    <row r="772" spans="1:8">
      <c r="A772" s="1">
        <v>771</v>
      </c>
      <c r="B772" s="1" t="s">
        <v>18452</v>
      </c>
      <c r="C772" s="1" t="s">
        <v>196</v>
      </c>
      <c r="D772" s="1" t="s">
        <v>6822</v>
      </c>
      <c r="E772" s="1" t="s">
        <v>6081</v>
      </c>
      <c r="F772" s="1" t="s">
        <v>6864</v>
      </c>
      <c r="G772" s="1" t="s">
        <v>6865</v>
      </c>
      <c r="H772" s="1" t="str">
        <f t="shared" si="12"/>
        <v>GCP Cloud SQL MSSQL</v>
      </c>
    </row>
    <row r="773" spans="1:8">
      <c r="A773" s="1">
        <v>772</v>
      </c>
      <c r="B773" s="1" t="s">
        <v>18453</v>
      </c>
      <c r="C773" s="1" t="s">
        <v>155</v>
      </c>
      <c r="D773" s="1" t="s">
        <v>6867</v>
      </c>
      <c r="E773" s="1" t="s">
        <v>6041</v>
      </c>
      <c r="F773" s="1" t="s">
        <v>6869</v>
      </c>
      <c r="G773" s="1" t="s">
        <v>6870</v>
      </c>
      <c r="H773" s="1" t="str">
        <f t="shared" si="12"/>
        <v>GCP Cloud SQL MySQL</v>
      </c>
    </row>
    <row r="774" spans="1:8">
      <c r="A774" s="1">
        <v>773</v>
      </c>
      <c r="B774" s="1" t="s">
        <v>18453</v>
      </c>
      <c r="C774" s="1" t="s">
        <v>160</v>
      </c>
      <c r="D774" s="1" t="s">
        <v>6867</v>
      </c>
      <c r="E774" s="1" t="s">
        <v>6045</v>
      </c>
      <c r="F774" s="1" t="s">
        <v>6873</v>
      </c>
      <c r="G774" s="1" t="s">
        <v>6874</v>
      </c>
      <c r="H774" s="1" t="str">
        <f t="shared" si="12"/>
        <v>GCP Cloud SQL MySQL</v>
      </c>
    </row>
    <row r="775" spans="1:8">
      <c r="A775" s="1">
        <v>774</v>
      </c>
      <c r="B775" s="1" t="s">
        <v>18453</v>
      </c>
      <c r="C775" s="1" t="s">
        <v>164</v>
      </c>
      <c r="D775" s="1" t="s">
        <v>6867</v>
      </c>
      <c r="E775" s="1" t="s">
        <v>6053</v>
      </c>
      <c r="F775" s="1" t="s">
        <v>6877</v>
      </c>
      <c r="G775" s="1" t="s">
        <v>6878</v>
      </c>
      <c r="H775" s="1" t="str">
        <f t="shared" si="12"/>
        <v>GCP Cloud SQL MySQL</v>
      </c>
    </row>
    <row r="776" spans="1:8">
      <c r="A776" s="1">
        <v>775</v>
      </c>
      <c r="B776" s="1" t="s">
        <v>18453</v>
      </c>
      <c r="C776" s="1" t="s">
        <v>168</v>
      </c>
      <c r="D776" s="1" t="s">
        <v>6867</v>
      </c>
      <c r="E776" s="1" t="s">
        <v>6057</v>
      </c>
      <c r="F776" s="1" t="s">
        <v>6881</v>
      </c>
      <c r="G776" s="1" t="s">
        <v>6882</v>
      </c>
      <c r="H776" s="1" t="str">
        <f t="shared" si="12"/>
        <v>GCP Cloud SQL MySQL</v>
      </c>
    </row>
    <row r="777" spans="1:8">
      <c r="A777" s="1">
        <v>776</v>
      </c>
      <c r="B777" s="1" t="s">
        <v>18453</v>
      </c>
      <c r="C777" s="1" t="s">
        <v>172</v>
      </c>
      <c r="D777" s="1" t="s">
        <v>6867</v>
      </c>
      <c r="E777" s="1" t="s">
        <v>6029</v>
      </c>
      <c r="F777" s="1" t="s">
        <v>6885</v>
      </c>
      <c r="G777" s="1" t="s">
        <v>6886</v>
      </c>
      <c r="H777" s="1" t="str">
        <f t="shared" si="12"/>
        <v>GCP Cloud SQL MySQL</v>
      </c>
    </row>
    <row r="778" spans="1:8">
      <c r="A778" s="1">
        <v>777</v>
      </c>
      <c r="B778" s="1" t="s">
        <v>18453</v>
      </c>
      <c r="C778" s="1" t="s">
        <v>176</v>
      </c>
      <c r="D778" s="1" t="s">
        <v>6867</v>
      </c>
      <c r="E778" s="1" t="s">
        <v>6061</v>
      </c>
      <c r="F778" s="1" t="s">
        <v>6889</v>
      </c>
      <c r="G778" s="1" t="s">
        <v>6890</v>
      </c>
      <c r="H778" s="1" t="str">
        <f t="shared" si="12"/>
        <v>GCP Cloud SQL MySQL</v>
      </c>
    </row>
    <row r="779" spans="1:8">
      <c r="A779" s="1">
        <v>778</v>
      </c>
      <c r="B779" s="1" t="s">
        <v>18453</v>
      </c>
      <c r="C779" s="1" t="s">
        <v>180</v>
      </c>
      <c r="D779" s="1" t="s">
        <v>6867</v>
      </c>
      <c r="E779" s="1" t="s">
        <v>14107</v>
      </c>
      <c r="F779" s="1" t="s">
        <v>6893</v>
      </c>
      <c r="G779" s="1" t="s">
        <v>6894</v>
      </c>
      <c r="H779" s="1" t="str">
        <f t="shared" si="12"/>
        <v>GCP Cloud SQL MySQL</v>
      </c>
    </row>
    <row r="780" spans="1:8">
      <c r="A780" s="1">
        <v>779</v>
      </c>
      <c r="B780" s="1" t="s">
        <v>18453</v>
      </c>
      <c r="C780" s="1" t="s">
        <v>184</v>
      </c>
      <c r="D780" s="1" t="s">
        <v>6867</v>
      </c>
      <c r="E780" s="1" t="s">
        <v>14111</v>
      </c>
      <c r="F780" s="1" t="s">
        <v>6897</v>
      </c>
      <c r="G780" s="1" t="s">
        <v>6898</v>
      </c>
      <c r="H780" s="1" t="str">
        <f t="shared" si="12"/>
        <v>GCP Cloud SQL MySQL</v>
      </c>
    </row>
    <row r="781" spans="1:8">
      <c r="A781" s="1">
        <v>780</v>
      </c>
      <c r="B781" s="1" t="s">
        <v>18453</v>
      </c>
      <c r="C781" s="1" t="s">
        <v>188</v>
      </c>
      <c r="D781" s="1" t="s">
        <v>6867</v>
      </c>
      <c r="E781" s="1" t="s">
        <v>14115</v>
      </c>
      <c r="F781" s="1" t="s">
        <v>6901</v>
      </c>
      <c r="G781" s="1" t="s">
        <v>6902</v>
      </c>
      <c r="H781" s="1" t="str">
        <f t="shared" si="12"/>
        <v>GCP Cloud SQL MySQL</v>
      </c>
    </row>
    <row r="782" spans="1:8">
      <c r="A782" s="1">
        <v>781</v>
      </c>
      <c r="B782" s="1" t="s">
        <v>18453</v>
      </c>
      <c r="C782" s="1" t="s">
        <v>192</v>
      </c>
      <c r="D782" s="1" t="s">
        <v>6867</v>
      </c>
      <c r="E782" s="1" t="s">
        <v>14119</v>
      </c>
      <c r="F782" s="1" t="s">
        <v>6905</v>
      </c>
      <c r="G782" s="1" t="s">
        <v>6906</v>
      </c>
      <c r="H782" s="1" t="str">
        <f t="shared" si="12"/>
        <v>GCP Cloud SQL MySQL</v>
      </c>
    </row>
    <row r="783" spans="1:8">
      <c r="A783" s="1">
        <v>782</v>
      </c>
      <c r="B783" s="1" t="s">
        <v>18453</v>
      </c>
      <c r="C783" s="1" t="s">
        <v>196</v>
      </c>
      <c r="D783" s="1" t="s">
        <v>6867</v>
      </c>
      <c r="E783" s="1" t="s">
        <v>14123</v>
      </c>
      <c r="F783" s="1" t="s">
        <v>6909</v>
      </c>
      <c r="G783" s="1" t="s">
        <v>6910</v>
      </c>
      <c r="H783" s="1" t="str">
        <f t="shared" si="12"/>
        <v>GCP Cloud SQL MySQL</v>
      </c>
    </row>
    <row r="784" spans="1:8">
      <c r="A784" s="1">
        <v>783</v>
      </c>
      <c r="B784" s="1" t="s">
        <v>18454</v>
      </c>
      <c r="C784" s="1" t="s">
        <v>155</v>
      </c>
      <c r="D784" s="1" t="s">
        <v>6912</v>
      </c>
      <c r="E784" s="1" t="s">
        <v>14127</v>
      </c>
      <c r="F784" s="1" t="s">
        <v>6914</v>
      </c>
      <c r="G784" s="1" t="s">
        <v>6915</v>
      </c>
      <c r="H784" s="1" t="str">
        <f t="shared" si="12"/>
        <v>GCP Cloud SQL PostgreSQL</v>
      </c>
    </row>
    <row r="785" spans="1:8">
      <c r="A785" s="1">
        <v>784</v>
      </c>
      <c r="B785" s="1" t="s">
        <v>18454</v>
      </c>
      <c r="C785" s="1" t="s">
        <v>160</v>
      </c>
      <c r="D785" s="1" t="s">
        <v>6912</v>
      </c>
      <c r="E785" s="1" t="s">
        <v>14131</v>
      </c>
      <c r="F785" s="1" t="s">
        <v>6918</v>
      </c>
      <c r="G785" s="1" t="s">
        <v>6919</v>
      </c>
      <c r="H785" s="1" t="str">
        <f t="shared" si="12"/>
        <v>GCP Cloud SQL PostgreSQL</v>
      </c>
    </row>
    <row r="786" spans="1:8">
      <c r="A786" s="1">
        <v>785</v>
      </c>
      <c r="B786" s="1" t="s">
        <v>18454</v>
      </c>
      <c r="C786" s="1" t="s">
        <v>164</v>
      </c>
      <c r="D786" s="1" t="s">
        <v>6912</v>
      </c>
      <c r="E786" s="1" t="s">
        <v>14135</v>
      </c>
      <c r="F786" s="1" t="s">
        <v>6922</v>
      </c>
      <c r="G786" s="1" t="s">
        <v>6923</v>
      </c>
      <c r="H786" s="1" t="str">
        <f t="shared" si="12"/>
        <v>GCP Cloud SQL PostgreSQL</v>
      </c>
    </row>
    <row r="787" spans="1:8">
      <c r="A787" s="1">
        <v>786</v>
      </c>
      <c r="B787" s="1" t="s">
        <v>18454</v>
      </c>
      <c r="C787" s="1" t="s">
        <v>168</v>
      </c>
      <c r="D787" s="1" t="s">
        <v>6912</v>
      </c>
      <c r="E787" s="1" t="s">
        <v>14139</v>
      </c>
      <c r="F787" s="1" t="s">
        <v>6926</v>
      </c>
      <c r="G787" s="1" t="s">
        <v>6927</v>
      </c>
      <c r="H787" s="1" t="str">
        <f t="shared" si="12"/>
        <v>GCP Cloud SQL PostgreSQL</v>
      </c>
    </row>
    <row r="788" spans="1:8">
      <c r="A788" s="1">
        <v>787</v>
      </c>
      <c r="B788" s="1" t="s">
        <v>18454</v>
      </c>
      <c r="C788" s="1" t="s">
        <v>172</v>
      </c>
      <c r="D788" s="1" t="s">
        <v>6912</v>
      </c>
      <c r="E788" s="1" t="s">
        <v>14143</v>
      </c>
      <c r="F788" s="1" t="s">
        <v>6930</v>
      </c>
      <c r="G788" s="1" t="s">
        <v>6931</v>
      </c>
      <c r="H788" s="1" t="str">
        <f t="shared" si="12"/>
        <v>GCP Cloud SQL PostgreSQL</v>
      </c>
    </row>
    <row r="789" spans="1:8">
      <c r="A789" s="1">
        <v>788</v>
      </c>
      <c r="B789" s="1" t="s">
        <v>18454</v>
      </c>
      <c r="C789" s="1" t="s">
        <v>176</v>
      </c>
      <c r="D789" s="1" t="s">
        <v>6912</v>
      </c>
      <c r="E789" s="1" t="s">
        <v>14147</v>
      </c>
      <c r="F789" s="1" t="s">
        <v>6934</v>
      </c>
      <c r="G789" s="1" t="s">
        <v>6935</v>
      </c>
      <c r="H789" s="1" t="str">
        <f t="shared" si="12"/>
        <v>GCP Cloud SQL PostgreSQL</v>
      </c>
    </row>
    <row r="790" spans="1:8">
      <c r="A790" s="1">
        <v>789</v>
      </c>
      <c r="B790" s="1" t="s">
        <v>18454</v>
      </c>
      <c r="C790" s="1" t="s">
        <v>180</v>
      </c>
      <c r="D790" s="1" t="s">
        <v>6912</v>
      </c>
      <c r="E790" s="1" t="s">
        <v>14151</v>
      </c>
      <c r="F790" s="1" t="s">
        <v>6938</v>
      </c>
      <c r="G790" s="1" t="s">
        <v>6939</v>
      </c>
      <c r="H790" s="1" t="str">
        <f t="shared" si="12"/>
        <v>GCP Cloud SQL PostgreSQL</v>
      </c>
    </row>
    <row r="791" spans="1:8">
      <c r="A791" s="1">
        <v>790</v>
      </c>
      <c r="B791" s="1" t="s">
        <v>18454</v>
      </c>
      <c r="C791" s="1" t="s">
        <v>184</v>
      </c>
      <c r="D791" s="1" t="s">
        <v>6912</v>
      </c>
      <c r="E791" s="1" t="s">
        <v>14155</v>
      </c>
      <c r="F791" s="1" t="s">
        <v>6942</v>
      </c>
      <c r="G791" s="1" t="s">
        <v>6943</v>
      </c>
      <c r="H791" s="1" t="str">
        <f t="shared" si="12"/>
        <v>GCP Cloud SQL PostgreSQL</v>
      </c>
    </row>
    <row r="792" spans="1:8">
      <c r="A792" s="1">
        <v>791</v>
      </c>
      <c r="B792" s="1" t="s">
        <v>18454</v>
      </c>
      <c r="C792" s="1" t="s">
        <v>188</v>
      </c>
      <c r="D792" s="1" t="s">
        <v>6912</v>
      </c>
      <c r="E792" s="1" t="s">
        <v>14159</v>
      </c>
      <c r="F792" s="1" t="s">
        <v>6946</v>
      </c>
      <c r="G792" s="1" t="s">
        <v>6947</v>
      </c>
      <c r="H792" s="1" t="str">
        <f t="shared" si="12"/>
        <v>GCP Cloud SQL PostgreSQL</v>
      </c>
    </row>
    <row r="793" spans="1:8">
      <c r="A793" s="1">
        <v>792</v>
      </c>
      <c r="B793" s="1" t="s">
        <v>18454</v>
      </c>
      <c r="C793" s="1" t="s">
        <v>192</v>
      </c>
      <c r="D793" s="1" t="s">
        <v>6912</v>
      </c>
      <c r="E793" s="1" t="s">
        <v>14163</v>
      </c>
      <c r="F793" s="1" t="s">
        <v>6950</v>
      </c>
      <c r="G793" s="1" t="s">
        <v>6951</v>
      </c>
      <c r="H793" s="1" t="str">
        <f t="shared" si="12"/>
        <v>GCP Cloud SQL PostgreSQL</v>
      </c>
    </row>
    <row r="794" spans="1:8">
      <c r="A794" s="1">
        <v>793</v>
      </c>
      <c r="B794" s="1" t="s">
        <v>18454</v>
      </c>
      <c r="C794" s="1" t="s">
        <v>196</v>
      </c>
      <c r="D794" s="1" t="s">
        <v>6912</v>
      </c>
      <c r="E794" s="1" t="s">
        <v>14167</v>
      </c>
      <c r="F794" s="1" t="s">
        <v>6954</v>
      </c>
      <c r="G794" s="1" t="s">
        <v>6955</v>
      </c>
      <c r="H794" s="1" t="str">
        <f t="shared" si="12"/>
        <v>GCP Cloud SQL PostgreSQL</v>
      </c>
    </row>
    <row r="795" spans="1:8">
      <c r="A795" s="1">
        <v>794</v>
      </c>
      <c r="B795" s="1" t="s">
        <v>18455</v>
      </c>
      <c r="C795" s="1" t="s">
        <v>251</v>
      </c>
      <c r="D795" s="1" t="s">
        <v>6957</v>
      </c>
      <c r="E795" s="1" t="s">
        <v>14171</v>
      </c>
      <c r="F795" s="1" t="s">
        <v>6959</v>
      </c>
      <c r="G795" s="1" t="s">
        <v>6960</v>
      </c>
      <c r="H795" s="1" t="str">
        <f t="shared" si="12"/>
        <v>GCP Compute Engine</v>
      </c>
    </row>
    <row r="796" spans="1:8">
      <c r="A796" s="1">
        <v>795</v>
      </c>
      <c r="B796" s="1" t="s">
        <v>18455</v>
      </c>
      <c r="C796" s="1" t="s">
        <v>254</v>
      </c>
      <c r="D796" s="1" t="s">
        <v>6957</v>
      </c>
      <c r="E796" s="1" t="s">
        <v>14175</v>
      </c>
      <c r="F796" s="1" t="s">
        <v>6963</v>
      </c>
      <c r="G796" s="1" t="s">
        <v>6964</v>
      </c>
      <c r="H796" s="1" t="str">
        <f t="shared" si="12"/>
        <v>GCP Compute Engine</v>
      </c>
    </row>
    <row r="797" spans="1:8">
      <c r="A797" s="1">
        <v>796</v>
      </c>
      <c r="B797" s="1" t="s">
        <v>18455</v>
      </c>
      <c r="C797" s="1" t="s">
        <v>256</v>
      </c>
      <c r="D797" s="1" t="s">
        <v>6957</v>
      </c>
      <c r="E797" s="1" t="s">
        <v>14179</v>
      </c>
      <c r="F797" s="1" t="s">
        <v>6967</v>
      </c>
      <c r="G797" s="1" t="s">
        <v>6968</v>
      </c>
      <c r="H797" s="1" t="str">
        <f t="shared" si="12"/>
        <v>GCP Compute Engine</v>
      </c>
    </row>
    <row r="798" spans="1:8">
      <c r="A798" s="1">
        <v>797</v>
      </c>
      <c r="B798" s="1" t="s">
        <v>18455</v>
      </c>
      <c r="C798" s="1" t="s">
        <v>260</v>
      </c>
      <c r="D798" s="1" t="s">
        <v>6957</v>
      </c>
      <c r="E798" s="1" t="s">
        <v>14183</v>
      </c>
      <c r="F798" s="1" t="s">
        <v>6971</v>
      </c>
      <c r="G798" s="1" t="s">
        <v>6972</v>
      </c>
      <c r="H798" s="1" t="str">
        <f t="shared" si="12"/>
        <v>GCP Compute Engine</v>
      </c>
    </row>
    <row r="799" spans="1:8">
      <c r="A799" s="1">
        <v>798</v>
      </c>
      <c r="B799" s="1" t="s">
        <v>18455</v>
      </c>
      <c r="C799" s="1" t="s">
        <v>262</v>
      </c>
      <c r="D799" s="1" t="s">
        <v>6957</v>
      </c>
      <c r="E799" s="1" t="s">
        <v>14187</v>
      </c>
      <c r="F799" s="1" t="s">
        <v>6975</v>
      </c>
      <c r="G799" s="1" t="s">
        <v>6976</v>
      </c>
      <c r="H799" s="1" t="str">
        <f t="shared" si="12"/>
        <v>GCP Compute Engine</v>
      </c>
    </row>
    <row r="800" spans="1:8">
      <c r="A800" s="1">
        <v>799</v>
      </c>
      <c r="B800" s="1" t="s">
        <v>18455</v>
      </c>
      <c r="C800" s="1" t="s">
        <v>264</v>
      </c>
      <c r="D800" s="1" t="s">
        <v>6957</v>
      </c>
      <c r="E800" s="1" t="s">
        <v>7506</v>
      </c>
      <c r="F800" s="1" t="s">
        <v>6979</v>
      </c>
      <c r="G800" s="1" t="s">
        <v>6980</v>
      </c>
      <c r="H800" s="1" t="str">
        <f t="shared" si="12"/>
        <v>GCP Compute Engine</v>
      </c>
    </row>
    <row r="801" spans="1:8">
      <c r="A801" s="1">
        <v>800</v>
      </c>
      <c r="B801" s="1" t="s">
        <v>18456</v>
      </c>
      <c r="C801" s="1" t="s">
        <v>84</v>
      </c>
      <c r="D801" s="1" t="s">
        <v>6982</v>
      </c>
      <c r="E801" s="1" t="s">
        <v>14194</v>
      </c>
      <c r="F801" s="1" t="s">
        <v>6984</v>
      </c>
      <c r="G801" s="1" t="s">
        <v>6985</v>
      </c>
      <c r="H801" s="1" t="str">
        <f t="shared" si="12"/>
        <v>GCP</v>
      </c>
    </row>
    <row r="802" spans="1:8">
      <c r="A802" s="1">
        <v>801</v>
      </c>
      <c r="B802" s="1" t="s">
        <v>18457</v>
      </c>
      <c r="C802" s="1" t="s">
        <v>392</v>
      </c>
      <c r="D802" s="1" t="s">
        <v>6987</v>
      </c>
      <c r="E802" s="1" t="s">
        <v>398</v>
      </c>
      <c r="F802" s="1" t="s">
        <v>399</v>
      </c>
      <c r="G802" s="1" t="s">
        <v>400</v>
      </c>
      <c r="H802" s="1" t="str">
        <f t="shared" si="12"/>
        <v>Compilation</v>
      </c>
    </row>
    <row r="803" spans="1:8">
      <c r="A803" s="1">
        <v>802</v>
      </c>
      <c r="B803" s="1" t="s">
        <v>18457</v>
      </c>
      <c r="C803" s="1" t="s">
        <v>397</v>
      </c>
      <c r="D803" s="1" t="s">
        <v>6987</v>
      </c>
      <c r="E803" s="1" t="s">
        <v>6989</v>
      </c>
      <c r="F803" s="1" t="s">
        <v>6990</v>
      </c>
      <c r="G803" s="1" t="s">
        <v>6991</v>
      </c>
      <c r="H803" s="1" t="str">
        <f t="shared" si="12"/>
        <v>Memory</v>
      </c>
    </row>
    <row r="804" spans="1:8">
      <c r="A804" s="1">
        <v>803</v>
      </c>
      <c r="B804" s="1" t="s">
        <v>18457</v>
      </c>
      <c r="C804" s="1" t="s">
        <v>401</v>
      </c>
      <c r="D804" s="1" t="s">
        <v>6987</v>
      </c>
      <c r="E804" s="1" t="s">
        <v>6993</v>
      </c>
      <c r="F804" s="1" t="s">
        <v>6994</v>
      </c>
      <c r="G804" s="1" t="s">
        <v>6995</v>
      </c>
      <c r="H804" s="1" t="str">
        <f t="shared" si="12"/>
        <v>Memory</v>
      </c>
    </row>
    <row r="805" spans="1:8">
      <c r="A805" s="1">
        <v>804</v>
      </c>
      <c r="B805" s="1" t="s">
        <v>18457</v>
      </c>
      <c r="C805" s="1" t="s">
        <v>405</v>
      </c>
      <c r="D805" s="1" t="s">
        <v>6987</v>
      </c>
      <c r="E805" s="1" t="s">
        <v>394</v>
      </c>
      <c r="F805" s="1" t="s">
        <v>6997</v>
      </c>
      <c r="G805" s="1" t="s">
        <v>6998</v>
      </c>
      <c r="H805" s="1" t="str">
        <f t="shared" si="12"/>
        <v>OperatingSystem</v>
      </c>
    </row>
    <row r="806" spans="1:8">
      <c r="A806" s="1">
        <v>805</v>
      </c>
      <c r="B806" s="1" t="s">
        <v>18457</v>
      </c>
      <c r="C806" s="1" t="s">
        <v>409</v>
      </c>
      <c r="D806" s="1" t="s">
        <v>6987</v>
      </c>
      <c r="E806" s="1" t="s">
        <v>402</v>
      </c>
      <c r="F806" s="1" t="s">
        <v>7000</v>
      </c>
      <c r="G806" s="1" t="s">
        <v>7001</v>
      </c>
      <c r="H806" s="1" t="str">
        <f t="shared" si="12"/>
        <v>OperatingSystem</v>
      </c>
    </row>
    <row r="807" spans="1:8">
      <c r="A807" s="1">
        <v>806</v>
      </c>
      <c r="B807" s="1" t="s">
        <v>18457</v>
      </c>
      <c r="C807" s="1" t="s">
        <v>413</v>
      </c>
      <c r="D807" s="1" t="s">
        <v>6987</v>
      </c>
      <c r="E807" s="1" t="s">
        <v>410</v>
      </c>
      <c r="F807" s="1" t="s">
        <v>411</v>
      </c>
      <c r="G807" s="1" t="s">
        <v>412</v>
      </c>
      <c r="H807" s="1" t="str">
        <f t="shared" si="12"/>
        <v>Runtime</v>
      </c>
    </row>
    <row r="808" spans="1:8">
      <c r="A808" s="1">
        <v>807</v>
      </c>
      <c r="B808" s="1" t="s">
        <v>18457</v>
      </c>
      <c r="C808" s="1" t="s">
        <v>417</v>
      </c>
      <c r="D808" s="1" t="s">
        <v>6987</v>
      </c>
      <c r="E808" s="1" t="s">
        <v>406</v>
      </c>
      <c r="F808" s="1" t="s">
        <v>407</v>
      </c>
      <c r="G808" s="1" t="s">
        <v>408</v>
      </c>
      <c r="H808" s="1" t="str">
        <f t="shared" si="12"/>
        <v>Runtime</v>
      </c>
    </row>
    <row r="809" spans="1:8">
      <c r="A809" s="1">
        <v>808</v>
      </c>
      <c r="B809" s="1" t="s">
        <v>18458</v>
      </c>
      <c r="C809" s="1" t="s">
        <v>251</v>
      </c>
      <c r="D809" s="1" t="s">
        <v>7005</v>
      </c>
      <c r="E809" s="1" t="s">
        <v>6868</v>
      </c>
      <c r="F809" s="1" t="s">
        <v>7007</v>
      </c>
      <c r="G809" s="1" t="s">
        <v>7008</v>
      </c>
      <c r="H809" s="1" t="str">
        <f t="shared" si="12"/>
        <v>Generic SNMP</v>
      </c>
    </row>
    <row r="810" spans="1:8">
      <c r="A810" s="1">
        <v>809</v>
      </c>
      <c r="B810" s="1" t="s">
        <v>18458</v>
      </c>
      <c r="C810" s="1" t="s">
        <v>254</v>
      </c>
      <c r="D810" s="1" t="s">
        <v>7005</v>
      </c>
      <c r="E810" s="1" t="s">
        <v>6872</v>
      </c>
      <c r="F810" s="1" t="s">
        <v>7011</v>
      </c>
      <c r="G810" s="1" t="s">
        <v>7012</v>
      </c>
      <c r="H810" s="1" t="str">
        <f t="shared" si="12"/>
        <v>Generic SNMP</v>
      </c>
    </row>
    <row r="811" spans="1:8">
      <c r="A811" s="1">
        <v>810</v>
      </c>
      <c r="B811" s="1" t="s">
        <v>18458</v>
      </c>
      <c r="C811" s="1" t="s">
        <v>256</v>
      </c>
      <c r="D811" s="1" t="s">
        <v>7005</v>
      </c>
      <c r="E811" s="1" t="s">
        <v>6876</v>
      </c>
      <c r="F811" s="1" t="s">
        <v>7015</v>
      </c>
      <c r="G811" s="1" t="s">
        <v>7016</v>
      </c>
      <c r="H811" s="1" t="str">
        <f t="shared" si="12"/>
        <v>Generic SNMP</v>
      </c>
    </row>
    <row r="812" spans="1:8">
      <c r="A812" s="1">
        <v>811</v>
      </c>
      <c r="B812" s="1" t="s">
        <v>18458</v>
      </c>
      <c r="C812" s="1" t="s">
        <v>260</v>
      </c>
      <c r="D812" s="1" t="s">
        <v>7005</v>
      </c>
      <c r="E812" s="1" t="s">
        <v>6888</v>
      </c>
      <c r="F812" s="1" t="s">
        <v>7018</v>
      </c>
      <c r="G812" s="1" t="s">
        <v>7019</v>
      </c>
      <c r="H812" s="1" t="str">
        <f t="shared" si="12"/>
        <v>Generic SNMP</v>
      </c>
    </row>
    <row r="813" spans="1:8">
      <c r="A813" s="1">
        <v>812</v>
      </c>
      <c r="B813" s="1" t="s">
        <v>18458</v>
      </c>
      <c r="C813" s="1" t="s">
        <v>262</v>
      </c>
      <c r="D813" s="1" t="s">
        <v>7005</v>
      </c>
      <c r="E813" s="1" t="s">
        <v>6880</v>
      </c>
      <c r="F813" s="1" t="s">
        <v>7021</v>
      </c>
      <c r="G813" s="1" t="s">
        <v>7022</v>
      </c>
      <c r="H813" s="1" t="str">
        <f t="shared" si="12"/>
        <v>Generic SNMP</v>
      </c>
    </row>
    <row r="814" spans="1:8">
      <c r="A814" s="1">
        <v>813</v>
      </c>
      <c r="B814" s="1" t="s">
        <v>18458</v>
      </c>
      <c r="C814" s="1" t="s">
        <v>264</v>
      </c>
      <c r="D814" s="1" t="s">
        <v>7005</v>
      </c>
      <c r="E814" s="1" t="s">
        <v>6884</v>
      </c>
      <c r="F814" s="1" t="s">
        <v>7024</v>
      </c>
      <c r="G814" s="1" t="s">
        <v>7025</v>
      </c>
      <c r="H814" s="1" t="str">
        <f t="shared" si="12"/>
        <v>Generic SNMP</v>
      </c>
    </row>
    <row r="815" spans="1:8">
      <c r="A815" s="1">
        <v>814</v>
      </c>
      <c r="B815" s="1" t="s">
        <v>18459</v>
      </c>
      <c r="C815" s="1" t="s">
        <v>93</v>
      </c>
      <c r="D815" s="1" t="s">
        <v>7052</v>
      </c>
      <c r="E815" s="1" t="s">
        <v>2438</v>
      </c>
      <c r="F815" s="1" t="s">
        <v>7053</v>
      </c>
      <c r="G815" s="1" t="s">
        <v>7054</v>
      </c>
      <c r="H815" s="1" t="str">
        <f t="shared" si="12"/>
        <v>GitLab</v>
      </c>
    </row>
    <row r="816" spans="1:8">
      <c r="A816" s="1">
        <v>815</v>
      </c>
      <c r="B816" s="1" t="s">
        <v>18459</v>
      </c>
      <c r="C816" s="1" t="s">
        <v>98</v>
      </c>
      <c r="D816" s="1" t="s">
        <v>7052</v>
      </c>
      <c r="E816" s="1" t="s">
        <v>2436</v>
      </c>
      <c r="F816" s="1" t="s">
        <v>7056</v>
      </c>
      <c r="G816" s="1" t="s">
        <v>7057</v>
      </c>
      <c r="H816" s="1" t="str">
        <f t="shared" si="12"/>
        <v>GitLab</v>
      </c>
    </row>
    <row r="817" spans="1:8">
      <c r="A817" s="1">
        <v>816</v>
      </c>
      <c r="B817" s="1" t="s">
        <v>18459</v>
      </c>
      <c r="C817" s="1" t="s">
        <v>102</v>
      </c>
      <c r="D817" s="1" t="s">
        <v>7052</v>
      </c>
      <c r="E817" s="1" t="s">
        <v>2440</v>
      </c>
      <c r="F817" s="1" t="s">
        <v>7059</v>
      </c>
      <c r="G817" s="1" t="s">
        <v>7060</v>
      </c>
      <c r="H817" s="1" t="str">
        <f t="shared" si="12"/>
        <v>GitLab</v>
      </c>
    </row>
    <row r="818" spans="1:8">
      <c r="A818" s="1">
        <v>817</v>
      </c>
      <c r="B818" s="1" t="s">
        <v>18459</v>
      </c>
      <c r="C818" s="1" t="s">
        <v>106</v>
      </c>
      <c r="D818" s="1" t="s">
        <v>7052</v>
      </c>
      <c r="E818" s="1" t="s">
        <v>2444</v>
      </c>
      <c r="F818" s="1" t="s">
        <v>7062</v>
      </c>
      <c r="G818" s="1" t="s">
        <v>7063</v>
      </c>
      <c r="H818" s="1" t="str">
        <f t="shared" si="12"/>
        <v>GitLab</v>
      </c>
    </row>
    <row r="819" spans="1:8">
      <c r="A819" s="1">
        <v>818</v>
      </c>
      <c r="B819" s="1" t="s">
        <v>18459</v>
      </c>
      <c r="C819" s="1" t="s">
        <v>110</v>
      </c>
      <c r="D819" s="1" t="s">
        <v>7052</v>
      </c>
      <c r="E819" s="1" t="s">
        <v>2446</v>
      </c>
      <c r="F819" s="1" t="s">
        <v>7065</v>
      </c>
      <c r="G819" s="1" t="s">
        <v>7066</v>
      </c>
      <c r="H819" s="1" t="str">
        <f t="shared" si="12"/>
        <v>GitLab</v>
      </c>
    </row>
    <row r="820" spans="1:8">
      <c r="A820" s="1">
        <v>819</v>
      </c>
      <c r="B820" s="1" t="s">
        <v>18459</v>
      </c>
      <c r="C820" s="1" t="s">
        <v>114</v>
      </c>
      <c r="D820" s="1" t="s">
        <v>7052</v>
      </c>
      <c r="E820" s="1" t="s">
        <v>2448</v>
      </c>
      <c r="F820" s="1" t="s">
        <v>7068</v>
      </c>
      <c r="G820" s="1" t="s">
        <v>7069</v>
      </c>
      <c r="H820" s="1" t="str">
        <f t="shared" si="12"/>
        <v>GitLab</v>
      </c>
    </row>
    <row r="821" spans="1:8">
      <c r="A821" s="1">
        <v>820</v>
      </c>
      <c r="B821" s="1" t="s">
        <v>18459</v>
      </c>
      <c r="C821" s="1" t="s">
        <v>118</v>
      </c>
      <c r="D821" s="1" t="s">
        <v>7052</v>
      </c>
      <c r="E821" s="1" t="s">
        <v>2428</v>
      </c>
      <c r="F821" s="1" t="s">
        <v>7071</v>
      </c>
      <c r="G821" s="1" t="s">
        <v>7072</v>
      </c>
      <c r="H821" s="1" t="str">
        <f t="shared" si="12"/>
        <v>GitLab</v>
      </c>
    </row>
    <row r="822" spans="1:8">
      <c r="A822" s="1">
        <v>821</v>
      </c>
      <c r="B822" s="1" t="s">
        <v>18459</v>
      </c>
      <c r="C822" s="1" t="s">
        <v>122</v>
      </c>
      <c r="D822" s="1" t="s">
        <v>7052</v>
      </c>
      <c r="E822" s="1" t="s">
        <v>2450</v>
      </c>
      <c r="F822" s="1" t="s">
        <v>7074</v>
      </c>
      <c r="G822" s="1" t="s">
        <v>7075</v>
      </c>
      <c r="H822" s="1" t="str">
        <f t="shared" si="12"/>
        <v>GitLab</v>
      </c>
    </row>
    <row r="823" spans="1:8">
      <c r="A823" s="1">
        <v>822</v>
      </c>
      <c r="B823" s="1" t="s">
        <v>18459</v>
      </c>
      <c r="C823" s="1" t="s">
        <v>126</v>
      </c>
      <c r="D823" s="1" t="s">
        <v>7052</v>
      </c>
      <c r="E823" s="1" t="s">
        <v>2432</v>
      </c>
      <c r="F823" s="1" t="s">
        <v>7077</v>
      </c>
      <c r="G823" s="1" t="s">
        <v>7078</v>
      </c>
      <c r="H823" s="1" t="str">
        <f t="shared" si="12"/>
        <v>GitLab</v>
      </c>
    </row>
    <row r="824" spans="1:8">
      <c r="A824" s="1">
        <v>823</v>
      </c>
      <c r="B824" s="1" t="s">
        <v>18460</v>
      </c>
      <c r="C824" s="1" t="s">
        <v>267</v>
      </c>
      <c r="D824" s="1" t="s">
        <v>7080</v>
      </c>
      <c r="E824" s="1" t="s">
        <v>429</v>
      </c>
      <c r="F824" s="1" t="s">
        <v>7081</v>
      </c>
      <c r="G824" s="1" t="s">
        <v>7082</v>
      </c>
      <c r="H824" s="1" t="str">
        <f t="shared" si="12"/>
        <v>HAProxy</v>
      </c>
    </row>
    <row r="825" spans="1:8">
      <c r="A825" s="1">
        <v>824</v>
      </c>
      <c r="B825" s="1" t="s">
        <v>18460</v>
      </c>
      <c r="C825" s="1" t="s">
        <v>272</v>
      </c>
      <c r="D825" s="1" t="s">
        <v>7080</v>
      </c>
      <c r="E825" s="1" t="s">
        <v>432</v>
      </c>
      <c r="F825" s="1" t="s">
        <v>433</v>
      </c>
      <c r="G825" s="1" t="s">
        <v>434</v>
      </c>
      <c r="H825" s="1" t="str">
        <f t="shared" si="12"/>
        <v>HAProxy</v>
      </c>
    </row>
    <row r="826" spans="1:8">
      <c r="A826" s="1">
        <v>825</v>
      </c>
      <c r="B826" s="1" t="s">
        <v>18460</v>
      </c>
      <c r="C826" s="1" t="s">
        <v>276</v>
      </c>
      <c r="D826" s="1" t="s">
        <v>7080</v>
      </c>
      <c r="E826" s="1" t="s">
        <v>423</v>
      </c>
      <c r="F826" s="1" t="s">
        <v>7085</v>
      </c>
      <c r="G826" s="1" t="s">
        <v>7086</v>
      </c>
      <c r="H826" s="1" t="str">
        <f t="shared" si="12"/>
        <v>HAProxy</v>
      </c>
    </row>
    <row r="827" spans="1:8">
      <c r="A827" s="1">
        <v>826</v>
      </c>
      <c r="B827" s="1" t="s">
        <v>18460</v>
      </c>
      <c r="C827" s="1" t="s">
        <v>280</v>
      </c>
      <c r="D827" s="1" t="s">
        <v>7080</v>
      </c>
      <c r="E827" s="1" t="s">
        <v>426</v>
      </c>
      <c r="F827" s="1" t="s">
        <v>7088</v>
      </c>
      <c r="G827" s="1" t="s">
        <v>7089</v>
      </c>
      <c r="H827" s="1" t="str">
        <f t="shared" si="12"/>
        <v>HAProxy</v>
      </c>
    </row>
    <row r="828" spans="1:8">
      <c r="A828" s="1">
        <v>827</v>
      </c>
      <c r="B828" s="1" t="s">
        <v>18461</v>
      </c>
      <c r="C828" s="1" t="s">
        <v>267</v>
      </c>
      <c r="D828" s="1" t="s">
        <v>7091</v>
      </c>
      <c r="E828" s="1" t="s">
        <v>439</v>
      </c>
      <c r="F828" s="1" t="s">
        <v>7081</v>
      </c>
      <c r="G828" s="1" t="s">
        <v>7082</v>
      </c>
      <c r="H828" s="1" t="str">
        <f t="shared" si="12"/>
        <v>HAProxy</v>
      </c>
    </row>
    <row r="829" spans="1:8">
      <c r="A829" s="1">
        <v>828</v>
      </c>
      <c r="B829" s="1" t="s">
        <v>18461</v>
      </c>
      <c r="C829" s="1" t="s">
        <v>272</v>
      </c>
      <c r="D829" s="1" t="s">
        <v>7091</v>
      </c>
      <c r="E829" s="1" t="s">
        <v>440</v>
      </c>
      <c r="F829" s="1" t="s">
        <v>433</v>
      </c>
      <c r="G829" s="1" t="s">
        <v>434</v>
      </c>
      <c r="H829" s="1" t="str">
        <f t="shared" si="12"/>
        <v>HAProxy</v>
      </c>
    </row>
    <row r="830" spans="1:8">
      <c r="A830" s="1">
        <v>829</v>
      </c>
      <c r="B830" s="1" t="s">
        <v>18461</v>
      </c>
      <c r="C830" s="1" t="s">
        <v>276</v>
      </c>
      <c r="D830" s="1" t="s">
        <v>7091</v>
      </c>
      <c r="E830" s="1" t="s">
        <v>437</v>
      </c>
      <c r="F830" s="1" t="s">
        <v>7085</v>
      </c>
      <c r="G830" s="1" t="s">
        <v>7086</v>
      </c>
      <c r="H830" s="1" t="str">
        <f t="shared" si="12"/>
        <v>HAProxy</v>
      </c>
    </row>
    <row r="831" spans="1:8">
      <c r="A831" s="1">
        <v>830</v>
      </c>
      <c r="B831" s="1" t="s">
        <v>18461</v>
      </c>
      <c r="C831" s="1" t="s">
        <v>280</v>
      </c>
      <c r="D831" s="1" t="s">
        <v>7091</v>
      </c>
      <c r="E831" s="1" t="s">
        <v>438</v>
      </c>
      <c r="F831" s="1" t="s">
        <v>7088</v>
      </c>
      <c r="G831" s="1" t="s">
        <v>7089</v>
      </c>
      <c r="H831" s="1" t="str">
        <f t="shared" si="12"/>
        <v>HAProxy</v>
      </c>
    </row>
    <row r="832" spans="1:8">
      <c r="A832" s="1">
        <v>831</v>
      </c>
      <c r="B832" s="1" t="s">
        <v>18462</v>
      </c>
      <c r="C832" s="1" t="s">
        <v>251</v>
      </c>
      <c r="D832" s="1" t="s">
        <v>7103</v>
      </c>
      <c r="E832" s="1" t="s">
        <v>7104</v>
      </c>
      <c r="F832" s="1" t="s">
        <v>7105</v>
      </c>
      <c r="G832" s="1" t="s">
        <v>7106</v>
      </c>
      <c r="H832" s="1" t="str">
        <f t="shared" si="12"/>
        <v>HP Comware HH3C</v>
      </c>
    </row>
    <row r="833" spans="1:8">
      <c r="A833" s="1">
        <v>832</v>
      </c>
      <c r="B833" s="1" t="s">
        <v>18462</v>
      </c>
      <c r="C833" s="1" t="s">
        <v>254</v>
      </c>
      <c r="D833" s="1" t="s">
        <v>7103</v>
      </c>
      <c r="E833" s="1" t="s">
        <v>7108</v>
      </c>
      <c r="F833" s="1" t="s">
        <v>7109</v>
      </c>
      <c r="G833" s="1" t="s">
        <v>7110</v>
      </c>
      <c r="H833" s="1" t="str">
        <f t="shared" si="12"/>
        <v>HP Comware HH3C</v>
      </c>
    </row>
    <row r="834" spans="1:8">
      <c r="A834" s="1">
        <v>833</v>
      </c>
      <c r="B834" s="1" t="s">
        <v>18462</v>
      </c>
      <c r="C834" s="1" t="s">
        <v>256</v>
      </c>
      <c r="D834" s="1" t="s">
        <v>7103</v>
      </c>
      <c r="E834" s="1" t="s">
        <v>7112</v>
      </c>
      <c r="F834" s="1" t="s">
        <v>7113</v>
      </c>
      <c r="G834" s="1" t="s">
        <v>7114</v>
      </c>
      <c r="H834" s="1" t="str">
        <f t="shared" ref="H834:H897" si="13">IFERROR(IF(OR(MID(G834,FIND(":",G834)-1,1)="""",MID(G834,FIND(":",G834)-1,1)="}",MID(G834,FIND(":",G834)-1,1)=")",MID(G834,FIND(":",G834)-1,1)="]"),"",LEFT(F834,FIND(":",F834)-1)),"")</f>
        <v>HP Comware HH3C</v>
      </c>
    </row>
    <row r="835" spans="1:8">
      <c r="A835" s="1">
        <v>834</v>
      </c>
      <c r="B835" s="1" t="s">
        <v>18462</v>
      </c>
      <c r="C835" s="1" t="s">
        <v>260</v>
      </c>
      <c r="D835" s="1" t="s">
        <v>7103</v>
      </c>
      <c r="E835" s="1" t="s">
        <v>7116</v>
      </c>
      <c r="F835" s="1" t="s">
        <v>7117</v>
      </c>
      <c r="G835" s="1" t="s">
        <v>7118</v>
      </c>
      <c r="H835" s="1" t="str">
        <f t="shared" si="13"/>
        <v>HP Comware HH3C</v>
      </c>
    </row>
    <row r="836" spans="1:8">
      <c r="A836" s="1">
        <v>835</v>
      </c>
      <c r="B836" s="1" t="s">
        <v>18462</v>
      </c>
      <c r="C836" s="1" t="s">
        <v>262</v>
      </c>
      <c r="D836" s="1" t="s">
        <v>7103</v>
      </c>
      <c r="E836" s="1" t="s">
        <v>7120</v>
      </c>
      <c r="F836" s="1" t="s">
        <v>7121</v>
      </c>
      <c r="G836" s="1" t="s">
        <v>7122</v>
      </c>
      <c r="H836" s="1" t="str">
        <f t="shared" si="13"/>
        <v>HP Comware HH3C</v>
      </c>
    </row>
    <row r="837" spans="1:8">
      <c r="A837" s="1">
        <v>836</v>
      </c>
      <c r="B837" s="1" t="s">
        <v>18462</v>
      </c>
      <c r="C837" s="1" t="s">
        <v>264</v>
      </c>
      <c r="D837" s="1" t="s">
        <v>7103</v>
      </c>
      <c r="E837" s="1" t="s">
        <v>7124</v>
      </c>
      <c r="F837" s="1" t="s">
        <v>7125</v>
      </c>
      <c r="G837" s="1" t="s">
        <v>7126</v>
      </c>
      <c r="H837" s="1" t="str">
        <f t="shared" si="13"/>
        <v>HP Comware HH3C</v>
      </c>
    </row>
    <row r="838" spans="1:8">
      <c r="A838" s="1">
        <v>837</v>
      </c>
      <c r="B838" s="1" t="s">
        <v>18463</v>
      </c>
      <c r="C838" s="1" t="s">
        <v>93</v>
      </c>
      <c r="D838" s="1" t="s">
        <v>7128</v>
      </c>
      <c r="E838" s="1" t="s">
        <v>1996</v>
      </c>
      <c r="F838" s="1" t="s">
        <v>7129</v>
      </c>
      <c r="G838" s="1" t="s">
        <v>7130</v>
      </c>
      <c r="H838" s="1" t="str">
        <f t="shared" si="13"/>
        <v>HP Enterprise Switch</v>
      </c>
    </row>
    <row r="839" spans="1:8">
      <c r="A839" s="1">
        <v>838</v>
      </c>
      <c r="B839" s="1" t="s">
        <v>18463</v>
      </c>
      <c r="C839" s="1" t="s">
        <v>98</v>
      </c>
      <c r="D839" s="1" t="s">
        <v>7128</v>
      </c>
      <c r="E839" s="1" t="s">
        <v>1993</v>
      </c>
      <c r="F839" s="1" t="s">
        <v>7132</v>
      </c>
      <c r="G839" s="1" t="s">
        <v>7133</v>
      </c>
      <c r="H839" s="1" t="str">
        <f t="shared" si="13"/>
        <v>HP Enterprise Switch</v>
      </c>
    </row>
    <row r="840" spans="1:8">
      <c r="A840" s="1">
        <v>839</v>
      </c>
      <c r="B840" s="1" t="s">
        <v>18463</v>
      </c>
      <c r="C840" s="1" t="s">
        <v>102</v>
      </c>
      <c r="D840" s="1" t="s">
        <v>7128</v>
      </c>
      <c r="E840" s="1" t="s">
        <v>1992</v>
      </c>
      <c r="F840" s="1" t="s">
        <v>7135</v>
      </c>
      <c r="G840" s="1" t="s">
        <v>7136</v>
      </c>
      <c r="H840" s="1" t="str">
        <f t="shared" si="13"/>
        <v>HP Enterprise Switch</v>
      </c>
    </row>
    <row r="841" spans="1:8">
      <c r="A841" s="1">
        <v>840</v>
      </c>
      <c r="B841" s="1" t="s">
        <v>18463</v>
      </c>
      <c r="C841" s="1" t="s">
        <v>106</v>
      </c>
      <c r="D841" s="1" t="s">
        <v>7128</v>
      </c>
      <c r="E841" s="1" t="s">
        <v>7138</v>
      </c>
      <c r="F841" s="1" t="s">
        <v>7139</v>
      </c>
      <c r="G841" s="1" t="s">
        <v>7140</v>
      </c>
      <c r="H841" s="1" t="str">
        <f t="shared" si="13"/>
        <v>HP Enterprise Switch</v>
      </c>
    </row>
    <row r="842" spans="1:8">
      <c r="A842" s="1">
        <v>841</v>
      </c>
      <c r="B842" s="1" t="s">
        <v>18463</v>
      </c>
      <c r="C842" s="1" t="s">
        <v>110</v>
      </c>
      <c r="D842" s="1" t="s">
        <v>7128</v>
      </c>
      <c r="E842" s="1" t="s">
        <v>7142</v>
      </c>
      <c r="F842" s="1" t="s">
        <v>7143</v>
      </c>
      <c r="G842" s="1" t="s">
        <v>7144</v>
      </c>
      <c r="H842" s="1" t="str">
        <f t="shared" si="13"/>
        <v>HP Enterprise Switch</v>
      </c>
    </row>
    <row r="843" spans="1:8">
      <c r="A843" s="1">
        <v>842</v>
      </c>
      <c r="B843" s="1" t="s">
        <v>18463</v>
      </c>
      <c r="C843" s="1" t="s">
        <v>114</v>
      </c>
      <c r="D843" s="1" t="s">
        <v>7128</v>
      </c>
      <c r="E843" s="1" t="s">
        <v>7146</v>
      </c>
      <c r="F843" s="1" t="s">
        <v>7147</v>
      </c>
      <c r="G843" s="1" t="s">
        <v>7148</v>
      </c>
      <c r="H843" s="1" t="str">
        <f t="shared" si="13"/>
        <v>HP Enterprise Switch</v>
      </c>
    </row>
    <row r="844" spans="1:8">
      <c r="A844" s="1">
        <v>843</v>
      </c>
      <c r="B844" s="1" t="s">
        <v>18463</v>
      </c>
      <c r="C844" s="1" t="s">
        <v>118</v>
      </c>
      <c r="D844" s="1" t="s">
        <v>7128</v>
      </c>
      <c r="E844" s="1" t="s">
        <v>7150</v>
      </c>
      <c r="F844" s="1" t="s">
        <v>7151</v>
      </c>
      <c r="G844" s="1" t="s">
        <v>7152</v>
      </c>
      <c r="H844" s="1" t="str">
        <f t="shared" si="13"/>
        <v>HP Enterprise Switch</v>
      </c>
    </row>
    <row r="845" spans="1:8">
      <c r="A845" s="1">
        <v>844</v>
      </c>
      <c r="B845" s="1" t="s">
        <v>18463</v>
      </c>
      <c r="C845" s="1" t="s">
        <v>122</v>
      </c>
      <c r="D845" s="1" t="s">
        <v>7128</v>
      </c>
      <c r="E845" s="1" t="s">
        <v>7154</v>
      </c>
      <c r="F845" s="1" t="s">
        <v>7155</v>
      </c>
      <c r="G845" s="1" t="s">
        <v>7156</v>
      </c>
      <c r="H845" s="1" t="str">
        <f t="shared" si="13"/>
        <v>HP Enterprise Switch</v>
      </c>
    </row>
    <row r="846" spans="1:8">
      <c r="A846" s="1">
        <v>845</v>
      </c>
      <c r="B846" s="1" t="s">
        <v>18463</v>
      </c>
      <c r="C846" s="1" t="s">
        <v>126</v>
      </c>
      <c r="D846" s="1" t="s">
        <v>7128</v>
      </c>
      <c r="E846" s="1" t="s">
        <v>7158</v>
      </c>
      <c r="F846" s="1" t="s">
        <v>7159</v>
      </c>
      <c r="G846" s="1" t="s">
        <v>7160</v>
      </c>
      <c r="H846" s="1" t="str">
        <f t="shared" si="13"/>
        <v>HP Enterprise Switch</v>
      </c>
    </row>
    <row r="847" spans="1:8">
      <c r="A847" s="1">
        <v>846</v>
      </c>
      <c r="B847" s="1" t="s">
        <v>18464</v>
      </c>
      <c r="C847" s="1" t="s">
        <v>93</v>
      </c>
      <c r="D847" s="1" t="s">
        <v>7162</v>
      </c>
      <c r="E847" s="1" t="s">
        <v>3901</v>
      </c>
      <c r="F847" s="1" t="s">
        <v>7163</v>
      </c>
      <c r="G847" s="1" t="s">
        <v>7164</v>
      </c>
      <c r="H847" s="1" t="str">
        <f t="shared" si="13"/>
        <v>HP iLO</v>
      </c>
    </row>
    <row r="848" spans="1:8">
      <c r="A848" s="1">
        <v>847</v>
      </c>
      <c r="B848" s="1" t="s">
        <v>18464</v>
      </c>
      <c r="C848" s="1" t="s">
        <v>98</v>
      </c>
      <c r="D848" s="1" t="s">
        <v>7162</v>
      </c>
      <c r="E848" s="1" t="s">
        <v>7166</v>
      </c>
      <c r="F848" s="1" t="s">
        <v>7167</v>
      </c>
      <c r="G848" s="1" t="s">
        <v>7168</v>
      </c>
      <c r="H848" s="1" t="str">
        <f t="shared" si="13"/>
        <v>HP iLO</v>
      </c>
    </row>
    <row r="849" spans="1:8">
      <c r="A849" s="1">
        <v>848</v>
      </c>
      <c r="B849" s="1" t="s">
        <v>18464</v>
      </c>
      <c r="C849" s="1" t="s">
        <v>102</v>
      </c>
      <c r="D849" s="1" t="s">
        <v>7162</v>
      </c>
      <c r="E849" s="1" t="s">
        <v>7170</v>
      </c>
      <c r="F849" s="1" t="s">
        <v>7171</v>
      </c>
      <c r="G849" s="1" t="s">
        <v>7172</v>
      </c>
      <c r="H849" s="1" t="str">
        <f t="shared" si="13"/>
        <v>HP iLO</v>
      </c>
    </row>
    <row r="850" spans="1:8">
      <c r="A850" s="1">
        <v>849</v>
      </c>
      <c r="B850" s="1" t="s">
        <v>18464</v>
      </c>
      <c r="C850" s="1" t="s">
        <v>106</v>
      </c>
      <c r="D850" s="1" t="s">
        <v>7162</v>
      </c>
      <c r="E850" s="1" t="s">
        <v>7174</v>
      </c>
      <c r="F850" s="1" t="s">
        <v>7175</v>
      </c>
      <c r="G850" s="1" t="s">
        <v>7176</v>
      </c>
      <c r="H850" s="1" t="str">
        <f t="shared" si="13"/>
        <v>HP iLO</v>
      </c>
    </row>
    <row r="851" spans="1:8">
      <c r="A851" s="1">
        <v>850</v>
      </c>
      <c r="B851" s="1" t="s">
        <v>18464</v>
      </c>
      <c r="C851" s="1" t="s">
        <v>110</v>
      </c>
      <c r="D851" s="1" t="s">
        <v>7162</v>
      </c>
      <c r="E851" s="1" t="s">
        <v>3904</v>
      </c>
      <c r="F851" s="1" t="s">
        <v>7178</v>
      </c>
      <c r="G851" s="1" t="s">
        <v>7179</v>
      </c>
      <c r="H851" s="1" t="str">
        <f t="shared" si="13"/>
        <v>HP iLO</v>
      </c>
    </row>
    <row r="852" spans="1:8">
      <c r="A852" s="1">
        <v>851</v>
      </c>
      <c r="B852" s="1" t="s">
        <v>18464</v>
      </c>
      <c r="C852" s="1" t="s">
        <v>114</v>
      </c>
      <c r="D852" s="1" t="s">
        <v>7162</v>
      </c>
      <c r="E852" s="1" t="s">
        <v>3905</v>
      </c>
      <c r="F852" s="1" t="s">
        <v>7181</v>
      </c>
      <c r="G852" s="1" t="s">
        <v>7182</v>
      </c>
      <c r="H852" s="1" t="str">
        <f t="shared" si="13"/>
        <v>HP iLO</v>
      </c>
    </row>
    <row r="853" spans="1:8">
      <c r="A853" s="1">
        <v>852</v>
      </c>
      <c r="B853" s="1" t="s">
        <v>18464</v>
      </c>
      <c r="C853" s="1" t="s">
        <v>118</v>
      </c>
      <c r="D853" s="1" t="s">
        <v>7162</v>
      </c>
      <c r="E853" s="1" t="s">
        <v>7184</v>
      </c>
      <c r="F853" s="1" t="s">
        <v>7185</v>
      </c>
      <c r="G853" s="1" t="s">
        <v>7186</v>
      </c>
      <c r="H853" s="1" t="str">
        <f t="shared" si="13"/>
        <v>HP iLO</v>
      </c>
    </row>
    <row r="854" spans="1:8">
      <c r="A854" s="1">
        <v>853</v>
      </c>
      <c r="B854" s="1" t="s">
        <v>18464</v>
      </c>
      <c r="C854" s="1" t="s">
        <v>122</v>
      </c>
      <c r="D854" s="1" t="s">
        <v>7162</v>
      </c>
      <c r="E854" s="1" t="s">
        <v>7188</v>
      </c>
      <c r="F854" s="1" t="s">
        <v>7189</v>
      </c>
      <c r="G854" s="1" t="s">
        <v>7190</v>
      </c>
      <c r="H854" s="1" t="str">
        <f t="shared" si="13"/>
        <v>HP iLO</v>
      </c>
    </row>
    <row r="855" spans="1:8">
      <c r="A855" s="1">
        <v>854</v>
      </c>
      <c r="B855" s="1" t="s">
        <v>18464</v>
      </c>
      <c r="C855" s="1" t="s">
        <v>126</v>
      </c>
      <c r="D855" s="1" t="s">
        <v>7162</v>
      </c>
      <c r="E855" s="1" t="s">
        <v>7192</v>
      </c>
      <c r="F855" s="1" t="s">
        <v>7193</v>
      </c>
      <c r="G855" s="1" t="s">
        <v>7194</v>
      </c>
      <c r="H855" s="1" t="str">
        <f t="shared" si="13"/>
        <v>HP iLO</v>
      </c>
    </row>
    <row r="856" spans="1:8">
      <c r="A856" s="1">
        <v>855</v>
      </c>
      <c r="B856" s="1" t="s">
        <v>18465</v>
      </c>
      <c r="C856" s="1" t="s">
        <v>251</v>
      </c>
      <c r="D856" s="1" t="s">
        <v>7196</v>
      </c>
      <c r="E856" s="1" t="s">
        <v>3968</v>
      </c>
      <c r="F856" s="1" t="s">
        <v>7197</v>
      </c>
      <c r="G856" s="1" t="s">
        <v>7198</v>
      </c>
      <c r="H856" s="1" t="str">
        <f t="shared" si="13"/>
        <v>HP-UX</v>
      </c>
    </row>
    <row r="857" spans="1:8">
      <c r="A857" s="1">
        <v>856</v>
      </c>
      <c r="B857" s="1" t="s">
        <v>18465</v>
      </c>
      <c r="C857" s="1" t="s">
        <v>254</v>
      </c>
      <c r="D857" s="1" t="s">
        <v>7196</v>
      </c>
      <c r="E857" s="1" t="s">
        <v>3257</v>
      </c>
      <c r="F857" s="1" t="s">
        <v>7200</v>
      </c>
      <c r="G857" s="1" t="s">
        <v>7201</v>
      </c>
      <c r="H857" s="1" t="str">
        <f t="shared" si="13"/>
        <v>HP-UX</v>
      </c>
    </row>
    <row r="858" spans="1:8">
      <c r="A858" s="1">
        <v>857</v>
      </c>
      <c r="B858" s="1" t="s">
        <v>18465</v>
      </c>
      <c r="C858" s="1" t="s">
        <v>256</v>
      </c>
      <c r="D858" s="1" t="s">
        <v>7196</v>
      </c>
      <c r="E858" s="1" t="s">
        <v>3255</v>
      </c>
      <c r="F858" s="1" t="s">
        <v>7203</v>
      </c>
      <c r="G858" s="1" t="s">
        <v>7204</v>
      </c>
      <c r="H858" s="1" t="str">
        <f t="shared" si="13"/>
        <v>HP-UX</v>
      </c>
    </row>
    <row r="859" spans="1:8">
      <c r="A859" s="1">
        <v>858</v>
      </c>
      <c r="B859" s="1" t="s">
        <v>18465</v>
      </c>
      <c r="C859" s="1" t="s">
        <v>260</v>
      </c>
      <c r="D859" s="1" t="s">
        <v>7196</v>
      </c>
      <c r="E859" s="1" t="s">
        <v>3258</v>
      </c>
      <c r="F859" s="1" t="s">
        <v>7206</v>
      </c>
      <c r="G859" s="1" t="s">
        <v>7207</v>
      </c>
      <c r="H859" s="1" t="str">
        <f t="shared" si="13"/>
        <v>HP-UX</v>
      </c>
    </row>
    <row r="860" spans="1:8">
      <c r="A860" s="1">
        <v>859</v>
      </c>
      <c r="B860" s="1" t="s">
        <v>18465</v>
      </c>
      <c r="C860" s="1" t="s">
        <v>262</v>
      </c>
      <c r="D860" s="1" t="s">
        <v>7196</v>
      </c>
      <c r="E860" s="1" t="s">
        <v>3256</v>
      </c>
      <c r="F860" s="1" t="s">
        <v>7209</v>
      </c>
      <c r="G860" s="1" t="s">
        <v>7210</v>
      </c>
      <c r="H860" s="1" t="str">
        <f t="shared" si="13"/>
        <v>HP-UX</v>
      </c>
    </row>
    <row r="861" spans="1:8">
      <c r="A861" s="1">
        <v>860</v>
      </c>
      <c r="B861" s="1" t="s">
        <v>18465</v>
      </c>
      <c r="C861" s="1" t="s">
        <v>264</v>
      </c>
      <c r="D861" s="1" t="s">
        <v>7196</v>
      </c>
      <c r="E861" s="1" t="s">
        <v>7212</v>
      </c>
      <c r="F861" s="1" t="s">
        <v>7213</v>
      </c>
      <c r="G861" s="1" t="s">
        <v>18466</v>
      </c>
      <c r="H861" s="1" t="str">
        <f t="shared" si="13"/>
        <v>HP-UX</v>
      </c>
    </row>
    <row r="862" spans="1:8">
      <c r="A862" s="1">
        <v>861</v>
      </c>
      <c r="B862" s="1" t="s">
        <v>18467</v>
      </c>
      <c r="C862" s="1" t="s">
        <v>211</v>
      </c>
      <c r="D862" s="1" t="s">
        <v>7216</v>
      </c>
      <c r="E862" s="1" t="s">
        <v>6187</v>
      </c>
      <c r="F862" s="1" t="s">
        <v>7218</v>
      </c>
      <c r="G862" s="1" t="s">
        <v>7219</v>
      </c>
      <c r="H862" s="1" t="str">
        <f t="shared" si="13"/>
        <v/>
      </c>
    </row>
    <row r="863" spans="1:8">
      <c r="A863" s="1">
        <v>862</v>
      </c>
      <c r="B863" s="1" t="s">
        <v>18467</v>
      </c>
      <c r="C863" s="1" t="s">
        <v>214</v>
      </c>
      <c r="D863" s="1" t="s">
        <v>7216</v>
      </c>
      <c r="E863" s="1" t="s">
        <v>6207</v>
      </c>
      <c r="F863" s="1" t="s">
        <v>7222</v>
      </c>
      <c r="G863" s="1" t="s">
        <v>7223</v>
      </c>
      <c r="H863" s="1" t="str">
        <f t="shared" si="13"/>
        <v/>
      </c>
    </row>
    <row r="864" spans="1:8">
      <c r="A864" s="1">
        <v>863</v>
      </c>
      <c r="B864" s="1" t="s">
        <v>18467</v>
      </c>
      <c r="C864" s="1" t="s">
        <v>218</v>
      </c>
      <c r="D864" s="1" t="s">
        <v>7216</v>
      </c>
      <c r="E864" s="1" t="s">
        <v>6171</v>
      </c>
      <c r="F864" s="1" t="s">
        <v>7226</v>
      </c>
      <c r="G864" s="1" t="s">
        <v>7227</v>
      </c>
      <c r="H864" s="1" t="str">
        <f t="shared" si="13"/>
        <v/>
      </c>
    </row>
    <row r="865" spans="1:8">
      <c r="A865" s="1">
        <v>864</v>
      </c>
      <c r="B865" s="1" t="s">
        <v>18467</v>
      </c>
      <c r="C865" s="1" t="s">
        <v>220</v>
      </c>
      <c r="D865" s="1" t="s">
        <v>7216</v>
      </c>
      <c r="E865" s="1" t="s">
        <v>6179</v>
      </c>
      <c r="F865" s="1" t="s">
        <v>7230</v>
      </c>
      <c r="G865" s="1" t="s">
        <v>7231</v>
      </c>
      <c r="H865" s="1" t="str">
        <f t="shared" si="13"/>
        <v/>
      </c>
    </row>
    <row r="866" spans="1:8">
      <c r="A866" s="1">
        <v>865</v>
      </c>
      <c r="B866" s="1" t="s">
        <v>18467</v>
      </c>
      <c r="C866" s="1" t="s">
        <v>224</v>
      </c>
      <c r="D866" s="1" t="s">
        <v>7216</v>
      </c>
      <c r="E866" s="1" t="s">
        <v>6199</v>
      </c>
      <c r="F866" s="1" t="s">
        <v>7234</v>
      </c>
      <c r="G866" s="1" t="s">
        <v>7235</v>
      </c>
      <c r="H866" s="1" t="str">
        <f t="shared" si="13"/>
        <v/>
      </c>
    </row>
    <row r="867" spans="1:8">
      <c r="A867" s="1">
        <v>866</v>
      </c>
      <c r="B867" s="1" t="s">
        <v>18468</v>
      </c>
      <c r="C867" s="1" t="s">
        <v>211</v>
      </c>
      <c r="D867" s="1" t="s">
        <v>7237</v>
      </c>
      <c r="E867" s="1" t="s">
        <v>14312</v>
      </c>
      <c r="F867" s="1" t="s">
        <v>7218</v>
      </c>
      <c r="G867" s="1" t="s">
        <v>7219</v>
      </c>
      <c r="H867" s="1" t="str">
        <f t="shared" si="13"/>
        <v/>
      </c>
    </row>
    <row r="868" spans="1:8">
      <c r="A868" s="1">
        <v>867</v>
      </c>
      <c r="B868" s="1" t="s">
        <v>18468</v>
      </c>
      <c r="C868" s="1" t="s">
        <v>214</v>
      </c>
      <c r="D868" s="1" t="s">
        <v>7237</v>
      </c>
      <c r="E868" s="1" t="s">
        <v>14328</v>
      </c>
      <c r="F868" s="1" t="s">
        <v>7222</v>
      </c>
      <c r="G868" s="1" t="s">
        <v>7223</v>
      </c>
      <c r="H868" s="1" t="str">
        <f t="shared" si="13"/>
        <v/>
      </c>
    </row>
    <row r="869" spans="1:8">
      <c r="A869" s="1">
        <v>868</v>
      </c>
      <c r="B869" s="1" t="s">
        <v>18468</v>
      </c>
      <c r="C869" s="1" t="s">
        <v>218</v>
      </c>
      <c r="D869" s="1" t="s">
        <v>7237</v>
      </c>
      <c r="E869" s="1" t="s">
        <v>14316</v>
      </c>
      <c r="F869" s="1" t="s">
        <v>7226</v>
      </c>
      <c r="G869" s="1" t="s">
        <v>7227</v>
      </c>
      <c r="H869" s="1" t="str">
        <f t="shared" si="13"/>
        <v/>
      </c>
    </row>
    <row r="870" spans="1:8">
      <c r="A870" s="1">
        <v>869</v>
      </c>
      <c r="B870" s="1" t="s">
        <v>18468</v>
      </c>
      <c r="C870" s="1" t="s">
        <v>220</v>
      </c>
      <c r="D870" s="1" t="s">
        <v>7237</v>
      </c>
      <c r="E870" s="1" t="s">
        <v>14320</v>
      </c>
      <c r="F870" s="1" t="s">
        <v>7230</v>
      </c>
      <c r="G870" s="1" t="s">
        <v>7231</v>
      </c>
      <c r="H870" s="1" t="str">
        <f t="shared" si="13"/>
        <v/>
      </c>
    </row>
    <row r="871" spans="1:8">
      <c r="A871" s="1">
        <v>870</v>
      </c>
      <c r="B871" s="1" t="s">
        <v>18468</v>
      </c>
      <c r="C871" s="1" t="s">
        <v>224</v>
      </c>
      <c r="D871" s="1" t="s">
        <v>7237</v>
      </c>
      <c r="E871" s="1" t="s">
        <v>14324</v>
      </c>
      <c r="F871" s="1" t="s">
        <v>7234</v>
      </c>
      <c r="G871" s="1" t="s">
        <v>7235</v>
      </c>
      <c r="H871" s="1" t="str">
        <f t="shared" si="13"/>
        <v/>
      </c>
    </row>
    <row r="872" spans="1:8">
      <c r="A872" s="1">
        <v>871</v>
      </c>
      <c r="B872" s="1" t="s">
        <v>18469</v>
      </c>
      <c r="C872" s="1" t="s">
        <v>201</v>
      </c>
      <c r="D872" s="1" t="s">
        <v>7248</v>
      </c>
      <c r="E872" s="1" t="s">
        <v>14332</v>
      </c>
      <c r="F872" s="1" t="s">
        <v>7250</v>
      </c>
      <c r="G872" s="1" t="s">
        <v>7251</v>
      </c>
      <c r="H872" s="1" t="str">
        <f t="shared" si="13"/>
        <v>HPE Primera</v>
      </c>
    </row>
    <row r="873" spans="1:8">
      <c r="A873" s="1">
        <v>872</v>
      </c>
      <c r="B873" s="1" t="s">
        <v>18469</v>
      </c>
      <c r="C873" s="1" t="s">
        <v>206</v>
      </c>
      <c r="D873" s="1" t="s">
        <v>7248</v>
      </c>
      <c r="E873" s="1" t="s">
        <v>14334</v>
      </c>
      <c r="F873" s="1" t="s">
        <v>7254</v>
      </c>
      <c r="G873" s="1" t="s">
        <v>7255</v>
      </c>
      <c r="H873" s="1" t="str">
        <f t="shared" si="13"/>
        <v>HPE Primera</v>
      </c>
    </row>
    <row r="874" spans="1:8">
      <c r="A874" s="1">
        <v>873</v>
      </c>
      <c r="B874" s="1" t="s">
        <v>18470</v>
      </c>
      <c r="C874" s="1" t="s">
        <v>251</v>
      </c>
      <c r="D874" s="1" t="s">
        <v>7257</v>
      </c>
      <c r="E874" s="1" t="s">
        <v>2940</v>
      </c>
      <c r="F874" s="1" t="s">
        <v>7258</v>
      </c>
      <c r="G874" s="1" t="s">
        <v>7259</v>
      </c>
      <c r="H874" s="1" t="str">
        <f t="shared" si="13"/>
        <v>HPE ProLiant BL460</v>
      </c>
    </row>
    <row r="875" spans="1:8">
      <c r="A875" s="1">
        <v>874</v>
      </c>
      <c r="B875" s="1" t="s">
        <v>18470</v>
      </c>
      <c r="C875" s="1" t="s">
        <v>254</v>
      </c>
      <c r="D875" s="1" t="s">
        <v>7257</v>
      </c>
      <c r="E875" s="1" t="s">
        <v>2946</v>
      </c>
      <c r="F875" s="1" t="s">
        <v>7261</v>
      </c>
      <c r="G875" s="1" t="s">
        <v>7262</v>
      </c>
      <c r="H875" s="1" t="str">
        <f t="shared" si="13"/>
        <v>HPE ProLiant BL460</v>
      </c>
    </row>
    <row r="876" spans="1:8">
      <c r="A876" s="1">
        <v>875</v>
      </c>
      <c r="B876" s="1" t="s">
        <v>18470</v>
      </c>
      <c r="C876" s="1" t="s">
        <v>256</v>
      </c>
      <c r="D876" s="1" t="s">
        <v>7257</v>
      </c>
      <c r="E876" s="1" t="s">
        <v>2949</v>
      </c>
      <c r="F876" s="1" t="s">
        <v>7264</v>
      </c>
      <c r="G876" s="1" t="s">
        <v>7265</v>
      </c>
      <c r="H876" s="1" t="str">
        <f t="shared" si="13"/>
        <v>HPE ProLiant BL460</v>
      </c>
    </row>
    <row r="877" spans="1:8">
      <c r="A877" s="1">
        <v>876</v>
      </c>
      <c r="B877" s="1" t="s">
        <v>18470</v>
      </c>
      <c r="C877" s="1" t="s">
        <v>260</v>
      </c>
      <c r="D877" s="1" t="s">
        <v>7257</v>
      </c>
      <c r="E877" s="1" t="s">
        <v>7267</v>
      </c>
      <c r="F877" s="1" t="s">
        <v>7268</v>
      </c>
      <c r="G877" s="1" t="s">
        <v>7269</v>
      </c>
      <c r="H877" s="1" t="str">
        <f t="shared" si="13"/>
        <v>HPE ProLiant BL460</v>
      </c>
    </row>
    <row r="878" spans="1:8">
      <c r="A878" s="1">
        <v>877</v>
      </c>
      <c r="B878" s="1" t="s">
        <v>18470</v>
      </c>
      <c r="C878" s="1" t="s">
        <v>262</v>
      </c>
      <c r="D878" s="1" t="s">
        <v>7257</v>
      </c>
      <c r="E878" s="1" t="s">
        <v>2943</v>
      </c>
      <c r="F878" s="1" t="s">
        <v>7271</v>
      </c>
      <c r="G878" s="1" t="s">
        <v>7272</v>
      </c>
      <c r="H878" s="1" t="str">
        <f t="shared" si="13"/>
        <v>HPE ProLiant BL460</v>
      </c>
    </row>
    <row r="879" spans="1:8">
      <c r="A879" s="1">
        <v>878</v>
      </c>
      <c r="B879" s="1" t="s">
        <v>18470</v>
      </c>
      <c r="C879" s="1" t="s">
        <v>264</v>
      </c>
      <c r="D879" s="1" t="s">
        <v>7257</v>
      </c>
      <c r="E879" s="1" t="s">
        <v>2952</v>
      </c>
      <c r="F879" s="1" t="s">
        <v>7274</v>
      </c>
      <c r="G879" s="1" t="s">
        <v>7275</v>
      </c>
      <c r="H879" s="1" t="str">
        <f t="shared" si="13"/>
        <v>HPE ProLiant BL460</v>
      </c>
    </row>
    <row r="880" spans="1:8">
      <c r="A880" s="1">
        <v>879</v>
      </c>
      <c r="B880" s="1" t="s">
        <v>18471</v>
      </c>
      <c r="C880" s="1" t="s">
        <v>251</v>
      </c>
      <c r="D880" s="1" t="s">
        <v>7277</v>
      </c>
      <c r="E880" s="1" t="s">
        <v>7278</v>
      </c>
      <c r="F880" s="1" t="s">
        <v>7279</v>
      </c>
      <c r="G880" s="1" t="s">
        <v>7280</v>
      </c>
      <c r="H880" s="1" t="str">
        <f t="shared" si="13"/>
        <v>HPE ProLiant BL920</v>
      </c>
    </row>
    <row r="881" spans="1:8">
      <c r="A881" s="1">
        <v>880</v>
      </c>
      <c r="B881" s="1" t="s">
        <v>18471</v>
      </c>
      <c r="C881" s="1" t="s">
        <v>254</v>
      </c>
      <c r="D881" s="1" t="s">
        <v>7277</v>
      </c>
      <c r="E881" s="1" t="s">
        <v>7282</v>
      </c>
      <c r="F881" s="1" t="s">
        <v>7283</v>
      </c>
      <c r="G881" s="1" t="s">
        <v>7284</v>
      </c>
      <c r="H881" s="1" t="str">
        <f t="shared" si="13"/>
        <v>HPE ProLiant BL920</v>
      </c>
    </row>
    <row r="882" spans="1:8">
      <c r="A882" s="1">
        <v>881</v>
      </c>
      <c r="B882" s="1" t="s">
        <v>18471</v>
      </c>
      <c r="C882" s="1" t="s">
        <v>256</v>
      </c>
      <c r="D882" s="1" t="s">
        <v>7277</v>
      </c>
      <c r="E882" s="1" t="s">
        <v>7286</v>
      </c>
      <c r="F882" s="1" t="s">
        <v>7287</v>
      </c>
      <c r="G882" s="1" t="s">
        <v>7288</v>
      </c>
      <c r="H882" s="1" t="str">
        <f t="shared" si="13"/>
        <v>HPE ProLiant BL920</v>
      </c>
    </row>
    <row r="883" spans="1:8">
      <c r="A883" s="1">
        <v>882</v>
      </c>
      <c r="B883" s="1" t="s">
        <v>18471</v>
      </c>
      <c r="C883" s="1" t="s">
        <v>260</v>
      </c>
      <c r="D883" s="1" t="s">
        <v>7277</v>
      </c>
      <c r="E883" s="1" t="s">
        <v>7290</v>
      </c>
      <c r="F883" s="1" t="s">
        <v>7291</v>
      </c>
      <c r="G883" s="1" t="s">
        <v>7292</v>
      </c>
      <c r="H883" s="1" t="str">
        <f t="shared" si="13"/>
        <v>HPE ProLiant BL920</v>
      </c>
    </row>
    <row r="884" spans="1:8">
      <c r="A884" s="1">
        <v>883</v>
      </c>
      <c r="B884" s="1" t="s">
        <v>18471</v>
      </c>
      <c r="C884" s="1" t="s">
        <v>262</v>
      </c>
      <c r="D884" s="1" t="s">
        <v>7277</v>
      </c>
      <c r="E884" s="1" t="s">
        <v>7294</v>
      </c>
      <c r="F884" s="1" t="s">
        <v>7295</v>
      </c>
      <c r="G884" s="1" t="s">
        <v>7296</v>
      </c>
      <c r="H884" s="1" t="str">
        <f t="shared" si="13"/>
        <v>HPE ProLiant BL920</v>
      </c>
    </row>
    <row r="885" spans="1:8">
      <c r="A885" s="1">
        <v>884</v>
      </c>
      <c r="B885" s="1" t="s">
        <v>18471</v>
      </c>
      <c r="C885" s="1" t="s">
        <v>264</v>
      </c>
      <c r="D885" s="1" t="s">
        <v>7277</v>
      </c>
      <c r="E885" s="1" t="s">
        <v>7298</v>
      </c>
      <c r="F885" s="1" t="s">
        <v>7299</v>
      </c>
      <c r="G885" s="1" t="s">
        <v>7300</v>
      </c>
      <c r="H885" s="1" t="str">
        <f t="shared" si="13"/>
        <v>HPE ProLiant BL920</v>
      </c>
    </row>
    <row r="886" spans="1:8">
      <c r="A886" s="1">
        <v>885</v>
      </c>
      <c r="B886" s="1" t="s">
        <v>18472</v>
      </c>
      <c r="C886" s="1" t="s">
        <v>251</v>
      </c>
      <c r="D886" s="1" t="s">
        <v>7302</v>
      </c>
      <c r="E886" s="1" t="s">
        <v>7303</v>
      </c>
      <c r="F886" s="1" t="s">
        <v>7304</v>
      </c>
      <c r="G886" s="1" t="s">
        <v>7305</v>
      </c>
      <c r="H886" s="1" t="str">
        <f t="shared" si="13"/>
        <v>HPE ProLiant DL360</v>
      </c>
    </row>
    <row r="887" spans="1:8">
      <c r="A887" s="1">
        <v>886</v>
      </c>
      <c r="B887" s="1" t="s">
        <v>18472</v>
      </c>
      <c r="C887" s="1" t="s">
        <v>254</v>
      </c>
      <c r="D887" s="1" t="s">
        <v>7302</v>
      </c>
      <c r="E887" s="1" t="s">
        <v>7307</v>
      </c>
      <c r="F887" s="1" t="s">
        <v>7308</v>
      </c>
      <c r="G887" s="1" t="s">
        <v>7309</v>
      </c>
      <c r="H887" s="1" t="str">
        <f t="shared" si="13"/>
        <v>HPE ProLiant DL360</v>
      </c>
    </row>
    <row r="888" spans="1:8">
      <c r="A888" s="1">
        <v>887</v>
      </c>
      <c r="B888" s="1" t="s">
        <v>18472</v>
      </c>
      <c r="C888" s="1" t="s">
        <v>256</v>
      </c>
      <c r="D888" s="1" t="s">
        <v>7302</v>
      </c>
      <c r="E888" s="1" t="s">
        <v>3039</v>
      </c>
      <c r="F888" s="1" t="s">
        <v>7311</v>
      </c>
      <c r="G888" s="1" t="s">
        <v>7312</v>
      </c>
      <c r="H888" s="1" t="str">
        <f t="shared" si="13"/>
        <v>HPE ProLiant DL360</v>
      </c>
    </row>
    <row r="889" spans="1:8">
      <c r="A889" s="1">
        <v>888</v>
      </c>
      <c r="B889" s="1" t="s">
        <v>18472</v>
      </c>
      <c r="C889" s="1" t="s">
        <v>260</v>
      </c>
      <c r="D889" s="1" t="s">
        <v>7302</v>
      </c>
      <c r="E889" s="1" t="s">
        <v>3045</v>
      </c>
      <c r="F889" s="1" t="s">
        <v>7314</v>
      </c>
      <c r="G889" s="1" t="s">
        <v>7315</v>
      </c>
      <c r="H889" s="1" t="str">
        <f t="shared" si="13"/>
        <v>HPE ProLiant DL360</v>
      </c>
    </row>
    <row r="890" spans="1:8">
      <c r="A890" s="1">
        <v>889</v>
      </c>
      <c r="B890" s="1" t="s">
        <v>18472</v>
      </c>
      <c r="C890" s="1" t="s">
        <v>262</v>
      </c>
      <c r="D890" s="1" t="s">
        <v>7302</v>
      </c>
      <c r="E890" s="1" t="s">
        <v>7317</v>
      </c>
      <c r="F890" s="1" t="s">
        <v>7318</v>
      </c>
      <c r="G890" s="1" t="s">
        <v>7319</v>
      </c>
      <c r="H890" s="1" t="str">
        <f t="shared" si="13"/>
        <v>HPE ProLiant DL360</v>
      </c>
    </row>
    <row r="891" spans="1:8">
      <c r="A891" s="1">
        <v>890</v>
      </c>
      <c r="B891" s="1" t="s">
        <v>18472</v>
      </c>
      <c r="C891" s="1" t="s">
        <v>264</v>
      </c>
      <c r="D891" s="1" t="s">
        <v>7302</v>
      </c>
      <c r="E891" s="1" t="s">
        <v>3042</v>
      </c>
      <c r="F891" s="1" t="s">
        <v>7321</v>
      </c>
      <c r="G891" s="1" t="s">
        <v>7322</v>
      </c>
      <c r="H891" s="1" t="str">
        <f t="shared" si="13"/>
        <v>HPE ProLiant DL360</v>
      </c>
    </row>
    <row r="892" spans="1:8">
      <c r="A892" s="1">
        <v>891</v>
      </c>
      <c r="B892" s="1" t="s">
        <v>18473</v>
      </c>
      <c r="C892" s="1" t="s">
        <v>251</v>
      </c>
      <c r="D892" s="1" t="s">
        <v>7324</v>
      </c>
      <c r="E892" s="1" t="s">
        <v>7325</v>
      </c>
      <c r="F892" s="1" t="s">
        <v>7326</v>
      </c>
      <c r="G892" s="1" t="s">
        <v>7327</v>
      </c>
      <c r="H892" s="1" t="str">
        <f t="shared" si="13"/>
        <v>HPE ProLiant DL380</v>
      </c>
    </row>
    <row r="893" spans="1:8">
      <c r="A893" s="1">
        <v>892</v>
      </c>
      <c r="B893" s="1" t="s">
        <v>18473</v>
      </c>
      <c r="C893" s="1" t="s">
        <v>254</v>
      </c>
      <c r="D893" s="1" t="s">
        <v>7324</v>
      </c>
      <c r="E893" s="1" t="s">
        <v>7329</v>
      </c>
      <c r="F893" s="1" t="s">
        <v>7330</v>
      </c>
      <c r="G893" s="1" t="s">
        <v>7331</v>
      </c>
      <c r="H893" s="1" t="str">
        <f t="shared" si="13"/>
        <v>HPE ProLiant DL380</v>
      </c>
    </row>
    <row r="894" spans="1:8">
      <c r="A894" s="1">
        <v>893</v>
      </c>
      <c r="B894" s="1" t="s">
        <v>18473</v>
      </c>
      <c r="C894" s="1" t="s">
        <v>256</v>
      </c>
      <c r="D894" s="1" t="s">
        <v>7324</v>
      </c>
      <c r="E894" s="1" t="s">
        <v>7333</v>
      </c>
      <c r="F894" s="1" t="s">
        <v>7334</v>
      </c>
      <c r="G894" s="1" t="s">
        <v>7335</v>
      </c>
      <c r="H894" s="1" t="str">
        <f t="shared" si="13"/>
        <v>HPE ProLiant DL380</v>
      </c>
    </row>
    <row r="895" spans="1:8">
      <c r="A895" s="1">
        <v>894</v>
      </c>
      <c r="B895" s="1" t="s">
        <v>18473</v>
      </c>
      <c r="C895" s="1" t="s">
        <v>260</v>
      </c>
      <c r="D895" s="1" t="s">
        <v>7324</v>
      </c>
      <c r="E895" s="1" t="s">
        <v>7337</v>
      </c>
      <c r="F895" s="1" t="s">
        <v>7338</v>
      </c>
      <c r="G895" s="1" t="s">
        <v>7339</v>
      </c>
      <c r="H895" s="1" t="str">
        <f t="shared" si="13"/>
        <v>HPE ProLiant DL380</v>
      </c>
    </row>
    <row r="896" spans="1:8">
      <c r="A896" s="1">
        <v>895</v>
      </c>
      <c r="B896" s="1" t="s">
        <v>18473</v>
      </c>
      <c r="C896" s="1" t="s">
        <v>262</v>
      </c>
      <c r="D896" s="1" t="s">
        <v>7324</v>
      </c>
      <c r="E896" s="1" t="s">
        <v>7341</v>
      </c>
      <c r="F896" s="1" t="s">
        <v>7342</v>
      </c>
      <c r="G896" s="1" t="s">
        <v>7343</v>
      </c>
      <c r="H896" s="1" t="str">
        <f t="shared" si="13"/>
        <v>HPE ProLiant DL380</v>
      </c>
    </row>
    <row r="897" spans="1:8">
      <c r="A897" s="1">
        <v>896</v>
      </c>
      <c r="B897" s="1" t="s">
        <v>18473</v>
      </c>
      <c r="C897" s="1" t="s">
        <v>264</v>
      </c>
      <c r="D897" s="1" t="s">
        <v>7324</v>
      </c>
      <c r="E897" s="1" t="s">
        <v>7345</v>
      </c>
      <c r="F897" s="1" t="s">
        <v>7346</v>
      </c>
      <c r="G897" s="1" t="s">
        <v>7347</v>
      </c>
      <c r="H897" s="1" t="str">
        <f t="shared" si="13"/>
        <v>HPE ProLiant DL380</v>
      </c>
    </row>
    <row r="898" spans="1:8">
      <c r="A898" s="1">
        <v>897</v>
      </c>
      <c r="B898" s="1" t="s">
        <v>18474</v>
      </c>
      <c r="C898" s="1" t="s">
        <v>201</v>
      </c>
      <c r="D898" s="1" t="s">
        <v>7349</v>
      </c>
      <c r="E898" s="1" t="s">
        <v>14360</v>
      </c>
      <c r="F898" s="1" t="s">
        <v>7351</v>
      </c>
      <c r="G898" s="1" t="s">
        <v>7352</v>
      </c>
      <c r="H898" s="1" t="str">
        <f t="shared" ref="H898:H961" si="14">IFERROR(IF(OR(MID(G898,FIND(":",G898)-1,1)="""",MID(G898,FIND(":",G898)-1,1)="}",MID(G898,FIND(":",G898)-1,1)=")",MID(G898,FIND(":",G898)-1,1)="]"),"",LEFT(F898,FIND(":",F898)-1)),"")</f>
        <v>HPE Synergy</v>
      </c>
    </row>
    <row r="899" spans="1:8">
      <c r="A899" s="1">
        <v>898</v>
      </c>
      <c r="B899" s="1" t="s">
        <v>18474</v>
      </c>
      <c r="C899" s="1" t="s">
        <v>206</v>
      </c>
      <c r="D899" s="1" t="s">
        <v>7349</v>
      </c>
      <c r="E899" s="1" t="s">
        <v>14362</v>
      </c>
      <c r="F899" s="1" t="s">
        <v>7355</v>
      </c>
      <c r="G899" s="1" t="s">
        <v>7356</v>
      </c>
      <c r="H899" s="1" t="str">
        <f t="shared" si="14"/>
        <v>HPE Synergy</v>
      </c>
    </row>
    <row r="900" spans="1:8">
      <c r="A900" s="1">
        <v>899</v>
      </c>
      <c r="B900" s="1" t="s">
        <v>18475</v>
      </c>
      <c r="C900" s="1" t="s">
        <v>84</v>
      </c>
      <c r="D900" s="1" t="s">
        <v>7358</v>
      </c>
      <c r="E900" s="1" t="s">
        <v>8273</v>
      </c>
      <c r="F900" s="1" t="s">
        <v>7360</v>
      </c>
      <c r="G900" s="1" t="s">
        <v>7361</v>
      </c>
      <c r="H900" s="1" t="str">
        <f t="shared" si="14"/>
        <v>HPE iLO</v>
      </c>
    </row>
    <row r="901" spans="1:8">
      <c r="A901" s="1">
        <v>900</v>
      </c>
      <c r="B901" s="1" t="s">
        <v>18476</v>
      </c>
      <c r="C901" s="1" t="s">
        <v>452</v>
      </c>
      <c r="D901" s="1" t="s">
        <v>7367</v>
      </c>
      <c r="E901" s="1" t="s">
        <v>2462</v>
      </c>
      <c r="F901" s="1" t="s">
        <v>459</v>
      </c>
      <c r="G901" s="1" t="s">
        <v>460</v>
      </c>
      <c r="H901" s="1" t="str">
        <f t="shared" si="14"/>
        <v>NameNode</v>
      </c>
    </row>
    <row r="902" spans="1:8">
      <c r="A902" s="1">
        <v>901</v>
      </c>
      <c r="B902" s="1" t="s">
        <v>18476</v>
      </c>
      <c r="C902" s="1" t="s">
        <v>457</v>
      </c>
      <c r="D902" s="1" t="s">
        <v>7367</v>
      </c>
      <c r="E902" s="1" t="s">
        <v>2470</v>
      </c>
      <c r="F902" s="1" t="s">
        <v>475</v>
      </c>
      <c r="G902" s="1" t="s">
        <v>476</v>
      </c>
      <c r="H902" s="1" t="str">
        <f t="shared" si="14"/>
        <v>NameNode</v>
      </c>
    </row>
    <row r="903" spans="1:8">
      <c r="A903" s="1">
        <v>902</v>
      </c>
      <c r="B903" s="1" t="s">
        <v>18476</v>
      </c>
      <c r="C903" s="1" t="s">
        <v>461</v>
      </c>
      <c r="D903" s="1" t="s">
        <v>7367</v>
      </c>
      <c r="E903" s="1" t="s">
        <v>2460</v>
      </c>
      <c r="F903" s="1" t="s">
        <v>455</v>
      </c>
      <c r="G903" s="1" t="s">
        <v>456</v>
      </c>
      <c r="H903" s="1" t="str">
        <f t="shared" si="14"/>
        <v>NameNode</v>
      </c>
    </row>
    <row r="904" spans="1:8">
      <c r="A904" s="1">
        <v>903</v>
      </c>
      <c r="B904" s="1" t="s">
        <v>18476</v>
      </c>
      <c r="C904" s="1" t="s">
        <v>465</v>
      </c>
      <c r="D904" s="1" t="s">
        <v>7367</v>
      </c>
      <c r="E904" s="1" t="s">
        <v>2464</v>
      </c>
      <c r="F904" s="1" t="s">
        <v>7371</v>
      </c>
      <c r="G904" s="1" t="s">
        <v>7372</v>
      </c>
      <c r="H904" s="1" t="str">
        <f t="shared" si="14"/>
        <v>NameNode</v>
      </c>
    </row>
    <row r="905" spans="1:8">
      <c r="A905" s="1">
        <v>904</v>
      </c>
      <c r="B905" s="1" t="s">
        <v>18476</v>
      </c>
      <c r="C905" s="1" t="s">
        <v>469</v>
      </c>
      <c r="D905" s="1" t="s">
        <v>7367</v>
      </c>
      <c r="E905" s="1" t="s">
        <v>2482</v>
      </c>
      <c r="F905" s="1" t="s">
        <v>7374</v>
      </c>
      <c r="G905" s="1" t="s">
        <v>7375</v>
      </c>
      <c r="H905" s="1" t="str">
        <f t="shared" si="14"/>
        <v>NameNode</v>
      </c>
    </row>
    <row r="906" spans="1:8">
      <c r="A906" s="1">
        <v>905</v>
      </c>
      <c r="B906" s="1" t="s">
        <v>18476</v>
      </c>
      <c r="C906" s="1" t="s">
        <v>473</v>
      </c>
      <c r="D906" s="1" t="s">
        <v>7367</v>
      </c>
      <c r="E906" s="1" t="s">
        <v>7377</v>
      </c>
      <c r="F906" s="1" t="s">
        <v>503</v>
      </c>
      <c r="G906" s="1" t="s">
        <v>504</v>
      </c>
      <c r="H906" s="1" t="str">
        <f t="shared" si="14"/>
        <v>NameNode</v>
      </c>
    </row>
    <row r="907" spans="1:8">
      <c r="A907" s="1">
        <v>906</v>
      </c>
      <c r="B907" s="1" t="s">
        <v>18476</v>
      </c>
      <c r="C907" s="1" t="s">
        <v>477</v>
      </c>
      <c r="D907" s="1" t="s">
        <v>7367</v>
      </c>
      <c r="E907" s="1" t="s">
        <v>2468</v>
      </c>
      <c r="F907" s="1" t="s">
        <v>7379</v>
      </c>
      <c r="G907" s="1" t="s">
        <v>7380</v>
      </c>
      <c r="H907" s="1" t="str">
        <f t="shared" si="14"/>
        <v>NameNode</v>
      </c>
    </row>
    <row r="908" spans="1:8">
      <c r="A908" s="1">
        <v>907</v>
      </c>
      <c r="B908" s="1" t="s">
        <v>18476</v>
      </c>
      <c r="C908" s="1" t="s">
        <v>481</v>
      </c>
      <c r="D908" s="1" t="s">
        <v>7367</v>
      </c>
      <c r="E908" s="1" t="s">
        <v>2466</v>
      </c>
      <c r="F908" s="1" t="s">
        <v>7382</v>
      </c>
      <c r="G908" s="1" t="s">
        <v>7383</v>
      </c>
      <c r="H908" s="1" t="str">
        <f t="shared" si="14"/>
        <v>NameNode</v>
      </c>
    </row>
    <row r="909" spans="1:8">
      <c r="A909" s="1">
        <v>908</v>
      </c>
      <c r="B909" s="1" t="s">
        <v>18476</v>
      </c>
      <c r="C909" s="1" t="s">
        <v>485</v>
      </c>
      <c r="D909" s="1" t="s">
        <v>7367</v>
      </c>
      <c r="E909" s="1" t="s">
        <v>2474</v>
      </c>
      <c r="F909" s="1" t="s">
        <v>479</v>
      </c>
      <c r="G909" s="1" t="s">
        <v>480</v>
      </c>
      <c r="H909" s="1" t="str">
        <f t="shared" si="14"/>
        <v>ResourceManager</v>
      </c>
    </row>
    <row r="910" spans="1:8">
      <c r="A910" s="1">
        <v>909</v>
      </c>
      <c r="B910" s="1" t="s">
        <v>18476</v>
      </c>
      <c r="C910" s="1" t="s">
        <v>489</v>
      </c>
      <c r="D910" s="1" t="s">
        <v>7367</v>
      </c>
      <c r="E910" s="1" t="s">
        <v>2484</v>
      </c>
      <c r="F910" s="1" t="s">
        <v>7386</v>
      </c>
      <c r="G910" s="1" t="s">
        <v>7387</v>
      </c>
      <c r="H910" s="1" t="str">
        <f t="shared" si="14"/>
        <v>ResourceManager</v>
      </c>
    </row>
    <row r="911" spans="1:8">
      <c r="A911" s="1">
        <v>910</v>
      </c>
      <c r="B911" s="1" t="s">
        <v>18476</v>
      </c>
      <c r="C911" s="1" t="s">
        <v>493</v>
      </c>
      <c r="D911" s="1" t="s">
        <v>7367</v>
      </c>
      <c r="E911" s="1" t="s">
        <v>7389</v>
      </c>
      <c r="F911" s="1" t="s">
        <v>507</v>
      </c>
      <c r="G911" s="1" t="s">
        <v>508</v>
      </c>
      <c r="H911" s="1" t="str">
        <f t="shared" si="14"/>
        <v>ResourceManager</v>
      </c>
    </row>
    <row r="912" spans="1:8">
      <c r="A912" s="1">
        <v>911</v>
      </c>
      <c r="B912" s="1" t="s">
        <v>18476</v>
      </c>
      <c r="C912" s="1" t="s">
        <v>497</v>
      </c>
      <c r="D912" s="1" t="s">
        <v>7367</v>
      </c>
      <c r="E912" s="1" t="s">
        <v>2476</v>
      </c>
      <c r="F912" s="1" t="s">
        <v>483</v>
      </c>
      <c r="G912" s="1" t="s">
        <v>484</v>
      </c>
      <c r="H912" s="1" t="str">
        <f t="shared" si="14"/>
        <v>ResourceManager</v>
      </c>
    </row>
    <row r="913" spans="1:8">
      <c r="A913" s="1">
        <v>912</v>
      </c>
      <c r="B913" s="1" t="s">
        <v>18476</v>
      </c>
      <c r="C913" s="1" t="s">
        <v>501</v>
      </c>
      <c r="D913" s="1" t="s">
        <v>7367</v>
      </c>
      <c r="E913" s="1" t="s">
        <v>2480</v>
      </c>
      <c r="F913" s="1" t="s">
        <v>7392</v>
      </c>
      <c r="G913" s="1" t="s">
        <v>7393</v>
      </c>
      <c r="H913" s="1" t="str">
        <f t="shared" si="14"/>
        <v>ResourceManager</v>
      </c>
    </row>
    <row r="914" spans="1:8">
      <c r="A914" s="1">
        <v>913</v>
      </c>
      <c r="B914" s="1" t="s">
        <v>18476</v>
      </c>
      <c r="C914" s="1" t="s">
        <v>505</v>
      </c>
      <c r="D914" s="1" t="s">
        <v>7367</v>
      </c>
      <c r="E914" s="1" t="s">
        <v>2478</v>
      </c>
      <c r="F914" s="1" t="s">
        <v>7395</v>
      </c>
      <c r="G914" s="1" t="s">
        <v>7396</v>
      </c>
      <c r="H914" s="1" t="str">
        <f t="shared" si="14"/>
        <v>ResourceManager</v>
      </c>
    </row>
    <row r="915" spans="1:8">
      <c r="A915" s="1">
        <v>914</v>
      </c>
      <c r="B915" s="1" t="s">
        <v>18477</v>
      </c>
      <c r="C915" s="1" t="s">
        <v>285</v>
      </c>
      <c r="D915" s="1" t="s">
        <v>7398</v>
      </c>
      <c r="E915" s="1" t="s">
        <v>6559</v>
      </c>
      <c r="F915" s="1" t="s">
        <v>7400</v>
      </c>
      <c r="G915" s="1" t="s">
        <v>7401</v>
      </c>
      <c r="H915" s="1" t="str">
        <f t="shared" si="14"/>
        <v>Consul cluster</v>
      </c>
    </row>
    <row r="916" spans="1:8">
      <c r="A916" s="1">
        <v>915</v>
      </c>
      <c r="B916" s="1" t="s">
        <v>18477</v>
      </c>
      <c r="C916" s="1" t="s">
        <v>290</v>
      </c>
      <c r="D916" s="1" t="s">
        <v>7398</v>
      </c>
      <c r="E916" s="1" t="s">
        <v>6567</v>
      </c>
      <c r="F916" s="1" t="s">
        <v>7404</v>
      </c>
      <c r="G916" s="1" t="s">
        <v>7405</v>
      </c>
      <c r="H916" s="1" t="str">
        <f t="shared" si="14"/>
        <v>Consul</v>
      </c>
    </row>
    <row r="917" spans="1:8">
      <c r="A917" s="1">
        <v>916</v>
      </c>
      <c r="B917" s="1" t="s">
        <v>18477</v>
      </c>
      <c r="C917" s="1" t="s">
        <v>294</v>
      </c>
      <c r="D917" s="1" t="s">
        <v>7398</v>
      </c>
      <c r="E917" s="1" t="s">
        <v>6563</v>
      </c>
      <c r="F917" s="1" t="s">
        <v>7408</v>
      </c>
      <c r="G917" s="1" t="s">
        <v>7409</v>
      </c>
      <c r="H917" s="1" t="str">
        <f t="shared" si="14"/>
        <v>Consul</v>
      </c>
    </row>
    <row r="918" spans="1:8">
      <c r="A918" s="1">
        <v>917</v>
      </c>
      <c r="B918" s="1" t="s">
        <v>18478</v>
      </c>
      <c r="C918" s="1" t="s">
        <v>211</v>
      </c>
      <c r="D918" s="1" t="s">
        <v>7411</v>
      </c>
      <c r="E918" s="1" t="s">
        <v>14417</v>
      </c>
      <c r="F918" s="1" t="s">
        <v>7413</v>
      </c>
      <c r="G918" s="1" t="s">
        <v>7414</v>
      </c>
      <c r="H918" s="1" t="str">
        <f t="shared" si="14"/>
        <v>Consul</v>
      </c>
    </row>
    <row r="919" spans="1:8">
      <c r="A919" s="1">
        <v>918</v>
      </c>
      <c r="B919" s="1" t="s">
        <v>18478</v>
      </c>
      <c r="C919" s="1" t="s">
        <v>214</v>
      </c>
      <c r="D919" s="1" t="s">
        <v>7411</v>
      </c>
      <c r="E919" s="1" t="s">
        <v>14421</v>
      </c>
      <c r="F919" s="1" t="s">
        <v>7417</v>
      </c>
      <c r="G919" s="1" t="s">
        <v>7418</v>
      </c>
      <c r="H919" s="1" t="str">
        <f t="shared" si="14"/>
        <v>Consul</v>
      </c>
    </row>
    <row r="920" spans="1:8">
      <c r="A920" s="1">
        <v>919</v>
      </c>
      <c r="B920" s="1" t="s">
        <v>18478</v>
      </c>
      <c r="C920" s="1" t="s">
        <v>218</v>
      </c>
      <c r="D920" s="1" t="s">
        <v>7411</v>
      </c>
      <c r="E920" s="1" t="s">
        <v>7399</v>
      </c>
      <c r="F920" s="1" t="s">
        <v>7421</v>
      </c>
      <c r="G920" s="1" t="s">
        <v>7422</v>
      </c>
      <c r="H920" s="1" t="str">
        <f t="shared" si="14"/>
        <v>Consul</v>
      </c>
    </row>
    <row r="921" spans="1:8">
      <c r="A921" s="1">
        <v>920</v>
      </c>
      <c r="B921" s="1" t="s">
        <v>18478</v>
      </c>
      <c r="C921" s="1" t="s">
        <v>220</v>
      </c>
      <c r="D921" s="1" t="s">
        <v>7411</v>
      </c>
      <c r="E921" s="1" t="s">
        <v>7407</v>
      </c>
      <c r="F921" s="1" t="s">
        <v>7425</v>
      </c>
      <c r="G921" s="1" t="s">
        <v>7426</v>
      </c>
      <c r="H921" s="1" t="str">
        <f t="shared" si="14"/>
        <v>Consul</v>
      </c>
    </row>
    <row r="922" spans="1:8">
      <c r="A922" s="1">
        <v>921</v>
      </c>
      <c r="B922" s="1" t="s">
        <v>18478</v>
      </c>
      <c r="C922" s="1" t="s">
        <v>224</v>
      </c>
      <c r="D922" s="1" t="s">
        <v>7411</v>
      </c>
      <c r="E922" s="1" t="s">
        <v>7403</v>
      </c>
      <c r="F922" s="1" t="s">
        <v>7429</v>
      </c>
      <c r="G922" s="1" t="s">
        <v>7430</v>
      </c>
      <c r="H922" s="1" t="str">
        <f t="shared" si="14"/>
        <v>Consul</v>
      </c>
    </row>
    <row r="923" spans="1:8">
      <c r="A923" s="1">
        <v>922</v>
      </c>
      <c r="B923" s="1" t="s">
        <v>18479</v>
      </c>
      <c r="C923" s="1" t="s">
        <v>131</v>
      </c>
      <c r="D923" s="1" t="s">
        <v>7432</v>
      </c>
      <c r="E923" s="1" t="s">
        <v>14436</v>
      </c>
      <c r="F923" s="1" t="s">
        <v>7434</v>
      </c>
      <c r="G923" s="1" t="s">
        <v>7435</v>
      </c>
      <c r="H923" s="1" t="str">
        <f t="shared" si="14"/>
        <v>HashiCorp Nomad Client</v>
      </c>
    </row>
    <row r="924" spans="1:8">
      <c r="A924" s="1">
        <v>923</v>
      </c>
      <c r="B924" s="1" t="s">
        <v>18479</v>
      </c>
      <c r="C924" s="1" t="s">
        <v>136</v>
      </c>
      <c r="D924" s="1" t="s">
        <v>7432</v>
      </c>
      <c r="E924" s="1" t="s">
        <v>14475</v>
      </c>
      <c r="F924" s="1" t="s">
        <v>7438</v>
      </c>
      <c r="G924" s="1" t="s">
        <v>7439</v>
      </c>
      <c r="H924" s="1" t="str">
        <f t="shared" si="14"/>
        <v>HashiCorp Nomad Client</v>
      </c>
    </row>
    <row r="925" spans="1:8">
      <c r="A925" s="1">
        <v>924</v>
      </c>
      <c r="B925" s="1" t="s">
        <v>18479</v>
      </c>
      <c r="C925" s="1" t="s">
        <v>138</v>
      </c>
      <c r="D925" s="1" t="s">
        <v>7432</v>
      </c>
      <c r="E925" s="1" t="s">
        <v>14477</v>
      </c>
      <c r="F925" s="1" t="s">
        <v>7442</v>
      </c>
      <c r="G925" s="1" t="s">
        <v>7443</v>
      </c>
      <c r="H925" s="1" t="str">
        <f t="shared" si="14"/>
        <v>HashiCorp Nomad Client</v>
      </c>
    </row>
    <row r="926" spans="1:8">
      <c r="A926" s="1">
        <v>925</v>
      </c>
      <c r="B926" s="1" t="s">
        <v>18479</v>
      </c>
      <c r="C926" s="1" t="s">
        <v>140</v>
      </c>
      <c r="D926" s="1" t="s">
        <v>7432</v>
      </c>
      <c r="E926" s="1" t="s">
        <v>14467</v>
      </c>
      <c r="F926" s="1" t="s">
        <v>7446</v>
      </c>
      <c r="G926" s="1" t="s">
        <v>7447</v>
      </c>
      <c r="H926" s="1" t="str">
        <f t="shared" si="14"/>
        <v>HashiCorp Nomad Client</v>
      </c>
    </row>
    <row r="927" spans="1:8">
      <c r="A927" s="1">
        <v>926</v>
      </c>
      <c r="B927" s="1" t="s">
        <v>18479</v>
      </c>
      <c r="C927" s="1" t="s">
        <v>142</v>
      </c>
      <c r="D927" s="1" t="s">
        <v>7432</v>
      </c>
      <c r="E927" s="1" t="s">
        <v>14434</v>
      </c>
      <c r="F927" s="1" t="s">
        <v>7450</v>
      </c>
      <c r="G927" s="1" t="s">
        <v>7451</v>
      </c>
      <c r="H927" s="1" t="str">
        <f t="shared" si="14"/>
        <v>HashiCorp Nomad Client</v>
      </c>
    </row>
    <row r="928" spans="1:8">
      <c r="A928" s="1">
        <v>927</v>
      </c>
      <c r="B928" s="1" t="s">
        <v>18479</v>
      </c>
      <c r="C928" s="1" t="s">
        <v>144</v>
      </c>
      <c r="D928" s="1" t="s">
        <v>7432</v>
      </c>
      <c r="E928" s="1" t="s">
        <v>14438</v>
      </c>
      <c r="F928" s="1" t="s">
        <v>7454</v>
      </c>
      <c r="G928" s="1" t="s">
        <v>7455</v>
      </c>
      <c r="H928" s="1" t="str">
        <f t="shared" si="14"/>
        <v>HashiCorp Nomad Client</v>
      </c>
    </row>
    <row r="929" spans="1:8">
      <c r="A929" s="1">
        <v>928</v>
      </c>
      <c r="B929" s="1" t="s">
        <v>18479</v>
      </c>
      <c r="C929" s="1" t="s">
        <v>146</v>
      </c>
      <c r="D929" s="1" t="s">
        <v>7432</v>
      </c>
      <c r="E929" s="1" t="s">
        <v>14442</v>
      </c>
      <c r="F929" s="1" t="s">
        <v>7458</v>
      </c>
      <c r="G929" s="1" t="s">
        <v>7459</v>
      </c>
      <c r="H929" s="1" t="str">
        <f t="shared" si="14"/>
        <v>HashiCorp Nomad Client</v>
      </c>
    </row>
    <row r="930" spans="1:8">
      <c r="A930" s="1">
        <v>929</v>
      </c>
      <c r="B930" s="1" t="s">
        <v>18479</v>
      </c>
      <c r="C930" s="1" t="s">
        <v>148</v>
      </c>
      <c r="D930" s="1" t="s">
        <v>7432</v>
      </c>
      <c r="E930" s="1" t="s">
        <v>18480</v>
      </c>
      <c r="F930" s="1" t="s">
        <v>7462</v>
      </c>
      <c r="G930" s="1" t="s">
        <v>7463</v>
      </c>
      <c r="H930" s="1" t="str">
        <f t="shared" si="14"/>
        <v>HashiCorp Nomad Client</v>
      </c>
    </row>
    <row r="931" spans="1:8">
      <c r="A931" s="1">
        <v>930</v>
      </c>
      <c r="B931" s="1" t="s">
        <v>18479</v>
      </c>
      <c r="C931" s="1" t="s">
        <v>150</v>
      </c>
      <c r="D931" s="1" t="s">
        <v>7432</v>
      </c>
      <c r="E931" s="1" t="s">
        <v>18481</v>
      </c>
      <c r="F931" s="1" t="s">
        <v>7466</v>
      </c>
      <c r="G931" s="1" t="s">
        <v>7467</v>
      </c>
      <c r="H931" s="1" t="str">
        <f t="shared" si="14"/>
        <v>HashiCorp Nomad Client</v>
      </c>
    </row>
    <row r="932" spans="1:8">
      <c r="A932" s="1">
        <v>931</v>
      </c>
      <c r="B932" s="1" t="s">
        <v>18479</v>
      </c>
      <c r="C932" s="1" t="s">
        <v>152</v>
      </c>
      <c r="D932" s="1" t="s">
        <v>7432</v>
      </c>
      <c r="E932" s="1" t="s">
        <v>14440</v>
      </c>
      <c r="F932" s="1" t="s">
        <v>7470</v>
      </c>
      <c r="G932" s="1" t="s">
        <v>18482</v>
      </c>
      <c r="H932" s="1" t="str">
        <f t="shared" si="14"/>
        <v/>
      </c>
    </row>
    <row r="933" spans="1:8">
      <c r="A933" s="1">
        <v>932</v>
      </c>
      <c r="B933" s="1" t="s">
        <v>18483</v>
      </c>
      <c r="C933" s="1" t="s">
        <v>155</v>
      </c>
      <c r="D933" s="1" t="s">
        <v>7473</v>
      </c>
      <c r="E933" s="1" t="s">
        <v>7359</v>
      </c>
      <c r="F933" s="1" t="s">
        <v>7475</v>
      </c>
      <c r="G933" s="1" t="s">
        <v>7476</v>
      </c>
      <c r="H933" s="1" t="str">
        <f t="shared" si="14"/>
        <v>HashiCorp Nomad Server</v>
      </c>
    </row>
    <row r="934" spans="1:8">
      <c r="A934" s="1">
        <v>933</v>
      </c>
      <c r="B934" s="1" t="s">
        <v>18483</v>
      </c>
      <c r="C934" s="1" t="s">
        <v>160</v>
      </c>
      <c r="D934" s="1" t="s">
        <v>7473</v>
      </c>
      <c r="E934" s="1" t="s">
        <v>14451</v>
      </c>
      <c r="F934" s="1" t="s">
        <v>7479</v>
      </c>
      <c r="G934" s="1" t="s">
        <v>7480</v>
      </c>
      <c r="H934" s="1" t="str">
        <f t="shared" si="14"/>
        <v>HashiCorp Nomad Server</v>
      </c>
    </row>
    <row r="935" spans="1:8">
      <c r="A935" s="1">
        <v>934</v>
      </c>
      <c r="B935" s="1" t="s">
        <v>18483</v>
      </c>
      <c r="C935" s="1" t="s">
        <v>164</v>
      </c>
      <c r="D935" s="1" t="s">
        <v>7473</v>
      </c>
      <c r="E935" s="1" t="s">
        <v>14457</v>
      </c>
      <c r="F935" s="1" t="s">
        <v>7483</v>
      </c>
      <c r="G935" s="1" t="s">
        <v>7484</v>
      </c>
      <c r="H935" s="1" t="str">
        <f t="shared" si="14"/>
        <v>HashiCorp Nomad Server</v>
      </c>
    </row>
    <row r="936" spans="1:8">
      <c r="A936" s="1">
        <v>935</v>
      </c>
      <c r="B936" s="1" t="s">
        <v>18483</v>
      </c>
      <c r="C936" s="1" t="s">
        <v>168</v>
      </c>
      <c r="D936" s="1" t="s">
        <v>7473</v>
      </c>
      <c r="E936" s="1" t="s">
        <v>14461</v>
      </c>
      <c r="F936" s="1" t="s">
        <v>7487</v>
      </c>
      <c r="G936" s="1" t="s">
        <v>7488</v>
      </c>
      <c r="H936" s="1" t="str">
        <f t="shared" si="14"/>
        <v>HashiCorp Nomad Server</v>
      </c>
    </row>
    <row r="937" spans="1:8">
      <c r="A937" s="1">
        <v>936</v>
      </c>
      <c r="B937" s="1" t="s">
        <v>18483</v>
      </c>
      <c r="C937" s="1" t="s">
        <v>172</v>
      </c>
      <c r="D937" s="1" t="s">
        <v>7473</v>
      </c>
      <c r="E937" s="1" t="s">
        <v>14455</v>
      </c>
      <c r="F937" s="1" t="s">
        <v>7491</v>
      </c>
      <c r="G937" s="1" t="s">
        <v>7492</v>
      </c>
      <c r="H937" s="1" t="str">
        <f t="shared" si="14"/>
        <v>HashiCorp Nomad Server</v>
      </c>
    </row>
    <row r="938" spans="1:8">
      <c r="A938" s="1">
        <v>937</v>
      </c>
      <c r="B938" s="1" t="s">
        <v>18483</v>
      </c>
      <c r="C938" s="1" t="s">
        <v>176</v>
      </c>
      <c r="D938" s="1" t="s">
        <v>7473</v>
      </c>
      <c r="E938" s="1" t="s">
        <v>14459</v>
      </c>
      <c r="F938" s="1" t="s">
        <v>7495</v>
      </c>
      <c r="G938" s="1" t="s">
        <v>7496</v>
      </c>
      <c r="H938" s="1" t="str">
        <f t="shared" si="14"/>
        <v>HashiCorp Nomad Server</v>
      </c>
    </row>
    <row r="939" spans="1:8">
      <c r="A939" s="1">
        <v>938</v>
      </c>
      <c r="B939" s="1" t="s">
        <v>18483</v>
      </c>
      <c r="C939" s="1" t="s">
        <v>180</v>
      </c>
      <c r="D939" s="1" t="s">
        <v>7473</v>
      </c>
      <c r="E939" s="1" t="s">
        <v>14453</v>
      </c>
      <c r="F939" s="1" t="s">
        <v>7499</v>
      </c>
      <c r="G939" s="1" t="s">
        <v>7500</v>
      </c>
      <c r="H939" s="1" t="str">
        <f t="shared" si="14"/>
        <v>HashiCorp Nomad Server</v>
      </c>
    </row>
    <row r="940" spans="1:8">
      <c r="A940" s="1">
        <v>939</v>
      </c>
      <c r="B940" s="1" t="s">
        <v>18483</v>
      </c>
      <c r="C940" s="1" t="s">
        <v>184</v>
      </c>
      <c r="D940" s="1" t="s">
        <v>7473</v>
      </c>
      <c r="E940" s="1" t="s">
        <v>14463</v>
      </c>
      <c r="F940" s="1" t="s">
        <v>7503</v>
      </c>
      <c r="G940" s="1" t="s">
        <v>7504</v>
      </c>
      <c r="H940" s="1" t="str">
        <f t="shared" si="14"/>
        <v>HashiCorp Nomad Server</v>
      </c>
    </row>
    <row r="941" spans="1:8">
      <c r="A941" s="1">
        <v>940</v>
      </c>
      <c r="B941" s="1" t="s">
        <v>18483</v>
      </c>
      <c r="C941" s="1" t="s">
        <v>188</v>
      </c>
      <c r="D941" s="1" t="s">
        <v>7473</v>
      </c>
      <c r="E941" s="1" t="s">
        <v>14469</v>
      </c>
      <c r="F941" s="1" t="s">
        <v>7507</v>
      </c>
      <c r="G941" s="1" t="s">
        <v>7508</v>
      </c>
      <c r="H941" s="1" t="str">
        <f t="shared" si="14"/>
        <v>HashiCorp Nomad Server</v>
      </c>
    </row>
    <row r="942" spans="1:8">
      <c r="A942" s="1">
        <v>941</v>
      </c>
      <c r="B942" s="1" t="s">
        <v>18483</v>
      </c>
      <c r="C942" s="1" t="s">
        <v>192</v>
      </c>
      <c r="D942" s="1" t="s">
        <v>7473</v>
      </c>
      <c r="E942" s="1" t="s">
        <v>14444</v>
      </c>
      <c r="F942" s="1" t="s">
        <v>7511</v>
      </c>
      <c r="G942" s="1" t="s">
        <v>7512</v>
      </c>
      <c r="H942" s="1" t="str">
        <f t="shared" si="14"/>
        <v>HashiCorp Nomad Server</v>
      </c>
    </row>
    <row r="943" spans="1:8">
      <c r="A943" s="1">
        <v>942</v>
      </c>
      <c r="B943" s="1" t="s">
        <v>18483</v>
      </c>
      <c r="C943" s="1" t="s">
        <v>196</v>
      </c>
      <c r="D943" s="1" t="s">
        <v>7473</v>
      </c>
      <c r="E943" s="1" t="s">
        <v>14448</v>
      </c>
      <c r="F943" s="1" t="s">
        <v>7515</v>
      </c>
      <c r="G943" s="1" t="s">
        <v>7516</v>
      </c>
      <c r="H943" s="1" t="str">
        <f t="shared" si="14"/>
        <v>HashiCorp Nomad Server</v>
      </c>
    </row>
    <row r="944" spans="1:8">
      <c r="A944" s="1">
        <v>943</v>
      </c>
      <c r="B944" s="1" t="s">
        <v>18484</v>
      </c>
      <c r="C944" s="1" t="s">
        <v>201</v>
      </c>
      <c r="D944" s="1" t="s">
        <v>7518</v>
      </c>
      <c r="E944" s="1" t="s">
        <v>6772</v>
      </c>
      <c r="F944" s="1" t="s">
        <v>7520</v>
      </c>
      <c r="G944" s="1" t="s">
        <v>7521</v>
      </c>
      <c r="H944" s="1" t="str">
        <f t="shared" si="14"/>
        <v>HashiCorp Nomad</v>
      </c>
    </row>
    <row r="945" spans="1:8">
      <c r="A945" s="1">
        <v>944</v>
      </c>
      <c r="B945" s="1" t="s">
        <v>18484</v>
      </c>
      <c r="C945" s="1" t="s">
        <v>206</v>
      </c>
      <c r="D945" s="1" t="s">
        <v>7518</v>
      </c>
      <c r="E945" s="1" t="s">
        <v>6775</v>
      </c>
      <c r="F945" s="1" t="s">
        <v>7524</v>
      </c>
      <c r="G945" s="1" t="s">
        <v>7525</v>
      </c>
      <c r="H945" s="1" t="str">
        <f t="shared" si="14"/>
        <v>HashiCorp Nomad</v>
      </c>
    </row>
    <row r="946" spans="1:8">
      <c r="A946" s="1">
        <v>945</v>
      </c>
      <c r="B946" s="1" t="s">
        <v>18485</v>
      </c>
      <c r="C946" s="1" t="s">
        <v>93</v>
      </c>
      <c r="D946" s="1" t="s">
        <v>7527</v>
      </c>
      <c r="E946" s="1" t="s">
        <v>7528</v>
      </c>
      <c r="F946" s="1" t="s">
        <v>7529</v>
      </c>
      <c r="G946" s="1" t="s">
        <v>7530</v>
      </c>
      <c r="H946" s="1" t="str">
        <f t="shared" si="14"/>
        <v>Vault</v>
      </c>
    </row>
    <row r="947" spans="1:8">
      <c r="A947" s="1">
        <v>946</v>
      </c>
      <c r="B947" s="1" t="s">
        <v>18485</v>
      </c>
      <c r="C947" s="1" t="s">
        <v>98</v>
      </c>
      <c r="D947" s="1" t="s">
        <v>7527</v>
      </c>
      <c r="E947" s="1" t="s">
        <v>2528</v>
      </c>
      <c r="F947" s="1" t="s">
        <v>7532</v>
      </c>
      <c r="G947" s="1" t="s">
        <v>7533</v>
      </c>
      <c r="H947" s="1" t="str">
        <f t="shared" si="14"/>
        <v>Vault</v>
      </c>
    </row>
    <row r="948" spans="1:8">
      <c r="A948" s="1">
        <v>947</v>
      </c>
      <c r="B948" s="1" t="s">
        <v>18485</v>
      </c>
      <c r="C948" s="1" t="s">
        <v>102</v>
      </c>
      <c r="D948" s="1" t="s">
        <v>7527</v>
      </c>
      <c r="E948" s="1" t="s">
        <v>2534</v>
      </c>
      <c r="F948" s="1" t="s">
        <v>7535</v>
      </c>
      <c r="G948" s="1" t="s">
        <v>7536</v>
      </c>
      <c r="H948" s="1" t="str">
        <f t="shared" si="14"/>
        <v>Vault</v>
      </c>
    </row>
    <row r="949" spans="1:8">
      <c r="A949" s="1">
        <v>948</v>
      </c>
      <c r="B949" s="1" t="s">
        <v>18485</v>
      </c>
      <c r="C949" s="1" t="s">
        <v>106</v>
      </c>
      <c r="D949" s="1" t="s">
        <v>7527</v>
      </c>
      <c r="E949" s="1" t="s">
        <v>2536</v>
      </c>
      <c r="F949" s="1" t="s">
        <v>7538</v>
      </c>
      <c r="G949" s="1" t="s">
        <v>7539</v>
      </c>
      <c r="H949" s="1" t="str">
        <f t="shared" si="14"/>
        <v>Vault</v>
      </c>
    </row>
    <row r="950" spans="1:8">
      <c r="A950" s="1">
        <v>949</v>
      </c>
      <c r="B950" s="1" t="s">
        <v>18485</v>
      </c>
      <c r="C950" s="1" t="s">
        <v>110</v>
      </c>
      <c r="D950" s="1" t="s">
        <v>7527</v>
      </c>
      <c r="E950" s="1" t="s">
        <v>2538</v>
      </c>
      <c r="F950" s="1" t="s">
        <v>7541</v>
      </c>
      <c r="G950" s="1" t="s">
        <v>7542</v>
      </c>
      <c r="H950" s="1" t="str">
        <f t="shared" si="14"/>
        <v>Vault</v>
      </c>
    </row>
    <row r="951" spans="1:8">
      <c r="A951" s="1">
        <v>950</v>
      </c>
      <c r="B951" s="1" t="s">
        <v>18485</v>
      </c>
      <c r="C951" s="1" t="s">
        <v>114</v>
      </c>
      <c r="D951" s="1" t="s">
        <v>7527</v>
      </c>
      <c r="E951" s="1" t="s">
        <v>7544</v>
      </c>
      <c r="F951" s="1" t="s">
        <v>7545</v>
      </c>
      <c r="G951" s="1" t="s">
        <v>7546</v>
      </c>
      <c r="H951" s="1" t="str">
        <f t="shared" si="14"/>
        <v>Vault</v>
      </c>
    </row>
    <row r="952" spans="1:8">
      <c r="A952" s="1">
        <v>951</v>
      </c>
      <c r="B952" s="1" t="s">
        <v>18485</v>
      </c>
      <c r="C952" s="1" t="s">
        <v>118</v>
      </c>
      <c r="D952" s="1" t="s">
        <v>7527</v>
      </c>
      <c r="E952" s="1" t="s">
        <v>2530</v>
      </c>
      <c r="F952" s="1" t="s">
        <v>7548</v>
      </c>
      <c r="G952" s="1" t="s">
        <v>7549</v>
      </c>
      <c r="H952" s="1" t="str">
        <f t="shared" si="14"/>
        <v>Vault</v>
      </c>
    </row>
    <row r="953" spans="1:8">
      <c r="A953" s="1">
        <v>952</v>
      </c>
      <c r="B953" s="1" t="s">
        <v>18485</v>
      </c>
      <c r="C953" s="1" t="s">
        <v>122</v>
      </c>
      <c r="D953" s="1" t="s">
        <v>7527</v>
      </c>
      <c r="E953" s="1" t="s">
        <v>2540</v>
      </c>
      <c r="F953" s="1" t="s">
        <v>7551</v>
      </c>
      <c r="G953" s="1" t="s">
        <v>7552</v>
      </c>
      <c r="H953" s="1" t="str">
        <f t="shared" si="14"/>
        <v>Vault</v>
      </c>
    </row>
    <row r="954" spans="1:8">
      <c r="A954" s="1">
        <v>953</v>
      </c>
      <c r="B954" s="1" t="s">
        <v>18485</v>
      </c>
      <c r="C954" s="1" t="s">
        <v>126</v>
      </c>
      <c r="D954" s="1" t="s">
        <v>7527</v>
      </c>
      <c r="E954" s="1" t="s">
        <v>2532</v>
      </c>
      <c r="F954" s="1" t="s">
        <v>7554</v>
      </c>
      <c r="G954" s="1" t="s">
        <v>7555</v>
      </c>
      <c r="H954" s="1" t="str">
        <f t="shared" si="14"/>
        <v>Vault</v>
      </c>
    </row>
    <row r="955" spans="1:8">
      <c r="A955" s="1">
        <v>954</v>
      </c>
      <c r="B955" s="1" t="s">
        <v>18486</v>
      </c>
      <c r="C955" s="1" t="s">
        <v>392</v>
      </c>
      <c r="D955" s="1" t="s">
        <v>7557</v>
      </c>
      <c r="E955" s="1" t="s">
        <v>7558</v>
      </c>
      <c r="F955" s="1" t="s">
        <v>7559</v>
      </c>
      <c r="G955" s="1" t="s">
        <v>7560</v>
      </c>
      <c r="H955" s="1" t="str">
        <f t="shared" si="14"/>
        <v>Hikvision camera</v>
      </c>
    </row>
    <row r="956" spans="1:8">
      <c r="A956" s="1">
        <v>955</v>
      </c>
      <c r="B956" s="1" t="s">
        <v>18486</v>
      </c>
      <c r="C956" s="1" t="s">
        <v>397</v>
      </c>
      <c r="D956" s="1" t="s">
        <v>7557</v>
      </c>
      <c r="E956" s="1" t="s">
        <v>133</v>
      </c>
      <c r="F956" s="1" t="s">
        <v>7562</v>
      </c>
      <c r="G956" s="1" t="s">
        <v>7563</v>
      </c>
      <c r="H956" s="1" t="str">
        <f t="shared" si="14"/>
        <v>Hikvision camera</v>
      </c>
    </row>
    <row r="957" spans="1:8">
      <c r="A957" s="1">
        <v>956</v>
      </c>
      <c r="B957" s="1" t="s">
        <v>18486</v>
      </c>
      <c r="C957" s="1" t="s">
        <v>401</v>
      </c>
      <c r="D957" s="1" t="s">
        <v>7557</v>
      </c>
      <c r="E957" s="1" t="s">
        <v>7565</v>
      </c>
      <c r="F957" s="1" t="s">
        <v>7566</v>
      </c>
      <c r="G957" s="1" t="s">
        <v>7567</v>
      </c>
      <c r="H957" s="1" t="str">
        <f t="shared" si="14"/>
        <v>Hikvision camera</v>
      </c>
    </row>
    <row r="958" spans="1:8">
      <c r="A958" s="1">
        <v>957</v>
      </c>
      <c r="B958" s="1" t="s">
        <v>18486</v>
      </c>
      <c r="C958" s="1" t="s">
        <v>405</v>
      </c>
      <c r="D958" s="1" t="s">
        <v>7557</v>
      </c>
      <c r="E958" s="1" t="s">
        <v>7569</v>
      </c>
      <c r="F958" s="1" t="s">
        <v>7570</v>
      </c>
      <c r="G958" s="1" t="s">
        <v>7571</v>
      </c>
      <c r="H958" s="1" t="str">
        <f t="shared" si="14"/>
        <v>Hikvision camera</v>
      </c>
    </row>
    <row r="959" spans="1:8">
      <c r="A959" s="1">
        <v>958</v>
      </c>
      <c r="B959" s="1" t="s">
        <v>18486</v>
      </c>
      <c r="C959" s="1" t="s">
        <v>409</v>
      </c>
      <c r="D959" s="1" t="s">
        <v>7557</v>
      </c>
      <c r="E959" s="1" t="s">
        <v>7573</v>
      </c>
      <c r="F959" s="1" t="s">
        <v>7574</v>
      </c>
      <c r="G959" s="1" t="s">
        <v>7575</v>
      </c>
      <c r="H959" s="1" t="str">
        <f t="shared" si="14"/>
        <v>Hikvision camera</v>
      </c>
    </row>
    <row r="960" spans="1:8">
      <c r="A960" s="1">
        <v>959</v>
      </c>
      <c r="B960" s="1" t="s">
        <v>18486</v>
      </c>
      <c r="C960" s="1" t="s">
        <v>413</v>
      </c>
      <c r="D960" s="1" t="s">
        <v>7557</v>
      </c>
      <c r="E960" s="1" t="s">
        <v>7577</v>
      </c>
      <c r="F960" s="1" t="s">
        <v>7578</v>
      </c>
      <c r="G960" s="1" t="s">
        <v>7579</v>
      </c>
      <c r="H960" s="1" t="str">
        <f t="shared" si="14"/>
        <v>Hikvision camera</v>
      </c>
    </row>
    <row r="961" spans="1:8">
      <c r="A961" s="1">
        <v>960</v>
      </c>
      <c r="B961" s="1" t="s">
        <v>18486</v>
      </c>
      <c r="C961" s="1" t="s">
        <v>417</v>
      </c>
      <c r="D961" s="1" t="s">
        <v>7557</v>
      </c>
      <c r="E961" s="1" t="s">
        <v>7581</v>
      </c>
      <c r="F961" s="1" t="s">
        <v>7582</v>
      </c>
      <c r="G961" s="1" t="s">
        <v>7583</v>
      </c>
      <c r="H961" s="1" t="str">
        <f t="shared" si="14"/>
        <v>Hikvision camera</v>
      </c>
    </row>
    <row r="962" spans="1:8">
      <c r="A962" s="1">
        <v>961</v>
      </c>
      <c r="B962" s="1" t="s">
        <v>18487</v>
      </c>
      <c r="C962" s="1" t="s">
        <v>392</v>
      </c>
      <c r="D962" s="1" t="s">
        <v>7585</v>
      </c>
      <c r="E962" s="1" t="s">
        <v>7586</v>
      </c>
      <c r="F962" s="1" t="s">
        <v>7587</v>
      </c>
      <c r="G962" s="1" t="s">
        <v>7588</v>
      </c>
      <c r="H962" s="1" t="str">
        <f t="shared" ref="H962:H1025" si="15">IFERROR(IF(OR(MID(G962,FIND(":",G962)-1,1)="""",MID(G962,FIND(":",G962)-1,1)="}",MID(G962,FIND(":",G962)-1,1)=")",MID(G962,FIND(":",G962)-1,1)="]"),"",LEFT(F962,FIND(":",F962)-1)),"")</f>
        <v>OceanStor 5300 V5</v>
      </c>
    </row>
    <row r="963" spans="1:8">
      <c r="A963" s="1">
        <v>962</v>
      </c>
      <c r="B963" s="1" t="s">
        <v>18487</v>
      </c>
      <c r="C963" s="1" t="s">
        <v>397</v>
      </c>
      <c r="D963" s="1" t="s">
        <v>7585</v>
      </c>
      <c r="E963" s="1" t="s">
        <v>7590</v>
      </c>
      <c r="F963" s="1" t="s">
        <v>7591</v>
      </c>
      <c r="G963" s="1" t="s">
        <v>7592</v>
      </c>
      <c r="H963" s="1" t="str">
        <f t="shared" si="15"/>
        <v>OceanStor 5300 V5</v>
      </c>
    </row>
    <row r="964" spans="1:8">
      <c r="A964" s="1">
        <v>963</v>
      </c>
      <c r="B964" s="1" t="s">
        <v>18487</v>
      </c>
      <c r="C964" s="1" t="s">
        <v>401</v>
      </c>
      <c r="D964" s="1" t="s">
        <v>7585</v>
      </c>
      <c r="E964" s="1" t="s">
        <v>7594</v>
      </c>
      <c r="F964" s="1" t="s">
        <v>7595</v>
      </c>
      <c r="G964" s="1" t="s">
        <v>7596</v>
      </c>
      <c r="H964" s="1" t="str">
        <f t="shared" si="15"/>
        <v>OceanStor 5300 V5</v>
      </c>
    </row>
    <row r="965" spans="1:8">
      <c r="A965" s="1">
        <v>964</v>
      </c>
      <c r="B965" s="1" t="s">
        <v>18487</v>
      </c>
      <c r="C965" s="1" t="s">
        <v>405</v>
      </c>
      <c r="D965" s="1" t="s">
        <v>7585</v>
      </c>
      <c r="E965" s="1" t="s">
        <v>7598</v>
      </c>
      <c r="F965" s="1" t="s">
        <v>7599</v>
      </c>
      <c r="G965" s="1" t="s">
        <v>7600</v>
      </c>
      <c r="H965" s="1" t="str">
        <f t="shared" si="15"/>
        <v>OceanStor 5300 V5</v>
      </c>
    </row>
    <row r="966" spans="1:8">
      <c r="A966" s="1">
        <v>965</v>
      </c>
      <c r="B966" s="1" t="s">
        <v>18487</v>
      </c>
      <c r="C966" s="1" t="s">
        <v>409</v>
      </c>
      <c r="D966" s="1" t="s">
        <v>7585</v>
      </c>
      <c r="E966" s="1" t="s">
        <v>7602</v>
      </c>
      <c r="F966" s="1" t="s">
        <v>7603</v>
      </c>
      <c r="G966" s="1" t="s">
        <v>7604</v>
      </c>
      <c r="H966" s="1" t="str">
        <f t="shared" si="15"/>
        <v>OceanStor 5300 V5</v>
      </c>
    </row>
    <row r="967" spans="1:8">
      <c r="A967" s="1">
        <v>966</v>
      </c>
      <c r="B967" s="1" t="s">
        <v>18487</v>
      </c>
      <c r="C967" s="1" t="s">
        <v>413</v>
      </c>
      <c r="D967" s="1" t="s">
        <v>7585</v>
      </c>
      <c r="E967" s="1" t="s">
        <v>7606</v>
      </c>
      <c r="F967" s="1" t="s">
        <v>7607</v>
      </c>
      <c r="G967" s="1" t="s">
        <v>7608</v>
      </c>
      <c r="H967" s="1" t="str">
        <f t="shared" si="15"/>
        <v>OceanStor 5300 V5</v>
      </c>
    </row>
    <row r="968" spans="1:8">
      <c r="A968" s="1">
        <v>967</v>
      </c>
      <c r="B968" s="1" t="s">
        <v>18487</v>
      </c>
      <c r="C968" s="1" t="s">
        <v>417</v>
      </c>
      <c r="D968" s="1" t="s">
        <v>7585</v>
      </c>
      <c r="E968" s="1" t="s">
        <v>7610</v>
      </c>
      <c r="F968" s="1" t="s">
        <v>3732</v>
      </c>
      <c r="G968" s="1" t="s">
        <v>3733</v>
      </c>
      <c r="H968" s="1" t="str">
        <f t="shared" si="15"/>
        <v>OceanStor 5300 V5</v>
      </c>
    </row>
    <row r="969" spans="1:8">
      <c r="A969" s="1">
        <v>968</v>
      </c>
      <c r="B969" s="1" t="s">
        <v>18488</v>
      </c>
      <c r="C969" s="1" t="s">
        <v>251</v>
      </c>
      <c r="D969" s="1" t="s">
        <v>7641</v>
      </c>
      <c r="E969" s="1" t="s">
        <v>7642</v>
      </c>
      <c r="F969" s="1" t="s">
        <v>7643</v>
      </c>
      <c r="G969" s="1" t="s">
        <v>7644</v>
      </c>
      <c r="H969" s="1" t="str">
        <f t="shared" si="15"/>
        <v>Huawei VRP</v>
      </c>
    </row>
    <row r="970" spans="1:8">
      <c r="A970" s="1">
        <v>969</v>
      </c>
      <c r="B970" s="1" t="s">
        <v>18488</v>
      </c>
      <c r="C970" s="1" t="s">
        <v>254</v>
      </c>
      <c r="D970" s="1" t="s">
        <v>7641</v>
      </c>
      <c r="E970" s="1" t="s">
        <v>7646</v>
      </c>
      <c r="F970" s="1" t="s">
        <v>7647</v>
      </c>
      <c r="G970" s="1" t="s">
        <v>7648</v>
      </c>
      <c r="H970" s="1" t="str">
        <f t="shared" si="15"/>
        <v>Huawei VRP</v>
      </c>
    </row>
    <row r="971" spans="1:8">
      <c r="A971" s="1">
        <v>970</v>
      </c>
      <c r="B971" s="1" t="s">
        <v>18488</v>
      </c>
      <c r="C971" s="1" t="s">
        <v>256</v>
      </c>
      <c r="D971" s="1" t="s">
        <v>7641</v>
      </c>
      <c r="E971" s="1" t="s">
        <v>7650</v>
      </c>
      <c r="F971" s="1" t="s">
        <v>7651</v>
      </c>
      <c r="G971" s="1" t="s">
        <v>7652</v>
      </c>
      <c r="H971" s="1" t="str">
        <f t="shared" si="15"/>
        <v>Huawei VRP</v>
      </c>
    </row>
    <row r="972" spans="1:8">
      <c r="A972" s="1">
        <v>971</v>
      </c>
      <c r="B972" s="1" t="s">
        <v>18488</v>
      </c>
      <c r="C972" s="1" t="s">
        <v>260</v>
      </c>
      <c r="D972" s="1" t="s">
        <v>7641</v>
      </c>
      <c r="E972" s="1" t="s">
        <v>7654</v>
      </c>
      <c r="F972" s="1" t="s">
        <v>7655</v>
      </c>
      <c r="G972" s="1" t="s">
        <v>7656</v>
      </c>
      <c r="H972" s="1" t="str">
        <f t="shared" si="15"/>
        <v>Huawei VRP</v>
      </c>
    </row>
    <row r="973" spans="1:8">
      <c r="A973" s="1">
        <v>972</v>
      </c>
      <c r="B973" s="1" t="s">
        <v>18488</v>
      </c>
      <c r="C973" s="1" t="s">
        <v>262</v>
      </c>
      <c r="D973" s="1" t="s">
        <v>7641</v>
      </c>
      <c r="E973" s="1" t="s">
        <v>7658</v>
      </c>
      <c r="F973" s="1" t="s">
        <v>7659</v>
      </c>
      <c r="G973" s="1" t="s">
        <v>7660</v>
      </c>
      <c r="H973" s="1" t="str">
        <f t="shared" si="15"/>
        <v>Huawei VRP</v>
      </c>
    </row>
    <row r="974" spans="1:8">
      <c r="A974" s="1">
        <v>973</v>
      </c>
      <c r="B974" s="1" t="s">
        <v>18488</v>
      </c>
      <c r="C974" s="1" t="s">
        <v>264</v>
      </c>
      <c r="D974" s="1" t="s">
        <v>7641</v>
      </c>
      <c r="E974" s="1" t="s">
        <v>7662</v>
      </c>
      <c r="F974" s="1" t="s">
        <v>7663</v>
      </c>
      <c r="G974" s="1" t="s">
        <v>7664</v>
      </c>
      <c r="H974" s="1" t="str">
        <f t="shared" si="15"/>
        <v>Huawei VRP</v>
      </c>
    </row>
    <row r="975" spans="1:8">
      <c r="A975" s="1">
        <v>974</v>
      </c>
      <c r="B975" s="1" t="s">
        <v>18489</v>
      </c>
      <c r="C975" s="1" t="s">
        <v>131</v>
      </c>
      <c r="D975" s="1" t="s">
        <v>7666</v>
      </c>
      <c r="E975" s="1" t="s">
        <v>3947</v>
      </c>
      <c r="F975" s="1" t="s">
        <v>7667</v>
      </c>
      <c r="G975" s="1" t="s">
        <v>7668</v>
      </c>
      <c r="H975" s="1" t="str">
        <f t="shared" si="15"/>
        <v>IBM IMM</v>
      </c>
    </row>
    <row r="976" spans="1:8">
      <c r="A976" s="1">
        <v>975</v>
      </c>
      <c r="B976" s="1" t="s">
        <v>18489</v>
      </c>
      <c r="C976" s="1" t="s">
        <v>136</v>
      </c>
      <c r="D976" s="1" t="s">
        <v>7666</v>
      </c>
      <c r="E976" s="1" t="s">
        <v>7670</v>
      </c>
      <c r="F976" s="1" t="s">
        <v>7671</v>
      </c>
      <c r="G976" s="1" t="s">
        <v>7672</v>
      </c>
      <c r="H976" s="1" t="str">
        <f t="shared" si="15"/>
        <v>IBM IMM</v>
      </c>
    </row>
    <row r="977" spans="1:8">
      <c r="A977" s="1">
        <v>976</v>
      </c>
      <c r="B977" s="1" t="s">
        <v>18489</v>
      </c>
      <c r="C977" s="1" t="s">
        <v>138</v>
      </c>
      <c r="D977" s="1" t="s">
        <v>7666</v>
      </c>
      <c r="E977" s="1" t="s">
        <v>7674</v>
      </c>
      <c r="F977" s="1" t="s">
        <v>7675</v>
      </c>
      <c r="G977" s="1" t="s">
        <v>7676</v>
      </c>
      <c r="H977" s="1" t="str">
        <f t="shared" si="15"/>
        <v>IBM IMM</v>
      </c>
    </row>
    <row r="978" spans="1:8">
      <c r="A978" s="1">
        <v>977</v>
      </c>
      <c r="B978" s="1" t="s">
        <v>18489</v>
      </c>
      <c r="C978" s="1" t="s">
        <v>140</v>
      </c>
      <c r="D978" s="1" t="s">
        <v>7666</v>
      </c>
      <c r="E978" s="1" t="s">
        <v>7678</v>
      </c>
      <c r="F978" s="1" t="s">
        <v>7679</v>
      </c>
      <c r="G978" s="1" t="s">
        <v>7680</v>
      </c>
      <c r="H978" s="1" t="str">
        <f t="shared" si="15"/>
        <v>IBM IMM</v>
      </c>
    </row>
    <row r="979" spans="1:8">
      <c r="A979" s="1">
        <v>978</v>
      </c>
      <c r="B979" s="1" t="s">
        <v>18489</v>
      </c>
      <c r="C979" s="1" t="s">
        <v>142</v>
      </c>
      <c r="D979" s="1" t="s">
        <v>7666</v>
      </c>
      <c r="E979" s="1" t="s">
        <v>3945</v>
      </c>
      <c r="F979" s="1" t="s">
        <v>7682</v>
      </c>
      <c r="G979" s="1" t="s">
        <v>7683</v>
      </c>
      <c r="H979" s="1" t="str">
        <f t="shared" si="15"/>
        <v>IBM IMM</v>
      </c>
    </row>
    <row r="980" spans="1:8">
      <c r="A980" s="1">
        <v>979</v>
      </c>
      <c r="B980" s="1" t="s">
        <v>18489</v>
      </c>
      <c r="C980" s="1" t="s">
        <v>144</v>
      </c>
      <c r="D980" s="1" t="s">
        <v>7666</v>
      </c>
      <c r="E980" s="1" t="s">
        <v>3944</v>
      </c>
      <c r="F980" s="1" t="s">
        <v>7685</v>
      </c>
      <c r="G980" s="1" t="s">
        <v>7686</v>
      </c>
      <c r="H980" s="1" t="str">
        <f t="shared" si="15"/>
        <v>IBM IMM</v>
      </c>
    </row>
    <row r="981" spans="1:8">
      <c r="A981" s="1">
        <v>980</v>
      </c>
      <c r="B981" s="1" t="s">
        <v>18489</v>
      </c>
      <c r="C981" s="1" t="s">
        <v>146</v>
      </c>
      <c r="D981" s="1" t="s">
        <v>7666</v>
      </c>
      <c r="E981" s="1" t="s">
        <v>3946</v>
      </c>
      <c r="F981" s="1" t="s">
        <v>7688</v>
      </c>
      <c r="G981" s="1" t="s">
        <v>7689</v>
      </c>
      <c r="H981" s="1" t="str">
        <f t="shared" si="15"/>
        <v>IBM IMM</v>
      </c>
    </row>
    <row r="982" spans="1:8">
      <c r="A982" s="1">
        <v>981</v>
      </c>
      <c r="B982" s="1" t="s">
        <v>18489</v>
      </c>
      <c r="C982" s="1" t="s">
        <v>148</v>
      </c>
      <c r="D982" s="1" t="s">
        <v>7666</v>
      </c>
      <c r="E982" s="1" t="s">
        <v>7691</v>
      </c>
      <c r="F982" s="1" t="s">
        <v>7692</v>
      </c>
      <c r="G982" s="1" t="s">
        <v>7693</v>
      </c>
      <c r="H982" s="1" t="str">
        <f t="shared" si="15"/>
        <v>IBM IMM</v>
      </c>
    </row>
    <row r="983" spans="1:8">
      <c r="A983" s="1">
        <v>982</v>
      </c>
      <c r="B983" s="1" t="s">
        <v>18489</v>
      </c>
      <c r="C983" s="1" t="s">
        <v>150</v>
      </c>
      <c r="D983" s="1" t="s">
        <v>7666</v>
      </c>
      <c r="E983" s="1" t="s">
        <v>7695</v>
      </c>
      <c r="F983" s="1" t="s">
        <v>7696</v>
      </c>
      <c r="G983" s="1" t="s">
        <v>7697</v>
      </c>
      <c r="H983" s="1" t="str">
        <f t="shared" si="15"/>
        <v>IBM IMM</v>
      </c>
    </row>
    <row r="984" spans="1:8">
      <c r="A984" s="1">
        <v>983</v>
      </c>
      <c r="B984" s="1" t="s">
        <v>18489</v>
      </c>
      <c r="C984" s="1" t="s">
        <v>152</v>
      </c>
      <c r="D984" s="1" t="s">
        <v>7666</v>
      </c>
      <c r="E984" s="1" t="s">
        <v>7699</v>
      </c>
      <c r="F984" s="1" t="s">
        <v>7700</v>
      </c>
      <c r="G984" s="1" t="s">
        <v>7701</v>
      </c>
      <c r="H984" s="1" t="str">
        <f t="shared" si="15"/>
        <v>IBM IMM</v>
      </c>
    </row>
    <row r="985" spans="1:8">
      <c r="A985" s="1">
        <v>984</v>
      </c>
      <c r="B985" s="1" t="s">
        <v>18490</v>
      </c>
      <c r="C985" s="1" t="s">
        <v>285</v>
      </c>
      <c r="D985" s="1" t="s">
        <v>7703</v>
      </c>
      <c r="E985" s="1" t="s">
        <v>6896</v>
      </c>
      <c r="F985" s="1" t="s">
        <v>7704</v>
      </c>
      <c r="G985" s="1" t="s">
        <v>7705</v>
      </c>
      <c r="H985" s="1" t="str">
        <f t="shared" si="15"/>
        <v>ICMP</v>
      </c>
    </row>
    <row r="986" spans="1:8">
      <c r="A986" s="1">
        <v>985</v>
      </c>
      <c r="B986" s="1" t="s">
        <v>18490</v>
      </c>
      <c r="C986" s="1" t="s">
        <v>290</v>
      </c>
      <c r="D986" s="1" t="s">
        <v>7703</v>
      </c>
      <c r="E986" s="1" t="s">
        <v>6892</v>
      </c>
      <c r="F986" s="1" t="s">
        <v>7707</v>
      </c>
      <c r="G986" s="1" t="s">
        <v>7708</v>
      </c>
      <c r="H986" s="1" t="str">
        <f t="shared" si="15"/>
        <v>ICMP</v>
      </c>
    </row>
    <row r="987" spans="1:8">
      <c r="A987" s="1">
        <v>986</v>
      </c>
      <c r="B987" s="1" t="s">
        <v>18490</v>
      </c>
      <c r="C987" s="1" t="s">
        <v>294</v>
      </c>
      <c r="D987" s="1" t="s">
        <v>7703</v>
      </c>
      <c r="E987" s="1" t="s">
        <v>6900</v>
      </c>
      <c r="F987" s="1" t="s">
        <v>7710</v>
      </c>
      <c r="G987" s="1" t="s">
        <v>7711</v>
      </c>
      <c r="H987" s="1" t="str">
        <f t="shared" si="15"/>
        <v>ICMP</v>
      </c>
    </row>
    <row r="988" spans="1:8">
      <c r="A988" s="1">
        <v>987</v>
      </c>
      <c r="B988" s="1" t="s">
        <v>18491</v>
      </c>
      <c r="C988" s="1" t="s">
        <v>267</v>
      </c>
      <c r="D988" s="1" t="s">
        <v>7713</v>
      </c>
      <c r="E988" s="1" t="s">
        <v>514</v>
      </c>
      <c r="F988" s="1" t="s">
        <v>7714</v>
      </c>
      <c r="G988" s="1" t="s">
        <v>7715</v>
      </c>
      <c r="H988" s="1" t="str">
        <f t="shared" si="15"/>
        <v>IIS</v>
      </c>
    </row>
    <row r="989" spans="1:8">
      <c r="A989" s="1">
        <v>988</v>
      </c>
      <c r="B989" s="1" t="s">
        <v>18491</v>
      </c>
      <c r="C989" s="1" t="s">
        <v>272</v>
      </c>
      <c r="D989" s="1" t="s">
        <v>7713</v>
      </c>
      <c r="E989" s="1" t="s">
        <v>7717</v>
      </c>
      <c r="F989" s="1" t="s">
        <v>521</v>
      </c>
      <c r="G989" s="1" t="s">
        <v>522</v>
      </c>
      <c r="H989" s="1" t="str">
        <f t="shared" si="15"/>
        <v>IIS</v>
      </c>
    </row>
    <row r="990" spans="1:8">
      <c r="A990" s="1">
        <v>989</v>
      </c>
      <c r="B990" s="1" t="s">
        <v>18491</v>
      </c>
      <c r="C990" s="1" t="s">
        <v>276</v>
      </c>
      <c r="D990" s="1" t="s">
        <v>7713</v>
      </c>
      <c r="E990" s="1" t="s">
        <v>7719</v>
      </c>
      <c r="F990" s="1" t="s">
        <v>518</v>
      </c>
      <c r="G990" s="1" t="s">
        <v>519</v>
      </c>
      <c r="H990" s="1" t="str">
        <f t="shared" si="15"/>
        <v>IIS</v>
      </c>
    </row>
    <row r="991" spans="1:8">
      <c r="A991" s="1">
        <v>990</v>
      </c>
      <c r="B991" s="1" t="s">
        <v>18491</v>
      </c>
      <c r="C991" s="1" t="s">
        <v>280</v>
      </c>
      <c r="D991" s="1" t="s">
        <v>7713</v>
      </c>
      <c r="E991" s="1" t="s">
        <v>511</v>
      </c>
      <c r="F991" s="1" t="s">
        <v>512</v>
      </c>
      <c r="G991" s="1" t="s">
        <v>513</v>
      </c>
      <c r="H991" s="1" t="str">
        <f t="shared" si="15"/>
        <v>IIS</v>
      </c>
    </row>
    <row r="992" spans="1:8">
      <c r="A992" s="1">
        <v>991</v>
      </c>
      <c r="B992" s="1" t="s">
        <v>18492</v>
      </c>
      <c r="C992" s="1" t="s">
        <v>211</v>
      </c>
      <c r="D992" s="1" t="s">
        <v>7722</v>
      </c>
      <c r="E992" s="1" t="s">
        <v>7420</v>
      </c>
      <c r="F992" s="1" t="s">
        <v>14597</v>
      </c>
      <c r="G992" s="1" t="s">
        <v>18493</v>
      </c>
      <c r="H992" s="1" t="str">
        <f t="shared" si="15"/>
        <v/>
      </c>
    </row>
    <row r="993" spans="1:8">
      <c r="A993" s="1">
        <v>992</v>
      </c>
      <c r="B993" s="1" t="s">
        <v>18492</v>
      </c>
      <c r="C993" s="1" t="s">
        <v>214</v>
      </c>
      <c r="D993" s="1" t="s">
        <v>7722</v>
      </c>
      <c r="E993" s="1" t="s">
        <v>526</v>
      </c>
      <c r="F993" s="1" t="s">
        <v>7714</v>
      </c>
      <c r="G993" s="1" t="s">
        <v>7715</v>
      </c>
      <c r="H993" s="1" t="str">
        <f t="shared" si="15"/>
        <v>IIS</v>
      </c>
    </row>
    <row r="994" spans="1:8">
      <c r="A994" s="1">
        <v>993</v>
      </c>
      <c r="B994" s="1" t="s">
        <v>18492</v>
      </c>
      <c r="C994" s="1" t="s">
        <v>218</v>
      </c>
      <c r="D994" s="1" t="s">
        <v>7722</v>
      </c>
      <c r="E994" s="1" t="s">
        <v>7724</v>
      </c>
      <c r="F994" s="1" t="s">
        <v>521</v>
      </c>
      <c r="G994" s="1" t="s">
        <v>522</v>
      </c>
      <c r="H994" s="1" t="str">
        <f t="shared" si="15"/>
        <v>IIS</v>
      </c>
    </row>
    <row r="995" spans="1:8">
      <c r="A995" s="1">
        <v>994</v>
      </c>
      <c r="B995" s="1" t="s">
        <v>18492</v>
      </c>
      <c r="C995" s="1" t="s">
        <v>220</v>
      </c>
      <c r="D995" s="1" t="s">
        <v>7722</v>
      </c>
      <c r="E995" s="1" t="s">
        <v>7726</v>
      </c>
      <c r="F995" s="1" t="s">
        <v>518</v>
      </c>
      <c r="G995" s="1" t="s">
        <v>519</v>
      </c>
      <c r="H995" s="1" t="str">
        <f t="shared" si="15"/>
        <v>IIS</v>
      </c>
    </row>
    <row r="996" spans="1:8">
      <c r="A996" s="1">
        <v>995</v>
      </c>
      <c r="B996" s="1" t="s">
        <v>18492</v>
      </c>
      <c r="C996" s="1" t="s">
        <v>224</v>
      </c>
      <c r="D996" s="1" t="s">
        <v>7722</v>
      </c>
      <c r="E996" s="1" t="s">
        <v>525</v>
      </c>
      <c r="F996" s="1" t="s">
        <v>512</v>
      </c>
      <c r="G996" s="1" t="s">
        <v>513</v>
      </c>
      <c r="H996" s="1" t="str">
        <f t="shared" si="15"/>
        <v>IIS</v>
      </c>
    </row>
    <row r="997" spans="1:8">
      <c r="A997" s="1">
        <v>996</v>
      </c>
      <c r="B997" s="1" t="s">
        <v>18494</v>
      </c>
      <c r="C997" s="1" t="s">
        <v>267</v>
      </c>
      <c r="D997" s="1" t="s">
        <v>7731</v>
      </c>
      <c r="E997" s="1" t="s">
        <v>7732</v>
      </c>
      <c r="F997" s="1" t="s">
        <v>7733</v>
      </c>
      <c r="G997" s="1" t="s">
        <v>7734</v>
      </c>
      <c r="H997" s="1" t="str">
        <f t="shared" si="15"/>
        <v>InfluxDB</v>
      </c>
    </row>
    <row r="998" spans="1:8">
      <c r="A998" s="1">
        <v>997</v>
      </c>
      <c r="B998" s="1" t="s">
        <v>18494</v>
      </c>
      <c r="C998" s="1" t="s">
        <v>272</v>
      </c>
      <c r="D998" s="1" t="s">
        <v>7731</v>
      </c>
      <c r="E998" s="1" t="s">
        <v>7736</v>
      </c>
      <c r="F998" s="1" t="s">
        <v>7737</v>
      </c>
      <c r="G998" s="1" t="s">
        <v>7738</v>
      </c>
      <c r="H998" s="1" t="str">
        <f t="shared" si="15"/>
        <v>InfluxDB</v>
      </c>
    </row>
    <row r="999" spans="1:8">
      <c r="A999" s="1">
        <v>998</v>
      </c>
      <c r="B999" s="1" t="s">
        <v>18494</v>
      </c>
      <c r="C999" s="1" t="s">
        <v>276</v>
      </c>
      <c r="D999" s="1" t="s">
        <v>7731</v>
      </c>
      <c r="E999" s="1" t="s">
        <v>7740</v>
      </c>
      <c r="F999" s="1" t="s">
        <v>7741</v>
      </c>
      <c r="G999" s="1" t="s">
        <v>7742</v>
      </c>
      <c r="H999" s="1" t="str">
        <f t="shared" si="15"/>
        <v>InfluxDB</v>
      </c>
    </row>
    <row r="1000" spans="1:8">
      <c r="A1000" s="1">
        <v>999</v>
      </c>
      <c r="B1000" s="1" t="s">
        <v>18494</v>
      </c>
      <c r="C1000" s="1" t="s">
        <v>280</v>
      </c>
      <c r="D1000" s="1" t="s">
        <v>7731</v>
      </c>
      <c r="E1000" s="1" t="s">
        <v>7744</v>
      </c>
      <c r="F1000" s="1" t="s">
        <v>7745</v>
      </c>
      <c r="G1000" s="1" t="s">
        <v>7746</v>
      </c>
      <c r="H1000" s="1" t="str">
        <f t="shared" si="15"/>
        <v>InfluxDB</v>
      </c>
    </row>
    <row r="1001" spans="1:8">
      <c r="A1001" s="1">
        <v>1000</v>
      </c>
      <c r="B1001" s="1" t="s">
        <v>18495</v>
      </c>
      <c r="C1001" s="1" t="s">
        <v>155</v>
      </c>
      <c r="D1001" s="1" t="s">
        <v>7748</v>
      </c>
      <c r="E1001" s="1" t="s">
        <v>4031</v>
      </c>
      <c r="F1001" s="1" t="s">
        <v>7749</v>
      </c>
      <c r="G1001" s="1" t="s">
        <v>7750</v>
      </c>
      <c r="H1001" s="1" t="str">
        <f t="shared" si="15"/>
        <v>Intel SR1530 IPMI</v>
      </c>
    </row>
    <row r="1002" spans="1:8">
      <c r="A1002" s="1">
        <v>1001</v>
      </c>
      <c r="B1002" s="1" t="s">
        <v>18495</v>
      </c>
      <c r="C1002" s="1" t="s">
        <v>160</v>
      </c>
      <c r="D1002" s="1" t="s">
        <v>7748</v>
      </c>
      <c r="E1002" s="1" t="s">
        <v>4033</v>
      </c>
      <c r="F1002" s="1" t="s">
        <v>7752</v>
      </c>
      <c r="G1002" s="1" t="s">
        <v>7753</v>
      </c>
      <c r="H1002" s="1" t="str">
        <f t="shared" si="15"/>
        <v>Intel SR1530 IPMI</v>
      </c>
    </row>
    <row r="1003" spans="1:8">
      <c r="A1003" s="1">
        <v>1002</v>
      </c>
      <c r="B1003" s="1" t="s">
        <v>18495</v>
      </c>
      <c r="C1003" s="1" t="s">
        <v>164</v>
      </c>
      <c r="D1003" s="1" t="s">
        <v>7748</v>
      </c>
      <c r="E1003" s="1" t="s">
        <v>4037</v>
      </c>
      <c r="F1003" s="1" t="s">
        <v>7755</v>
      </c>
      <c r="G1003" s="1" t="s">
        <v>7756</v>
      </c>
      <c r="H1003" s="1" t="str">
        <f t="shared" si="15"/>
        <v>Intel SR1530 IPMI</v>
      </c>
    </row>
    <row r="1004" spans="1:8">
      <c r="A1004" s="1">
        <v>1003</v>
      </c>
      <c r="B1004" s="1" t="s">
        <v>18495</v>
      </c>
      <c r="C1004" s="1" t="s">
        <v>168</v>
      </c>
      <c r="D1004" s="1" t="s">
        <v>7748</v>
      </c>
      <c r="E1004" s="1" t="s">
        <v>4041</v>
      </c>
      <c r="F1004" s="1" t="s">
        <v>7758</v>
      </c>
      <c r="G1004" s="1" t="s">
        <v>7759</v>
      </c>
      <c r="H1004" s="1" t="str">
        <f t="shared" si="15"/>
        <v>Intel SR1530 IPMI</v>
      </c>
    </row>
    <row r="1005" spans="1:8">
      <c r="A1005" s="1">
        <v>1004</v>
      </c>
      <c r="B1005" s="1" t="s">
        <v>18495</v>
      </c>
      <c r="C1005" s="1" t="s">
        <v>172</v>
      </c>
      <c r="D1005" s="1" t="s">
        <v>7748</v>
      </c>
      <c r="E1005" s="1" t="s">
        <v>4043</v>
      </c>
      <c r="F1005" s="1" t="s">
        <v>7761</v>
      </c>
      <c r="G1005" s="1" t="s">
        <v>7762</v>
      </c>
      <c r="H1005" s="1" t="str">
        <f t="shared" si="15"/>
        <v>Intel SR1530 IPMI</v>
      </c>
    </row>
    <row r="1006" spans="1:8">
      <c r="A1006" s="1">
        <v>1005</v>
      </c>
      <c r="B1006" s="1" t="s">
        <v>18495</v>
      </c>
      <c r="C1006" s="1" t="s">
        <v>176</v>
      </c>
      <c r="D1006" s="1" t="s">
        <v>7748</v>
      </c>
      <c r="E1006" s="1" t="s">
        <v>4047</v>
      </c>
      <c r="F1006" s="1" t="s">
        <v>7764</v>
      </c>
      <c r="G1006" s="1" t="s">
        <v>7765</v>
      </c>
      <c r="H1006" s="1" t="str">
        <f t="shared" si="15"/>
        <v>Intel SR1530 IPMI</v>
      </c>
    </row>
    <row r="1007" spans="1:8">
      <c r="A1007" s="1">
        <v>1006</v>
      </c>
      <c r="B1007" s="1" t="s">
        <v>18495</v>
      </c>
      <c r="C1007" s="1" t="s">
        <v>180</v>
      </c>
      <c r="D1007" s="1" t="s">
        <v>7748</v>
      </c>
      <c r="E1007" s="1" t="s">
        <v>4051</v>
      </c>
      <c r="F1007" s="1" t="s">
        <v>7767</v>
      </c>
      <c r="G1007" s="1" t="s">
        <v>7768</v>
      </c>
      <c r="H1007" s="1" t="str">
        <f t="shared" si="15"/>
        <v>Intel SR1530 IPMI</v>
      </c>
    </row>
    <row r="1008" spans="1:8">
      <c r="A1008" s="1">
        <v>1007</v>
      </c>
      <c r="B1008" s="1" t="s">
        <v>18495</v>
      </c>
      <c r="C1008" s="1" t="s">
        <v>184</v>
      </c>
      <c r="D1008" s="1" t="s">
        <v>7748</v>
      </c>
      <c r="E1008" s="1" t="s">
        <v>4055</v>
      </c>
      <c r="F1008" s="1" t="s">
        <v>7770</v>
      </c>
      <c r="G1008" s="1" t="s">
        <v>7771</v>
      </c>
      <c r="H1008" s="1" t="str">
        <f t="shared" si="15"/>
        <v>Intel SR1530 IPMI</v>
      </c>
    </row>
    <row r="1009" spans="1:8">
      <c r="A1009" s="1">
        <v>1008</v>
      </c>
      <c r="B1009" s="1" t="s">
        <v>18495</v>
      </c>
      <c r="C1009" s="1" t="s">
        <v>188</v>
      </c>
      <c r="D1009" s="1" t="s">
        <v>7748</v>
      </c>
      <c r="E1009" s="1" t="s">
        <v>1326</v>
      </c>
      <c r="F1009" s="1" t="s">
        <v>7773</v>
      </c>
      <c r="G1009" s="1" t="s">
        <v>7774</v>
      </c>
      <c r="H1009" s="1" t="str">
        <f t="shared" si="15"/>
        <v>Intel SR1530 IPMI</v>
      </c>
    </row>
    <row r="1010" spans="1:8">
      <c r="A1010" s="1">
        <v>1009</v>
      </c>
      <c r="B1010" s="1" t="s">
        <v>18495</v>
      </c>
      <c r="C1010" s="1" t="s">
        <v>192</v>
      </c>
      <c r="D1010" s="1" t="s">
        <v>7748</v>
      </c>
      <c r="E1010" s="1" t="s">
        <v>1330</v>
      </c>
      <c r="F1010" s="1" t="s">
        <v>7776</v>
      </c>
      <c r="G1010" s="1" t="s">
        <v>7777</v>
      </c>
      <c r="H1010" s="1" t="str">
        <f t="shared" si="15"/>
        <v>Intel SR1530 IPMI</v>
      </c>
    </row>
    <row r="1011" spans="1:8">
      <c r="A1011" s="1">
        <v>1010</v>
      </c>
      <c r="B1011" s="1" t="s">
        <v>18495</v>
      </c>
      <c r="C1011" s="1" t="s">
        <v>196</v>
      </c>
      <c r="D1011" s="1" t="s">
        <v>7748</v>
      </c>
      <c r="E1011" s="1" t="s">
        <v>1334</v>
      </c>
      <c r="F1011" s="1" t="s">
        <v>7779</v>
      </c>
      <c r="G1011" s="1" t="s">
        <v>7780</v>
      </c>
      <c r="H1011" s="1" t="str">
        <f t="shared" si="15"/>
        <v>Intel SR1530 IPMI</v>
      </c>
    </row>
    <row r="1012" spans="1:8">
      <c r="A1012" s="1">
        <v>1011</v>
      </c>
      <c r="B1012" s="1" t="s">
        <v>18496</v>
      </c>
      <c r="C1012" s="1" t="s">
        <v>3987</v>
      </c>
      <c r="D1012" s="1" t="s">
        <v>7782</v>
      </c>
      <c r="E1012" s="1" t="s">
        <v>7783</v>
      </c>
      <c r="F1012" s="1" t="s">
        <v>7784</v>
      </c>
      <c r="G1012" s="1" t="s">
        <v>7785</v>
      </c>
      <c r="H1012" s="1" t="str">
        <f t="shared" si="15"/>
        <v>Intel SR1630 IPMI</v>
      </c>
    </row>
    <row r="1013" spans="1:8">
      <c r="A1013" s="1">
        <v>1012</v>
      </c>
      <c r="B1013" s="1" t="s">
        <v>18496</v>
      </c>
      <c r="C1013" s="1" t="s">
        <v>3992</v>
      </c>
      <c r="D1013" s="1" t="s">
        <v>7782</v>
      </c>
      <c r="E1013" s="1" t="s">
        <v>1338</v>
      </c>
      <c r="F1013" s="1" t="s">
        <v>7787</v>
      </c>
      <c r="G1013" s="1" t="s">
        <v>7788</v>
      </c>
      <c r="H1013" s="1" t="str">
        <f t="shared" si="15"/>
        <v>Intel SR1630 IPMI</v>
      </c>
    </row>
    <row r="1014" spans="1:8">
      <c r="A1014" s="1">
        <v>1013</v>
      </c>
      <c r="B1014" s="1" t="s">
        <v>18496</v>
      </c>
      <c r="C1014" s="1" t="s">
        <v>3996</v>
      </c>
      <c r="D1014" s="1" t="s">
        <v>7782</v>
      </c>
      <c r="E1014" s="1" t="s">
        <v>1482</v>
      </c>
      <c r="F1014" s="1" t="s">
        <v>7790</v>
      </c>
      <c r="G1014" s="1" t="s">
        <v>7791</v>
      </c>
      <c r="H1014" s="1" t="str">
        <f t="shared" si="15"/>
        <v>Intel SR1630 IPMI</v>
      </c>
    </row>
    <row r="1015" spans="1:8">
      <c r="A1015" s="1">
        <v>1014</v>
      </c>
      <c r="B1015" s="1" t="s">
        <v>18496</v>
      </c>
      <c r="C1015" s="1" t="s">
        <v>4000</v>
      </c>
      <c r="D1015" s="1" t="s">
        <v>7782</v>
      </c>
      <c r="E1015" s="1" t="s">
        <v>1486</v>
      </c>
      <c r="F1015" s="1" t="s">
        <v>7793</v>
      </c>
      <c r="G1015" s="1" t="s">
        <v>7794</v>
      </c>
      <c r="H1015" s="1" t="str">
        <f t="shared" si="15"/>
        <v>Intel SR1630 IPMI</v>
      </c>
    </row>
    <row r="1016" spans="1:8">
      <c r="A1016" s="1">
        <v>1015</v>
      </c>
      <c r="B1016" s="1" t="s">
        <v>18496</v>
      </c>
      <c r="C1016" s="1" t="s">
        <v>4004</v>
      </c>
      <c r="D1016" s="1" t="s">
        <v>7782</v>
      </c>
      <c r="E1016" s="1" t="s">
        <v>1490</v>
      </c>
      <c r="F1016" s="1" t="s">
        <v>7796</v>
      </c>
      <c r="G1016" s="1" t="s">
        <v>7797</v>
      </c>
      <c r="H1016" s="1" t="str">
        <f t="shared" si="15"/>
        <v>Intel SR1630 IPMI</v>
      </c>
    </row>
    <row r="1017" spans="1:8">
      <c r="A1017" s="1">
        <v>1016</v>
      </c>
      <c r="B1017" s="1" t="s">
        <v>18496</v>
      </c>
      <c r="C1017" s="1" t="s">
        <v>4008</v>
      </c>
      <c r="D1017" s="1" t="s">
        <v>7782</v>
      </c>
      <c r="E1017" s="1" t="s">
        <v>1494</v>
      </c>
      <c r="F1017" s="1" t="s">
        <v>7799</v>
      </c>
      <c r="G1017" s="1" t="s">
        <v>7800</v>
      </c>
      <c r="H1017" s="1" t="str">
        <f t="shared" si="15"/>
        <v>Intel SR1630 IPMI</v>
      </c>
    </row>
    <row r="1018" spans="1:8">
      <c r="A1018" s="1">
        <v>1017</v>
      </c>
      <c r="B1018" s="1" t="s">
        <v>18496</v>
      </c>
      <c r="C1018" s="1" t="s">
        <v>4012</v>
      </c>
      <c r="D1018" s="1" t="s">
        <v>7782</v>
      </c>
      <c r="E1018" s="1" t="s">
        <v>1498</v>
      </c>
      <c r="F1018" s="1" t="s">
        <v>7802</v>
      </c>
      <c r="G1018" s="1" t="s">
        <v>7803</v>
      </c>
      <c r="H1018" s="1" t="str">
        <f t="shared" si="15"/>
        <v>Intel SR1630 IPMI</v>
      </c>
    </row>
    <row r="1019" spans="1:8">
      <c r="A1019" s="1">
        <v>1018</v>
      </c>
      <c r="B1019" s="1" t="s">
        <v>18496</v>
      </c>
      <c r="C1019" s="1" t="s">
        <v>4016</v>
      </c>
      <c r="D1019" s="1" t="s">
        <v>7782</v>
      </c>
      <c r="E1019" s="1" t="s">
        <v>1502</v>
      </c>
      <c r="F1019" s="1" t="s">
        <v>7805</v>
      </c>
      <c r="G1019" s="1" t="s">
        <v>7806</v>
      </c>
      <c r="H1019" s="1" t="str">
        <f t="shared" si="15"/>
        <v>Intel SR1630 IPMI</v>
      </c>
    </row>
    <row r="1020" spans="1:8">
      <c r="A1020" s="1">
        <v>1019</v>
      </c>
      <c r="B1020" s="1" t="s">
        <v>18496</v>
      </c>
      <c r="C1020" s="1" t="s">
        <v>4020</v>
      </c>
      <c r="D1020" s="1" t="s">
        <v>7782</v>
      </c>
      <c r="E1020" s="1" t="s">
        <v>1506</v>
      </c>
      <c r="F1020" s="1" t="s">
        <v>7808</v>
      </c>
      <c r="G1020" s="1" t="s">
        <v>7809</v>
      </c>
      <c r="H1020" s="1" t="str">
        <f t="shared" si="15"/>
        <v>Intel SR1630 IPMI</v>
      </c>
    </row>
    <row r="1021" spans="1:8">
      <c r="A1021" s="1">
        <v>1020</v>
      </c>
      <c r="B1021" s="1" t="s">
        <v>18496</v>
      </c>
      <c r="C1021" s="1" t="s">
        <v>4022</v>
      </c>
      <c r="D1021" s="1" t="s">
        <v>7782</v>
      </c>
      <c r="E1021" s="1" t="s">
        <v>1510</v>
      </c>
      <c r="F1021" s="1" t="s">
        <v>7811</v>
      </c>
      <c r="G1021" s="1" t="s">
        <v>7812</v>
      </c>
      <c r="H1021" s="1" t="str">
        <f t="shared" si="15"/>
        <v>Intel SR1630 IPMI</v>
      </c>
    </row>
    <row r="1022" spans="1:8">
      <c r="A1022" s="1">
        <v>1021</v>
      </c>
      <c r="B1022" s="1" t="s">
        <v>18496</v>
      </c>
      <c r="C1022" s="1" t="s">
        <v>4024</v>
      </c>
      <c r="D1022" s="1" t="s">
        <v>7782</v>
      </c>
      <c r="E1022" s="1" t="s">
        <v>7814</v>
      </c>
      <c r="F1022" s="1" t="s">
        <v>7815</v>
      </c>
      <c r="G1022" s="1" t="s">
        <v>7816</v>
      </c>
      <c r="H1022" s="1" t="str">
        <f t="shared" si="15"/>
        <v>Intel SR1630 IPMI</v>
      </c>
    </row>
    <row r="1023" spans="1:8">
      <c r="A1023" s="1">
        <v>1022</v>
      </c>
      <c r="B1023" s="1" t="s">
        <v>18496</v>
      </c>
      <c r="C1023" s="1" t="s">
        <v>4026</v>
      </c>
      <c r="D1023" s="1" t="s">
        <v>7782</v>
      </c>
      <c r="E1023" s="1" t="s">
        <v>1514</v>
      </c>
      <c r="F1023" s="1" t="s">
        <v>7818</v>
      </c>
      <c r="G1023" s="1" t="s">
        <v>7819</v>
      </c>
      <c r="H1023" s="1" t="str">
        <f t="shared" si="15"/>
        <v>Intel SR1630 IPMI</v>
      </c>
    </row>
    <row r="1024" spans="1:8">
      <c r="A1024" s="1">
        <v>1023</v>
      </c>
      <c r="B1024" s="1" t="s">
        <v>18496</v>
      </c>
      <c r="C1024" s="1" t="s">
        <v>4028</v>
      </c>
      <c r="D1024" s="1" t="s">
        <v>7782</v>
      </c>
      <c r="E1024" s="1" t="s">
        <v>1518</v>
      </c>
      <c r="F1024" s="1" t="s">
        <v>7821</v>
      </c>
      <c r="G1024" s="1" t="s">
        <v>7822</v>
      </c>
      <c r="H1024" s="1" t="str">
        <f t="shared" si="15"/>
        <v>Intel SR1630 IPMI</v>
      </c>
    </row>
    <row r="1025" spans="1:8">
      <c r="A1025" s="1">
        <v>1024</v>
      </c>
      <c r="B1025" s="1" t="s">
        <v>18496</v>
      </c>
      <c r="C1025" s="1" t="s">
        <v>4030</v>
      </c>
      <c r="D1025" s="1" t="s">
        <v>7782</v>
      </c>
      <c r="E1025" s="1" t="s">
        <v>1522</v>
      </c>
      <c r="F1025" s="1" t="s">
        <v>7824</v>
      </c>
      <c r="G1025" s="1" t="s">
        <v>7825</v>
      </c>
      <c r="H1025" s="1" t="str">
        <f t="shared" si="15"/>
        <v>Intel SR1630 IPMI</v>
      </c>
    </row>
    <row r="1026" spans="1:8">
      <c r="A1026" s="1">
        <v>1025</v>
      </c>
      <c r="B1026" s="1" t="s">
        <v>18496</v>
      </c>
      <c r="C1026" s="1" t="s">
        <v>4032</v>
      </c>
      <c r="D1026" s="1" t="s">
        <v>7782</v>
      </c>
      <c r="E1026" s="1" t="s">
        <v>1526</v>
      </c>
      <c r="F1026" s="1" t="s">
        <v>7827</v>
      </c>
      <c r="G1026" s="1" t="s">
        <v>7828</v>
      </c>
      <c r="H1026" s="1" t="str">
        <f t="shared" ref="H1026:H1089" si="16">IFERROR(IF(OR(MID(G1026,FIND(":",G1026)-1,1)="""",MID(G1026,FIND(":",G1026)-1,1)="}",MID(G1026,FIND(":",G1026)-1,1)=")",MID(G1026,FIND(":",G1026)-1,1)="]"),"",LEFT(F1026,FIND(":",F1026)-1)),"")</f>
        <v>Intel SR1630 IPMI</v>
      </c>
    </row>
    <row r="1027" spans="1:8">
      <c r="A1027" s="1">
        <v>1026</v>
      </c>
      <c r="B1027" s="1" t="s">
        <v>18496</v>
      </c>
      <c r="C1027" s="1" t="s">
        <v>4036</v>
      </c>
      <c r="D1027" s="1" t="s">
        <v>7782</v>
      </c>
      <c r="E1027" s="1" t="s">
        <v>1530</v>
      </c>
      <c r="F1027" s="1" t="s">
        <v>7830</v>
      </c>
      <c r="G1027" s="1" t="s">
        <v>7831</v>
      </c>
      <c r="H1027" s="1" t="str">
        <f t="shared" si="16"/>
        <v>Intel SR1630 IPMI</v>
      </c>
    </row>
    <row r="1028" spans="1:8">
      <c r="A1028" s="1">
        <v>1027</v>
      </c>
      <c r="B1028" s="1" t="s">
        <v>18496</v>
      </c>
      <c r="C1028" s="1" t="s">
        <v>4040</v>
      </c>
      <c r="D1028" s="1" t="s">
        <v>7782</v>
      </c>
      <c r="E1028" s="1" t="s">
        <v>1534</v>
      </c>
      <c r="F1028" s="1" t="s">
        <v>7833</v>
      </c>
      <c r="G1028" s="1" t="s">
        <v>7834</v>
      </c>
      <c r="H1028" s="1" t="str">
        <f t="shared" si="16"/>
        <v>Intel SR1630 IPMI</v>
      </c>
    </row>
    <row r="1029" spans="1:8">
      <c r="A1029" s="1">
        <v>1028</v>
      </c>
      <c r="B1029" s="1" t="s">
        <v>18496</v>
      </c>
      <c r="C1029" s="1" t="s">
        <v>4042</v>
      </c>
      <c r="D1029" s="1" t="s">
        <v>7782</v>
      </c>
      <c r="E1029" s="1" t="s">
        <v>1538</v>
      </c>
      <c r="F1029" s="1" t="s">
        <v>7836</v>
      </c>
      <c r="G1029" s="1" t="s">
        <v>7837</v>
      </c>
      <c r="H1029" s="1" t="str">
        <f t="shared" si="16"/>
        <v>Intel SR1630 IPMI</v>
      </c>
    </row>
    <row r="1030" spans="1:8">
      <c r="A1030" s="1">
        <v>1029</v>
      </c>
      <c r="B1030" s="1" t="s">
        <v>18496</v>
      </c>
      <c r="C1030" s="1" t="s">
        <v>4046</v>
      </c>
      <c r="D1030" s="1" t="s">
        <v>7782</v>
      </c>
      <c r="E1030" s="1" t="s">
        <v>7839</v>
      </c>
      <c r="F1030" s="1" t="s">
        <v>7840</v>
      </c>
      <c r="G1030" s="1" t="s">
        <v>7841</v>
      </c>
      <c r="H1030" s="1" t="str">
        <f t="shared" si="16"/>
        <v>Intel SR1630 IPMI</v>
      </c>
    </row>
    <row r="1031" spans="1:8">
      <c r="A1031" s="1">
        <v>1030</v>
      </c>
      <c r="B1031" s="1" t="s">
        <v>18496</v>
      </c>
      <c r="C1031" s="1" t="s">
        <v>4050</v>
      </c>
      <c r="D1031" s="1" t="s">
        <v>7782</v>
      </c>
      <c r="E1031" s="1" t="s">
        <v>7843</v>
      </c>
      <c r="F1031" s="1" t="s">
        <v>7844</v>
      </c>
      <c r="G1031" s="1" t="s">
        <v>7845</v>
      </c>
      <c r="H1031" s="1" t="str">
        <f t="shared" si="16"/>
        <v>Intel SR1630 IPMI</v>
      </c>
    </row>
    <row r="1032" spans="1:8">
      <c r="A1032" s="1">
        <v>1031</v>
      </c>
      <c r="B1032" s="1" t="s">
        <v>18496</v>
      </c>
      <c r="C1032" s="1" t="s">
        <v>4054</v>
      </c>
      <c r="D1032" s="1" t="s">
        <v>7782</v>
      </c>
      <c r="E1032" s="1" t="s">
        <v>7847</v>
      </c>
      <c r="F1032" s="1" t="s">
        <v>7848</v>
      </c>
      <c r="G1032" s="1" t="s">
        <v>7849</v>
      </c>
      <c r="H1032" s="1" t="str">
        <f t="shared" si="16"/>
        <v>Intel SR1630 IPMI</v>
      </c>
    </row>
    <row r="1033" spans="1:8">
      <c r="A1033" s="1">
        <v>1032</v>
      </c>
      <c r="B1033" s="1" t="s">
        <v>18497</v>
      </c>
      <c r="C1033" s="1" t="s">
        <v>392</v>
      </c>
      <c r="D1033" s="1" t="s">
        <v>7851</v>
      </c>
      <c r="E1033" s="1" t="s">
        <v>2011</v>
      </c>
      <c r="F1033" s="1" t="s">
        <v>7852</v>
      </c>
      <c r="G1033" s="1" t="s">
        <v>7853</v>
      </c>
      <c r="H1033" s="1" t="str">
        <f t="shared" si="16"/>
        <v>Intel_Qlogic Infiniband</v>
      </c>
    </row>
    <row r="1034" spans="1:8">
      <c r="A1034" s="1">
        <v>1033</v>
      </c>
      <c r="B1034" s="1" t="s">
        <v>18497</v>
      </c>
      <c r="C1034" s="1" t="s">
        <v>397</v>
      </c>
      <c r="D1034" s="1" t="s">
        <v>7851</v>
      </c>
      <c r="E1034" s="1" t="s">
        <v>7855</v>
      </c>
      <c r="F1034" s="1" t="s">
        <v>7856</v>
      </c>
      <c r="G1034" s="1" t="s">
        <v>7857</v>
      </c>
      <c r="H1034" s="1" t="str">
        <f t="shared" si="16"/>
        <v>Intel_Qlogic Infiniband</v>
      </c>
    </row>
    <row r="1035" spans="1:8">
      <c r="A1035" s="1">
        <v>1034</v>
      </c>
      <c r="B1035" s="1" t="s">
        <v>18497</v>
      </c>
      <c r="C1035" s="1" t="s">
        <v>401</v>
      </c>
      <c r="D1035" s="1" t="s">
        <v>7851</v>
      </c>
      <c r="E1035" s="1" t="s">
        <v>7859</v>
      </c>
      <c r="F1035" s="1" t="s">
        <v>7860</v>
      </c>
      <c r="G1035" s="1" t="s">
        <v>7861</v>
      </c>
      <c r="H1035" s="1" t="str">
        <f t="shared" si="16"/>
        <v>Intel_Qlogic Infiniband</v>
      </c>
    </row>
    <row r="1036" spans="1:8">
      <c r="A1036" s="1">
        <v>1035</v>
      </c>
      <c r="B1036" s="1" t="s">
        <v>18497</v>
      </c>
      <c r="C1036" s="1" t="s">
        <v>405</v>
      </c>
      <c r="D1036" s="1" t="s">
        <v>7851</v>
      </c>
      <c r="E1036" s="1" t="s">
        <v>7863</v>
      </c>
      <c r="F1036" s="1" t="s">
        <v>7864</v>
      </c>
      <c r="G1036" s="1" t="s">
        <v>7865</v>
      </c>
      <c r="H1036" s="1" t="str">
        <f t="shared" si="16"/>
        <v>Intel_Qlogic Infiniband</v>
      </c>
    </row>
    <row r="1037" spans="1:8">
      <c r="A1037" s="1">
        <v>1036</v>
      </c>
      <c r="B1037" s="1" t="s">
        <v>18497</v>
      </c>
      <c r="C1037" s="1" t="s">
        <v>409</v>
      </c>
      <c r="D1037" s="1" t="s">
        <v>7851</v>
      </c>
      <c r="E1037" s="1" t="s">
        <v>7867</v>
      </c>
      <c r="F1037" s="1" t="s">
        <v>7868</v>
      </c>
      <c r="G1037" s="1" t="s">
        <v>7869</v>
      </c>
      <c r="H1037" s="1" t="str">
        <f t="shared" si="16"/>
        <v>Intel_Qlogic Infiniband</v>
      </c>
    </row>
    <row r="1038" spans="1:8">
      <c r="A1038" s="1">
        <v>1037</v>
      </c>
      <c r="B1038" s="1" t="s">
        <v>18497</v>
      </c>
      <c r="C1038" s="1" t="s">
        <v>413</v>
      </c>
      <c r="D1038" s="1" t="s">
        <v>7851</v>
      </c>
      <c r="E1038" s="1" t="s">
        <v>7871</v>
      </c>
      <c r="F1038" s="1" t="s">
        <v>7872</v>
      </c>
      <c r="G1038" s="1" t="s">
        <v>7873</v>
      </c>
      <c r="H1038" s="1" t="str">
        <f t="shared" si="16"/>
        <v>Intel_Qlogic Infiniband</v>
      </c>
    </row>
    <row r="1039" spans="1:8">
      <c r="A1039" s="1">
        <v>1038</v>
      </c>
      <c r="B1039" s="1" t="s">
        <v>18497</v>
      </c>
      <c r="C1039" s="1" t="s">
        <v>417</v>
      </c>
      <c r="D1039" s="1" t="s">
        <v>7851</v>
      </c>
      <c r="E1039" s="1" t="s">
        <v>7875</v>
      </c>
      <c r="F1039" s="1" t="s">
        <v>7876</v>
      </c>
      <c r="G1039" s="1" t="s">
        <v>7877</v>
      </c>
      <c r="H1039" s="1" t="str">
        <f t="shared" si="16"/>
        <v>Intel_Qlogic Infiniband</v>
      </c>
    </row>
    <row r="1040" spans="1:8">
      <c r="A1040" s="1">
        <v>1039</v>
      </c>
      <c r="B1040" s="1" t="s">
        <v>18498</v>
      </c>
      <c r="C1040" s="1" t="s">
        <v>93</v>
      </c>
      <c r="D1040" s="1" t="s">
        <v>7879</v>
      </c>
      <c r="E1040" s="1" t="s">
        <v>7880</v>
      </c>
      <c r="F1040" s="1" t="s">
        <v>7881</v>
      </c>
      <c r="G1040" s="1" t="s">
        <v>7882</v>
      </c>
      <c r="H1040" s="1" t="str">
        <f t="shared" si="16"/>
        <v>Jenkins</v>
      </c>
    </row>
    <row r="1041" spans="1:8">
      <c r="A1041" s="1">
        <v>1040</v>
      </c>
      <c r="B1041" s="1" t="s">
        <v>18498</v>
      </c>
      <c r="C1041" s="1" t="s">
        <v>98</v>
      </c>
      <c r="D1041" s="1" t="s">
        <v>7879</v>
      </c>
      <c r="E1041" s="1" t="s">
        <v>7884</v>
      </c>
      <c r="F1041" s="1" t="s">
        <v>7885</v>
      </c>
      <c r="G1041" s="1" t="s">
        <v>7886</v>
      </c>
      <c r="H1041" s="1" t="str">
        <f t="shared" si="16"/>
        <v>Jenkins</v>
      </c>
    </row>
    <row r="1042" spans="1:8">
      <c r="A1042" s="1">
        <v>1041</v>
      </c>
      <c r="B1042" s="1" t="s">
        <v>18498</v>
      </c>
      <c r="C1042" s="1" t="s">
        <v>102</v>
      </c>
      <c r="D1042" s="1" t="s">
        <v>7879</v>
      </c>
      <c r="E1042" s="1" t="s">
        <v>7888</v>
      </c>
      <c r="F1042" s="1" t="s">
        <v>7889</v>
      </c>
      <c r="G1042" s="1" t="s">
        <v>7890</v>
      </c>
      <c r="H1042" s="1" t="str">
        <f t="shared" si="16"/>
        <v>Jenkins</v>
      </c>
    </row>
    <row r="1043" spans="1:8">
      <c r="A1043" s="1">
        <v>1042</v>
      </c>
      <c r="B1043" s="1" t="s">
        <v>18498</v>
      </c>
      <c r="C1043" s="1" t="s">
        <v>106</v>
      </c>
      <c r="D1043" s="1" t="s">
        <v>7879</v>
      </c>
      <c r="E1043" s="1" t="s">
        <v>7892</v>
      </c>
      <c r="F1043" s="1" t="s">
        <v>7893</v>
      </c>
      <c r="G1043" s="1" t="s">
        <v>7894</v>
      </c>
      <c r="H1043" s="1" t="str">
        <f t="shared" si="16"/>
        <v>Jenkins</v>
      </c>
    </row>
    <row r="1044" spans="1:8">
      <c r="A1044" s="1">
        <v>1043</v>
      </c>
      <c r="B1044" s="1" t="s">
        <v>18498</v>
      </c>
      <c r="C1044" s="1" t="s">
        <v>110</v>
      </c>
      <c r="D1044" s="1" t="s">
        <v>7879</v>
      </c>
      <c r="E1044" s="1" t="s">
        <v>7896</v>
      </c>
      <c r="F1044" s="1" t="s">
        <v>7897</v>
      </c>
      <c r="G1044" s="1" t="s">
        <v>7898</v>
      </c>
      <c r="H1044" s="1" t="str">
        <f t="shared" si="16"/>
        <v>Jenkins</v>
      </c>
    </row>
    <row r="1045" spans="1:8">
      <c r="A1045" s="1">
        <v>1044</v>
      </c>
      <c r="B1045" s="1" t="s">
        <v>18498</v>
      </c>
      <c r="C1045" s="1" t="s">
        <v>114</v>
      </c>
      <c r="D1045" s="1" t="s">
        <v>7879</v>
      </c>
      <c r="E1045" s="1" t="s">
        <v>7900</v>
      </c>
      <c r="F1045" s="1" t="s">
        <v>7901</v>
      </c>
      <c r="G1045" s="1" t="s">
        <v>7902</v>
      </c>
      <c r="H1045" s="1" t="str">
        <f t="shared" si="16"/>
        <v>Jenkins</v>
      </c>
    </row>
    <row r="1046" spans="1:8">
      <c r="A1046" s="1">
        <v>1045</v>
      </c>
      <c r="B1046" s="1" t="s">
        <v>18498</v>
      </c>
      <c r="C1046" s="1" t="s">
        <v>118</v>
      </c>
      <c r="D1046" s="1" t="s">
        <v>7879</v>
      </c>
      <c r="E1046" s="1" t="s">
        <v>7904</v>
      </c>
      <c r="F1046" s="1" t="s">
        <v>7905</v>
      </c>
      <c r="G1046" s="1" t="s">
        <v>7906</v>
      </c>
      <c r="H1046" s="1" t="str">
        <f t="shared" si="16"/>
        <v>Jenkins</v>
      </c>
    </row>
    <row r="1047" spans="1:8">
      <c r="A1047" s="1">
        <v>1046</v>
      </c>
      <c r="B1047" s="1" t="s">
        <v>18498</v>
      </c>
      <c r="C1047" s="1" t="s">
        <v>122</v>
      </c>
      <c r="D1047" s="1" t="s">
        <v>7879</v>
      </c>
      <c r="E1047" s="1" t="s">
        <v>7908</v>
      </c>
      <c r="F1047" s="1" t="s">
        <v>7909</v>
      </c>
      <c r="G1047" s="1" t="s">
        <v>7910</v>
      </c>
      <c r="H1047" s="1" t="str">
        <f t="shared" si="16"/>
        <v>Jenkins</v>
      </c>
    </row>
    <row r="1048" spans="1:8">
      <c r="A1048" s="1">
        <v>1047</v>
      </c>
      <c r="B1048" s="1" t="s">
        <v>18498</v>
      </c>
      <c r="C1048" s="1" t="s">
        <v>126</v>
      </c>
      <c r="D1048" s="1" t="s">
        <v>7879</v>
      </c>
      <c r="E1048" s="1" t="s">
        <v>7912</v>
      </c>
      <c r="F1048" s="1" t="s">
        <v>7913</v>
      </c>
      <c r="G1048" s="1" t="s">
        <v>7914</v>
      </c>
      <c r="H1048" s="1" t="str">
        <f t="shared" si="16"/>
        <v>Jenkins</v>
      </c>
    </row>
    <row r="1049" spans="1:8">
      <c r="A1049" s="1">
        <v>1048</v>
      </c>
      <c r="B1049" s="1" t="s">
        <v>18499</v>
      </c>
      <c r="C1049" s="1" t="s">
        <v>93</v>
      </c>
      <c r="D1049" s="1" t="s">
        <v>7949</v>
      </c>
      <c r="E1049" s="1" t="s">
        <v>2020</v>
      </c>
      <c r="F1049" s="1" t="s">
        <v>7950</v>
      </c>
      <c r="G1049" s="1" t="s">
        <v>7951</v>
      </c>
      <c r="H1049" s="1" t="str">
        <f t="shared" si="16"/>
        <v>Juniper</v>
      </c>
    </row>
    <row r="1050" spans="1:8">
      <c r="A1050" s="1">
        <v>1049</v>
      </c>
      <c r="B1050" s="1" t="s">
        <v>18499</v>
      </c>
      <c r="C1050" s="1" t="s">
        <v>98</v>
      </c>
      <c r="D1050" s="1" t="s">
        <v>7949</v>
      </c>
      <c r="E1050" s="1" t="s">
        <v>7953</v>
      </c>
      <c r="F1050" s="1" t="s">
        <v>7954</v>
      </c>
      <c r="G1050" s="1" t="s">
        <v>7955</v>
      </c>
      <c r="H1050" s="1" t="str">
        <f t="shared" si="16"/>
        <v>Juniper</v>
      </c>
    </row>
    <row r="1051" spans="1:8">
      <c r="A1051" s="1">
        <v>1050</v>
      </c>
      <c r="B1051" s="1" t="s">
        <v>18499</v>
      </c>
      <c r="C1051" s="1" t="s">
        <v>102</v>
      </c>
      <c r="D1051" s="1" t="s">
        <v>7949</v>
      </c>
      <c r="E1051" s="1" t="s">
        <v>7957</v>
      </c>
      <c r="F1051" s="1" t="s">
        <v>7958</v>
      </c>
      <c r="G1051" s="1" t="s">
        <v>7959</v>
      </c>
      <c r="H1051" s="1" t="str">
        <f t="shared" si="16"/>
        <v>Juniper</v>
      </c>
    </row>
    <row r="1052" spans="1:8">
      <c r="A1052" s="1">
        <v>1051</v>
      </c>
      <c r="B1052" s="1" t="s">
        <v>18499</v>
      </c>
      <c r="C1052" s="1" t="s">
        <v>106</v>
      </c>
      <c r="D1052" s="1" t="s">
        <v>7949</v>
      </c>
      <c r="E1052" s="1" t="s">
        <v>7961</v>
      </c>
      <c r="F1052" s="1" t="s">
        <v>7962</v>
      </c>
      <c r="G1052" s="1" t="s">
        <v>7963</v>
      </c>
      <c r="H1052" s="1" t="str">
        <f t="shared" si="16"/>
        <v>Juniper</v>
      </c>
    </row>
    <row r="1053" spans="1:8">
      <c r="A1053" s="1">
        <v>1052</v>
      </c>
      <c r="B1053" s="1" t="s">
        <v>18499</v>
      </c>
      <c r="C1053" s="1" t="s">
        <v>110</v>
      </c>
      <c r="D1053" s="1" t="s">
        <v>7949</v>
      </c>
      <c r="E1053" s="1" t="s">
        <v>2024</v>
      </c>
      <c r="F1053" s="1" t="s">
        <v>7965</v>
      </c>
      <c r="G1053" s="1" t="s">
        <v>7966</v>
      </c>
      <c r="H1053" s="1" t="str">
        <f t="shared" si="16"/>
        <v>Juniper</v>
      </c>
    </row>
    <row r="1054" spans="1:8">
      <c r="A1054" s="1">
        <v>1053</v>
      </c>
      <c r="B1054" s="1" t="s">
        <v>18499</v>
      </c>
      <c r="C1054" s="1" t="s">
        <v>114</v>
      </c>
      <c r="D1054" s="1" t="s">
        <v>7949</v>
      </c>
      <c r="E1054" s="1" t="s">
        <v>2021</v>
      </c>
      <c r="F1054" s="1" t="s">
        <v>7968</v>
      </c>
      <c r="G1054" s="1" t="s">
        <v>7969</v>
      </c>
      <c r="H1054" s="1" t="str">
        <f t="shared" si="16"/>
        <v>Juniper</v>
      </c>
    </row>
    <row r="1055" spans="1:8">
      <c r="A1055" s="1">
        <v>1054</v>
      </c>
      <c r="B1055" s="1" t="s">
        <v>18499</v>
      </c>
      <c r="C1055" s="1" t="s">
        <v>118</v>
      </c>
      <c r="D1055" s="1" t="s">
        <v>7949</v>
      </c>
      <c r="E1055" s="1" t="s">
        <v>7971</v>
      </c>
      <c r="F1055" s="1" t="s">
        <v>7972</v>
      </c>
      <c r="G1055" s="1" t="s">
        <v>7973</v>
      </c>
      <c r="H1055" s="1" t="str">
        <f t="shared" si="16"/>
        <v>Juniper</v>
      </c>
    </row>
    <row r="1056" spans="1:8">
      <c r="A1056" s="1">
        <v>1055</v>
      </c>
      <c r="B1056" s="1" t="s">
        <v>18499</v>
      </c>
      <c r="C1056" s="1" t="s">
        <v>122</v>
      </c>
      <c r="D1056" s="1" t="s">
        <v>7949</v>
      </c>
      <c r="E1056" s="1" t="s">
        <v>7975</v>
      </c>
      <c r="F1056" s="1" t="s">
        <v>7976</v>
      </c>
      <c r="G1056" s="1" t="s">
        <v>7977</v>
      </c>
      <c r="H1056" s="1" t="str">
        <f t="shared" si="16"/>
        <v>Juniper</v>
      </c>
    </row>
    <row r="1057" spans="1:8">
      <c r="A1057" s="1">
        <v>1056</v>
      </c>
      <c r="B1057" s="1" t="s">
        <v>18499</v>
      </c>
      <c r="C1057" s="1" t="s">
        <v>126</v>
      </c>
      <c r="D1057" s="1" t="s">
        <v>7949</v>
      </c>
      <c r="E1057" s="1" t="s">
        <v>7979</v>
      </c>
      <c r="F1057" s="1" t="s">
        <v>7980</v>
      </c>
      <c r="G1057" s="1" t="s">
        <v>7981</v>
      </c>
      <c r="H1057" s="1" t="str">
        <f t="shared" si="16"/>
        <v>Juniper</v>
      </c>
    </row>
    <row r="1058" spans="1:8">
      <c r="A1058" s="1">
        <v>1057</v>
      </c>
      <c r="B1058" s="1" t="s">
        <v>18500</v>
      </c>
      <c r="C1058" s="1" t="s">
        <v>201</v>
      </c>
      <c r="D1058" s="1" t="s">
        <v>7983</v>
      </c>
      <c r="E1058" s="1" t="s">
        <v>7984</v>
      </c>
      <c r="F1058" s="1" t="s">
        <v>7985</v>
      </c>
      <c r="G1058" s="1" t="s">
        <v>7986</v>
      </c>
      <c r="H1058" s="1" t="str">
        <f t="shared" si="16"/>
        <v>Kubernetes API</v>
      </c>
    </row>
    <row r="1059" spans="1:8">
      <c r="A1059" s="1">
        <v>1058</v>
      </c>
      <c r="B1059" s="1" t="s">
        <v>18500</v>
      </c>
      <c r="C1059" s="1" t="s">
        <v>206</v>
      </c>
      <c r="D1059" s="1" t="s">
        <v>7983</v>
      </c>
      <c r="E1059" s="1" t="s">
        <v>7988</v>
      </c>
      <c r="F1059" s="1" t="s">
        <v>7989</v>
      </c>
      <c r="G1059" s="1" t="s">
        <v>7990</v>
      </c>
      <c r="H1059" s="1" t="str">
        <f t="shared" si="16"/>
        <v>Kubernetes API</v>
      </c>
    </row>
    <row r="1060" spans="1:8">
      <c r="A1060" s="1">
        <v>1059</v>
      </c>
      <c r="B1060" s="1" t="s">
        <v>18501</v>
      </c>
      <c r="C1060" s="1" t="s">
        <v>84</v>
      </c>
      <c r="D1060" s="1" t="s">
        <v>7992</v>
      </c>
      <c r="E1060" s="1" t="s">
        <v>7993</v>
      </c>
      <c r="F1060" s="1" t="s">
        <v>7994</v>
      </c>
      <c r="G1060" s="1" t="s">
        <v>7995</v>
      </c>
      <c r="H1060" s="1" t="str">
        <f t="shared" si="16"/>
        <v>Kubernetes Controller Manager</v>
      </c>
    </row>
    <row r="1061" spans="1:8">
      <c r="A1061" s="1">
        <v>1060</v>
      </c>
      <c r="B1061" s="1" t="s">
        <v>18502</v>
      </c>
      <c r="C1061" s="1" t="s">
        <v>285</v>
      </c>
      <c r="D1061" s="1" t="s">
        <v>7997</v>
      </c>
      <c r="E1061" s="1" t="s">
        <v>7998</v>
      </c>
      <c r="F1061" s="1" t="s">
        <v>7999</v>
      </c>
      <c r="G1061" s="1" t="s">
        <v>8000</v>
      </c>
      <c r="H1061" s="1" t="str">
        <f t="shared" si="16"/>
        <v>Kubernetes Scheduler</v>
      </c>
    </row>
    <row r="1062" spans="1:8">
      <c r="A1062" s="1">
        <v>1061</v>
      </c>
      <c r="B1062" s="1" t="s">
        <v>18502</v>
      </c>
      <c r="C1062" s="1" t="s">
        <v>290</v>
      </c>
      <c r="D1062" s="1" t="s">
        <v>7997</v>
      </c>
      <c r="E1062" s="1" t="s">
        <v>8002</v>
      </c>
      <c r="F1062" s="1" t="s">
        <v>8003</v>
      </c>
      <c r="G1062" s="1" t="s">
        <v>8004</v>
      </c>
      <c r="H1062" s="1" t="str">
        <f t="shared" si="16"/>
        <v>Kubernetes Scheduler</v>
      </c>
    </row>
    <row r="1063" spans="1:8">
      <c r="A1063" s="1">
        <v>1062</v>
      </c>
      <c r="B1063" s="1" t="s">
        <v>18502</v>
      </c>
      <c r="C1063" s="1" t="s">
        <v>294</v>
      </c>
      <c r="D1063" s="1" t="s">
        <v>7997</v>
      </c>
      <c r="E1063" s="1" t="s">
        <v>8006</v>
      </c>
      <c r="F1063" s="1" t="s">
        <v>8007</v>
      </c>
      <c r="G1063" s="1" t="s">
        <v>8008</v>
      </c>
      <c r="H1063" s="1" t="str">
        <f t="shared" si="16"/>
        <v>Kubernetes Scheduler</v>
      </c>
    </row>
    <row r="1064" spans="1:8">
      <c r="A1064" s="1">
        <v>1063</v>
      </c>
      <c r="B1064" s="1" t="s">
        <v>18503</v>
      </c>
      <c r="C1064" s="1" t="s">
        <v>84</v>
      </c>
      <c r="D1064" s="1" t="s">
        <v>8010</v>
      </c>
      <c r="E1064" s="1" t="s">
        <v>8011</v>
      </c>
      <c r="F1064" s="1" t="s">
        <v>8012</v>
      </c>
      <c r="G1064" s="1" t="s">
        <v>8013</v>
      </c>
      <c r="H1064" s="1" t="str">
        <f t="shared" si="16"/>
        <v>Kubernetes</v>
      </c>
    </row>
    <row r="1065" spans="1:8">
      <c r="A1065" s="1">
        <v>1064</v>
      </c>
      <c r="B1065" s="1" t="s">
        <v>18504</v>
      </c>
      <c r="C1065" s="1" t="s">
        <v>299</v>
      </c>
      <c r="D1065" s="1" t="s">
        <v>8029</v>
      </c>
      <c r="E1065" s="1" t="s">
        <v>3591</v>
      </c>
      <c r="F1065" s="1" t="s">
        <v>8030</v>
      </c>
      <c r="G1065" s="1" t="s">
        <v>8031</v>
      </c>
      <c r="H1065" s="1" t="str">
        <f t="shared" si="16"/>
        <v>Linux</v>
      </c>
    </row>
    <row r="1066" spans="1:8">
      <c r="A1066" s="1">
        <v>1065</v>
      </c>
      <c r="B1066" s="1" t="s">
        <v>18504</v>
      </c>
      <c r="C1066" s="1" t="s">
        <v>304</v>
      </c>
      <c r="D1066" s="1" t="s">
        <v>8029</v>
      </c>
      <c r="E1066" s="1" t="s">
        <v>3285</v>
      </c>
      <c r="F1066" s="1" t="s">
        <v>8022</v>
      </c>
      <c r="G1066" s="1" t="s">
        <v>8023</v>
      </c>
      <c r="H1066" s="1" t="str">
        <f t="shared" si="16"/>
        <v>Linux</v>
      </c>
    </row>
    <row r="1067" spans="1:8">
      <c r="A1067" s="1">
        <v>1066</v>
      </c>
      <c r="B1067" s="1" t="s">
        <v>18504</v>
      </c>
      <c r="C1067" s="1" t="s">
        <v>308</v>
      </c>
      <c r="D1067" s="1" t="s">
        <v>8029</v>
      </c>
      <c r="E1067" s="1" t="s">
        <v>8034</v>
      </c>
      <c r="F1067" s="1" t="s">
        <v>8035</v>
      </c>
      <c r="G1067" s="1" t="s">
        <v>8036</v>
      </c>
      <c r="H1067" s="1" t="str">
        <f t="shared" si="16"/>
        <v>Linux</v>
      </c>
    </row>
    <row r="1068" spans="1:8">
      <c r="A1068" s="1">
        <v>1067</v>
      </c>
      <c r="B1068" s="1" t="s">
        <v>18504</v>
      </c>
      <c r="C1068" s="1" t="s">
        <v>312</v>
      </c>
      <c r="D1068" s="1" t="s">
        <v>8029</v>
      </c>
      <c r="E1068" s="1" t="s">
        <v>3275</v>
      </c>
      <c r="F1068" s="1" t="s">
        <v>8038</v>
      </c>
      <c r="G1068" s="1" t="s">
        <v>8039</v>
      </c>
      <c r="H1068" s="1" t="str">
        <f t="shared" si="16"/>
        <v>Linux</v>
      </c>
    </row>
    <row r="1069" spans="1:8">
      <c r="A1069" s="1">
        <v>1068</v>
      </c>
      <c r="B1069" s="1" t="s">
        <v>18504</v>
      </c>
      <c r="C1069" s="1" t="s">
        <v>316</v>
      </c>
      <c r="D1069" s="1" t="s">
        <v>8029</v>
      </c>
      <c r="E1069" s="1" t="s">
        <v>3286</v>
      </c>
      <c r="F1069" s="1" t="s">
        <v>8018</v>
      </c>
      <c r="G1069" s="1" t="s">
        <v>8019</v>
      </c>
      <c r="H1069" s="1" t="str">
        <f t="shared" si="16"/>
        <v>Linux</v>
      </c>
    </row>
    <row r="1070" spans="1:8">
      <c r="A1070" s="1">
        <v>1069</v>
      </c>
      <c r="B1070" s="1" t="s">
        <v>18504</v>
      </c>
      <c r="C1070" s="1" t="s">
        <v>320</v>
      </c>
      <c r="D1070" s="1" t="s">
        <v>8029</v>
      </c>
      <c r="E1070" s="1" t="s">
        <v>3279</v>
      </c>
      <c r="F1070" s="1" t="s">
        <v>8042</v>
      </c>
      <c r="G1070" s="1" t="s">
        <v>8043</v>
      </c>
      <c r="H1070" s="1" t="str">
        <f t="shared" si="16"/>
        <v>Linux</v>
      </c>
    </row>
    <row r="1071" spans="1:8">
      <c r="A1071" s="1">
        <v>1070</v>
      </c>
      <c r="B1071" s="1" t="s">
        <v>18504</v>
      </c>
      <c r="C1071" s="1" t="s">
        <v>324</v>
      </c>
      <c r="D1071" s="1" t="s">
        <v>8029</v>
      </c>
      <c r="E1071" s="1" t="s">
        <v>3280</v>
      </c>
      <c r="F1071" s="1" t="s">
        <v>8045</v>
      </c>
      <c r="G1071" s="1" t="s">
        <v>8046</v>
      </c>
      <c r="H1071" s="1" t="str">
        <f t="shared" si="16"/>
        <v>Linux</v>
      </c>
    </row>
    <row r="1072" spans="1:8">
      <c r="A1072" s="1">
        <v>1071</v>
      </c>
      <c r="B1072" s="1" t="s">
        <v>18504</v>
      </c>
      <c r="C1072" s="1" t="s">
        <v>328</v>
      </c>
      <c r="D1072" s="1" t="s">
        <v>8029</v>
      </c>
      <c r="E1072" s="1" t="s">
        <v>8048</v>
      </c>
      <c r="F1072" s="1" t="s">
        <v>8049</v>
      </c>
      <c r="G1072" s="1" t="s">
        <v>8050</v>
      </c>
      <c r="H1072" s="1" t="str">
        <f t="shared" si="16"/>
        <v>Linux</v>
      </c>
    </row>
    <row r="1073" spans="1:8">
      <c r="A1073" s="1">
        <v>1072</v>
      </c>
      <c r="B1073" s="1" t="s">
        <v>18504</v>
      </c>
      <c r="C1073" s="1" t="s">
        <v>332</v>
      </c>
      <c r="D1073" s="1" t="s">
        <v>8029</v>
      </c>
      <c r="E1073" s="1" t="s">
        <v>3283</v>
      </c>
      <c r="F1073" s="1" t="s">
        <v>8052</v>
      </c>
      <c r="G1073" s="1" t="s">
        <v>8053</v>
      </c>
      <c r="H1073" s="1" t="str">
        <f t="shared" si="16"/>
        <v>Linux</v>
      </c>
    </row>
    <row r="1074" spans="1:8">
      <c r="A1074" s="1">
        <v>1073</v>
      </c>
      <c r="B1074" s="1" t="s">
        <v>18504</v>
      </c>
      <c r="C1074" s="1" t="s">
        <v>336</v>
      </c>
      <c r="D1074" s="1" t="s">
        <v>8029</v>
      </c>
      <c r="E1074" s="1" t="s">
        <v>3278</v>
      </c>
      <c r="F1074" s="1" t="s">
        <v>8055</v>
      </c>
      <c r="G1074" s="1" t="s">
        <v>8056</v>
      </c>
      <c r="H1074" s="1" t="str">
        <f t="shared" si="16"/>
        <v>Linux</v>
      </c>
    </row>
    <row r="1075" spans="1:8">
      <c r="A1075" s="1">
        <v>1074</v>
      </c>
      <c r="B1075" s="1" t="s">
        <v>18504</v>
      </c>
      <c r="C1075" s="1" t="s">
        <v>340</v>
      </c>
      <c r="D1075" s="1" t="s">
        <v>8029</v>
      </c>
      <c r="E1075" s="1" t="s">
        <v>3287</v>
      </c>
      <c r="F1075" s="1" t="s">
        <v>8058</v>
      </c>
      <c r="G1075" s="1" t="s">
        <v>8059</v>
      </c>
      <c r="H1075" s="1" t="str">
        <f t="shared" si="16"/>
        <v>Linux</v>
      </c>
    </row>
    <row r="1076" spans="1:8">
      <c r="A1076" s="1">
        <v>1075</v>
      </c>
      <c r="B1076" s="1" t="s">
        <v>18504</v>
      </c>
      <c r="C1076" s="1" t="s">
        <v>344</v>
      </c>
      <c r="D1076" s="1" t="s">
        <v>8029</v>
      </c>
      <c r="E1076" s="1" t="s">
        <v>3284</v>
      </c>
      <c r="F1076" s="1" t="s">
        <v>8061</v>
      </c>
      <c r="G1076" s="1" t="s">
        <v>8062</v>
      </c>
      <c r="H1076" s="1" t="str">
        <f t="shared" si="16"/>
        <v>Linux</v>
      </c>
    </row>
    <row r="1077" spans="1:8">
      <c r="A1077" s="1">
        <v>1076</v>
      </c>
      <c r="B1077" s="1" t="s">
        <v>18505</v>
      </c>
      <c r="C1077" s="1" t="s">
        <v>131</v>
      </c>
      <c r="D1077" s="1" t="s">
        <v>8064</v>
      </c>
      <c r="E1077" s="1" t="s">
        <v>8065</v>
      </c>
      <c r="F1077" s="1" t="s">
        <v>8030</v>
      </c>
      <c r="G1077" s="1" t="s">
        <v>8031</v>
      </c>
      <c r="H1077" s="1" t="str">
        <f t="shared" si="16"/>
        <v>Linux</v>
      </c>
    </row>
    <row r="1078" spans="1:8">
      <c r="A1078" s="1">
        <v>1077</v>
      </c>
      <c r="B1078" s="1" t="s">
        <v>18505</v>
      </c>
      <c r="C1078" s="1" t="s">
        <v>136</v>
      </c>
      <c r="D1078" s="1" t="s">
        <v>8064</v>
      </c>
      <c r="E1078" s="1" t="s">
        <v>8067</v>
      </c>
      <c r="F1078" s="1" t="s">
        <v>8035</v>
      </c>
      <c r="G1078" s="1" t="s">
        <v>8036</v>
      </c>
      <c r="H1078" s="1" t="str">
        <f t="shared" si="16"/>
        <v>Linux</v>
      </c>
    </row>
    <row r="1079" spans="1:8">
      <c r="A1079" s="1">
        <v>1078</v>
      </c>
      <c r="B1079" s="1" t="s">
        <v>18505</v>
      </c>
      <c r="C1079" s="1" t="s">
        <v>138</v>
      </c>
      <c r="D1079" s="1" t="s">
        <v>8064</v>
      </c>
      <c r="E1079" s="1" t="s">
        <v>8069</v>
      </c>
      <c r="F1079" s="1" t="s">
        <v>8070</v>
      </c>
      <c r="G1079" s="1" t="s">
        <v>8071</v>
      </c>
      <c r="H1079" s="1" t="str">
        <f t="shared" si="16"/>
        <v>Linux</v>
      </c>
    </row>
    <row r="1080" spans="1:8">
      <c r="A1080" s="1">
        <v>1079</v>
      </c>
      <c r="B1080" s="1" t="s">
        <v>18505</v>
      </c>
      <c r="C1080" s="1" t="s">
        <v>140</v>
      </c>
      <c r="D1080" s="1" t="s">
        <v>8064</v>
      </c>
      <c r="E1080" s="1" t="s">
        <v>8073</v>
      </c>
      <c r="F1080" s="1" t="s">
        <v>8074</v>
      </c>
      <c r="G1080" s="1" t="s">
        <v>8075</v>
      </c>
      <c r="H1080" s="1" t="str">
        <f t="shared" si="16"/>
        <v>Linux</v>
      </c>
    </row>
    <row r="1081" spans="1:8">
      <c r="A1081" s="1">
        <v>1080</v>
      </c>
      <c r="B1081" s="1" t="s">
        <v>18505</v>
      </c>
      <c r="C1081" s="1" t="s">
        <v>142</v>
      </c>
      <c r="D1081" s="1" t="s">
        <v>8064</v>
      </c>
      <c r="E1081" s="1" t="s">
        <v>8077</v>
      </c>
      <c r="F1081" s="1" t="s">
        <v>8078</v>
      </c>
      <c r="G1081" s="1" t="s">
        <v>8079</v>
      </c>
      <c r="H1081" s="1" t="str">
        <f t="shared" si="16"/>
        <v>Linux</v>
      </c>
    </row>
    <row r="1082" spans="1:8">
      <c r="A1082" s="1">
        <v>1081</v>
      </c>
      <c r="B1082" s="1" t="s">
        <v>18505</v>
      </c>
      <c r="C1082" s="1" t="s">
        <v>144</v>
      </c>
      <c r="D1082" s="1" t="s">
        <v>8064</v>
      </c>
      <c r="E1082" s="1" t="s">
        <v>8081</v>
      </c>
      <c r="F1082" s="1" t="s">
        <v>8018</v>
      </c>
      <c r="G1082" s="1" t="s">
        <v>8019</v>
      </c>
      <c r="H1082" s="1" t="str">
        <f t="shared" si="16"/>
        <v>Linux</v>
      </c>
    </row>
    <row r="1083" spans="1:8">
      <c r="A1083" s="1">
        <v>1082</v>
      </c>
      <c r="B1083" s="1" t="s">
        <v>18505</v>
      </c>
      <c r="C1083" s="1" t="s">
        <v>146</v>
      </c>
      <c r="D1083" s="1" t="s">
        <v>8064</v>
      </c>
      <c r="E1083" s="1" t="s">
        <v>8083</v>
      </c>
      <c r="F1083" s="1" t="s">
        <v>8049</v>
      </c>
      <c r="G1083" s="1" t="s">
        <v>8050</v>
      </c>
      <c r="H1083" s="1" t="str">
        <f t="shared" si="16"/>
        <v>Linux</v>
      </c>
    </row>
    <row r="1084" spans="1:8">
      <c r="A1084" s="1">
        <v>1083</v>
      </c>
      <c r="B1084" s="1" t="s">
        <v>18505</v>
      </c>
      <c r="C1084" s="1" t="s">
        <v>148</v>
      </c>
      <c r="D1084" s="1" t="s">
        <v>8064</v>
      </c>
      <c r="E1084" s="1" t="s">
        <v>8085</v>
      </c>
      <c r="F1084" s="1" t="s">
        <v>8086</v>
      </c>
      <c r="G1084" s="1" t="s">
        <v>8087</v>
      </c>
      <c r="H1084" s="1" t="str">
        <f t="shared" si="16"/>
        <v>Linux</v>
      </c>
    </row>
    <row r="1085" spans="1:8">
      <c r="A1085" s="1">
        <v>1084</v>
      </c>
      <c r="B1085" s="1" t="s">
        <v>18505</v>
      </c>
      <c r="C1085" s="1" t="s">
        <v>150</v>
      </c>
      <c r="D1085" s="1" t="s">
        <v>8064</v>
      </c>
      <c r="E1085" s="1" t="s">
        <v>8089</v>
      </c>
      <c r="F1085" s="1" t="s">
        <v>8058</v>
      </c>
      <c r="G1085" s="1" t="s">
        <v>8059</v>
      </c>
      <c r="H1085" s="1" t="str">
        <f t="shared" si="16"/>
        <v>Linux</v>
      </c>
    </row>
    <row r="1086" spans="1:8">
      <c r="A1086" s="1">
        <v>1085</v>
      </c>
      <c r="B1086" s="1" t="s">
        <v>18505</v>
      </c>
      <c r="C1086" s="1" t="s">
        <v>152</v>
      </c>
      <c r="D1086" s="1" t="s">
        <v>8064</v>
      </c>
      <c r="E1086" s="1" t="s">
        <v>8091</v>
      </c>
      <c r="F1086" s="1" t="s">
        <v>8092</v>
      </c>
      <c r="G1086" s="1" t="s">
        <v>8093</v>
      </c>
      <c r="H1086" s="1" t="str">
        <f t="shared" si="16"/>
        <v>Linux</v>
      </c>
    </row>
    <row r="1087" spans="1:8">
      <c r="A1087" s="1">
        <v>1086</v>
      </c>
      <c r="B1087" s="1" t="s">
        <v>18506</v>
      </c>
      <c r="C1087" s="1" t="s">
        <v>18507</v>
      </c>
      <c r="D1087" s="1" t="s">
        <v>8095</v>
      </c>
      <c r="E1087" s="1" t="s">
        <v>8096</v>
      </c>
      <c r="F1087" s="1" t="s">
        <v>8030</v>
      </c>
      <c r="G1087" s="1" t="s">
        <v>8031</v>
      </c>
      <c r="H1087" s="1" t="str">
        <f t="shared" si="16"/>
        <v>Linux</v>
      </c>
    </row>
    <row r="1088" spans="1:8">
      <c r="A1088" s="1">
        <v>1087</v>
      </c>
      <c r="B1088" s="1" t="s">
        <v>18506</v>
      </c>
      <c r="C1088" s="1" t="s">
        <v>18508</v>
      </c>
      <c r="D1088" s="1" t="s">
        <v>8095</v>
      </c>
      <c r="E1088" s="1" t="s">
        <v>8098</v>
      </c>
      <c r="F1088" s="1" t="s">
        <v>8099</v>
      </c>
      <c r="G1088" s="1" t="s">
        <v>8100</v>
      </c>
      <c r="H1088" s="1" t="str">
        <f t="shared" si="16"/>
        <v>Linux</v>
      </c>
    </row>
    <row r="1089" spans="1:8">
      <c r="A1089" s="1">
        <v>1088</v>
      </c>
      <c r="B1089" s="1" t="s">
        <v>18506</v>
      </c>
      <c r="C1089" s="1" t="s">
        <v>18509</v>
      </c>
      <c r="D1089" s="1" t="s">
        <v>8095</v>
      </c>
      <c r="E1089" s="1" t="s">
        <v>8102</v>
      </c>
      <c r="F1089" s="1" t="s">
        <v>8022</v>
      </c>
      <c r="G1089" s="1" t="s">
        <v>8023</v>
      </c>
      <c r="H1089" s="1" t="str">
        <f t="shared" si="16"/>
        <v>Linux</v>
      </c>
    </row>
    <row r="1090" spans="1:8">
      <c r="A1090" s="1">
        <v>1089</v>
      </c>
      <c r="B1090" s="1" t="s">
        <v>18506</v>
      </c>
      <c r="C1090" s="1" t="s">
        <v>18510</v>
      </c>
      <c r="D1090" s="1" t="s">
        <v>8095</v>
      </c>
      <c r="E1090" s="1" t="s">
        <v>8104</v>
      </c>
      <c r="F1090" s="1" t="s">
        <v>8035</v>
      </c>
      <c r="G1090" s="1" t="s">
        <v>8036</v>
      </c>
      <c r="H1090" s="1" t="str">
        <f t="shared" ref="H1090:H1153" si="17">IFERROR(IF(OR(MID(G1090,FIND(":",G1090)-1,1)="""",MID(G1090,FIND(":",G1090)-1,1)="}",MID(G1090,FIND(":",G1090)-1,1)=")",MID(G1090,FIND(":",G1090)-1,1)="]"),"",LEFT(F1090,FIND(":",F1090)-1)),"")</f>
        <v>Linux</v>
      </c>
    </row>
    <row r="1091" spans="1:8">
      <c r="A1091" s="1">
        <v>1090</v>
      </c>
      <c r="B1091" s="1" t="s">
        <v>18506</v>
      </c>
      <c r="C1091" s="1" t="s">
        <v>18511</v>
      </c>
      <c r="D1091" s="1" t="s">
        <v>8095</v>
      </c>
      <c r="E1091" s="1" t="s">
        <v>8106</v>
      </c>
      <c r="F1091" s="1" t="s">
        <v>8018</v>
      </c>
      <c r="G1091" s="1" t="s">
        <v>8019</v>
      </c>
      <c r="H1091" s="1" t="str">
        <f t="shared" si="17"/>
        <v>Linux</v>
      </c>
    </row>
    <row r="1092" spans="1:8">
      <c r="A1092" s="1">
        <v>1091</v>
      </c>
      <c r="B1092" s="1" t="s">
        <v>18506</v>
      </c>
      <c r="C1092" s="1" t="s">
        <v>18512</v>
      </c>
      <c r="D1092" s="1" t="s">
        <v>8095</v>
      </c>
      <c r="E1092" s="1" t="s">
        <v>8108</v>
      </c>
      <c r="F1092" s="1" t="s">
        <v>8042</v>
      </c>
      <c r="G1092" s="1" t="s">
        <v>8043</v>
      </c>
      <c r="H1092" s="1" t="str">
        <f t="shared" si="17"/>
        <v>Linux</v>
      </c>
    </row>
    <row r="1093" spans="1:8">
      <c r="A1093" s="1">
        <v>1092</v>
      </c>
      <c r="B1093" s="1" t="s">
        <v>18506</v>
      </c>
      <c r="C1093" s="1" t="s">
        <v>18513</v>
      </c>
      <c r="D1093" s="1" t="s">
        <v>8095</v>
      </c>
      <c r="E1093" s="1" t="s">
        <v>8110</v>
      </c>
      <c r="F1093" s="1" t="s">
        <v>8111</v>
      </c>
      <c r="G1093" s="1" t="s">
        <v>8112</v>
      </c>
      <c r="H1093" s="1" t="str">
        <f t="shared" si="17"/>
        <v>Linux</v>
      </c>
    </row>
    <row r="1094" spans="1:8">
      <c r="A1094" s="1">
        <v>1093</v>
      </c>
      <c r="B1094" s="1" t="s">
        <v>18506</v>
      </c>
      <c r="C1094" s="1" t="s">
        <v>18514</v>
      </c>
      <c r="D1094" s="1" t="s">
        <v>8095</v>
      </c>
      <c r="E1094" s="1" t="s">
        <v>8114</v>
      </c>
      <c r="F1094" s="1" t="s">
        <v>8115</v>
      </c>
      <c r="G1094" s="1" t="s">
        <v>8116</v>
      </c>
      <c r="H1094" s="1" t="str">
        <f t="shared" si="17"/>
        <v>Linux</v>
      </c>
    </row>
    <row r="1095" spans="1:8">
      <c r="A1095" s="1">
        <v>1094</v>
      </c>
      <c r="B1095" s="1" t="s">
        <v>18506</v>
      </c>
      <c r="C1095" s="1" t="s">
        <v>18515</v>
      </c>
      <c r="D1095" s="1" t="s">
        <v>8095</v>
      </c>
      <c r="E1095" s="1" t="s">
        <v>8118</v>
      </c>
      <c r="F1095" s="1" t="s">
        <v>8049</v>
      </c>
      <c r="G1095" s="1" t="s">
        <v>8050</v>
      </c>
      <c r="H1095" s="1" t="str">
        <f t="shared" si="17"/>
        <v>Linux</v>
      </c>
    </row>
    <row r="1096" spans="1:8">
      <c r="A1096" s="1">
        <v>1095</v>
      </c>
      <c r="B1096" s="1" t="s">
        <v>18506</v>
      </c>
      <c r="C1096" s="1" t="s">
        <v>18516</v>
      </c>
      <c r="D1096" s="1" t="s">
        <v>8095</v>
      </c>
      <c r="E1096" s="1" t="s">
        <v>6831</v>
      </c>
      <c r="F1096" s="1" t="s">
        <v>14850</v>
      </c>
      <c r="G1096" s="1" t="s">
        <v>18517</v>
      </c>
      <c r="H1096" s="1" t="str">
        <f t="shared" si="17"/>
        <v/>
      </c>
    </row>
    <row r="1097" spans="1:8">
      <c r="A1097" s="1">
        <v>1096</v>
      </c>
      <c r="B1097" s="1" t="s">
        <v>18506</v>
      </c>
      <c r="C1097" s="1" t="s">
        <v>18518</v>
      </c>
      <c r="D1097" s="1" t="s">
        <v>8095</v>
      </c>
      <c r="E1097" s="1" t="s">
        <v>8120</v>
      </c>
      <c r="F1097" s="1" t="s">
        <v>8052</v>
      </c>
      <c r="G1097" s="1" t="s">
        <v>8053</v>
      </c>
      <c r="H1097" s="1" t="str">
        <f t="shared" si="17"/>
        <v>Linux</v>
      </c>
    </row>
    <row r="1098" spans="1:8">
      <c r="A1098" s="1">
        <v>1097</v>
      </c>
      <c r="B1098" s="1" t="s">
        <v>18506</v>
      </c>
      <c r="C1098" s="1" t="s">
        <v>18519</v>
      </c>
      <c r="D1098" s="1" t="s">
        <v>8095</v>
      </c>
      <c r="E1098" s="1" t="s">
        <v>8122</v>
      </c>
      <c r="F1098" s="1" t="s">
        <v>8055</v>
      </c>
      <c r="G1098" s="1" t="s">
        <v>8056</v>
      </c>
      <c r="H1098" s="1" t="str">
        <f t="shared" si="17"/>
        <v>Linux</v>
      </c>
    </row>
    <row r="1099" spans="1:8">
      <c r="A1099" s="1">
        <v>1098</v>
      </c>
      <c r="B1099" s="1" t="s">
        <v>18506</v>
      </c>
      <c r="C1099" s="1" t="s">
        <v>18520</v>
      </c>
      <c r="D1099" s="1" t="s">
        <v>8095</v>
      </c>
      <c r="E1099" s="1" t="s">
        <v>8124</v>
      </c>
      <c r="F1099" s="1" t="s">
        <v>8058</v>
      </c>
      <c r="G1099" s="1" t="s">
        <v>8059</v>
      </c>
      <c r="H1099" s="1" t="str">
        <f t="shared" si="17"/>
        <v>Linux</v>
      </c>
    </row>
    <row r="1100" spans="1:8">
      <c r="A1100" s="1">
        <v>1099</v>
      </c>
      <c r="B1100" s="1" t="s">
        <v>18506</v>
      </c>
      <c r="C1100" s="1" t="s">
        <v>18521</v>
      </c>
      <c r="D1100" s="1" t="s">
        <v>8095</v>
      </c>
      <c r="E1100" s="1" t="s">
        <v>8126</v>
      </c>
      <c r="F1100" s="1" t="s">
        <v>8061</v>
      </c>
      <c r="G1100" s="1" t="s">
        <v>8062</v>
      </c>
      <c r="H1100" s="1" t="str">
        <f t="shared" si="17"/>
        <v>Linux</v>
      </c>
    </row>
    <row r="1101" spans="1:8">
      <c r="A1101" s="1">
        <v>1100</v>
      </c>
      <c r="B1101" s="1" t="s">
        <v>18506</v>
      </c>
      <c r="C1101" s="1" t="s">
        <v>18522</v>
      </c>
      <c r="D1101" s="1" t="s">
        <v>8095</v>
      </c>
      <c r="E1101" s="1" t="s">
        <v>8128</v>
      </c>
      <c r="F1101" s="1" t="s">
        <v>8129</v>
      </c>
      <c r="G1101" s="1" t="s">
        <v>18523</v>
      </c>
      <c r="H1101" s="1" t="str">
        <f t="shared" si="17"/>
        <v>Linux</v>
      </c>
    </row>
    <row r="1102" spans="1:8">
      <c r="A1102" s="1">
        <v>1101</v>
      </c>
      <c r="B1102" s="1" t="s">
        <v>18524</v>
      </c>
      <c r="C1102" s="1" t="s">
        <v>1480</v>
      </c>
      <c r="D1102" s="1" t="s">
        <v>8132</v>
      </c>
      <c r="E1102" s="1" t="s">
        <v>7428</v>
      </c>
      <c r="F1102" s="1" t="s">
        <v>14873</v>
      </c>
      <c r="G1102" s="1" t="s">
        <v>18525</v>
      </c>
      <c r="H1102" s="1" t="str">
        <f t="shared" si="17"/>
        <v/>
      </c>
    </row>
    <row r="1103" spans="1:8">
      <c r="A1103" s="1">
        <v>1102</v>
      </c>
      <c r="B1103" s="1" t="s">
        <v>18524</v>
      </c>
      <c r="C1103" s="1" t="s">
        <v>1485</v>
      </c>
      <c r="D1103" s="1" t="s">
        <v>8132</v>
      </c>
      <c r="E1103" s="1" t="s">
        <v>8133</v>
      </c>
      <c r="F1103" s="1" t="s">
        <v>8030</v>
      </c>
      <c r="G1103" s="1" t="s">
        <v>8031</v>
      </c>
      <c r="H1103" s="1" t="str">
        <f t="shared" si="17"/>
        <v>Linux</v>
      </c>
    </row>
    <row r="1104" spans="1:8">
      <c r="A1104" s="1">
        <v>1103</v>
      </c>
      <c r="B1104" s="1" t="s">
        <v>18524</v>
      </c>
      <c r="C1104" s="1" t="s">
        <v>1489</v>
      </c>
      <c r="D1104" s="1" t="s">
        <v>8132</v>
      </c>
      <c r="E1104" s="1" t="s">
        <v>8135</v>
      </c>
      <c r="F1104" s="1" t="s">
        <v>8099</v>
      </c>
      <c r="G1104" s="1" t="s">
        <v>8100</v>
      </c>
      <c r="H1104" s="1" t="str">
        <f t="shared" si="17"/>
        <v>Linux</v>
      </c>
    </row>
    <row r="1105" spans="1:8">
      <c r="A1105" s="1">
        <v>1104</v>
      </c>
      <c r="B1105" s="1" t="s">
        <v>18524</v>
      </c>
      <c r="C1105" s="1" t="s">
        <v>1493</v>
      </c>
      <c r="D1105" s="1" t="s">
        <v>8132</v>
      </c>
      <c r="E1105" s="1" t="s">
        <v>8137</v>
      </c>
      <c r="F1105" s="1" t="s">
        <v>8022</v>
      </c>
      <c r="G1105" s="1" t="s">
        <v>8023</v>
      </c>
      <c r="H1105" s="1" t="str">
        <f t="shared" si="17"/>
        <v>Linux</v>
      </c>
    </row>
    <row r="1106" spans="1:8">
      <c r="A1106" s="1">
        <v>1105</v>
      </c>
      <c r="B1106" s="1" t="s">
        <v>18524</v>
      </c>
      <c r="C1106" s="1" t="s">
        <v>1497</v>
      </c>
      <c r="D1106" s="1" t="s">
        <v>8132</v>
      </c>
      <c r="E1106" s="1" t="s">
        <v>8139</v>
      </c>
      <c r="F1106" s="1" t="s">
        <v>8035</v>
      </c>
      <c r="G1106" s="1" t="s">
        <v>8036</v>
      </c>
      <c r="H1106" s="1" t="str">
        <f t="shared" si="17"/>
        <v>Linux</v>
      </c>
    </row>
    <row r="1107" spans="1:8">
      <c r="A1107" s="1">
        <v>1106</v>
      </c>
      <c r="B1107" s="1" t="s">
        <v>18524</v>
      </c>
      <c r="C1107" s="1" t="s">
        <v>1501</v>
      </c>
      <c r="D1107" s="1" t="s">
        <v>8132</v>
      </c>
      <c r="E1107" s="1" t="s">
        <v>8141</v>
      </c>
      <c r="F1107" s="1" t="s">
        <v>8018</v>
      </c>
      <c r="G1107" s="1" t="s">
        <v>8019</v>
      </c>
      <c r="H1107" s="1" t="str">
        <f t="shared" si="17"/>
        <v>Linux</v>
      </c>
    </row>
    <row r="1108" spans="1:8">
      <c r="A1108" s="1">
        <v>1107</v>
      </c>
      <c r="B1108" s="1" t="s">
        <v>18524</v>
      </c>
      <c r="C1108" s="1" t="s">
        <v>1505</v>
      </c>
      <c r="D1108" s="1" t="s">
        <v>8132</v>
      </c>
      <c r="E1108" s="1" t="s">
        <v>8143</v>
      </c>
      <c r="F1108" s="1" t="s">
        <v>8042</v>
      </c>
      <c r="G1108" s="1" t="s">
        <v>8043</v>
      </c>
      <c r="H1108" s="1" t="str">
        <f t="shared" si="17"/>
        <v>Linux</v>
      </c>
    </row>
    <row r="1109" spans="1:8">
      <c r="A1109" s="1">
        <v>1108</v>
      </c>
      <c r="B1109" s="1" t="s">
        <v>18524</v>
      </c>
      <c r="C1109" s="1" t="s">
        <v>1509</v>
      </c>
      <c r="D1109" s="1" t="s">
        <v>8132</v>
      </c>
      <c r="E1109" s="1" t="s">
        <v>8145</v>
      </c>
      <c r="F1109" s="1" t="s">
        <v>8111</v>
      </c>
      <c r="G1109" s="1" t="s">
        <v>8112</v>
      </c>
      <c r="H1109" s="1" t="str">
        <f t="shared" si="17"/>
        <v>Linux</v>
      </c>
    </row>
    <row r="1110" spans="1:8">
      <c r="A1110" s="1">
        <v>1109</v>
      </c>
      <c r="B1110" s="1" t="s">
        <v>18524</v>
      </c>
      <c r="C1110" s="1" t="s">
        <v>1513</v>
      </c>
      <c r="D1110" s="1" t="s">
        <v>8132</v>
      </c>
      <c r="E1110" s="1" t="s">
        <v>8147</v>
      </c>
      <c r="F1110" s="1" t="s">
        <v>8115</v>
      </c>
      <c r="G1110" s="1" t="s">
        <v>8116</v>
      </c>
      <c r="H1110" s="1" t="str">
        <f t="shared" si="17"/>
        <v>Linux</v>
      </c>
    </row>
    <row r="1111" spans="1:8">
      <c r="A1111" s="1">
        <v>1110</v>
      </c>
      <c r="B1111" s="1" t="s">
        <v>18524</v>
      </c>
      <c r="C1111" s="1" t="s">
        <v>1517</v>
      </c>
      <c r="D1111" s="1" t="s">
        <v>8132</v>
      </c>
      <c r="E1111" s="1" t="s">
        <v>8149</v>
      </c>
      <c r="F1111" s="1" t="s">
        <v>8049</v>
      </c>
      <c r="G1111" s="1" t="s">
        <v>8050</v>
      </c>
      <c r="H1111" s="1" t="str">
        <f t="shared" si="17"/>
        <v>Linux</v>
      </c>
    </row>
    <row r="1112" spans="1:8">
      <c r="A1112" s="1">
        <v>1111</v>
      </c>
      <c r="B1112" s="1" t="s">
        <v>18524</v>
      </c>
      <c r="C1112" s="1" t="s">
        <v>1521</v>
      </c>
      <c r="D1112" s="1" t="s">
        <v>8132</v>
      </c>
      <c r="E1112" s="1" t="s">
        <v>6839</v>
      </c>
      <c r="F1112" s="1" t="s">
        <v>14850</v>
      </c>
      <c r="G1112" s="1" t="s">
        <v>18517</v>
      </c>
      <c r="H1112" s="1" t="str">
        <f t="shared" si="17"/>
        <v/>
      </c>
    </row>
    <row r="1113" spans="1:8">
      <c r="A1113" s="1">
        <v>1112</v>
      </c>
      <c r="B1113" s="1" t="s">
        <v>18524</v>
      </c>
      <c r="C1113" s="1" t="s">
        <v>1525</v>
      </c>
      <c r="D1113" s="1" t="s">
        <v>8132</v>
      </c>
      <c r="E1113" s="1" t="s">
        <v>8151</v>
      </c>
      <c r="F1113" s="1" t="s">
        <v>8052</v>
      </c>
      <c r="G1113" s="1" t="s">
        <v>8053</v>
      </c>
      <c r="H1113" s="1" t="str">
        <f t="shared" si="17"/>
        <v>Linux</v>
      </c>
    </row>
    <row r="1114" spans="1:8">
      <c r="A1114" s="1">
        <v>1113</v>
      </c>
      <c r="B1114" s="1" t="s">
        <v>18524</v>
      </c>
      <c r="C1114" s="1" t="s">
        <v>1529</v>
      </c>
      <c r="D1114" s="1" t="s">
        <v>8132</v>
      </c>
      <c r="E1114" s="1" t="s">
        <v>18526</v>
      </c>
      <c r="F1114" s="1" t="s">
        <v>8055</v>
      </c>
      <c r="G1114" s="1" t="s">
        <v>8056</v>
      </c>
      <c r="H1114" s="1" t="str">
        <f t="shared" si="17"/>
        <v>Linux</v>
      </c>
    </row>
    <row r="1115" spans="1:8">
      <c r="A1115" s="1">
        <v>1114</v>
      </c>
      <c r="B1115" s="1" t="s">
        <v>18524</v>
      </c>
      <c r="C1115" s="1" t="s">
        <v>1533</v>
      </c>
      <c r="D1115" s="1" t="s">
        <v>8132</v>
      </c>
      <c r="E1115" s="1" t="s">
        <v>8153</v>
      </c>
      <c r="F1115" s="1" t="s">
        <v>8058</v>
      </c>
      <c r="G1115" s="1" t="s">
        <v>8059</v>
      </c>
      <c r="H1115" s="1" t="str">
        <f t="shared" si="17"/>
        <v>Linux</v>
      </c>
    </row>
    <row r="1116" spans="1:8">
      <c r="A1116" s="1">
        <v>1115</v>
      </c>
      <c r="B1116" s="1" t="s">
        <v>18524</v>
      </c>
      <c r="C1116" s="1" t="s">
        <v>1537</v>
      </c>
      <c r="D1116" s="1" t="s">
        <v>8132</v>
      </c>
      <c r="E1116" s="1" t="s">
        <v>8155</v>
      </c>
      <c r="F1116" s="1" t="s">
        <v>8061</v>
      </c>
      <c r="G1116" s="1" t="s">
        <v>8062</v>
      </c>
      <c r="H1116" s="1" t="str">
        <f t="shared" si="17"/>
        <v>Linux</v>
      </c>
    </row>
    <row r="1117" spans="1:8">
      <c r="A1117" s="1">
        <v>1116</v>
      </c>
      <c r="B1117" s="1" t="s">
        <v>18524</v>
      </c>
      <c r="C1117" s="1" t="s">
        <v>1541</v>
      </c>
      <c r="D1117" s="1" t="s">
        <v>8132</v>
      </c>
      <c r="E1117" s="1" t="s">
        <v>8157</v>
      </c>
      <c r="F1117" s="1" t="s">
        <v>8129</v>
      </c>
      <c r="G1117" s="1" t="s">
        <v>18523</v>
      </c>
      <c r="H1117" s="1" t="str">
        <f t="shared" si="17"/>
        <v>Linux</v>
      </c>
    </row>
    <row r="1118" spans="1:8">
      <c r="A1118" s="1">
        <v>1117</v>
      </c>
      <c r="B1118" s="1" t="s">
        <v>18527</v>
      </c>
      <c r="C1118" s="1" t="s">
        <v>1264</v>
      </c>
      <c r="D1118" s="1" t="s">
        <v>8199</v>
      </c>
      <c r="E1118" s="1" t="s">
        <v>8200</v>
      </c>
      <c r="F1118" s="1" t="s">
        <v>1359</v>
      </c>
      <c r="G1118" s="1" t="s">
        <v>1360</v>
      </c>
      <c r="H1118" s="1" t="str">
        <f t="shared" si="17"/>
        <v>MSSQL</v>
      </c>
    </row>
    <row r="1119" spans="1:8">
      <c r="A1119" s="1">
        <v>1118</v>
      </c>
      <c r="B1119" s="1" t="s">
        <v>18527</v>
      </c>
      <c r="C1119" s="1" t="s">
        <v>1269</v>
      </c>
      <c r="D1119" s="1" t="s">
        <v>8199</v>
      </c>
      <c r="E1119" s="1" t="s">
        <v>1270</v>
      </c>
      <c r="F1119" s="1" t="s">
        <v>8202</v>
      </c>
      <c r="G1119" s="1" t="s">
        <v>8203</v>
      </c>
      <c r="H1119" s="1" t="str">
        <f t="shared" si="17"/>
        <v>MSSQL</v>
      </c>
    </row>
    <row r="1120" spans="1:8">
      <c r="A1120" s="1">
        <v>1119</v>
      </c>
      <c r="B1120" s="1" t="s">
        <v>18527</v>
      </c>
      <c r="C1120" s="1" t="s">
        <v>1273</v>
      </c>
      <c r="D1120" s="1" t="s">
        <v>8199</v>
      </c>
      <c r="E1120" s="1" t="s">
        <v>1274</v>
      </c>
      <c r="F1120" s="1" t="s">
        <v>8202</v>
      </c>
      <c r="G1120" s="1" t="s">
        <v>8203</v>
      </c>
      <c r="H1120" s="1" t="str">
        <f t="shared" si="17"/>
        <v>MSSQL</v>
      </c>
    </row>
    <row r="1121" spans="1:8">
      <c r="A1121" s="1">
        <v>1120</v>
      </c>
      <c r="B1121" s="1" t="s">
        <v>18527</v>
      </c>
      <c r="C1121" s="1" t="s">
        <v>1277</v>
      </c>
      <c r="D1121" s="1" t="s">
        <v>8199</v>
      </c>
      <c r="E1121" s="1" t="s">
        <v>1278</v>
      </c>
      <c r="F1121" s="1" t="s">
        <v>8206</v>
      </c>
      <c r="G1121" s="1" t="s">
        <v>8207</v>
      </c>
      <c r="H1121" s="1" t="str">
        <f t="shared" si="17"/>
        <v>MSSQL</v>
      </c>
    </row>
    <row r="1122" spans="1:8">
      <c r="A1122" s="1">
        <v>1121</v>
      </c>
      <c r="B1122" s="1" t="s">
        <v>18527</v>
      </c>
      <c r="C1122" s="1" t="s">
        <v>1281</v>
      </c>
      <c r="D1122" s="1" t="s">
        <v>8199</v>
      </c>
      <c r="E1122" s="1" t="s">
        <v>4073</v>
      </c>
      <c r="F1122" s="1" t="s">
        <v>1351</v>
      </c>
      <c r="G1122" s="1" t="s">
        <v>1352</v>
      </c>
      <c r="H1122" s="1" t="str">
        <f t="shared" si="17"/>
        <v>MSSQL</v>
      </c>
    </row>
    <row r="1123" spans="1:8">
      <c r="A1123" s="1">
        <v>1122</v>
      </c>
      <c r="B1123" s="1" t="s">
        <v>18527</v>
      </c>
      <c r="C1123" s="1" t="s">
        <v>1285</v>
      </c>
      <c r="D1123" s="1" t="s">
        <v>8199</v>
      </c>
      <c r="E1123" s="1" t="s">
        <v>1282</v>
      </c>
      <c r="F1123" s="1" t="s">
        <v>8210</v>
      </c>
      <c r="G1123" s="1" t="s">
        <v>8211</v>
      </c>
      <c r="H1123" s="1" t="str">
        <f t="shared" si="17"/>
        <v>MSSQL</v>
      </c>
    </row>
    <row r="1124" spans="1:8">
      <c r="A1124" s="1">
        <v>1123</v>
      </c>
      <c r="B1124" s="1" t="s">
        <v>18527</v>
      </c>
      <c r="C1124" s="1" t="s">
        <v>1289</v>
      </c>
      <c r="D1124" s="1" t="s">
        <v>8199</v>
      </c>
      <c r="E1124" s="1" t="s">
        <v>1302</v>
      </c>
      <c r="F1124" s="1" t="s">
        <v>8213</v>
      </c>
      <c r="G1124" s="1" t="s">
        <v>8214</v>
      </c>
      <c r="H1124" s="1" t="str">
        <f t="shared" si="17"/>
        <v>MSSQL</v>
      </c>
    </row>
    <row r="1125" spans="1:8">
      <c r="A1125" s="1">
        <v>1124</v>
      </c>
      <c r="B1125" s="1" t="s">
        <v>18527</v>
      </c>
      <c r="C1125" s="1" t="s">
        <v>1293</v>
      </c>
      <c r="D1125" s="1" t="s">
        <v>8199</v>
      </c>
      <c r="E1125" s="1" t="s">
        <v>4068</v>
      </c>
      <c r="F1125" s="1" t="s">
        <v>1327</v>
      </c>
      <c r="G1125" s="1" t="s">
        <v>1328</v>
      </c>
      <c r="H1125" s="1" t="str">
        <f t="shared" si="17"/>
        <v>MSSQL</v>
      </c>
    </row>
    <row r="1126" spans="1:8">
      <c r="A1126" s="1">
        <v>1125</v>
      </c>
      <c r="B1126" s="1" t="s">
        <v>18527</v>
      </c>
      <c r="C1126" s="1" t="s">
        <v>1297</v>
      </c>
      <c r="D1126" s="1" t="s">
        <v>8199</v>
      </c>
      <c r="E1126" s="1" t="s">
        <v>1306</v>
      </c>
      <c r="F1126" s="1" t="s">
        <v>8217</v>
      </c>
      <c r="G1126" s="1" t="s">
        <v>8218</v>
      </c>
      <c r="H1126" s="1" t="str">
        <f t="shared" si="17"/>
        <v>MSSQL</v>
      </c>
    </row>
    <row r="1127" spans="1:8">
      <c r="A1127" s="1">
        <v>1126</v>
      </c>
      <c r="B1127" s="1" t="s">
        <v>18527</v>
      </c>
      <c r="C1127" s="1" t="s">
        <v>1301</v>
      </c>
      <c r="D1127" s="1" t="s">
        <v>8199</v>
      </c>
      <c r="E1127" s="1" t="s">
        <v>1310</v>
      </c>
      <c r="F1127" s="1" t="s">
        <v>8220</v>
      </c>
      <c r="G1127" s="1" t="s">
        <v>8221</v>
      </c>
      <c r="H1127" s="1" t="str">
        <f t="shared" si="17"/>
        <v>MSSQL</v>
      </c>
    </row>
    <row r="1128" spans="1:8">
      <c r="A1128" s="1">
        <v>1127</v>
      </c>
      <c r="B1128" s="1" t="s">
        <v>18527</v>
      </c>
      <c r="C1128" s="1" t="s">
        <v>1305</v>
      </c>
      <c r="D1128" s="1" t="s">
        <v>8199</v>
      </c>
      <c r="E1128" s="1" t="s">
        <v>8223</v>
      </c>
      <c r="F1128" s="1" t="s">
        <v>8224</v>
      </c>
      <c r="G1128" s="1" t="s">
        <v>8225</v>
      </c>
      <c r="H1128" s="1" t="str">
        <f t="shared" si="17"/>
        <v>MSSQL</v>
      </c>
    </row>
    <row r="1129" spans="1:8">
      <c r="A1129" s="1">
        <v>1128</v>
      </c>
      <c r="B1129" s="1" t="s">
        <v>18527</v>
      </c>
      <c r="C1129" s="1" t="s">
        <v>1309</v>
      </c>
      <c r="D1129" s="1" t="s">
        <v>8199</v>
      </c>
      <c r="E1129" s="1" t="s">
        <v>8227</v>
      </c>
      <c r="F1129" s="1" t="s">
        <v>8228</v>
      </c>
      <c r="G1129" s="1" t="s">
        <v>8229</v>
      </c>
      <c r="H1129" s="1" t="str">
        <f t="shared" si="17"/>
        <v>MSSQL</v>
      </c>
    </row>
    <row r="1130" spans="1:8">
      <c r="A1130" s="1">
        <v>1129</v>
      </c>
      <c r="B1130" s="1" t="s">
        <v>18527</v>
      </c>
      <c r="C1130" s="1" t="s">
        <v>1313</v>
      </c>
      <c r="D1130" s="1" t="s">
        <v>8199</v>
      </c>
      <c r="E1130" s="1" t="s">
        <v>4076</v>
      </c>
      <c r="F1130" s="1" t="s">
        <v>1339</v>
      </c>
      <c r="G1130" s="1" t="s">
        <v>1340</v>
      </c>
      <c r="H1130" s="1" t="str">
        <f t="shared" si="17"/>
        <v>MSSQL</v>
      </c>
    </row>
    <row r="1131" spans="1:8">
      <c r="A1131" s="1">
        <v>1130</v>
      </c>
      <c r="B1131" s="1" t="s">
        <v>18527</v>
      </c>
      <c r="C1131" s="1" t="s">
        <v>1317</v>
      </c>
      <c r="D1131" s="1" t="s">
        <v>8199</v>
      </c>
      <c r="E1131" s="1" t="s">
        <v>1266</v>
      </c>
      <c r="F1131" s="1" t="s">
        <v>8232</v>
      </c>
      <c r="G1131" s="1" t="s">
        <v>8233</v>
      </c>
      <c r="H1131" s="1" t="str">
        <f t="shared" si="17"/>
        <v>MSSQL</v>
      </c>
    </row>
    <row r="1132" spans="1:8">
      <c r="A1132" s="1">
        <v>1131</v>
      </c>
      <c r="B1132" s="1" t="s">
        <v>18527</v>
      </c>
      <c r="C1132" s="1" t="s">
        <v>1321</v>
      </c>
      <c r="D1132" s="1" t="s">
        <v>8199</v>
      </c>
      <c r="E1132" s="1" t="s">
        <v>1286</v>
      </c>
      <c r="F1132" s="1" t="s">
        <v>8235</v>
      </c>
      <c r="G1132" s="1" t="s">
        <v>8236</v>
      </c>
      <c r="H1132" s="1" t="str">
        <f t="shared" si="17"/>
        <v>MSSQL</v>
      </c>
    </row>
    <row r="1133" spans="1:8">
      <c r="A1133" s="1">
        <v>1132</v>
      </c>
      <c r="B1133" s="1" t="s">
        <v>18527</v>
      </c>
      <c r="C1133" s="1" t="s">
        <v>1325</v>
      </c>
      <c r="D1133" s="1" t="s">
        <v>8199</v>
      </c>
      <c r="E1133" s="1" t="s">
        <v>1298</v>
      </c>
      <c r="F1133" s="1" t="s">
        <v>8238</v>
      </c>
      <c r="G1133" s="1" t="s">
        <v>8239</v>
      </c>
      <c r="H1133" s="1" t="str">
        <f t="shared" si="17"/>
        <v>MSSQL</v>
      </c>
    </row>
    <row r="1134" spans="1:8">
      <c r="A1134" s="1">
        <v>1133</v>
      </c>
      <c r="B1134" s="1" t="s">
        <v>18527</v>
      </c>
      <c r="C1134" s="1" t="s">
        <v>1329</v>
      </c>
      <c r="D1134" s="1" t="s">
        <v>8199</v>
      </c>
      <c r="E1134" s="1" t="s">
        <v>1294</v>
      </c>
      <c r="F1134" s="1" t="s">
        <v>1295</v>
      </c>
      <c r="G1134" s="1" t="s">
        <v>1296</v>
      </c>
      <c r="H1134" s="1" t="str">
        <f t="shared" si="17"/>
        <v>MSSQL</v>
      </c>
    </row>
    <row r="1135" spans="1:8">
      <c r="A1135" s="1">
        <v>1134</v>
      </c>
      <c r="B1135" s="1" t="s">
        <v>18527</v>
      </c>
      <c r="C1135" s="1" t="s">
        <v>1333</v>
      </c>
      <c r="D1135" s="1" t="s">
        <v>8199</v>
      </c>
      <c r="E1135" s="1" t="s">
        <v>1290</v>
      </c>
      <c r="F1135" s="1" t="s">
        <v>8242</v>
      </c>
      <c r="G1135" s="1" t="s">
        <v>8243</v>
      </c>
      <c r="H1135" s="1" t="str">
        <f t="shared" si="17"/>
        <v>MSSQL</v>
      </c>
    </row>
    <row r="1136" spans="1:8">
      <c r="A1136" s="1">
        <v>1135</v>
      </c>
      <c r="B1136" s="1" t="s">
        <v>18527</v>
      </c>
      <c r="C1136" s="1" t="s">
        <v>1337</v>
      </c>
      <c r="D1136" s="1" t="s">
        <v>8199</v>
      </c>
      <c r="E1136" s="1" t="s">
        <v>8245</v>
      </c>
      <c r="F1136" s="1" t="s">
        <v>8246</v>
      </c>
      <c r="G1136" s="1" t="s">
        <v>8247</v>
      </c>
      <c r="H1136" s="1" t="str">
        <f t="shared" si="17"/>
        <v>MSSQL</v>
      </c>
    </row>
    <row r="1137" spans="1:8">
      <c r="A1137" s="1">
        <v>1136</v>
      </c>
      <c r="B1137" s="1" t="s">
        <v>18527</v>
      </c>
      <c r="C1137" s="1" t="s">
        <v>1341</v>
      </c>
      <c r="D1137" s="1" t="s">
        <v>8199</v>
      </c>
      <c r="E1137" s="1" t="s">
        <v>1314</v>
      </c>
      <c r="F1137" s="1" t="s">
        <v>8249</v>
      </c>
      <c r="G1137" s="1" t="s">
        <v>8250</v>
      </c>
      <c r="H1137" s="1" t="str">
        <f t="shared" si="17"/>
        <v>MSSQL</v>
      </c>
    </row>
    <row r="1138" spans="1:8">
      <c r="A1138" s="1">
        <v>1137</v>
      </c>
      <c r="B1138" s="1" t="s">
        <v>18527</v>
      </c>
      <c r="C1138" s="1" t="s">
        <v>1345</v>
      </c>
      <c r="D1138" s="1" t="s">
        <v>8199</v>
      </c>
      <c r="E1138" s="1" t="s">
        <v>1318</v>
      </c>
      <c r="F1138" s="1" t="s">
        <v>8252</v>
      </c>
      <c r="G1138" s="1" t="s">
        <v>8253</v>
      </c>
      <c r="H1138" s="1" t="str">
        <f t="shared" si="17"/>
        <v>MSSQL</v>
      </c>
    </row>
    <row r="1139" spans="1:8">
      <c r="A1139" s="1">
        <v>1138</v>
      </c>
      <c r="B1139" s="1" t="s">
        <v>18527</v>
      </c>
      <c r="C1139" s="1" t="s">
        <v>1349</v>
      </c>
      <c r="D1139" s="1" t="s">
        <v>8199</v>
      </c>
      <c r="E1139" s="1" t="s">
        <v>3684</v>
      </c>
      <c r="F1139" s="1" t="s">
        <v>8255</v>
      </c>
      <c r="G1139" s="1" t="s">
        <v>8256</v>
      </c>
      <c r="H1139" s="1" t="str">
        <f t="shared" si="17"/>
        <v>MSSQL</v>
      </c>
    </row>
    <row r="1140" spans="1:8">
      <c r="A1140" s="1">
        <v>1139</v>
      </c>
      <c r="B1140" s="1" t="s">
        <v>18527</v>
      </c>
      <c r="C1140" s="1" t="s">
        <v>1353</v>
      </c>
      <c r="D1140" s="1" t="s">
        <v>8199</v>
      </c>
      <c r="E1140" s="1" t="s">
        <v>3685</v>
      </c>
      <c r="F1140" s="1" t="s">
        <v>8258</v>
      </c>
      <c r="G1140" s="1" t="s">
        <v>8259</v>
      </c>
      <c r="H1140" s="1" t="str">
        <f t="shared" si="17"/>
        <v>MSSQL</v>
      </c>
    </row>
    <row r="1141" spans="1:8">
      <c r="A1141" s="1">
        <v>1140</v>
      </c>
      <c r="B1141" s="1" t="s">
        <v>18527</v>
      </c>
      <c r="C1141" s="1" t="s">
        <v>1357</v>
      </c>
      <c r="D1141" s="1" t="s">
        <v>8199</v>
      </c>
      <c r="E1141" s="1" t="s">
        <v>1322</v>
      </c>
      <c r="F1141" s="1" t="s">
        <v>8261</v>
      </c>
      <c r="G1141" s="1" t="s">
        <v>8262</v>
      </c>
      <c r="H1141" s="1" t="str">
        <f t="shared" si="17"/>
        <v>MSSQL</v>
      </c>
    </row>
    <row r="1142" spans="1:8">
      <c r="A1142" s="1">
        <v>1141</v>
      </c>
      <c r="B1142" s="1" t="s">
        <v>18528</v>
      </c>
      <c r="C1142" s="1" t="s">
        <v>1264</v>
      </c>
      <c r="D1142" s="1" t="s">
        <v>8264</v>
      </c>
      <c r="E1142" s="1" t="s">
        <v>10530</v>
      </c>
      <c r="F1142" s="1" t="s">
        <v>1359</v>
      </c>
      <c r="G1142" s="1" t="s">
        <v>1360</v>
      </c>
      <c r="H1142" s="1" t="str">
        <f t="shared" si="17"/>
        <v>MSSQL</v>
      </c>
    </row>
    <row r="1143" spans="1:8">
      <c r="A1143" s="1">
        <v>1142</v>
      </c>
      <c r="B1143" s="1" t="s">
        <v>18528</v>
      </c>
      <c r="C1143" s="1" t="s">
        <v>1269</v>
      </c>
      <c r="D1143" s="1" t="s">
        <v>8264</v>
      </c>
      <c r="E1143" s="1" t="s">
        <v>18529</v>
      </c>
      <c r="F1143" s="1" t="s">
        <v>8202</v>
      </c>
      <c r="G1143" s="1" t="s">
        <v>8203</v>
      </c>
      <c r="H1143" s="1" t="str">
        <f t="shared" si="17"/>
        <v>MSSQL</v>
      </c>
    </row>
    <row r="1144" spans="1:8">
      <c r="A1144" s="1">
        <v>1143</v>
      </c>
      <c r="B1144" s="1" t="s">
        <v>18528</v>
      </c>
      <c r="C1144" s="1" t="s">
        <v>1273</v>
      </c>
      <c r="D1144" s="1" t="s">
        <v>8264</v>
      </c>
      <c r="E1144" s="1" t="s">
        <v>18530</v>
      </c>
      <c r="F1144" s="1" t="s">
        <v>8202</v>
      </c>
      <c r="G1144" s="1" t="s">
        <v>8203</v>
      </c>
      <c r="H1144" s="1" t="str">
        <f t="shared" si="17"/>
        <v>MSSQL</v>
      </c>
    </row>
    <row r="1145" spans="1:8">
      <c r="A1145" s="1">
        <v>1144</v>
      </c>
      <c r="B1145" s="1" t="s">
        <v>18528</v>
      </c>
      <c r="C1145" s="1" t="s">
        <v>1277</v>
      </c>
      <c r="D1145" s="1" t="s">
        <v>8264</v>
      </c>
      <c r="E1145" s="1" t="s">
        <v>10459</v>
      </c>
      <c r="F1145" s="1" t="s">
        <v>8206</v>
      </c>
      <c r="G1145" s="1" t="s">
        <v>8207</v>
      </c>
      <c r="H1145" s="1" t="str">
        <f t="shared" si="17"/>
        <v>MSSQL</v>
      </c>
    </row>
    <row r="1146" spans="1:8">
      <c r="A1146" s="1">
        <v>1145</v>
      </c>
      <c r="B1146" s="1" t="s">
        <v>18528</v>
      </c>
      <c r="C1146" s="1" t="s">
        <v>1281</v>
      </c>
      <c r="D1146" s="1" t="s">
        <v>8264</v>
      </c>
      <c r="E1146" s="1" t="s">
        <v>10496</v>
      </c>
      <c r="F1146" s="1" t="s">
        <v>1351</v>
      </c>
      <c r="G1146" s="1" t="s">
        <v>1352</v>
      </c>
      <c r="H1146" s="1" t="str">
        <f t="shared" si="17"/>
        <v>MSSQL</v>
      </c>
    </row>
    <row r="1147" spans="1:8">
      <c r="A1147" s="1">
        <v>1146</v>
      </c>
      <c r="B1147" s="1" t="s">
        <v>18528</v>
      </c>
      <c r="C1147" s="1" t="s">
        <v>1285</v>
      </c>
      <c r="D1147" s="1" t="s">
        <v>8264</v>
      </c>
      <c r="E1147" s="1" t="s">
        <v>10451</v>
      </c>
      <c r="F1147" s="1" t="s">
        <v>8210</v>
      </c>
      <c r="G1147" s="1" t="s">
        <v>8211</v>
      </c>
      <c r="H1147" s="1" t="str">
        <f t="shared" si="17"/>
        <v>MSSQL</v>
      </c>
    </row>
    <row r="1148" spans="1:8">
      <c r="A1148" s="1">
        <v>1147</v>
      </c>
      <c r="B1148" s="1" t="s">
        <v>18528</v>
      </c>
      <c r="C1148" s="1" t="s">
        <v>1289</v>
      </c>
      <c r="D1148" s="1" t="s">
        <v>8264</v>
      </c>
      <c r="E1148" s="1" t="s">
        <v>10479</v>
      </c>
      <c r="F1148" s="1" t="s">
        <v>8213</v>
      </c>
      <c r="G1148" s="1" t="s">
        <v>8214</v>
      </c>
      <c r="H1148" s="1" t="str">
        <f t="shared" si="17"/>
        <v>MSSQL</v>
      </c>
    </row>
    <row r="1149" spans="1:8">
      <c r="A1149" s="1">
        <v>1148</v>
      </c>
      <c r="B1149" s="1" t="s">
        <v>18528</v>
      </c>
      <c r="C1149" s="1" t="s">
        <v>1293</v>
      </c>
      <c r="D1149" s="1" t="s">
        <v>8264</v>
      </c>
      <c r="E1149" s="1" t="s">
        <v>10535</v>
      </c>
      <c r="F1149" s="1" t="s">
        <v>1327</v>
      </c>
      <c r="G1149" s="1" t="s">
        <v>1328</v>
      </c>
      <c r="H1149" s="1" t="str">
        <f t="shared" si="17"/>
        <v>MSSQL</v>
      </c>
    </row>
    <row r="1150" spans="1:8">
      <c r="A1150" s="1">
        <v>1149</v>
      </c>
      <c r="B1150" s="1" t="s">
        <v>18528</v>
      </c>
      <c r="C1150" s="1" t="s">
        <v>1297</v>
      </c>
      <c r="D1150" s="1" t="s">
        <v>8264</v>
      </c>
      <c r="E1150" s="1" t="s">
        <v>10475</v>
      </c>
      <c r="F1150" s="1" t="s">
        <v>8217</v>
      </c>
      <c r="G1150" s="1" t="s">
        <v>8218</v>
      </c>
      <c r="H1150" s="1" t="str">
        <f t="shared" si="17"/>
        <v>MSSQL</v>
      </c>
    </row>
    <row r="1151" spans="1:8">
      <c r="A1151" s="1">
        <v>1150</v>
      </c>
      <c r="B1151" s="1" t="s">
        <v>18528</v>
      </c>
      <c r="C1151" s="1" t="s">
        <v>1301</v>
      </c>
      <c r="D1151" s="1" t="s">
        <v>8264</v>
      </c>
      <c r="E1151" s="1" t="s">
        <v>10483</v>
      </c>
      <c r="F1151" s="1" t="s">
        <v>8220</v>
      </c>
      <c r="G1151" s="1" t="s">
        <v>8221</v>
      </c>
      <c r="H1151" s="1" t="str">
        <f t="shared" si="17"/>
        <v>MSSQL</v>
      </c>
    </row>
    <row r="1152" spans="1:8">
      <c r="A1152" s="1">
        <v>1151</v>
      </c>
      <c r="B1152" s="1" t="s">
        <v>18528</v>
      </c>
      <c r="C1152" s="1" t="s">
        <v>1305</v>
      </c>
      <c r="D1152" s="1" t="s">
        <v>8264</v>
      </c>
      <c r="E1152" s="1" t="s">
        <v>10487</v>
      </c>
      <c r="F1152" s="1" t="s">
        <v>8224</v>
      </c>
      <c r="G1152" s="1" t="s">
        <v>8225</v>
      </c>
      <c r="H1152" s="1" t="str">
        <f t="shared" si="17"/>
        <v>MSSQL</v>
      </c>
    </row>
    <row r="1153" spans="1:8">
      <c r="A1153" s="1">
        <v>1152</v>
      </c>
      <c r="B1153" s="1" t="s">
        <v>18528</v>
      </c>
      <c r="C1153" s="1" t="s">
        <v>1309</v>
      </c>
      <c r="D1153" s="1" t="s">
        <v>8264</v>
      </c>
      <c r="E1153" s="1" t="s">
        <v>10492</v>
      </c>
      <c r="F1153" s="1" t="s">
        <v>8228</v>
      </c>
      <c r="G1153" s="1" t="s">
        <v>8229</v>
      </c>
      <c r="H1153" s="1" t="str">
        <f t="shared" si="17"/>
        <v>MSSQL</v>
      </c>
    </row>
    <row r="1154" spans="1:8">
      <c r="A1154" s="1">
        <v>1153</v>
      </c>
      <c r="B1154" s="1" t="s">
        <v>18528</v>
      </c>
      <c r="C1154" s="1" t="s">
        <v>1313</v>
      </c>
      <c r="D1154" s="1" t="s">
        <v>8264</v>
      </c>
      <c r="E1154" s="1" t="s">
        <v>10526</v>
      </c>
      <c r="F1154" s="1" t="s">
        <v>1339</v>
      </c>
      <c r="G1154" s="1" t="s">
        <v>1340</v>
      </c>
      <c r="H1154" s="1" t="str">
        <f t="shared" ref="H1154:H1217" si="18">IFERROR(IF(OR(MID(G1154,FIND(":",G1154)-1,1)="""",MID(G1154,FIND(":",G1154)-1,1)="}",MID(G1154,FIND(":",G1154)-1,1)=")",MID(G1154,FIND(":",G1154)-1,1)="]"),"",LEFT(F1154,FIND(":",F1154)-1)),"")</f>
        <v>MSSQL</v>
      </c>
    </row>
    <row r="1155" spans="1:8">
      <c r="A1155" s="1">
        <v>1154</v>
      </c>
      <c r="B1155" s="1" t="s">
        <v>18528</v>
      </c>
      <c r="C1155" s="1" t="s">
        <v>1317</v>
      </c>
      <c r="D1155" s="1" t="s">
        <v>8264</v>
      </c>
      <c r="E1155" s="1" t="s">
        <v>18531</v>
      </c>
      <c r="F1155" s="1" t="s">
        <v>8232</v>
      </c>
      <c r="G1155" s="1" t="s">
        <v>8233</v>
      </c>
      <c r="H1155" s="1" t="str">
        <f t="shared" si="18"/>
        <v>MSSQL</v>
      </c>
    </row>
    <row r="1156" spans="1:8">
      <c r="A1156" s="1">
        <v>1155</v>
      </c>
      <c r="B1156" s="1" t="s">
        <v>18528</v>
      </c>
      <c r="C1156" s="1" t="s">
        <v>1321</v>
      </c>
      <c r="D1156" s="1" t="s">
        <v>8264</v>
      </c>
      <c r="E1156" s="1" t="s">
        <v>10455</v>
      </c>
      <c r="F1156" s="1" t="s">
        <v>8235</v>
      </c>
      <c r="G1156" s="1" t="s">
        <v>8236</v>
      </c>
      <c r="H1156" s="1" t="str">
        <f t="shared" si="18"/>
        <v>MSSQL</v>
      </c>
    </row>
    <row r="1157" spans="1:8">
      <c r="A1157" s="1">
        <v>1156</v>
      </c>
      <c r="B1157" s="1" t="s">
        <v>18528</v>
      </c>
      <c r="C1157" s="1" t="s">
        <v>1325</v>
      </c>
      <c r="D1157" s="1" t="s">
        <v>8264</v>
      </c>
      <c r="E1157" s="1" t="s">
        <v>10471</v>
      </c>
      <c r="F1157" s="1" t="s">
        <v>8238</v>
      </c>
      <c r="G1157" s="1" t="s">
        <v>8239</v>
      </c>
      <c r="H1157" s="1" t="str">
        <f t="shared" si="18"/>
        <v>MSSQL</v>
      </c>
    </row>
    <row r="1158" spans="1:8">
      <c r="A1158" s="1">
        <v>1157</v>
      </c>
      <c r="B1158" s="1" t="s">
        <v>18528</v>
      </c>
      <c r="C1158" s="1" t="s">
        <v>1329</v>
      </c>
      <c r="D1158" s="1" t="s">
        <v>8264</v>
      </c>
      <c r="E1158" s="1" t="s">
        <v>10467</v>
      </c>
      <c r="F1158" s="1" t="s">
        <v>1295</v>
      </c>
      <c r="G1158" s="1" t="s">
        <v>1296</v>
      </c>
      <c r="H1158" s="1" t="str">
        <f t="shared" si="18"/>
        <v>MSSQL</v>
      </c>
    </row>
    <row r="1159" spans="1:8">
      <c r="A1159" s="1">
        <v>1158</v>
      </c>
      <c r="B1159" s="1" t="s">
        <v>18528</v>
      </c>
      <c r="C1159" s="1" t="s">
        <v>1333</v>
      </c>
      <c r="D1159" s="1" t="s">
        <v>8264</v>
      </c>
      <c r="E1159" s="1" t="s">
        <v>10463</v>
      </c>
      <c r="F1159" s="1" t="s">
        <v>8242</v>
      </c>
      <c r="G1159" s="1" t="s">
        <v>8243</v>
      </c>
      <c r="H1159" s="1" t="str">
        <f t="shared" si="18"/>
        <v>MSSQL</v>
      </c>
    </row>
    <row r="1160" spans="1:8">
      <c r="A1160" s="1">
        <v>1159</v>
      </c>
      <c r="B1160" s="1" t="s">
        <v>18528</v>
      </c>
      <c r="C1160" s="1" t="s">
        <v>1337</v>
      </c>
      <c r="D1160" s="1" t="s">
        <v>8264</v>
      </c>
      <c r="E1160" s="1" t="s">
        <v>10505</v>
      </c>
      <c r="F1160" s="1" t="s">
        <v>8246</v>
      </c>
      <c r="G1160" s="1" t="s">
        <v>8247</v>
      </c>
      <c r="H1160" s="1" t="str">
        <f t="shared" si="18"/>
        <v>MSSQL</v>
      </c>
    </row>
    <row r="1161" spans="1:8">
      <c r="A1161" s="1">
        <v>1160</v>
      </c>
      <c r="B1161" s="1" t="s">
        <v>18528</v>
      </c>
      <c r="C1161" s="1" t="s">
        <v>1341</v>
      </c>
      <c r="D1161" s="1" t="s">
        <v>8264</v>
      </c>
      <c r="E1161" s="1" t="s">
        <v>10501</v>
      </c>
      <c r="F1161" s="1" t="s">
        <v>8249</v>
      </c>
      <c r="G1161" s="1" t="s">
        <v>8250</v>
      </c>
      <c r="H1161" s="1" t="str">
        <f t="shared" si="18"/>
        <v>MSSQL</v>
      </c>
    </row>
    <row r="1162" spans="1:8">
      <c r="A1162" s="1">
        <v>1161</v>
      </c>
      <c r="B1162" s="1" t="s">
        <v>18528</v>
      </c>
      <c r="C1162" s="1" t="s">
        <v>1345</v>
      </c>
      <c r="D1162" s="1" t="s">
        <v>8264</v>
      </c>
      <c r="E1162" s="1" t="s">
        <v>10518</v>
      </c>
      <c r="F1162" s="1" t="s">
        <v>8252</v>
      </c>
      <c r="G1162" s="1" t="s">
        <v>8253</v>
      </c>
      <c r="H1162" s="1" t="str">
        <f t="shared" si="18"/>
        <v>MSSQL</v>
      </c>
    </row>
    <row r="1163" spans="1:8">
      <c r="A1163" s="1">
        <v>1162</v>
      </c>
      <c r="B1163" s="1" t="s">
        <v>18528</v>
      </c>
      <c r="C1163" s="1" t="s">
        <v>1349</v>
      </c>
      <c r="D1163" s="1" t="s">
        <v>8264</v>
      </c>
      <c r="E1163" s="1" t="s">
        <v>10510</v>
      </c>
      <c r="F1163" s="1" t="s">
        <v>8255</v>
      </c>
      <c r="G1163" s="1" t="s">
        <v>8256</v>
      </c>
      <c r="H1163" s="1" t="str">
        <f t="shared" si="18"/>
        <v>MSSQL</v>
      </c>
    </row>
    <row r="1164" spans="1:8">
      <c r="A1164" s="1">
        <v>1163</v>
      </c>
      <c r="B1164" s="1" t="s">
        <v>18528</v>
      </c>
      <c r="C1164" s="1" t="s">
        <v>1353</v>
      </c>
      <c r="D1164" s="1" t="s">
        <v>8264</v>
      </c>
      <c r="E1164" s="1" t="s">
        <v>10514</v>
      </c>
      <c r="F1164" s="1" t="s">
        <v>8258</v>
      </c>
      <c r="G1164" s="1" t="s">
        <v>8259</v>
      </c>
      <c r="H1164" s="1" t="str">
        <f t="shared" si="18"/>
        <v>MSSQL</v>
      </c>
    </row>
    <row r="1165" spans="1:8">
      <c r="A1165" s="1">
        <v>1164</v>
      </c>
      <c r="B1165" s="1" t="s">
        <v>18528</v>
      </c>
      <c r="C1165" s="1" t="s">
        <v>1357</v>
      </c>
      <c r="D1165" s="1" t="s">
        <v>8264</v>
      </c>
      <c r="E1165" s="1" t="s">
        <v>10522</v>
      </c>
      <c r="F1165" s="1" t="s">
        <v>8261</v>
      </c>
      <c r="G1165" s="1" t="s">
        <v>8262</v>
      </c>
      <c r="H1165" s="1" t="str">
        <f t="shared" si="18"/>
        <v>MSSQL</v>
      </c>
    </row>
    <row r="1166" spans="1:8">
      <c r="A1166" s="1">
        <v>1165</v>
      </c>
      <c r="B1166" s="1" t="s">
        <v>18532</v>
      </c>
      <c r="C1166" s="1" t="s">
        <v>392</v>
      </c>
      <c r="D1166" s="1" t="s">
        <v>8313</v>
      </c>
      <c r="E1166" s="1" t="s">
        <v>3576</v>
      </c>
      <c r="F1166" s="1" t="s">
        <v>8314</v>
      </c>
      <c r="G1166" s="1" t="s">
        <v>8315</v>
      </c>
      <c r="H1166" s="1" t="str">
        <f t="shared" si="18"/>
        <v>Mellanox</v>
      </c>
    </row>
    <row r="1167" spans="1:8">
      <c r="A1167" s="1">
        <v>1166</v>
      </c>
      <c r="B1167" s="1" t="s">
        <v>18532</v>
      </c>
      <c r="C1167" s="1" t="s">
        <v>397</v>
      </c>
      <c r="D1167" s="1" t="s">
        <v>8313</v>
      </c>
      <c r="E1167" s="1" t="s">
        <v>3575</v>
      </c>
      <c r="F1167" s="1" t="s">
        <v>8317</v>
      </c>
      <c r="G1167" s="1" t="s">
        <v>8318</v>
      </c>
      <c r="H1167" s="1" t="str">
        <f t="shared" si="18"/>
        <v>Mellanox</v>
      </c>
    </row>
    <row r="1168" spans="1:8">
      <c r="A1168" s="1">
        <v>1167</v>
      </c>
      <c r="B1168" s="1" t="s">
        <v>18532</v>
      </c>
      <c r="C1168" s="1" t="s">
        <v>401</v>
      </c>
      <c r="D1168" s="1" t="s">
        <v>8313</v>
      </c>
      <c r="E1168" s="1" t="s">
        <v>3574</v>
      </c>
      <c r="F1168" s="1" t="s">
        <v>8320</v>
      </c>
      <c r="G1168" s="1" t="s">
        <v>8321</v>
      </c>
      <c r="H1168" s="1" t="str">
        <f t="shared" si="18"/>
        <v>Mellanox</v>
      </c>
    </row>
    <row r="1169" spans="1:8">
      <c r="A1169" s="1">
        <v>1168</v>
      </c>
      <c r="B1169" s="1" t="s">
        <v>18532</v>
      </c>
      <c r="C1169" s="1" t="s">
        <v>405</v>
      </c>
      <c r="D1169" s="1" t="s">
        <v>8313</v>
      </c>
      <c r="E1169" s="1" t="s">
        <v>8323</v>
      </c>
      <c r="F1169" s="1" t="s">
        <v>8324</v>
      </c>
      <c r="G1169" s="1" t="s">
        <v>8325</v>
      </c>
      <c r="H1169" s="1" t="str">
        <f t="shared" si="18"/>
        <v>Mellanox</v>
      </c>
    </row>
    <row r="1170" spans="1:8">
      <c r="A1170" s="1">
        <v>1169</v>
      </c>
      <c r="B1170" s="1" t="s">
        <v>18532</v>
      </c>
      <c r="C1170" s="1" t="s">
        <v>409</v>
      </c>
      <c r="D1170" s="1" t="s">
        <v>8313</v>
      </c>
      <c r="E1170" s="1" t="s">
        <v>8327</v>
      </c>
      <c r="F1170" s="1" t="s">
        <v>8328</v>
      </c>
      <c r="G1170" s="1" t="s">
        <v>8329</v>
      </c>
      <c r="H1170" s="1" t="str">
        <f t="shared" si="18"/>
        <v>Mellanox</v>
      </c>
    </row>
    <row r="1171" spans="1:8">
      <c r="A1171" s="1">
        <v>1170</v>
      </c>
      <c r="B1171" s="1" t="s">
        <v>18532</v>
      </c>
      <c r="C1171" s="1" t="s">
        <v>413</v>
      </c>
      <c r="D1171" s="1" t="s">
        <v>8313</v>
      </c>
      <c r="E1171" s="1" t="s">
        <v>3577</v>
      </c>
      <c r="F1171" s="1" t="s">
        <v>8331</v>
      </c>
      <c r="G1171" s="1" t="s">
        <v>8332</v>
      </c>
      <c r="H1171" s="1" t="str">
        <f t="shared" si="18"/>
        <v>Mellanox</v>
      </c>
    </row>
    <row r="1172" spans="1:8">
      <c r="A1172" s="1">
        <v>1171</v>
      </c>
      <c r="B1172" s="1" t="s">
        <v>18532</v>
      </c>
      <c r="C1172" s="1" t="s">
        <v>417</v>
      </c>
      <c r="D1172" s="1" t="s">
        <v>8313</v>
      </c>
      <c r="E1172" s="1" t="s">
        <v>8334</v>
      </c>
      <c r="F1172" s="1" t="s">
        <v>8335</v>
      </c>
      <c r="G1172" s="1" t="s">
        <v>8336</v>
      </c>
      <c r="H1172" s="1" t="str">
        <f t="shared" si="18"/>
        <v>Mellanox</v>
      </c>
    </row>
    <row r="1173" spans="1:8">
      <c r="A1173" s="1">
        <v>1172</v>
      </c>
      <c r="B1173" s="1" t="s">
        <v>18533</v>
      </c>
      <c r="C1173" s="1" t="s">
        <v>9</v>
      </c>
      <c r="D1173" s="1" t="s">
        <v>8338</v>
      </c>
      <c r="E1173" s="1" t="s">
        <v>541</v>
      </c>
      <c r="F1173" s="1" t="s">
        <v>8339</v>
      </c>
      <c r="G1173" s="1" t="s">
        <v>8340</v>
      </c>
      <c r="H1173" s="1" t="str">
        <f t="shared" si="18"/>
        <v>Memcached</v>
      </c>
    </row>
    <row r="1174" spans="1:8">
      <c r="A1174" s="1">
        <v>1173</v>
      </c>
      <c r="B1174" s="1" t="s">
        <v>18533</v>
      </c>
      <c r="C1174" s="1" t="s">
        <v>14</v>
      </c>
      <c r="D1174" s="1" t="s">
        <v>8338</v>
      </c>
      <c r="E1174" s="1" t="s">
        <v>553</v>
      </c>
      <c r="F1174" s="1" t="s">
        <v>8342</v>
      </c>
      <c r="G1174" s="1" t="s">
        <v>8343</v>
      </c>
      <c r="H1174" s="1" t="str">
        <f t="shared" si="18"/>
        <v>Memcached</v>
      </c>
    </row>
    <row r="1175" spans="1:8">
      <c r="A1175" s="1">
        <v>1174</v>
      </c>
      <c r="B1175" s="1" t="s">
        <v>18533</v>
      </c>
      <c r="C1175" s="1" t="s">
        <v>19</v>
      </c>
      <c r="D1175" s="1" t="s">
        <v>8338</v>
      </c>
      <c r="E1175" s="1" t="s">
        <v>544</v>
      </c>
      <c r="F1175" s="1" t="s">
        <v>8345</v>
      </c>
      <c r="G1175" s="1" t="s">
        <v>8346</v>
      </c>
      <c r="H1175" s="1" t="str">
        <f t="shared" si="18"/>
        <v>Memcached</v>
      </c>
    </row>
    <row r="1176" spans="1:8">
      <c r="A1176" s="1">
        <v>1175</v>
      </c>
      <c r="B1176" s="1" t="s">
        <v>18533</v>
      </c>
      <c r="C1176" s="1" t="s">
        <v>23</v>
      </c>
      <c r="D1176" s="1" t="s">
        <v>8338</v>
      </c>
      <c r="E1176" s="1" t="s">
        <v>562</v>
      </c>
      <c r="F1176" s="1" t="s">
        <v>8348</v>
      </c>
      <c r="G1176" s="1" t="s">
        <v>8349</v>
      </c>
      <c r="H1176" s="1" t="str">
        <f t="shared" si="18"/>
        <v>Memcached</v>
      </c>
    </row>
    <row r="1177" spans="1:8">
      <c r="A1177" s="1">
        <v>1176</v>
      </c>
      <c r="B1177" s="1" t="s">
        <v>18533</v>
      </c>
      <c r="C1177" s="1" t="s">
        <v>27</v>
      </c>
      <c r="D1177" s="1" t="s">
        <v>8338</v>
      </c>
      <c r="E1177" s="1" t="s">
        <v>556</v>
      </c>
      <c r="F1177" s="1" t="s">
        <v>557</v>
      </c>
      <c r="G1177" s="1" t="s">
        <v>558</v>
      </c>
      <c r="H1177" s="1" t="str">
        <f t="shared" si="18"/>
        <v>Memcached</v>
      </c>
    </row>
    <row r="1178" spans="1:8">
      <c r="A1178" s="1">
        <v>1177</v>
      </c>
      <c r="B1178" s="1" t="s">
        <v>18533</v>
      </c>
      <c r="C1178" s="1" t="s">
        <v>31</v>
      </c>
      <c r="D1178" s="1" t="s">
        <v>8338</v>
      </c>
      <c r="E1178" s="1" t="s">
        <v>547</v>
      </c>
      <c r="F1178" s="1" t="s">
        <v>8352</v>
      </c>
      <c r="G1178" s="1" t="s">
        <v>8353</v>
      </c>
      <c r="H1178" s="1" t="str">
        <f t="shared" si="18"/>
        <v>Memcached</v>
      </c>
    </row>
    <row r="1179" spans="1:8">
      <c r="A1179" s="1">
        <v>1178</v>
      </c>
      <c r="B1179" s="1" t="s">
        <v>18533</v>
      </c>
      <c r="C1179" s="1" t="s">
        <v>35</v>
      </c>
      <c r="D1179" s="1" t="s">
        <v>8338</v>
      </c>
      <c r="E1179" s="1" t="s">
        <v>550</v>
      </c>
      <c r="F1179" s="1" t="s">
        <v>8355</v>
      </c>
      <c r="G1179" s="1" t="s">
        <v>8356</v>
      </c>
      <c r="H1179" s="1" t="str">
        <f t="shared" si="18"/>
        <v>Memcached</v>
      </c>
    </row>
    <row r="1180" spans="1:8">
      <c r="A1180" s="1">
        <v>1179</v>
      </c>
      <c r="B1180" s="1" t="s">
        <v>18533</v>
      </c>
      <c r="C1180" s="1" t="s">
        <v>39</v>
      </c>
      <c r="D1180" s="1" t="s">
        <v>8338</v>
      </c>
      <c r="E1180" s="1" t="s">
        <v>559</v>
      </c>
      <c r="F1180" s="1" t="s">
        <v>8358</v>
      </c>
      <c r="G1180" s="1" t="s">
        <v>8359</v>
      </c>
      <c r="H1180" s="1" t="str">
        <f t="shared" si="18"/>
        <v>Memcached</v>
      </c>
    </row>
    <row r="1181" spans="1:8">
      <c r="A1181" s="1">
        <v>1180</v>
      </c>
      <c r="B1181" s="1" t="s">
        <v>18534</v>
      </c>
      <c r="C1181" s="1" t="s">
        <v>84</v>
      </c>
      <c r="D1181" s="1" t="s">
        <v>14972</v>
      </c>
      <c r="E1181" s="1" t="s">
        <v>7416</v>
      </c>
      <c r="F1181" s="1" t="s">
        <v>18535</v>
      </c>
      <c r="G1181" s="1" t="s">
        <v>18536</v>
      </c>
      <c r="H1181" s="1" t="str">
        <f t="shared" si="18"/>
        <v/>
      </c>
    </row>
    <row r="1182" spans="1:8">
      <c r="A1182" s="1">
        <v>1181</v>
      </c>
      <c r="B1182" s="1" t="s">
        <v>18537</v>
      </c>
      <c r="C1182" s="1" t="s">
        <v>285</v>
      </c>
      <c r="D1182" s="1" t="s">
        <v>8386</v>
      </c>
      <c r="E1182" s="1" t="s">
        <v>32</v>
      </c>
      <c r="F1182" s="1" t="s">
        <v>8387</v>
      </c>
      <c r="G1182" s="1" t="s">
        <v>8388</v>
      </c>
      <c r="H1182" s="1" t="str">
        <f t="shared" si="18"/>
        <v>Sharepoint</v>
      </c>
    </row>
    <row r="1183" spans="1:8">
      <c r="A1183" s="1">
        <v>1182</v>
      </c>
      <c r="B1183" s="1" t="s">
        <v>18537</v>
      </c>
      <c r="C1183" s="1" t="s">
        <v>290</v>
      </c>
      <c r="D1183" s="1" t="s">
        <v>8386</v>
      </c>
      <c r="E1183" s="1" t="s">
        <v>28</v>
      </c>
      <c r="F1183" s="1" t="s">
        <v>8390</v>
      </c>
      <c r="G1183" s="1" t="s">
        <v>8391</v>
      </c>
      <c r="H1183" s="1" t="str">
        <f t="shared" si="18"/>
        <v>Sharepoint</v>
      </c>
    </row>
    <row r="1184" spans="1:8">
      <c r="A1184" s="1">
        <v>1183</v>
      </c>
      <c r="B1184" s="1" t="s">
        <v>18537</v>
      </c>
      <c r="C1184" s="1" t="s">
        <v>294</v>
      </c>
      <c r="D1184" s="1" t="s">
        <v>8386</v>
      </c>
      <c r="E1184" s="1" t="s">
        <v>36</v>
      </c>
      <c r="F1184" s="1" t="s">
        <v>8393</v>
      </c>
      <c r="G1184" s="1" t="s">
        <v>8394</v>
      </c>
      <c r="H1184" s="1" t="str">
        <f t="shared" si="18"/>
        <v>Sharepoint</v>
      </c>
    </row>
    <row r="1185" spans="1:8">
      <c r="A1185" s="1">
        <v>1184</v>
      </c>
      <c r="B1185" s="1" t="s">
        <v>18538</v>
      </c>
      <c r="C1185" s="1" t="s">
        <v>131</v>
      </c>
      <c r="D1185" s="1" t="s">
        <v>8396</v>
      </c>
      <c r="E1185" s="1" t="s">
        <v>8397</v>
      </c>
      <c r="F1185" s="1" t="s">
        <v>8398</v>
      </c>
      <c r="G1185" s="1" t="s">
        <v>8399</v>
      </c>
      <c r="H1185" s="1" t="str">
        <f t="shared" si="18"/>
        <v>Mikrotik</v>
      </c>
    </row>
    <row r="1186" spans="1:8">
      <c r="A1186" s="1">
        <v>1185</v>
      </c>
      <c r="B1186" s="1" t="s">
        <v>18538</v>
      </c>
      <c r="C1186" s="1" t="s">
        <v>136</v>
      </c>
      <c r="D1186" s="1" t="s">
        <v>8396</v>
      </c>
      <c r="E1186" s="1" t="s">
        <v>8401</v>
      </c>
      <c r="F1186" s="1" t="s">
        <v>8402</v>
      </c>
      <c r="G1186" s="1" t="s">
        <v>8403</v>
      </c>
      <c r="H1186" s="1" t="str">
        <f t="shared" si="18"/>
        <v>Mikrotik</v>
      </c>
    </row>
    <row r="1187" spans="1:8">
      <c r="A1187" s="1">
        <v>1186</v>
      </c>
      <c r="B1187" s="1" t="s">
        <v>18538</v>
      </c>
      <c r="C1187" s="1" t="s">
        <v>138</v>
      </c>
      <c r="D1187" s="1" t="s">
        <v>8396</v>
      </c>
      <c r="E1187" s="1" t="s">
        <v>8405</v>
      </c>
      <c r="F1187" s="1" t="s">
        <v>8406</v>
      </c>
      <c r="G1187" s="1" t="s">
        <v>8407</v>
      </c>
      <c r="H1187" s="1" t="str">
        <f t="shared" si="18"/>
        <v>Mikrotik</v>
      </c>
    </row>
    <row r="1188" spans="1:8">
      <c r="A1188" s="1">
        <v>1187</v>
      </c>
      <c r="B1188" s="1" t="s">
        <v>18538</v>
      </c>
      <c r="C1188" s="1" t="s">
        <v>140</v>
      </c>
      <c r="D1188" s="1" t="s">
        <v>8396</v>
      </c>
      <c r="E1188" s="1" t="s">
        <v>8409</v>
      </c>
      <c r="F1188" s="1" t="s">
        <v>8410</v>
      </c>
      <c r="G1188" s="1" t="s">
        <v>8411</v>
      </c>
      <c r="H1188" s="1" t="str">
        <f t="shared" si="18"/>
        <v>Mikrotik</v>
      </c>
    </row>
    <row r="1189" spans="1:8">
      <c r="A1189" s="1">
        <v>1188</v>
      </c>
      <c r="B1189" s="1" t="s">
        <v>18538</v>
      </c>
      <c r="C1189" s="1" t="s">
        <v>142</v>
      </c>
      <c r="D1189" s="1" t="s">
        <v>8396</v>
      </c>
      <c r="E1189" s="1" t="s">
        <v>8413</v>
      </c>
      <c r="F1189" s="1" t="s">
        <v>8414</v>
      </c>
      <c r="G1189" s="1" t="s">
        <v>8415</v>
      </c>
      <c r="H1189" s="1" t="str">
        <f t="shared" si="18"/>
        <v>Mikrotik</v>
      </c>
    </row>
    <row r="1190" spans="1:8">
      <c r="A1190" s="1">
        <v>1189</v>
      </c>
      <c r="B1190" s="1" t="s">
        <v>18538</v>
      </c>
      <c r="C1190" s="1" t="s">
        <v>144</v>
      </c>
      <c r="D1190" s="1" t="s">
        <v>8396</v>
      </c>
      <c r="E1190" s="1" t="s">
        <v>8417</v>
      </c>
      <c r="F1190" s="1" t="s">
        <v>8418</v>
      </c>
      <c r="G1190" s="1" t="s">
        <v>8419</v>
      </c>
      <c r="H1190" s="1" t="str">
        <f t="shared" si="18"/>
        <v>Mikrotik</v>
      </c>
    </row>
    <row r="1191" spans="1:8">
      <c r="A1191" s="1">
        <v>1190</v>
      </c>
      <c r="B1191" s="1" t="s">
        <v>18538</v>
      </c>
      <c r="C1191" s="1" t="s">
        <v>146</v>
      </c>
      <c r="D1191" s="1" t="s">
        <v>8396</v>
      </c>
      <c r="E1191" s="1" t="s">
        <v>8421</v>
      </c>
      <c r="F1191" s="1" t="s">
        <v>8422</v>
      </c>
      <c r="G1191" s="1" t="s">
        <v>8423</v>
      </c>
      <c r="H1191" s="1" t="str">
        <f t="shared" si="18"/>
        <v>Mikrotik</v>
      </c>
    </row>
    <row r="1192" spans="1:8">
      <c r="A1192" s="1">
        <v>1191</v>
      </c>
      <c r="B1192" s="1" t="s">
        <v>18538</v>
      </c>
      <c r="C1192" s="1" t="s">
        <v>148</v>
      </c>
      <c r="D1192" s="1" t="s">
        <v>8396</v>
      </c>
      <c r="E1192" s="1" t="s">
        <v>8425</v>
      </c>
      <c r="F1192" s="1" t="s">
        <v>8426</v>
      </c>
      <c r="G1192" s="1" t="s">
        <v>8427</v>
      </c>
      <c r="H1192" s="1" t="str">
        <f t="shared" si="18"/>
        <v>Mikrotik</v>
      </c>
    </row>
    <row r="1193" spans="1:8">
      <c r="A1193" s="1">
        <v>1192</v>
      </c>
      <c r="B1193" s="1" t="s">
        <v>18538</v>
      </c>
      <c r="C1193" s="1" t="s">
        <v>150</v>
      </c>
      <c r="D1193" s="1" t="s">
        <v>8396</v>
      </c>
      <c r="E1193" s="1" t="s">
        <v>8429</v>
      </c>
      <c r="F1193" s="1" t="s">
        <v>8430</v>
      </c>
      <c r="G1193" s="1" t="s">
        <v>8431</v>
      </c>
      <c r="H1193" s="1" t="str">
        <f t="shared" si="18"/>
        <v>Mikrotik</v>
      </c>
    </row>
    <row r="1194" spans="1:8">
      <c r="A1194" s="1">
        <v>1193</v>
      </c>
      <c r="B1194" s="1" t="s">
        <v>18538</v>
      </c>
      <c r="C1194" s="1" t="s">
        <v>152</v>
      </c>
      <c r="D1194" s="1" t="s">
        <v>8396</v>
      </c>
      <c r="E1194" s="1" t="s">
        <v>8433</v>
      </c>
      <c r="F1194" s="1" t="s">
        <v>8434</v>
      </c>
      <c r="G1194" s="1" t="s">
        <v>8435</v>
      </c>
      <c r="H1194" s="1" t="str">
        <f t="shared" si="18"/>
        <v>Mikrotik</v>
      </c>
    </row>
    <row r="1195" spans="1:8">
      <c r="A1195" s="1">
        <v>1194</v>
      </c>
      <c r="B1195" s="1" t="s">
        <v>18539</v>
      </c>
      <c r="C1195" s="1" t="s">
        <v>131</v>
      </c>
      <c r="D1195" s="1" t="s">
        <v>8437</v>
      </c>
      <c r="E1195" s="1" t="s">
        <v>1350</v>
      </c>
      <c r="F1195" s="1" t="s">
        <v>8398</v>
      </c>
      <c r="G1195" s="1" t="s">
        <v>8399</v>
      </c>
      <c r="H1195" s="1" t="str">
        <f t="shared" si="18"/>
        <v>Mikrotik</v>
      </c>
    </row>
    <row r="1196" spans="1:8">
      <c r="A1196" s="1">
        <v>1195</v>
      </c>
      <c r="B1196" s="1" t="s">
        <v>18539</v>
      </c>
      <c r="C1196" s="1" t="s">
        <v>136</v>
      </c>
      <c r="D1196" s="1" t="s">
        <v>8437</v>
      </c>
      <c r="E1196" s="1" t="s">
        <v>1354</v>
      </c>
      <c r="F1196" s="1" t="s">
        <v>8402</v>
      </c>
      <c r="G1196" s="1" t="s">
        <v>8403</v>
      </c>
      <c r="H1196" s="1" t="str">
        <f t="shared" si="18"/>
        <v>Mikrotik</v>
      </c>
    </row>
    <row r="1197" spans="1:8">
      <c r="A1197" s="1">
        <v>1196</v>
      </c>
      <c r="B1197" s="1" t="s">
        <v>18539</v>
      </c>
      <c r="C1197" s="1" t="s">
        <v>138</v>
      </c>
      <c r="D1197" s="1" t="s">
        <v>8437</v>
      </c>
      <c r="E1197" s="1" t="s">
        <v>8440</v>
      </c>
      <c r="F1197" s="1" t="s">
        <v>8406</v>
      </c>
      <c r="G1197" s="1" t="s">
        <v>8407</v>
      </c>
      <c r="H1197" s="1" t="str">
        <f t="shared" si="18"/>
        <v>Mikrotik</v>
      </c>
    </row>
    <row r="1198" spans="1:8">
      <c r="A1198" s="1">
        <v>1197</v>
      </c>
      <c r="B1198" s="1" t="s">
        <v>18539</v>
      </c>
      <c r="C1198" s="1" t="s">
        <v>140</v>
      </c>
      <c r="D1198" s="1" t="s">
        <v>8437</v>
      </c>
      <c r="E1198" s="1" t="s">
        <v>8442</v>
      </c>
      <c r="F1198" s="1" t="s">
        <v>8410</v>
      </c>
      <c r="G1198" s="1" t="s">
        <v>8411</v>
      </c>
      <c r="H1198" s="1" t="str">
        <f t="shared" si="18"/>
        <v>Mikrotik</v>
      </c>
    </row>
    <row r="1199" spans="1:8">
      <c r="A1199" s="1">
        <v>1198</v>
      </c>
      <c r="B1199" s="1" t="s">
        <v>18539</v>
      </c>
      <c r="C1199" s="1" t="s">
        <v>142</v>
      </c>
      <c r="D1199" s="1" t="s">
        <v>8437</v>
      </c>
      <c r="E1199" s="1" t="s">
        <v>8444</v>
      </c>
      <c r="F1199" s="1" t="s">
        <v>8414</v>
      </c>
      <c r="G1199" s="1" t="s">
        <v>8415</v>
      </c>
      <c r="H1199" s="1" t="str">
        <f t="shared" si="18"/>
        <v>Mikrotik</v>
      </c>
    </row>
    <row r="1200" spans="1:8">
      <c r="A1200" s="1">
        <v>1199</v>
      </c>
      <c r="B1200" s="1" t="s">
        <v>18539</v>
      </c>
      <c r="C1200" s="1" t="s">
        <v>144</v>
      </c>
      <c r="D1200" s="1" t="s">
        <v>8437</v>
      </c>
      <c r="E1200" s="1" t="s">
        <v>8446</v>
      </c>
      <c r="F1200" s="1" t="s">
        <v>8418</v>
      </c>
      <c r="G1200" s="1" t="s">
        <v>8419</v>
      </c>
      <c r="H1200" s="1" t="str">
        <f t="shared" si="18"/>
        <v>Mikrotik</v>
      </c>
    </row>
    <row r="1201" spans="1:8">
      <c r="A1201" s="1">
        <v>1200</v>
      </c>
      <c r="B1201" s="1" t="s">
        <v>18539</v>
      </c>
      <c r="C1201" s="1" t="s">
        <v>146</v>
      </c>
      <c r="D1201" s="1" t="s">
        <v>8437</v>
      </c>
      <c r="E1201" s="1" t="s">
        <v>8448</v>
      </c>
      <c r="F1201" s="1" t="s">
        <v>8422</v>
      </c>
      <c r="G1201" s="1" t="s">
        <v>8423</v>
      </c>
      <c r="H1201" s="1" t="str">
        <f t="shared" si="18"/>
        <v>Mikrotik</v>
      </c>
    </row>
    <row r="1202" spans="1:8">
      <c r="A1202" s="1">
        <v>1201</v>
      </c>
      <c r="B1202" s="1" t="s">
        <v>18539</v>
      </c>
      <c r="C1202" s="1" t="s">
        <v>148</v>
      </c>
      <c r="D1202" s="1" t="s">
        <v>8437</v>
      </c>
      <c r="E1202" s="1" t="s">
        <v>8450</v>
      </c>
      <c r="F1202" s="1" t="s">
        <v>8426</v>
      </c>
      <c r="G1202" s="1" t="s">
        <v>8427</v>
      </c>
      <c r="H1202" s="1" t="str">
        <f t="shared" si="18"/>
        <v>Mikrotik</v>
      </c>
    </row>
    <row r="1203" spans="1:8">
      <c r="A1203" s="1">
        <v>1202</v>
      </c>
      <c r="B1203" s="1" t="s">
        <v>18539</v>
      </c>
      <c r="C1203" s="1" t="s">
        <v>150</v>
      </c>
      <c r="D1203" s="1" t="s">
        <v>8437</v>
      </c>
      <c r="E1203" s="1" t="s">
        <v>8452</v>
      </c>
      <c r="F1203" s="1" t="s">
        <v>8430</v>
      </c>
      <c r="G1203" s="1" t="s">
        <v>8431</v>
      </c>
      <c r="H1203" s="1" t="str">
        <f t="shared" si="18"/>
        <v>Mikrotik</v>
      </c>
    </row>
    <row r="1204" spans="1:8">
      <c r="A1204" s="1">
        <v>1203</v>
      </c>
      <c r="B1204" s="1" t="s">
        <v>18539</v>
      </c>
      <c r="C1204" s="1" t="s">
        <v>152</v>
      </c>
      <c r="D1204" s="1" t="s">
        <v>8437</v>
      </c>
      <c r="E1204" s="1" t="s">
        <v>8454</v>
      </c>
      <c r="F1204" s="1" t="s">
        <v>8434</v>
      </c>
      <c r="G1204" s="1" t="s">
        <v>8435</v>
      </c>
      <c r="H1204" s="1" t="str">
        <f t="shared" si="18"/>
        <v>Mikrotik</v>
      </c>
    </row>
    <row r="1205" spans="1:8">
      <c r="A1205" s="1">
        <v>1204</v>
      </c>
      <c r="B1205" s="1" t="s">
        <v>18540</v>
      </c>
      <c r="C1205" s="1" t="s">
        <v>131</v>
      </c>
      <c r="D1205" s="1" t="s">
        <v>8456</v>
      </c>
      <c r="E1205" s="1" t="s">
        <v>1574</v>
      </c>
      <c r="F1205" s="1" t="s">
        <v>8398</v>
      </c>
      <c r="G1205" s="1" t="s">
        <v>8399</v>
      </c>
      <c r="H1205" s="1" t="str">
        <f t="shared" si="18"/>
        <v>Mikrotik</v>
      </c>
    </row>
    <row r="1206" spans="1:8">
      <c r="A1206" s="1">
        <v>1205</v>
      </c>
      <c r="B1206" s="1" t="s">
        <v>18540</v>
      </c>
      <c r="C1206" s="1" t="s">
        <v>136</v>
      </c>
      <c r="D1206" s="1" t="s">
        <v>8456</v>
      </c>
      <c r="E1206" s="1" t="s">
        <v>8458</v>
      </c>
      <c r="F1206" s="1" t="s">
        <v>8402</v>
      </c>
      <c r="G1206" s="1" t="s">
        <v>8403</v>
      </c>
      <c r="H1206" s="1" t="str">
        <f t="shared" si="18"/>
        <v>Mikrotik</v>
      </c>
    </row>
    <row r="1207" spans="1:8">
      <c r="A1207" s="1">
        <v>1206</v>
      </c>
      <c r="B1207" s="1" t="s">
        <v>18540</v>
      </c>
      <c r="C1207" s="1" t="s">
        <v>138</v>
      </c>
      <c r="D1207" s="1" t="s">
        <v>8456</v>
      </c>
      <c r="E1207" s="1" t="s">
        <v>8460</v>
      </c>
      <c r="F1207" s="1" t="s">
        <v>8406</v>
      </c>
      <c r="G1207" s="1" t="s">
        <v>8407</v>
      </c>
      <c r="H1207" s="1" t="str">
        <f t="shared" si="18"/>
        <v>Mikrotik</v>
      </c>
    </row>
    <row r="1208" spans="1:8">
      <c r="A1208" s="1">
        <v>1207</v>
      </c>
      <c r="B1208" s="1" t="s">
        <v>18540</v>
      </c>
      <c r="C1208" s="1" t="s">
        <v>140</v>
      </c>
      <c r="D1208" s="1" t="s">
        <v>8456</v>
      </c>
      <c r="E1208" s="1" t="s">
        <v>8462</v>
      </c>
      <c r="F1208" s="1" t="s">
        <v>8410</v>
      </c>
      <c r="G1208" s="1" t="s">
        <v>8411</v>
      </c>
      <c r="H1208" s="1" t="str">
        <f t="shared" si="18"/>
        <v>Mikrotik</v>
      </c>
    </row>
    <row r="1209" spans="1:8">
      <c r="A1209" s="1">
        <v>1208</v>
      </c>
      <c r="B1209" s="1" t="s">
        <v>18540</v>
      </c>
      <c r="C1209" s="1" t="s">
        <v>142</v>
      </c>
      <c r="D1209" s="1" t="s">
        <v>8456</v>
      </c>
      <c r="E1209" s="1" t="s">
        <v>8464</v>
      </c>
      <c r="F1209" s="1" t="s">
        <v>8414</v>
      </c>
      <c r="G1209" s="1" t="s">
        <v>8415</v>
      </c>
      <c r="H1209" s="1" t="str">
        <f t="shared" si="18"/>
        <v>Mikrotik</v>
      </c>
    </row>
    <row r="1210" spans="1:8">
      <c r="A1210" s="1">
        <v>1209</v>
      </c>
      <c r="B1210" s="1" t="s">
        <v>18540</v>
      </c>
      <c r="C1210" s="1" t="s">
        <v>144</v>
      </c>
      <c r="D1210" s="1" t="s">
        <v>8456</v>
      </c>
      <c r="E1210" s="1" t="s">
        <v>8466</v>
      </c>
      <c r="F1210" s="1" t="s">
        <v>8418</v>
      </c>
      <c r="G1210" s="1" t="s">
        <v>8419</v>
      </c>
      <c r="H1210" s="1" t="str">
        <f t="shared" si="18"/>
        <v>Mikrotik</v>
      </c>
    </row>
    <row r="1211" spans="1:8">
      <c r="A1211" s="1">
        <v>1210</v>
      </c>
      <c r="B1211" s="1" t="s">
        <v>18540</v>
      </c>
      <c r="C1211" s="1" t="s">
        <v>146</v>
      </c>
      <c r="D1211" s="1" t="s">
        <v>8456</v>
      </c>
      <c r="E1211" s="1" t="s">
        <v>8468</v>
      </c>
      <c r="F1211" s="1" t="s">
        <v>8422</v>
      </c>
      <c r="G1211" s="1" t="s">
        <v>8423</v>
      </c>
      <c r="H1211" s="1" t="str">
        <f t="shared" si="18"/>
        <v>Mikrotik</v>
      </c>
    </row>
    <row r="1212" spans="1:8">
      <c r="A1212" s="1">
        <v>1211</v>
      </c>
      <c r="B1212" s="1" t="s">
        <v>18540</v>
      </c>
      <c r="C1212" s="1" t="s">
        <v>148</v>
      </c>
      <c r="D1212" s="1" t="s">
        <v>8456</v>
      </c>
      <c r="E1212" s="1" t="s">
        <v>8470</v>
      </c>
      <c r="F1212" s="1" t="s">
        <v>8426</v>
      </c>
      <c r="G1212" s="1" t="s">
        <v>8427</v>
      </c>
      <c r="H1212" s="1" t="str">
        <f t="shared" si="18"/>
        <v>Mikrotik</v>
      </c>
    </row>
    <row r="1213" spans="1:8">
      <c r="A1213" s="1">
        <v>1212</v>
      </c>
      <c r="B1213" s="1" t="s">
        <v>18540</v>
      </c>
      <c r="C1213" s="1" t="s">
        <v>150</v>
      </c>
      <c r="D1213" s="1" t="s">
        <v>8456</v>
      </c>
      <c r="E1213" s="1" t="s">
        <v>8472</v>
      </c>
      <c r="F1213" s="1" t="s">
        <v>8430</v>
      </c>
      <c r="G1213" s="1" t="s">
        <v>8431</v>
      </c>
      <c r="H1213" s="1" t="str">
        <f t="shared" si="18"/>
        <v>Mikrotik</v>
      </c>
    </row>
    <row r="1214" spans="1:8">
      <c r="A1214" s="1">
        <v>1213</v>
      </c>
      <c r="B1214" s="1" t="s">
        <v>18540</v>
      </c>
      <c r="C1214" s="1" t="s">
        <v>152</v>
      </c>
      <c r="D1214" s="1" t="s">
        <v>8456</v>
      </c>
      <c r="E1214" s="1" t="s">
        <v>8474</v>
      </c>
      <c r="F1214" s="1" t="s">
        <v>8434</v>
      </c>
      <c r="G1214" s="1" t="s">
        <v>8435</v>
      </c>
      <c r="H1214" s="1" t="str">
        <f t="shared" si="18"/>
        <v>Mikrotik</v>
      </c>
    </row>
    <row r="1215" spans="1:8">
      <c r="A1215" s="1">
        <v>1214</v>
      </c>
      <c r="B1215" s="1" t="s">
        <v>18541</v>
      </c>
      <c r="C1215" s="1" t="s">
        <v>131</v>
      </c>
      <c r="D1215" s="1" t="s">
        <v>8476</v>
      </c>
      <c r="E1215" s="1" t="s">
        <v>8477</v>
      </c>
      <c r="F1215" s="1" t="s">
        <v>8398</v>
      </c>
      <c r="G1215" s="1" t="s">
        <v>8399</v>
      </c>
      <c r="H1215" s="1" t="str">
        <f t="shared" si="18"/>
        <v>Mikrotik</v>
      </c>
    </row>
    <row r="1216" spans="1:8">
      <c r="A1216" s="1">
        <v>1215</v>
      </c>
      <c r="B1216" s="1" t="s">
        <v>18541</v>
      </c>
      <c r="C1216" s="1" t="s">
        <v>136</v>
      </c>
      <c r="D1216" s="1" t="s">
        <v>8476</v>
      </c>
      <c r="E1216" s="1" t="s">
        <v>8479</v>
      </c>
      <c r="F1216" s="1" t="s">
        <v>8402</v>
      </c>
      <c r="G1216" s="1" t="s">
        <v>8403</v>
      </c>
      <c r="H1216" s="1" t="str">
        <f t="shared" si="18"/>
        <v>Mikrotik</v>
      </c>
    </row>
    <row r="1217" spans="1:8">
      <c r="A1217" s="1">
        <v>1216</v>
      </c>
      <c r="B1217" s="1" t="s">
        <v>18541</v>
      </c>
      <c r="C1217" s="1" t="s">
        <v>138</v>
      </c>
      <c r="D1217" s="1" t="s">
        <v>8476</v>
      </c>
      <c r="E1217" s="1" t="s">
        <v>8481</v>
      </c>
      <c r="F1217" s="1" t="s">
        <v>8406</v>
      </c>
      <c r="G1217" s="1" t="s">
        <v>8407</v>
      </c>
      <c r="H1217" s="1" t="str">
        <f t="shared" si="18"/>
        <v>Mikrotik</v>
      </c>
    </row>
    <row r="1218" spans="1:8">
      <c r="A1218" s="1">
        <v>1217</v>
      </c>
      <c r="B1218" s="1" t="s">
        <v>18541</v>
      </c>
      <c r="C1218" s="1" t="s">
        <v>140</v>
      </c>
      <c r="D1218" s="1" t="s">
        <v>8476</v>
      </c>
      <c r="E1218" s="1" t="s">
        <v>8483</v>
      </c>
      <c r="F1218" s="1" t="s">
        <v>8410</v>
      </c>
      <c r="G1218" s="1" t="s">
        <v>8411</v>
      </c>
      <c r="H1218" s="1" t="str">
        <f t="shared" ref="H1218:H1281" si="19">IFERROR(IF(OR(MID(G1218,FIND(":",G1218)-1,1)="""",MID(G1218,FIND(":",G1218)-1,1)="}",MID(G1218,FIND(":",G1218)-1,1)=")",MID(G1218,FIND(":",G1218)-1,1)="]"),"",LEFT(F1218,FIND(":",F1218)-1)),"")</f>
        <v>Mikrotik</v>
      </c>
    </row>
    <row r="1219" spans="1:8">
      <c r="A1219" s="1">
        <v>1218</v>
      </c>
      <c r="B1219" s="1" t="s">
        <v>18541</v>
      </c>
      <c r="C1219" s="1" t="s">
        <v>142</v>
      </c>
      <c r="D1219" s="1" t="s">
        <v>8476</v>
      </c>
      <c r="E1219" s="1" t="s">
        <v>8485</v>
      </c>
      <c r="F1219" s="1" t="s">
        <v>8414</v>
      </c>
      <c r="G1219" s="1" t="s">
        <v>8415</v>
      </c>
      <c r="H1219" s="1" t="str">
        <f t="shared" si="19"/>
        <v>Mikrotik</v>
      </c>
    </row>
    <row r="1220" spans="1:8">
      <c r="A1220" s="1">
        <v>1219</v>
      </c>
      <c r="B1220" s="1" t="s">
        <v>18541</v>
      </c>
      <c r="C1220" s="1" t="s">
        <v>144</v>
      </c>
      <c r="D1220" s="1" t="s">
        <v>8476</v>
      </c>
      <c r="E1220" s="1" t="s">
        <v>8487</v>
      </c>
      <c r="F1220" s="1" t="s">
        <v>8418</v>
      </c>
      <c r="G1220" s="1" t="s">
        <v>8419</v>
      </c>
      <c r="H1220" s="1" t="str">
        <f t="shared" si="19"/>
        <v>Mikrotik</v>
      </c>
    </row>
    <row r="1221" spans="1:8">
      <c r="A1221" s="1">
        <v>1220</v>
      </c>
      <c r="B1221" s="1" t="s">
        <v>18541</v>
      </c>
      <c r="C1221" s="1" t="s">
        <v>146</v>
      </c>
      <c r="D1221" s="1" t="s">
        <v>8476</v>
      </c>
      <c r="E1221" s="1" t="s">
        <v>8489</v>
      </c>
      <c r="F1221" s="1" t="s">
        <v>8422</v>
      </c>
      <c r="G1221" s="1" t="s">
        <v>8423</v>
      </c>
      <c r="H1221" s="1" t="str">
        <f t="shared" si="19"/>
        <v>Mikrotik</v>
      </c>
    </row>
    <row r="1222" spans="1:8">
      <c r="A1222" s="1">
        <v>1221</v>
      </c>
      <c r="B1222" s="1" t="s">
        <v>18541</v>
      </c>
      <c r="C1222" s="1" t="s">
        <v>148</v>
      </c>
      <c r="D1222" s="1" t="s">
        <v>8476</v>
      </c>
      <c r="E1222" s="1" t="s">
        <v>8491</v>
      </c>
      <c r="F1222" s="1" t="s">
        <v>8426</v>
      </c>
      <c r="G1222" s="1" t="s">
        <v>8427</v>
      </c>
      <c r="H1222" s="1" t="str">
        <f t="shared" si="19"/>
        <v>Mikrotik</v>
      </c>
    </row>
    <row r="1223" spans="1:8">
      <c r="A1223" s="1">
        <v>1222</v>
      </c>
      <c r="B1223" s="1" t="s">
        <v>18541</v>
      </c>
      <c r="C1223" s="1" t="s">
        <v>150</v>
      </c>
      <c r="D1223" s="1" t="s">
        <v>8476</v>
      </c>
      <c r="E1223" s="1" t="s">
        <v>8493</v>
      </c>
      <c r="F1223" s="1" t="s">
        <v>8430</v>
      </c>
      <c r="G1223" s="1" t="s">
        <v>8431</v>
      </c>
      <c r="H1223" s="1" t="str">
        <f t="shared" si="19"/>
        <v>Mikrotik</v>
      </c>
    </row>
    <row r="1224" spans="1:8">
      <c r="A1224" s="1">
        <v>1223</v>
      </c>
      <c r="B1224" s="1" t="s">
        <v>18541</v>
      </c>
      <c r="C1224" s="1" t="s">
        <v>152</v>
      </c>
      <c r="D1224" s="1" t="s">
        <v>8476</v>
      </c>
      <c r="E1224" s="1" t="s">
        <v>8495</v>
      </c>
      <c r="F1224" s="1" t="s">
        <v>8434</v>
      </c>
      <c r="G1224" s="1" t="s">
        <v>8435</v>
      </c>
      <c r="H1224" s="1" t="str">
        <f t="shared" si="19"/>
        <v>Mikrotik</v>
      </c>
    </row>
    <row r="1225" spans="1:8">
      <c r="A1225" s="1">
        <v>1224</v>
      </c>
      <c r="B1225" s="1" t="s">
        <v>18542</v>
      </c>
      <c r="C1225" s="1" t="s">
        <v>131</v>
      </c>
      <c r="D1225" s="1" t="s">
        <v>8497</v>
      </c>
      <c r="E1225" s="1" t="s">
        <v>1045</v>
      </c>
      <c r="F1225" s="1" t="s">
        <v>8398</v>
      </c>
      <c r="G1225" s="1" t="s">
        <v>8399</v>
      </c>
      <c r="H1225" s="1" t="str">
        <f t="shared" si="19"/>
        <v>Mikrotik</v>
      </c>
    </row>
    <row r="1226" spans="1:8">
      <c r="A1226" s="1">
        <v>1225</v>
      </c>
      <c r="B1226" s="1" t="s">
        <v>18542</v>
      </c>
      <c r="C1226" s="1" t="s">
        <v>136</v>
      </c>
      <c r="D1226" s="1" t="s">
        <v>8497</v>
      </c>
      <c r="E1226" s="1" t="s">
        <v>1048</v>
      </c>
      <c r="F1226" s="1" t="s">
        <v>8402</v>
      </c>
      <c r="G1226" s="1" t="s">
        <v>8403</v>
      </c>
      <c r="H1226" s="1" t="str">
        <f t="shared" si="19"/>
        <v>Mikrotik</v>
      </c>
    </row>
    <row r="1227" spans="1:8">
      <c r="A1227" s="1">
        <v>1226</v>
      </c>
      <c r="B1227" s="1" t="s">
        <v>18542</v>
      </c>
      <c r="C1227" s="1" t="s">
        <v>138</v>
      </c>
      <c r="D1227" s="1" t="s">
        <v>8497</v>
      </c>
      <c r="E1227" s="1" t="s">
        <v>8500</v>
      </c>
      <c r="F1227" s="1" t="s">
        <v>8406</v>
      </c>
      <c r="G1227" s="1" t="s">
        <v>8407</v>
      </c>
      <c r="H1227" s="1" t="str">
        <f t="shared" si="19"/>
        <v>Mikrotik</v>
      </c>
    </row>
    <row r="1228" spans="1:8">
      <c r="A1228" s="1">
        <v>1227</v>
      </c>
      <c r="B1228" s="1" t="s">
        <v>18542</v>
      </c>
      <c r="C1228" s="1" t="s">
        <v>140</v>
      </c>
      <c r="D1228" s="1" t="s">
        <v>8497</v>
      </c>
      <c r="E1228" s="1" t="s">
        <v>8502</v>
      </c>
      <c r="F1228" s="1" t="s">
        <v>8410</v>
      </c>
      <c r="G1228" s="1" t="s">
        <v>8411</v>
      </c>
      <c r="H1228" s="1" t="str">
        <f t="shared" si="19"/>
        <v>Mikrotik</v>
      </c>
    </row>
    <row r="1229" spans="1:8">
      <c r="A1229" s="1">
        <v>1228</v>
      </c>
      <c r="B1229" s="1" t="s">
        <v>18542</v>
      </c>
      <c r="C1229" s="1" t="s">
        <v>142</v>
      </c>
      <c r="D1229" s="1" t="s">
        <v>8497</v>
      </c>
      <c r="E1229" s="1" t="s">
        <v>8504</v>
      </c>
      <c r="F1229" s="1" t="s">
        <v>8414</v>
      </c>
      <c r="G1229" s="1" t="s">
        <v>8415</v>
      </c>
      <c r="H1229" s="1" t="str">
        <f t="shared" si="19"/>
        <v>Mikrotik</v>
      </c>
    </row>
    <row r="1230" spans="1:8">
      <c r="A1230" s="1">
        <v>1229</v>
      </c>
      <c r="B1230" s="1" t="s">
        <v>18542</v>
      </c>
      <c r="C1230" s="1" t="s">
        <v>144</v>
      </c>
      <c r="D1230" s="1" t="s">
        <v>8497</v>
      </c>
      <c r="E1230" s="1" t="s">
        <v>1054</v>
      </c>
      <c r="F1230" s="1" t="s">
        <v>8418</v>
      </c>
      <c r="G1230" s="1" t="s">
        <v>8419</v>
      </c>
      <c r="H1230" s="1" t="str">
        <f t="shared" si="19"/>
        <v>Mikrotik</v>
      </c>
    </row>
    <row r="1231" spans="1:8">
      <c r="A1231" s="1">
        <v>1230</v>
      </c>
      <c r="B1231" s="1" t="s">
        <v>18542</v>
      </c>
      <c r="C1231" s="1" t="s">
        <v>146</v>
      </c>
      <c r="D1231" s="1" t="s">
        <v>8497</v>
      </c>
      <c r="E1231" s="1" t="s">
        <v>1051</v>
      </c>
      <c r="F1231" s="1" t="s">
        <v>8422</v>
      </c>
      <c r="G1231" s="1" t="s">
        <v>8423</v>
      </c>
      <c r="H1231" s="1" t="str">
        <f t="shared" si="19"/>
        <v>Mikrotik</v>
      </c>
    </row>
    <row r="1232" spans="1:8">
      <c r="A1232" s="1">
        <v>1231</v>
      </c>
      <c r="B1232" s="1" t="s">
        <v>18542</v>
      </c>
      <c r="C1232" s="1" t="s">
        <v>148</v>
      </c>
      <c r="D1232" s="1" t="s">
        <v>8497</v>
      </c>
      <c r="E1232" s="1" t="s">
        <v>8508</v>
      </c>
      <c r="F1232" s="1" t="s">
        <v>8426</v>
      </c>
      <c r="G1232" s="1" t="s">
        <v>8427</v>
      </c>
      <c r="H1232" s="1" t="str">
        <f t="shared" si="19"/>
        <v>Mikrotik</v>
      </c>
    </row>
    <row r="1233" spans="1:8">
      <c r="A1233" s="1">
        <v>1232</v>
      </c>
      <c r="B1233" s="1" t="s">
        <v>18542</v>
      </c>
      <c r="C1233" s="1" t="s">
        <v>150</v>
      </c>
      <c r="D1233" s="1" t="s">
        <v>8497</v>
      </c>
      <c r="E1233" s="1" t="s">
        <v>8510</v>
      </c>
      <c r="F1233" s="1" t="s">
        <v>8430</v>
      </c>
      <c r="G1233" s="1" t="s">
        <v>8431</v>
      </c>
      <c r="H1233" s="1" t="str">
        <f t="shared" si="19"/>
        <v>Mikrotik</v>
      </c>
    </row>
    <row r="1234" spans="1:8">
      <c r="A1234" s="1">
        <v>1233</v>
      </c>
      <c r="B1234" s="1" t="s">
        <v>18542</v>
      </c>
      <c r="C1234" s="1" t="s">
        <v>152</v>
      </c>
      <c r="D1234" s="1" t="s">
        <v>8497</v>
      </c>
      <c r="E1234" s="1" t="s">
        <v>8512</v>
      </c>
      <c r="F1234" s="1" t="s">
        <v>8434</v>
      </c>
      <c r="G1234" s="1" t="s">
        <v>8435</v>
      </c>
      <c r="H1234" s="1" t="str">
        <f t="shared" si="19"/>
        <v>Mikrotik</v>
      </c>
    </row>
    <row r="1235" spans="1:8">
      <c r="A1235" s="1">
        <v>1234</v>
      </c>
      <c r="B1235" s="1" t="s">
        <v>18543</v>
      </c>
      <c r="C1235" s="1" t="s">
        <v>131</v>
      </c>
      <c r="D1235" s="1" t="s">
        <v>8514</v>
      </c>
      <c r="E1235" s="1" t="s">
        <v>8515</v>
      </c>
      <c r="F1235" s="1" t="s">
        <v>8398</v>
      </c>
      <c r="G1235" s="1" t="s">
        <v>8399</v>
      </c>
      <c r="H1235" s="1" t="str">
        <f t="shared" si="19"/>
        <v>Mikrotik</v>
      </c>
    </row>
    <row r="1236" spans="1:8">
      <c r="A1236" s="1">
        <v>1235</v>
      </c>
      <c r="B1236" s="1" t="s">
        <v>18543</v>
      </c>
      <c r="C1236" s="1" t="s">
        <v>136</v>
      </c>
      <c r="D1236" s="1" t="s">
        <v>8514</v>
      </c>
      <c r="E1236" s="1" t="s">
        <v>8517</v>
      </c>
      <c r="F1236" s="1" t="s">
        <v>8402</v>
      </c>
      <c r="G1236" s="1" t="s">
        <v>8403</v>
      </c>
      <c r="H1236" s="1" t="str">
        <f t="shared" si="19"/>
        <v>Mikrotik</v>
      </c>
    </row>
    <row r="1237" spans="1:8">
      <c r="A1237" s="1">
        <v>1236</v>
      </c>
      <c r="B1237" s="1" t="s">
        <v>18543</v>
      </c>
      <c r="C1237" s="1" t="s">
        <v>138</v>
      </c>
      <c r="D1237" s="1" t="s">
        <v>8514</v>
      </c>
      <c r="E1237" s="1" t="s">
        <v>8519</v>
      </c>
      <c r="F1237" s="1" t="s">
        <v>8406</v>
      </c>
      <c r="G1237" s="1" t="s">
        <v>8407</v>
      </c>
      <c r="H1237" s="1" t="str">
        <f t="shared" si="19"/>
        <v>Mikrotik</v>
      </c>
    </row>
    <row r="1238" spans="1:8">
      <c r="A1238" s="1">
        <v>1237</v>
      </c>
      <c r="B1238" s="1" t="s">
        <v>18543</v>
      </c>
      <c r="C1238" s="1" t="s">
        <v>140</v>
      </c>
      <c r="D1238" s="1" t="s">
        <v>8514</v>
      </c>
      <c r="E1238" s="1" t="s">
        <v>8521</v>
      </c>
      <c r="F1238" s="1" t="s">
        <v>8410</v>
      </c>
      <c r="G1238" s="1" t="s">
        <v>8411</v>
      </c>
      <c r="H1238" s="1" t="str">
        <f t="shared" si="19"/>
        <v>Mikrotik</v>
      </c>
    </row>
    <row r="1239" spans="1:8">
      <c r="A1239" s="1">
        <v>1238</v>
      </c>
      <c r="B1239" s="1" t="s">
        <v>18543</v>
      </c>
      <c r="C1239" s="1" t="s">
        <v>142</v>
      </c>
      <c r="D1239" s="1" t="s">
        <v>8514</v>
      </c>
      <c r="E1239" s="1" t="s">
        <v>8523</v>
      </c>
      <c r="F1239" s="1" t="s">
        <v>8414</v>
      </c>
      <c r="G1239" s="1" t="s">
        <v>8415</v>
      </c>
      <c r="H1239" s="1" t="str">
        <f t="shared" si="19"/>
        <v>Mikrotik</v>
      </c>
    </row>
    <row r="1240" spans="1:8">
      <c r="A1240" s="1">
        <v>1239</v>
      </c>
      <c r="B1240" s="1" t="s">
        <v>18543</v>
      </c>
      <c r="C1240" s="1" t="s">
        <v>144</v>
      </c>
      <c r="D1240" s="1" t="s">
        <v>8514</v>
      </c>
      <c r="E1240" s="1" t="s">
        <v>8525</v>
      </c>
      <c r="F1240" s="1" t="s">
        <v>8418</v>
      </c>
      <c r="G1240" s="1" t="s">
        <v>8419</v>
      </c>
      <c r="H1240" s="1" t="str">
        <f t="shared" si="19"/>
        <v>Mikrotik</v>
      </c>
    </row>
    <row r="1241" spans="1:8">
      <c r="A1241" s="1">
        <v>1240</v>
      </c>
      <c r="B1241" s="1" t="s">
        <v>18543</v>
      </c>
      <c r="C1241" s="1" t="s">
        <v>146</v>
      </c>
      <c r="D1241" s="1" t="s">
        <v>8514</v>
      </c>
      <c r="E1241" s="1" t="s">
        <v>8527</v>
      </c>
      <c r="F1241" s="1" t="s">
        <v>8422</v>
      </c>
      <c r="G1241" s="1" t="s">
        <v>8423</v>
      </c>
      <c r="H1241" s="1" t="str">
        <f t="shared" si="19"/>
        <v>Mikrotik</v>
      </c>
    </row>
    <row r="1242" spans="1:8">
      <c r="A1242" s="1">
        <v>1241</v>
      </c>
      <c r="B1242" s="1" t="s">
        <v>18543</v>
      </c>
      <c r="C1242" s="1" t="s">
        <v>148</v>
      </c>
      <c r="D1242" s="1" t="s">
        <v>8514</v>
      </c>
      <c r="E1242" s="1" t="s">
        <v>8529</v>
      </c>
      <c r="F1242" s="1" t="s">
        <v>8426</v>
      </c>
      <c r="G1242" s="1" t="s">
        <v>8427</v>
      </c>
      <c r="H1242" s="1" t="str">
        <f t="shared" si="19"/>
        <v>Mikrotik</v>
      </c>
    </row>
    <row r="1243" spans="1:8">
      <c r="A1243" s="1">
        <v>1242</v>
      </c>
      <c r="B1243" s="1" t="s">
        <v>18543</v>
      </c>
      <c r="C1243" s="1" t="s">
        <v>150</v>
      </c>
      <c r="D1243" s="1" t="s">
        <v>8514</v>
      </c>
      <c r="E1243" s="1" t="s">
        <v>8531</v>
      </c>
      <c r="F1243" s="1" t="s">
        <v>8430</v>
      </c>
      <c r="G1243" s="1" t="s">
        <v>8431</v>
      </c>
      <c r="H1243" s="1" t="str">
        <f t="shared" si="19"/>
        <v>Mikrotik</v>
      </c>
    </row>
    <row r="1244" spans="1:8">
      <c r="A1244" s="1">
        <v>1243</v>
      </c>
      <c r="B1244" s="1" t="s">
        <v>18543</v>
      </c>
      <c r="C1244" s="1" t="s">
        <v>152</v>
      </c>
      <c r="D1244" s="1" t="s">
        <v>8514</v>
      </c>
      <c r="E1244" s="1" t="s">
        <v>8533</v>
      </c>
      <c r="F1244" s="1" t="s">
        <v>8434</v>
      </c>
      <c r="G1244" s="1" t="s">
        <v>8435</v>
      </c>
      <c r="H1244" s="1" t="str">
        <f t="shared" si="19"/>
        <v>Mikrotik</v>
      </c>
    </row>
    <row r="1245" spans="1:8">
      <c r="A1245" s="1">
        <v>1244</v>
      </c>
      <c r="B1245" s="1" t="s">
        <v>18544</v>
      </c>
      <c r="C1245" s="1" t="s">
        <v>131</v>
      </c>
      <c r="D1245" s="1" t="s">
        <v>8535</v>
      </c>
      <c r="E1245" s="1" t="s">
        <v>777</v>
      </c>
      <c r="F1245" s="1" t="s">
        <v>8398</v>
      </c>
      <c r="G1245" s="1" t="s">
        <v>8399</v>
      </c>
      <c r="H1245" s="1" t="str">
        <f t="shared" si="19"/>
        <v>Mikrotik</v>
      </c>
    </row>
    <row r="1246" spans="1:8">
      <c r="A1246" s="1">
        <v>1245</v>
      </c>
      <c r="B1246" s="1" t="s">
        <v>18544</v>
      </c>
      <c r="C1246" s="1" t="s">
        <v>136</v>
      </c>
      <c r="D1246" s="1" t="s">
        <v>8535</v>
      </c>
      <c r="E1246" s="1" t="s">
        <v>781</v>
      </c>
      <c r="F1246" s="1" t="s">
        <v>8402</v>
      </c>
      <c r="G1246" s="1" t="s">
        <v>8403</v>
      </c>
      <c r="H1246" s="1" t="str">
        <f t="shared" si="19"/>
        <v>Mikrotik</v>
      </c>
    </row>
    <row r="1247" spans="1:8">
      <c r="A1247" s="1">
        <v>1246</v>
      </c>
      <c r="B1247" s="1" t="s">
        <v>18544</v>
      </c>
      <c r="C1247" s="1" t="s">
        <v>138</v>
      </c>
      <c r="D1247" s="1" t="s">
        <v>8535</v>
      </c>
      <c r="E1247" s="1" t="s">
        <v>8538</v>
      </c>
      <c r="F1247" s="1" t="s">
        <v>8406</v>
      </c>
      <c r="G1247" s="1" t="s">
        <v>8407</v>
      </c>
      <c r="H1247" s="1" t="str">
        <f t="shared" si="19"/>
        <v>Mikrotik</v>
      </c>
    </row>
    <row r="1248" spans="1:8">
      <c r="A1248" s="1">
        <v>1247</v>
      </c>
      <c r="B1248" s="1" t="s">
        <v>18544</v>
      </c>
      <c r="C1248" s="1" t="s">
        <v>140</v>
      </c>
      <c r="D1248" s="1" t="s">
        <v>8535</v>
      </c>
      <c r="E1248" s="1" t="s">
        <v>8540</v>
      </c>
      <c r="F1248" s="1" t="s">
        <v>8410</v>
      </c>
      <c r="G1248" s="1" t="s">
        <v>8411</v>
      </c>
      <c r="H1248" s="1" t="str">
        <f t="shared" si="19"/>
        <v>Mikrotik</v>
      </c>
    </row>
    <row r="1249" spans="1:8">
      <c r="A1249" s="1">
        <v>1248</v>
      </c>
      <c r="B1249" s="1" t="s">
        <v>18544</v>
      </c>
      <c r="C1249" s="1" t="s">
        <v>142</v>
      </c>
      <c r="D1249" s="1" t="s">
        <v>8535</v>
      </c>
      <c r="E1249" s="1" t="s">
        <v>8542</v>
      </c>
      <c r="F1249" s="1" t="s">
        <v>8414</v>
      </c>
      <c r="G1249" s="1" t="s">
        <v>8415</v>
      </c>
      <c r="H1249" s="1" t="str">
        <f t="shared" si="19"/>
        <v>Mikrotik</v>
      </c>
    </row>
    <row r="1250" spans="1:8">
      <c r="A1250" s="1">
        <v>1249</v>
      </c>
      <c r="B1250" s="1" t="s">
        <v>18544</v>
      </c>
      <c r="C1250" s="1" t="s">
        <v>144</v>
      </c>
      <c r="D1250" s="1" t="s">
        <v>8535</v>
      </c>
      <c r="E1250" s="1" t="s">
        <v>789</v>
      </c>
      <c r="F1250" s="1" t="s">
        <v>8418</v>
      </c>
      <c r="G1250" s="1" t="s">
        <v>8419</v>
      </c>
      <c r="H1250" s="1" t="str">
        <f t="shared" si="19"/>
        <v>Mikrotik</v>
      </c>
    </row>
    <row r="1251" spans="1:8">
      <c r="A1251" s="1">
        <v>1250</v>
      </c>
      <c r="B1251" s="1" t="s">
        <v>18544</v>
      </c>
      <c r="C1251" s="1" t="s">
        <v>146</v>
      </c>
      <c r="D1251" s="1" t="s">
        <v>8535</v>
      </c>
      <c r="E1251" s="1" t="s">
        <v>785</v>
      </c>
      <c r="F1251" s="1" t="s">
        <v>8422</v>
      </c>
      <c r="G1251" s="1" t="s">
        <v>8423</v>
      </c>
      <c r="H1251" s="1" t="str">
        <f t="shared" si="19"/>
        <v>Mikrotik</v>
      </c>
    </row>
    <row r="1252" spans="1:8">
      <c r="A1252" s="1">
        <v>1251</v>
      </c>
      <c r="B1252" s="1" t="s">
        <v>18544</v>
      </c>
      <c r="C1252" s="1" t="s">
        <v>148</v>
      </c>
      <c r="D1252" s="1" t="s">
        <v>8535</v>
      </c>
      <c r="E1252" s="1" t="s">
        <v>8546</v>
      </c>
      <c r="F1252" s="1" t="s">
        <v>8426</v>
      </c>
      <c r="G1252" s="1" t="s">
        <v>8427</v>
      </c>
      <c r="H1252" s="1" t="str">
        <f t="shared" si="19"/>
        <v>Mikrotik</v>
      </c>
    </row>
    <row r="1253" spans="1:8">
      <c r="A1253" s="1">
        <v>1252</v>
      </c>
      <c r="B1253" s="1" t="s">
        <v>18544</v>
      </c>
      <c r="C1253" s="1" t="s">
        <v>150</v>
      </c>
      <c r="D1253" s="1" t="s">
        <v>8535</v>
      </c>
      <c r="E1253" s="1" t="s">
        <v>8548</v>
      </c>
      <c r="F1253" s="1" t="s">
        <v>8430</v>
      </c>
      <c r="G1253" s="1" t="s">
        <v>8431</v>
      </c>
      <c r="H1253" s="1" t="str">
        <f t="shared" si="19"/>
        <v>Mikrotik</v>
      </c>
    </row>
    <row r="1254" spans="1:8">
      <c r="A1254" s="1">
        <v>1253</v>
      </c>
      <c r="B1254" s="1" t="s">
        <v>18544</v>
      </c>
      <c r="C1254" s="1" t="s">
        <v>152</v>
      </c>
      <c r="D1254" s="1" t="s">
        <v>8535</v>
      </c>
      <c r="E1254" s="1" t="s">
        <v>8550</v>
      </c>
      <c r="F1254" s="1" t="s">
        <v>8434</v>
      </c>
      <c r="G1254" s="1" t="s">
        <v>8435</v>
      </c>
      <c r="H1254" s="1" t="str">
        <f t="shared" si="19"/>
        <v>Mikrotik</v>
      </c>
    </row>
    <row r="1255" spans="1:8">
      <c r="A1255" s="1">
        <v>1254</v>
      </c>
      <c r="B1255" s="1" t="s">
        <v>18545</v>
      </c>
      <c r="C1255" s="1" t="s">
        <v>131</v>
      </c>
      <c r="D1255" s="1" t="s">
        <v>8552</v>
      </c>
      <c r="E1255" s="1" t="s">
        <v>8553</v>
      </c>
      <c r="F1255" s="1" t="s">
        <v>8398</v>
      </c>
      <c r="G1255" s="1" t="s">
        <v>8399</v>
      </c>
      <c r="H1255" s="1" t="str">
        <f t="shared" si="19"/>
        <v>Mikrotik</v>
      </c>
    </row>
    <row r="1256" spans="1:8">
      <c r="A1256" s="1">
        <v>1255</v>
      </c>
      <c r="B1256" s="1" t="s">
        <v>18545</v>
      </c>
      <c r="C1256" s="1" t="s">
        <v>136</v>
      </c>
      <c r="D1256" s="1" t="s">
        <v>8552</v>
      </c>
      <c r="E1256" s="1" t="s">
        <v>8555</v>
      </c>
      <c r="F1256" s="1" t="s">
        <v>8402</v>
      </c>
      <c r="G1256" s="1" t="s">
        <v>8403</v>
      </c>
      <c r="H1256" s="1" t="str">
        <f t="shared" si="19"/>
        <v>Mikrotik</v>
      </c>
    </row>
    <row r="1257" spans="1:8">
      <c r="A1257" s="1">
        <v>1256</v>
      </c>
      <c r="B1257" s="1" t="s">
        <v>18545</v>
      </c>
      <c r="C1257" s="1" t="s">
        <v>138</v>
      </c>
      <c r="D1257" s="1" t="s">
        <v>8552</v>
      </c>
      <c r="E1257" s="1" t="s">
        <v>8557</v>
      </c>
      <c r="F1257" s="1" t="s">
        <v>8406</v>
      </c>
      <c r="G1257" s="1" t="s">
        <v>8407</v>
      </c>
      <c r="H1257" s="1" t="str">
        <f t="shared" si="19"/>
        <v>Mikrotik</v>
      </c>
    </row>
    <row r="1258" spans="1:8">
      <c r="A1258" s="1">
        <v>1257</v>
      </c>
      <c r="B1258" s="1" t="s">
        <v>18545</v>
      </c>
      <c r="C1258" s="1" t="s">
        <v>140</v>
      </c>
      <c r="D1258" s="1" t="s">
        <v>8552</v>
      </c>
      <c r="E1258" s="1" t="s">
        <v>8559</v>
      </c>
      <c r="F1258" s="1" t="s">
        <v>8410</v>
      </c>
      <c r="G1258" s="1" t="s">
        <v>8411</v>
      </c>
      <c r="H1258" s="1" t="str">
        <f t="shared" si="19"/>
        <v>Mikrotik</v>
      </c>
    </row>
    <row r="1259" spans="1:8">
      <c r="A1259" s="1">
        <v>1258</v>
      </c>
      <c r="B1259" s="1" t="s">
        <v>18545</v>
      </c>
      <c r="C1259" s="1" t="s">
        <v>142</v>
      </c>
      <c r="D1259" s="1" t="s">
        <v>8552</v>
      </c>
      <c r="E1259" s="1" t="s">
        <v>8561</v>
      </c>
      <c r="F1259" s="1" t="s">
        <v>8414</v>
      </c>
      <c r="G1259" s="1" t="s">
        <v>8415</v>
      </c>
      <c r="H1259" s="1" t="str">
        <f t="shared" si="19"/>
        <v>Mikrotik</v>
      </c>
    </row>
    <row r="1260" spans="1:8">
      <c r="A1260" s="1">
        <v>1259</v>
      </c>
      <c r="B1260" s="1" t="s">
        <v>18545</v>
      </c>
      <c r="C1260" s="1" t="s">
        <v>144</v>
      </c>
      <c r="D1260" s="1" t="s">
        <v>8552</v>
      </c>
      <c r="E1260" s="1" t="s">
        <v>8563</v>
      </c>
      <c r="F1260" s="1" t="s">
        <v>8418</v>
      </c>
      <c r="G1260" s="1" t="s">
        <v>8419</v>
      </c>
      <c r="H1260" s="1" t="str">
        <f t="shared" si="19"/>
        <v>Mikrotik</v>
      </c>
    </row>
    <row r="1261" spans="1:8">
      <c r="A1261" s="1">
        <v>1260</v>
      </c>
      <c r="B1261" s="1" t="s">
        <v>18545</v>
      </c>
      <c r="C1261" s="1" t="s">
        <v>146</v>
      </c>
      <c r="D1261" s="1" t="s">
        <v>8552</v>
      </c>
      <c r="E1261" s="1" t="s">
        <v>8565</v>
      </c>
      <c r="F1261" s="1" t="s">
        <v>8422</v>
      </c>
      <c r="G1261" s="1" t="s">
        <v>8423</v>
      </c>
      <c r="H1261" s="1" t="str">
        <f t="shared" si="19"/>
        <v>Mikrotik</v>
      </c>
    </row>
    <row r="1262" spans="1:8">
      <c r="A1262" s="1">
        <v>1261</v>
      </c>
      <c r="B1262" s="1" t="s">
        <v>18545</v>
      </c>
      <c r="C1262" s="1" t="s">
        <v>148</v>
      </c>
      <c r="D1262" s="1" t="s">
        <v>8552</v>
      </c>
      <c r="E1262" s="1" t="s">
        <v>8567</v>
      </c>
      <c r="F1262" s="1" t="s">
        <v>8426</v>
      </c>
      <c r="G1262" s="1" t="s">
        <v>8427</v>
      </c>
      <c r="H1262" s="1" t="str">
        <f t="shared" si="19"/>
        <v>Mikrotik</v>
      </c>
    </row>
    <row r="1263" spans="1:8">
      <c r="A1263" s="1">
        <v>1262</v>
      </c>
      <c r="B1263" s="1" t="s">
        <v>18545</v>
      </c>
      <c r="C1263" s="1" t="s">
        <v>150</v>
      </c>
      <c r="D1263" s="1" t="s">
        <v>8552</v>
      </c>
      <c r="E1263" s="1" t="s">
        <v>8569</v>
      </c>
      <c r="F1263" s="1" t="s">
        <v>8430</v>
      </c>
      <c r="G1263" s="1" t="s">
        <v>8431</v>
      </c>
      <c r="H1263" s="1" t="str">
        <f t="shared" si="19"/>
        <v>Mikrotik</v>
      </c>
    </row>
    <row r="1264" spans="1:8">
      <c r="A1264" s="1">
        <v>1263</v>
      </c>
      <c r="B1264" s="1" t="s">
        <v>18545</v>
      </c>
      <c r="C1264" s="1" t="s">
        <v>152</v>
      </c>
      <c r="D1264" s="1" t="s">
        <v>8552</v>
      </c>
      <c r="E1264" s="1" t="s">
        <v>8571</v>
      </c>
      <c r="F1264" s="1" t="s">
        <v>8434</v>
      </c>
      <c r="G1264" s="1" t="s">
        <v>8435</v>
      </c>
      <c r="H1264" s="1" t="str">
        <f t="shared" si="19"/>
        <v>Mikrotik</v>
      </c>
    </row>
    <row r="1265" spans="1:8">
      <c r="A1265" s="1">
        <v>1264</v>
      </c>
      <c r="B1265" s="1" t="s">
        <v>18546</v>
      </c>
      <c r="C1265" s="1" t="s">
        <v>131</v>
      </c>
      <c r="D1265" s="1" t="s">
        <v>8573</v>
      </c>
      <c r="E1265" s="1" t="s">
        <v>8574</v>
      </c>
      <c r="F1265" s="1" t="s">
        <v>8398</v>
      </c>
      <c r="G1265" s="1" t="s">
        <v>8399</v>
      </c>
      <c r="H1265" s="1" t="str">
        <f t="shared" si="19"/>
        <v>Mikrotik</v>
      </c>
    </row>
    <row r="1266" spans="1:8">
      <c r="A1266" s="1">
        <v>1265</v>
      </c>
      <c r="B1266" s="1" t="s">
        <v>18546</v>
      </c>
      <c r="C1266" s="1" t="s">
        <v>136</v>
      </c>
      <c r="D1266" s="1" t="s">
        <v>8573</v>
      </c>
      <c r="E1266" s="1" t="s">
        <v>8576</v>
      </c>
      <c r="F1266" s="1" t="s">
        <v>8402</v>
      </c>
      <c r="G1266" s="1" t="s">
        <v>8403</v>
      </c>
      <c r="H1266" s="1" t="str">
        <f t="shared" si="19"/>
        <v>Mikrotik</v>
      </c>
    </row>
    <row r="1267" spans="1:8">
      <c r="A1267" s="1">
        <v>1266</v>
      </c>
      <c r="B1267" s="1" t="s">
        <v>18546</v>
      </c>
      <c r="C1267" s="1" t="s">
        <v>138</v>
      </c>
      <c r="D1267" s="1" t="s">
        <v>8573</v>
      </c>
      <c r="E1267" s="1" t="s">
        <v>8578</v>
      </c>
      <c r="F1267" s="1" t="s">
        <v>8406</v>
      </c>
      <c r="G1267" s="1" t="s">
        <v>8407</v>
      </c>
      <c r="H1267" s="1" t="str">
        <f t="shared" si="19"/>
        <v>Mikrotik</v>
      </c>
    </row>
    <row r="1268" spans="1:8">
      <c r="A1268" s="1">
        <v>1267</v>
      </c>
      <c r="B1268" s="1" t="s">
        <v>18546</v>
      </c>
      <c r="C1268" s="1" t="s">
        <v>140</v>
      </c>
      <c r="D1268" s="1" t="s">
        <v>8573</v>
      </c>
      <c r="E1268" s="1" t="s">
        <v>8580</v>
      </c>
      <c r="F1268" s="1" t="s">
        <v>8410</v>
      </c>
      <c r="G1268" s="1" t="s">
        <v>8411</v>
      </c>
      <c r="H1268" s="1" t="str">
        <f t="shared" si="19"/>
        <v>Mikrotik</v>
      </c>
    </row>
    <row r="1269" spans="1:8">
      <c r="A1269" s="1">
        <v>1268</v>
      </c>
      <c r="B1269" s="1" t="s">
        <v>18546</v>
      </c>
      <c r="C1269" s="1" t="s">
        <v>142</v>
      </c>
      <c r="D1269" s="1" t="s">
        <v>8573</v>
      </c>
      <c r="E1269" s="1" t="s">
        <v>8582</v>
      </c>
      <c r="F1269" s="1" t="s">
        <v>8414</v>
      </c>
      <c r="G1269" s="1" t="s">
        <v>8415</v>
      </c>
      <c r="H1269" s="1" t="str">
        <f t="shared" si="19"/>
        <v>Mikrotik</v>
      </c>
    </row>
    <row r="1270" spans="1:8">
      <c r="A1270" s="1">
        <v>1269</v>
      </c>
      <c r="B1270" s="1" t="s">
        <v>18546</v>
      </c>
      <c r="C1270" s="1" t="s">
        <v>144</v>
      </c>
      <c r="D1270" s="1" t="s">
        <v>8573</v>
      </c>
      <c r="E1270" s="1" t="s">
        <v>8584</v>
      </c>
      <c r="F1270" s="1" t="s">
        <v>8418</v>
      </c>
      <c r="G1270" s="1" t="s">
        <v>8419</v>
      </c>
      <c r="H1270" s="1" t="str">
        <f t="shared" si="19"/>
        <v>Mikrotik</v>
      </c>
    </row>
    <row r="1271" spans="1:8">
      <c r="A1271" s="1">
        <v>1270</v>
      </c>
      <c r="B1271" s="1" t="s">
        <v>18546</v>
      </c>
      <c r="C1271" s="1" t="s">
        <v>146</v>
      </c>
      <c r="D1271" s="1" t="s">
        <v>8573</v>
      </c>
      <c r="E1271" s="1" t="s">
        <v>8586</v>
      </c>
      <c r="F1271" s="1" t="s">
        <v>8422</v>
      </c>
      <c r="G1271" s="1" t="s">
        <v>8423</v>
      </c>
      <c r="H1271" s="1" t="str">
        <f t="shared" si="19"/>
        <v>Mikrotik</v>
      </c>
    </row>
    <row r="1272" spans="1:8">
      <c r="A1272" s="1">
        <v>1271</v>
      </c>
      <c r="B1272" s="1" t="s">
        <v>18546</v>
      </c>
      <c r="C1272" s="1" t="s">
        <v>148</v>
      </c>
      <c r="D1272" s="1" t="s">
        <v>8573</v>
      </c>
      <c r="E1272" s="1" t="s">
        <v>8588</v>
      </c>
      <c r="F1272" s="1" t="s">
        <v>8426</v>
      </c>
      <c r="G1272" s="1" t="s">
        <v>8427</v>
      </c>
      <c r="H1272" s="1" t="str">
        <f t="shared" si="19"/>
        <v>Mikrotik</v>
      </c>
    </row>
    <row r="1273" spans="1:8">
      <c r="A1273" s="1">
        <v>1272</v>
      </c>
      <c r="B1273" s="1" t="s">
        <v>18546</v>
      </c>
      <c r="C1273" s="1" t="s">
        <v>150</v>
      </c>
      <c r="D1273" s="1" t="s">
        <v>8573</v>
      </c>
      <c r="E1273" s="1" t="s">
        <v>8590</v>
      </c>
      <c r="F1273" s="1" t="s">
        <v>8430</v>
      </c>
      <c r="G1273" s="1" t="s">
        <v>8431</v>
      </c>
      <c r="H1273" s="1" t="str">
        <f t="shared" si="19"/>
        <v>Mikrotik</v>
      </c>
    </row>
    <row r="1274" spans="1:8">
      <c r="A1274" s="1">
        <v>1273</v>
      </c>
      <c r="B1274" s="1" t="s">
        <v>18546</v>
      </c>
      <c r="C1274" s="1" t="s">
        <v>152</v>
      </c>
      <c r="D1274" s="1" t="s">
        <v>8573</v>
      </c>
      <c r="E1274" s="1" t="s">
        <v>8592</v>
      </c>
      <c r="F1274" s="1" t="s">
        <v>8434</v>
      </c>
      <c r="G1274" s="1" t="s">
        <v>8435</v>
      </c>
      <c r="H1274" s="1" t="str">
        <f t="shared" si="19"/>
        <v>Mikrotik</v>
      </c>
    </row>
    <row r="1275" spans="1:8">
      <c r="A1275" s="1">
        <v>1274</v>
      </c>
      <c r="B1275" s="1" t="s">
        <v>18547</v>
      </c>
      <c r="C1275" s="1" t="s">
        <v>131</v>
      </c>
      <c r="D1275" s="1" t="s">
        <v>8594</v>
      </c>
      <c r="E1275" s="1" t="s">
        <v>143</v>
      </c>
      <c r="F1275" s="1" t="s">
        <v>8398</v>
      </c>
      <c r="G1275" s="1" t="s">
        <v>8399</v>
      </c>
      <c r="H1275" s="1" t="str">
        <f t="shared" si="19"/>
        <v>Mikrotik</v>
      </c>
    </row>
    <row r="1276" spans="1:8">
      <c r="A1276" s="1">
        <v>1275</v>
      </c>
      <c r="B1276" s="1" t="s">
        <v>18547</v>
      </c>
      <c r="C1276" s="1" t="s">
        <v>136</v>
      </c>
      <c r="D1276" s="1" t="s">
        <v>8594</v>
      </c>
      <c r="E1276" s="1" t="s">
        <v>145</v>
      </c>
      <c r="F1276" s="1" t="s">
        <v>8402</v>
      </c>
      <c r="G1276" s="1" t="s">
        <v>8403</v>
      </c>
      <c r="H1276" s="1" t="str">
        <f t="shared" si="19"/>
        <v>Mikrotik</v>
      </c>
    </row>
    <row r="1277" spans="1:8">
      <c r="A1277" s="1">
        <v>1276</v>
      </c>
      <c r="B1277" s="1" t="s">
        <v>18547</v>
      </c>
      <c r="C1277" s="1" t="s">
        <v>138</v>
      </c>
      <c r="D1277" s="1" t="s">
        <v>8594</v>
      </c>
      <c r="E1277" s="1" t="s">
        <v>8597</v>
      </c>
      <c r="F1277" s="1" t="s">
        <v>8406</v>
      </c>
      <c r="G1277" s="1" t="s">
        <v>8407</v>
      </c>
      <c r="H1277" s="1" t="str">
        <f t="shared" si="19"/>
        <v>Mikrotik</v>
      </c>
    </row>
    <row r="1278" spans="1:8">
      <c r="A1278" s="1">
        <v>1277</v>
      </c>
      <c r="B1278" s="1" t="s">
        <v>18547</v>
      </c>
      <c r="C1278" s="1" t="s">
        <v>140</v>
      </c>
      <c r="D1278" s="1" t="s">
        <v>8594</v>
      </c>
      <c r="E1278" s="1" t="s">
        <v>8599</v>
      </c>
      <c r="F1278" s="1" t="s">
        <v>8410</v>
      </c>
      <c r="G1278" s="1" t="s">
        <v>8411</v>
      </c>
      <c r="H1278" s="1" t="str">
        <f t="shared" si="19"/>
        <v>Mikrotik</v>
      </c>
    </row>
    <row r="1279" spans="1:8">
      <c r="A1279" s="1">
        <v>1278</v>
      </c>
      <c r="B1279" s="1" t="s">
        <v>18547</v>
      </c>
      <c r="C1279" s="1" t="s">
        <v>142</v>
      </c>
      <c r="D1279" s="1" t="s">
        <v>8594</v>
      </c>
      <c r="E1279" s="1" t="s">
        <v>8601</v>
      </c>
      <c r="F1279" s="1" t="s">
        <v>8414</v>
      </c>
      <c r="G1279" s="1" t="s">
        <v>8415</v>
      </c>
      <c r="H1279" s="1" t="str">
        <f t="shared" si="19"/>
        <v>Mikrotik</v>
      </c>
    </row>
    <row r="1280" spans="1:8">
      <c r="A1280" s="1">
        <v>1279</v>
      </c>
      <c r="B1280" s="1" t="s">
        <v>18547</v>
      </c>
      <c r="C1280" s="1" t="s">
        <v>144</v>
      </c>
      <c r="D1280" s="1" t="s">
        <v>8594</v>
      </c>
      <c r="E1280" s="1" t="s">
        <v>149</v>
      </c>
      <c r="F1280" s="1" t="s">
        <v>8418</v>
      </c>
      <c r="G1280" s="1" t="s">
        <v>8419</v>
      </c>
      <c r="H1280" s="1" t="str">
        <f t="shared" si="19"/>
        <v>Mikrotik</v>
      </c>
    </row>
    <row r="1281" spans="1:8">
      <c r="A1281" s="1">
        <v>1280</v>
      </c>
      <c r="B1281" s="1" t="s">
        <v>18547</v>
      </c>
      <c r="C1281" s="1" t="s">
        <v>146</v>
      </c>
      <c r="D1281" s="1" t="s">
        <v>8594</v>
      </c>
      <c r="E1281" s="1" t="s">
        <v>147</v>
      </c>
      <c r="F1281" s="1" t="s">
        <v>8422</v>
      </c>
      <c r="G1281" s="1" t="s">
        <v>8423</v>
      </c>
      <c r="H1281" s="1" t="str">
        <f t="shared" si="19"/>
        <v>Mikrotik</v>
      </c>
    </row>
    <row r="1282" spans="1:8">
      <c r="A1282" s="1">
        <v>1281</v>
      </c>
      <c r="B1282" s="1" t="s">
        <v>18547</v>
      </c>
      <c r="C1282" s="1" t="s">
        <v>148</v>
      </c>
      <c r="D1282" s="1" t="s">
        <v>8594</v>
      </c>
      <c r="E1282" s="1" t="s">
        <v>8605</v>
      </c>
      <c r="F1282" s="1" t="s">
        <v>8426</v>
      </c>
      <c r="G1282" s="1" t="s">
        <v>8427</v>
      </c>
      <c r="H1282" s="1" t="str">
        <f t="shared" ref="H1282:H1345" si="20">IFERROR(IF(OR(MID(G1282,FIND(":",G1282)-1,1)="""",MID(G1282,FIND(":",G1282)-1,1)="}",MID(G1282,FIND(":",G1282)-1,1)=")",MID(G1282,FIND(":",G1282)-1,1)="]"),"",LEFT(F1282,FIND(":",F1282)-1)),"")</f>
        <v>Mikrotik</v>
      </c>
    </row>
    <row r="1283" spans="1:8">
      <c r="A1283" s="1">
        <v>1282</v>
      </c>
      <c r="B1283" s="1" t="s">
        <v>18547</v>
      </c>
      <c r="C1283" s="1" t="s">
        <v>150</v>
      </c>
      <c r="D1283" s="1" t="s">
        <v>8594</v>
      </c>
      <c r="E1283" s="1" t="s">
        <v>8607</v>
      </c>
      <c r="F1283" s="1" t="s">
        <v>8430</v>
      </c>
      <c r="G1283" s="1" t="s">
        <v>8431</v>
      </c>
      <c r="H1283" s="1" t="str">
        <f t="shared" si="20"/>
        <v>Mikrotik</v>
      </c>
    </row>
    <row r="1284" spans="1:8">
      <c r="A1284" s="1">
        <v>1283</v>
      </c>
      <c r="B1284" s="1" t="s">
        <v>18547</v>
      </c>
      <c r="C1284" s="1" t="s">
        <v>152</v>
      </c>
      <c r="D1284" s="1" t="s">
        <v>8594</v>
      </c>
      <c r="E1284" s="1" t="s">
        <v>8609</v>
      </c>
      <c r="F1284" s="1" t="s">
        <v>8434</v>
      </c>
      <c r="G1284" s="1" t="s">
        <v>8435</v>
      </c>
      <c r="H1284" s="1" t="str">
        <f t="shared" si="20"/>
        <v>Mikrotik</v>
      </c>
    </row>
    <row r="1285" spans="1:8">
      <c r="A1285" s="1">
        <v>1284</v>
      </c>
      <c r="B1285" s="1" t="s">
        <v>18548</v>
      </c>
      <c r="C1285" s="1" t="s">
        <v>131</v>
      </c>
      <c r="D1285" s="1" t="s">
        <v>8611</v>
      </c>
      <c r="E1285" s="1" t="s">
        <v>8612</v>
      </c>
      <c r="F1285" s="1" t="s">
        <v>8398</v>
      </c>
      <c r="G1285" s="1" t="s">
        <v>8399</v>
      </c>
      <c r="H1285" s="1" t="str">
        <f t="shared" si="20"/>
        <v>Mikrotik</v>
      </c>
    </row>
    <row r="1286" spans="1:8">
      <c r="A1286" s="1">
        <v>1285</v>
      </c>
      <c r="B1286" s="1" t="s">
        <v>18548</v>
      </c>
      <c r="C1286" s="1" t="s">
        <v>136</v>
      </c>
      <c r="D1286" s="1" t="s">
        <v>8611</v>
      </c>
      <c r="E1286" s="1" t="s">
        <v>414</v>
      </c>
      <c r="F1286" s="1" t="s">
        <v>8402</v>
      </c>
      <c r="G1286" s="1" t="s">
        <v>8403</v>
      </c>
      <c r="H1286" s="1" t="str">
        <f t="shared" si="20"/>
        <v>Mikrotik</v>
      </c>
    </row>
    <row r="1287" spans="1:8">
      <c r="A1287" s="1">
        <v>1286</v>
      </c>
      <c r="B1287" s="1" t="s">
        <v>18548</v>
      </c>
      <c r="C1287" s="1" t="s">
        <v>138</v>
      </c>
      <c r="D1287" s="1" t="s">
        <v>8611</v>
      </c>
      <c r="E1287" s="1" t="s">
        <v>8615</v>
      </c>
      <c r="F1287" s="1" t="s">
        <v>8406</v>
      </c>
      <c r="G1287" s="1" t="s">
        <v>8407</v>
      </c>
      <c r="H1287" s="1" t="str">
        <f t="shared" si="20"/>
        <v>Mikrotik</v>
      </c>
    </row>
    <row r="1288" spans="1:8">
      <c r="A1288" s="1">
        <v>1287</v>
      </c>
      <c r="B1288" s="1" t="s">
        <v>18548</v>
      </c>
      <c r="C1288" s="1" t="s">
        <v>140</v>
      </c>
      <c r="D1288" s="1" t="s">
        <v>8611</v>
      </c>
      <c r="E1288" s="1" t="s">
        <v>8617</v>
      </c>
      <c r="F1288" s="1" t="s">
        <v>8410</v>
      </c>
      <c r="G1288" s="1" t="s">
        <v>8411</v>
      </c>
      <c r="H1288" s="1" t="str">
        <f t="shared" si="20"/>
        <v>Mikrotik</v>
      </c>
    </row>
    <row r="1289" spans="1:8">
      <c r="A1289" s="1">
        <v>1288</v>
      </c>
      <c r="B1289" s="1" t="s">
        <v>18548</v>
      </c>
      <c r="C1289" s="1" t="s">
        <v>142</v>
      </c>
      <c r="D1289" s="1" t="s">
        <v>8611</v>
      </c>
      <c r="E1289" s="1" t="s">
        <v>8619</v>
      </c>
      <c r="F1289" s="1" t="s">
        <v>8414</v>
      </c>
      <c r="G1289" s="1" t="s">
        <v>8415</v>
      </c>
      <c r="H1289" s="1" t="str">
        <f t="shared" si="20"/>
        <v>Mikrotik</v>
      </c>
    </row>
    <row r="1290" spans="1:8">
      <c r="A1290" s="1">
        <v>1289</v>
      </c>
      <c r="B1290" s="1" t="s">
        <v>18548</v>
      </c>
      <c r="C1290" s="1" t="s">
        <v>144</v>
      </c>
      <c r="D1290" s="1" t="s">
        <v>8611</v>
      </c>
      <c r="E1290" s="1" t="s">
        <v>8621</v>
      </c>
      <c r="F1290" s="1" t="s">
        <v>8418</v>
      </c>
      <c r="G1290" s="1" t="s">
        <v>8419</v>
      </c>
      <c r="H1290" s="1" t="str">
        <f t="shared" si="20"/>
        <v>Mikrotik</v>
      </c>
    </row>
    <row r="1291" spans="1:8">
      <c r="A1291" s="1">
        <v>1290</v>
      </c>
      <c r="B1291" s="1" t="s">
        <v>18548</v>
      </c>
      <c r="C1291" s="1" t="s">
        <v>146</v>
      </c>
      <c r="D1291" s="1" t="s">
        <v>8611</v>
      </c>
      <c r="E1291" s="1" t="s">
        <v>418</v>
      </c>
      <c r="F1291" s="1" t="s">
        <v>8422</v>
      </c>
      <c r="G1291" s="1" t="s">
        <v>8423</v>
      </c>
      <c r="H1291" s="1" t="str">
        <f t="shared" si="20"/>
        <v>Mikrotik</v>
      </c>
    </row>
    <row r="1292" spans="1:8">
      <c r="A1292" s="1">
        <v>1291</v>
      </c>
      <c r="B1292" s="1" t="s">
        <v>18548</v>
      </c>
      <c r="C1292" s="1" t="s">
        <v>148</v>
      </c>
      <c r="D1292" s="1" t="s">
        <v>8611</v>
      </c>
      <c r="E1292" s="1" t="s">
        <v>8624</v>
      </c>
      <c r="F1292" s="1" t="s">
        <v>8426</v>
      </c>
      <c r="G1292" s="1" t="s">
        <v>8427</v>
      </c>
      <c r="H1292" s="1" t="str">
        <f t="shared" si="20"/>
        <v>Mikrotik</v>
      </c>
    </row>
    <row r="1293" spans="1:8">
      <c r="A1293" s="1">
        <v>1292</v>
      </c>
      <c r="B1293" s="1" t="s">
        <v>18548</v>
      </c>
      <c r="C1293" s="1" t="s">
        <v>150</v>
      </c>
      <c r="D1293" s="1" t="s">
        <v>8611</v>
      </c>
      <c r="E1293" s="1" t="s">
        <v>8626</v>
      </c>
      <c r="F1293" s="1" t="s">
        <v>8430</v>
      </c>
      <c r="G1293" s="1" t="s">
        <v>8431</v>
      </c>
      <c r="H1293" s="1" t="str">
        <f t="shared" si="20"/>
        <v>Mikrotik</v>
      </c>
    </row>
    <row r="1294" spans="1:8">
      <c r="A1294" s="1">
        <v>1293</v>
      </c>
      <c r="B1294" s="1" t="s">
        <v>18548</v>
      </c>
      <c r="C1294" s="1" t="s">
        <v>152</v>
      </c>
      <c r="D1294" s="1" t="s">
        <v>8611</v>
      </c>
      <c r="E1294" s="1" t="s">
        <v>8628</v>
      </c>
      <c r="F1294" s="1" t="s">
        <v>8434</v>
      </c>
      <c r="G1294" s="1" t="s">
        <v>8435</v>
      </c>
      <c r="H1294" s="1" t="str">
        <f t="shared" si="20"/>
        <v>Mikrotik</v>
      </c>
    </row>
    <row r="1295" spans="1:8">
      <c r="A1295" s="1">
        <v>1294</v>
      </c>
      <c r="B1295" s="1" t="s">
        <v>18549</v>
      </c>
      <c r="C1295" s="1" t="s">
        <v>131</v>
      </c>
      <c r="D1295" s="1" t="s">
        <v>8630</v>
      </c>
      <c r="E1295" s="1" t="s">
        <v>8631</v>
      </c>
      <c r="F1295" s="1" t="s">
        <v>8398</v>
      </c>
      <c r="G1295" s="1" t="s">
        <v>8399</v>
      </c>
      <c r="H1295" s="1" t="str">
        <f t="shared" si="20"/>
        <v>Mikrotik</v>
      </c>
    </row>
    <row r="1296" spans="1:8">
      <c r="A1296" s="1">
        <v>1295</v>
      </c>
      <c r="B1296" s="1" t="s">
        <v>18549</v>
      </c>
      <c r="C1296" s="1" t="s">
        <v>136</v>
      </c>
      <c r="D1296" s="1" t="s">
        <v>8630</v>
      </c>
      <c r="E1296" s="1" t="s">
        <v>8633</v>
      </c>
      <c r="F1296" s="1" t="s">
        <v>8402</v>
      </c>
      <c r="G1296" s="1" t="s">
        <v>8403</v>
      </c>
      <c r="H1296" s="1" t="str">
        <f t="shared" si="20"/>
        <v>Mikrotik</v>
      </c>
    </row>
    <row r="1297" spans="1:8">
      <c r="A1297" s="1">
        <v>1296</v>
      </c>
      <c r="B1297" s="1" t="s">
        <v>18549</v>
      </c>
      <c r="C1297" s="1" t="s">
        <v>138</v>
      </c>
      <c r="D1297" s="1" t="s">
        <v>8630</v>
      </c>
      <c r="E1297" s="1" t="s">
        <v>8635</v>
      </c>
      <c r="F1297" s="1" t="s">
        <v>8406</v>
      </c>
      <c r="G1297" s="1" t="s">
        <v>8407</v>
      </c>
      <c r="H1297" s="1" t="str">
        <f t="shared" si="20"/>
        <v>Mikrotik</v>
      </c>
    </row>
    <row r="1298" spans="1:8">
      <c r="A1298" s="1">
        <v>1297</v>
      </c>
      <c r="B1298" s="1" t="s">
        <v>18549</v>
      </c>
      <c r="C1298" s="1" t="s">
        <v>140</v>
      </c>
      <c r="D1298" s="1" t="s">
        <v>8630</v>
      </c>
      <c r="E1298" s="1" t="s">
        <v>8637</v>
      </c>
      <c r="F1298" s="1" t="s">
        <v>8410</v>
      </c>
      <c r="G1298" s="1" t="s">
        <v>8411</v>
      </c>
      <c r="H1298" s="1" t="str">
        <f t="shared" si="20"/>
        <v>Mikrotik</v>
      </c>
    </row>
    <row r="1299" spans="1:8">
      <c r="A1299" s="1">
        <v>1298</v>
      </c>
      <c r="B1299" s="1" t="s">
        <v>18549</v>
      </c>
      <c r="C1299" s="1" t="s">
        <v>142</v>
      </c>
      <c r="D1299" s="1" t="s">
        <v>8630</v>
      </c>
      <c r="E1299" s="1" t="s">
        <v>8639</v>
      </c>
      <c r="F1299" s="1" t="s">
        <v>8414</v>
      </c>
      <c r="G1299" s="1" t="s">
        <v>8415</v>
      </c>
      <c r="H1299" s="1" t="str">
        <f t="shared" si="20"/>
        <v>Mikrotik</v>
      </c>
    </row>
    <row r="1300" spans="1:8">
      <c r="A1300" s="1">
        <v>1299</v>
      </c>
      <c r="B1300" s="1" t="s">
        <v>18549</v>
      </c>
      <c r="C1300" s="1" t="s">
        <v>144</v>
      </c>
      <c r="D1300" s="1" t="s">
        <v>8630</v>
      </c>
      <c r="E1300" s="1" t="s">
        <v>8641</v>
      </c>
      <c r="F1300" s="1" t="s">
        <v>8418</v>
      </c>
      <c r="G1300" s="1" t="s">
        <v>8419</v>
      </c>
      <c r="H1300" s="1" t="str">
        <f t="shared" si="20"/>
        <v>Mikrotik</v>
      </c>
    </row>
    <row r="1301" spans="1:8">
      <c r="A1301" s="1">
        <v>1300</v>
      </c>
      <c r="B1301" s="1" t="s">
        <v>18549</v>
      </c>
      <c r="C1301" s="1" t="s">
        <v>146</v>
      </c>
      <c r="D1301" s="1" t="s">
        <v>8630</v>
      </c>
      <c r="E1301" s="1" t="s">
        <v>8643</v>
      </c>
      <c r="F1301" s="1" t="s">
        <v>8422</v>
      </c>
      <c r="G1301" s="1" t="s">
        <v>8423</v>
      </c>
      <c r="H1301" s="1" t="str">
        <f t="shared" si="20"/>
        <v>Mikrotik</v>
      </c>
    </row>
    <row r="1302" spans="1:8">
      <c r="A1302" s="1">
        <v>1301</v>
      </c>
      <c r="B1302" s="1" t="s">
        <v>18549</v>
      </c>
      <c r="C1302" s="1" t="s">
        <v>148</v>
      </c>
      <c r="D1302" s="1" t="s">
        <v>8630</v>
      </c>
      <c r="E1302" s="1" t="s">
        <v>8645</v>
      </c>
      <c r="F1302" s="1" t="s">
        <v>8426</v>
      </c>
      <c r="G1302" s="1" t="s">
        <v>8427</v>
      </c>
      <c r="H1302" s="1" t="str">
        <f t="shared" si="20"/>
        <v>Mikrotik</v>
      </c>
    </row>
    <row r="1303" spans="1:8">
      <c r="A1303" s="1">
        <v>1302</v>
      </c>
      <c r="B1303" s="1" t="s">
        <v>18549</v>
      </c>
      <c r="C1303" s="1" t="s">
        <v>150</v>
      </c>
      <c r="D1303" s="1" t="s">
        <v>8630</v>
      </c>
      <c r="E1303" s="1" t="s">
        <v>8647</v>
      </c>
      <c r="F1303" s="1" t="s">
        <v>8430</v>
      </c>
      <c r="G1303" s="1" t="s">
        <v>8431</v>
      </c>
      <c r="H1303" s="1" t="str">
        <f t="shared" si="20"/>
        <v>Mikrotik</v>
      </c>
    </row>
    <row r="1304" spans="1:8">
      <c r="A1304" s="1">
        <v>1303</v>
      </c>
      <c r="B1304" s="1" t="s">
        <v>18549</v>
      </c>
      <c r="C1304" s="1" t="s">
        <v>152</v>
      </c>
      <c r="D1304" s="1" t="s">
        <v>8630</v>
      </c>
      <c r="E1304" s="1" t="s">
        <v>8649</v>
      </c>
      <c r="F1304" s="1" t="s">
        <v>8434</v>
      </c>
      <c r="G1304" s="1" t="s">
        <v>8435</v>
      </c>
      <c r="H1304" s="1" t="str">
        <f t="shared" si="20"/>
        <v>Mikrotik</v>
      </c>
    </row>
    <row r="1305" spans="1:8">
      <c r="A1305" s="1">
        <v>1304</v>
      </c>
      <c r="B1305" s="1" t="s">
        <v>18550</v>
      </c>
      <c r="C1305" s="1" t="s">
        <v>131</v>
      </c>
      <c r="D1305" s="1" t="s">
        <v>8651</v>
      </c>
      <c r="E1305" s="1" t="s">
        <v>8652</v>
      </c>
      <c r="F1305" s="1" t="s">
        <v>8398</v>
      </c>
      <c r="G1305" s="1" t="s">
        <v>8399</v>
      </c>
      <c r="H1305" s="1" t="str">
        <f t="shared" si="20"/>
        <v>Mikrotik</v>
      </c>
    </row>
    <row r="1306" spans="1:8">
      <c r="A1306" s="1">
        <v>1305</v>
      </c>
      <c r="B1306" s="1" t="s">
        <v>18550</v>
      </c>
      <c r="C1306" s="1" t="s">
        <v>136</v>
      </c>
      <c r="D1306" s="1" t="s">
        <v>8651</v>
      </c>
      <c r="E1306" s="1" t="s">
        <v>8654</v>
      </c>
      <c r="F1306" s="1" t="s">
        <v>8402</v>
      </c>
      <c r="G1306" s="1" t="s">
        <v>8403</v>
      </c>
      <c r="H1306" s="1" t="str">
        <f t="shared" si="20"/>
        <v>Mikrotik</v>
      </c>
    </row>
    <row r="1307" spans="1:8">
      <c r="A1307" s="1">
        <v>1306</v>
      </c>
      <c r="B1307" s="1" t="s">
        <v>18550</v>
      </c>
      <c r="C1307" s="1" t="s">
        <v>138</v>
      </c>
      <c r="D1307" s="1" t="s">
        <v>8651</v>
      </c>
      <c r="E1307" s="1" t="s">
        <v>8656</v>
      </c>
      <c r="F1307" s="1" t="s">
        <v>8406</v>
      </c>
      <c r="G1307" s="1" t="s">
        <v>8407</v>
      </c>
      <c r="H1307" s="1" t="str">
        <f t="shared" si="20"/>
        <v>Mikrotik</v>
      </c>
    </row>
    <row r="1308" spans="1:8">
      <c r="A1308" s="1">
        <v>1307</v>
      </c>
      <c r="B1308" s="1" t="s">
        <v>18550</v>
      </c>
      <c r="C1308" s="1" t="s">
        <v>140</v>
      </c>
      <c r="D1308" s="1" t="s">
        <v>8651</v>
      </c>
      <c r="E1308" s="1" t="s">
        <v>8658</v>
      </c>
      <c r="F1308" s="1" t="s">
        <v>8410</v>
      </c>
      <c r="G1308" s="1" t="s">
        <v>8411</v>
      </c>
      <c r="H1308" s="1" t="str">
        <f t="shared" si="20"/>
        <v>Mikrotik</v>
      </c>
    </row>
    <row r="1309" spans="1:8">
      <c r="A1309" s="1">
        <v>1308</v>
      </c>
      <c r="B1309" s="1" t="s">
        <v>18550</v>
      </c>
      <c r="C1309" s="1" t="s">
        <v>142</v>
      </c>
      <c r="D1309" s="1" t="s">
        <v>8651</v>
      </c>
      <c r="E1309" s="1" t="s">
        <v>8660</v>
      </c>
      <c r="F1309" s="1" t="s">
        <v>8414</v>
      </c>
      <c r="G1309" s="1" t="s">
        <v>8415</v>
      </c>
      <c r="H1309" s="1" t="str">
        <f t="shared" si="20"/>
        <v>Mikrotik</v>
      </c>
    </row>
    <row r="1310" spans="1:8">
      <c r="A1310" s="1">
        <v>1309</v>
      </c>
      <c r="B1310" s="1" t="s">
        <v>18550</v>
      </c>
      <c r="C1310" s="1" t="s">
        <v>144</v>
      </c>
      <c r="D1310" s="1" t="s">
        <v>8651</v>
      </c>
      <c r="E1310" s="1" t="s">
        <v>8662</v>
      </c>
      <c r="F1310" s="1" t="s">
        <v>8418</v>
      </c>
      <c r="G1310" s="1" t="s">
        <v>8419</v>
      </c>
      <c r="H1310" s="1" t="str">
        <f t="shared" si="20"/>
        <v>Mikrotik</v>
      </c>
    </row>
    <row r="1311" spans="1:8">
      <c r="A1311" s="1">
        <v>1310</v>
      </c>
      <c r="B1311" s="1" t="s">
        <v>18550</v>
      </c>
      <c r="C1311" s="1" t="s">
        <v>146</v>
      </c>
      <c r="D1311" s="1" t="s">
        <v>8651</v>
      </c>
      <c r="E1311" s="1" t="s">
        <v>8664</v>
      </c>
      <c r="F1311" s="1" t="s">
        <v>8422</v>
      </c>
      <c r="G1311" s="1" t="s">
        <v>8423</v>
      </c>
      <c r="H1311" s="1" t="str">
        <f t="shared" si="20"/>
        <v>Mikrotik</v>
      </c>
    </row>
    <row r="1312" spans="1:8">
      <c r="A1312" s="1">
        <v>1311</v>
      </c>
      <c r="B1312" s="1" t="s">
        <v>18550</v>
      </c>
      <c r="C1312" s="1" t="s">
        <v>148</v>
      </c>
      <c r="D1312" s="1" t="s">
        <v>8651</v>
      </c>
      <c r="E1312" s="1" t="s">
        <v>8666</v>
      </c>
      <c r="F1312" s="1" t="s">
        <v>8426</v>
      </c>
      <c r="G1312" s="1" t="s">
        <v>8427</v>
      </c>
      <c r="H1312" s="1" t="str">
        <f t="shared" si="20"/>
        <v>Mikrotik</v>
      </c>
    </row>
    <row r="1313" spans="1:8">
      <c r="A1313" s="1">
        <v>1312</v>
      </c>
      <c r="B1313" s="1" t="s">
        <v>18550</v>
      </c>
      <c r="C1313" s="1" t="s">
        <v>150</v>
      </c>
      <c r="D1313" s="1" t="s">
        <v>8651</v>
      </c>
      <c r="E1313" s="1" t="s">
        <v>8668</v>
      </c>
      <c r="F1313" s="1" t="s">
        <v>8430</v>
      </c>
      <c r="G1313" s="1" t="s">
        <v>8431</v>
      </c>
      <c r="H1313" s="1" t="str">
        <f t="shared" si="20"/>
        <v>Mikrotik</v>
      </c>
    </row>
    <row r="1314" spans="1:8">
      <c r="A1314" s="1">
        <v>1313</v>
      </c>
      <c r="B1314" s="1" t="s">
        <v>18550</v>
      </c>
      <c r="C1314" s="1" t="s">
        <v>152</v>
      </c>
      <c r="D1314" s="1" t="s">
        <v>8651</v>
      </c>
      <c r="E1314" s="1" t="s">
        <v>8670</v>
      </c>
      <c r="F1314" s="1" t="s">
        <v>8434</v>
      </c>
      <c r="G1314" s="1" t="s">
        <v>8435</v>
      </c>
      <c r="H1314" s="1" t="str">
        <f t="shared" si="20"/>
        <v>Mikrotik</v>
      </c>
    </row>
    <row r="1315" spans="1:8">
      <c r="A1315" s="1">
        <v>1314</v>
      </c>
      <c r="B1315" s="1" t="s">
        <v>18551</v>
      </c>
      <c r="C1315" s="1" t="s">
        <v>131</v>
      </c>
      <c r="D1315" s="1" t="s">
        <v>8672</v>
      </c>
      <c r="E1315" s="1" t="s">
        <v>8673</v>
      </c>
      <c r="F1315" s="1" t="s">
        <v>8398</v>
      </c>
      <c r="G1315" s="1" t="s">
        <v>8399</v>
      </c>
      <c r="H1315" s="1" t="str">
        <f t="shared" si="20"/>
        <v>Mikrotik</v>
      </c>
    </row>
    <row r="1316" spans="1:8">
      <c r="A1316" s="1">
        <v>1315</v>
      </c>
      <c r="B1316" s="1" t="s">
        <v>18551</v>
      </c>
      <c r="C1316" s="1" t="s">
        <v>136</v>
      </c>
      <c r="D1316" s="1" t="s">
        <v>8672</v>
      </c>
      <c r="E1316" s="1" t="s">
        <v>8675</v>
      </c>
      <c r="F1316" s="1" t="s">
        <v>8402</v>
      </c>
      <c r="G1316" s="1" t="s">
        <v>8403</v>
      </c>
      <c r="H1316" s="1" t="str">
        <f t="shared" si="20"/>
        <v>Mikrotik</v>
      </c>
    </row>
    <row r="1317" spans="1:8">
      <c r="A1317" s="1">
        <v>1316</v>
      </c>
      <c r="B1317" s="1" t="s">
        <v>18551</v>
      </c>
      <c r="C1317" s="1" t="s">
        <v>138</v>
      </c>
      <c r="D1317" s="1" t="s">
        <v>8672</v>
      </c>
      <c r="E1317" s="1" t="s">
        <v>8677</v>
      </c>
      <c r="F1317" s="1" t="s">
        <v>8406</v>
      </c>
      <c r="G1317" s="1" t="s">
        <v>8407</v>
      </c>
      <c r="H1317" s="1" t="str">
        <f t="shared" si="20"/>
        <v>Mikrotik</v>
      </c>
    </row>
    <row r="1318" spans="1:8">
      <c r="A1318" s="1">
        <v>1317</v>
      </c>
      <c r="B1318" s="1" t="s">
        <v>18551</v>
      </c>
      <c r="C1318" s="1" t="s">
        <v>140</v>
      </c>
      <c r="D1318" s="1" t="s">
        <v>8672</v>
      </c>
      <c r="E1318" s="1" t="s">
        <v>8679</v>
      </c>
      <c r="F1318" s="1" t="s">
        <v>8410</v>
      </c>
      <c r="G1318" s="1" t="s">
        <v>8411</v>
      </c>
      <c r="H1318" s="1" t="str">
        <f t="shared" si="20"/>
        <v>Mikrotik</v>
      </c>
    </row>
    <row r="1319" spans="1:8">
      <c r="A1319" s="1">
        <v>1318</v>
      </c>
      <c r="B1319" s="1" t="s">
        <v>18551</v>
      </c>
      <c r="C1319" s="1" t="s">
        <v>142</v>
      </c>
      <c r="D1319" s="1" t="s">
        <v>8672</v>
      </c>
      <c r="E1319" s="1" t="s">
        <v>8681</v>
      </c>
      <c r="F1319" s="1" t="s">
        <v>8414</v>
      </c>
      <c r="G1319" s="1" t="s">
        <v>8415</v>
      </c>
      <c r="H1319" s="1" t="str">
        <f t="shared" si="20"/>
        <v>Mikrotik</v>
      </c>
    </row>
    <row r="1320" spans="1:8">
      <c r="A1320" s="1">
        <v>1319</v>
      </c>
      <c r="B1320" s="1" t="s">
        <v>18551</v>
      </c>
      <c r="C1320" s="1" t="s">
        <v>144</v>
      </c>
      <c r="D1320" s="1" t="s">
        <v>8672</v>
      </c>
      <c r="E1320" s="1" t="s">
        <v>8683</v>
      </c>
      <c r="F1320" s="1" t="s">
        <v>8418</v>
      </c>
      <c r="G1320" s="1" t="s">
        <v>8419</v>
      </c>
      <c r="H1320" s="1" t="str">
        <f t="shared" si="20"/>
        <v>Mikrotik</v>
      </c>
    </row>
    <row r="1321" spans="1:8">
      <c r="A1321" s="1">
        <v>1320</v>
      </c>
      <c r="B1321" s="1" t="s">
        <v>18551</v>
      </c>
      <c r="C1321" s="1" t="s">
        <v>146</v>
      </c>
      <c r="D1321" s="1" t="s">
        <v>8672</v>
      </c>
      <c r="E1321" s="1" t="s">
        <v>8685</v>
      </c>
      <c r="F1321" s="1" t="s">
        <v>8422</v>
      </c>
      <c r="G1321" s="1" t="s">
        <v>8423</v>
      </c>
      <c r="H1321" s="1" t="str">
        <f t="shared" si="20"/>
        <v>Mikrotik</v>
      </c>
    </row>
    <row r="1322" spans="1:8">
      <c r="A1322" s="1">
        <v>1321</v>
      </c>
      <c r="B1322" s="1" t="s">
        <v>18551</v>
      </c>
      <c r="C1322" s="1" t="s">
        <v>148</v>
      </c>
      <c r="D1322" s="1" t="s">
        <v>8672</v>
      </c>
      <c r="E1322" s="1" t="s">
        <v>8687</v>
      </c>
      <c r="F1322" s="1" t="s">
        <v>8426</v>
      </c>
      <c r="G1322" s="1" t="s">
        <v>8427</v>
      </c>
      <c r="H1322" s="1" t="str">
        <f t="shared" si="20"/>
        <v>Mikrotik</v>
      </c>
    </row>
    <row r="1323" spans="1:8">
      <c r="A1323" s="1">
        <v>1322</v>
      </c>
      <c r="B1323" s="1" t="s">
        <v>18551</v>
      </c>
      <c r="C1323" s="1" t="s">
        <v>150</v>
      </c>
      <c r="D1323" s="1" t="s">
        <v>8672</v>
      </c>
      <c r="E1323" s="1" t="s">
        <v>8689</v>
      </c>
      <c r="F1323" s="1" t="s">
        <v>8430</v>
      </c>
      <c r="G1323" s="1" t="s">
        <v>8431</v>
      </c>
      <c r="H1323" s="1" t="str">
        <f t="shared" si="20"/>
        <v>Mikrotik</v>
      </c>
    </row>
    <row r="1324" spans="1:8">
      <c r="A1324" s="1">
        <v>1323</v>
      </c>
      <c r="B1324" s="1" t="s">
        <v>18551</v>
      </c>
      <c r="C1324" s="1" t="s">
        <v>152</v>
      </c>
      <c r="D1324" s="1" t="s">
        <v>8672</v>
      </c>
      <c r="E1324" s="1" t="s">
        <v>8691</v>
      </c>
      <c r="F1324" s="1" t="s">
        <v>8434</v>
      </c>
      <c r="G1324" s="1" t="s">
        <v>8435</v>
      </c>
      <c r="H1324" s="1" t="str">
        <f t="shared" si="20"/>
        <v>Mikrotik</v>
      </c>
    </row>
    <row r="1325" spans="1:8">
      <c r="A1325" s="1">
        <v>1324</v>
      </c>
      <c r="B1325" s="1" t="s">
        <v>18552</v>
      </c>
      <c r="C1325" s="1" t="s">
        <v>131</v>
      </c>
      <c r="D1325" s="1" t="s">
        <v>8693</v>
      </c>
      <c r="E1325" s="1" t="s">
        <v>1548</v>
      </c>
      <c r="F1325" s="1" t="s">
        <v>8398</v>
      </c>
      <c r="G1325" s="1" t="s">
        <v>8399</v>
      </c>
      <c r="H1325" s="1" t="str">
        <f t="shared" si="20"/>
        <v>Mikrotik</v>
      </c>
    </row>
    <row r="1326" spans="1:8">
      <c r="A1326" s="1">
        <v>1325</v>
      </c>
      <c r="B1326" s="1" t="s">
        <v>18552</v>
      </c>
      <c r="C1326" s="1" t="s">
        <v>136</v>
      </c>
      <c r="D1326" s="1" t="s">
        <v>8693</v>
      </c>
      <c r="E1326" s="1" t="s">
        <v>1549</v>
      </c>
      <c r="F1326" s="1" t="s">
        <v>8402</v>
      </c>
      <c r="G1326" s="1" t="s">
        <v>8403</v>
      </c>
      <c r="H1326" s="1" t="str">
        <f t="shared" si="20"/>
        <v>Mikrotik</v>
      </c>
    </row>
    <row r="1327" spans="1:8">
      <c r="A1327" s="1">
        <v>1326</v>
      </c>
      <c r="B1327" s="1" t="s">
        <v>18552</v>
      </c>
      <c r="C1327" s="1" t="s">
        <v>138</v>
      </c>
      <c r="D1327" s="1" t="s">
        <v>8693</v>
      </c>
      <c r="E1327" s="1" t="s">
        <v>8696</v>
      </c>
      <c r="F1327" s="1" t="s">
        <v>8406</v>
      </c>
      <c r="G1327" s="1" t="s">
        <v>8407</v>
      </c>
      <c r="H1327" s="1" t="str">
        <f t="shared" si="20"/>
        <v>Mikrotik</v>
      </c>
    </row>
    <row r="1328" spans="1:8">
      <c r="A1328" s="1">
        <v>1327</v>
      </c>
      <c r="B1328" s="1" t="s">
        <v>18552</v>
      </c>
      <c r="C1328" s="1" t="s">
        <v>140</v>
      </c>
      <c r="D1328" s="1" t="s">
        <v>8693</v>
      </c>
      <c r="E1328" s="1" t="s">
        <v>8698</v>
      </c>
      <c r="F1328" s="1" t="s">
        <v>8410</v>
      </c>
      <c r="G1328" s="1" t="s">
        <v>8411</v>
      </c>
      <c r="H1328" s="1" t="str">
        <f t="shared" si="20"/>
        <v>Mikrotik</v>
      </c>
    </row>
    <row r="1329" spans="1:8">
      <c r="A1329" s="1">
        <v>1328</v>
      </c>
      <c r="B1329" s="1" t="s">
        <v>18552</v>
      </c>
      <c r="C1329" s="1" t="s">
        <v>142</v>
      </c>
      <c r="D1329" s="1" t="s">
        <v>8693</v>
      </c>
      <c r="E1329" s="1" t="s">
        <v>8700</v>
      </c>
      <c r="F1329" s="1" t="s">
        <v>8414</v>
      </c>
      <c r="G1329" s="1" t="s">
        <v>8415</v>
      </c>
      <c r="H1329" s="1" t="str">
        <f t="shared" si="20"/>
        <v>Mikrotik</v>
      </c>
    </row>
    <row r="1330" spans="1:8">
      <c r="A1330" s="1">
        <v>1329</v>
      </c>
      <c r="B1330" s="1" t="s">
        <v>18552</v>
      </c>
      <c r="C1330" s="1" t="s">
        <v>144</v>
      </c>
      <c r="D1330" s="1" t="s">
        <v>8693</v>
      </c>
      <c r="E1330" s="1" t="s">
        <v>1551</v>
      </c>
      <c r="F1330" s="1" t="s">
        <v>8418</v>
      </c>
      <c r="G1330" s="1" t="s">
        <v>8419</v>
      </c>
      <c r="H1330" s="1" t="str">
        <f t="shared" si="20"/>
        <v>Mikrotik</v>
      </c>
    </row>
    <row r="1331" spans="1:8">
      <c r="A1331" s="1">
        <v>1330</v>
      </c>
      <c r="B1331" s="1" t="s">
        <v>18552</v>
      </c>
      <c r="C1331" s="1" t="s">
        <v>146</v>
      </c>
      <c r="D1331" s="1" t="s">
        <v>8693</v>
      </c>
      <c r="E1331" s="1" t="s">
        <v>1550</v>
      </c>
      <c r="F1331" s="1" t="s">
        <v>8422</v>
      </c>
      <c r="G1331" s="1" t="s">
        <v>8423</v>
      </c>
      <c r="H1331" s="1" t="str">
        <f t="shared" si="20"/>
        <v>Mikrotik</v>
      </c>
    </row>
    <row r="1332" spans="1:8">
      <c r="A1332" s="1">
        <v>1331</v>
      </c>
      <c r="B1332" s="1" t="s">
        <v>18552</v>
      </c>
      <c r="C1332" s="1" t="s">
        <v>148</v>
      </c>
      <c r="D1332" s="1" t="s">
        <v>8693</v>
      </c>
      <c r="E1332" s="1" t="s">
        <v>8704</v>
      </c>
      <c r="F1332" s="1" t="s">
        <v>8426</v>
      </c>
      <c r="G1332" s="1" t="s">
        <v>8427</v>
      </c>
      <c r="H1332" s="1" t="str">
        <f t="shared" si="20"/>
        <v>Mikrotik</v>
      </c>
    </row>
    <row r="1333" spans="1:8">
      <c r="A1333" s="1">
        <v>1332</v>
      </c>
      <c r="B1333" s="1" t="s">
        <v>18552</v>
      </c>
      <c r="C1333" s="1" t="s">
        <v>150</v>
      </c>
      <c r="D1333" s="1" t="s">
        <v>8693</v>
      </c>
      <c r="E1333" s="1" t="s">
        <v>8706</v>
      </c>
      <c r="F1333" s="1" t="s">
        <v>8430</v>
      </c>
      <c r="G1333" s="1" t="s">
        <v>8431</v>
      </c>
      <c r="H1333" s="1" t="str">
        <f t="shared" si="20"/>
        <v>Mikrotik</v>
      </c>
    </row>
    <row r="1334" spans="1:8">
      <c r="A1334" s="1">
        <v>1333</v>
      </c>
      <c r="B1334" s="1" t="s">
        <v>18552</v>
      </c>
      <c r="C1334" s="1" t="s">
        <v>152</v>
      </c>
      <c r="D1334" s="1" t="s">
        <v>8693</v>
      </c>
      <c r="E1334" s="1" t="s">
        <v>8708</v>
      </c>
      <c r="F1334" s="1" t="s">
        <v>8434</v>
      </c>
      <c r="G1334" s="1" t="s">
        <v>8435</v>
      </c>
      <c r="H1334" s="1" t="str">
        <f t="shared" si="20"/>
        <v>Mikrotik</v>
      </c>
    </row>
    <row r="1335" spans="1:8">
      <c r="A1335" s="1">
        <v>1334</v>
      </c>
      <c r="B1335" s="1" t="s">
        <v>18553</v>
      </c>
      <c r="C1335" s="1" t="s">
        <v>131</v>
      </c>
      <c r="D1335" s="1" t="s">
        <v>8710</v>
      </c>
      <c r="E1335" s="1" t="s">
        <v>8711</v>
      </c>
      <c r="F1335" s="1" t="s">
        <v>8398</v>
      </c>
      <c r="G1335" s="1" t="s">
        <v>8399</v>
      </c>
      <c r="H1335" s="1" t="str">
        <f t="shared" si="20"/>
        <v>Mikrotik</v>
      </c>
    </row>
    <row r="1336" spans="1:8">
      <c r="A1336" s="1">
        <v>1335</v>
      </c>
      <c r="B1336" s="1" t="s">
        <v>18553</v>
      </c>
      <c r="C1336" s="1" t="s">
        <v>136</v>
      </c>
      <c r="D1336" s="1" t="s">
        <v>8710</v>
      </c>
      <c r="E1336" s="1" t="s">
        <v>8713</v>
      </c>
      <c r="F1336" s="1" t="s">
        <v>8402</v>
      </c>
      <c r="G1336" s="1" t="s">
        <v>8403</v>
      </c>
      <c r="H1336" s="1" t="str">
        <f t="shared" si="20"/>
        <v>Mikrotik</v>
      </c>
    </row>
    <row r="1337" spans="1:8">
      <c r="A1337" s="1">
        <v>1336</v>
      </c>
      <c r="B1337" s="1" t="s">
        <v>18553</v>
      </c>
      <c r="C1337" s="1" t="s">
        <v>138</v>
      </c>
      <c r="D1337" s="1" t="s">
        <v>8710</v>
      </c>
      <c r="E1337" s="1" t="s">
        <v>8715</v>
      </c>
      <c r="F1337" s="1" t="s">
        <v>8406</v>
      </c>
      <c r="G1337" s="1" t="s">
        <v>8407</v>
      </c>
      <c r="H1337" s="1" t="str">
        <f t="shared" si="20"/>
        <v>Mikrotik</v>
      </c>
    </row>
    <row r="1338" spans="1:8">
      <c r="A1338" s="1">
        <v>1337</v>
      </c>
      <c r="B1338" s="1" t="s">
        <v>18553</v>
      </c>
      <c r="C1338" s="1" t="s">
        <v>140</v>
      </c>
      <c r="D1338" s="1" t="s">
        <v>8710</v>
      </c>
      <c r="E1338" s="1" t="s">
        <v>8717</v>
      </c>
      <c r="F1338" s="1" t="s">
        <v>8410</v>
      </c>
      <c r="G1338" s="1" t="s">
        <v>8411</v>
      </c>
      <c r="H1338" s="1" t="str">
        <f t="shared" si="20"/>
        <v>Mikrotik</v>
      </c>
    </row>
    <row r="1339" spans="1:8">
      <c r="A1339" s="1">
        <v>1338</v>
      </c>
      <c r="B1339" s="1" t="s">
        <v>18553</v>
      </c>
      <c r="C1339" s="1" t="s">
        <v>142</v>
      </c>
      <c r="D1339" s="1" t="s">
        <v>8710</v>
      </c>
      <c r="E1339" s="1" t="s">
        <v>8719</v>
      </c>
      <c r="F1339" s="1" t="s">
        <v>8414</v>
      </c>
      <c r="G1339" s="1" t="s">
        <v>8415</v>
      </c>
      <c r="H1339" s="1" t="str">
        <f t="shared" si="20"/>
        <v>Mikrotik</v>
      </c>
    </row>
    <row r="1340" spans="1:8">
      <c r="A1340" s="1">
        <v>1339</v>
      </c>
      <c r="B1340" s="1" t="s">
        <v>18553</v>
      </c>
      <c r="C1340" s="1" t="s">
        <v>144</v>
      </c>
      <c r="D1340" s="1" t="s">
        <v>8710</v>
      </c>
      <c r="E1340" s="1" t="s">
        <v>8721</v>
      </c>
      <c r="F1340" s="1" t="s">
        <v>8418</v>
      </c>
      <c r="G1340" s="1" t="s">
        <v>8419</v>
      </c>
      <c r="H1340" s="1" t="str">
        <f t="shared" si="20"/>
        <v>Mikrotik</v>
      </c>
    </row>
    <row r="1341" spans="1:8">
      <c r="A1341" s="1">
        <v>1340</v>
      </c>
      <c r="B1341" s="1" t="s">
        <v>18553</v>
      </c>
      <c r="C1341" s="1" t="s">
        <v>146</v>
      </c>
      <c r="D1341" s="1" t="s">
        <v>8710</v>
      </c>
      <c r="E1341" s="1" t="s">
        <v>8723</v>
      </c>
      <c r="F1341" s="1" t="s">
        <v>8422</v>
      </c>
      <c r="G1341" s="1" t="s">
        <v>8423</v>
      </c>
      <c r="H1341" s="1" t="str">
        <f t="shared" si="20"/>
        <v>Mikrotik</v>
      </c>
    </row>
    <row r="1342" spans="1:8">
      <c r="A1342" s="1">
        <v>1341</v>
      </c>
      <c r="B1342" s="1" t="s">
        <v>18553</v>
      </c>
      <c r="C1342" s="1" t="s">
        <v>148</v>
      </c>
      <c r="D1342" s="1" t="s">
        <v>8710</v>
      </c>
      <c r="E1342" s="1" t="s">
        <v>8725</v>
      </c>
      <c r="F1342" s="1" t="s">
        <v>8426</v>
      </c>
      <c r="G1342" s="1" t="s">
        <v>8427</v>
      </c>
      <c r="H1342" s="1" t="str">
        <f t="shared" si="20"/>
        <v>Mikrotik</v>
      </c>
    </row>
    <row r="1343" spans="1:8">
      <c r="A1343" s="1">
        <v>1342</v>
      </c>
      <c r="B1343" s="1" t="s">
        <v>18553</v>
      </c>
      <c r="C1343" s="1" t="s">
        <v>150</v>
      </c>
      <c r="D1343" s="1" t="s">
        <v>8710</v>
      </c>
      <c r="E1343" s="1" t="s">
        <v>8727</v>
      </c>
      <c r="F1343" s="1" t="s">
        <v>8430</v>
      </c>
      <c r="G1343" s="1" t="s">
        <v>8431</v>
      </c>
      <c r="H1343" s="1" t="str">
        <f t="shared" si="20"/>
        <v>Mikrotik</v>
      </c>
    </row>
    <row r="1344" spans="1:8">
      <c r="A1344" s="1">
        <v>1343</v>
      </c>
      <c r="B1344" s="1" t="s">
        <v>18553</v>
      </c>
      <c r="C1344" s="1" t="s">
        <v>152</v>
      </c>
      <c r="D1344" s="1" t="s">
        <v>8710</v>
      </c>
      <c r="E1344" s="1" t="s">
        <v>8729</v>
      </c>
      <c r="F1344" s="1" t="s">
        <v>8434</v>
      </c>
      <c r="G1344" s="1" t="s">
        <v>8435</v>
      </c>
      <c r="H1344" s="1" t="str">
        <f t="shared" si="20"/>
        <v>Mikrotik</v>
      </c>
    </row>
    <row r="1345" spans="1:8">
      <c r="A1345" s="1">
        <v>1344</v>
      </c>
      <c r="B1345" s="1" t="s">
        <v>18554</v>
      </c>
      <c r="C1345" s="1" t="s">
        <v>131</v>
      </c>
      <c r="D1345" s="1" t="s">
        <v>8731</v>
      </c>
      <c r="E1345" s="1" t="s">
        <v>8732</v>
      </c>
      <c r="F1345" s="1" t="s">
        <v>8398</v>
      </c>
      <c r="G1345" s="1" t="s">
        <v>8399</v>
      </c>
      <c r="H1345" s="1" t="str">
        <f t="shared" si="20"/>
        <v>Mikrotik</v>
      </c>
    </row>
    <row r="1346" spans="1:8">
      <c r="A1346" s="1">
        <v>1345</v>
      </c>
      <c r="B1346" s="1" t="s">
        <v>18554</v>
      </c>
      <c r="C1346" s="1" t="s">
        <v>136</v>
      </c>
      <c r="D1346" s="1" t="s">
        <v>8731</v>
      </c>
      <c r="E1346" s="1" t="s">
        <v>8734</v>
      </c>
      <c r="F1346" s="1" t="s">
        <v>8402</v>
      </c>
      <c r="G1346" s="1" t="s">
        <v>8403</v>
      </c>
      <c r="H1346" s="1" t="str">
        <f t="shared" ref="H1346:H1409" si="21">IFERROR(IF(OR(MID(G1346,FIND(":",G1346)-1,1)="""",MID(G1346,FIND(":",G1346)-1,1)="}",MID(G1346,FIND(":",G1346)-1,1)=")",MID(G1346,FIND(":",G1346)-1,1)="]"),"",LEFT(F1346,FIND(":",F1346)-1)),"")</f>
        <v>Mikrotik</v>
      </c>
    </row>
    <row r="1347" spans="1:8">
      <c r="A1347" s="1">
        <v>1346</v>
      </c>
      <c r="B1347" s="1" t="s">
        <v>18554</v>
      </c>
      <c r="C1347" s="1" t="s">
        <v>138</v>
      </c>
      <c r="D1347" s="1" t="s">
        <v>8731</v>
      </c>
      <c r="E1347" s="1" t="s">
        <v>8736</v>
      </c>
      <c r="F1347" s="1" t="s">
        <v>8406</v>
      </c>
      <c r="G1347" s="1" t="s">
        <v>8407</v>
      </c>
      <c r="H1347" s="1" t="str">
        <f t="shared" si="21"/>
        <v>Mikrotik</v>
      </c>
    </row>
    <row r="1348" spans="1:8">
      <c r="A1348" s="1">
        <v>1347</v>
      </c>
      <c r="B1348" s="1" t="s">
        <v>18554</v>
      </c>
      <c r="C1348" s="1" t="s">
        <v>140</v>
      </c>
      <c r="D1348" s="1" t="s">
        <v>8731</v>
      </c>
      <c r="E1348" s="1" t="s">
        <v>8738</v>
      </c>
      <c r="F1348" s="1" t="s">
        <v>8410</v>
      </c>
      <c r="G1348" s="1" t="s">
        <v>8411</v>
      </c>
      <c r="H1348" s="1" t="str">
        <f t="shared" si="21"/>
        <v>Mikrotik</v>
      </c>
    </row>
    <row r="1349" spans="1:8">
      <c r="A1349" s="1">
        <v>1348</v>
      </c>
      <c r="B1349" s="1" t="s">
        <v>18554</v>
      </c>
      <c r="C1349" s="1" t="s">
        <v>142</v>
      </c>
      <c r="D1349" s="1" t="s">
        <v>8731</v>
      </c>
      <c r="E1349" s="1" t="s">
        <v>8740</v>
      </c>
      <c r="F1349" s="1" t="s">
        <v>8414</v>
      </c>
      <c r="G1349" s="1" t="s">
        <v>8415</v>
      </c>
      <c r="H1349" s="1" t="str">
        <f t="shared" si="21"/>
        <v>Mikrotik</v>
      </c>
    </row>
    <row r="1350" spans="1:8">
      <c r="A1350" s="1">
        <v>1349</v>
      </c>
      <c r="B1350" s="1" t="s">
        <v>18554</v>
      </c>
      <c r="C1350" s="1" t="s">
        <v>144</v>
      </c>
      <c r="D1350" s="1" t="s">
        <v>8731</v>
      </c>
      <c r="E1350" s="1" t="s">
        <v>8742</v>
      </c>
      <c r="F1350" s="1" t="s">
        <v>8418</v>
      </c>
      <c r="G1350" s="1" t="s">
        <v>8419</v>
      </c>
      <c r="H1350" s="1" t="str">
        <f t="shared" si="21"/>
        <v>Mikrotik</v>
      </c>
    </row>
    <row r="1351" spans="1:8">
      <c r="A1351" s="1">
        <v>1350</v>
      </c>
      <c r="B1351" s="1" t="s">
        <v>18554</v>
      </c>
      <c r="C1351" s="1" t="s">
        <v>146</v>
      </c>
      <c r="D1351" s="1" t="s">
        <v>8731</v>
      </c>
      <c r="E1351" s="1" t="s">
        <v>8744</v>
      </c>
      <c r="F1351" s="1" t="s">
        <v>8422</v>
      </c>
      <c r="G1351" s="1" t="s">
        <v>8423</v>
      </c>
      <c r="H1351" s="1" t="str">
        <f t="shared" si="21"/>
        <v>Mikrotik</v>
      </c>
    </row>
    <row r="1352" spans="1:8">
      <c r="A1352" s="1">
        <v>1351</v>
      </c>
      <c r="B1352" s="1" t="s">
        <v>18554</v>
      </c>
      <c r="C1352" s="1" t="s">
        <v>148</v>
      </c>
      <c r="D1352" s="1" t="s">
        <v>8731</v>
      </c>
      <c r="E1352" s="1" t="s">
        <v>8746</v>
      </c>
      <c r="F1352" s="1" t="s">
        <v>8426</v>
      </c>
      <c r="G1352" s="1" t="s">
        <v>8427</v>
      </c>
      <c r="H1352" s="1" t="str">
        <f t="shared" si="21"/>
        <v>Mikrotik</v>
      </c>
    </row>
    <row r="1353" spans="1:8">
      <c r="A1353" s="1">
        <v>1352</v>
      </c>
      <c r="B1353" s="1" t="s">
        <v>18554</v>
      </c>
      <c r="C1353" s="1" t="s">
        <v>150</v>
      </c>
      <c r="D1353" s="1" t="s">
        <v>8731</v>
      </c>
      <c r="E1353" s="1" t="s">
        <v>8748</v>
      </c>
      <c r="F1353" s="1" t="s">
        <v>8430</v>
      </c>
      <c r="G1353" s="1" t="s">
        <v>8431</v>
      </c>
      <c r="H1353" s="1" t="str">
        <f t="shared" si="21"/>
        <v>Mikrotik</v>
      </c>
    </row>
    <row r="1354" spans="1:8">
      <c r="A1354" s="1">
        <v>1353</v>
      </c>
      <c r="B1354" s="1" t="s">
        <v>18554</v>
      </c>
      <c r="C1354" s="1" t="s">
        <v>152</v>
      </c>
      <c r="D1354" s="1" t="s">
        <v>8731</v>
      </c>
      <c r="E1354" s="1" t="s">
        <v>8750</v>
      </c>
      <c r="F1354" s="1" t="s">
        <v>8434</v>
      </c>
      <c r="G1354" s="1" t="s">
        <v>8435</v>
      </c>
      <c r="H1354" s="1" t="str">
        <f t="shared" si="21"/>
        <v>Mikrotik</v>
      </c>
    </row>
    <row r="1355" spans="1:8">
      <c r="A1355" s="1">
        <v>1354</v>
      </c>
      <c r="B1355" s="1" t="s">
        <v>18555</v>
      </c>
      <c r="C1355" s="1" t="s">
        <v>131</v>
      </c>
      <c r="D1355" s="1" t="s">
        <v>8752</v>
      </c>
      <c r="E1355" s="1" t="s">
        <v>8753</v>
      </c>
      <c r="F1355" s="1" t="s">
        <v>8398</v>
      </c>
      <c r="G1355" s="1" t="s">
        <v>8399</v>
      </c>
      <c r="H1355" s="1" t="str">
        <f t="shared" si="21"/>
        <v>Mikrotik</v>
      </c>
    </row>
    <row r="1356" spans="1:8">
      <c r="A1356" s="1">
        <v>1355</v>
      </c>
      <c r="B1356" s="1" t="s">
        <v>18555</v>
      </c>
      <c r="C1356" s="1" t="s">
        <v>136</v>
      </c>
      <c r="D1356" s="1" t="s">
        <v>8752</v>
      </c>
      <c r="E1356" s="1" t="s">
        <v>8755</v>
      </c>
      <c r="F1356" s="1" t="s">
        <v>8402</v>
      </c>
      <c r="G1356" s="1" t="s">
        <v>8403</v>
      </c>
      <c r="H1356" s="1" t="str">
        <f t="shared" si="21"/>
        <v>Mikrotik</v>
      </c>
    </row>
    <row r="1357" spans="1:8">
      <c r="A1357" s="1">
        <v>1356</v>
      </c>
      <c r="B1357" s="1" t="s">
        <v>18555</v>
      </c>
      <c r="C1357" s="1" t="s">
        <v>138</v>
      </c>
      <c r="D1357" s="1" t="s">
        <v>8752</v>
      </c>
      <c r="E1357" s="1" t="s">
        <v>8757</v>
      </c>
      <c r="F1357" s="1" t="s">
        <v>8406</v>
      </c>
      <c r="G1357" s="1" t="s">
        <v>8407</v>
      </c>
      <c r="H1357" s="1" t="str">
        <f t="shared" si="21"/>
        <v>Mikrotik</v>
      </c>
    </row>
    <row r="1358" spans="1:8">
      <c r="A1358" s="1">
        <v>1357</v>
      </c>
      <c r="B1358" s="1" t="s">
        <v>18555</v>
      </c>
      <c r="C1358" s="1" t="s">
        <v>140</v>
      </c>
      <c r="D1358" s="1" t="s">
        <v>8752</v>
      </c>
      <c r="E1358" s="1" t="s">
        <v>8759</v>
      </c>
      <c r="F1358" s="1" t="s">
        <v>8410</v>
      </c>
      <c r="G1358" s="1" t="s">
        <v>8411</v>
      </c>
      <c r="H1358" s="1" t="str">
        <f t="shared" si="21"/>
        <v>Mikrotik</v>
      </c>
    </row>
    <row r="1359" spans="1:8">
      <c r="A1359" s="1">
        <v>1358</v>
      </c>
      <c r="B1359" s="1" t="s">
        <v>18555</v>
      </c>
      <c r="C1359" s="1" t="s">
        <v>142</v>
      </c>
      <c r="D1359" s="1" t="s">
        <v>8752</v>
      </c>
      <c r="E1359" s="1" t="s">
        <v>8761</v>
      </c>
      <c r="F1359" s="1" t="s">
        <v>8414</v>
      </c>
      <c r="G1359" s="1" t="s">
        <v>8415</v>
      </c>
      <c r="H1359" s="1" t="str">
        <f t="shared" si="21"/>
        <v>Mikrotik</v>
      </c>
    </row>
    <row r="1360" spans="1:8">
      <c r="A1360" s="1">
        <v>1359</v>
      </c>
      <c r="B1360" s="1" t="s">
        <v>18555</v>
      </c>
      <c r="C1360" s="1" t="s">
        <v>144</v>
      </c>
      <c r="D1360" s="1" t="s">
        <v>8752</v>
      </c>
      <c r="E1360" s="1" t="s">
        <v>8763</v>
      </c>
      <c r="F1360" s="1" t="s">
        <v>8418</v>
      </c>
      <c r="G1360" s="1" t="s">
        <v>8419</v>
      </c>
      <c r="H1360" s="1" t="str">
        <f t="shared" si="21"/>
        <v>Mikrotik</v>
      </c>
    </row>
    <row r="1361" spans="1:8">
      <c r="A1361" s="1">
        <v>1360</v>
      </c>
      <c r="B1361" s="1" t="s">
        <v>18555</v>
      </c>
      <c r="C1361" s="1" t="s">
        <v>146</v>
      </c>
      <c r="D1361" s="1" t="s">
        <v>8752</v>
      </c>
      <c r="E1361" s="1" t="s">
        <v>8765</v>
      </c>
      <c r="F1361" s="1" t="s">
        <v>8422</v>
      </c>
      <c r="G1361" s="1" t="s">
        <v>8423</v>
      </c>
      <c r="H1361" s="1" t="str">
        <f t="shared" si="21"/>
        <v>Mikrotik</v>
      </c>
    </row>
    <row r="1362" spans="1:8">
      <c r="A1362" s="1">
        <v>1361</v>
      </c>
      <c r="B1362" s="1" t="s">
        <v>18555</v>
      </c>
      <c r="C1362" s="1" t="s">
        <v>148</v>
      </c>
      <c r="D1362" s="1" t="s">
        <v>8752</v>
      </c>
      <c r="E1362" s="1" t="s">
        <v>8767</v>
      </c>
      <c r="F1362" s="1" t="s">
        <v>8426</v>
      </c>
      <c r="G1362" s="1" t="s">
        <v>8427</v>
      </c>
      <c r="H1362" s="1" t="str">
        <f t="shared" si="21"/>
        <v>Mikrotik</v>
      </c>
    </row>
    <row r="1363" spans="1:8">
      <c r="A1363" s="1">
        <v>1362</v>
      </c>
      <c r="B1363" s="1" t="s">
        <v>18555</v>
      </c>
      <c r="C1363" s="1" t="s">
        <v>150</v>
      </c>
      <c r="D1363" s="1" t="s">
        <v>8752</v>
      </c>
      <c r="E1363" s="1" t="s">
        <v>8769</v>
      </c>
      <c r="F1363" s="1" t="s">
        <v>8430</v>
      </c>
      <c r="G1363" s="1" t="s">
        <v>8431</v>
      </c>
      <c r="H1363" s="1" t="str">
        <f t="shared" si="21"/>
        <v>Mikrotik</v>
      </c>
    </row>
    <row r="1364" spans="1:8">
      <c r="A1364" s="1">
        <v>1363</v>
      </c>
      <c r="B1364" s="1" t="s">
        <v>18555</v>
      </c>
      <c r="C1364" s="1" t="s">
        <v>152</v>
      </c>
      <c r="D1364" s="1" t="s">
        <v>8752</v>
      </c>
      <c r="E1364" s="1" t="s">
        <v>8771</v>
      </c>
      <c r="F1364" s="1" t="s">
        <v>8434</v>
      </c>
      <c r="G1364" s="1" t="s">
        <v>8435</v>
      </c>
      <c r="H1364" s="1" t="str">
        <f t="shared" si="21"/>
        <v>Mikrotik</v>
      </c>
    </row>
    <row r="1365" spans="1:8">
      <c r="A1365" s="1">
        <v>1364</v>
      </c>
      <c r="B1365" s="1" t="s">
        <v>18556</v>
      </c>
      <c r="C1365" s="1" t="s">
        <v>131</v>
      </c>
      <c r="D1365" s="1" t="s">
        <v>8773</v>
      </c>
      <c r="E1365" s="1" t="s">
        <v>8774</v>
      </c>
      <c r="F1365" s="1" t="s">
        <v>8398</v>
      </c>
      <c r="G1365" s="1" t="s">
        <v>8399</v>
      </c>
      <c r="H1365" s="1" t="str">
        <f t="shared" si="21"/>
        <v>Mikrotik</v>
      </c>
    </row>
    <row r="1366" spans="1:8">
      <c r="A1366" s="1">
        <v>1365</v>
      </c>
      <c r="B1366" s="1" t="s">
        <v>18556</v>
      </c>
      <c r="C1366" s="1" t="s">
        <v>136</v>
      </c>
      <c r="D1366" s="1" t="s">
        <v>8773</v>
      </c>
      <c r="E1366" s="1" t="s">
        <v>8776</v>
      </c>
      <c r="F1366" s="1" t="s">
        <v>8402</v>
      </c>
      <c r="G1366" s="1" t="s">
        <v>8403</v>
      </c>
      <c r="H1366" s="1" t="str">
        <f t="shared" si="21"/>
        <v>Mikrotik</v>
      </c>
    </row>
    <row r="1367" spans="1:8">
      <c r="A1367" s="1">
        <v>1366</v>
      </c>
      <c r="B1367" s="1" t="s">
        <v>18556</v>
      </c>
      <c r="C1367" s="1" t="s">
        <v>138</v>
      </c>
      <c r="D1367" s="1" t="s">
        <v>8773</v>
      </c>
      <c r="E1367" s="1" t="s">
        <v>8778</v>
      </c>
      <c r="F1367" s="1" t="s">
        <v>8406</v>
      </c>
      <c r="G1367" s="1" t="s">
        <v>8407</v>
      </c>
      <c r="H1367" s="1" t="str">
        <f t="shared" si="21"/>
        <v>Mikrotik</v>
      </c>
    </row>
    <row r="1368" spans="1:8">
      <c r="A1368" s="1">
        <v>1367</v>
      </c>
      <c r="B1368" s="1" t="s">
        <v>18556</v>
      </c>
      <c r="C1368" s="1" t="s">
        <v>140</v>
      </c>
      <c r="D1368" s="1" t="s">
        <v>8773</v>
      </c>
      <c r="E1368" s="1" t="s">
        <v>8780</v>
      </c>
      <c r="F1368" s="1" t="s">
        <v>8410</v>
      </c>
      <c r="G1368" s="1" t="s">
        <v>8411</v>
      </c>
      <c r="H1368" s="1" t="str">
        <f t="shared" si="21"/>
        <v>Mikrotik</v>
      </c>
    </row>
    <row r="1369" spans="1:8">
      <c r="A1369" s="1">
        <v>1368</v>
      </c>
      <c r="B1369" s="1" t="s">
        <v>18556</v>
      </c>
      <c r="C1369" s="1" t="s">
        <v>142</v>
      </c>
      <c r="D1369" s="1" t="s">
        <v>8773</v>
      </c>
      <c r="E1369" s="1" t="s">
        <v>8782</v>
      </c>
      <c r="F1369" s="1" t="s">
        <v>8414</v>
      </c>
      <c r="G1369" s="1" t="s">
        <v>8415</v>
      </c>
      <c r="H1369" s="1" t="str">
        <f t="shared" si="21"/>
        <v>Mikrotik</v>
      </c>
    </row>
    <row r="1370" spans="1:8">
      <c r="A1370" s="1">
        <v>1369</v>
      </c>
      <c r="B1370" s="1" t="s">
        <v>18556</v>
      </c>
      <c r="C1370" s="1" t="s">
        <v>144</v>
      </c>
      <c r="D1370" s="1" t="s">
        <v>8773</v>
      </c>
      <c r="E1370" s="1" t="s">
        <v>8784</v>
      </c>
      <c r="F1370" s="1" t="s">
        <v>8418</v>
      </c>
      <c r="G1370" s="1" t="s">
        <v>8419</v>
      </c>
      <c r="H1370" s="1" t="str">
        <f t="shared" si="21"/>
        <v>Mikrotik</v>
      </c>
    </row>
    <row r="1371" spans="1:8">
      <c r="A1371" s="1">
        <v>1370</v>
      </c>
      <c r="B1371" s="1" t="s">
        <v>18556</v>
      </c>
      <c r="C1371" s="1" t="s">
        <v>146</v>
      </c>
      <c r="D1371" s="1" t="s">
        <v>8773</v>
      </c>
      <c r="E1371" s="1" t="s">
        <v>8786</v>
      </c>
      <c r="F1371" s="1" t="s">
        <v>8422</v>
      </c>
      <c r="G1371" s="1" t="s">
        <v>8423</v>
      </c>
      <c r="H1371" s="1" t="str">
        <f t="shared" si="21"/>
        <v>Mikrotik</v>
      </c>
    </row>
    <row r="1372" spans="1:8">
      <c r="A1372" s="1">
        <v>1371</v>
      </c>
      <c r="B1372" s="1" t="s">
        <v>18556</v>
      </c>
      <c r="C1372" s="1" t="s">
        <v>148</v>
      </c>
      <c r="D1372" s="1" t="s">
        <v>8773</v>
      </c>
      <c r="E1372" s="1" t="s">
        <v>8788</v>
      </c>
      <c r="F1372" s="1" t="s">
        <v>8426</v>
      </c>
      <c r="G1372" s="1" t="s">
        <v>8427</v>
      </c>
      <c r="H1372" s="1" t="str">
        <f t="shared" si="21"/>
        <v>Mikrotik</v>
      </c>
    </row>
    <row r="1373" spans="1:8">
      <c r="A1373" s="1">
        <v>1372</v>
      </c>
      <c r="B1373" s="1" t="s">
        <v>18556</v>
      </c>
      <c r="C1373" s="1" t="s">
        <v>150</v>
      </c>
      <c r="D1373" s="1" t="s">
        <v>8773</v>
      </c>
      <c r="E1373" s="1" t="s">
        <v>8790</v>
      </c>
      <c r="F1373" s="1" t="s">
        <v>8430</v>
      </c>
      <c r="G1373" s="1" t="s">
        <v>8431</v>
      </c>
      <c r="H1373" s="1" t="str">
        <f t="shared" si="21"/>
        <v>Mikrotik</v>
      </c>
    </row>
    <row r="1374" spans="1:8">
      <c r="A1374" s="1">
        <v>1373</v>
      </c>
      <c r="B1374" s="1" t="s">
        <v>18556</v>
      </c>
      <c r="C1374" s="1" t="s">
        <v>152</v>
      </c>
      <c r="D1374" s="1" t="s">
        <v>8773</v>
      </c>
      <c r="E1374" s="1" t="s">
        <v>8792</v>
      </c>
      <c r="F1374" s="1" t="s">
        <v>8434</v>
      </c>
      <c r="G1374" s="1" t="s">
        <v>8435</v>
      </c>
      <c r="H1374" s="1" t="str">
        <f t="shared" si="21"/>
        <v>Mikrotik</v>
      </c>
    </row>
    <row r="1375" spans="1:8">
      <c r="A1375" s="1">
        <v>1374</v>
      </c>
      <c r="B1375" s="1" t="s">
        <v>18557</v>
      </c>
      <c r="C1375" s="1" t="s">
        <v>131</v>
      </c>
      <c r="D1375" s="1" t="s">
        <v>8794</v>
      </c>
      <c r="E1375" s="1" t="s">
        <v>8795</v>
      </c>
      <c r="F1375" s="1" t="s">
        <v>8398</v>
      </c>
      <c r="G1375" s="1" t="s">
        <v>8399</v>
      </c>
      <c r="H1375" s="1" t="str">
        <f t="shared" si="21"/>
        <v>Mikrotik</v>
      </c>
    </row>
    <row r="1376" spans="1:8">
      <c r="A1376" s="1">
        <v>1375</v>
      </c>
      <c r="B1376" s="1" t="s">
        <v>18557</v>
      </c>
      <c r="C1376" s="1" t="s">
        <v>136</v>
      </c>
      <c r="D1376" s="1" t="s">
        <v>8794</v>
      </c>
      <c r="E1376" s="1" t="s">
        <v>8797</v>
      </c>
      <c r="F1376" s="1" t="s">
        <v>8402</v>
      </c>
      <c r="G1376" s="1" t="s">
        <v>8403</v>
      </c>
      <c r="H1376" s="1" t="str">
        <f t="shared" si="21"/>
        <v>Mikrotik</v>
      </c>
    </row>
    <row r="1377" spans="1:8">
      <c r="A1377" s="1">
        <v>1376</v>
      </c>
      <c r="B1377" s="1" t="s">
        <v>18557</v>
      </c>
      <c r="C1377" s="1" t="s">
        <v>138</v>
      </c>
      <c r="D1377" s="1" t="s">
        <v>8794</v>
      </c>
      <c r="E1377" s="1" t="s">
        <v>8799</v>
      </c>
      <c r="F1377" s="1" t="s">
        <v>8406</v>
      </c>
      <c r="G1377" s="1" t="s">
        <v>8407</v>
      </c>
      <c r="H1377" s="1" t="str">
        <f t="shared" si="21"/>
        <v>Mikrotik</v>
      </c>
    </row>
    <row r="1378" spans="1:8">
      <c r="A1378" s="1">
        <v>1377</v>
      </c>
      <c r="B1378" s="1" t="s">
        <v>18557</v>
      </c>
      <c r="C1378" s="1" t="s">
        <v>140</v>
      </c>
      <c r="D1378" s="1" t="s">
        <v>8794</v>
      </c>
      <c r="E1378" s="1" t="s">
        <v>8801</v>
      </c>
      <c r="F1378" s="1" t="s">
        <v>8410</v>
      </c>
      <c r="G1378" s="1" t="s">
        <v>8411</v>
      </c>
      <c r="H1378" s="1" t="str">
        <f t="shared" si="21"/>
        <v>Mikrotik</v>
      </c>
    </row>
    <row r="1379" spans="1:8">
      <c r="A1379" s="1">
        <v>1378</v>
      </c>
      <c r="B1379" s="1" t="s">
        <v>18557</v>
      </c>
      <c r="C1379" s="1" t="s">
        <v>142</v>
      </c>
      <c r="D1379" s="1" t="s">
        <v>8794</v>
      </c>
      <c r="E1379" s="1" t="s">
        <v>8803</v>
      </c>
      <c r="F1379" s="1" t="s">
        <v>8414</v>
      </c>
      <c r="G1379" s="1" t="s">
        <v>8415</v>
      </c>
      <c r="H1379" s="1" t="str">
        <f t="shared" si="21"/>
        <v>Mikrotik</v>
      </c>
    </row>
    <row r="1380" spans="1:8">
      <c r="A1380" s="1">
        <v>1379</v>
      </c>
      <c r="B1380" s="1" t="s">
        <v>18557</v>
      </c>
      <c r="C1380" s="1" t="s">
        <v>144</v>
      </c>
      <c r="D1380" s="1" t="s">
        <v>8794</v>
      </c>
      <c r="E1380" s="1" t="s">
        <v>8805</v>
      </c>
      <c r="F1380" s="1" t="s">
        <v>8418</v>
      </c>
      <c r="G1380" s="1" t="s">
        <v>8419</v>
      </c>
      <c r="H1380" s="1" t="str">
        <f t="shared" si="21"/>
        <v>Mikrotik</v>
      </c>
    </row>
    <row r="1381" spans="1:8">
      <c r="A1381" s="1">
        <v>1380</v>
      </c>
      <c r="B1381" s="1" t="s">
        <v>18557</v>
      </c>
      <c r="C1381" s="1" t="s">
        <v>146</v>
      </c>
      <c r="D1381" s="1" t="s">
        <v>8794</v>
      </c>
      <c r="E1381" s="1" t="s">
        <v>8807</v>
      </c>
      <c r="F1381" s="1" t="s">
        <v>8422</v>
      </c>
      <c r="G1381" s="1" t="s">
        <v>8423</v>
      </c>
      <c r="H1381" s="1" t="str">
        <f t="shared" si="21"/>
        <v>Mikrotik</v>
      </c>
    </row>
    <row r="1382" spans="1:8">
      <c r="A1382" s="1">
        <v>1381</v>
      </c>
      <c r="B1382" s="1" t="s">
        <v>18557</v>
      </c>
      <c r="C1382" s="1" t="s">
        <v>148</v>
      </c>
      <c r="D1382" s="1" t="s">
        <v>8794</v>
      </c>
      <c r="E1382" s="1" t="s">
        <v>8809</v>
      </c>
      <c r="F1382" s="1" t="s">
        <v>8426</v>
      </c>
      <c r="G1382" s="1" t="s">
        <v>8427</v>
      </c>
      <c r="H1382" s="1" t="str">
        <f t="shared" si="21"/>
        <v>Mikrotik</v>
      </c>
    </row>
    <row r="1383" spans="1:8">
      <c r="A1383" s="1">
        <v>1382</v>
      </c>
      <c r="B1383" s="1" t="s">
        <v>18557</v>
      </c>
      <c r="C1383" s="1" t="s">
        <v>150</v>
      </c>
      <c r="D1383" s="1" t="s">
        <v>8794</v>
      </c>
      <c r="E1383" s="1" t="s">
        <v>8811</v>
      </c>
      <c r="F1383" s="1" t="s">
        <v>8430</v>
      </c>
      <c r="G1383" s="1" t="s">
        <v>8431</v>
      </c>
      <c r="H1383" s="1" t="str">
        <f t="shared" si="21"/>
        <v>Mikrotik</v>
      </c>
    </row>
    <row r="1384" spans="1:8">
      <c r="A1384" s="1">
        <v>1383</v>
      </c>
      <c r="B1384" s="1" t="s">
        <v>18557</v>
      </c>
      <c r="C1384" s="1" t="s">
        <v>152</v>
      </c>
      <c r="D1384" s="1" t="s">
        <v>8794</v>
      </c>
      <c r="E1384" s="1" t="s">
        <v>8813</v>
      </c>
      <c r="F1384" s="1" t="s">
        <v>8434</v>
      </c>
      <c r="G1384" s="1" t="s">
        <v>8435</v>
      </c>
      <c r="H1384" s="1" t="str">
        <f t="shared" si="21"/>
        <v>Mikrotik</v>
      </c>
    </row>
    <row r="1385" spans="1:8">
      <c r="A1385" s="1">
        <v>1384</v>
      </c>
      <c r="B1385" s="1" t="s">
        <v>18558</v>
      </c>
      <c r="C1385" s="1" t="s">
        <v>131</v>
      </c>
      <c r="D1385" s="1" t="s">
        <v>8815</v>
      </c>
      <c r="E1385" s="1" t="s">
        <v>8816</v>
      </c>
      <c r="F1385" s="1" t="s">
        <v>8398</v>
      </c>
      <c r="G1385" s="1" t="s">
        <v>8399</v>
      </c>
      <c r="H1385" s="1" t="str">
        <f t="shared" si="21"/>
        <v>Mikrotik</v>
      </c>
    </row>
    <row r="1386" spans="1:8">
      <c r="A1386" s="1">
        <v>1385</v>
      </c>
      <c r="B1386" s="1" t="s">
        <v>18558</v>
      </c>
      <c r="C1386" s="1" t="s">
        <v>136</v>
      </c>
      <c r="D1386" s="1" t="s">
        <v>8815</v>
      </c>
      <c r="E1386" s="1" t="s">
        <v>8818</v>
      </c>
      <c r="F1386" s="1" t="s">
        <v>8402</v>
      </c>
      <c r="G1386" s="1" t="s">
        <v>8403</v>
      </c>
      <c r="H1386" s="1" t="str">
        <f t="shared" si="21"/>
        <v>Mikrotik</v>
      </c>
    </row>
    <row r="1387" spans="1:8">
      <c r="A1387" s="1">
        <v>1386</v>
      </c>
      <c r="B1387" s="1" t="s">
        <v>18558</v>
      </c>
      <c r="C1387" s="1" t="s">
        <v>138</v>
      </c>
      <c r="D1387" s="1" t="s">
        <v>8815</v>
      </c>
      <c r="E1387" s="1" t="s">
        <v>8820</v>
      </c>
      <c r="F1387" s="1" t="s">
        <v>8406</v>
      </c>
      <c r="G1387" s="1" t="s">
        <v>8407</v>
      </c>
      <c r="H1387" s="1" t="str">
        <f t="shared" si="21"/>
        <v>Mikrotik</v>
      </c>
    </row>
    <row r="1388" spans="1:8">
      <c r="A1388" s="1">
        <v>1387</v>
      </c>
      <c r="B1388" s="1" t="s">
        <v>18558</v>
      </c>
      <c r="C1388" s="1" t="s">
        <v>140</v>
      </c>
      <c r="D1388" s="1" t="s">
        <v>8815</v>
      </c>
      <c r="E1388" s="1" t="s">
        <v>8822</v>
      </c>
      <c r="F1388" s="1" t="s">
        <v>8410</v>
      </c>
      <c r="G1388" s="1" t="s">
        <v>8411</v>
      </c>
      <c r="H1388" s="1" t="str">
        <f t="shared" si="21"/>
        <v>Mikrotik</v>
      </c>
    </row>
    <row r="1389" spans="1:8">
      <c r="A1389" s="1">
        <v>1388</v>
      </c>
      <c r="B1389" s="1" t="s">
        <v>18558</v>
      </c>
      <c r="C1389" s="1" t="s">
        <v>142</v>
      </c>
      <c r="D1389" s="1" t="s">
        <v>8815</v>
      </c>
      <c r="E1389" s="1" t="s">
        <v>8824</v>
      </c>
      <c r="F1389" s="1" t="s">
        <v>8414</v>
      </c>
      <c r="G1389" s="1" t="s">
        <v>8415</v>
      </c>
      <c r="H1389" s="1" t="str">
        <f t="shared" si="21"/>
        <v>Mikrotik</v>
      </c>
    </row>
    <row r="1390" spans="1:8">
      <c r="A1390" s="1">
        <v>1389</v>
      </c>
      <c r="B1390" s="1" t="s">
        <v>18558</v>
      </c>
      <c r="C1390" s="1" t="s">
        <v>144</v>
      </c>
      <c r="D1390" s="1" t="s">
        <v>8815</v>
      </c>
      <c r="E1390" s="1" t="s">
        <v>8826</v>
      </c>
      <c r="F1390" s="1" t="s">
        <v>8418</v>
      </c>
      <c r="G1390" s="1" t="s">
        <v>8419</v>
      </c>
      <c r="H1390" s="1" t="str">
        <f t="shared" si="21"/>
        <v>Mikrotik</v>
      </c>
    </row>
    <row r="1391" spans="1:8">
      <c r="A1391" s="1">
        <v>1390</v>
      </c>
      <c r="B1391" s="1" t="s">
        <v>18558</v>
      </c>
      <c r="C1391" s="1" t="s">
        <v>146</v>
      </c>
      <c r="D1391" s="1" t="s">
        <v>8815</v>
      </c>
      <c r="E1391" s="1" t="s">
        <v>8828</v>
      </c>
      <c r="F1391" s="1" t="s">
        <v>8422</v>
      </c>
      <c r="G1391" s="1" t="s">
        <v>8423</v>
      </c>
      <c r="H1391" s="1" t="str">
        <f t="shared" si="21"/>
        <v>Mikrotik</v>
      </c>
    </row>
    <row r="1392" spans="1:8">
      <c r="A1392" s="1">
        <v>1391</v>
      </c>
      <c r="B1392" s="1" t="s">
        <v>18558</v>
      </c>
      <c r="C1392" s="1" t="s">
        <v>148</v>
      </c>
      <c r="D1392" s="1" t="s">
        <v>8815</v>
      </c>
      <c r="E1392" s="1" t="s">
        <v>8830</v>
      </c>
      <c r="F1392" s="1" t="s">
        <v>8426</v>
      </c>
      <c r="G1392" s="1" t="s">
        <v>8427</v>
      </c>
      <c r="H1392" s="1" t="str">
        <f t="shared" si="21"/>
        <v>Mikrotik</v>
      </c>
    </row>
    <row r="1393" spans="1:8">
      <c r="A1393" s="1">
        <v>1392</v>
      </c>
      <c r="B1393" s="1" t="s">
        <v>18558</v>
      </c>
      <c r="C1393" s="1" t="s">
        <v>150</v>
      </c>
      <c r="D1393" s="1" t="s">
        <v>8815</v>
      </c>
      <c r="E1393" s="1" t="s">
        <v>8832</v>
      </c>
      <c r="F1393" s="1" t="s">
        <v>8430</v>
      </c>
      <c r="G1393" s="1" t="s">
        <v>8431</v>
      </c>
      <c r="H1393" s="1" t="str">
        <f t="shared" si="21"/>
        <v>Mikrotik</v>
      </c>
    </row>
    <row r="1394" spans="1:8">
      <c r="A1394" s="1">
        <v>1393</v>
      </c>
      <c r="B1394" s="1" t="s">
        <v>18558</v>
      </c>
      <c r="C1394" s="1" t="s">
        <v>152</v>
      </c>
      <c r="D1394" s="1" t="s">
        <v>8815</v>
      </c>
      <c r="E1394" s="1" t="s">
        <v>8834</v>
      </c>
      <c r="F1394" s="1" t="s">
        <v>8434</v>
      </c>
      <c r="G1394" s="1" t="s">
        <v>8435</v>
      </c>
      <c r="H1394" s="1" t="str">
        <f t="shared" si="21"/>
        <v>Mikrotik</v>
      </c>
    </row>
    <row r="1395" spans="1:8">
      <c r="A1395" s="1">
        <v>1394</v>
      </c>
      <c r="B1395" s="1" t="s">
        <v>18559</v>
      </c>
      <c r="C1395" s="1" t="s">
        <v>131</v>
      </c>
      <c r="D1395" s="1" t="s">
        <v>8836</v>
      </c>
      <c r="E1395" s="1" t="s">
        <v>8837</v>
      </c>
      <c r="F1395" s="1" t="s">
        <v>8398</v>
      </c>
      <c r="G1395" s="1" t="s">
        <v>8399</v>
      </c>
      <c r="H1395" s="1" t="str">
        <f t="shared" si="21"/>
        <v>Mikrotik</v>
      </c>
    </row>
    <row r="1396" spans="1:8">
      <c r="A1396" s="1">
        <v>1395</v>
      </c>
      <c r="B1396" s="1" t="s">
        <v>18559</v>
      </c>
      <c r="C1396" s="1" t="s">
        <v>136</v>
      </c>
      <c r="D1396" s="1" t="s">
        <v>8836</v>
      </c>
      <c r="E1396" s="1" t="s">
        <v>8839</v>
      </c>
      <c r="F1396" s="1" t="s">
        <v>8402</v>
      </c>
      <c r="G1396" s="1" t="s">
        <v>8403</v>
      </c>
      <c r="H1396" s="1" t="str">
        <f t="shared" si="21"/>
        <v>Mikrotik</v>
      </c>
    </row>
    <row r="1397" spans="1:8">
      <c r="A1397" s="1">
        <v>1396</v>
      </c>
      <c r="B1397" s="1" t="s">
        <v>18559</v>
      </c>
      <c r="C1397" s="1" t="s">
        <v>138</v>
      </c>
      <c r="D1397" s="1" t="s">
        <v>8836</v>
      </c>
      <c r="E1397" s="1" t="s">
        <v>8841</v>
      </c>
      <c r="F1397" s="1" t="s">
        <v>8406</v>
      </c>
      <c r="G1397" s="1" t="s">
        <v>8407</v>
      </c>
      <c r="H1397" s="1" t="str">
        <f t="shared" si="21"/>
        <v>Mikrotik</v>
      </c>
    </row>
    <row r="1398" spans="1:8">
      <c r="A1398" s="1">
        <v>1397</v>
      </c>
      <c r="B1398" s="1" t="s">
        <v>18559</v>
      </c>
      <c r="C1398" s="1" t="s">
        <v>140</v>
      </c>
      <c r="D1398" s="1" t="s">
        <v>8836</v>
      </c>
      <c r="E1398" s="1" t="s">
        <v>8843</v>
      </c>
      <c r="F1398" s="1" t="s">
        <v>8410</v>
      </c>
      <c r="G1398" s="1" t="s">
        <v>8411</v>
      </c>
      <c r="H1398" s="1" t="str">
        <f t="shared" si="21"/>
        <v>Mikrotik</v>
      </c>
    </row>
    <row r="1399" spans="1:8">
      <c r="A1399" s="1">
        <v>1398</v>
      </c>
      <c r="B1399" s="1" t="s">
        <v>18559</v>
      </c>
      <c r="C1399" s="1" t="s">
        <v>142</v>
      </c>
      <c r="D1399" s="1" t="s">
        <v>8836</v>
      </c>
      <c r="E1399" s="1" t="s">
        <v>8845</v>
      </c>
      <c r="F1399" s="1" t="s">
        <v>8414</v>
      </c>
      <c r="G1399" s="1" t="s">
        <v>8415</v>
      </c>
      <c r="H1399" s="1" t="str">
        <f t="shared" si="21"/>
        <v>Mikrotik</v>
      </c>
    </row>
    <row r="1400" spans="1:8">
      <c r="A1400" s="1">
        <v>1399</v>
      </c>
      <c r="B1400" s="1" t="s">
        <v>18559</v>
      </c>
      <c r="C1400" s="1" t="s">
        <v>144</v>
      </c>
      <c r="D1400" s="1" t="s">
        <v>8836</v>
      </c>
      <c r="E1400" s="1" t="s">
        <v>8847</v>
      </c>
      <c r="F1400" s="1" t="s">
        <v>8418</v>
      </c>
      <c r="G1400" s="1" t="s">
        <v>8419</v>
      </c>
      <c r="H1400" s="1" t="str">
        <f t="shared" si="21"/>
        <v>Mikrotik</v>
      </c>
    </row>
    <row r="1401" spans="1:8">
      <c r="A1401" s="1">
        <v>1400</v>
      </c>
      <c r="B1401" s="1" t="s">
        <v>18559</v>
      </c>
      <c r="C1401" s="1" t="s">
        <v>146</v>
      </c>
      <c r="D1401" s="1" t="s">
        <v>8836</v>
      </c>
      <c r="E1401" s="1" t="s">
        <v>8849</v>
      </c>
      <c r="F1401" s="1" t="s">
        <v>8422</v>
      </c>
      <c r="G1401" s="1" t="s">
        <v>8423</v>
      </c>
      <c r="H1401" s="1" t="str">
        <f t="shared" si="21"/>
        <v>Mikrotik</v>
      </c>
    </row>
    <row r="1402" spans="1:8">
      <c r="A1402" s="1">
        <v>1401</v>
      </c>
      <c r="B1402" s="1" t="s">
        <v>18559</v>
      </c>
      <c r="C1402" s="1" t="s">
        <v>148</v>
      </c>
      <c r="D1402" s="1" t="s">
        <v>8836</v>
      </c>
      <c r="E1402" s="1" t="s">
        <v>8851</v>
      </c>
      <c r="F1402" s="1" t="s">
        <v>8426</v>
      </c>
      <c r="G1402" s="1" t="s">
        <v>8427</v>
      </c>
      <c r="H1402" s="1" t="str">
        <f t="shared" si="21"/>
        <v>Mikrotik</v>
      </c>
    </row>
    <row r="1403" spans="1:8">
      <c r="A1403" s="1">
        <v>1402</v>
      </c>
      <c r="B1403" s="1" t="s">
        <v>18559</v>
      </c>
      <c r="C1403" s="1" t="s">
        <v>150</v>
      </c>
      <c r="D1403" s="1" t="s">
        <v>8836</v>
      </c>
      <c r="E1403" s="1" t="s">
        <v>8853</v>
      </c>
      <c r="F1403" s="1" t="s">
        <v>8430</v>
      </c>
      <c r="G1403" s="1" t="s">
        <v>8431</v>
      </c>
      <c r="H1403" s="1" t="str">
        <f t="shared" si="21"/>
        <v>Mikrotik</v>
      </c>
    </row>
    <row r="1404" spans="1:8">
      <c r="A1404" s="1">
        <v>1403</v>
      </c>
      <c r="B1404" s="1" t="s">
        <v>18559</v>
      </c>
      <c r="C1404" s="1" t="s">
        <v>152</v>
      </c>
      <c r="D1404" s="1" t="s">
        <v>8836</v>
      </c>
      <c r="E1404" s="1" t="s">
        <v>8855</v>
      </c>
      <c r="F1404" s="1" t="s">
        <v>8434</v>
      </c>
      <c r="G1404" s="1" t="s">
        <v>8435</v>
      </c>
      <c r="H1404" s="1" t="str">
        <f t="shared" si="21"/>
        <v>Mikrotik</v>
      </c>
    </row>
    <row r="1405" spans="1:8">
      <c r="A1405" s="1">
        <v>1404</v>
      </c>
      <c r="B1405" s="1" t="s">
        <v>18560</v>
      </c>
      <c r="C1405" s="1" t="s">
        <v>131</v>
      </c>
      <c r="D1405" s="1" t="s">
        <v>8857</v>
      </c>
      <c r="E1405" s="1" t="s">
        <v>8858</v>
      </c>
      <c r="F1405" s="1" t="s">
        <v>8398</v>
      </c>
      <c r="G1405" s="1" t="s">
        <v>8399</v>
      </c>
      <c r="H1405" s="1" t="str">
        <f t="shared" si="21"/>
        <v>Mikrotik</v>
      </c>
    </row>
    <row r="1406" spans="1:8">
      <c r="A1406" s="1">
        <v>1405</v>
      </c>
      <c r="B1406" s="1" t="s">
        <v>18560</v>
      </c>
      <c r="C1406" s="1" t="s">
        <v>136</v>
      </c>
      <c r="D1406" s="1" t="s">
        <v>8857</v>
      </c>
      <c r="E1406" s="1" t="s">
        <v>8860</v>
      </c>
      <c r="F1406" s="1" t="s">
        <v>8402</v>
      </c>
      <c r="G1406" s="1" t="s">
        <v>8403</v>
      </c>
      <c r="H1406" s="1" t="str">
        <f t="shared" si="21"/>
        <v>Mikrotik</v>
      </c>
    </row>
    <row r="1407" spans="1:8">
      <c r="A1407" s="1">
        <v>1406</v>
      </c>
      <c r="B1407" s="1" t="s">
        <v>18560</v>
      </c>
      <c r="C1407" s="1" t="s">
        <v>138</v>
      </c>
      <c r="D1407" s="1" t="s">
        <v>8857</v>
      </c>
      <c r="E1407" s="1" t="s">
        <v>8862</v>
      </c>
      <c r="F1407" s="1" t="s">
        <v>8406</v>
      </c>
      <c r="G1407" s="1" t="s">
        <v>8407</v>
      </c>
      <c r="H1407" s="1" t="str">
        <f t="shared" si="21"/>
        <v>Mikrotik</v>
      </c>
    </row>
    <row r="1408" spans="1:8">
      <c r="A1408" s="1">
        <v>1407</v>
      </c>
      <c r="B1408" s="1" t="s">
        <v>18560</v>
      </c>
      <c r="C1408" s="1" t="s">
        <v>140</v>
      </c>
      <c r="D1408" s="1" t="s">
        <v>8857</v>
      </c>
      <c r="E1408" s="1" t="s">
        <v>8864</v>
      </c>
      <c r="F1408" s="1" t="s">
        <v>8410</v>
      </c>
      <c r="G1408" s="1" t="s">
        <v>8411</v>
      </c>
      <c r="H1408" s="1" t="str">
        <f t="shared" si="21"/>
        <v>Mikrotik</v>
      </c>
    </row>
    <row r="1409" spans="1:8">
      <c r="A1409" s="1">
        <v>1408</v>
      </c>
      <c r="B1409" s="1" t="s">
        <v>18560</v>
      </c>
      <c r="C1409" s="1" t="s">
        <v>142</v>
      </c>
      <c r="D1409" s="1" t="s">
        <v>8857</v>
      </c>
      <c r="E1409" s="1" t="s">
        <v>8866</v>
      </c>
      <c r="F1409" s="1" t="s">
        <v>8414</v>
      </c>
      <c r="G1409" s="1" t="s">
        <v>8415</v>
      </c>
      <c r="H1409" s="1" t="str">
        <f t="shared" si="21"/>
        <v>Mikrotik</v>
      </c>
    </row>
    <row r="1410" spans="1:8">
      <c r="A1410" s="1">
        <v>1409</v>
      </c>
      <c r="B1410" s="1" t="s">
        <v>18560</v>
      </c>
      <c r="C1410" s="1" t="s">
        <v>144</v>
      </c>
      <c r="D1410" s="1" t="s">
        <v>8857</v>
      </c>
      <c r="E1410" s="1" t="s">
        <v>8868</v>
      </c>
      <c r="F1410" s="1" t="s">
        <v>8418</v>
      </c>
      <c r="G1410" s="1" t="s">
        <v>8419</v>
      </c>
      <c r="H1410" s="1" t="str">
        <f t="shared" ref="H1410:H1473" si="22">IFERROR(IF(OR(MID(G1410,FIND(":",G1410)-1,1)="""",MID(G1410,FIND(":",G1410)-1,1)="}",MID(G1410,FIND(":",G1410)-1,1)=")",MID(G1410,FIND(":",G1410)-1,1)="]"),"",LEFT(F1410,FIND(":",F1410)-1)),"")</f>
        <v>Mikrotik</v>
      </c>
    </row>
    <row r="1411" spans="1:8">
      <c r="A1411" s="1">
        <v>1410</v>
      </c>
      <c r="B1411" s="1" t="s">
        <v>18560</v>
      </c>
      <c r="C1411" s="1" t="s">
        <v>146</v>
      </c>
      <c r="D1411" s="1" t="s">
        <v>8857</v>
      </c>
      <c r="E1411" s="1" t="s">
        <v>8870</v>
      </c>
      <c r="F1411" s="1" t="s">
        <v>8422</v>
      </c>
      <c r="G1411" s="1" t="s">
        <v>8423</v>
      </c>
      <c r="H1411" s="1" t="str">
        <f t="shared" si="22"/>
        <v>Mikrotik</v>
      </c>
    </row>
    <row r="1412" spans="1:8">
      <c r="A1412" s="1">
        <v>1411</v>
      </c>
      <c r="B1412" s="1" t="s">
        <v>18560</v>
      </c>
      <c r="C1412" s="1" t="s">
        <v>148</v>
      </c>
      <c r="D1412" s="1" t="s">
        <v>8857</v>
      </c>
      <c r="E1412" s="1" t="s">
        <v>8872</v>
      </c>
      <c r="F1412" s="1" t="s">
        <v>8426</v>
      </c>
      <c r="G1412" s="1" t="s">
        <v>8427</v>
      </c>
      <c r="H1412" s="1" t="str">
        <f t="shared" si="22"/>
        <v>Mikrotik</v>
      </c>
    </row>
    <row r="1413" spans="1:8">
      <c r="A1413" s="1">
        <v>1412</v>
      </c>
      <c r="B1413" s="1" t="s">
        <v>18560</v>
      </c>
      <c r="C1413" s="1" t="s">
        <v>150</v>
      </c>
      <c r="D1413" s="1" t="s">
        <v>8857</v>
      </c>
      <c r="E1413" s="1" t="s">
        <v>8874</v>
      </c>
      <c r="F1413" s="1" t="s">
        <v>8430</v>
      </c>
      <c r="G1413" s="1" t="s">
        <v>8431</v>
      </c>
      <c r="H1413" s="1" t="str">
        <f t="shared" si="22"/>
        <v>Mikrotik</v>
      </c>
    </row>
    <row r="1414" spans="1:8">
      <c r="A1414" s="1">
        <v>1413</v>
      </c>
      <c r="B1414" s="1" t="s">
        <v>18560</v>
      </c>
      <c r="C1414" s="1" t="s">
        <v>152</v>
      </c>
      <c r="D1414" s="1" t="s">
        <v>8857</v>
      </c>
      <c r="E1414" s="1" t="s">
        <v>8876</v>
      </c>
      <c r="F1414" s="1" t="s">
        <v>8434</v>
      </c>
      <c r="G1414" s="1" t="s">
        <v>8435</v>
      </c>
      <c r="H1414" s="1" t="str">
        <f t="shared" si="22"/>
        <v>Mikrotik</v>
      </c>
    </row>
    <row r="1415" spans="1:8">
      <c r="A1415" s="1">
        <v>1414</v>
      </c>
      <c r="B1415" s="1" t="s">
        <v>18561</v>
      </c>
      <c r="C1415" s="1" t="s">
        <v>131</v>
      </c>
      <c r="D1415" s="1" t="s">
        <v>8878</v>
      </c>
      <c r="E1415" s="1" t="s">
        <v>8879</v>
      </c>
      <c r="F1415" s="1" t="s">
        <v>8398</v>
      </c>
      <c r="G1415" s="1" t="s">
        <v>8399</v>
      </c>
      <c r="H1415" s="1" t="str">
        <f t="shared" si="22"/>
        <v>Mikrotik</v>
      </c>
    </row>
    <row r="1416" spans="1:8">
      <c r="A1416" s="1">
        <v>1415</v>
      </c>
      <c r="B1416" s="1" t="s">
        <v>18561</v>
      </c>
      <c r="C1416" s="1" t="s">
        <v>136</v>
      </c>
      <c r="D1416" s="1" t="s">
        <v>8878</v>
      </c>
      <c r="E1416" s="1" t="s">
        <v>8881</v>
      </c>
      <c r="F1416" s="1" t="s">
        <v>8402</v>
      </c>
      <c r="G1416" s="1" t="s">
        <v>8403</v>
      </c>
      <c r="H1416" s="1" t="str">
        <f t="shared" si="22"/>
        <v>Mikrotik</v>
      </c>
    </row>
    <row r="1417" spans="1:8">
      <c r="A1417" s="1">
        <v>1416</v>
      </c>
      <c r="B1417" s="1" t="s">
        <v>18561</v>
      </c>
      <c r="C1417" s="1" t="s">
        <v>138</v>
      </c>
      <c r="D1417" s="1" t="s">
        <v>8878</v>
      </c>
      <c r="E1417" s="1" t="s">
        <v>8883</v>
      </c>
      <c r="F1417" s="1" t="s">
        <v>8406</v>
      </c>
      <c r="G1417" s="1" t="s">
        <v>8407</v>
      </c>
      <c r="H1417" s="1" t="str">
        <f t="shared" si="22"/>
        <v>Mikrotik</v>
      </c>
    </row>
    <row r="1418" spans="1:8">
      <c r="A1418" s="1">
        <v>1417</v>
      </c>
      <c r="B1418" s="1" t="s">
        <v>18561</v>
      </c>
      <c r="C1418" s="1" t="s">
        <v>140</v>
      </c>
      <c r="D1418" s="1" t="s">
        <v>8878</v>
      </c>
      <c r="E1418" s="1" t="s">
        <v>8885</v>
      </c>
      <c r="F1418" s="1" t="s">
        <v>8410</v>
      </c>
      <c r="G1418" s="1" t="s">
        <v>8411</v>
      </c>
      <c r="H1418" s="1" t="str">
        <f t="shared" si="22"/>
        <v>Mikrotik</v>
      </c>
    </row>
    <row r="1419" spans="1:8">
      <c r="A1419" s="1">
        <v>1418</v>
      </c>
      <c r="B1419" s="1" t="s">
        <v>18561</v>
      </c>
      <c r="C1419" s="1" t="s">
        <v>142</v>
      </c>
      <c r="D1419" s="1" t="s">
        <v>8878</v>
      </c>
      <c r="E1419" s="1" t="s">
        <v>8887</v>
      </c>
      <c r="F1419" s="1" t="s">
        <v>8414</v>
      </c>
      <c r="G1419" s="1" t="s">
        <v>8415</v>
      </c>
      <c r="H1419" s="1" t="str">
        <f t="shared" si="22"/>
        <v>Mikrotik</v>
      </c>
    </row>
    <row r="1420" spans="1:8">
      <c r="A1420" s="1">
        <v>1419</v>
      </c>
      <c r="B1420" s="1" t="s">
        <v>18561</v>
      </c>
      <c r="C1420" s="1" t="s">
        <v>144</v>
      </c>
      <c r="D1420" s="1" t="s">
        <v>8878</v>
      </c>
      <c r="E1420" s="1" t="s">
        <v>8889</v>
      </c>
      <c r="F1420" s="1" t="s">
        <v>8418</v>
      </c>
      <c r="G1420" s="1" t="s">
        <v>8419</v>
      </c>
      <c r="H1420" s="1" t="str">
        <f t="shared" si="22"/>
        <v>Mikrotik</v>
      </c>
    </row>
    <row r="1421" spans="1:8">
      <c r="A1421" s="1">
        <v>1420</v>
      </c>
      <c r="B1421" s="1" t="s">
        <v>18561</v>
      </c>
      <c r="C1421" s="1" t="s">
        <v>146</v>
      </c>
      <c r="D1421" s="1" t="s">
        <v>8878</v>
      </c>
      <c r="E1421" s="1" t="s">
        <v>8891</v>
      </c>
      <c r="F1421" s="1" t="s">
        <v>8422</v>
      </c>
      <c r="G1421" s="1" t="s">
        <v>8423</v>
      </c>
      <c r="H1421" s="1" t="str">
        <f t="shared" si="22"/>
        <v>Mikrotik</v>
      </c>
    </row>
    <row r="1422" spans="1:8">
      <c r="A1422" s="1">
        <v>1421</v>
      </c>
      <c r="B1422" s="1" t="s">
        <v>18561</v>
      </c>
      <c r="C1422" s="1" t="s">
        <v>148</v>
      </c>
      <c r="D1422" s="1" t="s">
        <v>8878</v>
      </c>
      <c r="E1422" s="1" t="s">
        <v>8893</v>
      </c>
      <c r="F1422" s="1" t="s">
        <v>8426</v>
      </c>
      <c r="G1422" s="1" t="s">
        <v>8427</v>
      </c>
      <c r="H1422" s="1" t="str">
        <f t="shared" si="22"/>
        <v>Mikrotik</v>
      </c>
    </row>
    <row r="1423" spans="1:8">
      <c r="A1423" s="1">
        <v>1422</v>
      </c>
      <c r="B1423" s="1" t="s">
        <v>18561</v>
      </c>
      <c r="C1423" s="1" t="s">
        <v>150</v>
      </c>
      <c r="D1423" s="1" t="s">
        <v>8878</v>
      </c>
      <c r="E1423" s="1" t="s">
        <v>8895</v>
      </c>
      <c r="F1423" s="1" t="s">
        <v>8430</v>
      </c>
      <c r="G1423" s="1" t="s">
        <v>8431</v>
      </c>
      <c r="H1423" s="1" t="str">
        <f t="shared" si="22"/>
        <v>Mikrotik</v>
      </c>
    </row>
    <row r="1424" spans="1:8">
      <c r="A1424" s="1">
        <v>1423</v>
      </c>
      <c r="B1424" s="1" t="s">
        <v>18561</v>
      </c>
      <c r="C1424" s="1" t="s">
        <v>152</v>
      </c>
      <c r="D1424" s="1" t="s">
        <v>8878</v>
      </c>
      <c r="E1424" s="1" t="s">
        <v>8897</v>
      </c>
      <c r="F1424" s="1" t="s">
        <v>8434</v>
      </c>
      <c r="G1424" s="1" t="s">
        <v>8435</v>
      </c>
      <c r="H1424" s="1" t="str">
        <f t="shared" si="22"/>
        <v>Mikrotik</v>
      </c>
    </row>
    <row r="1425" spans="1:8">
      <c r="A1425" s="1">
        <v>1424</v>
      </c>
      <c r="B1425" s="1" t="s">
        <v>18562</v>
      </c>
      <c r="C1425" s="1" t="s">
        <v>131</v>
      </c>
      <c r="D1425" s="1" t="s">
        <v>8899</v>
      </c>
      <c r="E1425" s="1" t="s">
        <v>8900</v>
      </c>
      <c r="F1425" s="1" t="s">
        <v>8398</v>
      </c>
      <c r="G1425" s="1" t="s">
        <v>8399</v>
      </c>
      <c r="H1425" s="1" t="str">
        <f t="shared" si="22"/>
        <v>Mikrotik</v>
      </c>
    </row>
    <row r="1426" spans="1:8">
      <c r="A1426" s="1">
        <v>1425</v>
      </c>
      <c r="B1426" s="1" t="s">
        <v>18562</v>
      </c>
      <c r="C1426" s="1" t="s">
        <v>136</v>
      </c>
      <c r="D1426" s="1" t="s">
        <v>8899</v>
      </c>
      <c r="E1426" s="1" t="s">
        <v>8902</v>
      </c>
      <c r="F1426" s="1" t="s">
        <v>8402</v>
      </c>
      <c r="G1426" s="1" t="s">
        <v>8403</v>
      </c>
      <c r="H1426" s="1" t="str">
        <f t="shared" si="22"/>
        <v>Mikrotik</v>
      </c>
    </row>
    <row r="1427" spans="1:8">
      <c r="A1427" s="1">
        <v>1426</v>
      </c>
      <c r="B1427" s="1" t="s">
        <v>18562</v>
      </c>
      <c r="C1427" s="1" t="s">
        <v>138</v>
      </c>
      <c r="D1427" s="1" t="s">
        <v>8899</v>
      </c>
      <c r="E1427" s="1" t="s">
        <v>8904</v>
      </c>
      <c r="F1427" s="1" t="s">
        <v>8406</v>
      </c>
      <c r="G1427" s="1" t="s">
        <v>8407</v>
      </c>
      <c r="H1427" s="1" t="str">
        <f t="shared" si="22"/>
        <v>Mikrotik</v>
      </c>
    </row>
    <row r="1428" spans="1:8">
      <c r="A1428" s="1">
        <v>1427</v>
      </c>
      <c r="B1428" s="1" t="s">
        <v>18562</v>
      </c>
      <c r="C1428" s="1" t="s">
        <v>140</v>
      </c>
      <c r="D1428" s="1" t="s">
        <v>8899</v>
      </c>
      <c r="E1428" s="1" t="s">
        <v>8906</v>
      </c>
      <c r="F1428" s="1" t="s">
        <v>8410</v>
      </c>
      <c r="G1428" s="1" t="s">
        <v>8411</v>
      </c>
      <c r="H1428" s="1" t="str">
        <f t="shared" si="22"/>
        <v>Mikrotik</v>
      </c>
    </row>
    <row r="1429" spans="1:8">
      <c r="A1429" s="1">
        <v>1428</v>
      </c>
      <c r="B1429" s="1" t="s">
        <v>18562</v>
      </c>
      <c r="C1429" s="1" t="s">
        <v>142</v>
      </c>
      <c r="D1429" s="1" t="s">
        <v>8899</v>
      </c>
      <c r="E1429" s="1" t="s">
        <v>8908</v>
      </c>
      <c r="F1429" s="1" t="s">
        <v>8414</v>
      </c>
      <c r="G1429" s="1" t="s">
        <v>8415</v>
      </c>
      <c r="H1429" s="1" t="str">
        <f t="shared" si="22"/>
        <v>Mikrotik</v>
      </c>
    </row>
    <row r="1430" spans="1:8">
      <c r="A1430" s="1">
        <v>1429</v>
      </c>
      <c r="B1430" s="1" t="s">
        <v>18562</v>
      </c>
      <c r="C1430" s="1" t="s">
        <v>144</v>
      </c>
      <c r="D1430" s="1" t="s">
        <v>8899</v>
      </c>
      <c r="E1430" s="1" t="s">
        <v>8910</v>
      </c>
      <c r="F1430" s="1" t="s">
        <v>8418</v>
      </c>
      <c r="G1430" s="1" t="s">
        <v>8419</v>
      </c>
      <c r="H1430" s="1" t="str">
        <f t="shared" si="22"/>
        <v>Mikrotik</v>
      </c>
    </row>
    <row r="1431" spans="1:8">
      <c r="A1431" s="1">
        <v>1430</v>
      </c>
      <c r="B1431" s="1" t="s">
        <v>18562</v>
      </c>
      <c r="C1431" s="1" t="s">
        <v>146</v>
      </c>
      <c r="D1431" s="1" t="s">
        <v>8899</v>
      </c>
      <c r="E1431" s="1" t="s">
        <v>8912</v>
      </c>
      <c r="F1431" s="1" t="s">
        <v>8422</v>
      </c>
      <c r="G1431" s="1" t="s">
        <v>8423</v>
      </c>
      <c r="H1431" s="1" t="str">
        <f t="shared" si="22"/>
        <v>Mikrotik</v>
      </c>
    </row>
    <row r="1432" spans="1:8">
      <c r="A1432" s="1">
        <v>1431</v>
      </c>
      <c r="B1432" s="1" t="s">
        <v>18562</v>
      </c>
      <c r="C1432" s="1" t="s">
        <v>148</v>
      </c>
      <c r="D1432" s="1" t="s">
        <v>8899</v>
      </c>
      <c r="E1432" s="1" t="s">
        <v>8914</v>
      </c>
      <c r="F1432" s="1" t="s">
        <v>8426</v>
      </c>
      <c r="G1432" s="1" t="s">
        <v>8427</v>
      </c>
      <c r="H1432" s="1" t="str">
        <f t="shared" si="22"/>
        <v>Mikrotik</v>
      </c>
    </row>
    <row r="1433" spans="1:8">
      <c r="A1433" s="1">
        <v>1432</v>
      </c>
      <c r="B1433" s="1" t="s">
        <v>18562</v>
      </c>
      <c r="C1433" s="1" t="s">
        <v>150</v>
      </c>
      <c r="D1433" s="1" t="s">
        <v>8899</v>
      </c>
      <c r="E1433" s="1" t="s">
        <v>8916</v>
      </c>
      <c r="F1433" s="1" t="s">
        <v>8430</v>
      </c>
      <c r="G1433" s="1" t="s">
        <v>8431</v>
      </c>
      <c r="H1433" s="1" t="str">
        <f t="shared" si="22"/>
        <v>Mikrotik</v>
      </c>
    </row>
    <row r="1434" spans="1:8">
      <c r="A1434" s="1">
        <v>1433</v>
      </c>
      <c r="B1434" s="1" t="s">
        <v>18562</v>
      </c>
      <c r="C1434" s="1" t="s">
        <v>152</v>
      </c>
      <c r="D1434" s="1" t="s">
        <v>8899</v>
      </c>
      <c r="E1434" s="1" t="s">
        <v>8918</v>
      </c>
      <c r="F1434" s="1" t="s">
        <v>8434</v>
      </c>
      <c r="G1434" s="1" t="s">
        <v>8435</v>
      </c>
      <c r="H1434" s="1" t="str">
        <f t="shared" si="22"/>
        <v>Mikrotik</v>
      </c>
    </row>
    <row r="1435" spans="1:8">
      <c r="A1435" s="1">
        <v>1434</v>
      </c>
      <c r="B1435" s="1" t="s">
        <v>18563</v>
      </c>
      <c r="C1435" s="1" t="s">
        <v>131</v>
      </c>
      <c r="D1435" s="1" t="s">
        <v>8920</v>
      </c>
      <c r="E1435" s="1" t="s">
        <v>8921</v>
      </c>
      <c r="F1435" s="1" t="s">
        <v>8398</v>
      </c>
      <c r="G1435" s="1" t="s">
        <v>8399</v>
      </c>
      <c r="H1435" s="1" t="str">
        <f t="shared" si="22"/>
        <v>Mikrotik</v>
      </c>
    </row>
    <row r="1436" spans="1:8">
      <c r="A1436" s="1">
        <v>1435</v>
      </c>
      <c r="B1436" s="1" t="s">
        <v>18563</v>
      </c>
      <c r="C1436" s="1" t="s">
        <v>136</v>
      </c>
      <c r="D1436" s="1" t="s">
        <v>8920</v>
      </c>
      <c r="E1436" s="1" t="s">
        <v>8923</v>
      </c>
      <c r="F1436" s="1" t="s">
        <v>8402</v>
      </c>
      <c r="G1436" s="1" t="s">
        <v>8403</v>
      </c>
      <c r="H1436" s="1" t="str">
        <f t="shared" si="22"/>
        <v>Mikrotik</v>
      </c>
    </row>
    <row r="1437" spans="1:8">
      <c r="A1437" s="1">
        <v>1436</v>
      </c>
      <c r="B1437" s="1" t="s">
        <v>18563</v>
      </c>
      <c r="C1437" s="1" t="s">
        <v>138</v>
      </c>
      <c r="D1437" s="1" t="s">
        <v>8920</v>
      </c>
      <c r="E1437" s="1" t="s">
        <v>8925</v>
      </c>
      <c r="F1437" s="1" t="s">
        <v>8406</v>
      </c>
      <c r="G1437" s="1" t="s">
        <v>8407</v>
      </c>
      <c r="H1437" s="1" t="str">
        <f t="shared" si="22"/>
        <v>Mikrotik</v>
      </c>
    </row>
    <row r="1438" spans="1:8">
      <c r="A1438" s="1">
        <v>1437</v>
      </c>
      <c r="B1438" s="1" t="s">
        <v>18563</v>
      </c>
      <c r="C1438" s="1" t="s">
        <v>140</v>
      </c>
      <c r="D1438" s="1" t="s">
        <v>8920</v>
      </c>
      <c r="E1438" s="1" t="s">
        <v>8927</v>
      </c>
      <c r="F1438" s="1" t="s">
        <v>8410</v>
      </c>
      <c r="G1438" s="1" t="s">
        <v>8411</v>
      </c>
      <c r="H1438" s="1" t="str">
        <f t="shared" si="22"/>
        <v>Mikrotik</v>
      </c>
    </row>
    <row r="1439" spans="1:8">
      <c r="A1439" s="1">
        <v>1438</v>
      </c>
      <c r="B1439" s="1" t="s">
        <v>18563</v>
      </c>
      <c r="C1439" s="1" t="s">
        <v>142</v>
      </c>
      <c r="D1439" s="1" t="s">
        <v>8920</v>
      </c>
      <c r="E1439" s="1" t="s">
        <v>8929</v>
      </c>
      <c r="F1439" s="1" t="s">
        <v>8414</v>
      </c>
      <c r="G1439" s="1" t="s">
        <v>8415</v>
      </c>
      <c r="H1439" s="1" t="str">
        <f t="shared" si="22"/>
        <v>Mikrotik</v>
      </c>
    </row>
    <row r="1440" spans="1:8">
      <c r="A1440" s="1">
        <v>1439</v>
      </c>
      <c r="B1440" s="1" t="s">
        <v>18563</v>
      </c>
      <c r="C1440" s="1" t="s">
        <v>144</v>
      </c>
      <c r="D1440" s="1" t="s">
        <v>8920</v>
      </c>
      <c r="E1440" s="1" t="s">
        <v>8931</v>
      </c>
      <c r="F1440" s="1" t="s">
        <v>8418</v>
      </c>
      <c r="G1440" s="1" t="s">
        <v>8419</v>
      </c>
      <c r="H1440" s="1" t="str">
        <f t="shared" si="22"/>
        <v>Mikrotik</v>
      </c>
    </row>
    <row r="1441" spans="1:8">
      <c r="A1441" s="1">
        <v>1440</v>
      </c>
      <c r="B1441" s="1" t="s">
        <v>18563</v>
      </c>
      <c r="C1441" s="1" t="s">
        <v>146</v>
      </c>
      <c r="D1441" s="1" t="s">
        <v>8920</v>
      </c>
      <c r="E1441" s="1" t="s">
        <v>8933</v>
      </c>
      <c r="F1441" s="1" t="s">
        <v>8422</v>
      </c>
      <c r="G1441" s="1" t="s">
        <v>8423</v>
      </c>
      <c r="H1441" s="1" t="str">
        <f t="shared" si="22"/>
        <v>Mikrotik</v>
      </c>
    </row>
    <row r="1442" spans="1:8">
      <c r="A1442" s="1">
        <v>1441</v>
      </c>
      <c r="B1442" s="1" t="s">
        <v>18563</v>
      </c>
      <c r="C1442" s="1" t="s">
        <v>148</v>
      </c>
      <c r="D1442" s="1" t="s">
        <v>8920</v>
      </c>
      <c r="E1442" s="1" t="s">
        <v>8935</v>
      </c>
      <c r="F1442" s="1" t="s">
        <v>8426</v>
      </c>
      <c r="G1442" s="1" t="s">
        <v>8427</v>
      </c>
      <c r="H1442" s="1" t="str">
        <f t="shared" si="22"/>
        <v>Mikrotik</v>
      </c>
    </row>
    <row r="1443" spans="1:8">
      <c r="A1443" s="1">
        <v>1442</v>
      </c>
      <c r="B1443" s="1" t="s">
        <v>18563</v>
      </c>
      <c r="C1443" s="1" t="s">
        <v>150</v>
      </c>
      <c r="D1443" s="1" t="s">
        <v>8920</v>
      </c>
      <c r="E1443" s="1" t="s">
        <v>8937</v>
      </c>
      <c r="F1443" s="1" t="s">
        <v>8430</v>
      </c>
      <c r="G1443" s="1" t="s">
        <v>8431</v>
      </c>
      <c r="H1443" s="1" t="str">
        <f t="shared" si="22"/>
        <v>Mikrotik</v>
      </c>
    </row>
    <row r="1444" spans="1:8">
      <c r="A1444" s="1">
        <v>1443</v>
      </c>
      <c r="B1444" s="1" t="s">
        <v>18563</v>
      </c>
      <c r="C1444" s="1" t="s">
        <v>152</v>
      </c>
      <c r="D1444" s="1" t="s">
        <v>8920</v>
      </c>
      <c r="E1444" s="1" t="s">
        <v>8939</v>
      </c>
      <c r="F1444" s="1" t="s">
        <v>8434</v>
      </c>
      <c r="G1444" s="1" t="s">
        <v>8435</v>
      </c>
      <c r="H1444" s="1" t="str">
        <f t="shared" si="22"/>
        <v>Mikrotik</v>
      </c>
    </row>
    <row r="1445" spans="1:8">
      <c r="A1445" s="1">
        <v>1444</v>
      </c>
      <c r="B1445" s="1" t="s">
        <v>18564</v>
      </c>
      <c r="C1445" s="1" t="s">
        <v>131</v>
      </c>
      <c r="D1445" s="1" t="s">
        <v>8941</v>
      </c>
      <c r="E1445" s="1" t="s">
        <v>8942</v>
      </c>
      <c r="F1445" s="1" t="s">
        <v>8398</v>
      </c>
      <c r="G1445" s="1" t="s">
        <v>8399</v>
      </c>
      <c r="H1445" s="1" t="str">
        <f t="shared" si="22"/>
        <v>Mikrotik</v>
      </c>
    </row>
    <row r="1446" spans="1:8">
      <c r="A1446" s="1">
        <v>1445</v>
      </c>
      <c r="B1446" s="1" t="s">
        <v>18564</v>
      </c>
      <c r="C1446" s="1" t="s">
        <v>136</v>
      </c>
      <c r="D1446" s="1" t="s">
        <v>8941</v>
      </c>
      <c r="E1446" s="1" t="s">
        <v>8944</v>
      </c>
      <c r="F1446" s="1" t="s">
        <v>8402</v>
      </c>
      <c r="G1446" s="1" t="s">
        <v>8403</v>
      </c>
      <c r="H1446" s="1" t="str">
        <f t="shared" si="22"/>
        <v>Mikrotik</v>
      </c>
    </row>
    <row r="1447" spans="1:8">
      <c r="A1447" s="1">
        <v>1446</v>
      </c>
      <c r="B1447" s="1" t="s">
        <v>18564</v>
      </c>
      <c r="C1447" s="1" t="s">
        <v>138</v>
      </c>
      <c r="D1447" s="1" t="s">
        <v>8941</v>
      </c>
      <c r="E1447" s="1" t="s">
        <v>8946</v>
      </c>
      <c r="F1447" s="1" t="s">
        <v>8406</v>
      </c>
      <c r="G1447" s="1" t="s">
        <v>8407</v>
      </c>
      <c r="H1447" s="1" t="str">
        <f t="shared" si="22"/>
        <v>Mikrotik</v>
      </c>
    </row>
    <row r="1448" spans="1:8">
      <c r="A1448" s="1">
        <v>1447</v>
      </c>
      <c r="B1448" s="1" t="s">
        <v>18564</v>
      </c>
      <c r="C1448" s="1" t="s">
        <v>140</v>
      </c>
      <c r="D1448" s="1" t="s">
        <v>8941</v>
      </c>
      <c r="E1448" s="1" t="s">
        <v>8948</v>
      </c>
      <c r="F1448" s="1" t="s">
        <v>8410</v>
      </c>
      <c r="G1448" s="1" t="s">
        <v>8411</v>
      </c>
      <c r="H1448" s="1" t="str">
        <f t="shared" si="22"/>
        <v>Mikrotik</v>
      </c>
    </row>
    <row r="1449" spans="1:8">
      <c r="A1449" s="1">
        <v>1448</v>
      </c>
      <c r="B1449" s="1" t="s">
        <v>18564</v>
      </c>
      <c r="C1449" s="1" t="s">
        <v>142</v>
      </c>
      <c r="D1449" s="1" t="s">
        <v>8941</v>
      </c>
      <c r="E1449" s="1" t="s">
        <v>8950</v>
      </c>
      <c r="F1449" s="1" t="s">
        <v>8414</v>
      </c>
      <c r="G1449" s="1" t="s">
        <v>8415</v>
      </c>
      <c r="H1449" s="1" t="str">
        <f t="shared" si="22"/>
        <v>Mikrotik</v>
      </c>
    </row>
    <row r="1450" spans="1:8">
      <c r="A1450" s="1">
        <v>1449</v>
      </c>
      <c r="B1450" s="1" t="s">
        <v>18564</v>
      </c>
      <c r="C1450" s="1" t="s">
        <v>144</v>
      </c>
      <c r="D1450" s="1" t="s">
        <v>8941</v>
      </c>
      <c r="E1450" s="1" t="s">
        <v>8952</v>
      </c>
      <c r="F1450" s="1" t="s">
        <v>8418</v>
      </c>
      <c r="G1450" s="1" t="s">
        <v>8419</v>
      </c>
      <c r="H1450" s="1" t="str">
        <f t="shared" si="22"/>
        <v>Mikrotik</v>
      </c>
    </row>
    <row r="1451" spans="1:8">
      <c r="A1451" s="1">
        <v>1450</v>
      </c>
      <c r="B1451" s="1" t="s">
        <v>18564</v>
      </c>
      <c r="C1451" s="1" t="s">
        <v>146</v>
      </c>
      <c r="D1451" s="1" t="s">
        <v>8941</v>
      </c>
      <c r="E1451" s="1" t="s">
        <v>8954</v>
      </c>
      <c r="F1451" s="1" t="s">
        <v>8422</v>
      </c>
      <c r="G1451" s="1" t="s">
        <v>8423</v>
      </c>
      <c r="H1451" s="1" t="str">
        <f t="shared" si="22"/>
        <v>Mikrotik</v>
      </c>
    </row>
    <row r="1452" spans="1:8">
      <c r="A1452" s="1">
        <v>1451</v>
      </c>
      <c r="B1452" s="1" t="s">
        <v>18564</v>
      </c>
      <c r="C1452" s="1" t="s">
        <v>148</v>
      </c>
      <c r="D1452" s="1" t="s">
        <v>8941</v>
      </c>
      <c r="E1452" s="1" t="s">
        <v>8956</v>
      </c>
      <c r="F1452" s="1" t="s">
        <v>8426</v>
      </c>
      <c r="G1452" s="1" t="s">
        <v>8427</v>
      </c>
      <c r="H1452" s="1" t="str">
        <f t="shared" si="22"/>
        <v>Mikrotik</v>
      </c>
    </row>
    <row r="1453" spans="1:8">
      <c r="A1453" s="1">
        <v>1452</v>
      </c>
      <c r="B1453" s="1" t="s">
        <v>18564</v>
      </c>
      <c r="C1453" s="1" t="s">
        <v>150</v>
      </c>
      <c r="D1453" s="1" t="s">
        <v>8941</v>
      </c>
      <c r="E1453" s="1" t="s">
        <v>8958</v>
      </c>
      <c r="F1453" s="1" t="s">
        <v>8430</v>
      </c>
      <c r="G1453" s="1" t="s">
        <v>8431</v>
      </c>
      <c r="H1453" s="1" t="str">
        <f t="shared" si="22"/>
        <v>Mikrotik</v>
      </c>
    </row>
    <row r="1454" spans="1:8">
      <c r="A1454" s="1">
        <v>1453</v>
      </c>
      <c r="B1454" s="1" t="s">
        <v>18564</v>
      </c>
      <c r="C1454" s="1" t="s">
        <v>152</v>
      </c>
      <c r="D1454" s="1" t="s">
        <v>8941</v>
      </c>
      <c r="E1454" s="1" t="s">
        <v>8960</v>
      </c>
      <c r="F1454" s="1" t="s">
        <v>8434</v>
      </c>
      <c r="G1454" s="1" t="s">
        <v>8435</v>
      </c>
      <c r="H1454" s="1" t="str">
        <f t="shared" si="22"/>
        <v>Mikrotik</v>
      </c>
    </row>
    <row r="1455" spans="1:8">
      <c r="A1455" s="1">
        <v>1454</v>
      </c>
      <c r="B1455" s="1" t="s">
        <v>18565</v>
      </c>
      <c r="C1455" s="1" t="s">
        <v>131</v>
      </c>
      <c r="D1455" s="1" t="s">
        <v>8962</v>
      </c>
      <c r="E1455" s="1" t="s">
        <v>8963</v>
      </c>
      <c r="F1455" s="1" t="s">
        <v>8398</v>
      </c>
      <c r="G1455" s="1" t="s">
        <v>8399</v>
      </c>
      <c r="H1455" s="1" t="str">
        <f t="shared" si="22"/>
        <v>Mikrotik</v>
      </c>
    </row>
    <row r="1456" spans="1:8">
      <c r="A1456" s="1">
        <v>1455</v>
      </c>
      <c r="B1456" s="1" t="s">
        <v>18565</v>
      </c>
      <c r="C1456" s="1" t="s">
        <v>136</v>
      </c>
      <c r="D1456" s="1" t="s">
        <v>8962</v>
      </c>
      <c r="E1456" s="1" t="s">
        <v>8965</v>
      </c>
      <c r="F1456" s="1" t="s">
        <v>8402</v>
      </c>
      <c r="G1456" s="1" t="s">
        <v>8403</v>
      </c>
      <c r="H1456" s="1" t="str">
        <f t="shared" si="22"/>
        <v>Mikrotik</v>
      </c>
    </row>
    <row r="1457" spans="1:8">
      <c r="A1457" s="1">
        <v>1456</v>
      </c>
      <c r="B1457" s="1" t="s">
        <v>18565</v>
      </c>
      <c r="C1457" s="1" t="s">
        <v>138</v>
      </c>
      <c r="D1457" s="1" t="s">
        <v>8962</v>
      </c>
      <c r="E1457" s="1" t="s">
        <v>8967</v>
      </c>
      <c r="F1457" s="1" t="s">
        <v>8406</v>
      </c>
      <c r="G1457" s="1" t="s">
        <v>8407</v>
      </c>
      <c r="H1457" s="1" t="str">
        <f t="shared" si="22"/>
        <v>Mikrotik</v>
      </c>
    </row>
    <row r="1458" spans="1:8">
      <c r="A1458" s="1">
        <v>1457</v>
      </c>
      <c r="B1458" s="1" t="s">
        <v>18565</v>
      </c>
      <c r="C1458" s="1" t="s">
        <v>140</v>
      </c>
      <c r="D1458" s="1" t="s">
        <v>8962</v>
      </c>
      <c r="E1458" s="1" t="s">
        <v>8969</v>
      </c>
      <c r="F1458" s="1" t="s">
        <v>8410</v>
      </c>
      <c r="G1458" s="1" t="s">
        <v>8411</v>
      </c>
      <c r="H1458" s="1" t="str">
        <f t="shared" si="22"/>
        <v>Mikrotik</v>
      </c>
    </row>
    <row r="1459" spans="1:8">
      <c r="A1459" s="1">
        <v>1458</v>
      </c>
      <c r="B1459" s="1" t="s">
        <v>18565</v>
      </c>
      <c r="C1459" s="1" t="s">
        <v>142</v>
      </c>
      <c r="D1459" s="1" t="s">
        <v>8962</v>
      </c>
      <c r="E1459" s="1" t="s">
        <v>8971</v>
      </c>
      <c r="F1459" s="1" t="s">
        <v>8414</v>
      </c>
      <c r="G1459" s="1" t="s">
        <v>8415</v>
      </c>
      <c r="H1459" s="1" t="str">
        <f t="shared" si="22"/>
        <v>Mikrotik</v>
      </c>
    </row>
    <row r="1460" spans="1:8">
      <c r="A1460" s="1">
        <v>1459</v>
      </c>
      <c r="B1460" s="1" t="s">
        <v>18565</v>
      </c>
      <c r="C1460" s="1" t="s">
        <v>144</v>
      </c>
      <c r="D1460" s="1" t="s">
        <v>8962</v>
      </c>
      <c r="E1460" s="1" t="s">
        <v>8973</v>
      </c>
      <c r="F1460" s="1" t="s">
        <v>8418</v>
      </c>
      <c r="G1460" s="1" t="s">
        <v>8419</v>
      </c>
      <c r="H1460" s="1" t="str">
        <f t="shared" si="22"/>
        <v>Mikrotik</v>
      </c>
    </row>
    <row r="1461" spans="1:8">
      <c r="A1461" s="1">
        <v>1460</v>
      </c>
      <c r="B1461" s="1" t="s">
        <v>18565</v>
      </c>
      <c r="C1461" s="1" t="s">
        <v>146</v>
      </c>
      <c r="D1461" s="1" t="s">
        <v>8962</v>
      </c>
      <c r="E1461" s="1" t="s">
        <v>8975</v>
      </c>
      <c r="F1461" s="1" t="s">
        <v>8422</v>
      </c>
      <c r="G1461" s="1" t="s">
        <v>8423</v>
      </c>
      <c r="H1461" s="1" t="str">
        <f t="shared" si="22"/>
        <v>Mikrotik</v>
      </c>
    </row>
    <row r="1462" spans="1:8">
      <c r="A1462" s="1">
        <v>1461</v>
      </c>
      <c r="B1462" s="1" t="s">
        <v>18565</v>
      </c>
      <c r="C1462" s="1" t="s">
        <v>148</v>
      </c>
      <c r="D1462" s="1" t="s">
        <v>8962</v>
      </c>
      <c r="E1462" s="1" t="s">
        <v>8977</v>
      </c>
      <c r="F1462" s="1" t="s">
        <v>8426</v>
      </c>
      <c r="G1462" s="1" t="s">
        <v>8427</v>
      </c>
      <c r="H1462" s="1" t="str">
        <f t="shared" si="22"/>
        <v>Mikrotik</v>
      </c>
    </row>
    <row r="1463" spans="1:8">
      <c r="A1463" s="1">
        <v>1462</v>
      </c>
      <c r="B1463" s="1" t="s">
        <v>18565</v>
      </c>
      <c r="C1463" s="1" t="s">
        <v>150</v>
      </c>
      <c r="D1463" s="1" t="s">
        <v>8962</v>
      </c>
      <c r="E1463" s="1" t="s">
        <v>8979</v>
      </c>
      <c r="F1463" s="1" t="s">
        <v>8430</v>
      </c>
      <c r="G1463" s="1" t="s">
        <v>8431</v>
      </c>
      <c r="H1463" s="1" t="str">
        <f t="shared" si="22"/>
        <v>Mikrotik</v>
      </c>
    </row>
    <row r="1464" spans="1:8">
      <c r="A1464" s="1">
        <v>1463</v>
      </c>
      <c r="B1464" s="1" t="s">
        <v>18565</v>
      </c>
      <c r="C1464" s="1" t="s">
        <v>152</v>
      </c>
      <c r="D1464" s="1" t="s">
        <v>8962</v>
      </c>
      <c r="E1464" s="1" t="s">
        <v>8981</v>
      </c>
      <c r="F1464" s="1" t="s">
        <v>8434</v>
      </c>
      <c r="G1464" s="1" t="s">
        <v>8435</v>
      </c>
      <c r="H1464" s="1" t="str">
        <f t="shared" si="22"/>
        <v>Mikrotik</v>
      </c>
    </row>
    <row r="1465" spans="1:8">
      <c r="A1465" s="1">
        <v>1464</v>
      </c>
      <c r="B1465" s="1" t="s">
        <v>18566</v>
      </c>
      <c r="C1465" s="1" t="s">
        <v>131</v>
      </c>
      <c r="D1465" s="1" t="s">
        <v>8983</v>
      </c>
      <c r="E1465" s="1" t="s">
        <v>8984</v>
      </c>
      <c r="F1465" s="1" t="s">
        <v>8398</v>
      </c>
      <c r="G1465" s="1" t="s">
        <v>8399</v>
      </c>
      <c r="H1465" s="1" t="str">
        <f t="shared" si="22"/>
        <v>Mikrotik</v>
      </c>
    </row>
    <row r="1466" spans="1:8">
      <c r="A1466" s="1">
        <v>1465</v>
      </c>
      <c r="B1466" s="1" t="s">
        <v>18566</v>
      </c>
      <c r="C1466" s="1" t="s">
        <v>136</v>
      </c>
      <c r="D1466" s="1" t="s">
        <v>8983</v>
      </c>
      <c r="E1466" s="1" t="s">
        <v>8986</v>
      </c>
      <c r="F1466" s="1" t="s">
        <v>8402</v>
      </c>
      <c r="G1466" s="1" t="s">
        <v>8403</v>
      </c>
      <c r="H1466" s="1" t="str">
        <f t="shared" si="22"/>
        <v>Mikrotik</v>
      </c>
    </row>
    <row r="1467" spans="1:8">
      <c r="A1467" s="1">
        <v>1466</v>
      </c>
      <c r="B1467" s="1" t="s">
        <v>18566</v>
      </c>
      <c r="C1467" s="1" t="s">
        <v>138</v>
      </c>
      <c r="D1467" s="1" t="s">
        <v>8983</v>
      </c>
      <c r="E1467" s="1" t="s">
        <v>8988</v>
      </c>
      <c r="F1467" s="1" t="s">
        <v>8406</v>
      </c>
      <c r="G1467" s="1" t="s">
        <v>8407</v>
      </c>
      <c r="H1467" s="1" t="str">
        <f t="shared" si="22"/>
        <v>Mikrotik</v>
      </c>
    </row>
    <row r="1468" spans="1:8">
      <c r="A1468" s="1">
        <v>1467</v>
      </c>
      <c r="B1468" s="1" t="s">
        <v>18566</v>
      </c>
      <c r="C1468" s="1" t="s">
        <v>140</v>
      </c>
      <c r="D1468" s="1" t="s">
        <v>8983</v>
      </c>
      <c r="E1468" s="1" t="s">
        <v>8990</v>
      </c>
      <c r="F1468" s="1" t="s">
        <v>8410</v>
      </c>
      <c r="G1468" s="1" t="s">
        <v>8411</v>
      </c>
      <c r="H1468" s="1" t="str">
        <f t="shared" si="22"/>
        <v>Mikrotik</v>
      </c>
    </row>
    <row r="1469" spans="1:8">
      <c r="A1469" s="1">
        <v>1468</v>
      </c>
      <c r="B1469" s="1" t="s">
        <v>18566</v>
      </c>
      <c r="C1469" s="1" t="s">
        <v>142</v>
      </c>
      <c r="D1469" s="1" t="s">
        <v>8983</v>
      </c>
      <c r="E1469" s="1" t="s">
        <v>8992</v>
      </c>
      <c r="F1469" s="1" t="s">
        <v>8414</v>
      </c>
      <c r="G1469" s="1" t="s">
        <v>8415</v>
      </c>
      <c r="H1469" s="1" t="str">
        <f t="shared" si="22"/>
        <v>Mikrotik</v>
      </c>
    </row>
    <row r="1470" spans="1:8">
      <c r="A1470" s="1">
        <v>1469</v>
      </c>
      <c r="B1470" s="1" t="s">
        <v>18566</v>
      </c>
      <c r="C1470" s="1" t="s">
        <v>144</v>
      </c>
      <c r="D1470" s="1" t="s">
        <v>8983</v>
      </c>
      <c r="E1470" s="1" t="s">
        <v>8994</v>
      </c>
      <c r="F1470" s="1" t="s">
        <v>8418</v>
      </c>
      <c r="G1470" s="1" t="s">
        <v>8419</v>
      </c>
      <c r="H1470" s="1" t="str">
        <f t="shared" si="22"/>
        <v>Mikrotik</v>
      </c>
    </row>
    <row r="1471" spans="1:8">
      <c r="A1471" s="1">
        <v>1470</v>
      </c>
      <c r="B1471" s="1" t="s">
        <v>18566</v>
      </c>
      <c r="C1471" s="1" t="s">
        <v>146</v>
      </c>
      <c r="D1471" s="1" t="s">
        <v>8983</v>
      </c>
      <c r="E1471" s="1" t="s">
        <v>8996</v>
      </c>
      <c r="F1471" s="1" t="s">
        <v>8422</v>
      </c>
      <c r="G1471" s="1" t="s">
        <v>8423</v>
      </c>
      <c r="H1471" s="1" t="str">
        <f t="shared" si="22"/>
        <v>Mikrotik</v>
      </c>
    </row>
    <row r="1472" spans="1:8">
      <c r="A1472" s="1">
        <v>1471</v>
      </c>
      <c r="B1472" s="1" t="s">
        <v>18566</v>
      </c>
      <c r="C1472" s="1" t="s">
        <v>148</v>
      </c>
      <c r="D1472" s="1" t="s">
        <v>8983</v>
      </c>
      <c r="E1472" s="1" t="s">
        <v>8998</v>
      </c>
      <c r="F1472" s="1" t="s">
        <v>8426</v>
      </c>
      <c r="G1472" s="1" t="s">
        <v>8427</v>
      </c>
      <c r="H1472" s="1" t="str">
        <f t="shared" si="22"/>
        <v>Mikrotik</v>
      </c>
    </row>
    <row r="1473" spans="1:8">
      <c r="A1473" s="1">
        <v>1472</v>
      </c>
      <c r="B1473" s="1" t="s">
        <v>18566</v>
      </c>
      <c r="C1473" s="1" t="s">
        <v>150</v>
      </c>
      <c r="D1473" s="1" t="s">
        <v>8983</v>
      </c>
      <c r="E1473" s="1" t="s">
        <v>9000</v>
      </c>
      <c r="F1473" s="1" t="s">
        <v>8430</v>
      </c>
      <c r="G1473" s="1" t="s">
        <v>8431</v>
      </c>
      <c r="H1473" s="1" t="str">
        <f t="shared" si="22"/>
        <v>Mikrotik</v>
      </c>
    </row>
    <row r="1474" spans="1:8">
      <c r="A1474" s="1">
        <v>1473</v>
      </c>
      <c r="B1474" s="1" t="s">
        <v>18566</v>
      </c>
      <c r="C1474" s="1" t="s">
        <v>152</v>
      </c>
      <c r="D1474" s="1" t="s">
        <v>8983</v>
      </c>
      <c r="E1474" s="1" t="s">
        <v>9002</v>
      </c>
      <c r="F1474" s="1" t="s">
        <v>8434</v>
      </c>
      <c r="G1474" s="1" t="s">
        <v>8435</v>
      </c>
      <c r="H1474" s="1" t="str">
        <f t="shared" ref="H1474:H1537" si="23">IFERROR(IF(OR(MID(G1474,FIND(":",G1474)-1,1)="""",MID(G1474,FIND(":",G1474)-1,1)="}",MID(G1474,FIND(":",G1474)-1,1)=")",MID(G1474,FIND(":",G1474)-1,1)="]"),"",LEFT(F1474,FIND(":",F1474)-1)),"")</f>
        <v>Mikrotik</v>
      </c>
    </row>
    <row r="1475" spans="1:8">
      <c r="A1475" s="1">
        <v>1474</v>
      </c>
      <c r="B1475" s="1" t="s">
        <v>18567</v>
      </c>
      <c r="C1475" s="1" t="s">
        <v>131</v>
      </c>
      <c r="D1475" s="1" t="s">
        <v>9004</v>
      </c>
      <c r="E1475" s="1" t="s">
        <v>9005</v>
      </c>
      <c r="F1475" s="1" t="s">
        <v>8398</v>
      </c>
      <c r="G1475" s="1" t="s">
        <v>8399</v>
      </c>
      <c r="H1475" s="1" t="str">
        <f t="shared" si="23"/>
        <v>Mikrotik</v>
      </c>
    </row>
    <row r="1476" spans="1:8">
      <c r="A1476" s="1">
        <v>1475</v>
      </c>
      <c r="B1476" s="1" t="s">
        <v>18567</v>
      </c>
      <c r="C1476" s="1" t="s">
        <v>136</v>
      </c>
      <c r="D1476" s="1" t="s">
        <v>9004</v>
      </c>
      <c r="E1476" s="1" t="s">
        <v>9007</v>
      </c>
      <c r="F1476" s="1" t="s">
        <v>8402</v>
      </c>
      <c r="G1476" s="1" t="s">
        <v>8403</v>
      </c>
      <c r="H1476" s="1" t="str">
        <f t="shared" si="23"/>
        <v>Mikrotik</v>
      </c>
    </row>
    <row r="1477" spans="1:8">
      <c r="A1477" s="1">
        <v>1476</v>
      </c>
      <c r="B1477" s="1" t="s">
        <v>18567</v>
      </c>
      <c r="C1477" s="1" t="s">
        <v>138</v>
      </c>
      <c r="D1477" s="1" t="s">
        <v>9004</v>
      </c>
      <c r="E1477" s="1" t="s">
        <v>9009</v>
      </c>
      <c r="F1477" s="1" t="s">
        <v>8406</v>
      </c>
      <c r="G1477" s="1" t="s">
        <v>8407</v>
      </c>
      <c r="H1477" s="1" t="str">
        <f t="shared" si="23"/>
        <v>Mikrotik</v>
      </c>
    </row>
    <row r="1478" spans="1:8">
      <c r="A1478" s="1">
        <v>1477</v>
      </c>
      <c r="B1478" s="1" t="s">
        <v>18567</v>
      </c>
      <c r="C1478" s="1" t="s">
        <v>140</v>
      </c>
      <c r="D1478" s="1" t="s">
        <v>9004</v>
      </c>
      <c r="E1478" s="1" t="s">
        <v>9011</v>
      </c>
      <c r="F1478" s="1" t="s">
        <v>8410</v>
      </c>
      <c r="G1478" s="1" t="s">
        <v>8411</v>
      </c>
      <c r="H1478" s="1" t="str">
        <f t="shared" si="23"/>
        <v>Mikrotik</v>
      </c>
    </row>
    <row r="1479" spans="1:8">
      <c r="A1479" s="1">
        <v>1478</v>
      </c>
      <c r="B1479" s="1" t="s">
        <v>18567</v>
      </c>
      <c r="C1479" s="1" t="s">
        <v>142</v>
      </c>
      <c r="D1479" s="1" t="s">
        <v>9004</v>
      </c>
      <c r="E1479" s="1" t="s">
        <v>9013</v>
      </c>
      <c r="F1479" s="1" t="s">
        <v>8414</v>
      </c>
      <c r="G1479" s="1" t="s">
        <v>8415</v>
      </c>
      <c r="H1479" s="1" t="str">
        <f t="shared" si="23"/>
        <v>Mikrotik</v>
      </c>
    </row>
    <row r="1480" spans="1:8">
      <c r="A1480" s="1">
        <v>1479</v>
      </c>
      <c r="B1480" s="1" t="s">
        <v>18567</v>
      </c>
      <c r="C1480" s="1" t="s">
        <v>144</v>
      </c>
      <c r="D1480" s="1" t="s">
        <v>9004</v>
      </c>
      <c r="E1480" s="1" t="s">
        <v>9015</v>
      </c>
      <c r="F1480" s="1" t="s">
        <v>8418</v>
      </c>
      <c r="G1480" s="1" t="s">
        <v>8419</v>
      </c>
      <c r="H1480" s="1" t="str">
        <f t="shared" si="23"/>
        <v>Mikrotik</v>
      </c>
    </row>
    <row r="1481" spans="1:8">
      <c r="A1481" s="1">
        <v>1480</v>
      </c>
      <c r="B1481" s="1" t="s">
        <v>18567</v>
      </c>
      <c r="C1481" s="1" t="s">
        <v>146</v>
      </c>
      <c r="D1481" s="1" t="s">
        <v>9004</v>
      </c>
      <c r="E1481" s="1" t="s">
        <v>9017</v>
      </c>
      <c r="F1481" s="1" t="s">
        <v>8422</v>
      </c>
      <c r="G1481" s="1" t="s">
        <v>8423</v>
      </c>
      <c r="H1481" s="1" t="str">
        <f t="shared" si="23"/>
        <v>Mikrotik</v>
      </c>
    </row>
    <row r="1482" spans="1:8">
      <c r="A1482" s="1">
        <v>1481</v>
      </c>
      <c r="B1482" s="1" t="s">
        <v>18567</v>
      </c>
      <c r="C1482" s="1" t="s">
        <v>148</v>
      </c>
      <c r="D1482" s="1" t="s">
        <v>9004</v>
      </c>
      <c r="E1482" s="1" t="s">
        <v>9019</v>
      </c>
      <c r="F1482" s="1" t="s">
        <v>8426</v>
      </c>
      <c r="G1482" s="1" t="s">
        <v>8427</v>
      </c>
      <c r="H1482" s="1" t="str">
        <f t="shared" si="23"/>
        <v>Mikrotik</v>
      </c>
    </row>
    <row r="1483" spans="1:8">
      <c r="A1483" s="1">
        <v>1482</v>
      </c>
      <c r="B1483" s="1" t="s">
        <v>18567</v>
      </c>
      <c r="C1483" s="1" t="s">
        <v>150</v>
      </c>
      <c r="D1483" s="1" t="s">
        <v>9004</v>
      </c>
      <c r="E1483" s="1" t="s">
        <v>9021</v>
      </c>
      <c r="F1483" s="1" t="s">
        <v>8430</v>
      </c>
      <c r="G1483" s="1" t="s">
        <v>8431</v>
      </c>
      <c r="H1483" s="1" t="str">
        <f t="shared" si="23"/>
        <v>Mikrotik</v>
      </c>
    </row>
    <row r="1484" spans="1:8">
      <c r="A1484" s="1">
        <v>1483</v>
      </c>
      <c r="B1484" s="1" t="s">
        <v>18567</v>
      </c>
      <c r="C1484" s="1" t="s">
        <v>152</v>
      </c>
      <c r="D1484" s="1" t="s">
        <v>9004</v>
      </c>
      <c r="E1484" s="1" t="s">
        <v>9023</v>
      </c>
      <c r="F1484" s="1" t="s">
        <v>8434</v>
      </c>
      <c r="G1484" s="1" t="s">
        <v>8435</v>
      </c>
      <c r="H1484" s="1" t="str">
        <f t="shared" si="23"/>
        <v>Mikrotik</v>
      </c>
    </row>
    <row r="1485" spans="1:8">
      <c r="A1485" s="1">
        <v>1484</v>
      </c>
      <c r="B1485" s="1" t="s">
        <v>18568</v>
      </c>
      <c r="C1485" s="1" t="s">
        <v>131</v>
      </c>
      <c r="D1485" s="1" t="s">
        <v>9025</v>
      </c>
      <c r="E1485" s="1" t="s">
        <v>9026</v>
      </c>
      <c r="F1485" s="1" t="s">
        <v>8398</v>
      </c>
      <c r="G1485" s="1" t="s">
        <v>8399</v>
      </c>
      <c r="H1485" s="1" t="str">
        <f t="shared" si="23"/>
        <v>Mikrotik</v>
      </c>
    </row>
    <row r="1486" spans="1:8">
      <c r="A1486" s="1">
        <v>1485</v>
      </c>
      <c r="B1486" s="1" t="s">
        <v>18568</v>
      </c>
      <c r="C1486" s="1" t="s">
        <v>136</v>
      </c>
      <c r="D1486" s="1" t="s">
        <v>9025</v>
      </c>
      <c r="E1486" s="1" t="s">
        <v>9028</v>
      </c>
      <c r="F1486" s="1" t="s">
        <v>8402</v>
      </c>
      <c r="G1486" s="1" t="s">
        <v>8403</v>
      </c>
      <c r="H1486" s="1" t="str">
        <f t="shared" si="23"/>
        <v>Mikrotik</v>
      </c>
    </row>
    <row r="1487" spans="1:8">
      <c r="A1487" s="1">
        <v>1486</v>
      </c>
      <c r="B1487" s="1" t="s">
        <v>18568</v>
      </c>
      <c r="C1487" s="1" t="s">
        <v>138</v>
      </c>
      <c r="D1487" s="1" t="s">
        <v>9025</v>
      </c>
      <c r="E1487" s="1" t="s">
        <v>9030</v>
      </c>
      <c r="F1487" s="1" t="s">
        <v>8406</v>
      </c>
      <c r="G1487" s="1" t="s">
        <v>8407</v>
      </c>
      <c r="H1487" s="1" t="str">
        <f t="shared" si="23"/>
        <v>Mikrotik</v>
      </c>
    </row>
    <row r="1488" spans="1:8">
      <c r="A1488" s="1">
        <v>1487</v>
      </c>
      <c r="B1488" s="1" t="s">
        <v>18568</v>
      </c>
      <c r="C1488" s="1" t="s">
        <v>140</v>
      </c>
      <c r="D1488" s="1" t="s">
        <v>9025</v>
      </c>
      <c r="E1488" s="1" t="s">
        <v>9032</v>
      </c>
      <c r="F1488" s="1" t="s">
        <v>8410</v>
      </c>
      <c r="G1488" s="1" t="s">
        <v>8411</v>
      </c>
      <c r="H1488" s="1" t="str">
        <f t="shared" si="23"/>
        <v>Mikrotik</v>
      </c>
    </row>
    <row r="1489" spans="1:8">
      <c r="A1489" s="1">
        <v>1488</v>
      </c>
      <c r="B1489" s="1" t="s">
        <v>18568</v>
      </c>
      <c r="C1489" s="1" t="s">
        <v>142</v>
      </c>
      <c r="D1489" s="1" t="s">
        <v>9025</v>
      </c>
      <c r="E1489" s="1" t="s">
        <v>9034</v>
      </c>
      <c r="F1489" s="1" t="s">
        <v>8414</v>
      </c>
      <c r="G1489" s="1" t="s">
        <v>8415</v>
      </c>
      <c r="H1489" s="1" t="str">
        <f t="shared" si="23"/>
        <v>Mikrotik</v>
      </c>
    </row>
    <row r="1490" spans="1:8">
      <c r="A1490" s="1">
        <v>1489</v>
      </c>
      <c r="B1490" s="1" t="s">
        <v>18568</v>
      </c>
      <c r="C1490" s="1" t="s">
        <v>144</v>
      </c>
      <c r="D1490" s="1" t="s">
        <v>9025</v>
      </c>
      <c r="E1490" s="1" t="s">
        <v>9036</v>
      </c>
      <c r="F1490" s="1" t="s">
        <v>8418</v>
      </c>
      <c r="G1490" s="1" t="s">
        <v>8419</v>
      </c>
      <c r="H1490" s="1" t="str">
        <f t="shared" si="23"/>
        <v>Mikrotik</v>
      </c>
    </row>
    <row r="1491" spans="1:8">
      <c r="A1491" s="1">
        <v>1490</v>
      </c>
      <c r="B1491" s="1" t="s">
        <v>18568</v>
      </c>
      <c r="C1491" s="1" t="s">
        <v>146</v>
      </c>
      <c r="D1491" s="1" t="s">
        <v>9025</v>
      </c>
      <c r="E1491" s="1" t="s">
        <v>9038</v>
      </c>
      <c r="F1491" s="1" t="s">
        <v>8422</v>
      </c>
      <c r="G1491" s="1" t="s">
        <v>8423</v>
      </c>
      <c r="H1491" s="1" t="str">
        <f t="shared" si="23"/>
        <v>Mikrotik</v>
      </c>
    </row>
    <row r="1492" spans="1:8">
      <c r="A1492" s="1">
        <v>1491</v>
      </c>
      <c r="B1492" s="1" t="s">
        <v>18568</v>
      </c>
      <c r="C1492" s="1" t="s">
        <v>148</v>
      </c>
      <c r="D1492" s="1" t="s">
        <v>9025</v>
      </c>
      <c r="E1492" s="1" t="s">
        <v>9040</v>
      </c>
      <c r="F1492" s="1" t="s">
        <v>8426</v>
      </c>
      <c r="G1492" s="1" t="s">
        <v>8427</v>
      </c>
      <c r="H1492" s="1" t="str">
        <f t="shared" si="23"/>
        <v>Mikrotik</v>
      </c>
    </row>
    <row r="1493" spans="1:8">
      <c r="A1493" s="1">
        <v>1492</v>
      </c>
      <c r="B1493" s="1" t="s">
        <v>18568</v>
      </c>
      <c r="C1493" s="1" t="s">
        <v>150</v>
      </c>
      <c r="D1493" s="1" t="s">
        <v>9025</v>
      </c>
      <c r="E1493" s="1" t="s">
        <v>9042</v>
      </c>
      <c r="F1493" s="1" t="s">
        <v>8430</v>
      </c>
      <c r="G1493" s="1" t="s">
        <v>8431</v>
      </c>
      <c r="H1493" s="1" t="str">
        <f t="shared" si="23"/>
        <v>Mikrotik</v>
      </c>
    </row>
    <row r="1494" spans="1:8">
      <c r="A1494" s="1">
        <v>1493</v>
      </c>
      <c r="B1494" s="1" t="s">
        <v>18568</v>
      </c>
      <c r="C1494" s="1" t="s">
        <v>152</v>
      </c>
      <c r="D1494" s="1" t="s">
        <v>9025</v>
      </c>
      <c r="E1494" s="1" t="s">
        <v>9044</v>
      </c>
      <c r="F1494" s="1" t="s">
        <v>8434</v>
      </c>
      <c r="G1494" s="1" t="s">
        <v>8435</v>
      </c>
      <c r="H1494" s="1" t="str">
        <f t="shared" si="23"/>
        <v>Mikrotik</v>
      </c>
    </row>
    <row r="1495" spans="1:8">
      <c r="A1495" s="1">
        <v>1494</v>
      </c>
      <c r="B1495" s="1" t="s">
        <v>18569</v>
      </c>
      <c r="C1495" s="1" t="s">
        <v>131</v>
      </c>
      <c r="D1495" s="1" t="s">
        <v>9046</v>
      </c>
      <c r="E1495" s="1" t="s">
        <v>9047</v>
      </c>
      <c r="F1495" s="1" t="s">
        <v>8398</v>
      </c>
      <c r="G1495" s="1" t="s">
        <v>8399</v>
      </c>
      <c r="H1495" s="1" t="str">
        <f t="shared" si="23"/>
        <v>Mikrotik</v>
      </c>
    </row>
    <row r="1496" spans="1:8">
      <c r="A1496" s="1">
        <v>1495</v>
      </c>
      <c r="B1496" s="1" t="s">
        <v>18569</v>
      </c>
      <c r="C1496" s="1" t="s">
        <v>136</v>
      </c>
      <c r="D1496" s="1" t="s">
        <v>9046</v>
      </c>
      <c r="E1496" s="1" t="s">
        <v>9049</v>
      </c>
      <c r="F1496" s="1" t="s">
        <v>8402</v>
      </c>
      <c r="G1496" s="1" t="s">
        <v>8403</v>
      </c>
      <c r="H1496" s="1" t="str">
        <f t="shared" si="23"/>
        <v>Mikrotik</v>
      </c>
    </row>
    <row r="1497" spans="1:8">
      <c r="A1497" s="1">
        <v>1496</v>
      </c>
      <c r="B1497" s="1" t="s">
        <v>18569</v>
      </c>
      <c r="C1497" s="1" t="s">
        <v>138</v>
      </c>
      <c r="D1497" s="1" t="s">
        <v>9046</v>
      </c>
      <c r="E1497" s="1" t="s">
        <v>9051</v>
      </c>
      <c r="F1497" s="1" t="s">
        <v>8406</v>
      </c>
      <c r="G1497" s="1" t="s">
        <v>8407</v>
      </c>
      <c r="H1497" s="1" t="str">
        <f t="shared" si="23"/>
        <v>Mikrotik</v>
      </c>
    </row>
    <row r="1498" spans="1:8">
      <c r="A1498" s="1">
        <v>1497</v>
      </c>
      <c r="B1498" s="1" t="s">
        <v>18569</v>
      </c>
      <c r="C1498" s="1" t="s">
        <v>140</v>
      </c>
      <c r="D1498" s="1" t="s">
        <v>9046</v>
      </c>
      <c r="E1498" s="1" t="s">
        <v>9053</v>
      </c>
      <c r="F1498" s="1" t="s">
        <v>8410</v>
      </c>
      <c r="G1498" s="1" t="s">
        <v>8411</v>
      </c>
      <c r="H1498" s="1" t="str">
        <f t="shared" si="23"/>
        <v>Mikrotik</v>
      </c>
    </row>
    <row r="1499" spans="1:8">
      <c r="A1499" s="1">
        <v>1498</v>
      </c>
      <c r="B1499" s="1" t="s">
        <v>18569</v>
      </c>
      <c r="C1499" s="1" t="s">
        <v>142</v>
      </c>
      <c r="D1499" s="1" t="s">
        <v>9046</v>
      </c>
      <c r="E1499" s="1" t="s">
        <v>9055</v>
      </c>
      <c r="F1499" s="1" t="s">
        <v>8414</v>
      </c>
      <c r="G1499" s="1" t="s">
        <v>8415</v>
      </c>
      <c r="H1499" s="1" t="str">
        <f t="shared" si="23"/>
        <v>Mikrotik</v>
      </c>
    </row>
    <row r="1500" spans="1:8">
      <c r="A1500" s="1">
        <v>1499</v>
      </c>
      <c r="B1500" s="1" t="s">
        <v>18569</v>
      </c>
      <c r="C1500" s="1" t="s">
        <v>144</v>
      </c>
      <c r="D1500" s="1" t="s">
        <v>9046</v>
      </c>
      <c r="E1500" s="1" t="s">
        <v>9057</v>
      </c>
      <c r="F1500" s="1" t="s">
        <v>8418</v>
      </c>
      <c r="G1500" s="1" t="s">
        <v>8419</v>
      </c>
      <c r="H1500" s="1" t="str">
        <f t="shared" si="23"/>
        <v>Mikrotik</v>
      </c>
    </row>
    <row r="1501" spans="1:8">
      <c r="A1501" s="1">
        <v>1500</v>
      </c>
      <c r="B1501" s="1" t="s">
        <v>18569</v>
      </c>
      <c r="C1501" s="1" t="s">
        <v>146</v>
      </c>
      <c r="D1501" s="1" t="s">
        <v>9046</v>
      </c>
      <c r="E1501" s="1" t="s">
        <v>9059</v>
      </c>
      <c r="F1501" s="1" t="s">
        <v>8422</v>
      </c>
      <c r="G1501" s="1" t="s">
        <v>8423</v>
      </c>
      <c r="H1501" s="1" t="str">
        <f t="shared" si="23"/>
        <v>Mikrotik</v>
      </c>
    </row>
    <row r="1502" spans="1:8">
      <c r="A1502" s="1">
        <v>1501</v>
      </c>
      <c r="B1502" s="1" t="s">
        <v>18569</v>
      </c>
      <c r="C1502" s="1" t="s">
        <v>148</v>
      </c>
      <c r="D1502" s="1" t="s">
        <v>9046</v>
      </c>
      <c r="E1502" s="1" t="s">
        <v>9061</v>
      </c>
      <c r="F1502" s="1" t="s">
        <v>8426</v>
      </c>
      <c r="G1502" s="1" t="s">
        <v>8427</v>
      </c>
      <c r="H1502" s="1" t="str">
        <f t="shared" si="23"/>
        <v>Mikrotik</v>
      </c>
    </row>
    <row r="1503" spans="1:8">
      <c r="A1503" s="1">
        <v>1502</v>
      </c>
      <c r="B1503" s="1" t="s">
        <v>18569</v>
      </c>
      <c r="C1503" s="1" t="s">
        <v>150</v>
      </c>
      <c r="D1503" s="1" t="s">
        <v>9046</v>
      </c>
      <c r="E1503" s="1" t="s">
        <v>9063</v>
      </c>
      <c r="F1503" s="1" t="s">
        <v>8430</v>
      </c>
      <c r="G1503" s="1" t="s">
        <v>8431</v>
      </c>
      <c r="H1503" s="1" t="str">
        <f t="shared" si="23"/>
        <v>Mikrotik</v>
      </c>
    </row>
    <row r="1504" spans="1:8">
      <c r="A1504" s="1">
        <v>1503</v>
      </c>
      <c r="B1504" s="1" t="s">
        <v>18569</v>
      </c>
      <c r="C1504" s="1" t="s">
        <v>152</v>
      </c>
      <c r="D1504" s="1" t="s">
        <v>9046</v>
      </c>
      <c r="E1504" s="1" t="s">
        <v>9065</v>
      </c>
      <c r="F1504" s="1" t="s">
        <v>8434</v>
      </c>
      <c r="G1504" s="1" t="s">
        <v>8435</v>
      </c>
      <c r="H1504" s="1" t="str">
        <f t="shared" si="23"/>
        <v>Mikrotik</v>
      </c>
    </row>
    <row r="1505" spans="1:8">
      <c r="A1505" s="1">
        <v>1504</v>
      </c>
      <c r="B1505" s="1" t="s">
        <v>18570</v>
      </c>
      <c r="C1505" s="1" t="s">
        <v>131</v>
      </c>
      <c r="D1505" s="1" t="s">
        <v>9067</v>
      </c>
      <c r="E1505" s="1" t="s">
        <v>9068</v>
      </c>
      <c r="F1505" s="1" t="s">
        <v>8398</v>
      </c>
      <c r="G1505" s="1" t="s">
        <v>8399</v>
      </c>
      <c r="H1505" s="1" t="str">
        <f t="shared" si="23"/>
        <v>Mikrotik</v>
      </c>
    </row>
    <row r="1506" spans="1:8">
      <c r="A1506" s="1">
        <v>1505</v>
      </c>
      <c r="B1506" s="1" t="s">
        <v>18570</v>
      </c>
      <c r="C1506" s="1" t="s">
        <v>136</v>
      </c>
      <c r="D1506" s="1" t="s">
        <v>9067</v>
      </c>
      <c r="E1506" s="1" t="s">
        <v>9070</v>
      </c>
      <c r="F1506" s="1" t="s">
        <v>8402</v>
      </c>
      <c r="G1506" s="1" t="s">
        <v>8403</v>
      </c>
      <c r="H1506" s="1" t="str">
        <f t="shared" si="23"/>
        <v>Mikrotik</v>
      </c>
    </row>
    <row r="1507" spans="1:8">
      <c r="A1507" s="1">
        <v>1506</v>
      </c>
      <c r="B1507" s="1" t="s">
        <v>18570</v>
      </c>
      <c r="C1507" s="1" t="s">
        <v>138</v>
      </c>
      <c r="D1507" s="1" t="s">
        <v>9067</v>
      </c>
      <c r="E1507" s="1" t="s">
        <v>9072</v>
      </c>
      <c r="F1507" s="1" t="s">
        <v>8406</v>
      </c>
      <c r="G1507" s="1" t="s">
        <v>8407</v>
      </c>
      <c r="H1507" s="1" t="str">
        <f t="shared" si="23"/>
        <v>Mikrotik</v>
      </c>
    </row>
    <row r="1508" spans="1:8">
      <c r="A1508" s="1">
        <v>1507</v>
      </c>
      <c r="B1508" s="1" t="s">
        <v>18570</v>
      </c>
      <c r="C1508" s="1" t="s">
        <v>140</v>
      </c>
      <c r="D1508" s="1" t="s">
        <v>9067</v>
      </c>
      <c r="E1508" s="1" t="s">
        <v>9074</v>
      </c>
      <c r="F1508" s="1" t="s">
        <v>8410</v>
      </c>
      <c r="G1508" s="1" t="s">
        <v>8411</v>
      </c>
      <c r="H1508" s="1" t="str">
        <f t="shared" si="23"/>
        <v>Mikrotik</v>
      </c>
    </row>
    <row r="1509" spans="1:8">
      <c r="A1509" s="1">
        <v>1508</v>
      </c>
      <c r="B1509" s="1" t="s">
        <v>18570</v>
      </c>
      <c r="C1509" s="1" t="s">
        <v>142</v>
      </c>
      <c r="D1509" s="1" t="s">
        <v>9067</v>
      </c>
      <c r="E1509" s="1" t="s">
        <v>9076</v>
      </c>
      <c r="F1509" s="1" t="s">
        <v>8414</v>
      </c>
      <c r="G1509" s="1" t="s">
        <v>8415</v>
      </c>
      <c r="H1509" s="1" t="str">
        <f t="shared" si="23"/>
        <v>Mikrotik</v>
      </c>
    </row>
    <row r="1510" spans="1:8">
      <c r="A1510" s="1">
        <v>1509</v>
      </c>
      <c r="B1510" s="1" t="s">
        <v>18570</v>
      </c>
      <c r="C1510" s="1" t="s">
        <v>144</v>
      </c>
      <c r="D1510" s="1" t="s">
        <v>9067</v>
      </c>
      <c r="E1510" s="1" t="s">
        <v>9078</v>
      </c>
      <c r="F1510" s="1" t="s">
        <v>8418</v>
      </c>
      <c r="G1510" s="1" t="s">
        <v>8419</v>
      </c>
      <c r="H1510" s="1" t="str">
        <f t="shared" si="23"/>
        <v>Mikrotik</v>
      </c>
    </row>
    <row r="1511" spans="1:8">
      <c r="A1511" s="1">
        <v>1510</v>
      </c>
      <c r="B1511" s="1" t="s">
        <v>18570</v>
      </c>
      <c r="C1511" s="1" t="s">
        <v>146</v>
      </c>
      <c r="D1511" s="1" t="s">
        <v>9067</v>
      </c>
      <c r="E1511" s="1" t="s">
        <v>9080</v>
      </c>
      <c r="F1511" s="1" t="s">
        <v>8422</v>
      </c>
      <c r="G1511" s="1" t="s">
        <v>8423</v>
      </c>
      <c r="H1511" s="1" t="str">
        <f t="shared" si="23"/>
        <v>Mikrotik</v>
      </c>
    </row>
    <row r="1512" spans="1:8">
      <c r="A1512" s="1">
        <v>1511</v>
      </c>
      <c r="B1512" s="1" t="s">
        <v>18570</v>
      </c>
      <c r="C1512" s="1" t="s">
        <v>148</v>
      </c>
      <c r="D1512" s="1" t="s">
        <v>9067</v>
      </c>
      <c r="E1512" s="1" t="s">
        <v>9082</v>
      </c>
      <c r="F1512" s="1" t="s">
        <v>8426</v>
      </c>
      <c r="G1512" s="1" t="s">
        <v>8427</v>
      </c>
      <c r="H1512" s="1" t="str">
        <f t="shared" si="23"/>
        <v>Mikrotik</v>
      </c>
    </row>
    <row r="1513" spans="1:8">
      <c r="A1513" s="1">
        <v>1512</v>
      </c>
      <c r="B1513" s="1" t="s">
        <v>18570</v>
      </c>
      <c r="C1513" s="1" t="s">
        <v>150</v>
      </c>
      <c r="D1513" s="1" t="s">
        <v>9067</v>
      </c>
      <c r="E1513" s="1" t="s">
        <v>9084</v>
      </c>
      <c r="F1513" s="1" t="s">
        <v>8430</v>
      </c>
      <c r="G1513" s="1" t="s">
        <v>8431</v>
      </c>
      <c r="H1513" s="1" t="str">
        <f t="shared" si="23"/>
        <v>Mikrotik</v>
      </c>
    </row>
    <row r="1514" spans="1:8">
      <c r="A1514" s="1">
        <v>1513</v>
      </c>
      <c r="B1514" s="1" t="s">
        <v>18570</v>
      </c>
      <c r="C1514" s="1" t="s">
        <v>152</v>
      </c>
      <c r="D1514" s="1" t="s">
        <v>9067</v>
      </c>
      <c r="E1514" s="1" t="s">
        <v>9086</v>
      </c>
      <c r="F1514" s="1" t="s">
        <v>8434</v>
      </c>
      <c r="G1514" s="1" t="s">
        <v>8435</v>
      </c>
      <c r="H1514" s="1" t="str">
        <f t="shared" si="23"/>
        <v>Mikrotik</v>
      </c>
    </row>
    <row r="1515" spans="1:8">
      <c r="A1515" s="1">
        <v>1514</v>
      </c>
      <c r="B1515" s="1" t="s">
        <v>18571</v>
      </c>
      <c r="C1515" s="1" t="s">
        <v>131</v>
      </c>
      <c r="D1515" s="1" t="s">
        <v>9088</v>
      </c>
      <c r="E1515" s="1" t="s">
        <v>9089</v>
      </c>
      <c r="F1515" s="1" t="s">
        <v>8398</v>
      </c>
      <c r="G1515" s="1" t="s">
        <v>8399</v>
      </c>
      <c r="H1515" s="1" t="str">
        <f t="shared" si="23"/>
        <v>Mikrotik</v>
      </c>
    </row>
    <row r="1516" spans="1:8">
      <c r="A1516" s="1">
        <v>1515</v>
      </c>
      <c r="B1516" s="1" t="s">
        <v>18571</v>
      </c>
      <c r="C1516" s="1" t="s">
        <v>136</v>
      </c>
      <c r="D1516" s="1" t="s">
        <v>9088</v>
      </c>
      <c r="E1516" s="1" t="s">
        <v>9091</v>
      </c>
      <c r="F1516" s="1" t="s">
        <v>8402</v>
      </c>
      <c r="G1516" s="1" t="s">
        <v>8403</v>
      </c>
      <c r="H1516" s="1" t="str">
        <f t="shared" si="23"/>
        <v>Mikrotik</v>
      </c>
    </row>
    <row r="1517" spans="1:8">
      <c r="A1517" s="1">
        <v>1516</v>
      </c>
      <c r="B1517" s="1" t="s">
        <v>18571</v>
      </c>
      <c r="C1517" s="1" t="s">
        <v>138</v>
      </c>
      <c r="D1517" s="1" t="s">
        <v>9088</v>
      </c>
      <c r="E1517" s="1" t="s">
        <v>9093</v>
      </c>
      <c r="F1517" s="1" t="s">
        <v>8406</v>
      </c>
      <c r="G1517" s="1" t="s">
        <v>8407</v>
      </c>
      <c r="H1517" s="1" t="str">
        <f t="shared" si="23"/>
        <v>Mikrotik</v>
      </c>
    </row>
    <row r="1518" spans="1:8">
      <c r="A1518" s="1">
        <v>1517</v>
      </c>
      <c r="B1518" s="1" t="s">
        <v>18571</v>
      </c>
      <c r="C1518" s="1" t="s">
        <v>140</v>
      </c>
      <c r="D1518" s="1" t="s">
        <v>9088</v>
      </c>
      <c r="E1518" s="1" t="s">
        <v>9095</v>
      </c>
      <c r="F1518" s="1" t="s">
        <v>8410</v>
      </c>
      <c r="G1518" s="1" t="s">
        <v>8411</v>
      </c>
      <c r="H1518" s="1" t="str">
        <f t="shared" si="23"/>
        <v>Mikrotik</v>
      </c>
    </row>
    <row r="1519" spans="1:8">
      <c r="A1519" s="1">
        <v>1518</v>
      </c>
      <c r="B1519" s="1" t="s">
        <v>18571</v>
      </c>
      <c r="C1519" s="1" t="s">
        <v>142</v>
      </c>
      <c r="D1519" s="1" t="s">
        <v>9088</v>
      </c>
      <c r="E1519" s="1" t="s">
        <v>9097</v>
      </c>
      <c r="F1519" s="1" t="s">
        <v>8414</v>
      </c>
      <c r="G1519" s="1" t="s">
        <v>8415</v>
      </c>
      <c r="H1519" s="1" t="str">
        <f t="shared" si="23"/>
        <v>Mikrotik</v>
      </c>
    </row>
    <row r="1520" spans="1:8">
      <c r="A1520" s="1">
        <v>1519</v>
      </c>
      <c r="B1520" s="1" t="s">
        <v>18571</v>
      </c>
      <c r="C1520" s="1" t="s">
        <v>144</v>
      </c>
      <c r="D1520" s="1" t="s">
        <v>9088</v>
      </c>
      <c r="E1520" s="1" t="s">
        <v>9099</v>
      </c>
      <c r="F1520" s="1" t="s">
        <v>8418</v>
      </c>
      <c r="G1520" s="1" t="s">
        <v>8419</v>
      </c>
      <c r="H1520" s="1" t="str">
        <f t="shared" si="23"/>
        <v>Mikrotik</v>
      </c>
    </row>
    <row r="1521" spans="1:8">
      <c r="A1521" s="1">
        <v>1520</v>
      </c>
      <c r="B1521" s="1" t="s">
        <v>18571</v>
      </c>
      <c r="C1521" s="1" t="s">
        <v>146</v>
      </c>
      <c r="D1521" s="1" t="s">
        <v>9088</v>
      </c>
      <c r="E1521" s="1" t="s">
        <v>9101</v>
      </c>
      <c r="F1521" s="1" t="s">
        <v>8422</v>
      </c>
      <c r="G1521" s="1" t="s">
        <v>8423</v>
      </c>
      <c r="H1521" s="1" t="str">
        <f t="shared" si="23"/>
        <v>Mikrotik</v>
      </c>
    </row>
    <row r="1522" spans="1:8">
      <c r="A1522" s="1">
        <v>1521</v>
      </c>
      <c r="B1522" s="1" t="s">
        <v>18571</v>
      </c>
      <c r="C1522" s="1" t="s">
        <v>148</v>
      </c>
      <c r="D1522" s="1" t="s">
        <v>9088</v>
      </c>
      <c r="E1522" s="1" t="s">
        <v>9103</v>
      </c>
      <c r="F1522" s="1" t="s">
        <v>8426</v>
      </c>
      <c r="G1522" s="1" t="s">
        <v>8427</v>
      </c>
      <c r="H1522" s="1" t="str">
        <f t="shared" si="23"/>
        <v>Mikrotik</v>
      </c>
    </row>
    <row r="1523" spans="1:8">
      <c r="A1523" s="1">
        <v>1522</v>
      </c>
      <c r="B1523" s="1" t="s">
        <v>18571</v>
      </c>
      <c r="C1523" s="1" t="s">
        <v>150</v>
      </c>
      <c r="D1523" s="1" t="s">
        <v>9088</v>
      </c>
      <c r="E1523" s="1" t="s">
        <v>9105</v>
      </c>
      <c r="F1523" s="1" t="s">
        <v>8430</v>
      </c>
      <c r="G1523" s="1" t="s">
        <v>8431</v>
      </c>
      <c r="H1523" s="1" t="str">
        <f t="shared" si="23"/>
        <v>Mikrotik</v>
      </c>
    </row>
    <row r="1524" spans="1:8">
      <c r="A1524" s="1">
        <v>1523</v>
      </c>
      <c r="B1524" s="1" t="s">
        <v>18571</v>
      </c>
      <c r="C1524" s="1" t="s">
        <v>152</v>
      </c>
      <c r="D1524" s="1" t="s">
        <v>9088</v>
      </c>
      <c r="E1524" s="1" t="s">
        <v>9107</v>
      </c>
      <c r="F1524" s="1" t="s">
        <v>8434</v>
      </c>
      <c r="G1524" s="1" t="s">
        <v>8435</v>
      </c>
      <c r="H1524" s="1" t="str">
        <f t="shared" si="23"/>
        <v>Mikrotik</v>
      </c>
    </row>
    <row r="1525" spans="1:8">
      <c r="A1525" s="1">
        <v>1524</v>
      </c>
      <c r="B1525" s="1" t="s">
        <v>18572</v>
      </c>
      <c r="C1525" s="1" t="s">
        <v>131</v>
      </c>
      <c r="D1525" s="1" t="s">
        <v>9109</v>
      </c>
      <c r="E1525" s="1" t="s">
        <v>9110</v>
      </c>
      <c r="F1525" s="1" t="s">
        <v>8398</v>
      </c>
      <c r="G1525" s="1" t="s">
        <v>8399</v>
      </c>
      <c r="H1525" s="1" t="str">
        <f t="shared" si="23"/>
        <v>Mikrotik</v>
      </c>
    </row>
    <row r="1526" spans="1:8">
      <c r="A1526" s="1">
        <v>1525</v>
      </c>
      <c r="B1526" s="1" t="s">
        <v>18572</v>
      </c>
      <c r="C1526" s="1" t="s">
        <v>136</v>
      </c>
      <c r="D1526" s="1" t="s">
        <v>9109</v>
      </c>
      <c r="E1526" s="1" t="s">
        <v>9112</v>
      </c>
      <c r="F1526" s="1" t="s">
        <v>8402</v>
      </c>
      <c r="G1526" s="1" t="s">
        <v>8403</v>
      </c>
      <c r="H1526" s="1" t="str">
        <f t="shared" si="23"/>
        <v>Mikrotik</v>
      </c>
    </row>
    <row r="1527" spans="1:8">
      <c r="A1527" s="1">
        <v>1526</v>
      </c>
      <c r="B1527" s="1" t="s">
        <v>18572</v>
      </c>
      <c r="C1527" s="1" t="s">
        <v>138</v>
      </c>
      <c r="D1527" s="1" t="s">
        <v>9109</v>
      </c>
      <c r="E1527" s="1" t="s">
        <v>9114</v>
      </c>
      <c r="F1527" s="1" t="s">
        <v>8406</v>
      </c>
      <c r="G1527" s="1" t="s">
        <v>8407</v>
      </c>
      <c r="H1527" s="1" t="str">
        <f t="shared" si="23"/>
        <v>Mikrotik</v>
      </c>
    </row>
    <row r="1528" spans="1:8">
      <c r="A1528" s="1">
        <v>1527</v>
      </c>
      <c r="B1528" s="1" t="s">
        <v>18572</v>
      </c>
      <c r="C1528" s="1" t="s">
        <v>140</v>
      </c>
      <c r="D1528" s="1" t="s">
        <v>9109</v>
      </c>
      <c r="E1528" s="1" t="s">
        <v>9116</v>
      </c>
      <c r="F1528" s="1" t="s">
        <v>8410</v>
      </c>
      <c r="G1528" s="1" t="s">
        <v>8411</v>
      </c>
      <c r="H1528" s="1" t="str">
        <f t="shared" si="23"/>
        <v>Mikrotik</v>
      </c>
    </row>
    <row r="1529" spans="1:8">
      <c r="A1529" s="1">
        <v>1528</v>
      </c>
      <c r="B1529" s="1" t="s">
        <v>18572</v>
      </c>
      <c r="C1529" s="1" t="s">
        <v>142</v>
      </c>
      <c r="D1529" s="1" t="s">
        <v>9109</v>
      </c>
      <c r="E1529" s="1" t="s">
        <v>9118</v>
      </c>
      <c r="F1529" s="1" t="s">
        <v>8414</v>
      </c>
      <c r="G1529" s="1" t="s">
        <v>8415</v>
      </c>
      <c r="H1529" s="1" t="str">
        <f t="shared" si="23"/>
        <v>Mikrotik</v>
      </c>
    </row>
    <row r="1530" spans="1:8">
      <c r="A1530" s="1">
        <v>1529</v>
      </c>
      <c r="B1530" s="1" t="s">
        <v>18572</v>
      </c>
      <c r="C1530" s="1" t="s">
        <v>144</v>
      </c>
      <c r="D1530" s="1" t="s">
        <v>9109</v>
      </c>
      <c r="E1530" s="1" t="s">
        <v>9120</v>
      </c>
      <c r="F1530" s="1" t="s">
        <v>8418</v>
      </c>
      <c r="G1530" s="1" t="s">
        <v>8419</v>
      </c>
      <c r="H1530" s="1" t="str">
        <f t="shared" si="23"/>
        <v>Mikrotik</v>
      </c>
    </row>
    <row r="1531" spans="1:8">
      <c r="A1531" s="1">
        <v>1530</v>
      </c>
      <c r="B1531" s="1" t="s">
        <v>18572</v>
      </c>
      <c r="C1531" s="1" t="s">
        <v>146</v>
      </c>
      <c r="D1531" s="1" t="s">
        <v>9109</v>
      </c>
      <c r="E1531" s="1" t="s">
        <v>9122</v>
      </c>
      <c r="F1531" s="1" t="s">
        <v>8422</v>
      </c>
      <c r="G1531" s="1" t="s">
        <v>8423</v>
      </c>
      <c r="H1531" s="1" t="str">
        <f t="shared" si="23"/>
        <v>Mikrotik</v>
      </c>
    </row>
    <row r="1532" spans="1:8">
      <c r="A1532" s="1">
        <v>1531</v>
      </c>
      <c r="B1532" s="1" t="s">
        <v>18572</v>
      </c>
      <c r="C1532" s="1" t="s">
        <v>148</v>
      </c>
      <c r="D1532" s="1" t="s">
        <v>9109</v>
      </c>
      <c r="E1532" s="1" t="s">
        <v>9124</v>
      </c>
      <c r="F1532" s="1" t="s">
        <v>8426</v>
      </c>
      <c r="G1532" s="1" t="s">
        <v>8427</v>
      </c>
      <c r="H1532" s="1" t="str">
        <f t="shared" si="23"/>
        <v>Mikrotik</v>
      </c>
    </row>
    <row r="1533" spans="1:8">
      <c r="A1533" s="1">
        <v>1532</v>
      </c>
      <c r="B1533" s="1" t="s">
        <v>18572</v>
      </c>
      <c r="C1533" s="1" t="s">
        <v>150</v>
      </c>
      <c r="D1533" s="1" t="s">
        <v>9109</v>
      </c>
      <c r="E1533" s="1" t="s">
        <v>9126</v>
      </c>
      <c r="F1533" s="1" t="s">
        <v>8430</v>
      </c>
      <c r="G1533" s="1" t="s">
        <v>8431</v>
      </c>
      <c r="H1533" s="1" t="str">
        <f t="shared" si="23"/>
        <v>Mikrotik</v>
      </c>
    </row>
    <row r="1534" spans="1:8">
      <c r="A1534" s="1">
        <v>1533</v>
      </c>
      <c r="B1534" s="1" t="s">
        <v>18572</v>
      </c>
      <c r="C1534" s="1" t="s">
        <v>152</v>
      </c>
      <c r="D1534" s="1" t="s">
        <v>9109</v>
      </c>
      <c r="E1534" s="1" t="s">
        <v>9128</v>
      </c>
      <c r="F1534" s="1" t="s">
        <v>8434</v>
      </c>
      <c r="G1534" s="1" t="s">
        <v>8435</v>
      </c>
      <c r="H1534" s="1" t="str">
        <f t="shared" si="23"/>
        <v>Mikrotik</v>
      </c>
    </row>
    <row r="1535" spans="1:8">
      <c r="A1535" s="1">
        <v>1534</v>
      </c>
      <c r="B1535" s="1" t="s">
        <v>18573</v>
      </c>
      <c r="C1535" s="1" t="s">
        <v>131</v>
      </c>
      <c r="D1535" s="1" t="s">
        <v>9130</v>
      </c>
      <c r="E1535" s="1" t="s">
        <v>9131</v>
      </c>
      <c r="F1535" s="1" t="s">
        <v>8398</v>
      </c>
      <c r="G1535" s="1" t="s">
        <v>8399</v>
      </c>
      <c r="H1535" s="1" t="str">
        <f t="shared" si="23"/>
        <v>Mikrotik</v>
      </c>
    </row>
    <row r="1536" spans="1:8">
      <c r="A1536" s="1">
        <v>1535</v>
      </c>
      <c r="B1536" s="1" t="s">
        <v>18573</v>
      </c>
      <c r="C1536" s="1" t="s">
        <v>136</v>
      </c>
      <c r="D1536" s="1" t="s">
        <v>9130</v>
      </c>
      <c r="E1536" s="1" t="s">
        <v>9133</v>
      </c>
      <c r="F1536" s="1" t="s">
        <v>8402</v>
      </c>
      <c r="G1536" s="1" t="s">
        <v>8403</v>
      </c>
      <c r="H1536" s="1" t="str">
        <f t="shared" si="23"/>
        <v>Mikrotik</v>
      </c>
    </row>
    <row r="1537" spans="1:8">
      <c r="A1537" s="1">
        <v>1536</v>
      </c>
      <c r="B1537" s="1" t="s">
        <v>18573</v>
      </c>
      <c r="C1537" s="1" t="s">
        <v>138</v>
      </c>
      <c r="D1537" s="1" t="s">
        <v>9130</v>
      </c>
      <c r="E1537" s="1" t="s">
        <v>9135</v>
      </c>
      <c r="F1537" s="1" t="s">
        <v>8406</v>
      </c>
      <c r="G1537" s="1" t="s">
        <v>8407</v>
      </c>
      <c r="H1537" s="1" t="str">
        <f t="shared" si="23"/>
        <v>Mikrotik</v>
      </c>
    </row>
    <row r="1538" spans="1:8">
      <c r="A1538" s="1">
        <v>1537</v>
      </c>
      <c r="B1538" s="1" t="s">
        <v>18573</v>
      </c>
      <c r="C1538" s="1" t="s">
        <v>140</v>
      </c>
      <c r="D1538" s="1" t="s">
        <v>9130</v>
      </c>
      <c r="E1538" s="1" t="s">
        <v>9137</v>
      </c>
      <c r="F1538" s="1" t="s">
        <v>8410</v>
      </c>
      <c r="G1538" s="1" t="s">
        <v>8411</v>
      </c>
      <c r="H1538" s="1" t="str">
        <f t="shared" ref="H1538:H1601" si="24">IFERROR(IF(OR(MID(G1538,FIND(":",G1538)-1,1)="""",MID(G1538,FIND(":",G1538)-1,1)="}",MID(G1538,FIND(":",G1538)-1,1)=")",MID(G1538,FIND(":",G1538)-1,1)="]"),"",LEFT(F1538,FIND(":",F1538)-1)),"")</f>
        <v>Mikrotik</v>
      </c>
    </row>
    <row r="1539" spans="1:8">
      <c r="A1539" s="1">
        <v>1538</v>
      </c>
      <c r="B1539" s="1" t="s">
        <v>18573</v>
      </c>
      <c r="C1539" s="1" t="s">
        <v>142</v>
      </c>
      <c r="D1539" s="1" t="s">
        <v>9130</v>
      </c>
      <c r="E1539" s="1" t="s">
        <v>9139</v>
      </c>
      <c r="F1539" s="1" t="s">
        <v>8414</v>
      </c>
      <c r="G1539" s="1" t="s">
        <v>8415</v>
      </c>
      <c r="H1539" s="1" t="str">
        <f t="shared" si="24"/>
        <v>Mikrotik</v>
      </c>
    </row>
    <row r="1540" spans="1:8">
      <c r="A1540" s="1">
        <v>1539</v>
      </c>
      <c r="B1540" s="1" t="s">
        <v>18573</v>
      </c>
      <c r="C1540" s="1" t="s">
        <v>144</v>
      </c>
      <c r="D1540" s="1" t="s">
        <v>9130</v>
      </c>
      <c r="E1540" s="1" t="s">
        <v>9141</v>
      </c>
      <c r="F1540" s="1" t="s">
        <v>8418</v>
      </c>
      <c r="G1540" s="1" t="s">
        <v>8419</v>
      </c>
      <c r="H1540" s="1" t="str">
        <f t="shared" si="24"/>
        <v>Mikrotik</v>
      </c>
    </row>
    <row r="1541" spans="1:8">
      <c r="A1541" s="1">
        <v>1540</v>
      </c>
      <c r="B1541" s="1" t="s">
        <v>18573</v>
      </c>
      <c r="C1541" s="1" t="s">
        <v>146</v>
      </c>
      <c r="D1541" s="1" t="s">
        <v>9130</v>
      </c>
      <c r="E1541" s="1" t="s">
        <v>9143</v>
      </c>
      <c r="F1541" s="1" t="s">
        <v>8422</v>
      </c>
      <c r="G1541" s="1" t="s">
        <v>8423</v>
      </c>
      <c r="H1541" s="1" t="str">
        <f t="shared" si="24"/>
        <v>Mikrotik</v>
      </c>
    </row>
    <row r="1542" spans="1:8">
      <c r="A1542" s="1">
        <v>1541</v>
      </c>
      <c r="B1542" s="1" t="s">
        <v>18573</v>
      </c>
      <c r="C1542" s="1" t="s">
        <v>148</v>
      </c>
      <c r="D1542" s="1" t="s">
        <v>9130</v>
      </c>
      <c r="E1542" s="1" t="s">
        <v>9145</v>
      </c>
      <c r="F1542" s="1" t="s">
        <v>8426</v>
      </c>
      <c r="G1542" s="1" t="s">
        <v>8427</v>
      </c>
      <c r="H1542" s="1" t="str">
        <f t="shared" si="24"/>
        <v>Mikrotik</v>
      </c>
    </row>
    <row r="1543" spans="1:8">
      <c r="A1543" s="1">
        <v>1542</v>
      </c>
      <c r="B1543" s="1" t="s">
        <v>18573</v>
      </c>
      <c r="C1543" s="1" t="s">
        <v>150</v>
      </c>
      <c r="D1543" s="1" t="s">
        <v>9130</v>
      </c>
      <c r="E1543" s="1" t="s">
        <v>9147</v>
      </c>
      <c r="F1543" s="1" t="s">
        <v>8430</v>
      </c>
      <c r="G1543" s="1" t="s">
        <v>8431</v>
      </c>
      <c r="H1543" s="1" t="str">
        <f t="shared" si="24"/>
        <v>Mikrotik</v>
      </c>
    </row>
    <row r="1544" spans="1:8">
      <c r="A1544" s="1">
        <v>1543</v>
      </c>
      <c r="B1544" s="1" t="s">
        <v>18573</v>
      </c>
      <c r="C1544" s="1" t="s">
        <v>152</v>
      </c>
      <c r="D1544" s="1" t="s">
        <v>9130</v>
      </c>
      <c r="E1544" s="1" t="s">
        <v>9149</v>
      </c>
      <c r="F1544" s="1" t="s">
        <v>8434</v>
      </c>
      <c r="G1544" s="1" t="s">
        <v>8435</v>
      </c>
      <c r="H1544" s="1" t="str">
        <f t="shared" si="24"/>
        <v>Mikrotik</v>
      </c>
    </row>
    <row r="1545" spans="1:8">
      <c r="A1545" s="1">
        <v>1544</v>
      </c>
      <c r="B1545" s="1" t="s">
        <v>18574</v>
      </c>
      <c r="C1545" s="1" t="s">
        <v>131</v>
      </c>
      <c r="D1545" s="1" t="s">
        <v>9151</v>
      </c>
      <c r="E1545" s="1" t="s">
        <v>9152</v>
      </c>
      <c r="F1545" s="1" t="s">
        <v>8398</v>
      </c>
      <c r="G1545" s="1" t="s">
        <v>8399</v>
      </c>
      <c r="H1545" s="1" t="str">
        <f t="shared" si="24"/>
        <v>Mikrotik</v>
      </c>
    </row>
    <row r="1546" spans="1:8">
      <c r="A1546" s="1">
        <v>1545</v>
      </c>
      <c r="B1546" s="1" t="s">
        <v>18574</v>
      </c>
      <c r="C1546" s="1" t="s">
        <v>136</v>
      </c>
      <c r="D1546" s="1" t="s">
        <v>9151</v>
      </c>
      <c r="E1546" s="1" t="s">
        <v>9154</v>
      </c>
      <c r="F1546" s="1" t="s">
        <v>8402</v>
      </c>
      <c r="G1546" s="1" t="s">
        <v>8403</v>
      </c>
      <c r="H1546" s="1" t="str">
        <f t="shared" si="24"/>
        <v>Mikrotik</v>
      </c>
    </row>
    <row r="1547" spans="1:8">
      <c r="A1547" s="1">
        <v>1546</v>
      </c>
      <c r="B1547" s="1" t="s">
        <v>18574</v>
      </c>
      <c r="C1547" s="1" t="s">
        <v>138</v>
      </c>
      <c r="D1547" s="1" t="s">
        <v>9151</v>
      </c>
      <c r="E1547" s="1" t="s">
        <v>9156</v>
      </c>
      <c r="F1547" s="1" t="s">
        <v>8406</v>
      </c>
      <c r="G1547" s="1" t="s">
        <v>8407</v>
      </c>
      <c r="H1547" s="1" t="str">
        <f t="shared" si="24"/>
        <v>Mikrotik</v>
      </c>
    </row>
    <row r="1548" spans="1:8">
      <c r="A1548" s="1">
        <v>1547</v>
      </c>
      <c r="B1548" s="1" t="s">
        <v>18574</v>
      </c>
      <c r="C1548" s="1" t="s">
        <v>140</v>
      </c>
      <c r="D1548" s="1" t="s">
        <v>9151</v>
      </c>
      <c r="E1548" s="1" t="s">
        <v>9158</v>
      </c>
      <c r="F1548" s="1" t="s">
        <v>8410</v>
      </c>
      <c r="G1548" s="1" t="s">
        <v>8411</v>
      </c>
      <c r="H1548" s="1" t="str">
        <f t="shared" si="24"/>
        <v>Mikrotik</v>
      </c>
    </row>
    <row r="1549" spans="1:8">
      <c r="A1549" s="1">
        <v>1548</v>
      </c>
      <c r="B1549" s="1" t="s">
        <v>18574</v>
      </c>
      <c r="C1549" s="1" t="s">
        <v>142</v>
      </c>
      <c r="D1549" s="1" t="s">
        <v>9151</v>
      </c>
      <c r="E1549" s="1" t="s">
        <v>9160</v>
      </c>
      <c r="F1549" s="1" t="s">
        <v>8414</v>
      </c>
      <c r="G1549" s="1" t="s">
        <v>8415</v>
      </c>
      <c r="H1549" s="1" t="str">
        <f t="shared" si="24"/>
        <v>Mikrotik</v>
      </c>
    </row>
    <row r="1550" spans="1:8">
      <c r="A1550" s="1">
        <v>1549</v>
      </c>
      <c r="B1550" s="1" t="s">
        <v>18574</v>
      </c>
      <c r="C1550" s="1" t="s">
        <v>144</v>
      </c>
      <c r="D1550" s="1" t="s">
        <v>9151</v>
      </c>
      <c r="E1550" s="1" t="s">
        <v>9162</v>
      </c>
      <c r="F1550" s="1" t="s">
        <v>8418</v>
      </c>
      <c r="G1550" s="1" t="s">
        <v>8419</v>
      </c>
      <c r="H1550" s="1" t="str">
        <f t="shared" si="24"/>
        <v>Mikrotik</v>
      </c>
    </row>
    <row r="1551" spans="1:8">
      <c r="A1551" s="1">
        <v>1550</v>
      </c>
      <c r="B1551" s="1" t="s">
        <v>18574</v>
      </c>
      <c r="C1551" s="1" t="s">
        <v>146</v>
      </c>
      <c r="D1551" s="1" t="s">
        <v>9151</v>
      </c>
      <c r="E1551" s="1" t="s">
        <v>9164</v>
      </c>
      <c r="F1551" s="1" t="s">
        <v>8422</v>
      </c>
      <c r="G1551" s="1" t="s">
        <v>8423</v>
      </c>
      <c r="H1551" s="1" t="str">
        <f t="shared" si="24"/>
        <v>Mikrotik</v>
      </c>
    </row>
    <row r="1552" spans="1:8">
      <c r="A1552" s="1">
        <v>1551</v>
      </c>
      <c r="B1552" s="1" t="s">
        <v>18574</v>
      </c>
      <c r="C1552" s="1" t="s">
        <v>148</v>
      </c>
      <c r="D1552" s="1" t="s">
        <v>9151</v>
      </c>
      <c r="E1552" s="1" t="s">
        <v>9166</v>
      </c>
      <c r="F1552" s="1" t="s">
        <v>8426</v>
      </c>
      <c r="G1552" s="1" t="s">
        <v>8427</v>
      </c>
      <c r="H1552" s="1" t="str">
        <f t="shared" si="24"/>
        <v>Mikrotik</v>
      </c>
    </row>
    <row r="1553" spans="1:8">
      <c r="A1553" s="1">
        <v>1552</v>
      </c>
      <c r="B1553" s="1" t="s">
        <v>18574</v>
      </c>
      <c r="C1553" s="1" t="s">
        <v>150</v>
      </c>
      <c r="D1553" s="1" t="s">
        <v>9151</v>
      </c>
      <c r="E1553" s="1" t="s">
        <v>9168</v>
      </c>
      <c r="F1553" s="1" t="s">
        <v>8430</v>
      </c>
      <c r="G1553" s="1" t="s">
        <v>8431</v>
      </c>
      <c r="H1553" s="1" t="str">
        <f t="shared" si="24"/>
        <v>Mikrotik</v>
      </c>
    </row>
    <row r="1554" spans="1:8">
      <c r="A1554" s="1">
        <v>1553</v>
      </c>
      <c r="B1554" s="1" t="s">
        <v>18574</v>
      </c>
      <c r="C1554" s="1" t="s">
        <v>152</v>
      </c>
      <c r="D1554" s="1" t="s">
        <v>9151</v>
      </c>
      <c r="E1554" s="1" t="s">
        <v>9170</v>
      </c>
      <c r="F1554" s="1" t="s">
        <v>8434</v>
      </c>
      <c r="G1554" s="1" t="s">
        <v>8435</v>
      </c>
      <c r="H1554" s="1" t="str">
        <f t="shared" si="24"/>
        <v>Mikrotik</v>
      </c>
    </row>
    <row r="1555" spans="1:8">
      <c r="A1555" s="1">
        <v>1554</v>
      </c>
      <c r="B1555" s="1" t="s">
        <v>18575</v>
      </c>
      <c r="C1555" s="1" t="s">
        <v>131</v>
      </c>
      <c r="D1555" s="1" t="s">
        <v>9172</v>
      </c>
      <c r="E1555" s="1" t="s">
        <v>9173</v>
      </c>
      <c r="F1555" s="1" t="s">
        <v>8398</v>
      </c>
      <c r="G1555" s="1" t="s">
        <v>8399</v>
      </c>
      <c r="H1555" s="1" t="str">
        <f t="shared" si="24"/>
        <v>Mikrotik</v>
      </c>
    </row>
    <row r="1556" spans="1:8">
      <c r="A1556" s="1">
        <v>1555</v>
      </c>
      <c r="B1556" s="1" t="s">
        <v>18575</v>
      </c>
      <c r="C1556" s="1" t="s">
        <v>136</v>
      </c>
      <c r="D1556" s="1" t="s">
        <v>9172</v>
      </c>
      <c r="E1556" s="1" t="s">
        <v>9175</v>
      </c>
      <c r="F1556" s="1" t="s">
        <v>8402</v>
      </c>
      <c r="G1556" s="1" t="s">
        <v>8403</v>
      </c>
      <c r="H1556" s="1" t="str">
        <f t="shared" si="24"/>
        <v>Mikrotik</v>
      </c>
    </row>
    <row r="1557" spans="1:8">
      <c r="A1557" s="1">
        <v>1556</v>
      </c>
      <c r="B1557" s="1" t="s">
        <v>18575</v>
      </c>
      <c r="C1557" s="1" t="s">
        <v>138</v>
      </c>
      <c r="D1557" s="1" t="s">
        <v>9172</v>
      </c>
      <c r="E1557" s="1" t="s">
        <v>9177</v>
      </c>
      <c r="F1557" s="1" t="s">
        <v>8406</v>
      </c>
      <c r="G1557" s="1" t="s">
        <v>8407</v>
      </c>
      <c r="H1557" s="1" t="str">
        <f t="shared" si="24"/>
        <v>Mikrotik</v>
      </c>
    </row>
    <row r="1558" spans="1:8">
      <c r="A1558" s="1">
        <v>1557</v>
      </c>
      <c r="B1558" s="1" t="s">
        <v>18575</v>
      </c>
      <c r="C1558" s="1" t="s">
        <v>140</v>
      </c>
      <c r="D1558" s="1" t="s">
        <v>9172</v>
      </c>
      <c r="E1558" s="1" t="s">
        <v>9179</v>
      </c>
      <c r="F1558" s="1" t="s">
        <v>8410</v>
      </c>
      <c r="G1558" s="1" t="s">
        <v>8411</v>
      </c>
      <c r="H1558" s="1" t="str">
        <f t="shared" si="24"/>
        <v>Mikrotik</v>
      </c>
    </row>
    <row r="1559" spans="1:8">
      <c r="A1559" s="1">
        <v>1558</v>
      </c>
      <c r="B1559" s="1" t="s">
        <v>18575</v>
      </c>
      <c r="C1559" s="1" t="s">
        <v>142</v>
      </c>
      <c r="D1559" s="1" t="s">
        <v>9172</v>
      </c>
      <c r="E1559" s="1" t="s">
        <v>9181</v>
      </c>
      <c r="F1559" s="1" t="s">
        <v>8414</v>
      </c>
      <c r="G1559" s="1" t="s">
        <v>8415</v>
      </c>
      <c r="H1559" s="1" t="str">
        <f t="shared" si="24"/>
        <v>Mikrotik</v>
      </c>
    </row>
    <row r="1560" spans="1:8">
      <c r="A1560" s="1">
        <v>1559</v>
      </c>
      <c r="B1560" s="1" t="s">
        <v>18575</v>
      </c>
      <c r="C1560" s="1" t="s">
        <v>144</v>
      </c>
      <c r="D1560" s="1" t="s">
        <v>9172</v>
      </c>
      <c r="E1560" s="1" t="s">
        <v>9183</v>
      </c>
      <c r="F1560" s="1" t="s">
        <v>8418</v>
      </c>
      <c r="G1560" s="1" t="s">
        <v>8419</v>
      </c>
      <c r="H1560" s="1" t="str">
        <f t="shared" si="24"/>
        <v>Mikrotik</v>
      </c>
    </row>
    <row r="1561" spans="1:8">
      <c r="A1561" s="1">
        <v>1560</v>
      </c>
      <c r="B1561" s="1" t="s">
        <v>18575</v>
      </c>
      <c r="C1561" s="1" t="s">
        <v>146</v>
      </c>
      <c r="D1561" s="1" t="s">
        <v>9172</v>
      </c>
      <c r="E1561" s="1" t="s">
        <v>9185</v>
      </c>
      <c r="F1561" s="1" t="s">
        <v>8422</v>
      </c>
      <c r="G1561" s="1" t="s">
        <v>8423</v>
      </c>
      <c r="H1561" s="1" t="str">
        <f t="shared" si="24"/>
        <v>Mikrotik</v>
      </c>
    </row>
    <row r="1562" spans="1:8">
      <c r="A1562" s="1">
        <v>1561</v>
      </c>
      <c r="B1562" s="1" t="s">
        <v>18575</v>
      </c>
      <c r="C1562" s="1" t="s">
        <v>148</v>
      </c>
      <c r="D1562" s="1" t="s">
        <v>9172</v>
      </c>
      <c r="E1562" s="1" t="s">
        <v>9187</v>
      </c>
      <c r="F1562" s="1" t="s">
        <v>8426</v>
      </c>
      <c r="G1562" s="1" t="s">
        <v>8427</v>
      </c>
      <c r="H1562" s="1" t="str">
        <f t="shared" si="24"/>
        <v>Mikrotik</v>
      </c>
    </row>
    <row r="1563" spans="1:8">
      <c r="A1563" s="1">
        <v>1562</v>
      </c>
      <c r="B1563" s="1" t="s">
        <v>18575</v>
      </c>
      <c r="C1563" s="1" t="s">
        <v>150</v>
      </c>
      <c r="D1563" s="1" t="s">
        <v>9172</v>
      </c>
      <c r="E1563" s="1" t="s">
        <v>9189</v>
      </c>
      <c r="F1563" s="1" t="s">
        <v>8430</v>
      </c>
      <c r="G1563" s="1" t="s">
        <v>8431</v>
      </c>
      <c r="H1563" s="1" t="str">
        <f t="shared" si="24"/>
        <v>Mikrotik</v>
      </c>
    </row>
    <row r="1564" spans="1:8">
      <c r="A1564" s="1">
        <v>1563</v>
      </c>
      <c r="B1564" s="1" t="s">
        <v>18575</v>
      </c>
      <c r="C1564" s="1" t="s">
        <v>152</v>
      </c>
      <c r="D1564" s="1" t="s">
        <v>9172</v>
      </c>
      <c r="E1564" s="1" t="s">
        <v>9191</v>
      </c>
      <c r="F1564" s="1" t="s">
        <v>8434</v>
      </c>
      <c r="G1564" s="1" t="s">
        <v>8435</v>
      </c>
      <c r="H1564" s="1" t="str">
        <f t="shared" si="24"/>
        <v>Mikrotik</v>
      </c>
    </row>
    <row r="1565" spans="1:8">
      <c r="A1565" s="1">
        <v>1564</v>
      </c>
      <c r="B1565" s="1" t="s">
        <v>18576</v>
      </c>
      <c r="C1565" s="1" t="s">
        <v>131</v>
      </c>
      <c r="D1565" s="1" t="s">
        <v>9193</v>
      </c>
      <c r="E1565" s="1" t="s">
        <v>9194</v>
      </c>
      <c r="F1565" s="1" t="s">
        <v>8398</v>
      </c>
      <c r="G1565" s="1" t="s">
        <v>8399</v>
      </c>
      <c r="H1565" s="1" t="str">
        <f t="shared" si="24"/>
        <v>Mikrotik</v>
      </c>
    </row>
    <row r="1566" spans="1:8">
      <c r="A1566" s="1">
        <v>1565</v>
      </c>
      <c r="B1566" s="1" t="s">
        <v>18576</v>
      </c>
      <c r="C1566" s="1" t="s">
        <v>136</v>
      </c>
      <c r="D1566" s="1" t="s">
        <v>9193</v>
      </c>
      <c r="E1566" s="1" t="s">
        <v>9196</v>
      </c>
      <c r="F1566" s="1" t="s">
        <v>8402</v>
      </c>
      <c r="G1566" s="1" t="s">
        <v>8403</v>
      </c>
      <c r="H1566" s="1" t="str">
        <f t="shared" si="24"/>
        <v>Mikrotik</v>
      </c>
    </row>
    <row r="1567" spans="1:8">
      <c r="A1567" s="1">
        <v>1566</v>
      </c>
      <c r="B1567" s="1" t="s">
        <v>18576</v>
      </c>
      <c r="C1567" s="1" t="s">
        <v>138</v>
      </c>
      <c r="D1567" s="1" t="s">
        <v>9193</v>
      </c>
      <c r="E1567" s="1" t="s">
        <v>9198</v>
      </c>
      <c r="F1567" s="1" t="s">
        <v>8406</v>
      </c>
      <c r="G1567" s="1" t="s">
        <v>8407</v>
      </c>
      <c r="H1567" s="1" t="str">
        <f t="shared" si="24"/>
        <v>Mikrotik</v>
      </c>
    </row>
    <row r="1568" spans="1:8">
      <c r="A1568" s="1">
        <v>1567</v>
      </c>
      <c r="B1568" s="1" t="s">
        <v>18576</v>
      </c>
      <c r="C1568" s="1" t="s">
        <v>140</v>
      </c>
      <c r="D1568" s="1" t="s">
        <v>9193</v>
      </c>
      <c r="E1568" s="1" t="s">
        <v>9200</v>
      </c>
      <c r="F1568" s="1" t="s">
        <v>8410</v>
      </c>
      <c r="G1568" s="1" t="s">
        <v>8411</v>
      </c>
      <c r="H1568" s="1" t="str">
        <f t="shared" si="24"/>
        <v>Mikrotik</v>
      </c>
    </row>
    <row r="1569" spans="1:8">
      <c r="A1569" s="1">
        <v>1568</v>
      </c>
      <c r="B1569" s="1" t="s">
        <v>18576</v>
      </c>
      <c r="C1569" s="1" t="s">
        <v>142</v>
      </c>
      <c r="D1569" s="1" t="s">
        <v>9193</v>
      </c>
      <c r="E1569" s="1" t="s">
        <v>9202</v>
      </c>
      <c r="F1569" s="1" t="s">
        <v>8414</v>
      </c>
      <c r="G1569" s="1" t="s">
        <v>8415</v>
      </c>
      <c r="H1569" s="1" t="str">
        <f t="shared" si="24"/>
        <v>Mikrotik</v>
      </c>
    </row>
    <row r="1570" spans="1:8">
      <c r="A1570" s="1">
        <v>1569</v>
      </c>
      <c r="B1570" s="1" t="s">
        <v>18576</v>
      </c>
      <c r="C1570" s="1" t="s">
        <v>144</v>
      </c>
      <c r="D1570" s="1" t="s">
        <v>9193</v>
      </c>
      <c r="E1570" s="1" t="s">
        <v>9204</v>
      </c>
      <c r="F1570" s="1" t="s">
        <v>8418</v>
      </c>
      <c r="G1570" s="1" t="s">
        <v>8419</v>
      </c>
      <c r="H1570" s="1" t="str">
        <f t="shared" si="24"/>
        <v>Mikrotik</v>
      </c>
    </row>
    <row r="1571" spans="1:8">
      <c r="A1571" s="1">
        <v>1570</v>
      </c>
      <c r="B1571" s="1" t="s">
        <v>18576</v>
      </c>
      <c r="C1571" s="1" t="s">
        <v>146</v>
      </c>
      <c r="D1571" s="1" t="s">
        <v>9193</v>
      </c>
      <c r="E1571" s="1" t="s">
        <v>9206</v>
      </c>
      <c r="F1571" s="1" t="s">
        <v>8422</v>
      </c>
      <c r="G1571" s="1" t="s">
        <v>8423</v>
      </c>
      <c r="H1571" s="1" t="str">
        <f t="shared" si="24"/>
        <v>Mikrotik</v>
      </c>
    </row>
    <row r="1572" spans="1:8">
      <c r="A1572" s="1">
        <v>1571</v>
      </c>
      <c r="B1572" s="1" t="s">
        <v>18576</v>
      </c>
      <c r="C1572" s="1" t="s">
        <v>148</v>
      </c>
      <c r="D1572" s="1" t="s">
        <v>9193</v>
      </c>
      <c r="E1572" s="1" t="s">
        <v>9208</v>
      </c>
      <c r="F1572" s="1" t="s">
        <v>8426</v>
      </c>
      <c r="G1572" s="1" t="s">
        <v>8427</v>
      </c>
      <c r="H1572" s="1" t="str">
        <f t="shared" si="24"/>
        <v>Mikrotik</v>
      </c>
    </row>
    <row r="1573" spans="1:8">
      <c r="A1573" s="1">
        <v>1572</v>
      </c>
      <c r="B1573" s="1" t="s">
        <v>18576</v>
      </c>
      <c r="C1573" s="1" t="s">
        <v>150</v>
      </c>
      <c r="D1573" s="1" t="s">
        <v>9193</v>
      </c>
      <c r="E1573" s="1" t="s">
        <v>9210</v>
      </c>
      <c r="F1573" s="1" t="s">
        <v>8430</v>
      </c>
      <c r="G1573" s="1" t="s">
        <v>8431</v>
      </c>
      <c r="H1573" s="1" t="str">
        <f t="shared" si="24"/>
        <v>Mikrotik</v>
      </c>
    </row>
    <row r="1574" spans="1:8">
      <c r="A1574" s="1">
        <v>1573</v>
      </c>
      <c r="B1574" s="1" t="s">
        <v>18576</v>
      </c>
      <c r="C1574" s="1" t="s">
        <v>152</v>
      </c>
      <c r="D1574" s="1" t="s">
        <v>9193</v>
      </c>
      <c r="E1574" s="1" t="s">
        <v>9212</v>
      </c>
      <c r="F1574" s="1" t="s">
        <v>8434</v>
      </c>
      <c r="G1574" s="1" t="s">
        <v>8435</v>
      </c>
      <c r="H1574" s="1" t="str">
        <f t="shared" si="24"/>
        <v>Mikrotik</v>
      </c>
    </row>
    <row r="1575" spans="1:8">
      <c r="A1575" s="1">
        <v>1574</v>
      </c>
      <c r="B1575" s="1" t="s">
        <v>18577</v>
      </c>
      <c r="C1575" s="1" t="s">
        <v>131</v>
      </c>
      <c r="D1575" s="1" t="s">
        <v>9214</v>
      </c>
      <c r="E1575" s="1" t="s">
        <v>9215</v>
      </c>
      <c r="F1575" s="1" t="s">
        <v>8398</v>
      </c>
      <c r="G1575" s="1" t="s">
        <v>8399</v>
      </c>
      <c r="H1575" s="1" t="str">
        <f t="shared" si="24"/>
        <v>Mikrotik</v>
      </c>
    </row>
    <row r="1576" spans="1:8">
      <c r="A1576" s="1">
        <v>1575</v>
      </c>
      <c r="B1576" s="1" t="s">
        <v>18577</v>
      </c>
      <c r="C1576" s="1" t="s">
        <v>136</v>
      </c>
      <c r="D1576" s="1" t="s">
        <v>9214</v>
      </c>
      <c r="E1576" s="1" t="s">
        <v>9217</v>
      </c>
      <c r="F1576" s="1" t="s">
        <v>8402</v>
      </c>
      <c r="G1576" s="1" t="s">
        <v>8403</v>
      </c>
      <c r="H1576" s="1" t="str">
        <f t="shared" si="24"/>
        <v>Mikrotik</v>
      </c>
    </row>
    <row r="1577" spans="1:8">
      <c r="A1577" s="1">
        <v>1576</v>
      </c>
      <c r="B1577" s="1" t="s">
        <v>18577</v>
      </c>
      <c r="C1577" s="1" t="s">
        <v>138</v>
      </c>
      <c r="D1577" s="1" t="s">
        <v>9214</v>
      </c>
      <c r="E1577" s="1" t="s">
        <v>9219</v>
      </c>
      <c r="F1577" s="1" t="s">
        <v>8406</v>
      </c>
      <c r="G1577" s="1" t="s">
        <v>8407</v>
      </c>
      <c r="H1577" s="1" t="str">
        <f t="shared" si="24"/>
        <v>Mikrotik</v>
      </c>
    </row>
    <row r="1578" spans="1:8">
      <c r="A1578" s="1">
        <v>1577</v>
      </c>
      <c r="B1578" s="1" t="s">
        <v>18577</v>
      </c>
      <c r="C1578" s="1" t="s">
        <v>140</v>
      </c>
      <c r="D1578" s="1" t="s">
        <v>9214</v>
      </c>
      <c r="E1578" s="1" t="s">
        <v>9221</v>
      </c>
      <c r="F1578" s="1" t="s">
        <v>8410</v>
      </c>
      <c r="G1578" s="1" t="s">
        <v>8411</v>
      </c>
      <c r="H1578" s="1" t="str">
        <f t="shared" si="24"/>
        <v>Mikrotik</v>
      </c>
    </row>
    <row r="1579" spans="1:8">
      <c r="A1579" s="1">
        <v>1578</v>
      </c>
      <c r="B1579" s="1" t="s">
        <v>18577</v>
      </c>
      <c r="C1579" s="1" t="s">
        <v>142</v>
      </c>
      <c r="D1579" s="1" t="s">
        <v>9214</v>
      </c>
      <c r="E1579" s="1" t="s">
        <v>9223</v>
      </c>
      <c r="F1579" s="1" t="s">
        <v>8414</v>
      </c>
      <c r="G1579" s="1" t="s">
        <v>8415</v>
      </c>
      <c r="H1579" s="1" t="str">
        <f t="shared" si="24"/>
        <v>Mikrotik</v>
      </c>
    </row>
    <row r="1580" spans="1:8">
      <c r="A1580" s="1">
        <v>1579</v>
      </c>
      <c r="B1580" s="1" t="s">
        <v>18577</v>
      </c>
      <c r="C1580" s="1" t="s">
        <v>144</v>
      </c>
      <c r="D1580" s="1" t="s">
        <v>9214</v>
      </c>
      <c r="E1580" s="1" t="s">
        <v>9225</v>
      </c>
      <c r="F1580" s="1" t="s">
        <v>8418</v>
      </c>
      <c r="G1580" s="1" t="s">
        <v>8419</v>
      </c>
      <c r="H1580" s="1" t="str">
        <f t="shared" si="24"/>
        <v>Mikrotik</v>
      </c>
    </row>
    <row r="1581" spans="1:8">
      <c r="A1581" s="1">
        <v>1580</v>
      </c>
      <c r="B1581" s="1" t="s">
        <v>18577</v>
      </c>
      <c r="C1581" s="1" t="s">
        <v>146</v>
      </c>
      <c r="D1581" s="1" t="s">
        <v>9214</v>
      </c>
      <c r="E1581" s="1" t="s">
        <v>9227</v>
      </c>
      <c r="F1581" s="1" t="s">
        <v>8422</v>
      </c>
      <c r="G1581" s="1" t="s">
        <v>8423</v>
      </c>
      <c r="H1581" s="1" t="str">
        <f t="shared" si="24"/>
        <v>Mikrotik</v>
      </c>
    </row>
    <row r="1582" spans="1:8">
      <c r="A1582" s="1">
        <v>1581</v>
      </c>
      <c r="B1582" s="1" t="s">
        <v>18577</v>
      </c>
      <c r="C1582" s="1" t="s">
        <v>148</v>
      </c>
      <c r="D1582" s="1" t="s">
        <v>9214</v>
      </c>
      <c r="E1582" s="1" t="s">
        <v>9229</v>
      </c>
      <c r="F1582" s="1" t="s">
        <v>8426</v>
      </c>
      <c r="G1582" s="1" t="s">
        <v>8427</v>
      </c>
      <c r="H1582" s="1" t="str">
        <f t="shared" si="24"/>
        <v>Mikrotik</v>
      </c>
    </row>
    <row r="1583" spans="1:8">
      <c r="A1583" s="1">
        <v>1582</v>
      </c>
      <c r="B1583" s="1" t="s">
        <v>18577</v>
      </c>
      <c r="C1583" s="1" t="s">
        <v>150</v>
      </c>
      <c r="D1583" s="1" t="s">
        <v>9214</v>
      </c>
      <c r="E1583" s="1" t="s">
        <v>9231</v>
      </c>
      <c r="F1583" s="1" t="s">
        <v>8430</v>
      </c>
      <c r="G1583" s="1" t="s">
        <v>8431</v>
      </c>
      <c r="H1583" s="1" t="str">
        <f t="shared" si="24"/>
        <v>Mikrotik</v>
      </c>
    </row>
    <row r="1584" spans="1:8">
      <c r="A1584" s="1">
        <v>1583</v>
      </c>
      <c r="B1584" s="1" t="s">
        <v>18577</v>
      </c>
      <c r="C1584" s="1" t="s">
        <v>152</v>
      </c>
      <c r="D1584" s="1" t="s">
        <v>9214</v>
      </c>
      <c r="E1584" s="1" t="s">
        <v>9233</v>
      </c>
      <c r="F1584" s="1" t="s">
        <v>8434</v>
      </c>
      <c r="G1584" s="1" t="s">
        <v>8435</v>
      </c>
      <c r="H1584" s="1" t="str">
        <f t="shared" si="24"/>
        <v>Mikrotik</v>
      </c>
    </row>
    <row r="1585" spans="1:8">
      <c r="A1585" s="1">
        <v>1584</v>
      </c>
      <c r="B1585" s="1" t="s">
        <v>18578</v>
      </c>
      <c r="C1585" s="1" t="s">
        <v>131</v>
      </c>
      <c r="D1585" s="1" t="s">
        <v>9235</v>
      </c>
      <c r="E1585" s="1" t="s">
        <v>9236</v>
      </c>
      <c r="F1585" s="1" t="s">
        <v>8398</v>
      </c>
      <c r="G1585" s="1" t="s">
        <v>8399</v>
      </c>
      <c r="H1585" s="1" t="str">
        <f t="shared" si="24"/>
        <v>Mikrotik</v>
      </c>
    </row>
    <row r="1586" spans="1:8">
      <c r="A1586" s="1">
        <v>1585</v>
      </c>
      <c r="B1586" s="1" t="s">
        <v>18578</v>
      </c>
      <c r="C1586" s="1" t="s">
        <v>136</v>
      </c>
      <c r="D1586" s="1" t="s">
        <v>9235</v>
      </c>
      <c r="E1586" s="1" t="s">
        <v>9238</v>
      </c>
      <c r="F1586" s="1" t="s">
        <v>8402</v>
      </c>
      <c r="G1586" s="1" t="s">
        <v>8403</v>
      </c>
      <c r="H1586" s="1" t="str">
        <f t="shared" si="24"/>
        <v>Mikrotik</v>
      </c>
    </row>
    <row r="1587" spans="1:8">
      <c r="A1587" s="1">
        <v>1586</v>
      </c>
      <c r="B1587" s="1" t="s">
        <v>18578</v>
      </c>
      <c r="C1587" s="1" t="s">
        <v>138</v>
      </c>
      <c r="D1587" s="1" t="s">
        <v>9235</v>
      </c>
      <c r="E1587" s="1" t="s">
        <v>9240</v>
      </c>
      <c r="F1587" s="1" t="s">
        <v>8406</v>
      </c>
      <c r="G1587" s="1" t="s">
        <v>8407</v>
      </c>
      <c r="H1587" s="1" t="str">
        <f t="shared" si="24"/>
        <v>Mikrotik</v>
      </c>
    </row>
    <row r="1588" spans="1:8">
      <c r="A1588" s="1">
        <v>1587</v>
      </c>
      <c r="B1588" s="1" t="s">
        <v>18578</v>
      </c>
      <c r="C1588" s="1" t="s">
        <v>140</v>
      </c>
      <c r="D1588" s="1" t="s">
        <v>9235</v>
      </c>
      <c r="E1588" s="1" t="s">
        <v>9242</v>
      </c>
      <c r="F1588" s="1" t="s">
        <v>8410</v>
      </c>
      <c r="G1588" s="1" t="s">
        <v>8411</v>
      </c>
      <c r="H1588" s="1" t="str">
        <f t="shared" si="24"/>
        <v>Mikrotik</v>
      </c>
    </row>
    <row r="1589" spans="1:8">
      <c r="A1589" s="1">
        <v>1588</v>
      </c>
      <c r="B1589" s="1" t="s">
        <v>18578</v>
      </c>
      <c r="C1589" s="1" t="s">
        <v>142</v>
      </c>
      <c r="D1589" s="1" t="s">
        <v>9235</v>
      </c>
      <c r="E1589" s="1" t="s">
        <v>9244</v>
      </c>
      <c r="F1589" s="1" t="s">
        <v>8414</v>
      </c>
      <c r="G1589" s="1" t="s">
        <v>8415</v>
      </c>
      <c r="H1589" s="1" t="str">
        <f t="shared" si="24"/>
        <v>Mikrotik</v>
      </c>
    </row>
    <row r="1590" spans="1:8">
      <c r="A1590" s="1">
        <v>1589</v>
      </c>
      <c r="B1590" s="1" t="s">
        <v>18578</v>
      </c>
      <c r="C1590" s="1" t="s">
        <v>144</v>
      </c>
      <c r="D1590" s="1" t="s">
        <v>9235</v>
      </c>
      <c r="E1590" s="1" t="s">
        <v>9246</v>
      </c>
      <c r="F1590" s="1" t="s">
        <v>8418</v>
      </c>
      <c r="G1590" s="1" t="s">
        <v>8419</v>
      </c>
      <c r="H1590" s="1" t="str">
        <f t="shared" si="24"/>
        <v>Mikrotik</v>
      </c>
    </row>
    <row r="1591" spans="1:8">
      <c r="A1591" s="1">
        <v>1590</v>
      </c>
      <c r="B1591" s="1" t="s">
        <v>18578</v>
      </c>
      <c r="C1591" s="1" t="s">
        <v>146</v>
      </c>
      <c r="D1591" s="1" t="s">
        <v>9235</v>
      </c>
      <c r="E1591" s="1" t="s">
        <v>9248</v>
      </c>
      <c r="F1591" s="1" t="s">
        <v>8422</v>
      </c>
      <c r="G1591" s="1" t="s">
        <v>8423</v>
      </c>
      <c r="H1591" s="1" t="str">
        <f t="shared" si="24"/>
        <v>Mikrotik</v>
      </c>
    </row>
    <row r="1592" spans="1:8">
      <c r="A1592" s="1">
        <v>1591</v>
      </c>
      <c r="B1592" s="1" t="s">
        <v>18578</v>
      </c>
      <c r="C1592" s="1" t="s">
        <v>148</v>
      </c>
      <c r="D1592" s="1" t="s">
        <v>9235</v>
      </c>
      <c r="E1592" s="1" t="s">
        <v>9250</v>
      </c>
      <c r="F1592" s="1" t="s">
        <v>8426</v>
      </c>
      <c r="G1592" s="1" t="s">
        <v>8427</v>
      </c>
      <c r="H1592" s="1" t="str">
        <f t="shared" si="24"/>
        <v>Mikrotik</v>
      </c>
    </row>
    <row r="1593" spans="1:8">
      <c r="A1593" s="1">
        <v>1592</v>
      </c>
      <c r="B1593" s="1" t="s">
        <v>18578</v>
      </c>
      <c r="C1593" s="1" t="s">
        <v>150</v>
      </c>
      <c r="D1593" s="1" t="s">
        <v>9235</v>
      </c>
      <c r="E1593" s="1" t="s">
        <v>9252</v>
      </c>
      <c r="F1593" s="1" t="s">
        <v>8430</v>
      </c>
      <c r="G1593" s="1" t="s">
        <v>8431</v>
      </c>
      <c r="H1593" s="1" t="str">
        <f t="shared" si="24"/>
        <v>Mikrotik</v>
      </c>
    </row>
    <row r="1594" spans="1:8">
      <c r="A1594" s="1">
        <v>1593</v>
      </c>
      <c r="B1594" s="1" t="s">
        <v>18578</v>
      </c>
      <c r="C1594" s="1" t="s">
        <v>152</v>
      </c>
      <c r="D1594" s="1" t="s">
        <v>9235</v>
      </c>
      <c r="E1594" s="1" t="s">
        <v>9254</v>
      </c>
      <c r="F1594" s="1" t="s">
        <v>8434</v>
      </c>
      <c r="G1594" s="1" t="s">
        <v>8435</v>
      </c>
      <c r="H1594" s="1" t="str">
        <f t="shared" si="24"/>
        <v>Mikrotik</v>
      </c>
    </row>
    <row r="1595" spans="1:8">
      <c r="A1595" s="1">
        <v>1594</v>
      </c>
      <c r="B1595" s="1" t="s">
        <v>18579</v>
      </c>
      <c r="C1595" s="1" t="s">
        <v>131</v>
      </c>
      <c r="D1595" s="1" t="s">
        <v>9256</v>
      </c>
      <c r="E1595" s="1" t="s">
        <v>9257</v>
      </c>
      <c r="F1595" s="1" t="s">
        <v>8398</v>
      </c>
      <c r="G1595" s="1" t="s">
        <v>8399</v>
      </c>
      <c r="H1595" s="1" t="str">
        <f t="shared" si="24"/>
        <v>Mikrotik</v>
      </c>
    </row>
    <row r="1596" spans="1:8">
      <c r="A1596" s="1">
        <v>1595</v>
      </c>
      <c r="B1596" s="1" t="s">
        <v>18579</v>
      </c>
      <c r="C1596" s="1" t="s">
        <v>136</v>
      </c>
      <c r="D1596" s="1" t="s">
        <v>9256</v>
      </c>
      <c r="E1596" s="1" t="s">
        <v>9259</v>
      </c>
      <c r="F1596" s="1" t="s">
        <v>8402</v>
      </c>
      <c r="G1596" s="1" t="s">
        <v>8403</v>
      </c>
      <c r="H1596" s="1" t="str">
        <f t="shared" si="24"/>
        <v>Mikrotik</v>
      </c>
    </row>
    <row r="1597" spans="1:8">
      <c r="A1597" s="1">
        <v>1596</v>
      </c>
      <c r="B1597" s="1" t="s">
        <v>18579</v>
      </c>
      <c r="C1597" s="1" t="s">
        <v>138</v>
      </c>
      <c r="D1597" s="1" t="s">
        <v>9256</v>
      </c>
      <c r="E1597" s="1" t="s">
        <v>9261</v>
      </c>
      <c r="F1597" s="1" t="s">
        <v>8406</v>
      </c>
      <c r="G1597" s="1" t="s">
        <v>8407</v>
      </c>
      <c r="H1597" s="1" t="str">
        <f t="shared" si="24"/>
        <v>Mikrotik</v>
      </c>
    </row>
    <row r="1598" spans="1:8">
      <c r="A1598" s="1">
        <v>1597</v>
      </c>
      <c r="B1598" s="1" t="s">
        <v>18579</v>
      </c>
      <c r="C1598" s="1" t="s">
        <v>140</v>
      </c>
      <c r="D1598" s="1" t="s">
        <v>9256</v>
      </c>
      <c r="E1598" s="1" t="s">
        <v>9263</v>
      </c>
      <c r="F1598" s="1" t="s">
        <v>8410</v>
      </c>
      <c r="G1598" s="1" t="s">
        <v>8411</v>
      </c>
      <c r="H1598" s="1" t="str">
        <f t="shared" si="24"/>
        <v>Mikrotik</v>
      </c>
    </row>
    <row r="1599" spans="1:8">
      <c r="A1599" s="1">
        <v>1598</v>
      </c>
      <c r="B1599" s="1" t="s">
        <v>18579</v>
      </c>
      <c r="C1599" s="1" t="s">
        <v>142</v>
      </c>
      <c r="D1599" s="1" t="s">
        <v>9256</v>
      </c>
      <c r="E1599" s="1" t="s">
        <v>9265</v>
      </c>
      <c r="F1599" s="1" t="s">
        <v>8414</v>
      </c>
      <c r="G1599" s="1" t="s">
        <v>8415</v>
      </c>
      <c r="H1599" s="1" t="str">
        <f t="shared" si="24"/>
        <v>Mikrotik</v>
      </c>
    </row>
    <row r="1600" spans="1:8">
      <c r="A1600" s="1">
        <v>1599</v>
      </c>
      <c r="B1600" s="1" t="s">
        <v>18579</v>
      </c>
      <c r="C1600" s="1" t="s">
        <v>144</v>
      </c>
      <c r="D1600" s="1" t="s">
        <v>9256</v>
      </c>
      <c r="E1600" s="1" t="s">
        <v>9267</v>
      </c>
      <c r="F1600" s="1" t="s">
        <v>8418</v>
      </c>
      <c r="G1600" s="1" t="s">
        <v>8419</v>
      </c>
      <c r="H1600" s="1" t="str">
        <f t="shared" si="24"/>
        <v>Mikrotik</v>
      </c>
    </row>
    <row r="1601" spans="1:8">
      <c r="A1601" s="1">
        <v>1600</v>
      </c>
      <c r="B1601" s="1" t="s">
        <v>18579</v>
      </c>
      <c r="C1601" s="1" t="s">
        <v>146</v>
      </c>
      <c r="D1601" s="1" t="s">
        <v>9256</v>
      </c>
      <c r="E1601" s="1" t="s">
        <v>9269</v>
      </c>
      <c r="F1601" s="1" t="s">
        <v>8422</v>
      </c>
      <c r="G1601" s="1" t="s">
        <v>8423</v>
      </c>
      <c r="H1601" s="1" t="str">
        <f t="shared" si="24"/>
        <v>Mikrotik</v>
      </c>
    </row>
    <row r="1602" spans="1:8">
      <c r="A1602" s="1">
        <v>1601</v>
      </c>
      <c r="B1602" s="1" t="s">
        <v>18579</v>
      </c>
      <c r="C1602" s="1" t="s">
        <v>148</v>
      </c>
      <c r="D1602" s="1" t="s">
        <v>9256</v>
      </c>
      <c r="E1602" s="1" t="s">
        <v>9271</v>
      </c>
      <c r="F1602" s="1" t="s">
        <v>8426</v>
      </c>
      <c r="G1602" s="1" t="s">
        <v>8427</v>
      </c>
      <c r="H1602" s="1" t="str">
        <f t="shared" ref="H1602:H1665" si="25">IFERROR(IF(OR(MID(G1602,FIND(":",G1602)-1,1)="""",MID(G1602,FIND(":",G1602)-1,1)="}",MID(G1602,FIND(":",G1602)-1,1)=")",MID(G1602,FIND(":",G1602)-1,1)="]"),"",LEFT(F1602,FIND(":",F1602)-1)),"")</f>
        <v>Mikrotik</v>
      </c>
    </row>
    <row r="1603" spans="1:8">
      <c r="A1603" s="1">
        <v>1602</v>
      </c>
      <c r="B1603" s="1" t="s">
        <v>18579</v>
      </c>
      <c r="C1603" s="1" t="s">
        <v>150</v>
      </c>
      <c r="D1603" s="1" t="s">
        <v>9256</v>
      </c>
      <c r="E1603" s="1" t="s">
        <v>9273</v>
      </c>
      <c r="F1603" s="1" t="s">
        <v>8430</v>
      </c>
      <c r="G1603" s="1" t="s">
        <v>8431</v>
      </c>
      <c r="H1603" s="1" t="str">
        <f t="shared" si="25"/>
        <v>Mikrotik</v>
      </c>
    </row>
    <row r="1604" spans="1:8">
      <c r="A1604" s="1">
        <v>1603</v>
      </c>
      <c r="B1604" s="1" t="s">
        <v>18579</v>
      </c>
      <c r="C1604" s="1" t="s">
        <v>152</v>
      </c>
      <c r="D1604" s="1" t="s">
        <v>9256</v>
      </c>
      <c r="E1604" s="1" t="s">
        <v>9275</v>
      </c>
      <c r="F1604" s="1" t="s">
        <v>8434</v>
      </c>
      <c r="G1604" s="1" t="s">
        <v>8435</v>
      </c>
      <c r="H1604" s="1" t="str">
        <f t="shared" si="25"/>
        <v>Mikrotik</v>
      </c>
    </row>
    <row r="1605" spans="1:8">
      <c r="A1605" s="1">
        <v>1604</v>
      </c>
      <c r="B1605" s="1" t="s">
        <v>18580</v>
      </c>
      <c r="C1605" s="1" t="s">
        <v>131</v>
      </c>
      <c r="D1605" s="1" t="s">
        <v>9277</v>
      </c>
      <c r="E1605" s="1" t="s">
        <v>9278</v>
      </c>
      <c r="F1605" s="1" t="s">
        <v>8398</v>
      </c>
      <c r="G1605" s="1" t="s">
        <v>8399</v>
      </c>
      <c r="H1605" s="1" t="str">
        <f t="shared" si="25"/>
        <v>Mikrotik</v>
      </c>
    </row>
    <row r="1606" spans="1:8">
      <c r="A1606" s="1">
        <v>1605</v>
      </c>
      <c r="B1606" s="1" t="s">
        <v>18580</v>
      </c>
      <c r="C1606" s="1" t="s">
        <v>136</v>
      </c>
      <c r="D1606" s="1" t="s">
        <v>9277</v>
      </c>
      <c r="E1606" s="1" t="s">
        <v>9280</v>
      </c>
      <c r="F1606" s="1" t="s">
        <v>8402</v>
      </c>
      <c r="G1606" s="1" t="s">
        <v>8403</v>
      </c>
      <c r="H1606" s="1" t="str">
        <f t="shared" si="25"/>
        <v>Mikrotik</v>
      </c>
    </row>
    <row r="1607" spans="1:8">
      <c r="A1607" s="1">
        <v>1606</v>
      </c>
      <c r="B1607" s="1" t="s">
        <v>18580</v>
      </c>
      <c r="C1607" s="1" t="s">
        <v>138</v>
      </c>
      <c r="D1607" s="1" t="s">
        <v>9277</v>
      </c>
      <c r="E1607" s="1" t="s">
        <v>9282</v>
      </c>
      <c r="F1607" s="1" t="s">
        <v>8406</v>
      </c>
      <c r="G1607" s="1" t="s">
        <v>8407</v>
      </c>
      <c r="H1607" s="1" t="str">
        <f t="shared" si="25"/>
        <v>Mikrotik</v>
      </c>
    </row>
    <row r="1608" spans="1:8">
      <c r="A1608" s="1">
        <v>1607</v>
      </c>
      <c r="B1608" s="1" t="s">
        <v>18580</v>
      </c>
      <c r="C1608" s="1" t="s">
        <v>140</v>
      </c>
      <c r="D1608" s="1" t="s">
        <v>9277</v>
      </c>
      <c r="E1608" s="1" t="s">
        <v>9284</v>
      </c>
      <c r="F1608" s="1" t="s">
        <v>8410</v>
      </c>
      <c r="G1608" s="1" t="s">
        <v>8411</v>
      </c>
      <c r="H1608" s="1" t="str">
        <f t="shared" si="25"/>
        <v>Mikrotik</v>
      </c>
    </row>
    <row r="1609" spans="1:8">
      <c r="A1609" s="1">
        <v>1608</v>
      </c>
      <c r="B1609" s="1" t="s">
        <v>18580</v>
      </c>
      <c r="C1609" s="1" t="s">
        <v>142</v>
      </c>
      <c r="D1609" s="1" t="s">
        <v>9277</v>
      </c>
      <c r="E1609" s="1" t="s">
        <v>9286</v>
      </c>
      <c r="F1609" s="1" t="s">
        <v>8414</v>
      </c>
      <c r="G1609" s="1" t="s">
        <v>8415</v>
      </c>
      <c r="H1609" s="1" t="str">
        <f t="shared" si="25"/>
        <v>Mikrotik</v>
      </c>
    </row>
    <row r="1610" spans="1:8">
      <c r="A1610" s="1">
        <v>1609</v>
      </c>
      <c r="B1610" s="1" t="s">
        <v>18580</v>
      </c>
      <c r="C1610" s="1" t="s">
        <v>144</v>
      </c>
      <c r="D1610" s="1" t="s">
        <v>9277</v>
      </c>
      <c r="E1610" s="1" t="s">
        <v>9288</v>
      </c>
      <c r="F1610" s="1" t="s">
        <v>8418</v>
      </c>
      <c r="G1610" s="1" t="s">
        <v>8419</v>
      </c>
      <c r="H1610" s="1" t="str">
        <f t="shared" si="25"/>
        <v>Mikrotik</v>
      </c>
    </row>
    <row r="1611" spans="1:8">
      <c r="A1611" s="1">
        <v>1610</v>
      </c>
      <c r="B1611" s="1" t="s">
        <v>18580</v>
      </c>
      <c r="C1611" s="1" t="s">
        <v>146</v>
      </c>
      <c r="D1611" s="1" t="s">
        <v>9277</v>
      </c>
      <c r="E1611" s="1" t="s">
        <v>9290</v>
      </c>
      <c r="F1611" s="1" t="s">
        <v>8422</v>
      </c>
      <c r="G1611" s="1" t="s">
        <v>8423</v>
      </c>
      <c r="H1611" s="1" t="str">
        <f t="shared" si="25"/>
        <v>Mikrotik</v>
      </c>
    </row>
    <row r="1612" spans="1:8">
      <c r="A1612" s="1">
        <v>1611</v>
      </c>
      <c r="B1612" s="1" t="s">
        <v>18580</v>
      </c>
      <c r="C1612" s="1" t="s">
        <v>148</v>
      </c>
      <c r="D1612" s="1" t="s">
        <v>9277</v>
      </c>
      <c r="E1612" s="1" t="s">
        <v>9292</v>
      </c>
      <c r="F1612" s="1" t="s">
        <v>8426</v>
      </c>
      <c r="G1612" s="1" t="s">
        <v>8427</v>
      </c>
      <c r="H1612" s="1" t="str">
        <f t="shared" si="25"/>
        <v>Mikrotik</v>
      </c>
    </row>
    <row r="1613" spans="1:8">
      <c r="A1613" s="1">
        <v>1612</v>
      </c>
      <c r="B1613" s="1" t="s">
        <v>18580</v>
      </c>
      <c r="C1613" s="1" t="s">
        <v>150</v>
      </c>
      <c r="D1613" s="1" t="s">
        <v>9277</v>
      </c>
      <c r="E1613" s="1" t="s">
        <v>9294</v>
      </c>
      <c r="F1613" s="1" t="s">
        <v>8430</v>
      </c>
      <c r="G1613" s="1" t="s">
        <v>8431</v>
      </c>
      <c r="H1613" s="1" t="str">
        <f t="shared" si="25"/>
        <v>Mikrotik</v>
      </c>
    </row>
    <row r="1614" spans="1:8">
      <c r="A1614" s="1">
        <v>1613</v>
      </c>
      <c r="B1614" s="1" t="s">
        <v>18580</v>
      </c>
      <c r="C1614" s="1" t="s">
        <v>152</v>
      </c>
      <c r="D1614" s="1" t="s">
        <v>9277</v>
      </c>
      <c r="E1614" s="1" t="s">
        <v>9296</v>
      </c>
      <c r="F1614" s="1" t="s">
        <v>8434</v>
      </c>
      <c r="G1614" s="1" t="s">
        <v>8435</v>
      </c>
      <c r="H1614" s="1" t="str">
        <f t="shared" si="25"/>
        <v>Mikrotik</v>
      </c>
    </row>
    <row r="1615" spans="1:8">
      <c r="A1615" s="1">
        <v>1614</v>
      </c>
      <c r="B1615" s="1" t="s">
        <v>18581</v>
      </c>
      <c r="C1615" s="1" t="s">
        <v>131</v>
      </c>
      <c r="D1615" s="1" t="s">
        <v>9298</v>
      </c>
      <c r="E1615" s="1" t="s">
        <v>9299</v>
      </c>
      <c r="F1615" s="1" t="s">
        <v>8398</v>
      </c>
      <c r="G1615" s="1" t="s">
        <v>8399</v>
      </c>
      <c r="H1615" s="1" t="str">
        <f t="shared" si="25"/>
        <v>Mikrotik</v>
      </c>
    </row>
    <row r="1616" spans="1:8">
      <c r="A1616" s="1">
        <v>1615</v>
      </c>
      <c r="B1616" s="1" t="s">
        <v>18581</v>
      </c>
      <c r="C1616" s="1" t="s">
        <v>136</v>
      </c>
      <c r="D1616" s="1" t="s">
        <v>9298</v>
      </c>
      <c r="E1616" s="1" t="s">
        <v>9301</v>
      </c>
      <c r="F1616" s="1" t="s">
        <v>8402</v>
      </c>
      <c r="G1616" s="1" t="s">
        <v>8403</v>
      </c>
      <c r="H1616" s="1" t="str">
        <f t="shared" si="25"/>
        <v>Mikrotik</v>
      </c>
    </row>
    <row r="1617" spans="1:8">
      <c r="A1617" s="1">
        <v>1616</v>
      </c>
      <c r="B1617" s="1" t="s">
        <v>18581</v>
      </c>
      <c r="C1617" s="1" t="s">
        <v>138</v>
      </c>
      <c r="D1617" s="1" t="s">
        <v>9298</v>
      </c>
      <c r="E1617" s="1" t="s">
        <v>9303</v>
      </c>
      <c r="F1617" s="1" t="s">
        <v>8406</v>
      </c>
      <c r="G1617" s="1" t="s">
        <v>8407</v>
      </c>
      <c r="H1617" s="1" t="str">
        <f t="shared" si="25"/>
        <v>Mikrotik</v>
      </c>
    </row>
    <row r="1618" spans="1:8">
      <c r="A1618" s="1">
        <v>1617</v>
      </c>
      <c r="B1618" s="1" t="s">
        <v>18581</v>
      </c>
      <c r="C1618" s="1" t="s">
        <v>140</v>
      </c>
      <c r="D1618" s="1" t="s">
        <v>9298</v>
      </c>
      <c r="E1618" s="1" t="s">
        <v>9305</v>
      </c>
      <c r="F1618" s="1" t="s">
        <v>8410</v>
      </c>
      <c r="G1618" s="1" t="s">
        <v>8411</v>
      </c>
      <c r="H1618" s="1" t="str">
        <f t="shared" si="25"/>
        <v>Mikrotik</v>
      </c>
    </row>
    <row r="1619" spans="1:8">
      <c r="A1619" s="1">
        <v>1618</v>
      </c>
      <c r="B1619" s="1" t="s">
        <v>18581</v>
      </c>
      <c r="C1619" s="1" t="s">
        <v>142</v>
      </c>
      <c r="D1619" s="1" t="s">
        <v>9298</v>
      </c>
      <c r="E1619" s="1" t="s">
        <v>9307</v>
      </c>
      <c r="F1619" s="1" t="s">
        <v>8414</v>
      </c>
      <c r="G1619" s="1" t="s">
        <v>8415</v>
      </c>
      <c r="H1619" s="1" t="str">
        <f t="shared" si="25"/>
        <v>Mikrotik</v>
      </c>
    </row>
    <row r="1620" spans="1:8">
      <c r="A1620" s="1">
        <v>1619</v>
      </c>
      <c r="B1620" s="1" t="s">
        <v>18581</v>
      </c>
      <c r="C1620" s="1" t="s">
        <v>144</v>
      </c>
      <c r="D1620" s="1" t="s">
        <v>9298</v>
      </c>
      <c r="E1620" s="1" t="s">
        <v>9309</v>
      </c>
      <c r="F1620" s="1" t="s">
        <v>8418</v>
      </c>
      <c r="G1620" s="1" t="s">
        <v>8419</v>
      </c>
      <c r="H1620" s="1" t="str">
        <f t="shared" si="25"/>
        <v>Mikrotik</v>
      </c>
    </row>
    <row r="1621" spans="1:8">
      <c r="A1621" s="1">
        <v>1620</v>
      </c>
      <c r="B1621" s="1" t="s">
        <v>18581</v>
      </c>
      <c r="C1621" s="1" t="s">
        <v>146</v>
      </c>
      <c r="D1621" s="1" t="s">
        <v>9298</v>
      </c>
      <c r="E1621" s="1" t="s">
        <v>9311</v>
      </c>
      <c r="F1621" s="1" t="s">
        <v>8422</v>
      </c>
      <c r="G1621" s="1" t="s">
        <v>8423</v>
      </c>
      <c r="H1621" s="1" t="str">
        <f t="shared" si="25"/>
        <v>Mikrotik</v>
      </c>
    </row>
    <row r="1622" spans="1:8">
      <c r="A1622" s="1">
        <v>1621</v>
      </c>
      <c r="B1622" s="1" t="s">
        <v>18581</v>
      </c>
      <c r="C1622" s="1" t="s">
        <v>148</v>
      </c>
      <c r="D1622" s="1" t="s">
        <v>9298</v>
      </c>
      <c r="E1622" s="1" t="s">
        <v>9313</v>
      </c>
      <c r="F1622" s="1" t="s">
        <v>8426</v>
      </c>
      <c r="G1622" s="1" t="s">
        <v>8427</v>
      </c>
      <c r="H1622" s="1" t="str">
        <f t="shared" si="25"/>
        <v>Mikrotik</v>
      </c>
    </row>
    <row r="1623" spans="1:8">
      <c r="A1623" s="1">
        <v>1622</v>
      </c>
      <c r="B1623" s="1" t="s">
        <v>18581</v>
      </c>
      <c r="C1623" s="1" t="s">
        <v>150</v>
      </c>
      <c r="D1623" s="1" t="s">
        <v>9298</v>
      </c>
      <c r="E1623" s="1" t="s">
        <v>9315</v>
      </c>
      <c r="F1623" s="1" t="s">
        <v>8430</v>
      </c>
      <c r="G1623" s="1" t="s">
        <v>8431</v>
      </c>
      <c r="H1623" s="1" t="str">
        <f t="shared" si="25"/>
        <v>Mikrotik</v>
      </c>
    </row>
    <row r="1624" spans="1:8">
      <c r="A1624" s="1">
        <v>1623</v>
      </c>
      <c r="B1624" s="1" t="s">
        <v>18581</v>
      </c>
      <c r="C1624" s="1" t="s">
        <v>152</v>
      </c>
      <c r="D1624" s="1" t="s">
        <v>9298</v>
      </c>
      <c r="E1624" s="1" t="s">
        <v>9317</v>
      </c>
      <c r="F1624" s="1" t="s">
        <v>8434</v>
      </c>
      <c r="G1624" s="1" t="s">
        <v>8435</v>
      </c>
      <c r="H1624" s="1" t="str">
        <f t="shared" si="25"/>
        <v>Mikrotik</v>
      </c>
    </row>
    <row r="1625" spans="1:8">
      <c r="A1625" s="1">
        <v>1624</v>
      </c>
      <c r="B1625" s="1" t="s">
        <v>18582</v>
      </c>
      <c r="C1625" s="1" t="s">
        <v>131</v>
      </c>
      <c r="D1625" s="1" t="s">
        <v>9319</v>
      </c>
      <c r="E1625" s="1" t="s">
        <v>9320</v>
      </c>
      <c r="F1625" s="1" t="s">
        <v>8398</v>
      </c>
      <c r="G1625" s="1" t="s">
        <v>8399</v>
      </c>
      <c r="H1625" s="1" t="str">
        <f t="shared" si="25"/>
        <v>Mikrotik</v>
      </c>
    </row>
    <row r="1626" spans="1:8">
      <c r="A1626" s="1">
        <v>1625</v>
      </c>
      <c r="B1626" s="1" t="s">
        <v>18582</v>
      </c>
      <c r="C1626" s="1" t="s">
        <v>136</v>
      </c>
      <c r="D1626" s="1" t="s">
        <v>9319</v>
      </c>
      <c r="E1626" s="1" t="s">
        <v>9322</v>
      </c>
      <c r="F1626" s="1" t="s">
        <v>8402</v>
      </c>
      <c r="G1626" s="1" t="s">
        <v>8403</v>
      </c>
      <c r="H1626" s="1" t="str">
        <f t="shared" si="25"/>
        <v>Mikrotik</v>
      </c>
    </row>
    <row r="1627" spans="1:8">
      <c r="A1627" s="1">
        <v>1626</v>
      </c>
      <c r="B1627" s="1" t="s">
        <v>18582</v>
      </c>
      <c r="C1627" s="1" t="s">
        <v>138</v>
      </c>
      <c r="D1627" s="1" t="s">
        <v>9319</v>
      </c>
      <c r="E1627" s="1" t="s">
        <v>9324</v>
      </c>
      <c r="F1627" s="1" t="s">
        <v>8406</v>
      </c>
      <c r="G1627" s="1" t="s">
        <v>8407</v>
      </c>
      <c r="H1627" s="1" t="str">
        <f t="shared" si="25"/>
        <v>Mikrotik</v>
      </c>
    </row>
    <row r="1628" spans="1:8">
      <c r="A1628" s="1">
        <v>1627</v>
      </c>
      <c r="B1628" s="1" t="s">
        <v>18582</v>
      </c>
      <c r="C1628" s="1" t="s">
        <v>140</v>
      </c>
      <c r="D1628" s="1" t="s">
        <v>9319</v>
      </c>
      <c r="E1628" s="1" t="s">
        <v>9326</v>
      </c>
      <c r="F1628" s="1" t="s">
        <v>8410</v>
      </c>
      <c r="G1628" s="1" t="s">
        <v>8411</v>
      </c>
      <c r="H1628" s="1" t="str">
        <f t="shared" si="25"/>
        <v>Mikrotik</v>
      </c>
    </row>
    <row r="1629" spans="1:8">
      <c r="A1629" s="1">
        <v>1628</v>
      </c>
      <c r="B1629" s="1" t="s">
        <v>18582</v>
      </c>
      <c r="C1629" s="1" t="s">
        <v>142</v>
      </c>
      <c r="D1629" s="1" t="s">
        <v>9319</v>
      </c>
      <c r="E1629" s="1" t="s">
        <v>9328</v>
      </c>
      <c r="F1629" s="1" t="s">
        <v>8414</v>
      </c>
      <c r="G1629" s="1" t="s">
        <v>8415</v>
      </c>
      <c r="H1629" s="1" t="str">
        <f t="shared" si="25"/>
        <v>Mikrotik</v>
      </c>
    </row>
    <row r="1630" spans="1:8">
      <c r="A1630" s="1">
        <v>1629</v>
      </c>
      <c r="B1630" s="1" t="s">
        <v>18582</v>
      </c>
      <c r="C1630" s="1" t="s">
        <v>144</v>
      </c>
      <c r="D1630" s="1" t="s">
        <v>9319</v>
      </c>
      <c r="E1630" s="1" t="s">
        <v>9330</v>
      </c>
      <c r="F1630" s="1" t="s">
        <v>8418</v>
      </c>
      <c r="G1630" s="1" t="s">
        <v>8419</v>
      </c>
      <c r="H1630" s="1" t="str">
        <f t="shared" si="25"/>
        <v>Mikrotik</v>
      </c>
    </row>
    <row r="1631" spans="1:8">
      <c r="A1631" s="1">
        <v>1630</v>
      </c>
      <c r="B1631" s="1" t="s">
        <v>18582</v>
      </c>
      <c r="C1631" s="1" t="s">
        <v>146</v>
      </c>
      <c r="D1631" s="1" t="s">
        <v>9319</v>
      </c>
      <c r="E1631" s="1" t="s">
        <v>9332</v>
      </c>
      <c r="F1631" s="1" t="s">
        <v>8422</v>
      </c>
      <c r="G1631" s="1" t="s">
        <v>8423</v>
      </c>
      <c r="H1631" s="1" t="str">
        <f t="shared" si="25"/>
        <v>Mikrotik</v>
      </c>
    </row>
    <row r="1632" spans="1:8">
      <c r="A1632" s="1">
        <v>1631</v>
      </c>
      <c r="B1632" s="1" t="s">
        <v>18582</v>
      </c>
      <c r="C1632" s="1" t="s">
        <v>148</v>
      </c>
      <c r="D1632" s="1" t="s">
        <v>9319</v>
      </c>
      <c r="E1632" s="1" t="s">
        <v>9334</v>
      </c>
      <c r="F1632" s="1" t="s">
        <v>8426</v>
      </c>
      <c r="G1632" s="1" t="s">
        <v>8427</v>
      </c>
      <c r="H1632" s="1" t="str">
        <f t="shared" si="25"/>
        <v>Mikrotik</v>
      </c>
    </row>
    <row r="1633" spans="1:8">
      <c r="A1633" s="1">
        <v>1632</v>
      </c>
      <c r="B1633" s="1" t="s">
        <v>18582</v>
      </c>
      <c r="C1633" s="1" t="s">
        <v>150</v>
      </c>
      <c r="D1633" s="1" t="s">
        <v>9319</v>
      </c>
      <c r="E1633" s="1" t="s">
        <v>9336</v>
      </c>
      <c r="F1633" s="1" t="s">
        <v>8430</v>
      </c>
      <c r="G1633" s="1" t="s">
        <v>8431</v>
      </c>
      <c r="H1633" s="1" t="str">
        <f t="shared" si="25"/>
        <v>Mikrotik</v>
      </c>
    </row>
    <row r="1634" spans="1:8">
      <c r="A1634" s="1">
        <v>1633</v>
      </c>
      <c r="B1634" s="1" t="s">
        <v>18582</v>
      </c>
      <c r="C1634" s="1" t="s">
        <v>152</v>
      </c>
      <c r="D1634" s="1" t="s">
        <v>9319</v>
      </c>
      <c r="E1634" s="1" t="s">
        <v>9338</v>
      </c>
      <c r="F1634" s="1" t="s">
        <v>8434</v>
      </c>
      <c r="G1634" s="1" t="s">
        <v>8435</v>
      </c>
      <c r="H1634" s="1" t="str">
        <f t="shared" si="25"/>
        <v>Mikrotik</v>
      </c>
    </row>
    <row r="1635" spans="1:8">
      <c r="A1635" s="1">
        <v>1634</v>
      </c>
      <c r="B1635" s="1" t="s">
        <v>18583</v>
      </c>
      <c r="C1635" s="1" t="s">
        <v>131</v>
      </c>
      <c r="D1635" s="1" t="s">
        <v>9340</v>
      </c>
      <c r="E1635" s="1" t="s">
        <v>9341</v>
      </c>
      <c r="F1635" s="1" t="s">
        <v>8398</v>
      </c>
      <c r="G1635" s="1" t="s">
        <v>8399</v>
      </c>
      <c r="H1635" s="1" t="str">
        <f t="shared" si="25"/>
        <v>Mikrotik</v>
      </c>
    </row>
    <row r="1636" spans="1:8">
      <c r="A1636" s="1">
        <v>1635</v>
      </c>
      <c r="B1636" s="1" t="s">
        <v>18583</v>
      </c>
      <c r="C1636" s="1" t="s">
        <v>136</v>
      </c>
      <c r="D1636" s="1" t="s">
        <v>9340</v>
      </c>
      <c r="E1636" s="1" t="s">
        <v>9343</v>
      </c>
      <c r="F1636" s="1" t="s">
        <v>8402</v>
      </c>
      <c r="G1636" s="1" t="s">
        <v>8403</v>
      </c>
      <c r="H1636" s="1" t="str">
        <f t="shared" si="25"/>
        <v>Mikrotik</v>
      </c>
    </row>
    <row r="1637" spans="1:8">
      <c r="A1637" s="1">
        <v>1636</v>
      </c>
      <c r="B1637" s="1" t="s">
        <v>18583</v>
      </c>
      <c r="C1637" s="1" t="s">
        <v>138</v>
      </c>
      <c r="D1637" s="1" t="s">
        <v>9340</v>
      </c>
      <c r="E1637" s="1" t="s">
        <v>9345</v>
      </c>
      <c r="F1637" s="1" t="s">
        <v>8406</v>
      </c>
      <c r="G1637" s="1" t="s">
        <v>8407</v>
      </c>
      <c r="H1637" s="1" t="str">
        <f t="shared" si="25"/>
        <v>Mikrotik</v>
      </c>
    </row>
    <row r="1638" spans="1:8">
      <c r="A1638" s="1">
        <v>1637</v>
      </c>
      <c r="B1638" s="1" t="s">
        <v>18583</v>
      </c>
      <c r="C1638" s="1" t="s">
        <v>140</v>
      </c>
      <c r="D1638" s="1" t="s">
        <v>9340</v>
      </c>
      <c r="E1638" s="1" t="s">
        <v>9347</v>
      </c>
      <c r="F1638" s="1" t="s">
        <v>8410</v>
      </c>
      <c r="G1638" s="1" t="s">
        <v>8411</v>
      </c>
      <c r="H1638" s="1" t="str">
        <f t="shared" si="25"/>
        <v>Mikrotik</v>
      </c>
    </row>
    <row r="1639" spans="1:8">
      <c r="A1639" s="1">
        <v>1638</v>
      </c>
      <c r="B1639" s="1" t="s">
        <v>18583</v>
      </c>
      <c r="C1639" s="1" t="s">
        <v>142</v>
      </c>
      <c r="D1639" s="1" t="s">
        <v>9340</v>
      </c>
      <c r="E1639" s="1" t="s">
        <v>9349</v>
      </c>
      <c r="F1639" s="1" t="s">
        <v>8414</v>
      </c>
      <c r="G1639" s="1" t="s">
        <v>8415</v>
      </c>
      <c r="H1639" s="1" t="str">
        <f t="shared" si="25"/>
        <v>Mikrotik</v>
      </c>
    </row>
    <row r="1640" spans="1:8">
      <c r="A1640" s="1">
        <v>1639</v>
      </c>
      <c r="B1640" s="1" t="s">
        <v>18583</v>
      </c>
      <c r="C1640" s="1" t="s">
        <v>144</v>
      </c>
      <c r="D1640" s="1" t="s">
        <v>9340</v>
      </c>
      <c r="E1640" s="1" t="s">
        <v>9351</v>
      </c>
      <c r="F1640" s="1" t="s">
        <v>8418</v>
      </c>
      <c r="G1640" s="1" t="s">
        <v>8419</v>
      </c>
      <c r="H1640" s="1" t="str">
        <f t="shared" si="25"/>
        <v>Mikrotik</v>
      </c>
    </row>
    <row r="1641" spans="1:8">
      <c r="A1641" s="1">
        <v>1640</v>
      </c>
      <c r="B1641" s="1" t="s">
        <v>18583</v>
      </c>
      <c r="C1641" s="1" t="s">
        <v>146</v>
      </c>
      <c r="D1641" s="1" t="s">
        <v>9340</v>
      </c>
      <c r="E1641" s="1" t="s">
        <v>9353</v>
      </c>
      <c r="F1641" s="1" t="s">
        <v>8422</v>
      </c>
      <c r="G1641" s="1" t="s">
        <v>8423</v>
      </c>
      <c r="H1641" s="1" t="str">
        <f t="shared" si="25"/>
        <v>Mikrotik</v>
      </c>
    </row>
    <row r="1642" spans="1:8">
      <c r="A1642" s="1">
        <v>1641</v>
      </c>
      <c r="B1642" s="1" t="s">
        <v>18583</v>
      </c>
      <c r="C1642" s="1" t="s">
        <v>148</v>
      </c>
      <c r="D1642" s="1" t="s">
        <v>9340</v>
      </c>
      <c r="E1642" s="1" t="s">
        <v>9355</v>
      </c>
      <c r="F1642" s="1" t="s">
        <v>8426</v>
      </c>
      <c r="G1642" s="1" t="s">
        <v>8427</v>
      </c>
      <c r="H1642" s="1" t="str">
        <f t="shared" si="25"/>
        <v>Mikrotik</v>
      </c>
    </row>
    <row r="1643" spans="1:8">
      <c r="A1643" s="1">
        <v>1642</v>
      </c>
      <c r="B1643" s="1" t="s">
        <v>18583</v>
      </c>
      <c r="C1643" s="1" t="s">
        <v>150</v>
      </c>
      <c r="D1643" s="1" t="s">
        <v>9340</v>
      </c>
      <c r="E1643" s="1" t="s">
        <v>9357</v>
      </c>
      <c r="F1643" s="1" t="s">
        <v>8430</v>
      </c>
      <c r="G1643" s="1" t="s">
        <v>8431</v>
      </c>
      <c r="H1643" s="1" t="str">
        <f t="shared" si="25"/>
        <v>Mikrotik</v>
      </c>
    </row>
    <row r="1644" spans="1:8">
      <c r="A1644" s="1">
        <v>1643</v>
      </c>
      <c r="B1644" s="1" t="s">
        <v>18583</v>
      </c>
      <c r="C1644" s="1" t="s">
        <v>152</v>
      </c>
      <c r="D1644" s="1" t="s">
        <v>9340</v>
      </c>
      <c r="E1644" s="1" t="s">
        <v>9359</v>
      </c>
      <c r="F1644" s="1" t="s">
        <v>8434</v>
      </c>
      <c r="G1644" s="1" t="s">
        <v>8435</v>
      </c>
      <c r="H1644" s="1" t="str">
        <f t="shared" si="25"/>
        <v>Mikrotik</v>
      </c>
    </row>
    <row r="1645" spans="1:8">
      <c r="A1645" s="1">
        <v>1644</v>
      </c>
      <c r="B1645" s="1" t="s">
        <v>18584</v>
      </c>
      <c r="C1645" s="1" t="s">
        <v>131</v>
      </c>
      <c r="D1645" s="1" t="s">
        <v>9361</v>
      </c>
      <c r="E1645" s="1" t="s">
        <v>9362</v>
      </c>
      <c r="F1645" s="1" t="s">
        <v>8398</v>
      </c>
      <c r="G1645" s="1" t="s">
        <v>8399</v>
      </c>
      <c r="H1645" s="1" t="str">
        <f t="shared" si="25"/>
        <v>Mikrotik</v>
      </c>
    </row>
    <row r="1646" spans="1:8">
      <c r="A1646" s="1">
        <v>1645</v>
      </c>
      <c r="B1646" s="1" t="s">
        <v>18584</v>
      </c>
      <c r="C1646" s="1" t="s">
        <v>136</v>
      </c>
      <c r="D1646" s="1" t="s">
        <v>9361</v>
      </c>
      <c r="E1646" s="1" t="s">
        <v>9364</v>
      </c>
      <c r="F1646" s="1" t="s">
        <v>8402</v>
      </c>
      <c r="G1646" s="1" t="s">
        <v>8403</v>
      </c>
      <c r="H1646" s="1" t="str">
        <f t="shared" si="25"/>
        <v>Mikrotik</v>
      </c>
    </row>
    <row r="1647" spans="1:8">
      <c r="A1647" s="1">
        <v>1646</v>
      </c>
      <c r="B1647" s="1" t="s">
        <v>18584</v>
      </c>
      <c r="C1647" s="1" t="s">
        <v>138</v>
      </c>
      <c r="D1647" s="1" t="s">
        <v>9361</v>
      </c>
      <c r="E1647" s="1" t="s">
        <v>9366</v>
      </c>
      <c r="F1647" s="1" t="s">
        <v>8406</v>
      </c>
      <c r="G1647" s="1" t="s">
        <v>8407</v>
      </c>
      <c r="H1647" s="1" t="str">
        <f t="shared" si="25"/>
        <v>Mikrotik</v>
      </c>
    </row>
    <row r="1648" spans="1:8">
      <c r="A1648" s="1">
        <v>1647</v>
      </c>
      <c r="B1648" s="1" t="s">
        <v>18584</v>
      </c>
      <c r="C1648" s="1" t="s">
        <v>140</v>
      </c>
      <c r="D1648" s="1" t="s">
        <v>9361</v>
      </c>
      <c r="E1648" s="1" t="s">
        <v>9368</v>
      </c>
      <c r="F1648" s="1" t="s">
        <v>8410</v>
      </c>
      <c r="G1648" s="1" t="s">
        <v>8411</v>
      </c>
      <c r="H1648" s="1" t="str">
        <f t="shared" si="25"/>
        <v>Mikrotik</v>
      </c>
    </row>
    <row r="1649" spans="1:8">
      <c r="A1649" s="1">
        <v>1648</v>
      </c>
      <c r="B1649" s="1" t="s">
        <v>18584</v>
      </c>
      <c r="C1649" s="1" t="s">
        <v>142</v>
      </c>
      <c r="D1649" s="1" t="s">
        <v>9361</v>
      </c>
      <c r="E1649" s="1" t="s">
        <v>9370</v>
      </c>
      <c r="F1649" s="1" t="s">
        <v>8414</v>
      </c>
      <c r="G1649" s="1" t="s">
        <v>8415</v>
      </c>
      <c r="H1649" s="1" t="str">
        <f t="shared" si="25"/>
        <v>Mikrotik</v>
      </c>
    </row>
    <row r="1650" spans="1:8">
      <c r="A1650" s="1">
        <v>1649</v>
      </c>
      <c r="B1650" s="1" t="s">
        <v>18584</v>
      </c>
      <c r="C1650" s="1" t="s">
        <v>144</v>
      </c>
      <c r="D1650" s="1" t="s">
        <v>9361</v>
      </c>
      <c r="E1650" s="1" t="s">
        <v>9372</v>
      </c>
      <c r="F1650" s="1" t="s">
        <v>8418</v>
      </c>
      <c r="G1650" s="1" t="s">
        <v>8419</v>
      </c>
      <c r="H1650" s="1" t="str">
        <f t="shared" si="25"/>
        <v>Mikrotik</v>
      </c>
    </row>
    <row r="1651" spans="1:8">
      <c r="A1651" s="1">
        <v>1650</v>
      </c>
      <c r="B1651" s="1" t="s">
        <v>18584</v>
      </c>
      <c r="C1651" s="1" t="s">
        <v>146</v>
      </c>
      <c r="D1651" s="1" t="s">
        <v>9361</v>
      </c>
      <c r="E1651" s="1" t="s">
        <v>9374</v>
      </c>
      <c r="F1651" s="1" t="s">
        <v>8422</v>
      </c>
      <c r="G1651" s="1" t="s">
        <v>8423</v>
      </c>
      <c r="H1651" s="1" t="str">
        <f t="shared" si="25"/>
        <v>Mikrotik</v>
      </c>
    </row>
    <row r="1652" spans="1:8">
      <c r="A1652" s="1">
        <v>1651</v>
      </c>
      <c r="B1652" s="1" t="s">
        <v>18584</v>
      </c>
      <c r="C1652" s="1" t="s">
        <v>148</v>
      </c>
      <c r="D1652" s="1" t="s">
        <v>9361</v>
      </c>
      <c r="E1652" s="1" t="s">
        <v>9376</v>
      </c>
      <c r="F1652" s="1" t="s">
        <v>8426</v>
      </c>
      <c r="G1652" s="1" t="s">
        <v>8427</v>
      </c>
      <c r="H1652" s="1" t="str">
        <f t="shared" si="25"/>
        <v>Mikrotik</v>
      </c>
    </row>
    <row r="1653" spans="1:8">
      <c r="A1653" s="1">
        <v>1652</v>
      </c>
      <c r="B1653" s="1" t="s">
        <v>18584</v>
      </c>
      <c r="C1653" s="1" t="s">
        <v>150</v>
      </c>
      <c r="D1653" s="1" t="s">
        <v>9361</v>
      </c>
      <c r="E1653" s="1" t="s">
        <v>9378</v>
      </c>
      <c r="F1653" s="1" t="s">
        <v>8430</v>
      </c>
      <c r="G1653" s="1" t="s">
        <v>8431</v>
      </c>
      <c r="H1653" s="1" t="str">
        <f t="shared" si="25"/>
        <v>Mikrotik</v>
      </c>
    </row>
    <row r="1654" spans="1:8">
      <c r="A1654" s="1">
        <v>1653</v>
      </c>
      <c r="B1654" s="1" t="s">
        <v>18584</v>
      </c>
      <c r="C1654" s="1" t="s">
        <v>152</v>
      </c>
      <c r="D1654" s="1" t="s">
        <v>9361</v>
      </c>
      <c r="E1654" s="1" t="s">
        <v>9380</v>
      </c>
      <c r="F1654" s="1" t="s">
        <v>8434</v>
      </c>
      <c r="G1654" s="1" t="s">
        <v>8435</v>
      </c>
      <c r="H1654" s="1" t="str">
        <f t="shared" si="25"/>
        <v>Mikrotik</v>
      </c>
    </row>
    <row r="1655" spans="1:8">
      <c r="A1655" s="1">
        <v>1654</v>
      </c>
      <c r="B1655" s="1" t="s">
        <v>18585</v>
      </c>
      <c r="C1655" s="1" t="s">
        <v>131</v>
      </c>
      <c r="D1655" s="1" t="s">
        <v>9382</v>
      </c>
      <c r="E1655" s="1" t="s">
        <v>9383</v>
      </c>
      <c r="F1655" s="1" t="s">
        <v>8398</v>
      </c>
      <c r="G1655" s="1" t="s">
        <v>8399</v>
      </c>
      <c r="H1655" s="1" t="str">
        <f t="shared" si="25"/>
        <v>Mikrotik</v>
      </c>
    </row>
    <row r="1656" spans="1:8">
      <c r="A1656" s="1">
        <v>1655</v>
      </c>
      <c r="B1656" s="1" t="s">
        <v>18585</v>
      </c>
      <c r="C1656" s="1" t="s">
        <v>136</v>
      </c>
      <c r="D1656" s="1" t="s">
        <v>9382</v>
      </c>
      <c r="E1656" s="1" t="s">
        <v>9385</v>
      </c>
      <c r="F1656" s="1" t="s">
        <v>8402</v>
      </c>
      <c r="G1656" s="1" t="s">
        <v>8403</v>
      </c>
      <c r="H1656" s="1" t="str">
        <f t="shared" si="25"/>
        <v>Mikrotik</v>
      </c>
    </row>
    <row r="1657" spans="1:8">
      <c r="A1657" s="1">
        <v>1656</v>
      </c>
      <c r="B1657" s="1" t="s">
        <v>18585</v>
      </c>
      <c r="C1657" s="1" t="s">
        <v>138</v>
      </c>
      <c r="D1657" s="1" t="s">
        <v>9382</v>
      </c>
      <c r="E1657" s="1" t="s">
        <v>9387</v>
      </c>
      <c r="F1657" s="1" t="s">
        <v>8406</v>
      </c>
      <c r="G1657" s="1" t="s">
        <v>8407</v>
      </c>
      <c r="H1657" s="1" t="str">
        <f t="shared" si="25"/>
        <v>Mikrotik</v>
      </c>
    </row>
    <row r="1658" spans="1:8">
      <c r="A1658" s="1">
        <v>1657</v>
      </c>
      <c r="B1658" s="1" t="s">
        <v>18585</v>
      </c>
      <c r="C1658" s="1" t="s">
        <v>140</v>
      </c>
      <c r="D1658" s="1" t="s">
        <v>9382</v>
      </c>
      <c r="E1658" s="1" t="s">
        <v>9389</v>
      </c>
      <c r="F1658" s="1" t="s">
        <v>8410</v>
      </c>
      <c r="G1658" s="1" t="s">
        <v>8411</v>
      </c>
      <c r="H1658" s="1" t="str">
        <f t="shared" si="25"/>
        <v>Mikrotik</v>
      </c>
    </row>
    <row r="1659" spans="1:8">
      <c r="A1659" s="1">
        <v>1658</v>
      </c>
      <c r="B1659" s="1" t="s">
        <v>18585</v>
      </c>
      <c r="C1659" s="1" t="s">
        <v>142</v>
      </c>
      <c r="D1659" s="1" t="s">
        <v>9382</v>
      </c>
      <c r="E1659" s="1" t="s">
        <v>9391</v>
      </c>
      <c r="F1659" s="1" t="s">
        <v>8414</v>
      </c>
      <c r="G1659" s="1" t="s">
        <v>8415</v>
      </c>
      <c r="H1659" s="1" t="str">
        <f t="shared" si="25"/>
        <v>Mikrotik</v>
      </c>
    </row>
    <row r="1660" spans="1:8">
      <c r="A1660" s="1">
        <v>1659</v>
      </c>
      <c r="B1660" s="1" t="s">
        <v>18585</v>
      </c>
      <c r="C1660" s="1" t="s">
        <v>144</v>
      </c>
      <c r="D1660" s="1" t="s">
        <v>9382</v>
      </c>
      <c r="E1660" s="1" t="s">
        <v>9393</v>
      </c>
      <c r="F1660" s="1" t="s">
        <v>8418</v>
      </c>
      <c r="G1660" s="1" t="s">
        <v>8419</v>
      </c>
      <c r="H1660" s="1" t="str">
        <f t="shared" si="25"/>
        <v>Mikrotik</v>
      </c>
    </row>
    <row r="1661" spans="1:8">
      <c r="A1661" s="1">
        <v>1660</v>
      </c>
      <c r="B1661" s="1" t="s">
        <v>18585</v>
      </c>
      <c r="C1661" s="1" t="s">
        <v>146</v>
      </c>
      <c r="D1661" s="1" t="s">
        <v>9382</v>
      </c>
      <c r="E1661" s="1" t="s">
        <v>9395</v>
      </c>
      <c r="F1661" s="1" t="s">
        <v>8422</v>
      </c>
      <c r="G1661" s="1" t="s">
        <v>8423</v>
      </c>
      <c r="H1661" s="1" t="str">
        <f t="shared" si="25"/>
        <v>Mikrotik</v>
      </c>
    </row>
    <row r="1662" spans="1:8">
      <c r="A1662" s="1">
        <v>1661</v>
      </c>
      <c r="B1662" s="1" t="s">
        <v>18585</v>
      </c>
      <c r="C1662" s="1" t="s">
        <v>148</v>
      </c>
      <c r="D1662" s="1" t="s">
        <v>9382</v>
      </c>
      <c r="E1662" s="1" t="s">
        <v>9397</v>
      </c>
      <c r="F1662" s="1" t="s">
        <v>8426</v>
      </c>
      <c r="G1662" s="1" t="s">
        <v>8427</v>
      </c>
      <c r="H1662" s="1" t="str">
        <f t="shared" si="25"/>
        <v>Mikrotik</v>
      </c>
    </row>
    <row r="1663" spans="1:8">
      <c r="A1663" s="1">
        <v>1662</v>
      </c>
      <c r="B1663" s="1" t="s">
        <v>18585</v>
      </c>
      <c r="C1663" s="1" t="s">
        <v>150</v>
      </c>
      <c r="D1663" s="1" t="s">
        <v>9382</v>
      </c>
      <c r="E1663" s="1" t="s">
        <v>9399</v>
      </c>
      <c r="F1663" s="1" t="s">
        <v>8430</v>
      </c>
      <c r="G1663" s="1" t="s">
        <v>8431</v>
      </c>
      <c r="H1663" s="1" t="str">
        <f t="shared" si="25"/>
        <v>Mikrotik</v>
      </c>
    </row>
    <row r="1664" spans="1:8">
      <c r="A1664" s="1">
        <v>1663</v>
      </c>
      <c r="B1664" s="1" t="s">
        <v>18585</v>
      </c>
      <c r="C1664" s="1" t="s">
        <v>152</v>
      </c>
      <c r="D1664" s="1" t="s">
        <v>9382</v>
      </c>
      <c r="E1664" s="1" t="s">
        <v>9401</v>
      </c>
      <c r="F1664" s="1" t="s">
        <v>8434</v>
      </c>
      <c r="G1664" s="1" t="s">
        <v>8435</v>
      </c>
      <c r="H1664" s="1" t="str">
        <f t="shared" si="25"/>
        <v>Mikrotik</v>
      </c>
    </row>
    <row r="1665" spans="1:8">
      <c r="A1665" s="1">
        <v>1664</v>
      </c>
      <c r="B1665" s="1" t="s">
        <v>18586</v>
      </c>
      <c r="C1665" s="1" t="s">
        <v>131</v>
      </c>
      <c r="D1665" s="1" t="s">
        <v>9403</v>
      </c>
      <c r="E1665" s="1" t="s">
        <v>9404</v>
      </c>
      <c r="F1665" s="1" t="s">
        <v>8398</v>
      </c>
      <c r="G1665" s="1" t="s">
        <v>8399</v>
      </c>
      <c r="H1665" s="1" t="str">
        <f t="shared" si="25"/>
        <v>Mikrotik</v>
      </c>
    </row>
    <row r="1666" spans="1:8">
      <c r="A1666" s="1">
        <v>1665</v>
      </c>
      <c r="B1666" s="1" t="s">
        <v>18586</v>
      </c>
      <c r="C1666" s="1" t="s">
        <v>136</v>
      </c>
      <c r="D1666" s="1" t="s">
        <v>9403</v>
      </c>
      <c r="E1666" s="1" t="s">
        <v>9406</v>
      </c>
      <c r="F1666" s="1" t="s">
        <v>8402</v>
      </c>
      <c r="G1666" s="1" t="s">
        <v>8403</v>
      </c>
      <c r="H1666" s="1" t="str">
        <f t="shared" ref="H1666:H1729" si="26">IFERROR(IF(OR(MID(G1666,FIND(":",G1666)-1,1)="""",MID(G1666,FIND(":",G1666)-1,1)="}",MID(G1666,FIND(":",G1666)-1,1)=")",MID(G1666,FIND(":",G1666)-1,1)="]"),"",LEFT(F1666,FIND(":",F1666)-1)),"")</f>
        <v>Mikrotik</v>
      </c>
    </row>
    <row r="1667" spans="1:8">
      <c r="A1667" s="1">
        <v>1666</v>
      </c>
      <c r="B1667" s="1" t="s">
        <v>18586</v>
      </c>
      <c r="C1667" s="1" t="s">
        <v>138</v>
      </c>
      <c r="D1667" s="1" t="s">
        <v>9403</v>
      </c>
      <c r="E1667" s="1" t="s">
        <v>9408</v>
      </c>
      <c r="F1667" s="1" t="s">
        <v>8406</v>
      </c>
      <c r="G1667" s="1" t="s">
        <v>8407</v>
      </c>
      <c r="H1667" s="1" t="str">
        <f t="shared" si="26"/>
        <v>Mikrotik</v>
      </c>
    </row>
    <row r="1668" spans="1:8">
      <c r="A1668" s="1">
        <v>1667</v>
      </c>
      <c r="B1668" s="1" t="s">
        <v>18586</v>
      </c>
      <c r="C1668" s="1" t="s">
        <v>140</v>
      </c>
      <c r="D1668" s="1" t="s">
        <v>9403</v>
      </c>
      <c r="E1668" s="1" t="s">
        <v>9410</v>
      </c>
      <c r="F1668" s="1" t="s">
        <v>8410</v>
      </c>
      <c r="G1668" s="1" t="s">
        <v>8411</v>
      </c>
      <c r="H1668" s="1" t="str">
        <f t="shared" si="26"/>
        <v>Mikrotik</v>
      </c>
    </row>
    <row r="1669" spans="1:8">
      <c r="A1669" s="1">
        <v>1668</v>
      </c>
      <c r="B1669" s="1" t="s">
        <v>18586</v>
      </c>
      <c r="C1669" s="1" t="s">
        <v>142</v>
      </c>
      <c r="D1669" s="1" t="s">
        <v>9403</v>
      </c>
      <c r="E1669" s="1" t="s">
        <v>9412</v>
      </c>
      <c r="F1669" s="1" t="s">
        <v>8414</v>
      </c>
      <c r="G1669" s="1" t="s">
        <v>8415</v>
      </c>
      <c r="H1669" s="1" t="str">
        <f t="shared" si="26"/>
        <v>Mikrotik</v>
      </c>
    </row>
    <row r="1670" spans="1:8">
      <c r="A1670" s="1">
        <v>1669</v>
      </c>
      <c r="B1670" s="1" t="s">
        <v>18586</v>
      </c>
      <c r="C1670" s="1" t="s">
        <v>144</v>
      </c>
      <c r="D1670" s="1" t="s">
        <v>9403</v>
      </c>
      <c r="E1670" s="1" t="s">
        <v>9414</v>
      </c>
      <c r="F1670" s="1" t="s">
        <v>8418</v>
      </c>
      <c r="G1670" s="1" t="s">
        <v>8419</v>
      </c>
      <c r="H1670" s="1" t="str">
        <f t="shared" si="26"/>
        <v>Mikrotik</v>
      </c>
    </row>
    <row r="1671" spans="1:8">
      <c r="A1671" s="1">
        <v>1670</v>
      </c>
      <c r="B1671" s="1" t="s">
        <v>18586</v>
      </c>
      <c r="C1671" s="1" t="s">
        <v>146</v>
      </c>
      <c r="D1671" s="1" t="s">
        <v>9403</v>
      </c>
      <c r="E1671" s="1" t="s">
        <v>9416</v>
      </c>
      <c r="F1671" s="1" t="s">
        <v>8422</v>
      </c>
      <c r="G1671" s="1" t="s">
        <v>8423</v>
      </c>
      <c r="H1671" s="1" t="str">
        <f t="shared" si="26"/>
        <v>Mikrotik</v>
      </c>
    </row>
    <row r="1672" spans="1:8">
      <c r="A1672" s="1">
        <v>1671</v>
      </c>
      <c r="B1672" s="1" t="s">
        <v>18586</v>
      </c>
      <c r="C1672" s="1" t="s">
        <v>148</v>
      </c>
      <c r="D1672" s="1" t="s">
        <v>9403</v>
      </c>
      <c r="E1672" s="1" t="s">
        <v>9418</v>
      </c>
      <c r="F1672" s="1" t="s">
        <v>8426</v>
      </c>
      <c r="G1672" s="1" t="s">
        <v>8427</v>
      </c>
      <c r="H1672" s="1" t="str">
        <f t="shared" si="26"/>
        <v>Mikrotik</v>
      </c>
    </row>
    <row r="1673" spans="1:8">
      <c r="A1673" s="1">
        <v>1672</v>
      </c>
      <c r="B1673" s="1" t="s">
        <v>18586</v>
      </c>
      <c r="C1673" s="1" t="s">
        <v>150</v>
      </c>
      <c r="D1673" s="1" t="s">
        <v>9403</v>
      </c>
      <c r="E1673" s="1" t="s">
        <v>9420</v>
      </c>
      <c r="F1673" s="1" t="s">
        <v>8430</v>
      </c>
      <c r="G1673" s="1" t="s">
        <v>8431</v>
      </c>
      <c r="H1673" s="1" t="str">
        <f t="shared" si="26"/>
        <v>Mikrotik</v>
      </c>
    </row>
    <row r="1674" spans="1:8">
      <c r="A1674" s="1">
        <v>1673</v>
      </c>
      <c r="B1674" s="1" t="s">
        <v>18586</v>
      </c>
      <c r="C1674" s="1" t="s">
        <v>152</v>
      </c>
      <c r="D1674" s="1" t="s">
        <v>9403</v>
      </c>
      <c r="E1674" s="1" t="s">
        <v>9422</v>
      </c>
      <c r="F1674" s="1" t="s">
        <v>8434</v>
      </c>
      <c r="G1674" s="1" t="s">
        <v>8435</v>
      </c>
      <c r="H1674" s="1" t="str">
        <f t="shared" si="26"/>
        <v>Mikrotik</v>
      </c>
    </row>
    <row r="1675" spans="1:8">
      <c r="A1675" s="1">
        <v>1674</v>
      </c>
      <c r="B1675" s="1" t="s">
        <v>18587</v>
      </c>
      <c r="C1675" s="1" t="s">
        <v>131</v>
      </c>
      <c r="D1675" s="1" t="s">
        <v>9424</v>
      </c>
      <c r="E1675" s="1" t="s">
        <v>9425</v>
      </c>
      <c r="F1675" s="1" t="s">
        <v>8398</v>
      </c>
      <c r="G1675" s="1" t="s">
        <v>8399</v>
      </c>
      <c r="H1675" s="1" t="str">
        <f t="shared" si="26"/>
        <v>Mikrotik</v>
      </c>
    </row>
    <row r="1676" spans="1:8">
      <c r="A1676" s="1">
        <v>1675</v>
      </c>
      <c r="B1676" s="1" t="s">
        <v>18587</v>
      </c>
      <c r="C1676" s="1" t="s">
        <v>136</v>
      </c>
      <c r="D1676" s="1" t="s">
        <v>9424</v>
      </c>
      <c r="E1676" s="1" t="s">
        <v>9427</v>
      </c>
      <c r="F1676" s="1" t="s">
        <v>8402</v>
      </c>
      <c r="G1676" s="1" t="s">
        <v>8403</v>
      </c>
      <c r="H1676" s="1" t="str">
        <f t="shared" si="26"/>
        <v>Mikrotik</v>
      </c>
    </row>
    <row r="1677" spans="1:8">
      <c r="A1677" s="1">
        <v>1676</v>
      </c>
      <c r="B1677" s="1" t="s">
        <v>18587</v>
      </c>
      <c r="C1677" s="1" t="s">
        <v>138</v>
      </c>
      <c r="D1677" s="1" t="s">
        <v>9424</v>
      </c>
      <c r="E1677" s="1" t="s">
        <v>9429</v>
      </c>
      <c r="F1677" s="1" t="s">
        <v>8406</v>
      </c>
      <c r="G1677" s="1" t="s">
        <v>8407</v>
      </c>
      <c r="H1677" s="1" t="str">
        <f t="shared" si="26"/>
        <v>Mikrotik</v>
      </c>
    </row>
    <row r="1678" spans="1:8">
      <c r="A1678" s="1">
        <v>1677</v>
      </c>
      <c r="B1678" s="1" t="s">
        <v>18587</v>
      </c>
      <c r="C1678" s="1" t="s">
        <v>140</v>
      </c>
      <c r="D1678" s="1" t="s">
        <v>9424</v>
      </c>
      <c r="E1678" s="1" t="s">
        <v>9431</v>
      </c>
      <c r="F1678" s="1" t="s">
        <v>8410</v>
      </c>
      <c r="G1678" s="1" t="s">
        <v>8411</v>
      </c>
      <c r="H1678" s="1" t="str">
        <f t="shared" si="26"/>
        <v>Mikrotik</v>
      </c>
    </row>
    <row r="1679" spans="1:8">
      <c r="A1679" s="1">
        <v>1678</v>
      </c>
      <c r="B1679" s="1" t="s">
        <v>18587</v>
      </c>
      <c r="C1679" s="1" t="s">
        <v>142</v>
      </c>
      <c r="D1679" s="1" t="s">
        <v>9424</v>
      </c>
      <c r="E1679" s="1" t="s">
        <v>9433</v>
      </c>
      <c r="F1679" s="1" t="s">
        <v>8414</v>
      </c>
      <c r="G1679" s="1" t="s">
        <v>8415</v>
      </c>
      <c r="H1679" s="1" t="str">
        <f t="shared" si="26"/>
        <v>Mikrotik</v>
      </c>
    </row>
    <row r="1680" spans="1:8">
      <c r="A1680" s="1">
        <v>1679</v>
      </c>
      <c r="B1680" s="1" t="s">
        <v>18587</v>
      </c>
      <c r="C1680" s="1" t="s">
        <v>144</v>
      </c>
      <c r="D1680" s="1" t="s">
        <v>9424</v>
      </c>
      <c r="E1680" s="1" t="s">
        <v>9435</v>
      </c>
      <c r="F1680" s="1" t="s">
        <v>8418</v>
      </c>
      <c r="G1680" s="1" t="s">
        <v>8419</v>
      </c>
      <c r="H1680" s="1" t="str">
        <f t="shared" si="26"/>
        <v>Mikrotik</v>
      </c>
    </row>
    <row r="1681" spans="1:8">
      <c r="A1681" s="1">
        <v>1680</v>
      </c>
      <c r="B1681" s="1" t="s">
        <v>18587</v>
      </c>
      <c r="C1681" s="1" t="s">
        <v>146</v>
      </c>
      <c r="D1681" s="1" t="s">
        <v>9424</v>
      </c>
      <c r="E1681" s="1" t="s">
        <v>9437</v>
      </c>
      <c r="F1681" s="1" t="s">
        <v>8422</v>
      </c>
      <c r="G1681" s="1" t="s">
        <v>8423</v>
      </c>
      <c r="H1681" s="1" t="str">
        <f t="shared" si="26"/>
        <v>Mikrotik</v>
      </c>
    </row>
    <row r="1682" spans="1:8">
      <c r="A1682" s="1">
        <v>1681</v>
      </c>
      <c r="B1682" s="1" t="s">
        <v>18587</v>
      </c>
      <c r="C1682" s="1" t="s">
        <v>148</v>
      </c>
      <c r="D1682" s="1" t="s">
        <v>9424</v>
      </c>
      <c r="E1682" s="1" t="s">
        <v>9439</v>
      </c>
      <c r="F1682" s="1" t="s">
        <v>8426</v>
      </c>
      <c r="G1682" s="1" t="s">
        <v>8427</v>
      </c>
      <c r="H1682" s="1" t="str">
        <f t="shared" si="26"/>
        <v>Mikrotik</v>
      </c>
    </row>
    <row r="1683" spans="1:8">
      <c r="A1683" s="1">
        <v>1682</v>
      </c>
      <c r="B1683" s="1" t="s">
        <v>18587</v>
      </c>
      <c r="C1683" s="1" t="s">
        <v>150</v>
      </c>
      <c r="D1683" s="1" t="s">
        <v>9424</v>
      </c>
      <c r="E1683" s="1" t="s">
        <v>9441</v>
      </c>
      <c r="F1683" s="1" t="s">
        <v>8430</v>
      </c>
      <c r="G1683" s="1" t="s">
        <v>8431</v>
      </c>
      <c r="H1683" s="1" t="str">
        <f t="shared" si="26"/>
        <v>Mikrotik</v>
      </c>
    </row>
    <row r="1684" spans="1:8">
      <c r="A1684" s="1">
        <v>1683</v>
      </c>
      <c r="B1684" s="1" t="s">
        <v>18587</v>
      </c>
      <c r="C1684" s="1" t="s">
        <v>152</v>
      </c>
      <c r="D1684" s="1" t="s">
        <v>9424</v>
      </c>
      <c r="E1684" s="1" t="s">
        <v>9443</v>
      </c>
      <c r="F1684" s="1" t="s">
        <v>8434</v>
      </c>
      <c r="G1684" s="1" t="s">
        <v>8435</v>
      </c>
      <c r="H1684" s="1" t="str">
        <f t="shared" si="26"/>
        <v>Mikrotik</v>
      </c>
    </row>
    <row r="1685" spans="1:8">
      <c r="A1685" s="1">
        <v>1684</v>
      </c>
      <c r="B1685" s="1" t="s">
        <v>18588</v>
      </c>
      <c r="C1685" s="1" t="s">
        <v>131</v>
      </c>
      <c r="D1685" s="1" t="s">
        <v>9445</v>
      </c>
      <c r="E1685" s="1" t="s">
        <v>9446</v>
      </c>
      <c r="F1685" s="1" t="s">
        <v>8398</v>
      </c>
      <c r="G1685" s="1" t="s">
        <v>8399</v>
      </c>
      <c r="H1685" s="1" t="str">
        <f t="shared" si="26"/>
        <v>Mikrotik</v>
      </c>
    </row>
    <row r="1686" spans="1:8">
      <c r="A1686" s="1">
        <v>1685</v>
      </c>
      <c r="B1686" s="1" t="s">
        <v>18588</v>
      </c>
      <c r="C1686" s="1" t="s">
        <v>136</v>
      </c>
      <c r="D1686" s="1" t="s">
        <v>9445</v>
      </c>
      <c r="E1686" s="1" t="s">
        <v>9448</v>
      </c>
      <c r="F1686" s="1" t="s">
        <v>8402</v>
      </c>
      <c r="G1686" s="1" t="s">
        <v>8403</v>
      </c>
      <c r="H1686" s="1" t="str">
        <f t="shared" si="26"/>
        <v>Mikrotik</v>
      </c>
    </row>
    <row r="1687" spans="1:8">
      <c r="A1687" s="1">
        <v>1686</v>
      </c>
      <c r="B1687" s="1" t="s">
        <v>18588</v>
      </c>
      <c r="C1687" s="1" t="s">
        <v>138</v>
      </c>
      <c r="D1687" s="1" t="s">
        <v>9445</v>
      </c>
      <c r="E1687" s="1" t="s">
        <v>9450</v>
      </c>
      <c r="F1687" s="1" t="s">
        <v>8406</v>
      </c>
      <c r="G1687" s="1" t="s">
        <v>8407</v>
      </c>
      <c r="H1687" s="1" t="str">
        <f t="shared" si="26"/>
        <v>Mikrotik</v>
      </c>
    </row>
    <row r="1688" spans="1:8">
      <c r="A1688" s="1">
        <v>1687</v>
      </c>
      <c r="B1688" s="1" t="s">
        <v>18588</v>
      </c>
      <c r="C1688" s="1" t="s">
        <v>140</v>
      </c>
      <c r="D1688" s="1" t="s">
        <v>9445</v>
      </c>
      <c r="E1688" s="1" t="s">
        <v>9452</v>
      </c>
      <c r="F1688" s="1" t="s">
        <v>8410</v>
      </c>
      <c r="G1688" s="1" t="s">
        <v>8411</v>
      </c>
      <c r="H1688" s="1" t="str">
        <f t="shared" si="26"/>
        <v>Mikrotik</v>
      </c>
    </row>
    <row r="1689" spans="1:8">
      <c r="A1689" s="1">
        <v>1688</v>
      </c>
      <c r="B1689" s="1" t="s">
        <v>18588</v>
      </c>
      <c r="C1689" s="1" t="s">
        <v>142</v>
      </c>
      <c r="D1689" s="1" t="s">
        <v>9445</v>
      </c>
      <c r="E1689" s="1" t="s">
        <v>9454</v>
      </c>
      <c r="F1689" s="1" t="s">
        <v>8414</v>
      </c>
      <c r="G1689" s="1" t="s">
        <v>8415</v>
      </c>
      <c r="H1689" s="1" t="str">
        <f t="shared" si="26"/>
        <v>Mikrotik</v>
      </c>
    </row>
    <row r="1690" spans="1:8">
      <c r="A1690" s="1">
        <v>1689</v>
      </c>
      <c r="B1690" s="1" t="s">
        <v>18588</v>
      </c>
      <c r="C1690" s="1" t="s">
        <v>144</v>
      </c>
      <c r="D1690" s="1" t="s">
        <v>9445</v>
      </c>
      <c r="E1690" s="1" t="s">
        <v>9456</v>
      </c>
      <c r="F1690" s="1" t="s">
        <v>8418</v>
      </c>
      <c r="G1690" s="1" t="s">
        <v>8419</v>
      </c>
      <c r="H1690" s="1" t="str">
        <f t="shared" si="26"/>
        <v>Mikrotik</v>
      </c>
    </row>
    <row r="1691" spans="1:8">
      <c r="A1691" s="1">
        <v>1690</v>
      </c>
      <c r="B1691" s="1" t="s">
        <v>18588</v>
      </c>
      <c r="C1691" s="1" t="s">
        <v>146</v>
      </c>
      <c r="D1691" s="1" t="s">
        <v>9445</v>
      </c>
      <c r="E1691" s="1" t="s">
        <v>9458</v>
      </c>
      <c r="F1691" s="1" t="s">
        <v>8422</v>
      </c>
      <c r="G1691" s="1" t="s">
        <v>8423</v>
      </c>
      <c r="H1691" s="1" t="str">
        <f t="shared" si="26"/>
        <v>Mikrotik</v>
      </c>
    </row>
    <row r="1692" spans="1:8">
      <c r="A1692" s="1">
        <v>1691</v>
      </c>
      <c r="B1692" s="1" t="s">
        <v>18588</v>
      </c>
      <c r="C1692" s="1" t="s">
        <v>148</v>
      </c>
      <c r="D1692" s="1" t="s">
        <v>9445</v>
      </c>
      <c r="E1692" s="1" t="s">
        <v>9460</v>
      </c>
      <c r="F1692" s="1" t="s">
        <v>8426</v>
      </c>
      <c r="G1692" s="1" t="s">
        <v>8427</v>
      </c>
      <c r="H1692" s="1" t="str">
        <f t="shared" si="26"/>
        <v>Mikrotik</v>
      </c>
    </row>
    <row r="1693" spans="1:8">
      <c r="A1693" s="1">
        <v>1692</v>
      </c>
      <c r="B1693" s="1" t="s">
        <v>18588</v>
      </c>
      <c r="C1693" s="1" t="s">
        <v>150</v>
      </c>
      <c r="D1693" s="1" t="s">
        <v>9445</v>
      </c>
      <c r="E1693" s="1" t="s">
        <v>9462</v>
      </c>
      <c r="F1693" s="1" t="s">
        <v>8430</v>
      </c>
      <c r="G1693" s="1" t="s">
        <v>8431</v>
      </c>
      <c r="H1693" s="1" t="str">
        <f t="shared" si="26"/>
        <v>Mikrotik</v>
      </c>
    </row>
    <row r="1694" spans="1:8">
      <c r="A1694" s="1">
        <v>1693</v>
      </c>
      <c r="B1694" s="1" t="s">
        <v>18588</v>
      </c>
      <c r="C1694" s="1" t="s">
        <v>152</v>
      </c>
      <c r="D1694" s="1" t="s">
        <v>9445</v>
      </c>
      <c r="E1694" s="1" t="s">
        <v>9464</v>
      </c>
      <c r="F1694" s="1" t="s">
        <v>8434</v>
      </c>
      <c r="G1694" s="1" t="s">
        <v>8435</v>
      </c>
      <c r="H1694" s="1" t="str">
        <f t="shared" si="26"/>
        <v>Mikrotik</v>
      </c>
    </row>
    <row r="1695" spans="1:8">
      <c r="A1695" s="1">
        <v>1694</v>
      </c>
      <c r="B1695" s="1" t="s">
        <v>18589</v>
      </c>
      <c r="C1695" s="1" t="s">
        <v>131</v>
      </c>
      <c r="D1695" s="1" t="s">
        <v>9466</v>
      </c>
      <c r="E1695" s="1" t="s">
        <v>9467</v>
      </c>
      <c r="F1695" s="1" t="s">
        <v>8398</v>
      </c>
      <c r="G1695" s="1" t="s">
        <v>8399</v>
      </c>
      <c r="H1695" s="1" t="str">
        <f t="shared" si="26"/>
        <v>Mikrotik</v>
      </c>
    </row>
    <row r="1696" spans="1:8">
      <c r="A1696" s="1">
        <v>1695</v>
      </c>
      <c r="B1696" s="1" t="s">
        <v>18589</v>
      </c>
      <c r="C1696" s="1" t="s">
        <v>136</v>
      </c>
      <c r="D1696" s="1" t="s">
        <v>9466</v>
      </c>
      <c r="E1696" s="1" t="s">
        <v>9469</v>
      </c>
      <c r="F1696" s="1" t="s">
        <v>8402</v>
      </c>
      <c r="G1696" s="1" t="s">
        <v>8403</v>
      </c>
      <c r="H1696" s="1" t="str">
        <f t="shared" si="26"/>
        <v>Mikrotik</v>
      </c>
    </row>
    <row r="1697" spans="1:8">
      <c r="A1697" s="1">
        <v>1696</v>
      </c>
      <c r="B1697" s="1" t="s">
        <v>18589</v>
      </c>
      <c r="C1697" s="1" t="s">
        <v>138</v>
      </c>
      <c r="D1697" s="1" t="s">
        <v>9466</v>
      </c>
      <c r="E1697" s="1" t="s">
        <v>9471</v>
      </c>
      <c r="F1697" s="1" t="s">
        <v>8406</v>
      </c>
      <c r="G1697" s="1" t="s">
        <v>8407</v>
      </c>
      <c r="H1697" s="1" t="str">
        <f t="shared" si="26"/>
        <v>Mikrotik</v>
      </c>
    </row>
    <row r="1698" spans="1:8">
      <c r="A1698" s="1">
        <v>1697</v>
      </c>
      <c r="B1698" s="1" t="s">
        <v>18589</v>
      </c>
      <c r="C1698" s="1" t="s">
        <v>140</v>
      </c>
      <c r="D1698" s="1" t="s">
        <v>9466</v>
      </c>
      <c r="E1698" s="1" t="s">
        <v>9473</v>
      </c>
      <c r="F1698" s="1" t="s">
        <v>8410</v>
      </c>
      <c r="G1698" s="1" t="s">
        <v>8411</v>
      </c>
      <c r="H1698" s="1" t="str">
        <f t="shared" si="26"/>
        <v>Mikrotik</v>
      </c>
    </row>
    <row r="1699" spans="1:8">
      <c r="A1699" s="1">
        <v>1698</v>
      </c>
      <c r="B1699" s="1" t="s">
        <v>18589</v>
      </c>
      <c r="C1699" s="1" t="s">
        <v>142</v>
      </c>
      <c r="D1699" s="1" t="s">
        <v>9466</v>
      </c>
      <c r="E1699" s="1" t="s">
        <v>9475</v>
      </c>
      <c r="F1699" s="1" t="s">
        <v>8414</v>
      </c>
      <c r="G1699" s="1" t="s">
        <v>8415</v>
      </c>
      <c r="H1699" s="1" t="str">
        <f t="shared" si="26"/>
        <v>Mikrotik</v>
      </c>
    </row>
    <row r="1700" spans="1:8">
      <c r="A1700" s="1">
        <v>1699</v>
      </c>
      <c r="B1700" s="1" t="s">
        <v>18589</v>
      </c>
      <c r="C1700" s="1" t="s">
        <v>144</v>
      </c>
      <c r="D1700" s="1" t="s">
        <v>9466</v>
      </c>
      <c r="E1700" s="1" t="s">
        <v>9477</v>
      </c>
      <c r="F1700" s="1" t="s">
        <v>8418</v>
      </c>
      <c r="G1700" s="1" t="s">
        <v>8419</v>
      </c>
      <c r="H1700" s="1" t="str">
        <f t="shared" si="26"/>
        <v>Mikrotik</v>
      </c>
    </row>
    <row r="1701" spans="1:8">
      <c r="A1701" s="1">
        <v>1700</v>
      </c>
      <c r="B1701" s="1" t="s">
        <v>18589</v>
      </c>
      <c r="C1701" s="1" t="s">
        <v>146</v>
      </c>
      <c r="D1701" s="1" t="s">
        <v>9466</v>
      </c>
      <c r="E1701" s="1" t="s">
        <v>9479</v>
      </c>
      <c r="F1701" s="1" t="s">
        <v>8422</v>
      </c>
      <c r="G1701" s="1" t="s">
        <v>8423</v>
      </c>
      <c r="H1701" s="1" t="str">
        <f t="shared" si="26"/>
        <v>Mikrotik</v>
      </c>
    </row>
    <row r="1702" spans="1:8">
      <c r="A1702" s="1">
        <v>1701</v>
      </c>
      <c r="B1702" s="1" t="s">
        <v>18589</v>
      </c>
      <c r="C1702" s="1" t="s">
        <v>148</v>
      </c>
      <c r="D1702" s="1" t="s">
        <v>9466</v>
      </c>
      <c r="E1702" s="1" t="s">
        <v>9481</v>
      </c>
      <c r="F1702" s="1" t="s">
        <v>8426</v>
      </c>
      <c r="G1702" s="1" t="s">
        <v>8427</v>
      </c>
      <c r="H1702" s="1" t="str">
        <f t="shared" si="26"/>
        <v>Mikrotik</v>
      </c>
    </row>
    <row r="1703" spans="1:8">
      <c r="A1703" s="1">
        <v>1702</v>
      </c>
      <c r="B1703" s="1" t="s">
        <v>18589</v>
      </c>
      <c r="C1703" s="1" t="s">
        <v>150</v>
      </c>
      <c r="D1703" s="1" t="s">
        <v>9466</v>
      </c>
      <c r="E1703" s="1" t="s">
        <v>9483</v>
      </c>
      <c r="F1703" s="1" t="s">
        <v>8430</v>
      </c>
      <c r="G1703" s="1" t="s">
        <v>8431</v>
      </c>
      <c r="H1703" s="1" t="str">
        <f t="shared" si="26"/>
        <v>Mikrotik</v>
      </c>
    </row>
    <row r="1704" spans="1:8">
      <c r="A1704" s="1">
        <v>1703</v>
      </c>
      <c r="B1704" s="1" t="s">
        <v>18589</v>
      </c>
      <c r="C1704" s="1" t="s">
        <v>152</v>
      </c>
      <c r="D1704" s="1" t="s">
        <v>9466</v>
      </c>
      <c r="E1704" s="1" t="s">
        <v>9485</v>
      </c>
      <c r="F1704" s="1" t="s">
        <v>8434</v>
      </c>
      <c r="G1704" s="1" t="s">
        <v>8435</v>
      </c>
      <c r="H1704" s="1" t="str">
        <f t="shared" si="26"/>
        <v>Mikrotik</v>
      </c>
    </row>
    <row r="1705" spans="1:8">
      <c r="A1705" s="1">
        <v>1704</v>
      </c>
      <c r="B1705" s="1" t="s">
        <v>18590</v>
      </c>
      <c r="C1705" s="1" t="s">
        <v>131</v>
      </c>
      <c r="D1705" s="1" t="s">
        <v>9487</v>
      </c>
      <c r="E1705" s="1" t="s">
        <v>9488</v>
      </c>
      <c r="F1705" s="1" t="s">
        <v>8398</v>
      </c>
      <c r="G1705" s="1" t="s">
        <v>8399</v>
      </c>
      <c r="H1705" s="1" t="str">
        <f t="shared" si="26"/>
        <v>Mikrotik</v>
      </c>
    </row>
    <row r="1706" spans="1:8">
      <c r="A1706" s="1">
        <v>1705</v>
      </c>
      <c r="B1706" s="1" t="s">
        <v>18590</v>
      </c>
      <c r="C1706" s="1" t="s">
        <v>136</v>
      </c>
      <c r="D1706" s="1" t="s">
        <v>9487</v>
      </c>
      <c r="E1706" s="1" t="s">
        <v>9490</v>
      </c>
      <c r="F1706" s="1" t="s">
        <v>8402</v>
      </c>
      <c r="G1706" s="1" t="s">
        <v>8403</v>
      </c>
      <c r="H1706" s="1" t="str">
        <f t="shared" si="26"/>
        <v>Mikrotik</v>
      </c>
    </row>
    <row r="1707" spans="1:8">
      <c r="A1707" s="1">
        <v>1706</v>
      </c>
      <c r="B1707" s="1" t="s">
        <v>18590</v>
      </c>
      <c r="C1707" s="1" t="s">
        <v>138</v>
      </c>
      <c r="D1707" s="1" t="s">
        <v>9487</v>
      </c>
      <c r="E1707" s="1" t="s">
        <v>9492</v>
      </c>
      <c r="F1707" s="1" t="s">
        <v>8406</v>
      </c>
      <c r="G1707" s="1" t="s">
        <v>8407</v>
      </c>
      <c r="H1707" s="1" t="str">
        <f t="shared" si="26"/>
        <v>Mikrotik</v>
      </c>
    </row>
    <row r="1708" spans="1:8">
      <c r="A1708" s="1">
        <v>1707</v>
      </c>
      <c r="B1708" s="1" t="s">
        <v>18590</v>
      </c>
      <c r="C1708" s="1" t="s">
        <v>140</v>
      </c>
      <c r="D1708" s="1" t="s">
        <v>9487</v>
      </c>
      <c r="E1708" s="1" t="s">
        <v>9494</v>
      </c>
      <c r="F1708" s="1" t="s">
        <v>8410</v>
      </c>
      <c r="G1708" s="1" t="s">
        <v>8411</v>
      </c>
      <c r="H1708" s="1" t="str">
        <f t="shared" si="26"/>
        <v>Mikrotik</v>
      </c>
    </row>
    <row r="1709" spans="1:8">
      <c r="A1709" s="1">
        <v>1708</v>
      </c>
      <c r="B1709" s="1" t="s">
        <v>18590</v>
      </c>
      <c r="C1709" s="1" t="s">
        <v>142</v>
      </c>
      <c r="D1709" s="1" t="s">
        <v>9487</v>
      </c>
      <c r="E1709" s="1" t="s">
        <v>9496</v>
      </c>
      <c r="F1709" s="1" t="s">
        <v>8414</v>
      </c>
      <c r="G1709" s="1" t="s">
        <v>8415</v>
      </c>
      <c r="H1709" s="1" t="str">
        <f t="shared" si="26"/>
        <v>Mikrotik</v>
      </c>
    </row>
    <row r="1710" spans="1:8">
      <c r="A1710" s="1">
        <v>1709</v>
      </c>
      <c r="B1710" s="1" t="s">
        <v>18590</v>
      </c>
      <c r="C1710" s="1" t="s">
        <v>144</v>
      </c>
      <c r="D1710" s="1" t="s">
        <v>9487</v>
      </c>
      <c r="E1710" s="1" t="s">
        <v>9498</v>
      </c>
      <c r="F1710" s="1" t="s">
        <v>8418</v>
      </c>
      <c r="G1710" s="1" t="s">
        <v>8419</v>
      </c>
      <c r="H1710" s="1" t="str">
        <f t="shared" si="26"/>
        <v>Mikrotik</v>
      </c>
    </row>
    <row r="1711" spans="1:8">
      <c r="A1711" s="1">
        <v>1710</v>
      </c>
      <c r="B1711" s="1" t="s">
        <v>18590</v>
      </c>
      <c r="C1711" s="1" t="s">
        <v>146</v>
      </c>
      <c r="D1711" s="1" t="s">
        <v>9487</v>
      </c>
      <c r="E1711" s="1" t="s">
        <v>9500</v>
      </c>
      <c r="F1711" s="1" t="s">
        <v>8422</v>
      </c>
      <c r="G1711" s="1" t="s">
        <v>8423</v>
      </c>
      <c r="H1711" s="1" t="str">
        <f t="shared" si="26"/>
        <v>Mikrotik</v>
      </c>
    </row>
    <row r="1712" spans="1:8">
      <c r="A1712" s="1">
        <v>1711</v>
      </c>
      <c r="B1712" s="1" t="s">
        <v>18590</v>
      </c>
      <c r="C1712" s="1" t="s">
        <v>148</v>
      </c>
      <c r="D1712" s="1" t="s">
        <v>9487</v>
      </c>
      <c r="E1712" s="1" t="s">
        <v>9502</v>
      </c>
      <c r="F1712" s="1" t="s">
        <v>8426</v>
      </c>
      <c r="G1712" s="1" t="s">
        <v>8427</v>
      </c>
      <c r="H1712" s="1" t="str">
        <f t="shared" si="26"/>
        <v>Mikrotik</v>
      </c>
    </row>
    <row r="1713" spans="1:8">
      <c r="A1713" s="1">
        <v>1712</v>
      </c>
      <c r="B1713" s="1" t="s">
        <v>18590</v>
      </c>
      <c r="C1713" s="1" t="s">
        <v>150</v>
      </c>
      <c r="D1713" s="1" t="s">
        <v>9487</v>
      </c>
      <c r="E1713" s="1" t="s">
        <v>9504</v>
      </c>
      <c r="F1713" s="1" t="s">
        <v>8430</v>
      </c>
      <c r="G1713" s="1" t="s">
        <v>8431</v>
      </c>
      <c r="H1713" s="1" t="str">
        <f t="shared" si="26"/>
        <v>Mikrotik</v>
      </c>
    </row>
    <row r="1714" spans="1:8">
      <c r="A1714" s="1">
        <v>1713</v>
      </c>
      <c r="B1714" s="1" t="s">
        <v>18590</v>
      </c>
      <c r="C1714" s="1" t="s">
        <v>152</v>
      </c>
      <c r="D1714" s="1" t="s">
        <v>9487</v>
      </c>
      <c r="E1714" s="1" t="s">
        <v>9506</v>
      </c>
      <c r="F1714" s="1" t="s">
        <v>8434</v>
      </c>
      <c r="G1714" s="1" t="s">
        <v>8435</v>
      </c>
      <c r="H1714" s="1" t="str">
        <f t="shared" si="26"/>
        <v>Mikrotik</v>
      </c>
    </row>
    <row r="1715" spans="1:8">
      <c r="A1715" s="1">
        <v>1714</v>
      </c>
      <c r="B1715" s="1" t="s">
        <v>18591</v>
      </c>
      <c r="C1715" s="1" t="s">
        <v>131</v>
      </c>
      <c r="D1715" s="1" t="s">
        <v>9508</v>
      </c>
      <c r="E1715" s="1" t="s">
        <v>9509</v>
      </c>
      <c r="F1715" s="1" t="s">
        <v>8398</v>
      </c>
      <c r="G1715" s="1" t="s">
        <v>8399</v>
      </c>
      <c r="H1715" s="1" t="str">
        <f t="shared" si="26"/>
        <v>Mikrotik</v>
      </c>
    </row>
    <row r="1716" spans="1:8">
      <c r="A1716" s="1">
        <v>1715</v>
      </c>
      <c r="B1716" s="1" t="s">
        <v>18591</v>
      </c>
      <c r="C1716" s="1" t="s">
        <v>136</v>
      </c>
      <c r="D1716" s="1" t="s">
        <v>9508</v>
      </c>
      <c r="E1716" s="1" t="s">
        <v>9511</v>
      </c>
      <c r="F1716" s="1" t="s">
        <v>8402</v>
      </c>
      <c r="G1716" s="1" t="s">
        <v>8403</v>
      </c>
      <c r="H1716" s="1" t="str">
        <f t="shared" si="26"/>
        <v>Mikrotik</v>
      </c>
    </row>
    <row r="1717" spans="1:8">
      <c r="A1717" s="1">
        <v>1716</v>
      </c>
      <c r="B1717" s="1" t="s">
        <v>18591</v>
      </c>
      <c r="C1717" s="1" t="s">
        <v>138</v>
      </c>
      <c r="D1717" s="1" t="s">
        <v>9508</v>
      </c>
      <c r="E1717" s="1" t="s">
        <v>9513</v>
      </c>
      <c r="F1717" s="1" t="s">
        <v>8406</v>
      </c>
      <c r="G1717" s="1" t="s">
        <v>8407</v>
      </c>
      <c r="H1717" s="1" t="str">
        <f t="shared" si="26"/>
        <v>Mikrotik</v>
      </c>
    </row>
    <row r="1718" spans="1:8">
      <c r="A1718" s="1">
        <v>1717</v>
      </c>
      <c r="B1718" s="1" t="s">
        <v>18591</v>
      </c>
      <c r="C1718" s="1" t="s">
        <v>140</v>
      </c>
      <c r="D1718" s="1" t="s">
        <v>9508</v>
      </c>
      <c r="E1718" s="1" t="s">
        <v>9515</v>
      </c>
      <c r="F1718" s="1" t="s">
        <v>8410</v>
      </c>
      <c r="G1718" s="1" t="s">
        <v>8411</v>
      </c>
      <c r="H1718" s="1" t="str">
        <f t="shared" si="26"/>
        <v>Mikrotik</v>
      </c>
    </row>
    <row r="1719" spans="1:8">
      <c r="A1719" s="1">
        <v>1718</v>
      </c>
      <c r="B1719" s="1" t="s">
        <v>18591</v>
      </c>
      <c r="C1719" s="1" t="s">
        <v>142</v>
      </c>
      <c r="D1719" s="1" t="s">
        <v>9508</v>
      </c>
      <c r="E1719" s="1" t="s">
        <v>9517</v>
      </c>
      <c r="F1719" s="1" t="s">
        <v>8414</v>
      </c>
      <c r="G1719" s="1" t="s">
        <v>8415</v>
      </c>
      <c r="H1719" s="1" t="str">
        <f t="shared" si="26"/>
        <v>Mikrotik</v>
      </c>
    </row>
    <row r="1720" spans="1:8">
      <c r="A1720" s="1">
        <v>1719</v>
      </c>
      <c r="B1720" s="1" t="s">
        <v>18591</v>
      </c>
      <c r="C1720" s="1" t="s">
        <v>144</v>
      </c>
      <c r="D1720" s="1" t="s">
        <v>9508</v>
      </c>
      <c r="E1720" s="1" t="s">
        <v>9519</v>
      </c>
      <c r="F1720" s="1" t="s">
        <v>8418</v>
      </c>
      <c r="G1720" s="1" t="s">
        <v>8419</v>
      </c>
      <c r="H1720" s="1" t="str">
        <f t="shared" si="26"/>
        <v>Mikrotik</v>
      </c>
    </row>
    <row r="1721" spans="1:8">
      <c r="A1721" s="1">
        <v>1720</v>
      </c>
      <c r="B1721" s="1" t="s">
        <v>18591</v>
      </c>
      <c r="C1721" s="1" t="s">
        <v>146</v>
      </c>
      <c r="D1721" s="1" t="s">
        <v>9508</v>
      </c>
      <c r="E1721" s="1" t="s">
        <v>9521</v>
      </c>
      <c r="F1721" s="1" t="s">
        <v>8422</v>
      </c>
      <c r="G1721" s="1" t="s">
        <v>8423</v>
      </c>
      <c r="H1721" s="1" t="str">
        <f t="shared" si="26"/>
        <v>Mikrotik</v>
      </c>
    </row>
    <row r="1722" spans="1:8">
      <c r="A1722" s="1">
        <v>1721</v>
      </c>
      <c r="B1722" s="1" t="s">
        <v>18591</v>
      </c>
      <c r="C1722" s="1" t="s">
        <v>148</v>
      </c>
      <c r="D1722" s="1" t="s">
        <v>9508</v>
      </c>
      <c r="E1722" s="1" t="s">
        <v>9523</v>
      </c>
      <c r="F1722" s="1" t="s">
        <v>8426</v>
      </c>
      <c r="G1722" s="1" t="s">
        <v>8427</v>
      </c>
      <c r="H1722" s="1" t="str">
        <f t="shared" si="26"/>
        <v>Mikrotik</v>
      </c>
    </row>
    <row r="1723" spans="1:8">
      <c r="A1723" s="1">
        <v>1722</v>
      </c>
      <c r="B1723" s="1" t="s">
        <v>18591</v>
      </c>
      <c r="C1723" s="1" t="s">
        <v>150</v>
      </c>
      <c r="D1723" s="1" t="s">
        <v>9508</v>
      </c>
      <c r="E1723" s="1" t="s">
        <v>9525</v>
      </c>
      <c r="F1723" s="1" t="s">
        <v>8430</v>
      </c>
      <c r="G1723" s="1" t="s">
        <v>8431</v>
      </c>
      <c r="H1723" s="1" t="str">
        <f t="shared" si="26"/>
        <v>Mikrotik</v>
      </c>
    </row>
    <row r="1724" spans="1:8">
      <c r="A1724" s="1">
        <v>1723</v>
      </c>
      <c r="B1724" s="1" t="s">
        <v>18591</v>
      </c>
      <c r="C1724" s="1" t="s">
        <v>152</v>
      </c>
      <c r="D1724" s="1" t="s">
        <v>9508</v>
      </c>
      <c r="E1724" s="1" t="s">
        <v>9527</v>
      </c>
      <c r="F1724" s="1" t="s">
        <v>8434</v>
      </c>
      <c r="G1724" s="1" t="s">
        <v>8435</v>
      </c>
      <c r="H1724" s="1" t="str">
        <f t="shared" si="26"/>
        <v>Mikrotik</v>
      </c>
    </row>
    <row r="1725" spans="1:8">
      <c r="A1725" s="1">
        <v>1724</v>
      </c>
      <c r="B1725" s="1" t="s">
        <v>18592</v>
      </c>
      <c r="C1725" s="1" t="s">
        <v>131</v>
      </c>
      <c r="D1725" s="1" t="s">
        <v>9529</v>
      </c>
      <c r="E1725" s="1" t="s">
        <v>2041</v>
      </c>
      <c r="F1725" s="1" t="s">
        <v>8398</v>
      </c>
      <c r="G1725" s="1" t="s">
        <v>8399</v>
      </c>
      <c r="H1725" s="1" t="str">
        <f t="shared" si="26"/>
        <v>Mikrotik</v>
      </c>
    </row>
    <row r="1726" spans="1:8">
      <c r="A1726" s="1">
        <v>1725</v>
      </c>
      <c r="B1726" s="1" t="s">
        <v>18592</v>
      </c>
      <c r="C1726" s="1" t="s">
        <v>136</v>
      </c>
      <c r="D1726" s="1" t="s">
        <v>9529</v>
      </c>
      <c r="E1726" s="1" t="s">
        <v>2040</v>
      </c>
      <c r="F1726" s="1" t="s">
        <v>8402</v>
      </c>
      <c r="G1726" s="1" t="s">
        <v>8403</v>
      </c>
      <c r="H1726" s="1" t="str">
        <f t="shared" si="26"/>
        <v>Mikrotik</v>
      </c>
    </row>
    <row r="1727" spans="1:8">
      <c r="A1727" s="1">
        <v>1726</v>
      </c>
      <c r="B1727" s="1" t="s">
        <v>18592</v>
      </c>
      <c r="C1727" s="1" t="s">
        <v>138</v>
      </c>
      <c r="D1727" s="1" t="s">
        <v>9529</v>
      </c>
      <c r="E1727" s="1" t="s">
        <v>9532</v>
      </c>
      <c r="F1727" s="1" t="s">
        <v>8406</v>
      </c>
      <c r="G1727" s="1" t="s">
        <v>8407</v>
      </c>
      <c r="H1727" s="1" t="str">
        <f t="shared" si="26"/>
        <v>Mikrotik</v>
      </c>
    </row>
    <row r="1728" spans="1:8">
      <c r="A1728" s="1">
        <v>1727</v>
      </c>
      <c r="B1728" s="1" t="s">
        <v>18592</v>
      </c>
      <c r="C1728" s="1" t="s">
        <v>140</v>
      </c>
      <c r="D1728" s="1" t="s">
        <v>9529</v>
      </c>
      <c r="E1728" s="1" t="s">
        <v>9534</v>
      </c>
      <c r="F1728" s="1" t="s">
        <v>8410</v>
      </c>
      <c r="G1728" s="1" t="s">
        <v>8411</v>
      </c>
      <c r="H1728" s="1" t="str">
        <f t="shared" si="26"/>
        <v>Mikrotik</v>
      </c>
    </row>
    <row r="1729" spans="1:8">
      <c r="A1729" s="1">
        <v>1728</v>
      </c>
      <c r="B1729" s="1" t="s">
        <v>18592</v>
      </c>
      <c r="C1729" s="1" t="s">
        <v>142</v>
      </c>
      <c r="D1729" s="1" t="s">
        <v>9529</v>
      </c>
      <c r="E1729" s="1" t="s">
        <v>9536</v>
      </c>
      <c r="F1729" s="1" t="s">
        <v>8414</v>
      </c>
      <c r="G1729" s="1" t="s">
        <v>8415</v>
      </c>
      <c r="H1729" s="1" t="str">
        <f t="shared" si="26"/>
        <v>Mikrotik</v>
      </c>
    </row>
    <row r="1730" spans="1:8">
      <c r="A1730" s="1">
        <v>1729</v>
      </c>
      <c r="B1730" s="1" t="s">
        <v>18592</v>
      </c>
      <c r="C1730" s="1" t="s">
        <v>144</v>
      </c>
      <c r="D1730" s="1" t="s">
        <v>9529</v>
      </c>
      <c r="E1730" s="1" t="s">
        <v>9538</v>
      </c>
      <c r="F1730" s="1" t="s">
        <v>8418</v>
      </c>
      <c r="G1730" s="1" t="s">
        <v>8419</v>
      </c>
      <c r="H1730" s="1" t="str">
        <f t="shared" ref="H1730:H1793" si="27">IFERROR(IF(OR(MID(G1730,FIND(":",G1730)-1,1)="""",MID(G1730,FIND(":",G1730)-1,1)="}",MID(G1730,FIND(":",G1730)-1,1)=")",MID(G1730,FIND(":",G1730)-1,1)="]"),"",LEFT(F1730,FIND(":",F1730)-1)),"")</f>
        <v>Mikrotik</v>
      </c>
    </row>
    <row r="1731" spans="1:8">
      <c r="A1731" s="1">
        <v>1730</v>
      </c>
      <c r="B1731" s="1" t="s">
        <v>18592</v>
      </c>
      <c r="C1731" s="1" t="s">
        <v>146</v>
      </c>
      <c r="D1731" s="1" t="s">
        <v>9529</v>
      </c>
      <c r="E1731" s="1" t="s">
        <v>2044</v>
      </c>
      <c r="F1731" s="1" t="s">
        <v>8422</v>
      </c>
      <c r="G1731" s="1" t="s">
        <v>8423</v>
      </c>
      <c r="H1731" s="1" t="str">
        <f t="shared" si="27"/>
        <v>Mikrotik</v>
      </c>
    </row>
    <row r="1732" spans="1:8">
      <c r="A1732" s="1">
        <v>1731</v>
      </c>
      <c r="B1732" s="1" t="s">
        <v>18592</v>
      </c>
      <c r="C1732" s="1" t="s">
        <v>148</v>
      </c>
      <c r="D1732" s="1" t="s">
        <v>9529</v>
      </c>
      <c r="E1732" s="1" t="s">
        <v>9541</v>
      </c>
      <c r="F1732" s="1" t="s">
        <v>8426</v>
      </c>
      <c r="G1732" s="1" t="s">
        <v>8427</v>
      </c>
      <c r="H1732" s="1" t="str">
        <f t="shared" si="27"/>
        <v>Mikrotik</v>
      </c>
    </row>
    <row r="1733" spans="1:8">
      <c r="A1733" s="1">
        <v>1732</v>
      </c>
      <c r="B1733" s="1" t="s">
        <v>18592</v>
      </c>
      <c r="C1733" s="1" t="s">
        <v>150</v>
      </c>
      <c r="D1733" s="1" t="s">
        <v>9529</v>
      </c>
      <c r="E1733" s="1" t="s">
        <v>9543</v>
      </c>
      <c r="F1733" s="1" t="s">
        <v>8430</v>
      </c>
      <c r="G1733" s="1" t="s">
        <v>8431</v>
      </c>
      <c r="H1733" s="1" t="str">
        <f t="shared" si="27"/>
        <v>Mikrotik</v>
      </c>
    </row>
    <row r="1734" spans="1:8">
      <c r="A1734" s="1">
        <v>1733</v>
      </c>
      <c r="B1734" s="1" t="s">
        <v>18592</v>
      </c>
      <c r="C1734" s="1" t="s">
        <v>152</v>
      </c>
      <c r="D1734" s="1" t="s">
        <v>9529</v>
      </c>
      <c r="E1734" s="1" t="s">
        <v>9545</v>
      </c>
      <c r="F1734" s="1" t="s">
        <v>8434</v>
      </c>
      <c r="G1734" s="1" t="s">
        <v>8435</v>
      </c>
      <c r="H1734" s="1" t="str">
        <f t="shared" si="27"/>
        <v>Mikrotik</v>
      </c>
    </row>
    <row r="1735" spans="1:8">
      <c r="A1735" s="1">
        <v>1734</v>
      </c>
      <c r="B1735" s="1" t="s">
        <v>18593</v>
      </c>
      <c r="C1735" s="1" t="s">
        <v>392</v>
      </c>
      <c r="D1735" s="1" t="s">
        <v>9547</v>
      </c>
      <c r="E1735" s="1" t="s">
        <v>3605</v>
      </c>
      <c r="F1735" s="1" t="s">
        <v>9548</v>
      </c>
      <c r="G1735" s="1" t="s">
        <v>9549</v>
      </c>
      <c r="H1735" s="1" t="str">
        <f t="shared" si="27"/>
        <v>MongoDB cluster</v>
      </c>
    </row>
    <row r="1736" spans="1:8">
      <c r="A1736" s="1">
        <v>1735</v>
      </c>
      <c r="B1736" s="1" t="s">
        <v>18593</v>
      </c>
      <c r="C1736" s="1" t="s">
        <v>397</v>
      </c>
      <c r="D1736" s="1" t="s">
        <v>9547</v>
      </c>
      <c r="E1736" s="1" t="s">
        <v>3606</v>
      </c>
      <c r="F1736" s="1" t="s">
        <v>9551</v>
      </c>
      <c r="G1736" s="1" t="s">
        <v>9552</v>
      </c>
      <c r="H1736" s="1" t="str">
        <f t="shared" si="27"/>
        <v>MongoDB cluster</v>
      </c>
    </row>
    <row r="1737" spans="1:8">
      <c r="A1737" s="1">
        <v>1736</v>
      </c>
      <c r="B1737" s="1" t="s">
        <v>18593</v>
      </c>
      <c r="C1737" s="1" t="s">
        <v>401</v>
      </c>
      <c r="D1737" s="1" t="s">
        <v>9547</v>
      </c>
      <c r="E1737" s="1" t="s">
        <v>3607</v>
      </c>
      <c r="F1737" s="1" t="s">
        <v>9554</v>
      </c>
      <c r="G1737" s="1" t="s">
        <v>9555</v>
      </c>
      <c r="H1737" s="1" t="str">
        <f t="shared" si="27"/>
        <v>MongoDB cluster</v>
      </c>
    </row>
    <row r="1738" spans="1:8">
      <c r="A1738" s="1">
        <v>1737</v>
      </c>
      <c r="B1738" s="1" t="s">
        <v>18593</v>
      </c>
      <c r="C1738" s="1" t="s">
        <v>405</v>
      </c>
      <c r="D1738" s="1" t="s">
        <v>9547</v>
      </c>
      <c r="E1738" s="1" t="s">
        <v>9557</v>
      </c>
      <c r="F1738" s="1" t="s">
        <v>9558</v>
      </c>
      <c r="G1738" s="1" t="s">
        <v>9559</v>
      </c>
      <c r="H1738" s="1" t="str">
        <f t="shared" si="27"/>
        <v>MongoDB cluster</v>
      </c>
    </row>
    <row r="1739" spans="1:8">
      <c r="A1739" s="1">
        <v>1738</v>
      </c>
      <c r="B1739" s="1" t="s">
        <v>18593</v>
      </c>
      <c r="C1739" s="1" t="s">
        <v>409</v>
      </c>
      <c r="D1739" s="1" t="s">
        <v>9547</v>
      </c>
      <c r="E1739" s="1" t="s">
        <v>3608</v>
      </c>
      <c r="F1739" s="1" t="s">
        <v>1373</v>
      </c>
      <c r="G1739" s="1" t="s">
        <v>18594</v>
      </c>
      <c r="H1739" s="1" t="str">
        <f t="shared" si="27"/>
        <v>MongoDB cluster</v>
      </c>
    </row>
    <row r="1740" spans="1:8">
      <c r="A1740" s="1">
        <v>1739</v>
      </c>
      <c r="B1740" s="1" t="s">
        <v>18593</v>
      </c>
      <c r="C1740" s="1" t="s">
        <v>413</v>
      </c>
      <c r="D1740" s="1" t="s">
        <v>9547</v>
      </c>
      <c r="E1740" s="1" t="s">
        <v>9562</v>
      </c>
      <c r="F1740" s="1" t="s">
        <v>9563</v>
      </c>
      <c r="G1740" s="1" t="s">
        <v>9564</v>
      </c>
      <c r="H1740" s="1" t="str">
        <f t="shared" si="27"/>
        <v>MongoDB cluster</v>
      </c>
    </row>
    <row r="1741" spans="1:8">
      <c r="A1741" s="1">
        <v>1740</v>
      </c>
      <c r="B1741" s="1" t="s">
        <v>18593</v>
      </c>
      <c r="C1741" s="1" t="s">
        <v>417</v>
      </c>
      <c r="D1741" s="1" t="s">
        <v>9547</v>
      </c>
      <c r="E1741" s="1" t="s">
        <v>3609</v>
      </c>
      <c r="F1741" s="1" t="s">
        <v>9566</v>
      </c>
      <c r="G1741" s="1" t="s">
        <v>9567</v>
      </c>
      <c r="H1741" s="1" t="str">
        <f t="shared" si="27"/>
        <v>MongoDB cluster</v>
      </c>
    </row>
    <row r="1742" spans="1:8">
      <c r="A1742" s="1">
        <v>1741</v>
      </c>
      <c r="B1742" s="1" t="s">
        <v>18595</v>
      </c>
      <c r="C1742" s="1" t="s">
        <v>392</v>
      </c>
      <c r="D1742" s="1" t="s">
        <v>9569</v>
      </c>
      <c r="E1742" s="1" t="s">
        <v>9570</v>
      </c>
      <c r="F1742" s="1" t="s">
        <v>9571</v>
      </c>
      <c r="G1742" s="1" t="s">
        <v>9572</v>
      </c>
      <c r="H1742" s="1" t="str">
        <f t="shared" si="27"/>
        <v>MongoDB</v>
      </c>
    </row>
    <row r="1743" spans="1:8">
      <c r="A1743" s="1">
        <v>1742</v>
      </c>
      <c r="B1743" s="1" t="s">
        <v>18595</v>
      </c>
      <c r="C1743" s="1" t="s">
        <v>397</v>
      </c>
      <c r="D1743" s="1" t="s">
        <v>9569</v>
      </c>
      <c r="E1743" s="1" t="s">
        <v>9574</v>
      </c>
      <c r="F1743" s="1" t="s">
        <v>9575</v>
      </c>
      <c r="G1743" s="1" t="s">
        <v>9576</v>
      </c>
      <c r="H1743" s="1" t="str">
        <f t="shared" si="27"/>
        <v>MongoDB</v>
      </c>
    </row>
    <row r="1744" spans="1:8">
      <c r="A1744" s="1">
        <v>1743</v>
      </c>
      <c r="B1744" s="1" t="s">
        <v>18595</v>
      </c>
      <c r="C1744" s="1" t="s">
        <v>401</v>
      </c>
      <c r="D1744" s="1" t="s">
        <v>9569</v>
      </c>
      <c r="E1744" s="1" t="s">
        <v>9578</v>
      </c>
      <c r="F1744" s="1" t="s">
        <v>9579</v>
      </c>
      <c r="G1744" s="1" t="s">
        <v>9580</v>
      </c>
      <c r="H1744" s="1" t="str">
        <f t="shared" si="27"/>
        <v>MongoDB</v>
      </c>
    </row>
    <row r="1745" spans="1:8">
      <c r="A1745" s="1">
        <v>1744</v>
      </c>
      <c r="B1745" s="1" t="s">
        <v>18595</v>
      </c>
      <c r="C1745" s="1" t="s">
        <v>405</v>
      </c>
      <c r="D1745" s="1" t="s">
        <v>9569</v>
      </c>
      <c r="E1745" s="1" t="s">
        <v>9582</v>
      </c>
      <c r="F1745" s="1" t="s">
        <v>9583</v>
      </c>
      <c r="G1745" s="1" t="s">
        <v>9584</v>
      </c>
      <c r="H1745" s="1" t="str">
        <f t="shared" si="27"/>
        <v>MongoDB</v>
      </c>
    </row>
    <row r="1746" spans="1:8">
      <c r="A1746" s="1">
        <v>1745</v>
      </c>
      <c r="B1746" s="1" t="s">
        <v>18595</v>
      </c>
      <c r="C1746" s="1" t="s">
        <v>409</v>
      </c>
      <c r="D1746" s="1" t="s">
        <v>9569</v>
      </c>
      <c r="E1746" s="1" t="s">
        <v>9586</v>
      </c>
      <c r="F1746" s="1" t="s">
        <v>1396</v>
      </c>
      <c r="G1746" s="1" t="s">
        <v>1397</v>
      </c>
      <c r="H1746" s="1" t="str">
        <f t="shared" si="27"/>
        <v>MongoDB</v>
      </c>
    </row>
    <row r="1747" spans="1:8">
      <c r="A1747" s="1">
        <v>1746</v>
      </c>
      <c r="B1747" s="1" t="s">
        <v>18595</v>
      </c>
      <c r="C1747" s="1" t="s">
        <v>413</v>
      </c>
      <c r="D1747" s="1" t="s">
        <v>9569</v>
      </c>
      <c r="E1747" s="1" t="s">
        <v>9588</v>
      </c>
      <c r="F1747" s="1" t="s">
        <v>9589</v>
      </c>
      <c r="G1747" s="1" t="s">
        <v>9590</v>
      </c>
      <c r="H1747" s="1" t="str">
        <f t="shared" si="27"/>
        <v>MongoDB</v>
      </c>
    </row>
    <row r="1748" spans="1:8">
      <c r="A1748" s="1">
        <v>1747</v>
      </c>
      <c r="B1748" s="1" t="s">
        <v>18595</v>
      </c>
      <c r="C1748" s="1" t="s">
        <v>417</v>
      </c>
      <c r="D1748" s="1" t="s">
        <v>9569</v>
      </c>
      <c r="E1748" s="1" t="s">
        <v>9592</v>
      </c>
      <c r="F1748" s="1" t="s">
        <v>9593</v>
      </c>
      <c r="G1748" s="1" t="s">
        <v>9594</v>
      </c>
      <c r="H1748" s="1" t="str">
        <f t="shared" si="27"/>
        <v>MongoDB</v>
      </c>
    </row>
    <row r="1749" spans="1:8">
      <c r="A1749" s="1">
        <v>1748</v>
      </c>
      <c r="B1749" s="1" t="s">
        <v>18596</v>
      </c>
      <c r="C1749" s="1" t="s">
        <v>2048</v>
      </c>
      <c r="D1749" s="1" t="s">
        <v>9596</v>
      </c>
      <c r="E1749" s="1" t="s">
        <v>2750</v>
      </c>
      <c r="F1749" s="1" t="s">
        <v>2055</v>
      </c>
      <c r="G1749" s="1" t="s">
        <v>2056</v>
      </c>
      <c r="H1749" s="1" t="str">
        <f t="shared" si="27"/>
        <v>Battery</v>
      </c>
    </row>
    <row r="1750" spans="1:8">
      <c r="A1750" s="1">
        <v>1749</v>
      </c>
      <c r="B1750" s="1" t="s">
        <v>18596</v>
      </c>
      <c r="C1750" s="1" t="s">
        <v>2053</v>
      </c>
      <c r="D1750" s="1" t="s">
        <v>9596</v>
      </c>
      <c r="E1750" s="1" t="s">
        <v>2752</v>
      </c>
      <c r="F1750" s="1" t="s">
        <v>2051</v>
      </c>
      <c r="G1750" s="1" t="s">
        <v>2052</v>
      </c>
      <c r="H1750" s="1" t="str">
        <f t="shared" si="27"/>
        <v>Battery</v>
      </c>
    </row>
    <row r="1751" spans="1:8">
      <c r="A1751" s="1">
        <v>1750</v>
      </c>
      <c r="B1751" s="1" t="s">
        <v>18596</v>
      </c>
      <c r="C1751" s="1" t="s">
        <v>2057</v>
      </c>
      <c r="D1751" s="1" t="s">
        <v>9596</v>
      </c>
      <c r="E1751" s="1" t="s">
        <v>2754</v>
      </c>
      <c r="F1751" s="1" t="s">
        <v>2063</v>
      </c>
      <c r="G1751" s="1" t="s">
        <v>2064</v>
      </c>
      <c r="H1751" s="1" t="str">
        <f t="shared" si="27"/>
        <v>Load</v>
      </c>
    </row>
    <row r="1752" spans="1:8">
      <c r="A1752" s="1">
        <v>1751</v>
      </c>
      <c r="B1752" s="1" t="s">
        <v>18596</v>
      </c>
      <c r="C1752" s="1" t="s">
        <v>2061</v>
      </c>
      <c r="D1752" s="1" t="s">
        <v>9596</v>
      </c>
      <c r="E1752" s="1" t="s">
        <v>2756</v>
      </c>
      <c r="F1752" s="1" t="s">
        <v>2059</v>
      </c>
      <c r="G1752" s="1" t="s">
        <v>2060</v>
      </c>
      <c r="H1752" s="1" t="str">
        <f t="shared" si="27"/>
        <v>Load</v>
      </c>
    </row>
    <row r="1753" spans="1:8">
      <c r="A1753" s="1">
        <v>1752</v>
      </c>
      <c r="B1753" s="1" t="s">
        <v>18596</v>
      </c>
      <c r="C1753" s="1" t="s">
        <v>2065</v>
      </c>
      <c r="D1753" s="1" t="s">
        <v>9596</v>
      </c>
      <c r="E1753" s="1" t="s">
        <v>2758</v>
      </c>
      <c r="F1753" s="1" t="s">
        <v>2131</v>
      </c>
      <c r="G1753" s="1" t="s">
        <v>2132</v>
      </c>
      <c r="H1753" s="1" t="str">
        <f t="shared" si="27"/>
        <v>Status</v>
      </c>
    </row>
    <row r="1754" spans="1:8">
      <c r="A1754" s="1">
        <v>1753</v>
      </c>
      <c r="B1754" s="1" t="s">
        <v>18596</v>
      </c>
      <c r="C1754" s="1" t="s">
        <v>2069</v>
      </c>
      <c r="D1754" s="1" t="s">
        <v>9596</v>
      </c>
      <c r="E1754" s="1" t="s">
        <v>2760</v>
      </c>
      <c r="F1754" s="1" t="s">
        <v>2111</v>
      </c>
      <c r="G1754" s="1" t="s">
        <v>2112</v>
      </c>
      <c r="H1754" s="1" t="str">
        <f t="shared" si="27"/>
        <v>Status</v>
      </c>
    </row>
    <row r="1755" spans="1:8">
      <c r="A1755" s="1">
        <v>1754</v>
      </c>
      <c r="B1755" s="1" t="s">
        <v>18596</v>
      </c>
      <c r="C1755" s="1" t="s">
        <v>2073</v>
      </c>
      <c r="D1755" s="1" t="s">
        <v>9596</v>
      </c>
      <c r="E1755" s="1" t="s">
        <v>2762</v>
      </c>
      <c r="F1755" s="1" t="s">
        <v>2107</v>
      </c>
      <c r="G1755" s="1" t="s">
        <v>2108</v>
      </c>
      <c r="H1755" s="1" t="str">
        <f t="shared" si="27"/>
        <v>Status</v>
      </c>
    </row>
    <row r="1756" spans="1:8">
      <c r="A1756" s="1">
        <v>1755</v>
      </c>
      <c r="B1756" s="1" t="s">
        <v>18596</v>
      </c>
      <c r="C1756" s="1" t="s">
        <v>2077</v>
      </c>
      <c r="D1756" s="1" t="s">
        <v>9596</v>
      </c>
      <c r="E1756" s="1" t="s">
        <v>2764</v>
      </c>
      <c r="F1756" s="1" t="s">
        <v>2151</v>
      </c>
      <c r="G1756" s="1" t="s">
        <v>2152</v>
      </c>
      <c r="H1756" s="1" t="str">
        <f t="shared" si="27"/>
        <v>Status</v>
      </c>
    </row>
    <row r="1757" spans="1:8">
      <c r="A1757" s="1">
        <v>1756</v>
      </c>
      <c r="B1757" s="1" t="s">
        <v>18596</v>
      </c>
      <c r="C1757" s="1" t="s">
        <v>2081</v>
      </c>
      <c r="D1757" s="1" t="s">
        <v>9596</v>
      </c>
      <c r="E1757" s="1" t="s">
        <v>2766</v>
      </c>
      <c r="F1757" s="1" t="s">
        <v>2099</v>
      </c>
      <c r="G1757" s="1" t="s">
        <v>2100</v>
      </c>
      <c r="H1757" s="1" t="str">
        <f t="shared" si="27"/>
        <v>Status</v>
      </c>
    </row>
    <row r="1758" spans="1:8">
      <c r="A1758" s="1">
        <v>1757</v>
      </c>
      <c r="B1758" s="1" t="s">
        <v>18596</v>
      </c>
      <c r="C1758" s="1" t="s">
        <v>2085</v>
      </c>
      <c r="D1758" s="1" t="s">
        <v>9596</v>
      </c>
      <c r="E1758" s="1" t="s">
        <v>2768</v>
      </c>
      <c r="F1758" s="1" t="s">
        <v>2103</v>
      </c>
      <c r="G1758" s="1" t="s">
        <v>2104</v>
      </c>
      <c r="H1758" s="1" t="str">
        <f t="shared" si="27"/>
        <v>Status</v>
      </c>
    </row>
    <row r="1759" spans="1:8">
      <c r="A1759" s="1">
        <v>1758</v>
      </c>
      <c r="B1759" s="1" t="s">
        <v>18596</v>
      </c>
      <c r="C1759" s="1" t="s">
        <v>2089</v>
      </c>
      <c r="D1759" s="1" t="s">
        <v>9596</v>
      </c>
      <c r="E1759" s="1" t="s">
        <v>2770</v>
      </c>
      <c r="F1759" s="1" t="s">
        <v>2163</v>
      </c>
      <c r="G1759" s="1" t="s">
        <v>2164</v>
      </c>
      <c r="H1759" s="1" t="str">
        <f t="shared" si="27"/>
        <v>Status</v>
      </c>
    </row>
    <row r="1760" spans="1:8">
      <c r="A1760" s="1">
        <v>1759</v>
      </c>
      <c r="B1760" s="1" t="s">
        <v>18596</v>
      </c>
      <c r="C1760" s="1" t="s">
        <v>2093</v>
      </c>
      <c r="D1760" s="1" t="s">
        <v>9596</v>
      </c>
      <c r="E1760" s="1" t="s">
        <v>2772</v>
      </c>
      <c r="F1760" s="1" t="s">
        <v>2123</v>
      </c>
      <c r="G1760" s="1" t="s">
        <v>2124</v>
      </c>
      <c r="H1760" s="1" t="str">
        <f t="shared" si="27"/>
        <v>Status</v>
      </c>
    </row>
    <row r="1761" spans="1:8">
      <c r="A1761" s="1">
        <v>1760</v>
      </c>
      <c r="B1761" s="1" t="s">
        <v>18596</v>
      </c>
      <c r="C1761" s="1" t="s">
        <v>2097</v>
      </c>
      <c r="D1761" s="1" t="s">
        <v>9596</v>
      </c>
      <c r="E1761" s="1" t="s">
        <v>2774</v>
      </c>
      <c r="F1761" s="1" t="s">
        <v>2083</v>
      </c>
      <c r="G1761" s="1" t="s">
        <v>2084</v>
      </c>
      <c r="H1761" s="1" t="str">
        <f t="shared" si="27"/>
        <v>Status</v>
      </c>
    </row>
    <row r="1762" spans="1:8">
      <c r="A1762" s="1">
        <v>1761</v>
      </c>
      <c r="B1762" s="1" t="s">
        <v>18596</v>
      </c>
      <c r="C1762" s="1" t="s">
        <v>2101</v>
      </c>
      <c r="D1762" s="1" t="s">
        <v>9596</v>
      </c>
      <c r="E1762" s="1" t="s">
        <v>2776</v>
      </c>
      <c r="F1762" s="1" t="s">
        <v>2075</v>
      </c>
      <c r="G1762" s="1" t="s">
        <v>2076</v>
      </c>
      <c r="H1762" s="1" t="str">
        <f t="shared" si="27"/>
        <v>Status</v>
      </c>
    </row>
    <row r="1763" spans="1:8">
      <c r="A1763" s="1">
        <v>1762</v>
      </c>
      <c r="B1763" s="1" t="s">
        <v>18596</v>
      </c>
      <c r="C1763" s="1" t="s">
        <v>2105</v>
      </c>
      <c r="D1763" s="1" t="s">
        <v>9596</v>
      </c>
      <c r="E1763" s="1" t="s">
        <v>2778</v>
      </c>
      <c r="F1763" s="1" t="s">
        <v>2079</v>
      </c>
      <c r="G1763" s="1" t="s">
        <v>2080</v>
      </c>
      <c r="H1763" s="1" t="str">
        <f t="shared" si="27"/>
        <v>Status</v>
      </c>
    </row>
    <row r="1764" spans="1:8">
      <c r="A1764" s="1">
        <v>1763</v>
      </c>
      <c r="B1764" s="1" t="s">
        <v>18596</v>
      </c>
      <c r="C1764" s="1" t="s">
        <v>2109</v>
      </c>
      <c r="D1764" s="1" t="s">
        <v>9596</v>
      </c>
      <c r="E1764" s="1" t="s">
        <v>2780</v>
      </c>
      <c r="F1764" s="1" t="s">
        <v>2147</v>
      </c>
      <c r="G1764" s="1" t="s">
        <v>2148</v>
      </c>
      <c r="H1764" s="1" t="str">
        <f t="shared" si="27"/>
        <v>Status</v>
      </c>
    </row>
    <row r="1765" spans="1:8">
      <c r="A1765" s="1">
        <v>1764</v>
      </c>
      <c r="B1765" s="1" t="s">
        <v>18596</v>
      </c>
      <c r="C1765" s="1" t="s">
        <v>2113</v>
      </c>
      <c r="D1765" s="1" t="s">
        <v>9596</v>
      </c>
      <c r="E1765" s="1" t="s">
        <v>2782</v>
      </c>
      <c r="F1765" s="1" t="s">
        <v>2095</v>
      </c>
      <c r="G1765" s="1" t="s">
        <v>2096</v>
      </c>
      <c r="H1765" s="1" t="str">
        <f t="shared" si="27"/>
        <v>Status</v>
      </c>
    </row>
    <row r="1766" spans="1:8">
      <c r="A1766" s="1">
        <v>1765</v>
      </c>
      <c r="B1766" s="1" t="s">
        <v>18596</v>
      </c>
      <c r="C1766" s="1" t="s">
        <v>2117</v>
      </c>
      <c r="D1766" s="1" t="s">
        <v>9596</v>
      </c>
      <c r="E1766" s="1" t="s">
        <v>2784</v>
      </c>
      <c r="F1766" s="1" t="s">
        <v>2087</v>
      </c>
      <c r="G1766" s="1" t="s">
        <v>2088</v>
      </c>
      <c r="H1766" s="1" t="str">
        <f t="shared" si="27"/>
        <v>Status</v>
      </c>
    </row>
    <row r="1767" spans="1:8">
      <c r="A1767" s="1">
        <v>1766</v>
      </c>
      <c r="B1767" s="1" t="s">
        <v>18596</v>
      </c>
      <c r="C1767" s="1" t="s">
        <v>2121</v>
      </c>
      <c r="D1767" s="1" t="s">
        <v>9596</v>
      </c>
      <c r="E1767" s="1" t="s">
        <v>2786</v>
      </c>
      <c r="F1767" s="1" t="s">
        <v>2091</v>
      </c>
      <c r="G1767" s="1" t="s">
        <v>2092</v>
      </c>
      <c r="H1767" s="1" t="str">
        <f t="shared" si="27"/>
        <v>Status</v>
      </c>
    </row>
    <row r="1768" spans="1:8">
      <c r="A1768" s="1">
        <v>1767</v>
      </c>
      <c r="B1768" s="1" t="s">
        <v>18596</v>
      </c>
      <c r="C1768" s="1" t="s">
        <v>2125</v>
      </c>
      <c r="D1768" s="1" t="s">
        <v>9596</v>
      </c>
      <c r="E1768" s="1" t="s">
        <v>2788</v>
      </c>
      <c r="F1768" s="1" t="s">
        <v>2135</v>
      </c>
      <c r="G1768" s="1" t="s">
        <v>2136</v>
      </c>
      <c r="H1768" s="1" t="str">
        <f t="shared" si="27"/>
        <v>Status</v>
      </c>
    </row>
    <row r="1769" spans="1:8">
      <c r="A1769" s="1">
        <v>1768</v>
      </c>
      <c r="B1769" s="1" t="s">
        <v>18596</v>
      </c>
      <c r="C1769" s="1" t="s">
        <v>2129</v>
      </c>
      <c r="D1769" s="1" t="s">
        <v>9596</v>
      </c>
      <c r="E1769" s="1" t="s">
        <v>2790</v>
      </c>
      <c r="F1769" s="1" t="s">
        <v>2155</v>
      </c>
      <c r="G1769" s="1" t="s">
        <v>2156</v>
      </c>
      <c r="H1769" s="1" t="str">
        <f t="shared" si="27"/>
        <v>Status</v>
      </c>
    </row>
    <row r="1770" spans="1:8">
      <c r="A1770" s="1">
        <v>1769</v>
      </c>
      <c r="B1770" s="1" t="s">
        <v>18596</v>
      </c>
      <c r="C1770" s="1" t="s">
        <v>2133</v>
      </c>
      <c r="D1770" s="1" t="s">
        <v>9596</v>
      </c>
      <c r="E1770" s="1" t="s">
        <v>2792</v>
      </c>
      <c r="F1770" s="1" t="s">
        <v>2159</v>
      </c>
      <c r="G1770" s="1" t="s">
        <v>2160</v>
      </c>
      <c r="H1770" s="1" t="str">
        <f t="shared" si="27"/>
        <v>Status</v>
      </c>
    </row>
    <row r="1771" spans="1:8">
      <c r="A1771" s="1">
        <v>1770</v>
      </c>
      <c r="B1771" s="1" t="s">
        <v>18596</v>
      </c>
      <c r="C1771" s="1" t="s">
        <v>2137</v>
      </c>
      <c r="D1771" s="1" t="s">
        <v>9596</v>
      </c>
      <c r="E1771" s="1" t="s">
        <v>2794</v>
      </c>
      <c r="F1771" s="1" t="s">
        <v>2127</v>
      </c>
      <c r="G1771" s="1" t="s">
        <v>2128</v>
      </c>
      <c r="H1771" s="1" t="str">
        <f t="shared" si="27"/>
        <v>Status</v>
      </c>
    </row>
    <row r="1772" spans="1:8">
      <c r="A1772" s="1">
        <v>1771</v>
      </c>
      <c r="B1772" s="1" t="s">
        <v>18596</v>
      </c>
      <c r="C1772" s="1" t="s">
        <v>2141</v>
      </c>
      <c r="D1772" s="1" t="s">
        <v>9596</v>
      </c>
      <c r="E1772" s="1" t="s">
        <v>2796</v>
      </c>
      <c r="F1772" s="1" t="s">
        <v>2143</v>
      </c>
      <c r="G1772" s="1" t="s">
        <v>2144</v>
      </c>
      <c r="H1772" s="1" t="str">
        <f t="shared" si="27"/>
        <v>Status</v>
      </c>
    </row>
    <row r="1773" spans="1:8">
      <c r="A1773" s="1">
        <v>1772</v>
      </c>
      <c r="B1773" s="1" t="s">
        <v>18596</v>
      </c>
      <c r="C1773" s="1" t="s">
        <v>2145</v>
      </c>
      <c r="D1773" s="1" t="s">
        <v>9596</v>
      </c>
      <c r="E1773" s="1" t="s">
        <v>2798</v>
      </c>
      <c r="F1773" s="1" t="s">
        <v>2139</v>
      </c>
      <c r="G1773" s="1" t="s">
        <v>2140</v>
      </c>
      <c r="H1773" s="1" t="str">
        <f t="shared" si="27"/>
        <v>Status</v>
      </c>
    </row>
    <row r="1774" spans="1:8">
      <c r="A1774" s="1">
        <v>1773</v>
      </c>
      <c r="B1774" s="1" t="s">
        <v>18596</v>
      </c>
      <c r="C1774" s="1" t="s">
        <v>2149</v>
      </c>
      <c r="D1774" s="1" t="s">
        <v>9596</v>
      </c>
      <c r="E1774" s="1" t="s">
        <v>2800</v>
      </c>
      <c r="F1774" s="1" t="s">
        <v>2071</v>
      </c>
      <c r="G1774" s="1" t="s">
        <v>2072</v>
      </c>
      <c r="H1774" s="1" t="str">
        <f t="shared" si="27"/>
        <v>Status</v>
      </c>
    </row>
    <row r="1775" spans="1:8">
      <c r="A1775" s="1">
        <v>1774</v>
      </c>
      <c r="B1775" s="1" t="s">
        <v>18596</v>
      </c>
      <c r="C1775" s="1" t="s">
        <v>2153</v>
      </c>
      <c r="D1775" s="1" t="s">
        <v>9596</v>
      </c>
      <c r="E1775" s="1" t="s">
        <v>2802</v>
      </c>
      <c r="F1775" s="1" t="s">
        <v>2067</v>
      </c>
      <c r="G1775" s="1" t="s">
        <v>2068</v>
      </c>
      <c r="H1775" s="1" t="str">
        <f t="shared" si="27"/>
        <v>Status</v>
      </c>
    </row>
    <row r="1776" spans="1:8">
      <c r="A1776" s="1">
        <v>1775</v>
      </c>
      <c r="B1776" s="1" t="s">
        <v>18596</v>
      </c>
      <c r="C1776" s="1" t="s">
        <v>2157</v>
      </c>
      <c r="D1776" s="1" t="s">
        <v>9596</v>
      </c>
      <c r="E1776" s="1" t="s">
        <v>2804</v>
      </c>
      <c r="F1776" s="1" t="s">
        <v>2119</v>
      </c>
      <c r="G1776" s="1" t="s">
        <v>2120</v>
      </c>
      <c r="H1776" s="1" t="str">
        <f t="shared" si="27"/>
        <v>Status</v>
      </c>
    </row>
    <row r="1777" spans="1:8">
      <c r="A1777" s="1">
        <v>1776</v>
      </c>
      <c r="B1777" s="1" t="s">
        <v>18596</v>
      </c>
      <c r="C1777" s="1" t="s">
        <v>2161</v>
      </c>
      <c r="D1777" s="1" t="s">
        <v>9596</v>
      </c>
      <c r="E1777" s="1" t="s">
        <v>2806</v>
      </c>
      <c r="F1777" s="1" t="s">
        <v>2115</v>
      </c>
      <c r="G1777" s="1" t="s">
        <v>2116</v>
      </c>
      <c r="H1777" s="1" t="str">
        <f t="shared" si="27"/>
        <v>Status</v>
      </c>
    </row>
    <row r="1778" spans="1:8">
      <c r="A1778" s="1">
        <v>1777</v>
      </c>
      <c r="B1778" s="1" t="s">
        <v>18596</v>
      </c>
      <c r="C1778" s="1" t="s">
        <v>2165</v>
      </c>
      <c r="D1778" s="1" t="s">
        <v>9596</v>
      </c>
      <c r="E1778" s="1" t="s">
        <v>2810</v>
      </c>
      <c r="F1778" s="1" t="s">
        <v>2183</v>
      </c>
      <c r="G1778" s="1" t="s">
        <v>2184</v>
      </c>
      <c r="H1778" s="1" t="str">
        <f t="shared" si="27"/>
        <v>Status</v>
      </c>
    </row>
    <row r="1779" spans="1:8">
      <c r="A1779" s="1">
        <v>1778</v>
      </c>
      <c r="B1779" s="1" t="s">
        <v>18596</v>
      </c>
      <c r="C1779" s="1" t="s">
        <v>2169</v>
      </c>
      <c r="D1779" s="1" t="s">
        <v>9596</v>
      </c>
      <c r="E1779" s="1" t="s">
        <v>2812</v>
      </c>
      <c r="F1779" s="1" t="s">
        <v>2179</v>
      </c>
      <c r="G1779" s="1" t="s">
        <v>2180</v>
      </c>
      <c r="H1779" s="1" t="str">
        <f t="shared" si="27"/>
        <v>Status</v>
      </c>
    </row>
    <row r="1780" spans="1:8">
      <c r="A1780" s="1">
        <v>1779</v>
      </c>
      <c r="B1780" s="1" t="s">
        <v>18596</v>
      </c>
      <c r="C1780" s="1" t="s">
        <v>2173</v>
      </c>
      <c r="D1780" s="1" t="s">
        <v>9596</v>
      </c>
      <c r="E1780" s="1" t="s">
        <v>2814</v>
      </c>
      <c r="F1780" s="1" t="s">
        <v>2203</v>
      </c>
      <c r="G1780" s="1" t="s">
        <v>2204</v>
      </c>
      <c r="H1780" s="1" t="str">
        <f t="shared" si="27"/>
        <v>Status</v>
      </c>
    </row>
    <row r="1781" spans="1:8">
      <c r="A1781" s="1">
        <v>1780</v>
      </c>
      <c r="B1781" s="1" t="s">
        <v>18596</v>
      </c>
      <c r="C1781" s="1" t="s">
        <v>2177</v>
      </c>
      <c r="D1781" s="1" t="s">
        <v>9596</v>
      </c>
      <c r="E1781" s="1" t="s">
        <v>2816</v>
      </c>
      <c r="F1781" s="1" t="s">
        <v>2187</v>
      </c>
      <c r="G1781" s="1" t="s">
        <v>2188</v>
      </c>
      <c r="H1781" s="1" t="str">
        <f t="shared" si="27"/>
        <v>Status</v>
      </c>
    </row>
    <row r="1782" spans="1:8">
      <c r="A1782" s="1">
        <v>1781</v>
      </c>
      <c r="B1782" s="1" t="s">
        <v>18596</v>
      </c>
      <c r="C1782" s="1" t="s">
        <v>2181</v>
      </c>
      <c r="D1782" s="1" t="s">
        <v>9596</v>
      </c>
      <c r="E1782" s="1" t="s">
        <v>2818</v>
      </c>
      <c r="F1782" s="1" t="s">
        <v>2211</v>
      </c>
      <c r="G1782" s="1" t="s">
        <v>2212</v>
      </c>
      <c r="H1782" s="1" t="str">
        <f t="shared" si="27"/>
        <v>Status</v>
      </c>
    </row>
    <row r="1783" spans="1:8">
      <c r="A1783" s="1">
        <v>1782</v>
      </c>
      <c r="B1783" s="1" t="s">
        <v>18596</v>
      </c>
      <c r="C1783" s="1" t="s">
        <v>2185</v>
      </c>
      <c r="D1783" s="1" t="s">
        <v>9596</v>
      </c>
      <c r="E1783" s="1" t="s">
        <v>2820</v>
      </c>
      <c r="F1783" s="1" t="s">
        <v>2199</v>
      </c>
      <c r="G1783" s="1" t="s">
        <v>2200</v>
      </c>
      <c r="H1783" s="1" t="str">
        <f t="shared" si="27"/>
        <v>Status</v>
      </c>
    </row>
    <row r="1784" spans="1:8">
      <c r="A1784" s="1">
        <v>1783</v>
      </c>
      <c r="B1784" s="1" t="s">
        <v>18596</v>
      </c>
      <c r="C1784" s="1" t="s">
        <v>2189</v>
      </c>
      <c r="D1784" s="1" t="s">
        <v>9596</v>
      </c>
      <c r="E1784" s="1" t="s">
        <v>9632</v>
      </c>
      <c r="F1784" s="1" t="s">
        <v>2171</v>
      </c>
      <c r="G1784" s="1" t="s">
        <v>2172</v>
      </c>
      <c r="H1784" s="1" t="str">
        <f t="shared" si="27"/>
        <v>Status</v>
      </c>
    </row>
    <row r="1785" spans="1:8">
      <c r="A1785" s="1">
        <v>1784</v>
      </c>
      <c r="B1785" s="1" t="s">
        <v>18596</v>
      </c>
      <c r="C1785" s="1" t="s">
        <v>2193</v>
      </c>
      <c r="D1785" s="1" t="s">
        <v>9596</v>
      </c>
      <c r="E1785" s="1" t="s">
        <v>9634</v>
      </c>
      <c r="F1785" s="1" t="s">
        <v>2167</v>
      </c>
      <c r="G1785" s="1" t="s">
        <v>2168</v>
      </c>
      <c r="H1785" s="1" t="str">
        <f t="shared" si="27"/>
        <v>Status</v>
      </c>
    </row>
    <row r="1786" spans="1:8">
      <c r="A1786" s="1">
        <v>1785</v>
      </c>
      <c r="B1786" s="1" t="s">
        <v>18596</v>
      </c>
      <c r="C1786" s="1" t="s">
        <v>2197</v>
      </c>
      <c r="D1786" s="1" t="s">
        <v>9596</v>
      </c>
      <c r="E1786" s="1" t="s">
        <v>9636</v>
      </c>
      <c r="F1786" s="1" t="s">
        <v>2195</v>
      </c>
      <c r="G1786" s="1" t="s">
        <v>2196</v>
      </c>
      <c r="H1786" s="1" t="str">
        <f t="shared" si="27"/>
        <v>Status</v>
      </c>
    </row>
    <row r="1787" spans="1:8">
      <c r="A1787" s="1">
        <v>1786</v>
      </c>
      <c r="B1787" s="1" t="s">
        <v>18596</v>
      </c>
      <c r="C1787" s="1" t="s">
        <v>2201</v>
      </c>
      <c r="D1787" s="1" t="s">
        <v>9596</v>
      </c>
      <c r="E1787" s="1" t="s">
        <v>9638</v>
      </c>
      <c r="F1787" s="1" t="s">
        <v>2191</v>
      </c>
      <c r="G1787" s="1" t="s">
        <v>2192</v>
      </c>
      <c r="H1787" s="1" t="str">
        <f t="shared" si="27"/>
        <v>Status</v>
      </c>
    </row>
    <row r="1788" spans="1:8">
      <c r="A1788" s="1">
        <v>1787</v>
      </c>
      <c r="B1788" s="1" t="s">
        <v>18596</v>
      </c>
      <c r="C1788" s="1" t="s">
        <v>2205</v>
      </c>
      <c r="D1788" s="1" t="s">
        <v>9596</v>
      </c>
      <c r="E1788" s="1" t="s">
        <v>2823</v>
      </c>
      <c r="F1788" s="1" t="s">
        <v>2207</v>
      </c>
      <c r="G1788" s="1" t="s">
        <v>2208</v>
      </c>
      <c r="H1788" s="1" t="str">
        <f t="shared" si="27"/>
        <v>Status</v>
      </c>
    </row>
    <row r="1789" spans="1:8">
      <c r="A1789" s="1">
        <v>1788</v>
      </c>
      <c r="B1789" s="1" t="s">
        <v>18596</v>
      </c>
      <c r="C1789" s="1" t="s">
        <v>2209</v>
      </c>
      <c r="D1789" s="1" t="s">
        <v>9596</v>
      </c>
      <c r="E1789" s="1" t="s">
        <v>2824</v>
      </c>
      <c r="F1789" s="1" t="s">
        <v>2175</v>
      </c>
      <c r="G1789" s="1" t="s">
        <v>2176</v>
      </c>
      <c r="H1789" s="1" t="str">
        <f t="shared" si="27"/>
        <v>Status</v>
      </c>
    </row>
    <row r="1790" spans="1:8">
      <c r="A1790" s="1">
        <v>1789</v>
      </c>
      <c r="B1790" s="1" t="s">
        <v>18596</v>
      </c>
      <c r="C1790" s="1" t="s">
        <v>2213</v>
      </c>
      <c r="D1790" s="1" t="s">
        <v>9596</v>
      </c>
      <c r="E1790" s="1" t="s">
        <v>2825</v>
      </c>
      <c r="F1790" s="1" t="s">
        <v>2243</v>
      </c>
      <c r="G1790" s="1" t="s">
        <v>2244</v>
      </c>
      <c r="H1790" s="1" t="str">
        <f t="shared" si="27"/>
        <v>Status</v>
      </c>
    </row>
    <row r="1791" spans="1:8">
      <c r="A1791" s="1">
        <v>1790</v>
      </c>
      <c r="B1791" s="1" t="s">
        <v>18596</v>
      </c>
      <c r="C1791" s="1" t="s">
        <v>2217</v>
      </c>
      <c r="D1791" s="1" t="s">
        <v>9596</v>
      </c>
      <c r="E1791" s="1" t="s">
        <v>2826</v>
      </c>
      <c r="F1791" s="1" t="s">
        <v>2239</v>
      </c>
      <c r="G1791" s="1" t="s">
        <v>2240</v>
      </c>
      <c r="H1791" s="1" t="str">
        <f t="shared" si="27"/>
        <v>Status</v>
      </c>
    </row>
    <row r="1792" spans="1:8">
      <c r="A1792" s="1">
        <v>1791</v>
      </c>
      <c r="B1792" s="1" t="s">
        <v>18596</v>
      </c>
      <c r="C1792" s="1" t="s">
        <v>2221</v>
      </c>
      <c r="D1792" s="1" t="s">
        <v>9596</v>
      </c>
      <c r="E1792" s="1" t="s">
        <v>2827</v>
      </c>
      <c r="F1792" s="1" t="s">
        <v>2215</v>
      </c>
      <c r="G1792" s="1" t="s">
        <v>2216</v>
      </c>
      <c r="H1792" s="1" t="str">
        <f t="shared" si="27"/>
        <v>Status</v>
      </c>
    </row>
    <row r="1793" spans="1:8">
      <c r="A1793" s="1">
        <v>1792</v>
      </c>
      <c r="B1793" s="1" t="s">
        <v>18596</v>
      </c>
      <c r="C1793" s="1" t="s">
        <v>2225</v>
      </c>
      <c r="D1793" s="1" t="s">
        <v>9596</v>
      </c>
      <c r="E1793" s="1" t="s">
        <v>2830</v>
      </c>
      <c r="F1793" s="1" t="s">
        <v>2235</v>
      </c>
      <c r="G1793" s="1" t="s">
        <v>2236</v>
      </c>
      <c r="H1793" s="1" t="str">
        <f t="shared" si="27"/>
        <v>Status</v>
      </c>
    </row>
    <row r="1794" spans="1:8">
      <c r="A1794" s="1">
        <v>1793</v>
      </c>
      <c r="B1794" s="1" t="s">
        <v>18596</v>
      </c>
      <c r="C1794" s="1" t="s">
        <v>2229</v>
      </c>
      <c r="D1794" s="1" t="s">
        <v>9596</v>
      </c>
      <c r="E1794" s="1" t="s">
        <v>2831</v>
      </c>
      <c r="F1794" s="1" t="s">
        <v>2231</v>
      </c>
      <c r="G1794" s="1" t="s">
        <v>2232</v>
      </c>
      <c r="H1794" s="1" t="str">
        <f t="shared" ref="H1794:H1857" si="28">IFERROR(IF(OR(MID(G1794,FIND(":",G1794)-1,1)="""",MID(G1794,FIND(":",G1794)-1,1)="}",MID(G1794,FIND(":",G1794)-1,1)=")",MID(G1794,FIND(":",G1794)-1,1)="]"),"",LEFT(F1794,FIND(":",F1794)-1)),"")</f>
        <v>Status</v>
      </c>
    </row>
    <row r="1795" spans="1:8">
      <c r="A1795" s="1">
        <v>1794</v>
      </c>
      <c r="B1795" s="1" t="s">
        <v>18596</v>
      </c>
      <c r="C1795" s="1" t="s">
        <v>2233</v>
      </c>
      <c r="D1795" s="1" t="s">
        <v>9596</v>
      </c>
      <c r="E1795" s="1" t="s">
        <v>2832</v>
      </c>
      <c r="F1795" s="1" t="s">
        <v>2223</v>
      </c>
      <c r="G1795" s="1" t="s">
        <v>2224</v>
      </c>
      <c r="H1795" s="1" t="str">
        <f t="shared" si="28"/>
        <v>Status</v>
      </c>
    </row>
    <row r="1796" spans="1:8">
      <c r="A1796" s="1">
        <v>1795</v>
      </c>
      <c r="B1796" s="1" t="s">
        <v>18596</v>
      </c>
      <c r="C1796" s="1" t="s">
        <v>2237</v>
      </c>
      <c r="D1796" s="1" t="s">
        <v>9596</v>
      </c>
      <c r="E1796" s="1" t="s">
        <v>2833</v>
      </c>
      <c r="F1796" s="1" t="s">
        <v>2219</v>
      </c>
      <c r="G1796" s="1" t="s">
        <v>2220</v>
      </c>
      <c r="H1796" s="1" t="str">
        <f t="shared" si="28"/>
        <v>Status</v>
      </c>
    </row>
    <row r="1797" spans="1:8">
      <c r="A1797" s="1">
        <v>1796</v>
      </c>
      <c r="B1797" s="1" t="s">
        <v>18596</v>
      </c>
      <c r="C1797" s="1" t="s">
        <v>2241</v>
      </c>
      <c r="D1797" s="1" t="s">
        <v>9596</v>
      </c>
      <c r="E1797" s="1" t="s">
        <v>2834</v>
      </c>
      <c r="F1797" s="1" t="s">
        <v>2227</v>
      </c>
      <c r="G1797" s="1" t="s">
        <v>2228</v>
      </c>
      <c r="H1797" s="1" t="str">
        <f t="shared" si="28"/>
        <v>Status</v>
      </c>
    </row>
    <row r="1798" spans="1:8">
      <c r="A1798" s="1">
        <v>1797</v>
      </c>
      <c r="B1798" s="1" t="s">
        <v>18596</v>
      </c>
      <c r="C1798" s="1" t="s">
        <v>2245</v>
      </c>
      <c r="D1798" s="1" t="s">
        <v>9596</v>
      </c>
      <c r="E1798" s="1" t="s">
        <v>2835</v>
      </c>
      <c r="F1798" s="1" t="s">
        <v>9650</v>
      </c>
      <c r="G1798" s="1" t="s">
        <v>9651</v>
      </c>
      <c r="H1798" s="1" t="str">
        <f t="shared" si="28"/>
        <v>Status</v>
      </c>
    </row>
    <row r="1799" spans="1:8">
      <c r="A1799" s="1">
        <v>1798</v>
      </c>
      <c r="B1799" s="1" t="s">
        <v>18596</v>
      </c>
      <c r="C1799" s="1" t="s">
        <v>2249</v>
      </c>
      <c r="D1799" s="1" t="s">
        <v>9596</v>
      </c>
      <c r="E1799" s="1" t="s">
        <v>2836</v>
      </c>
      <c r="F1799" s="1" t="s">
        <v>9653</v>
      </c>
      <c r="G1799" s="1" t="s">
        <v>9654</v>
      </c>
      <c r="H1799" s="1" t="str">
        <f t="shared" si="28"/>
        <v>Status</v>
      </c>
    </row>
    <row r="1800" spans="1:8">
      <c r="A1800" s="1">
        <v>1799</v>
      </c>
      <c r="B1800" s="1" t="s">
        <v>18596</v>
      </c>
      <c r="C1800" s="1" t="s">
        <v>2253</v>
      </c>
      <c r="D1800" s="1" t="s">
        <v>9596</v>
      </c>
      <c r="E1800" s="1" t="s">
        <v>2840</v>
      </c>
      <c r="F1800" s="1" t="s">
        <v>9656</v>
      </c>
      <c r="G1800" s="1" t="s">
        <v>9657</v>
      </c>
      <c r="H1800" s="1" t="str">
        <f t="shared" si="28"/>
        <v>Temperature</v>
      </c>
    </row>
    <row r="1801" spans="1:8">
      <c r="A1801" s="1">
        <v>1800</v>
      </c>
      <c r="B1801" s="1" t="s">
        <v>18596</v>
      </c>
      <c r="C1801" s="1" t="s">
        <v>2257</v>
      </c>
      <c r="D1801" s="1" t="s">
        <v>9596</v>
      </c>
      <c r="E1801" s="1" t="s">
        <v>2842</v>
      </c>
      <c r="F1801" s="1" t="s">
        <v>9659</v>
      </c>
      <c r="G1801" s="1" t="s">
        <v>9660</v>
      </c>
      <c r="H1801" s="1" t="str">
        <f t="shared" si="28"/>
        <v>Temperature</v>
      </c>
    </row>
    <row r="1802" spans="1:8">
      <c r="A1802" s="1">
        <v>1801</v>
      </c>
      <c r="B1802" s="1" t="s">
        <v>18596</v>
      </c>
      <c r="C1802" s="1" t="s">
        <v>2261</v>
      </c>
      <c r="D1802" s="1" t="s">
        <v>9596</v>
      </c>
      <c r="E1802" s="1" t="s">
        <v>2837</v>
      </c>
      <c r="F1802" s="1" t="s">
        <v>9662</v>
      </c>
      <c r="G1802" s="1" t="s">
        <v>9663</v>
      </c>
      <c r="H1802" s="1" t="str">
        <f t="shared" si="28"/>
        <v>Temperature</v>
      </c>
    </row>
    <row r="1803" spans="1:8">
      <c r="A1803" s="1">
        <v>1802</v>
      </c>
      <c r="B1803" s="1" t="s">
        <v>18596</v>
      </c>
      <c r="C1803" s="1" t="s">
        <v>2265</v>
      </c>
      <c r="D1803" s="1" t="s">
        <v>9596</v>
      </c>
      <c r="E1803" s="1" t="s">
        <v>2841</v>
      </c>
      <c r="F1803" s="1" t="s">
        <v>9665</v>
      </c>
      <c r="G1803" s="1" t="s">
        <v>9666</v>
      </c>
      <c r="H1803" s="1" t="str">
        <f t="shared" si="28"/>
        <v>Temperature</v>
      </c>
    </row>
    <row r="1804" spans="1:8">
      <c r="A1804" s="1">
        <v>1803</v>
      </c>
      <c r="B1804" s="1" t="s">
        <v>18597</v>
      </c>
      <c r="C1804" s="1" t="s">
        <v>2270</v>
      </c>
      <c r="D1804" s="1" t="s">
        <v>9668</v>
      </c>
      <c r="E1804" s="1" t="s">
        <v>2853</v>
      </c>
      <c r="F1804" s="1" t="s">
        <v>2055</v>
      </c>
      <c r="G1804" s="1" t="s">
        <v>2056</v>
      </c>
      <c r="H1804" s="1" t="str">
        <f t="shared" si="28"/>
        <v>Battery</v>
      </c>
    </row>
    <row r="1805" spans="1:8">
      <c r="A1805" s="1">
        <v>1804</v>
      </c>
      <c r="B1805" s="1" t="s">
        <v>18597</v>
      </c>
      <c r="C1805" s="1" t="s">
        <v>2273</v>
      </c>
      <c r="D1805" s="1" t="s">
        <v>9668</v>
      </c>
      <c r="E1805" s="1" t="s">
        <v>2854</v>
      </c>
      <c r="F1805" s="1" t="s">
        <v>2051</v>
      </c>
      <c r="G1805" s="1" t="s">
        <v>2052</v>
      </c>
      <c r="H1805" s="1" t="str">
        <f t="shared" si="28"/>
        <v>Battery</v>
      </c>
    </row>
    <row r="1806" spans="1:8">
      <c r="A1806" s="1">
        <v>1805</v>
      </c>
      <c r="B1806" s="1" t="s">
        <v>18597</v>
      </c>
      <c r="C1806" s="1" t="s">
        <v>2275</v>
      </c>
      <c r="D1806" s="1" t="s">
        <v>9668</v>
      </c>
      <c r="E1806" s="1" t="s">
        <v>2855</v>
      </c>
      <c r="F1806" s="1" t="s">
        <v>2063</v>
      </c>
      <c r="G1806" s="1" t="s">
        <v>2064</v>
      </c>
      <c r="H1806" s="1" t="str">
        <f t="shared" si="28"/>
        <v>Load</v>
      </c>
    </row>
    <row r="1807" spans="1:8">
      <c r="A1807" s="1">
        <v>1806</v>
      </c>
      <c r="B1807" s="1" t="s">
        <v>18597</v>
      </c>
      <c r="C1807" s="1" t="s">
        <v>2277</v>
      </c>
      <c r="D1807" s="1" t="s">
        <v>9668</v>
      </c>
      <c r="E1807" s="1" t="s">
        <v>2858</v>
      </c>
      <c r="F1807" s="1" t="s">
        <v>2059</v>
      </c>
      <c r="G1807" s="1" t="s">
        <v>2060</v>
      </c>
      <c r="H1807" s="1" t="str">
        <f t="shared" si="28"/>
        <v>Load</v>
      </c>
    </row>
    <row r="1808" spans="1:8">
      <c r="A1808" s="1">
        <v>1807</v>
      </c>
      <c r="B1808" s="1" t="s">
        <v>18597</v>
      </c>
      <c r="C1808" s="1" t="s">
        <v>2279</v>
      </c>
      <c r="D1808" s="1" t="s">
        <v>9668</v>
      </c>
      <c r="E1808" s="1" t="s">
        <v>2859</v>
      </c>
      <c r="F1808" s="1" t="s">
        <v>2131</v>
      </c>
      <c r="G1808" s="1" t="s">
        <v>2132</v>
      </c>
      <c r="H1808" s="1" t="str">
        <f t="shared" si="28"/>
        <v>Status</v>
      </c>
    </row>
    <row r="1809" spans="1:8">
      <c r="A1809" s="1">
        <v>1808</v>
      </c>
      <c r="B1809" s="1" t="s">
        <v>18597</v>
      </c>
      <c r="C1809" s="1" t="s">
        <v>2281</v>
      </c>
      <c r="D1809" s="1" t="s">
        <v>9668</v>
      </c>
      <c r="E1809" s="1" t="s">
        <v>2860</v>
      </c>
      <c r="F1809" s="1" t="s">
        <v>2111</v>
      </c>
      <c r="G1809" s="1" t="s">
        <v>2112</v>
      </c>
      <c r="H1809" s="1" t="str">
        <f t="shared" si="28"/>
        <v>Status</v>
      </c>
    </row>
    <row r="1810" spans="1:8">
      <c r="A1810" s="1">
        <v>1809</v>
      </c>
      <c r="B1810" s="1" t="s">
        <v>18597</v>
      </c>
      <c r="C1810" s="1" t="s">
        <v>2283</v>
      </c>
      <c r="D1810" s="1" t="s">
        <v>9668</v>
      </c>
      <c r="E1810" s="1" t="s">
        <v>2861</v>
      </c>
      <c r="F1810" s="1" t="s">
        <v>2107</v>
      </c>
      <c r="G1810" s="1" t="s">
        <v>2108</v>
      </c>
      <c r="H1810" s="1" t="str">
        <f t="shared" si="28"/>
        <v>Status</v>
      </c>
    </row>
    <row r="1811" spans="1:8">
      <c r="A1811" s="1">
        <v>1810</v>
      </c>
      <c r="B1811" s="1" t="s">
        <v>18597</v>
      </c>
      <c r="C1811" s="1" t="s">
        <v>2285</v>
      </c>
      <c r="D1811" s="1" t="s">
        <v>9668</v>
      </c>
      <c r="E1811" s="1" t="s">
        <v>2864</v>
      </c>
      <c r="F1811" s="1" t="s">
        <v>2301</v>
      </c>
      <c r="G1811" s="1" t="s">
        <v>2302</v>
      </c>
      <c r="H1811" s="1" t="str">
        <f t="shared" si="28"/>
        <v>Status</v>
      </c>
    </row>
    <row r="1812" spans="1:8">
      <c r="A1812" s="1">
        <v>1811</v>
      </c>
      <c r="B1812" s="1" t="s">
        <v>18597</v>
      </c>
      <c r="C1812" s="1" t="s">
        <v>2287</v>
      </c>
      <c r="D1812" s="1" t="s">
        <v>9668</v>
      </c>
      <c r="E1812" s="1" t="s">
        <v>2865</v>
      </c>
      <c r="F1812" s="1" t="s">
        <v>2151</v>
      </c>
      <c r="G1812" s="1" t="s">
        <v>2152</v>
      </c>
      <c r="H1812" s="1" t="str">
        <f t="shared" si="28"/>
        <v>Status</v>
      </c>
    </row>
    <row r="1813" spans="1:8">
      <c r="A1813" s="1">
        <v>1812</v>
      </c>
      <c r="B1813" s="1" t="s">
        <v>18597</v>
      </c>
      <c r="C1813" s="1" t="s">
        <v>2289</v>
      </c>
      <c r="D1813" s="1" t="s">
        <v>9668</v>
      </c>
      <c r="E1813" s="1" t="s">
        <v>2866</v>
      </c>
      <c r="F1813" s="1" t="s">
        <v>2099</v>
      </c>
      <c r="G1813" s="1" t="s">
        <v>2100</v>
      </c>
      <c r="H1813" s="1" t="str">
        <f t="shared" si="28"/>
        <v>Status</v>
      </c>
    </row>
    <row r="1814" spans="1:8">
      <c r="A1814" s="1">
        <v>1813</v>
      </c>
      <c r="B1814" s="1" t="s">
        <v>18597</v>
      </c>
      <c r="C1814" s="1" t="s">
        <v>2291</v>
      </c>
      <c r="D1814" s="1" t="s">
        <v>9668</v>
      </c>
      <c r="E1814" s="1" t="s">
        <v>2867</v>
      </c>
      <c r="F1814" s="1" t="s">
        <v>2103</v>
      </c>
      <c r="G1814" s="1" t="s">
        <v>2104</v>
      </c>
      <c r="H1814" s="1" t="str">
        <f t="shared" si="28"/>
        <v>Status</v>
      </c>
    </row>
    <row r="1815" spans="1:8">
      <c r="A1815" s="1">
        <v>1814</v>
      </c>
      <c r="B1815" s="1" t="s">
        <v>18597</v>
      </c>
      <c r="C1815" s="1" t="s">
        <v>2293</v>
      </c>
      <c r="D1815" s="1" t="s">
        <v>9668</v>
      </c>
      <c r="E1815" s="1" t="s">
        <v>2868</v>
      </c>
      <c r="F1815" s="1" t="s">
        <v>2163</v>
      </c>
      <c r="G1815" s="1" t="s">
        <v>2164</v>
      </c>
      <c r="H1815" s="1" t="str">
        <f t="shared" si="28"/>
        <v>Status</v>
      </c>
    </row>
    <row r="1816" spans="1:8">
      <c r="A1816" s="1">
        <v>1815</v>
      </c>
      <c r="B1816" s="1" t="s">
        <v>18597</v>
      </c>
      <c r="C1816" s="1" t="s">
        <v>2295</v>
      </c>
      <c r="D1816" s="1" t="s">
        <v>9668</v>
      </c>
      <c r="E1816" s="1" t="s">
        <v>2869</v>
      </c>
      <c r="F1816" s="1" t="s">
        <v>2123</v>
      </c>
      <c r="G1816" s="1" t="s">
        <v>2124</v>
      </c>
      <c r="H1816" s="1" t="str">
        <f t="shared" si="28"/>
        <v>Status</v>
      </c>
    </row>
    <row r="1817" spans="1:8">
      <c r="A1817" s="1">
        <v>1816</v>
      </c>
      <c r="B1817" s="1" t="s">
        <v>18597</v>
      </c>
      <c r="C1817" s="1" t="s">
        <v>2297</v>
      </c>
      <c r="D1817" s="1" t="s">
        <v>9668</v>
      </c>
      <c r="E1817" s="1" t="s">
        <v>2870</v>
      </c>
      <c r="F1817" s="1" t="s">
        <v>2083</v>
      </c>
      <c r="G1817" s="1" t="s">
        <v>2084</v>
      </c>
      <c r="H1817" s="1" t="str">
        <f t="shared" si="28"/>
        <v>Status</v>
      </c>
    </row>
    <row r="1818" spans="1:8">
      <c r="A1818" s="1">
        <v>1817</v>
      </c>
      <c r="B1818" s="1" t="s">
        <v>18597</v>
      </c>
      <c r="C1818" s="1" t="s">
        <v>2299</v>
      </c>
      <c r="D1818" s="1" t="s">
        <v>9668</v>
      </c>
      <c r="E1818" s="1" t="s">
        <v>2871</v>
      </c>
      <c r="F1818" s="1" t="s">
        <v>2075</v>
      </c>
      <c r="G1818" s="1" t="s">
        <v>2076</v>
      </c>
      <c r="H1818" s="1" t="str">
        <f t="shared" si="28"/>
        <v>Status</v>
      </c>
    </row>
    <row r="1819" spans="1:8">
      <c r="A1819" s="1">
        <v>1818</v>
      </c>
      <c r="B1819" s="1" t="s">
        <v>18597</v>
      </c>
      <c r="C1819" s="1" t="s">
        <v>2303</v>
      </c>
      <c r="D1819" s="1" t="s">
        <v>9668</v>
      </c>
      <c r="E1819" s="1" t="s">
        <v>9684</v>
      </c>
      <c r="F1819" s="1" t="s">
        <v>2079</v>
      </c>
      <c r="G1819" s="1" t="s">
        <v>2080</v>
      </c>
      <c r="H1819" s="1" t="str">
        <f t="shared" si="28"/>
        <v>Status</v>
      </c>
    </row>
    <row r="1820" spans="1:8">
      <c r="A1820" s="1">
        <v>1819</v>
      </c>
      <c r="B1820" s="1" t="s">
        <v>18597</v>
      </c>
      <c r="C1820" s="1" t="s">
        <v>2305</v>
      </c>
      <c r="D1820" s="1" t="s">
        <v>9668</v>
      </c>
      <c r="E1820" s="1" t="s">
        <v>9686</v>
      </c>
      <c r="F1820" s="1" t="s">
        <v>2147</v>
      </c>
      <c r="G1820" s="1" t="s">
        <v>2148</v>
      </c>
      <c r="H1820" s="1" t="str">
        <f t="shared" si="28"/>
        <v>Status</v>
      </c>
    </row>
    <row r="1821" spans="1:8">
      <c r="A1821" s="1">
        <v>1820</v>
      </c>
      <c r="B1821" s="1" t="s">
        <v>18597</v>
      </c>
      <c r="C1821" s="1" t="s">
        <v>2307</v>
      </c>
      <c r="D1821" s="1" t="s">
        <v>9668</v>
      </c>
      <c r="E1821" s="1" t="s">
        <v>9688</v>
      </c>
      <c r="F1821" s="1" t="s">
        <v>2135</v>
      </c>
      <c r="G1821" s="1" t="s">
        <v>2136</v>
      </c>
      <c r="H1821" s="1" t="str">
        <f t="shared" si="28"/>
        <v>Status</v>
      </c>
    </row>
    <row r="1822" spans="1:8">
      <c r="A1822" s="1">
        <v>1821</v>
      </c>
      <c r="B1822" s="1" t="s">
        <v>18597</v>
      </c>
      <c r="C1822" s="1" t="s">
        <v>2309</v>
      </c>
      <c r="D1822" s="1" t="s">
        <v>9668</v>
      </c>
      <c r="E1822" s="1" t="s">
        <v>9690</v>
      </c>
      <c r="F1822" s="1" t="s">
        <v>2155</v>
      </c>
      <c r="G1822" s="1" t="s">
        <v>2156</v>
      </c>
      <c r="H1822" s="1" t="str">
        <f t="shared" si="28"/>
        <v>Status</v>
      </c>
    </row>
    <row r="1823" spans="1:8">
      <c r="A1823" s="1">
        <v>1822</v>
      </c>
      <c r="B1823" s="1" t="s">
        <v>18597</v>
      </c>
      <c r="C1823" s="1" t="s">
        <v>2311</v>
      </c>
      <c r="D1823" s="1" t="s">
        <v>9668</v>
      </c>
      <c r="E1823" s="1" t="s">
        <v>9692</v>
      </c>
      <c r="F1823" s="1" t="s">
        <v>2159</v>
      </c>
      <c r="G1823" s="1" t="s">
        <v>2160</v>
      </c>
      <c r="H1823" s="1" t="str">
        <f t="shared" si="28"/>
        <v>Status</v>
      </c>
    </row>
    <row r="1824" spans="1:8">
      <c r="A1824" s="1">
        <v>1823</v>
      </c>
      <c r="B1824" s="1" t="s">
        <v>18597</v>
      </c>
      <c r="C1824" s="1" t="s">
        <v>2313</v>
      </c>
      <c r="D1824" s="1" t="s">
        <v>9668</v>
      </c>
      <c r="E1824" s="1" t="s">
        <v>9694</v>
      </c>
      <c r="F1824" s="1" t="s">
        <v>2127</v>
      </c>
      <c r="G1824" s="1" t="s">
        <v>2128</v>
      </c>
      <c r="H1824" s="1" t="str">
        <f t="shared" si="28"/>
        <v>Status</v>
      </c>
    </row>
    <row r="1825" spans="1:8">
      <c r="A1825" s="1">
        <v>1824</v>
      </c>
      <c r="B1825" s="1" t="s">
        <v>18597</v>
      </c>
      <c r="C1825" s="1" t="s">
        <v>2315</v>
      </c>
      <c r="D1825" s="1" t="s">
        <v>9668</v>
      </c>
      <c r="E1825" s="1" t="s">
        <v>9696</v>
      </c>
      <c r="F1825" s="1" t="s">
        <v>2143</v>
      </c>
      <c r="G1825" s="1" t="s">
        <v>2144</v>
      </c>
      <c r="H1825" s="1" t="str">
        <f t="shared" si="28"/>
        <v>Status</v>
      </c>
    </row>
    <row r="1826" spans="1:8">
      <c r="A1826" s="1">
        <v>1825</v>
      </c>
      <c r="B1826" s="1" t="s">
        <v>18597</v>
      </c>
      <c r="C1826" s="1" t="s">
        <v>2317</v>
      </c>
      <c r="D1826" s="1" t="s">
        <v>9668</v>
      </c>
      <c r="E1826" s="1" t="s">
        <v>9698</v>
      </c>
      <c r="F1826" s="1" t="s">
        <v>2139</v>
      </c>
      <c r="G1826" s="1" t="s">
        <v>2140</v>
      </c>
      <c r="H1826" s="1" t="str">
        <f t="shared" si="28"/>
        <v>Status</v>
      </c>
    </row>
    <row r="1827" spans="1:8">
      <c r="A1827" s="1">
        <v>1826</v>
      </c>
      <c r="B1827" s="1" t="s">
        <v>18597</v>
      </c>
      <c r="C1827" s="1" t="s">
        <v>2319</v>
      </c>
      <c r="D1827" s="1" t="s">
        <v>9668</v>
      </c>
      <c r="E1827" s="1" t="s">
        <v>9700</v>
      </c>
      <c r="F1827" s="1" t="s">
        <v>2071</v>
      </c>
      <c r="G1827" s="1" t="s">
        <v>2072</v>
      </c>
      <c r="H1827" s="1" t="str">
        <f t="shared" si="28"/>
        <v>Status</v>
      </c>
    </row>
    <row r="1828" spans="1:8">
      <c r="A1828" s="1">
        <v>1827</v>
      </c>
      <c r="B1828" s="1" t="s">
        <v>18597</v>
      </c>
      <c r="C1828" s="1" t="s">
        <v>2321</v>
      </c>
      <c r="D1828" s="1" t="s">
        <v>9668</v>
      </c>
      <c r="E1828" s="1" t="s">
        <v>9702</v>
      </c>
      <c r="F1828" s="1" t="s">
        <v>2067</v>
      </c>
      <c r="G1828" s="1" t="s">
        <v>2068</v>
      </c>
      <c r="H1828" s="1" t="str">
        <f t="shared" si="28"/>
        <v>Status</v>
      </c>
    </row>
    <row r="1829" spans="1:8">
      <c r="A1829" s="1">
        <v>1828</v>
      </c>
      <c r="B1829" s="1" t="s">
        <v>18597</v>
      </c>
      <c r="C1829" s="1" t="s">
        <v>2323</v>
      </c>
      <c r="D1829" s="1" t="s">
        <v>9668</v>
      </c>
      <c r="E1829" s="1" t="s">
        <v>9704</v>
      </c>
      <c r="F1829" s="1" t="s">
        <v>2115</v>
      </c>
      <c r="G1829" s="1" t="s">
        <v>2116</v>
      </c>
      <c r="H1829" s="1" t="str">
        <f t="shared" si="28"/>
        <v>Status</v>
      </c>
    </row>
    <row r="1830" spans="1:8">
      <c r="A1830" s="1">
        <v>1829</v>
      </c>
      <c r="B1830" s="1" t="s">
        <v>18597</v>
      </c>
      <c r="C1830" s="1" t="s">
        <v>2325</v>
      </c>
      <c r="D1830" s="1" t="s">
        <v>9668</v>
      </c>
      <c r="E1830" s="1" t="s">
        <v>9706</v>
      </c>
      <c r="F1830" s="1" t="s">
        <v>2183</v>
      </c>
      <c r="G1830" s="1" t="s">
        <v>2184</v>
      </c>
      <c r="H1830" s="1" t="str">
        <f t="shared" si="28"/>
        <v>Status</v>
      </c>
    </row>
    <row r="1831" spans="1:8">
      <c r="A1831" s="1">
        <v>1830</v>
      </c>
      <c r="B1831" s="1" t="s">
        <v>18597</v>
      </c>
      <c r="C1831" s="1" t="s">
        <v>2327</v>
      </c>
      <c r="D1831" s="1" t="s">
        <v>9668</v>
      </c>
      <c r="E1831" s="1" t="s">
        <v>9708</v>
      </c>
      <c r="F1831" s="1" t="s">
        <v>2179</v>
      </c>
      <c r="G1831" s="1" t="s">
        <v>2180</v>
      </c>
      <c r="H1831" s="1" t="str">
        <f t="shared" si="28"/>
        <v>Status</v>
      </c>
    </row>
    <row r="1832" spans="1:8">
      <c r="A1832" s="1">
        <v>1831</v>
      </c>
      <c r="B1832" s="1" t="s">
        <v>18597</v>
      </c>
      <c r="C1832" s="1" t="s">
        <v>2329</v>
      </c>
      <c r="D1832" s="1" t="s">
        <v>9668</v>
      </c>
      <c r="E1832" s="1" t="s">
        <v>9710</v>
      </c>
      <c r="F1832" s="1" t="s">
        <v>2203</v>
      </c>
      <c r="G1832" s="1" t="s">
        <v>2204</v>
      </c>
      <c r="H1832" s="1" t="str">
        <f t="shared" si="28"/>
        <v>Status</v>
      </c>
    </row>
    <row r="1833" spans="1:8">
      <c r="A1833" s="1">
        <v>1832</v>
      </c>
      <c r="B1833" s="1" t="s">
        <v>18597</v>
      </c>
      <c r="C1833" s="1" t="s">
        <v>2331</v>
      </c>
      <c r="D1833" s="1" t="s">
        <v>9668</v>
      </c>
      <c r="E1833" s="1" t="s">
        <v>9712</v>
      </c>
      <c r="F1833" s="1" t="s">
        <v>2187</v>
      </c>
      <c r="G1833" s="1" t="s">
        <v>2188</v>
      </c>
      <c r="H1833" s="1" t="str">
        <f t="shared" si="28"/>
        <v>Status</v>
      </c>
    </row>
    <row r="1834" spans="1:8">
      <c r="A1834" s="1">
        <v>1833</v>
      </c>
      <c r="B1834" s="1" t="s">
        <v>18597</v>
      </c>
      <c r="C1834" s="1" t="s">
        <v>2333</v>
      </c>
      <c r="D1834" s="1" t="s">
        <v>9668</v>
      </c>
      <c r="E1834" s="1" t="s">
        <v>9714</v>
      </c>
      <c r="F1834" s="1" t="s">
        <v>2211</v>
      </c>
      <c r="G1834" s="1" t="s">
        <v>2212</v>
      </c>
      <c r="H1834" s="1" t="str">
        <f t="shared" si="28"/>
        <v>Status</v>
      </c>
    </row>
    <row r="1835" spans="1:8">
      <c r="A1835" s="1">
        <v>1834</v>
      </c>
      <c r="B1835" s="1" t="s">
        <v>18597</v>
      </c>
      <c r="C1835" s="1" t="s">
        <v>2335</v>
      </c>
      <c r="D1835" s="1" t="s">
        <v>9668</v>
      </c>
      <c r="E1835" s="1" t="s">
        <v>9716</v>
      </c>
      <c r="F1835" s="1" t="s">
        <v>2199</v>
      </c>
      <c r="G1835" s="1" t="s">
        <v>2200</v>
      </c>
      <c r="H1835" s="1" t="str">
        <f t="shared" si="28"/>
        <v>Status</v>
      </c>
    </row>
    <row r="1836" spans="1:8">
      <c r="A1836" s="1">
        <v>1835</v>
      </c>
      <c r="B1836" s="1" t="s">
        <v>18597</v>
      </c>
      <c r="C1836" s="1" t="s">
        <v>2337</v>
      </c>
      <c r="D1836" s="1" t="s">
        <v>9668</v>
      </c>
      <c r="E1836" s="1" t="s">
        <v>9718</v>
      </c>
      <c r="F1836" s="1" t="s">
        <v>2171</v>
      </c>
      <c r="G1836" s="1" t="s">
        <v>2172</v>
      </c>
      <c r="H1836" s="1" t="str">
        <f t="shared" si="28"/>
        <v>Status</v>
      </c>
    </row>
    <row r="1837" spans="1:8">
      <c r="A1837" s="1">
        <v>1836</v>
      </c>
      <c r="B1837" s="1" t="s">
        <v>18597</v>
      </c>
      <c r="C1837" s="1" t="s">
        <v>2339</v>
      </c>
      <c r="D1837" s="1" t="s">
        <v>9668</v>
      </c>
      <c r="E1837" s="1" t="s">
        <v>9720</v>
      </c>
      <c r="F1837" s="1" t="s">
        <v>2167</v>
      </c>
      <c r="G1837" s="1" t="s">
        <v>2168</v>
      </c>
      <c r="H1837" s="1" t="str">
        <f t="shared" si="28"/>
        <v>Status</v>
      </c>
    </row>
    <row r="1838" spans="1:8">
      <c r="A1838" s="1">
        <v>1837</v>
      </c>
      <c r="B1838" s="1" t="s">
        <v>18597</v>
      </c>
      <c r="C1838" s="1" t="s">
        <v>2341</v>
      </c>
      <c r="D1838" s="1" t="s">
        <v>9668</v>
      </c>
      <c r="E1838" s="1" t="s">
        <v>9722</v>
      </c>
      <c r="F1838" s="1" t="s">
        <v>2351</v>
      </c>
      <c r="G1838" s="1" t="s">
        <v>2352</v>
      </c>
      <c r="H1838" s="1" t="str">
        <f t="shared" si="28"/>
        <v>Status</v>
      </c>
    </row>
    <row r="1839" spans="1:8">
      <c r="A1839" s="1">
        <v>1838</v>
      </c>
      <c r="B1839" s="1" t="s">
        <v>18597</v>
      </c>
      <c r="C1839" s="1" t="s">
        <v>2343</v>
      </c>
      <c r="D1839" s="1" t="s">
        <v>9668</v>
      </c>
      <c r="E1839" s="1" t="s">
        <v>9724</v>
      </c>
      <c r="F1839" s="1" t="s">
        <v>2195</v>
      </c>
      <c r="G1839" s="1" t="s">
        <v>2196</v>
      </c>
      <c r="H1839" s="1" t="str">
        <f t="shared" si="28"/>
        <v>Status</v>
      </c>
    </row>
    <row r="1840" spans="1:8">
      <c r="A1840" s="1">
        <v>1839</v>
      </c>
      <c r="B1840" s="1" t="s">
        <v>18597</v>
      </c>
      <c r="C1840" s="1" t="s">
        <v>2345</v>
      </c>
      <c r="D1840" s="1" t="s">
        <v>9668</v>
      </c>
      <c r="E1840" s="1" t="s">
        <v>9726</v>
      </c>
      <c r="F1840" s="1" t="s">
        <v>2191</v>
      </c>
      <c r="G1840" s="1" t="s">
        <v>2192</v>
      </c>
      <c r="H1840" s="1" t="str">
        <f t="shared" si="28"/>
        <v>Status</v>
      </c>
    </row>
    <row r="1841" spans="1:8">
      <c r="A1841" s="1">
        <v>1840</v>
      </c>
      <c r="B1841" s="1" t="s">
        <v>18597</v>
      </c>
      <c r="C1841" s="1" t="s">
        <v>2347</v>
      </c>
      <c r="D1841" s="1" t="s">
        <v>9668</v>
      </c>
      <c r="E1841" s="1" t="s">
        <v>9728</v>
      </c>
      <c r="F1841" s="1" t="s">
        <v>2207</v>
      </c>
      <c r="G1841" s="1" t="s">
        <v>2208</v>
      </c>
      <c r="H1841" s="1" t="str">
        <f t="shared" si="28"/>
        <v>Status</v>
      </c>
    </row>
    <row r="1842" spans="1:8">
      <c r="A1842" s="1">
        <v>1841</v>
      </c>
      <c r="B1842" s="1" t="s">
        <v>18597</v>
      </c>
      <c r="C1842" s="1" t="s">
        <v>2349</v>
      </c>
      <c r="D1842" s="1" t="s">
        <v>9668</v>
      </c>
      <c r="E1842" s="1" t="s">
        <v>9730</v>
      </c>
      <c r="F1842" s="1" t="s">
        <v>2175</v>
      </c>
      <c r="G1842" s="1" t="s">
        <v>2176</v>
      </c>
      <c r="H1842" s="1" t="str">
        <f t="shared" si="28"/>
        <v>Status</v>
      </c>
    </row>
    <row r="1843" spans="1:8">
      <c r="A1843" s="1">
        <v>1842</v>
      </c>
      <c r="B1843" s="1" t="s">
        <v>18597</v>
      </c>
      <c r="C1843" s="1" t="s">
        <v>2353</v>
      </c>
      <c r="D1843" s="1" t="s">
        <v>9668</v>
      </c>
      <c r="E1843" s="1" t="s">
        <v>9732</v>
      </c>
      <c r="F1843" s="1" t="s">
        <v>2243</v>
      </c>
      <c r="G1843" s="1" t="s">
        <v>2244</v>
      </c>
      <c r="H1843" s="1" t="str">
        <f t="shared" si="28"/>
        <v>Status</v>
      </c>
    </row>
    <row r="1844" spans="1:8">
      <c r="A1844" s="1">
        <v>1843</v>
      </c>
      <c r="B1844" s="1" t="s">
        <v>18597</v>
      </c>
      <c r="C1844" s="1" t="s">
        <v>2355</v>
      </c>
      <c r="D1844" s="1" t="s">
        <v>9668</v>
      </c>
      <c r="E1844" s="1" t="s">
        <v>9734</v>
      </c>
      <c r="F1844" s="1" t="s">
        <v>2239</v>
      </c>
      <c r="G1844" s="1" t="s">
        <v>2240</v>
      </c>
      <c r="H1844" s="1" t="str">
        <f t="shared" si="28"/>
        <v>Status</v>
      </c>
    </row>
    <row r="1845" spans="1:8">
      <c r="A1845" s="1">
        <v>1844</v>
      </c>
      <c r="B1845" s="1" t="s">
        <v>18597</v>
      </c>
      <c r="C1845" s="1" t="s">
        <v>2357</v>
      </c>
      <c r="D1845" s="1" t="s">
        <v>9668</v>
      </c>
      <c r="E1845" s="1" t="s">
        <v>9736</v>
      </c>
      <c r="F1845" s="1" t="s">
        <v>2215</v>
      </c>
      <c r="G1845" s="1" t="s">
        <v>2216</v>
      </c>
      <c r="H1845" s="1" t="str">
        <f t="shared" si="28"/>
        <v>Status</v>
      </c>
    </row>
    <row r="1846" spans="1:8">
      <c r="A1846" s="1">
        <v>1845</v>
      </c>
      <c r="B1846" s="1" t="s">
        <v>18597</v>
      </c>
      <c r="C1846" s="1" t="s">
        <v>2359</v>
      </c>
      <c r="D1846" s="1" t="s">
        <v>9668</v>
      </c>
      <c r="E1846" s="1" t="s">
        <v>9738</v>
      </c>
      <c r="F1846" s="1" t="s">
        <v>2235</v>
      </c>
      <c r="G1846" s="1" t="s">
        <v>2236</v>
      </c>
      <c r="H1846" s="1" t="str">
        <f t="shared" si="28"/>
        <v>Status</v>
      </c>
    </row>
    <row r="1847" spans="1:8">
      <c r="A1847" s="1">
        <v>1846</v>
      </c>
      <c r="B1847" s="1" t="s">
        <v>18597</v>
      </c>
      <c r="C1847" s="1" t="s">
        <v>2361</v>
      </c>
      <c r="D1847" s="1" t="s">
        <v>9668</v>
      </c>
      <c r="E1847" s="1" t="s">
        <v>9740</v>
      </c>
      <c r="F1847" s="1" t="s">
        <v>2231</v>
      </c>
      <c r="G1847" s="1" t="s">
        <v>2232</v>
      </c>
      <c r="H1847" s="1" t="str">
        <f t="shared" si="28"/>
        <v>Status</v>
      </c>
    </row>
    <row r="1848" spans="1:8">
      <c r="A1848" s="1">
        <v>1847</v>
      </c>
      <c r="B1848" s="1" t="s">
        <v>18597</v>
      </c>
      <c r="C1848" s="1" t="s">
        <v>2363</v>
      </c>
      <c r="D1848" s="1" t="s">
        <v>9668</v>
      </c>
      <c r="E1848" s="1" t="s">
        <v>9742</v>
      </c>
      <c r="F1848" s="1" t="s">
        <v>2223</v>
      </c>
      <c r="G1848" s="1" t="s">
        <v>2224</v>
      </c>
      <c r="H1848" s="1" t="str">
        <f t="shared" si="28"/>
        <v>Status</v>
      </c>
    </row>
    <row r="1849" spans="1:8">
      <c r="A1849" s="1">
        <v>1848</v>
      </c>
      <c r="B1849" s="1" t="s">
        <v>18597</v>
      </c>
      <c r="C1849" s="1" t="s">
        <v>2365</v>
      </c>
      <c r="D1849" s="1" t="s">
        <v>9668</v>
      </c>
      <c r="E1849" s="1" t="s">
        <v>9744</v>
      </c>
      <c r="F1849" s="1" t="s">
        <v>2219</v>
      </c>
      <c r="G1849" s="1" t="s">
        <v>2220</v>
      </c>
      <c r="H1849" s="1" t="str">
        <f t="shared" si="28"/>
        <v>Status</v>
      </c>
    </row>
    <row r="1850" spans="1:8">
      <c r="A1850" s="1">
        <v>1849</v>
      </c>
      <c r="B1850" s="1" t="s">
        <v>18597</v>
      </c>
      <c r="C1850" s="1" t="s">
        <v>2367</v>
      </c>
      <c r="D1850" s="1" t="s">
        <v>9668</v>
      </c>
      <c r="E1850" s="1" t="s">
        <v>9746</v>
      </c>
      <c r="F1850" s="1" t="s">
        <v>2371</v>
      </c>
      <c r="G1850" s="1" t="s">
        <v>2372</v>
      </c>
      <c r="H1850" s="1" t="str">
        <f t="shared" si="28"/>
        <v>Status</v>
      </c>
    </row>
    <row r="1851" spans="1:8">
      <c r="A1851" s="1">
        <v>1850</v>
      </c>
      <c r="B1851" s="1" t="s">
        <v>18597</v>
      </c>
      <c r="C1851" s="1" t="s">
        <v>2369</v>
      </c>
      <c r="D1851" s="1" t="s">
        <v>9668</v>
      </c>
      <c r="E1851" s="1" t="s">
        <v>9748</v>
      </c>
      <c r="F1851" s="1" t="s">
        <v>2227</v>
      </c>
      <c r="G1851" s="1" t="s">
        <v>2228</v>
      </c>
      <c r="H1851" s="1" t="str">
        <f t="shared" si="28"/>
        <v>Status</v>
      </c>
    </row>
    <row r="1852" spans="1:8">
      <c r="A1852" s="1">
        <v>1851</v>
      </c>
      <c r="B1852" s="1" t="s">
        <v>18597</v>
      </c>
      <c r="C1852" s="1" t="s">
        <v>2373</v>
      </c>
      <c r="D1852" s="1" t="s">
        <v>9668</v>
      </c>
      <c r="E1852" s="1" t="s">
        <v>9750</v>
      </c>
      <c r="F1852" s="1" t="s">
        <v>9650</v>
      </c>
      <c r="G1852" s="1" t="s">
        <v>9651</v>
      </c>
      <c r="H1852" s="1" t="str">
        <f t="shared" si="28"/>
        <v>Status</v>
      </c>
    </row>
    <row r="1853" spans="1:8">
      <c r="A1853" s="1">
        <v>1852</v>
      </c>
      <c r="B1853" s="1" t="s">
        <v>18597</v>
      </c>
      <c r="C1853" s="1" t="s">
        <v>2375</v>
      </c>
      <c r="D1853" s="1" t="s">
        <v>9668</v>
      </c>
      <c r="E1853" s="1" t="s">
        <v>9752</v>
      </c>
      <c r="F1853" s="1" t="s">
        <v>9653</v>
      </c>
      <c r="G1853" s="1" t="s">
        <v>9654</v>
      </c>
      <c r="H1853" s="1" t="str">
        <f t="shared" si="28"/>
        <v>Status</v>
      </c>
    </row>
    <row r="1854" spans="1:8">
      <c r="A1854" s="1">
        <v>1853</v>
      </c>
      <c r="B1854" s="1" t="s">
        <v>18597</v>
      </c>
      <c r="C1854" s="1" t="s">
        <v>2377</v>
      </c>
      <c r="D1854" s="1" t="s">
        <v>9668</v>
      </c>
      <c r="E1854" s="1" t="s">
        <v>9754</v>
      </c>
      <c r="F1854" s="1" t="s">
        <v>9656</v>
      </c>
      <c r="G1854" s="1" t="s">
        <v>9657</v>
      </c>
      <c r="H1854" s="1" t="str">
        <f t="shared" si="28"/>
        <v>Temperature</v>
      </c>
    </row>
    <row r="1855" spans="1:8">
      <c r="A1855" s="1">
        <v>1854</v>
      </c>
      <c r="B1855" s="1" t="s">
        <v>18597</v>
      </c>
      <c r="C1855" s="1" t="s">
        <v>2379</v>
      </c>
      <c r="D1855" s="1" t="s">
        <v>9668</v>
      </c>
      <c r="E1855" s="1" t="s">
        <v>9756</v>
      </c>
      <c r="F1855" s="1" t="s">
        <v>9659</v>
      </c>
      <c r="G1855" s="1" t="s">
        <v>9660</v>
      </c>
      <c r="H1855" s="1" t="str">
        <f t="shared" si="28"/>
        <v>Temperature</v>
      </c>
    </row>
    <row r="1856" spans="1:8">
      <c r="A1856" s="1">
        <v>1855</v>
      </c>
      <c r="B1856" s="1" t="s">
        <v>18597</v>
      </c>
      <c r="C1856" s="1" t="s">
        <v>2381</v>
      </c>
      <c r="D1856" s="1" t="s">
        <v>9668</v>
      </c>
      <c r="E1856" s="1" t="s">
        <v>9758</v>
      </c>
      <c r="F1856" s="1" t="s">
        <v>9662</v>
      </c>
      <c r="G1856" s="1" t="s">
        <v>9663</v>
      </c>
      <c r="H1856" s="1" t="str">
        <f t="shared" si="28"/>
        <v>Temperature</v>
      </c>
    </row>
    <row r="1857" spans="1:8">
      <c r="A1857" s="1">
        <v>1856</v>
      </c>
      <c r="B1857" s="1" t="s">
        <v>18597</v>
      </c>
      <c r="C1857" s="1" t="s">
        <v>2383</v>
      </c>
      <c r="D1857" s="1" t="s">
        <v>9668</v>
      </c>
      <c r="E1857" s="1" t="s">
        <v>9760</v>
      </c>
      <c r="F1857" s="1" t="s">
        <v>9665</v>
      </c>
      <c r="G1857" s="1" t="s">
        <v>9666</v>
      </c>
      <c r="H1857" s="1" t="str">
        <f t="shared" si="28"/>
        <v>Temperature</v>
      </c>
    </row>
    <row r="1858" spans="1:8">
      <c r="A1858" s="1">
        <v>1857</v>
      </c>
      <c r="B1858" s="1" t="s">
        <v>18598</v>
      </c>
      <c r="C1858" s="1" t="s">
        <v>2386</v>
      </c>
      <c r="D1858" s="1" t="s">
        <v>9762</v>
      </c>
      <c r="E1858" s="1" t="s">
        <v>9763</v>
      </c>
      <c r="F1858" s="1" t="s">
        <v>2055</v>
      </c>
      <c r="G1858" s="1" t="s">
        <v>2056</v>
      </c>
      <c r="H1858" s="1" t="str">
        <f t="shared" ref="H1858:H1921" si="29">IFERROR(IF(OR(MID(G1858,FIND(":",G1858)-1,1)="""",MID(G1858,FIND(":",G1858)-1,1)="}",MID(G1858,FIND(":",G1858)-1,1)=")",MID(G1858,FIND(":",G1858)-1,1)="]"),"",LEFT(F1858,FIND(":",F1858)-1)),"")</f>
        <v>Battery</v>
      </c>
    </row>
    <row r="1859" spans="1:8">
      <c r="A1859" s="1">
        <v>1858</v>
      </c>
      <c r="B1859" s="1" t="s">
        <v>18598</v>
      </c>
      <c r="C1859" s="1" t="s">
        <v>2389</v>
      </c>
      <c r="D1859" s="1" t="s">
        <v>9762</v>
      </c>
      <c r="E1859" s="1" t="s">
        <v>9765</v>
      </c>
      <c r="F1859" s="1" t="s">
        <v>2051</v>
      </c>
      <c r="G1859" s="1" t="s">
        <v>2052</v>
      </c>
      <c r="H1859" s="1" t="str">
        <f t="shared" si="29"/>
        <v>Battery</v>
      </c>
    </row>
    <row r="1860" spans="1:8">
      <c r="A1860" s="1">
        <v>1859</v>
      </c>
      <c r="B1860" s="1" t="s">
        <v>18598</v>
      </c>
      <c r="C1860" s="1" t="s">
        <v>2391</v>
      </c>
      <c r="D1860" s="1" t="s">
        <v>9762</v>
      </c>
      <c r="E1860" s="1" t="s">
        <v>9767</v>
      </c>
      <c r="F1860" s="1" t="s">
        <v>2063</v>
      </c>
      <c r="G1860" s="1" t="s">
        <v>2064</v>
      </c>
      <c r="H1860" s="1" t="str">
        <f t="shared" si="29"/>
        <v>Load</v>
      </c>
    </row>
    <row r="1861" spans="1:8">
      <c r="A1861" s="1">
        <v>1860</v>
      </c>
      <c r="B1861" s="1" t="s">
        <v>18598</v>
      </c>
      <c r="C1861" s="1" t="s">
        <v>2393</v>
      </c>
      <c r="D1861" s="1" t="s">
        <v>9762</v>
      </c>
      <c r="E1861" s="1" t="s">
        <v>9769</v>
      </c>
      <c r="F1861" s="1" t="s">
        <v>2059</v>
      </c>
      <c r="G1861" s="1" t="s">
        <v>2060</v>
      </c>
      <c r="H1861" s="1" t="str">
        <f t="shared" si="29"/>
        <v>Load</v>
      </c>
    </row>
    <row r="1862" spans="1:8">
      <c r="A1862" s="1">
        <v>1861</v>
      </c>
      <c r="B1862" s="1" t="s">
        <v>18598</v>
      </c>
      <c r="C1862" s="1" t="s">
        <v>2395</v>
      </c>
      <c r="D1862" s="1" t="s">
        <v>9762</v>
      </c>
      <c r="E1862" s="1" t="s">
        <v>9771</v>
      </c>
      <c r="F1862" s="1" t="s">
        <v>2099</v>
      </c>
      <c r="G1862" s="1" t="s">
        <v>2100</v>
      </c>
      <c r="H1862" s="1" t="str">
        <f t="shared" si="29"/>
        <v>Status</v>
      </c>
    </row>
    <row r="1863" spans="1:8">
      <c r="A1863" s="1">
        <v>1862</v>
      </c>
      <c r="B1863" s="1" t="s">
        <v>18598</v>
      </c>
      <c r="C1863" s="1" t="s">
        <v>2397</v>
      </c>
      <c r="D1863" s="1" t="s">
        <v>9762</v>
      </c>
      <c r="E1863" s="1" t="s">
        <v>9773</v>
      </c>
      <c r="F1863" s="1" t="s">
        <v>2411</v>
      </c>
      <c r="G1863" s="1" t="s">
        <v>2412</v>
      </c>
      <c r="H1863" s="1" t="str">
        <f t="shared" si="29"/>
        <v>Status</v>
      </c>
    </row>
    <row r="1864" spans="1:8">
      <c r="A1864" s="1">
        <v>1863</v>
      </c>
      <c r="B1864" s="1" t="s">
        <v>18598</v>
      </c>
      <c r="C1864" s="1" t="s">
        <v>2399</v>
      </c>
      <c r="D1864" s="1" t="s">
        <v>9762</v>
      </c>
      <c r="E1864" s="1" t="s">
        <v>9775</v>
      </c>
      <c r="F1864" s="1" t="s">
        <v>2075</v>
      </c>
      <c r="G1864" s="1" t="s">
        <v>2076</v>
      </c>
      <c r="H1864" s="1" t="str">
        <f t="shared" si="29"/>
        <v>Status</v>
      </c>
    </row>
    <row r="1865" spans="1:8">
      <c r="A1865" s="1">
        <v>1864</v>
      </c>
      <c r="B1865" s="1" t="s">
        <v>18598</v>
      </c>
      <c r="C1865" s="1" t="s">
        <v>2401</v>
      </c>
      <c r="D1865" s="1" t="s">
        <v>9762</v>
      </c>
      <c r="E1865" s="1" t="s">
        <v>9777</v>
      </c>
      <c r="F1865" s="1" t="s">
        <v>2079</v>
      </c>
      <c r="G1865" s="1" t="s">
        <v>2080</v>
      </c>
      <c r="H1865" s="1" t="str">
        <f t="shared" si="29"/>
        <v>Status</v>
      </c>
    </row>
    <row r="1866" spans="1:8">
      <c r="A1866" s="1">
        <v>1865</v>
      </c>
      <c r="B1866" s="1" t="s">
        <v>18598</v>
      </c>
      <c r="C1866" s="1" t="s">
        <v>2403</v>
      </c>
      <c r="D1866" s="1" t="s">
        <v>9762</v>
      </c>
      <c r="E1866" s="1" t="s">
        <v>9779</v>
      </c>
      <c r="F1866" s="1" t="s">
        <v>2433</v>
      </c>
      <c r="G1866" s="1" t="s">
        <v>2434</v>
      </c>
      <c r="H1866" s="1" t="str">
        <f t="shared" si="29"/>
        <v>Status</v>
      </c>
    </row>
    <row r="1867" spans="1:8">
      <c r="A1867" s="1">
        <v>1866</v>
      </c>
      <c r="B1867" s="1" t="s">
        <v>18598</v>
      </c>
      <c r="C1867" s="1" t="s">
        <v>2407</v>
      </c>
      <c r="D1867" s="1" t="s">
        <v>9762</v>
      </c>
      <c r="E1867" s="1" t="s">
        <v>9781</v>
      </c>
      <c r="F1867" s="1" t="s">
        <v>2425</v>
      </c>
      <c r="G1867" s="1" t="s">
        <v>2426</v>
      </c>
      <c r="H1867" s="1" t="str">
        <f t="shared" si="29"/>
        <v>Status</v>
      </c>
    </row>
    <row r="1868" spans="1:8">
      <c r="A1868" s="1">
        <v>1867</v>
      </c>
      <c r="B1868" s="1" t="s">
        <v>18598</v>
      </c>
      <c r="C1868" s="1" t="s">
        <v>2409</v>
      </c>
      <c r="D1868" s="1" t="s">
        <v>9762</v>
      </c>
      <c r="E1868" s="1" t="s">
        <v>9783</v>
      </c>
      <c r="F1868" s="1" t="s">
        <v>2429</v>
      </c>
      <c r="G1868" s="1" t="s">
        <v>2430</v>
      </c>
      <c r="H1868" s="1" t="str">
        <f t="shared" si="29"/>
        <v>Status</v>
      </c>
    </row>
    <row r="1869" spans="1:8">
      <c r="A1869" s="1">
        <v>1868</v>
      </c>
      <c r="B1869" s="1" t="s">
        <v>18598</v>
      </c>
      <c r="C1869" s="1" t="s">
        <v>2413</v>
      </c>
      <c r="D1869" s="1" t="s">
        <v>9762</v>
      </c>
      <c r="E1869" s="1" t="s">
        <v>9785</v>
      </c>
      <c r="F1869" s="1" t="s">
        <v>2071</v>
      </c>
      <c r="G1869" s="1" t="s">
        <v>2072</v>
      </c>
      <c r="H1869" s="1" t="str">
        <f t="shared" si="29"/>
        <v>Status</v>
      </c>
    </row>
    <row r="1870" spans="1:8">
      <c r="A1870" s="1">
        <v>1869</v>
      </c>
      <c r="B1870" s="1" t="s">
        <v>18598</v>
      </c>
      <c r="C1870" s="1" t="s">
        <v>2415</v>
      </c>
      <c r="D1870" s="1" t="s">
        <v>9762</v>
      </c>
      <c r="E1870" s="1" t="s">
        <v>9787</v>
      </c>
      <c r="F1870" s="1" t="s">
        <v>2417</v>
      </c>
      <c r="G1870" s="1" t="s">
        <v>2418</v>
      </c>
      <c r="H1870" s="1" t="str">
        <f t="shared" si="29"/>
        <v>Status</v>
      </c>
    </row>
    <row r="1871" spans="1:8">
      <c r="A1871" s="1">
        <v>1870</v>
      </c>
      <c r="B1871" s="1" t="s">
        <v>18598</v>
      </c>
      <c r="C1871" s="1" t="s">
        <v>2419</v>
      </c>
      <c r="D1871" s="1" t="s">
        <v>9762</v>
      </c>
      <c r="E1871" s="1" t="s">
        <v>9789</v>
      </c>
      <c r="F1871" s="1" t="s">
        <v>2067</v>
      </c>
      <c r="G1871" s="1" t="s">
        <v>2068</v>
      </c>
      <c r="H1871" s="1" t="str">
        <f t="shared" si="29"/>
        <v>Status</v>
      </c>
    </row>
    <row r="1872" spans="1:8">
      <c r="A1872" s="1">
        <v>1871</v>
      </c>
      <c r="B1872" s="1" t="s">
        <v>18598</v>
      </c>
      <c r="C1872" s="1" t="s">
        <v>2423</v>
      </c>
      <c r="D1872" s="1" t="s">
        <v>9762</v>
      </c>
      <c r="E1872" s="1" t="s">
        <v>9791</v>
      </c>
      <c r="F1872" s="1" t="s">
        <v>2405</v>
      </c>
      <c r="G1872" s="1" t="s">
        <v>2406</v>
      </c>
      <c r="H1872" s="1" t="str">
        <f t="shared" si="29"/>
        <v>Status</v>
      </c>
    </row>
    <row r="1873" spans="1:8">
      <c r="A1873" s="1">
        <v>1872</v>
      </c>
      <c r="B1873" s="1" t="s">
        <v>18598</v>
      </c>
      <c r="C1873" s="1" t="s">
        <v>2427</v>
      </c>
      <c r="D1873" s="1" t="s">
        <v>9762</v>
      </c>
      <c r="E1873" s="1" t="s">
        <v>9793</v>
      </c>
      <c r="F1873" s="1" t="s">
        <v>2421</v>
      </c>
      <c r="G1873" s="1" t="s">
        <v>2422</v>
      </c>
      <c r="H1873" s="1" t="str">
        <f t="shared" si="29"/>
        <v>Status</v>
      </c>
    </row>
    <row r="1874" spans="1:8">
      <c r="A1874" s="1">
        <v>1873</v>
      </c>
      <c r="B1874" s="1" t="s">
        <v>18598</v>
      </c>
      <c r="C1874" s="1" t="s">
        <v>2431</v>
      </c>
      <c r="D1874" s="1" t="s">
        <v>9762</v>
      </c>
      <c r="E1874" s="1" t="s">
        <v>9795</v>
      </c>
      <c r="F1874" s="1" t="s">
        <v>2115</v>
      </c>
      <c r="G1874" s="1" t="s">
        <v>2116</v>
      </c>
      <c r="H1874" s="1" t="str">
        <f t="shared" si="29"/>
        <v>Status</v>
      </c>
    </row>
    <row r="1875" spans="1:8">
      <c r="A1875" s="1">
        <v>1874</v>
      </c>
      <c r="B1875" s="1" t="s">
        <v>18598</v>
      </c>
      <c r="C1875" s="1" t="s">
        <v>2435</v>
      </c>
      <c r="D1875" s="1" t="s">
        <v>9762</v>
      </c>
      <c r="E1875" s="1" t="s">
        <v>9797</v>
      </c>
      <c r="F1875" s="1" t="s">
        <v>2183</v>
      </c>
      <c r="G1875" s="1" t="s">
        <v>2184</v>
      </c>
      <c r="H1875" s="1" t="str">
        <f t="shared" si="29"/>
        <v>Status</v>
      </c>
    </row>
    <row r="1876" spans="1:8">
      <c r="A1876" s="1">
        <v>1875</v>
      </c>
      <c r="B1876" s="1" t="s">
        <v>18598</v>
      </c>
      <c r="C1876" s="1" t="s">
        <v>2437</v>
      </c>
      <c r="D1876" s="1" t="s">
        <v>9762</v>
      </c>
      <c r="E1876" s="1" t="s">
        <v>9799</v>
      </c>
      <c r="F1876" s="1" t="s">
        <v>2179</v>
      </c>
      <c r="G1876" s="1" t="s">
        <v>2180</v>
      </c>
      <c r="H1876" s="1" t="str">
        <f t="shared" si="29"/>
        <v>Status</v>
      </c>
    </row>
    <row r="1877" spans="1:8">
      <c r="A1877" s="1">
        <v>1876</v>
      </c>
      <c r="B1877" s="1" t="s">
        <v>18598</v>
      </c>
      <c r="C1877" s="1" t="s">
        <v>2439</v>
      </c>
      <c r="D1877" s="1" t="s">
        <v>9762</v>
      </c>
      <c r="E1877" s="1" t="s">
        <v>9801</v>
      </c>
      <c r="F1877" s="1" t="s">
        <v>2187</v>
      </c>
      <c r="G1877" s="1" t="s">
        <v>2188</v>
      </c>
      <c r="H1877" s="1" t="str">
        <f t="shared" si="29"/>
        <v>Status</v>
      </c>
    </row>
    <row r="1878" spans="1:8">
      <c r="A1878" s="1">
        <v>1877</v>
      </c>
      <c r="B1878" s="1" t="s">
        <v>18598</v>
      </c>
      <c r="C1878" s="1" t="s">
        <v>2443</v>
      </c>
      <c r="D1878" s="1" t="s">
        <v>9762</v>
      </c>
      <c r="E1878" s="1" t="s">
        <v>9803</v>
      </c>
      <c r="F1878" s="1" t="s">
        <v>2199</v>
      </c>
      <c r="G1878" s="1" t="s">
        <v>2200</v>
      </c>
      <c r="H1878" s="1" t="str">
        <f t="shared" si="29"/>
        <v>Status</v>
      </c>
    </row>
    <row r="1879" spans="1:8">
      <c r="A1879" s="1">
        <v>1878</v>
      </c>
      <c r="B1879" s="1" t="s">
        <v>18598</v>
      </c>
      <c r="C1879" s="1" t="s">
        <v>2445</v>
      </c>
      <c r="D1879" s="1" t="s">
        <v>9762</v>
      </c>
      <c r="E1879" s="1" t="s">
        <v>9805</v>
      </c>
      <c r="F1879" s="1" t="s">
        <v>2171</v>
      </c>
      <c r="G1879" s="1" t="s">
        <v>2172</v>
      </c>
      <c r="H1879" s="1" t="str">
        <f t="shared" si="29"/>
        <v>Status</v>
      </c>
    </row>
    <row r="1880" spans="1:8">
      <c r="A1880" s="1">
        <v>1879</v>
      </c>
      <c r="B1880" s="1" t="s">
        <v>18598</v>
      </c>
      <c r="C1880" s="1" t="s">
        <v>2447</v>
      </c>
      <c r="D1880" s="1" t="s">
        <v>9762</v>
      </c>
      <c r="E1880" s="1" t="s">
        <v>9807</v>
      </c>
      <c r="F1880" s="1" t="s">
        <v>2167</v>
      </c>
      <c r="G1880" s="1" t="s">
        <v>2168</v>
      </c>
      <c r="H1880" s="1" t="str">
        <f t="shared" si="29"/>
        <v>Status</v>
      </c>
    </row>
    <row r="1881" spans="1:8">
      <c r="A1881" s="1">
        <v>1880</v>
      </c>
      <c r="B1881" s="1" t="s">
        <v>18598</v>
      </c>
      <c r="C1881" s="1" t="s">
        <v>2449</v>
      </c>
      <c r="D1881" s="1" t="s">
        <v>9762</v>
      </c>
      <c r="E1881" s="1" t="s">
        <v>9809</v>
      </c>
      <c r="F1881" s="1" t="s">
        <v>2195</v>
      </c>
      <c r="G1881" s="1" t="s">
        <v>2196</v>
      </c>
      <c r="H1881" s="1" t="str">
        <f t="shared" si="29"/>
        <v>Status</v>
      </c>
    </row>
    <row r="1882" spans="1:8">
      <c r="A1882" s="1">
        <v>1881</v>
      </c>
      <c r="B1882" s="1" t="s">
        <v>18598</v>
      </c>
      <c r="C1882" s="1" t="s">
        <v>2451</v>
      </c>
      <c r="D1882" s="1" t="s">
        <v>9762</v>
      </c>
      <c r="E1882" s="1" t="s">
        <v>9811</v>
      </c>
      <c r="F1882" s="1" t="s">
        <v>2191</v>
      </c>
      <c r="G1882" s="1" t="s">
        <v>2192</v>
      </c>
      <c r="H1882" s="1" t="str">
        <f t="shared" si="29"/>
        <v>Status</v>
      </c>
    </row>
    <row r="1883" spans="1:8">
      <c r="A1883" s="1">
        <v>1882</v>
      </c>
      <c r="B1883" s="1" t="s">
        <v>18598</v>
      </c>
      <c r="C1883" s="1" t="s">
        <v>2453</v>
      </c>
      <c r="D1883" s="1" t="s">
        <v>9762</v>
      </c>
      <c r="E1883" s="1" t="s">
        <v>9813</v>
      </c>
      <c r="F1883" s="1" t="s">
        <v>2441</v>
      </c>
      <c r="G1883" s="1" t="s">
        <v>2442</v>
      </c>
      <c r="H1883" s="1" t="str">
        <f t="shared" si="29"/>
        <v>Status</v>
      </c>
    </row>
    <row r="1884" spans="1:8">
      <c r="A1884" s="1">
        <v>1883</v>
      </c>
      <c r="B1884" s="1" t="s">
        <v>18598</v>
      </c>
      <c r="C1884" s="1" t="s">
        <v>2455</v>
      </c>
      <c r="D1884" s="1" t="s">
        <v>9762</v>
      </c>
      <c r="E1884" s="1" t="s">
        <v>9815</v>
      </c>
      <c r="F1884" s="1" t="s">
        <v>2243</v>
      </c>
      <c r="G1884" s="1" t="s">
        <v>2244</v>
      </c>
      <c r="H1884" s="1" t="str">
        <f t="shared" si="29"/>
        <v>Status</v>
      </c>
    </row>
    <row r="1885" spans="1:8">
      <c r="A1885" s="1">
        <v>1884</v>
      </c>
      <c r="B1885" s="1" t="s">
        <v>18598</v>
      </c>
      <c r="C1885" s="1" t="s">
        <v>2457</v>
      </c>
      <c r="D1885" s="1" t="s">
        <v>9762</v>
      </c>
      <c r="E1885" s="1" t="s">
        <v>9817</v>
      </c>
      <c r="F1885" s="1" t="s">
        <v>2215</v>
      </c>
      <c r="G1885" s="1" t="s">
        <v>2216</v>
      </c>
      <c r="H1885" s="1" t="str">
        <f t="shared" si="29"/>
        <v>Status</v>
      </c>
    </row>
    <row r="1886" spans="1:8">
      <c r="A1886" s="1">
        <v>1885</v>
      </c>
      <c r="B1886" s="1" t="s">
        <v>18598</v>
      </c>
      <c r="C1886" s="1" t="s">
        <v>2459</v>
      </c>
      <c r="D1886" s="1" t="s">
        <v>9762</v>
      </c>
      <c r="E1886" s="1" t="s">
        <v>3742</v>
      </c>
      <c r="F1886" s="1" t="s">
        <v>2235</v>
      </c>
      <c r="G1886" s="1" t="s">
        <v>2236</v>
      </c>
      <c r="H1886" s="1" t="str">
        <f t="shared" si="29"/>
        <v>Status</v>
      </c>
    </row>
    <row r="1887" spans="1:8">
      <c r="A1887" s="1">
        <v>1886</v>
      </c>
      <c r="B1887" s="1" t="s">
        <v>18598</v>
      </c>
      <c r="C1887" s="1" t="s">
        <v>2461</v>
      </c>
      <c r="D1887" s="1" t="s">
        <v>9762</v>
      </c>
      <c r="E1887" s="1" t="s">
        <v>3743</v>
      </c>
      <c r="F1887" s="1" t="s">
        <v>2231</v>
      </c>
      <c r="G1887" s="1" t="s">
        <v>2232</v>
      </c>
      <c r="H1887" s="1" t="str">
        <f t="shared" si="29"/>
        <v>Status</v>
      </c>
    </row>
    <row r="1888" spans="1:8">
      <c r="A1888" s="1">
        <v>1887</v>
      </c>
      <c r="B1888" s="1" t="s">
        <v>18598</v>
      </c>
      <c r="C1888" s="1" t="s">
        <v>2463</v>
      </c>
      <c r="D1888" s="1" t="s">
        <v>9762</v>
      </c>
      <c r="E1888" s="1" t="s">
        <v>3744</v>
      </c>
      <c r="F1888" s="1" t="s">
        <v>2223</v>
      </c>
      <c r="G1888" s="1" t="s">
        <v>2224</v>
      </c>
      <c r="H1888" s="1" t="str">
        <f t="shared" si="29"/>
        <v>Status</v>
      </c>
    </row>
    <row r="1889" spans="1:8">
      <c r="A1889" s="1">
        <v>1888</v>
      </c>
      <c r="B1889" s="1" t="s">
        <v>18598</v>
      </c>
      <c r="C1889" s="1" t="s">
        <v>2465</v>
      </c>
      <c r="D1889" s="1" t="s">
        <v>9762</v>
      </c>
      <c r="E1889" s="1" t="s">
        <v>3745</v>
      </c>
      <c r="F1889" s="1" t="s">
        <v>2219</v>
      </c>
      <c r="G1889" s="1" t="s">
        <v>2220</v>
      </c>
      <c r="H1889" s="1" t="str">
        <f t="shared" si="29"/>
        <v>Status</v>
      </c>
    </row>
    <row r="1890" spans="1:8">
      <c r="A1890" s="1">
        <v>1889</v>
      </c>
      <c r="B1890" s="1" t="s">
        <v>18598</v>
      </c>
      <c r="C1890" s="1" t="s">
        <v>2467</v>
      </c>
      <c r="D1890" s="1" t="s">
        <v>9762</v>
      </c>
      <c r="E1890" s="1" t="s">
        <v>3746</v>
      </c>
      <c r="F1890" s="1" t="s">
        <v>2227</v>
      </c>
      <c r="G1890" s="1" t="s">
        <v>2228</v>
      </c>
      <c r="H1890" s="1" t="str">
        <f t="shared" si="29"/>
        <v>Status</v>
      </c>
    </row>
    <row r="1891" spans="1:8">
      <c r="A1891" s="1">
        <v>1890</v>
      </c>
      <c r="B1891" s="1" t="s">
        <v>18598</v>
      </c>
      <c r="C1891" s="1" t="s">
        <v>2469</v>
      </c>
      <c r="D1891" s="1" t="s">
        <v>9762</v>
      </c>
      <c r="E1891" s="1" t="s">
        <v>3747</v>
      </c>
      <c r="F1891" s="1" t="s">
        <v>2471</v>
      </c>
      <c r="G1891" s="1" t="s">
        <v>2472</v>
      </c>
      <c r="H1891" s="1" t="str">
        <f t="shared" si="29"/>
        <v>Status</v>
      </c>
    </row>
    <row r="1892" spans="1:8">
      <c r="A1892" s="1">
        <v>1891</v>
      </c>
      <c r="B1892" s="1" t="s">
        <v>18598</v>
      </c>
      <c r="C1892" s="1" t="s">
        <v>2473</v>
      </c>
      <c r="D1892" s="1" t="s">
        <v>9762</v>
      </c>
      <c r="E1892" s="1" t="s">
        <v>3748</v>
      </c>
      <c r="F1892" s="1" t="s">
        <v>9650</v>
      </c>
      <c r="G1892" s="1" t="s">
        <v>9651</v>
      </c>
      <c r="H1892" s="1" t="str">
        <f t="shared" si="29"/>
        <v>Status</v>
      </c>
    </row>
    <row r="1893" spans="1:8">
      <c r="A1893" s="1">
        <v>1892</v>
      </c>
      <c r="B1893" s="1" t="s">
        <v>18598</v>
      </c>
      <c r="C1893" s="1" t="s">
        <v>2475</v>
      </c>
      <c r="D1893" s="1" t="s">
        <v>9762</v>
      </c>
      <c r="E1893" s="1" t="s">
        <v>9826</v>
      </c>
      <c r="F1893" s="1" t="s">
        <v>9653</v>
      </c>
      <c r="G1893" s="1" t="s">
        <v>9654</v>
      </c>
      <c r="H1893" s="1" t="str">
        <f t="shared" si="29"/>
        <v>Status</v>
      </c>
    </row>
    <row r="1894" spans="1:8">
      <c r="A1894" s="1">
        <v>1893</v>
      </c>
      <c r="B1894" s="1" t="s">
        <v>18598</v>
      </c>
      <c r="C1894" s="1" t="s">
        <v>2477</v>
      </c>
      <c r="D1894" s="1" t="s">
        <v>9762</v>
      </c>
      <c r="E1894" s="1" t="s">
        <v>9828</v>
      </c>
      <c r="F1894" s="1" t="s">
        <v>9656</v>
      </c>
      <c r="G1894" s="1" t="s">
        <v>9657</v>
      </c>
      <c r="H1894" s="1" t="str">
        <f t="shared" si="29"/>
        <v>Temperature</v>
      </c>
    </row>
    <row r="1895" spans="1:8">
      <c r="A1895" s="1">
        <v>1894</v>
      </c>
      <c r="B1895" s="1" t="s">
        <v>18598</v>
      </c>
      <c r="C1895" s="1" t="s">
        <v>2479</v>
      </c>
      <c r="D1895" s="1" t="s">
        <v>9762</v>
      </c>
      <c r="E1895" s="1" t="s">
        <v>9830</v>
      </c>
      <c r="F1895" s="1" t="s">
        <v>9659</v>
      </c>
      <c r="G1895" s="1" t="s">
        <v>9660</v>
      </c>
      <c r="H1895" s="1" t="str">
        <f t="shared" si="29"/>
        <v>Temperature</v>
      </c>
    </row>
    <row r="1896" spans="1:8">
      <c r="A1896" s="1">
        <v>1895</v>
      </c>
      <c r="B1896" s="1" t="s">
        <v>18598</v>
      </c>
      <c r="C1896" s="1" t="s">
        <v>2481</v>
      </c>
      <c r="D1896" s="1" t="s">
        <v>9762</v>
      </c>
      <c r="E1896" s="1" t="s">
        <v>9832</v>
      </c>
      <c r="F1896" s="1" t="s">
        <v>9662</v>
      </c>
      <c r="G1896" s="1" t="s">
        <v>9663</v>
      </c>
      <c r="H1896" s="1" t="str">
        <f t="shared" si="29"/>
        <v>Temperature</v>
      </c>
    </row>
    <row r="1897" spans="1:8">
      <c r="A1897" s="1">
        <v>1896</v>
      </c>
      <c r="B1897" s="1" t="s">
        <v>18598</v>
      </c>
      <c r="C1897" s="1" t="s">
        <v>2483</v>
      </c>
      <c r="D1897" s="1" t="s">
        <v>9762</v>
      </c>
      <c r="E1897" s="1" t="s">
        <v>9834</v>
      </c>
      <c r="F1897" s="1" t="s">
        <v>9665</v>
      </c>
      <c r="G1897" s="1" t="s">
        <v>9666</v>
      </c>
      <c r="H1897" s="1" t="str">
        <f t="shared" si="29"/>
        <v>Temperature</v>
      </c>
    </row>
    <row r="1898" spans="1:8">
      <c r="A1898" s="1">
        <v>1897</v>
      </c>
      <c r="B1898" s="1" t="s">
        <v>18599</v>
      </c>
      <c r="C1898" s="1" t="s">
        <v>1480</v>
      </c>
      <c r="D1898" s="1" t="s">
        <v>9836</v>
      </c>
      <c r="E1898" s="1" t="s">
        <v>9837</v>
      </c>
      <c r="F1898" s="1" t="s">
        <v>2063</v>
      </c>
      <c r="G1898" s="1" t="s">
        <v>2064</v>
      </c>
      <c r="H1898" s="1" t="str">
        <f t="shared" si="29"/>
        <v>Load</v>
      </c>
    </row>
    <row r="1899" spans="1:8">
      <c r="A1899" s="1">
        <v>1898</v>
      </c>
      <c r="B1899" s="1" t="s">
        <v>18599</v>
      </c>
      <c r="C1899" s="1" t="s">
        <v>1485</v>
      </c>
      <c r="D1899" s="1" t="s">
        <v>9836</v>
      </c>
      <c r="E1899" s="1" t="s">
        <v>9839</v>
      </c>
      <c r="F1899" s="1" t="s">
        <v>2059</v>
      </c>
      <c r="G1899" s="1" t="s">
        <v>2060</v>
      </c>
      <c r="H1899" s="1" t="str">
        <f t="shared" si="29"/>
        <v>Load</v>
      </c>
    </row>
    <row r="1900" spans="1:8">
      <c r="A1900" s="1">
        <v>1899</v>
      </c>
      <c r="B1900" s="1" t="s">
        <v>18599</v>
      </c>
      <c r="C1900" s="1" t="s">
        <v>1489</v>
      </c>
      <c r="D1900" s="1" t="s">
        <v>9836</v>
      </c>
      <c r="E1900" s="1" t="s">
        <v>9841</v>
      </c>
      <c r="F1900" s="1" t="s">
        <v>2075</v>
      </c>
      <c r="G1900" s="1" t="s">
        <v>2076</v>
      </c>
      <c r="H1900" s="1" t="str">
        <f t="shared" si="29"/>
        <v>Status</v>
      </c>
    </row>
    <row r="1901" spans="1:8">
      <c r="A1901" s="1">
        <v>1900</v>
      </c>
      <c r="B1901" s="1" t="s">
        <v>18599</v>
      </c>
      <c r="C1901" s="1" t="s">
        <v>1493</v>
      </c>
      <c r="D1901" s="1" t="s">
        <v>9836</v>
      </c>
      <c r="E1901" s="1" t="s">
        <v>9843</v>
      </c>
      <c r="F1901" s="1" t="s">
        <v>2491</v>
      </c>
      <c r="G1901" s="1" t="s">
        <v>2492</v>
      </c>
      <c r="H1901" s="1" t="str">
        <f t="shared" si="29"/>
        <v>Status</v>
      </c>
    </row>
    <row r="1902" spans="1:8">
      <c r="A1902" s="1">
        <v>1901</v>
      </c>
      <c r="B1902" s="1" t="s">
        <v>18599</v>
      </c>
      <c r="C1902" s="1" t="s">
        <v>1497</v>
      </c>
      <c r="D1902" s="1" t="s">
        <v>9836</v>
      </c>
      <c r="E1902" s="1" t="s">
        <v>9845</v>
      </c>
      <c r="F1902" s="1" t="s">
        <v>2497</v>
      </c>
      <c r="G1902" s="1" t="s">
        <v>2498</v>
      </c>
      <c r="H1902" s="1" t="str">
        <f t="shared" si="29"/>
        <v>Status</v>
      </c>
    </row>
    <row r="1903" spans="1:8">
      <c r="A1903" s="1">
        <v>1902</v>
      </c>
      <c r="B1903" s="1" t="s">
        <v>18599</v>
      </c>
      <c r="C1903" s="1" t="s">
        <v>1501</v>
      </c>
      <c r="D1903" s="1" t="s">
        <v>9836</v>
      </c>
      <c r="E1903" s="1" t="s">
        <v>9847</v>
      </c>
      <c r="F1903" s="1" t="s">
        <v>2494</v>
      </c>
      <c r="G1903" s="1" t="s">
        <v>2495</v>
      </c>
      <c r="H1903" s="1" t="str">
        <f t="shared" si="29"/>
        <v>Status</v>
      </c>
    </row>
    <row r="1904" spans="1:8">
      <c r="A1904" s="1">
        <v>1903</v>
      </c>
      <c r="B1904" s="1" t="s">
        <v>18599</v>
      </c>
      <c r="C1904" s="1" t="s">
        <v>1505</v>
      </c>
      <c r="D1904" s="1" t="s">
        <v>9836</v>
      </c>
      <c r="E1904" s="1" t="s">
        <v>9849</v>
      </c>
      <c r="F1904" s="1" t="s">
        <v>2521</v>
      </c>
      <c r="G1904" s="1" t="s">
        <v>2522</v>
      </c>
      <c r="H1904" s="1" t="str">
        <f t="shared" si="29"/>
        <v>Status</v>
      </c>
    </row>
    <row r="1905" spans="1:8">
      <c r="A1905" s="1">
        <v>1904</v>
      </c>
      <c r="B1905" s="1" t="s">
        <v>18599</v>
      </c>
      <c r="C1905" s="1" t="s">
        <v>1509</v>
      </c>
      <c r="D1905" s="1" t="s">
        <v>9836</v>
      </c>
      <c r="E1905" s="1" t="s">
        <v>9851</v>
      </c>
      <c r="F1905" s="1" t="s">
        <v>2518</v>
      </c>
      <c r="G1905" s="1" t="s">
        <v>2519</v>
      </c>
      <c r="H1905" s="1" t="str">
        <f t="shared" si="29"/>
        <v>Status</v>
      </c>
    </row>
    <row r="1906" spans="1:8">
      <c r="A1906" s="1">
        <v>1905</v>
      </c>
      <c r="B1906" s="1" t="s">
        <v>18599</v>
      </c>
      <c r="C1906" s="1" t="s">
        <v>1513</v>
      </c>
      <c r="D1906" s="1" t="s">
        <v>9836</v>
      </c>
      <c r="E1906" s="1" t="s">
        <v>9853</v>
      </c>
      <c r="F1906" s="1" t="s">
        <v>2512</v>
      </c>
      <c r="G1906" s="1" t="s">
        <v>2513</v>
      </c>
      <c r="H1906" s="1" t="str">
        <f t="shared" si="29"/>
        <v>Status</v>
      </c>
    </row>
    <row r="1907" spans="1:8">
      <c r="A1907" s="1">
        <v>1906</v>
      </c>
      <c r="B1907" s="1" t="s">
        <v>18599</v>
      </c>
      <c r="C1907" s="1" t="s">
        <v>1517</v>
      </c>
      <c r="D1907" s="1" t="s">
        <v>9836</v>
      </c>
      <c r="E1907" s="1" t="s">
        <v>9855</v>
      </c>
      <c r="F1907" s="1" t="s">
        <v>2503</v>
      </c>
      <c r="G1907" s="1" t="s">
        <v>2504</v>
      </c>
      <c r="H1907" s="1" t="str">
        <f t="shared" si="29"/>
        <v>Status</v>
      </c>
    </row>
    <row r="1908" spans="1:8">
      <c r="A1908" s="1">
        <v>1907</v>
      </c>
      <c r="B1908" s="1" t="s">
        <v>18599</v>
      </c>
      <c r="C1908" s="1" t="s">
        <v>1521</v>
      </c>
      <c r="D1908" s="1" t="s">
        <v>9836</v>
      </c>
      <c r="E1908" s="1" t="s">
        <v>9857</v>
      </c>
      <c r="F1908" s="1" t="s">
        <v>2500</v>
      </c>
      <c r="G1908" s="1" t="s">
        <v>2501</v>
      </c>
      <c r="H1908" s="1" t="str">
        <f t="shared" si="29"/>
        <v>Status</v>
      </c>
    </row>
    <row r="1909" spans="1:8">
      <c r="A1909" s="1">
        <v>1908</v>
      </c>
      <c r="B1909" s="1" t="s">
        <v>18599</v>
      </c>
      <c r="C1909" s="1" t="s">
        <v>1525</v>
      </c>
      <c r="D1909" s="1" t="s">
        <v>9836</v>
      </c>
      <c r="E1909" s="1" t="s">
        <v>9859</v>
      </c>
      <c r="F1909" s="1" t="s">
        <v>2509</v>
      </c>
      <c r="G1909" s="1" t="s">
        <v>2510</v>
      </c>
      <c r="H1909" s="1" t="str">
        <f t="shared" si="29"/>
        <v>Status</v>
      </c>
    </row>
    <row r="1910" spans="1:8">
      <c r="A1910" s="1">
        <v>1909</v>
      </c>
      <c r="B1910" s="1" t="s">
        <v>18599</v>
      </c>
      <c r="C1910" s="1" t="s">
        <v>1529</v>
      </c>
      <c r="D1910" s="1" t="s">
        <v>9836</v>
      </c>
      <c r="E1910" s="1" t="s">
        <v>9861</v>
      </c>
      <c r="F1910" s="1" t="s">
        <v>2515</v>
      </c>
      <c r="G1910" s="1" t="s">
        <v>2516</v>
      </c>
      <c r="H1910" s="1" t="str">
        <f t="shared" si="29"/>
        <v>Status</v>
      </c>
    </row>
    <row r="1911" spans="1:8">
      <c r="A1911" s="1">
        <v>1910</v>
      </c>
      <c r="B1911" s="1" t="s">
        <v>18599</v>
      </c>
      <c r="C1911" s="1" t="s">
        <v>1533</v>
      </c>
      <c r="D1911" s="1" t="s">
        <v>9836</v>
      </c>
      <c r="E1911" s="1" t="s">
        <v>9863</v>
      </c>
      <c r="F1911" s="1" t="s">
        <v>2506</v>
      </c>
      <c r="G1911" s="1" t="s">
        <v>2507</v>
      </c>
      <c r="H1911" s="1" t="str">
        <f t="shared" si="29"/>
        <v>Status</v>
      </c>
    </row>
    <row r="1912" spans="1:8">
      <c r="A1912" s="1">
        <v>1911</v>
      </c>
      <c r="B1912" s="1" t="s">
        <v>18599</v>
      </c>
      <c r="C1912" s="1" t="s">
        <v>1537</v>
      </c>
      <c r="D1912" s="1" t="s">
        <v>9836</v>
      </c>
      <c r="E1912" s="1" t="s">
        <v>9865</v>
      </c>
      <c r="F1912" s="1" t="s">
        <v>9650</v>
      </c>
      <c r="G1912" s="1" t="s">
        <v>9651</v>
      </c>
      <c r="H1912" s="1" t="str">
        <f t="shared" si="29"/>
        <v>Status</v>
      </c>
    </row>
    <row r="1913" spans="1:8">
      <c r="A1913" s="1">
        <v>1912</v>
      </c>
      <c r="B1913" s="1" t="s">
        <v>18599</v>
      </c>
      <c r="C1913" s="1" t="s">
        <v>1541</v>
      </c>
      <c r="D1913" s="1" t="s">
        <v>9836</v>
      </c>
      <c r="E1913" s="1" t="s">
        <v>9867</v>
      </c>
      <c r="F1913" s="1" t="s">
        <v>9653</v>
      </c>
      <c r="G1913" s="1" t="s">
        <v>9654</v>
      </c>
      <c r="H1913" s="1" t="str">
        <f t="shared" si="29"/>
        <v>Status</v>
      </c>
    </row>
    <row r="1914" spans="1:8">
      <c r="A1914" s="1">
        <v>1913</v>
      </c>
      <c r="B1914" s="1" t="s">
        <v>18600</v>
      </c>
      <c r="C1914" s="1" t="s">
        <v>2526</v>
      </c>
      <c r="D1914" s="1" t="s">
        <v>9869</v>
      </c>
      <c r="E1914" s="1" t="s">
        <v>9870</v>
      </c>
      <c r="F1914" s="1" t="s">
        <v>2055</v>
      </c>
      <c r="G1914" s="1" t="s">
        <v>2056</v>
      </c>
      <c r="H1914" s="1" t="str">
        <f t="shared" si="29"/>
        <v>Battery</v>
      </c>
    </row>
    <row r="1915" spans="1:8">
      <c r="A1915" s="1">
        <v>1914</v>
      </c>
      <c r="B1915" s="1" t="s">
        <v>18600</v>
      </c>
      <c r="C1915" s="1" t="s">
        <v>2529</v>
      </c>
      <c r="D1915" s="1" t="s">
        <v>9869</v>
      </c>
      <c r="E1915" s="1" t="s">
        <v>9872</v>
      </c>
      <c r="F1915" s="1" t="s">
        <v>2051</v>
      </c>
      <c r="G1915" s="1" t="s">
        <v>2052</v>
      </c>
      <c r="H1915" s="1" t="str">
        <f t="shared" si="29"/>
        <v>Battery</v>
      </c>
    </row>
    <row r="1916" spans="1:8">
      <c r="A1916" s="1">
        <v>1915</v>
      </c>
      <c r="B1916" s="1" t="s">
        <v>18600</v>
      </c>
      <c r="C1916" s="1" t="s">
        <v>2531</v>
      </c>
      <c r="D1916" s="1" t="s">
        <v>9869</v>
      </c>
      <c r="E1916" s="1" t="s">
        <v>9874</v>
      </c>
      <c r="F1916" s="1" t="s">
        <v>2583</v>
      </c>
      <c r="G1916" s="1" t="s">
        <v>2584</v>
      </c>
      <c r="H1916" s="1" t="str">
        <f t="shared" si="29"/>
        <v>Status</v>
      </c>
    </row>
    <row r="1917" spans="1:8">
      <c r="A1917" s="1">
        <v>1916</v>
      </c>
      <c r="B1917" s="1" t="s">
        <v>18600</v>
      </c>
      <c r="C1917" s="1" t="s">
        <v>2533</v>
      </c>
      <c r="D1917" s="1" t="s">
        <v>9869</v>
      </c>
      <c r="E1917" s="1" t="s">
        <v>9876</v>
      </c>
      <c r="F1917" s="1" t="s">
        <v>2131</v>
      </c>
      <c r="G1917" s="1" t="s">
        <v>2132</v>
      </c>
      <c r="H1917" s="1" t="str">
        <f t="shared" si="29"/>
        <v>Status</v>
      </c>
    </row>
    <row r="1918" spans="1:8">
      <c r="A1918" s="1">
        <v>1917</v>
      </c>
      <c r="B1918" s="1" t="s">
        <v>18600</v>
      </c>
      <c r="C1918" s="1" t="s">
        <v>2535</v>
      </c>
      <c r="D1918" s="1" t="s">
        <v>9869</v>
      </c>
      <c r="E1918" s="1" t="s">
        <v>9878</v>
      </c>
      <c r="F1918" s="1" t="s">
        <v>2549</v>
      </c>
      <c r="G1918" s="1" t="s">
        <v>2550</v>
      </c>
      <c r="H1918" s="1" t="str">
        <f t="shared" si="29"/>
        <v>Status</v>
      </c>
    </row>
    <row r="1919" spans="1:8">
      <c r="A1919" s="1">
        <v>1918</v>
      </c>
      <c r="B1919" s="1" t="s">
        <v>18600</v>
      </c>
      <c r="C1919" s="1" t="s">
        <v>2537</v>
      </c>
      <c r="D1919" s="1" t="s">
        <v>9869</v>
      </c>
      <c r="E1919" s="1" t="s">
        <v>9880</v>
      </c>
      <c r="F1919" s="1" t="s">
        <v>2111</v>
      </c>
      <c r="G1919" s="1" t="s">
        <v>2112</v>
      </c>
      <c r="H1919" s="1" t="str">
        <f t="shared" si="29"/>
        <v>Status</v>
      </c>
    </row>
    <row r="1920" spans="1:8">
      <c r="A1920" s="1">
        <v>1919</v>
      </c>
      <c r="B1920" s="1" t="s">
        <v>18600</v>
      </c>
      <c r="C1920" s="1" t="s">
        <v>2539</v>
      </c>
      <c r="D1920" s="1" t="s">
        <v>9869</v>
      </c>
      <c r="E1920" s="1" t="s">
        <v>9882</v>
      </c>
      <c r="F1920" s="1" t="s">
        <v>2579</v>
      </c>
      <c r="G1920" s="1" t="s">
        <v>2580</v>
      </c>
      <c r="H1920" s="1" t="str">
        <f t="shared" si="29"/>
        <v>Status</v>
      </c>
    </row>
    <row r="1921" spans="1:8">
      <c r="A1921" s="1">
        <v>1920</v>
      </c>
      <c r="B1921" s="1" t="s">
        <v>18600</v>
      </c>
      <c r="C1921" s="1" t="s">
        <v>2543</v>
      </c>
      <c r="D1921" s="1" t="s">
        <v>9869</v>
      </c>
      <c r="E1921" s="1" t="s">
        <v>9884</v>
      </c>
      <c r="F1921" s="1" t="s">
        <v>2099</v>
      </c>
      <c r="G1921" s="1" t="s">
        <v>2100</v>
      </c>
      <c r="H1921" s="1" t="str">
        <f t="shared" si="29"/>
        <v>Status</v>
      </c>
    </row>
    <row r="1922" spans="1:8">
      <c r="A1922" s="1">
        <v>1921</v>
      </c>
      <c r="B1922" s="1" t="s">
        <v>18600</v>
      </c>
      <c r="C1922" s="1" t="s">
        <v>2545</v>
      </c>
      <c r="D1922" s="1" t="s">
        <v>9869</v>
      </c>
      <c r="E1922" s="1" t="s">
        <v>9886</v>
      </c>
      <c r="F1922" s="1" t="s">
        <v>2411</v>
      </c>
      <c r="G1922" s="1" t="s">
        <v>2412</v>
      </c>
      <c r="H1922" s="1" t="str">
        <f t="shared" ref="H1922:H1985" si="30">IFERROR(IF(OR(MID(G1922,FIND(":",G1922)-1,1)="""",MID(G1922,FIND(":",G1922)-1,1)="}",MID(G1922,FIND(":",G1922)-1,1)=")",MID(G1922,FIND(":",G1922)-1,1)="]"),"",LEFT(F1922,FIND(":",F1922)-1)),"")</f>
        <v>Status</v>
      </c>
    </row>
    <row r="1923" spans="1:8">
      <c r="A1923" s="1">
        <v>1922</v>
      </c>
      <c r="B1923" s="1" t="s">
        <v>18600</v>
      </c>
      <c r="C1923" s="1" t="s">
        <v>2547</v>
      </c>
      <c r="D1923" s="1" t="s">
        <v>9869</v>
      </c>
      <c r="E1923" s="1" t="s">
        <v>9888</v>
      </c>
      <c r="F1923" s="1" t="s">
        <v>2591</v>
      </c>
      <c r="G1923" s="1" t="s">
        <v>2592</v>
      </c>
      <c r="H1923" s="1" t="str">
        <f t="shared" si="30"/>
        <v>Status</v>
      </c>
    </row>
    <row r="1924" spans="1:8">
      <c r="A1924" s="1">
        <v>1923</v>
      </c>
      <c r="B1924" s="1" t="s">
        <v>18600</v>
      </c>
      <c r="C1924" s="1" t="s">
        <v>2551</v>
      </c>
      <c r="D1924" s="1" t="s">
        <v>9869</v>
      </c>
      <c r="E1924" s="1" t="s">
        <v>9890</v>
      </c>
      <c r="F1924" s="1" t="s">
        <v>2597</v>
      </c>
      <c r="G1924" s="1" t="s">
        <v>2598</v>
      </c>
      <c r="H1924" s="1" t="str">
        <f t="shared" si="30"/>
        <v>Status</v>
      </c>
    </row>
    <row r="1925" spans="1:8">
      <c r="A1925" s="1">
        <v>1924</v>
      </c>
      <c r="B1925" s="1" t="s">
        <v>18600</v>
      </c>
      <c r="C1925" s="1" t="s">
        <v>2553</v>
      </c>
      <c r="D1925" s="1" t="s">
        <v>9869</v>
      </c>
      <c r="E1925" s="1" t="s">
        <v>9892</v>
      </c>
      <c r="F1925" s="1" t="s">
        <v>2601</v>
      </c>
      <c r="G1925" s="1" t="s">
        <v>2602</v>
      </c>
      <c r="H1925" s="1" t="str">
        <f t="shared" si="30"/>
        <v>Status</v>
      </c>
    </row>
    <row r="1926" spans="1:8">
      <c r="A1926" s="1">
        <v>1925</v>
      </c>
      <c r="B1926" s="1" t="s">
        <v>18600</v>
      </c>
      <c r="C1926" s="1" t="s">
        <v>2555</v>
      </c>
      <c r="D1926" s="1" t="s">
        <v>9869</v>
      </c>
      <c r="E1926" s="1" t="s">
        <v>9894</v>
      </c>
      <c r="F1926" s="1" t="s">
        <v>2617</v>
      </c>
      <c r="G1926" s="1" t="s">
        <v>2618</v>
      </c>
      <c r="H1926" s="1" t="str">
        <f t="shared" si="30"/>
        <v>Status</v>
      </c>
    </row>
    <row r="1927" spans="1:8">
      <c r="A1927" s="1">
        <v>1926</v>
      </c>
      <c r="B1927" s="1" t="s">
        <v>18600</v>
      </c>
      <c r="C1927" s="1" t="s">
        <v>2557</v>
      </c>
      <c r="D1927" s="1" t="s">
        <v>9869</v>
      </c>
      <c r="E1927" s="1" t="s">
        <v>9896</v>
      </c>
      <c r="F1927" s="1" t="s">
        <v>2613</v>
      </c>
      <c r="G1927" s="1" t="s">
        <v>2614</v>
      </c>
      <c r="H1927" s="1" t="str">
        <f t="shared" si="30"/>
        <v>Status</v>
      </c>
    </row>
    <row r="1928" spans="1:8">
      <c r="A1928" s="1">
        <v>1927</v>
      </c>
      <c r="B1928" s="1" t="s">
        <v>18600</v>
      </c>
      <c r="C1928" s="1" t="s">
        <v>2561</v>
      </c>
      <c r="D1928" s="1" t="s">
        <v>9869</v>
      </c>
      <c r="E1928" s="1" t="s">
        <v>9898</v>
      </c>
      <c r="F1928" s="1" t="s">
        <v>2075</v>
      </c>
      <c r="G1928" s="1" t="s">
        <v>2076</v>
      </c>
      <c r="H1928" s="1" t="str">
        <f t="shared" si="30"/>
        <v>Status</v>
      </c>
    </row>
    <row r="1929" spans="1:8">
      <c r="A1929" s="1">
        <v>1928</v>
      </c>
      <c r="B1929" s="1" t="s">
        <v>18600</v>
      </c>
      <c r="C1929" s="1" t="s">
        <v>2563</v>
      </c>
      <c r="D1929" s="1" t="s">
        <v>9869</v>
      </c>
      <c r="E1929" s="1" t="s">
        <v>9900</v>
      </c>
      <c r="F1929" s="1" t="s">
        <v>2079</v>
      </c>
      <c r="G1929" s="1" t="s">
        <v>2080</v>
      </c>
      <c r="H1929" s="1" t="str">
        <f t="shared" si="30"/>
        <v>Status</v>
      </c>
    </row>
    <row r="1930" spans="1:8">
      <c r="A1930" s="1">
        <v>1929</v>
      </c>
      <c r="B1930" s="1" t="s">
        <v>18600</v>
      </c>
      <c r="C1930" s="1" t="s">
        <v>2565</v>
      </c>
      <c r="D1930" s="1" t="s">
        <v>9869</v>
      </c>
      <c r="E1930" s="1" t="s">
        <v>9902</v>
      </c>
      <c r="F1930" s="1" t="s">
        <v>2571</v>
      </c>
      <c r="G1930" s="1" t="s">
        <v>2572</v>
      </c>
      <c r="H1930" s="1" t="str">
        <f t="shared" si="30"/>
        <v>Status</v>
      </c>
    </row>
    <row r="1931" spans="1:8">
      <c r="A1931" s="1">
        <v>1930</v>
      </c>
      <c r="B1931" s="1" t="s">
        <v>18600</v>
      </c>
      <c r="C1931" s="1" t="s">
        <v>2569</v>
      </c>
      <c r="D1931" s="1" t="s">
        <v>9869</v>
      </c>
      <c r="E1931" s="1" t="s">
        <v>9904</v>
      </c>
      <c r="F1931" s="1" t="s">
        <v>2541</v>
      </c>
      <c r="G1931" s="1" t="s">
        <v>2542</v>
      </c>
      <c r="H1931" s="1" t="str">
        <f t="shared" si="30"/>
        <v>Status</v>
      </c>
    </row>
    <row r="1932" spans="1:8">
      <c r="A1932" s="1">
        <v>1931</v>
      </c>
      <c r="B1932" s="1" t="s">
        <v>18600</v>
      </c>
      <c r="C1932" s="1" t="s">
        <v>2573</v>
      </c>
      <c r="D1932" s="1" t="s">
        <v>9869</v>
      </c>
      <c r="E1932" s="1" t="s">
        <v>9906</v>
      </c>
      <c r="F1932" s="1" t="s">
        <v>2559</v>
      </c>
      <c r="G1932" s="1" t="s">
        <v>2560</v>
      </c>
      <c r="H1932" s="1" t="str">
        <f t="shared" si="30"/>
        <v>Status</v>
      </c>
    </row>
    <row r="1933" spans="1:8">
      <c r="A1933" s="1">
        <v>1932</v>
      </c>
      <c r="B1933" s="1" t="s">
        <v>18600</v>
      </c>
      <c r="C1933" s="1" t="s">
        <v>2577</v>
      </c>
      <c r="D1933" s="1" t="s">
        <v>9869</v>
      </c>
      <c r="E1933" s="1" t="s">
        <v>9908</v>
      </c>
      <c r="F1933" s="1" t="s">
        <v>2605</v>
      </c>
      <c r="G1933" s="1" t="s">
        <v>2606</v>
      </c>
      <c r="H1933" s="1" t="str">
        <f t="shared" si="30"/>
        <v>Status</v>
      </c>
    </row>
    <row r="1934" spans="1:8">
      <c r="A1934" s="1">
        <v>1933</v>
      </c>
      <c r="B1934" s="1" t="s">
        <v>18600</v>
      </c>
      <c r="C1934" s="1" t="s">
        <v>2581</v>
      </c>
      <c r="D1934" s="1" t="s">
        <v>9869</v>
      </c>
      <c r="E1934" s="1" t="s">
        <v>9910</v>
      </c>
      <c r="F1934" s="1" t="s">
        <v>2575</v>
      </c>
      <c r="G1934" s="1" t="s">
        <v>2576</v>
      </c>
      <c r="H1934" s="1" t="str">
        <f t="shared" si="30"/>
        <v>Status</v>
      </c>
    </row>
    <row r="1935" spans="1:8">
      <c r="A1935" s="1">
        <v>1934</v>
      </c>
      <c r="B1935" s="1" t="s">
        <v>18600</v>
      </c>
      <c r="C1935" s="1" t="s">
        <v>2585</v>
      </c>
      <c r="D1935" s="1" t="s">
        <v>9869</v>
      </c>
      <c r="E1935" s="1" t="s">
        <v>9912</v>
      </c>
      <c r="F1935" s="1" t="s">
        <v>2425</v>
      </c>
      <c r="G1935" s="1" t="s">
        <v>2426</v>
      </c>
      <c r="H1935" s="1" t="str">
        <f t="shared" si="30"/>
        <v>Status</v>
      </c>
    </row>
    <row r="1936" spans="1:8">
      <c r="A1936" s="1">
        <v>1935</v>
      </c>
      <c r="B1936" s="1" t="s">
        <v>18600</v>
      </c>
      <c r="C1936" s="1" t="s">
        <v>2589</v>
      </c>
      <c r="D1936" s="1" t="s">
        <v>9869</v>
      </c>
      <c r="E1936" s="1" t="s">
        <v>9914</v>
      </c>
      <c r="F1936" s="1" t="s">
        <v>2567</v>
      </c>
      <c r="G1936" s="1" t="s">
        <v>2568</v>
      </c>
      <c r="H1936" s="1" t="str">
        <f t="shared" si="30"/>
        <v>Status</v>
      </c>
    </row>
    <row r="1937" spans="1:8">
      <c r="A1937" s="1">
        <v>1936</v>
      </c>
      <c r="B1937" s="1" t="s">
        <v>18600</v>
      </c>
      <c r="C1937" s="1" t="s">
        <v>2593</v>
      </c>
      <c r="D1937" s="1" t="s">
        <v>9869</v>
      </c>
      <c r="E1937" s="1" t="s">
        <v>9916</v>
      </c>
      <c r="F1937" s="1" t="s">
        <v>2587</v>
      </c>
      <c r="G1937" s="1" t="s">
        <v>2588</v>
      </c>
      <c r="H1937" s="1" t="str">
        <f t="shared" si="30"/>
        <v>Status</v>
      </c>
    </row>
    <row r="1938" spans="1:8">
      <c r="A1938" s="1">
        <v>1937</v>
      </c>
      <c r="B1938" s="1" t="s">
        <v>18600</v>
      </c>
      <c r="C1938" s="1" t="s">
        <v>2595</v>
      </c>
      <c r="D1938" s="1" t="s">
        <v>9869</v>
      </c>
      <c r="E1938" s="1" t="s">
        <v>9918</v>
      </c>
      <c r="F1938" s="1" t="s">
        <v>2071</v>
      </c>
      <c r="G1938" s="1" t="s">
        <v>2072</v>
      </c>
      <c r="H1938" s="1" t="str">
        <f t="shared" si="30"/>
        <v>Status</v>
      </c>
    </row>
    <row r="1939" spans="1:8">
      <c r="A1939" s="1">
        <v>1938</v>
      </c>
      <c r="B1939" s="1" t="s">
        <v>18600</v>
      </c>
      <c r="C1939" s="1" t="s">
        <v>2599</v>
      </c>
      <c r="D1939" s="1" t="s">
        <v>9869</v>
      </c>
      <c r="E1939" s="1" t="s">
        <v>9920</v>
      </c>
      <c r="F1939" s="1" t="s">
        <v>2417</v>
      </c>
      <c r="G1939" s="1" t="s">
        <v>2418</v>
      </c>
      <c r="H1939" s="1" t="str">
        <f t="shared" si="30"/>
        <v>Status</v>
      </c>
    </row>
    <row r="1940" spans="1:8">
      <c r="A1940" s="1">
        <v>1939</v>
      </c>
      <c r="B1940" s="1" t="s">
        <v>18600</v>
      </c>
      <c r="C1940" s="1" t="s">
        <v>2603</v>
      </c>
      <c r="D1940" s="1" t="s">
        <v>9869</v>
      </c>
      <c r="E1940" s="1" t="s">
        <v>9922</v>
      </c>
      <c r="F1940" s="1" t="s">
        <v>2067</v>
      </c>
      <c r="G1940" s="1" t="s">
        <v>2068</v>
      </c>
      <c r="H1940" s="1" t="str">
        <f t="shared" si="30"/>
        <v>Status</v>
      </c>
    </row>
    <row r="1941" spans="1:8">
      <c r="A1941" s="1">
        <v>1940</v>
      </c>
      <c r="B1941" s="1" t="s">
        <v>18600</v>
      </c>
      <c r="C1941" s="1" t="s">
        <v>2607</v>
      </c>
      <c r="D1941" s="1" t="s">
        <v>9869</v>
      </c>
      <c r="E1941" s="1" t="s">
        <v>9924</v>
      </c>
      <c r="F1941" s="1" t="s">
        <v>2621</v>
      </c>
      <c r="G1941" s="1" t="s">
        <v>2622</v>
      </c>
      <c r="H1941" s="1" t="str">
        <f t="shared" si="30"/>
        <v>Status</v>
      </c>
    </row>
    <row r="1942" spans="1:8">
      <c r="A1942" s="1">
        <v>1941</v>
      </c>
      <c r="B1942" s="1" t="s">
        <v>18600</v>
      </c>
      <c r="C1942" s="1" t="s">
        <v>2611</v>
      </c>
      <c r="D1942" s="1" t="s">
        <v>9869</v>
      </c>
      <c r="E1942" s="1" t="s">
        <v>9926</v>
      </c>
      <c r="F1942" s="1" t="s">
        <v>2609</v>
      </c>
      <c r="G1942" s="1" t="s">
        <v>2610</v>
      </c>
      <c r="H1942" s="1" t="str">
        <f t="shared" si="30"/>
        <v>Status</v>
      </c>
    </row>
    <row r="1943" spans="1:8">
      <c r="A1943" s="1">
        <v>1942</v>
      </c>
      <c r="B1943" s="1" t="s">
        <v>18600</v>
      </c>
      <c r="C1943" s="1" t="s">
        <v>2615</v>
      </c>
      <c r="D1943" s="1" t="s">
        <v>9869</v>
      </c>
      <c r="E1943" s="1" t="s">
        <v>9928</v>
      </c>
      <c r="F1943" s="1" t="s">
        <v>2421</v>
      </c>
      <c r="G1943" s="1" t="s">
        <v>2422</v>
      </c>
      <c r="H1943" s="1" t="str">
        <f t="shared" si="30"/>
        <v>Status</v>
      </c>
    </row>
    <row r="1944" spans="1:8">
      <c r="A1944" s="1">
        <v>1943</v>
      </c>
      <c r="B1944" s="1" t="s">
        <v>18600</v>
      </c>
      <c r="C1944" s="1" t="s">
        <v>2619</v>
      </c>
      <c r="D1944" s="1" t="s">
        <v>9869</v>
      </c>
      <c r="E1944" s="1" t="s">
        <v>9930</v>
      </c>
      <c r="F1944" s="1" t="s">
        <v>2115</v>
      </c>
      <c r="G1944" s="1" t="s">
        <v>2116</v>
      </c>
      <c r="H1944" s="1" t="str">
        <f t="shared" si="30"/>
        <v>Status</v>
      </c>
    </row>
    <row r="1945" spans="1:8">
      <c r="A1945" s="1">
        <v>1944</v>
      </c>
      <c r="B1945" s="1" t="s">
        <v>18600</v>
      </c>
      <c r="C1945" s="1" t="s">
        <v>2623</v>
      </c>
      <c r="D1945" s="1" t="s">
        <v>9869</v>
      </c>
      <c r="E1945" s="1" t="s">
        <v>9932</v>
      </c>
      <c r="F1945" s="1" t="s">
        <v>2639</v>
      </c>
      <c r="G1945" s="1" t="s">
        <v>2640</v>
      </c>
      <c r="H1945" s="1" t="str">
        <f t="shared" si="30"/>
        <v>Status</v>
      </c>
    </row>
    <row r="1946" spans="1:8">
      <c r="A1946" s="1">
        <v>1945</v>
      </c>
      <c r="B1946" s="1" t="s">
        <v>18600</v>
      </c>
      <c r="C1946" s="1" t="s">
        <v>2625</v>
      </c>
      <c r="D1946" s="1" t="s">
        <v>9869</v>
      </c>
      <c r="E1946" s="1" t="s">
        <v>9934</v>
      </c>
      <c r="F1946" s="1" t="s">
        <v>2635</v>
      </c>
      <c r="G1946" s="1" t="s">
        <v>2636</v>
      </c>
      <c r="H1946" s="1" t="str">
        <f t="shared" si="30"/>
        <v>Status</v>
      </c>
    </row>
    <row r="1947" spans="1:8">
      <c r="A1947" s="1">
        <v>1946</v>
      </c>
      <c r="B1947" s="1" t="s">
        <v>18600</v>
      </c>
      <c r="C1947" s="1" t="s">
        <v>2629</v>
      </c>
      <c r="D1947" s="1" t="s">
        <v>9869</v>
      </c>
      <c r="E1947" s="1" t="s">
        <v>9936</v>
      </c>
      <c r="F1947" s="1" t="s">
        <v>2673</v>
      </c>
      <c r="G1947" s="1" t="s">
        <v>2674</v>
      </c>
      <c r="H1947" s="1" t="str">
        <f t="shared" si="30"/>
        <v>Status</v>
      </c>
    </row>
    <row r="1948" spans="1:8">
      <c r="A1948" s="1">
        <v>1947</v>
      </c>
      <c r="B1948" s="1" t="s">
        <v>18600</v>
      </c>
      <c r="C1948" s="1" t="s">
        <v>2633</v>
      </c>
      <c r="D1948" s="1" t="s">
        <v>9869</v>
      </c>
      <c r="E1948" s="1" t="s">
        <v>9938</v>
      </c>
      <c r="F1948" s="1" t="s">
        <v>2717</v>
      </c>
      <c r="G1948" s="1" t="s">
        <v>2718</v>
      </c>
      <c r="H1948" s="1" t="str">
        <f t="shared" si="30"/>
        <v>Status</v>
      </c>
    </row>
    <row r="1949" spans="1:8">
      <c r="A1949" s="1">
        <v>1948</v>
      </c>
      <c r="B1949" s="1" t="s">
        <v>18600</v>
      </c>
      <c r="C1949" s="1" t="s">
        <v>2637</v>
      </c>
      <c r="D1949" s="1" t="s">
        <v>9869</v>
      </c>
      <c r="E1949" s="1" t="s">
        <v>9940</v>
      </c>
      <c r="F1949" s="1" t="s">
        <v>2665</v>
      </c>
      <c r="G1949" s="1" t="s">
        <v>2666</v>
      </c>
      <c r="H1949" s="1" t="str">
        <f t="shared" si="30"/>
        <v>Status</v>
      </c>
    </row>
    <row r="1950" spans="1:8">
      <c r="A1950" s="1">
        <v>1949</v>
      </c>
      <c r="B1950" s="1" t="s">
        <v>18600</v>
      </c>
      <c r="C1950" s="1" t="s">
        <v>2641</v>
      </c>
      <c r="D1950" s="1" t="s">
        <v>9869</v>
      </c>
      <c r="E1950" s="1" t="s">
        <v>9942</v>
      </c>
      <c r="F1950" s="1" t="s">
        <v>2661</v>
      </c>
      <c r="G1950" s="1" t="s">
        <v>2662</v>
      </c>
      <c r="H1950" s="1" t="str">
        <f t="shared" si="30"/>
        <v>Status</v>
      </c>
    </row>
    <row r="1951" spans="1:8">
      <c r="A1951" s="1">
        <v>1950</v>
      </c>
      <c r="B1951" s="1" t="s">
        <v>18600</v>
      </c>
      <c r="C1951" s="1" t="s">
        <v>2645</v>
      </c>
      <c r="D1951" s="1" t="s">
        <v>9869</v>
      </c>
      <c r="E1951" s="1" t="s">
        <v>9944</v>
      </c>
      <c r="F1951" s="1" t="s">
        <v>2709</v>
      </c>
      <c r="G1951" s="1" t="s">
        <v>2710</v>
      </c>
      <c r="H1951" s="1" t="str">
        <f t="shared" si="30"/>
        <v>Status</v>
      </c>
    </row>
    <row r="1952" spans="1:8">
      <c r="A1952" s="1">
        <v>1951</v>
      </c>
      <c r="B1952" s="1" t="s">
        <v>18600</v>
      </c>
      <c r="C1952" s="1" t="s">
        <v>2647</v>
      </c>
      <c r="D1952" s="1" t="s">
        <v>9869</v>
      </c>
      <c r="E1952" s="1" t="s">
        <v>9946</v>
      </c>
      <c r="F1952" s="1" t="s">
        <v>2521</v>
      </c>
      <c r="G1952" s="1" t="s">
        <v>2522</v>
      </c>
      <c r="H1952" s="1" t="str">
        <f t="shared" si="30"/>
        <v>Status</v>
      </c>
    </row>
    <row r="1953" spans="1:8">
      <c r="A1953" s="1">
        <v>1952</v>
      </c>
      <c r="B1953" s="1" t="s">
        <v>18600</v>
      </c>
      <c r="C1953" s="1" t="s">
        <v>2651</v>
      </c>
      <c r="D1953" s="1" t="s">
        <v>9869</v>
      </c>
      <c r="E1953" s="1" t="s">
        <v>9948</v>
      </c>
      <c r="F1953" s="1" t="s">
        <v>2643</v>
      </c>
      <c r="G1953" s="1" t="s">
        <v>2644</v>
      </c>
      <c r="H1953" s="1" t="str">
        <f t="shared" si="30"/>
        <v>Status</v>
      </c>
    </row>
    <row r="1954" spans="1:8">
      <c r="A1954" s="1">
        <v>1953</v>
      </c>
      <c r="B1954" s="1" t="s">
        <v>18600</v>
      </c>
      <c r="C1954" s="1" t="s">
        <v>2655</v>
      </c>
      <c r="D1954" s="1" t="s">
        <v>9869</v>
      </c>
      <c r="E1954" s="1" t="s">
        <v>9950</v>
      </c>
      <c r="F1954" s="1" t="s">
        <v>2657</v>
      </c>
      <c r="G1954" s="1" t="s">
        <v>2658</v>
      </c>
      <c r="H1954" s="1" t="str">
        <f t="shared" si="30"/>
        <v>Status</v>
      </c>
    </row>
    <row r="1955" spans="1:8">
      <c r="A1955" s="1">
        <v>1954</v>
      </c>
      <c r="B1955" s="1" t="s">
        <v>18600</v>
      </c>
      <c r="C1955" s="1" t="s">
        <v>2659</v>
      </c>
      <c r="D1955" s="1" t="s">
        <v>9869</v>
      </c>
      <c r="E1955" s="1" t="s">
        <v>9952</v>
      </c>
      <c r="F1955" s="1" t="s">
        <v>2681</v>
      </c>
      <c r="G1955" s="1" t="s">
        <v>2682</v>
      </c>
      <c r="H1955" s="1" t="str">
        <f t="shared" si="30"/>
        <v>Status</v>
      </c>
    </row>
    <row r="1956" spans="1:8">
      <c r="A1956" s="1">
        <v>1955</v>
      </c>
      <c r="B1956" s="1" t="s">
        <v>18600</v>
      </c>
      <c r="C1956" s="1" t="s">
        <v>2663</v>
      </c>
      <c r="D1956" s="1" t="s">
        <v>9869</v>
      </c>
      <c r="E1956" s="1" t="s">
        <v>9954</v>
      </c>
      <c r="F1956" s="1" t="s">
        <v>2685</v>
      </c>
      <c r="G1956" s="1" t="s">
        <v>2686</v>
      </c>
      <c r="H1956" s="1" t="str">
        <f t="shared" si="30"/>
        <v>Status</v>
      </c>
    </row>
    <row r="1957" spans="1:8">
      <c r="A1957" s="1">
        <v>1956</v>
      </c>
      <c r="B1957" s="1" t="s">
        <v>18600</v>
      </c>
      <c r="C1957" s="1" t="s">
        <v>2667</v>
      </c>
      <c r="D1957" s="1" t="s">
        <v>9869</v>
      </c>
      <c r="E1957" s="1" t="s">
        <v>9956</v>
      </c>
      <c r="F1957" s="1" t="s">
        <v>2689</v>
      </c>
      <c r="G1957" s="1" t="s">
        <v>2690</v>
      </c>
      <c r="H1957" s="1" t="str">
        <f t="shared" si="30"/>
        <v>Status</v>
      </c>
    </row>
    <row r="1958" spans="1:8">
      <c r="A1958" s="1">
        <v>1957</v>
      </c>
      <c r="B1958" s="1" t="s">
        <v>18600</v>
      </c>
      <c r="C1958" s="1" t="s">
        <v>2671</v>
      </c>
      <c r="D1958" s="1" t="s">
        <v>9869</v>
      </c>
      <c r="E1958" s="1" t="s">
        <v>9958</v>
      </c>
      <c r="F1958" s="1" t="s">
        <v>2693</v>
      </c>
      <c r="G1958" s="1" t="s">
        <v>2694</v>
      </c>
      <c r="H1958" s="1" t="str">
        <f t="shared" si="30"/>
        <v>Status</v>
      </c>
    </row>
    <row r="1959" spans="1:8">
      <c r="A1959" s="1">
        <v>1958</v>
      </c>
      <c r="B1959" s="1" t="s">
        <v>18600</v>
      </c>
      <c r="C1959" s="1" t="s">
        <v>2675</v>
      </c>
      <c r="D1959" s="1" t="s">
        <v>9869</v>
      </c>
      <c r="E1959" s="1" t="s">
        <v>9960</v>
      </c>
      <c r="F1959" s="1" t="s">
        <v>2697</v>
      </c>
      <c r="G1959" s="1" t="s">
        <v>2698</v>
      </c>
      <c r="H1959" s="1" t="str">
        <f t="shared" si="30"/>
        <v>Status</v>
      </c>
    </row>
    <row r="1960" spans="1:8">
      <c r="A1960" s="1">
        <v>1959</v>
      </c>
      <c r="B1960" s="1" t="s">
        <v>18600</v>
      </c>
      <c r="C1960" s="1" t="s">
        <v>2679</v>
      </c>
      <c r="D1960" s="1" t="s">
        <v>9869</v>
      </c>
      <c r="E1960" s="1" t="s">
        <v>9962</v>
      </c>
      <c r="F1960" s="1" t="s">
        <v>2701</v>
      </c>
      <c r="G1960" s="1" t="s">
        <v>2702</v>
      </c>
      <c r="H1960" s="1" t="str">
        <f t="shared" si="30"/>
        <v>Status</v>
      </c>
    </row>
    <row r="1961" spans="1:8">
      <c r="A1961" s="1">
        <v>1960</v>
      </c>
      <c r="B1961" s="1" t="s">
        <v>18600</v>
      </c>
      <c r="C1961" s="1" t="s">
        <v>2683</v>
      </c>
      <c r="D1961" s="1" t="s">
        <v>9869</v>
      </c>
      <c r="E1961" s="1" t="s">
        <v>9964</v>
      </c>
      <c r="F1961" s="1" t="s">
        <v>2627</v>
      </c>
      <c r="G1961" s="1" t="s">
        <v>2628</v>
      </c>
      <c r="H1961" s="1" t="str">
        <f t="shared" si="30"/>
        <v>Status</v>
      </c>
    </row>
    <row r="1962" spans="1:8">
      <c r="A1962" s="1">
        <v>1961</v>
      </c>
      <c r="B1962" s="1" t="s">
        <v>18600</v>
      </c>
      <c r="C1962" s="1" t="s">
        <v>2687</v>
      </c>
      <c r="D1962" s="1" t="s">
        <v>9869</v>
      </c>
      <c r="E1962" s="1" t="s">
        <v>9966</v>
      </c>
      <c r="F1962" s="1" t="s">
        <v>2705</v>
      </c>
      <c r="G1962" s="1" t="s">
        <v>2706</v>
      </c>
      <c r="H1962" s="1" t="str">
        <f t="shared" si="30"/>
        <v>Status</v>
      </c>
    </row>
    <row r="1963" spans="1:8">
      <c r="A1963" s="1">
        <v>1962</v>
      </c>
      <c r="B1963" s="1" t="s">
        <v>18600</v>
      </c>
      <c r="C1963" s="1" t="s">
        <v>2691</v>
      </c>
      <c r="D1963" s="1" t="s">
        <v>9869</v>
      </c>
      <c r="E1963" s="1" t="s">
        <v>9968</v>
      </c>
      <c r="F1963" s="1" t="s">
        <v>2725</v>
      </c>
      <c r="G1963" s="1" t="s">
        <v>2726</v>
      </c>
      <c r="H1963" s="1" t="str">
        <f t="shared" si="30"/>
        <v>Status</v>
      </c>
    </row>
    <row r="1964" spans="1:8">
      <c r="A1964" s="1">
        <v>1963</v>
      </c>
      <c r="B1964" s="1" t="s">
        <v>18600</v>
      </c>
      <c r="C1964" s="1" t="s">
        <v>2695</v>
      </c>
      <c r="D1964" s="1" t="s">
        <v>9869</v>
      </c>
      <c r="E1964" s="1" t="s">
        <v>9970</v>
      </c>
      <c r="F1964" s="1" t="s">
        <v>2721</v>
      </c>
      <c r="G1964" s="1" t="s">
        <v>2722</v>
      </c>
      <c r="H1964" s="1" t="str">
        <f t="shared" si="30"/>
        <v>Status</v>
      </c>
    </row>
    <row r="1965" spans="1:8">
      <c r="A1965" s="1">
        <v>1964</v>
      </c>
      <c r="B1965" s="1" t="s">
        <v>18600</v>
      </c>
      <c r="C1965" s="1" t="s">
        <v>2699</v>
      </c>
      <c r="D1965" s="1" t="s">
        <v>9869</v>
      </c>
      <c r="E1965" s="1" t="s">
        <v>9972</v>
      </c>
      <c r="F1965" s="1" t="s">
        <v>2713</v>
      </c>
      <c r="G1965" s="1" t="s">
        <v>2714</v>
      </c>
      <c r="H1965" s="1" t="str">
        <f t="shared" si="30"/>
        <v>Status</v>
      </c>
    </row>
    <row r="1966" spans="1:8">
      <c r="A1966" s="1">
        <v>1965</v>
      </c>
      <c r="B1966" s="1" t="s">
        <v>18600</v>
      </c>
      <c r="C1966" s="1" t="s">
        <v>2703</v>
      </c>
      <c r="D1966" s="1" t="s">
        <v>9869</v>
      </c>
      <c r="E1966" s="1" t="s">
        <v>9974</v>
      </c>
      <c r="F1966" s="1" t="s">
        <v>2503</v>
      </c>
      <c r="G1966" s="1" t="s">
        <v>2504</v>
      </c>
      <c r="H1966" s="1" t="str">
        <f t="shared" si="30"/>
        <v>Status</v>
      </c>
    </row>
    <row r="1967" spans="1:8">
      <c r="A1967" s="1">
        <v>1966</v>
      </c>
      <c r="B1967" s="1" t="s">
        <v>18600</v>
      </c>
      <c r="C1967" s="1" t="s">
        <v>2707</v>
      </c>
      <c r="D1967" s="1" t="s">
        <v>9869</v>
      </c>
      <c r="E1967" s="1" t="s">
        <v>9976</v>
      </c>
      <c r="F1967" s="1" t="s">
        <v>2677</v>
      </c>
      <c r="G1967" s="1" t="s">
        <v>2678</v>
      </c>
      <c r="H1967" s="1" t="str">
        <f t="shared" si="30"/>
        <v>Status</v>
      </c>
    </row>
    <row r="1968" spans="1:8">
      <c r="A1968" s="1">
        <v>1967</v>
      </c>
      <c r="B1968" s="1" t="s">
        <v>18600</v>
      </c>
      <c r="C1968" s="1" t="s">
        <v>2711</v>
      </c>
      <c r="D1968" s="1" t="s">
        <v>9869</v>
      </c>
      <c r="E1968" s="1" t="s">
        <v>9978</v>
      </c>
      <c r="F1968" s="1" t="s">
        <v>2669</v>
      </c>
      <c r="G1968" s="1" t="s">
        <v>2670</v>
      </c>
      <c r="H1968" s="1" t="str">
        <f t="shared" si="30"/>
        <v>Status</v>
      </c>
    </row>
    <row r="1969" spans="1:8">
      <c r="A1969" s="1">
        <v>1968</v>
      </c>
      <c r="B1969" s="1" t="s">
        <v>18600</v>
      </c>
      <c r="C1969" s="1" t="s">
        <v>2715</v>
      </c>
      <c r="D1969" s="1" t="s">
        <v>9869</v>
      </c>
      <c r="E1969" s="1" t="s">
        <v>9980</v>
      </c>
      <c r="F1969" s="1" t="s">
        <v>2653</v>
      </c>
      <c r="G1969" s="1" t="s">
        <v>2654</v>
      </c>
      <c r="H1969" s="1" t="str">
        <f t="shared" si="30"/>
        <v>Status</v>
      </c>
    </row>
    <row r="1970" spans="1:8">
      <c r="A1970" s="1">
        <v>1969</v>
      </c>
      <c r="B1970" s="1" t="s">
        <v>18600</v>
      </c>
      <c r="C1970" s="1" t="s">
        <v>2719</v>
      </c>
      <c r="D1970" s="1" t="s">
        <v>9869</v>
      </c>
      <c r="E1970" s="1" t="s">
        <v>9982</v>
      </c>
      <c r="F1970" s="1" t="s">
        <v>2649</v>
      </c>
      <c r="G1970" s="1" t="s">
        <v>2650</v>
      </c>
      <c r="H1970" s="1" t="str">
        <f t="shared" si="30"/>
        <v>Status</v>
      </c>
    </row>
    <row r="1971" spans="1:8">
      <c r="A1971" s="1">
        <v>1970</v>
      </c>
      <c r="B1971" s="1" t="s">
        <v>18600</v>
      </c>
      <c r="C1971" s="1" t="s">
        <v>2723</v>
      </c>
      <c r="D1971" s="1" t="s">
        <v>9869</v>
      </c>
      <c r="E1971" s="1" t="s">
        <v>9984</v>
      </c>
      <c r="F1971" s="1" t="s">
        <v>2729</v>
      </c>
      <c r="G1971" s="1" t="s">
        <v>2730</v>
      </c>
      <c r="H1971" s="1" t="str">
        <f t="shared" si="30"/>
        <v>Status</v>
      </c>
    </row>
    <row r="1972" spans="1:8">
      <c r="A1972" s="1">
        <v>1971</v>
      </c>
      <c r="B1972" s="1" t="s">
        <v>18600</v>
      </c>
      <c r="C1972" s="1" t="s">
        <v>2727</v>
      </c>
      <c r="D1972" s="1" t="s">
        <v>9869</v>
      </c>
      <c r="E1972" s="1" t="s">
        <v>9986</v>
      </c>
      <c r="F1972" s="1" t="s">
        <v>2631</v>
      </c>
      <c r="G1972" s="1" t="s">
        <v>2632</v>
      </c>
      <c r="H1972" s="1" t="str">
        <f t="shared" si="30"/>
        <v>Status</v>
      </c>
    </row>
    <row r="1973" spans="1:8">
      <c r="A1973" s="1">
        <v>1972</v>
      </c>
      <c r="B1973" s="1" t="s">
        <v>18600</v>
      </c>
      <c r="C1973" s="1" t="s">
        <v>2731</v>
      </c>
      <c r="D1973" s="1" t="s">
        <v>9869</v>
      </c>
      <c r="E1973" s="1" t="s">
        <v>9988</v>
      </c>
      <c r="F1973" s="1" t="s">
        <v>9650</v>
      </c>
      <c r="G1973" s="1" t="s">
        <v>9651</v>
      </c>
      <c r="H1973" s="1" t="str">
        <f t="shared" si="30"/>
        <v>Status</v>
      </c>
    </row>
    <row r="1974" spans="1:8">
      <c r="A1974" s="1">
        <v>1973</v>
      </c>
      <c r="B1974" s="1" t="s">
        <v>18600</v>
      </c>
      <c r="C1974" s="1" t="s">
        <v>2733</v>
      </c>
      <c r="D1974" s="1" t="s">
        <v>9869</v>
      </c>
      <c r="E1974" s="1" t="s">
        <v>9990</v>
      </c>
      <c r="F1974" s="1" t="s">
        <v>9653</v>
      </c>
      <c r="G1974" s="1" t="s">
        <v>9654</v>
      </c>
      <c r="H1974" s="1" t="str">
        <f t="shared" si="30"/>
        <v>Status</v>
      </c>
    </row>
    <row r="1975" spans="1:8">
      <c r="A1975" s="1">
        <v>1974</v>
      </c>
      <c r="B1975" s="1" t="s">
        <v>18600</v>
      </c>
      <c r="C1975" s="1" t="s">
        <v>2735</v>
      </c>
      <c r="D1975" s="1" t="s">
        <v>9869</v>
      </c>
      <c r="E1975" s="1" t="s">
        <v>9992</v>
      </c>
      <c r="F1975" s="1" t="s">
        <v>9656</v>
      </c>
      <c r="G1975" s="1" t="s">
        <v>9657</v>
      </c>
      <c r="H1975" s="1" t="str">
        <f t="shared" si="30"/>
        <v>Temperature</v>
      </c>
    </row>
    <row r="1976" spans="1:8">
      <c r="A1976" s="1">
        <v>1975</v>
      </c>
      <c r="B1976" s="1" t="s">
        <v>18600</v>
      </c>
      <c r="C1976" s="1" t="s">
        <v>2737</v>
      </c>
      <c r="D1976" s="1" t="s">
        <v>9869</v>
      </c>
      <c r="E1976" s="1" t="s">
        <v>9994</v>
      </c>
      <c r="F1976" s="1" t="s">
        <v>9659</v>
      </c>
      <c r="G1976" s="1" t="s">
        <v>9660</v>
      </c>
      <c r="H1976" s="1" t="str">
        <f t="shared" si="30"/>
        <v>Temperature</v>
      </c>
    </row>
    <row r="1977" spans="1:8">
      <c r="A1977" s="1">
        <v>1976</v>
      </c>
      <c r="B1977" s="1" t="s">
        <v>18600</v>
      </c>
      <c r="C1977" s="1" t="s">
        <v>2739</v>
      </c>
      <c r="D1977" s="1" t="s">
        <v>9869</v>
      </c>
      <c r="E1977" s="1" t="s">
        <v>9996</v>
      </c>
      <c r="F1977" s="1" t="s">
        <v>9662</v>
      </c>
      <c r="G1977" s="1" t="s">
        <v>9663</v>
      </c>
      <c r="H1977" s="1" t="str">
        <f t="shared" si="30"/>
        <v>Temperature</v>
      </c>
    </row>
    <row r="1978" spans="1:8">
      <c r="A1978" s="1">
        <v>1977</v>
      </c>
      <c r="B1978" s="1" t="s">
        <v>18600</v>
      </c>
      <c r="C1978" s="1" t="s">
        <v>2741</v>
      </c>
      <c r="D1978" s="1" t="s">
        <v>9869</v>
      </c>
      <c r="E1978" s="1" t="s">
        <v>9998</v>
      </c>
      <c r="F1978" s="1" t="s">
        <v>9665</v>
      </c>
      <c r="G1978" s="1" t="s">
        <v>9666</v>
      </c>
      <c r="H1978" s="1" t="str">
        <f t="shared" si="30"/>
        <v>Temperature</v>
      </c>
    </row>
    <row r="1979" spans="1:8">
      <c r="A1979" s="1">
        <v>1978</v>
      </c>
      <c r="B1979" s="1" t="s">
        <v>18601</v>
      </c>
      <c r="C1979" s="1" t="s">
        <v>2744</v>
      </c>
      <c r="D1979" s="1" t="s">
        <v>10000</v>
      </c>
      <c r="E1979" s="1" t="s">
        <v>10001</v>
      </c>
      <c r="F1979" s="1" t="s">
        <v>2055</v>
      </c>
      <c r="G1979" s="1" t="s">
        <v>2056</v>
      </c>
      <c r="H1979" s="1" t="str">
        <f t="shared" si="30"/>
        <v>Battery</v>
      </c>
    </row>
    <row r="1980" spans="1:8">
      <c r="A1980" s="1">
        <v>1979</v>
      </c>
      <c r="B1980" s="1" t="s">
        <v>18601</v>
      </c>
      <c r="C1980" s="1" t="s">
        <v>2747</v>
      </c>
      <c r="D1980" s="1" t="s">
        <v>10000</v>
      </c>
      <c r="E1980" s="1" t="s">
        <v>10003</v>
      </c>
      <c r="F1980" s="1" t="s">
        <v>2051</v>
      </c>
      <c r="G1980" s="1" t="s">
        <v>2052</v>
      </c>
      <c r="H1980" s="1" t="str">
        <f t="shared" si="30"/>
        <v>Battery</v>
      </c>
    </row>
    <row r="1981" spans="1:8">
      <c r="A1981" s="1">
        <v>1980</v>
      </c>
      <c r="B1981" s="1" t="s">
        <v>18601</v>
      </c>
      <c r="C1981" s="1" t="s">
        <v>2749</v>
      </c>
      <c r="D1981" s="1" t="s">
        <v>10000</v>
      </c>
      <c r="E1981" s="1" t="s">
        <v>10005</v>
      </c>
      <c r="F1981" s="1" t="s">
        <v>2549</v>
      </c>
      <c r="G1981" s="1" t="s">
        <v>2550</v>
      </c>
      <c r="H1981" s="1" t="str">
        <f t="shared" si="30"/>
        <v>Status</v>
      </c>
    </row>
    <row r="1982" spans="1:8">
      <c r="A1982" s="1">
        <v>1981</v>
      </c>
      <c r="B1982" s="1" t="s">
        <v>18601</v>
      </c>
      <c r="C1982" s="1" t="s">
        <v>2751</v>
      </c>
      <c r="D1982" s="1" t="s">
        <v>10000</v>
      </c>
      <c r="E1982" s="1" t="s">
        <v>10007</v>
      </c>
      <c r="F1982" s="1" t="s">
        <v>2111</v>
      </c>
      <c r="G1982" s="1" t="s">
        <v>2112</v>
      </c>
      <c r="H1982" s="1" t="str">
        <f t="shared" si="30"/>
        <v>Status</v>
      </c>
    </row>
    <row r="1983" spans="1:8">
      <c r="A1983" s="1">
        <v>1982</v>
      </c>
      <c r="B1983" s="1" t="s">
        <v>18601</v>
      </c>
      <c r="C1983" s="1" t="s">
        <v>2753</v>
      </c>
      <c r="D1983" s="1" t="s">
        <v>10000</v>
      </c>
      <c r="E1983" s="1" t="s">
        <v>10009</v>
      </c>
      <c r="F1983" s="1" t="s">
        <v>2579</v>
      </c>
      <c r="G1983" s="1" t="s">
        <v>2580</v>
      </c>
      <c r="H1983" s="1" t="str">
        <f t="shared" si="30"/>
        <v>Status</v>
      </c>
    </row>
    <row r="1984" spans="1:8">
      <c r="A1984" s="1">
        <v>1983</v>
      </c>
      <c r="B1984" s="1" t="s">
        <v>18601</v>
      </c>
      <c r="C1984" s="1" t="s">
        <v>2755</v>
      </c>
      <c r="D1984" s="1" t="s">
        <v>10000</v>
      </c>
      <c r="E1984" s="1" t="s">
        <v>10011</v>
      </c>
      <c r="F1984" s="1" t="s">
        <v>2099</v>
      </c>
      <c r="G1984" s="1" t="s">
        <v>2100</v>
      </c>
      <c r="H1984" s="1" t="str">
        <f t="shared" si="30"/>
        <v>Status</v>
      </c>
    </row>
    <row r="1985" spans="1:8">
      <c r="A1985" s="1">
        <v>1984</v>
      </c>
      <c r="B1985" s="1" t="s">
        <v>18601</v>
      </c>
      <c r="C1985" s="1" t="s">
        <v>2757</v>
      </c>
      <c r="D1985" s="1" t="s">
        <v>10000</v>
      </c>
      <c r="E1985" s="1" t="s">
        <v>10013</v>
      </c>
      <c r="F1985" s="1" t="s">
        <v>2411</v>
      </c>
      <c r="G1985" s="1" t="s">
        <v>2412</v>
      </c>
      <c r="H1985" s="1" t="str">
        <f t="shared" si="30"/>
        <v>Status</v>
      </c>
    </row>
    <row r="1986" spans="1:8">
      <c r="A1986" s="1">
        <v>1985</v>
      </c>
      <c r="B1986" s="1" t="s">
        <v>18601</v>
      </c>
      <c r="C1986" s="1" t="s">
        <v>2759</v>
      </c>
      <c r="D1986" s="1" t="s">
        <v>10000</v>
      </c>
      <c r="E1986" s="1" t="s">
        <v>10015</v>
      </c>
      <c r="F1986" s="1" t="s">
        <v>2075</v>
      </c>
      <c r="G1986" s="1" t="s">
        <v>2076</v>
      </c>
      <c r="H1986" s="1" t="str">
        <f t="shared" ref="H1986:H2049" si="31">IFERROR(IF(OR(MID(G1986,FIND(":",G1986)-1,1)="""",MID(G1986,FIND(":",G1986)-1,1)="}",MID(G1986,FIND(":",G1986)-1,1)=")",MID(G1986,FIND(":",G1986)-1,1)="]"),"",LEFT(F1986,FIND(":",F1986)-1)),"")</f>
        <v>Status</v>
      </c>
    </row>
    <row r="1987" spans="1:8">
      <c r="A1987" s="1">
        <v>1986</v>
      </c>
      <c r="B1987" s="1" t="s">
        <v>18601</v>
      </c>
      <c r="C1987" s="1" t="s">
        <v>2761</v>
      </c>
      <c r="D1987" s="1" t="s">
        <v>10000</v>
      </c>
      <c r="E1987" s="1" t="s">
        <v>10017</v>
      </c>
      <c r="F1987" s="1" t="s">
        <v>2079</v>
      </c>
      <c r="G1987" s="1" t="s">
        <v>2080</v>
      </c>
      <c r="H1987" s="1" t="str">
        <f t="shared" si="31"/>
        <v>Status</v>
      </c>
    </row>
    <row r="1988" spans="1:8">
      <c r="A1988" s="1">
        <v>1987</v>
      </c>
      <c r="B1988" s="1" t="s">
        <v>18601</v>
      </c>
      <c r="C1988" s="1" t="s">
        <v>2763</v>
      </c>
      <c r="D1988" s="1" t="s">
        <v>10000</v>
      </c>
      <c r="E1988" s="1" t="s">
        <v>10019</v>
      </c>
      <c r="F1988" s="1" t="s">
        <v>2571</v>
      </c>
      <c r="G1988" s="1" t="s">
        <v>2572</v>
      </c>
      <c r="H1988" s="1" t="str">
        <f t="shared" si="31"/>
        <v>Status</v>
      </c>
    </row>
    <row r="1989" spans="1:8">
      <c r="A1989" s="1">
        <v>1988</v>
      </c>
      <c r="B1989" s="1" t="s">
        <v>18601</v>
      </c>
      <c r="C1989" s="1" t="s">
        <v>2765</v>
      </c>
      <c r="D1989" s="1" t="s">
        <v>10000</v>
      </c>
      <c r="E1989" s="1" t="s">
        <v>10021</v>
      </c>
      <c r="F1989" s="1" t="s">
        <v>2541</v>
      </c>
      <c r="G1989" s="1" t="s">
        <v>2542</v>
      </c>
      <c r="H1989" s="1" t="str">
        <f t="shared" si="31"/>
        <v>Status</v>
      </c>
    </row>
    <row r="1990" spans="1:8">
      <c r="A1990" s="1">
        <v>1989</v>
      </c>
      <c r="B1990" s="1" t="s">
        <v>18601</v>
      </c>
      <c r="C1990" s="1" t="s">
        <v>2767</v>
      </c>
      <c r="D1990" s="1" t="s">
        <v>10000</v>
      </c>
      <c r="E1990" s="1" t="s">
        <v>10023</v>
      </c>
      <c r="F1990" s="1" t="s">
        <v>2559</v>
      </c>
      <c r="G1990" s="1" t="s">
        <v>2560</v>
      </c>
      <c r="H1990" s="1" t="str">
        <f t="shared" si="31"/>
        <v>Status</v>
      </c>
    </row>
    <row r="1991" spans="1:8">
      <c r="A1991" s="1">
        <v>1990</v>
      </c>
      <c r="B1991" s="1" t="s">
        <v>18601</v>
      </c>
      <c r="C1991" s="1" t="s">
        <v>2769</v>
      </c>
      <c r="D1991" s="1" t="s">
        <v>10000</v>
      </c>
      <c r="E1991" s="1" t="s">
        <v>10025</v>
      </c>
      <c r="F1991" s="1" t="s">
        <v>2575</v>
      </c>
      <c r="G1991" s="1" t="s">
        <v>2576</v>
      </c>
      <c r="H1991" s="1" t="str">
        <f t="shared" si="31"/>
        <v>Status</v>
      </c>
    </row>
    <row r="1992" spans="1:8">
      <c r="A1992" s="1">
        <v>1991</v>
      </c>
      <c r="B1992" s="1" t="s">
        <v>18601</v>
      </c>
      <c r="C1992" s="1" t="s">
        <v>2771</v>
      </c>
      <c r="D1992" s="1" t="s">
        <v>10000</v>
      </c>
      <c r="E1992" s="1" t="s">
        <v>10027</v>
      </c>
      <c r="F1992" s="1" t="s">
        <v>2425</v>
      </c>
      <c r="G1992" s="1" t="s">
        <v>2426</v>
      </c>
      <c r="H1992" s="1" t="str">
        <f t="shared" si="31"/>
        <v>Status</v>
      </c>
    </row>
    <row r="1993" spans="1:8">
      <c r="A1993" s="1">
        <v>1992</v>
      </c>
      <c r="B1993" s="1" t="s">
        <v>18601</v>
      </c>
      <c r="C1993" s="1" t="s">
        <v>2773</v>
      </c>
      <c r="D1993" s="1" t="s">
        <v>10000</v>
      </c>
      <c r="E1993" s="1" t="s">
        <v>10029</v>
      </c>
      <c r="F1993" s="1" t="s">
        <v>2429</v>
      </c>
      <c r="G1993" s="1" t="s">
        <v>2430</v>
      </c>
      <c r="H1993" s="1" t="str">
        <f t="shared" si="31"/>
        <v>Status</v>
      </c>
    </row>
    <row r="1994" spans="1:8">
      <c r="A1994" s="1">
        <v>1993</v>
      </c>
      <c r="B1994" s="1" t="s">
        <v>18601</v>
      </c>
      <c r="C1994" s="1" t="s">
        <v>2775</v>
      </c>
      <c r="D1994" s="1" t="s">
        <v>10000</v>
      </c>
      <c r="E1994" s="1" t="s">
        <v>10031</v>
      </c>
      <c r="F1994" s="1" t="s">
        <v>2071</v>
      </c>
      <c r="G1994" s="1" t="s">
        <v>2072</v>
      </c>
      <c r="H1994" s="1" t="str">
        <f t="shared" si="31"/>
        <v>Status</v>
      </c>
    </row>
    <row r="1995" spans="1:8">
      <c r="A1995" s="1">
        <v>1994</v>
      </c>
      <c r="B1995" s="1" t="s">
        <v>18601</v>
      </c>
      <c r="C1995" s="1" t="s">
        <v>2777</v>
      </c>
      <c r="D1995" s="1" t="s">
        <v>10000</v>
      </c>
      <c r="E1995" s="1" t="s">
        <v>10033</v>
      </c>
      <c r="F1995" s="1" t="s">
        <v>2417</v>
      </c>
      <c r="G1995" s="1" t="s">
        <v>2418</v>
      </c>
      <c r="H1995" s="1" t="str">
        <f t="shared" si="31"/>
        <v>Status</v>
      </c>
    </row>
    <row r="1996" spans="1:8">
      <c r="A1996" s="1">
        <v>1995</v>
      </c>
      <c r="B1996" s="1" t="s">
        <v>18601</v>
      </c>
      <c r="C1996" s="1" t="s">
        <v>2779</v>
      </c>
      <c r="D1996" s="1" t="s">
        <v>10000</v>
      </c>
      <c r="E1996" s="1" t="s">
        <v>10035</v>
      </c>
      <c r="F1996" s="1" t="s">
        <v>2067</v>
      </c>
      <c r="G1996" s="1" t="s">
        <v>2068</v>
      </c>
      <c r="H1996" s="1" t="str">
        <f t="shared" si="31"/>
        <v>Status</v>
      </c>
    </row>
    <row r="1997" spans="1:8">
      <c r="A1997" s="1">
        <v>1996</v>
      </c>
      <c r="B1997" s="1" t="s">
        <v>18601</v>
      </c>
      <c r="C1997" s="1" t="s">
        <v>2781</v>
      </c>
      <c r="D1997" s="1" t="s">
        <v>10000</v>
      </c>
      <c r="E1997" s="1" t="s">
        <v>10037</v>
      </c>
      <c r="F1997" s="1" t="s">
        <v>2421</v>
      </c>
      <c r="G1997" s="1" t="s">
        <v>2422</v>
      </c>
      <c r="H1997" s="1" t="str">
        <f t="shared" si="31"/>
        <v>Status</v>
      </c>
    </row>
    <row r="1998" spans="1:8">
      <c r="A1998" s="1">
        <v>1997</v>
      </c>
      <c r="B1998" s="1" t="s">
        <v>18601</v>
      </c>
      <c r="C1998" s="1" t="s">
        <v>2783</v>
      </c>
      <c r="D1998" s="1" t="s">
        <v>10000</v>
      </c>
      <c r="E1998" s="1" t="s">
        <v>10039</v>
      </c>
      <c r="F1998" s="1" t="s">
        <v>2115</v>
      </c>
      <c r="G1998" s="1" t="s">
        <v>2116</v>
      </c>
      <c r="H1998" s="1" t="str">
        <f t="shared" si="31"/>
        <v>Status</v>
      </c>
    </row>
    <row r="1999" spans="1:8">
      <c r="A1999" s="1">
        <v>1998</v>
      </c>
      <c r="B1999" s="1" t="s">
        <v>18601</v>
      </c>
      <c r="C1999" s="1" t="s">
        <v>2785</v>
      </c>
      <c r="D1999" s="1" t="s">
        <v>10000</v>
      </c>
      <c r="E1999" s="1" t="s">
        <v>10041</v>
      </c>
      <c r="F1999" s="1" t="s">
        <v>2639</v>
      </c>
      <c r="G1999" s="1" t="s">
        <v>2640</v>
      </c>
      <c r="H1999" s="1" t="str">
        <f t="shared" si="31"/>
        <v>Status</v>
      </c>
    </row>
    <row r="2000" spans="1:8">
      <c r="A2000" s="1">
        <v>1999</v>
      </c>
      <c r="B2000" s="1" t="s">
        <v>18601</v>
      </c>
      <c r="C2000" s="1" t="s">
        <v>2787</v>
      </c>
      <c r="D2000" s="1" t="s">
        <v>10000</v>
      </c>
      <c r="E2000" s="1" t="s">
        <v>10043</v>
      </c>
      <c r="F2000" s="1" t="s">
        <v>2635</v>
      </c>
      <c r="G2000" s="1" t="s">
        <v>2636</v>
      </c>
      <c r="H2000" s="1" t="str">
        <f t="shared" si="31"/>
        <v>Status</v>
      </c>
    </row>
    <row r="2001" spans="1:8">
      <c r="A2001" s="1">
        <v>2000</v>
      </c>
      <c r="B2001" s="1" t="s">
        <v>18601</v>
      </c>
      <c r="C2001" s="1" t="s">
        <v>2789</v>
      </c>
      <c r="D2001" s="1" t="s">
        <v>10000</v>
      </c>
      <c r="E2001" s="1" t="s">
        <v>10045</v>
      </c>
      <c r="F2001" s="1" t="s">
        <v>2521</v>
      </c>
      <c r="G2001" s="1" t="s">
        <v>2522</v>
      </c>
      <c r="H2001" s="1" t="str">
        <f t="shared" si="31"/>
        <v>Status</v>
      </c>
    </row>
    <row r="2002" spans="1:8">
      <c r="A2002" s="1">
        <v>2001</v>
      </c>
      <c r="B2002" s="1" t="s">
        <v>18601</v>
      </c>
      <c r="C2002" s="1" t="s">
        <v>2791</v>
      </c>
      <c r="D2002" s="1" t="s">
        <v>10000</v>
      </c>
      <c r="E2002" s="1" t="s">
        <v>10047</v>
      </c>
      <c r="F2002" s="1" t="s">
        <v>2643</v>
      </c>
      <c r="G2002" s="1" t="s">
        <v>2644</v>
      </c>
      <c r="H2002" s="1" t="str">
        <f t="shared" si="31"/>
        <v>Status</v>
      </c>
    </row>
    <row r="2003" spans="1:8">
      <c r="A2003" s="1">
        <v>2002</v>
      </c>
      <c r="B2003" s="1" t="s">
        <v>18601</v>
      </c>
      <c r="C2003" s="1" t="s">
        <v>2793</v>
      </c>
      <c r="D2003" s="1" t="s">
        <v>10000</v>
      </c>
      <c r="E2003" s="1" t="s">
        <v>10049</v>
      </c>
      <c r="F2003" s="1" t="s">
        <v>2657</v>
      </c>
      <c r="G2003" s="1" t="s">
        <v>2658</v>
      </c>
      <c r="H2003" s="1" t="str">
        <f t="shared" si="31"/>
        <v>Status</v>
      </c>
    </row>
    <row r="2004" spans="1:8">
      <c r="A2004" s="1">
        <v>2003</v>
      </c>
      <c r="B2004" s="1" t="s">
        <v>18601</v>
      </c>
      <c r="C2004" s="1" t="s">
        <v>2795</v>
      </c>
      <c r="D2004" s="1" t="s">
        <v>10000</v>
      </c>
      <c r="E2004" s="1" t="s">
        <v>10051</v>
      </c>
      <c r="F2004" s="1" t="s">
        <v>2627</v>
      </c>
      <c r="G2004" s="1" t="s">
        <v>2628</v>
      </c>
      <c r="H2004" s="1" t="str">
        <f t="shared" si="31"/>
        <v>Status</v>
      </c>
    </row>
    <row r="2005" spans="1:8">
      <c r="A2005" s="1">
        <v>2004</v>
      </c>
      <c r="B2005" s="1" t="s">
        <v>18601</v>
      </c>
      <c r="C2005" s="1" t="s">
        <v>2797</v>
      </c>
      <c r="D2005" s="1" t="s">
        <v>10000</v>
      </c>
      <c r="E2005" s="1" t="s">
        <v>10053</v>
      </c>
      <c r="F2005" s="1" t="s">
        <v>2503</v>
      </c>
      <c r="G2005" s="1" t="s">
        <v>2504</v>
      </c>
      <c r="H2005" s="1" t="str">
        <f t="shared" si="31"/>
        <v>Status</v>
      </c>
    </row>
    <row r="2006" spans="1:8">
      <c r="A2006" s="1">
        <v>2005</v>
      </c>
      <c r="B2006" s="1" t="s">
        <v>18601</v>
      </c>
      <c r="C2006" s="1" t="s">
        <v>2799</v>
      </c>
      <c r="D2006" s="1" t="s">
        <v>10000</v>
      </c>
      <c r="E2006" s="1" t="s">
        <v>10055</v>
      </c>
      <c r="F2006" s="1" t="s">
        <v>2653</v>
      </c>
      <c r="G2006" s="1" t="s">
        <v>2654</v>
      </c>
      <c r="H2006" s="1" t="str">
        <f t="shared" si="31"/>
        <v>Status</v>
      </c>
    </row>
    <row r="2007" spans="1:8">
      <c r="A2007" s="1">
        <v>2006</v>
      </c>
      <c r="B2007" s="1" t="s">
        <v>18601</v>
      </c>
      <c r="C2007" s="1" t="s">
        <v>2801</v>
      </c>
      <c r="D2007" s="1" t="s">
        <v>10000</v>
      </c>
      <c r="E2007" s="1" t="s">
        <v>10057</v>
      </c>
      <c r="F2007" s="1" t="s">
        <v>2649</v>
      </c>
      <c r="G2007" s="1" t="s">
        <v>2650</v>
      </c>
      <c r="H2007" s="1" t="str">
        <f t="shared" si="31"/>
        <v>Status</v>
      </c>
    </row>
    <row r="2008" spans="1:8">
      <c r="A2008" s="1">
        <v>2007</v>
      </c>
      <c r="B2008" s="1" t="s">
        <v>18601</v>
      </c>
      <c r="C2008" s="1" t="s">
        <v>2803</v>
      </c>
      <c r="D2008" s="1" t="s">
        <v>10000</v>
      </c>
      <c r="E2008" s="1" t="s">
        <v>10059</v>
      </c>
      <c r="F2008" s="1" t="s">
        <v>2807</v>
      </c>
      <c r="G2008" s="1" t="s">
        <v>2808</v>
      </c>
      <c r="H2008" s="1" t="str">
        <f t="shared" si="31"/>
        <v>Status</v>
      </c>
    </row>
    <row r="2009" spans="1:8">
      <c r="A2009" s="1">
        <v>2008</v>
      </c>
      <c r="B2009" s="1" t="s">
        <v>18601</v>
      </c>
      <c r="C2009" s="1" t="s">
        <v>2805</v>
      </c>
      <c r="D2009" s="1" t="s">
        <v>10000</v>
      </c>
      <c r="E2009" s="1" t="s">
        <v>10061</v>
      </c>
      <c r="F2009" s="1" t="s">
        <v>2631</v>
      </c>
      <c r="G2009" s="1" t="s">
        <v>2632</v>
      </c>
      <c r="H2009" s="1" t="str">
        <f t="shared" si="31"/>
        <v>Status</v>
      </c>
    </row>
    <row r="2010" spans="1:8">
      <c r="A2010" s="1">
        <v>2009</v>
      </c>
      <c r="B2010" s="1" t="s">
        <v>18601</v>
      </c>
      <c r="C2010" s="1" t="s">
        <v>2809</v>
      </c>
      <c r="D2010" s="1" t="s">
        <v>10000</v>
      </c>
      <c r="E2010" s="1" t="s">
        <v>10063</v>
      </c>
      <c r="F2010" s="1" t="s">
        <v>9650</v>
      </c>
      <c r="G2010" s="1" t="s">
        <v>9651</v>
      </c>
      <c r="H2010" s="1" t="str">
        <f t="shared" si="31"/>
        <v>Status</v>
      </c>
    </row>
    <row r="2011" spans="1:8">
      <c r="A2011" s="1">
        <v>2010</v>
      </c>
      <c r="B2011" s="1" t="s">
        <v>18601</v>
      </c>
      <c r="C2011" s="1" t="s">
        <v>2811</v>
      </c>
      <c r="D2011" s="1" t="s">
        <v>10000</v>
      </c>
      <c r="E2011" s="1" t="s">
        <v>10065</v>
      </c>
      <c r="F2011" s="1" t="s">
        <v>9653</v>
      </c>
      <c r="G2011" s="1" t="s">
        <v>9654</v>
      </c>
      <c r="H2011" s="1" t="str">
        <f t="shared" si="31"/>
        <v>Status</v>
      </c>
    </row>
    <row r="2012" spans="1:8">
      <c r="A2012" s="1">
        <v>2011</v>
      </c>
      <c r="B2012" s="1" t="s">
        <v>18601</v>
      </c>
      <c r="C2012" s="1" t="s">
        <v>2813</v>
      </c>
      <c r="D2012" s="1" t="s">
        <v>10000</v>
      </c>
      <c r="E2012" s="1" t="s">
        <v>10067</v>
      </c>
      <c r="F2012" s="1" t="s">
        <v>9656</v>
      </c>
      <c r="G2012" s="1" t="s">
        <v>9657</v>
      </c>
      <c r="H2012" s="1" t="str">
        <f t="shared" si="31"/>
        <v>Temperature</v>
      </c>
    </row>
    <row r="2013" spans="1:8">
      <c r="A2013" s="1">
        <v>2012</v>
      </c>
      <c r="B2013" s="1" t="s">
        <v>18601</v>
      </c>
      <c r="C2013" s="1" t="s">
        <v>2815</v>
      </c>
      <c r="D2013" s="1" t="s">
        <v>10000</v>
      </c>
      <c r="E2013" s="1" t="s">
        <v>10069</v>
      </c>
      <c r="F2013" s="1" t="s">
        <v>9659</v>
      </c>
      <c r="G2013" s="1" t="s">
        <v>9660</v>
      </c>
      <c r="H2013" s="1" t="str">
        <f t="shared" si="31"/>
        <v>Temperature</v>
      </c>
    </row>
    <row r="2014" spans="1:8">
      <c r="A2014" s="1">
        <v>2013</v>
      </c>
      <c r="B2014" s="1" t="s">
        <v>18601</v>
      </c>
      <c r="C2014" s="1" t="s">
        <v>2817</v>
      </c>
      <c r="D2014" s="1" t="s">
        <v>10000</v>
      </c>
      <c r="E2014" s="1" t="s">
        <v>10071</v>
      </c>
      <c r="F2014" s="1" t="s">
        <v>9662</v>
      </c>
      <c r="G2014" s="1" t="s">
        <v>9663</v>
      </c>
      <c r="H2014" s="1" t="str">
        <f t="shared" si="31"/>
        <v>Temperature</v>
      </c>
    </row>
    <row r="2015" spans="1:8">
      <c r="A2015" s="1">
        <v>2014</v>
      </c>
      <c r="B2015" s="1" t="s">
        <v>18601</v>
      </c>
      <c r="C2015" s="1" t="s">
        <v>2819</v>
      </c>
      <c r="D2015" s="1" t="s">
        <v>10000</v>
      </c>
      <c r="E2015" s="1" t="s">
        <v>10073</v>
      </c>
      <c r="F2015" s="1" t="s">
        <v>9665</v>
      </c>
      <c r="G2015" s="1" t="s">
        <v>9666</v>
      </c>
      <c r="H2015" s="1" t="str">
        <f t="shared" si="31"/>
        <v>Temperature</v>
      </c>
    </row>
    <row r="2016" spans="1:8">
      <c r="A2016" s="1">
        <v>2015</v>
      </c>
      <c r="B2016" s="1" t="s">
        <v>18602</v>
      </c>
      <c r="C2016" s="1" t="s">
        <v>809</v>
      </c>
      <c r="D2016" s="1" t="s">
        <v>10075</v>
      </c>
      <c r="E2016" s="1" t="s">
        <v>1836</v>
      </c>
      <c r="F2016" s="1" t="s">
        <v>2549</v>
      </c>
      <c r="G2016" s="1" t="s">
        <v>2550</v>
      </c>
      <c r="H2016" s="1" t="str">
        <f t="shared" si="31"/>
        <v>Status</v>
      </c>
    </row>
    <row r="2017" spans="1:8">
      <c r="A2017" s="1">
        <v>2016</v>
      </c>
      <c r="B2017" s="1" t="s">
        <v>18602</v>
      </c>
      <c r="C2017" s="1" t="s">
        <v>814</v>
      </c>
      <c r="D2017" s="1" t="s">
        <v>10075</v>
      </c>
      <c r="E2017" s="1" t="s">
        <v>1865</v>
      </c>
      <c r="F2017" s="1" t="s">
        <v>2111</v>
      </c>
      <c r="G2017" s="1" t="s">
        <v>2112</v>
      </c>
      <c r="H2017" s="1" t="str">
        <f t="shared" si="31"/>
        <v>Status</v>
      </c>
    </row>
    <row r="2018" spans="1:8">
      <c r="A2018" s="1">
        <v>2017</v>
      </c>
      <c r="B2018" s="1" t="s">
        <v>18602</v>
      </c>
      <c r="C2018" s="1" t="s">
        <v>817</v>
      </c>
      <c r="D2018" s="1" t="s">
        <v>10075</v>
      </c>
      <c r="E2018" s="1" t="s">
        <v>1679</v>
      </c>
      <c r="F2018" s="1" t="s">
        <v>2099</v>
      </c>
      <c r="G2018" s="1" t="s">
        <v>2100</v>
      </c>
      <c r="H2018" s="1" t="str">
        <f t="shared" si="31"/>
        <v>Status</v>
      </c>
    </row>
    <row r="2019" spans="1:8">
      <c r="A2019" s="1">
        <v>2018</v>
      </c>
      <c r="B2019" s="1" t="s">
        <v>18602</v>
      </c>
      <c r="C2019" s="1" t="s">
        <v>821</v>
      </c>
      <c r="D2019" s="1" t="s">
        <v>10075</v>
      </c>
      <c r="E2019" s="1" t="s">
        <v>1877</v>
      </c>
      <c r="F2019" s="1" t="s">
        <v>2411</v>
      </c>
      <c r="G2019" s="1" t="s">
        <v>2412</v>
      </c>
      <c r="H2019" s="1" t="str">
        <f t="shared" si="31"/>
        <v>Status</v>
      </c>
    </row>
    <row r="2020" spans="1:8">
      <c r="A2020" s="1">
        <v>2019</v>
      </c>
      <c r="B2020" s="1" t="s">
        <v>18602</v>
      </c>
      <c r="C2020" s="1" t="s">
        <v>825</v>
      </c>
      <c r="D2020" s="1" t="s">
        <v>10075</v>
      </c>
      <c r="E2020" s="1" t="s">
        <v>1888</v>
      </c>
      <c r="F2020" s="1" t="s">
        <v>2838</v>
      </c>
      <c r="G2020" s="1" t="s">
        <v>2839</v>
      </c>
      <c r="H2020" s="1" t="str">
        <f t="shared" si="31"/>
        <v>Status</v>
      </c>
    </row>
    <row r="2021" spans="1:8">
      <c r="A2021" s="1">
        <v>2020</v>
      </c>
      <c r="B2021" s="1" t="s">
        <v>18602</v>
      </c>
      <c r="C2021" s="1" t="s">
        <v>829</v>
      </c>
      <c r="D2021" s="1" t="s">
        <v>10075</v>
      </c>
      <c r="E2021" s="1" t="s">
        <v>10081</v>
      </c>
      <c r="F2021" s="1" t="s">
        <v>2075</v>
      </c>
      <c r="G2021" s="1" t="s">
        <v>2076</v>
      </c>
      <c r="H2021" s="1" t="str">
        <f t="shared" si="31"/>
        <v>Status</v>
      </c>
    </row>
    <row r="2022" spans="1:8">
      <c r="A2022" s="1">
        <v>2021</v>
      </c>
      <c r="B2022" s="1" t="s">
        <v>18602</v>
      </c>
      <c r="C2022" s="1" t="s">
        <v>833</v>
      </c>
      <c r="D2022" s="1" t="s">
        <v>10075</v>
      </c>
      <c r="E2022" s="1" t="s">
        <v>10083</v>
      </c>
      <c r="F2022" s="1" t="s">
        <v>2079</v>
      </c>
      <c r="G2022" s="1" t="s">
        <v>2080</v>
      </c>
      <c r="H2022" s="1" t="str">
        <f t="shared" si="31"/>
        <v>Status</v>
      </c>
    </row>
    <row r="2023" spans="1:8">
      <c r="A2023" s="1">
        <v>2022</v>
      </c>
      <c r="B2023" s="1" t="s">
        <v>18602</v>
      </c>
      <c r="C2023" s="1" t="s">
        <v>836</v>
      </c>
      <c r="D2023" s="1" t="s">
        <v>10075</v>
      </c>
      <c r="E2023" s="1" t="s">
        <v>10085</v>
      </c>
      <c r="F2023" s="1" t="s">
        <v>2559</v>
      </c>
      <c r="G2023" s="1" t="s">
        <v>2560</v>
      </c>
      <c r="H2023" s="1" t="str">
        <f t="shared" si="31"/>
        <v>Status</v>
      </c>
    </row>
    <row r="2024" spans="1:8">
      <c r="A2024" s="1">
        <v>2023</v>
      </c>
      <c r="B2024" s="1" t="s">
        <v>18602</v>
      </c>
      <c r="C2024" s="1" t="s">
        <v>840</v>
      </c>
      <c r="D2024" s="1" t="s">
        <v>10075</v>
      </c>
      <c r="E2024" s="1" t="s">
        <v>10087</v>
      </c>
      <c r="F2024" s="1" t="s">
        <v>2844</v>
      </c>
      <c r="G2024" s="1" t="s">
        <v>2845</v>
      </c>
      <c r="H2024" s="1" t="str">
        <f t="shared" si="31"/>
        <v>Status</v>
      </c>
    </row>
    <row r="2025" spans="1:8">
      <c r="A2025" s="1">
        <v>2024</v>
      </c>
      <c r="B2025" s="1" t="s">
        <v>18602</v>
      </c>
      <c r="C2025" s="1" t="s">
        <v>844</v>
      </c>
      <c r="D2025" s="1" t="s">
        <v>10075</v>
      </c>
      <c r="E2025" s="1" t="s">
        <v>10089</v>
      </c>
      <c r="F2025" s="1" t="s">
        <v>2425</v>
      </c>
      <c r="G2025" s="1" t="s">
        <v>2426</v>
      </c>
      <c r="H2025" s="1" t="str">
        <f t="shared" si="31"/>
        <v>Status</v>
      </c>
    </row>
    <row r="2026" spans="1:8">
      <c r="A2026" s="1">
        <v>2025</v>
      </c>
      <c r="B2026" s="1" t="s">
        <v>18602</v>
      </c>
      <c r="C2026" s="1" t="s">
        <v>848</v>
      </c>
      <c r="D2026" s="1" t="s">
        <v>10075</v>
      </c>
      <c r="E2026" s="1" t="s">
        <v>10091</v>
      </c>
      <c r="F2026" s="1" t="s">
        <v>2429</v>
      </c>
      <c r="G2026" s="1" t="s">
        <v>2430</v>
      </c>
      <c r="H2026" s="1" t="str">
        <f t="shared" si="31"/>
        <v>Status</v>
      </c>
    </row>
    <row r="2027" spans="1:8">
      <c r="A2027" s="1">
        <v>2026</v>
      </c>
      <c r="B2027" s="1" t="s">
        <v>18602</v>
      </c>
      <c r="C2027" s="1" t="s">
        <v>852</v>
      </c>
      <c r="D2027" s="1" t="s">
        <v>10075</v>
      </c>
      <c r="E2027" s="1" t="s">
        <v>10093</v>
      </c>
      <c r="F2027" s="1" t="s">
        <v>2071</v>
      </c>
      <c r="G2027" s="1" t="s">
        <v>2072</v>
      </c>
      <c r="H2027" s="1" t="str">
        <f t="shared" si="31"/>
        <v>Status</v>
      </c>
    </row>
    <row r="2028" spans="1:8">
      <c r="A2028" s="1">
        <v>2027</v>
      </c>
      <c r="B2028" s="1" t="s">
        <v>18602</v>
      </c>
      <c r="C2028" s="1" t="s">
        <v>855</v>
      </c>
      <c r="D2028" s="1" t="s">
        <v>10075</v>
      </c>
      <c r="E2028" s="1" t="s">
        <v>10095</v>
      </c>
      <c r="F2028" s="1" t="s">
        <v>2417</v>
      </c>
      <c r="G2028" s="1" t="s">
        <v>2418</v>
      </c>
      <c r="H2028" s="1" t="str">
        <f t="shared" si="31"/>
        <v>Status</v>
      </c>
    </row>
    <row r="2029" spans="1:8">
      <c r="A2029" s="1">
        <v>2028</v>
      </c>
      <c r="B2029" s="1" t="s">
        <v>18602</v>
      </c>
      <c r="C2029" s="1" t="s">
        <v>859</v>
      </c>
      <c r="D2029" s="1" t="s">
        <v>10075</v>
      </c>
      <c r="E2029" s="1" t="s">
        <v>10097</v>
      </c>
      <c r="F2029" s="1" t="s">
        <v>2067</v>
      </c>
      <c r="G2029" s="1" t="s">
        <v>2068</v>
      </c>
      <c r="H2029" s="1" t="str">
        <f t="shared" si="31"/>
        <v>Status</v>
      </c>
    </row>
    <row r="2030" spans="1:8">
      <c r="A2030" s="1">
        <v>2029</v>
      </c>
      <c r="B2030" s="1" t="s">
        <v>18602</v>
      </c>
      <c r="C2030" s="1" t="s">
        <v>863</v>
      </c>
      <c r="D2030" s="1" t="s">
        <v>10075</v>
      </c>
      <c r="E2030" s="1" t="s">
        <v>10099</v>
      </c>
      <c r="F2030" s="1" t="s">
        <v>2421</v>
      </c>
      <c r="G2030" s="1" t="s">
        <v>2422</v>
      </c>
      <c r="H2030" s="1" t="str">
        <f t="shared" si="31"/>
        <v>Status</v>
      </c>
    </row>
    <row r="2031" spans="1:8">
      <c r="A2031" s="1">
        <v>2030</v>
      </c>
      <c r="B2031" s="1" t="s">
        <v>18602</v>
      </c>
      <c r="C2031" s="1" t="s">
        <v>866</v>
      </c>
      <c r="D2031" s="1" t="s">
        <v>10075</v>
      </c>
      <c r="E2031" s="1" t="s">
        <v>10101</v>
      </c>
      <c r="F2031" s="1" t="s">
        <v>2828</v>
      </c>
      <c r="G2031" s="1" t="s">
        <v>2829</v>
      </c>
      <c r="H2031" s="1" t="str">
        <f t="shared" si="31"/>
        <v>Status</v>
      </c>
    </row>
    <row r="2032" spans="1:8">
      <c r="A2032" s="1">
        <v>2031</v>
      </c>
      <c r="B2032" s="1" t="s">
        <v>18602</v>
      </c>
      <c r="C2032" s="1" t="s">
        <v>870</v>
      </c>
      <c r="D2032" s="1" t="s">
        <v>10075</v>
      </c>
      <c r="E2032" s="1" t="s">
        <v>10103</v>
      </c>
      <c r="F2032" s="1" t="s">
        <v>2115</v>
      </c>
      <c r="G2032" s="1" t="s">
        <v>2116</v>
      </c>
      <c r="H2032" s="1" t="str">
        <f t="shared" si="31"/>
        <v>Status</v>
      </c>
    </row>
    <row r="2033" spans="1:8">
      <c r="A2033" s="1">
        <v>2032</v>
      </c>
      <c r="B2033" s="1" t="s">
        <v>18602</v>
      </c>
      <c r="C2033" s="1" t="s">
        <v>874</v>
      </c>
      <c r="D2033" s="1" t="s">
        <v>10075</v>
      </c>
      <c r="E2033" s="1" t="s">
        <v>2046</v>
      </c>
      <c r="F2033" s="1" t="s">
        <v>2521</v>
      </c>
      <c r="G2033" s="1" t="s">
        <v>2522</v>
      </c>
      <c r="H2033" s="1" t="str">
        <f t="shared" si="31"/>
        <v>Status</v>
      </c>
    </row>
    <row r="2034" spans="1:8">
      <c r="A2034" s="1">
        <v>2033</v>
      </c>
      <c r="B2034" s="1" t="s">
        <v>18602</v>
      </c>
      <c r="C2034" s="1" t="s">
        <v>877</v>
      </c>
      <c r="D2034" s="1" t="s">
        <v>10075</v>
      </c>
      <c r="E2034" s="1" t="s">
        <v>2883</v>
      </c>
      <c r="F2034" s="1" t="s">
        <v>2643</v>
      </c>
      <c r="G2034" s="1" t="s">
        <v>2644</v>
      </c>
      <c r="H2034" s="1" t="str">
        <f t="shared" si="31"/>
        <v>Status</v>
      </c>
    </row>
    <row r="2035" spans="1:8">
      <c r="A2035" s="1">
        <v>2034</v>
      </c>
      <c r="B2035" s="1" t="s">
        <v>18602</v>
      </c>
      <c r="C2035" s="1" t="s">
        <v>881</v>
      </c>
      <c r="D2035" s="1" t="s">
        <v>10075</v>
      </c>
      <c r="E2035" s="1" t="s">
        <v>2913</v>
      </c>
      <c r="F2035" s="1" t="s">
        <v>2847</v>
      </c>
      <c r="G2035" s="1" t="s">
        <v>2848</v>
      </c>
      <c r="H2035" s="1" t="str">
        <f t="shared" si="31"/>
        <v>Status</v>
      </c>
    </row>
    <row r="2036" spans="1:8">
      <c r="A2036" s="1">
        <v>2035</v>
      </c>
      <c r="B2036" s="1" t="s">
        <v>18602</v>
      </c>
      <c r="C2036" s="1" t="s">
        <v>885</v>
      </c>
      <c r="D2036" s="1" t="s">
        <v>10075</v>
      </c>
      <c r="E2036" s="1" t="s">
        <v>10108</v>
      </c>
      <c r="F2036" s="1" t="s">
        <v>2512</v>
      </c>
      <c r="G2036" s="1" t="s">
        <v>2513</v>
      </c>
      <c r="H2036" s="1" t="str">
        <f t="shared" si="31"/>
        <v>Status</v>
      </c>
    </row>
    <row r="2037" spans="1:8">
      <c r="A2037" s="1">
        <v>2036</v>
      </c>
      <c r="B2037" s="1" t="s">
        <v>18602</v>
      </c>
      <c r="C2037" s="1" t="s">
        <v>889</v>
      </c>
      <c r="D2037" s="1" t="s">
        <v>10075</v>
      </c>
      <c r="E2037" s="1" t="s">
        <v>2934</v>
      </c>
      <c r="F2037" s="1" t="s">
        <v>2851</v>
      </c>
      <c r="G2037" s="1" t="s">
        <v>2852</v>
      </c>
      <c r="H2037" s="1" t="str">
        <f t="shared" si="31"/>
        <v>Status</v>
      </c>
    </row>
    <row r="2038" spans="1:8">
      <c r="A2038" s="1">
        <v>2037</v>
      </c>
      <c r="B2038" s="1" t="s">
        <v>18602</v>
      </c>
      <c r="C2038" s="1" t="s">
        <v>892</v>
      </c>
      <c r="D2038" s="1" t="s">
        <v>10075</v>
      </c>
      <c r="E2038" s="1" t="s">
        <v>10111</v>
      </c>
      <c r="F2038" s="1" t="s">
        <v>2503</v>
      </c>
      <c r="G2038" s="1" t="s">
        <v>2504</v>
      </c>
      <c r="H2038" s="1" t="str">
        <f t="shared" si="31"/>
        <v>Status</v>
      </c>
    </row>
    <row r="2039" spans="1:8">
      <c r="A2039" s="1">
        <v>2038</v>
      </c>
      <c r="B2039" s="1" t="s">
        <v>18602</v>
      </c>
      <c r="C2039" s="1" t="s">
        <v>896</v>
      </c>
      <c r="D2039" s="1" t="s">
        <v>10075</v>
      </c>
      <c r="E2039" s="1" t="s">
        <v>10113</v>
      </c>
      <c r="F2039" s="1" t="s">
        <v>2500</v>
      </c>
      <c r="G2039" s="1" t="s">
        <v>2501</v>
      </c>
      <c r="H2039" s="1" t="str">
        <f t="shared" si="31"/>
        <v>Status</v>
      </c>
    </row>
    <row r="2040" spans="1:8">
      <c r="A2040" s="1">
        <v>2039</v>
      </c>
      <c r="B2040" s="1" t="s">
        <v>18602</v>
      </c>
      <c r="C2040" s="1" t="s">
        <v>900</v>
      </c>
      <c r="D2040" s="1" t="s">
        <v>10075</v>
      </c>
      <c r="E2040" s="1" t="s">
        <v>1762</v>
      </c>
      <c r="F2040" s="1" t="s">
        <v>2653</v>
      </c>
      <c r="G2040" s="1" t="s">
        <v>2654</v>
      </c>
      <c r="H2040" s="1" t="str">
        <f t="shared" si="31"/>
        <v>Status</v>
      </c>
    </row>
    <row r="2041" spans="1:8">
      <c r="A2041" s="1">
        <v>2040</v>
      </c>
      <c r="B2041" s="1" t="s">
        <v>18602</v>
      </c>
      <c r="C2041" s="1" t="s">
        <v>904</v>
      </c>
      <c r="D2041" s="1" t="s">
        <v>10075</v>
      </c>
      <c r="E2041" s="1" t="s">
        <v>10116</v>
      </c>
      <c r="F2041" s="1" t="s">
        <v>2649</v>
      </c>
      <c r="G2041" s="1" t="s">
        <v>2650</v>
      </c>
      <c r="H2041" s="1" t="str">
        <f t="shared" si="31"/>
        <v>Status</v>
      </c>
    </row>
    <row r="2042" spans="1:8">
      <c r="A2042" s="1">
        <v>2041</v>
      </c>
      <c r="B2042" s="1" t="s">
        <v>18602</v>
      </c>
      <c r="C2042" s="1" t="s">
        <v>908</v>
      </c>
      <c r="D2042" s="1" t="s">
        <v>10075</v>
      </c>
      <c r="E2042" s="1" t="s">
        <v>10118</v>
      </c>
      <c r="F2042" s="1" t="s">
        <v>2631</v>
      </c>
      <c r="G2042" s="1" t="s">
        <v>2632</v>
      </c>
      <c r="H2042" s="1" t="str">
        <f t="shared" si="31"/>
        <v>Status</v>
      </c>
    </row>
    <row r="2043" spans="1:8">
      <c r="A2043" s="1">
        <v>2042</v>
      </c>
      <c r="B2043" s="1" t="s">
        <v>18602</v>
      </c>
      <c r="C2043" s="1" t="s">
        <v>912</v>
      </c>
      <c r="D2043" s="1" t="s">
        <v>10075</v>
      </c>
      <c r="E2043" s="1" t="s">
        <v>3304</v>
      </c>
      <c r="F2043" s="1" t="s">
        <v>2862</v>
      </c>
      <c r="G2043" s="1" t="s">
        <v>2863</v>
      </c>
      <c r="H2043" s="1" t="str">
        <f t="shared" si="31"/>
        <v>Status</v>
      </c>
    </row>
    <row r="2044" spans="1:8">
      <c r="A2044" s="1">
        <v>2043</v>
      </c>
      <c r="B2044" s="1" t="s">
        <v>18602</v>
      </c>
      <c r="C2044" s="1" t="s">
        <v>916</v>
      </c>
      <c r="D2044" s="1" t="s">
        <v>10075</v>
      </c>
      <c r="E2044" s="1" t="s">
        <v>10121</v>
      </c>
      <c r="F2044" s="1" t="s">
        <v>2856</v>
      </c>
      <c r="G2044" s="1" t="s">
        <v>2857</v>
      </c>
      <c r="H2044" s="1" t="str">
        <f t="shared" si="31"/>
        <v>Status</v>
      </c>
    </row>
    <row r="2045" spans="1:8">
      <c r="A2045" s="1">
        <v>2044</v>
      </c>
      <c r="B2045" s="1" t="s">
        <v>18602</v>
      </c>
      <c r="C2045" s="1" t="s">
        <v>919</v>
      </c>
      <c r="D2045" s="1" t="s">
        <v>10075</v>
      </c>
      <c r="E2045" s="1" t="s">
        <v>10123</v>
      </c>
      <c r="F2045" s="1" t="s">
        <v>9650</v>
      </c>
      <c r="G2045" s="1" t="s">
        <v>9651</v>
      </c>
      <c r="H2045" s="1" t="str">
        <f t="shared" si="31"/>
        <v>Status</v>
      </c>
    </row>
    <row r="2046" spans="1:8">
      <c r="A2046" s="1">
        <v>2045</v>
      </c>
      <c r="B2046" s="1" t="s">
        <v>18602</v>
      </c>
      <c r="C2046" s="1" t="s">
        <v>923</v>
      </c>
      <c r="D2046" s="1" t="s">
        <v>10075</v>
      </c>
      <c r="E2046" s="1" t="s">
        <v>10125</v>
      </c>
      <c r="F2046" s="1" t="s">
        <v>9653</v>
      </c>
      <c r="G2046" s="1" t="s">
        <v>9654</v>
      </c>
      <c r="H2046" s="1" t="str">
        <f t="shared" si="31"/>
        <v>Status</v>
      </c>
    </row>
    <row r="2047" spans="1:8">
      <c r="A2047" s="1">
        <v>2046</v>
      </c>
      <c r="B2047" s="1" t="s">
        <v>18602</v>
      </c>
      <c r="C2047" s="1" t="s">
        <v>927</v>
      </c>
      <c r="D2047" s="1" t="s">
        <v>10075</v>
      </c>
      <c r="E2047" s="1" t="s">
        <v>10127</v>
      </c>
      <c r="F2047" s="1" t="s">
        <v>9656</v>
      </c>
      <c r="G2047" s="1" t="s">
        <v>9657</v>
      </c>
      <c r="H2047" s="1" t="str">
        <f t="shared" si="31"/>
        <v>Temperature</v>
      </c>
    </row>
    <row r="2048" spans="1:8">
      <c r="A2048" s="1">
        <v>2047</v>
      </c>
      <c r="B2048" s="1" t="s">
        <v>18602</v>
      </c>
      <c r="C2048" s="1" t="s">
        <v>931</v>
      </c>
      <c r="D2048" s="1" t="s">
        <v>10075</v>
      </c>
      <c r="E2048" s="1" t="s">
        <v>10129</v>
      </c>
      <c r="F2048" s="1" t="s">
        <v>9659</v>
      </c>
      <c r="G2048" s="1" t="s">
        <v>9660</v>
      </c>
      <c r="H2048" s="1" t="str">
        <f t="shared" si="31"/>
        <v>Temperature</v>
      </c>
    </row>
    <row r="2049" spans="1:8">
      <c r="A2049" s="1">
        <v>2048</v>
      </c>
      <c r="B2049" s="1" t="s">
        <v>18602</v>
      </c>
      <c r="C2049" s="1" t="s">
        <v>935</v>
      </c>
      <c r="D2049" s="1" t="s">
        <v>10075</v>
      </c>
      <c r="E2049" s="1" t="s">
        <v>10131</v>
      </c>
      <c r="F2049" s="1" t="s">
        <v>9662</v>
      </c>
      <c r="G2049" s="1" t="s">
        <v>9663</v>
      </c>
      <c r="H2049" s="1" t="str">
        <f t="shared" si="31"/>
        <v>Temperature</v>
      </c>
    </row>
    <row r="2050" spans="1:8">
      <c r="A2050" s="1">
        <v>2049</v>
      </c>
      <c r="B2050" s="1" t="s">
        <v>18602</v>
      </c>
      <c r="C2050" s="1" t="s">
        <v>939</v>
      </c>
      <c r="D2050" s="1" t="s">
        <v>10075</v>
      </c>
      <c r="E2050" s="1" t="s">
        <v>10133</v>
      </c>
      <c r="F2050" s="1" t="s">
        <v>9665</v>
      </c>
      <c r="G2050" s="1" t="s">
        <v>9666</v>
      </c>
      <c r="H2050" s="1" t="str">
        <f t="shared" ref="H2050:H2113" si="32">IFERROR(IF(OR(MID(G2050,FIND(":",G2050)-1,1)="""",MID(G2050,FIND(":",G2050)-1,1)="}",MID(G2050,FIND(":",G2050)-1,1)=")",MID(G2050,FIND(":",G2050)-1,1)="]"),"",LEFT(F2050,FIND(":",F2050)-1)),"")</f>
        <v>Temperature</v>
      </c>
    </row>
    <row r="2051" spans="1:8">
      <c r="A2051" s="1">
        <v>2050</v>
      </c>
      <c r="B2051" s="1" t="s">
        <v>18603</v>
      </c>
      <c r="C2051" s="1" t="s">
        <v>155</v>
      </c>
      <c r="D2051" s="1" t="s">
        <v>10135</v>
      </c>
      <c r="E2051" s="1" t="s">
        <v>1434</v>
      </c>
      <c r="F2051" s="1" t="s">
        <v>10136</v>
      </c>
      <c r="G2051" s="1" t="s">
        <v>10137</v>
      </c>
      <c r="H2051" s="1" t="str">
        <f t="shared" si="32"/>
        <v>MySQL</v>
      </c>
    </row>
    <row r="2052" spans="1:8">
      <c r="A2052" s="1">
        <v>2051</v>
      </c>
      <c r="B2052" s="1" t="s">
        <v>18603</v>
      </c>
      <c r="C2052" s="1" t="s">
        <v>160</v>
      </c>
      <c r="D2052" s="1" t="s">
        <v>10135</v>
      </c>
      <c r="E2052" s="1" t="s">
        <v>10139</v>
      </c>
      <c r="F2052" s="1" t="s">
        <v>10140</v>
      </c>
      <c r="G2052" s="1" t="s">
        <v>10141</v>
      </c>
      <c r="H2052" s="1" t="str">
        <f t="shared" si="32"/>
        <v>MySQL</v>
      </c>
    </row>
    <row r="2053" spans="1:8">
      <c r="A2053" s="1">
        <v>2052</v>
      </c>
      <c r="B2053" s="1" t="s">
        <v>18603</v>
      </c>
      <c r="C2053" s="1" t="s">
        <v>164</v>
      </c>
      <c r="D2053" s="1" t="s">
        <v>10135</v>
      </c>
      <c r="E2053" s="1" t="s">
        <v>1435</v>
      </c>
      <c r="F2053" s="1" t="s">
        <v>10143</v>
      </c>
      <c r="G2053" s="1" t="s">
        <v>10144</v>
      </c>
      <c r="H2053" s="1" t="str">
        <f t="shared" si="32"/>
        <v>MySQL</v>
      </c>
    </row>
    <row r="2054" spans="1:8">
      <c r="A2054" s="1">
        <v>2053</v>
      </c>
      <c r="B2054" s="1" t="s">
        <v>18603</v>
      </c>
      <c r="C2054" s="1" t="s">
        <v>168</v>
      </c>
      <c r="D2054" s="1" t="s">
        <v>10135</v>
      </c>
      <c r="E2054" s="1" t="s">
        <v>1441</v>
      </c>
      <c r="F2054" s="1" t="s">
        <v>10146</v>
      </c>
      <c r="G2054" s="1" t="s">
        <v>10147</v>
      </c>
      <c r="H2054" s="1" t="str">
        <f t="shared" si="32"/>
        <v>MySQL</v>
      </c>
    </row>
    <row r="2055" spans="1:8">
      <c r="A2055" s="1">
        <v>2054</v>
      </c>
      <c r="B2055" s="1" t="s">
        <v>18603</v>
      </c>
      <c r="C2055" s="1" t="s">
        <v>172</v>
      </c>
      <c r="D2055" s="1" t="s">
        <v>10135</v>
      </c>
      <c r="E2055" s="1" t="s">
        <v>1438</v>
      </c>
      <c r="F2055" s="1" t="s">
        <v>10149</v>
      </c>
      <c r="G2055" s="1" t="s">
        <v>10150</v>
      </c>
      <c r="H2055" s="1" t="str">
        <f t="shared" si="32"/>
        <v>MySQL</v>
      </c>
    </row>
    <row r="2056" spans="1:8">
      <c r="A2056" s="1">
        <v>2055</v>
      </c>
      <c r="B2056" s="1" t="s">
        <v>18603</v>
      </c>
      <c r="C2056" s="1" t="s">
        <v>176</v>
      </c>
      <c r="D2056" s="1" t="s">
        <v>10135</v>
      </c>
      <c r="E2056" s="1" t="s">
        <v>1444</v>
      </c>
      <c r="F2056" s="1" t="s">
        <v>10152</v>
      </c>
      <c r="G2056" s="1" t="s">
        <v>10153</v>
      </c>
      <c r="H2056" s="1" t="str">
        <f t="shared" si="32"/>
        <v>MySQL</v>
      </c>
    </row>
    <row r="2057" spans="1:8">
      <c r="A2057" s="1">
        <v>2056</v>
      </c>
      <c r="B2057" s="1" t="s">
        <v>18603</v>
      </c>
      <c r="C2057" s="1" t="s">
        <v>180</v>
      </c>
      <c r="D2057" s="1" t="s">
        <v>10135</v>
      </c>
      <c r="E2057" s="1" t="s">
        <v>1436</v>
      </c>
      <c r="F2057" s="1" t="s">
        <v>10155</v>
      </c>
      <c r="G2057" s="1" t="s">
        <v>10156</v>
      </c>
      <c r="H2057" s="1" t="str">
        <f t="shared" si="32"/>
        <v>MySQL</v>
      </c>
    </row>
    <row r="2058" spans="1:8">
      <c r="A2058" s="1">
        <v>2057</v>
      </c>
      <c r="B2058" s="1" t="s">
        <v>18603</v>
      </c>
      <c r="C2058" s="1" t="s">
        <v>184</v>
      </c>
      <c r="D2058" s="1" t="s">
        <v>10135</v>
      </c>
      <c r="E2058" s="1" t="s">
        <v>1432</v>
      </c>
      <c r="F2058" s="1" t="s">
        <v>1425</v>
      </c>
      <c r="G2058" s="1" t="s">
        <v>1426</v>
      </c>
      <c r="H2058" s="1" t="str">
        <f t="shared" si="32"/>
        <v>MySQL</v>
      </c>
    </row>
    <row r="2059" spans="1:8">
      <c r="A2059" s="1">
        <v>2058</v>
      </c>
      <c r="B2059" s="1" t="s">
        <v>18603</v>
      </c>
      <c r="C2059" s="1" t="s">
        <v>188</v>
      </c>
      <c r="D2059" s="1" t="s">
        <v>10135</v>
      </c>
      <c r="E2059" s="1" t="s">
        <v>1437</v>
      </c>
      <c r="F2059" s="1" t="s">
        <v>10159</v>
      </c>
      <c r="G2059" s="1" t="s">
        <v>10160</v>
      </c>
      <c r="H2059" s="1" t="str">
        <f t="shared" si="32"/>
        <v>MySQL</v>
      </c>
    </row>
    <row r="2060" spans="1:8">
      <c r="A2060" s="1">
        <v>2059</v>
      </c>
      <c r="B2060" s="1" t="s">
        <v>18603</v>
      </c>
      <c r="C2060" s="1" t="s">
        <v>192</v>
      </c>
      <c r="D2060" s="1" t="s">
        <v>10135</v>
      </c>
      <c r="E2060" s="1" t="s">
        <v>1447</v>
      </c>
      <c r="F2060" s="1" t="s">
        <v>10162</v>
      </c>
      <c r="G2060" s="1" t="s">
        <v>10163</v>
      </c>
      <c r="H2060" s="1" t="str">
        <f t="shared" si="32"/>
        <v>MySQL</v>
      </c>
    </row>
    <row r="2061" spans="1:8">
      <c r="A2061" s="1">
        <v>2060</v>
      </c>
      <c r="B2061" s="1" t="s">
        <v>18603</v>
      </c>
      <c r="C2061" s="1" t="s">
        <v>196</v>
      </c>
      <c r="D2061" s="1" t="s">
        <v>10135</v>
      </c>
      <c r="E2061" s="1" t="s">
        <v>1433</v>
      </c>
      <c r="F2061" s="1" t="s">
        <v>10165</v>
      </c>
      <c r="G2061" s="1" t="s">
        <v>10166</v>
      </c>
      <c r="H2061" s="1" t="str">
        <f t="shared" si="32"/>
        <v>MySQL</v>
      </c>
    </row>
    <row r="2062" spans="1:8">
      <c r="A2062" s="1">
        <v>2061</v>
      </c>
      <c r="B2062" s="1" t="s">
        <v>18604</v>
      </c>
      <c r="C2062" s="1" t="s">
        <v>155</v>
      </c>
      <c r="D2062" s="1" t="s">
        <v>10168</v>
      </c>
      <c r="E2062" s="1" t="s">
        <v>1455</v>
      </c>
      <c r="F2062" s="1" t="s">
        <v>10136</v>
      </c>
      <c r="G2062" s="1" t="s">
        <v>10137</v>
      </c>
      <c r="H2062" s="1" t="str">
        <f t="shared" si="32"/>
        <v>MySQL</v>
      </c>
    </row>
    <row r="2063" spans="1:8">
      <c r="A2063" s="1">
        <v>2062</v>
      </c>
      <c r="B2063" s="1" t="s">
        <v>18604</v>
      </c>
      <c r="C2063" s="1" t="s">
        <v>160</v>
      </c>
      <c r="D2063" s="1" t="s">
        <v>10168</v>
      </c>
      <c r="E2063" s="1" t="s">
        <v>3694</v>
      </c>
      <c r="F2063" s="1" t="s">
        <v>10140</v>
      </c>
      <c r="G2063" s="1" t="s">
        <v>10141</v>
      </c>
      <c r="H2063" s="1" t="str">
        <f t="shared" si="32"/>
        <v>MySQL</v>
      </c>
    </row>
    <row r="2064" spans="1:8">
      <c r="A2064" s="1">
        <v>2063</v>
      </c>
      <c r="B2064" s="1" t="s">
        <v>18604</v>
      </c>
      <c r="C2064" s="1" t="s">
        <v>164</v>
      </c>
      <c r="D2064" s="1" t="s">
        <v>10168</v>
      </c>
      <c r="E2064" s="1" t="s">
        <v>1456</v>
      </c>
      <c r="F2064" s="1" t="s">
        <v>10143</v>
      </c>
      <c r="G2064" s="1" t="s">
        <v>10144</v>
      </c>
      <c r="H2064" s="1" t="str">
        <f t="shared" si="32"/>
        <v>MySQL</v>
      </c>
    </row>
    <row r="2065" spans="1:8">
      <c r="A2065" s="1">
        <v>2064</v>
      </c>
      <c r="B2065" s="1" t="s">
        <v>18604</v>
      </c>
      <c r="C2065" s="1" t="s">
        <v>168</v>
      </c>
      <c r="D2065" s="1" t="s">
        <v>10168</v>
      </c>
      <c r="E2065" s="1" t="s">
        <v>1462</v>
      </c>
      <c r="F2065" s="1" t="s">
        <v>10146</v>
      </c>
      <c r="G2065" s="1" t="s">
        <v>10147</v>
      </c>
      <c r="H2065" s="1" t="str">
        <f t="shared" si="32"/>
        <v>MySQL</v>
      </c>
    </row>
    <row r="2066" spans="1:8">
      <c r="A2066" s="1">
        <v>2065</v>
      </c>
      <c r="B2066" s="1" t="s">
        <v>18604</v>
      </c>
      <c r="C2066" s="1" t="s">
        <v>172</v>
      </c>
      <c r="D2066" s="1" t="s">
        <v>10168</v>
      </c>
      <c r="E2066" s="1" t="s">
        <v>1461</v>
      </c>
      <c r="F2066" s="1" t="s">
        <v>10149</v>
      </c>
      <c r="G2066" s="1" t="s">
        <v>10150</v>
      </c>
      <c r="H2066" s="1" t="str">
        <f t="shared" si="32"/>
        <v>MySQL</v>
      </c>
    </row>
    <row r="2067" spans="1:8">
      <c r="A2067" s="1">
        <v>2066</v>
      </c>
      <c r="B2067" s="1" t="s">
        <v>18604</v>
      </c>
      <c r="C2067" s="1" t="s">
        <v>176</v>
      </c>
      <c r="D2067" s="1" t="s">
        <v>10168</v>
      </c>
      <c r="E2067" s="1" t="s">
        <v>1463</v>
      </c>
      <c r="F2067" s="1" t="s">
        <v>10152</v>
      </c>
      <c r="G2067" s="1" t="s">
        <v>10153</v>
      </c>
      <c r="H2067" s="1" t="str">
        <f t="shared" si="32"/>
        <v>MySQL</v>
      </c>
    </row>
    <row r="2068" spans="1:8">
      <c r="A2068" s="1">
        <v>2067</v>
      </c>
      <c r="B2068" s="1" t="s">
        <v>18604</v>
      </c>
      <c r="C2068" s="1" t="s">
        <v>180</v>
      </c>
      <c r="D2068" s="1" t="s">
        <v>10168</v>
      </c>
      <c r="E2068" s="1" t="s">
        <v>1458</v>
      </c>
      <c r="F2068" s="1" t="s">
        <v>10155</v>
      </c>
      <c r="G2068" s="1" t="s">
        <v>10156</v>
      </c>
      <c r="H2068" s="1" t="str">
        <f t="shared" si="32"/>
        <v>MySQL</v>
      </c>
    </row>
    <row r="2069" spans="1:8">
      <c r="A2069" s="1">
        <v>2068</v>
      </c>
      <c r="B2069" s="1" t="s">
        <v>18604</v>
      </c>
      <c r="C2069" s="1" t="s">
        <v>184</v>
      </c>
      <c r="D2069" s="1" t="s">
        <v>10168</v>
      </c>
      <c r="E2069" s="1" t="s">
        <v>1457</v>
      </c>
      <c r="F2069" s="1" t="s">
        <v>1425</v>
      </c>
      <c r="G2069" s="1" t="s">
        <v>1426</v>
      </c>
      <c r="H2069" s="1" t="str">
        <f t="shared" si="32"/>
        <v>MySQL</v>
      </c>
    </row>
    <row r="2070" spans="1:8">
      <c r="A2070" s="1">
        <v>2069</v>
      </c>
      <c r="B2070" s="1" t="s">
        <v>18604</v>
      </c>
      <c r="C2070" s="1" t="s">
        <v>188</v>
      </c>
      <c r="D2070" s="1" t="s">
        <v>10168</v>
      </c>
      <c r="E2070" s="1" t="s">
        <v>1459</v>
      </c>
      <c r="F2070" s="1" t="s">
        <v>10159</v>
      </c>
      <c r="G2070" s="1" t="s">
        <v>10160</v>
      </c>
      <c r="H2070" s="1" t="str">
        <f t="shared" si="32"/>
        <v>MySQL</v>
      </c>
    </row>
    <row r="2071" spans="1:8">
      <c r="A2071" s="1">
        <v>2070</v>
      </c>
      <c r="B2071" s="1" t="s">
        <v>18604</v>
      </c>
      <c r="C2071" s="1" t="s">
        <v>192</v>
      </c>
      <c r="D2071" s="1" t="s">
        <v>10168</v>
      </c>
      <c r="E2071" s="1" t="s">
        <v>1464</v>
      </c>
      <c r="F2071" s="1" t="s">
        <v>10162</v>
      </c>
      <c r="G2071" s="1" t="s">
        <v>10163</v>
      </c>
      <c r="H2071" s="1" t="str">
        <f t="shared" si="32"/>
        <v>MySQL</v>
      </c>
    </row>
    <row r="2072" spans="1:8">
      <c r="A2072" s="1">
        <v>2071</v>
      </c>
      <c r="B2072" s="1" t="s">
        <v>18604</v>
      </c>
      <c r="C2072" s="1" t="s">
        <v>196</v>
      </c>
      <c r="D2072" s="1" t="s">
        <v>10168</v>
      </c>
      <c r="E2072" s="1" t="s">
        <v>1460</v>
      </c>
      <c r="F2072" s="1" t="s">
        <v>10165</v>
      </c>
      <c r="G2072" s="1" t="s">
        <v>10166</v>
      </c>
      <c r="H2072" s="1" t="str">
        <f t="shared" si="32"/>
        <v>MySQL</v>
      </c>
    </row>
    <row r="2073" spans="1:8">
      <c r="A2073" s="1">
        <v>2072</v>
      </c>
      <c r="B2073" s="1" t="s">
        <v>18605</v>
      </c>
      <c r="C2073" s="1" t="s">
        <v>155</v>
      </c>
      <c r="D2073" s="1" t="s">
        <v>10180</v>
      </c>
      <c r="E2073" s="1" t="s">
        <v>1468</v>
      </c>
      <c r="F2073" s="1" t="s">
        <v>10136</v>
      </c>
      <c r="G2073" s="1" t="s">
        <v>10137</v>
      </c>
      <c r="H2073" s="1" t="str">
        <f t="shared" si="32"/>
        <v>MySQL</v>
      </c>
    </row>
    <row r="2074" spans="1:8">
      <c r="A2074" s="1">
        <v>2073</v>
      </c>
      <c r="B2074" s="1" t="s">
        <v>18605</v>
      </c>
      <c r="C2074" s="1" t="s">
        <v>160</v>
      </c>
      <c r="D2074" s="1" t="s">
        <v>10180</v>
      </c>
      <c r="E2074" s="1" t="s">
        <v>3695</v>
      </c>
      <c r="F2074" s="1" t="s">
        <v>10140</v>
      </c>
      <c r="G2074" s="1" t="s">
        <v>10141</v>
      </c>
      <c r="H2074" s="1" t="str">
        <f t="shared" si="32"/>
        <v>MySQL</v>
      </c>
    </row>
    <row r="2075" spans="1:8">
      <c r="A2075" s="1">
        <v>2074</v>
      </c>
      <c r="B2075" s="1" t="s">
        <v>18605</v>
      </c>
      <c r="C2075" s="1" t="s">
        <v>164</v>
      </c>
      <c r="D2075" s="1" t="s">
        <v>10180</v>
      </c>
      <c r="E2075" s="1" t="s">
        <v>1469</v>
      </c>
      <c r="F2075" s="1" t="s">
        <v>10143</v>
      </c>
      <c r="G2075" s="1" t="s">
        <v>10144</v>
      </c>
      <c r="H2075" s="1" t="str">
        <f t="shared" si="32"/>
        <v>MySQL</v>
      </c>
    </row>
    <row r="2076" spans="1:8">
      <c r="A2076" s="1">
        <v>2075</v>
      </c>
      <c r="B2076" s="1" t="s">
        <v>18605</v>
      </c>
      <c r="C2076" s="1" t="s">
        <v>168</v>
      </c>
      <c r="D2076" s="1" t="s">
        <v>10180</v>
      </c>
      <c r="E2076" s="1" t="s">
        <v>1475</v>
      </c>
      <c r="F2076" s="1" t="s">
        <v>10146</v>
      </c>
      <c r="G2076" s="1" t="s">
        <v>10147</v>
      </c>
      <c r="H2076" s="1" t="str">
        <f t="shared" si="32"/>
        <v>MySQL</v>
      </c>
    </row>
    <row r="2077" spans="1:8">
      <c r="A2077" s="1">
        <v>2076</v>
      </c>
      <c r="B2077" s="1" t="s">
        <v>18605</v>
      </c>
      <c r="C2077" s="1" t="s">
        <v>172</v>
      </c>
      <c r="D2077" s="1" t="s">
        <v>10180</v>
      </c>
      <c r="E2077" s="1" t="s">
        <v>1474</v>
      </c>
      <c r="F2077" s="1" t="s">
        <v>10149</v>
      </c>
      <c r="G2077" s="1" t="s">
        <v>10150</v>
      </c>
      <c r="H2077" s="1" t="str">
        <f t="shared" si="32"/>
        <v>MySQL</v>
      </c>
    </row>
    <row r="2078" spans="1:8">
      <c r="A2078" s="1">
        <v>2077</v>
      </c>
      <c r="B2078" s="1" t="s">
        <v>18605</v>
      </c>
      <c r="C2078" s="1" t="s">
        <v>176</v>
      </c>
      <c r="D2078" s="1" t="s">
        <v>10180</v>
      </c>
      <c r="E2078" s="1" t="s">
        <v>1476</v>
      </c>
      <c r="F2078" s="1" t="s">
        <v>10152</v>
      </c>
      <c r="G2078" s="1" t="s">
        <v>10153</v>
      </c>
      <c r="H2078" s="1" t="str">
        <f t="shared" si="32"/>
        <v>MySQL</v>
      </c>
    </row>
    <row r="2079" spans="1:8">
      <c r="A2079" s="1">
        <v>2078</v>
      </c>
      <c r="B2079" s="1" t="s">
        <v>18605</v>
      </c>
      <c r="C2079" s="1" t="s">
        <v>180</v>
      </c>
      <c r="D2079" s="1" t="s">
        <v>10180</v>
      </c>
      <c r="E2079" s="1" t="s">
        <v>1471</v>
      </c>
      <c r="F2079" s="1" t="s">
        <v>10155</v>
      </c>
      <c r="G2079" s="1" t="s">
        <v>10156</v>
      </c>
      <c r="H2079" s="1" t="str">
        <f t="shared" si="32"/>
        <v>MySQL</v>
      </c>
    </row>
    <row r="2080" spans="1:8">
      <c r="A2080" s="1">
        <v>2079</v>
      </c>
      <c r="B2080" s="1" t="s">
        <v>18605</v>
      </c>
      <c r="C2080" s="1" t="s">
        <v>184</v>
      </c>
      <c r="D2080" s="1" t="s">
        <v>10180</v>
      </c>
      <c r="E2080" s="1" t="s">
        <v>1470</v>
      </c>
      <c r="F2080" s="1" t="s">
        <v>1425</v>
      </c>
      <c r="G2080" s="1" t="s">
        <v>1426</v>
      </c>
      <c r="H2080" s="1" t="str">
        <f t="shared" si="32"/>
        <v>MySQL</v>
      </c>
    </row>
    <row r="2081" spans="1:8">
      <c r="A2081" s="1">
        <v>2080</v>
      </c>
      <c r="B2081" s="1" t="s">
        <v>18605</v>
      </c>
      <c r="C2081" s="1" t="s">
        <v>188</v>
      </c>
      <c r="D2081" s="1" t="s">
        <v>10180</v>
      </c>
      <c r="E2081" s="1" t="s">
        <v>1472</v>
      </c>
      <c r="F2081" s="1" t="s">
        <v>10159</v>
      </c>
      <c r="G2081" s="1" t="s">
        <v>10160</v>
      </c>
      <c r="H2081" s="1" t="str">
        <f t="shared" si="32"/>
        <v>MySQL</v>
      </c>
    </row>
    <row r="2082" spans="1:8">
      <c r="A2082" s="1">
        <v>2081</v>
      </c>
      <c r="B2082" s="1" t="s">
        <v>18605</v>
      </c>
      <c r="C2082" s="1" t="s">
        <v>192</v>
      </c>
      <c r="D2082" s="1" t="s">
        <v>10180</v>
      </c>
      <c r="E2082" s="1" t="s">
        <v>1477</v>
      </c>
      <c r="F2082" s="1" t="s">
        <v>10162</v>
      </c>
      <c r="G2082" s="1" t="s">
        <v>10163</v>
      </c>
      <c r="H2082" s="1" t="str">
        <f t="shared" si="32"/>
        <v>MySQL</v>
      </c>
    </row>
    <row r="2083" spans="1:8">
      <c r="A2083" s="1">
        <v>2082</v>
      </c>
      <c r="B2083" s="1" t="s">
        <v>18605</v>
      </c>
      <c r="C2083" s="1" t="s">
        <v>196</v>
      </c>
      <c r="D2083" s="1" t="s">
        <v>10180</v>
      </c>
      <c r="E2083" s="1" t="s">
        <v>1473</v>
      </c>
      <c r="F2083" s="1" t="s">
        <v>10165</v>
      </c>
      <c r="G2083" s="1" t="s">
        <v>10166</v>
      </c>
      <c r="H2083" s="1" t="str">
        <f t="shared" si="32"/>
        <v>MySQL</v>
      </c>
    </row>
    <row r="2084" spans="1:8">
      <c r="A2084" s="1">
        <v>2083</v>
      </c>
      <c r="B2084" s="1" t="s">
        <v>18606</v>
      </c>
      <c r="C2084" s="1" t="s">
        <v>211</v>
      </c>
      <c r="D2084" s="1" t="s">
        <v>10192</v>
      </c>
      <c r="E2084" s="1" t="s">
        <v>3755</v>
      </c>
      <c r="F2084" s="1" t="s">
        <v>10193</v>
      </c>
      <c r="G2084" s="1" t="s">
        <v>10194</v>
      </c>
      <c r="H2084" s="1" t="str">
        <f t="shared" si="32"/>
        <v>Nginx</v>
      </c>
    </row>
    <row r="2085" spans="1:8">
      <c r="A2085" s="1">
        <v>2084</v>
      </c>
      <c r="B2085" s="1" t="s">
        <v>18606</v>
      </c>
      <c r="C2085" s="1" t="s">
        <v>214</v>
      </c>
      <c r="D2085" s="1" t="s">
        <v>10192</v>
      </c>
      <c r="E2085" s="1" t="s">
        <v>10196</v>
      </c>
      <c r="F2085" s="1" t="s">
        <v>10197</v>
      </c>
      <c r="G2085" s="1" t="s">
        <v>10198</v>
      </c>
      <c r="H2085" s="1" t="str">
        <f t="shared" si="32"/>
        <v>Nginx</v>
      </c>
    </row>
    <row r="2086" spans="1:8">
      <c r="A2086" s="1">
        <v>2085</v>
      </c>
      <c r="B2086" s="1" t="s">
        <v>18606</v>
      </c>
      <c r="C2086" s="1" t="s">
        <v>218</v>
      </c>
      <c r="D2086" s="1" t="s">
        <v>10192</v>
      </c>
      <c r="E2086" s="1" t="s">
        <v>10200</v>
      </c>
      <c r="F2086" s="1" t="s">
        <v>10201</v>
      </c>
      <c r="G2086" s="1" t="s">
        <v>10202</v>
      </c>
      <c r="H2086" s="1" t="str">
        <f t="shared" si="32"/>
        <v>Nginx</v>
      </c>
    </row>
    <row r="2087" spans="1:8">
      <c r="A2087" s="1">
        <v>2086</v>
      </c>
      <c r="B2087" s="1" t="s">
        <v>18606</v>
      </c>
      <c r="C2087" s="1" t="s">
        <v>220</v>
      </c>
      <c r="D2087" s="1" t="s">
        <v>10192</v>
      </c>
      <c r="E2087" s="1" t="s">
        <v>10204</v>
      </c>
      <c r="F2087" s="1" t="s">
        <v>10205</v>
      </c>
      <c r="G2087" s="1" t="s">
        <v>10206</v>
      </c>
      <c r="H2087" s="1" t="str">
        <f t="shared" si="32"/>
        <v>Nginx</v>
      </c>
    </row>
    <row r="2088" spans="1:8">
      <c r="A2088" s="1">
        <v>2087</v>
      </c>
      <c r="B2088" s="1" t="s">
        <v>18606</v>
      </c>
      <c r="C2088" s="1" t="s">
        <v>224</v>
      </c>
      <c r="D2088" s="1" t="s">
        <v>10192</v>
      </c>
      <c r="E2088" s="1" t="s">
        <v>10208</v>
      </c>
      <c r="F2088" s="1" t="s">
        <v>10209</v>
      </c>
      <c r="G2088" s="1" t="s">
        <v>10210</v>
      </c>
      <c r="H2088" s="1" t="str">
        <f t="shared" si="32"/>
        <v>Nginx</v>
      </c>
    </row>
    <row r="2089" spans="1:8">
      <c r="A2089" s="1">
        <v>2088</v>
      </c>
      <c r="B2089" s="1" t="s">
        <v>18607</v>
      </c>
      <c r="C2089" s="1" t="s">
        <v>201</v>
      </c>
      <c r="D2089" s="1" t="s">
        <v>10216</v>
      </c>
      <c r="E2089" s="1" t="s">
        <v>3670</v>
      </c>
      <c r="F2089" s="1" t="s">
        <v>10217</v>
      </c>
      <c r="G2089" s="1" t="s">
        <v>10218</v>
      </c>
      <c r="H2089" s="1" t="str">
        <f t="shared" si="32"/>
        <v>NetApp AFF A700</v>
      </c>
    </row>
    <row r="2090" spans="1:8">
      <c r="A2090" s="1">
        <v>2089</v>
      </c>
      <c r="B2090" s="1" t="s">
        <v>18607</v>
      </c>
      <c r="C2090" s="1" t="s">
        <v>206</v>
      </c>
      <c r="D2090" s="1" t="s">
        <v>10216</v>
      </c>
      <c r="E2090" s="1" t="s">
        <v>3669</v>
      </c>
      <c r="F2090" s="1" t="s">
        <v>10220</v>
      </c>
      <c r="G2090" s="1" t="s">
        <v>10221</v>
      </c>
      <c r="H2090" s="1" t="str">
        <f t="shared" si="32"/>
        <v>NetApp AFF A700</v>
      </c>
    </row>
    <row r="2091" spans="1:8">
      <c r="A2091" s="1">
        <v>2090</v>
      </c>
      <c r="B2091" s="1" t="s">
        <v>18608</v>
      </c>
      <c r="C2091" s="1" t="s">
        <v>392</v>
      </c>
      <c r="D2091" s="1" t="s">
        <v>10223</v>
      </c>
      <c r="E2091" s="1" t="s">
        <v>10224</v>
      </c>
      <c r="F2091" s="1" t="s">
        <v>3749</v>
      </c>
      <c r="G2091" s="1" t="s">
        <v>3750</v>
      </c>
      <c r="H2091" s="1" t="str">
        <f t="shared" si="32"/>
        <v>NetApp FAS3220</v>
      </c>
    </row>
    <row r="2092" spans="1:8">
      <c r="A2092" s="1">
        <v>2091</v>
      </c>
      <c r="B2092" s="1" t="s">
        <v>18608</v>
      </c>
      <c r="C2092" s="1" t="s">
        <v>397</v>
      </c>
      <c r="D2092" s="1" t="s">
        <v>10223</v>
      </c>
      <c r="E2092" s="1" t="s">
        <v>10226</v>
      </c>
      <c r="F2092" s="1" t="s">
        <v>10227</v>
      </c>
      <c r="G2092" s="1" t="s">
        <v>10228</v>
      </c>
      <c r="H2092" s="1" t="str">
        <f t="shared" si="32"/>
        <v>NetApp FAS3220</v>
      </c>
    </row>
    <row r="2093" spans="1:8">
      <c r="A2093" s="1">
        <v>2092</v>
      </c>
      <c r="B2093" s="1" t="s">
        <v>18608</v>
      </c>
      <c r="C2093" s="1" t="s">
        <v>401</v>
      </c>
      <c r="D2093" s="1" t="s">
        <v>10223</v>
      </c>
      <c r="E2093" s="1" t="s">
        <v>10230</v>
      </c>
      <c r="F2093" s="1" t="s">
        <v>10231</v>
      </c>
      <c r="G2093" s="1" t="s">
        <v>10232</v>
      </c>
      <c r="H2093" s="1" t="str">
        <f t="shared" si="32"/>
        <v>NetApp FAS3220</v>
      </c>
    </row>
    <row r="2094" spans="1:8">
      <c r="A2094" s="1">
        <v>2093</v>
      </c>
      <c r="B2094" s="1" t="s">
        <v>18608</v>
      </c>
      <c r="C2094" s="1" t="s">
        <v>405</v>
      </c>
      <c r="D2094" s="1" t="s">
        <v>10223</v>
      </c>
      <c r="E2094" s="1" t="s">
        <v>10234</v>
      </c>
      <c r="F2094" s="1" t="s">
        <v>10235</v>
      </c>
      <c r="G2094" s="1" t="s">
        <v>10236</v>
      </c>
      <c r="H2094" s="1" t="str">
        <f t="shared" si="32"/>
        <v>NetApp FAS3220</v>
      </c>
    </row>
    <row r="2095" spans="1:8">
      <c r="A2095" s="1">
        <v>2094</v>
      </c>
      <c r="B2095" s="1" t="s">
        <v>18608</v>
      </c>
      <c r="C2095" s="1" t="s">
        <v>409</v>
      </c>
      <c r="D2095" s="1" t="s">
        <v>10223</v>
      </c>
      <c r="E2095" s="1" t="s">
        <v>10238</v>
      </c>
      <c r="F2095" s="1" t="s">
        <v>10239</v>
      </c>
      <c r="G2095" s="1" t="s">
        <v>10240</v>
      </c>
      <c r="H2095" s="1" t="str">
        <f t="shared" si="32"/>
        <v>NetApp FAS3220</v>
      </c>
    </row>
    <row r="2096" spans="1:8">
      <c r="A2096" s="1">
        <v>2095</v>
      </c>
      <c r="B2096" s="1" t="s">
        <v>18608</v>
      </c>
      <c r="C2096" s="1" t="s">
        <v>413</v>
      </c>
      <c r="D2096" s="1" t="s">
        <v>10223</v>
      </c>
      <c r="E2096" s="1" t="s">
        <v>10242</v>
      </c>
      <c r="F2096" s="1" t="s">
        <v>10243</v>
      </c>
      <c r="G2096" s="1" t="s">
        <v>10244</v>
      </c>
      <c r="H2096" s="1" t="str">
        <f t="shared" si="32"/>
        <v>NetApp FAS3220</v>
      </c>
    </row>
    <row r="2097" spans="1:8">
      <c r="A2097" s="1">
        <v>2096</v>
      </c>
      <c r="B2097" s="1" t="s">
        <v>18608</v>
      </c>
      <c r="C2097" s="1" t="s">
        <v>417</v>
      </c>
      <c r="D2097" s="1" t="s">
        <v>10223</v>
      </c>
      <c r="E2097" s="1" t="s">
        <v>10246</v>
      </c>
      <c r="F2097" s="1" t="s">
        <v>10247</v>
      </c>
      <c r="G2097" s="1" t="s">
        <v>10248</v>
      </c>
      <c r="H2097" s="1" t="str">
        <f t="shared" si="32"/>
        <v>NetApp FAS3220</v>
      </c>
    </row>
    <row r="2098" spans="1:8">
      <c r="A2098" s="1">
        <v>2097</v>
      </c>
      <c r="B2098" s="1" t="s">
        <v>18609</v>
      </c>
      <c r="C2098" s="1" t="s">
        <v>131</v>
      </c>
      <c r="D2098" s="1" t="s">
        <v>10250</v>
      </c>
      <c r="E2098" s="1" t="s">
        <v>2880</v>
      </c>
      <c r="F2098" s="1" t="s">
        <v>10251</v>
      </c>
      <c r="G2098" s="1" t="s">
        <v>10252</v>
      </c>
      <c r="H2098" s="1" t="str">
        <f t="shared" si="32"/>
        <v>Netgear Fastpath</v>
      </c>
    </row>
    <row r="2099" spans="1:8">
      <c r="A2099" s="1">
        <v>2098</v>
      </c>
      <c r="B2099" s="1" t="s">
        <v>18609</v>
      </c>
      <c r="C2099" s="1" t="s">
        <v>136</v>
      </c>
      <c r="D2099" s="1" t="s">
        <v>10250</v>
      </c>
      <c r="E2099" s="1" t="s">
        <v>2877</v>
      </c>
      <c r="F2099" s="1" t="s">
        <v>10254</v>
      </c>
      <c r="G2099" s="1" t="s">
        <v>10255</v>
      </c>
      <c r="H2099" s="1" t="str">
        <f t="shared" si="32"/>
        <v>Netgear Fastpath</v>
      </c>
    </row>
    <row r="2100" spans="1:8">
      <c r="A2100" s="1">
        <v>2099</v>
      </c>
      <c r="B2100" s="1" t="s">
        <v>18609</v>
      </c>
      <c r="C2100" s="1" t="s">
        <v>138</v>
      </c>
      <c r="D2100" s="1" t="s">
        <v>10250</v>
      </c>
      <c r="E2100" s="1" t="s">
        <v>10257</v>
      </c>
      <c r="F2100" s="1" t="s">
        <v>10258</v>
      </c>
      <c r="G2100" s="1" t="s">
        <v>10259</v>
      </c>
      <c r="H2100" s="1" t="str">
        <f t="shared" si="32"/>
        <v>Netgear Fastpath</v>
      </c>
    </row>
    <row r="2101" spans="1:8">
      <c r="A2101" s="1">
        <v>2100</v>
      </c>
      <c r="B2101" s="1" t="s">
        <v>18609</v>
      </c>
      <c r="C2101" s="1" t="s">
        <v>140</v>
      </c>
      <c r="D2101" s="1" t="s">
        <v>10250</v>
      </c>
      <c r="E2101" s="1" t="s">
        <v>10261</v>
      </c>
      <c r="F2101" s="1" t="s">
        <v>10262</v>
      </c>
      <c r="G2101" s="1" t="s">
        <v>10263</v>
      </c>
      <c r="H2101" s="1" t="str">
        <f t="shared" si="32"/>
        <v>Netgear Fastpath</v>
      </c>
    </row>
    <row r="2102" spans="1:8">
      <c r="A2102" s="1">
        <v>2101</v>
      </c>
      <c r="B2102" s="1" t="s">
        <v>18609</v>
      </c>
      <c r="C2102" s="1" t="s">
        <v>142</v>
      </c>
      <c r="D2102" s="1" t="s">
        <v>10250</v>
      </c>
      <c r="E2102" s="1" t="s">
        <v>10265</v>
      </c>
      <c r="F2102" s="1" t="s">
        <v>10266</v>
      </c>
      <c r="G2102" s="1" t="s">
        <v>10267</v>
      </c>
      <c r="H2102" s="1" t="str">
        <f t="shared" si="32"/>
        <v>Netgear Fastpath</v>
      </c>
    </row>
    <row r="2103" spans="1:8">
      <c r="A2103" s="1">
        <v>2102</v>
      </c>
      <c r="B2103" s="1" t="s">
        <v>18609</v>
      </c>
      <c r="C2103" s="1" t="s">
        <v>144</v>
      </c>
      <c r="D2103" s="1" t="s">
        <v>10250</v>
      </c>
      <c r="E2103" s="1" t="s">
        <v>10269</v>
      </c>
      <c r="F2103" s="1" t="s">
        <v>10270</v>
      </c>
      <c r="G2103" s="1" t="s">
        <v>10271</v>
      </c>
      <c r="H2103" s="1" t="str">
        <f t="shared" si="32"/>
        <v>Netgear Fastpath</v>
      </c>
    </row>
    <row r="2104" spans="1:8">
      <c r="A2104" s="1">
        <v>2103</v>
      </c>
      <c r="B2104" s="1" t="s">
        <v>18609</v>
      </c>
      <c r="C2104" s="1" t="s">
        <v>146</v>
      </c>
      <c r="D2104" s="1" t="s">
        <v>10250</v>
      </c>
      <c r="E2104" s="1" t="s">
        <v>2881</v>
      </c>
      <c r="F2104" s="1" t="s">
        <v>10273</v>
      </c>
      <c r="G2104" s="1" t="s">
        <v>10274</v>
      </c>
      <c r="H2104" s="1" t="str">
        <f t="shared" si="32"/>
        <v>Netgear Fastpath</v>
      </c>
    </row>
    <row r="2105" spans="1:8">
      <c r="A2105" s="1">
        <v>2104</v>
      </c>
      <c r="B2105" s="1" t="s">
        <v>18609</v>
      </c>
      <c r="C2105" s="1" t="s">
        <v>148</v>
      </c>
      <c r="D2105" s="1" t="s">
        <v>10250</v>
      </c>
      <c r="E2105" s="1" t="s">
        <v>10276</v>
      </c>
      <c r="F2105" s="1" t="s">
        <v>10277</v>
      </c>
      <c r="G2105" s="1" t="s">
        <v>10278</v>
      </c>
      <c r="H2105" s="1" t="str">
        <f t="shared" si="32"/>
        <v>Netgear Fastpath</v>
      </c>
    </row>
    <row r="2106" spans="1:8">
      <c r="A2106" s="1">
        <v>2105</v>
      </c>
      <c r="B2106" s="1" t="s">
        <v>18609</v>
      </c>
      <c r="C2106" s="1" t="s">
        <v>150</v>
      </c>
      <c r="D2106" s="1" t="s">
        <v>10250</v>
      </c>
      <c r="E2106" s="1" t="s">
        <v>10280</v>
      </c>
      <c r="F2106" s="1" t="s">
        <v>10281</v>
      </c>
      <c r="G2106" s="1" t="s">
        <v>10282</v>
      </c>
      <c r="H2106" s="1" t="str">
        <f t="shared" si="32"/>
        <v>Netgear Fastpath</v>
      </c>
    </row>
    <row r="2107" spans="1:8">
      <c r="A2107" s="1">
        <v>2106</v>
      </c>
      <c r="B2107" s="1" t="s">
        <v>18609</v>
      </c>
      <c r="C2107" s="1" t="s">
        <v>152</v>
      </c>
      <c r="D2107" s="1" t="s">
        <v>10250</v>
      </c>
      <c r="E2107" s="1" t="s">
        <v>10284</v>
      </c>
      <c r="F2107" s="1" t="s">
        <v>10285</v>
      </c>
      <c r="G2107" s="1" t="s">
        <v>10286</v>
      </c>
      <c r="H2107" s="1" t="str">
        <f t="shared" si="32"/>
        <v>Netgear Fastpath</v>
      </c>
    </row>
    <row r="2108" spans="1:8">
      <c r="A2108" s="1">
        <v>2107</v>
      </c>
      <c r="B2108" s="1" t="s">
        <v>18610</v>
      </c>
      <c r="C2108" s="1" t="s">
        <v>251</v>
      </c>
      <c r="D2108" s="1" t="s">
        <v>10288</v>
      </c>
      <c r="E2108" s="1" t="s">
        <v>10289</v>
      </c>
      <c r="F2108" s="1" t="s">
        <v>7011</v>
      </c>
      <c r="G2108" s="1" t="s">
        <v>7012</v>
      </c>
      <c r="H2108" s="1" t="str">
        <f t="shared" si="32"/>
        <v>Generic SNMP</v>
      </c>
    </row>
    <row r="2109" spans="1:8">
      <c r="A2109" s="1">
        <v>2108</v>
      </c>
      <c r="B2109" s="1" t="s">
        <v>18610</v>
      </c>
      <c r="C2109" s="1" t="s">
        <v>254</v>
      </c>
      <c r="D2109" s="1" t="s">
        <v>10288</v>
      </c>
      <c r="E2109" s="1" t="s">
        <v>10291</v>
      </c>
      <c r="F2109" s="1" t="s">
        <v>7007</v>
      </c>
      <c r="G2109" s="1" t="s">
        <v>7008</v>
      </c>
      <c r="H2109" s="1" t="str">
        <f t="shared" si="32"/>
        <v>Generic SNMP</v>
      </c>
    </row>
    <row r="2110" spans="1:8">
      <c r="A2110" s="1">
        <v>2109</v>
      </c>
      <c r="B2110" s="1" t="s">
        <v>18610</v>
      </c>
      <c r="C2110" s="1" t="s">
        <v>256</v>
      </c>
      <c r="D2110" s="1" t="s">
        <v>10288</v>
      </c>
      <c r="E2110" s="1" t="s">
        <v>10293</v>
      </c>
      <c r="F2110" s="1" t="s">
        <v>7015</v>
      </c>
      <c r="G2110" s="1" t="s">
        <v>7016</v>
      </c>
      <c r="H2110" s="1" t="str">
        <f t="shared" si="32"/>
        <v>Generic SNMP</v>
      </c>
    </row>
    <row r="2111" spans="1:8">
      <c r="A2111" s="1">
        <v>2110</v>
      </c>
      <c r="B2111" s="1" t="s">
        <v>18610</v>
      </c>
      <c r="C2111" s="1" t="s">
        <v>260</v>
      </c>
      <c r="D2111" s="1" t="s">
        <v>10288</v>
      </c>
      <c r="E2111" s="1" t="s">
        <v>10295</v>
      </c>
      <c r="F2111" s="1" t="s">
        <v>7024</v>
      </c>
      <c r="G2111" s="1" t="s">
        <v>7025</v>
      </c>
      <c r="H2111" s="1" t="str">
        <f t="shared" si="32"/>
        <v>Generic SNMP</v>
      </c>
    </row>
    <row r="2112" spans="1:8">
      <c r="A2112" s="1">
        <v>2111</v>
      </c>
      <c r="B2112" s="1" t="s">
        <v>18610</v>
      </c>
      <c r="C2112" s="1" t="s">
        <v>262</v>
      </c>
      <c r="D2112" s="1" t="s">
        <v>10288</v>
      </c>
      <c r="E2112" s="1" t="s">
        <v>10297</v>
      </c>
      <c r="F2112" s="1" t="s">
        <v>7021</v>
      </c>
      <c r="G2112" s="1" t="s">
        <v>7022</v>
      </c>
      <c r="H2112" s="1" t="str">
        <f t="shared" si="32"/>
        <v>Generic SNMP</v>
      </c>
    </row>
    <row r="2113" spans="1:8">
      <c r="A2113" s="1">
        <v>2112</v>
      </c>
      <c r="B2113" s="1" t="s">
        <v>18610</v>
      </c>
      <c r="C2113" s="1" t="s">
        <v>264</v>
      </c>
      <c r="D2113" s="1" t="s">
        <v>10288</v>
      </c>
      <c r="E2113" s="1" t="s">
        <v>10299</v>
      </c>
      <c r="F2113" s="1" t="s">
        <v>7018</v>
      </c>
      <c r="G2113" s="1" t="s">
        <v>7019</v>
      </c>
      <c r="H2113" s="1" t="str">
        <f t="shared" si="32"/>
        <v>Generic SNMP</v>
      </c>
    </row>
    <row r="2114" spans="1:8">
      <c r="A2114" s="1">
        <v>2113</v>
      </c>
      <c r="B2114" s="1" t="s">
        <v>18611</v>
      </c>
      <c r="C2114" s="1" t="s">
        <v>155</v>
      </c>
      <c r="D2114" s="1" t="s">
        <v>10301</v>
      </c>
      <c r="E2114" s="1" t="s">
        <v>18612</v>
      </c>
      <c r="F2114" s="1" t="s">
        <v>10303</v>
      </c>
      <c r="G2114" s="1" t="s">
        <v>18613</v>
      </c>
      <c r="H2114" s="1" t="str">
        <f t="shared" ref="H2114:H2177" si="33">IFERROR(IF(OR(MID(G2114,FIND(":",G2114)-1,1)="""",MID(G2114,FIND(":",G2114)-1,1)="}",MID(G2114,FIND(":",G2114)-1,1)=")",MID(G2114,FIND(":",G2114)-1,1)="]"),"",LEFT(F2114,FIND(":",F2114)-1)),"")</f>
        <v/>
      </c>
    </row>
    <row r="2115" spans="1:8">
      <c r="A2115" s="1">
        <v>2114</v>
      </c>
      <c r="B2115" s="1" t="s">
        <v>18611</v>
      </c>
      <c r="C2115" s="1" t="s">
        <v>160</v>
      </c>
      <c r="D2115" s="1" t="s">
        <v>10301</v>
      </c>
      <c r="E2115" s="1" t="s">
        <v>18614</v>
      </c>
      <c r="F2115" s="1" t="s">
        <v>10307</v>
      </c>
      <c r="G2115" s="1" t="s">
        <v>18615</v>
      </c>
      <c r="H2115" s="1" t="str">
        <f t="shared" si="33"/>
        <v/>
      </c>
    </row>
    <row r="2116" spans="1:8">
      <c r="A2116" s="1">
        <v>2115</v>
      </c>
      <c r="B2116" s="1" t="s">
        <v>18611</v>
      </c>
      <c r="C2116" s="1" t="s">
        <v>164</v>
      </c>
      <c r="D2116" s="1" t="s">
        <v>10301</v>
      </c>
      <c r="E2116" s="1" t="s">
        <v>17662</v>
      </c>
      <c r="F2116" s="1" t="s">
        <v>10311</v>
      </c>
      <c r="G2116" s="1" t="s">
        <v>18616</v>
      </c>
      <c r="H2116" s="1" t="str">
        <f t="shared" si="33"/>
        <v/>
      </c>
    </row>
    <row r="2117" spans="1:8">
      <c r="A2117" s="1">
        <v>2116</v>
      </c>
      <c r="B2117" s="1" t="s">
        <v>18611</v>
      </c>
      <c r="C2117" s="1" t="s">
        <v>168</v>
      </c>
      <c r="D2117" s="1" t="s">
        <v>10301</v>
      </c>
      <c r="E2117" s="1" t="s">
        <v>17111</v>
      </c>
      <c r="F2117" s="1" t="s">
        <v>10315</v>
      </c>
      <c r="G2117" s="1" t="s">
        <v>18617</v>
      </c>
      <c r="H2117" s="1" t="str">
        <f t="shared" si="33"/>
        <v/>
      </c>
    </row>
    <row r="2118" spans="1:8">
      <c r="A2118" s="1">
        <v>2117</v>
      </c>
      <c r="B2118" s="1" t="s">
        <v>18611</v>
      </c>
      <c r="C2118" s="1" t="s">
        <v>172</v>
      </c>
      <c r="D2118" s="1" t="s">
        <v>10301</v>
      </c>
      <c r="E2118" s="1" t="s">
        <v>17881</v>
      </c>
      <c r="F2118" s="1" t="s">
        <v>10319</v>
      </c>
      <c r="G2118" s="1" t="s">
        <v>18618</v>
      </c>
      <c r="H2118" s="1" t="str">
        <f t="shared" si="33"/>
        <v/>
      </c>
    </row>
    <row r="2119" spans="1:8">
      <c r="A2119" s="1">
        <v>2118</v>
      </c>
      <c r="B2119" s="1" t="s">
        <v>18611</v>
      </c>
      <c r="C2119" s="1" t="s">
        <v>176</v>
      </c>
      <c r="D2119" s="1" t="s">
        <v>10301</v>
      </c>
      <c r="E2119" s="1" t="s">
        <v>18619</v>
      </c>
      <c r="F2119" s="1" t="s">
        <v>10323</v>
      </c>
      <c r="G2119" s="1" t="s">
        <v>18620</v>
      </c>
      <c r="H2119" s="1" t="str">
        <f t="shared" si="33"/>
        <v/>
      </c>
    </row>
    <row r="2120" spans="1:8">
      <c r="A2120" s="1">
        <v>2119</v>
      </c>
      <c r="B2120" s="1" t="s">
        <v>18611</v>
      </c>
      <c r="C2120" s="1" t="s">
        <v>180</v>
      </c>
      <c r="D2120" s="1" t="s">
        <v>10301</v>
      </c>
      <c r="E2120" s="1" t="s">
        <v>17210</v>
      </c>
      <c r="F2120" s="1" t="s">
        <v>10327</v>
      </c>
      <c r="G2120" s="1" t="s">
        <v>18621</v>
      </c>
      <c r="H2120" s="1" t="str">
        <f t="shared" si="33"/>
        <v/>
      </c>
    </row>
    <row r="2121" spans="1:8">
      <c r="A2121" s="1">
        <v>2120</v>
      </c>
      <c r="B2121" s="1" t="s">
        <v>18611</v>
      </c>
      <c r="C2121" s="1" t="s">
        <v>184</v>
      </c>
      <c r="D2121" s="1" t="s">
        <v>10301</v>
      </c>
      <c r="E2121" s="1" t="s">
        <v>18622</v>
      </c>
      <c r="F2121" s="1" t="s">
        <v>10331</v>
      </c>
      <c r="G2121" s="1" t="s">
        <v>18623</v>
      </c>
      <c r="H2121" s="1" t="str">
        <f t="shared" si="33"/>
        <v/>
      </c>
    </row>
    <row r="2122" spans="1:8">
      <c r="A2122" s="1">
        <v>2121</v>
      </c>
      <c r="B2122" s="1" t="s">
        <v>18611</v>
      </c>
      <c r="C2122" s="1" t="s">
        <v>188</v>
      </c>
      <c r="D2122" s="1" t="s">
        <v>10301</v>
      </c>
      <c r="E2122" s="1" t="s">
        <v>18624</v>
      </c>
      <c r="F2122" s="1" t="s">
        <v>10335</v>
      </c>
      <c r="G2122" s="1" t="s">
        <v>18625</v>
      </c>
      <c r="H2122" s="1" t="str">
        <f t="shared" si="33"/>
        <v/>
      </c>
    </row>
    <row r="2123" spans="1:8">
      <c r="A2123" s="1">
        <v>2122</v>
      </c>
      <c r="B2123" s="1" t="s">
        <v>18611</v>
      </c>
      <c r="C2123" s="1" t="s">
        <v>192</v>
      </c>
      <c r="D2123" s="1" t="s">
        <v>10301</v>
      </c>
      <c r="E2123" s="1" t="s">
        <v>18626</v>
      </c>
      <c r="F2123" s="1" t="s">
        <v>10339</v>
      </c>
      <c r="G2123" s="1" t="s">
        <v>18627</v>
      </c>
      <c r="H2123" s="1" t="str">
        <f t="shared" si="33"/>
        <v/>
      </c>
    </row>
    <row r="2124" spans="1:8">
      <c r="A2124" s="1">
        <v>2123</v>
      </c>
      <c r="B2124" s="1" t="s">
        <v>18611</v>
      </c>
      <c r="C2124" s="1" t="s">
        <v>196</v>
      </c>
      <c r="D2124" s="1" t="s">
        <v>10301</v>
      </c>
      <c r="E2124" s="1" t="s">
        <v>18628</v>
      </c>
      <c r="F2124" s="1" t="s">
        <v>10343</v>
      </c>
      <c r="G2124" s="1" t="s">
        <v>18629</v>
      </c>
      <c r="H2124" s="1" t="str">
        <f t="shared" si="33"/>
        <v/>
      </c>
    </row>
    <row r="2125" spans="1:8">
      <c r="A2125" s="1">
        <v>2124</v>
      </c>
      <c r="B2125" s="1" t="s">
        <v>18630</v>
      </c>
      <c r="C2125" s="1" t="s">
        <v>211</v>
      </c>
      <c r="D2125" s="1" t="s">
        <v>10346</v>
      </c>
      <c r="E2125" s="1" t="s">
        <v>597</v>
      </c>
      <c r="F2125" s="1" t="s">
        <v>10347</v>
      </c>
      <c r="G2125" s="1" t="s">
        <v>10348</v>
      </c>
      <c r="H2125" s="1" t="str">
        <f t="shared" si="33"/>
        <v>Nginx</v>
      </c>
    </row>
    <row r="2126" spans="1:8">
      <c r="A2126" s="1">
        <v>2125</v>
      </c>
      <c r="B2126" s="1" t="s">
        <v>18630</v>
      </c>
      <c r="C2126" s="1" t="s">
        <v>214</v>
      </c>
      <c r="D2126" s="1" t="s">
        <v>10346</v>
      </c>
      <c r="E2126" s="1" t="s">
        <v>594</v>
      </c>
      <c r="F2126" s="1" t="s">
        <v>595</v>
      </c>
      <c r="G2126" s="1" t="s">
        <v>596</v>
      </c>
      <c r="H2126" s="1" t="str">
        <f t="shared" si="33"/>
        <v>Nginx</v>
      </c>
    </row>
    <row r="2127" spans="1:8">
      <c r="A2127" s="1">
        <v>2126</v>
      </c>
      <c r="B2127" s="1" t="s">
        <v>18630</v>
      </c>
      <c r="C2127" s="1" t="s">
        <v>218</v>
      </c>
      <c r="D2127" s="1" t="s">
        <v>10346</v>
      </c>
      <c r="E2127" s="1" t="s">
        <v>600</v>
      </c>
      <c r="F2127" s="1" t="s">
        <v>10193</v>
      </c>
      <c r="G2127" s="1" t="s">
        <v>10194</v>
      </c>
      <c r="H2127" s="1" t="str">
        <f t="shared" si="33"/>
        <v>Nginx</v>
      </c>
    </row>
    <row r="2128" spans="1:8">
      <c r="A2128" s="1">
        <v>2127</v>
      </c>
      <c r="B2128" s="1" t="s">
        <v>18630</v>
      </c>
      <c r="C2128" s="1" t="s">
        <v>220</v>
      </c>
      <c r="D2128" s="1" t="s">
        <v>10346</v>
      </c>
      <c r="E2128" s="1" t="s">
        <v>602</v>
      </c>
      <c r="F2128" s="1" t="s">
        <v>10352</v>
      </c>
      <c r="G2128" s="1" t="s">
        <v>10353</v>
      </c>
      <c r="H2128" s="1" t="str">
        <f t="shared" si="33"/>
        <v>Nginx</v>
      </c>
    </row>
    <row r="2129" spans="1:8">
      <c r="A2129" s="1">
        <v>2128</v>
      </c>
      <c r="B2129" s="1" t="s">
        <v>18630</v>
      </c>
      <c r="C2129" s="1" t="s">
        <v>224</v>
      </c>
      <c r="D2129" s="1" t="s">
        <v>10346</v>
      </c>
      <c r="E2129" s="1" t="s">
        <v>601</v>
      </c>
      <c r="F2129" s="1" t="s">
        <v>10209</v>
      </c>
      <c r="G2129" s="1" t="s">
        <v>10210</v>
      </c>
      <c r="H2129" s="1" t="str">
        <f t="shared" si="33"/>
        <v>Nginx</v>
      </c>
    </row>
    <row r="2130" spans="1:8">
      <c r="A2130" s="1">
        <v>2129</v>
      </c>
      <c r="B2130" s="1" t="s">
        <v>18631</v>
      </c>
      <c r="C2130" s="1" t="s">
        <v>84</v>
      </c>
      <c r="D2130" s="1" t="s">
        <v>10356</v>
      </c>
      <c r="E2130" s="1" t="s">
        <v>613</v>
      </c>
      <c r="F2130" s="1" t="s">
        <v>10209</v>
      </c>
      <c r="G2130" s="1" t="s">
        <v>10210</v>
      </c>
      <c r="H2130" s="1" t="str">
        <f t="shared" si="33"/>
        <v>Nginx</v>
      </c>
    </row>
    <row r="2131" spans="1:8">
      <c r="A2131" s="1">
        <v>2130</v>
      </c>
      <c r="B2131" s="1" t="s">
        <v>18632</v>
      </c>
      <c r="C2131" s="1" t="s">
        <v>392</v>
      </c>
      <c r="D2131" s="1" t="s">
        <v>10363</v>
      </c>
      <c r="E2131" s="1" t="s">
        <v>16673</v>
      </c>
      <c r="F2131" s="1" t="s">
        <v>618</v>
      </c>
      <c r="G2131" s="1" t="s">
        <v>619</v>
      </c>
      <c r="H2131" s="1" t="str">
        <f t="shared" si="33"/>
        <v>OPNsense</v>
      </c>
    </row>
    <row r="2132" spans="1:8">
      <c r="A2132" s="1">
        <v>2131</v>
      </c>
      <c r="B2132" s="1" t="s">
        <v>18632</v>
      </c>
      <c r="C2132" s="1" t="s">
        <v>397</v>
      </c>
      <c r="D2132" s="1" t="s">
        <v>10363</v>
      </c>
      <c r="E2132" s="1" t="s">
        <v>7350</v>
      </c>
      <c r="F2132" s="1" t="s">
        <v>621</v>
      </c>
      <c r="G2132" s="1" t="s">
        <v>622</v>
      </c>
      <c r="H2132" s="1" t="str">
        <f t="shared" si="33"/>
        <v>OPNsense</v>
      </c>
    </row>
    <row r="2133" spans="1:8">
      <c r="A2133" s="1">
        <v>2132</v>
      </c>
      <c r="B2133" s="1" t="s">
        <v>18632</v>
      </c>
      <c r="C2133" s="1" t="s">
        <v>401</v>
      </c>
      <c r="D2133" s="1" t="s">
        <v>10363</v>
      </c>
      <c r="E2133" s="1" t="s">
        <v>16677</v>
      </c>
      <c r="F2133" s="1" t="s">
        <v>627</v>
      </c>
      <c r="G2133" s="1" t="s">
        <v>628</v>
      </c>
      <c r="H2133" s="1" t="str">
        <f t="shared" si="33"/>
        <v>OPNsense</v>
      </c>
    </row>
    <row r="2134" spans="1:8">
      <c r="A2134" s="1">
        <v>2133</v>
      </c>
      <c r="B2134" s="1" t="s">
        <v>18632</v>
      </c>
      <c r="C2134" s="1" t="s">
        <v>405</v>
      </c>
      <c r="D2134" s="1" t="s">
        <v>10363</v>
      </c>
      <c r="E2134" s="1" t="s">
        <v>16683</v>
      </c>
      <c r="F2134" s="1" t="s">
        <v>636</v>
      </c>
      <c r="G2134" s="1" t="s">
        <v>637</v>
      </c>
      <c r="H2134" s="1" t="str">
        <f t="shared" si="33"/>
        <v>OPNsense</v>
      </c>
    </row>
    <row r="2135" spans="1:8">
      <c r="A2135" s="1">
        <v>2134</v>
      </c>
      <c r="B2135" s="1" t="s">
        <v>18632</v>
      </c>
      <c r="C2135" s="1" t="s">
        <v>409</v>
      </c>
      <c r="D2135" s="1" t="s">
        <v>10363</v>
      </c>
      <c r="E2135" s="1" t="s">
        <v>16679</v>
      </c>
      <c r="F2135" s="1" t="s">
        <v>10373</v>
      </c>
      <c r="G2135" s="1" t="s">
        <v>10374</v>
      </c>
      <c r="H2135" s="1" t="str">
        <f t="shared" si="33"/>
        <v>OPNsense</v>
      </c>
    </row>
    <row r="2136" spans="1:8">
      <c r="A2136" s="1">
        <v>2135</v>
      </c>
      <c r="B2136" s="1" t="s">
        <v>18632</v>
      </c>
      <c r="C2136" s="1" t="s">
        <v>413</v>
      </c>
      <c r="D2136" s="1" t="s">
        <v>10363</v>
      </c>
      <c r="E2136" s="1" t="s">
        <v>16681</v>
      </c>
      <c r="F2136" s="1" t="s">
        <v>10377</v>
      </c>
      <c r="G2136" s="1" t="s">
        <v>10378</v>
      </c>
      <c r="H2136" s="1" t="str">
        <f t="shared" si="33"/>
        <v>OPNsense</v>
      </c>
    </row>
    <row r="2137" spans="1:8">
      <c r="A2137" s="1">
        <v>2136</v>
      </c>
      <c r="B2137" s="1" t="s">
        <v>18632</v>
      </c>
      <c r="C2137" s="1" t="s">
        <v>417</v>
      </c>
      <c r="D2137" s="1" t="s">
        <v>10363</v>
      </c>
      <c r="E2137" s="1" t="s">
        <v>7354</v>
      </c>
      <c r="F2137" s="1" t="s">
        <v>624</v>
      </c>
      <c r="G2137" s="1" t="s">
        <v>625</v>
      </c>
      <c r="H2137" s="1" t="str">
        <f t="shared" si="33"/>
        <v>OPNsense</v>
      </c>
    </row>
    <row r="2138" spans="1:8">
      <c r="A2138" s="1">
        <v>2137</v>
      </c>
      <c r="B2138" s="1" t="s">
        <v>18633</v>
      </c>
      <c r="C2138" s="1" t="s">
        <v>299</v>
      </c>
      <c r="D2138" s="1" t="s">
        <v>10382</v>
      </c>
      <c r="E2138" s="1" t="s">
        <v>4005</v>
      </c>
      <c r="F2138" s="1" t="s">
        <v>10383</v>
      </c>
      <c r="G2138" s="1" t="s">
        <v>10384</v>
      </c>
      <c r="H2138" s="1" t="str">
        <f t="shared" si="33"/>
        <v>OpenBSD</v>
      </c>
    </row>
    <row r="2139" spans="1:8">
      <c r="A2139" s="1">
        <v>2138</v>
      </c>
      <c r="B2139" s="1" t="s">
        <v>18633</v>
      </c>
      <c r="C2139" s="1" t="s">
        <v>304</v>
      </c>
      <c r="D2139" s="1" t="s">
        <v>10382</v>
      </c>
      <c r="E2139" s="1" t="s">
        <v>3339</v>
      </c>
      <c r="F2139" s="1" t="s">
        <v>10386</v>
      </c>
      <c r="G2139" s="1" t="s">
        <v>10387</v>
      </c>
      <c r="H2139" s="1" t="str">
        <f t="shared" si="33"/>
        <v>OpenBSD</v>
      </c>
    </row>
    <row r="2140" spans="1:8">
      <c r="A2140" s="1">
        <v>2139</v>
      </c>
      <c r="B2140" s="1" t="s">
        <v>18633</v>
      </c>
      <c r="C2140" s="1" t="s">
        <v>308</v>
      </c>
      <c r="D2140" s="1" t="s">
        <v>10382</v>
      </c>
      <c r="E2140" s="1" t="s">
        <v>4009</v>
      </c>
      <c r="F2140" s="1" t="s">
        <v>10389</v>
      </c>
      <c r="G2140" s="1" t="s">
        <v>10390</v>
      </c>
      <c r="H2140" s="1" t="str">
        <f t="shared" si="33"/>
        <v>OpenBSD</v>
      </c>
    </row>
    <row r="2141" spans="1:8">
      <c r="A2141" s="1">
        <v>2140</v>
      </c>
      <c r="B2141" s="1" t="s">
        <v>18633</v>
      </c>
      <c r="C2141" s="1" t="s">
        <v>312</v>
      </c>
      <c r="D2141" s="1" t="s">
        <v>10382</v>
      </c>
      <c r="E2141" s="1" t="s">
        <v>3336</v>
      </c>
      <c r="F2141" s="1" t="s">
        <v>10392</v>
      </c>
      <c r="G2141" s="1" t="s">
        <v>10393</v>
      </c>
      <c r="H2141" s="1" t="str">
        <f t="shared" si="33"/>
        <v>OpenBSD</v>
      </c>
    </row>
    <row r="2142" spans="1:8">
      <c r="A2142" s="1">
        <v>2141</v>
      </c>
      <c r="B2142" s="1" t="s">
        <v>18633</v>
      </c>
      <c r="C2142" s="1" t="s">
        <v>316</v>
      </c>
      <c r="D2142" s="1" t="s">
        <v>10382</v>
      </c>
      <c r="E2142" s="1" t="s">
        <v>3997</v>
      </c>
      <c r="F2142" s="1" t="s">
        <v>10395</v>
      </c>
      <c r="G2142" s="1" t="s">
        <v>10396</v>
      </c>
      <c r="H2142" s="1" t="str">
        <f t="shared" si="33"/>
        <v>OpenBSD</v>
      </c>
    </row>
    <row r="2143" spans="1:8">
      <c r="A2143" s="1">
        <v>2142</v>
      </c>
      <c r="B2143" s="1" t="s">
        <v>18633</v>
      </c>
      <c r="C2143" s="1" t="s">
        <v>320</v>
      </c>
      <c r="D2143" s="1" t="s">
        <v>10382</v>
      </c>
      <c r="E2143" s="1" t="s">
        <v>4001</v>
      </c>
      <c r="F2143" s="1" t="s">
        <v>10398</v>
      </c>
      <c r="G2143" s="1" t="s">
        <v>10399</v>
      </c>
      <c r="H2143" s="1" t="str">
        <f t="shared" si="33"/>
        <v>OpenBSD</v>
      </c>
    </row>
    <row r="2144" spans="1:8">
      <c r="A2144" s="1">
        <v>2143</v>
      </c>
      <c r="B2144" s="1" t="s">
        <v>18633</v>
      </c>
      <c r="C2144" s="1" t="s">
        <v>324</v>
      </c>
      <c r="D2144" s="1" t="s">
        <v>10382</v>
      </c>
      <c r="E2144" s="1" t="s">
        <v>3341</v>
      </c>
      <c r="F2144" s="1" t="s">
        <v>10401</v>
      </c>
      <c r="G2144" s="1" t="s">
        <v>10402</v>
      </c>
      <c r="H2144" s="1" t="str">
        <f t="shared" si="33"/>
        <v>OpenBSD</v>
      </c>
    </row>
    <row r="2145" spans="1:8">
      <c r="A2145" s="1">
        <v>2144</v>
      </c>
      <c r="B2145" s="1" t="s">
        <v>18633</v>
      </c>
      <c r="C2145" s="1" t="s">
        <v>328</v>
      </c>
      <c r="D2145" s="1" t="s">
        <v>10382</v>
      </c>
      <c r="E2145" s="1" t="s">
        <v>3342</v>
      </c>
      <c r="F2145" s="1" t="s">
        <v>10404</v>
      </c>
      <c r="G2145" s="1" t="s">
        <v>10405</v>
      </c>
      <c r="H2145" s="1" t="str">
        <f t="shared" si="33"/>
        <v>OpenBSD</v>
      </c>
    </row>
    <row r="2146" spans="1:8">
      <c r="A2146" s="1">
        <v>2145</v>
      </c>
      <c r="B2146" s="1" t="s">
        <v>18633</v>
      </c>
      <c r="C2146" s="1" t="s">
        <v>332</v>
      </c>
      <c r="D2146" s="1" t="s">
        <v>10382</v>
      </c>
      <c r="E2146" s="1" t="s">
        <v>3340</v>
      </c>
      <c r="F2146" s="1" t="s">
        <v>10407</v>
      </c>
      <c r="G2146" s="1" t="s">
        <v>10408</v>
      </c>
      <c r="H2146" s="1" t="str">
        <f t="shared" si="33"/>
        <v>OpenBSD</v>
      </c>
    </row>
    <row r="2147" spans="1:8">
      <c r="A2147" s="1">
        <v>2146</v>
      </c>
      <c r="B2147" s="1" t="s">
        <v>18633</v>
      </c>
      <c r="C2147" s="1" t="s">
        <v>336</v>
      </c>
      <c r="D2147" s="1" t="s">
        <v>10382</v>
      </c>
      <c r="E2147" s="1" t="s">
        <v>3337</v>
      </c>
      <c r="F2147" s="1" t="s">
        <v>10410</v>
      </c>
      <c r="G2147" s="1" t="s">
        <v>10411</v>
      </c>
      <c r="H2147" s="1" t="str">
        <f t="shared" si="33"/>
        <v>OpenBSD</v>
      </c>
    </row>
    <row r="2148" spans="1:8">
      <c r="A2148" s="1">
        <v>2147</v>
      </c>
      <c r="B2148" s="1" t="s">
        <v>18633</v>
      </c>
      <c r="C2148" s="1" t="s">
        <v>340</v>
      </c>
      <c r="D2148" s="1" t="s">
        <v>10382</v>
      </c>
      <c r="E2148" s="1" t="s">
        <v>3338</v>
      </c>
      <c r="F2148" s="1" t="s">
        <v>10413</v>
      </c>
      <c r="G2148" s="1" t="s">
        <v>10414</v>
      </c>
      <c r="H2148" s="1" t="str">
        <f t="shared" si="33"/>
        <v>OpenBSD</v>
      </c>
    </row>
    <row r="2149" spans="1:8">
      <c r="A2149" s="1">
        <v>2148</v>
      </c>
      <c r="B2149" s="1" t="s">
        <v>18633</v>
      </c>
      <c r="C2149" s="1" t="s">
        <v>344</v>
      </c>
      <c r="D2149" s="1" t="s">
        <v>10382</v>
      </c>
      <c r="E2149" s="1" t="s">
        <v>10416</v>
      </c>
      <c r="F2149" s="1" t="s">
        <v>10417</v>
      </c>
      <c r="G2149" s="1" t="s">
        <v>18634</v>
      </c>
      <c r="H2149" s="1" t="str">
        <f t="shared" si="33"/>
        <v>OpenBSD</v>
      </c>
    </row>
    <row r="2150" spans="1:8">
      <c r="A2150" s="1">
        <v>2149</v>
      </c>
      <c r="B2150" s="1" t="s">
        <v>18635</v>
      </c>
      <c r="C2150" s="1" t="s">
        <v>251</v>
      </c>
      <c r="D2150" s="1" t="s">
        <v>10420</v>
      </c>
      <c r="E2150" s="1" t="s">
        <v>17148</v>
      </c>
      <c r="F2150" s="1" t="s">
        <v>10422</v>
      </c>
      <c r="G2150" s="1" t="s">
        <v>10423</v>
      </c>
      <c r="H2150" s="1" t="str">
        <f t="shared" si="33"/>
        <v>Nova</v>
      </c>
    </row>
    <row r="2151" spans="1:8">
      <c r="A2151" s="1">
        <v>2150</v>
      </c>
      <c r="B2151" s="1" t="s">
        <v>18635</v>
      </c>
      <c r="C2151" s="1" t="s">
        <v>254</v>
      </c>
      <c r="D2151" s="1" t="s">
        <v>10420</v>
      </c>
      <c r="E2151" s="1" t="s">
        <v>17182</v>
      </c>
      <c r="F2151" s="1" t="s">
        <v>10426</v>
      </c>
      <c r="G2151" s="1" t="s">
        <v>10427</v>
      </c>
      <c r="H2151" s="1" t="str">
        <f t="shared" si="33"/>
        <v>Nova</v>
      </c>
    </row>
    <row r="2152" spans="1:8">
      <c r="A2152" s="1">
        <v>2151</v>
      </c>
      <c r="B2152" s="1" t="s">
        <v>18635</v>
      </c>
      <c r="C2152" s="1" t="s">
        <v>256</v>
      </c>
      <c r="D2152" s="1" t="s">
        <v>10420</v>
      </c>
      <c r="E2152" s="1" t="s">
        <v>17224</v>
      </c>
      <c r="F2152" s="1" t="s">
        <v>10430</v>
      </c>
      <c r="G2152" s="1" t="s">
        <v>10431</v>
      </c>
      <c r="H2152" s="1" t="str">
        <f t="shared" si="33"/>
        <v>Nova</v>
      </c>
    </row>
    <row r="2153" spans="1:8">
      <c r="A2153" s="1">
        <v>2152</v>
      </c>
      <c r="B2153" s="1" t="s">
        <v>18635</v>
      </c>
      <c r="C2153" s="1" t="s">
        <v>260</v>
      </c>
      <c r="D2153" s="1" t="s">
        <v>10420</v>
      </c>
      <c r="E2153" s="1" t="s">
        <v>12602</v>
      </c>
      <c r="F2153" s="1" t="s">
        <v>10434</v>
      </c>
      <c r="G2153" s="1" t="s">
        <v>10435</v>
      </c>
      <c r="H2153" s="1" t="str">
        <f t="shared" si="33"/>
        <v>Nova</v>
      </c>
    </row>
    <row r="2154" spans="1:8">
      <c r="A2154" s="1">
        <v>2153</v>
      </c>
      <c r="B2154" s="1" t="s">
        <v>18635</v>
      </c>
      <c r="C2154" s="1" t="s">
        <v>262</v>
      </c>
      <c r="D2154" s="1" t="s">
        <v>10420</v>
      </c>
      <c r="E2154" s="1" t="s">
        <v>12604</v>
      </c>
      <c r="F2154" s="1" t="s">
        <v>10438</v>
      </c>
      <c r="G2154" s="1" t="s">
        <v>10439</v>
      </c>
      <c r="H2154" s="1" t="str">
        <f t="shared" si="33"/>
        <v>Nova</v>
      </c>
    </row>
    <row r="2155" spans="1:8">
      <c r="A2155" s="1">
        <v>2154</v>
      </c>
      <c r="B2155" s="1" t="s">
        <v>18635</v>
      </c>
      <c r="C2155" s="1" t="s">
        <v>264</v>
      </c>
      <c r="D2155" s="1" t="s">
        <v>10420</v>
      </c>
      <c r="E2155" s="1" t="s">
        <v>12606</v>
      </c>
      <c r="F2155" s="1" t="s">
        <v>10442</v>
      </c>
      <c r="G2155" s="1" t="s">
        <v>10443</v>
      </c>
      <c r="H2155" s="1" t="str">
        <f t="shared" si="33"/>
        <v>Nova</v>
      </c>
    </row>
    <row r="2156" spans="1:8">
      <c r="A2156" s="1">
        <v>2155</v>
      </c>
      <c r="B2156" s="1" t="s">
        <v>18636</v>
      </c>
      <c r="C2156" s="1" t="s">
        <v>84</v>
      </c>
      <c r="D2156" s="1" t="s">
        <v>10445</v>
      </c>
      <c r="E2156" s="1" t="s">
        <v>16715</v>
      </c>
      <c r="F2156" s="1" t="s">
        <v>10447</v>
      </c>
      <c r="G2156" s="1" t="s">
        <v>10448</v>
      </c>
      <c r="H2156" s="1" t="str">
        <f t="shared" si="33"/>
        <v>Openweathermap</v>
      </c>
    </row>
    <row r="2157" spans="1:8">
      <c r="A2157" s="1">
        <v>2156</v>
      </c>
      <c r="B2157" s="1" t="s">
        <v>18637</v>
      </c>
      <c r="C2157" s="1" t="s">
        <v>131</v>
      </c>
      <c r="D2157" s="1" t="s">
        <v>10450</v>
      </c>
      <c r="E2157" s="1" t="s">
        <v>13165</v>
      </c>
      <c r="F2157" s="1" t="s">
        <v>10452</v>
      </c>
      <c r="G2157" s="1" t="s">
        <v>18638</v>
      </c>
      <c r="H2157" s="1" t="str">
        <f t="shared" si="33"/>
        <v/>
      </c>
    </row>
    <row r="2158" spans="1:8">
      <c r="A2158" s="1">
        <v>2157</v>
      </c>
      <c r="B2158" s="1" t="s">
        <v>18637</v>
      </c>
      <c r="C2158" s="1" t="s">
        <v>136</v>
      </c>
      <c r="D2158" s="1" t="s">
        <v>10450</v>
      </c>
      <c r="E2158" s="1" t="s">
        <v>7036</v>
      </c>
      <c r="F2158" s="1" t="s">
        <v>10456</v>
      </c>
      <c r="G2158" s="1" t="s">
        <v>18639</v>
      </c>
      <c r="H2158" s="1" t="str">
        <f t="shared" si="33"/>
        <v/>
      </c>
    </row>
    <row r="2159" spans="1:8">
      <c r="A2159" s="1">
        <v>2158</v>
      </c>
      <c r="B2159" s="1" t="s">
        <v>18637</v>
      </c>
      <c r="C2159" s="1" t="s">
        <v>138</v>
      </c>
      <c r="D2159" s="1" t="s">
        <v>10450</v>
      </c>
      <c r="E2159" s="1" t="s">
        <v>13162</v>
      </c>
      <c r="F2159" s="1" t="s">
        <v>10460</v>
      </c>
      <c r="G2159" s="1" t="s">
        <v>18640</v>
      </c>
      <c r="H2159" s="1" t="str">
        <f t="shared" si="33"/>
        <v/>
      </c>
    </row>
    <row r="2160" spans="1:8">
      <c r="A2160" s="1">
        <v>2159</v>
      </c>
      <c r="B2160" s="1" t="s">
        <v>18637</v>
      </c>
      <c r="C2160" s="1" t="s">
        <v>140</v>
      </c>
      <c r="D2160" s="1" t="s">
        <v>10450</v>
      </c>
      <c r="E2160" s="1" t="s">
        <v>7040</v>
      </c>
      <c r="F2160" s="1" t="s">
        <v>10464</v>
      </c>
      <c r="G2160" s="1" t="s">
        <v>18641</v>
      </c>
      <c r="H2160" s="1" t="str">
        <f t="shared" si="33"/>
        <v/>
      </c>
    </row>
    <row r="2161" spans="1:8">
      <c r="A2161" s="1">
        <v>2160</v>
      </c>
      <c r="B2161" s="1" t="s">
        <v>18637</v>
      </c>
      <c r="C2161" s="1" t="s">
        <v>142</v>
      </c>
      <c r="D2161" s="1" t="s">
        <v>10450</v>
      </c>
      <c r="E2161" s="1" t="s">
        <v>7028</v>
      </c>
      <c r="F2161" s="1" t="s">
        <v>10468</v>
      </c>
      <c r="G2161" s="1" t="s">
        <v>18642</v>
      </c>
      <c r="H2161" s="1" t="str">
        <f t="shared" si="33"/>
        <v/>
      </c>
    </row>
    <row r="2162" spans="1:8">
      <c r="A2162" s="1">
        <v>2161</v>
      </c>
      <c r="B2162" s="1" t="s">
        <v>18637</v>
      </c>
      <c r="C2162" s="1" t="s">
        <v>144</v>
      </c>
      <c r="D2162" s="1" t="s">
        <v>10450</v>
      </c>
      <c r="E2162" s="1" t="s">
        <v>7044</v>
      </c>
      <c r="F2162" s="1" t="s">
        <v>10472</v>
      </c>
      <c r="G2162" s="1" t="s">
        <v>18643</v>
      </c>
      <c r="H2162" s="1" t="str">
        <f t="shared" si="33"/>
        <v/>
      </c>
    </row>
    <row r="2163" spans="1:8">
      <c r="A2163" s="1">
        <v>2162</v>
      </c>
      <c r="B2163" s="1" t="s">
        <v>18637</v>
      </c>
      <c r="C2163" s="1" t="s">
        <v>146</v>
      </c>
      <c r="D2163" s="1" t="s">
        <v>10450</v>
      </c>
      <c r="E2163" s="1" t="s">
        <v>7032</v>
      </c>
      <c r="F2163" s="1" t="s">
        <v>10476</v>
      </c>
      <c r="G2163" s="1" t="s">
        <v>18644</v>
      </c>
      <c r="H2163" s="1" t="str">
        <f t="shared" si="33"/>
        <v/>
      </c>
    </row>
    <row r="2164" spans="1:8">
      <c r="A2164" s="1">
        <v>2163</v>
      </c>
      <c r="B2164" s="1" t="s">
        <v>18637</v>
      </c>
      <c r="C2164" s="1" t="s">
        <v>148</v>
      </c>
      <c r="D2164" s="1" t="s">
        <v>10450</v>
      </c>
      <c r="E2164" s="1" t="s">
        <v>7048</v>
      </c>
      <c r="F2164" s="1" t="s">
        <v>10480</v>
      </c>
      <c r="G2164" s="1" t="s">
        <v>18645</v>
      </c>
      <c r="H2164" s="1" t="str">
        <f t="shared" si="33"/>
        <v/>
      </c>
    </row>
    <row r="2165" spans="1:8">
      <c r="A2165" s="1">
        <v>2164</v>
      </c>
      <c r="B2165" s="1" t="s">
        <v>18637</v>
      </c>
      <c r="C2165" s="1" t="s">
        <v>150</v>
      </c>
      <c r="D2165" s="1" t="s">
        <v>10450</v>
      </c>
      <c r="E2165" s="1" t="s">
        <v>18646</v>
      </c>
      <c r="F2165" s="1" t="s">
        <v>10484</v>
      </c>
      <c r="G2165" s="1" t="s">
        <v>18647</v>
      </c>
      <c r="H2165" s="1" t="str">
        <f t="shared" si="33"/>
        <v/>
      </c>
    </row>
    <row r="2166" spans="1:8">
      <c r="A2166" s="1">
        <v>2165</v>
      </c>
      <c r="B2166" s="1" t="s">
        <v>18637</v>
      </c>
      <c r="C2166" s="1" t="s">
        <v>152</v>
      </c>
      <c r="D2166" s="1" t="s">
        <v>10450</v>
      </c>
      <c r="E2166" s="1" t="s">
        <v>18648</v>
      </c>
      <c r="F2166" s="1" t="s">
        <v>10488</v>
      </c>
      <c r="G2166" s="1" t="s">
        <v>18649</v>
      </c>
      <c r="H2166" s="1" t="str">
        <f t="shared" si="33"/>
        <v/>
      </c>
    </row>
    <row r="2167" spans="1:8">
      <c r="A2167" s="1">
        <v>2166</v>
      </c>
      <c r="B2167" s="1" t="s">
        <v>18650</v>
      </c>
      <c r="C2167" s="1" t="s">
        <v>201</v>
      </c>
      <c r="D2167" s="1" t="s">
        <v>10491</v>
      </c>
      <c r="E2167" s="1" t="s">
        <v>18651</v>
      </c>
      <c r="F2167" s="1" t="s">
        <v>10493</v>
      </c>
      <c r="G2167" s="1" t="s">
        <v>18652</v>
      </c>
      <c r="H2167" s="1" t="str">
        <f t="shared" si="33"/>
        <v/>
      </c>
    </row>
    <row r="2168" spans="1:8">
      <c r="A2168" s="1">
        <v>2167</v>
      </c>
      <c r="B2168" s="1" t="s">
        <v>18650</v>
      </c>
      <c r="C2168" s="1" t="s">
        <v>206</v>
      </c>
      <c r="D2168" s="1" t="s">
        <v>10491</v>
      </c>
      <c r="E2168" s="1" t="s">
        <v>18653</v>
      </c>
      <c r="F2168" s="1" t="s">
        <v>10497</v>
      </c>
      <c r="G2168" s="1" t="s">
        <v>18654</v>
      </c>
      <c r="H2168" s="1" t="str">
        <f t="shared" si="33"/>
        <v/>
      </c>
    </row>
    <row r="2169" spans="1:8">
      <c r="A2169" s="1">
        <v>2168</v>
      </c>
      <c r="B2169" s="1" t="s">
        <v>18655</v>
      </c>
      <c r="C2169" s="1" t="s">
        <v>201</v>
      </c>
      <c r="D2169" s="1" t="s">
        <v>10500</v>
      </c>
      <c r="E2169" s="1" t="s">
        <v>8362</v>
      </c>
      <c r="F2169" s="1" t="s">
        <v>10502</v>
      </c>
      <c r="G2169" s="1" t="s">
        <v>18656</v>
      </c>
      <c r="H2169" s="1" t="str">
        <f t="shared" si="33"/>
        <v/>
      </c>
    </row>
    <row r="2170" spans="1:8">
      <c r="A2170" s="1">
        <v>2169</v>
      </c>
      <c r="B2170" s="1" t="s">
        <v>18655</v>
      </c>
      <c r="C2170" s="1" t="s">
        <v>206</v>
      </c>
      <c r="D2170" s="1" t="s">
        <v>10500</v>
      </c>
      <c r="E2170" s="1" t="s">
        <v>8366</v>
      </c>
      <c r="F2170" s="1" t="s">
        <v>10506</v>
      </c>
      <c r="G2170" s="1" t="s">
        <v>18657</v>
      </c>
      <c r="H2170" s="1" t="str">
        <f t="shared" si="33"/>
        <v/>
      </c>
    </row>
    <row r="2171" spans="1:8">
      <c r="A2171" s="1">
        <v>2170</v>
      </c>
      <c r="B2171" s="1" t="s">
        <v>18658</v>
      </c>
      <c r="C2171" s="1" t="s">
        <v>251</v>
      </c>
      <c r="D2171" s="1" t="s">
        <v>10509</v>
      </c>
      <c r="E2171" s="1" t="s">
        <v>8374</v>
      </c>
      <c r="F2171" s="1" t="s">
        <v>10511</v>
      </c>
      <c r="G2171" s="1" t="s">
        <v>18659</v>
      </c>
      <c r="H2171" s="1" t="str">
        <f t="shared" si="33"/>
        <v/>
      </c>
    </row>
    <row r="2172" spans="1:8">
      <c r="A2172" s="1">
        <v>2171</v>
      </c>
      <c r="B2172" s="1" t="s">
        <v>18658</v>
      </c>
      <c r="C2172" s="1" t="s">
        <v>254</v>
      </c>
      <c r="D2172" s="1" t="s">
        <v>10509</v>
      </c>
      <c r="E2172" s="1" t="s">
        <v>8378</v>
      </c>
      <c r="F2172" s="1" t="s">
        <v>10515</v>
      </c>
      <c r="G2172" s="1" t="s">
        <v>18660</v>
      </c>
      <c r="H2172" s="1" t="str">
        <f t="shared" si="33"/>
        <v/>
      </c>
    </row>
    <row r="2173" spans="1:8">
      <c r="A2173" s="1">
        <v>2172</v>
      </c>
      <c r="B2173" s="1" t="s">
        <v>18658</v>
      </c>
      <c r="C2173" s="1" t="s">
        <v>256</v>
      </c>
      <c r="D2173" s="1" t="s">
        <v>10509</v>
      </c>
      <c r="E2173" s="1" t="s">
        <v>8370</v>
      </c>
      <c r="F2173" s="1" t="s">
        <v>10519</v>
      </c>
      <c r="G2173" s="1" t="s">
        <v>18661</v>
      </c>
      <c r="H2173" s="1" t="str">
        <f t="shared" si="33"/>
        <v/>
      </c>
    </row>
    <row r="2174" spans="1:8">
      <c r="A2174" s="1">
        <v>2173</v>
      </c>
      <c r="B2174" s="1" t="s">
        <v>18658</v>
      </c>
      <c r="C2174" s="1" t="s">
        <v>260</v>
      </c>
      <c r="D2174" s="1" t="s">
        <v>10509</v>
      </c>
      <c r="E2174" s="1" t="s">
        <v>8382</v>
      </c>
      <c r="F2174" s="1" t="s">
        <v>10523</v>
      </c>
      <c r="G2174" s="1" t="s">
        <v>18662</v>
      </c>
      <c r="H2174" s="1" t="str">
        <f t="shared" si="33"/>
        <v/>
      </c>
    </row>
    <row r="2175" spans="1:8">
      <c r="A2175" s="1">
        <v>2174</v>
      </c>
      <c r="B2175" s="1" t="s">
        <v>18658</v>
      </c>
      <c r="C2175" s="1" t="s">
        <v>262</v>
      </c>
      <c r="D2175" s="1" t="s">
        <v>10509</v>
      </c>
      <c r="E2175" s="1" t="s">
        <v>18663</v>
      </c>
      <c r="F2175" s="1" t="s">
        <v>10527</v>
      </c>
      <c r="G2175" s="1" t="s">
        <v>18664</v>
      </c>
      <c r="H2175" s="1" t="str">
        <f t="shared" si="33"/>
        <v/>
      </c>
    </row>
    <row r="2176" spans="1:8">
      <c r="A2176" s="1">
        <v>2175</v>
      </c>
      <c r="B2176" s="1" t="s">
        <v>18658</v>
      </c>
      <c r="C2176" s="1" t="s">
        <v>264</v>
      </c>
      <c r="D2176" s="1" t="s">
        <v>10509</v>
      </c>
      <c r="E2176" s="1" t="s">
        <v>18665</v>
      </c>
      <c r="F2176" s="1" t="s">
        <v>10531</v>
      </c>
      <c r="G2176" s="1" t="s">
        <v>18666</v>
      </c>
      <c r="H2176" s="1" t="str">
        <f t="shared" si="33"/>
        <v/>
      </c>
    </row>
    <row r="2177" spans="1:8">
      <c r="A2177" s="1">
        <v>2176</v>
      </c>
      <c r="B2177" s="1" t="s">
        <v>18667</v>
      </c>
      <c r="C2177" s="1" t="s">
        <v>201</v>
      </c>
      <c r="D2177" s="1" t="s">
        <v>10534</v>
      </c>
      <c r="E2177" s="1" t="s">
        <v>7637</v>
      </c>
      <c r="F2177" s="1" t="s">
        <v>10536</v>
      </c>
      <c r="G2177" s="1" t="s">
        <v>18668</v>
      </c>
      <c r="H2177" s="1" t="str">
        <f t="shared" si="33"/>
        <v/>
      </c>
    </row>
    <row r="2178" spans="1:8">
      <c r="A2178" s="1">
        <v>2177</v>
      </c>
      <c r="B2178" s="1" t="s">
        <v>18667</v>
      </c>
      <c r="C2178" s="1" t="s">
        <v>206</v>
      </c>
      <c r="D2178" s="1" t="s">
        <v>10534</v>
      </c>
      <c r="E2178" s="1" t="s">
        <v>7617</v>
      </c>
      <c r="F2178" s="1" t="s">
        <v>10540</v>
      </c>
      <c r="G2178" s="1" t="s">
        <v>18669</v>
      </c>
      <c r="H2178" s="1" t="str">
        <f t="shared" ref="H2178:H2241" si="34">IFERROR(IF(OR(MID(G2178,FIND(":",G2178)-1,1)="""",MID(G2178,FIND(":",G2178)-1,1)="}",MID(G2178,FIND(":",G2178)-1,1)=")",MID(G2178,FIND(":",G2178)-1,1)="]"),"",LEFT(F2178,FIND(":",F2178)-1)),"")</f>
        <v/>
      </c>
    </row>
    <row r="2179" spans="1:8">
      <c r="A2179" s="1">
        <v>2178</v>
      </c>
      <c r="B2179" s="1" t="s">
        <v>18670</v>
      </c>
      <c r="C2179" s="1" t="s">
        <v>84</v>
      </c>
      <c r="D2179" s="1" t="s">
        <v>10543</v>
      </c>
      <c r="E2179" s="1" t="s">
        <v>7613</v>
      </c>
      <c r="F2179" s="1" t="s">
        <v>10545</v>
      </c>
      <c r="G2179" s="1" t="s">
        <v>18671</v>
      </c>
      <c r="H2179" s="1" t="str">
        <f t="shared" si="34"/>
        <v/>
      </c>
    </row>
    <row r="2180" spans="1:8">
      <c r="A2180" s="1">
        <v>2179</v>
      </c>
      <c r="B2180" s="1" t="s">
        <v>18672</v>
      </c>
      <c r="C2180" s="1" t="s">
        <v>18673</v>
      </c>
      <c r="D2180" s="1" t="s">
        <v>10548</v>
      </c>
      <c r="E2180" s="1" t="s">
        <v>10549</v>
      </c>
      <c r="F2180" s="1" t="s">
        <v>10550</v>
      </c>
      <c r="G2180" s="1" t="s">
        <v>10551</v>
      </c>
      <c r="H2180" s="1" t="str">
        <f t="shared" si="34"/>
        <v>Oracle</v>
      </c>
    </row>
    <row r="2181" spans="1:8">
      <c r="A2181" s="1">
        <v>2180</v>
      </c>
      <c r="B2181" s="1" t="s">
        <v>18672</v>
      </c>
      <c r="C2181" s="1" t="s">
        <v>18674</v>
      </c>
      <c r="D2181" s="1" t="s">
        <v>10548</v>
      </c>
      <c r="E2181" s="1" t="s">
        <v>10553</v>
      </c>
      <c r="F2181" s="1" t="s">
        <v>10554</v>
      </c>
      <c r="G2181" s="1" t="s">
        <v>10555</v>
      </c>
      <c r="H2181" s="1" t="str">
        <f t="shared" si="34"/>
        <v>Oracle</v>
      </c>
    </row>
    <row r="2182" spans="1:8">
      <c r="A2182" s="1">
        <v>2181</v>
      </c>
      <c r="B2182" s="1" t="s">
        <v>18672</v>
      </c>
      <c r="C2182" s="1" t="s">
        <v>18675</v>
      </c>
      <c r="D2182" s="1" t="s">
        <v>10548</v>
      </c>
      <c r="E2182" s="1" t="s">
        <v>10557</v>
      </c>
      <c r="F2182" s="1" t="s">
        <v>10558</v>
      </c>
      <c r="G2182" s="1" t="s">
        <v>10559</v>
      </c>
      <c r="H2182" s="1" t="str">
        <f t="shared" si="34"/>
        <v>Oracle</v>
      </c>
    </row>
    <row r="2183" spans="1:8">
      <c r="A2183" s="1">
        <v>2182</v>
      </c>
      <c r="B2183" s="1" t="s">
        <v>18672</v>
      </c>
      <c r="C2183" s="1" t="s">
        <v>18676</v>
      </c>
      <c r="D2183" s="1" t="s">
        <v>10548</v>
      </c>
      <c r="E2183" s="1" t="s">
        <v>10561</v>
      </c>
      <c r="F2183" s="1" t="s">
        <v>10562</v>
      </c>
      <c r="G2183" s="1" t="s">
        <v>10563</v>
      </c>
      <c r="H2183" s="1" t="str">
        <f t="shared" si="34"/>
        <v>Oracle</v>
      </c>
    </row>
    <row r="2184" spans="1:8">
      <c r="A2184" s="1">
        <v>2183</v>
      </c>
      <c r="B2184" s="1" t="s">
        <v>18672</v>
      </c>
      <c r="C2184" s="1" t="s">
        <v>18677</v>
      </c>
      <c r="D2184" s="1" t="s">
        <v>10548</v>
      </c>
      <c r="E2184" s="1" t="s">
        <v>10565</v>
      </c>
      <c r="F2184" s="1" t="s">
        <v>10566</v>
      </c>
      <c r="G2184" s="1" t="s">
        <v>10567</v>
      </c>
      <c r="H2184" s="1" t="str">
        <f t="shared" si="34"/>
        <v>Oracle</v>
      </c>
    </row>
    <row r="2185" spans="1:8">
      <c r="A2185" s="1">
        <v>2184</v>
      </c>
      <c r="B2185" s="1" t="s">
        <v>18672</v>
      </c>
      <c r="C2185" s="1" t="s">
        <v>18678</v>
      </c>
      <c r="D2185" s="1" t="s">
        <v>10548</v>
      </c>
      <c r="E2185" s="1" t="s">
        <v>10569</v>
      </c>
      <c r="F2185" s="1" t="s">
        <v>10570</v>
      </c>
      <c r="G2185" s="1" t="s">
        <v>10571</v>
      </c>
      <c r="H2185" s="1" t="str">
        <f t="shared" si="34"/>
        <v>Oracle</v>
      </c>
    </row>
    <row r="2186" spans="1:8">
      <c r="A2186" s="1">
        <v>2185</v>
      </c>
      <c r="B2186" s="1" t="s">
        <v>18672</v>
      </c>
      <c r="C2186" s="1" t="s">
        <v>18679</v>
      </c>
      <c r="D2186" s="1" t="s">
        <v>10548</v>
      </c>
      <c r="E2186" s="1" t="s">
        <v>10573</v>
      </c>
      <c r="F2186" s="1" t="s">
        <v>10574</v>
      </c>
      <c r="G2186" s="1" t="s">
        <v>10575</v>
      </c>
      <c r="H2186" s="1" t="str">
        <f t="shared" si="34"/>
        <v>Oracle</v>
      </c>
    </row>
    <row r="2187" spans="1:8">
      <c r="A2187" s="1">
        <v>2186</v>
      </c>
      <c r="B2187" s="1" t="s">
        <v>18672</v>
      </c>
      <c r="C2187" s="1" t="s">
        <v>18680</v>
      </c>
      <c r="D2187" s="1" t="s">
        <v>10548</v>
      </c>
      <c r="E2187" s="1" t="s">
        <v>10577</v>
      </c>
      <c r="F2187" s="1" t="s">
        <v>10578</v>
      </c>
      <c r="G2187" s="1" t="s">
        <v>10579</v>
      </c>
      <c r="H2187" s="1" t="str">
        <f t="shared" si="34"/>
        <v>Oracle</v>
      </c>
    </row>
    <row r="2188" spans="1:8">
      <c r="A2188" s="1">
        <v>2187</v>
      </c>
      <c r="B2188" s="1" t="s">
        <v>18672</v>
      </c>
      <c r="C2188" s="1" t="s">
        <v>18681</v>
      </c>
      <c r="D2188" s="1" t="s">
        <v>10548</v>
      </c>
      <c r="E2188" s="1" t="s">
        <v>10581</v>
      </c>
      <c r="F2188" s="1" t="s">
        <v>10582</v>
      </c>
      <c r="G2188" s="1" t="s">
        <v>10583</v>
      </c>
      <c r="H2188" s="1" t="str">
        <f t="shared" si="34"/>
        <v>Oracle</v>
      </c>
    </row>
    <row r="2189" spans="1:8">
      <c r="A2189" s="1">
        <v>2188</v>
      </c>
      <c r="B2189" s="1" t="s">
        <v>18672</v>
      </c>
      <c r="C2189" s="1" t="s">
        <v>18682</v>
      </c>
      <c r="D2189" s="1" t="s">
        <v>10548</v>
      </c>
      <c r="E2189" s="1" t="s">
        <v>3697</v>
      </c>
      <c r="F2189" s="1" t="s">
        <v>10585</v>
      </c>
      <c r="G2189" s="1" t="s">
        <v>10586</v>
      </c>
      <c r="H2189" s="1" t="str">
        <f t="shared" si="34"/>
        <v>Oracle</v>
      </c>
    </row>
    <row r="2190" spans="1:8">
      <c r="A2190" s="1">
        <v>2189</v>
      </c>
      <c r="B2190" s="1" t="s">
        <v>18672</v>
      </c>
      <c r="C2190" s="1" t="s">
        <v>18683</v>
      </c>
      <c r="D2190" s="1" t="s">
        <v>10548</v>
      </c>
      <c r="E2190" s="1" t="s">
        <v>10588</v>
      </c>
      <c r="F2190" s="1" t="s">
        <v>10589</v>
      </c>
      <c r="G2190" s="1" t="s">
        <v>10590</v>
      </c>
      <c r="H2190" s="1" t="str">
        <f t="shared" si="34"/>
        <v>Oracle</v>
      </c>
    </row>
    <row r="2191" spans="1:8">
      <c r="A2191" s="1">
        <v>2190</v>
      </c>
      <c r="B2191" s="1" t="s">
        <v>18672</v>
      </c>
      <c r="C2191" s="1" t="s">
        <v>18684</v>
      </c>
      <c r="D2191" s="1" t="s">
        <v>10548</v>
      </c>
      <c r="E2191" s="1" t="s">
        <v>10592</v>
      </c>
      <c r="F2191" s="1" t="s">
        <v>10593</v>
      </c>
      <c r="G2191" s="1" t="s">
        <v>10590</v>
      </c>
      <c r="H2191" s="1" t="str">
        <f t="shared" si="34"/>
        <v>Oracle</v>
      </c>
    </row>
    <row r="2192" spans="1:8">
      <c r="A2192" s="1">
        <v>2191</v>
      </c>
      <c r="B2192" s="1" t="s">
        <v>18672</v>
      </c>
      <c r="C2192" s="1" t="s">
        <v>18685</v>
      </c>
      <c r="D2192" s="1" t="s">
        <v>10548</v>
      </c>
      <c r="E2192" s="1" t="s">
        <v>10595</v>
      </c>
      <c r="F2192" s="1" t="s">
        <v>10596</v>
      </c>
      <c r="G2192" s="1" t="s">
        <v>10597</v>
      </c>
      <c r="H2192" s="1" t="str">
        <f t="shared" si="34"/>
        <v>Oracle</v>
      </c>
    </row>
    <row r="2193" spans="1:8">
      <c r="A2193" s="1">
        <v>2192</v>
      </c>
      <c r="B2193" s="1" t="s">
        <v>18672</v>
      </c>
      <c r="C2193" s="1" t="s">
        <v>18686</v>
      </c>
      <c r="D2193" s="1" t="s">
        <v>10548</v>
      </c>
      <c r="E2193" s="1" t="s">
        <v>10599</v>
      </c>
      <c r="F2193" s="1" t="s">
        <v>10600</v>
      </c>
      <c r="G2193" s="1" t="s">
        <v>10601</v>
      </c>
      <c r="H2193" s="1" t="str">
        <f t="shared" si="34"/>
        <v>Oracle</v>
      </c>
    </row>
    <row r="2194" spans="1:8">
      <c r="A2194" s="1">
        <v>2193</v>
      </c>
      <c r="B2194" s="1" t="s">
        <v>18672</v>
      </c>
      <c r="C2194" s="1" t="s">
        <v>18687</v>
      </c>
      <c r="D2194" s="1" t="s">
        <v>10548</v>
      </c>
      <c r="E2194" s="1" t="s">
        <v>10603</v>
      </c>
      <c r="F2194" s="1" t="s">
        <v>10604</v>
      </c>
      <c r="G2194" s="1" t="s">
        <v>10605</v>
      </c>
      <c r="H2194" s="1" t="str">
        <f t="shared" si="34"/>
        <v>Oracle</v>
      </c>
    </row>
    <row r="2195" spans="1:8">
      <c r="A2195" s="1">
        <v>2194</v>
      </c>
      <c r="B2195" s="1" t="s">
        <v>18672</v>
      </c>
      <c r="C2195" s="1" t="s">
        <v>18688</v>
      </c>
      <c r="D2195" s="1" t="s">
        <v>10548</v>
      </c>
      <c r="E2195" s="1" t="s">
        <v>10607</v>
      </c>
      <c r="F2195" s="1" t="s">
        <v>10608</v>
      </c>
      <c r="G2195" s="1" t="s">
        <v>10609</v>
      </c>
      <c r="H2195" s="1" t="str">
        <f t="shared" si="34"/>
        <v>Oracle</v>
      </c>
    </row>
    <row r="2196" spans="1:8">
      <c r="A2196" s="1">
        <v>2195</v>
      </c>
      <c r="B2196" s="1" t="s">
        <v>18672</v>
      </c>
      <c r="C2196" s="1" t="s">
        <v>18689</v>
      </c>
      <c r="D2196" s="1" t="s">
        <v>10548</v>
      </c>
      <c r="E2196" s="1" t="s">
        <v>10611</v>
      </c>
      <c r="F2196" s="1" t="s">
        <v>10612</v>
      </c>
      <c r="G2196" s="1" t="s">
        <v>10613</v>
      </c>
      <c r="H2196" s="1" t="str">
        <f t="shared" si="34"/>
        <v>Oracle</v>
      </c>
    </row>
    <row r="2197" spans="1:8">
      <c r="A2197" s="1">
        <v>2196</v>
      </c>
      <c r="B2197" s="1" t="s">
        <v>18690</v>
      </c>
      <c r="C2197" s="1" t="s">
        <v>1480</v>
      </c>
      <c r="D2197" s="1" t="s">
        <v>10615</v>
      </c>
      <c r="E2197" s="1" t="s">
        <v>10616</v>
      </c>
      <c r="F2197" s="1" t="s">
        <v>10550</v>
      </c>
      <c r="G2197" s="1" t="s">
        <v>10551</v>
      </c>
      <c r="H2197" s="1" t="str">
        <f t="shared" si="34"/>
        <v>Oracle</v>
      </c>
    </row>
    <row r="2198" spans="1:8">
      <c r="A2198" s="1">
        <v>2197</v>
      </c>
      <c r="B2198" s="1" t="s">
        <v>18690</v>
      </c>
      <c r="C2198" s="1" t="s">
        <v>1485</v>
      </c>
      <c r="D2198" s="1" t="s">
        <v>10615</v>
      </c>
      <c r="E2198" s="1" t="s">
        <v>10618</v>
      </c>
      <c r="F2198" s="1" t="s">
        <v>10554</v>
      </c>
      <c r="G2198" s="1" t="s">
        <v>10555</v>
      </c>
      <c r="H2198" s="1" t="str">
        <f t="shared" si="34"/>
        <v>Oracle</v>
      </c>
    </row>
    <row r="2199" spans="1:8">
      <c r="A2199" s="1">
        <v>2198</v>
      </c>
      <c r="B2199" s="1" t="s">
        <v>18690</v>
      </c>
      <c r="C2199" s="1" t="s">
        <v>1489</v>
      </c>
      <c r="D2199" s="1" t="s">
        <v>10615</v>
      </c>
      <c r="E2199" s="1" t="s">
        <v>10620</v>
      </c>
      <c r="F2199" s="1" t="s">
        <v>10558</v>
      </c>
      <c r="G2199" s="1" t="s">
        <v>10559</v>
      </c>
      <c r="H2199" s="1" t="str">
        <f t="shared" si="34"/>
        <v>Oracle</v>
      </c>
    </row>
    <row r="2200" spans="1:8">
      <c r="A2200" s="1">
        <v>2199</v>
      </c>
      <c r="B2200" s="1" t="s">
        <v>18690</v>
      </c>
      <c r="C2200" s="1" t="s">
        <v>1493</v>
      </c>
      <c r="D2200" s="1" t="s">
        <v>10615</v>
      </c>
      <c r="E2200" s="1" t="s">
        <v>10622</v>
      </c>
      <c r="F2200" s="1" t="s">
        <v>10570</v>
      </c>
      <c r="G2200" s="1" t="s">
        <v>10571</v>
      </c>
      <c r="H2200" s="1" t="str">
        <f t="shared" si="34"/>
        <v>Oracle</v>
      </c>
    </row>
    <row r="2201" spans="1:8">
      <c r="A2201" s="1">
        <v>2200</v>
      </c>
      <c r="B2201" s="1" t="s">
        <v>18690</v>
      </c>
      <c r="C2201" s="1" t="s">
        <v>1497</v>
      </c>
      <c r="D2201" s="1" t="s">
        <v>10615</v>
      </c>
      <c r="E2201" s="1" t="s">
        <v>10624</v>
      </c>
      <c r="F2201" s="1" t="s">
        <v>10574</v>
      </c>
      <c r="G2201" s="1" t="s">
        <v>10575</v>
      </c>
      <c r="H2201" s="1" t="str">
        <f t="shared" si="34"/>
        <v>Oracle</v>
      </c>
    </row>
    <row r="2202" spans="1:8">
      <c r="A2202" s="1">
        <v>2201</v>
      </c>
      <c r="B2202" s="1" t="s">
        <v>18690</v>
      </c>
      <c r="C2202" s="1" t="s">
        <v>1501</v>
      </c>
      <c r="D2202" s="1" t="s">
        <v>10615</v>
      </c>
      <c r="E2202" s="1" t="s">
        <v>10626</v>
      </c>
      <c r="F2202" s="1" t="s">
        <v>1507</v>
      </c>
      <c r="G2202" s="1" t="s">
        <v>1508</v>
      </c>
      <c r="H2202" s="1" t="str">
        <f t="shared" si="34"/>
        <v>Oracle</v>
      </c>
    </row>
    <row r="2203" spans="1:8">
      <c r="A2203" s="1">
        <v>2202</v>
      </c>
      <c r="B2203" s="1" t="s">
        <v>18690</v>
      </c>
      <c r="C2203" s="1" t="s">
        <v>1505</v>
      </c>
      <c r="D2203" s="1" t="s">
        <v>10615</v>
      </c>
      <c r="E2203" s="1" t="s">
        <v>10628</v>
      </c>
      <c r="F2203" s="1" t="s">
        <v>10578</v>
      </c>
      <c r="G2203" s="1" t="s">
        <v>10579</v>
      </c>
      <c r="H2203" s="1" t="str">
        <f t="shared" si="34"/>
        <v>Oracle</v>
      </c>
    </row>
    <row r="2204" spans="1:8">
      <c r="A2204" s="1">
        <v>2203</v>
      </c>
      <c r="B2204" s="1" t="s">
        <v>18690</v>
      </c>
      <c r="C2204" s="1" t="s">
        <v>1509</v>
      </c>
      <c r="D2204" s="1" t="s">
        <v>10615</v>
      </c>
      <c r="E2204" s="1" t="s">
        <v>10630</v>
      </c>
      <c r="F2204" s="1" t="s">
        <v>10582</v>
      </c>
      <c r="G2204" s="1" t="s">
        <v>10583</v>
      </c>
      <c r="H2204" s="1" t="str">
        <f t="shared" si="34"/>
        <v>Oracle</v>
      </c>
    </row>
    <row r="2205" spans="1:8">
      <c r="A2205" s="1">
        <v>2204</v>
      </c>
      <c r="B2205" s="1" t="s">
        <v>18690</v>
      </c>
      <c r="C2205" s="1" t="s">
        <v>1513</v>
      </c>
      <c r="D2205" s="1" t="s">
        <v>10615</v>
      </c>
      <c r="E2205" s="1" t="s">
        <v>3696</v>
      </c>
      <c r="F2205" s="1" t="s">
        <v>10585</v>
      </c>
      <c r="G2205" s="1" t="s">
        <v>10586</v>
      </c>
      <c r="H2205" s="1" t="str">
        <f t="shared" si="34"/>
        <v>Oracle</v>
      </c>
    </row>
    <row r="2206" spans="1:8">
      <c r="A2206" s="1">
        <v>2205</v>
      </c>
      <c r="B2206" s="1" t="s">
        <v>18690</v>
      </c>
      <c r="C2206" s="1" t="s">
        <v>1517</v>
      </c>
      <c r="D2206" s="1" t="s">
        <v>10615</v>
      </c>
      <c r="E2206" s="1" t="s">
        <v>10633</v>
      </c>
      <c r="F2206" s="1" t="s">
        <v>10589</v>
      </c>
      <c r="G2206" s="1" t="s">
        <v>10590</v>
      </c>
      <c r="H2206" s="1" t="str">
        <f t="shared" si="34"/>
        <v>Oracle</v>
      </c>
    </row>
    <row r="2207" spans="1:8">
      <c r="A2207" s="1">
        <v>2206</v>
      </c>
      <c r="B2207" s="1" t="s">
        <v>18690</v>
      </c>
      <c r="C2207" s="1" t="s">
        <v>1521</v>
      </c>
      <c r="D2207" s="1" t="s">
        <v>10615</v>
      </c>
      <c r="E2207" s="1" t="s">
        <v>10635</v>
      </c>
      <c r="F2207" s="1" t="s">
        <v>10593</v>
      </c>
      <c r="G2207" s="1" t="s">
        <v>10590</v>
      </c>
      <c r="H2207" s="1" t="str">
        <f t="shared" si="34"/>
        <v>Oracle</v>
      </c>
    </row>
    <row r="2208" spans="1:8">
      <c r="A2208" s="1">
        <v>2207</v>
      </c>
      <c r="B2208" s="1" t="s">
        <v>18690</v>
      </c>
      <c r="C2208" s="1" t="s">
        <v>1525</v>
      </c>
      <c r="D2208" s="1" t="s">
        <v>10615</v>
      </c>
      <c r="E2208" s="1" t="s">
        <v>10637</v>
      </c>
      <c r="F2208" s="1" t="s">
        <v>10596</v>
      </c>
      <c r="G2208" s="1" t="s">
        <v>10597</v>
      </c>
      <c r="H2208" s="1" t="str">
        <f t="shared" si="34"/>
        <v>Oracle</v>
      </c>
    </row>
    <row r="2209" spans="1:8">
      <c r="A2209" s="1">
        <v>2208</v>
      </c>
      <c r="B2209" s="1" t="s">
        <v>18690</v>
      </c>
      <c r="C2209" s="1" t="s">
        <v>1529</v>
      </c>
      <c r="D2209" s="1" t="s">
        <v>10615</v>
      </c>
      <c r="E2209" s="1" t="s">
        <v>10639</v>
      </c>
      <c r="F2209" s="1" t="s">
        <v>10600</v>
      </c>
      <c r="G2209" s="1" t="s">
        <v>10601</v>
      </c>
      <c r="H2209" s="1" t="str">
        <f t="shared" si="34"/>
        <v>Oracle</v>
      </c>
    </row>
    <row r="2210" spans="1:8">
      <c r="A2210" s="1">
        <v>2209</v>
      </c>
      <c r="B2210" s="1" t="s">
        <v>18690</v>
      </c>
      <c r="C2210" s="1" t="s">
        <v>1533</v>
      </c>
      <c r="D2210" s="1" t="s">
        <v>10615</v>
      </c>
      <c r="E2210" s="1" t="s">
        <v>10641</v>
      </c>
      <c r="F2210" s="1" t="s">
        <v>10604</v>
      </c>
      <c r="G2210" s="1" t="s">
        <v>10605</v>
      </c>
      <c r="H2210" s="1" t="str">
        <f t="shared" si="34"/>
        <v>Oracle</v>
      </c>
    </row>
    <row r="2211" spans="1:8">
      <c r="A2211" s="1">
        <v>2210</v>
      </c>
      <c r="B2211" s="1" t="s">
        <v>18690</v>
      </c>
      <c r="C2211" s="1" t="s">
        <v>1537</v>
      </c>
      <c r="D2211" s="1" t="s">
        <v>10615</v>
      </c>
      <c r="E2211" s="1" t="s">
        <v>10643</v>
      </c>
      <c r="F2211" s="1" t="s">
        <v>10608</v>
      </c>
      <c r="G2211" s="1" t="s">
        <v>10609</v>
      </c>
      <c r="H2211" s="1" t="str">
        <f t="shared" si="34"/>
        <v>Oracle</v>
      </c>
    </row>
    <row r="2212" spans="1:8">
      <c r="A2212" s="1">
        <v>2211</v>
      </c>
      <c r="B2212" s="1" t="s">
        <v>18690</v>
      </c>
      <c r="C2212" s="1" t="s">
        <v>1541</v>
      </c>
      <c r="D2212" s="1" t="s">
        <v>10615</v>
      </c>
      <c r="E2212" s="1" t="s">
        <v>10645</v>
      </c>
      <c r="F2212" s="1" t="s">
        <v>10612</v>
      </c>
      <c r="G2212" s="1" t="s">
        <v>10613</v>
      </c>
      <c r="H2212" s="1" t="str">
        <f t="shared" si="34"/>
        <v>Oracle</v>
      </c>
    </row>
    <row r="2213" spans="1:8">
      <c r="A2213" s="1">
        <v>2212</v>
      </c>
      <c r="B2213" s="1" t="s">
        <v>18691</v>
      </c>
      <c r="C2213" s="1" t="s">
        <v>392</v>
      </c>
      <c r="D2213" s="1" t="s">
        <v>10647</v>
      </c>
      <c r="E2213" s="1" t="s">
        <v>10648</v>
      </c>
      <c r="F2213" s="1" t="s">
        <v>641</v>
      </c>
      <c r="G2213" s="1" t="s">
        <v>642</v>
      </c>
      <c r="H2213" s="1" t="str">
        <f t="shared" si="34"/>
        <v>PFSense</v>
      </c>
    </row>
    <row r="2214" spans="1:8">
      <c r="A2214" s="1">
        <v>2213</v>
      </c>
      <c r="B2214" s="1" t="s">
        <v>18691</v>
      </c>
      <c r="C2214" s="1" t="s">
        <v>397</v>
      </c>
      <c r="D2214" s="1" t="s">
        <v>10647</v>
      </c>
      <c r="E2214" s="1" t="s">
        <v>10650</v>
      </c>
      <c r="F2214" s="1" t="s">
        <v>644</v>
      </c>
      <c r="G2214" s="1" t="s">
        <v>645</v>
      </c>
      <c r="H2214" s="1" t="str">
        <f t="shared" si="34"/>
        <v>PFSense</v>
      </c>
    </row>
    <row r="2215" spans="1:8">
      <c r="A2215" s="1">
        <v>2214</v>
      </c>
      <c r="B2215" s="1" t="s">
        <v>18691</v>
      </c>
      <c r="C2215" s="1" t="s">
        <v>401</v>
      </c>
      <c r="D2215" s="1" t="s">
        <v>10647</v>
      </c>
      <c r="E2215" s="1" t="s">
        <v>10652</v>
      </c>
      <c r="F2215" s="1" t="s">
        <v>650</v>
      </c>
      <c r="G2215" s="1" t="s">
        <v>651</v>
      </c>
      <c r="H2215" s="1" t="str">
        <f t="shared" si="34"/>
        <v>PFSense</v>
      </c>
    </row>
    <row r="2216" spans="1:8">
      <c r="A2216" s="1">
        <v>2215</v>
      </c>
      <c r="B2216" s="1" t="s">
        <v>18691</v>
      </c>
      <c r="C2216" s="1" t="s">
        <v>405</v>
      </c>
      <c r="D2216" s="1" t="s">
        <v>10647</v>
      </c>
      <c r="E2216" s="1" t="s">
        <v>10654</v>
      </c>
      <c r="F2216" s="1" t="s">
        <v>659</v>
      </c>
      <c r="G2216" s="1" t="s">
        <v>660</v>
      </c>
      <c r="H2216" s="1" t="str">
        <f t="shared" si="34"/>
        <v>PFSense</v>
      </c>
    </row>
    <row r="2217" spans="1:8">
      <c r="A2217" s="1">
        <v>2216</v>
      </c>
      <c r="B2217" s="1" t="s">
        <v>18691</v>
      </c>
      <c r="C2217" s="1" t="s">
        <v>409</v>
      </c>
      <c r="D2217" s="1" t="s">
        <v>10647</v>
      </c>
      <c r="E2217" s="1" t="s">
        <v>10656</v>
      </c>
      <c r="F2217" s="1" t="s">
        <v>10657</v>
      </c>
      <c r="G2217" s="1" t="s">
        <v>10658</v>
      </c>
      <c r="H2217" s="1" t="str">
        <f t="shared" si="34"/>
        <v>PFSense</v>
      </c>
    </row>
    <row r="2218" spans="1:8">
      <c r="A2218" s="1">
        <v>2217</v>
      </c>
      <c r="B2218" s="1" t="s">
        <v>18691</v>
      </c>
      <c r="C2218" s="1" t="s">
        <v>413</v>
      </c>
      <c r="D2218" s="1" t="s">
        <v>10647</v>
      </c>
      <c r="E2218" s="1" t="s">
        <v>10660</v>
      </c>
      <c r="F2218" s="1" t="s">
        <v>647</v>
      </c>
      <c r="G2218" s="1" t="s">
        <v>648</v>
      </c>
      <c r="H2218" s="1" t="str">
        <f t="shared" si="34"/>
        <v>PFSense</v>
      </c>
    </row>
    <row r="2219" spans="1:8">
      <c r="A2219" s="1">
        <v>2218</v>
      </c>
      <c r="B2219" s="1" t="s">
        <v>18691</v>
      </c>
      <c r="C2219" s="1" t="s">
        <v>417</v>
      </c>
      <c r="D2219" s="1" t="s">
        <v>10647</v>
      </c>
      <c r="E2219" s="1" t="s">
        <v>10662</v>
      </c>
      <c r="F2219" s="1" t="s">
        <v>10663</v>
      </c>
      <c r="G2219" s="1" t="s">
        <v>10664</v>
      </c>
      <c r="H2219" s="1" t="str">
        <f t="shared" si="34"/>
        <v>PFSense</v>
      </c>
    </row>
    <row r="2220" spans="1:8">
      <c r="A2220" s="1">
        <v>2219</v>
      </c>
      <c r="B2220" s="1" t="s">
        <v>18692</v>
      </c>
      <c r="C2220" s="1" t="s">
        <v>392</v>
      </c>
      <c r="D2220" s="1" t="s">
        <v>10666</v>
      </c>
      <c r="E2220" s="1" t="s">
        <v>3260</v>
      </c>
      <c r="F2220" s="1" t="s">
        <v>667</v>
      </c>
      <c r="G2220" s="1" t="s">
        <v>668</v>
      </c>
      <c r="H2220" s="1" t="str">
        <f t="shared" si="34"/>
        <v>PHP-FPM</v>
      </c>
    </row>
    <row r="2221" spans="1:8">
      <c r="A2221" s="1">
        <v>2220</v>
      </c>
      <c r="B2221" s="1" t="s">
        <v>18692</v>
      </c>
      <c r="C2221" s="1" t="s">
        <v>397</v>
      </c>
      <c r="D2221" s="1" t="s">
        <v>10666</v>
      </c>
      <c r="E2221" s="1" t="s">
        <v>10668</v>
      </c>
      <c r="F2221" s="1" t="s">
        <v>10669</v>
      </c>
      <c r="G2221" s="1" t="s">
        <v>10670</v>
      </c>
      <c r="H2221" s="1" t="str">
        <f t="shared" si="34"/>
        <v>PHP-FPM</v>
      </c>
    </row>
    <row r="2222" spans="1:8">
      <c r="A2222" s="1">
        <v>2221</v>
      </c>
      <c r="B2222" s="1" t="s">
        <v>18692</v>
      </c>
      <c r="C2222" s="1" t="s">
        <v>401</v>
      </c>
      <c r="D2222" s="1" t="s">
        <v>10666</v>
      </c>
      <c r="E2222" s="1" t="s">
        <v>10672</v>
      </c>
      <c r="F2222" s="1" t="s">
        <v>10673</v>
      </c>
      <c r="G2222" s="1" t="s">
        <v>10674</v>
      </c>
      <c r="H2222" s="1" t="str">
        <f t="shared" si="34"/>
        <v>PHP-FPM</v>
      </c>
    </row>
    <row r="2223" spans="1:8">
      <c r="A2223" s="1">
        <v>2222</v>
      </c>
      <c r="B2223" s="1" t="s">
        <v>18692</v>
      </c>
      <c r="C2223" s="1" t="s">
        <v>405</v>
      </c>
      <c r="D2223" s="1" t="s">
        <v>10666</v>
      </c>
      <c r="E2223" s="1" t="s">
        <v>10676</v>
      </c>
      <c r="F2223" s="1" t="s">
        <v>673</v>
      </c>
      <c r="G2223" s="1" t="s">
        <v>674</v>
      </c>
      <c r="H2223" s="1" t="str">
        <f t="shared" si="34"/>
        <v>PHP-FPM</v>
      </c>
    </row>
    <row r="2224" spans="1:8">
      <c r="A2224" s="1">
        <v>2223</v>
      </c>
      <c r="B2224" s="1" t="s">
        <v>18692</v>
      </c>
      <c r="C2224" s="1" t="s">
        <v>409</v>
      </c>
      <c r="D2224" s="1" t="s">
        <v>10666</v>
      </c>
      <c r="E2224" s="1" t="s">
        <v>3332</v>
      </c>
      <c r="F2224" s="1" t="s">
        <v>10678</v>
      </c>
      <c r="G2224" s="1" t="s">
        <v>10679</v>
      </c>
      <c r="H2224" s="1" t="str">
        <f t="shared" si="34"/>
        <v>PHP-FPM</v>
      </c>
    </row>
    <row r="2225" spans="1:8">
      <c r="A2225" s="1">
        <v>2224</v>
      </c>
      <c r="B2225" s="1" t="s">
        <v>18692</v>
      </c>
      <c r="C2225" s="1" t="s">
        <v>413</v>
      </c>
      <c r="D2225" s="1" t="s">
        <v>10666</v>
      </c>
      <c r="E2225" s="1" t="s">
        <v>3331</v>
      </c>
      <c r="F2225" s="1" t="s">
        <v>10681</v>
      </c>
      <c r="G2225" s="1" t="s">
        <v>10682</v>
      </c>
      <c r="H2225" s="1" t="str">
        <f t="shared" si="34"/>
        <v>PHP-FPM</v>
      </c>
    </row>
    <row r="2226" spans="1:8">
      <c r="A2226" s="1">
        <v>2225</v>
      </c>
      <c r="B2226" s="1" t="s">
        <v>18692</v>
      </c>
      <c r="C2226" s="1" t="s">
        <v>417</v>
      </c>
      <c r="D2226" s="1" t="s">
        <v>10666</v>
      </c>
      <c r="E2226" s="1" t="s">
        <v>3333</v>
      </c>
      <c r="F2226" s="1" t="s">
        <v>10684</v>
      </c>
      <c r="G2226" s="1" t="s">
        <v>10685</v>
      </c>
      <c r="H2226" s="1" t="str">
        <f t="shared" si="34"/>
        <v>PHP-FPM</v>
      </c>
    </row>
    <row r="2227" spans="1:8">
      <c r="A2227" s="1">
        <v>2226</v>
      </c>
      <c r="B2227" s="1" t="s">
        <v>18693</v>
      </c>
      <c r="C2227" s="1" t="s">
        <v>211</v>
      </c>
      <c r="D2227" s="1" t="s">
        <v>10687</v>
      </c>
      <c r="E2227" s="1" t="s">
        <v>10692</v>
      </c>
      <c r="F2227" s="1" t="s">
        <v>10669</v>
      </c>
      <c r="G2227" s="1" t="s">
        <v>10670</v>
      </c>
      <c r="H2227" s="1" t="str">
        <f t="shared" si="34"/>
        <v>PHP-FPM</v>
      </c>
    </row>
    <row r="2228" spans="1:8">
      <c r="A2228" s="1">
        <v>2227</v>
      </c>
      <c r="B2228" s="1" t="s">
        <v>18693</v>
      </c>
      <c r="C2228" s="1" t="s">
        <v>214</v>
      </c>
      <c r="D2228" s="1" t="s">
        <v>10687</v>
      </c>
      <c r="E2228" s="1" t="s">
        <v>3230</v>
      </c>
      <c r="F2228" s="1" t="s">
        <v>10673</v>
      </c>
      <c r="G2228" s="1" t="s">
        <v>10674</v>
      </c>
      <c r="H2228" s="1" t="str">
        <f t="shared" si="34"/>
        <v>PHP-FPM</v>
      </c>
    </row>
    <row r="2229" spans="1:8">
      <c r="A2229" s="1">
        <v>2228</v>
      </c>
      <c r="B2229" s="1" t="s">
        <v>18693</v>
      </c>
      <c r="C2229" s="1" t="s">
        <v>218</v>
      </c>
      <c r="D2229" s="1" t="s">
        <v>10687</v>
      </c>
      <c r="E2229" s="1" t="s">
        <v>3243</v>
      </c>
      <c r="F2229" s="1" t="s">
        <v>673</v>
      </c>
      <c r="G2229" s="1" t="s">
        <v>674</v>
      </c>
      <c r="H2229" s="1" t="str">
        <f t="shared" si="34"/>
        <v>PHP-FPM</v>
      </c>
    </row>
    <row r="2230" spans="1:8">
      <c r="A2230" s="1">
        <v>2229</v>
      </c>
      <c r="B2230" s="1" t="s">
        <v>18693</v>
      </c>
      <c r="C2230" s="1" t="s">
        <v>220</v>
      </c>
      <c r="D2230" s="1" t="s">
        <v>10687</v>
      </c>
      <c r="E2230" s="1" t="s">
        <v>3249</v>
      </c>
      <c r="F2230" s="1" t="s">
        <v>10678</v>
      </c>
      <c r="G2230" s="1" t="s">
        <v>10679</v>
      </c>
      <c r="H2230" s="1" t="str">
        <f t="shared" si="34"/>
        <v>PHP-FPM</v>
      </c>
    </row>
    <row r="2231" spans="1:8">
      <c r="A2231" s="1">
        <v>2230</v>
      </c>
      <c r="B2231" s="1" t="s">
        <v>18693</v>
      </c>
      <c r="C2231" s="1" t="s">
        <v>224</v>
      </c>
      <c r="D2231" s="1" t="s">
        <v>10687</v>
      </c>
      <c r="E2231" s="1" t="s">
        <v>3250</v>
      </c>
      <c r="F2231" s="1" t="s">
        <v>10684</v>
      </c>
      <c r="G2231" s="1" t="s">
        <v>10685</v>
      </c>
      <c r="H2231" s="1" t="str">
        <f t="shared" si="34"/>
        <v>PHP-FPM</v>
      </c>
    </row>
    <row r="2232" spans="1:8">
      <c r="A2232" s="1">
        <v>2231</v>
      </c>
      <c r="B2232" s="1" t="s">
        <v>18694</v>
      </c>
      <c r="C2232" s="1" t="s">
        <v>211</v>
      </c>
      <c r="D2232" s="1" t="s">
        <v>10701</v>
      </c>
      <c r="E2232" s="1" t="s">
        <v>18695</v>
      </c>
      <c r="F2232" s="1" t="s">
        <v>10703</v>
      </c>
      <c r="G2232" s="1" t="s">
        <v>10704</v>
      </c>
      <c r="H2232" s="1" t="str">
        <f t="shared" si="34"/>
        <v>PostgreSQL</v>
      </c>
    </row>
    <row r="2233" spans="1:8">
      <c r="A2233" s="1">
        <v>2232</v>
      </c>
      <c r="B2233" s="1" t="s">
        <v>18694</v>
      </c>
      <c r="C2233" s="1" t="s">
        <v>214</v>
      </c>
      <c r="D2233" s="1" t="s">
        <v>10701</v>
      </c>
      <c r="E2233" s="1" t="s">
        <v>10334</v>
      </c>
      <c r="F2233" s="1" t="s">
        <v>1569</v>
      </c>
      <c r="G2233" s="1" t="s">
        <v>1570</v>
      </c>
      <c r="H2233" s="1" t="str">
        <f t="shared" si="34"/>
        <v>PostgreSQL</v>
      </c>
    </row>
    <row r="2234" spans="1:8">
      <c r="A2234" s="1">
        <v>2233</v>
      </c>
      <c r="B2234" s="1" t="s">
        <v>18694</v>
      </c>
      <c r="C2234" s="1" t="s">
        <v>218</v>
      </c>
      <c r="D2234" s="1" t="s">
        <v>10701</v>
      </c>
      <c r="E2234" s="1" t="s">
        <v>10338</v>
      </c>
      <c r="F2234" s="1" t="s">
        <v>1572</v>
      </c>
      <c r="G2234" s="1" t="s">
        <v>1573</v>
      </c>
      <c r="H2234" s="1" t="str">
        <f t="shared" si="34"/>
        <v>PostgreSQL</v>
      </c>
    </row>
    <row r="2235" spans="1:8">
      <c r="A2235" s="1">
        <v>2234</v>
      </c>
      <c r="B2235" s="1" t="s">
        <v>18694</v>
      </c>
      <c r="C2235" s="1" t="s">
        <v>220</v>
      </c>
      <c r="D2235" s="1" t="s">
        <v>10701</v>
      </c>
      <c r="E2235" s="1" t="s">
        <v>10342</v>
      </c>
      <c r="F2235" s="1" t="s">
        <v>10711</v>
      </c>
      <c r="G2235" s="1" t="s">
        <v>10712</v>
      </c>
      <c r="H2235" s="1" t="str">
        <f t="shared" si="34"/>
        <v>PostgreSQL</v>
      </c>
    </row>
    <row r="2236" spans="1:8">
      <c r="A2236" s="1">
        <v>2235</v>
      </c>
      <c r="B2236" s="1" t="s">
        <v>18694</v>
      </c>
      <c r="C2236" s="1" t="s">
        <v>224</v>
      </c>
      <c r="D2236" s="1" t="s">
        <v>10701</v>
      </c>
      <c r="E2236" s="1" t="s">
        <v>18696</v>
      </c>
      <c r="F2236" s="1" t="s">
        <v>10715</v>
      </c>
      <c r="G2236" s="1" t="s">
        <v>10716</v>
      </c>
      <c r="H2236" s="1" t="str">
        <f t="shared" si="34"/>
        <v>PostgreSQL</v>
      </c>
    </row>
    <row r="2237" spans="1:8">
      <c r="A2237" s="1">
        <v>2236</v>
      </c>
      <c r="B2237" s="1" t="s">
        <v>18697</v>
      </c>
      <c r="C2237" s="1" t="s">
        <v>155</v>
      </c>
      <c r="D2237" s="1" t="s">
        <v>10718</v>
      </c>
      <c r="E2237" s="1" t="s">
        <v>2288</v>
      </c>
      <c r="F2237" s="1" t="s">
        <v>10719</v>
      </c>
      <c r="G2237" s="1" t="s">
        <v>10720</v>
      </c>
      <c r="H2237" s="1" t="str">
        <f t="shared" si="34"/>
        <v>PostgreSQL</v>
      </c>
    </row>
    <row r="2238" spans="1:8">
      <c r="A2238" s="1">
        <v>2237</v>
      </c>
      <c r="B2238" s="1" t="s">
        <v>18697</v>
      </c>
      <c r="C2238" s="1" t="s">
        <v>160</v>
      </c>
      <c r="D2238" s="1" t="s">
        <v>10718</v>
      </c>
      <c r="E2238" s="1" t="s">
        <v>2296</v>
      </c>
      <c r="F2238" s="1" t="s">
        <v>10703</v>
      </c>
      <c r="G2238" s="1" t="s">
        <v>10704</v>
      </c>
      <c r="H2238" s="1" t="str">
        <f t="shared" si="34"/>
        <v>PostgreSQL</v>
      </c>
    </row>
    <row r="2239" spans="1:8">
      <c r="A2239" s="1">
        <v>2238</v>
      </c>
      <c r="B2239" s="1" t="s">
        <v>18697</v>
      </c>
      <c r="C2239" s="1" t="s">
        <v>164</v>
      </c>
      <c r="D2239" s="1" t="s">
        <v>10718</v>
      </c>
      <c r="E2239" s="1" t="s">
        <v>2292</v>
      </c>
      <c r="F2239" s="1" t="s">
        <v>10723</v>
      </c>
      <c r="G2239" s="1" t="s">
        <v>10724</v>
      </c>
      <c r="H2239" s="1" t="str">
        <f t="shared" si="34"/>
        <v>PostgreSQL</v>
      </c>
    </row>
    <row r="2240" spans="1:8">
      <c r="A2240" s="1">
        <v>2239</v>
      </c>
      <c r="B2240" s="1" t="s">
        <v>18697</v>
      </c>
      <c r="C2240" s="1" t="s">
        <v>168</v>
      </c>
      <c r="D2240" s="1" t="s">
        <v>10718</v>
      </c>
      <c r="E2240" s="1" t="s">
        <v>2294</v>
      </c>
      <c r="F2240" s="1" t="s">
        <v>1592</v>
      </c>
      <c r="G2240" s="1" t="s">
        <v>1593</v>
      </c>
      <c r="H2240" s="1" t="str">
        <f t="shared" si="34"/>
        <v>PostgreSQL</v>
      </c>
    </row>
    <row r="2241" spans="1:8">
      <c r="A2241" s="1">
        <v>2240</v>
      </c>
      <c r="B2241" s="1" t="s">
        <v>18697</v>
      </c>
      <c r="C2241" s="1" t="s">
        <v>172</v>
      </c>
      <c r="D2241" s="1" t="s">
        <v>10718</v>
      </c>
      <c r="E2241" s="1" t="s">
        <v>2290</v>
      </c>
      <c r="F2241" s="1" t="s">
        <v>10727</v>
      </c>
      <c r="G2241" s="1" t="s">
        <v>10728</v>
      </c>
      <c r="H2241" s="1" t="str">
        <f t="shared" si="34"/>
        <v>PostgreSQL</v>
      </c>
    </row>
    <row r="2242" spans="1:8">
      <c r="A2242" s="1">
        <v>2241</v>
      </c>
      <c r="B2242" s="1" t="s">
        <v>18697</v>
      </c>
      <c r="C2242" s="1" t="s">
        <v>176</v>
      </c>
      <c r="D2242" s="1" t="s">
        <v>10718</v>
      </c>
      <c r="E2242" s="1" t="s">
        <v>2300</v>
      </c>
      <c r="F2242" s="1" t="s">
        <v>1572</v>
      </c>
      <c r="G2242" s="1" t="s">
        <v>1573</v>
      </c>
      <c r="H2242" s="1" t="str">
        <f t="shared" ref="H2242:H2305" si="35">IFERROR(IF(OR(MID(G2242,FIND(":",G2242)-1,1)="""",MID(G2242,FIND(":",G2242)-1,1)="}",MID(G2242,FIND(":",G2242)-1,1)=")",MID(G2242,FIND(":",G2242)-1,1)="]"),"",LEFT(F2242,FIND(":",F2242)-1)),"")</f>
        <v>PostgreSQL</v>
      </c>
    </row>
    <row r="2243" spans="1:8">
      <c r="A2243" s="1">
        <v>2242</v>
      </c>
      <c r="B2243" s="1" t="s">
        <v>18697</v>
      </c>
      <c r="C2243" s="1" t="s">
        <v>180</v>
      </c>
      <c r="D2243" s="1" t="s">
        <v>10718</v>
      </c>
      <c r="E2243" s="1" t="s">
        <v>2298</v>
      </c>
      <c r="F2243" s="1" t="s">
        <v>10731</v>
      </c>
      <c r="G2243" s="1" t="s">
        <v>10732</v>
      </c>
      <c r="H2243" s="1" t="str">
        <f t="shared" si="35"/>
        <v>PostgreSQL</v>
      </c>
    </row>
    <row r="2244" spans="1:8">
      <c r="A2244" s="1">
        <v>2243</v>
      </c>
      <c r="B2244" s="1" t="s">
        <v>18697</v>
      </c>
      <c r="C2244" s="1" t="s">
        <v>184</v>
      </c>
      <c r="D2244" s="1" t="s">
        <v>10718</v>
      </c>
      <c r="E2244" s="1" t="s">
        <v>2304</v>
      </c>
      <c r="F2244" s="1" t="s">
        <v>10734</v>
      </c>
      <c r="G2244" s="1" t="s">
        <v>18698</v>
      </c>
      <c r="H2244" s="1" t="str">
        <f t="shared" si="35"/>
        <v/>
      </c>
    </row>
    <row r="2245" spans="1:8">
      <c r="A2245" s="1">
        <v>2244</v>
      </c>
      <c r="B2245" s="1" t="s">
        <v>18697</v>
      </c>
      <c r="C2245" s="1" t="s">
        <v>188</v>
      </c>
      <c r="D2245" s="1" t="s">
        <v>10718</v>
      </c>
      <c r="E2245" s="1" t="s">
        <v>2306</v>
      </c>
      <c r="F2245" s="1" t="s">
        <v>1605</v>
      </c>
      <c r="G2245" s="1" t="s">
        <v>1606</v>
      </c>
      <c r="H2245" s="1" t="str">
        <f t="shared" si="35"/>
        <v>PostgreSQL</v>
      </c>
    </row>
    <row r="2246" spans="1:8">
      <c r="A2246" s="1">
        <v>2245</v>
      </c>
      <c r="B2246" s="1" t="s">
        <v>18697</v>
      </c>
      <c r="C2246" s="1" t="s">
        <v>192</v>
      </c>
      <c r="D2246" s="1" t="s">
        <v>10718</v>
      </c>
      <c r="E2246" s="1" t="s">
        <v>2308</v>
      </c>
      <c r="F2246" s="1" t="s">
        <v>10711</v>
      </c>
      <c r="G2246" s="1" t="s">
        <v>10712</v>
      </c>
      <c r="H2246" s="1" t="str">
        <f t="shared" si="35"/>
        <v>PostgreSQL</v>
      </c>
    </row>
    <row r="2247" spans="1:8">
      <c r="A2247" s="1">
        <v>2246</v>
      </c>
      <c r="B2247" s="1" t="s">
        <v>18697</v>
      </c>
      <c r="C2247" s="1" t="s">
        <v>196</v>
      </c>
      <c r="D2247" s="1" t="s">
        <v>10718</v>
      </c>
      <c r="E2247" s="1" t="s">
        <v>2310</v>
      </c>
      <c r="F2247" s="1" t="s">
        <v>10715</v>
      </c>
      <c r="G2247" s="1" t="s">
        <v>10716</v>
      </c>
      <c r="H2247" s="1" t="str">
        <f t="shared" si="35"/>
        <v>PostgreSQL</v>
      </c>
    </row>
    <row r="2248" spans="1:8">
      <c r="A2248" s="1">
        <v>2247</v>
      </c>
      <c r="B2248" s="1" t="s">
        <v>18699</v>
      </c>
      <c r="C2248" s="1" t="s">
        <v>251</v>
      </c>
      <c r="D2248" s="1" t="s">
        <v>10740</v>
      </c>
      <c r="E2248" s="1" t="s">
        <v>10741</v>
      </c>
      <c r="F2248" s="1" t="s">
        <v>10703</v>
      </c>
      <c r="G2248" s="1" t="s">
        <v>10704</v>
      </c>
      <c r="H2248" s="1" t="str">
        <f t="shared" si="35"/>
        <v>PostgreSQL</v>
      </c>
    </row>
    <row r="2249" spans="1:8">
      <c r="A2249" s="1">
        <v>2248</v>
      </c>
      <c r="B2249" s="1" t="s">
        <v>18699</v>
      </c>
      <c r="C2249" s="1" t="s">
        <v>254</v>
      </c>
      <c r="D2249" s="1" t="s">
        <v>10740</v>
      </c>
      <c r="E2249" s="1" t="s">
        <v>16885</v>
      </c>
      <c r="F2249" s="1" t="s">
        <v>1578</v>
      </c>
      <c r="G2249" s="1" t="s">
        <v>1579</v>
      </c>
      <c r="H2249" s="1" t="str">
        <f t="shared" si="35"/>
        <v>Dbstat</v>
      </c>
    </row>
    <row r="2250" spans="1:8">
      <c r="A2250" s="1">
        <v>2249</v>
      </c>
      <c r="B2250" s="1" t="s">
        <v>18699</v>
      </c>
      <c r="C2250" s="1" t="s">
        <v>256</v>
      </c>
      <c r="D2250" s="1" t="s">
        <v>10740</v>
      </c>
      <c r="E2250" s="1" t="s">
        <v>2692</v>
      </c>
      <c r="F2250" s="1" t="s">
        <v>1569</v>
      </c>
      <c r="G2250" s="1" t="s">
        <v>1570</v>
      </c>
      <c r="H2250" s="1" t="str">
        <f t="shared" si="35"/>
        <v>PostgreSQL</v>
      </c>
    </row>
    <row r="2251" spans="1:8">
      <c r="A2251" s="1">
        <v>2250</v>
      </c>
      <c r="B2251" s="1" t="s">
        <v>18699</v>
      </c>
      <c r="C2251" s="1" t="s">
        <v>260</v>
      </c>
      <c r="D2251" s="1" t="s">
        <v>10740</v>
      </c>
      <c r="E2251" s="1" t="s">
        <v>10746</v>
      </c>
      <c r="F2251" s="1" t="s">
        <v>1572</v>
      </c>
      <c r="G2251" s="1" t="s">
        <v>1573</v>
      </c>
      <c r="H2251" s="1" t="str">
        <f t="shared" si="35"/>
        <v>PostgreSQL</v>
      </c>
    </row>
    <row r="2252" spans="1:8">
      <c r="A2252" s="1">
        <v>2251</v>
      </c>
      <c r="B2252" s="1" t="s">
        <v>18699</v>
      </c>
      <c r="C2252" s="1" t="s">
        <v>262</v>
      </c>
      <c r="D2252" s="1" t="s">
        <v>10740</v>
      </c>
      <c r="E2252" s="1" t="s">
        <v>10748</v>
      </c>
      <c r="F2252" s="1" t="s">
        <v>10711</v>
      </c>
      <c r="G2252" s="1" t="s">
        <v>10712</v>
      </c>
      <c r="H2252" s="1" t="str">
        <f t="shared" si="35"/>
        <v>PostgreSQL</v>
      </c>
    </row>
    <row r="2253" spans="1:8">
      <c r="A2253" s="1">
        <v>2252</v>
      </c>
      <c r="B2253" s="1" t="s">
        <v>18699</v>
      </c>
      <c r="C2253" s="1" t="s">
        <v>264</v>
      </c>
      <c r="D2253" s="1" t="s">
        <v>10740</v>
      </c>
      <c r="E2253" s="1" t="s">
        <v>18700</v>
      </c>
      <c r="F2253" s="1" t="s">
        <v>10715</v>
      </c>
      <c r="G2253" s="1" t="s">
        <v>10716</v>
      </c>
      <c r="H2253" s="1" t="str">
        <f t="shared" si="35"/>
        <v>PostgreSQL</v>
      </c>
    </row>
    <row r="2254" spans="1:8">
      <c r="A2254" s="1">
        <v>2253</v>
      </c>
      <c r="B2254" s="1" t="s">
        <v>18701</v>
      </c>
      <c r="C2254" s="1" t="s">
        <v>84</v>
      </c>
      <c r="D2254" s="1" t="s">
        <v>10752</v>
      </c>
      <c r="E2254" s="1" t="s">
        <v>16929</v>
      </c>
      <c r="F2254" s="1" t="s">
        <v>10754</v>
      </c>
      <c r="G2254" s="1" t="s">
        <v>10755</v>
      </c>
      <c r="H2254" s="1" t="str">
        <f t="shared" si="35"/>
        <v>Proxmox</v>
      </c>
    </row>
    <row r="2255" spans="1:8">
      <c r="A2255" s="1">
        <v>2254</v>
      </c>
      <c r="B2255" s="1" t="s">
        <v>18702</v>
      </c>
      <c r="C2255" s="1" t="s">
        <v>452</v>
      </c>
      <c r="D2255" s="1" t="s">
        <v>10757</v>
      </c>
      <c r="E2255" s="1" t="s">
        <v>2910</v>
      </c>
      <c r="F2255" s="1" t="s">
        <v>10758</v>
      </c>
      <c r="G2255" s="1" t="s">
        <v>10759</v>
      </c>
      <c r="H2255" s="1" t="str">
        <f t="shared" si="35"/>
        <v>QTech QSW</v>
      </c>
    </row>
    <row r="2256" spans="1:8">
      <c r="A2256" s="1">
        <v>2255</v>
      </c>
      <c r="B2256" s="1" t="s">
        <v>18702</v>
      </c>
      <c r="C2256" s="1" t="s">
        <v>457</v>
      </c>
      <c r="D2256" s="1" t="s">
        <v>10757</v>
      </c>
      <c r="E2256" s="1" t="s">
        <v>2898</v>
      </c>
      <c r="F2256" s="1" t="s">
        <v>10761</v>
      </c>
      <c r="G2256" s="1" t="s">
        <v>10762</v>
      </c>
      <c r="H2256" s="1" t="str">
        <f t="shared" si="35"/>
        <v>QTech QSW</v>
      </c>
    </row>
    <row r="2257" spans="1:8">
      <c r="A2257" s="1">
        <v>2256</v>
      </c>
      <c r="B2257" s="1" t="s">
        <v>18702</v>
      </c>
      <c r="C2257" s="1" t="s">
        <v>461</v>
      </c>
      <c r="D2257" s="1" t="s">
        <v>10757</v>
      </c>
      <c r="E2257" s="1" t="s">
        <v>2897</v>
      </c>
      <c r="F2257" s="1" t="s">
        <v>10764</v>
      </c>
      <c r="G2257" s="1" t="s">
        <v>10765</v>
      </c>
      <c r="H2257" s="1" t="str">
        <f t="shared" si="35"/>
        <v>QTech QSW</v>
      </c>
    </row>
    <row r="2258" spans="1:8">
      <c r="A2258" s="1">
        <v>2257</v>
      </c>
      <c r="B2258" s="1" t="s">
        <v>18702</v>
      </c>
      <c r="C2258" s="1" t="s">
        <v>465</v>
      </c>
      <c r="D2258" s="1" t="s">
        <v>10757</v>
      </c>
      <c r="E2258" s="1" t="s">
        <v>10767</v>
      </c>
      <c r="F2258" s="1" t="s">
        <v>10768</v>
      </c>
      <c r="G2258" s="1" t="s">
        <v>10769</v>
      </c>
      <c r="H2258" s="1" t="str">
        <f t="shared" si="35"/>
        <v>QTech QSW</v>
      </c>
    </row>
    <row r="2259" spans="1:8">
      <c r="A2259" s="1">
        <v>2258</v>
      </c>
      <c r="B2259" s="1" t="s">
        <v>18702</v>
      </c>
      <c r="C2259" s="1" t="s">
        <v>469</v>
      </c>
      <c r="D2259" s="1" t="s">
        <v>10757</v>
      </c>
      <c r="E2259" s="1" t="s">
        <v>10771</v>
      </c>
      <c r="F2259" s="1" t="s">
        <v>10772</v>
      </c>
      <c r="G2259" s="1" t="s">
        <v>10773</v>
      </c>
      <c r="H2259" s="1" t="str">
        <f t="shared" si="35"/>
        <v>QTech QSW</v>
      </c>
    </row>
    <row r="2260" spans="1:8">
      <c r="A2260" s="1">
        <v>2259</v>
      </c>
      <c r="B2260" s="1" t="s">
        <v>18702</v>
      </c>
      <c r="C2260" s="1" t="s">
        <v>473</v>
      </c>
      <c r="D2260" s="1" t="s">
        <v>10757</v>
      </c>
      <c r="E2260" s="1" t="s">
        <v>10775</v>
      </c>
      <c r="F2260" s="1" t="s">
        <v>10776</v>
      </c>
      <c r="G2260" s="1" t="s">
        <v>10777</v>
      </c>
      <c r="H2260" s="1" t="str">
        <f t="shared" si="35"/>
        <v>QTech QSW</v>
      </c>
    </row>
    <row r="2261" spans="1:8">
      <c r="A2261" s="1">
        <v>2260</v>
      </c>
      <c r="B2261" s="1" t="s">
        <v>18702</v>
      </c>
      <c r="C2261" s="1" t="s">
        <v>477</v>
      </c>
      <c r="D2261" s="1" t="s">
        <v>10757</v>
      </c>
      <c r="E2261" s="1" t="s">
        <v>10779</v>
      </c>
      <c r="F2261" s="1" t="s">
        <v>10780</v>
      </c>
      <c r="G2261" s="1" t="s">
        <v>10781</v>
      </c>
      <c r="H2261" s="1" t="str">
        <f t="shared" si="35"/>
        <v>QTech QSW</v>
      </c>
    </row>
    <row r="2262" spans="1:8">
      <c r="A2262" s="1">
        <v>2261</v>
      </c>
      <c r="B2262" s="1" t="s">
        <v>18702</v>
      </c>
      <c r="C2262" s="1" t="s">
        <v>481</v>
      </c>
      <c r="D2262" s="1" t="s">
        <v>10757</v>
      </c>
      <c r="E2262" s="1" t="s">
        <v>2911</v>
      </c>
      <c r="F2262" s="1" t="s">
        <v>10783</v>
      </c>
      <c r="G2262" s="1" t="s">
        <v>10784</v>
      </c>
      <c r="H2262" s="1" t="str">
        <f t="shared" si="35"/>
        <v>QTech QSW</v>
      </c>
    </row>
    <row r="2263" spans="1:8">
      <c r="A2263" s="1">
        <v>2262</v>
      </c>
      <c r="B2263" s="1" t="s">
        <v>18702</v>
      </c>
      <c r="C2263" s="1" t="s">
        <v>485</v>
      </c>
      <c r="D2263" s="1" t="s">
        <v>10757</v>
      </c>
      <c r="E2263" s="1" t="s">
        <v>10786</v>
      </c>
      <c r="F2263" s="1" t="s">
        <v>10787</v>
      </c>
      <c r="G2263" s="1" t="s">
        <v>10788</v>
      </c>
      <c r="H2263" s="1" t="str">
        <f t="shared" si="35"/>
        <v>QTech QSW</v>
      </c>
    </row>
    <row r="2264" spans="1:8">
      <c r="A2264" s="1">
        <v>2263</v>
      </c>
      <c r="B2264" s="1" t="s">
        <v>18702</v>
      </c>
      <c r="C2264" s="1" t="s">
        <v>489</v>
      </c>
      <c r="D2264" s="1" t="s">
        <v>10757</v>
      </c>
      <c r="E2264" s="1" t="s">
        <v>10790</v>
      </c>
      <c r="F2264" s="1" t="s">
        <v>10791</v>
      </c>
      <c r="G2264" s="1" t="s">
        <v>10792</v>
      </c>
      <c r="H2264" s="1" t="str">
        <f t="shared" si="35"/>
        <v>QTech QSW</v>
      </c>
    </row>
    <row r="2265" spans="1:8">
      <c r="A2265" s="1">
        <v>2264</v>
      </c>
      <c r="B2265" s="1" t="s">
        <v>18702</v>
      </c>
      <c r="C2265" s="1" t="s">
        <v>493</v>
      </c>
      <c r="D2265" s="1" t="s">
        <v>10757</v>
      </c>
      <c r="E2265" s="1" t="s">
        <v>2904</v>
      </c>
      <c r="F2265" s="1" t="s">
        <v>10794</v>
      </c>
      <c r="G2265" s="1" t="s">
        <v>10795</v>
      </c>
      <c r="H2265" s="1" t="str">
        <f t="shared" si="35"/>
        <v>QTech QSW</v>
      </c>
    </row>
    <row r="2266" spans="1:8">
      <c r="A2266" s="1">
        <v>2265</v>
      </c>
      <c r="B2266" s="1" t="s">
        <v>18702</v>
      </c>
      <c r="C2266" s="1" t="s">
        <v>497</v>
      </c>
      <c r="D2266" s="1" t="s">
        <v>10757</v>
      </c>
      <c r="E2266" s="1" t="s">
        <v>2901</v>
      </c>
      <c r="F2266" s="1" t="s">
        <v>10797</v>
      </c>
      <c r="G2266" s="1" t="s">
        <v>10798</v>
      </c>
      <c r="H2266" s="1" t="str">
        <f t="shared" si="35"/>
        <v>QTech QSW</v>
      </c>
    </row>
    <row r="2267" spans="1:8">
      <c r="A2267" s="1">
        <v>2266</v>
      </c>
      <c r="B2267" s="1" t="s">
        <v>18702</v>
      </c>
      <c r="C2267" s="1" t="s">
        <v>501</v>
      </c>
      <c r="D2267" s="1" t="s">
        <v>10757</v>
      </c>
      <c r="E2267" s="1" t="s">
        <v>2907</v>
      </c>
      <c r="F2267" s="1" t="s">
        <v>10800</v>
      </c>
      <c r="G2267" s="1" t="s">
        <v>10801</v>
      </c>
      <c r="H2267" s="1" t="str">
        <f t="shared" si="35"/>
        <v>QTech QSW</v>
      </c>
    </row>
    <row r="2268" spans="1:8">
      <c r="A2268" s="1">
        <v>2267</v>
      </c>
      <c r="B2268" s="1" t="s">
        <v>18702</v>
      </c>
      <c r="C2268" s="1" t="s">
        <v>505</v>
      </c>
      <c r="D2268" s="1" t="s">
        <v>10757</v>
      </c>
      <c r="E2268" s="1" t="s">
        <v>10803</v>
      </c>
      <c r="F2268" s="1" t="s">
        <v>10804</v>
      </c>
      <c r="G2268" s="1" t="s">
        <v>10805</v>
      </c>
      <c r="H2268" s="1" t="str">
        <f t="shared" si="35"/>
        <v>QTech QSW</v>
      </c>
    </row>
    <row r="2269" spans="1:8">
      <c r="A2269" s="1">
        <v>2268</v>
      </c>
      <c r="B2269" s="1" t="s">
        <v>18703</v>
      </c>
      <c r="C2269" s="1" t="s">
        <v>84</v>
      </c>
      <c r="D2269" s="1" t="s">
        <v>10807</v>
      </c>
      <c r="E2269" s="1" t="s">
        <v>10808</v>
      </c>
      <c r="F2269" s="1" t="s">
        <v>10809</v>
      </c>
      <c r="G2269" s="1" t="s">
        <v>10810</v>
      </c>
      <c r="H2269" s="1" t="str">
        <f t="shared" si="35"/>
        <v>RabbitMQ</v>
      </c>
    </row>
    <row r="2270" spans="1:8">
      <c r="A2270" s="1">
        <v>2269</v>
      </c>
      <c r="B2270" s="1" t="s">
        <v>18704</v>
      </c>
      <c r="C2270" s="1" t="s">
        <v>84</v>
      </c>
      <c r="D2270" s="1" t="s">
        <v>10812</v>
      </c>
      <c r="E2270" s="1" t="s">
        <v>10813</v>
      </c>
      <c r="F2270" s="1" t="s">
        <v>10809</v>
      </c>
      <c r="G2270" s="1" t="s">
        <v>10810</v>
      </c>
      <c r="H2270" s="1" t="str">
        <f t="shared" si="35"/>
        <v>RabbitMQ</v>
      </c>
    </row>
    <row r="2271" spans="1:8">
      <c r="A2271" s="1">
        <v>2270</v>
      </c>
      <c r="B2271" s="1" t="s">
        <v>18705</v>
      </c>
      <c r="C2271" s="1" t="s">
        <v>93</v>
      </c>
      <c r="D2271" s="1" t="s">
        <v>10815</v>
      </c>
      <c r="E2271" s="1" t="s">
        <v>10816</v>
      </c>
      <c r="F2271" s="1" t="s">
        <v>10817</v>
      </c>
      <c r="G2271" s="1" t="s">
        <v>10818</v>
      </c>
      <c r="H2271" s="1" t="str">
        <f t="shared" si="35"/>
        <v>RabbitMQ</v>
      </c>
    </row>
    <row r="2272" spans="1:8">
      <c r="A2272" s="1">
        <v>2271</v>
      </c>
      <c r="B2272" s="1" t="s">
        <v>18705</v>
      </c>
      <c r="C2272" s="1" t="s">
        <v>98</v>
      </c>
      <c r="D2272" s="1" t="s">
        <v>10815</v>
      </c>
      <c r="E2272" s="1" t="s">
        <v>10820</v>
      </c>
      <c r="F2272" s="1" t="s">
        <v>10821</v>
      </c>
      <c r="G2272" s="1" t="s">
        <v>10822</v>
      </c>
      <c r="H2272" s="1" t="str">
        <f t="shared" si="35"/>
        <v>RabbitMQ</v>
      </c>
    </row>
    <row r="2273" spans="1:8">
      <c r="A2273" s="1">
        <v>2272</v>
      </c>
      <c r="B2273" s="1" t="s">
        <v>18705</v>
      </c>
      <c r="C2273" s="1" t="s">
        <v>102</v>
      </c>
      <c r="D2273" s="1" t="s">
        <v>10815</v>
      </c>
      <c r="E2273" s="1" t="s">
        <v>10824</v>
      </c>
      <c r="F2273" s="1" t="s">
        <v>116</v>
      </c>
      <c r="G2273" s="1" t="s">
        <v>117</v>
      </c>
      <c r="H2273" s="1" t="str">
        <f t="shared" si="35"/>
        <v>RabbitMQ</v>
      </c>
    </row>
    <row r="2274" spans="1:8">
      <c r="A2274" s="1">
        <v>2273</v>
      </c>
      <c r="B2274" s="1" t="s">
        <v>18705</v>
      </c>
      <c r="C2274" s="1" t="s">
        <v>106</v>
      </c>
      <c r="D2274" s="1" t="s">
        <v>10815</v>
      </c>
      <c r="E2274" s="1" t="s">
        <v>10826</v>
      </c>
      <c r="F2274" s="1" t="s">
        <v>10827</v>
      </c>
      <c r="G2274" s="1" t="s">
        <v>10828</v>
      </c>
      <c r="H2274" s="1" t="str">
        <f t="shared" si="35"/>
        <v>RabbitMQ</v>
      </c>
    </row>
    <row r="2275" spans="1:8">
      <c r="A2275" s="1">
        <v>2274</v>
      </c>
      <c r="B2275" s="1" t="s">
        <v>18705</v>
      </c>
      <c r="C2275" s="1" t="s">
        <v>110</v>
      </c>
      <c r="D2275" s="1" t="s">
        <v>10815</v>
      </c>
      <c r="E2275" s="1" t="s">
        <v>10830</v>
      </c>
      <c r="F2275" s="1" t="s">
        <v>10831</v>
      </c>
      <c r="G2275" s="1" t="s">
        <v>10832</v>
      </c>
      <c r="H2275" s="1" t="str">
        <f t="shared" si="35"/>
        <v>RabbitMQ</v>
      </c>
    </row>
    <row r="2276" spans="1:8">
      <c r="A2276" s="1">
        <v>2275</v>
      </c>
      <c r="B2276" s="1" t="s">
        <v>18705</v>
      </c>
      <c r="C2276" s="1" t="s">
        <v>114</v>
      </c>
      <c r="D2276" s="1" t="s">
        <v>10815</v>
      </c>
      <c r="E2276" s="1" t="s">
        <v>10834</v>
      </c>
      <c r="F2276" s="1" t="s">
        <v>10835</v>
      </c>
      <c r="G2276" s="1" t="s">
        <v>10836</v>
      </c>
      <c r="H2276" s="1" t="str">
        <f t="shared" si="35"/>
        <v>RabbitMQ</v>
      </c>
    </row>
    <row r="2277" spans="1:8">
      <c r="A2277" s="1">
        <v>2276</v>
      </c>
      <c r="B2277" s="1" t="s">
        <v>18705</v>
      </c>
      <c r="C2277" s="1" t="s">
        <v>118</v>
      </c>
      <c r="D2277" s="1" t="s">
        <v>10815</v>
      </c>
      <c r="E2277" s="1" t="s">
        <v>10838</v>
      </c>
      <c r="F2277" s="1" t="s">
        <v>128</v>
      </c>
      <c r="G2277" s="1" t="s">
        <v>129</v>
      </c>
      <c r="H2277" s="1" t="str">
        <f t="shared" si="35"/>
        <v>RabbitMQ</v>
      </c>
    </row>
    <row r="2278" spans="1:8">
      <c r="A2278" s="1">
        <v>2277</v>
      </c>
      <c r="B2278" s="1" t="s">
        <v>18705</v>
      </c>
      <c r="C2278" s="1" t="s">
        <v>122</v>
      </c>
      <c r="D2278" s="1" t="s">
        <v>10815</v>
      </c>
      <c r="E2278" s="1" t="s">
        <v>10840</v>
      </c>
      <c r="F2278" s="1" t="s">
        <v>10841</v>
      </c>
      <c r="G2278" s="1" t="s">
        <v>10842</v>
      </c>
      <c r="H2278" s="1" t="str">
        <f t="shared" si="35"/>
        <v>RabbitMQ</v>
      </c>
    </row>
    <row r="2279" spans="1:8">
      <c r="A2279" s="1">
        <v>2278</v>
      </c>
      <c r="B2279" s="1" t="s">
        <v>18705</v>
      </c>
      <c r="C2279" s="1" t="s">
        <v>126</v>
      </c>
      <c r="D2279" s="1" t="s">
        <v>10815</v>
      </c>
      <c r="E2279" s="1" t="s">
        <v>10844</v>
      </c>
      <c r="F2279" s="1" t="s">
        <v>10845</v>
      </c>
      <c r="G2279" s="1" t="s">
        <v>10846</v>
      </c>
      <c r="H2279" s="1" t="str">
        <f t="shared" si="35"/>
        <v>RabbitMQ</v>
      </c>
    </row>
    <row r="2280" spans="1:8">
      <c r="A2280" s="1">
        <v>2279</v>
      </c>
      <c r="B2280" s="1" t="s">
        <v>18706</v>
      </c>
      <c r="C2280" s="1" t="s">
        <v>211</v>
      </c>
      <c r="D2280" s="1" t="s">
        <v>10848</v>
      </c>
      <c r="E2280" s="1" t="s">
        <v>10849</v>
      </c>
      <c r="F2280" s="1" t="s">
        <v>10817</v>
      </c>
      <c r="G2280" s="1" t="s">
        <v>10818</v>
      </c>
      <c r="H2280" s="1" t="str">
        <f t="shared" si="35"/>
        <v>RabbitMQ</v>
      </c>
    </row>
    <row r="2281" spans="1:8">
      <c r="A2281" s="1">
        <v>2280</v>
      </c>
      <c r="B2281" s="1" t="s">
        <v>18706</v>
      </c>
      <c r="C2281" s="1" t="s">
        <v>214</v>
      </c>
      <c r="D2281" s="1" t="s">
        <v>10848</v>
      </c>
      <c r="E2281" s="1" t="s">
        <v>10855</v>
      </c>
      <c r="F2281" s="1" t="s">
        <v>10827</v>
      </c>
      <c r="G2281" s="1" t="s">
        <v>10828</v>
      </c>
      <c r="H2281" s="1" t="str">
        <f t="shared" si="35"/>
        <v>RabbitMQ</v>
      </c>
    </row>
    <row r="2282" spans="1:8">
      <c r="A2282" s="1">
        <v>2281</v>
      </c>
      <c r="B2282" s="1" t="s">
        <v>18706</v>
      </c>
      <c r="C2282" s="1" t="s">
        <v>218</v>
      </c>
      <c r="D2282" s="1" t="s">
        <v>10848</v>
      </c>
      <c r="E2282" s="1" t="s">
        <v>10857</v>
      </c>
      <c r="F2282" s="1" t="s">
        <v>10831</v>
      </c>
      <c r="G2282" s="1" t="s">
        <v>10832</v>
      </c>
      <c r="H2282" s="1" t="str">
        <f t="shared" si="35"/>
        <v>RabbitMQ</v>
      </c>
    </row>
    <row r="2283" spans="1:8">
      <c r="A2283" s="1">
        <v>2282</v>
      </c>
      <c r="B2283" s="1" t="s">
        <v>18706</v>
      </c>
      <c r="C2283" s="1" t="s">
        <v>220</v>
      </c>
      <c r="D2283" s="1" t="s">
        <v>10848</v>
      </c>
      <c r="E2283" s="1" t="s">
        <v>10861</v>
      </c>
      <c r="F2283" s="1" t="s">
        <v>10835</v>
      </c>
      <c r="G2283" s="1" t="s">
        <v>10836</v>
      </c>
      <c r="H2283" s="1" t="str">
        <f t="shared" si="35"/>
        <v>RabbitMQ</v>
      </c>
    </row>
    <row r="2284" spans="1:8">
      <c r="A2284" s="1">
        <v>2283</v>
      </c>
      <c r="B2284" s="1" t="s">
        <v>18706</v>
      </c>
      <c r="C2284" s="1" t="s">
        <v>224</v>
      </c>
      <c r="D2284" s="1" t="s">
        <v>10848</v>
      </c>
      <c r="E2284" s="1" t="s">
        <v>10867</v>
      </c>
      <c r="F2284" s="1" t="s">
        <v>10845</v>
      </c>
      <c r="G2284" s="1" t="s">
        <v>10846</v>
      </c>
      <c r="H2284" s="1" t="str">
        <f t="shared" si="35"/>
        <v>RabbitMQ</v>
      </c>
    </row>
    <row r="2285" spans="1:8">
      <c r="A2285" s="1">
        <v>2284</v>
      </c>
      <c r="B2285" s="1" t="s">
        <v>18707</v>
      </c>
      <c r="C2285" s="1" t="s">
        <v>1210</v>
      </c>
      <c r="D2285" s="1" t="s">
        <v>10869</v>
      </c>
      <c r="E2285" s="1" t="s">
        <v>1627</v>
      </c>
      <c r="F2285" s="1" t="s">
        <v>1628</v>
      </c>
      <c r="G2285" s="1" t="s">
        <v>1629</v>
      </c>
      <c r="H2285" s="1" t="str">
        <f t="shared" si="35"/>
        <v>Redis</v>
      </c>
    </row>
    <row r="2286" spans="1:8">
      <c r="A2286" s="1">
        <v>2285</v>
      </c>
      <c r="B2286" s="1" t="s">
        <v>18707</v>
      </c>
      <c r="C2286" s="1" t="s">
        <v>1215</v>
      </c>
      <c r="D2286" s="1" t="s">
        <v>10869</v>
      </c>
      <c r="E2286" s="1" t="s">
        <v>1615</v>
      </c>
      <c r="F2286" s="1" t="s">
        <v>10871</v>
      </c>
      <c r="G2286" s="1" t="s">
        <v>10872</v>
      </c>
      <c r="H2286" s="1" t="str">
        <f t="shared" si="35"/>
        <v>Redis</v>
      </c>
    </row>
    <row r="2287" spans="1:8">
      <c r="A2287" s="1">
        <v>2286</v>
      </c>
      <c r="B2287" s="1" t="s">
        <v>18707</v>
      </c>
      <c r="C2287" s="1" t="s">
        <v>1219</v>
      </c>
      <c r="D2287" s="1" t="s">
        <v>10869</v>
      </c>
      <c r="E2287" s="1" t="s">
        <v>1636</v>
      </c>
      <c r="F2287" s="1" t="s">
        <v>1637</v>
      </c>
      <c r="G2287" s="1" t="s">
        <v>1638</v>
      </c>
      <c r="H2287" s="1" t="str">
        <f t="shared" si="35"/>
        <v>Redis</v>
      </c>
    </row>
    <row r="2288" spans="1:8">
      <c r="A2288" s="1">
        <v>2287</v>
      </c>
      <c r="B2288" s="1" t="s">
        <v>18707</v>
      </c>
      <c r="C2288" s="1" t="s">
        <v>1223</v>
      </c>
      <c r="D2288" s="1" t="s">
        <v>10869</v>
      </c>
      <c r="E2288" s="1" t="s">
        <v>1618</v>
      </c>
      <c r="F2288" s="1" t="s">
        <v>1619</v>
      </c>
      <c r="G2288" s="1" t="s">
        <v>1620</v>
      </c>
      <c r="H2288" s="1" t="str">
        <f t="shared" si="35"/>
        <v>Redis</v>
      </c>
    </row>
    <row r="2289" spans="1:8">
      <c r="A2289" s="1">
        <v>2288</v>
      </c>
      <c r="B2289" s="1" t="s">
        <v>18707</v>
      </c>
      <c r="C2289" s="1" t="s">
        <v>1227</v>
      </c>
      <c r="D2289" s="1" t="s">
        <v>10869</v>
      </c>
      <c r="E2289" s="1" t="s">
        <v>1621</v>
      </c>
      <c r="F2289" s="1" t="s">
        <v>10876</v>
      </c>
      <c r="G2289" s="1" t="s">
        <v>10877</v>
      </c>
      <c r="H2289" s="1" t="str">
        <f t="shared" si="35"/>
        <v>Redis</v>
      </c>
    </row>
    <row r="2290" spans="1:8">
      <c r="A2290" s="1">
        <v>2289</v>
      </c>
      <c r="B2290" s="1" t="s">
        <v>18707</v>
      </c>
      <c r="C2290" s="1" t="s">
        <v>1231</v>
      </c>
      <c r="D2290" s="1" t="s">
        <v>10869</v>
      </c>
      <c r="E2290" s="1" t="s">
        <v>1624</v>
      </c>
      <c r="F2290" s="1" t="s">
        <v>10879</v>
      </c>
      <c r="G2290" s="1" t="s">
        <v>10880</v>
      </c>
      <c r="H2290" s="1" t="str">
        <f t="shared" si="35"/>
        <v>Redis</v>
      </c>
    </row>
    <row r="2291" spans="1:8">
      <c r="A2291" s="1">
        <v>2290</v>
      </c>
      <c r="B2291" s="1" t="s">
        <v>18707</v>
      </c>
      <c r="C2291" s="1" t="s">
        <v>1235</v>
      </c>
      <c r="D2291" s="1" t="s">
        <v>10869</v>
      </c>
      <c r="E2291" s="1" t="s">
        <v>1633</v>
      </c>
      <c r="F2291" s="1" t="s">
        <v>1634</v>
      </c>
      <c r="G2291" s="1" t="s">
        <v>1635</v>
      </c>
      <c r="H2291" s="1" t="str">
        <f t="shared" si="35"/>
        <v>Redis</v>
      </c>
    </row>
    <row r="2292" spans="1:8">
      <c r="A2292" s="1">
        <v>2291</v>
      </c>
      <c r="B2292" s="1" t="s">
        <v>18707</v>
      </c>
      <c r="C2292" s="1" t="s">
        <v>1239</v>
      </c>
      <c r="D2292" s="1" t="s">
        <v>10869</v>
      </c>
      <c r="E2292" s="1" t="s">
        <v>1630</v>
      </c>
      <c r="F2292" s="1" t="s">
        <v>1631</v>
      </c>
      <c r="G2292" s="1" t="s">
        <v>1632</v>
      </c>
      <c r="H2292" s="1" t="str">
        <f t="shared" si="35"/>
        <v>Redis</v>
      </c>
    </row>
    <row r="2293" spans="1:8">
      <c r="A2293" s="1">
        <v>2292</v>
      </c>
      <c r="B2293" s="1" t="s">
        <v>18707</v>
      </c>
      <c r="C2293" s="1" t="s">
        <v>1243</v>
      </c>
      <c r="D2293" s="1" t="s">
        <v>10869</v>
      </c>
      <c r="E2293" s="1" t="s">
        <v>1642</v>
      </c>
      <c r="F2293" s="1" t="s">
        <v>10884</v>
      </c>
      <c r="G2293" s="1" t="s">
        <v>10885</v>
      </c>
      <c r="H2293" s="1" t="str">
        <f t="shared" si="35"/>
        <v>Redis</v>
      </c>
    </row>
    <row r="2294" spans="1:8">
      <c r="A2294" s="1">
        <v>2293</v>
      </c>
      <c r="B2294" s="1" t="s">
        <v>18707</v>
      </c>
      <c r="C2294" s="1" t="s">
        <v>1247</v>
      </c>
      <c r="D2294" s="1" t="s">
        <v>10869</v>
      </c>
      <c r="E2294" s="1" t="s">
        <v>1651</v>
      </c>
      <c r="F2294" s="1" t="s">
        <v>1652</v>
      </c>
      <c r="G2294" s="1" t="s">
        <v>1653</v>
      </c>
      <c r="H2294" s="1" t="str">
        <f t="shared" si="35"/>
        <v>Redis</v>
      </c>
    </row>
    <row r="2295" spans="1:8">
      <c r="A2295" s="1">
        <v>2294</v>
      </c>
      <c r="B2295" s="1" t="s">
        <v>18707</v>
      </c>
      <c r="C2295" s="1" t="s">
        <v>1251</v>
      </c>
      <c r="D2295" s="1" t="s">
        <v>10869</v>
      </c>
      <c r="E2295" s="1" t="s">
        <v>1639</v>
      </c>
      <c r="F2295" s="1" t="s">
        <v>10888</v>
      </c>
      <c r="G2295" s="1" t="s">
        <v>10889</v>
      </c>
      <c r="H2295" s="1" t="str">
        <f t="shared" si="35"/>
        <v>Redis</v>
      </c>
    </row>
    <row r="2296" spans="1:8">
      <c r="A2296" s="1">
        <v>2295</v>
      </c>
      <c r="B2296" s="1" t="s">
        <v>18707</v>
      </c>
      <c r="C2296" s="1" t="s">
        <v>1255</v>
      </c>
      <c r="D2296" s="1" t="s">
        <v>10869</v>
      </c>
      <c r="E2296" s="1" t="s">
        <v>1648</v>
      </c>
      <c r="F2296" s="1" t="s">
        <v>10891</v>
      </c>
      <c r="G2296" s="1" t="s">
        <v>10892</v>
      </c>
      <c r="H2296" s="1" t="str">
        <f t="shared" si="35"/>
        <v>Redis</v>
      </c>
    </row>
    <row r="2297" spans="1:8">
      <c r="A2297" s="1">
        <v>2296</v>
      </c>
      <c r="B2297" s="1" t="s">
        <v>18707</v>
      </c>
      <c r="C2297" s="1" t="s">
        <v>1259</v>
      </c>
      <c r="D2297" s="1" t="s">
        <v>10869</v>
      </c>
      <c r="E2297" s="1" t="s">
        <v>1645</v>
      </c>
      <c r="F2297" s="1" t="s">
        <v>10894</v>
      </c>
      <c r="G2297" s="1" t="s">
        <v>10895</v>
      </c>
      <c r="H2297" s="1" t="str">
        <f t="shared" si="35"/>
        <v>Redis</v>
      </c>
    </row>
    <row r="2298" spans="1:8">
      <c r="A2298" s="1">
        <v>2297</v>
      </c>
      <c r="B2298" s="1" t="s">
        <v>18708</v>
      </c>
      <c r="C2298" s="1" t="s">
        <v>18709</v>
      </c>
      <c r="D2298" s="1" t="s">
        <v>10897</v>
      </c>
      <c r="E2298" s="1" t="s">
        <v>10898</v>
      </c>
      <c r="F2298" s="1" t="s">
        <v>782</v>
      </c>
      <c r="G2298" s="1" t="s">
        <v>783</v>
      </c>
      <c r="H2298" s="1" t="str">
        <f t="shared" si="35"/>
        <v>Remote Zabbix proxy</v>
      </c>
    </row>
    <row r="2299" spans="1:8">
      <c r="A2299" s="1">
        <v>2298</v>
      </c>
      <c r="B2299" s="1" t="s">
        <v>18708</v>
      </c>
      <c r="C2299" s="1" t="s">
        <v>18710</v>
      </c>
      <c r="D2299" s="1" t="s">
        <v>10897</v>
      </c>
      <c r="E2299" s="1" t="s">
        <v>7437</v>
      </c>
      <c r="F2299" s="1" t="s">
        <v>10903</v>
      </c>
      <c r="G2299" s="1" t="s">
        <v>10904</v>
      </c>
      <c r="H2299" s="1" t="str">
        <f t="shared" si="35"/>
        <v>Remote Zabbix proxy</v>
      </c>
    </row>
    <row r="2300" spans="1:8">
      <c r="A2300" s="1">
        <v>2299</v>
      </c>
      <c r="B2300" s="1" t="s">
        <v>18708</v>
      </c>
      <c r="C2300" s="1" t="s">
        <v>18711</v>
      </c>
      <c r="D2300" s="1" t="s">
        <v>10897</v>
      </c>
      <c r="E2300" s="1" t="s">
        <v>10906</v>
      </c>
      <c r="F2300" s="1" t="s">
        <v>802</v>
      </c>
      <c r="G2300" s="1" t="s">
        <v>803</v>
      </c>
      <c r="H2300" s="1" t="str">
        <f t="shared" si="35"/>
        <v>Remote Zabbix proxy</v>
      </c>
    </row>
    <row r="2301" spans="1:8">
      <c r="A2301" s="1">
        <v>2300</v>
      </c>
      <c r="B2301" s="1" t="s">
        <v>18708</v>
      </c>
      <c r="C2301" s="1" t="s">
        <v>18712</v>
      </c>
      <c r="D2301" s="1" t="s">
        <v>10897</v>
      </c>
      <c r="E2301" s="1" t="s">
        <v>10910</v>
      </c>
      <c r="F2301" s="1" t="s">
        <v>798</v>
      </c>
      <c r="G2301" s="1" t="s">
        <v>799</v>
      </c>
      <c r="H2301" s="1" t="str">
        <f t="shared" si="35"/>
        <v>Remote Zabbix proxy</v>
      </c>
    </row>
    <row r="2302" spans="1:8">
      <c r="A2302" s="1">
        <v>2301</v>
      </c>
      <c r="B2302" s="1" t="s">
        <v>18708</v>
      </c>
      <c r="C2302" s="1" t="s">
        <v>18713</v>
      </c>
      <c r="D2302" s="1" t="s">
        <v>10897</v>
      </c>
      <c r="E2302" s="1" t="s">
        <v>10916</v>
      </c>
      <c r="F2302" s="1" t="s">
        <v>10917</v>
      </c>
      <c r="G2302" s="1" t="s">
        <v>10918</v>
      </c>
      <c r="H2302" s="1" t="str">
        <f t="shared" si="35"/>
        <v>Remote Zabbix proxy</v>
      </c>
    </row>
    <row r="2303" spans="1:8">
      <c r="A2303" s="1">
        <v>2302</v>
      </c>
      <c r="B2303" s="1" t="s">
        <v>18708</v>
      </c>
      <c r="C2303" s="1" t="s">
        <v>18714</v>
      </c>
      <c r="D2303" s="1" t="s">
        <v>10897</v>
      </c>
      <c r="E2303" s="1" t="s">
        <v>2600</v>
      </c>
      <c r="F2303" s="1" t="s">
        <v>10920</v>
      </c>
      <c r="G2303" s="1" t="s">
        <v>18715</v>
      </c>
      <c r="H2303" s="1" t="str">
        <f t="shared" si="35"/>
        <v>Remote Zabbix proxy</v>
      </c>
    </row>
    <row r="2304" spans="1:8">
      <c r="A2304" s="1">
        <v>2303</v>
      </c>
      <c r="B2304" s="1" t="s">
        <v>18708</v>
      </c>
      <c r="C2304" s="1" t="s">
        <v>18716</v>
      </c>
      <c r="D2304" s="1" t="s">
        <v>10897</v>
      </c>
      <c r="E2304" s="1" t="s">
        <v>10923</v>
      </c>
      <c r="F2304" s="1" t="s">
        <v>10924</v>
      </c>
      <c r="G2304" s="1" t="s">
        <v>706</v>
      </c>
      <c r="H2304" s="1" t="str">
        <f t="shared" si="35"/>
        <v>Remote Zabbix proxy</v>
      </c>
    </row>
    <row r="2305" spans="1:8">
      <c r="A2305" s="1">
        <v>2304</v>
      </c>
      <c r="B2305" s="1" t="s">
        <v>18708</v>
      </c>
      <c r="C2305" s="1" t="s">
        <v>18717</v>
      </c>
      <c r="D2305" s="1" t="s">
        <v>10897</v>
      </c>
      <c r="E2305" s="1" t="s">
        <v>10926</v>
      </c>
      <c r="F2305" s="1" t="s">
        <v>10927</v>
      </c>
      <c r="G2305" s="1" t="s">
        <v>710</v>
      </c>
      <c r="H2305" s="1" t="str">
        <f t="shared" si="35"/>
        <v>Remote Zabbix proxy</v>
      </c>
    </row>
    <row r="2306" spans="1:8">
      <c r="A2306" s="1">
        <v>2305</v>
      </c>
      <c r="B2306" s="1" t="s">
        <v>18708</v>
      </c>
      <c r="C2306" s="1" t="s">
        <v>18718</v>
      </c>
      <c r="D2306" s="1" t="s">
        <v>10897</v>
      </c>
      <c r="E2306" s="1" t="s">
        <v>10929</v>
      </c>
      <c r="F2306" s="1" t="s">
        <v>10930</v>
      </c>
      <c r="G2306" s="1" t="s">
        <v>714</v>
      </c>
      <c r="H2306" s="1" t="str">
        <f t="shared" ref="H2306:H2369" si="36">IFERROR(IF(OR(MID(G2306,FIND(":",G2306)-1,1)="""",MID(G2306,FIND(":",G2306)-1,1)="}",MID(G2306,FIND(":",G2306)-1,1)=")",MID(G2306,FIND(":",G2306)-1,1)="]"),"",LEFT(F2306,FIND(":",F2306)-1)),"")</f>
        <v>Remote Zabbix proxy</v>
      </c>
    </row>
    <row r="2307" spans="1:8">
      <c r="A2307" s="1">
        <v>2306</v>
      </c>
      <c r="B2307" s="1" t="s">
        <v>18708</v>
      </c>
      <c r="C2307" s="1" t="s">
        <v>18719</v>
      </c>
      <c r="D2307" s="1" t="s">
        <v>10897</v>
      </c>
      <c r="E2307" s="1" t="s">
        <v>2604</v>
      </c>
      <c r="F2307" s="1" t="s">
        <v>10935</v>
      </c>
      <c r="G2307" s="1" t="s">
        <v>10936</v>
      </c>
      <c r="H2307" s="1" t="str">
        <f t="shared" si="36"/>
        <v>Remote Zabbix proxy</v>
      </c>
    </row>
    <row r="2308" spans="1:8">
      <c r="A2308" s="1">
        <v>2307</v>
      </c>
      <c r="B2308" s="1" t="s">
        <v>18708</v>
      </c>
      <c r="C2308" s="1" t="s">
        <v>18720</v>
      </c>
      <c r="D2308" s="1" t="s">
        <v>10897</v>
      </c>
      <c r="E2308" s="1" t="s">
        <v>10938</v>
      </c>
      <c r="F2308" s="1" t="s">
        <v>10939</v>
      </c>
      <c r="G2308" s="1" t="s">
        <v>722</v>
      </c>
      <c r="H2308" s="1" t="str">
        <f t="shared" si="36"/>
        <v>Remote Zabbix proxy</v>
      </c>
    </row>
    <row r="2309" spans="1:8">
      <c r="A2309" s="1">
        <v>2308</v>
      </c>
      <c r="B2309" s="1" t="s">
        <v>18708</v>
      </c>
      <c r="C2309" s="1" t="s">
        <v>18721</v>
      </c>
      <c r="D2309" s="1" t="s">
        <v>10897</v>
      </c>
      <c r="E2309" s="1" t="s">
        <v>10941</v>
      </c>
      <c r="F2309" s="1" t="s">
        <v>10942</v>
      </c>
      <c r="G2309" s="1" t="s">
        <v>726</v>
      </c>
      <c r="H2309" s="1" t="str">
        <f t="shared" si="36"/>
        <v>Remote Zabbix proxy</v>
      </c>
    </row>
    <row r="2310" spans="1:8">
      <c r="A2310" s="1">
        <v>2309</v>
      </c>
      <c r="B2310" s="1" t="s">
        <v>18708</v>
      </c>
      <c r="C2310" s="1" t="s">
        <v>18722</v>
      </c>
      <c r="D2310" s="1" t="s">
        <v>10897</v>
      </c>
      <c r="E2310" s="1" t="s">
        <v>10945</v>
      </c>
      <c r="F2310" s="1" t="s">
        <v>10946</v>
      </c>
      <c r="G2310" s="1" t="s">
        <v>730</v>
      </c>
      <c r="H2310" s="1" t="str">
        <f t="shared" si="36"/>
        <v>Remote Zabbix proxy</v>
      </c>
    </row>
    <row r="2311" spans="1:8">
      <c r="A2311" s="1">
        <v>2310</v>
      </c>
      <c r="B2311" s="1" t="s">
        <v>18708</v>
      </c>
      <c r="C2311" s="1" t="s">
        <v>18723</v>
      </c>
      <c r="D2311" s="1" t="s">
        <v>10897</v>
      </c>
      <c r="E2311" s="1" t="s">
        <v>10948</v>
      </c>
      <c r="F2311" s="1" t="s">
        <v>10949</v>
      </c>
      <c r="G2311" s="1" t="s">
        <v>734</v>
      </c>
      <c r="H2311" s="1" t="str">
        <f t="shared" si="36"/>
        <v>Remote Zabbix proxy</v>
      </c>
    </row>
    <row r="2312" spans="1:8">
      <c r="A2312" s="1">
        <v>2311</v>
      </c>
      <c r="B2312" s="1" t="s">
        <v>18708</v>
      </c>
      <c r="C2312" s="1" t="s">
        <v>18724</v>
      </c>
      <c r="D2312" s="1" t="s">
        <v>10897</v>
      </c>
      <c r="E2312" s="1" t="s">
        <v>10951</v>
      </c>
      <c r="F2312" s="1" t="s">
        <v>10952</v>
      </c>
      <c r="G2312" s="1" t="s">
        <v>738</v>
      </c>
      <c r="H2312" s="1" t="str">
        <f t="shared" si="36"/>
        <v>Remote Zabbix proxy</v>
      </c>
    </row>
    <row r="2313" spans="1:8">
      <c r="A2313" s="1">
        <v>2312</v>
      </c>
      <c r="B2313" s="1" t="s">
        <v>18708</v>
      </c>
      <c r="C2313" s="1" t="s">
        <v>18725</v>
      </c>
      <c r="D2313" s="1" t="s">
        <v>10897</v>
      </c>
      <c r="E2313" s="1" t="s">
        <v>10954</v>
      </c>
      <c r="F2313" s="1" t="s">
        <v>10955</v>
      </c>
      <c r="G2313" s="1" t="s">
        <v>738</v>
      </c>
      <c r="H2313" s="1" t="str">
        <f t="shared" si="36"/>
        <v>Remote Zabbix proxy</v>
      </c>
    </row>
    <row r="2314" spans="1:8">
      <c r="A2314" s="1">
        <v>2313</v>
      </c>
      <c r="B2314" s="1" t="s">
        <v>18708</v>
      </c>
      <c r="C2314" s="1" t="s">
        <v>18726</v>
      </c>
      <c r="D2314" s="1" t="s">
        <v>10897</v>
      </c>
      <c r="E2314" s="1" t="s">
        <v>10957</v>
      </c>
      <c r="F2314" s="1" t="s">
        <v>10958</v>
      </c>
      <c r="G2314" s="1" t="s">
        <v>745</v>
      </c>
      <c r="H2314" s="1" t="str">
        <f t="shared" si="36"/>
        <v>Remote Zabbix proxy</v>
      </c>
    </row>
    <row r="2315" spans="1:8">
      <c r="A2315" s="1">
        <v>2314</v>
      </c>
      <c r="B2315" s="1" t="s">
        <v>18708</v>
      </c>
      <c r="C2315" s="1" t="s">
        <v>18727</v>
      </c>
      <c r="D2315" s="1" t="s">
        <v>10897</v>
      </c>
      <c r="E2315" s="1" t="s">
        <v>10960</v>
      </c>
      <c r="F2315" s="1" t="s">
        <v>10961</v>
      </c>
      <c r="G2315" s="1" t="s">
        <v>10962</v>
      </c>
      <c r="H2315" s="1" t="str">
        <f t="shared" si="36"/>
        <v>Remote Zabbix proxy</v>
      </c>
    </row>
    <row r="2316" spans="1:8">
      <c r="A2316" s="1">
        <v>2315</v>
      </c>
      <c r="B2316" s="1" t="s">
        <v>18708</v>
      </c>
      <c r="C2316" s="1" t="s">
        <v>18728</v>
      </c>
      <c r="D2316" s="1" t="s">
        <v>10897</v>
      </c>
      <c r="E2316" s="1" t="s">
        <v>10964</v>
      </c>
      <c r="F2316" s="1" t="s">
        <v>10965</v>
      </c>
      <c r="G2316" s="1" t="s">
        <v>749</v>
      </c>
      <c r="H2316" s="1" t="str">
        <f t="shared" si="36"/>
        <v>Remote Zabbix proxy</v>
      </c>
    </row>
    <row r="2317" spans="1:8">
      <c r="A2317" s="1">
        <v>2316</v>
      </c>
      <c r="B2317" s="1" t="s">
        <v>18708</v>
      </c>
      <c r="C2317" s="1" t="s">
        <v>18729</v>
      </c>
      <c r="D2317" s="1" t="s">
        <v>10897</v>
      </c>
      <c r="E2317" s="1" t="s">
        <v>10967</v>
      </c>
      <c r="F2317" s="1" t="s">
        <v>10968</v>
      </c>
      <c r="G2317" s="1" t="s">
        <v>753</v>
      </c>
      <c r="H2317" s="1" t="str">
        <f t="shared" si="36"/>
        <v>Remote Zabbix proxy</v>
      </c>
    </row>
    <row r="2318" spans="1:8">
      <c r="A2318" s="1">
        <v>2317</v>
      </c>
      <c r="B2318" s="1" t="s">
        <v>18708</v>
      </c>
      <c r="C2318" s="1" t="s">
        <v>18730</v>
      </c>
      <c r="D2318" s="1" t="s">
        <v>10897</v>
      </c>
      <c r="E2318" s="1" t="s">
        <v>10970</v>
      </c>
      <c r="F2318" s="1" t="s">
        <v>10971</v>
      </c>
      <c r="G2318" s="1" t="s">
        <v>753</v>
      </c>
      <c r="H2318" s="1" t="str">
        <f t="shared" si="36"/>
        <v>Remote Zabbix proxy</v>
      </c>
    </row>
    <row r="2319" spans="1:8">
      <c r="A2319" s="1">
        <v>2318</v>
      </c>
      <c r="B2319" s="1" t="s">
        <v>18708</v>
      </c>
      <c r="C2319" s="1" t="s">
        <v>18731</v>
      </c>
      <c r="D2319" s="1" t="s">
        <v>10897</v>
      </c>
      <c r="E2319" s="1" t="s">
        <v>10973</v>
      </c>
      <c r="F2319" s="1" t="s">
        <v>10974</v>
      </c>
      <c r="G2319" s="1" t="s">
        <v>760</v>
      </c>
      <c r="H2319" s="1" t="str">
        <f t="shared" si="36"/>
        <v>Remote Zabbix proxy</v>
      </c>
    </row>
    <row r="2320" spans="1:8">
      <c r="A2320" s="1">
        <v>2319</v>
      </c>
      <c r="B2320" s="1" t="s">
        <v>18708</v>
      </c>
      <c r="C2320" s="1" t="s">
        <v>18732</v>
      </c>
      <c r="D2320" s="1" t="s">
        <v>10897</v>
      </c>
      <c r="E2320" s="1" t="s">
        <v>10976</v>
      </c>
      <c r="F2320" s="1" t="s">
        <v>10977</v>
      </c>
      <c r="G2320" s="1" t="s">
        <v>764</v>
      </c>
      <c r="H2320" s="1" t="str">
        <f t="shared" si="36"/>
        <v>Remote Zabbix proxy</v>
      </c>
    </row>
    <row r="2321" spans="1:8">
      <c r="A2321" s="1">
        <v>2320</v>
      </c>
      <c r="B2321" s="1" t="s">
        <v>18708</v>
      </c>
      <c r="C2321" s="1" t="s">
        <v>18733</v>
      </c>
      <c r="D2321" s="1" t="s">
        <v>10897</v>
      </c>
      <c r="E2321" s="1" t="s">
        <v>10979</v>
      </c>
      <c r="F2321" s="1" t="s">
        <v>10980</v>
      </c>
      <c r="G2321" s="1" t="s">
        <v>760</v>
      </c>
      <c r="H2321" s="1" t="str">
        <f t="shared" si="36"/>
        <v>Remote Zabbix proxy</v>
      </c>
    </row>
    <row r="2322" spans="1:8">
      <c r="A2322" s="1">
        <v>2321</v>
      </c>
      <c r="B2322" s="1" t="s">
        <v>18708</v>
      </c>
      <c r="C2322" s="1" t="s">
        <v>18734</v>
      </c>
      <c r="D2322" s="1" t="s">
        <v>10897</v>
      </c>
      <c r="E2322" s="1" t="s">
        <v>10982</v>
      </c>
      <c r="F2322" s="1" t="s">
        <v>10983</v>
      </c>
      <c r="G2322" s="1" t="s">
        <v>771</v>
      </c>
      <c r="H2322" s="1" t="str">
        <f t="shared" si="36"/>
        <v>Remote Zabbix proxy</v>
      </c>
    </row>
    <row r="2323" spans="1:8">
      <c r="A2323" s="1">
        <v>2322</v>
      </c>
      <c r="B2323" s="1" t="s">
        <v>18708</v>
      </c>
      <c r="C2323" s="1" t="s">
        <v>18735</v>
      </c>
      <c r="D2323" s="1" t="s">
        <v>10897</v>
      </c>
      <c r="E2323" s="1" t="s">
        <v>10985</v>
      </c>
      <c r="F2323" s="1" t="s">
        <v>10986</v>
      </c>
      <c r="G2323" s="1" t="s">
        <v>775</v>
      </c>
      <c r="H2323" s="1" t="str">
        <f t="shared" si="36"/>
        <v>Remote Zabbix proxy</v>
      </c>
    </row>
    <row r="2324" spans="1:8">
      <c r="A2324" s="1">
        <v>2323</v>
      </c>
      <c r="B2324" s="1" t="s">
        <v>18708</v>
      </c>
      <c r="C2324" s="1" t="s">
        <v>18736</v>
      </c>
      <c r="D2324" s="1" t="s">
        <v>10897</v>
      </c>
      <c r="E2324" s="1" t="s">
        <v>10988</v>
      </c>
      <c r="F2324" s="1" t="s">
        <v>10989</v>
      </c>
      <c r="G2324" s="1" t="s">
        <v>779</v>
      </c>
      <c r="H2324" s="1" t="str">
        <f t="shared" si="36"/>
        <v>Remote Zabbix proxy</v>
      </c>
    </row>
    <row r="2325" spans="1:8">
      <c r="A2325" s="1">
        <v>2324</v>
      </c>
      <c r="B2325" s="1" t="s">
        <v>18708</v>
      </c>
      <c r="C2325" s="1" t="s">
        <v>18737</v>
      </c>
      <c r="D2325" s="1" t="s">
        <v>10897</v>
      </c>
      <c r="E2325" s="1" t="s">
        <v>10991</v>
      </c>
      <c r="F2325" s="1" t="s">
        <v>10992</v>
      </c>
      <c r="G2325" s="1" t="s">
        <v>10993</v>
      </c>
      <c r="H2325" s="1" t="str">
        <f t="shared" si="36"/>
        <v>Remote Zabbix proxy</v>
      </c>
    </row>
    <row r="2326" spans="1:8">
      <c r="A2326" s="1">
        <v>2325</v>
      </c>
      <c r="B2326" s="1" t="s">
        <v>18708</v>
      </c>
      <c r="C2326" s="1" t="s">
        <v>18738</v>
      </c>
      <c r="D2326" s="1" t="s">
        <v>10897</v>
      </c>
      <c r="E2326" s="1" t="s">
        <v>10995</v>
      </c>
      <c r="F2326" s="1" t="s">
        <v>794</v>
      </c>
      <c r="G2326" s="1" t="s">
        <v>795</v>
      </c>
      <c r="H2326" s="1" t="str">
        <f t="shared" si="36"/>
        <v>Remote Zabbix proxy</v>
      </c>
    </row>
    <row r="2327" spans="1:8">
      <c r="A2327" s="1">
        <v>2326</v>
      </c>
      <c r="B2327" s="1" t="s">
        <v>18708</v>
      </c>
      <c r="C2327" s="1" t="s">
        <v>18739</v>
      </c>
      <c r="D2327" s="1" t="s">
        <v>10897</v>
      </c>
      <c r="E2327" s="1" t="s">
        <v>10914</v>
      </c>
      <c r="F2327" s="1" t="s">
        <v>806</v>
      </c>
      <c r="G2327" s="1" t="s">
        <v>807</v>
      </c>
      <c r="H2327" s="1" t="str">
        <f t="shared" si="36"/>
        <v>Remote Zabbix proxy</v>
      </c>
    </row>
    <row r="2328" spans="1:8">
      <c r="A2328" s="1">
        <v>2327</v>
      </c>
      <c r="B2328" s="1" t="s">
        <v>18740</v>
      </c>
      <c r="C2328" s="1" t="s">
        <v>18741</v>
      </c>
      <c r="D2328" s="1" t="s">
        <v>10999</v>
      </c>
      <c r="E2328" s="1" t="s">
        <v>11000</v>
      </c>
      <c r="F2328" s="1" t="s">
        <v>910</v>
      </c>
      <c r="G2328" s="1" t="s">
        <v>911</v>
      </c>
      <c r="H2328" s="1" t="str">
        <f t="shared" si="36"/>
        <v>Remote Zabbix server</v>
      </c>
    </row>
    <row r="2329" spans="1:8">
      <c r="A2329" s="1">
        <v>2328</v>
      </c>
      <c r="B2329" s="1" t="s">
        <v>18740</v>
      </c>
      <c r="C2329" s="1" t="s">
        <v>18742</v>
      </c>
      <c r="D2329" s="1" t="s">
        <v>10999</v>
      </c>
      <c r="E2329" s="1" t="s">
        <v>7441</v>
      </c>
      <c r="F2329" s="1" t="s">
        <v>11005</v>
      </c>
      <c r="G2329" s="1" t="s">
        <v>11006</v>
      </c>
      <c r="H2329" s="1" t="str">
        <f t="shared" si="36"/>
        <v>Remote Zabbix server</v>
      </c>
    </row>
    <row r="2330" spans="1:8">
      <c r="A2330" s="1">
        <v>2329</v>
      </c>
      <c r="B2330" s="1" t="s">
        <v>18740</v>
      </c>
      <c r="C2330" s="1" t="s">
        <v>18743</v>
      </c>
      <c r="D2330" s="1" t="s">
        <v>10999</v>
      </c>
      <c r="E2330" s="1" t="s">
        <v>11008</v>
      </c>
      <c r="F2330" s="1" t="s">
        <v>933</v>
      </c>
      <c r="G2330" s="1" t="s">
        <v>934</v>
      </c>
      <c r="H2330" s="1" t="str">
        <f t="shared" si="36"/>
        <v>Remote Zabbix server</v>
      </c>
    </row>
    <row r="2331" spans="1:8">
      <c r="A2331" s="1">
        <v>2330</v>
      </c>
      <c r="B2331" s="1" t="s">
        <v>18740</v>
      </c>
      <c r="C2331" s="1" t="s">
        <v>18744</v>
      </c>
      <c r="D2331" s="1" t="s">
        <v>10999</v>
      </c>
      <c r="E2331" s="1" t="s">
        <v>11012</v>
      </c>
      <c r="F2331" s="1" t="s">
        <v>929</v>
      </c>
      <c r="G2331" s="1" t="s">
        <v>930</v>
      </c>
      <c r="H2331" s="1" t="str">
        <f t="shared" si="36"/>
        <v>Remote Zabbix server</v>
      </c>
    </row>
    <row r="2332" spans="1:8">
      <c r="A2332" s="1">
        <v>2331</v>
      </c>
      <c r="B2332" s="1" t="s">
        <v>18740</v>
      </c>
      <c r="C2332" s="1" t="s">
        <v>18745</v>
      </c>
      <c r="D2332" s="1" t="s">
        <v>10999</v>
      </c>
      <c r="E2332" s="1" t="s">
        <v>11018</v>
      </c>
      <c r="F2332" s="1" t="s">
        <v>937</v>
      </c>
      <c r="G2332" s="1" t="s">
        <v>938</v>
      </c>
      <c r="H2332" s="1" t="str">
        <f t="shared" si="36"/>
        <v>Remote Zabbix server</v>
      </c>
    </row>
    <row r="2333" spans="1:8">
      <c r="A2333" s="1">
        <v>2332</v>
      </c>
      <c r="B2333" s="1" t="s">
        <v>18740</v>
      </c>
      <c r="C2333" s="1" t="s">
        <v>18746</v>
      </c>
      <c r="D2333" s="1" t="s">
        <v>10999</v>
      </c>
      <c r="E2333" s="1" t="s">
        <v>11022</v>
      </c>
      <c r="F2333" s="1" t="s">
        <v>11023</v>
      </c>
      <c r="G2333" s="1" t="s">
        <v>813</v>
      </c>
      <c r="H2333" s="1" t="str">
        <f t="shared" si="36"/>
        <v>Remote Zabbix server</v>
      </c>
    </row>
    <row r="2334" spans="1:8">
      <c r="A2334" s="1">
        <v>2333</v>
      </c>
      <c r="B2334" s="1" t="s">
        <v>18740</v>
      </c>
      <c r="C2334" s="1" t="s">
        <v>18747</v>
      </c>
      <c r="D2334" s="1" t="s">
        <v>10999</v>
      </c>
      <c r="E2334" s="1" t="s">
        <v>11025</v>
      </c>
      <c r="F2334" s="1" t="s">
        <v>11026</v>
      </c>
      <c r="G2334" s="1" t="s">
        <v>820</v>
      </c>
      <c r="H2334" s="1" t="str">
        <f t="shared" si="36"/>
        <v>Remote Zabbix server</v>
      </c>
    </row>
    <row r="2335" spans="1:8">
      <c r="A2335" s="1">
        <v>2334</v>
      </c>
      <c r="B2335" s="1" t="s">
        <v>18740</v>
      </c>
      <c r="C2335" s="1" t="s">
        <v>18748</v>
      </c>
      <c r="D2335" s="1" t="s">
        <v>10999</v>
      </c>
      <c r="E2335" s="1" t="s">
        <v>11028</v>
      </c>
      <c r="F2335" s="1" t="s">
        <v>11029</v>
      </c>
      <c r="G2335" s="1" t="s">
        <v>813</v>
      </c>
      <c r="H2335" s="1" t="str">
        <f t="shared" si="36"/>
        <v>Remote Zabbix server</v>
      </c>
    </row>
    <row r="2336" spans="1:8">
      <c r="A2336" s="1">
        <v>2335</v>
      </c>
      <c r="B2336" s="1" t="s">
        <v>18740</v>
      </c>
      <c r="C2336" s="1" t="s">
        <v>18749</v>
      </c>
      <c r="D2336" s="1" t="s">
        <v>10999</v>
      </c>
      <c r="E2336" s="1" t="s">
        <v>2608</v>
      </c>
      <c r="F2336" s="1" t="s">
        <v>11031</v>
      </c>
      <c r="G2336" s="1" t="s">
        <v>18750</v>
      </c>
      <c r="H2336" s="1" t="str">
        <f t="shared" si="36"/>
        <v>Remote Zabbix server</v>
      </c>
    </row>
    <row r="2337" spans="1:8">
      <c r="A2337" s="1">
        <v>2336</v>
      </c>
      <c r="B2337" s="1" t="s">
        <v>18740</v>
      </c>
      <c r="C2337" s="1" t="s">
        <v>18751</v>
      </c>
      <c r="D2337" s="1" t="s">
        <v>10999</v>
      </c>
      <c r="E2337" s="1" t="s">
        <v>11034</v>
      </c>
      <c r="F2337" s="1" t="s">
        <v>11035</v>
      </c>
      <c r="G2337" s="1" t="s">
        <v>824</v>
      </c>
      <c r="H2337" s="1" t="str">
        <f t="shared" si="36"/>
        <v>Remote Zabbix server</v>
      </c>
    </row>
    <row r="2338" spans="1:8">
      <c r="A2338" s="1">
        <v>2337</v>
      </c>
      <c r="B2338" s="1" t="s">
        <v>18740</v>
      </c>
      <c r="C2338" s="1" t="s">
        <v>18752</v>
      </c>
      <c r="D2338" s="1" t="s">
        <v>10999</v>
      </c>
      <c r="E2338" s="1" t="s">
        <v>5100</v>
      </c>
      <c r="F2338" s="1" t="s">
        <v>18753</v>
      </c>
      <c r="G2338" s="1" t="s">
        <v>18754</v>
      </c>
      <c r="H2338" s="1" t="str">
        <f t="shared" si="36"/>
        <v>Remote Zabbix server</v>
      </c>
    </row>
    <row r="2339" spans="1:8">
      <c r="A2339" s="1">
        <v>2338</v>
      </c>
      <c r="B2339" s="1" t="s">
        <v>18740</v>
      </c>
      <c r="C2339" s="1" t="s">
        <v>18755</v>
      </c>
      <c r="D2339" s="1" t="s">
        <v>10999</v>
      </c>
      <c r="E2339" s="1" t="s">
        <v>5098</v>
      </c>
      <c r="F2339" s="1" t="s">
        <v>18756</v>
      </c>
      <c r="G2339" s="1" t="s">
        <v>18754</v>
      </c>
      <c r="H2339" s="1" t="str">
        <f t="shared" si="36"/>
        <v>Remote Zabbix server</v>
      </c>
    </row>
    <row r="2340" spans="1:8">
      <c r="A2340" s="1">
        <v>2339</v>
      </c>
      <c r="B2340" s="1" t="s">
        <v>18740</v>
      </c>
      <c r="C2340" s="1" t="s">
        <v>18757</v>
      </c>
      <c r="D2340" s="1" t="s">
        <v>10999</v>
      </c>
      <c r="E2340" s="1" t="s">
        <v>11037</v>
      </c>
      <c r="F2340" s="1" t="s">
        <v>11038</v>
      </c>
      <c r="G2340" s="1" t="s">
        <v>828</v>
      </c>
      <c r="H2340" s="1" t="str">
        <f t="shared" si="36"/>
        <v>Remote Zabbix server</v>
      </c>
    </row>
    <row r="2341" spans="1:8">
      <c r="A2341" s="1">
        <v>2340</v>
      </c>
      <c r="B2341" s="1" t="s">
        <v>18740</v>
      </c>
      <c r="C2341" s="1" t="s">
        <v>18758</v>
      </c>
      <c r="D2341" s="1" t="s">
        <v>10999</v>
      </c>
      <c r="E2341" s="1" t="s">
        <v>11040</v>
      </c>
      <c r="F2341" s="1" t="s">
        <v>11041</v>
      </c>
      <c r="G2341" s="1" t="s">
        <v>832</v>
      </c>
      <c r="H2341" s="1" t="str">
        <f t="shared" si="36"/>
        <v>Remote Zabbix server</v>
      </c>
    </row>
    <row r="2342" spans="1:8">
      <c r="A2342" s="1">
        <v>2341</v>
      </c>
      <c r="B2342" s="1" t="s">
        <v>18740</v>
      </c>
      <c r="C2342" s="1" t="s">
        <v>18759</v>
      </c>
      <c r="D2342" s="1" t="s">
        <v>10999</v>
      </c>
      <c r="E2342" s="1" t="s">
        <v>2612</v>
      </c>
      <c r="F2342" s="1" t="s">
        <v>11043</v>
      </c>
      <c r="G2342" s="1" t="s">
        <v>11044</v>
      </c>
      <c r="H2342" s="1" t="str">
        <f t="shared" si="36"/>
        <v>Remote Zabbix server</v>
      </c>
    </row>
    <row r="2343" spans="1:8">
      <c r="A2343" s="1">
        <v>2342</v>
      </c>
      <c r="B2343" s="1" t="s">
        <v>18740</v>
      </c>
      <c r="C2343" s="1" t="s">
        <v>18760</v>
      </c>
      <c r="D2343" s="1" t="s">
        <v>10999</v>
      </c>
      <c r="E2343" s="1" t="s">
        <v>11046</v>
      </c>
      <c r="F2343" s="1" t="s">
        <v>11047</v>
      </c>
      <c r="G2343" s="1" t="s">
        <v>820</v>
      </c>
      <c r="H2343" s="1" t="str">
        <f t="shared" si="36"/>
        <v>Remote Zabbix server</v>
      </c>
    </row>
    <row r="2344" spans="1:8">
      <c r="A2344" s="1">
        <v>2343</v>
      </c>
      <c r="B2344" s="1" t="s">
        <v>18740</v>
      </c>
      <c r="C2344" s="1" t="s">
        <v>18761</v>
      </c>
      <c r="D2344" s="1" t="s">
        <v>10999</v>
      </c>
      <c r="E2344" s="1" t="s">
        <v>11049</v>
      </c>
      <c r="F2344" s="1" t="s">
        <v>11050</v>
      </c>
      <c r="G2344" s="1" t="s">
        <v>839</v>
      </c>
      <c r="H2344" s="1" t="str">
        <f t="shared" si="36"/>
        <v>Remote Zabbix server</v>
      </c>
    </row>
    <row r="2345" spans="1:8">
      <c r="A2345" s="1">
        <v>2344</v>
      </c>
      <c r="B2345" s="1" t="s">
        <v>18740</v>
      </c>
      <c r="C2345" s="1" t="s">
        <v>18762</v>
      </c>
      <c r="D2345" s="1" t="s">
        <v>10999</v>
      </c>
      <c r="E2345" s="1" t="s">
        <v>11053</v>
      </c>
      <c r="F2345" s="1" t="s">
        <v>11054</v>
      </c>
      <c r="G2345" s="1" t="s">
        <v>843</v>
      </c>
      <c r="H2345" s="1" t="str">
        <f t="shared" si="36"/>
        <v>Remote Zabbix server</v>
      </c>
    </row>
    <row r="2346" spans="1:8">
      <c r="A2346" s="1">
        <v>2345</v>
      </c>
      <c r="B2346" s="1" t="s">
        <v>18740</v>
      </c>
      <c r="C2346" s="1" t="s">
        <v>18763</v>
      </c>
      <c r="D2346" s="1" t="s">
        <v>10999</v>
      </c>
      <c r="E2346" s="1" t="s">
        <v>11056</v>
      </c>
      <c r="F2346" s="1" t="s">
        <v>11057</v>
      </c>
      <c r="G2346" s="1" t="s">
        <v>847</v>
      </c>
      <c r="H2346" s="1" t="str">
        <f t="shared" si="36"/>
        <v>Remote Zabbix server</v>
      </c>
    </row>
    <row r="2347" spans="1:8">
      <c r="A2347" s="1">
        <v>2346</v>
      </c>
      <c r="B2347" s="1" t="s">
        <v>18740</v>
      </c>
      <c r="C2347" s="1" t="s">
        <v>18764</v>
      </c>
      <c r="D2347" s="1" t="s">
        <v>10999</v>
      </c>
      <c r="E2347" s="1" t="s">
        <v>11059</v>
      </c>
      <c r="F2347" s="1" t="s">
        <v>11060</v>
      </c>
      <c r="G2347" s="1" t="s">
        <v>851</v>
      </c>
      <c r="H2347" s="1" t="str">
        <f t="shared" si="36"/>
        <v>Remote Zabbix server</v>
      </c>
    </row>
    <row r="2348" spans="1:8">
      <c r="A2348" s="1">
        <v>2347</v>
      </c>
      <c r="B2348" s="1" t="s">
        <v>18740</v>
      </c>
      <c r="C2348" s="1" t="s">
        <v>18765</v>
      </c>
      <c r="D2348" s="1" t="s">
        <v>10999</v>
      </c>
      <c r="E2348" s="1" t="s">
        <v>11062</v>
      </c>
      <c r="F2348" s="1" t="s">
        <v>11063</v>
      </c>
      <c r="G2348" s="1" t="s">
        <v>851</v>
      </c>
      <c r="H2348" s="1" t="str">
        <f t="shared" si="36"/>
        <v>Remote Zabbix server</v>
      </c>
    </row>
    <row r="2349" spans="1:8">
      <c r="A2349" s="1">
        <v>2348</v>
      </c>
      <c r="B2349" s="1" t="s">
        <v>18740</v>
      </c>
      <c r="C2349" s="1" t="s">
        <v>18766</v>
      </c>
      <c r="D2349" s="1" t="s">
        <v>10999</v>
      </c>
      <c r="E2349" s="1" t="s">
        <v>11065</v>
      </c>
      <c r="F2349" s="1" t="s">
        <v>11066</v>
      </c>
      <c r="G2349" s="1" t="s">
        <v>858</v>
      </c>
      <c r="H2349" s="1" t="str">
        <f t="shared" si="36"/>
        <v>Remote Zabbix server</v>
      </c>
    </row>
    <row r="2350" spans="1:8">
      <c r="A2350" s="1">
        <v>2349</v>
      </c>
      <c r="B2350" s="1" t="s">
        <v>18740</v>
      </c>
      <c r="C2350" s="1" t="s">
        <v>18767</v>
      </c>
      <c r="D2350" s="1" t="s">
        <v>10999</v>
      </c>
      <c r="E2350" s="1" t="s">
        <v>11068</v>
      </c>
      <c r="F2350" s="1" t="s">
        <v>18768</v>
      </c>
      <c r="G2350" s="1" t="s">
        <v>862</v>
      </c>
      <c r="H2350" s="1" t="str">
        <f t="shared" si="36"/>
        <v>Remote Zabbix server</v>
      </c>
    </row>
    <row r="2351" spans="1:8">
      <c r="A2351" s="1">
        <v>2350</v>
      </c>
      <c r="B2351" s="1" t="s">
        <v>18740</v>
      </c>
      <c r="C2351" s="1" t="s">
        <v>18769</v>
      </c>
      <c r="D2351" s="1" t="s">
        <v>10999</v>
      </c>
      <c r="E2351" s="1" t="s">
        <v>11071</v>
      </c>
      <c r="F2351" s="1" t="s">
        <v>18770</v>
      </c>
      <c r="G2351" s="1" t="s">
        <v>862</v>
      </c>
      <c r="H2351" s="1" t="str">
        <f t="shared" si="36"/>
        <v>Remote Zabbix server</v>
      </c>
    </row>
    <row r="2352" spans="1:8">
      <c r="A2352" s="1">
        <v>2351</v>
      </c>
      <c r="B2352" s="1" t="s">
        <v>18740</v>
      </c>
      <c r="C2352" s="1" t="s">
        <v>18771</v>
      </c>
      <c r="D2352" s="1" t="s">
        <v>10999</v>
      </c>
      <c r="E2352" s="1" t="s">
        <v>11074</v>
      </c>
      <c r="F2352" s="1" t="s">
        <v>11075</v>
      </c>
      <c r="G2352" s="1" t="s">
        <v>11076</v>
      </c>
      <c r="H2352" s="1" t="str">
        <f t="shared" si="36"/>
        <v>Remote Zabbix server</v>
      </c>
    </row>
    <row r="2353" spans="1:8">
      <c r="A2353" s="1">
        <v>2352</v>
      </c>
      <c r="B2353" s="1" t="s">
        <v>18740</v>
      </c>
      <c r="C2353" s="1" t="s">
        <v>18772</v>
      </c>
      <c r="D2353" s="1" t="s">
        <v>10999</v>
      </c>
      <c r="E2353" s="1" t="s">
        <v>11078</v>
      </c>
      <c r="F2353" s="1" t="s">
        <v>11079</v>
      </c>
      <c r="G2353" s="1" t="s">
        <v>869</v>
      </c>
      <c r="H2353" s="1" t="str">
        <f t="shared" si="36"/>
        <v>Remote Zabbix server</v>
      </c>
    </row>
    <row r="2354" spans="1:8">
      <c r="A2354" s="1">
        <v>2353</v>
      </c>
      <c r="B2354" s="1" t="s">
        <v>18740</v>
      </c>
      <c r="C2354" s="1" t="s">
        <v>18773</v>
      </c>
      <c r="D2354" s="1" t="s">
        <v>10999</v>
      </c>
      <c r="E2354" s="1" t="s">
        <v>11081</v>
      </c>
      <c r="F2354" s="1" t="s">
        <v>11082</v>
      </c>
      <c r="G2354" s="1" t="s">
        <v>873</v>
      </c>
      <c r="H2354" s="1" t="str">
        <f t="shared" si="36"/>
        <v>Remote Zabbix server</v>
      </c>
    </row>
    <row r="2355" spans="1:8">
      <c r="A2355" s="1">
        <v>2354</v>
      </c>
      <c r="B2355" s="1" t="s">
        <v>18740</v>
      </c>
      <c r="C2355" s="1" t="s">
        <v>18774</v>
      </c>
      <c r="D2355" s="1" t="s">
        <v>10999</v>
      </c>
      <c r="E2355" s="1" t="s">
        <v>11084</v>
      </c>
      <c r="F2355" s="1" t="s">
        <v>11085</v>
      </c>
      <c r="G2355" s="1" t="s">
        <v>873</v>
      </c>
      <c r="H2355" s="1" t="str">
        <f t="shared" si="36"/>
        <v>Remote Zabbix server</v>
      </c>
    </row>
    <row r="2356" spans="1:8">
      <c r="A2356" s="1">
        <v>2355</v>
      </c>
      <c r="B2356" s="1" t="s">
        <v>18740</v>
      </c>
      <c r="C2356" s="1" t="s">
        <v>18775</v>
      </c>
      <c r="D2356" s="1" t="s">
        <v>10999</v>
      </c>
      <c r="E2356" s="1" t="s">
        <v>11087</v>
      </c>
      <c r="F2356" s="1" t="s">
        <v>11088</v>
      </c>
      <c r="G2356" s="1" t="s">
        <v>880</v>
      </c>
      <c r="H2356" s="1" t="str">
        <f t="shared" si="36"/>
        <v>Remote Zabbix server</v>
      </c>
    </row>
    <row r="2357" spans="1:8">
      <c r="A2357" s="1">
        <v>2356</v>
      </c>
      <c r="B2357" s="1" t="s">
        <v>18740</v>
      </c>
      <c r="C2357" s="1" t="s">
        <v>18776</v>
      </c>
      <c r="D2357" s="1" t="s">
        <v>10999</v>
      </c>
      <c r="E2357" s="1" t="s">
        <v>3681</v>
      </c>
      <c r="F2357" s="1" t="s">
        <v>11090</v>
      </c>
      <c r="G2357" s="1" t="s">
        <v>11091</v>
      </c>
      <c r="H2357" s="1" t="str">
        <f t="shared" si="36"/>
        <v>Remote Zabbix server</v>
      </c>
    </row>
    <row r="2358" spans="1:8">
      <c r="A2358" s="1">
        <v>2357</v>
      </c>
      <c r="B2358" s="1" t="s">
        <v>18740</v>
      </c>
      <c r="C2358" s="1" t="s">
        <v>18777</v>
      </c>
      <c r="D2358" s="1" t="s">
        <v>10999</v>
      </c>
      <c r="E2358" s="1" t="s">
        <v>11093</v>
      </c>
      <c r="F2358" s="1" t="s">
        <v>11094</v>
      </c>
      <c r="G2358" s="1" t="s">
        <v>11091</v>
      </c>
      <c r="H2358" s="1" t="str">
        <f t="shared" si="36"/>
        <v>Remote Zabbix server</v>
      </c>
    </row>
    <row r="2359" spans="1:8">
      <c r="A2359" s="1">
        <v>2358</v>
      </c>
      <c r="B2359" s="1" t="s">
        <v>18740</v>
      </c>
      <c r="C2359" s="1" t="s">
        <v>18778</v>
      </c>
      <c r="D2359" s="1" t="s">
        <v>10999</v>
      </c>
      <c r="E2359" s="1" t="s">
        <v>11096</v>
      </c>
      <c r="F2359" s="1" t="s">
        <v>11097</v>
      </c>
      <c r="G2359" s="1" t="s">
        <v>884</v>
      </c>
      <c r="H2359" s="1" t="str">
        <f t="shared" si="36"/>
        <v>Remote Zabbix server</v>
      </c>
    </row>
    <row r="2360" spans="1:8">
      <c r="A2360" s="1">
        <v>2359</v>
      </c>
      <c r="B2360" s="1" t="s">
        <v>18740</v>
      </c>
      <c r="C2360" s="1" t="s">
        <v>18779</v>
      </c>
      <c r="D2360" s="1" t="s">
        <v>10999</v>
      </c>
      <c r="E2360" s="1" t="s">
        <v>11099</v>
      </c>
      <c r="F2360" s="1" t="s">
        <v>11100</v>
      </c>
      <c r="G2360" s="1" t="s">
        <v>884</v>
      </c>
      <c r="H2360" s="1" t="str">
        <f t="shared" si="36"/>
        <v>Remote Zabbix server</v>
      </c>
    </row>
    <row r="2361" spans="1:8">
      <c r="A2361" s="1">
        <v>2360</v>
      </c>
      <c r="B2361" s="1" t="s">
        <v>18740</v>
      </c>
      <c r="C2361" s="1" t="s">
        <v>18780</v>
      </c>
      <c r="D2361" s="1" t="s">
        <v>10999</v>
      </c>
      <c r="E2361" s="1" t="s">
        <v>11102</v>
      </c>
      <c r="F2361" s="1" t="s">
        <v>11103</v>
      </c>
      <c r="G2361" s="1" t="s">
        <v>888</v>
      </c>
      <c r="H2361" s="1" t="str">
        <f t="shared" si="36"/>
        <v>Remote Zabbix server</v>
      </c>
    </row>
    <row r="2362" spans="1:8">
      <c r="A2362" s="1">
        <v>2361</v>
      </c>
      <c r="B2362" s="1" t="s">
        <v>18740</v>
      </c>
      <c r="C2362" s="1" t="s">
        <v>18781</v>
      </c>
      <c r="D2362" s="1" t="s">
        <v>10999</v>
      </c>
      <c r="E2362" s="1" t="s">
        <v>11105</v>
      </c>
      <c r="F2362" s="1" t="s">
        <v>11106</v>
      </c>
      <c r="G2362" s="1" t="s">
        <v>884</v>
      </c>
      <c r="H2362" s="1" t="str">
        <f t="shared" si="36"/>
        <v>Remote Zabbix server</v>
      </c>
    </row>
    <row r="2363" spans="1:8">
      <c r="A2363" s="1">
        <v>2362</v>
      </c>
      <c r="B2363" s="1" t="s">
        <v>18740</v>
      </c>
      <c r="C2363" s="1" t="s">
        <v>18782</v>
      </c>
      <c r="D2363" s="1" t="s">
        <v>10999</v>
      </c>
      <c r="E2363" s="1" t="s">
        <v>11108</v>
      </c>
      <c r="F2363" s="1" t="s">
        <v>11109</v>
      </c>
      <c r="G2363" s="1" t="s">
        <v>895</v>
      </c>
      <c r="H2363" s="1" t="str">
        <f t="shared" si="36"/>
        <v>Remote Zabbix server</v>
      </c>
    </row>
    <row r="2364" spans="1:8">
      <c r="A2364" s="1">
        <v>2363</v>
      </c>
      <c r="B2364" s="1" t="s">
        <v>18740</v>
      </c>
      <c r="C2364" s="1" t="s">
        <v>18783</v>
      </c>
      <c r="D2364" s="1" t="s">
        <v>10999</v>
      </c>
      <c r="E2364" s="1" t="s">
        <v>11111</v>
      </c>
      <c r="F2364" s="1" t="s">
        <v>11112</v>
      </c>
      <c r="G2364" s="1" t="s">
        <v>899</v>
      </c>
      <c r="H2364" s="1" t="str">
        <f t="shared" si="36"/>
        <v>Remote Zabbix server</v>
      </c>
    </row>
    <row r="2365" spans="1:8">
      <c r="A2365" s="1">
        <v>2364</v>
      </c>
      <c r="B2365" s="1" t="s">
        <v>18740</v>
      </c>
      <c r="C2365" s="1" t="s">
        <v>18784</v>
      </c>
      <c r="D2365" s="1" t="s">
        <v>10999</v>
      </c>
      <c r="E2365" s="1" t="s">
        <v>11114</v>
      </c>
      <c r="F2365" s="1" t="s">
        <v>11115</v>
      </c>
      <c r="G2365" s="1" t="s">
        <v>839</v>
      </c>
      <c r="H2365" s="1" t="str">
        <f t="shared" si="36"/>
        <v>Remote Zabbix server</v>
      </c>
    </row>
    <row r="2366" spans="1:8">
      <c r="A2366" s="1">
        <v>2365</v>
      </c>
      <c r="B2366" s="1" t="s">
        <v>18740</v>
      </c>
      <c r="C2366" s="1" t="s">
        <v>18785</v>
      </c>
      <c r="D2366" s="1" t="s">
        <v>10999</v>
      </c>
      <c r="E2366" s="1" t="s">
        <v>11117</v>
      </c>
      <c r="F2366" s="1" t="s">
        <v>11118</v>
      </c>
      <c r="G2366" s="1" t="s">
        <v>903</v>
      </c>
      <c r="H2366" s="1" t="str">
        <f t="shared" si="36"/>
        <v>Remote Zabbix server</v>
      </c>
    </row>
    <row r="2367" spans="1:8">
      <c r="A2367" s="1">
        <v>2366</v>
      </c>
      <c r="B2367" s="1" t="s">
        <v>18740</v>
      </c>
      <c r="C2367" s="1" t="s">
        <v>18786</v>
      </c>
      <c r="D2367" s="1" t="s">
        <v>10999</v>
      </c>
      <c r="E2367" s="1" t="s">
        <v>11120</v>
      </c>
      <c r="F2367" s="1" t="s">
        <v>11121</v>
      </c>
      <c r="G2367" s="1" t="s">
        <v>907</v>
      </c>
      <c r="H2367" s="1" t="str">
        <f t="shared" si="36"/>
        <v>Remote Zabbix server</v>
      </c>
    </row>
    <row r="2368" spans="1:8">
      <c r="A2368" s="1">
        <v>2367</v>
      </c>
      <c r="B2368" s="1" t="s">
        <v>18740</v>
      </c>
      <c r="C2368" s="1" t="s">
        <v>18787</v>
      </c>
      <c r="D2368" s="1" t="s">
        <v>10999</v>
      </c>
      <c r="E2368" s="1" t="s">
        <v>11123</v>
      </c>
      <c r="F2368" s="1" t="s">
        <v>918</v>
      </c>
      <c r="G2368" s="1" t="s">
        <v>915</v>
      </c>
      <c r="H2368" s="1" t="str">
        <f t="shared" si="36"/>
        <v>Remote Zabbix server</v>
      </c>
    </row>
    <row r="2369" spans="1:8">
      <c r="A2369" s="1">
        <v>2368</v>
      </c>
      <c r="B2369" s="1" t="s">
        <v>18740</v>
      </c>
      <c r="C2369" s="1" t="s">
        <v>18788</v>
      </c>
      <c r="D2369" s="1" t="s">
        <v>10999</v>
      </c>
      <c r="E2369" s="1" t="s">
        <v>11125</v>
      </c>
      <c r="F2369" s="1" t="s">
        <v>914</v>
      </c>
      <c r="G2369" s="1" t="s">
        <v>915</v>
      </c>
      <c r="H2369" s="1" t="str">
        <f t="shared" si="36"/>
        <v>Remote Zabbix server</v>
      </c>
    </row>
    <row r="2370" spans="1:8">
      <c r="A2370" s="1">
        <v>2369</v>
      </c>
      <c r="B2370" s="1" t="s">
        <v>18740</v>
      </c>
      <c r="C2370" s="1" t="s">
        <v>18789</v>
      </c>
      <c r="D2370" s="1" t="s">
        <v>10999</v>
      </c>
      <c r="E2370" s="1" t="s">
        <v>11129</v>
      </c>
      <c r="F2370" s="1" t="s">
        <v>11130</v>
      </c>
      <c r="G2370" s="1" t="s">
        <v>11131</v>
      </c>
      <c r="H2370" s="1" t="str">
        <f t="shared" ref="H2370:H2433" si="37">IFERROR(IF(OR(MID(G2370,FIND(":",G2370)-1,1)="""",MID(G2370,FIND(":",G2370)-1,1)="}",MID(G2370,FIND(":",G2370)-1,1)=")",MID(G2370,FIND(":",G2370)-1,1)="]"),"",LEFT(F2370,FIND(":",F2370)-1)),"")</f>
        <v>Remote Zabbix server</v>
      </c>
    </row>
    <row r="2371" spans="1:8">
      <c r="A2371" s="1">
        <v>2370</v>
      </c>
      <c r="B2371" s="1" t="s">
        <v>18740</v>
      </c>
      <c r="C2371" s="1" t="s">
        <v>18790</v>
      </c>
      <c r="D2371" s="1" t="s">
        <v>10999</v>
      </c>
      <c r="E2371" s="1" t="s">
        <v>11133</v>
      </c>
      <c r="F2371" s="1" t="s">
        <v>925</v>
      </c>
      <c r="G2371" s="1" t="s">
        <v>926</v>
      </c>
      <c r="H2371" s="1" t="str">
        <f t="shared" si="37"/>
        <v>Remote Zabbix server</v>
      </c>
    </row>
    <row r="2372" spans="1:8">
      <c r="A2372" s="1">
        <v>2371</v>
      </c>
      <c r="B2372" s="1" t="s">
        <v>18740</v>
      </c>
      <c r="C2372" s="1" t="s">
        <v>18791</v>
      </c>
      <c r="D2372" s="1" t="s">
        <v>10999</v>
      </c>
      <c r="E2372" s="1" t="s">
        <v>11016</v>
      </c>
      <c r="F2372" s="1" t="s">
        <v>941</v>
      </c>
      <c r="G2372" s="1" t="s">
        <v>942</v>
      </c>
      <c r="H2372" s="1" t="str">
        <f t="shared" si="37"/>
        <v>Remote Zabbix server</v>
      </c>
    </row>
    <row r="2373" spans="1:8">
      <c r="A2373" s="1">
        <v>2372</v>
      </c>
      <c r="B2373" s="1" t="s">
        <v>18792</v>
      </c>
      <c r="C2373" s="1" t="s">
        <v>299</v>
      </c>
      <c r="D2373" s="1" t="s">
        <v>11141</v>
      </c>
      <c r="E2373" s="1" t="s">
        <v>4023</v>
      </c>
      <c r="F2373" s="1" t="s">
        <v>11142</v>
      </c>
      <c r="G2373" s="1" t="s">
        <v>11143</v>
      </c>
      <c r="H2373" s="1" t="str">
        <f t="shared" si="37"/>
        <v>Solaris</v>
      </c>
    </row>
    <row r="2374" spans="1:8">
      <c r="A2374" s="1">
        <v>2373</v>
      </c>
      <c r="B2374" s="1" t="s">
        <v>18792</v>
      </c>
      <c r="C2374" s="1" t="s">
        <v>304</v>
      </c>
      <c r="D2374" s="1" t="s">
        <v>11141</v>
      </c>
      <c r="E2374" s="1" t="s">
        <v>3353</v>
      </c>
      <c r="F2374" s="1" t="s">
        <v>11145</v>
      </c>
      <c r="G2374" s="1" t="s">
        <v>11146</v>
      </c>
      <c r="H2374" s="1" t="str">
        <f t="shared" si="37"/>
        <v>Solaris</v>
      </c>
    </row>
    <row r="2375" spans="1:8">
      <c r="A2375" s="1">
        <v>2374</v>
      </c>
      <c r="B2375" s="1" t="s">
        <v>18792</v>
      </c>
      <c r="C2375" s="1" t="s">
        <v>308</v>
      </c>
      <c r="D2375" s="1" t="s">
        <v>11141</v>
      </c>
      <c r="E2375" s="1" t="s">
        <v>3354</v>
      </c>
      <c r="F2375" s="1" t="s">
        <v>11148</v>
      </c>
      <c r="G2375" s="1" t="s">
        <v>11149</v>
      </c>
      <c r="H2375" s="1" t="str">
        <f t="shared" si="37"/>
        <v>Solaris</v>
      </c>
    </row>
    <row r="2376" spans="1:8">
      <c r="A2376" s="1">
        <v>2375</v>
      </c>
      <c r="B2376" s="1" t="s">
        <v>18792</v>
      </c>
      <c r="C2376" s="1" t="s">
        <v>312</v>
      </c>
      <c r="D2376" s="1" t="s">
        <v>11141</v>
      </c>
      <c r="E2376" s="1" t="s">
        <v>4025</v>
      </c>
      <c r="F2376" s="1" t="s">
        <v>11151</v>
      </c>
      <c r="G2376" s="1" t="s">
        <v>11152</v>
      </c>
      <c r="H2376" s="1" t="str">
        <f t="shared" si="37"/>
        <v>Solaris</v>
      </c>
    </row>
    <row r="2377" spans="1:8">
      <c r="A2377" s="1">
        <v>2376</v>
      </c>
      <c r="B2377" s="1" t="s">
        <v>18792</v>
      </c>
      <c r="C2377" s="1" t="s">
        <v>316</v>
      </c>
      <c r="D2377" s="1" t="s">
        <v>11141</v>
      </c>
      <c r="E2377" s="1" t="s">
        <v>3350</v>
      </c>
      <c r="F2377" s="1" t="s">
        <v>11154</v>
      </c>
      <c r="G2377" s="1" t="s">
        <v>11155</v>
      </c>
      <c r="H2377" s="1" t="str">
        <f t="shared" si="37"/>
        <v>Solaris</v>
      </c>
    </row>
    <row r="2378" spans="1:8">
      <c r="A2378" s="1">
        <v>2377</v>
      </c>
      <c r="B2378" s="1" t="s">
        <v>18792</v>
      </c>
      <c r="C2378" s="1" t="s">
        <v>320</v>
      </c>
      <c r="D2378" s="1" t="s">
        <v>11141</v>
      </c>
      <c r="E2378" s="1" t="s">
        <v>4021</v>
      </c>
      <c r="F2378" s="1" t="s">
        <v>11157</v>
      </c>
      <c r="G2378" s="1" t="s">
        <v>11158</v>
      </c>
      <c r="H2378" s="1" t="str">
        <f t="shared" si="37"/>
        <v>Solaris</v>
      </c>
    </row>
    <row r="2379" spans="1:8">
      <c r="A2379" s="1">
        <v>2378</v>
      </c>
      <c r="B2379" s="1" t="s">
        <v>18792</v>
      </c>
      <c r="C2379" s="1" t="s">
        <v>324</v>
      </c>
      <c r="D2379" s="1" t="s">
        <v>11141</v>
      </c>
      <c r="E2379" s="1" t="s">
        <v>3356</v>
      </c>
      <c r="F2379" s="1" t="s">
        <v>11160</v>
      </c>
      <c r="G2379" s="1" t="s">
        <v>11161</v>
      </c>
      <c r="H2379" s="1" t="str">
        <f t="shared" si="37"/>
        <v>Solaris</v>
      </c>
    </row>
    <row r="2380" spans="1:8">
      <c r="A2380" s="1">
        <v>2379</v>
      </c>
      <c r="B2380" s="1" t="s">
        <v>18792</v>
      </c>
      <c r="C2380" s="1" t="s">
        <v>328</v>
      </c>
      <c r="D2380" s="1" t="s">
        <v>11141</v>
      </c>
      <c r="E2380" s="1" t="s">
        <v>3357</v>
      </c>
      <c r="F2380" s="1" t="s">
        <v>11163</v>
      </c>
      <c r="G2380" s="1" t="s">
        <v>11164</v>
      </c>
      <c r="H2380" s="1" t="str">
        <f t="shared" si="37"/>
        <v>Solaris</v>
      </c>
    </row>
    <row r="2381" spans="1:8">
      <c r="A2381" s="1">
        <v>2380</v>
      </c>
      <c r="B2381" s="1" t="s">
        <v>18792</v>
      </c>
      <c r="C2381" s="1" t="s">
        <v>332</v>
      </c>
      <c r="D2381" s="1" t="s">
        <v>11141</v>
      </c>
      <c r="E2381" s="1" t="s">
        <v>3355</v>
      </c>
      <c r="F2381" s="1" t="s">
        <v>11166</v>
      </c>
      <c r="G2381" s="1" t="s">
        <v>11167</v>
      </c>
      <c r="H2381" s="1" t="str">
        <f t="shared" si="37"/>
        <v>Solaris</v>
      </c>
    </row>
    <row r="2382" spans="1:8">
      <c r="A2382" s="1">
        <v>2381</v>
      </c>
      <c r="B2382" s="1" t="s">
        <v>18792</v>
      </c>
      <c r="C2382" s="1" t="s">
        <v>336</v>
      </c>
      <c r="D2382" s="1" t="s">
        <v>11141</v>
      </c>
      <c r="E2382" s="1" t="s">
        <v>3351</v>
      </c>
      <c r="F2382" s="1" t="s">
        <v>11169</v>
      </c>
      <c r="G2382" s="1" t="s">
        <v>11170</v>
      </c>
      <c r="H2382" s="1" t="str">
        <f t="shared" si="37"/>
        <v>Solaris</v>
      </c>
    </row>
    <row r="2383" spans="1:8">
      <c r="A2383" s="1">
        <v>2382</v>
      </c>
      <c r="B2383" s="1" t="s">
        <v>18792</v>
      </c>
      <c r="C2383" s="1" t="s">
        <v>340</v>
      </c>
      <c r="D2383" s="1" t="s">
        <v>11141</v>
      </c>
      <c r="E2383" s="1" t="s">
        <v>3352</v>
      </c>
      <c r="F2383" s="1" t="s">
        <v>11172</v>
      </c>
      <c r="G2383" s="1" t="s">
        <v>11173</v>
      </c>
      <c r="H2383" s="1" t="str">
        <f t="shared" si="37"/>
        <v>Solaris</v>
      </c>
    </row>
    <row r="2384" spans="1:8">
      <c r="A2384" s="1">
        <v>2383</v>
      </c>
      <c r="B2384" s="1" t="s">
        <v>18792</v>
      </c>
      <c r="C2384" s="1" t="s">
        <v>344</v>
      </c>
      <c r="D2384" s="1" t="s">
        <v>11141</v>
      </c>
      <c r="E2384" s="1" t="s">
        <v>11175</v>
      </c>
      <c r="F2384" s="1" t="s">
        <v>11176</v>
      </c>
      <c r="G2384" s="1" t="s">
        <v>18793</v>
      </c>
      <c r="H2384" s="1" t="str">
        <f t="shared" si="37"/>
        <v>Solaris</v>
      </c>
    </row>
    <row r="2385" spans="1:8">
      <c r="A2385" s="1">
        <v>2384</v>
      </c>
      <c r="B2385" s="1" t="s">
        <v>18794</v>
      </c>
      <c r="C2385" s="1" t="s">
        <v>392</v>
      </c>
      <c r="D2385" s="1" t="s">
        <v>11179</v>
      </c>
      <c r="E2385" s="1" t="s">
        <v>2230</v>
      </c>
      <c r="F2385" s="1" t="s">
        <v>11180</v>
      </c>
      <c r="G2385" s="1" t="s">
        <v>11181</v>
      </c>
      <c r="H2385" s="1" t="str">
        <f t="shared" si="37"/>
        <v>Squid</v>
      </c>
    </row>
    <row r="2386" spans="1:8">
      <c r="A2386" s="1">
        <v>2385</v>
      </c>
      <c r="B2386" s="1" t="s">
        <v>18794</v>
      </c>
      <c r="C2386" s="1" t="s">
        <v>397</v>
      </c>
      <c r="D2386" s="1" t="s">
        <v>11179</v>
      </c>
      <c r="E2386" s="1" t="s">
        <v>2234</v>
      </c>
      <c r="F2386" s="1" t="s">
        <v>11183</v>
      </c>
      <c r="G2386" s="1" t="s">
        <v>11184</v>
      </c>
      <c r="H2386" s="1" t="str">
        <f t="shared" si="37"/>
        <v>Squid</v>
      </c>
    </row>
    <row r="2387" spans="1:8">
      <c r="A2387" s="1">
        <v>2386</v>
      </c>
      <c r="B2387" s="1" t="s">
        <v>18794</v>
      </c>
      <c r="C2387" s="1" t="s">
        <v>401</v>
      </c>
      <c r="D2387" s="1" t="s">
        <v>11179</v>
      </c>
      <c r="E2387" s="1" t="s">
        <v>2242</v>
      </c>
      <c r="F2387" s="1" t="s">
        <v>11186</v>
      </c>
      <c r="G2387" s="1" t="s">
        <v>11187</v>
      </c>
      <c r="H2387" s="1" t="str">
        <f t="shared" si="37"/>
        <v>Squid</v>
      </c>
    </row>
    <row r="2388" spans="1:8">
      <c r="A2388" s="1">
        <v>2387</v>
      </c>
      <c r="B2388" s="1" t="s">
        <v>18794</v>
      </c>
      <c r="C2388" s="1" t="s">
        <v>405</v>
      </c>
      <c r="D2388" s="1" t="s">
        <v>11179</v>
      </c>
      <c r="E2388" s="1" t="s">
        <v>3680</v>
      </c>
      <c r="F2388" s="1" t="s">
        <v>11189</v>
      </c>
      <c r="G2388" s="1" t="s">
        <v>11190</v>
      </c>
      <c r="H2388" s="1" t="str">
        <f t="shared" si="37"/>
        <v>Squid</v>
      </c>
    </row>
    <row r="2389" spans="1:8">
      <c r="A2389" s="1">
        <v>2388</v>
      </c>
      <c r="B2389" s="1" t="s">
        <v>18794</v>
      </c>
      <c r="C2389" s="1" t="s">
        <v>409</v>
      </c>
      <c r="D2389" s="1" t="s">
        <v>11179</v>
      </c>
      <c r="E2389" s="1" t="s">
        <v>2238</v>
      </c>
      <c r="F2389" s="1" t="s">
        <v>962</v>
      </c>
      <c r="G2389" s="1" t="s">
        <v>963</v>
      </c>
      <c r="H2389" s="1" t="str">
        <f t="shared" si="37"/>
        <v>Squid</v>
      </c>
    </row>
    <row r="2390" spans="1:8">
      <c r="A2390" s="1">
        <v>2389</v>
      </c>
      <c r="B2390" s="1" t="s">
        <v>18794</v>
      </c>
      <c r="C2390" s="1" t="s">
        <v>413</v>
      </c>
      <c r="D2390" s="1" t="s">
        <v>11179</v>
      </c>
      <c r="E2390" s="1" t="s">
        <v>2246</v>
      </c>
      <c r="F2390" s="1" t="s">
        <v>11193</v>
      </c>
      <c r="G2390" s="1" t="s">
        <v>11194</v>
      </c>
      <c r="H2390" s="1" t="str">
        <f t="shared" si="37"/>
        <v>Squid</v>
      </c>
    </row>
    <row r="2391" spans="1:8">
      <c r="A2391" s="1">
        <v>2390</v>
      </c>
      <c r="B2391" s="1" t="s">
        <v>18794</v>
      </c>
      <c r="C2391" s="1" t="s">
        <v>417</v>
      </c>
      <c r="D2391" s="1" t="s">
        <v>11179</v>
      </c>
      <c r="E2391" s="1" t="s">
        <v>2250</v>
      </c>
      <c r="F2391" s="1" t="s">
        <v>971</v>
      </c>
      <c r="G2391" s="1" t="s">
        <v>972</v>
      </c>
      <c r="H2391" s="1" t="str">
        <f t="shared" si="37"/>
        <v>Squid</v>
      </c>
    </row>
    <row r="2392" spans="1:8">
      <c r="A2392" s="1">
        <v>2391</v>
      </c>
      <c r="B2392" s="1" t="s">
        <v>18795</v>
      </c>
      <c r="C2392" s="1" t="s">
        <v>251</v>
      </c>
      <c r="D2392" s="1" t="s">
        <v>11197</v>
      </c>
      <c r="E2392" s="1" t="s">
        <v>11198</v>
      </c>
      <c r="F2392" s="1" t="s">
        <v>11199</v>
      </c>
      <c r="G2392" s="1" t="s">
        <v>11200</v>
      </c>
      <c r="H2392" s="1" t="str">
        <f t="shared" si="37"/>
        <v>Supermicro Aten</v>
      </c>
    </row>
    <row r="2393" spans="1:8">
      <c r="A2393" s="1">
        <v>2392</v>
      </c>
      <c r="B2393" s="1" t="s">
        <v>18795</v>
      </c>
      <c r="C2393" s="1" t="s">
        <v>254</v>
      </c>
      <c r="D2393" s="1" t="s">
        <v>11197</v>
      </c>
      <c r="E2393" s="1" t="s">
        <v>11202</v>
      </c>
      <c r="F2393" s="1" t="s">
        <v>11203</v>
      </c>
      <c r="G2393" s="1" t="s">
        <v>11204</v>
      </c>
      <c r="H2393" s="1" t="str">
        <f t="shared" si="37"/>
        <v>Supermicro Aten</v>
      </c>
    </row>
    <row r="2394" spans="1:8">
      <c r="A2394" s="1">
        <v>2393</v>
      </c>
      <c r="B2394" s="1" t="s">
        <v>18795</v>
      </c>
      <c r="C2394" s="1" t="s">
        <v>256</v>
      </c>
      <c r="D2394" s="1" t="s">
        <v>11197</v>
      </c>
      <c r="E2394" s="1" t="s">
        <v>11206</v>
      </c>
      <c r="F2394" s="1" t="s">
        <v>11207</v>
      </c>
      <c r="G2394" s="1" t="s">
        <v>11208</v>
      </c>
      <c r="H2394" s="1" t="str">
        <f t="shared" si="37"/>
        <v>Supermicro Aten</v>
      </c>
    </row>
    <row r="2395" spans="1:8">
      <c r="A2395" s="1">
        <v>2394</v>
      </c>
      <c r="B2395" s="1" t="s">
        <v>18795</v>
      </c>
      <c r="C2395" s="1" t="s">
        <v>260</v>
      </c>
      <c r="D2395" s="1" t="s">
        <v>11197</v>
      </c>
      <c r="E2395" s="1" t="s">
        <v>11210</v>
      </c>
      <c r="F2395" s="1" t="s">
        <v>11211</v>
      </c>
      <c r="G2395" s="1" t="s">
        <v>11212</v>
      </c>
      <c r="H2395" s="1" t="str">
        <f t="shared" si="37"/>
        <v>Supermicro Aten</v>
      </c>
    </row>
    <row r="2396" spans="1:8">
      <c r="A2396" s="1">
        <v>2395</v>
      </c>
      <c r="B2396" s="1" t="s">
        <v>18795</v>
      </c>
      <c r="C2396" s="1" t="s">
        <v>262</v>
      </c>
      <c r="D2396" s="1" t="s">
        <v>11197</v>
      </c>
      <c r="E2396" s="1" t="s">
        <v>11214</v>
      </c>
      <c r="F2396" s="1" t="s">
        <v>11215</v>
      </c>
      <c r="G2396" s="1" t="s">
        <v>11216</v>
      </c>
      <c r="H2396" s="1" t="str">
        <f t="shared" si="37"/>
        <v>Supermicro Aten</v>
      </c>
    </row>
    <row r="2397" spans="1:8">
      <c r="A2397" s="1">
        <v>2396</v>
      </c>
      <c r="B2397" s="1" t="s">
        <v>18795</v>
      </c>
      <c r="C2397" s="1" t="s">
        <v>264</v>
      </c>
      <c r="D2397" s="1" t="s">
        <v>11197</v>
      </c>
      <c r="E2397" s="1" t="s">
        <v>11218</v>
      </c>
      <c r="F2397" s="1" t="s">
        <v>11219</v>
      </c>
      <c r="G2397" s="1" t="s">
        <v>11220</v>
      </c>
      <c r="H2397" s="1" t="str">
        <f t="shared" si="37"/>
        <v>Supermicro Aten</v>
      </c>
    </row>
    <row r="2398" spans="1:8">
      <c r="A2398" s="1">
        <v>2397</v>
      </c>
      <c r="B2398" s="1" t="s">
        <v>18796</v>
      </c>
      <c r="C2398" s="1" t="s">
        <v>9</v>
      </c>
      <c r="D2398" s="1" t="s">
        <v>11222</v>
      </c>
      <c r="E2398" s="1" t="s">
        <v>2920</v>
      </c>
      <c r="F2398" s="1" t="s">
        <v>11223</v>
      </c>
      <c r="G2398" s="1" t="s">
        <v>11224</v>
      </c>
      <c r="H2398" s="1" t="str">
        <f t="shared" si="37"/>
        <v>TP-LINK</v>
      </c>
    </row>
    <row r="2399" spans="1:8">
      <c r="A2399" s="1">
        <v>2398</v>
      </c>
      <c r="B2399" s="1" t="s">
        <v>18796</v>
      </c>
      <c r="C2399" s="1" t="s">
        <v>14</v>
      </c>
      <c r="D2399" s="1" t="s">
        <v>11222</v>
      </c>
      <c r="E2399" s="1" t="s">
        <v>2919</v>
      </c>
      <c r="F2399" s="1" t="s">
        <v>11226</v>
      </c>
      <c r="G2399" s="1" t="s">
        <v>11227</v>
      </c>
      <c r="H2399" s="1" t="str">
        <f t="shared" si="37"/>
        <v>TP-LINK</v>
      </c>
    </row>
    <row r="2400" spans="1:8">
      <c r="A2400" s="1">
        <v>2399</v>
      </c>
      <c r="B2400" s="1" t="s">
        <v>18796</v>
      </c>
      <c r="C2400" s="1" t="s">
        <v>19</v>
      </c>
      <c r="D2400" s="1" t="s">
        <v>11222</v>
      </c>
      <c r="E2400" s="1" t="s">
        <v>11229</v>
      </c>
      <c r="F2400" s="1" t="s">
        <v>11230</v>
      </c>
      <c r="G2400" s="1" t="s">
        <v>11231</v>
      </c>
      <c r="H2400" s="1" t="str">
        <f t="shared" si="37"/>
        <v>TP-LINK</v>
      </c>
    </row>
    <row r="2401" spans="1:8">
      <c r="A2401" s="1">
        <v>2400</v>
      </c>
      <c r="B2401" s="1" t="s">
        <v>18796</v>
      </c>
      <c r="C2401" s="1" t="s">
        <v>23</v>
      </c>
      <c r="D2401" s="1" t="s">
        <v>11222</v>
      </c>
      <c r="E2401" s="1" t="s">
        <v>11233</v>
      </c>
      <c r="F2401" s="1" t="s">
        <v>11234</v>
      </c>
      <c r="G2401" s="1" t="s">
        <v>11235</v>
      </c>
      <c r="H2401" s="1" t="str">
        <f t="shared" si="37"/>
        <v>TP-LINK</v>
      </c>
    </row>
    <row r="2402" spans="1:8">
      <c r="A2402" s="1">
        <v>2401</v>
      </c>
      <c r="B2402" s="1" t="s">
        <v>18796</v>
      </c>
      <c r="C2402" s="1" t="s">
        <v>27</v>
      </c>
      <c r="D2402" s="1" t="s">
        <v>11222</v>
      </c>
      <c r="E2402" s="1" t="s">
        <v>11237</v>
      </c>
      <c r="F2402" s="1" t="s">
        <v>11238</v>
      </c>
      <c r="G2402" s="1" t="s">
        <v>11239</v>
      </c>
      <c r="H2402" s="1" t="str">
        <f t="shared" si="37"/>
        <v>TP-LINK</v>
      </c>
    </row>
    <row r="2403" spans="1:8">
      <c r="A2403" s="1">
        <v>2402</v>
      </c>
      <c r="B2403" s="1" t="s">
        <v>18796</v>
      </c>
      <c r="C2403" s="1" t="s">
        <v>31</v>
      </c>
      <c r="D2403" s="1" t="s">
        <v>11222</v>
      </c>
      <c r="E2403" s="1" t="s">
        <v>11241</v>
      </c>
      <c r="F2403" s="1" t="s">
        <v>11242</v>
      </c>
      <c r="G2403" s="1" t="s">
        <v>11243</v>
      </c>
      <c r="H2403" s="1" t="str">
        <f t="shared" si="37"/>
        <v>TP-LINK</v>
      </c>
    </row>
    <row r="2404" spans="1:8">
      <c r="A2404" s="1">
        <v>2403</v>
      </c>
      <c r="B2404" s="1" t="s">
        <v>18796</v>
      </c>
      <c r="C2404" s="1" t="s">
        <v>35</v>
      </c>
      <c r="D2404" s="1" t="s">
        <v>11222</v>
      </c>
      <c r="E2404" s="1" t="s">
        <v>11245</v>
      </c>
      <c r="F2404" s="1" t="s">
        <v>11246</v>
      </c>
      <c r="G2404" s="1" t="s">
        <v>11247</v>
      </c>
      <c r="H2404" s="1" t="str">
        <f t="shared" si="37"/>
        <v>TP-LINK</v>
      </c>
    </row>
    <row r="2405" spans="1:8">
      <c r="A2405" s="1">
        <v>2404</v>
      </c>
      <c r="B2405" s="1" t="s">
        <v>18796</v>
      </c>
      <c r="C2405" s="1" t="s">
        <v>39</v>
      </c>
      <c r="D2405" s="1" t="s">
        <v>11222</v>
      </c>
      <c r="E2405" s="1" t="s">
        <v>11249</v>
      </c>
      <c r="F2405" s="1" t="s">
        <v>11250</v>
      </c>
      <c r="G2405" s="1" t="s">
        <v>11251</v>
      </c>
      <c r="H2405" s="1" t="str">
        <f t="shared" si="37"/>
        <v>TP-LINK</v>
      </c>
    </row>
    <row r="2406" spans="1:8">
      <c r="A2406" s="1">
        <v>2405</v>
      </c>
      <c r="B2406" s="1" t="s">
        <v>18797</v>
      </c>
      <c r="C2406" s="1" t="s">
        <v>285</v>
      </c>
      <c r="D2406" s="1" t="s">
        <v>11255</v>
      </c>
      <c r="E2406" s="1" t="s">
        <v>11256</v>
      </c>
      <c r="F2406" s="1" t="s">
        <v>11257</v>
      </c>
      <c r="G2406" s="1" t="s">
        <v>11258</v>
      </c>
      <c r="H2406" s="1" t="str">
        <f t="shared" si="37"/>
        <v>PD</v>
      </c>
    </row>
    <row r="2407" spans="1:8">
      <c r="A2407" s="1">
        <v>2406</v>
      </c>
      <c r="B2407" s="1" t="s">
        <v>18797</v>
      </c>
      <c r="C2407" s="1" t="s">
        <v>290</v>
      </c>
      <c r="D2407" s="1" t="s">
        <v>11255</v>
      </c>
      <c r="E2407" s="1" t="s">
        <v>11260</v>
      </c>
      <c r="F2407" s="1" t="s">
        <v>11261</v>
      </c>
      <c r="G2407" s="1" t="s">
        <v>11262</v>
      </c>
      <c r="H2407" s="1" t="str">
        <f t="shared" si="37"/>
        <v>PD</v>
      </c>
    </row>
    <row r="2408" spans="1:8">
      <c r="A2408" s="1">
        <v>2407</v>
      </c>
      <c r="B2408" s="1" t="s">
        <v>18797</v>
      </c>
      <c r="C2408" s="1" t="s">
        <v>294</v>
      </c>
      <c r="D2408" s="1" t="s">
        <v>11255</v>
      </c>
      <c r="E2408" s="1" t="s">
        <v>11264</v>
      </c>
      <c r="F2408" s="1" t="s">
        <v>11265</v>
      </c>
      <c r="G2408" s="1" t="s">
        <v>11266</v>
      </c>
      <c r="H2408" s="1" t="str">
        <f t="shared" si="37"/>
        <v>PD</v>
      </c>
    </row>
    <row r="2409" spans="1:8">
      <c r="A2409" s="1">
        <v>2408</v>
      </c>
      <c r="B2409" s="1" t="s">
        <v>18798</v>
      </c>
      <c r="C2409" s="1" t="s">
        <v>267</v>
      </c>
      <c r="D2409" s="1" t="s">
        <v>11268</v>
      </c>
      <c r="E2409" s="1" t="s">
        <v>3709</v>
      </c>
      <c r="F2409" s="1" t="s">
        <v>11269</v>
      </c>
      <c r="G2409" s="1" t="s">
        <v>11270</v>
      </c>
      <c r="H2409" s="1" t="str">
        <f t="shared" si="37"/>
        <v>TiKV</v>
      </c>
    </row>
    <row r="2410" spans="1:8">
      <c r="A2410" s="1">
        <v>2409</v>
      </c>
      <c r="B2410" s="1" t="s">
        <v>18798</v>
      </c>
      <c r="C2410" s="1" t="s">
        <v>272</v>
      </c>
      <c r="D2410" s="1" t="s">
        <v>11268</v>
      </c>
      <c r="E2410" s="1" t="s">
        <v>11272</v>
      </c>
      <c r="F2410" s="1" t="s">
        <v>11273</v>
      </c>
      <c r="G2410" s="1" t="s">
        <v>11274</v>
      </c>
      <c r="H2410" s="1" t="str">
        <f t="shared" si="37"/>
        <v>TiKV</v>
      </c>
    </row>
    <row r="2411" spans="1:8">
      <c r="A2411" s="1">
        <v>2410</v>
      </c>
      <c r="B2411" s="1" t="s">
        <v>18798</v>
      </c>
      <c r="C2411" s="1" t="s">
        <v>276</v>
      </c>
      <c r="D2411" s="1" t="s">
        <v>11268</v>
      </c>
      <c r="E2411" s="1" t="s">
        <v>3711</v>
      </c>
      <c r="F2411" s="1" t="s">
        <v>11276</v>
      </c>
      <c r="G2411" s="1" t="s">
        <v>11277</v>
      </c>
      <c r="H2411" s="1" t="str">
        <f t="shared" si="37"/>
        <v>TiKV</v>
      </c>
    </row>
    <row r="2412" spans="1:8">
      <c r="A2412" s="1">
        <v>2411</v>
      </c>
      <c r="B2412" s="1" t="s">
        <v>18798</v>
      </c>
      <c r="C2412" s="1" t="s">
        <v>280</v>
      </c>
      <c r="D2412" s="1" t="s">
        <v>11268</v>
      </c>
      <c r="E2412" s="1" t="s">
        <v>3712</v>
      </c>
      <c r="F2412" s="1" t="s">
        <v>11279</v>
      </c>
      <c r="G2412" s="1" t="s">
        <v>11280</v>
      </c>
      <c r="H2412" s="1" t="str">
        <f t="shared" si="37"/>
        <v>TiKV</v>
      </c>
    </row>
    <row r="2413" spans="1:8">
      <c r="A2413" s="1">
        <v>2412</v>
      </c>
      <c r="B2413" s="1" t="s">
        <v>18799</v>
      </c>
      <c r="C2413" s="1" t="s">
        <v>299</v>
      </c>
      <c r="D2413" s="1" t="s">
        <v>11282</v>
      </c>
      <c r="E2413" s="1" t="s">
        <v>11283</v>
      </c>
      <c r="F2413" s="1" t="s">
        <v>11284</v>
      </c>
      <c r="G2413" s="1" t="s">
        <v>11285</v>
      </c>
      <c r="H2413" s="1" t="str">
        <f t="shared" si="37"/>
        <v>TiDB</v>
      </c>
    </row>
    <row r="2414" spans="1:8">
      <c r="A2414" s="1">
        <v>2413</v>
      </c>
      <c r="B2414" s="1" t="s">
        <v>18799</v>
      </c>
      <c r="C2414" s="1" t="s">
        <v>304</v>
      </c>
      <c r="D2414" s="1" t="s">
        <v>11282</v>
      </c>
      <c r="E2414" s="1" t="s">
        <v>3702</v>
      </c>
      <c r="F2414" s="1" t="s">
        <v>11287</v>
      </c>
      <c r="G2414" s="1" t="s">
        <v>11288</v>
      </c>
      <c r="H2414" s="1" t="str">
        <f t="shared" si="37"/>
        <v>TiDB</v>
      </c>
    </row>
    <row r="2415" spans="1:8">
      <c r="A2415" s="1">
        <v>2414</v>
      </c>
      <c r="B2415" s="1" t="s">
        <v>18799</v>
      </c>
      <c r="C2415" s="1" t="s">
        <v>308</v>
      </c>
      <c r="D2415" s="1" t="s">
        <v>11282</v>
      </c>
      <c r="E2415" s="1" t="s">
        <v>3703</v>
      </c>
      <c r="F2415" s="1" t="s">
        <v>11290</v>
      </c>
      <c r="G2415" s="1" t="s">
        <v>11291</v>
      </c>
      <c r="H2415" s="1" t="str">
        <f t="shared" si="37"/>
        <v>TiDB</v>
      </c>
    </row>
    <row r="2416" spans="1:8">
      <c r="A2416" s="1">
        <v>2415</v>
      </c>
      <c r="B2416" s="1" t="s">
        <v>18799</v>
      </c>
      <c r="C2416" s="1" t="s">
        <v>312</v>
      </c>
      <c r="D2416" s="1" t="s">
        <v>11282</v>
      </c>
      <c r="E2416" s="1" t="s">
        <v>3701</v>
      </c>
      <c r="F2416" s="1" t="s">
        <v>11293</v>
      </c>
      <c r="G2416" s="1" t="s">
        <v>11294</v>
      </c>
      <c r="H2416" s="1" t="str">
        <f t="shared" si="37"/>
        <v>TiDB</v>
      </c>
    </row>
    <row r="2417" spans="1:8">
      <c r="A2417" s="1">
        <v>2416</v>
      </c>
      <c r="B2417" s="1" t="s">
        <v>18799</v>
      </c>
      <c r="C2417" s="1" t="s">
        <v>316</v>
      </c>
      <c r="D2417" s="1" t="s">
        <v>11282</v>
      </c>
      <c r="E2417" s="1" t="s">
        <v>11296</v>
      </c>
      <c r="F2417" s="1" t="s">
        <v>11297</v>
      </c>
      <c r="G2417" s="1" t="s">
        <v>11298</v>
      </c>
      <c r="H2417" s="1" t="str">
        <f t="shared" si="37"/>
        <v>TiDB</v>
      </c>
    </row>
    <row r="2418" spans="1:8">
      <c r="A2418" s="1">
        <v>2417</v>
      </c>
      <c r="B2418" s="1" t="s">
        <v>18799</v>
      </c>
      <c r="C2418" s="1" t="s">
        <v>320</v>
      </c>
      <c r="D2418" s="1" t="s">
        <v>11282</v>
      </c>
      <c r="E2418" s="1" t="s">
        <v>3705</v>
      </c>
      <c r="F2418" s="1" t="s">
        <v>11293</v>
      </c>
      <c r="G2418" s="1" t="s">
        <v>11294</v>
      </c>
      <c r="H2418" s="1" t="str">
        <f t="shared" si="37"/>
        <v>TiDB</v>
      </c>
    </row>
    <row r="2419" spans="1:8">
      <c r="A2419" s="1">
        <v>2418</v>
      </c>
      <c r="B2419" s="1" t="s">
        <v>18799</v>
      </c>
      <c r="C2419" s="1" t="s">
        <v>324</v>
      </c>
      <c r="D2419" s="1" t="s">
        <v>11282</v>
      </c>
      <c r="E2419" s="1" t="s">
        <v>11301</v>
      </c>
      <c r="F2419" s="1" t="s">
        <v>11302</v>
      </c>
      <c r="G2419" s="1" t="s">
        <v>11303</v>
      </c>
      <c r="H2419" s="1" t="str">
        <f t="shared" si="37"/>
        <v>TiDB</v>
      </c>
    </row>
    <row r="2420" spans="1:8">
      <c r="A2420" s="1">
        <v>2419</v>
      </c>
      <c r="B2420" s="1" t="s">
        <v>18799</v>
      </c>
      <c r="C2420" s="1" t="s">
        <v>328</v>
      </c>
      <c r="D2420" s="1" t="s">
        <v>11282</v>
      </c>
      <c r="E2420" s="1" t="s">
        <v>11305</v>
      </c>
      <c r="F2420" s="1" t="s">
        <v>11306</v>
      </c>
      <c r="G2420" s="1" t="s">
        <v>11307</v>
      </c>
      <c r="H2420" s="1" t="str">
        <f t="shared" si="37"/>
        <v>TiDB</v>
      </c>
    </row>
    <row r="2421" spans="1:8">
      <c r="A2421" s="1">
        <v>2420</v>
      </c>
      <c r="B2421" s="1" t="s">
        <v>18799</v>
      </c>
      <c r="C2421" s="1" t="s">
        <v>332</v>
      </c>
      <c r="D2421" s="1" t="s">
        <v>11282</v>
      </c>
      <c r="E2421" s="1" t="s">
        <v>11309</v>
      </c>
      <c r="F2421" s="1" t="s">
        <v>11310</v>
      </c>
      <c r="G2421" s="1" t="s">
        <v>11311</v>
      </c>
      <c r="H2421" s="1" t="str">
        <f t="shared" si="37"/>
        <v>TiDB</v>
      </c>
    </row>
    <row r="2422" spans="1:8">
      <c r="A2422" s="1">
        <v>2421</v>
      </c>
      <c r="B2422" s="1" t="s">
        <v>18799</v>
      </c>
      <c r="C2422" s="1" t="s">
        <v>336</v>
      </c>
      <c r="D2422" s="1" t="s">
        <v>11282</v>
      </c>
      <c r="E2422" s="1" t="s">
        <v>3704</v>
      </c>
      <c r="F2422" s="1" t="s">
        <v>11313</v>
      </c>
      <c r="G2422" s="1" t="s">
        <v>11314</v>
      </c>
      <c r="H2422" s="1" t="str">
        <f t="shared" si="37"/>
        <v>TiDB</v>
      </c>
    </row>
    <row r="2423" spans="1:8">
      <c r="A2423" s="1">
        <v>2422</v>
      </c>
      <c r="B2423" s="1" t="s">
        <v>18799</v>
      </c>
      <c r="C2423" s="1" t="s">
        <v>340</v>
      </c>
      <c r="D2423" s="1" t="s">
        <v>11282</v>
      </c>
      <c r="E2423" s="1" t="s">
        <v>3706</v>
      </c>
      <c r="F2423" s="1" t="s">
        <v>11316</v>
      </c>
      <c r="G2423" s="1" t="s">
        <v>11317</v>
      </c>
      <c r="H2423" s="1" t="str">
        <f t="shared" si="37"/>
        <v>TiDB</v>
      </c>
    </row>
    <row r="2424" spans="1:8">
      <c r="A2424" s="1">
        <v>2423</v>
      </c>
      <c r="B2424" s="1" t="s">
        <v>18799</v>
      </c>
      <c r="C2424" s="1" t="s">
        <v>344</v>
      </c>
      <c r="D2424" s="1" t="s">
        <v>11282</v>
      </c>
      <c r="E2424" s="1" t="s">
        <v>3707</v>
      </c>
      <c r="F2424" s="1" t="s">
        <v>11319</v>
      </c>
      <c r="G2424" s="1" t="s">
        <v>11320</v>
      </c>
      <c r="H2424" s="1" t="str">
        <f t="shared" si="37"/>
        <v>TiDB</v>
      </c>
    </row>
    <row r="2425" spans="1:8">
      <c r="A2425" s="1">
        <v>2424</v>
      </c>
      <c r="B2425" s="1" t="s">
        <v>18800</v>
      </c>
      <c r="C2425" s="1" t="s">
        <v>201</v>
      </c>
      <c r="D2425" s="1" t="s">
        <v>11322</v>
      </c>
      <c r="E2425" s="1" t="s">
        <v>3194</v>
      </c>
      <c r="F2425" s="1" t="s">
        <v>11323</v>
      </c>
      <c r="G2425" s="1" t="s">
        <v>11324</v>
      </c>
      <c r="H2425" s="1" t="str">
        <f t="shared" si="37"/>
        <v>Travis</v>
      </c>
    </row>
    <row r="2426" spans="1:8">
      <c r="A2426" s="1">
        <v>2425</v>
      </c>
      <c r="B2426" s="1" t="s">
        <v>18800</v>
      </c>
      <c r="C2426" s="1" t="s">
        <v>206</v>
      </c>
      <c r="D2426" s="1" t="s">
        <v>11322</v>
      </c>
      <c r="E2426" s="1" t="s">
        <v>3191</v>
      </c>
      <c r="F2426" s="1" t="s">
        <v>11326</v>
      </c>
      <c r="G2426" s="1" t="s">
        <v>11327</v>
      </c>
      <c r="H2426" s="1" t="str">
        <f t="shared" si="37"/>
        <v>Travis</v>
      </c>
    </row>
    <row r="2427" spans="1:8">
      <c r="A2427" s="1">
        <v>2426</v>
      </c>
      <c r="B2427" s="1" t="s">
        <v>18801</v>
      </c>
      <c r="C2427" s="1" t="s">
        <v>131</v>
      </c>
      <c r="D2427" s="1" t="s">
        <v>11329</v>
      </c>
      <c r="E2427" s="1" t="s">
        <v>17342</v>
      </c>
      <c r="F2427" s="1" t="s">
        <v>11331</v>
      </c>
      <c r="G2427" s="1" t="s">
        <v>18802</v>
      </c>
      <c r="H2427" s="1" t="str">
        <f t="shared" si="37"/>
        <v/>
      </c>
    </row>
    <row r="2428" spans="1:8">
      <c r="A2428" s="1">
        <v>2427</v>
      </c>
      <c r="B2428" s="1" t="s">
        <v>18801</v>
      </c>
      <c r="C2428" s="1" t="s">
        <v>136</v>
      </c>
      <c r="D2428" s="1" t="s">
        <v>11329</v>
      </c>
      <c r="E2428" s="1" t="s">
        <v>17340</v>
      </c>
      <c r="F2428" s="1" t="s">
        <v>11335</v>
      </c>
      <c r="G2428" s="1" t="s">
        <v>18803</v>
      </c>
      <c r="H2428" s="1" t="str">
        <f t="shared" si="37"/>
        <v/>
      </c>
    </row>
    <row r="2429" spans="1:8">
      <c r="A2429" s="1">
        <v>2428</v>
      </c>
      <c r="B2429" s="1" t="s">
        <v>18801</v>
      </c>
      <c r="C2429" s="1" t="s">
        <v>138</v>
      </c>
      <c r="D2429" s="1" t="s">
        <v>11329</v>
      </c>
      <c r="E2429" s="1" t="s">
        <v>18804</v>
      </c>
      <c r="F2429" s="1" t="s">
        <v>11339</v>
      </c>
      <c r="G2429" s="1" t="s">
        <v>18805</v>
      </c>
      <c r="H2429" s="1" t="str">
        <f t="shared" si="37"/>
        <v/>
      </c>
    </row>
    <row r="2430" spans="1:8">
      <c r="A2430" s="1">
        <v>2429</v>
      </c>
      <c r="B2430" s="1" t="s">
        <v>18801</v>
      </c>
      <c r="C2430" s="1" t="s">
        <v>140</v>
      </c>
      <c r="D2430" s="1" t="s">
        <v>11329</v>
      </c>
      <c r="E2430" s="1" t="s">
        <v>18806</v>
      </c>
      <c r="F2430" s="1" t="s">
        <v>11343</v>
      </c>
      <c r="G2430" s="1" t="s">
        <v>18807</v>
      </c>
      <c r="H2430" s="1" t="str">
        <f t="shared" si="37"/>
        <v/>
      </c>
    </row>
    <row r="2431" spans="1:8">
      <c r="A2431" s="1">
        <v>2430</v>
      </c>
      <c r="B2431" s="1" t="s">
        <v>18801</v>
      </c>
      <c r="C2431" s="1" t="s">
        <v>142</v>
      </c>
      <c r="D2431" s="1" t="s">
        <v>11329</v>
      </c>
      <c r="E2431" s="1" t="s">
        <v>10753</v>
      </c>
      <c r="F2431" s="1" t="s">
        <v>11347</v>
      </c>
      <c r="G2431" s="1" t="s">
        <v>18808</v>
      </c>
      <c r="H2431" s="1" t="str">
        <f t="shared" si="37"/>
        <v/>
      </c>
    </row>
    <row r="2432" spans="1:8">
      <c r="A2432" s="1">
        <v>2431</v>
      </c>
      <c r="B2432" s="1" t="s">
        <v>18801</v>
      </c>
      <c r="C2432" s="1" t="s">
        <v>144</v>
      </c>
      <c r="D2432" s="1" t="s">
        <v>11329</v>
      </c>
      <c r="E2432" s="1" t="s">
        <v>17334</v>
      </c>
      <c r="F2432" s="1" t="s">
        <v>11351</v>
      </c>
      <c r="G2432" s="1" t="s">
        <v>18809</v>
      </c>
      <c r="H2432" s="1" t="str">
        <f t="shared" si="37"/>
        <v/>
      </c>
    </row>
    <row r="2433" spans="1:8">
      <c r="A2433" s="1">
        <v>2432</v>
      </c>
      <c r="B2433" s="1" t="s">
        <v>18801</v>
      </c>
      <c r="C2433" s="1" t="s">
        <v>146</v>
      </c>
      <c r="D2433" s="1" t="s">
        <v>11329</v>
      </c>
      <c r="E2433" s="1" t="s">
        <v>17344</v>
      </c>
      <c r="F2433" s="1" t="s">
        <v>11355</v>
      </c>
      <c r="G2433" s="1" t="s">
        <v>18810</v>
      </c>
      <c r="H2433" s="1" t="str">
        <f t="shared" si="37"/>
        <v/>
      </c>
    </row>
    <row r="2434" spans="1:8">
      <c r="A2434" s="1">
        <v>2433</v>
      </c>
      <c r="B2434" s="1" t="s">
        <v>18801</v>
      </c>
      <c r="C2434" s="1" t="s">
        <v>148</v>
      </c>
      <c r="D2434" s="1" t="s">
        <v>11329</v>
      </c>
      <c r="E2434" s="1" t="s">
        <v>18811</v>
      </c>
      <c r="F2434" s="1" t="s">
        <v>11359</v>
      </c>
      <c r="G2434" s="1" t="s">
        <v>18812</v>
      </c>
      <c r="H2434" s="1" t="str">
        <f t="shared" ref="H2434:H2497" si="38">IFERROR(IF(OR(MID(G2434,FIND(":",G2434)-1,1)="""",MID(G2434,FIND(":",G2434)-1,1)="}",MID(G2434,FIND(":",G2434)-1,1)=")",MID(G2434,FIND(":",G2434)-1,1)="]"),"",LEFT(F2434,FIND(":",F2434)-1)),"")</f>
        <v/>
      </c>
    </row>
    <row r="2435" spans="1:8">
      <c r="A2435" s="1">
        <v>2434</v>
      </c>
      <c r="B2435" s="1" t="s">
        <v>18801</v>
      </c>
      <c r="C2435" s="1" t="s">
        <v>150</v>
      </c>
      <c r="D2435" s="1" t="s">
        <v>11329</v>
      </c>
      <c r="E2435" s="1" t="s">
        <v>18813</v>
      </c>
      <c r="F2435" s="1" t="s">
        <v>11363</v>
      </c>
      <c r="G2435" s="1" t="s">
        <v>18814</v>
      </c>
      <c r="H2435" s="1" t="str">
        <f t="shared" si="38"/>
        <v/>
      </c>
    </row>
    <row r="2436" spans="1:8">
      <c r="A2436" s="1">
        <v>2435</v>
      </c>
      <c r="B2436" s="1" t="s">
        <v>18801</v>
      </c>
      <c r="C2436" s="1" t="s">
        <v>152</v>
      </c>
      <c r="D2436" s="1" t="s">
        <v>11329</v>
      </c>
      <c r="E2436" s="1" t="s">
        <v>18815</v>
      </c>
      <c r="F2436" s="1" t="s">
        <v>11367</v>
      </c>
      <c r="G2436" s="1" t="s">
        <v>18816</v>
      </c>
      <c r="H2436" s="1" t="str">
        <f t="shared" si="38"/>
        <v/>
      </c>
    </row>
    <row r="2437" spans="1:8">
      <c r="A2437" s="1">
        <v>2436</v>
      </c>
      <c r="B2437" s="1" t="s">
        <v>18817</v>
      </c>
      <c r="C2437" s="1" t="s">
        <v>93</v>
      </c>
      <c r="D2437" s="1" t="s">
        <v>11370</v>
      </c>
      <c r="E2437" s="1" t="s">
        <v>2932</v>
      </c>
      <c r="F2437" s="1" t="s">
        <v>11371</v>
      </c>
      <c r="G2437" s="1" t="s">
        <v>11372</v>
      </c>
      <c r="H2437" s="1" t="str">
        <f t="shared" si="38"/>
        <v>Ubiquiti AirOS</v>
      </c>
    </row>
    <row r="2438" spans="1:8">
      <c r="A2438" s="1">
        <v>2437</v>
      </c>
      <c r="B2438" s="1" t="s">
        <v>18817</v>
      </c>
      <c r="C2438" s="1" t="s">
        <v>98</v>
      </c>
      <c r="D2438" s="1" t="s">
        <v>11370</v>
      </c>
      <c r="E2438" s="1" t="s">
        <v>2929</v>
      </c>
      <c r="F2438" s="1" t="s">
        <v>11374</v>
      </c>
      <c r="G2438" s="1" t="s">
        <v>11375</v>
      </c>
      <c r="H2438" s="1" t="str">
        <f t="shared" si="38"/>
        <v>Ubiquiti AirOS</v>
      </c>
    </row>
    <row r="2439" spans="1:8">
      <c r="A2439" s="1">
        <v>2438</v>
      </c>
      <c r="B2439" s="1" t="s">
        <v>18817</v>
      </c>
      <c r="C2439" s="1" t="s">
        <v>102</v>
      </c>
      <c r="D2439" s="1" t="s">
        <v>11370</v>
      </c>
      <c r="E2439" s="1" t="s">
        <v>11377</v>
      </c>
      <c r="F2439" s="1" t="s">
        <v>11378</v>
      </c>
      <c r="G2439" s="1" t="s">
        <v>11379</v>
      </c>
      <c r="H2439" s="1" t="str">
        <f t="shared" si="38"/>
        <v>Ubiquiti AirOS</v>
      </c>
    </row>
    <row r="2440" spans="1:8">
      <c r="A2440" s="1">
        <v>2439</v>
      </c>
      <c r="B2440" s="1" t="s">
        <v>18817</v>
      </c>
      <c r="C2440" s="1" t="s">
        <v>106</v>
      </c>
      <c r="D2440" s="1" t="s">
        <v>11370</v>
      </c>
      <c r="E2440" s="1" t="s">
        <v>11381</v>
      </c>
      <c r="F2440" s="1" t="s">
        <v>11382</v>
      </c>
      <c r="G2440" s="1" t="s">
        <v>11383</v>
      </c>
      <c r="H2440" s="1" t="str">
        <f t="shared" si="38"/>
        <v>Ubiquiti AirOS</v>
      </c>
    </row>
    <row r="2441" spans="1:8">
      <c r="A2441" s="1">
        <v>2440</v>
      </c>
      <c r="B2441" s="1" t="s">
        <v>18817</v>
      </c>
      <c r="C2441" s="1" t="s">
        <v>110</v>
      </c>
      <c r="D2441" s="1" t="s">
        <v>11370</v>
      </c>
      <c r="E2441" s="1" t="s">
        <v>11385</v>
      </c>
      <c r="F2441" s="1" t="s">
        <v>11386</v>
      </c>
      <c r="G2441" s="1" t="s">
        <v>11387</v>
      </c>
      <c r="H2441" s="1" t="str">
        <f t="shared" si="38"/>
        <v>Ubiquiti AirOS</v>
      </c>
    </row>
    <row r="2442" spans="1:8">
      <c r="A2442" s="1">
        <v>2441</v>
      </c>
      <c r="B2442" s="1" t="s">
        <v>18817</v>
      </c>
      <c r="C2442" s="1" t="s">
        <v>114</v>
      </c>
      <c r="D2442" s="1" t="s">
        <v>11370</v>
      </c>
      <c r="E2442" s="1" t="s">
        <v>11389</v>
      </c>
      <c r="F2442" s="1" t="s">
        <v>11390</v>
      </c>
      <c r="G2442" s="1" t="s">
        <v>11391</v>
      </c>
      <c r="H2442" s="1" t="str">
        <f t="shared" si="38"/>
        <v>Ubiquiti AirOS</v>
      </c>
    </row>
    <row r="2443" spans="1:8">
      <c r="A2443" s="1">
        <v>2442</v>
      </c>
      <c r="B2443" s="1" t="s">
        <v>18817</v>
      </c>
      <c r="C2443" s="1" t="s">
        <v>118</v>
      </c>
      <c r="D2443" s="1" t="s">
        <v>11370</v>
      </c>
      <c r="E2443" s="1" t="s">
        <v>11393</v>
      </c>
      <c r="F2443" s="1" t="s">
        <v>11394</v>
      </c>
      <c r="G2443" s="1" t="s">
        <v>11395</v>
      </c>
      <c r="H2443" s="1" t="str">
        <f t="shared" si="38"/>
        <v>Ubiquiti AirOS</v>
      </c>
    </row>
    <row r="2444" spans="1:8">
      <c r="A2444" s="1">
        <v>2443</v>
      </c>
      <c r="B2444" s="1" t="s">
        <v>18817</v>
      </c>
      <c r="C2444" s="1" t="s">
        <v>122</v>
      </c>
      <c r="D2444" s="1" t="s">
        <v>11370</v>
      </c>
      <c r="E2444" s="1" t="s">
        <v>11397</v>
      </c>
      <c r="F2444" s="1" t="s">
        <v>11398</v>
      </c>
      <c r="G2444" s="1" t="s">
        <v>11399</v>
      </c>
      <c r="H2444" s="1" t="str">
        <f t="shared" si="38"/>
        <v>Ubiquiti AirOS</v>
      </c>
    </row>
    <row r="2445" spans="1:8">
      <c r="A2445" s="1">
        <v>2444</v>
      </c>
      <c r="B2445" s="1" t="s">
        <v>18817</v>
      </c>
      <c r="C2445" s="1" t="s">
        <v>126</v>
      </c>
      <c r="D2445" s="1" t="s">
        <v>11370</v>
      </c>
      <c r="E2445" s="1" t="s">
        <v>11401</v>
      </c>
      <c r="F2445" s="1" t="s">
        <v>11402</v>
      </c>
      <c r="G2445" s="1" t="s">
        <v>11403</v>
      </c>
      <c r="H2445" s="1" t="str">
        <f t="shared" si="38"/>
        <v>Ubiquiti AirOS</v>
      </c>
    </row>
    <row r="2446" spans="1:8">
      <c r="A2446" s="1">
        <v>2445</v>
      </c>
      <c r="B2446" s="1" t="s">
        <v>18818</v>
      </c>
      <c r="C2446" s="1" t="s">
        <v>211</v>
      </c>
      <c r="D2446" s="1" t="s">
        <v>11405</v>
      </c>
      <c r="E2446" s="1" t="s">
        <v>11406</v>
      </c>
      <c r="F2446" s="1" t="s">
        <v>11407</v>
      </c>
      <c r="G2446" s="1" t="s">
        <v>11408</v>
      </c>
      <c r="H2446" s="1" t="str">
        <f t="shared" si="38"/>
        <v>Velocloud</v>
      </c>
    </row>
    <row r="2447" spans="1:8">
      <c r="A2447" s="1">
        <v>2446</v>
      </c>
      <c r="B2447" s="1" t="s">
        <v>18818</v>
      </c>
      <c r="C2447" s="1" t="s">
        <v>214</v>
      </c>
      <c r="D2447" s="1" t="s">
        <v>11405</v>
      </c>
      <c r="E2447" s="1" t="s">
        <v>11414</v>
      </c>
      <c r="F2447" s="1" t="s">
        <v>11415</v>
      </c>
      <c r="G2447" s="1" t="s">
        <v>11416</v>
      </c>
      <c r="H2447" s="1" t="str">
        <f t="shared" si="38"/>
        <v>Velocloud</v>
      </c>
    </row>
    <row r="2448" spans="1:8">
      <c r="A2448" s="1">
        <v>2447</v>
      </c>
      <c r="B2448" s="1" t="s">
        <v>18818</v>
      </c>
      <c r="C2448" s="1" t="s">
        <v>218</v>
      </c>
      <c r="D2448" s="1" t="s">
        <v>11405</v>
      </c>
      <c r="E2448" s="1" t="s">
        <v>11418</v>
      </c>
      <c r="F2448" s="1" t="s">
        <v>11419</v>
      </c>
      <c r="G2448" s="1" t="s">
        <v>11420</v>
      </c>
      <c r="H2448" s="1" t="str">
        <f t="shared" si="38"/>
        <v>Velocloud</v>
      </c>
    </row>
    <row r="2449" spans="1:8">
      <c r="A2449" s="1">
        <v>2448</v>
      </c>
      <c r="B2449" s="1" t="s">
        <v>18818</v>
      </c>
      <c r="C2449" s="1" t="s">
        <v>220</v>
      </c>
      <c r="D2449" s="1" t="s">
        <v>11405</v>
      </c>
      <c r="E2449" s="1" t="s">
        <v>11422</v>
      </c>
      <c r="F2449" s="1" t="s">
        <v>11423</v>
      </c>
      <c r="G2449" s="1" t="s">
        <v>11424</v>
      </c>
      <c r="H2449" s="1" t="str">
        <f t="shared" si="38"/>
        <v>Velocloud</v>
      </c>
    </row>
    <row r="2450" spans="1:8">
      <c r="A2450" s="1">
        <v>2449</v>
      </c>
      <c r="B2450" s="1" t="s">
        <v>18818</v>
      </c>
      <c r="C2450" s="1" t="s">
        <v>224</v>
      </c>
      <c r="D2450" s="1" t="s">
        <v>11405</v>
      </c>
      <c r="E2450" s="1" t="s">
        <v>11426</v>
      </c>
      <c r="F2450" s="1" t="s">
        <v>11427</v>
      </c>
      <c r="G2450" s="1" t="s">
        <v>11428</v>
      </c>
      <c r="H2450" s="1" t="str">
        <f t="shared" si="38"/>
        <v>Velocloud</v>
      </c>
    </row>
    <row r="2451" spans="1:8">
      <c r="A2451" s="1">
        <v>2450</v>
      </c>
      <c r="B2451" s="1" t="s">
        <v>18819</v>
      </c>
      <c r="C2451" s="1" t="s">
        <v>84</v>
      </c>
      <c r="D2451" s="1" t="s">
        <v>11430</v>
      </c>
      <c r="E2451" s="1" t="s">
        <v>11431</v>
      </c>
      <c r="F2451" s="1" t="s">
        <v>11432</v>
      </c>
      <c r="G2451" s="1" t="s">
        <v>11433</v>
      </c>
      <c r="H2451" s="1" t="str">
        <f t="shared" si="38"/>
        <v>VMware</v>
      </c>
    </row>
    <row r="2452" spans="1:8">
      <c r="A2452" s="1">
        <v>2451</v>
      </c>
      <c r="B2452" s="1" t="s">
        <v>18820</v>
      </c>
      <c r="C2452" s="1" t="s">
        <v>267</v>
      </c>
      <c r="D2452" s="1" t="s">
        <v>11435</v>
      </c>
      <c r="E2452" s="1" t="s">
        <v>2554</v>
      </c>
      <c r="F2452" s="1" t="s">
        <v>4080</v>
      </c>
      <c r="G2452" s="1" t="s">
        <v>4081</v>
      </c>
      <c r="H2452" s="1" t="str">
        <f t="shared" si="38"/>
        <v>VMware</v>
      </c>
    </row>
    <row r="2453" spans="1:8">
      <c r="A2453" s="1">
        <v>2452</v>
      </c>
      <c r="B2453" s="1" t="s">
        <v>18820</v>
      </c>
      <c r="C2453" s="1" t="s">
        <v>272</v>
      </c>
      <c r="D2453" s="1" t="s">
        <v>11435</v>
      </c>
      <c r="E2453" s="1" t="s">
        <v>2562</v>
      </c>
      <c r="F2453" s="1" t="s">
        <v>11437</v>
      </c>
      <c r="G2453" s="1" t="s">
        <v>11438</v>
      </c>
      <c r="H2453" s="1" t="str">
        <f t="shared" si="38"/>
        <v>VMware</v>
      </c>
    </row>
    <row r="2454" spans="1:8">
      <c r="A2454" s="1">
        <v>2453</v>
      </c>
      <c r="B2454" s="1" t="s">
        <v>18820</v>
      </c>
      <c r="C2454" s="1" t="s">
        <v>276</v>
      </c>
      <c r="D2454" s="1" t="s">
        <v>11435</v>
      </c>
      <c r="E2454" s="1" t="s">
        <v>2564</v>
      </c>
      <c r="F2454" s="1" t="s">
        <v>11440</v>
      </c>
      <c r="G2454" s="1" t="s">
        <v>11441</v>
      </c>
      <c r="H2454" s="1" t="str">
        <f t="shared" si="38"/>
        <v>VMware</v>
      </c>
    </row>
    <row r="2455" spans="1:8">
      <c r="A2455" s="1">
        <v>2454</v>
      </c>
      <c r="B2455" s="1" t="s">
        <v>18820</v>
      </c>
      <c r="C2455" s="1" t="s">
        <v>280</v>
      </c>
      <c r="D2455" s="1" t="s">
        <v>11435</v>
      </c>
      <c r="E2455" s="1" t="s">
        <v>2566</v>
      </c>
      <c r="F2455" s="1" t="s">
        <v>11443</v>
      </c>
      <c r="G2455" s="1" t="s">
        <v>11444</v>
      </c>
      <c r="H2455" s="1" t="str">
        <f t="shared" si="38"/>
        <v>VMware</v>
      </c>
    </row>
    <row r="2456" spans="1:8">
      <c r="A2456" s="1">
        <v>2455</v>
      </c>
      <c r="B2456" s="1" t="s">
        <v>18821</v>
      </c>
      <c r="C2456" s="1" t="s">
        <v>285</v>
      </c>
      <c r="D2456" s="1" t="s">
        <v>11446</v>
      </c>
      <c r="E2456" s="1" t="s">
        <v>6011</v>
      </c>
      <c r="F2456" s="1" t="s">
        <v>11448</v>
      </c>
      <c r="G2456" s="1" t="s">
        <v>11449</v>
      </c>
      <c r="H2456" s="1" t="str">
        <f t="shared" si="38"/>
        <v>Veeam Manager</v>
      </c>
    </row>
    <row r="2457" spans="1:8">
      <c r="A2457" s="1">
        <v>2456</v>
      </c>
      <c r="B2457" s="1" t="s">
        <v>18821</v>
      </c>
      <c r="C2457" s="1" t="s">
        <v>290</v>
      </c>
      <c r="D2457" s="1" t="s">
        <v>11446</v>
      </c>
      <c r="E2457" s="1" t="s">
        <v>6003</v>
      </c>
      <c r="F2457" s="1" t="s">
        <v>11452</v>
      </c>
      <c r="G2457" s="1" t="s">
        <v>11453</v>
      </c>
      <c r="H2457" s="1" t="str">
        <f t="shared" si="38"/>
        <v>Veeam Manager</v>
      </c>
    </row>
    <row r="2458" spans="1:8">
      <c r="A2458" s="1">
        <v>2457</v>
      </c>
      <c r="B2458" s="1" t="s">
        <v>18821</v>
      </c>
      <c r="C2458" s="1" t="s">
        <v>294</v>
      </c>
      <c r="D2458" s="1" t="s">
        <v>11446</v>
      </c>
      <c r="E2458" s="1" t="s">
        <v>17420</v>
      </c>
      <c r="F2458" s="1" t="s">
        <v>11456</v>
      </c>
      <c r="G2458" s="1" t="s">
        <v>11457</v>
      </c>
      <c r="H2458" s="1" t="str">
        <f t="shared" si="38"/>
        <v>Veeam Manager</v>
      </c>
    </row>
    <row r="2459" spans="1:8">
      <c r="A2459" s="1">
        <v>2458</v>
      </c>
      <c r="B2459" s="1" t="s">
        <v>18822</v>
      </c>
      <c r="C2459" s="1" t="s">
        <v>84</v>
      </c>
      <c r="D2459" s="1" t="s">
        <v>11459</v>
      </c>
      <c r="E2459" s="1" t="s">
        <v>5983</v>
      </c>
      <c r="F2459" s="1" t="s">
        <v>11461</v>
      </c>
      <c r="G2459" s="1" t="s">
        <v>11462</v>
      </c>
      <c r="H2459" s="1" t="str">
        <f t="shared" si="38"/>
        <v>Veeam</v>
      </c>
    </row>
    <row r="2460" spans="1:8">
      <c r="A2460" s="1">
        <v>2459</v>
      </c>
      <c r="B2460" s="1" t="s">
        <v>18823</v>
      </c>
      <c r="C2460" s="1" t="s">
        <v>285</v>
      </c>
      <c r="D2460" s="1" t="s">
        <v>11464</v>
      </c>
      <c r="E2460" s="1" t="s">
        <v>11465</v>
      </c>
      <c r="F2460" s="1" t="s">
        <v>11466</v>
      </c>
      <c r="G2460" s="1" t="s">
        <v>11467</v>
      </c>
      <c r="H2460" s="1" t="str">
        <f t="shared" si="38"/>
        <v>Cert</v>
      </c>
    </row>
    <row r="2461" spans="1:8">
      <c r="A2461" s="1">
        <v>2460</v>
      </c>
      <c r="B2461" s="1" t="s">
        <v>18823</v>
      </c>
      <c r="C2461" s="1" t="s">
        <v>290</v>
      </c>
      <c r="D2461" s="1" t="s">
        <v>11464</v>
      </c>
      <c r="E2461" s="1" t="s">
        <v>11469</v>
      </c>
      <c r="F2461" s="1" t="s">
        <v>11470</v>
      </c>
      <c r="G2461" s="1" t="s">
        <v>11471</v>
      </c>
      <c r="H2461" s="1" t="str">
        <f t="shared" si="38"/>
        <v>Cert</v>
      </c>
    </row>
    <row r="2462" spans="1:8">
      <c r="A2462" s="1">
        <v>2461</v>
      </c>
      <c r="B2462" s="1" t="s">
        <v>18823</v>
      </c>
      <c r="C2462" s="1" t="s">
        <v>294</v>
      </c>
      <c r="D2462" s="1" t="s">
        <v>11464</v>
      </c>
      <c r="E2462" s="1" t="s">
        <v>11473</v>
      </c>
      <c r="F2462" s="1" t="s">
        <v>990</v>
      </c>
      <c r="G2462" s="1" t="s">
        <v>991</v>
      </c>
      <c r="H2462" s="1" t="str">
        <f t="shared" si="38"/>
        <v>Cert</v>
      </c>
    </row>
    <row r="2463" spans="1:8">
      <c r="A2463" s="1">
        <v>2462</v>
      </c>
      <c r="B2463" s="1" t="s">
        <v>18824</v>
      </c>
      <c r="C2463" s="1" t="s">
        <v>201</v>
      </c>
      <c r="D2463" s="1" t="s">
        <v>11475</v>
      </c>
      <c r="E2463" s="1" t="s">
        <v>11476</v>
      </c>
      <c r="F2463" s="1" t="s">
        <v>11477</v>
      </c>
      <c r="G2463" s="1" t="s">
        <v>11478</v>
      </c>
      <c r="H2463" s="1" t="str">
        <f t="shared" si="38"/>
        <v>WildFly</v>
      </c>
    </row>
    <row r="2464" spans="1:8">
      <c r="A2464" s="1">
        <v>2463</v>
      </c>
      <c r="B2464" s="1" t="s">
        <v>18824</v>
      </c>
      <c r="C2464" s="1" t="s">
        <v>206</v>
      </c>
      <c r="D2464" s="1" t="s">
        <v>11475</v>
      </c>
      <c r="E2464" s="1" t="s">
        <v>11480</v>
      </c>
      <c r="F2464" s="1" t="s">
        <v>11481</v>
      </c>
      <c r="G2464" s="1" t="s">
        <v>11482</v>
      </c>
      <c r="H2464" s="1" t="str">
        <f t="shared" si="38"/>
        <v>WildFly</v>
      </c>
    </row>
    <row r="2465" spans="1:8">
      <c r="A2465" s="1">
        <v>2464</v>
      </c>
      <c r="B2465" s="1" t="s">
        <v>18825</v>
      </c>
      <c r="C2465" s="1" t="s">
        <v>211</v>
      </c>
      <c r="D2465" s="1" t="s">
        <v>11484</v>
      </c>
      <c r="E2465" s="1" t="s">
        <v>11485</v>
      </c>
      <c r="F2465" s="1" t="s">
        <v>222</v>
      </c>
      <c r="G2465" s="1" t="s">
        <v>223</v>
      </c>
      <c r="H2465" s="1" t="str">
        <f t="shared" si="38"/>
        <v>WildFly</v>
      </c>
    </row>
    <row r="2466" spans="1:8">
      <c r="A2466" s="1">
        <v>2465</v>
      </c>
      <c r="B2466" s="1" t="s">
        <v>18825</v>
      </c>
      <c r="C2466" s="1" t="s">
        <v>214</v>
      </c>
      <c r="D2466" s="1" t="s">
        <v>11484</v>
      </c>
      <c r="E2466" s="1" t="s">
        <v>11487</v>
      </c>
      <c r="F2466" s="1" t="s">
        <v>226</v>
      </c>
      <c r="G2466" s="1" t="s">
        <v>227</v>
      </c>
      <c r="H2466" s="1" t="str">
        <f t="shared" si="38"/>
        <v>WildFly</v>
      </c>
    </row>
    <row r="2467" spans="1:8">
      <c r="A2467" s="1">
        <v>2466</v>
      </c>
      <c r="B2467" s="1" t="s">
        <v>18825</v>
      </c>
      <c r="C2467" s="1" t="s">
        <v>218</v>
      </c>
      <c r="D2467" s="1" t="s">
        <v>11484</v>
      </c>
      <c r="E2467" s="1" t="s">
        <v>11489</v>
      </c>
      <c r="F2467" s="1" t="s">
        <v>11477</v>
      </c>
      <c r="G2467" s="1" t="s">
        <v>11478</v>
      </c>
      <c r="H2467" s="1" t="str">
        <f t="shared" si="38"/>
        <v>WildFly</v>
      </c>
    </row>
    <row r="2468" spans="1:8">
      <c r="A2468" s="1">
        <v>2467</v>
      </c>
      <c r="B2468" s="1" t="s">
        <v>18825</v>
      </c>
      <c r="C2468" s="1" t="s">
        <v>220</v>
      </c>
      <c r="D2468" s="1" t="s">
        <v>11484</v>
      </c>
      <c r="E2468" s="1" t="s">
        <v>11491</v>
      </c>
      <c r="F2468" s="1" t="s">
        <v>11492</v>
      </c>
      <c r="G2468" s="1" t="s">
        <v>11493</v>
      </c>
      <c r="H2468" s="1" t="str">
        <f t="shared" si="38"/>
        <v>WildFly</v>
      </c>
    </row>
    <row r="2469" spans="1:8">
      <c r="A2469" s="1">
        <v>2468</v>
      </c>
      <c r="B2469" s="1" t="s">
        <v>18825</v>
      </c>
      <c r="C2469" s="1" t="s">
        <v>224</v>
      </c>
      <c r="D2469" s="1" t="s">
        <v>11484</v>
      </c>
      <c r="E2469" s="1" t="s">
        <v>11495</v>
      </c>
      <c r="F2469" s="1" t="s">
        <v>11481</v>
      </c>
      <c r="G2469" s="1" t="s">
        <v>11482</v>
      </c>
      <c r="H2469" s="1" t="str">
        <f t="shared" si="38"/>
        <v>WildFly</v>
      </c>
    </row>
    <row r="2470" spans="1:8">
      <c r="A2470" s="1">
        <v>2469</v>
      </c>
      <c r="B2470" s="1" t="s">
        <v>18826</v>
      </c>
      <c r="C2470" s="1" t="s">
        <v>392</v>
      </c>
      <c r="D2470" s="1" t="s">
        <v>11516</v>
      </c>
      <c r="E2470" s="1" t="s">
        <v>11517</v>
      </c>
      <c r="F2470" s="1" t="s">
        <v>11508</v>
      </c>
      <c r="G2470" s="1" t="s">
        <v>11509</v>
      </c>
      <c r="H2470" s="1" t="str">
        <f t="shared" si="38"/>
        <v>Windows</v>
      </c>
    </row>
    <row r="2471" spans="1:8">
      <c r="A2471" s="1">
        <v>2470</v>
      </c>
      <c r="B2471" s="1" t="s">
        <v>18826</v>
      </c>
      <c r="C2471" s="1" t="s">
        <v>397</v>
      </c>
      <c r="D2471" s="1" t="s">
        <v>11516</v>
      </c>
      <c r="E2471" s="1" t="s">
        <v>11519</v>
      </c>
      <c r="F2471" s="1" t="s">
        <v>11520</v>
      </c>
      <c r="G2471" s="1" t="s">
        <v>11521</v>
      </c>
      <c r="H2471" s="1" t="str">
        <f t="shared" si="38"/>
        <v>Windows</v>
      </c>
    </row>
    <row r="2472" spans="1:8">
      <c r="A2472" s="1">
        <v>2471</v>
      </c>
      <c r="B2472" s="1" t="s">
        <v>18826</v>
      </c>
      <c r="C2472" s="1" t="s">
        <v>401</v>
      </c>
      <c r="D2472" s="1" t="s">
        <v>11516</v>
      </c>
      <c r="E2472" s="1" t="s">
        <v>11523</v>
      </c>
      <c r="F2472" s="1" t="s">
        <v>11524</v>
      </c>
      <c r="G2472" s="1" t="s">
        <v>11525</v>
      </c>
      <c r="H2472" s="1" t="str">
        <f t="shared" si="38"/>
        <v>Windows</v>
      </c>
    </row>
    <row r="2473" spans="1:8">
      <c r="A2473" s="1">
        <v>2472</v>
      </c>
      <c r="B2473" s="1" t="s">
        <v>18826</v>
      </c>
      <c r="C2473" s="1" t="s">
        <v>405</v>
      </c>
      <c r="D2473" s="1" t="s">
        <v>11516</v>
      </c>
      <c r="E2473" s="1" t="s">
        <v>11527</v>
      </c>
      <c r="F2473" s="1" t="s">
        <v>11528</v>
      </c>
      <c r="G2473" s="1" t="s">
        <v>11529</v>
      </c>
      <c r="H2473" s="1" t="str">
        <f t="shared" si="38"/>
        <v>Windows</v>
      </c>
    </row>
    <row r="2474" spans="1:8">
      <c r="A2474" s="1">
        <v>2473</v>
      </c>
      <c r="B2474" s="1" t="s">
        <v>18826</v>
      </c>
      <c r="C2474" s="1" t="s">
        <v>409</v>
      </c>
      <c r="D2474" s="1" t="s">
        <v>11516</v>
      </c>
      <c r="E2474" s="1" t="s">
        <v>11531</v>
      </c>
      <c r="F2474" s="1" t="s">
        <v>11532</v>
      </c>
      <c r="G2474" s="1" t="s">
        <v>11533</v>
      </c>
      <c r="H2474" s="1" t="str">
        <f t="shared" si="38"/>
        <v>Windows</v>
      </c>
    </row>
    <row r="2475" spans="1:8">
      <c r="A2475" s="1">
        <v>2474</v>
      </c>
      <c r="B2475" s="1" t="s">
        <v>18826</v>
      </c>
      <c r="C2475" s="1" t="s">
        <v>413</v>
      </c>
      <c r="D2475" s="1" t="s">
        <v>11516</v>
      </c>
      <c r="E2475" s="1" t="s">
        <v>11535</v>
      </c>
      <c r="F2475" s="1" t="s">
        <v>11536</v>
      </c>
      <c r="G2475" s="1" t="s">
        <v>11537</v>
      </c>
      <c r="H2475" s="1" t="str">
        <f t="shared" si="38"/>
        <v>Windows</v>
      </c>
    </row>
    <row r="2476" spans="1:8">
      <c r="A2476" s="1">
        <v>2475</v>
      </c>
      <c r="B2476" s="1" t="s">
        <v>18826</v>
      </c>
      <c r="C2476" s="1" t="s">
        <v>417</v>
      </c>
      <c r="D2476" s="1" t="s">
        <v>11516</v>
      </c>
      <c r="E2476" s="1" t="s">
        <v>11539</v>
      </c>
      <c r="F2476" s="1" t="s">
        <v>11540</v>
      </c>
      <c r="G2476" s="1" t="s">
        <v>11541</v>
      </c>
      <c r="H2476" s="1" t="str">
        <f t="shared" si="38"/>
        <v>Windows</v>
      </c>
    </row>
    <row r="2477" spans="1:8">
      <c r="A2477" s="1">
        <v>2476</v>
      </c>
      <c r="B2477" s="1" t="s">
        <v>18827</v>
      </c>
      <c r="C2477" s="1" t="s">
        <v>1210</v>
      </c>
      <c r="D2477" s="1" t="s">
        <v>11543</v>
      </c>
      <c r="E2477" s="1" t="s">
        <v>11544</v>
      </c>
      <c r="F2477" s="1" t="s">
        <v>11498</v>
      </c>
      <c r="G2477" s="1" t="s">
        <v>11499</v>
      </c>
      <c r="H2477" s="1" t="str">
        <f t="shared" si="38"/>
        <v>Windows</v>
      </c>
    </row>
    <row r="2478" spans="1:8">
      <c r="A2478" s="1">
        <v>2477</v>
      </c>
      <c r="B2478" s="1" t="s">
        <v>18827</v>
      </c>
      <c r="C2478" s="1" t="s">
        <v>1215</v>
      </c>
      <c r="D2478" s="1" t="s">
        <v>11543</v>
      </c>
      <c r="E2478" s="1" t="s">
        <v>11546</v>
      </c>
      <c r="F2478" s="1" t="s">
        <v>11501</v>
      </c>
      <c r="G2478" s="1" t="s">
        <v>11502</v>
      </c>
      <c r="H2478" s="1" t="str">
        <f t="shared" si="38"/>
        <v>Windows</v>
      </c>
    </row>
    <row r="2479" spans="1:8">
      <c r="A2479" s="1">
        <v>2478</v>
      </c>
      <c r="B2479" s="1" t="s">
        <v>18827</v>
      </c>
      <c r="C2479" s="1" t="s">
        <v>1219</v>
      </c>
      <c r="D2479" s="1" t="s">
        <v>11543</v>
      </c>
      <c r="E2479" s="1" t="s">
        <v>11548</v>
      </c>
      <c r="F2479" s="1" t="s">
        <v>11505</v>
      </c>
      <c r="G2479" s="1" t="s">
        <v>11506</v>
      </c>
      <c r="H2479" s="1" t="str">
        <f t="shared" si="38"/>
        <v>Windows</v>
      </c>
    </row>
    <row r="2480" spans="1:8">
      <c r="A2480" s="1">
        <v>2479</v>
      </c>
      <c r="B2480" s="1" t="s">
        <v>18827</v>
      </c>
      <c r="C2480" s="1" t="s">
        <v>1223</v>
      </c>
      <c r="D2480" s="1" t="s">
        <v>11543</v>
      </c>
      <c r="E2480" s="1" t="s">
        <v>11550</v>
      </c>
      <c r="F2480" s="1" t="s">
        <v>11508</v>
      </c>
      <c r="G2480" s="1" t="s">
        <v>11509</v>
      </c>
      <c r="H2480" s="1" t="str">
        <f t="shared" si="38"/>
        <v>Windows</v>
      </c>
    </row>
    <row r="2481" spans="1:8">
      <c r="A2481" s="1">
        <v>2480</v>
      </c>
      <c r="B2481" s="1" t="s">
        <v>18827</v>
      </c>
      <c r="C2481" s="1" t="s">
        <v>1227</v>
      </c>
      <c r="D2481" s="1" t="s">
        <v>11543</v>
      </c>
      <c r="E2481" s="1" t="s">
        <v>11552</v>
      </c>
      <c r="F2481" s="1" t="s">
        <v>11553</v>
      </c>
      <c r="G2481" s="1" t="s">
        <v>11554</v>
      </c>
      <c r="H2481" s="1" t="str">
        <f t="shared" si="38"/>
        <v>Windows</v>
      </c>
    </row>
    <row r="2482" spans="1:8">
      <c r="A2482" s="1">
        <v>2481</v>
      </c>
      <c r="B2482" s="1" t="s">
        <v>18827</v>
      </c>
      <c r="C2482" s="1" t="s">
        <v>1231</v>
      </c>
      <c r="D2482" s="1" t="s">
        <v>11543</v>
      </c>
      <c r="E2482" s="1" t="s">
        <v>11556</v>
      </c>
      <c r="F2482" s="1" t="s">
        <v>11557</v>
      </c>
      <c r="G2482" s="1" t="s">
        <v>11558</v>
      </c>
      <c r="H2482" s="1" t="str">
        <f t="shared" si="38"/>
        <v>Windows</v>
      </c>
    </row>
    <row r="2483" spans="1:8">
      <c r="A2483" s="1">
        <v>2482</v>
      </c>
      <c r="B2483" s="1" t="s">
        <v>18827</v>
      </c>
      <c r="C2483" s="1" t="s">
        <v>1235</v>
      </c>
      <c r="D2483" s="1" t="s">
        <v>11543</v>
      </c>
      <c r="E2483" s="1" t="s">
        <v>11560</v>
      </c>
      <c r="F2483" s="1" t="s">
        <v>11561</v>
      </c>
      <c r="G2483" s="1" t="s">
        <v>11562</v>
      </c>
      <c r="H2483" s="1" t="str">
        <f t="shared" si="38"/>
        <v>Windows</v>
      </c>
    </row>
    <row r="2484" spans="1:8">
      <c r="A2484" s="1">
        <v>2483</v>
      </c>
      <c r="B2484" s="1" t="s">
        <v>18827</v>
      </c>
      <c r="C2484" s="1" t="s">
        <v>1239</v>
      </c>
      <c r="D2484" s="1" t="s">
        <v>11543</v>
      </c>
      <c r="E2484" s="1" t="s">
        <v>11564</v>
      </c>
      <c r="F2484" s="1" t="s">
        <v>11565</v>
      </c>
      <c r="G2484" s="1" t="s">
        <v>11566</v>
      </c>
      <c r="H2484" s="1" t="str">
        <f t="shared" si="38"/>
        <v>Windows</v>
      </c>
    </row>
    <row r="2485" spans="1:8">
      <c r="A2485" s="1">
        <v>2484</v>
      </c>
      <c r="B2485" s="1" t="s">
        <v>18827</v>
      </c>
      <c r="C2485" s="1" t="s">
        <v>1243</v>
      </c>
      <c r="D2485" s="1" t="s">
        <v>11543</v>
      </c>
      <c r="E2485" s="1" t="s">
        <v>6843</v>
      </c>
      <c r="F2485" s="1" t="s">
        <v>17490</v>
      </c>
      <c r="G2485" s="1" t="s">
        <v>18828</v>
      </c>
      <c r="H2485" s="1" t="str">
        <f t="shared" si="38"/>
        <v/>
      </c>
    </row>
    <row r="2486" spans="1:8">
      <c r="A2486" s="1">
        <v>2485</v>
      </c>
      <c r="B2486" s="1" t="s">
        <v>18827</v>
      </c>
      <c r="C2486" s="1" t="s">
        <v>1247</v>
      </c>
      <c r="D2486" s="1" t="s">
        <v>11543</v>
      </c>
      <c r="E2486" s="1" t="s">
        <v>11568</v>
      </c>
      <c r="F2486" s="1" t="s">
        <v>11569</v>
      </c>
      <c r="G2486" s="1" t="s">
        <v>11570</v>
      </c>
      <c r="H2486" s="1" t="str">
        <f t="shared" si="38"/>
        <v>Windows</v>
      </c>
    </row>
    <row r="2487" spans="1:8">
      <c r="A2487" s="1">
        <v>2486</v>
      </c>
      <c r="B2487" s="1" t="s">
        <v>18827</v>
      </c>
      <c r="C2487" s="1" t="s">
        <v>1251</v>
      </c>
      <c r="D2487" s="1" t="s">
        <v>11543</v>
      </c>
      <c r="E2487" s="1" t="s">
        <v>11572</v>
      </c>
      <c r="F2487" s="1" t="s">
        <v>11536</v>
      </c>
      <c r="G2487" s="1" t="s">
        <v>11537</v>
      </c>
      <c r="H2487" s="1" t="str">
        <f t="shared" si="38"/>
        <v>Windows</v>
      </c>
    </row>
    <row r="2488" spans="1:8">
      <c r="A2488" s="1">
        <v>2487</v>
      </c>
      <c r="B2488" s="1" t="s">
        <v>18827</v>
      </c>
      <c r="C2488" s="1" t="s">
        <v>1255</v>
      </c>
      <c r="D2488" s="1" t="s">
        <v>11543</v>
      </c>
      <c r="E2488" s="1" t="s">
        <v>11574</v>
      </c>
      <c r="F2488" s="1" t="s">
        <v>11540</v>
      </c>
      <c r="G2488" s="1" t="s">
        <v>11541</v>
      </c>
      <c r="H2488" s="1" t="str">
        <f t="shared" si="38"/>
        <v>Windows</v>
      </c>
    </row>
    <row r="2489" spans="1:8">
      <c r="A2489" s="1">
        <v>2488</v>
      </c>
      <c r="B2489" s="1" t="s">
        <v>18827</v>
      </c>
      <c r="C2489" s="1" t="s">
        <v>1259</v>
      </c>
      <c r="D2489" s="1" t="s">
        <v>11543</v>
      </c>
      <c r="E2489" s="1" t="s">
        <v>11576</v>
      </c>
      <c r="F2489" s="1" t="s">
        <v>11577</v>
      </c>
      <c r="G2489" s="1" t="s">
        <v>18829</v>
      </c>
      <c r="H2489" s="1" t="str">
        <f t="shared" si="38"/>
        <v>Windows</v>
      </c>
    </row>
    <row r="2490" spans="1:8">
      <c r="A2490" s="1">
        <v>2489</v>
      </c>
      <c r="B2490" s="1" t="s">
        <v>18830</v>
      </c>
      <c r="C2490" s="1" t="s">
        <v>452</v>
      </c>
      <c r="D2490" s="1" t="s">
        <v>11580</v>
      </c>
      <c r="E2490" s="1" t="s">
        <v>7424</v>
      </c>
      <c r="F2490" s="1" t="s">
        <v>17509</v>
      </c>
      <c r="G2490" s="1" t="s">
        <v>18831</v>
      </c>
      <c r="H2490" s="1" t="str">
        <f t="shared" si="38"/>
        <v/>
      </c>
    </row>
    <row r="2491" spans="1:8">
      <c r="A2491" s="1">
        <v>2490</v>
      </c>
      <c r="B2491" s="1" t="s">
        <v>18830</v>
      </c>
      <c r="C2491" s="1" t="s">
        <v>457</v>
      </c>
      <c r="D2491" s="1" t="s">
        <v>11580</v>
      </c>
      <c r="E2491" s="1" t="s">
        <v>11581</v>
      </c>
      <c r="F2491" s="1" t="s">
        <v>11498</v>
      </c>
      <c r="G2491" s="1" t="s">
        <v>11499</v>
      </c>
      <c r="H2491" s="1" t="str">
        <f t="shared" si="38"/>
        <v>Windows</v>
      </c>
    </row>
    <row r="2492" spans="1:8">
      <c r="A2492" s="1">
        <v>2491</v>
      </c>
      <c r="B2492" s="1" t="s">
        <v>18830</v>
      </c>
      <c r="C2492" s="1" t="s">
        <v>461</v>
      </c>
      <c r="D2492" s="1" t="s">
        <v>11580</v>
      </c>
      <c r="E2492" s="1" t="s">
        <v>11583</v>
      </c>
      <c r="F2492" s="1" t="s">
        <v>11501</v>
      </c>
      <c r="G2492" s="1" t="s">
        <v>11502</v>
      </c>
      <c r="H2492" s="1" t="str">
        <f t="shared" si="38"/>
        <v>Windows</v>
      </c>
    </row>
    <row r="2493" spans="1:8">
      <c r="A2493" s="1">
        <v>2492</v>
      </c>
      <c r="B2493" s="1" t="s">
        <v>18830</v>
      </c>
      <c r="C2493" s="1" t="s">
        <v>465</v>
      </c>
      <c r="D2493" s="1" t="s">
        <v>11580</v>
      </c>
      <c r="E2493" s="1" t="s">
        <v>11585</v>
      </c>
      <c r="F2493" s="1" t="s">
        <v>11505</v>
      </c>
      <c r="G2493" s="1" t="s">
        <v>11506</v>
      </c>
      <c r="H2493" s="1" t="str">
        <f t="shared" si="38"/>
        <v>Windows</v>
      </c>
    </row>
    <row r="2494" spans="1:8">
      <c r="A2494" s="1">
        <v>2493</v>
      </c>
      <c r="B2494" s="1" t="s">
        <v>18830</v>
      </c>
      <c r="C2494" s="1" t="s">
        <v>469</v>
      </c>
      <c r="D2494" s="1" t="s">
        <v>11580</v>
      </c>
      <c r="E2494" s="1" t="s">
        <v>11587</v>
      </c>
      <c r="F2494" s="1" t="s">
        <v>11508</v>
      </c>
      <c r="G2494" s="1" t="s">
        <v>11509</v>
      </c>
      <c r="H2494" s="1" t="str">
        <f t="shared" si="38"/>
        <v>Windows</v>
      </c>
    </row>
    <row r="2495" spans="1:8">
      <c r="A2495" s="1">
        <v>2494</v>
      </c>
      <c r="B2495" s="1" t="s">
        <v>18830</v>
      </c>
      <c r="C2495" s="1" t="s">
        <v>473</v>
      </c>
      <c r="D2495" s="1" t="s">
        <v>11580</v>
      </c>
      <c r="E2495" s="1" t="s">
        <v>11589</v>
      </c>
      <c r="F2495" s="1" t="s">
        <v>11553</v>
      </c>
      <c r="G2495" s="1" t="s">
        <v>11554</v>
      </c>
      <c r="H2495" s="1" t="str">
        <f t="shared" si="38"/>
        <v>Windows</v>
      </c>
    </row>
    <row r="2496" spans="1:8">
      <c r="A2496" s="1">
        <v>2495</v>
      </c>
      <c r="B2496" s="1" t="s">
        <v>18830</v>
      </c>
      <c r="C2496" s="1" t="s">
        <v>477</v>
      </c>
      <c r="D2496" s="1" t="s">
        <v>11580</v>
      </c>
      <c r="E2496" s="1" t="s">
        <v>11591</v>
      </c>
      <c r="F2496" s="1" t="s">
        <v>11557</v>
      </c>
      <c r="G2496" s="1" t="s">
        <v>11558</v>
      </c>
      <c r="H2496" s="1" t="str">
        <f t="shared" si="38"/>
        <v>Windows</v>
      </c>
    </row>
    <row r="2497" spans="1:8">
      <c r="A2497" s="1">
        <v>2496</v>
      </c>
      <c r="B2497" s="1" t="s">
        <v>18830</v>
      </c>
      <c r="C2497" s="1" t="s">
        <v>481</v>
      </c>
      <c r="D2497" s="1" t="s">
        <v>11580</v>
      </c>
      <c r="E2497" s="1" t="s">
        <v>11593</v>
      </c>
      <c r="F2497" s="1" t="s">
        <v>11561</v>
      </c>
      <c r="G2497" s="1" t="s">
        <v>11562</v>
      </c>
      <c r="H2497" s="1" t="str">
        <f t="shared" si="38"/>
        <v>Windows</v>
      </c>
    </row>
    <row r="2498" spans="1:8">
      <c r="A2498" s="1">
        <v>2497</v>
      </c>
      <c r="B2498" s="1" t="s">
        <v>18830</v>
      </c>
      <c r="C2498" s="1" t="s">
        <v>485</v>
      </c>
      <c r="D2498" s="1" t="s">
        <v>11580</v>
      </c>
      <c r="E2498" s="1" t="s">
        <v>11595</v>
      </c>
      <c r="F2498" s="1" t="s">
        <v>11565</v>
      </c>
      <c r="G2498" s="1" t="s">
        <v>11566</v>
      </c>
      <c r="H2498" s="1" t="str">
        <f t="shared" ref="H2498:H2561" si="39">IFERROR(IF(OR(MID(G2498,FIND(":",G2498)-1,1)="""",MID(G2498,FIND(":",G2498)-1,1)="}",MID(G2498,FIND(":",G2498)-1,1)=")",MID(G2498,FIND(":",G2498)-1,1)="]"),"",LEFT(F2498,FIND(":",F2498)-1)),"")</f>
        <v>Windows</v>
      </c>
    </row>
    <row r="2499" spans="1:8">
      <c r="A2499" s="1">
        <v>2498</v>
      </c>
      <c r="B2499" s="1" t="s">
        <v>18830</v>
      </c>
      <c r="C2499" s="1" t="s">
        <v>489</v>
      </c>
      <c r="D2499" s="1" t="s">
        <v>11580</v>
      </c>
      <c r="E2499" s="1" t="s">
        <v>6847</v>
      </c>
      <c r="F2499" s="1" t="s">
        <v>17490</v>
      </c>
      <c r="G2499" s="1" t="s">
        <v>18828</v>
      </c>
      <c r="H2499" s="1" t="str">
        <f t="shared" si="39"/>
        <v/>
      </c>
    </row>
    <row r="2500" spans="1:8">
      <c r="A2500" s="1">
        <v>2499</v>
      </c>
      <c r="B2500" s="1" t="s">
        <v>18830</v>
      </c>
      <c r="C2500" s="1" t="s">
        <v>493</v>
      </c>
      <c r="D2500" s="1" t="s">
        <v>11580</v>
      </c>
      <c r="E2500" s="1" t="s">
        <v>18832</v>
      </c>
      <c r="F2500" s="1" t="s">
        <v>11569</v>
      </c>
      <c r="G2500" s="1" t="s">
        <v>11570</v>
      </c>
      <c r="H2500" s="1" t="str">
        <f t="shared" si="39"/>
        <v>Windows</v>
      </c>
    </row>
    <row r="2501" spans="1:8">
      <c r="A2501" s="1">
        <v>2500</v>
      </c>
      <c r="B2501" s="1" t="s">
        <v>18830</v>
      </c>
      <c r="C2501" s="1" t="s">
        <v>497</v>
      </c>
      <c r="D2501" s="1" t="s">
        <v>11580</v>
      </c>
      <c r="E2501" s="1" t="s">
        <v>11597</v>
      </c>
      <c r="F2501" s="1" t="s">
        <v>11536</v>
      </c>
      <c r="G2501" s="1" t="s">
        <v>11537</v>
      </c>
      <c r="H2501" s="1" t="str">
        <f t="shared" si="39"/>
        <v>Windows</v>
      </c>
    </row>
    <row r="2502" spans="1:8">
      <c r="A2502" s="1">
        <v>2501</v>
      </c>
      <c r="B2502" s="1" t="s">
        <v>18830</v>
      </c>
      <c r="C2502" s="1" t="s">
        <v>501</v>
      </c>
      <c r="D2502" s="1" t="s">
        <v>11580</v>
      </c>
      <c r="E2502" s="1" t="s">
        <v>11599</v>
      </c>
      <c r="F2502" s="1" t="s">
        <v>11540</v>
      </c>
      <c r="G2502" s="1" t="s">
        <v>11541</v>
      </c>
      <c r="H2502" s="1" t="str">
        <f t="shared" si="39"/>
        <v>Windows</v>
      </c>
    </row>
    <row r="2503" spans="1:8">
      <c r="A2503" s="1">
        <v>2502</v>
      </c>
      <c r="B2503" s="1" t="s">
        <v>18830</v>
      </c>
      <c r="C2503" s="1" t="s">
        <v>505</v>
      </c>
      <c r="D2503" s="1" t="s">
        <v>11580</v>
      </c>
      <c r="E2503" s="1" t="s">
        <v>11601</v>
      </c>
      <c r="F2503" s="1" t="s">
        <v>11577</v>
      </c>
      <c r="G2503" s="1" t="s">
        <v>18829</v>
      </c>
      <c r="H2503" s="1" t="str">
        <f t="shared" si="39"/>
        <v>Windows</v>
      </c>
    </row>
    <row r="2504" spans="1:8">
      <c r="A2504" s="1">
        <v>2503</v>
      </c>
      <c r="B2504" s="1" t="s">
        <v>18833</v>
      </c>
      <c r="C2504" s="1" t="s">
        <v>1210</v>
      </c>
      <c r="D2504" s="1" t="s">
        <v>11622</v>
      </c>
      <c r="E2504" s="1" t="s">
        <v>5712</v>
      </c>
      <c r="F2504" s="1" t="s">
        <v>11624</v>
      </c>
      <c r="G2504" s="1" t="s">
        <v>18834</v>
      </c>
      <c r="H2504" s="1" t="str">
        <f t="shared" si="39"/>
        <v/>
      </c>
    </row>
    <row r="2505" spans="1:8">
      <c r="A2505" s="1">
        <v>2504</v>
      </c>
      <c r="B2505" s="1" t="s">
        <v>18833</v>
      </c>
      <c r="C2505" s="1" t="s">
        <v>1215</v>
      </c>
      <c r="D2505" s="1" t="s">
        <v>11622</v>
      </c>
      <c r="E2505" s="1" t="s">
        <v>5700</v>
      </c>
      <c r="F2505" s="1" t="s">
        <v>11628</v>
      </c>
      <c r="G2505" s="1" t="s">
        <v>18835</v>
      </c>
      <c r="H2505" s="1" t="str">
        <f t="shared" si="39"/>
        <v/>
      </c>
    </row>
    <row r="2506" spans="1:8">
      <c r="A2506" s="1">
        <v>2505</v>
      </c>
      <c r="B2506" s="1" t="s">
        <v>18833</v>
      </c>
      <c r="C2506" s="1" t="s">
        <v>1219</v>
      </c>
      <c r="D2506" s="1" t="s">
        <v>11622</v>
      </c>
      <c r="E2506" s="1" t="s">
        <v>5704</v>
      </c>
      <c r="F2506" s="1" t="s">
        <v>11632</v>
      </c>
      <c r="G2506" s="1" t="s">
        <v>18836</v>
      </c>
      <c r="H2506" s="1" t="str">
        <f t="shared" si="39"/>
        <v/>
      </c>
    </row>
    <row r="2507" spans="1:8">
      <c r="A2507" s="1">
        <v>2506</v>
      </c>
      <c r="B2507" s="1" t="s">
        <v>18833</v>
      </c>
      <c r="C2507" s="1" t="s">
        <v>1223</v>
      </c>
      <c r="D2507" s="1" t="s">
        <v>11622</v>
      </c>
      <c r="E2507" s="1" t="s">
        <v>5696</v>
      </c>
      <c r="F2507" s="1" t="s">
        <v>11636</v>
      </c>
      <c r="G2507" s="1" t="s">
        <v>18837</v>
      </c>
      <c r="H2507" s="1" t="str">
        <f t="shared" si="39"/>
        <v/>
      </c>
    </row>
    <row r="2508" spans="1:8">
      <c r="A2508" s="1">
        <v>2507</v>
      </c>
      <c r="B2508" s="1" t="s">
        <v>18833</v>
      </c>
      <c r="C2508" s="1" t="s">
        <v>1227</v>
      </c>
      <c r="D2508" s="1" t="s">
        <v>11622</v>
      </c>
      <c r="E2508" s="1" t="s">
        <v>18838</v>
      </c>
      <c r="F2508" s="1" t="s">
        <v>11640</v>
      </c>
      <c r="G2508" s="1" t="s">
        <v>18839</v>
      </c>
      <c r="H2508" s="1" t="str">
        <f t="shared" si="39"/>
        <v/>
      </c>
    </row>
    <row r="2509" spans="1:8">
      <c r="A2509" s="1">
        <v>2508</v>
      </c>
      <c r="B2509" s="1" t="s">
        <v>18833</v>
      </c>
      <c r="C2509" s="1" t="s">
        <v>1231</v>
      </c>
      <c r="D2509" s="1" t="s">
        <v>11622</v>
      </c>
      <c r="E2509" s="1" t="s">
        <v>18840</v>
      </c>
      <c r="F2509" s="1" t="s">
        <v>11644</v>
      </c>
      <c r="G2509" s="1" t="s">
        <v>18841</v>
      </c>
      <c r="H2509" s="1" t="str">
        <f t="shared" si="39"/>
        <v/>
      </c>
    </row>
    <row r="2510" spans="1:8">
      <c r="A2510" s="1">
        <v>2509</v>
      </c>
      <c r="B2510" s="1" t="s">
        <v>18833</v>
      </c>
      <c r="C2510" s="1" t="s">
        <v>1235</v>
      </c>
      <c r="D2510" s="1" t="s">
        <v>11622</v>
      </c>
      <c r="E2510" s="1" t="s">
        <v>18842</v>
      </c>
      <c r="F2510" s="1" t="s">
        <v>11648</v>
      </c>
      <c r="G2510" s="1" t="s">
        <v>18843</v>
      </c>
      <c r="H2510" s="1" t="str">
        <f t="shared" si="39"/>
        <v/>
      </c>
    </row>
    <row r="2511" spans="1:8">
      <c r="A2511" s="1">
        <v>2510</v>
      </c>
      <c r="B2511" s="1" t="s">
        <v>18833</v>
      </c>
      <c r="C2511" s="1" t="s">
        <v>1239</v>
      </c>
      <c r="D2511" s="1" t="s">
        <v>11622</v>
      </c>
      <c r="E2511" s="1" t="s">
        <v>18844</v>
      </c>
      <c r="F2511" s="1" t="s">
        <v>11652</v>
      </c>
      <c r="G2511" s="1" t="s">
        <v>18845</v>
      </c>
      <c r="H2511" s="1" t="str">
        <f t="shared" si="39"/>
        <v/>
      </c>
    </row>
    <row r="2512" spans="1:8">
      <c r="A2512" s="1">
        <v>2511</v>
      </c>
      <c r="B2512" s="1" t="s">
        <v>18833</v>
      </c>
      <c r="C2512" s="1" t="s">
        <v>1243</v>
      </c>
      <c r="D2512" s="1" t="s">
        <v>11622</v>
      </c>
      <c r="E2512" s="1" t="s">
        <v>18846</v>
      </c>
      <c r="F2512" s="1" t="s">
        <v>11656</v>
      </c>
      <c r="G2512" s="1" t="s">
        <v>18847</v>
      </c>
      <c r="H2512" s="1" t="str">
        <f t="shared" si="39"/>
        <v/>
      </c>
    </row>
    <row r="2513" spans="1:8">
      <c r="A2513" s="1">
        <v>2512</v>
      </c>
      <c r="B2513" s="1" t="s">
        <v>18833</v>
      </c>
      <c r="C2513" s="1" t="s">
        <v>1247</v>
      </c>
      <c r="D2513" s="1" t="s">
        <v>11622</v>
      </c>
      <c r="E2513" s="1" t="s">
        <v>18848</v>
      </c>
      <c r="F2513" s="1" t="s">
        <v>11660</v>
      </c>
      <c r="G2513" s="1" t="s">
        <v>18849</v>
      </c>
      <c r="H2513" s="1" t="str">
        <f t="shared" si="39"/>
        <v/>
      </c>
    </row>
    <row r="2514" spans="1:8">
      <c r="A2514" s="1">
        <v>2513</v>
      </c>
      <c r="B2514" s="1" t="s">
        <v>18833</v>
      </c>
      <c r="C2514" s="1" t="s">
        <v>1251</v>
      </c>
      <c r="D2514" s="1" t="s">
        <v>11622</v>
      </c>
      <c r="E2514" s="1" t="s">
        <v>18850</v>
      </c>
      <c r="F2514" s="1" t="s">
        <v>11664</v>
      </c>
      <c r="G2514" s="1" t="s">
        <v>18851</v>
      </c>
      <c r="H2514" s="1" t="str">
        <f t="shared" si="39"/>
        <v/>
      </c>
    </row>
    <row r="2515" spans="1:8">
      <c r="A2515" s="1">
        <v>2514</v>
      </c>
      <c r="B2515" s="1" t="s">
        <v>18833</v>
      </c>
      <c r="C2515" s="1" t="s">
        <v>1255</v>
      </c>
      <c r="D2515" s="1" t="s">
        <v>11622</v>
      </c>
      <c r="E2515" s="1" t="s">
        <v>5676</v>
      </c>
      <c r="F2515" s="1" t="s">
        <v>11668</v>
      </c>
      <c r="G2515" s="1" t="s">
        <v>18852</v>
      </c>
      <c r="H2515" s="1" t="str">
        <f t="shared" si="39"/>
        <v/>
      </c>
    </row>
    <row r="2516" spans="1:8">
      <c r="A2516" s="1">
        <v>2515</v>
      </c>
      <c r="B2516" s="1" t="s">
        <v>18833</v>
      </c>
      <c r="C2516" s="1" t="s">
        <v>1259</v>
      </c>
      <c r="D2516" s="1" t="s">
        <v>11622</v>
      </c>
      <c r="E2516" s="1" t="s">
        <v>5708</v>
      </c>
      <c r="F2516" s="1" t="s">
        <v>11672</v>
      </c>
      <c r="G2516" s="1" t="s">
        <v>18853</v>
      </c>
      <c r="H2516" s="1" t="str">
        <f t="shared" si="39"/>
        <v/>
      </c>
    </row>
    <row r="2517" spans="1:8">
      <c r="A2517" s="1">
        <v>2516</v>
      </c>
      <c r="B2517" s="1" t="s">
        <v>18854</v>
      </c>
      <c r="C2517" s="1" t="s">
        <v>84</v>
      </c>
      <c r="D2517" s="1" t="s">
        <v>11675</v>
      </c>
      <c r="E2517" s="1" t="s">
        <v>5680</v>
      </c>
      <c r="F2517" s="1" t="s">
        <v>11677</v>
      </c>
      <c r="G2517" s="1" t="s">
        <v>18855</v>
      </c>
      <c r="H2517" s="1" t="str">
        <f t="shared" si="39"/>
        <v/>
      </c>
    </row>
    <row r="2518" spans="1:8">
      <c r="A2518" s="1">
        <v>2517</v>
      </c>
      <c r="B2518" s="1" t="s">
        <v>18856</v>
      </c>
      <c r="C2518" s="1" t="s">
        <v>251</v>
      </c>
      <c r="D2518" s="1" t="s">
        <v>11680</v>
      </c>
      <c r="E2518" s="1" t="s">
        <v>11681</v>
      </c>
      <c r="F2518" s="1" t="s">
        <v>2950</v>
      </c>
      <c r="G2518" s="1" t="s">
        <v>2951</v>
      </c>
      <c r="H2518" s="1" t="str">
        <f t="shared" si="39"/>
        <v>ZYXEL AAM1212-51 / IES-612</v>
      </c>
    </row>
    <row r="2519" spans="1:8">
      <c r="A2519" s="1">
        <v>2518</v>
      </c>
      <c r="B2519" s="1" t="s">
        <v>18856</v>
      </c>
      <c r="C2519" s="1" t="s">
        <v>254</v>
      </c>
      <c r="D2519" s="1" t="s">
        <v>11680</v>
      </c>
      <c r="E2519" s="1" t="s">
        <v>11683</v>
      </c>
      <c r="F2519" s="1" t="s">
        <v>2944</v>
      </c>
      <c r="G2519" s="1" t="s">
        <v>2945</v>
      </c>
      <c r="H2519" s="1" t="str">
        <f t="shared" si="39"/>
        <v>ZYXEL AAM1212-51 / IES-612</v>
      </c>
    </row>
    <row r="2520" spans="1:8">
      <c r="A2520" s="1">
        <v>2519</v>
      </c>
      <c r="B2520" s="1" t="s">
        <v>18856</v>
      </c>
      <c r="C2520" s="1" t="s">
        <v>256</v>
      </c>
      <c r="D2520" s="1" t="s">
        <v>11680</v>
      </c>
      <c r="E2520" s="1" t="s">
        <v>11685</v>
      </c>
      <c r="F2520" s="1" t="s">
        <v>11686</v>
      </c>
      <c r="G2520" s="1" t="s">
        <v>11687</v>
      </c>
      <c r="H2520" s="1" t="str">
        <f t="shared" si="39"/>
        <v>ZYXEL AAM1212-51 / IES-612</v>
      </c>
    </row>
    <row r="2521" spans="1:8">
      <c r="A2521" s="1">
        <v>2520</v>
      </c>
      <c r="B2521" s="1" t="s">
        <v>18856</v>
      </c>
      <c r="C2521" s="1" t="s">
        <v>260</v>
      </c>
      <c r="D2521" s="1" t="s">
        <v>11680</v>
      </c>
      <c r="E2521" s="1" t="s">
        <v>11689</v>
      </c>
      <c r="F2521" s="1" t="s">
        <v>2938</v>
      </c>
      <c r="G2521" s="1" t="s">
        <v>2939</v>
      </c>
      <c r="H2521" s="1" t="str">
        <f t="shared" si="39"/>
        <v>ZYXEL AAM1212-51 / IES-612</v>
      </c>
    </row>
    <row r="2522" spans="1:8">
      <c r="A2522" s="1">
        <v>2521</v>
      </c>
      <c r="B2522" s="1" t="s">
        <v>18856</v>
      </c>
      <c r="C2522" s="1" t="s">
        <v>262</v>
      </c>
      <c r="D2522" s="1" t="s">
        <v>11680</v>
      </c>
      <c r="E2522" s="1" t="s">
        <v>11691</v>
      </c>
      <c r="F2522" s="1" t="s">
        <v>11692</v>
      </c>
      <c r="G2522" s="1" t="s">
        <v>11693</v>
      </c>
      <c r="H2522" s="1" t="str">
        <f t="shared" si="39"/>
        <v>ZYXEL AAM1212-51 / IES-612</v>
      </c>
    </row>
    <row r="2523" spans="1:8">
      <c r="A2523" s="1">
        <v>2522</v>
      </c>
      <c r="B2523" s="1" t="s">
        <v>18856</v>
      </c>
      <c r="C2523" s="1" t="s">
        <v>264</v>
      </c>
      <c r="D2523" s="1" t="s">
        <v>11680</v>
      </c>
      <c r="E2523" s="1" t="s">
        <v>11695</v>
      </c>
      <c r="F2523" s="1" t="s">
        <v>2941</v>
      </c>
      <c r="G2523" s="1" t="s">
        <v>2942</v>
      </c>
      <c r="H2523" s="1" t="str">
        <f t="shared" si="39"/>
        <v>ZYXEL AAM1212-51 / IES-612</v>
      </c>
    </row>
    <row r="2524" spans="1:8">
      <c r="A2524" s="1">
        <v>2523</v>
      </c>
      <c r="B2524" s="1" t="s">
        <v>18857</v>
      </c>
      <c r="C2524" s="1" t="s">
        <v>251</v>
      </c>
      <c r="D2524" s="1" t="s">
        <v>11697</v>
      </c>
      <c r="E2524" s="1" t="s">
        <v>11698</v>
      </c>
      <c r="F2524" s="1" t="s">
        <v>11699</v>
      </c>
      <c r="G2524" s="1" t="s">
        <v>11700</v>
      </c>
      <c r="H2524" s="1" t="str">
        <f t="shared" si="39"/>
        <v>ZYXEL ES3500-8PD</v>
      </c>
    </row>
    <row r="2525" spans="1:8">
      <c r="A2525" s="1">
        <v>2524</v>
      </c>
      <c r="B2525" s="1" t="s">
        <v>18857</v>
      </c>
      <c r="C2525" s="1" t="s">
        <v>254</v>
      </c>
      <c r="D2525" s="1" t="s">
        <v>11697</v>
      </c>
      <c r="E2525" s="1" t="s">
        <v>11702</v>
      </c>
      <c r="F2525" s="1" t="s">
        <v>2967</v>
      </c>
      <c r="G2525" s="1" t="s">
        <v>2968</v>
      </c>
      <c r="H2525" s="1" t="str">
        <f t="shared" si="39"/>
        <v>ZYXEL ES3500-8PD</v>
      </c>
    </row>
    <row r="2526" spans="1:8">
      <c r="A2526" s="1">
        <v>2525</v>
      </c>
      <c r="B2526" s="1" t="s">
        <v>18857</v>
      </c>
      <c r="C2526" s="1" t="s">
        <v>256</v>
      </c>
      <c r="D2526" s="1" t="s">
        <v>11697</v>
      </c>
      <c r="E2526" s="1" t="s">
        <v>11704</v>
      </c>
      <c r="F2526" s="1" t="s">
        <v>11705</v>
      </c>
      <c r="G2526" s="1" t="s">
        <v>11706</v>
      </c>
      <c r="H2526" s="1" t="str">
        <f t="shared" si="39"/>
        <v>ZYXEL ES3500-8PD</v>
      </c>
    </row>
    <row r="2527" spans="1:8">
      <c r="A2527" s="1">
        <v>2526</v>
      </c>
      <c r="B2527" s="1" t="s">
        <v>18857</v>
      </c>
      <c r="C2527" s="1" t="s">
        <v>260</v>
      </c>
      <c r="D2527" s="1" t="s">
        <v>11697</v>
      </c>
      <c r="E2527" s="1" t="s">
        <v>11708</v>
      </c>
      <c r="F2527" s="1" t="s">
        <v>2958</v>
      </c>
      <c r="G2527" s="1" t="s">
        <v>2959</v>
      </c>
      <c r="H2527" s="1" t="str">
        <f t="shared" si="39"/>
        <v>ZYXEL ES3500-8PD</v>
      </c>
    </row>
    <row r="2528" spans="1:8">
      <c r="A2528" s="1">
        <v>2527</v>
      </c>
      <c r="B2528" s="1" t="s">
        <v>18857</v>
      </c>
      <c r="C2528" s="1" t="s">
        <v>262</v>
      </c>
      <c r="D2528" s="1" t="s">
        <v>11697</v>
      </c>
      <c r="E2528" s="1" t="s">
        <v>11710</v>
      </c>
      <c r="F2528" s="1" t="s">
        <v>11711</v>
      </c>
      <c r="G2528" s="1" t="s">
        <v>11712</v>
      </c>
      <c r="H2528" s="1" t="str">
        <f t="shared" si="39"/>
        <v>ZYXEL ES3500-8PD</v>
      </c>
    </row>
    <row r="2529" spans="1:8">
      <c r="A2529" s="1">
        <v>2528</v>
      </c>
      <c r="B2529" s="1" t="s">
        <v>18857</v>
      </c>
      <c r="C2529" s="1" t="s">
        <v>264</v>
      </c>
      <c r="D2529" s="1" t="s">
        <v>11697</v>
      </c>
      <c r="E2529" s="1" t="s">
        <v>11714</v>
      </c>
      <c r="F2529" s="1" t="s">
        <v>2964</v>
      </c>
      <c r="G2529" s="1" t="s">
        <v>2965</v>
      </c>
      <c r="H2529" s="1" t="str">
        <f t="shared" si="39"/>
        <v>ZYXEL ES3500-8PD</v>
      </c>
    </row>
    <row r="2530" spans="1:8">
      <c r="A2530" s="1">
        <v>2529</v>
      </c>
      <c r="B2530" s="1" t="s">
        <v>18858</v>
      </c>
      <c r="C2530" s="1" t="s">
        <v>251</v>
      </c>
      <c r="D2530" s="1" t="s">
        <v>11716</v>
      </c>
      <c r="E2530" s="1" t="s">
        <v>11717</v>
      </c>
      <c r="F2530" s="1" t="s">
        <v>11718</v>
      </c>
      <c r="G2530" s="1" t="s">
        <v>11719</v>
      </c>
      <c r="H2530" s="1" t="str">
        <f t="shared" si="39"/>
        <v>ZYXEL GS-4012F</v>
      </c>
    </row>
    <row r="2531" spans="1:8">
      <c r="A2531" s="1">
        <v>2530</v>
      </c>
      <c r="B2531" s="1" t="s">
        <v>18858</v>
      </c>
      <c r="C2531" s="1" t="s">
        <v>254</v>
      </c>
      <c r="D2531" s="1" t="s">
        <v>11716</v>
      </c>
      <c r="E2531" s="1" t="s">
        <v>11721</v>
      </c>
      <c r="F2531" s="1" t="s">
        <v>2987</v>
      </c>
      <c r="G2531" s="1" t="s">
        <v>2988</v>
      </c>
      <c r="H2531" s="1" t="str">
        <f t="shared" si="39"/>
        <v>ZYXEL GS-4012F</v>
      </c>
    </row>
    <row r="2532" spans="1:8">
      <c r="A2532" s="1">
        <v>2531</v>
      </c>
      <c r="B2532" s="1" t="s">
        <v>18858</v>
      </c>
      <c r="C2532" s="1" t="s">
        <v>256</v>
      </c>
      <c r="D2532" s="1" t="s">
        <v>11716</v>
      </c>
      <c r="E2532" s="1" t="s">
        <v>11723</v>
      </c>
      <c r="F2532" s="1" t="s">
        <v>11724</v>
      </c>
      <c r="G2532" s="1" t="s">
        <v>11725</v>
      </c>
      <c r="H2532" s="1" t="str">
        <f t="shared" si="39"/>
        <v>ZYXEL GS-4012F</v>
      </c>
    </row>
    <row r="2533" spans="1:8">
      <c r="A2533" s="1">
        <v>2532</v>
      </c>
      <c r="B2533" s="1" t="s">
        <v>18858</v>
      </c>
      <c r="C2533" s="1" t="s">
        <v>260</v>
      </c>
      <c r="D2533" s="1" t="s">
        <v>11716</v>
      </c>
      <c r="E2533" s="1" t="s">
        <v>11727</v>
      </c>
      <c r="F2533" s="1" t="s">
        <v>2978</v>
      </c>
      <c r="G2533" s="1" t="s">
        <v>2979</v>
      </c>
      <c r="H2533" s="1" t="str">
        <f t="shared" si="39"/>
        <v>ZYXEL GS-4012F</v>
      </c>
    </row>
    <row r="2534" spans="1:8">
      <c r="A2534" s="1">
        <v>2533</v>
      </c>
      <c r="B2534" s="1" t="s">
        <v>18858</v>
      </c>
      <c r="C2534" s="1" t="s">
        <v>262</v>
      </c>
      <c r="D2534" s="1" t="s">
        <v>11716</v>
      </c>
      <c r="E2534" s="1" t="s">
        <v>11729</v>
      </c>
      <c r="F2534" s="1" t="s">
        <v>11730</v>
      </c>
      <c r="G2534" s="1" t="s">
        <v>11731</v>
      </c>
      <c r="H2534" s="1" t="str">
        <f t="shared" si="39"/>
        <v>ZYXEL GS-4012F</v>
      </c>
    </row>
    <row r="2535" spans="1:8">
      <c r="A2535" s="1">
        <v>2534</v>
      </c>
      <c r="B2535" s="1" t="s">
        <v>18858</v>
      </c>
      <c r="C2535" s="1" t="s">
        <v>264</v>
      </c>
      <c r="D2535" s="1" t="s">
        <v>11716</v>
      </c>
      <c r="E2535" s="1" t="s">
        <v>11733</v>
      </c>
      <c r="F2535" s="1" t="s">
        <v>2984</v>
      </c>
      <c r="G2535" s="1" t="s">
        <v>2985</v>
      </c>
      <c r="H2535" s="1" t="str">
        <f t="shared" si="39"/>
        <v>ZYXEL GS-4012F</v>
      </c>
    </row>
    <row r="2536" spans="1:8">
      <c r="A2536" s="1">
        <v>2535</v>
      </c>
      <c r="B2536" s="1" t="s">
        <v>18859</v>
      </c>
      <c r="C2536" s="1" t="s">
        <v>285</v>
      </c>
      <c r="D2536" s="1" t="s">
        <v>11735</v>
      </c>
      <c r="E2536" s="1" t="s">
        <v>11736</v>
      </c>
      <c r="F2536" s="1" t="s">
        <v>3001</v>
      </c>
      <c r="G2536" s="1" t="s">
        <v>3002</v>
      </c>
      <c r="H2536" s="1" t="str">
        <f t="shared" si="39"/>
        <v>ZYXEL IES-500x</v>
      </c>
    </row>
    <row r="2537" spans="1:8">
      <c r="A2537" s="1">
        <v>2536</v>
      </c>
      <c r="B2537" s="1" t="s">
        <v>18859</v>
      </c>
      <c r="C2537" s="1" t="s">
        <v>290</v>
      </c>
      <c r="D2537" s="1" t="s">
        <v>11735</v>
      </c>
      <c r="E2537" s="1" t="s">
        <v>11738</v>
      </c>
      <c r="F2537" s="1" t="s">
        <v>2998</v>
      </c>
      <c r="G2537" s="1" t="s">
        <v>2999</v>
      </c>
      <c r="H2537" s="1" t="str">
        <f t="shared" si="39"/>
        <v>ZYXEL IES-500x</v>
      </c>
    </row>
    <row r="2538" spans="1:8">
      <c r="A2538" s="1">
        <v>2537</v>
      </c>
      <c r="B2538" s="1" t="s">
        <v>18859</v>
      </c>
      <c r="C2538" s="1" t="s">
        <v>294</v>
      </c>
      <c r="D2538" s="1" t="s">
        <v>11735</v>
      </c>
      <c r="E2538" s="1" t="s">
        <v>11740</v>
      </c>
      <c r="F2538" s="1" t="s">
        <v>11741</v>
      </c>
      <c r="G2538" s="1" t="s">
        <v>11742</v>
      </c>
      <c r="H2538" s="1" t="str">
        <f t="shared" si="39"/>
        <v>ZYXEL IES-500x</v>
      </c>
    </row>
    <row r="2539" spans="1:8">
      <c r="A2539" s="1">
        <v>2538</v>
      </c>
      <c r="B2539" s="1" t="s">
        <v>18860</v>
      </c>
      <c r="C2539" s="1" t="s">
        <v>285</v>
      </c>
      <c r="D2539" s="1" t="s">
        <v>11744</v>
      </c>
      <c r="E2539" s="1" t="s">
        <v>11745</v>
      </c>
      <c r="F2539" s="1" t="s">
        <v>3012</v>
      </c>
      <c r="G2539" s="1" t="s">
        <v>3013</v>
      </c>
      <c r="H2539" s="1" t="str">
        <f t="shared" si="39"/>
        <v>ZYXEL IES-6000</v>
      </c>
    </row>
    <row r="2540" spans="1:8">
      <c r="A2540" s="1">
        <v>2539</v>
      </c>
      <c r="B2540" s="1" t="s">
        <v>18860</v>
      </c>
      <c r="C2540" s="1" t="s">
        <v>290</v>
      </c>
      <c r="D2540" s="1" t="s">
        <v>11744</v>
      </c>
      <c r="E2540" s="1" t="s">
        <v>11747</v>
      </c>
      <c r="F2540" s="1" t="s">
        <v>3009</v>
      </c>
      <c r="G2540" s="1" t="s">
        <v>3010</v>
      </c>
      <c r="H2540" s="1" t="str">
        <f t="shared" si="39"/>
        <v>ZYXEL IES-6000</v>
      </c>
    </row>
    <row r="2541" spans="1:8">
      <c r="A2541" s="1">
        <v>2540</v>
      </c>
      <c r="B2541" s="1" t="s">
        <v>18860</v>
      </c>
      <c r="C2541" s="1" t="s">
        <v>294</v>
      </c>
      <c r="D2541" s="1" t="s">
        <v>11744</v>
      </c>
      <c r="E2541" s="1" t="s">
        <v>11749</v>
      </c>
      <c r="F2541" s="1" t="s">
        <v>11750</v>
      </c>
      <c r="G2541" s="1" t="s">
        <v>11751</v>
      </c>
      <c r="H2541" s="1" t="str">
        <f t="shared" si="39"/>
        <v>ZYXEL IES-6000</v>
      </c>
    </row>
    <row r="2542" spans="1:8">
      <c r="A2542" s="1">
        <v>2541</v>
      </c>
      <c r="B2542" s="1" t="s">
        <v>18861</v>
      </c>
      <c r="C2542" s="1" t="s">
        <v>251</v>
      </c>
      <c r="D2542" s="1" t="s">
        <v>11753</v>
      </c>
      <c r="E2542" s="1" t="s">
        <v>11754</v>
      </c>
      <c r="F2542" s="1" t="s">
        <v>3032</v>
      </c>
      <c r="G2542" s="1" t="s">
        <v>3033</v>
      </c>
      <c r="H2542" s="1" t="str">
        <f t="shared" si="39"/>
        <v>ZYXEL IES1248-51</v>
      </c>
    </row>
    <row r="2543" spans="1:8">
      <c r="A2543" s="1">
        <v>2542</v>
      </c>
      <c r="B2543" s="1" t="s">
        <v>18861</v>
      </c>
      <c r="C2543" s="1" t="s">
        <v>254</v>
      </c>
      <c r="D2543" s="1" t="s">
        <v>11753</v>
      </c>
      <c r="E2543" s="1" t="s">
        <v>11756</v>
      </c>
      <c r="F2543" s="1" t="s">
        <v>3026</v>
      </c>
      <c r="G2543" s="1" t="s">
        <v>3027</v>
      </c>
      <c r="H2543" s="1" t="str">
        <f t="shared" si="39"/>
        <v>ZYXEL IES1248-51</v>
      </c>
    </row>
    <row r="2544" spans="1:8">
      <c r="A2544" s="1">
        <v>2543</v>
      </c>
      <c r="B2544" s="1" t="s">
        <v>18861</v>
      </c>
      <c r="C2544" s="1" t="s">
        <v>256</v>
      </c>
      <c r="D2544" s="1" t="s">
        <v>11753</v>
      </c>
      <c r="E2544" s="1" t="s">
        <v>11758</v>
      </c>
      <c r="F2544" s="1" t="s">
        <v>11759</v>
      </c>
      <c r="G2544" s="1" t="s">
        <v>11760</v>
      </c>
      <c r="H2544" s="1" t="str">
        <f t="shared" si="39"/>
        <v>ZYXEL IES1248-51</v>
      </c>
    </row>
    <row r="2545" spans="1:8">
      <c r="A2545" s="1">
        <v>2544</v>
      </c>
      <c r="B2545" s="1" t="s">
        <v>18861</v>
      </c>
      <c r="C2545" s="1" t="s">
        <v>260</v>
      </c>
      <c r="D2545" s="1" t="s">
        <v>11753</v>
      </c>
      <c r="E2545" s="1" t="s">
        <v>11762</v>
      </c>
      <c r="F2545" s="1" t="s">
        <v>3020</v>
      </c>
      <c r="G2545" s="1" t="s">
        <v>3021</v>
      </c>
      <c r="H2545" s="1" t="str">
        <f t="shared" si="39"/>
        <v>ZYXEL IES1248-51</v>
      </c>
    </row>
    <row r="2546" spans="1:8">
      <c r="A2546" s="1">
        <v>2545</v>
      </c>
      <c r="B2546" s="1" t="s">
        <v>18861</v>
      </c>
      <c r="C2546" s="1" t="s">
        <v>262</v>
      </c>
      <c r="D2546" s="1" t="s">
        <v>11753</v>
      </c>
      <c r="E2546" s="1" t="s">
        <v>11764</v>
      </c>
      <c r="F2546" s="1" t="s">
        <v>11765</v>
      </c>
      <c r="G2546" s="1" t="s">
        <v>11766</v>
      </c>
      <c r="H2546" s="1" t="str">
        <f t="shared" si="39"/>
        <v>ZYXEL IES1248-51</v>
      </c>
    </row>
    <row r="2547" spans="1:8">
      <c r="A2547" s="1">
        <v>2546</v>
      </c>
      <c r="B2547" s="1" t="s">
        <v>18861</v>
      </c>
      <c r="C2547" s="1" t="s">
        <v>264</v>
      </c>
      <c r="D2547" s="1" t="s">
        <v>11753</v>
      </c>
      <c r="E2547" s="1" t="s">
        <v>11768</v>
      </c>
      <c r="F2547" s="1" t="s">
        <v>3023</v>
      </c>
      <c r="G2547" s="1" t="s">
        <v>3024</v>
      </c>
      <c r="H2547" s="1" t="str">
        <f t="shared" si="39"/>
        <v>ZYXEL IES1248-51</v>
      </c>
    </row>
    <row r="2548" spans="1:8">
      <c r="A2548" s="1">
        <v>2547</v>
      </c>
      <c r="B2548" s="1" t="s">
        <v>18862</v>
      </c>
      <c r="C2548" s="1" t="s">
        <v>251</v>
      </c>
      <c r="D2548" s="1" t="s">
        <v>11770</v>
      </c>
      <c r="E2548" s="1" t="s">
        <v>3839</v>
      </c>
      <c r="F2548" s="1" t="s">
        <v>11771</v>
      </c>
      <c r="G2548" s="1" t="s">
        <v>11772</v>
      </c>
      <c r="H2548" s="1" t="str">
        <f t="shared" si="39"/>
        <v>ZYXEL MES-3528</v>
      </c>
    </row>
    <row r="2549" spans="1:8">
      <c r="A2549" s="1">
        <v>2548</v>
      </c>
      <c r="B2549" s="1" t="s">
        <v>18862</v>
      </c>
      <c r="C2549" s="1" t="s">
        <v>254</v>
      </c>
      <c r="D2549" s="1" t="s">
        <v>11770</v>
      </c>
      <c r="E2549" s="1" t="s">
        <v>3845</v>
      </c>
      <c r="F2549" s="1" t="s">
        <v>3049</v>
      </c>
      <c r="G2549" s="1" t="s">
        <v>3050</v>
      </c>
      <c r="H2549" s="1" t="str">
        <f t="shared" si="39"/>
        <v>ZYXEL MES-3528</v>
      </c>
    </row>
    <row r="2550" spans="1:8">
      <c r="A2550" s="1">
        <v>2549</v>
      </c>
      <c r="B2550" s="1" t="s">
        <v>18862</v>
      </c>
      <c r="C2550" s="1" t="s">
        <v>256</v>
      </c>
      <c r="D2550" s="1" t="s">
        <v>11770</v>
      </c>
      <c r="E2550" s="1" t="s">
        <v>3848</v>
      </c>
      <c r="F2550" s="1" t="s">
        <v>11775</v>
      </c>
      <c r="G2550" s="1" t="s">
        <v>11776</v>
      </c>
      <c r="H2550" s="1" t="str">
        <f t="shared" si="39"/>
        <v>ZYXEL MES-3528</v>
      </c>
    </row>
    <row r="2551" spans="1:8">
      <c r="A2551" s="1">
        <v>2550</v>
      </c>
      <c r="B2551" s="1" t="s">
        <v>18862</v>
      </c>
      <c r="C2551" s="1" t="s">
        <v>260</v>
      </c>
      <c r="D2551" s="1" t="s">
        <v>11770</v>
      </c>
      <c r="E2551" s="1" t="s">
        <v>3836</v>
      </c>
      <c r="F2551" s="1" t="s">
        <v>3040</v>
      </c>
      <c r="G2551" s="1" t="s">
        <v>3041</v>
      </c>
      <c r="H2551" s="1" t="str">
        <f t="shared" si="39"/>
        <v>ZYXEL MES-3528</v>
      </c>
    </row>
    <row r="2552" spans="1:8">
      <c r="A2552" s="1">
        <v>2551</v>
      </c>
      <c r="B2552" s="1" t="s">
        <v>18862</v>
      </c>
      <c r="C2552" s="1" t="s">
        <v>262</v>
      </c>
      <c r="D2552" s="1" t="s">
        <v>11770</v>
      </c>
      <c r="E2552" s="1" t="s">
        <v>11779</v>
      </c>
      <c r="F2552" s="1" t="s">
        <v>11780</v>
      </c>
      <c r="G2552" s="1" t="s">
        <v>11781</v>
      </c>
      <c r="H2552" s="1" t="str">
        <f t="shared" si="39"/>
        <v>ZYXEL MES-3528</v>
      </c>
    </row>
    <row r="2553" spans="1:8">
      <c r="A2553" s="1">
        <v>2552</v>
      </c>
      <c r="B2553" s="1" t="s">
        <v>18862</v>
      </c>
      <c r="C2553" s="1" t="s">
        <v>264</v>
      </c>
      <c r="D2553" s="1" t="s">
        <v>11770</v>
      </c>
      <c r="E2553" s="1" t="s">
        <v>3842</v>
      </c>
      <c r="F2553" s="1" t="s">
        <v>3046</v>
      </c>
      <c r="G2553" s="1" t="s">
        <v>3047</v>
      </c>
      <c r="H2553" s="1" t="str">
        <f t="shared" si="39"/>
        <v>ZYXEL MES-3528</v>
      </c>
    </row>
    <row r="2554" spans="1:8">
      <c r="A2554" s="1">
        <v>2553</v>
      </c>
      <c r="B2554" s="1" t="s">
        <v>18863</v>
      </c>
      <c r="C2554" s="1" t="s">
        <v>251</v>
      </c>
      <c r="D2554" s="1" t="s">
        <v>11784</v>
      </c>
      <c r="E2554" s="1" t="s">
        <v>11785</v>
      </c>
      <c r="F2554" s="1" t="s">
        <v>11786</v>
      </c>
      <c r="G2554" s="1" t="s">
        <v>11787</v>
      </c>
      <c r="H2554" s="1" t="str">
        <f t="shared" si="39"/>
        <v>ZYXEL MES3500-10</v>
      </c>
    </row>
    <row r="2555" spans="1:8">
      <c r="A2555" s="1">
        <v>2554</v>
      </c>
      <c r="B2555" s="1" t="s">
        <v>18863</v>
      </c>
      <c r="C2555" s="1" t="s">
        <v>254</v>
      </c>
      <c r="D2555" s="1" t="s">
        <v>11784</v>
      </c>
      <c r="E2555" s="1" t="s">
        <v>11789</v>
      </c>
      <c r="F2555" s="1" t="s">
        <v>3069</v>
      </c>
      <c r="G2555" s="1" t="s">
        <v>3070</v>
      </c>
      <c r="H2555" s="1" t="str">
        <f t="shared" si="39"/>
        <v>ZYXEL MES3500-10</v>
      </c>
    </row>
    <row r="2556" spans="1:8">
      <c r="A2556" s="1">
        <v>2555</v>
      </c>
      <c r="B2556" s="1" t="s">
        <v>18863</v>
      </c>
      <c r="C2556" s="1" t="s">
        <v>256</v>
      </c>
      <c r="D2556" s="1" t="s">
        <v>11784</v>
      </c>
      <c r="E2556" s="1" t="s">
        <v>11791</v>
      </c>
      <c r="F2556" s="1" t="s">
        <v>11792</v>
      </c>
      <c r="G2556" s="1" t="s">
        <v>11793</v>
      </c>
      <c r="H2556" s="1" t="str">
        <f t="shared" si="39"/>
        <v>ZYXEL MES3500-10</v>
      </c>
    </row>
    <row r="2557" spans="1:8">
      <c r="A2557" s="1">
        <v>2556</v>
      </c>
      <c r="B2557" s="1" t="s">
        <v>18863</v>
      </c>
      <c r="C2557" s="1" t="s">
        <v>260</v>
      </c>
      <c r="D2557" s="1" t="s">
        <v>11784</v>
      </c>
      <c r="E2557" s="1" t="s">
        <v>11795</v>
      </c>
      <c r="F2557" s="1" t="s">
        <v>3060</v>
      </c>
      <c r="G2557" s="1" t="s">
        <v>3061</v>
      </c>
      <c r="H2557" s="1" t="str">
        <f t="shared" si="39"/>
        <v>ZYXEL MES3500-10</v>
      </c>
    </row>
    <row r="2558" spans="1:8">
      <c r="A2558" s="1">
        <v>2557</v>
      </c>
      <c r="B2558" s="1" t="s">
        <v>18863</v>
      </c>
      <c r="C2558" s="1" t="s">
        <v>262</v>
      </c>
      <c r="D2558" s="1" t="s">
        <v>11784</v>
      </c>
      <c r="E2558" s="1" t="s">
        <v>11797</v>
      </c>
      <c r="F2558" s="1" t="s">
        <v>11798</v>
      </c>
      <c r="G2558" s="1" t="s">
        <v>11799</v>
      </c>
      <c r="H2558" s="1" t="str">
        <f t="shared" si="39"/>
        <v>ZYXEL MES3500-10</v>
      </c>
    </row>
    <row r="2559" spans="1:8">
      <c r="A2559" s="1">
        <v>2558</v>
      </c>
      <c r="B2559" s="1" t="s">
        <v>18863</v>
      </c>
      <c r="C2559" s="1" t="s">
        <v>264</v>
      </c>
      <c r="D2559" s="1" t="s">
        <v>11784</v>
      </c>
      <c r="E2559" s="1" t="s">
        <v>11801</v>
      </c>
      <c r="F2559" s="1" t="s">
        <v>3066</v>
      </c>
      <c r="G2559" s="1" t="s">
        <v>3067</v>
      </c>
      <c r="H2559" s="1" t="str">
        <f t="shared" si="39"/>
        <v>ZYXEL MES3500-10</v>
      </c>
    </row>
    <row r="2560" spans="1:8">
      <c r="A2560" s="1">
        <v>2559</v>
      </c>
      <c r="B2560" s="1" t="s">
        <v>18864</v>
      </c>
      <c r="C2560" s="1" t="s">
        <v>251</v>
      </c>
      <c r="D2560" s="1" t="s">
        <v>11803</v>
      </c>
      <c r="E2560" s="1" t="s">
        <v>11804</v>
      </c>
      <c r="F2560" s="1" t="s">
        <v>11805</v>
      </c>
      <c r="G2560" s="1" t="s">
        <v>11806</v>
      </c>
      <c r="H2560" s="1" t="str">
        <f t="shared" si="39"/>
        <v>ZYXEL MES3500-24</v>
      </c>
    </row>
    <row r="2561" spans="1:8">
      <c r="A2561" s="1">
        <v>2560</v>
      </c>
      <c r="B2561" s="1" t="s">
        <v>18864</v>
      </c>
      <c r="C2561" s="1" t="s">
        <v>254</v>
      </c>
      <c r="D2561" s="1" t="s">
        <v>11803</v>
      </c>
      <c r="E2561" s="1" t="s">
        <v>11808</v>
      </c>
      <c r="F2561" s="1" t="s">
        <v>3089</v>
      </c>
      <c r="G2561" s="1" t="s">
        <v>3090</v>
      </c>
      <c r="H2561" s="1" t="str">
        <f t="shared" si="39"/>
        <v>ZYXEL MES3500-24</v>
      </c>
    </row>
    <row r="2562" spans="1:8">
      <c r="A2562" s="1">
        <v>2561</v>
      </c>
      <c r="B2562" s="1" t="s">
        <v>18864</v>
      </c>
      <c r="C2562" s="1" t="s">
        <v>256</v>
      </c>
      <c r="D2562" s="1" t="s">
        <v>11803</v>
      </c>
      <c r="E2562" s="1" t="s">
        <v>11810</v>
      </c>
      <c r="F2562" s="1" t="s">
        <v>11811</v>
      </c>
      <c r="G2562" s="1" t="s">
        <v>11812</v>
      </c>
      <c r="H2562" s="1" t="str">
        <f t="shared" ref="H2562:H2625" si="40">IFERROR(IF(OR(MID(G2562,FIND(":",G2562)-1,1)="""",MID(G2562,FIND(":",G2562)-1,1)="}",MID(G2562,FIND(":",G2562)-1,1)=")",MID(G2562,FIND(":",G2562)-1,1)="]"),"",LEFT(F2562,FIND(":",F2562)-1)),"")</f>
        <v>ZYXEL MES3500-24</v>
      </c>
    </row>
    <row r="2563" spans="1:8">
      <c r="A2563" s="1">
        <v>2562</v>
      </c>
      <c r="B2563" s="1" t="s">
        <v>18864</v>
      </c>
      <c r="C2563" s="1" t="s">
        <v>260</v>
      </c>
      <c r="D2563" s="1" t="s">
        <v>11803</v>
      </c>
      <c r="E2563" s="1" t="s">
        <v>11814</v>
      </c>
      <c r="F2563" s="1" t="s">
        <v>3080</v>
      </c>
      <c r="G2563" s="1" t="s">
        <v>3081</v>
      </c>
      <c r="H2563" s="1" t="str">
        <f t="shared" si="40"/>
        <v>ZYXEL MES3500-24</v>
      </c>
    </row>
    <row r="2564" spans="1:8">
      <c r="A2564" s="1">
        <v>2563</v>
      </c>
      <c r="B2564" s="1" t="s">
        <v>18864</v>
      </c>
      <c r="C2564" s="1" t="s">
        <v>262</v>
      </c>
      <c r="D2564" s="1" t="s">
        <v>11803</v>
      </c>
      <c r="E2564" s="1" t="s">
        <v>11816</v>
      </c>
      <c r="F2564" s="1" t="s">
        <v>11817</v>
      </c>
      <c r="G2564" s="1" t="s">
        <v>11818</v>
      </c>
      <c r="H2564" s="1" t="str">
        <f t="shared" si="40"/>
        <v>ZYXEL MES3500-24</v>
      </c>
    </row>
    <row r="2565" spans="1:8">
      <c r="A2565" s="1">
        <v>2564</v>
      </c>
      <c r="B2565" s="1" t="s">
        <v>18864</v>
      </c>
      <c r="C2565" s="1" t="s">
        <v>264</v>
      </c>
      <c r="D2565" s="1" t="s">
        <v>11803</v>
      </c>
      <c r="E2565" s="1" t="s">
        <v>11820</v>
      </c>
      <c r="F2565" s="1" t="s">
        <v>3086</v>
      </c>
      <c r="G2565" s="1" t="s">
        <v>3087</v>
      </c>
      <c r="H2565" s="1" t="str">
        <f t="shared" si="40"/>
        <v>ZYXEL MES3500-24</v>
      </c>
    </row>
    <row r="2566" spans="1:8">
      <c r="A2566" s="1">
        <v>2565</v>
      </c>
      <c r="B2566" s="1" t="s">
        <v>18865</v>
      </c>
      <c r="C2566" s="1" t="s">
        <v>392</v>
      </c>
      <c r="D2566" s="1" t="s">
        <v>11822</v>
      </c>
      <c r="E2566" s="1" t="s">
        <v>11823</v>
      </c>
      <c r="F2566" s="1" t="s">
        <v>11711</v>
      </c>
      <c r="G2566" s="1" t="s">
        <v>11712</v>
      </c>
      <c r="H2566" s="1" t="str">
        <f t="shared" si="40"/>
        <v>ZYXEL ES3500-8PD</v>
      </c>
    </row>
    <row r="2567" spans="1:8">
      <c r="A2567" s="1">
        <v>2566</v>
      </c>
      <c r="B2567" s="1" t="s">
        <v>18865</v>
      </c>
      <c r="C2567" s="1" t="s">
        <v>397</v>
      </c>
      <c r="D2567" s="1" t="s">
        <v>11822</v>
      </c>
      <c r="E2567" s="1" t="s">
        <v>11825</v>
      </c>
      <c r="F2567" s="1" t="s">
        <v>11826</v>
      </c>
      <c r="G2567" s="1" t="s">
        <v>11827</v>
      </c>
      <c r="H2567" s="1" t="str">
        <f t="shared" si="40"/>
        <v>ZYXEL MES3500-24S</v>
      </c>
    </row>
    <row r="2568" spans="1:8">
      <c r="A2568" s="1">
        <v>2567</v>
      </c>
      <c r="B2568" s="1" t="s">
        <v>18865</v>
      </c>
      <c r="C2568" s="1" t="s">
        <v>401</v>
      </c>
      <c r="D2568" s="1" t="s">
        <v>11822</v>
      </c>
      <c r="E2568" s="1" t="s">
        <v>11829</v>
      </c>
      <c r="F2568" s="1" t="s">
        <v>3112</v>
      </c>
      <c r="G2568" s="1" t="s">
        <v>3113</v>
      </c>
      <c r="H2568" s="1" t="str">
        <f t="shared" si="40"/>
        <v>ZYXEL MES3500-24S</v>
      </c>
    </row>
    <row r="2569" spans="1:8">
      <c r="A2569" s="1">
        <v>2568</v>
      </c>
      <c r="B2569" s="1" t="s">
        <v>18865</v>
      </c>
      <c r="C2569" s="1" t="s">
        <v>405</v>
      </c>
      <c r="D2569" s="1" t="s">
        <v>11822</v>
      </c>
      <c r="E2569" s="1" t="s">
        <v>11831</v>
      </c>
      <c r="F2569" s="1" t="s">
        <v>11832</v>
      </c>
      <c r="G2569" s="1" t="s">
        <v>11833</v>
      </c>
      <c r="H2569" s="1" t="str">
        <f t="shared" si="40"/>
        <v>ZYXEL MES3500-24S</v>
      </c>
    </row>
    <row r="2570" spans="1:8">
      <c r="A2570" s="1">
        <v>2569</v>
      </c>
      <c r="B2570" s="1" t="s">
        <v>18865</v>
      </c>
      <c r="C2570" s="1" t="s">
        <v>409</v>
      </c>
      <c r="D2570" s="1" t="s">
        <v>11822</v>
      </c>
      <c r="E2570" s="1" t="s">
        <v>11835</v>
      </c>
      <c r="F2570" s="1" t="s">
        <v>11836</v>
      </c>
      <c r="G2570" s="1" t="s">
        <v>11837</v>
      </c>
      <c r="H2570" s="1" t="str">
        <f t="shared" si="40"/>
        <v>ZYXEL MES3500-24S</v>
      </c>
    </row>
    <row r="2571" spans="1:8">
      <c r="A2571" s="1">
        <v>2570</v>
      </c>
      <c r="B2571" s="1" t="s">
        <v>18865</v>
      </c>
      <c r="C2571" s="1" t="s">
        <v>413</v>
      </c>
      <c r="D2571" s="1" t="s">
        <v>11822</v>
      </c>
      <c r="E2571" s="1" t="s">
        <v>11839</v>
      </c>
      <c r="F2571" s="1" t="s">
        <v>3100</v>
      </c>
      <c r="G2571" s="1" t="s">
        <v>3101</v>
      </c>
      <c r="H2571" s="1" t="str">
        <f t="shared" si="40"/>
        <v>ZYXEL MES3500-24S</v>
      </c>
    </row>
    <row r="2572" spans="1:8">
      <c r="A2572" s="1">
        <v>2571</v>
      </c>
      <c r="B2572" s="1" t="s">
        <v>18865</v>
      </c>
      <c r="C2572" s="1" t="s">
        <v>417</v>
      </c>
      <c r="D2572" s="1" t="s">
        <v>11822</v>
      </c>
      <c r="E2572" s="1" t="s">
        <v>11841</v>
      </c>
      <c r="F2572" s="1" t="s">
        <v>3106</v>
      </c>
      <c r="G2572" s="1" t="s">
        <v>3107</v>
      </c>
      <c r="H2572" s="1" t="str">
        <f t="shared" si="40"/>
        <v>ZYXEL MES3500-24S</v>
      </c>
    </row>
    <row r="2573" spans="1:8">
      <c r="A2573" s="1">
        <v>2572</v>
      </c>
      <c r="B2573" s="1" t="s">
        <v>18866</v>
      </c>
      <c r="C2573" s="1" t="s">
        <v>251</v>
      </c>
      <c r="D2573" s="1" t="s">
        <v>11843</v>
      </c>
      <c r="E2573" s="1" t="s">
        <v>11844</v>
      </c>
      <c r="F2573" s="1" t="s">
        <v>11845</v>
      </c>
      <c r="G2573" s="1" t="s">
        <v>11846</v>
      </c>
      <c r="H2573" s="1" t="str">
        <f t="shared" si="40"/>
        <v>ZYXEL MGS-3712</v>
      </c>
    </row>
    <row r="2574" spans="1:8">
      <c r="A2574" s="1">
        <v>2573</v>
      </c>
      <c r="B2574" s="1" t="s">
        <v>18866</v>
      </c>
      <c r="C2574" s="1" t="s">
        <v>254</v>
      </c>
      <c r="D2574" s="1" t="s">
        <v>11843</v>
      </c>
      <c r="E2574" s="1" t="s">
        <v>11848</v>
      </c>
      <c r="F2574" s="1" t="s">
        <v>3132</v>
      </c>
      <c r="G2574" s="1" t="s">
        <v>3133</v>
      </c>
      <c r="H2574" s="1" t="str">
        <f t="shared" si="40"/>
        <v>ZYXEL MGS-3712</v>
      </c>
    </row>
    <row r="2575" spans="1:8">
      <c r="A2575" s="1">
        <v>2574</v>
      </c>
      <c r="B2575" s="1" t="s">
        <v>18866</v>
      </c>
      <c r="C2575" s="1" t="s">
        <v>256</v>
      </c>
      <c r="D2575" s="1" t="s">
        <v>11843</v>
      </c>
      <c r="E2575" s="1" t="s">
        <v>11850</v>
      </c>
      <c r="F2575" s="1" t="s">
        <v>11851</v>
      </c>
      <c r="G2575" s="1" t="s">
        <v>11852</v>
      </c>
      <c r="H2575" s="1" t="str">
        <f t="shared" si="40"/>
        <v>ZYXEL MGS-3712</v>
      </c>
    </row>
    <row r="2576" spans="1:8">
      <c r="A2576" s="1">
        <v>2575</v>
      </c>
      <c r="B2576" s="1" t="s">
        <v>18866</v>
      </c>
      <c r="C2576" s="1" t="s">
        <v>260</v>
      </c>
      <c r="D2576" s="1" t="s">
        <v>11843</v>
      </c>
      <c r="E2576" s="1" t="s">
        <v>11854</v>
      </c>
      <c r="F2576" s="1" t="s">
        <v>3123</v>
      </c>
      <c r="G2576" s="1" t="s">
        <v>3124</v>
      </c>
      <c r="H2576" s="1" t="str">
        <f t="shared" si="40"/>
        <v>ZYXEL MGS-3712</v>
      </c>
    </row>
    <row r="2577" spans="1:8">
      <c r="A2577" s="1">
        <v>2576</v>
      </c>
      <c r="B2577" s="1" t="s">
        <v>18866</v>
      </c>
      <c r="C2577" s="1" t="s">
        <v>262</v>
      </c>
      <c r="D2577" s="1" t="s">
        <v>11843</v>
      </c>
      <c r="E2577" s="1" t="s">
        <v>11856</v>
      </c>
      <c r="F2577" s="1" t="s">
        <v>11857</v>
      </c>
      <c r="G2577" s="1" t="s">
        <v>11858</v>
      </c>
      <c r="H2577" s="1" t="str">
        <f t="shared" si="40"/>
        <v>ZYXEL MGS-3712</v>
      </c>
    </row>
    <row r="2578" spans="1:8">
      <c r="A2578" s="1">
        <v>2577</v>
      </c>
      <c r="B2578" s="1" t="s">
        <v>18866</v>
      </c>
      <c r="C2578" s="1" t="s">
        <v>264</v>
      </c>
      <c r="D2578" s="1" t="s">
        <v>11843</v>
      </c>
      <c r="E2578" s="1" t="s">
        <v>11860</v>
      </c>
      <c r="F2578" s="1" t="s">
        <v>3129</v>
      </c>
      <c r="G2578" s="1" t="s">
        <v>3130</v>
      </c>
      <c r="H2578" s="1" t="str">
        <f t="shared" si="40"/>
        <v>ZYXEL MGS-3712</v>
      </c>
    </row>
    <row r="2579" spans="1:8">
      <c r="A2579" s="1">
        <v>2578</v>
      </c>
      <c r="B2579" s="1" t="s">
        <v>18867</v>
      </c>
      <c r="C2579" s="1" t="s">
        <v>251</v>
      </c>
      <c r="D2579" s="1" t="s">
        <v>11862</v>
      </c>
      <c r="E2579" s="1" t="s">
        <v>3862</v>
      </c>
      <c r="F2579" s="1" t="s">
        <v>11863</v>
      </c>
      <c r="G2579" s="1" t="s">
        <v>11864</v>
      </c>
      <c r="H2579" s="1" t="str">
        <f t="shared" si="40"/>
        <v>ZYXEL MGS-3712F</v>
      </c>
    </row>
    <row r="2580" spans="1:8">
      <c r="A2580" s="1">
        <v>2579</v>
      </c>
      <c r="B2580" s="1" t="s">
        <v>18867</v>
      </c>
      <c r="C2580" s="1" t="s">
        <v>254</v>
      </c>
      <c r="D2580" s="1" t="s">
        <v>11862</v>
      </c>
      <c r="E2580" s="1" t="s">
        <v>3868</v>
      </c>
      <c r="F2580" s="1" t="s">
        <v>3152</v>
      </c>
      <c r="G2580" s="1" t="s">
        <v>3153</v>
      </c>
      <c r="H2580" s="1" t="str">
        <f t="shared" si="40"/>
        <v>ZYXEL MGS-3712F</v>
      </c>
    </row>
    <row r="2581" spans="1:8">
      <c r="A2581" s="1">
        <v>2580</v>
      </c>
      <c r="B2581" s="1" t="s">
        <v>18867</v>
      </c>
      <c r="C2581" s="1" t="s">
        <v>256</v>
      </c>
      <c r="D2581" s="1" t="s">
        <v>11862</v>
      </c>
      <c r="E2581" s="1" t="s">
        <v>3871</v>
      </c>
      <c r="F2581" s="1" t="s">
        <v>11867</v>
      </c>
      <c r="G2581" s="1" t="s">
        <v>11868</v>
      </c>
      <c r="H2581" s="1" t="str">
        <f t="shared" si="40"/>
        <v>ZYXEL MGS-3712F</v>
      </c>
    </row>
    <row r="2582" spans="1:8">
      <c r="A2582" s="1">
        <v>2581</v>
      </c>
      <c r="B2582" s="1" t="s">
        <v>18867</v>
      </c>
      <c r="C2582" s="1" t="s">
        <v>260</v>
      </c>
      <c r="D2582" s="1" t="s">
        <v>11862</v>
      </c>
      <c r="E2582" s="1" t="s">
        <v>3859</v>
      </c>
      <c r="F2582" s="1" t="s">
        <v>3143</v>
      </c>
      <c r="G2582" s="1" t="s">
        <v>3144</v>
      </c>
      <c r="H2582" s="1" t="str">
        <f t="shared" si="40"/>
        <v>ZYXEL MGS-3712F</v>
      </c>
    </row>
    <row r="2583" spans="1:8">
      <c r="A2583" s="1">
        <v>2582</v>
      </c>
      <c r="B2583" s="1" t="s">
        <v>18867</v>
      </c>
      <c r="C2583" s="1" t="s">
        <v>262</v>
      </c>
      <c r="D2583" s="1" t="s">
        <v>11862</v>
      </c>
      <c r="E2583" s="1" t="s">
        <v>3874</v>
      </c>
      <c r="F2583" s="1" t="s">
        <v>11871</v>
      </c>
      <c r="G2583" s="1" t="s">
        <v>11872</v>
      </c>
      <c r="H2583" s="1" t="str">
        <f t="shared" si="40"/>
        <v>ZYXEL MGS-3712F</v>
      </c>
    </row>
    <row r="2584" spans="1:8">
      <c r="A2584" s="1">
        <v>2583</v>
      </c>
      <c r="B2584" s="1" t="s">
        <v>18867</v>
      </c>
      <c r="C2584" s="1" t="s">
        <v>264</v>
      </c>
      <c r="D2584" s="1" t="s">
        <v>11862</v>
      </c>
      <c r="E2584" s="1" t="s">
        <v>3865</v>
      </c>
      <c r="F2584" s="1" t="s">
        <v>3149</v>
      </c>
      <c r="G2584" s="1" t="s">
        <v>3150</v>
      </c>
      <c r="H2584" s="1" t="str">
        <f t="shared" si="40"/>
        <v>ZYXEL MGS-3712F</v>
      </c>
    </row>
    <row r="2585" spans="1:8">
      <c r="A2585" s="1">
        <v>2584</v>
      </c>
      <c r="B2585" s="1" t="s">
        <v>18868</v>
      </c>
      <c r="C2585" s="1" t="s">
        <v>392</v>
      </c>
      <c r="D2585" s="1" t="s">
        <v>11875</v>
      </c>
      <c r="E2585" s="1" t="s">
        <v>3911</v>
      </c>
      <c r="F2585" s="1" t="s">
        <v>11876</v>
      </c>
      <c r="G2585" s="1" t="s">
        <v>11877</v>
      </c>
      <c r="H2585" s="1" t="str">
        <f t="shared" si="40"/>
        <v>ZYXEL MGS3520-28x</v>
      </c>
    </row>
    <row r="2586" spans="1:8">
      <c r="A2586" s="1">
        <v>2585</v>
      </c>
      <c r="B2586" s="1" t="s">
        <v>18868</v>
      </c>
      <c r="C2586" s="1" t="s">
        <v>397</v>
      </c>
      <c r="D2586" s="1" t="s">
        <v>11875</v>
      </c>
      <c r="E2586" s="1" t="s">
        <v>3914</v>
      </c>
      <c r="F2586" s="1" t="s">
        <v>3175</v>
      </c>
      <c r="G2586" s="1" t="s">
        <v>3176</v>
      </c>
      <c r="H2586" s="1" t="str">
        <f t="shared" si="40"/>
        <v>ZYXEL MGS3520-28x</v>
      </c>
    </row>
    <row r="2587" spans="1:8">
      <c r="A2587" s="1">
        <v>2586</v>
      </c>
      <c r="B2587" s="1" t="s">
        <v>18868</v>
      </c>
      <c r="C2587" s="1" t="s">
        <v>401</v>
      </c>
      <c r="D2587" s="1" t="s">
        <v>11875</v>
      </c>
      <c r="E2587" s="1" t="s">
        <v>11880</v>
      </c>
      <c r="F2587" s="1" t="s">
        <v>11881</v>
      </c>
      <c r="G2587" s="1" t="s">
        <v>11882</v>
      </c>
      <c r="H2587" s="1" t="str">
        <f t="shared" si="40"/>
        <v>ZYXEL MGS3520-28x</v>
      </c>
    </row>
    <row r="2588" spans="1:8">
      <c r="A2588" s="1">
        <v>2587</v>
      </c>
      <c r="B2588" s="1" t="s">
        <v>18868</v>
      </c>
      <c r="C2588" s="1" t="s">
        <v>405</v>
      </c>
      <c r="D2588" s="1" t="s">
        <v>11875</v>
      </c>
      <c r="E2588" s="1" t="s">
        <v>3913</v>
      </c>
      <c r="F2588" s="1" t="s">
        <v>11884</v>
      </c>
      <c r="G2588" s="1" t="s">
        <v>11885</v>
      </c>
      <c r="H2588" s="1" t="str">
        <f t="shared" si="40"/>
        <v>ZYXEL MGS3520-28x</v>
      </c>
    </row>
    <row r="2589" spans="1:8">
      <c r="A2589" s="1">
        <v>2588</v>
      </c>
      <c r="B2589" s="1" t="s">
        <v>18868</v>
      </c>
      <c r="C2589" s="1" t="s">
        <v>409</v>
      </c>
      <c r="D2589" s="1" t="s">
        <v>11875</v>
      </c>
      <c r="E2589" s="1" t="s">
        <v>3910</v>
      </c>
      <c r="F2589" s="1" t="s">
        <v>3163</v>
      </c>
      <c r="G2589" s="1" t="s">
        <v>3164</v>
      </c>
      <c r="H2589" s="1" t="str">
        <f t="shared" si="40"/>
        <v>ZYXEL MGS3520-28x</v>
      </c>
    </row>
    <row r="2590" spans="1:8">
      <c r="A2590" s="1">
        <v>2589</v>
      </c>
      <c r="B2590" s="1" t="s">
        <v>18868</v>
      </c>
      <c r="C2590" s="1" t="s">
        <v>413</v>
      </c>
      <c r="D2590" s="1" t="s">
        <v>11875</v>
      </c>
      <c r="E2590" s="1" t="s">
        <v>11888</v>
      </c>
      <c r="F2590" s="1" t="s">
        <v>11889</v>
      </c>
      <c r="G2590" s="1" t="s">
        <v>11890</v>
      </c>
      <c r="H2590" s="1" t="str">
        <f t="shared" si="40"/>
        <v>ZYXEL MGS3520-28x</v>
      </c>
    </row>
    <row r="2591" spans="1:8">
      <c r="A2591" s="1">
        <v>2590</v>
      </c>
      <c r="B2591" s="1" t="s">
        <v>18868</v>
      </c>
      <c r="C2591" s="1" t="s">
        <v>417</v>
      </c>
      <c r="D2591" s="1" t="s">
        <v>11875</v>
      </c>
      <c r="E2591" s="1" t="s">
        <v>3912</v>
      </c>
      <c r="F2591" s="1" t="s">
        <v>3169</v>
      </c>
      <c r="G2591" s="1" t="s">
        <v>3170</v>
      </c>
      <c r="H2591" s="1" t="str">
        <f t="shared" si="40"/>
        <v>ZYXEL MGS3520-28x</v>
      </c>
    </row>
    <row r="2592" spans="1:8">
      <c r="A2592" s="1">
        <v>2591</v>
      </c>
      <c r="B2592" s="1" t="s">
        <v>18869</v>
      </c>
      <c r="C2592" s="1" t="s">
        <v>251</v>
      </c>
      <c r="D2592" s="1" t="s">
        <v>11893</v>
      </c>
      <c r="E2592" s="1" t="s">
        <v>11894</v>
      </c>
      <c r="F2592" s="1" t="s">
        <v>11895</v>
      </c>
      <c r="G2592" s="1" t="s">
        <v>11896</v>
      </c>
      <c r="H2592" s="1" t="str">
        <f t="shared" si="40"/>
        <v>ZYXEL XGS-4728F</v>
      </c>
    </row>
    <row r="2593" spans="1:8">
      <c r="A2593" s="1">
        <v>2592</v>
      </c>
      <c r="B2593" s="1" t="s">
        <v>18869</v>
      </c>
      <c r="C2593" s="1" t="s">
        <v>254</v>
      </c>
      <c r="D2593" s="1" t="s">
        <v>11893</v>
      </c>
      <c r="E2593" s="1" t="s">
        <v>11898</v>
      </c>
      <c r="F2593" s="1" t="s">
        <v>3195</v>
      </c>
      <c r="G2593" s="1" t="s">
        <v>3196</v>
      </c>
      <c r="H2593" s="1" t="str">
        <f t="shared" si="40"/>
        <v>ZYXEL XGS-4728F</v>
      </c>
    </row>
    <row r="2594" spans="1:8">
      <c r="A2594" s="1">
        <v>2593</v>
      </c>
      <c r="B2594" s="1" t="s">
        <v>18869</v>
      </c>
      <c r="C2594" s="1" t="s">
        <v>256</v>
      </c>
      <c r="D2594" s="1" t="s">
        <v>11893</v>
      </c>
      <c r="E2594" s="1" t="s">
        <v>11900</v>
      </c>
      <c r="F2594" s="1" t="s">
        <v>11901</v>
      </c>
      <c r="G2594" s="1" t="s">
        <v>11902</v>
      </c>
      <c r="H2594" s="1" t="str">
        <f t="shared" si="40"/>
        <v>ZYXEL XGS-4728F</v>
      </c>
    </row>
    <row r="2595" spans="1:8">
      <c r="A2595" s="1">
        <v>2594</v>
      </c>
      <c r="B2595" s="1" t="s">
        <v>18869</v>
      </c>
      <c r="C2595" s="1" t="s">
        <v>260</v>
      </c>
      <c r="D2595" s="1" t="s">
        <v>11893</v>
      </c>
      <c r="E2595" s="1" t="s">
        <v>11904</v>
      </c>
      <c r="F2595" s="1" t="s">
        <v>3186</v>
      </c>
      <c r="G2595" s="1" t="s">
        <v>3187</v>
      </c>
      <c r="H2595" s="1" t="str">
        <f t="shared" si="40"/>
        <v>ZYXEL XGS-4728F</v>
      </c>
    </row>
    <row r="2596" spans="1:8">
      <c r="A2596" s="1">
        <v>2595</v>
      </c>
      <c r="B2596" s="1" t="s">
        <v>18869</v>
      </c>
      <c r="C2596" s="1" t="s">
        <v>262</v>
      </c>
      <c r="D2596" s="1" t="s">
        <v>11893</v>
      </c>
      <c r="E2596" s="1" t="s">
        <v>11906</v>
      </c>
      <c r="F2596" s="1" t="s">
        <v>11907</v>
      </c>
      <c r="G2596" s="1" t="s">
        <v>11908</v>
      </c>
      <c r="H2596" s="1" t="str">
        <f t="shared" si="40"/>
        <v>ZYXEL XGS-4728F</v>
      </c>
    </row>
    <row r="2597" spans="1:8">
      <c r="A2597" s="1">
        <v>2596</v>
      </c>
      <c r="B2597" s="1" t="s">
        <v>18869</v>
      </c>
      <c r="C2597" s="1" t="s">
        <v>264</v>
      </c>
      <c r="D2597" s="1" t="s">
        <v>11893</v>
      </c>
      <c r="E2597" s="1" t="s">
        <v>11910</v>
      </c>
      <c r="F2597" s="1" t="s">
        <v>3192</v>
      </c>
      <c r="G2597" s="1" t="s">
        <v>3193</v>
      </c>
      <c r="H2597" s="1" t="str">
        <f t="shared" si="40"/>
        <v>ZYXEL XGS-4728F</v>
      </c>
    </row>
    <row r="2598" spans="1:8">
      <c r="A2598" s="1">
        <v>2597</v>
      </c>
      <c r="B2598" s="1" t="s">
        <v>18870</v>
      </c>
      <c r="C2598" s="1" t="s">
        <v>84</v>
      </c>
      <c r="D2598" s="1" t="s">
        <v>11912</v>
      </c>
      <c r="E2598" s="1" t="s">
        <v>6855</v>
      </c>
      <c r="F2598" s="1" t="s">
        <v>11913</v>
      </c>
      <c r="G2598" s="1" t="s">
        <v>18871</v>
      </c>
      <c r="H2598" s="1" t="str">
        <f t="shared" si="40"/>
        <v>Zabbix agent</v>
      </c>
    </row>
    <row r="2599" spans="1:8">
      <c r="A2599" s="1">
        <v>2598</v>
      </c>
      <c r="B2599" s="1" t="s">
        <v>18872</v>
      </c>
      <c r="C2599" s="1" t="s">
        <v>201</v>
      </c>
      <c r="D2599" s="1" t="s">
        <v>11916</v>
      </c>
      <c r="E2599" s="1" t="s">
        <v>6863</v>
      </c>
      <c r="F2599" s="1" t="s">
        <v>18873</v>
      </c>
      <c r="G2599" s="1" t="s">
        <v>18874</v>
      </c>
      <c r="H2599" s="1" t="str">
        <f t="shared" si="40"/>
        <v/>
      </c>
    </row>
    <row r="2600" spans="1:8">
      <c r="A2600" s="1">
        <v>2599</v>
      </c>
      <c r="B2600" s="1" t="s">
        <v>18872</v>
      </c>
      <c r="C2600" s="1" t="s">
        <v>206</v>
      </c>
      <c r="D2600" s="1" t="s">
        <v>11916</v>
      </c>
      <c r="E2600" s="1" t="s">
        <v>6859</v>
      </c>
      <c r="F2600" s="1" t="s">
        <v>11917</v>
      </c>
      <c r="G2600" s="1" t="s">
        <v>18875</v>
      </c>
      <c r="H2600" s="1" t="str">
        <f t="shared" si="40"/>
        <v>Zabbix agent active</v>
      </c>
    </row>
    <row r="2601" spans="1:8">
      <c r="A2601" s="1">
        <v>2600</v>
      </c>
      <c r="B2601" s="1" t="s">
        <v>18876</v>
      </c>
      <c r="C2601" s="1" t="s">
        <v>18877</v>
      </c>
      <c r="D2601" s="1" t="s">
        <v>11920</v>
      </c>
      <c r="E2601" s="1" t="s">
        <v>11921</v>
      </c>
      <c r="F2601" s="1" t="s">
        <v>1055</v>
      </c>
      <c r="G2601" s="1" t="s">
        <v>1056</v>
      </c>
      <c r="H2601" s="1" t="str">
        <f t="shared" si="40"/>
        <v>Zabbix proxy</v>
      </c>
    </row>
    <row r="2602" spans="1:8">
      <c r="A2602" s="1">
        <v>2601</v>
      </c>
      <c r="B2602" s="1" t="s">
        <v>18876</v>
      </c>
      <c r="C2602" s="1" t="s">
        <v>18878</v>
      </c>
      <c r="D2602" s="1" t="s">
        <v>11920</v>
      </c>
      <c r="E2602" s="1" t="s">
        <v>11925</v>
      </c>
      <c r="F2602" s="1" t="s">
        <v>1070</v>
      </c>
      <c r="G2602" s="1" t="s">
        <v>1071</v>
      </c>
      <c r="H2602" s="1" t="str">
        <f t="shared" si="40"/>
        <v>Zabbix proxy</v>
      </c>
    </row>
    <row r="2603" spans="1:8">
      <c r="A2603" s="1">
        <v>2602</v>
      </c>
      <c r="B2603" s="1" t="s">
        <v>18876</v>
      </c>
      <c r="C2603" s="1" t="s">
        <v>18879</v>
      </c>
      <c r="D2603" s="1" t="s">
        <v>11920</v>
      </c>
      <c r="E2603" s="1" t="s">
        <v>11929</v>
      </c>
      <c r="F2603" s="1" t="s">
        <v>1067</v>
      </c>
      <c r="G2603" s="1" t="s">
        <v>1068</v>
      </c>
      <c r="H2603" s="1" t="str">
        <f t="shared" si="40"/>
        <v>Zabbix proxy</v>
      </c>
    </row>
    <row r="2604" spans="1:8">
      <c r="A2604" s="1">
        <v>2603</v>
      </c>
      <c r="B2604" s="1" t="s">
        <v>18876</v>
      </c>
      <c r="C2604" s="1" t="s">
        <v>18880</v>
      </c>
      <c r="D2604" s="1" t="s">
        <v>11920</v>
      </c>
      <c r="E2604" s="1" t="s">
        <v>11933</v>
      </c>
      <c r="F2604" s="1" t="s">
        <v>1052</v>
      </c>
      <c r="G2604" s="1" t="s">
        <v>1053</v>
      </c>
      <c r="H2604" s="1" t="str">
        <f t="shared" si="40"/>
        <v>Zabbix proxy</v>
      </c>
    </row>
    <row r="2605" spans="1:8">
      <c r="A2605" s="1">
        <v>2604</v>
      </c>
      <c r="B2605" s="1" t="s">
        <v>18876</v>
      </c>
      <c r="C2605" s="1" t="s">
        <v>18881</v>
      </c>
      <c r="D2605" s="1" t="s">
        <v>11920</v>
      </c>
      <c r="E2605" s="1" t="s">
        <v>11935</v>
      </c>
      <c r="F2605" s="1" t="s">
        <v>11936</v>
      </c>
      <c r="G2605" s="1" t="s">
        <v>11937</v>
      </c>
      <c r="H2605" s="1" t="str">
        <f t="shared" si="40"/>
        <v>Zabbix proxy</v>
      </c>
    </row>
    <row r="2606" spans="1:8">
      <c r="A2606" s="1">
        <v>2605</v>
      </c>
      <c r="B2606" s="1" t="s">
        <v>18876</v>
      </c>
      <c r="C2606" s="1" t="s">
        <v>18882</v>
      </c>
      <c r="D2606" s="1" t="s">
        <v>11920</v>
      </c>
      <c r="E2606" s="1" t="s">
        <v>2616</v>
      </c>
      <c r="F2606" s="1" t="s">
        <v>11939</v>
      </c>
      <c r="G2606" s="1" t="s">
        <v>18883</v>
      </c>
      <c r="H2606" s="1" t="str">
        <f t="shared" si="40"/>
        <v>Zabbix proxy</v>
      </c>
    </row>
    <row r="2607" spans="1:8">
      <c r="A2607" s="1">
        <v>2606</v>
      </c>
      <c r="B2607" s="1" t="s">
        <v>18876</v>
      </c>
      <c r="C2607" s="1" t="s">
        <v>18884</v>
      </c>
      <c r="D2607" s="1" t="s">
        <v>11920</v>
      </c>
      <c r="E2607" s="1" t="s">
        <v>11942</v>
      </c>
      <c r="F2607" s="1" t="s">
        <v>11943</v>
      </c>
      <c r="G2607" s="1" t="s">
        <v>996</v>
      </c>
      <c r="H2607" s="1" t="str">
        <f t="shared" si="40"/>
        <v>Zabbix proxy</v>
      </c>
    </row>
    <row r="2608" spans="1:8">
      <c r="A2608" s="1">
        <v>2607</v>
      </c>
      <c r="B2608" s="1" t="s">
        <v>18876</v>
      </c>
      <c r="C2608" s="1" t="s">
        <v>18885</v>
      </c>
      <c r="D2608" s="1" t="s">
        <v>11920</v>
      </c>
      <c r="E2608" s="1" t="s">
        <v>11945</v>
      </c>
      <c r="F2608" s="1" t="s">
        <v>11946</v>
      </c>
      <c r="G2608" s="1" t="s">
        <v>999</v>
      </c>
      <c r="H2608" s="1" t="str">
        <f t="shared" si="40"/>
        <v>Zabbix proxy</v>
      </c>
    </row>
    <row r="2609" spans="1:8">
      <c r="A2609" s="1">
        <v>2608</v>
      </c>
      <c r="B2609" s="1" t="s">
        <v>18876</v>
      </c>
      <c r="C2609" s="1" t="s">
        <v>18886</v>
      </c>
      <c r="D2609" s="1" t="s">
        <v>11920</v>
      </c>
      <c r="E2609" s="1" t="s">
        <v>11948</v>
      </c>
      <c r="F2609" s="1" t="s">
        <v>11949</v>
      </c>
      <c r="G2609" s="1" t="s">
        <v>1002</v>
      </c>
      <c r="H2609" s="1" t="str">
        <f t="shared" si="40"/>
        <v>Zabbix proxy</v>
      </c>
    </row>
    <row r="2610" spans="1:8">
      <c r="A2610" s="1">
        <v>2609</v>
      </c>
      <c r="B2610" s="1" t="s">
        <v>18876</v>
      </c>
      <c r="C2610" s="1" t="s">
        <v>18887</v>
      </c>
      <c r="D2610" s="1" t="s">
        <v>11920</v>
      </c>
      <c r="E2610" s="1" t="s">
        <v>2620</v>
      </c>
      <c r="F2610" s="1" t="s">
        <v>11954</v>
      </c>
      <c r="G2610" s="1" t="s">
        <v>11955</v>
      </c>
      <c r="H2610" s="1" t="str">
        <f t="shared" si="40"/>
        <v>Zabbix proxy</v>
      </c>
    </row>
    <row r="2611" spans="1:8">
      <c r="A2611" s="1">
        <v>2610</v>
      </c>
      <c r="B2611" s="1" t="s">
        <v>18876</v>
      </c>
      <c r="C2611" s="1" t="s">
        <v>18888</v>
      </c>
      <c r="D2611" s="1" t="s">
        <v>11920</v>
      </c>
      <c r="E2611" s="1" t="s">
        <v>11957</v>
      </c>
      <c r="F2611" s="1" t="s">
        <v>11958</v>
      </c>
      <c r="G2611" s="1" t="s">
        <v>1008</v>
      </c>
      <c r="H2611" s="1" t="str">
        <f t="shared" si="40"/>
        <v>Zabbix proxy</v>
      </c>
    </row>
    <row r="2612" spans="1:8">
      <c r="A2612" s="1">
        <v>2611</v>
      </c>
      <c r="B2612" s="1" t="s">
        <v>18876</v>
      </c>
      <c r="C2612" s="1" t="s">
        <v>18889</v>
      </c>
      <c r="D2612" s="1" t="s">
        <v>11920</v>
      </c>
      <c r="E2612" s="1" t="s">
        <v>11960</v>
      </c>
      <c r="F2612" s="1" t="s">
        <v>11961</v>
      </c>
      <c r="G2612" s="1" t="s">
        <v>1011</v>
      </c>
      <c r="H2612" s="1" t="str">
        <f t="shared" si="40"/>
        <v>Zabbix proxy</v>
      </c>
    </row>
    <row r="2613" spans="1:8">
      <c r="A2613" s="1">
        <v>2612</v>
      </c>
      <c r="B2613" s="1" t="s">
        <v>18876</v>
      </c>
      <c r="C2613" s="1" t="s">
        <v>18890</v>
      </c>
      <c r="D2613" s="1" t="s">
        <v>11920</v>
      </c>
      <c r="E2613" s="1" t="s">
        <v>11964</v>
      </c>
      <c r="F2613" s="1" t="s">
        <v>11965</v>
      </c>
      <c r="G2613" s="1" t="s">
        <v>1014</v>
      </c>
      <c r="H2613" s="1" t="str">
        <f t="shared" si="40"/>
        <v>Zabbix proxy</v>
      </c>
    </row>
    <row r="2614" spans="1:8">
      <c r="A2614" s="1">
        <v>2613</v>
      </c>
      <c r="B2614" s="1" t="s">
        <v>18876</v>
      </c>
      <c r="C2614" s="1" t="s">
        <v>18891</v>
      </c>
      <c r="D2614" s="1" t="s">
        <v>11920</v>
      </c>
      <c r="E2614" s="1" t="s">
        <v>11967</v>
      </c>
      <c r="F2614" s="1" t="s">
        <v>11968</v>
      </c>
      <c r="G2614" s="1" t="s">
        <v>1017</v>
      </c>
      <c r="H2614" s="1" t="str">
        <f t="shared" si="40"/>
        <v>Zabbix proxy</v>
      </c>
    </row>
    <row r="2615" spans="1:8">
      <c r="A2615" s="1">
        <v>2614</v>
      </c>
      <c r="B2615" s="1" t="s">
        <v>18876</v>
      </c>
      <c r="C2615" s="1" t="s">
        <v>18892</v>
      </c>
      <c r="D2615" s="1" t="s">
        <v>11920</v>
      </c>
      <c r="E2615" s="1" t="s">
        <v>11970</v>
      </c>
      <c r="F2615" s="1" t="s">
        <v>11971</v>
      </c>
      <c r="G2615" s="1" t="s">
        <v>1020</v>
      </c>
      <c r="H2615" s="1" t="str">
        <f t="shared" si="40"/>
        <v>Zabbix proxy</v>
      </c>
    </row>
    <row r="2616" spans="1:8">
      <c r="A2616" s="1">
        <v>2615</v>
      </c>
      <c r="B2616" s="1" t="s">
        <v>18876</v>
      </c>
      <c r="C2616" s="1" t="s">
        <v>18893</v>
      </c>
      <c r="D2616" s="1" t="s">
        <v>11920</v>
      </c>
      <c r="E2616" s="1" t="s">
        <v>11973</v>
      </c>
      <c r="F2616" s="1" t="s">
        <v>11974</v>
      </c>
      <c r="G2616" s="1" t="s">
        <v>1020</v>
      </c>
      <c r="H2616" s="1" t="str">
        <f t="shared" si="40"/>
        <v>Zabbix proxy</v>
      </c>
    </row>
    <row r="2617" spans="1:8">
      <c r="A2617" s="1">
        <v>2616</v>
      </c>
      <c r="B2617" s="1" t="s">
        <v>18876</v>
      </c>
      <c r="C2617" s="1" t="s">
        <v>18894</v>
      </c>
      <c r="D2617" s="1" t="s">
        <v>11920</v>
      </c>
      <c r="E2617" s="1" t="s">
        <v>11976</v>
      </c>
      <c r="F2617" s="1" t="s">
        <v>11977</v>
      </c>
      <c r="G2617" s="1" t="s">
        <v>1025</v>
      </c>
      <c r="H2617" s="1" t="str">
        <f t="shared" si="40"/>
        <v>Zabbix proxy</v>
      </c>
    </row>
    <row r="2618" spans="1:8">
      <c r="A2618" s="1">
        <v>2617</v>
      </c>
      <c r="B2618" s="1" t="s">
        <v>18876</v>
      </c>
      <c r="C2618" s="1" t="s">
        <v>18895</v>
      </c>
      <c r="D2618" s="1" t="s">
        <v>11920</v>
      </c>
      <c r="E2618" s="1" t="s">
        <v>11979</v>
      </c>
      <c r="F2618" s="1" t="s">
        <v>11980</v>
      </c>
      <c r="G2618" s="1" t="s">
        <v>11981</v>
      </c>
      <c r="H2618" s="1" t="str">
        <f t="shared" si="40"/>
        <v>Zabbix proxy</v>
      </c>
    </row>
    <row r="2619" spans="1:8">
      <c r="A2619" s="1">
        <v>2618</v>
      </c>
      <c r="B2619" s="1" t="s">
        <v>18876</v>
      </c>
      <c r="C2619" s="1" t="s">
        <v>18896</v>
      </c>
      <c r="D2619" s="1" t="s">
        <v>11920</v>
      </c>
      <c r="E2619" s="1" t="s">
        <v>11983</v>
      </c>
      <c r="F2619" s="1" t="s">
        <v>11984</v>
      </c>
      <c r="G2619" s="1" t="s">
        <v>1028</v>
      </c>
      <c r="H2619" s="1" t="str">
        <f t="shared" si="40"/>
        <v>Zabbix proxy</v>
      </c>
    </row>
    <row r="2620" spans="1:8">
      <c r="A2620" s="1">
        <v>2619</v>
      </c>
      <c r="B2620" s="1" t="s">
        <v>18876</v>
      </c>
      <c r="C2620" s="1" t="s">
        <v>18897</v>
      </c>
      <c r="D2620" s="1" t="s">
        <v>11920</v>
      </c>
      <c r="E2620" s="1" t="s">
        <v>11986</v>
      </c>
      <c r="F2620" s="1" t="s">
        <v>11987</v>
      </c>
      <c r="G2620" s="1" t="s">
        <v>1031</v>
      </c>
      <c r="H2620" s="1" t="str">
        <f t="shared" si="40"/>
        <v>Zabbix proxy</v>
      </c>
    </row>
    <row r="2621" spans="1:8">
      <c r="A2621" s="1">
        <v>2620</v>
      </c>
      <c r="B2621" s="1" t="s">
        <v>18876</v>
      </c>
      <c r="C2621" s="1" t="s">
        <v>18898</v>
      </c>
      <c r="D2621" s="1" t="s">
        <v>11920</v>
      </c>
      <c r="E2621" s="1" t="s">
        <v>11989</v>
      </c>
      <c r="F2621" s="1" t="s">
        <v>11990</v>
      </c>
      <c r="G2621" s="1" t="s">
        <v>1031</v>
      </c>
      <c r="H2621" s="1" t="str">
        <f t="shared" si="40"/>
        <v>Zabbix proxy</v>
      </c>
    </row>
    <row r="2622" spans="1:8">
      <c r="A2622" s="1">
        <v>2621</v>
      </c>
      <c r="B2622" s="1" t="s">
        <v>18876</v>
      </c>
      <c r="C2622" s="1" t="s">
        <v>18899</v>
      </c>
      <c r="D2622" s="1" t="s">
        <v>11920</v>
      </c>
      <c r="E2622" s="1" t="s">
        <v>11992</v>
      </c>
      <c r="F2622" s="1" t="s">
        <v>11993</v>
      </c>
      <c r="G2622" s="1" t="s">
        <v>1036</v>
      </c>
      <c r="H2622" s="1" t="str">
        <f t="shared" si="40"/>
        <v>Zabbix proxy</v>
      </c>
    </row>
    <row r="2623" spans="1:8">
      <c r="A2623" s="1">
        <v>2622</v>
      </c>
      <c r="B2623" s="1" t="s">
        <v>18876</v>
      </c>
      <c r="C2623" s="1" t="s">
        <v>18900</v>
      </c>
      <c r="D2623" s="1" t="s">
        <v>11920</v>
      </c>
      <c r="E2623" s="1" t="s">
        <v>11995</v>
      </c>
      <c r="F2623" s="1" t="s">
        <v>11996</v>
      </c>
      <c r="G2623" s="1" t="s">
        <v>1039</v>
      </c>
      <c r="H2623" s="1" t="str">
        <f t="shared" si="40"/>
        <v>Zabbix proxy</v>
      </c>
    </row>
    <row r="2624" spans="1:8">
      <c r="A2624" s="1">
        <v>2623</v>
      </c>
      <c r="B2624" s="1" t="s">
        <v>18876</v>
      </c>
      <c r="C2624" s="1" t="s">
        <v>18901</v>
      </c>
      <c r="D2624" s="1" t="s">
        <v>11920</v>
      </c>
      <c r="E2624" s="1" t="s">
        <v>11998</v>
      </c>
      <c r="F2624" s="1" t="s">
        <v>11999</v>
      </c>
      <c r="G2624" s="1" t="s">
        <v>1036</v>
      </c>
      <c r="H2624" s="1" t="str">
        <f t="shared" si="40"/>
        <v>Zabbix proxy</v>
      </c>
    </row>
    <row r="2625" spans="1:8">
      <c r="A2625" s="1">
        <v>2624</v>
      </c>
      <c r="B2625" s="1" t="s">
        <v>18876</v>
      </c>
      <c r="C2625" s="1" t="s">
        <v>18902</v>
      </c>
      <c r="D2625" s="1" t="s">
        <v>11920</v>
      </c>
      <c r="E2625" s="1" t="s">
        <v>12001</v>
      </c>
      <c r="F2625" s="1" t="s">
        <v>12002</v>
      </c>
      <c r="G2625" s="1" t="s">
        <v>1044</v>
      </c>
      <c r="H2625" s="1" t="str">
        <f t="shared" si="40"/>
        <v>Zabbix proxy</v>
      </c>
    </row>
    <row r="2626" spans="1:8">
      <c r="A2626" s="1">
        <v>2625</v>
      </c>
      <c r="B2626" s="1" t="s">
        <v>18876</v>
      </c>
      <c r="C2626" s="1" t="s">
        <v>18903</v>
      </c>
      <c r="D2626" s="1" t="s">
        <v>11920</v>
      </c>
      <c r="E2626" s="1" t="s">
        <v>12004</v>
      </c>
      <c r="F2626" s="1" t="s">
        <v>12005</v>
      </c>
      <c r="G2626" s="1" t="s">
        <v>1047</v>
      </c>
      <c r="H2626" s="1" t="str">
        <f t="shared" ref="H2626:H2687" si="41">IFERROR(IF(OR(MID(G2626,FIND(":",G2626)-1,1)="""",MID(G2626,FIND(":",G2626)-1,1)="}",MID(G2626,FIND(":",G2626)-1,1)=")",MID(G2626,FIND(":",G2626)-1,1)="]"),"",LEFT(F2626,FIND(":",F2626)-1)),"")</f>
        <v>Zabbix proxy</v>
      </c>
    </row>
    <row r="2627" spans="1:8">
      <c r="A2627" s="1">
        <v>2626</v>
      </c>
      <c r="B2627" s="1" t="s">
        <v>18876</v>
      </c>
      <c r="C2627" s="1" t="s">
        <v>18904</v>
      </c>
      <c r="D2627" s="1" t="s">
        <v>11920</v>
      </c>
      <c r="E2627" s="1" t="s">
        <v>12007</v>
      </c>
      <c r="F2627" s="1" t="s">
        <v>12008</v>
      </c>
      <c r="G2627" s="1" t="s">
        <v>1050</v>
      </c>
      <c r="H2627" s="1" t="str">
        <f t="shared" si="41"/>
        <v>Zabbix proxy</v>
      </c>
    </row>
    <row r="2628" spans="1:8">
      <c r="A2628" s="1">
        <v>2627</v>
      </c>
      <c r="B2628" s="1" t="s">
        <v>18876</v>
      </c>
      <c r="C2628" s="1" t="s">
        <v>18905</v>
      </c>
      <c r="D2628" s="1" t="s">
        <v>11920</v>
      </c>
      <c r="E2628" s="1" t="s">
        <v>12010</v>
      </c>
      <c r="F2628" s="1" t="s">
        <v>12011</v>
      </c>
      <c r="G2628" s="1" t="s">
        <v>12012</v>
      </c>
      <c r="H2628" s="1" t="str">
        <f t="shared" si="41"/>
        <v>Zabbix proxy</v>
      </c>
    </row>
    <row r="2629" spans="1:8">
      <c r="A2629" s="1">
        <v>2628</v>
      </c>
      <c r="B2629" s="1" t="s">
        <v>18876</v>
      </c>
      <c r="C2629" s="1" t="s">
        <v>18906</v>
      </c>
      <c r="D2629" s="1" t="s">
        <v>11920</v>
      </c>
      <c r="E2629" s="1" t="s">
        <v>12014</v>
      </c>
      <c r="F2629" s="1" t="s">
        <v>1064</v>
      </c>
      <c r="G2629" s="1" t="s">
        <v>1065</v>
      </c>
      <c r="H2629" s="1" t="str">
        <f t="shared" si="41"/>
        <v>Zabbix proxy</v>
      </c>
    </row>
    <row r="2630" spans="1:8">
      <c r="A2630" s="1">
        <v>2629</v>
      </c>
      <c r="B2630" s="1" t="s">
        <v>18907</v>
      </c>
      <c r="C2630" s="1" t="s">
        <v>18908</v>
      </c>
      <c r="D2630" s="1" t="s">
        <v>12018</v>
      </c>
      <c r="E2630" s="1" t="s">
        <v>12019</v>
      </c>
      <c r="F2630" s="1" t="s">
        <v>1150</v>
      </c>
      <c r="G2630" s="1" t="s">
        <v>1151</v>
      </c>
      <c r="H2630" s="1" t="str">
        <f t="shared" si="41"/>
        <v>Zabbix server</v>
      </c>
    </row>
    <row r="2631" spans="1:8">
      <c r="A2631" s="1">
        <v>2630</v>
      </c>
      <c r="B2631" s="1" t="s">
        <v>18907</v>
      </c>
      <c r="C2631" s="1" t="s">
        <v>18909</v>
      </c>
      <c r="D2631" s="1" t="s">
        <v>12018</v>
      </c>
      <c r="E2631" s="1" t="s">
        <v>12023</v>
      </c>
      <c r="F2631" s="1" t="s">
        <v>1167</v>
      </c>
      <c r="G2631" s="1" t="s">
        <v>1168</v>
      </c>
      <c r="H2631" s="1" t="str">
        <f t="shared" si="41"/>
        <v>Zabbix server</v>
      </c>
    </row>
    <row r="2632" spans="1:8">
      <c r="A2632" s="1">
        <v>2631</v>
      </c>
      <c r="B2632" s="1" t="s">
        <v>18907</v>
      </c>
      <c r="C2632" s="1" t="s">
        <v>18910</v>
      </c>
      <c r="D2632" s="1" t="s">
        <v>12018</v>
      </c>
      <c r="E2632" s="1" t="s">
        <v>12027</v>
      </c>
      <c r="F2632" s="1" t="s">
        <v>1164</v>
      </c>
      <c r="G2632" s="1" t="s">
        <v>1165</v>
      </c>
      <c r="H2632" s="1" t="str">
        <f t="shared" si="41"/>
        <v>Zabbix server</v>
      </c>
    </row>
    <row r="2633" spans="1:8">
      <c r="A2633" s="1">
        <v>2632</v>
      </c>
      <c r="B2633" s="1" t="s">
        <v>18907</v>
      </c>
      <c r="C2633" s="1" t="s">
        <v>18911</v>
      </c>
      <c r="D2633" s="1" t="s">
        <v>12018</v>
      </c>
      <c r="E2633" s="1" t="s">
        <v>12031</v>
      </c>
      <c r="F2633" s="1" t="s">
        <v>1147</v>
      </c>
      <c r="G2633" s="1" t="s">
        <v>1148</v>
      </c>
      <c r="H2633" s="1" t="str">
        <f t="shared" si="41"/>
        <v>Zabbix server</v>
      </c>
    </row>
    <row r="2634" spans="1:8">
      <c r="A2634" s="1">
        <v>2633</v>
      </c>
      <c r="B2634" s="1" t="s">
        <v>18907</v>
      </c>
      <c r="C2634" s="1" t="s">
        <v>18912</v>
      </c>
      <c r="D2634" s="1" t="s">
        <v>12018</v>
      </c>
      <c r="E2634" s="1" t="s">
        <v>12033</v>
      </c>
      <c r="F2634" s="1" t="s">
        <v>1170</v>
      </c>
      <c r="G2634" s="1" t="s">
        <v>1171</v>
      </c>
      <c r="H2634" s="1" t="str">
        <f t="shared" si="41"/>
        <v>Zabbix server</v>
      </c>
    </row>
    <row r="2635" spans="1:8">
      <c r="A2635" s="1">
        <v>2634</v>
      </c>
      <c r="B2635" s="1" t="s">
        <v>18907</v>
      </c>
      <c r="C2635" s="1" t="s">
        <v>18913</v>
      </c>
      <c r="D2635" s="1" t="s">
        <v>12018</v>
      </c>
      <c r="E2635" s="1" t="s">
        <v>12037</v>
      </c>
      <c r="F2635" s="1" t="s">
        <v>12038</v>
      </c>
      <c r="G2635" s="1" t="s">
        <v>1076</v>
      </c>
      <c r="H2635" s="1" t="str">
        <f t="shared" si="41"/>
        <v>Zabbix server</v>
      </c>
    </row>
    <row r="2636" spans="1:8">
      <c r="A2636" s="1">
        <v>2635</v>
      </c>
      <c r="B2636" s="1" t="s">
        <v>18907</v>
      </c>
      <c r="C2636" s="1" t="s">
        <v>18914</v>
      </c>
      <c r="D2636" s="1" t="s">
        <v>12018</v>
      </c>
      <c r="E2636" s="1" t="s">
        <v>12040</v>
      </c>
      <c r="F2636" s="1" t="s">
        <v>12041</v>
      </c>
      <c r="G2636" s="1" t="s">
        <v>1081</v>
      </c>
      <c r="H2636" s="1" t="str">
        <f t="shared" si="41"/>
        <v>Zabbix server</v>
      </c>
    </row>
    <row r="2637" spans="1:8">
      <c r="A2637" s="1">
        <v>2636</v>
      </c>
      <c r="B2637" s="1" t="s">
        <v>18907</v>
      </c>
      <c r="C2637" s="1" t="s">
        <v>18915</v>
      </c>
      <c r="D2637" s="1" t="s">
        <v>12018</v>
      </c>
      <c r="E2637" s="1" t="s">
        <v>12043</v>
      </c>
      <c r="F2637" s="1" t="s">
        <v>12044</v>
      </c>
      <c r="G2637" s="1" t="s">
        <v>1076</v>
      </c>
      <c r="H2637" s="1" t="str">
        <f t="shared" si="41"/>
        <v>Zabbix server</v>
      </c>
    </row>
    <row r="2638" spans="1:8">
      <c r="A2638" s="1">
        <v>2637</v>
      </c>
      <c r="B2638" s="1" t="s">
        <v>18907</v>
      </c>
      <c r="C2638" s="1" t="s">
        <v>18916</v>
      </c>
      <c r="D2638" s="1" t="s">
        <v>12018</v>
      </c>
      <c r="E2638" s="1" t="s">
        <v>2624</v>
      </c>
      <c r="F2638" s="1" t="s">
        <v>12046</v>
      </c>
      <c r="G2638" s="1" t="s">
        <v>18917</v>
      </c>
      <c r="H2638" s="1" t="str">
        <f t="shared" si="41"/>
        <v>Zabbix server</v>
      </c>
    </row>
    <row r="2639" spans="1:8">
      <c r="A2639" s="1">
        <v>2638</v>
      </c>
      <c r="B2639" s="1" t="s">
        <v>18907</v>
      </c>
      <c r="C2639" s="1" t="s">
        <v>18918</v>
      </c>
      <c r="D2639" s="1" t="s">
        <v>12018</v>
      </c>
      <c r="E2639" s="1" t="s">
        <v>12049</v>
      </c>
      <c r="F2639" s="1" t="s">
        <v>12050</v>
      </c>
      <c r="G2639" s="1" t="s">
        <v>1084</v>
      </c>
      <c r="H2639" s="1" t="str">
        <f t="shared" si="41"/>
        <v>Zabbix server</v>
      </c>
    </row>
    <row r="2640" spans="1:8">
      <c r="A2640" s="1">
        <v>2639</v>
      </c>
      <c r="B2640" s="1" t="s">
        <v>18907</v>
      </c>
      <c r="C2640" s="1" t="s">
        <v>18919</v>
      </c>
      <c r="D2640" s="1" t="s">
        <v>12018</v>
      </c>
      <c r="E2640" s="1" t="s">
        <v>18920</v>
      </c>
      <c r="F2640" s="1" t="s">
        <v>17166</v>
      </c>
      <c r="G2640" s="1" t="s">
        <v>17167</v>
      </c>
      <c r="H2640" s="1" t="str">
        <f t="shared" si="41"/>
        <v>Zabbix server</v>
      </c>
    </row>
    <row r="2641" spans="1:8">
      <c r="A2641" s="1">
        <v>2640</v>
      </c>
      <c r="B2641" s="1" t="s">
        <v>18907</v>
      </c>
      <c r="C2641" s="1" t="s">
        <v>18921</v>
      </c>
      <c r="D2641" s="1" t="s">
        <v>12018</v>
      </c>
      <c r="E2641" s="1" t="s">
        <v>18922</v>
      </c>
      <c r="F2641" s="1" t="s">
        <v>17170</v>
      </c>
      <c r="G2641" s="1" t="s">
        <v>17167</v>
      </c>
      <c r="H2641" s="1" t="str">
        <f t="shared" si="41"/>
        <v>Zabbix server</v>
      </c>
    </row>
    <row r="2642" spans="1:8">
      <c r="A2642" s="1">
        <v>2641</v>
      </c>
      <c r="B2642" s="1" t="s">
        <v>18907</v>
      </c>
      <c r="C2642" s="1" t="s">
        <v>18923</v>
      </c>
      <c r="D2642" s="1" t="s">
        <v>12018</v>
      </c>
      <c r="E2642" s="1" t="s">
        <v>12052</v>
      </c>
      <c r="F2642" s="1" t="s">
        <v>12053</v>
      </c>
      <c r="G2642" s="1" t="s">
        <v>1087</v>
      </c>
      <c r="H2642" s="1" t="str">
        <f t="shared" si="41"/>
        <v>Zabbix server</v>
      </c>
    </row>
    <row r="2643" spans="1:8">
      <c r="A2643" s="1">
        <v>2642</v>
      </c>
      <c r="B2643" s="1" t="s">
        <v>18907</v>
      </c>
      <c r="C2643" s="1" t="s">
        <v>18924</v>
      </c>
      <c r="D2643" s="1" t="s">
        <v>12018</v>
      </c>
      <c r="E2643" s="1" t="s">
        <v>12055</v>
      </c>
      <c r="F2643" s="1" t="s">
        <v>12056</v>
      </c>
      <c r="G2643" s="1" t="s">
        <v>1090</v>
      </c>
      <c r="H2643" s="1" t="str">
        <f t="shared" si="41"/>
        <v>Zabbix server</v>
      </c>
    </row>
    <row r="2644" spans="1:8">
      <c r="A2644" s="1">
        <v>2643</v>
      </c>
      <c r="B2644" s="1" t="s">
        <v>18907</v>
      </c>
      <c r="C2644" s="1" t="s">
        <v>18925</v>
      </c>
      <c r="D2644" s="1" t="s">
        <v>12018</v>
      </c>
      <c r="E2644" s="1" t="s">
        <v>2626</v>
      </c>
      <c r="F2644" s="1" t="s">
        <v>12058</v>
      </c>
      <c r="G2644" s="1" t="s">
        <v>12059</v>
      </c>
      <c r="H2644" s="1" t="str">
        <f t="shared" si="41"/>
        <v>Zabbix server</v>
      </c>
    </row>
    <row r="2645" spans="1:8">
      <c r="A2645" s="1">
        <v>2644</v>
      </c>
      <c r="B2645" s="1" t="s">
        <v>18907</v>
      </c>
      <c r="C2645" s="1" t="s">
        <v>18926</v>
      </c>
      <c r="D2645" s="1" t="s">
        <v>12018</v>
      </c>
      <c r="E2645" s="1" t="s">
        <v>12061</v>
      </c>
      <c r="F2645" s="1" t="s">
        <v>12062</v>
      </c>
      <c r="G2645" s="1" t="s">
        <v>1081</v>
      </c>
      <c r="H2645" s="1" t="str">
        <f t="shared" si="41"/>
        <v>Zabbix server</v>
      </c>
    </row>
    <row r="2646" spans="1:8">
      <c r="A2646" s="1">
        <v>2645</v>
      </c>
      <c r="B2646" s="1" t="s">
        <v>18907</v>
      </c>
      <c r="C2646" s="1" t="s">
        <v>18927</v>
      </c>
      <c r="D2646" s="1" t="s">
        <v>12018</v>
      </c>
      <c r="E2646" s="1" t="s">
        <v>12064</v>
      </c>
      <c r="F2646" s="1" t="s">
        <v>12065</v>
      </c>
      <c r="G2646" s="1" t="s">
        <v>1095</v>
      </c>
      <c r="H2646" s="1" t="str">
        <f t="shared" si="41"/>
        <v>Zabbix server</v>
      </c>
    </row>
    <row r="2647" spans="1:8">
      <c r="A2647" s="1">
        <v>2646</v>
      </c>
      <c r="B2647" s="1" t="s">
        <v>18907</v>
      </c>
      <c r="C2647" s="1" t="s">
        <v>18928</v>
      </c>
      <c r="D2647" s="1" t="s">
        <v>12018</v>
      </c>
      <c r="E2647" s="1" t="s">
        <v>12068</v>
      </c>
      <c r="F2647" s="1" t="s">
        <v>12069</v>
      </c>
      <c r="G2647" s="1" t="s">
        <v>1098</v>
      </c>
      <c r="H2647" s="1" t="str">
        <f t="shared" si="41"/>
        <v>Zabbix server</v>
      </c>
    </row>
    <row r="2648" spans="1:8">
      <c r="A2648" s="1">
        <v>2647</v>
      </c>
      <c r="B2648" s="1" t="s">
        <v>18907</v>
      </c>
      <c r="C2648" s="1" t="s">
        <v>18929</v>
      </c>
      <c r="D2648" s="1" t="s">
        <v>12018</v>
      </c>
      <c r="E2648" s="1" t="s">
        <v>12071</v>
      </c>
      <c r="F2648" s="1" t="s">
        <v>12072</v>
      </c>
      <c r="G2648" s="1" t="s">
        <v>1101</v>
      </c>
      <c r="H2648" s="1" t="str">
        <f t="shared" si="41"/>
        <v>Zabbix server</v>
      </c>
    </row>
    <row r="2649" spans="1:8">
      <c r="A2649" s="1">
        <v>2648</v>
      </c>
      <c r="B2649" s="1" t="s">
        <v>18907</v>
      </c>
      <c r="C2649" s="1" t="s">
        <v>18930</v>
      </c>
      <c r="D2649" s="1" t="s">
        <v>12018</v>
      </c>
      <c r="E2649" s="1" t="s">
        <v>12074</v>
      </c>
      <c r="F2649" s="1" t="s">
        <v>12075</v>
      </c>
      <c r="G2649" s="1" t="s">
        <v>1104</v>
      </c>
      <c r="H2649" s="1" t="str">
        <f t="shared" si="41"/>
        <v>Zabbix server</v>
      </c>
    </row>
    <row r="2650" spans="1:8">
      <c r="A2650" s="1">
        <v>2649</v>
      </c>
      <c r="B2650" s="1" t="s">
        <v>18907</v>
      </c>
      <c r="C2650" s="1" t="s">
        <v>18931</v>
      </c>
      <c r="D2650" s="1" t="s">
        <v>12018</v>
      </c>
      <c r="E2650" s="1" t="s">
        <v>12077</v>
      </c>
      <c r="F2650" s="1" t="s">
        <v>12078</v>
      </c>
      <c r="G2650" s="1" t="s">
        <v>1104</v>
      </c>
      <c r="H2650" s="1" t="str">
        <f t="shared" si="41"/>
        <v>Zabbix server</v>
      </c>
    </row>
    <row r="2651" spans="1:8">
      <c r="A2651" s="1">
        <v>2650</v>
      </c>
      <c r="B2651" s="1" t="s">
        <v>18907</v>
      </c>
      <c r="C2651" s="1" t="s">
        <v>18932</v>
      </c>
      <c r="D2651" s="1" t="s">
        <v>12018</v>
      </c>
      <c r="E2651" s="1" t="s">
        <v>12080</v>
      </c>
      <c r="F2651" s="1" t="s">
        <v>12081</v>
      </c>
      <c r="G2651" s="1" t="s">
        <v>1109</v>
      </c>
      <c r="H2651" s="1" t="str">
        <f t="shared" si="41"/>
        <v>Zabbix server</v>
      </c>
    </row>
    <row r="2652" spans="1:8">
      <c r="A2652" s="1">
        <v>2651</v>
      </c>
      <c r="B2652" s="1" t="s">
        <v>18907</v>
      </c>
      <c r="C2652" s="1" t="s">
        <v>18933</v>
      </c>
      <c r="D2652" s="1" t="s">
        <v>12018</v>
      </c>
      <c r="E2652" s="1" t="s">
        <v>12083</v>
      </c>
      <c r="F2652" s="1" t="s">
        <v>18934</v>
      </c>
      <c r="G2652" s="1" t="s">
        <v>1112</v>
      </c>
      <c r="H2652" s="1" t="str">
        <f t="shared" si="41"/>
        <v>Zabbix server</v>
      </c>
    </row>
    <row r="2653" spans="1:8">
      <c r="A2653" s="1">
        <v>2652</v>
      </c>
      <c r="B2653" s="1" t="s">
        <v>18907</v>
      </c>
      <c r="C2653" s="1" t="s">
        <v>18935</v>
      </c>
      <c r="D2653" s="1" t="s">
        <v>12018</v>
      </c>
      <c r="E2653" s="1" t="s">
        <v>12086</v>
      </c>
      <c r="F2653" s="1" t="s">
        <v>18936</v>
      </c>
      <c r="G2653" s="1" t="s">
        <v>1112</v>
      </c>
      <c r="H2653" s="1" t="str">
        <f t="shared" si="41"/>
        <v>Zabbix server</v>
      </c>
    </row>
    <row r="2654" spans="1:8">
      <c r="A2654" s="1">
        <v>2653</v>
      </c>
      <c r="B2654" s="1" t="s">
        <v>18907</v>
      </c>
      <c r="C2654" s="1" t="s">
        <v>18937</v>
      </c>
      <c r="D2654" s="1" t="s">
        <v>12018</v>
      </c>
      <c r="E2654" s="1" t="s">
        <v>12089</v>
      </c>
      <c r="F2654" s="1" t="s">
        <v>12090</v>
      </c>
      <c r="G2654" s="1" t="s">
        <v>12091</v>
      </c>
      <c r="H2654" s="1" t="str">
        <f t="shared" si="41"/>
        <v>Zabbix server</v>
      </c>
    </row>
    <row r="2655" spans="1:8">
      <c r="A2655" s="1">
        <v>2654</v>
      </c>
      <c r="B2655" s="1" t="s">
        <v>18907</v>
      </c>
      <c r="C2655" s="1" t="s">
        <v>18938</v>
      </c>
      <c r="D2655" s="1" t="s">
        <v>12018</v>
      </c>
      <c r="E2655" s="1" t="s">
        <v>12093</v>
      </c>
      <c r="F2655" s="1" t="s">
        <v>12094</v>
      </c>
      <c r="G2655" s="1" t="s">
        <v>1117</v>
      </c>
      <c r="H2655" s="1" t="str">
        <f t="shared" si="41"/>
        <v>Zabbix server</v>
      </c>
    </row>
    <row r="2656" spans="1:8">
      <c r="A2656" s="1">
        <v>2655</v>
      </c>
      <c r="B2656" s="1" t="s">
        <v>18907</v>
      </c>
      <c r="C2656" s="1" t="s">
        <v>18939</v>
      </c>
      <c r="D2656" s="1" t="s">
        <v>12018</v>
      </c>
      <c r="E2656" s="1" t="s">
        <v>12096</v>
      </c>
      <c r="F2656" s="1" t="s">
        <v>12097</v>
      </c>
      <c r="G2656" s="1" t="s">
        <v>1120</v>
      </c>
      <c r="H2656" s="1" t="str">
        <f t="shared" si="41"/>
        <v>Zabbix server</v>
      </c>
    </row>
    <row r="2657" spans="1:8">
      <c r="A2657" s="1">
        <v>2656</v>
      </c>
      <c r="B2657" s="1" t="s">
        <v>18907</v>
      </c>
      <c r="C2657" s="1" t="s">
        <v>18940</v>
      </c>
      <c r="D2657" s="1" t="s">
        <v>12018</v>
      </c>
      <c r="E2657" s="1" t="s">
        <v>12099</v>
      </c>
      <c r="F2657" s="1" t="s">
        <v>12100</v>
      </c>
      <c r="G2657" s="1" t="s">
        <v>1120</v>
      </c>
      <c r="H2657" s="1" t="str">
        <f t="shared" si="41"/>
        <v>Zabbix server</v>
      </c>
    </row>
    <row r="2658" spans="1:8">
      <c r="A2658" s="1">
        <v>2657</v>
      </c>
      <c r="B2658" s="1" t="s">
        <v>18907</v>
      </c>
      <c r="C2658" s="1" t="s">
        <v>18941</v>
      </c>
      <c r="D2658" s="1" t="s">
        <v>12018</v>
      </c>
      <c r="E2658" s="1" t="s">
        <v>12102</v>
      </c>
      <c r="F2658" s="1" t="s">
        <v>12103</v>
      </c>
      <c r="G2658" s="1" t="s">
        <v>1125</v>
      </c>
      <c r="H2658" s="1" t="str">
        <f t="shared" si="41"/>
        <v>Zabbix server</v>
      </c>
    </row>
    <row r="2659" spans="1:8">
      <c r="A2659" s="1">
        <v>2658</v>
      </c>
      <c r="B2659" s="1" t="s">
        <v>18907</v>
      </c>
      <c r="C2659" s="1" t="s">
        <v>18942</v>
      </c>
      <c r="D2659" s="1" t="s">
        <v>12018</v>
      </c>
      <c r="E2659" s="1" t="s">
        <v>12105</v>
      </c>
      <c r="F2659" s="1" t="s">
        <v>12106</v>
      </c>
      <c r="G2659" s="1" t="s">
        <v>12107</v>
      </c>
      <c r="H2659" s="1" t="str">
        <f t="shared" si="41"/>
        <v>Zabbix server</v>
      </c>
    </row>
    <row r="2660" spans="1:8">
      <c r="A2660" s="1">
        <v>2659</v>
      </c>
      <c r="B2660" s="1" t="s">
        <v>18907</v>
      </c>
      <c r="C2660" s="1" t="s">
        <v>18943</v>
      </c>
      <c r="D2660" s="1" t="s">
        <v>12018</v>
      </c>
      <c r="E2660" s="1" t="s">
        <v>12109</v>
      </c>
      <c r="F2660" s="1" t="s">
        <v>12110</v>
      </c>
      <c r="G2660" s="1" t="s">
        <v>12107</v>
      </c>
      <c r="H2660" s="1" t="str">
        <f t="shared" si="41"/>
        <v>Zabbix server</v>
      </c>
    </row>
    <row r="2661" spans="1:8">
      <c r="A2661" s="1">
        <v>2660</v>
      </c>
      <c r="B2661" s="1" t="s">
        <v>18907</v>
      </c>
      <c r="C2661" s="1" t="s">
        <v>18944</v>
      </c>
      <c r="D2661" s="1" t="s">
        <v>12018</v>
      </c>
      <c r="E2661" s="1" t="s">
        <v>12112</v>
      </c>
      <c r="F2661" s="1" t="s">
        <v>12113</v>
      </c>
      <c r="G2661" s="1" t="s">
        <v>1128</v>
      </c>
      <c r="H2661" s="1" t="str">
        <f t="shared" si="41"/>
        <v>Zabbix server</v>
      </c>
    </row>
    <row r="2662" spans="1:8">
      <c r="A2662" s="1">
        <v>2661</v>
      </c>
      <c r="B2662" s="1" t="s">
        <v>18907</v>
      </c>
      <c r="C2662" s="1" t="s">
        <v>18945</v>
      </c>
      <c r="D2662" s="1" t="s">
        <v>12018</v>
      </c>
      <c r="E2662" s="1" t="s">
        <v>12115</v>
      </c>
      <c r="F2662" s="1" t="s">
        <v>12116</v>
      </c>
      <c r="G2662" s="1" t="s">
        <v>1128</v>
      </c>
      <c r="H2662" s="1" t="str">
        <f t="shared" si="41"/>
        <v>Zabbix server</v>
      </c>
    </row>
    <row r="2663" spans="1:8">
      <c r="A2663" s="1">
        <v>2662</v>
      </c>
      <c r="B2663" s="1" t="s">
        <v>18907</v>
      </c>
      <c r="C2663" s="1" t="s">
        <v>18946</v>
      </c>
      <c r="D2663" s="1" t="s">
        <v>12018</v>
      </c>
      <c r="E2663" s="1" t="s">
        <v>12118</v>
      </c>
      <c r="F2663" s="1" t="s">
        <v>12119</v>
      </c>
      <c r="G2663" s="1" t="s">
        <v>1131</v>
      </c>
      <c r="H2663" s="1" t="str">
        <f t="shared" si="41"/>
        <v>Zabbix server</v>
      </c>
    </row>
    <row r="2664" spans="1:8">
      <c r="A2664" s="1">
        <v>2663</v>
      </c>
      <c r="B2664" s="1" t="s">
        <v>18907</v>
      </c>
      <c r="C2664" s="1" t="s">
        <v>18947</v>
      </c>
      <c r="D2664" s="1" t="s">
        <v>12018</v>
      </c>
      <c r="E2664" s="1" t="s">
        <v>12121</v>
      </c>
      <c r="F2664" s="1" t="s">
        <v>12122</v>
      </c>
      <c r="G2664" s="1" t="s">
        <v>1128</v>
      </c>
      <c r="H2664" s="1" t="str">
        <f t="shared" si="41"/>
        <v>Zabbix server</v>
      </c>
    </row>
    <row r="2665" spans="1:8">
      <c r="A2665" s="1">
        <v>2664</v>
      </c>
      <c r="B2665" s="1" t="s">
        <v>18907</v>
      </c>
      <c r="C2665" s="1" t="s">
        <v>18948</v>
      </c>
      <c r="D2665" s="1" t="s">
        <v>12018</v>
      </c>
      <c r="E2665" s="1" t="s">
        <v>12124</v>
      </c>
      <c r="F2665" s="1" t="s">
        <v>12125</v>
      </c>
      <c r="G2665" s="1" t="s">
        <v>1136</v>
      </c>
      <c r="H2665" s="1" t="str">
        <f t="shared" si="41"/>
        <v>Zabbix server</v>
      </c>
    </row>
    <row r="2666" spans="1:8">
      <c r="A2666" s="1">
        <v>2665</v>
      </c>
      <c r="B2666" s="1" t="s">
        <v>18907</v>
      </c>
      <c r="C2666" s="1" t="s">
        <v>18949</v>
      </c>
      <c r="D2666" s="1" t="s">
        <v>12018</v>
      </c>
      <c r="E2666" s="1" t="s">
        <v>12127</v>
      </c>
      <c r="F2666" s="1" t="s">
        <v>12128</v>
      </c>
      <c r="G2666" s="1" t="s">
        <v>1139</v>
      </c>
      <c r="H2666" s="1" t="str">
        <f t="shared" si="41"/>
        <v>Zabbix server</v>
      </c>
    </row>
    <row r="2667" spans="1:8">
      <c r="A2667" s="1">
        <v>2666</v>
      </c>
      <c r="B2667" s="1" t="s">
        <v>18907</v>
      </c>
      <c r="C2667" s="1" t="s">
        <v>18950</v>
      </c>
      <c r="D2667" s="1" t="s">
        <v>12018</v>
      </c>
      <c r="E2667" s="1" t="s">
        <v>12130</v>
      </c>
      <c r="F2667" s="1" t="s">
        <v>12131</v>
      </c>
      <c r="G2667" s="1" t="s">
        <v>1095</v>
      </c>
      <c r="H2667" s="1" t="str">
        <f t="shared" si="41"/>
        <v>Zabbix server</v>
      </c>
    </row>
    <row r="2668" spans="1:8">
      <c r="A2668" s="1">
        <v>2667</v>
      </c>
      <c r="B2668" s="1" t="s">
        <v>18907</v>
      </c>
      <c r="C2668" s="1" t="s">
        <v>18951</v>
      </c>
      <c r="D2668" s="1" t="s">
        <v>12018</v>
      </c>
      <c r="E2668" s="1" t="s">
        <v>12133</v>
      </c>
      <c r="F2668" s="1" t="s">
        <v>12134</v>
      </c>
      <c r="G2668" s="1" t="s">
        <v>1142</v>
      </c>
      <c r="H2668" s="1" t="str">
        <f t="shared" si="41"/>
        <v>Zabbix server</v>
      </c>
    </row>
    <row r="2669" spans="1:8">
      <c r="A2669" s="1">
        <v>2668</v>
      </c>
      <c r="B2669" s="1" t="s">
        <v>18907</v>
      </c>
      <c r="C2669" s="1" t="s">
        <v>18952</v>
      </c>
      <c r="D2669" s="1" t="s">
        <v>12018</v>
      </c>
      <c r="E2669" s="1" t="s">
        <v>12136</v>
      </c>
      <c r="F2669" s="1" t="s">
        <v>12137</v>
      </c>
      <c r="G2669" s="1" t="s">
        <v>1145</v>
      </c>
      <c r="H2669" s="1" t="str">
        <f t="shared" si="41"/>
        <v>Zabbix server</v>
      </c>
    </row>
    <row r="2670" spans="1:8">
      <c r="A2670" s="1">
        <v>2669</v>
      </c>
      <c r="B2670" s="1" t="s">
        <v>18907</v>
      </c>
      <c r="C2670" s="1" t="s">
        <v>18953</v>
      </c>
      <c r="D2670" s="1" t="s">
        <v>12018</v>
      </c>
      <c r="E2670" s="1" t="s">
        <v>12139</v>
      </c>
      <c r="F2670" s="1" t="s">
        <v>1156</v>
      </c>
      <c r="G2670" s="1" t="s">
        <v>1154</v>
      </c>
      <c r="H2670" s="1" t="str">
        <f t="shared" si="41"/>
        <v>Zabbix server</v>
      </c>
    </row>
    <row r="2671" spans="1:8">
      <c r="A2671" s="1">
        <v>2670</v>
      </c>
      <c r="B2671" s="1" t="s">
        <v>18907</v>
      </c>
      <c r="C2671" s="1" t="s">
        <v>18954</v>
      </c>
      <c r="D2671" s="1" t="s">
        <v>12018</v>
      </c>
      <c r="E2671" s="1" t="s">
        <v>12141</v>
      </c>
      <c r="F2671" s="1" t="s">
        <v>1153</v>
      </c>
      <c r="G2671" s="1" t="s">
        <v>1154</v>
      </c>
      <c r="H2671" s="1" t="str">
        <f t="shared" si="41"/>
        <v>Zabbix server</v>
      </c>
    </row>
    <row r="2672" spans="1:8">
      <c r="A2672" s="1">
        <v>2671</v>
      </c>
      <c r="B2672" s="1" t="s">
        <v>18907</v>
      </c>
      <c r="C2672" s="1" t="s">
        <v>18955</v>
      </c>
      <c r="D2672" s="1" t="s">
        <v>12018</v>
      </c>
      <c r="E2672" s="1" t="s">
        <v>12145</v>
      </c>
      <c r="F2672" s="1" t="s">
        <v>12146</v>
      </c>
      <c r="G2672" s="1" t="s">
        <v>12147</v>
      </c>
      <c r="H2672" s="1" t="str">
        <f t="shared" si="41"/>
        <v>Zabbix server</v>
      </c>
    </row>
    <row r="2673" spans="1:8">
      <c r="A2673" s="1">
        <v>2672</v>
      </c>
      <c r="B2673" s="1" t="s">
        <v>18907</v>
      </c>
      <c r="C2673" s="1" t="s">
        <v>18956</v>
      </c>
      <c r="D2673" s="1" t="s">
        <v>12018</v>
      </c>
      <c r="E2673" s="1" t="s">
        <v>12149</v>
      </c>
      <c r="F2673" s="1" t="s">
        <v>1161</v>
      </c>
      <c r="G2673" s="1" t="s">
        <v>1162</v>
      </c>
      <c r="H2673" s="1" t="str">
        <f t="shared" si="41"/>
        <v>Zabbix server</v>
      </c>
    </row>
    <row r="2674" spans="1:8">
      <c r="A2674" s="1">
        <v>2673</v>
      </c>
      <c r="B2674" s="1" t="s">
        <v>18957</v>
      </c>
      <c r="C2674" s="1" t="s">
        <v>211</v>
      </c>
      <c r="D2674" s="1" t="s">
        <v>12153</v>
      </c>
      <c r="E2674" s="1" t="s">
        <v>2570</v>
      </c>
      <c r="F2674" s="1" t="s">
        <v>12154</v>
      </c>
      <c r="G2674" s="1" t="s">
        <v>12155</v>
      </c>
      <c r="H2674" s="1" t="str">
        <f t="shared" si="41"/>
        <v>Zookeeper</v>
      </c>
    </row>
    <row r="2675" spans="1:8">
      <c r="A2675" s="1">
        <v>2674</v>
      </c>
      <c r="B2675" s="1" t="s">
        <v>18957</v>
      </c>
      <c r="C2675" s="1" t="s">
        <v>214</v>
      </c>
      <c r="D2675" s="1" t="s">
        <v>12153</v>
      </c>
      <c r="E2675" s="1" t="s">
        <v>2574</v>
      </c>
      <c r="F2675" s="1" t="s">
        <v>12157</v>
      </c>
      <c r="G2675" s="1" t="s">
        <v>12158</v>
      </c>
      <c r="H2675" s="1" t="str">
        <f t="shared" si="41"/>
        <v>Zookeeper</v>
      </c>
    </row>
    <row r="2676" spans="1:8">
      <c r="A2676" s="1">
        <v>2675</v>
      </c>
      <c r="B2676" s="1" t="s">
        <v>18957</v>
      </c>
      <c r="C2676" s="1" t="s">
        <v>218</v>
      </c>
      <c r="D2676" s="1" t="s">
        <v>12153</v>
      </c>
      <c r="E2676" s="1" t="s">
        <v>2578</v>
      </c>
      <c r="F2676" s="1" t="s">
        <v>12160</v>
      </c>
      <c r="G2676" s="1" t="s">
        <v>12161</v>
      </c>
      <c r="H2676" s="1" t="str">
        <f t="shared" si="41"/>
        <v>Zookeeper</v>
      </c>
    </row>
    <row r="2677" spans="1:8">
      <c r="A2677" s="1">
        <v>2676</v>
      </c>
      <c r="B2677" s="1" t="s">
        <v>18957</v>
      </c>
      <c r="C2677" s="1" t="s">
        <v>220</v>
      </c>
      <c r="D2677" s="1" t="s">
        <v>12153</v>
      </c>
      <c r="E2677" s="1" t="s">
        <v>2582</v>
      </c>
      <c r="F2677" s="1" t="s">
        <v>12163</v>
      </c>
      <c r="G2677" s="1" t="s">
        <v>12164</v>
      </c>
      <c r="H2677" s="1" t="str">
        <f t="shared" si="41"/>
        <v>Zookeeper</v>
      </c>
    </row>
    <row r="2678" spans="1:8">
      <c r="A2678" s="1">
        <v>2677</v>
      </c>
      <c r="B2678" s="1" t="s">
        <v>18957</v>
      </c>
      <c r="C2678" s="1" t="s">
        <v>224</v>
      </c>
      <c r="D2678" s="1" t="s">
        <v>12153</v>
      </c>
      <c r="E2678" s="1" t="s">
        <v>2590</v>
      </c>
      <c r="F2678" s="1" t="s">
        <v>12166</v>
      </c>
      <c r="G2678" s="1" t="s">
        <v>12167</v>
      </c>
      <c r="H2678" s="1" t="str">
        <f t="shared" si="41"/>
        <v>Zookeeper</v>
      </c>
    </row>
    <row r="2679" spans="1:8">
      <c r="A2679" s="1">
        <v>2678</v>
      </c>
      <c r="B2679" s="1" t="s">
        <v>18958</v>
      </c>
      <c r="C2679" s="1" t="s">
        <v>93</v>
      </c>
      <c r="D2679" s="1" t="s">
        <v>12169</v>
      </c>
      <c r="E2679" s="1" t="s">
        <v>3983</v>
      </c>
      <c r="F2679" s="1" t="s">
        <v>12170</v>
      </c>
      <c r="G2679" s="1" t="s">
        <v>12171</v>
      </c>
      <c r="H2679" s="1" t="str">
        <f t="shared" si="41"/>
        <v>macOS</v>
      </c>
    </row>
    <row r="2680" spans="1:8">
      <c r="A2680" s="1">
        <v>2679</v>
      </c>
      <c r="B2680" s="1" t="s">
        <v>18958</v>
      </c>
      <c r="C2680" s="1" t="s">
        <v>98</v>
      </c>
      <c r="D2680" s="1" t="s">
        <v>12169</v>
      </c>
      <c r="E2680" s="1" t="s">
        <v>3328</v>
      </c>
      <c r="F2680" s="1" t="s">
        <v>12173</v>
      </c>
      <c r="G2680" s="1" t="s">
        <v>12174</v>
      </c>
      <c r="H2680" s="1" t="str">
        <f t="shared" si="41"/>
        <v>macOS</v>
      </c>
    </row>
    <row r="2681" spans="1:8">
      <c r="A2681" s="1">
        <v>2680</v>
      </c>
      <c r="B2681" s="1" t="s">
        <v>18958</v>
      </c>
      <c r="C2681" s="1" t="s">
        <v>102</v>
      </c>
      <c r="D2681" s="1" t="s">
        <v>12169</v>
      </c>
      <c r="E2681" s="1" t="s">
        <v>3325</v>
      </c>
      <c r="F2681" s="1" t="s">
        <v>12176</v>
      </c>
      <c r="G2681" s="1" t="s">
        <v>12177</v>
      </c>
      <c r="H2681" s="1" t="str">
        <f t="shared" si="41"/>
        <v>macOS</v>
      </c>
    </row>
    <row r="2682" spans="1:8">
      <c r="A2682" s="1">
        <v>2681</v>
      </c>
      <c r="B2682" s="1" t="s">
        <v>18958</v>
      </c>
      <c r="C2682" s="1" t="s">
        <v>106</v>
      </c>
      <c r="D2682" s="1" t="s">
        <v>12169</v>
      </c>
      <c r="E2682" s="1" t="s">
        <v>3977</v>
      </c>
      <c r="F2682" s="1" t="s">
        <v>12179</v>
      </c>
      <c r="G2682" s="1" t="s">
        <v>12180</v>
      </c>
      <c r="H2682" s="1" t="str">
        <f t="shared" si="41"/>
        <v>macOS</v>
      </c>
    </row>
    <row r="2683" spans="1:8">
      <c r="A2683" s="1">
        <v>2682</v>
      </c>
      <c r="B2683" s="1" t="s">
        <v>18958</v>
      </c>
      <c r="C2683" s="1" t="s">
        <v>110</v>
      </c>
      <c r="D2683" s="1" t="s">
        <v>12169</v>
      </c>
      <c r="E2683" s="1" t="s">
        <v>3980</v>
      </c>
      <c r="F2683" s="1" t="s">
        <v>12182</v>
      </c>
      <c r="G2683" s="1" t="s">
        <v>12183</v>
      </c>
      <c r="H2683" s="1" t="str">
        <f t="shared" si="41"/>
        <v>macOS</v>
      </c>
    </row>
    <row r="2684" spans="1:8">
      <c r="A2684" s="1">
        <v>2683</v>
      </c>
      <c r="B2684" s="1" t="s">
        <v>18958</v>
      </c>
      <c r="C2684" s="1" t="s">
        <v>114</v>
      </c>
      <c r="D2684" s="1" t="s">
        <v>12169</v>
      </c>
      <c r="E2684" s="1" t="s">
        <v>3329</v>
      </c>
      <c r="F2684" s="1" t="s">
        <v>12185</v>
      </c>
      <c r="G2684" s="1" t="s">
        <v>12186</v>
      </c>
      <c r="H2684" s="1" t="str">
        <f t="shared" si="41"/>
        <v>macOS</v>
      </c>
    </row>
    <row r="2685" spans="1:8">
      <c r="A2685" s="1">
        <v>2684</v>
      </c>
      <c r="B2685" s="1" t="s">
        <v>18958</v>
      </c>
      <c r="C2685" s="1" t="s">
        <v>118</v>
      </c>
      <c r="D2685" s="1" t="s">
        <v>12169</v>
      </c>
      <c r="E2685" s="1" t="s">
        <v>3326</v>
      </c>
      <c r="F2685" s="1" t="s">
        <v>12188</v>
      </c>
      <c r="G2685" s="1" t="s">
        <v>12189</v>
      </c>
      <c r="H2685" s="1" t="str">
        <f t="shared" si="41"/>
        <v>macOS</v>
      </c>
    </row>
    <row r="2686" spans="1:8">
      <c r="A2686" s="1">
        <v>2685</v>
      </c>
      <c r="B2686" s="1" t="s">
        <v>18958</v>
      </c>
      <c r="C2686" s="1" t="s">
        <v>122</v>
      </c>
      <c r="D2686" s="1" t="s">
        <v>12169</v>
      </c>
      <c r="E2686" s="1" t="s">
        <v>3327</v>
      </c>
      <c r="F2686" s="1" t="s">
        <v>12191</v>
      </c>
      <c r="G2686" s="1" t="s">
        <v>12192</v>
      </c>
      <c r="H2686" s="1" t="str">
        <f t="shared" si="41"/>
        <v>macOS</v>
      </c>
    </row>
    <row r="2687" spans="1:8">
      <c r="A2687" s="1">
        <v>2686</v>
      </c>
      <c r="B2687" s="1" t="s">
        <v>18958</v>
      </c>
      <c r="C2687" s="1" t="s">
        <v>126</v>
      </c>
      <c r="D2687" s="1" t="s">
        <v>12169</v>
      </c>
      <c r="E2687" s="1" t="s">
        <v>12194</v>
      </c>
      <c r="F2687" s="1" t="s">
        <v>12195</v>
      </c>
      <c r="G2687" s="1" t="s">
        <v>18959</v>
      </c>
      <c r="H2687" s="1" t="str">
        <f t="shared" si="41"/>
        <v>macOS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5.0.42</vt:lpstr>
      <vt:lpstr>6.0.35</vt:lpstr>
      <vt:lpstr>7.0.17</vt:lpstr>
      <vt:lpstr>整理</vt:lpstr>
      <vt:lpstr>000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2022-11-06T07:55:00Z</dcterms:created>
  <dcterms:modified xsi:type="dcterms:W3CDTF">2025-08-11T11:45:55Z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