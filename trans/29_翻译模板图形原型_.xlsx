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4085" activeTab="3"/>
  </bookViews>
  <sheets>
    <sheet name="5.0.42" sheetId="37" r:id="rId1"/>
    <sheet name="6.0.35" sheetId="44" r:id="rId2"/>
    <sheet name="7.0.17" sheetId="43" r:id="rId3"/>
    <sheet name="整理" sheetId="3" r:id="rId4"/>
    <sheet name="000" sheetId="6" r:id="rId5"/>
    <sheet name="6.4.14" sheetId="41" r:id="rId6"/>
  </sheets>
  <definedNames>
    <definedName name="_xlnm._FilterDatabase" localSheetId="2" hidden="1">'7.0.17'!$A$1:$S$985</definedName>
    <definedName name="_xlnm._FilterDatabase" localSheetId="3" hidden="1">整理!$A$1:$BS$2</definedName>
    <definedName name="_xlnm._FilterDatabase" localSheetId="1" hidden="1">'6.0.35'!$A$1:$R$897</definedName>
    <definedName name="_xlnm._FilterDatabase" localSheetId="0" hidden="1">'5.0.42'!$A$1:$J$437</definedName>
  </definedNames>
  <calcPr calcId="144525" calcMode="manual"/>
</workbook>
</file>

<file path=xl/sharedStrings.xml><?xml version="1.0" encoding="utf-8"?>
<sst xmlns="http://schemas.openxmlformats.org/spreadsheetml/2006/main" count="18652" uniqueCount="5552">
  <si>
    <t>序号</t>
  </si>
  <si>
    <t>模板序号</t>
  </si>
  <si>
    <t>图表序号</t>
  </si>
  <si>
    <t>模板名称</t>
  </si>
  <si>
    <t>图表ID</t>
  </si>
  <si>
    <t>英文名称</t>
  </si>
  <si>
    <t>中文名称</t>
  </si>
  <si>
    <t>原因</t>
  </si>
  <si>
    <t>(218/1)</t>
  </si>
  <si>
    <t>(3/1)</t>
  </si>
  <si>
    <t>10366</t>
  </si>
  <si>
    <t>1461</t>
  </si>
  <si>
    <t>#{#SNMPINDEX}: CPU utilization</t>
  </si>
  <si>
    <t>#{#SNMPINDEX}: CPU利用率</t>
  </si>
  <si>
    <t>(3/2)</t>
  </si>
  <si>
    <t>1462</t>
  </si>
  <si>
    <t>{#SNMPVALUE}: Memory utilization</t>
  </si>
  <si>
    <t>{#SNMPVALUE}: 内存利用率</t>
  </si>
  <si>
    <t/>
  </si>
  <si>
    <t>(3/3)</t>
  </si>
  <si>
    <t>1463</t>
  </si>
  <si>
    <t>Interface {#IFNAME}({#IFALIAS}): Network traffic</t>
  </si>
  <si>
    <t>接口{#IFNAME}({#IFALIAS}): 网络流量</t>
  </si>
  <si>
    <t>(218/2)</t>
  </si>
  <si>
    <t>10367</t>
  </si>
  <si>
    <t>1464</t>
  </si>
  <si>
    <t>1465</t>
  </si>
  <si>
    <t>1466</t>
  </si>
  <si>
    <t>(218/3)</t>
  </si>
  <si>
    <t>10368</t>
  </si>
  <si>
    <t>1467</t>
  </si>
  <si>
    <t>1468</t>
  </si>
  <si>
    <t>1469</t>
  </si>
  <si>
    <t>(218/4)</t>
  </si>
  <si>
    <t>10369</t>
  </si>
  <si>
    <t>1470</t>
  </si>
  <si>
    <t>1471</t>
  </si>
  <si>
    <t>1472</t>
  </si>
  <si>
    <t>(218/5)</t>
  </si>
  <si>
    <t>10370</t>
  </si>
  <si>
    <t>1473</t>
  </si>
  <si>
    <t>1474</t>
  </si>
  <si>
    <t>1475</t>
  </si>
  <si>
    <t>(218/6)</t>
  </si>
  <si>
    <t>(2/1)</t>
  </si>
  <si>
    <t>10360</t>
  </si>
  <si>
    <t>1922</t>
  </si>
  <si>
    <t>RabbitMQ: Queue [{#VHOST}][{#QUEUE}]: Messages per second</t>
  </si>
  <si>
    <t>RabbitMQ: 队列[{#VHOST}][{#QUEUE}]: 每秒消息数</t>
  </si>
  <si>
    <t>(2/2)</t>
  </si>
  <si>
    <t>1923</t>
  </si>
  <si>
    <t>RabbitMQ: Queue [{#VHOST}][{#QUEUE}]: Messages status</t>
  </si>
  <si>
    <t>RabbitMQ: 队列[{#VHOST}][{#QUEUE}]: 消息状态</t>
  </si>
  <si>
    <t>(218/7)</t>
  </si>
  <si>
    <t>10358</t>
  </si>
  <si>
    <t>1909</t>
  </si>
  <si>
    <t>1910</t>
  </si>
  <si>
    <t>(218/8)</t>
  </si>
  <si>
    <t>(4/1)</t>
  </si>
  <si>
    <t>10361</t>
  </si>
  <si>
    <t>1520</t>
  </si>
  <si>
    <t>WildFly {#JMX_DATA_SOURCE}: Cache operations</t>
  </si>
  <si>
    <t>WildFly{#JMX_DATA_SOURCE}: 缓存操作</t>
  </si>
  <si>
    <t>(4/2)</t>
  </si>
  <si>
    <t>1521</t>
  </si>
  <si>
    <t>WildFly {#JMX_DATA_SOURCE}: Connections</t>
  </si>
  <si>
    <t>WildFly{#JMX_DATA_SOURCE}: 连接</t>
  </si>
  <si>
    <t>(4/3)</t>
  </si>
  <si>
    <t>1522</t>
  </si>
  <si>
    <t>WildFly listener {#HTTP_LISTENER}: Requests</t>
  </si>
  <si>
    <t>WildFly监听器{#HTTP_LISTENER}: 请求</t>
  </si>
  <si>
    <t>(4/4)</t>
  </si>
  <si>
    <t>1523</t>
  </si>
  <si>
    <t>WildFly listener {#HTTP_LISTENER}: Throughput</t>
  </si>
  <si>
    <t>WildFly侦听器{#HTTP_LISTENER}: 吞吐量</t>
  </si>
  <si>
    <t>(218/9)</t>
  </si>
  <si>
    <t>(6/1)</t>
  </si>
  <si>
    <t>10359</t>
  </si>
  <si>
    <t>1374</t>
  </si>
  <si>
    <t>{#JMXBROKERNAME}: {#JMXDESTINATIONTYPE} {#JMXDESTINATIONNAME}: Memory usage</t>
  </si>
  <si>
    <t>{#JMXBROKERNAME}: {#JMXDESTINATIONTYPE}{#JMXDESTINATIONNAME}: 内存使用率</t>
  </si>
  <si>
    <t>(6/2)</t>
  </si>
  <si>
    <t>1375</t>
  </si>
  <si>
    <t>{#JMXBROKERNAME}: {#JMXDESTINATIONTYPE} {#JMXDESTINATIONNAME}: Messages rate</t>
  </si>
  <si>
    <t>{#JMXBROKERNAME}: {#JMXDESTINATIONTYPE}{#JMXDESTINATIONNAME}: 消息速率</t>
  </si>
  <si>
    <t>(6/3)</t>
  </si>
  <si>
    <t>1376</t>
  </si>
  <si>
    <t>{#JMXBROKERNAME}: {#JMXDESTINATIONTYPE} {#JMXDESTINATIONNAME}: Producers and consumers</t>
  </si>
  <si>
    <t>{#JMXBROKERNAME}: {#JMXDESTINATIONTYPE}{#JMXDESTINATIONNAME}: 生产者和消费者</t>
  </si>
  <si>
    <t>(6/4)</t>
  </si>
  <si>
    <t>1377</t>
  </si>
  <si>
    <t>Broker {#JMXBROKERNAME}: Messages rate</t>
  </si>
  <si>
    <t>Broker {#JMXBROKERNAME}: 消息速率</t>
  </si>
  <si>
    <t>(6/5)</t>
  </si>
  <si>
    <t>1378</t>
  </si>
  <si>
    <t>Broker {#JMXBROKERNAME}: Producers and consumers</t>
  </si>
  <si>
    <t>Broker {#JMXBROKERNAME}: 生产者和消费者</t>
  </si>
  <si>
    <t>(6/6)</t>
  </si>
  <si>
    <t>1379</t>
  </si>
  <si>
    <t>Broker {#JMXBROKERNAME}: Resources usage</t>
  </si>
  <si>
    <t>Broker {#JMXBROKERNAME}: 资源使用率</t>
  </si>
  <si>
    <t>(218/10)</t>
  </si>
  <si>
    <t>10340</t>
  </si>
  <si>
    <t>1317</t>
  </si>
  <si>
    <t>{#JMXNAME}: Traffic</t>
  </si>
  <si>
    <t>{#JMXNAME}: 流量</t>
  </si>
  <si>
    <t>1318</t>
  </si>
  <si>
    <t>{#JMXHOST}{#JMXCONTEXT}: Sessions</t>
  </si>
  <si>
    <t>{#JMXHOST}{#JMXCONTEXT}: 会话</t>
  </si>
  <si>
    <t>1319</t>
  </si>
  <si>
    <t>{#JMXNAME}: Worker threads</t>
  </si>
  <si>
    <t>{#JMXNAME}: 工作线程</t>
  </si>
  <si>
    <t>(218/11)</t>
  </si>
  <si>
    <t>10413</t>
  </si>
  <si>
    <t>836</t>
  </si>
  <si>
    <t>Apache: Current async connections{#SINGLETON}</t>
  </si>
  <si>
    <t>Apache: 当前异步连接{#SINGLETON}</t>
  </si>
  <si>
    <t>837</t>
  </si>
  <si>
    <t>Apache: Current async processes{#SINGLETON}</t>
  </si>
  <si>
    <t>Apache: 当前异步进程{#SINGLETON}</t>
  </si>
  <si>
    <t>(218/12)</t>
  </si>
  <si>
    <t>10383</t>
  </si>
  <si>
    <t>1172</t>
  </si>
  <si>
    <t>1173</t>
  </si>
  <si>
    <t>(218/13)</t>
  </si>
  <si>
    <t>10384</t>
  </si>
  <si>
    <t>1278</t>
  </si>
  <si>
    <t>Ceph: [osd.{#OSDNAME}] OSD latency</t>
  </si>
  <si>
    <t>Ceph: [osd.{#OSDNAME}]osd延迟</t>
  </si>
  <si>
    <t>1304</t>
  </si>
  <si>
    <t>Ceph: [{#POOLNAME}] Pool bandwidth</t>
  </si>
  <si>
    <t>Ceph: [{#POOLNAME}]池带宽</t>
  </si>
  <si>
    <t>1305</t>
  </si>
  <si>
    <t>Ceph: [{#POOLNAME}] Pool I/O</t>
  </si>
  <si>
    <t>Ceph: [{#POOLNAME}]池I/O</t>
  </si>
  <si>
    <t>1306</t>
  </si>
  <si>
    <t>Ceph: [{#POOLNAME}] Pool Usage</t>
  </si>
  <si>
    <t>Ceph: [{#POOLNAME}]池使用率</t>
  </si>
  <si>
    <t>(218/14)</t>
  </si>
  <si>
    <t>10350</t>
  </si>
  <si>
    <t>1121</t>
  </si>
  <si>
    <t>Container {#NAME}: CPU usage</t>
  </si>
  <si>
    <t>容器{#NAME}: CPU使用率</t>
  </si>
  <si>
    <t>1122</t>
  </si>
  <si>
    <t>Container {#NAME}: Memory usage</t>
  </si>
  <si>
    <t>容器{#NAME}: 内存使用率</t>
  </si>
  <si>
    <t>1123</t>
  </si>
  <si>
    <t>Container {#NAME}: Network packets</t>
  </si>
  <si>
    <t>容器{#NAME}: 网络数据包</t>
  </si>
  <si>
    <t>1124</t>
  </si>
  <si>
    <t>Container {#NAME}: Network traffic</t>
  </si>
  <si>
    <t>容器{#NAME}: 网络流量</t>
  </si>
  <si>
    <t>(218/15)</t>
  </si>
  <si>
    <t>(5/1)</t>
  </si>
  <si>
    <t>10260</t>
  </si>
  <si>
    <t>1143</t>
  </si>
  <si>
    <t>ES {#ES.NODE}: Latency</t>
  </si>
  <si>
    <t>ES{#ES.NODE}: 延迟</t>
  </si>
  <si>
    <t>(5/2)</t>
  </si>
  <si>
    <t>1144</t>
  </si>
  <si>
    <t>ES {#ES.NODE}: Query load</t>
  </si>
  <si>
    <t>ES{#ES.NODE}: 查询加载</t>
  </si>
  <si>
    <t>(5/3)</t>
  </si>
  <si>
    <t>1145</t>
  </si>
  <si>
    <t>ES {#ES.NODE}: Refresh thread pool</t>
  </si>
  <si>
    <t>ES{#ES.NODE}: 刷新线程池</t>
  </si>
  <si>
    <t>(5/4)</t>
  </si>
  <si>
    <t>1146</t>
  </si>
  <si>
    <t>ES {#ES.NODE}: Search thread pool</t>
  </si>
  <si>
    <t>ES{#ES.NODE}: 搜索线程池</t>
  </si>
  <si>
    <t>(5/5)</t>
  </si>
  <si>
    <t>1147</t>
  </si>
  <si>
    <t>ES {#ES.NODE}: Write thread pool</t>
  </si>
  <si>
    <t>ES{#ES.NODE}: 写入线程池</t>
  </si>
  <si>
    <t>(218/16)</t>
  </si>
  <si>
    <t>10265</t>
  </si>
  <si>
    <t>1924</t>
  </si>
  <si>
    <t>GarbageCollector {#JMXNAME}: Garbage Collector {#JMXNAME} collections per second</t>
  </si>
  <si>
    <t>GarbageCollector{#JMXNAME}:回收站{#JMXNAME}每秒收集</t>
  </si>
  <si>
    <t>1925</t>
  </si>
  <si>
    <t>Memory pool {#JMXNAME}: Memory pool {#JMXNAME}</t>
  </si>
  <si>
    <t>内存池{#JMXNAME}:内存池{#JMXAME}</t>
  </si>
  <si>
    <t>(218/17)</t>
  </si>
  <si>
    <t>(10/1)</t>
  </si>
  <si>
    <t>10264</t>
  </si>
  <si>
    <t>1719</t>
  </si>
  <si>
    <t>HAProxy: Backend {#PXNAME} In/Out traffic</t>
  </si>
  <si>
    <t>HAProxy: 后端{#PXNAME}输入/输出流量</t>
  </si>
  <si>
    <t>(10/2)</t>
  </si>
  <si>
    <t>1720</t>
  </si>
  <si>
    <t>HAProxy: Backend {#PXNAME} Redispatched requests and retried connections per second</t>
  </si>
  <si>
    <t>HAProxy: 后端{#PXNAME}每秒重新发送请求和重试连接</t>
  </si>
  <si>
    <t>(10/3)</t>
  </si>
  <si>
    <t>1721</t>
  </si>
  <si>
    <t>HAProxy: Backend {#PXNAME} Responses by HTTP code</t>
  </si>
  <si>
    <t>HAProxy: 后端{#PXNAME}HTTP代码响应</t>
  </si>
  <si>
    <t>(10/4)</t>
  </si>
  <si>
    <t>1722</t>
  </si>
  <si>
    <t>HAProxy: Frontend {#PXNAME} Errors and denials per second</t>
  </si>
  <si>
    <t>HAProxy: 前端{#PXNAME}每秒错误和拒绝</t>
  </si>
  <si>
    <t>(10/5)</t>
  </si>
  <si>
    <t>1723</t>
  </si>
  <si>
    <t>HAProxy: Frontend {#PXNAME} In/Out traffic</t>
  </si>
  <si>
    <t>HAProxy: 前端{#PXNAME}输入/输出流量</t>
  </si>
  <si>
    <t>(10/6)</t>
  </si>
  <si>
    <t>1724</t>
  </si>
  <si>
    <t>HAProxy: Frontend {#PXNAME} Requests and sessions per second</t>
  </si>
  <si>
    <t>HAProxy: 每秒前端{#PXNAME}请求和会话</t>
  </si>
  <si>
    <t>(10/7)</t>
  </si>
  <si>
    <t>1725</t>
  </si>
  <si>
    <t>HAProxy: Frontend {#PXNAME} Responses by HTTP code</t>
  </si>
  <si>
    <t>HAProxy: 前端{#PXNAME}HTTP代码响应</t>
  </si>
  <si>
    <t>(10/8)</t>
  </si>
  <si>
    <t>1726</t>
  </si>
  <si>
    <t>HAProxy: {#PXNAME} {#SVNAME} In/Out traffic</t>
  </si>
  <si>
    <t>HAProxy: {#PXNAME}{#SVNAME}输入/输出流量</t>
  </si>
  <si>
    <t>(10/9)</t>
  </si>
  <si>
    <t>1727</t>
  </si>
  <si>
    <t>HAProxy: {#PXNAME} {#SVNAME} Responses by HTTP code</t>
  </si>
  <si>
    <t>HAProxy: {#PXNAME}{#SVNAME}的HTTP代码响应</t>
  </si>
  <si>
    <t>(10/10)</t>
  </si>
  <si>
    <t>1728</t>
  </si>
  <si>
    <t>HAProxy: {#PXNAME} {#SVNAME} Response time and time in queue</t>
  </si>
  <si>
    <t>HAProxy: {#PXNAME}{#SVNAME}响应时间和队列中的时间</t>
  </si>
  <si>
    <t>(218/18)</t>
  </si>
  <si>
    <t>10334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</si>
  <si>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</si>
  <si>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</si>
  <si>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</si>
  <si>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</si>
  <si>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</si>
  <si>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</si>
  <si>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</si>
  <si>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</si>
  <si>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</si>
  <si>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</si>
  <si>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(218/19)</t>
  </si>
  <si>
    <t>(1/1)</t>
  </si>
  <si>
    <t>10318</t>
  </si>
  <si>
    <t>1307</t>
  </si>
  <si>
    <t>{#HOSTNAME}: DataNode {#HOSTNAME} DFS size</t>
  </si>
  <si>
    <t>{#HOSTNAME}: 数据节点{#HOSTNAME}DFS大小</t>
  </si>
  <si>
    <t>(218/20)</t>
  </si>
  <si>
    <t>10322</t>
  </si>
  <si>
    <t>1380</t>
  </si>
  <si>
    <t>Domain Controller [{#INSTANCE}]: Timings</t>
  </si>
  <si>
    <t>域控制器[{#INSTANCE}]: 计时</t>
  </si>
  <si>
    <t>1381</t>
  </si>
  <si>
    <t>Database Counters [{#INSTANCE}]: Read and write stats</t>
  </si>
  <si>
    <t>数据库计数器[{#INSTANCE}]: 读取和写入统计信息</t>
  </si>
  <si>
    <t>(218/21)</t>
  </si>
  <si>
    <t>10324</t>
  </si>
  <si>
    <t>1383</t>
  </si>
  <si>
    <t>1384</t>
  </si>
  <si>
    <t>(218/22)</t>
  </si>
  <si>
    <t>10093</t>
  </si>
  <si>
    <t>1662</t>
  </si>
  <si>
    <t>Nginx: HTTP location zone [{#NAME}]: Requests</t>
  </si>
  <si>
    <t>Nginx: HTTP位置区域[{#NAME}]: 请求</t>
  </si>
  <si>
    <t>1663</t>
  </si>
  <si>
    <t>Nginx: HTTP location zone [{#NAME}]: Responses</t>
  </si>
  <si>
    <t>Nginx: HTTP位置区域[{#NAME}]: 响应</t>
  </si>
  <si>
    <t>1664</t>
  </si>
  <si>
    <t>Nginx: HTTP server zone [{#NAME}]: Requests</t>
  </si>
  <si>
    <t>Nginx: HTTP服务器区域[{#NAME}]: 请求</t>
  </si>
  <si>
    <t>1665</t>
  </si>
  <si>
    <t>Nginx: HTTP server zone [{#NAME}]: Responses</t>
  </si>
  <si>
    <t>Nginx: HTTP服务器区域[{#NAME}]: 响应</t>
  </si>
  <si>
    <t>1666</t>
  </si>
  <si>
    <t>Nginx: HTTP upstream [{#UPSTREAM}] peer [{#PEER}]: Health checks</t>
  </si>
  <si>
    <t>Nginx: HTTP上游[{#UPSTREAM}]对端[{#PEER}]: 健康状况检查</t>
  </si>
  <si>
    <t>1667</t>
  </si>
  <si>
    <t>Nginx: HTTP upstream [{#UPSTREAM}] peer [{#PEER}]: Responses</t>
  </si>
  <si>
    <t>Nginx: HTTP上游[{#UPSTREAM}]对端[{#PEER}]: 响应</t>
  </si>
  <si>
    <t>1668</t>
  </si>
  <si>
    <t>Nginx: Resolver [{#NAME}]: Requests</t>
  </si>
  <si>
    <t>Nginx: 解析程序[{#NAME}]: 请求</t>
  </si>
  <si>
    <t>1669</t>
  </si>
  <si>
    <t>Nginx: Resolver [{#NAME}]: Responses</t>
  </si>
  <si>
    <t>Nginx: 解析程序[{#NAME}]: 响应</t>
  </si>
  <si>
    <t>1670</t>
  </si>
  <si>
    <t>Nginx: Stream server zone [{#NAME}]: Sessions</t>
  </si>
  <si>
    <t>Nginx: 流服务器区域[{#NAME}]: 会话</t>
  </si>
  <si>
    <t>1671</t>
  </si>
  <si>
    <t>Nginx: Stream upstream [{#UPSTREAM}] peer [{#PEER}]: Health checks</t>
  </si>
  <si>
    <t>Nginx: 上游流[{#UPSTREAM}]对端[{#PEER}]: 健康状况检查</t>
  </si>
  <si>
    <t>(218/23)</t>
  </si>
  <si>
    <t>10169</t>
  </si>
  <si>
    <t>1931</t>
  </si>
  <si>
    <t>OPNsense: Interface [{#IFNAME}({#IFALIAS})]: Inbound packet filter traffic</t>
  </si>
  <si>
    <t>OPNsense: 接口[{#IFNAME}({#IFALIAS})]: 进方向数据包过滤规则流量</t>
  </si>
  <si>
    <t>1932</t>
  </si>
  <si>
    <t>OPNsense: Interface [{#IFNAME}({#IFALIAS})]: Network traffic</t>
  </si>
  <si>
    <t>OPNsense: 接口[{#IFNAME}({#IFALIAS})]: 网络流量</t>
  </si>
  <si>
    <t>1933</t>
  </si>
  <si>
    <t>OPNsense: Interface [{#IFNAME}({#IFALIAS})]: Outbound packet filter traffic</t>
  </si>
  <si>
    <t>OPNsense: 接口[{#IFNAME}({#IFALIAS})]: 出方向数据包过滤规则流量</t>
  </si>
  <si>
    <t>(218/24)</t>
  </si>
  <si>
    <t>10309</t>
  </si>
  <si>
    <t>1928</t>
  </si>
  <si>
    <t>PFSense: Interface [{#IFNAME}({#IFALIAS})]: Inbound packet filter traffic</t>
  </si>
  <si>
    <t>PFSense: 接口[{#IFNAME}({#IFALIAS})]: 进方向数据包过滤规则流量</t>
  </si>
  <si>
    <t>1929</t>
  </si>
  <si>
    <t>PFSense: Interface [{#IFNAME}({#IFALIAS})]: Network traffic</t>
  </si>
  <si>
    <t>PFSense: 接口[{#IFNAME}({#IFALIAS})]: 网络流量</t>
  </si>
  <si>
    <t>1930</t>
  </si>
  <si>
    <t>PFSense: Interface [{#IFNAME}({#IFALIAS})]: Outbound packet filter traffic</t>
  </si>
  <si>
    <t>PFSense: 接口[{#IFNAME}({#IFALIAS})]: 出方向数据包过滤规则流量</t>
  </si>
  <si>
    <t>(218/25)</t>
  </si>
  <si>
    <t>10308</t>
  </si>
  <si>
    <t>1320</t>
  </si>
  <si>
    <t>Zookeeper client {#TYPE} [{#CLIENT}]: Latency</t>
  </si>
  <si>
    <t>Zookeeper客户端{#TYPE}[{#CLIENT}]: 延迟</t>
  </si>
  <si>
    <t>1321</t>
  </si>
  <si>
    <t>Zookeeper client {#TYPE} [{#CLIENT}]: Packets</t>
  </si>
  <si>
    <t>Zookeeper客户端{#TYPE}[{#CLIENT}]: 数据包</t>
  </si>
  <si>
    <t>(218/26)</t>
  </si>
  <si>
    <t>10094</t>
  </si>
  <si>
    <t>1326</t>
  </si>
  <si>
    <t>{#JMXKEYSPACE}.{#JMXSCOPE}: Read\Write latency</t>
  </si>
  <si>
    <t>{#JMXKEYSPACE}.{#JMXSCOPE}: 读/写延迟</t>
  </si>
  <si>
    <t>1327</t>
  </si>
  <si>
    <t>{#JMXKEYSPACE}.{#JMXSCOPE}: Requests rate</t>
  </si>
  <si>
    <t>{#JMXKEYSPACE}.{#JMXSCOPE}: 请求率</t>
  </si>
  <si>
    <t>(218/27)</t>
  </si>
  <si>
    <t>10095</t>
  </si>
  <si>
    <t>1159</t>
  </si>
  <si>
    <t>ClickHouse: {#DB}.{#TABLE}: Replica log activity</t>
  </si>
  <si>
    <t>ClickHouse: {#DB}.{#TABLE}: 副本日志活动</t>
  </si>
  <si>
    <t>1160</t>
  </si>
  <si>
    <t>ClickHouse: {#DB}.{#TABLE}: Replica queues</t>
  </si>
  <si>
    <t>ClickHouse: {#DB}.{#TABLE}: 副本队列</t>
  </si>
  <si>
    <t>(218/28)</t>
  </si>
  <si>
    <t>(13/1)</t>
  </si>
  <si>
    <t>10339</t>
  </si>
  <si>
    <t>1677</t>
  </si>
  <si>
    <t>Cache group [{#JMXNAME}]: Partitions</t>
  </si>
  <si>
    <t>缓存组[{#JMXNAME}]: 分区</t>
  </si>
  <si>
    <t>(13/2)</t>
  </si>
  <si>
    <t>1678</t>
  </si>
  <si>
    <t>Thread pool [{#JMXNAME}]: Thread pool size</t>
  </si>
  <si>
    <t>线程池[{#JMXNAME}]: 线程池大小</t>
  </si>
  <si>
    <t>(13/3)</t>
  </si>
  <si>
    <t>1679</t>
  </si>
  <si>
    <t>Data region {#JMXNAME}: Checkpoint buffer utilization</t>
  </si>
  <si>
    <t>数据区域{#JMXNAME}: 检查点缓冲区利用率</t>
  </si>
  <si>
    <t>(13/4)</t>
  </si>
  <si>
    <t>1681</t>
  </si>
  <si>
    <t>GridGain [{#JMXIGNITEINSTANCENAME}]: Jobs current state</t>
  </si>
  <si>
    <t>GridGain[{#JMXIGNITEINSTANCENAME}]: 任务当前状态</t>
  </si>
  <si>
    <t>(13/5)</t>
  </si>
  <si>
    <t>1682</t>
  </si>
  <si>
    <t>GridGain [{#JMXIGNITEINSTANCENAME}]: Jobs rate</t>
  </si>
  <si>
    <t>GridGain[{#JMXIGNITEINSTANCENAME}]: 任务率</t>
  </si>
  <si>
    <t>(13/6)</t>
  </si>
  <si>
    <t>1683</t>
  </si>
  <si>
    <t>GridGain [{#JMXIGNITEINSTANCENAME}]: Communication messages rate</t>
  </si>
  <si>
    <t>GridGain[{#JMXIGNITEINSTANCENAME}]: 通信消息速率</t>
  </si>
  <si>
    <t>(13/7)</t>
  </si>
  <si>
    <t>1684</t>
  </si>
  <si>
    <t>GridGain [{#JMXIGNITEINSTANCENAME}]: Discovery messages rate</t>
  </si>
  <si>
    <t>GridGain[{#JMXIGNITEINSTANCENAME}]: 发现消息速率</t>
  </si>
  <si>
    <t>(13/8)</t>
  </si>
  <si>
    <t>1685</t>
  </si>
  <si>
    <t>GridGain [{#JMXIGNITEINSTANCENAME}]: Transactions</t>
  </si>
  <si>
    <t>GridGain[{#JMXIGNITEINSTANCENAME}]: 事务</t>
  </si>
  <si>
    <t>(13/9)</t>
  </si>
  <si>
    <t>1686</t>
  </si>
  <si>
    <t>GridGain [{#JMXIGNITEINSTANCENAME}]: Transactions rate</t>
  </si>
  <si>
    <t>GridGain[{#JMXIGNITEINSTANCENAME}]: 事务率</t>
  </si>
  <si>
    <t>(13/10)</t>
  </si>
  <si>
    <t>1687</t>
  </si>
  <si>
    <t>Cache group [{#JMXGROUP}]: Cache hits</t>
  </si>
  <si>
    <t>缓存组[{#JMXGROUP}]: 缓存命中</t>
  </si>
  <si>
    <t>(13/11)</t>
  </si>
  <si>
    <t>1688</t>
  </si>
  <si>
    <t>Cache group [{#JMXGROUP}]: Cache ops</t>
  </si>
  <si>
    <t>缓存组[{#JMXGROUP}]: 缓存操作</t>
  </si>
  <si>
    <t>(13/12)</t>
  </si>
  <si>
    <t>1689</t>
  </si>
  <si>
    <t>Cache group [{#JMXGROUP}]: Cache transactions</t>
  </si>
  <si>
    <t>缓存组[{#JMXGROUP}]: 缓存事务</t>
  </si>
  <si>
    <t>(13/13)</t>
  </si>
  <si>
    <t>1891</t>
  </si>
  <si>
    <t>Data region {#JMXNAME}: DataRegion utilization</t>
  </si>
  <si>
    <t>数据区域{#JMXNAME}: 数据区域利用率</t>
  </si>
  <si>
    <t>(218/29)</t>
  </si>
  <si>
    <t>10325</t>
  </si>
  <si>
    <t>1390</t>
  </si>
  <si>
    <t>1391</t>
  </si>
  <si>
    <t>1392</t>
  </si>
  <si>
    <t>1394</t>
  </si>
  <si>
    <t>Ignite [{#JMXIGNITEINSTANCENAME}]: Jobs current state</t>
  </si>
  <si>
    <t>Ignite[{#JMXIGNITEINSTANCENAME}]: 任务当前状态</t>
  </si>
  <si>
    <t>1395</t>
  </si>
  <si>
    <t>Ignite [{#JMXIGNITEINSTANCENAME}]: Jobs rate</t>
  </si>
  <si>
    <t>Ignite[{#JMXIGNITEINSTANCENAME}]: 任务率</t>
  </si>
  <si>
    <t>1396</t>
  </si>
  <si>
    <t>Ignite [{#JMXIGNITEINSTANCENAME}]: Communication messages rate</t>
  </si>
  <si>
    <t>Ignite[{#JMXIGNITEINSTANCENAME}]: 通信消息速率</t>
  </si>
  <si>
    <t>1397</t>
  </si>
  <si>
    <t>Ignite [{#JMXIGNITEINSTANCENAME}]: Discovery messages rate</t>
  </si>
  <si>
    <t>Ignite[{#JMXIGNITEINSTANCENAME}]: 发现消息速率</t>
  </si>
  <si>
    <t>1398</t>
  </si>
  <si>
    <t>Ignite [{#JMXIGNITEINSTANCENAME}]: Transactions</t>
  </si>
  <si>
    <t>Ignite[{#JMXIGNITEINSTANCENAME}]: 事务</t>
  </si>
  <si>
    <t>1399</t>
  </si>
  <si>
    <t>Ignite [{#JMXIGNITEINSTANCENAME}]: Transactions rate</t>
  </si>
  <si>
    <t>Ignite[{#JMXIGNITEINSTANCENAME}]: 事务率</t>
  </si>
  <si>
    <t>1400</t>
  </si>
  <si>
    <t>1401</t>
  </si>
  <si>
    <t>1402</t>
  </si>
  <si>
    <t>1892</t>
  </si>
  <si>
    <t>(218/30)</t>
  </si>
  <si>
    <t>10326</t>
  </si>
  <si>
    <t>1190</t>
  </si>
  <si>
    <t>MSSQL DB '{#DBNAME}': Log size</t>
  </si>
  <si>
    <t>MSSQL数据库"{#DBNAME}": 日志大小</t>
  </si>
  <si>
    <t>1261</t>
  </si>
  <si>
    <t>MSSQL DB '{#DBNAME}': Number of Log changes</t>
  </si>
  <si>
    <t>MSSQLDB"{#DBNAME}": 日志变更数</t>
  </si>
  <si>
    <t>1191</t>
  </si>
  <si>
    <t>MSSQL DB '{#DBNAME}': Size</t>
  </si>
  <si>
    <t>MSSQL数据库"{#DBNAME}": 大小</t>
  </si>
  <si>
    <t>1192</t>
  </si>
  <si>
    <t>MSSQL Mirroring '{#DBNAME}': States</t>
  </si>
  <si>
    <t>MSSQL镜像"{#DBNAME}": 状态</t>
  </si>
  <si>
    <t>(218/31)</t>
  </si>
  <si>
    <t>10096</t>
  </si>
  <si>
    <t>1455</t>
  </si>
  <si>
    <t>MongoDB {#DBNAME}: Disk usage</t>
  </si>
  <si>
    <t>MongoDB{#DBNAME}: 磁盘使用率</t>
  </si>
  <si>
    <t>(218/32)</t>
  </si>
  <si>
    <t>(7/1)</t>
  </si>
  <si>
    <t>10097</t>
  </si>
  <si>
    <t>1439</t>
  </si>
  <si>
    <t>MongoDB {#DBNAME}.{#COLLECTION}: Locks</t>
  </si>
  <si>
    <t>MongoDB{#DBNAME}.{#COLLECTION}: 锁</t>
  </si>
  <si>
    <t>(7/2)</t>
  </si>
  <si>
    <t>1440</t>
  </si>
  <si>
    <t>MongoDB {#DBNAME}.{#COLLECTION}: Locks time</t>
  </si>
  <si>
    <t>MongoDB{#DBNAME}.{#COLLECTION}: 锁定时间</t>
  </si>
  <si>
    <t>(7/3)</t>
  </si>
  <si>
    <t>1441</t>
  </si>
  <si>
    <t>MongoDB {#DBNAME}.{#COLLECTION}: Operations</t>
  </si>
  <si>
    <t>MongoDB{#DBNAME}.{#COLLECTION}: 操作</t>
  </si>
  <si>
    <t>(7/4)</t>
  </si>
  <si>
    <t>1442</t>
  </si>
  <si>
    <t>MongoDB {#DBNAME}.{#COLLECTION}: Operations time</t>
  </si>
  <si>
    <t>MongoDB{#DBNAME}.{#COLLECTION}: 操作时间</t>
  </si>
  <si>
    <t>(7/5)</t>
  </si>
  <si>
    <t>1443</t>
  </si>
  <si>
    <t>MongoDB {#DBNAME}: Collections stats</t>
  </si>
  <si>
    <t>MongoDB{#DBNAME}: 集合统计信息</t>
  </si>
  <si>
    <t>(7/6)</t>
  </si>
  <si>
    <t>1444</t>
  </si>
  <si>
    <t>(7/7)</t>
  </si>
  <si>
    <t>1445</t>
  </si>
  <si>
    <t>MongoDB: Replication lag time [{#RS_NAME}]</t>
  </si>
  <si>
    <t>MongoDB: 复制延迟时间[{#RS_NAME}]</t>
  </si>
  <si>
    <t>(218/33)</t>
  </si>
  <si>
    <t>10319</t>
  </si>
  <si>
    <t>1262</t>
  </si>
  <si>
    <t>ASM '{#DG_NAME}': ASM disk group '{#DG_NAME}'</t>
  </si>
  <si>
    <t>ASM"{#DG_NAME}":ASM磁盘组"{#DG_NAME}"</t>
  </si>
  <si>
    <t>1263</t>
  </si>
  <si>
    <t>Oracle TBS '{#TABLESPACE}': Tablespace '{#TABLESPACE}'</t>
  </si>
  <si>
    <t>OracleTBS"{#TABLESPACE}": 表空间"{#TABLESPACE}"</t>
  </si>
  <si>
    <t>(218/34)</t>
  </si>
  <si>
    <t>10351</t>
  </si>
  <si>
    <t>1936</t>
  </si>
  <si>
    <t>ASM '{#DGNAME}': ASM disk group '{#DGNAME}'</t>
  </si>
  <si>
    <t>ASM"{#DGNAME}": ASM磁盘组"{#DGNAME}"</t>
  </si>
  <si>
    <t>1937</t>
  </si>
  <si>
    <t>(218/35)</t>
  </si>
  <si>
    <t>10352</t>
  </si>
  <si>
    <t>1861</t>
  </si>
  <si>
    <t>DB {#DBNAME}: Locks</t>
  </si>
  <si>
    <t>数据库{#DBNAME}:锁定</t>
  </si>
  <si>
    <t>1862</t>
  </si>
  <si>
    <t>DB {#DBNAME}: Number of bloating tables</t>
  </si>
  <si>
    <t>数据库{#DBNAME}:膨胀表的数量</t>
  </si>
  <si>
    <t>1863</t>
  </si>
  <si>
    <t>DB {#DBNAME}: pg_stat_database metrics</t>
  </si>
  <si>
    <t>数据库{#DBNAME}:pg_stat_database指标</t>
  </si>
  <si>
    <t>1926</t>
  </si>
  <si>
    <t>DB {#DBNAME}: Queries</t>
  </si>
  <si>
    <t>数据库{#DBNAME}:查询</t>
  </si>
  <si>
    <t>1864</t>
  </si>
  <si>
    <t>DB {#DBNAME}: Size</t>
  </si>
  <si>
    <t>数据库{#DBNAME}:大小</t>
  </si>
  <si>
    <t>1927</t>
  </si>
  <si>
    <t>DB {#DBNAME}: Slow queries</t>
  </si>
  <si>
    <t>数据库{#DBNAME}:慢查询</t>
  </si>
  <si>
    <t>1865</t>
  </si>
  <si>
    <t>Application {#APPLICATION_NAME}: Replication lag</t>
  </si>
  <si>
    <t>应用程序{#APPLICATION_NAME}:复制延迟</t>
  </si>
  <si>
    <t>(218/36)</t>
  </si>
  <si>
    <t>(8/1)</t>
  </si>
  <si>
    <t>10098</t>
  </si>
  <si>
    <t>1893</t>
  </si>
  <si>
    <t>DB {#DBNAME}: Block hit/read</t>
  </si>
  <si>
    <t>数据库{#DBNAME}:阻止命中/读取</t>
  </si>
  <si>
    <t>(8/2)</t>
  </si>
  <si>
    <t>1894</t>
  </si>
  <si>
    <t>DB {#DBNAME}: Database size</t>
  </si>
  <si>
    <t>数据库{#DBNAME}:数据库大小</t>
  </si>
  <si>
    <t>(8/3)</t>
  </si>
  <si>
    <t>1895</t>
  </si>
  <si>
    <t>DB {#DBNAME}: Events</t>
  </si>
  <si>
    <t>数据库{#DBNAME}:事件</t>
  </si>
  <si>
    <t>(8/4)</t>
  </si>
  <si>
    <t>1896</t>
  </si>
  <si>
    <t>(8/5)</t>
  </si>
  <si>
    <t>1897</t>
  </si>
  <si>
    <t>(8/6)</t>
  </si>
  <si>
    <t>1898</t>
  </si>
  <si>
    <t>(8/7)</t>
  </si>
  <si>
    <t>1899</t>
  </si>
  <si>
    <t>DB {#DBNAME}: Temp files</t>
  </si>
  <si>
    <t>数据库{#DBNAME}:临时文件</t>
  </si>
  <si>
    <t>(8/8)</t>
  </si>
  <si>
    <t>1900</t>
  </si>
  <si>
    <t>DB {#DBNAME}: Tuples</t>
  </si>
  <si>
    <t>数据库{#DBNAME}:元组</t>
  </si>
  <si>
    <t>(218/37)</t>
  </si>
  <si>
    <t>10099</t>
  </si>
  <si>
    <t>1087</t>
  </si>
  <si>
    <t>Redis: Memory usage{#SINGLETON}</t>
  </si>
  <si>
    <t>Redis: 内存使用率{#SINGLETON}</t>
  </si>
  <si>
    <t>1088</t>
  </si>
  <si>
    <t>DB {#DB}: Keys</t>
  </si>
  <si>
    <t>数据库{#DB}: 密钥</t>
  </si>
  <si>
    <t>1089</t>
  </si>
  <si>
    <t>Redis slave {#SLAVE_IP}:{#SLAVE_PORT}: Replication lag bytes</t>
  </si>
  <si>
    <t>Redisslave{#SLAVE_IP}: {#SLAVE_PORT}: 复制延迟字节</t>
  </si>
  <si>
    <t>1090</t>
  </si>
  <si>
    <t>Redis: Replication lag time{#SINGLETON}</t>
  </si>
  <si>
    <t>Redis: 复制延迟时间{#SINGLETON}</t>
  </si>
  <si>
    <t>(218/38)</t>
  </si>
  <si>
    <t>(18/1)</t>
  </si>
  <si>
    <t>10399</t>
  </si>
  <si>
    <t>1690</t>
  </si>
  <si>
    <t>F5 BIG-IP: Sensor [{#SLOT.INDEX}:{#TEMP.INDEX}] temperature</t>
  </si>
  <si>
    <t>F5 BIG-IP: 传感器[{#SLOT.INDEX}: {#TEMP.INDEX}]温度</t>
  </si>
  <si>
    <t>(18/2)</t>
  </si>
  <si>
    <t>1691</t>
  </si>
  <si>
    <t>F5 BIG-IP: Voltage [{#VOLT.INDEX}] value</t>
  </si>
  <si>
    <t>F5 BIG-IP: 电压[{#VOLT.INDEX}]值</t>
  </si>
  <si>
    <t>(18/3)</t>
  </si>
  <si>
    <t>1692</t>
  </si>
  <si>
    <t>F5 BIG-IP: FAN [{#FAN.INDEX}] speed</t>
  </si>
  <si>
    <t>F5 BIG-IP: 风扇[{#FAN.INDEX}]速度</t>
  </si>
  <si>
    <t>(18/4)</t>
  </si>
  <si>
    <t>1693</t>
  </si>
  <si>
    <t>F5 BIG-IP: Sensor [{#TEMP.INDEX}] temperature</t>
  </si>
  <si>
    <t>F5 BIG-IP: 传感器[{#TEMP.INDEX}]温度</t>
  </si>
  <si>
    <t>(18/5)</t>
  </si>
  <si>
    <t>1694</t>
  </si>
  <si>
    <t>F5 BIG-IP: Host [{#HOST.ID}] CPU{#CPU.ID}: Usage ratio, avg 1m</t>
  </si>
  <si>
    <t>F5 BIG-IP: 主机[{#HOST.ID}]CPU{#CPU.ID}: 使用率,平均1m</t>
  </si>
  <si>
    <t>(18/6)</t>
  </si>
  <si>
    <t>1695</t>
  </si>
  <si>
    <t>F5 BIG-IP: Host [{#HOST.ID}] CPU{#CPU.ID}: Usage ratio, avg 5m</t>
  </si>
  <si>
    <t>F5 BIG-IP: 主机[{#HOST.ID}]CPU{#CPU.ID}: 使用率,平均5m</t>
  </si>
  <si>
    <t>(18/7)</t>
  </si>
  <si>
    <t>1696</t>
  </si>
  <si>
    <t>F5 BIG-IP: Host [{#HOST.ID}] CPU{#CPU.ID}: Usage ratio, avg 5s</t>
  </si>
  <si>
    <t>F5 BIG-IP: 主机[{#HOST.ID}]CPU{#CPU.ID}: 使用率,平均5s</t>
  </si>
  <si>
    <t>(18/8)</t>
  </si>
  <si>
    <t>1697</t>
  </si>
  <si>
    <t>F5 BIG-IP: Sensor [{#CPU.SENSOR.SLOT}:{#CPU.SENSOR.INDEX}] FAN speed</t>
  </si>
  <si>
    <t>F5 BIG-IP: 传感器[{#CPU.SENSOR.SLOT}: {#CPU.SENSOR.INDEX}]风扇速度</t>
  </si>
  <si>
    <t>(18/9)</t>
  </si>
  <si>
    <t>1698</t>
  </si>
  <si>
    <t>F5 BIG-IP: Sensor [{#CPU.SENSOR.SLOT}:{#CPU.SENSOR.INDEX}] temperature</t>
  </si>
  <si>
    <t>F5 BIG-IP: 传感器[{#CPU.SENSOR.SLOT}: {#CPU.SENSOR.INDEX}]温度</t>
  </si>
  <si>
    <t>(18/10)</t>
  </si>
  <si>
    <t>1699</t>
  </si>
  <si>
    <t>F5 BIG-IP: Mount point [{#PART.NAME}]: Blocks</t>
  </si>
  <si>
    <t>F5 BIG-IP: 装载点[{#PART.NAME}]: 块</t>
  </si>
  <si>
    <t>(18/11)</t>
  </si>
  <si>
    <t>1700</t>
  </si>
  <si>
    <t>F5 BIG-IP: Host [{#HOST.ID}]: Memory</t>
  </si>
  <si>
    <t>F5 BIG-IP: 主机[{#HOST.ID}]: 内存</t>
  </si>
  <si>
    <t>(18/12)</t>
  </si>
  <si>
    <t>1701</t>
  </si>
  <si>
    <t>F5 BIG-IP: Host [{#HOST.ID}]: Swap</t>
  </si>
  <si>
    <t>F5 BIG-IP: 主机[{#HOST.ID}]: 交换</t>
  </si>
  <si>
    <t>(18/13)</t>
  </si>
  <si>
    <t>1702</t>
  </si>
  <si>
    <t>F5 BIG-IP: Module [{#MODULE.NAME}] resource usage ratio</t>
  </si>
  <si>
    <t>F5 BIG-IP: 模块[{#MODULE.NAME}]资源使用率</t>
  </si>
  <si>
    <t>(18/14)</t>
  </si>
  <si>
    <t>1703</t>
  </si>
  <si>
    <t>F5 BIG-IP: Interface [{#IF.NAME}]</t>
  </si>
  <si>
    <t>F5 BIG-IP: 接口[{#IF.NAME}]</t>
  </si>
  <si>
    <t>(18/15)</t>
  </si>
  <si>
    <t>1704</t>
  </si>
  <si>
    <t>F5 BIG-IP: Node [{#NODE.NAME}] network ratio</t>
  </si>
  <si>
    <t>F5 BIG-IP: 节点[{#NODE.NAME}]网络速率</t>
  </si>
  <si>
    <t>(18/16)</t>
  </si>
  <si>
    <t>1705</t>
  </si>
  <si>
    <t>F5 BIG-IP: Pool [{#POOL.NAME}] network ratio</t>
  </si>
  <si>
    <t>F5 BIG-IP: 池[{#POOL.NAME}]网络速率</t>
  </si>
  <si>
    <t>(18/17)</t>
  </si>
  <si>
    <t>1843</t>
  </si>
  <si>
    <t>F5 BIG-IP: Virtual server [{#VSERVER.NAME}] network</t>
  </si>
  <si>
    <t>F5 BIG-IP: 虚拟服务器[{#VSERVER.NAME}]网络</t>
  </si>
  <si>
    <t>(18/18)</t>
  </si>
  <si>
    <t>1844</t>
  </si>
  <si>
    <t>F5 BIG-IP: Virtual server [{#VSERVER.NAME}] usage ratio</t>
  </si>
  <si>
    <t>F5 BIG-IP: 虚拟服务器[{#VSERVER.NAME}]使用率</t>
  </si>
  <si>
    <t>(218/39)</t>
  </si>
  <si>
    <t>10267</t>
  </si>
  <si>
    <t>1038</t>
  </si>
  <si>
    <t>(218/40)</t>
  </si>
  <si>
    <t>10266</t>
  </si>
  <si>
    <t>786</t>
  </si>
  <si>
    <t>{#SNMPVALUE}: CPU utilization</t>
  </si>
  <si>
    <t>{#SNMPVALUE}: CPU利用率</t>
  </si>
  <si>
    <t>(218/41)</t>
  </si>
  <si>
    <t>10436</t>
  </si>
  <si>
    <t>687</t>
  </si>
  <si>
    <t>(218/42)</t>
  </si>
  <si>
    <t>10434</t>
  </si>
  <si>
    <t>1061</t>
  </si>
  <si>
    <t>{#MEMNAME}: Memory utilization</t>
  </si>
  <si>
    <t>{#MEMNAME}: 内存利用率</t>
  </si>
  <si>
    <t>1066</t>
  </si>
  <si>
    <t>{#FSNAME}: Disk space usage</t>
  </si>
  <si>
    <t>{#FSNAME}: 磁盘空间使用率</t>
  </si>
  <si>
    <t>(218/43)</t>
  </si>
  <si>
    <t>10336</t>
  </si>
  <si>
    <t>1060</t>
  </si>
  <si>
    <t>(218/44)</t>
  </si>
  <si>
    <t>10335</t>
  </si>
  <si>
    <t>1065</t>
  </si>
  <si>
    <t>(218/45)</t>
  </si>
  <si>
    <t>10100</t>
  </si>
  <si>
    <t>745</t>
  </si>
  <si>
    <t>(218/46)</t>
  </si>
  <si>
    <t>10262</t>
  </si>
  <si>
    <t>741</t>
  </si>
  <si>
    <t>Interface {#IFDESCR}: Network traffic</t>
  </si>
  <si>
    <t>接口{#IFDESCR}: 网络流量</t>
  </si>
  <si>
    <t>(218/47)</t>
  </si>
  <si>
    <t>10261</t>
  </si>
  <si>
    <t>766</t>
  </si>
  <si>
    <t>(218/48)</t>
  </si>
  <si>
    <t>10101</t>
  </si>
  <si>
    <t>868</t>
  </si>
  <si>
    <t>CPU usage{#SINGLETON}</t>
  </si>
  <si>
    <t>CPU使用率{#SINGLETON}</t>
  </si>
  <si>
    <t>870</t>
  </si>
  <si>
    <t>CPU utilization{#SINGLETON}</t>
  </si>
  <si>
    <t>CPU利用率{#SINGLETON}</t>
  </si>
  <si>
    <t>(218/49)</t>
  </si>
  <si>
    <t>10102</t>
  </si>
  <si>
    <t>866</t>
  </si>
  <si>
    <t>{#DEVNAME}: Disk read/write rates</t>
  </si>
  <si>
    <t>{#DEVNAME}: 磁盘读/写速率</t>
  </si>
  <si>
    <t>(218/50)</t>
  </si>
  <si>
    <t>10337</t>
  </si>
  <si>
    <t>1214</t>
  </si>
  <si>
    <t>{#DEVNAME}: Disk average waiting time</t>
  </si>
  <si>
    <t>{#DEVNAME}: 磁盘平均等待时间</t>
  </si>
  <si>
    <t>1217</t>
  </si>
  <si>
    <t>1220</t>
  </si>
  <si>
    <t>{#DEVNAME}: Disk utilization and queue</t>
  </si>
  <si>
    <t>{#DEVNAME}: 磁盘利用率和队列</t>
  </si>
  <si>
    <t>(218/51)</t>
  </si>
  <si>
    <t>10103</t>
  </si>
  <si>
    <t>1223</t>
  </si>
  <si>
    <t>1225</t>
  </si>
  <si>
    <t>1227</t>
  </si>
  <si>
    <t>(218/52)</t>
  </si>
  <si>
    <t>10416</t>
  </si>
  <si>
    <t>872</t>
  </si>
  <si>
    <t>(218/53)</t>
  </si>
  <si>
    <t>10048</t>
  </si>
  <si>
    <t>887</t>
  </si>
  <si>
    <t>(218/54)</t>
  </si>
  <si>
    <t>10047</t>
  </si>
  <si>
    <t>926</t>
  </si>
  <si>
    <t>(218/55)</t>
  </si>
  <si>
    <t>10341</t>
  </si>
  <si>
    <t>899</t>
  </si>
  <si>
    <t>Interface {#IFNAME}: Network traffic</t>
  </si>
  <si>
    <t>接口{#IFNAME}: 网络流量</t>
  </si>
  <si>
    <t>(218/56)</t>
  </si>
  <si>
    <t>10342</t>
  </si>
  <si>
    <t>934</t>
  </si>
  <si>
    <t>(218/57)</t>
  </si>
  <si>
    <t>10323</t>
  </si>
  <si>
    <t>964</t>
  </si>
  <si>
    <t>(218/58)</t>
  </si>
  <si>
    <t>10414</t>
  </si>
  <si>
    <t>982</t>
  </si>
  <si>
    <t>(218/59)</t>
  </si>
  <si>
    <t>10354</t>
  </si>
  <si>
    <t>1839</t>
  </si>
  <si>
    <t>(218/60)</t>
  </si>
  <si>
    <t>10327</t>
  </si>
  <si>
    <t>1841</t>
  </si>
  <si>
    <t>(218/61)</t>
  </si>
  <si>
    <t>10363</t>
  </si>
  <si>
    <t>1229</t>
  </si>
  <si>
    <t>1231</t>
  </si>
  <si>
    <t>1366</t>
  </si>
  <si>
    <t>{#DEVNAME}: Disk average queue length</t>
  </si>
  <si>
    <t>{#DEVNAME}: 磁盘平均队列长度</t>
  </si>
  <si>
    <t>1368</t>
  </si>
  <si>
    <t>(218/62)</t>
  </si>
  <si>
    <t>10362</t>
  </si>
  <si>
    <t>1233</t>
  </si>
  <si>
    <t>1235</t>
  </si>
  <si>
    <t>1370</t>
  </si>
  <si>
    <t>1372</t>
  </si>
  <si>
    <t>(218/63)</t>
  </si>
  <si>
    <t>10170</t>
  </si>
  <si>
    <t>746</t>
  </si>
  <si>
    <t>(218/64)</t>
  </si>
  <si>
    <t>10317</t>
  </si>
  <si>
    <t>790</t>
  </si>
  <si>
    <t>1064</t>
  </si>
  <si>
    <t>1069</t>
  </si>
  <si>
    <t>(218/65)</t>
  </si>
  <si>
    <t>10316</t>
  </si>
  <si>
    <t>747</t>
  </si>
  <si>
    <t>(218/66)</t>
  </si>
  <si>
    <t>10320</t>
  </si>
  <si>
    <t>748</t>
  </si>
  <si>
    <t>(218/67)</t>
  </si>
  <si>
    <t>10333</t>
  </si>
  <si>
    <t>749</t>
  </si>
  <si>
    <t>(218/68)</t>
  </si>
  <si>
    <t>10437</t>
  </si>
  <si>
    <t>1729</t>
  </si>
  <si>
    <t>Cisco ASAv: CPU[{#SNMPINDEX}] Utilization</t>
  </si>
  <si>
    <t>Cisco ASAv: CPU[{#SNMPINDEX}]利用率</t>
  </si>
  <si>
    <t>1730</t>
  </si>
  <si>
    <t>Cisco ASAv: Memory[{#SNMPVALUE}] Utilization</t>
  </si>
  <si>
    <t>Cisco ASAv: 内存[{#SNMPVALUE}]利用率</t>
  </si>
  <si>
    <t>1731</t>
  </si>
  <si>
    <t>Cisco ASAv: {#CISCO.IF.NAME}: Packets traffic</t>
  </si>
  <si>
    <t>Cisco ASAv: {#CISCO.IF.NAME}: 数据包流量</t>
  </si>
  <si>
    <t>1732</t>
  </si>
  <si>
    <t>Cisco ASAv: {#CISCO.IF.NAME}: Utilization</t>
  </si>
  <si>
    <t>Cisco ASAv: {#CISCO.IF.NAME}: 利用率</t>
  </si>
  <si>
    <t>1733</t>
  </si>
  <si>
    <t>Cisco ASAv: {#CISCO.IF.NAME} Traffic</t>
  </si>
  <si>
    <t>Cisco ASAv: {#CISCO.IF.NAME}流量</t>
  </si>
  <si>
    <t>1734</t>
  </si>
  <si>
    <t>Cisco ASAv: {#CISCO.CRAS.USER} [{#CISCO.CRAS.INDEX}] Traffic</t>
  </si>
  <si>
    <t>Cisco ASAv: {#CISCO.CRAS.USER}[{#CISCO.CRAS.INDEX}]流量</t>
  </si>
  <si>
    <t>(218/69)</t>
  </si>
  <si>
    <t>10433</t>
  </si>
  <si>
    <t>750</t>
  </si>
  <si>
    <t>688</t>
  </si>
  <si>
    <t>1039</t>
  </si>
  <si>
    <t>(218/70)</t>
  </si>
  <si>
    <t>10432</t>
  </si>
  <si>
    <t>1040</t>
  </si>
  <si>
    <t>(218/71)</t>
  </si>
  <si>
    <t>10310</t>
  </si>
  <si>
    <t>785</t>
  </si>
  <si>
    <t>787</t>
  </si>
  <si>
    <t>1041</t>
  </si>
  <si>
    <t>(218/72)</t>
  </si>
  <si>
    <t>10415</t>
  </si>
  <si>
    <t>753</t>
  </si>
  <si>
    <t>1043</t>
  </si>
  <si>
    <t>{#SNMPINDEX}: Memory utilization</t>
  </si>
  <si>
    <t>{#SNMPINDEX}: 内存利用率</t>
  </si>
  <si>
    <t>(218/73)</t>
  </si>
  <si>
    <t>10209</t>
  </si>
  <si>
    <t>754</t>
  </si>
  <si>
    <t>1044</t>
  </si>
  <si>
    <t>#{#SNMPVALUE}: Memory utilization</t>
  </si>
  <si>
    <t>#{#SNMPVALUE}: 内存利用率</t>
  </si>
  <si>
    <t>(218/74)</t>
  </si>
  <si>
    <t>10217</t>
  </si>
  <si>
    <t>752</t>
  </si>
  <si>
    <t>694</t>
  </si>
  <si>
    <t>1042</t>
  </si>
  <si>
    <t>#{#SNMPINDEX}: Memory utilization</t>
  </si>
  <si>
    <t>#{#SNMPINDEX}: 内存利用率</t>
  </si>
  <si>
    <t>(218/75)</t>
  </si>
  <si>
    <t>10212</t>
  </si>
  <si>
    <t>755</t>
  </si>
  <si>
    <t>1045</t>
  </si>
  <si>
    <t>#{#SNMPVALUE}: Memory usage</t>
  </si>
  <si>
    <t>#{#SNMPVALUE}: 内存使用率</t>
  </si>
  <si>
    <t>1046</t>
  </si>
  <si>
    <t>(218/76)</t>
  </si>
  <si>
    <t>10252</t>
  </si>
  <si>
    <t>756</t>
  </si>
  <si>
    <t>708</t>
  </si>
  <si>
    <t>{#MODULE_NAME}: CPU utilization</t>
  </si>
  <si>
    <t>{#MODULE_NAME}: CPU利用率</t>
  </si>
  <si>
    <t>1047</t>
  </si>
  <si>
    <t>{#MODULE_NAME}: Memory utilization</t>
  </si>
  <si>
    <t>{#MODULE_NAME}: 内存利用率</t>
  </si>
  <si>
    <t>(218/77)</t>
  </si>
  <si>
    <t>10213</t>
  </si>
  <si>
    <t>773</t>
  </si>
  <si>
    <t>1048</t>
  </si>
  <si>
    <t>1049</t>
  </si>
  <si>
    <t>(218/78)</t>
  </si>
  <si>
    <t>10216</t>
  </si>
  <si>
    <t>758</t>
  </si>
  <si>
    <t>714</t>
  </si>
  <si>
    <t>{#ENT_NAME}: CPU utilization</t>
  </si>
  <si>
    <t>{#ENT_NAME}: CPU利用率</t>
  </si>
  <si>
    <t>1050</t>
  </si>
  <si>
    <t>{#ENT_NAME}: Memory utilization</t>
  </si>
  <si>
    <t>{#ENT_NAME}: 内存利用率</t>
  </si>
  <si>
    <t>(218/79)</t>
  </si>
  <si>
    <t>10215</t>
  </si>
  <si>
    <t>759</t>
  </si>
  <si>
    <t>(218/80)</t>
  </si>
  <si>
    <t>10183</t>
  </si>
  <si>
    <t>760</t>
  </si>
  <si>
    <t>856</t>
  </si>
  <si>
    <t>1051</t>
  </si>
  <si>
    <t>(218/81)</t>
  </si>
  <si>
    <t>10204</t>
  </si>
  <si>
    <t>1476</t>
  </si>
  <si>
    <t>1477</t>
  </si>
  <si>
    <t>1478</t>
  </si>
  <si>
    <t>(218/82)</t>
  </si>
  <si>
    <t>10305</t>
  </si>
  <si>
    <t>762</t>
  </si>
  <si>
    <t>724</t>
  </si>
  <si>
    <t>1299</t>
  </si>
  <si>
    <t>Interface {#IFNAME}({#IFALIAS}): Modem Signal. {#SNMPINDEX}</t>
  </si>
  <si>
    <t>接口{#IFNAME}({#IFALIAS}): 调制解调器信号.{#SNMPINDEX}</t>
  </si>
  <si>
    <t>1052</t>
  </si>
  <si>
    <t>Disk-{#SNMPINDEX}: Disk space usage</t>
  </si>
  <si>
    <t>磁盘-{#SNMPINDEX}: 磁盘空间使用率</t>
  </si>
  <si>
    <t>(218/83)</t>
  </si>
  <si>
    <t>10185</t>
  </si>
  <si>
    <t>1335</t>
  </si>
  <si>
    <t>Voltage: Battery/Load{#SINGLETON}</t>
  </si>
  <si>
    <t>Voltage: 电池/负载{#SINGLETON}</t>
  </si>
  <si>
    <t>(218/84)</t>
  </si>
  <si>
    <t>10306</t>
  </si>
  <si>
    <t>1339</t>
  </si>
  <si>
    <t>(218/85)</t>
  </si>
  <si>
    <t>10307</t>
  </si>
  <si>
    <t>1343</t>
  </si>
  <si>
    <t>(218/86)</t>
  </si>
  <si>
    <t>10186</t>
  </si>
  <si>
    <t>1347</t>
  </si>
  <si>
    <t>Voltage: Battery{#SINGLETON}</t>
  </si>
  <si>
    <t>Voltage: 电池{#SINGLETON}</t>
  </si>
  <si>
    <t>(218/87)</t>
  </si>
  <si>
    <t>10190</t>
  </si>
  <si>
    <t>1350</t>
  </si>
  <si>
    <t>Battery: Voltage{#SINGLETON}</t>
  </si>
  <si>
    <t>Battery: 电压{#SINGLETON}</t>
  </si>
  <si>
    <t>(218/88)</t>
  </si>
  <si>
    <t>10188</t>
  </si>
  <si>
    <t>1355</t>
  </si>
  <si>
    <t>(218/89)</t>
  </si>
  <si>
    <t>10192</t>
  </si>
  <si>
    <t>1360</t>
  </si>
  <si>
    <t>1361</t>
  </si>
  <si>
    <t>Array: Voltage{#SINGLETON}</t>
  </si>
  <si>
    <t>Array: 电压{#SINGLETON}</t>
  </si>
  <si>
    <t>1362</t>
  </si>
  <si>
    <t>Battery: Charge Current{#SINGLETON}</t>
  </si>
  <si>
    <t>Battery: 充电电流{#SINGLETON}</t>
  </si>
  <si>
    <t>1363</t>
  </si>
  <si>
    <t>Load: Current{#SINGLETON}</t>
  </si>
  <si>
    <t>Load: 电流{#SINGLETON}</t>
  </si>
  <si>
    <t>1364</t>
  </si>
  <si>
    <t>Load: Voltage{#SINGLETON}</t>
  </si>
  <si>
    <t>Load: 电压{#SINGLETON}</t>
  </si>
  <si>
    <t>(218/90)</t>
  </si>
  <si>
    <t>10270</t>
  </si>
  <si>
    <t>763</t>
  </si>
  <si>
    <t>(218/91)</t>
  </si>
  <si>
    <t>10272</t>
  </si>
  <si>
    <t>742</t>
  </si>
  <si>
    <t>(218/92)</t>
  </si>
  <si>
    <t>10278</t>
  </si>
  <si>
    <t>764</t>
  </si>
  <si>
    <t>(218/93)</t>
  </si>
  <si>
    <t>10269</t>
  </si>
  <si>
    <t>743</t>
  </si>
  <si>
    <t>733</t>
  </si>
  <si>
    <t>#{#SNMPVALUE}: CPU utilization</t>
  </si>
  <si>
    <t>#{#SNMPVALUE}: CPU利用率</t>
  </si>
  <si>
    <t>1057</t>
  </si>
  <si>
    <t>(218/94)</t>
  </si>
  <si>
    <t>10275</t>
  </si>
  <si>
    <t>740</t>
  </si>
  <si>
    <t>(218/95)</t>
  </si>
  <si>
    <t>10281</t>
  </si>
  <si>
    <t>1735</t>
  </si>
  <si>
    <t>ZYXEL AAM1212-51 / IES-612: ADSL port {#SNMPINDEX}: Traffic</t>
  </si>
  <si>
    <t>ZYXEL AAM1212-51 / IES-612: ADSL端口{#SNMPINDEX}: 流量</t>
  </si>
  <si>
    <t>1736</t>
  </si>
  <si>
    <t>ZYXEL AAM1212-51 / IES-612: Ethernet port {#SNMPINDEX}: Traffic</t>
  </si>
  <si>
    <t>ZYXEL AAM1212-51 / IES-612: 以太网端口{#SNMPINDEX}: 流量</t>
  </si>
  <si>
    <t>1737</t>
  </si>
  <si>
    <t>ZYXEL AAM1212-51 / IES-612: "Temperature {#ZYXEL.TEMP.ID}</t>
  </si>
  <si>
    <t>ZYXEL AAM1212-51 / IES-612: "温度{#ZYXEL.TEMP.ID}</t>
  </si>
  <si>
    <t>1738</t>
  </si>
  <si>
    <t>ZYXEL AAM1212-51 / IES-612: Nominal "{#ZYXEL.VOLT.NOMINAL}"</t>
  </si>
  <si>
    <t>ZYXEL AAM1212-51 / IES-612: 标称"{#ZYXEL.VOLT.NOMINAL}"</t>
  </si>
  <si>
    <t>(218/96)</t>
  </si>
  <si>
    <t>10271</t>
  </si>
  <si>
    <t>1739</t>
  </si>
  <si>
    <t>ZYXEL ES3500-8PD: Port {#SNMPINDEX}: Packets traffic</t>
  </si>
  <si>
    <t>ZYXEL ES3500-8PD: 端口{#SNMPINDEX}: 数据包流量</t>
  </si>
  <si>
    <t>1740</t>
  </si>
  <si>
    <t>ZYXEL ES3500-8PD: Port {#SNMPINDEX}: Traffic</t>
  </si>
  <si>
    <t>ZYXEL ES3500-8PD: 端口{#SNMPINDEX}: 流量</t>
  </si>
  <si>
    <t>1741</t>
  </si>
  <si>
    <t>ZYXEL ES3500-8PD: Port {#SNMPINDEX}: Utilization</t>
  </si>
  <si>
    <t>ZYXEL ES3500-8PD: 端口{#SNMPINDEX}: 利用率</t>
  </si>
  <si>
    <t>1742</t>
  </si>
  <si>
    <t>ZYXEL ES3500-8PD: SFP {#ZYXEL.SFP.PORT}: {#ZYXEL.SFP.DESCRIPTION}</t>
  </si>
  <si>
    <t>ZYXEL ES3500-8PD: SFP{#ZYXEL.SFP.PORT}: {#ZYXEL.SFP.DESCRIPTION}</t>
  </si>
  <si>
    <t>1743</t>
  </si>
  <si>
    <t>ZYXEL ES3500-8PD: Temperature "{#ZYXEL.TEMP.ID}"</t>
  </si>
  <si>
    <t>ZYXEL ES3500-8PD: 温度"{#ZYXEL.TEMP.ID}"</t>
  </si>
  <si>
    <t>1744</t>
  </si>
  <si>
    <t>ZYXEL ES3500-8PD: Nominal "{#ZYXEL.VOLT.NOMINAL}"</t>
  </si>
  <si>
    <t>ZYXEL ES3500-8PD: 标称"{#ZYXEL.VOLT.NOMINAL}"</t>
  </si>
  <si>
    <t>(218/97)</t>
  </si>
  <si>
    <t>10273</t>
  </si>
  <si>
    <t>1746</t>
  </si>
  <si>
    <t>ZYXEL GS-4012F: Fan #{#SNMPINDEX}</t>
  </si>
  <si>
    <t>ZYXEL GS-4012F: 风扇#{#SNMPINDEX}</t>
  </si>
  <si>
    <t>1747</t>
  </si>
  <si>
    <t>ZYXEL GS-4012F: Port {#SNMPINDEX}: Packets traffic</t>
  </si>
  <si>
    <t>ZYXEL GS-4012F: 端口{#SNMPINDEX}: 数据包流量</t>
  </si>
  <si>
    <t>1748</t>
  </si>
  <si>
    <t>ZYXEL GS-4012F: Port {#SNMPINDEX}: Traffic</t>
  </si>
  <si>
    <t>ZYXEL GS-4012F: 端口{#SNMPINDEX}: 流量</t>
  </si>
  <si>
    <t>1749</t>
  </si>
  <si>
    <t>ZYXEL GS-4012F: Port {#SNMPINDEX}: Utilization</t>
  </si>
  <si>
    <t>ZYXEL GS-4012F: 端口{#SNMPINDEX}: 利用率</t>
  </si>
  <si>
    <t>1750</t>
  </si>
  <si>
    <t>ZYXEL GS-4012F: Temperature "{#ZYXEL.TEMP.ID}"</t>
  </si>
  <si>
    <t>ZYXEL GS-4012F: 温度"{#ZYXEL.TEMP.ID}"</t>
  </si>
  <si>
    <t>1751</t>
  </si>
  <si>
    <t>ZYXEL GS-4012F: Nominal "{#ZYXEL.VOLT.NOMINAL}"</t>
  </si>
  <si>
    <t>ZYXEL GS-4012F: 标称"{#ZYXEL.VOLT.NOMINAL}"</t>
  </si>
  <si>
    <t>(218/98)</t>
  </si>
  <si>
    <t>(11/1)</t>
  </si>
  <si>
    <t>10279</t>
  </si>
  <si>
    <t>1753</t>
  </si>
  <si>
    <t>ZYXEL IES-500x: Slot {#ZYXEL.SLOT.ID}: Packet buffer utilization</t>
  </si>
  <si>
    <t>ZYXEL IES-500x: 插槽{#ZYXEL.SLOT.ID}: 数据包缓冲区利用率</t>
  </si>
  <si>
    <t>(11/2)</t>
  </si>
  <si>
    <t>1754</t>
  </si>
  <si>
    <t>ZYXEL IES-500x: Slot {#ZYXEL.SLOT.ID}: CPU utilization</t>
  </si>
  <si>
    <t>ZYXEL IES-500x: 插槽{#ZYXEL.SLOT.ID}: CPU利用率</t>
  </si>
  <si>
    <t>(11/3)</t>
  </si>
  <si>
    <t>1755</t>
  </si>
  <si>
    <t>ZYXEL IES-500x: Fan #{#SNMPINDEX}</t>
  </si>
  <si>
    <t>ZYXEL IES-500x: 风扇#{#SNMPINDEX}</t>
  </si>
  <si>
    <t>(11/4)</t>
  </si>
  <si>
    <t>1756</t>
  </si>
  <si>
    <t>ZYXEL IES-500x: Slot {#ZYXEL.SLOT.ID}: Memory utilization</t>
  </si>
  <si>
    <t>ZYXEL IES-500x: 插槽{#ZYXEL.SLOT.ID}: 内存利用率</t>
  </si>
  <si>
    <t>(11/5)</t>
  </si>
  <si>
    <t>1757</t>
  </si>
  <si>
    <t>ZYXEL IES-500x: Slot {#ZYXEL.SLOT.ID} Port {#ZYXEL.PORTID}: Packets traffic</t>
  </si>
  <si>
    <t>ZYXEL IES-500x: 插槽{#ZYXEL.SLOT.ID}端口{#ZYXEL.PORTID}: 数据包流量</t>
  </si>
  <si>
    <t>(11/6)</t>
  </si>
  <si>
    <t>1758</t>
  </si>
  <si>
    <t>ZYXEL IES-500x: Slot {#ZYXEL.SLOT.ID} Port {#ZYXEL.PORTID}: Traffic</t>
  </si>
  <si>
    <t>ZYXEL IES-500x: 插槽{#ZYXEL.SLOT.ID}端口{#ZYXEL.PORTID}: 流量</t>
  </si>
  <si>
    <t>(11/7)</t>
  </si>
  <si>
    <t>1759</t>
  </si>
  <si>
    <t>ZYXEL IES-500x: Port {#SNMPINDEX}: Packets traffic</t>
  </si>
  <si>
    <t>ZYXEL IES-500x: 端口{#SNMPINDEX}: 数据包流量</t>
  </si>
  <si>
    <t>(11/8)</t>
  </si>
  <si>
    <t>1760</t>
  </si>
  <si>
    <t>ZYXEL IES-500x: Port {#SNMPINDEX}: Traffic</t>
  </si>
  <si>
    <t>ZYXEL IES-500x: 端口{#SNMPINDEX}: 流量</t>
  </si>
  <si>
    <t>(11/9)</t>
  </si>
  <si>
    <t>1761</t>
  </si>
  <si>
    <t>ZYXEL IES-500x: Port {#SNMPINDEX}: Utilization</t>
  </si>
  <si>
    <t>ZYXEL IES-500x: 端口{#SNMPINDEX}: 利用率</t>
  </si>
  <si>
    <t>(11/10)</t>
  </si>
  <si>
    <t>1762</t>
  </si>
  <si>
    <t>ZYXEL IES-500x: "Temperature Slot {#ZYXEL.SLOT.ID} Sensor: {#ZYXEL.TEMP.ID}</t>
  </si>
  <si>
    <t>ZYXEL IES-500x: "温度槽{#ZYXEL.SLOT.ID}传感器: {#ZYXEL.TEMP.ID}</t>
  </si>
  <si>
    <t>(11/11)</t>
  </si>
  <si>
    <t>1763</t>
  </si>
  <si>
    <t>ZYXEL IES-500x: Slot {#ZYXEL.SLOT.ID}: Nominal "{#ZYXEL.VOLT.NOMINAL}"</t>
  </si>
  <si>
    <t>ZYXEL IES-500x: 插槽{#ZYXEL.SLOT.ID}: 标称"{#ZYXEL.VOLT.NOMINAL}"</t>
  </si>
  <si>
    <t>(218/99)</t>
  </si>
  <si>
    <t>10277</t>
  </si>
  <si>
    <t>1764</t>
  </si>
  <si>
    <t>ZYXEL IES-6000: Slot {#ZYXEL.SLOT.ID}: Packet buffer utilization</t>
  </si>
  <si>
    <t>ZYXEL IES-6000: 插槽{#ZYXEL.SLOT.ID}: 数据包缓冲区利用率</t>
  </si>
  <si>
    <t>1765</t>
  </si>
  <si>
    <t>ZYXEL IES-6000: Slot {#ZYXEL.SLOT.ID}: CPU utilization</t>
  </si>
  <si>
    <t>ZYXEL IES-6000: 插槽{#ZYXEL.SLOT.ID}: CPU利用率</t>
  </si>
  <si>
    <t>1766</t>
  </si>
  <si>
    <t>ZYXEL IES-6000: Fan #{#SNMPINDEX}</t>
  </si>
  <si>
    <t>ZYXEL IES-6000: 风扇#{#SNMPINDEX}</t>
  </si>
  <si>
    <t>1767</t>
  </si>
  <si>
    <t>ZYXEL IES-6000: Slot {#ZYXEL.SLOT.ID}: Memory utilization</t>
  </si>
  <si>
    <t>ZYXEL IES-6000: 插槽{#ZYXEL.SLOT.ID}: 内存利用率</t>
  </si>
  <si>
    <t>1768</t>
  </si>
  <si>
    <t>ZYXEL IES-6000: Slot {#ZYXEL.SLOT.ID} Port {#ZYXEL.PORTID}: Packets traffic</t>
  </si>
  <si>
    <t>ZYXEL IES-6000: 插槽{#ZYXEL.SLOT.ID}端口{#ZYXEL.PORTID}: 数据包流量</t>
  </si>
  <si>
    <t>1769</t>
  </si>
  <si>
    <t>ZYXEL IES-6000: Slot {#ZYXEL.SLOT.ID} Port {#ZYXEL.PORTID}: Traffic</t>
  </si>
  <si>
    <t>ZYXEL IES-6000: 插槽{#ZYXEL.SLOT.ID}端口{#ZYXEL.PORTID}: 流量</t>
  </si>
  <si>
    <t>1770</t>
  </si>
  <si>
    <t>ZYXEL IES-6000: Port {#SNMPINDEX}: Packets traffic</t>
  </si>
  <si>
    <t>ZYXEL IES-6000: 端口{#SNMPINDEX}: 数据包流量</t>
  </si>
  <si>
    <t>1771</t>
  </si>
  <si>
    <t>ZYXEL IES-6000: Port {#SNMPINDEX}: Traffic</t>
  </si>
  <si>
    <t>ZYXEL IES-6000: 端口{#SNMPINDEX}: 流量</t>
  </si>
  <si>
    <t>1772</t>
  </si>
  <si>
    <t>ZYXEL IES-6000: Port {#SNMPINDEX}: Utilization</t>
  </si>
  <si>
    <t>ZYXEL IES-6000: 端口{#SNMPINDEX}: 利用率</t>
  </si>
  <si>
    <t>1773</t>
  </si>
  <si>
    <t>ZYXEL IES-6000: "Temperature Slot {#ZYXEL.SLOT.ID} Sensor: {#ZYXEL.TEMP.ID}</t>
  </si>
  <si>
    <t>ZYXEL IES-6000: "温度槽{#ZYXEL.SLOT.ID}传感器: {#ZYXEL.TEMP.ID}</t>
  </si>
  <si>
    <t>1774</t>
  </si>
  <si>
    <t>ZYXEL IES-6000: Slot {#ZYXEL.SLOT.ID}: Nominal "{#ZYXEL.VOLT.NOMINAL}"</t>
  </si>
  <si>
    <t>ZYXEL IES-6000: 插槽{#ZYXEL.SLOT.ID}: 标称"{#ZYXEL.VOLT.NOMINAL}"</t>
  </si>
  <si>
    <t>(218/100)</t>
  </si>
  <si>
    <t>10283</t>
  </si>
  <si>
    <t>1775</t>
  </si>
  <si>
    <t>ZYXEL IES1248-51: Fan #{#SNMPINDEX}</t>
  </si>
  <si>
    <t>ZYXEL IES1248-51: 风扇#{#SNMPINDEX}</t>
  </si>
  <si>
    <t>1776</t>
  </si>
  <si>
    <t>ZYXEL IES1248-51: ADSL port {#SNMPINDEX}: Traffic</t>
  </si>
  <si>
    <t>ZYXEL IES1248-51: ADSL端口{#SNMPINDEX}: 流量</t>
  </si>
  <si>
    <t>1777</t>
  </si>
  <si>
    <t>ZYXEL IES1248-51: Ethernet port {#SNMPINDEX}: Traffic</t>
  </si>
  <si>
    <t>ZYXEL IES1248-51: 以太网端口{#SNMPINDEX}: 流量</t>
  </si>
  <si>
    <t>1778</t>
  </si>
  <si>
    <t>ZYXEL IES1248-51: "Temperature {#ZYXEL.TEMP.ID}</t>
  </si>
  <si>
    <t>ZYXEL IES1248-51: "温度{#ZYXEL.TEMP.ID}</t>
  </si>
  <si>
    <t>1779</t>
  </si>
  <si>
    <t>ZYXEL IES1248-51: Nominal "{#ZYXEL.VOLT.NOMINAL}"</t>
  </si>
  <si>
    <t>ZYXEL IES1248-51: 标称"{#ZYXEL.VOLT.NOMINAL}"</t>
  </si>
  <si>
    <t>(218/101)</t>
  </si>
  <si>
    <t>10268</t>
  </si>
  <si>
    <t>1780</t>
  </si>
  <si>
    <t>ZYXEL MES-3528: Port {#SNMPINDEX}: Packets traffic</t>
  </si>
  <si>
    <t>ZYXEL MES-3528: 端口{#SNMPINDEX}: 数据包流量</t>
  </si>
  <si>
    <t>1781</t>
  </si>
  <si>
    <t>ZYXEL MES-3528: Port {#SNMPINDEX}: Traffic</t>
  </si>
  <si>
    <t>ZYXEL MES-3528: 端口{#SNMPINDEX}: 流量</t>
  </si>
  <si>
    <t>1782</t>
  </si>
  <si>
    <t>ZYXEL MES-3528: Port {#SNMPINDEX}: Utilization</t>
  </si>
  <si>
    <t>ZYXEL MES-3528: 端口{#SNMPINDEX}: 利用率</t>
  </si>
  <si>
    <t>1783</t>
  </si>
  <si>
    <t>ZYXEL MES-3528: SFP {#ZYXEL.SFP.PORT}: {#ZYXEL.SFP.DESCRIPTION}</t>
  </si>
  <si>
    <t>ZYXEL MES-3528: SFP{#ZYXEL.SFP.PORT}: {#ZYXEL.SFP.DESCRIPTION}</t>
  </si>
  <si>
    <t>(218/102)</t>
  </si>
  <si>
    <t>10274</t>
  </si>
  <si>
    <t>1785</t>
  </si>
  <si>
    <t>ZYXEL MES3500-10: Port {#SNMPINDEX}: Packets traffic</t>
  </si>
  <si>
    <t>ZYXEL MES3500-10: 端口{#SNMPINDEX}: 数据包流量</t>
  </si>
  <si>
    <t>1786</t>
  </si>
  <si>
    <t>ZYXEL MES3500-10: Port {#SNMPINDEX}: Traffic</t>
  </si>
  <si>
    <t>ZYXEL MES3500-10: 端口{#SNMPINDEX}: 流量</t>
  </si>
  <si>
    <t>1787</t>
  </si>
  <si>
    <t>ZYXEL MES3500-10: Port {#SNMPINDEX}: Utilization</t>
  </si>
  <si>
    <t>ZYXEL MES3500-10: 端口{#SNMPINDEX}: 利用率</t>
  </si>
  <si>
    <t>1788</t>
  </si>
  <si>
    <t>ZYXEL MES3500-10: SFP {#ZYXEL.SFP.PORT}: {#ZYXEL.SFP.DESCRIPTION}</t>
  </si>
  <si>
    <t>ZYXEL MES3500-10: SFP{#ZYXEL.SFP.PORT}: {#ZYXEL.SFP.DESCRIPTION}</t>
  </si>
  <si>
    <t>1789</t>
  </si>
  <si>
    <t>ZYXEL MES3500-10: Temperature "{#ZYXEL.TEMP.ID}"</t>
  </si>
  <si>
    <t>ZYXEL MES3500-10: 温度"{#ZYXEL.TEMP.ID}"</t>
  </si>
  <si>
    <t>1790</t>
  </si>
  <si>
    <t>ZYXEL MES3500-10: Nominal "{#ZYXEL.VOLT.NOMINAL}"</t>
  </si>
  <si>
    <t>ZYXEL MES3500-10: 标称"{#ZYXEL.VOLT.NOMINAL}"</t>
  </si>
  <si>
    <t>(218/103)</t>
  </si>
  <si>
    <t>10280</t>
  </si>
  <si>
    <t>1792</t>
  </si>
  <si>
    <t>ZYXEL MES3500-24: Port {#SNMPINDEX}: Packets traffic</t>
  </si>
  <si>
    <t>ZYXEL MES3500-24: 端口{#SNMPINDEX}: 数据包流量</t>
  </si>
  <si>
    <t>1793</t>
  </si>
  <si>
    <t>ZYXEL MES3500-24: Port {#SNMPINDEX}: Traffic</t>
  </si>
  <si>
    <t>ZYXEL MES3500-24: 端口{#SNMPINDEX}: 流量</t>
  </si>
  <si>
    <t>1794</t>
  </si>
  <si>
    <t>ZYXEL MES3500-24: Port {#SNMPINDEX}: Utilization</t>
  </si>
  <si>
    <t>ZYXEL MES3500-24: 端口{#SNMPINDEX}: 利用率</t>
  </si>
  <si>
    <t>1795</t>
  </si>
  <si>
    <t>ZYXEL MES3500-24: SFP {#ZYXEL.SFP.PORT}: {#ZYXEL.SFP.DESCRIPTION}</t>
  </si>
  <si>
    <t>ZYXEL MES3500-24: SFP{#ZYXEL.SFP.PORT}: {#ZYXEL.SFP.DESCRIPTION}</t>
  </si>
  <si>
    <t>1796</t>
  </si>
  <si>
    <t>ZYXEL MES3500-24: Temperature "{#ZYXEL.TEMP.ID}"</t>
  </si>
  <si>
    <t>ZYXEL MES3500-24: 温度"{#ZYXEL.TEMP.ID}"</t>
  </si>
  <si>
    <t>1797</t>
  </si>
  <si>
    <t>ZYXEL MES3500-24: Nominal "{#ZYXEL.VOLT.NOMINAL}"</t>
  </si>
  <si>
    <t>ZYXEL MES3500-24: 标称"{#ZYXEL.VOLT.NOMINAL}"</t>
  </si>
  <si>
    <t>(218/104)</t>
  </si>
  <si>
    <t>10276</t>
  </si>
  <si>
    <t>1815</t>
  </si>
  <si>
    <t>ZYXEL MES3500-24S: Fan #{#SNMPINDEX}</t>
  </si>
  <si>
    <t>ZYXEL MES3500-24S: 风扇#{#SNMPINDEX}</t>
  </si>
  <si>
    <t>1816</t>
  </si>
  <si>
    <t>ZYXEL MES3500-24S: Port {#SNMPINDEX}: Packets traffic</t>
  </si>
  <si>
    <t>ZYXEL MES3500-24S: 端口{#SNMPINDEX}: 数据包流量</t>
  </si>
  <si>
    <t>1817</t>
  </si>
  <si>
    <t>ZYXEL MES3500-24S: Port {#SNMPINDEX}: Traffic</t>
  </si>
  <si>
    <t>ZYXEL MES3500-24S: 端口{#SNMPINDEX}: 流量</t>
  </si>
  <si>
    <t>1818</t>
  </si>
  <si>
    <t>ZYXEL MES3500-24S: Port {#SNMPINDEX}: Utilization</t>
  </si>
  <si>
    <t>ZYXEL MES3500-24S: 端口{#SNMPINDEX}: 利用率</t>
  </si>
  <si>
    <t>1819</t>
  </si>
  <si>
    <t>ZYXEL MES3500-24S: SFP {#ZYXEL.SFP.PORT}: {#ZYXEL.SFP.DESCRIPTION}</t>
  </si>
  <si>
    <t>ZYXEL MES3500-24S: SFP{#ZYXEL.SFP.PORT}: {#ZYXEL.SFP.DESCRIPTION}</t>
  </si>
  <si>
    <t>1820</t>
  </si>
  <si>
    <t>ZYXEL MES3500-24S: Temperature "{#ZYXEL.TEMPDESCRIPTION}"</t>
  </si>
  <si>
    <t>ZYXEL MES3500-24S: 温度"{#ZYXEL.TEMPDESCRIPTION}"</t>
  </si>
  <si>
    <t>1821</t>
  </si>
  <si>
    <t>ZYXEL MES3500-24S: Nominal "{#ZYXEL.DESCRIPTION}"</t>
  </si>
  <si>
    <t>ZYXEL MES3500-24S: 标称"{#ZYXEL.DESCRIPTION}"</t>
  </si>
  <si>
    <t>(218/105)</t>
  </si>
  <si>
    <t>10282</t>
  </si>
  <si>
    <t>1799</t>
  </si>
  <si>
    <t>ZYXEL MGS-3712: Fan #{#SNMPINDEX}</t>
  </si>
  <si>
    <t>ZYXEL MGS-3712: 风扇#{#SNMPINDEX}</t>
  </si>
  <si>
    <t>1800</t>
  </si>
  <si>
    <t>ZYXEL MGS-3712: Port {#SNMPINDEX}: Packets traffic</t>
  </si>
  <si>
    <t>ZYXEL MGS-3712: 端口{#SNMPINDEX}: 数据包流量</t>
  </si>
  <si>
    <t>1801</t>
  </si>
  <si>
    <t>ZYXEL MGS-3712: Port {#SNMPINDEX}: Traffic</t>
  </si>
  <si>
    <t>ZYXEL MGS-3712: 端口{#SNMPINDEX}: 流量</t>
  </si>
  <si>
    <t>1802</t>
  </si>
  <si>
    <t>ZYXEL MGS-3712: Port {#SNMPINDEX}: Utilization</t>
  </si>
  <si>
    <t>ZYXEL MGS-3712: 端口{#SNMPINDEX}: 利用率</t>
  </si>
  <si>
    <t>1803</t>
  </si>
  <si>
    <t>ZYXEL MGS-3712: SFP {#ZYXEL.SFP.PORT}: {#ZYXEL.SFP.DESCRIPTION}</t>
  </si>
  <si>
    <t>ZYXEL MGS-3712: SFP{#ZYXEL.SFP.PORT}: {#ZYXEL.SFP.DESCRIPTION}</t>
  </si>
  <si>
    <t>1804</t>
  </si>
  <si>
    <t>ZYXEL MGS-3712: Temperature "{#ZYXEL.TEMP.ID}"</t>
  </si>
  <si>
    <t>ZYXEL MGS-3712: 温度"{#ZYXEL.TEMP.ID}"</t>
  </si>
  <si>
    <t>1805</t>
  </si>
  <si>
    <t>ZYXEL MGS-3712: Nominal "{#ZYXEL.VOLT.NOMINAL}"</t>
  </si>
  <si>
    <t>ZYXEL MGS-3712: 标称"{#ZYXEL.VOLT.NOMINAL}"</t>
  </si>
  <si>
    <t>(218/106)</t>
  </si>
  <si>
    <t>10355</t>
  </si>
  <si>
    <t>1807</t>
  </si>
  <si>
    <t>ZYXEL MGS-3712F: Fan #{#SNMPINDEX}</t>
  </si>
  <si>
    <t>ZYXEL MGS-3712F: 风扇#{#SNMPINDEX}</t>
  </si>
  <si>
    <t>1808</t>
  </si>
  <si>
    <t>ZYXEL MGS-3712F: Port {#SNMPINDEX}: Packets traffic</t>
  </si>
  <si>
    <t>ZYXEL MGS-3712F: 端口{#SNMPINDEX}: 数据包流量</t>
  </si>
  <si>
    <t>1809</t>
  </si>
  <si>
    <t>ZYXEL MGS-3712F: Port {#SNMPINDEX}: Traffic</t>
  </si>
  <si>
    <t>ZYXEL MGS-3712F: 端口{#SNMPINDEX}: 流量</t>
  </si>
  <si>
    <t>1810</t>
  </si>
  <si>
    <t>ZYXEL MGS-3712F: Port {#SNMPINDEX}: Utilization</t>
  </si>
  <si>
    <t>ZYXEL MGS-3712F: 端口{#SNMPINDEX}: 利用率</t>
  </si>
  <si>
    <t>1811</t>
  </si>
  <si>
    <t>ZYXEL MGS-3712F: SFP {#ZYXEL.SFP.PORT}: {#ZYXEL.SFP.DESCRIPTION}</t>
  </si>
  <si>
    <t>ZYXEL MGS-3712F: SFP{#ZYXEL.SFP.PORT}: {#ZYXEL.SFP.DESCRIPTION}</t>
  </si>
  <si>
    <t>1812</t>
  </si>
  <si>
    <t>ZYXEL MGS-3712F: Temperature "{#ZYXEL.TEMP.ID}"</t>
  </si>
  <si>
    <t>ZYXEL MGS-3712F: 温度"{#ZYXEL.TEMP.ID}"</t>
  </si>
  <si>
    <t>1813</t>
  </si>
  <si>
    <t>ZYXEL MGS-3712F: Nominal "{#ZYXEL.VOLT.NOMINAL}"</t>
  </si>
  <si>
    <t>ZYXEL MGS-3712F: 标称"{#ZYXEL.VOLT.NOMINAL}"</t>
  </si>
  <si>
    <t>(218/107)</t>
  </si>
  <si>
    <t>10435</t>
  </si>
  <si>
    <t>1823</t>
  </si>
  <si>
    <t>ZYXEL MGS3520-28x: Fan #{#SNMPINDEX}</t>
  </si>
  <si>
    <t>ZYXEL MGS3520-28x: 风扇#{#SNMPINDEX}</t>
  </si>
  <si>
    <t>1824</t>
  </si>
  <si>
    <t>ZYXEL MGS3520-28x: Port {#SNMPINDEX}: Packets traffic</t>
  </si>
  <si>
    <t>ZYXEL MGS3520-28x: 端口{#SNMPINDEX}: 数据包流量</t>
  </si>
  <si>
    <t>1825</t>
  </si>
  <si>
    <t>ZYXEL MGS3520-28x: Port {#SNMPINDEX}: Traffic</t>
  </si>
  <si>
    <t>ZYXEL MGS3520-28x: 端口{#SNMPINDEX}: 流量</t>
  </si>
  <si>
    <t>1826</t>
  </si>
  <si>
    <t>ZYXEL MGS3520-28x: Port {#SNMPINDEX}: Utilization</t>
  </si>
  <si>
    <t>ZYXEL MGS3520-28x: 端口{#SNMPINDEX}: 利用率</t>
  </si>
  <si>
    <t>1827</t>
  </si>
  <si>
    <t>ZYXEL MGS3520-28x: SFP {#ZYXEL.SFP.PORT}: {#ZYXEL.SFP.DESCRIPTION}</t>
  </si>
  <si>
    <t>ZYXEL MGS3520-28x: SFP{#ZYXEL.SFP.PORT}: {#ZYXEL.SFP.DESCRIPTION}</t>
  </si>
  <si>
    <t>1828</t>
  </si>
  <si>
    <t>ZYXEL MGS3520-28x: Temperature "{#ZYXEL.TEMPDESCRIPTION}"</t>
  </si>
  <si>
    <t>ZYXEL MGS3520-28x: 温度"{#ZYXEL.TEMPDESCRIPTION}"</t>
  </si>
  <si>
    <t>1829</t>
  </si>
  <si>
    <t>ZYXEL MGS3520-28x: Nominal "{#ZYXEL.DESCRIPTION}"</t>
  </si>
  <si>
    <t>ZYXEL MGS3520-28x: 标称"{#ZYXEL.DESCRIPTION}"</t>
  </si>
  <si>
    <t>(218/108)</t>
  </si>
  <si>
    <t>10356</t>
  </si>
  <si>
    <t>1831</t>
  </si>
  <si>
    <t>ZYXEL XGS-4728F: Fan #{#SNMPINDEX}</t>
  </si>
  <si>
    <t>ZYXEL XGS-4728F: 风扇#{#SNMPINDEX}</t>
  </si>
  <si>
    <t>1832</t>
  </si>
  <si>
    <t>ZYXEL XGS-4728F: Port {#SNMPINDEX}: Packets traffic</t>
  </si>
  <si>
    <t>ZYXEL XGS-4728F: 端口{#SNMPINDEX}: 数据包流量</t>
  </si>
  <si>
    <t>1833</t>
  </si>
  <si>
    <t>ZYXEL XGS-4728F: Port {#SNMPINDEX}: Traffic</t>
  </si>
  <si>
    <t>ZYXEL XGS-4728F: 端口{#SNMPINDEX}: 流量</t>
  </si>
  <si>
    <t>1834</t>
  </si>
  <si>
    <t>ZYXEL XGS-4728F: Port {#SNMPINDEX}: Utilization</t>
  </si>
  <si>
    <t>ZYXEL XGS-4728F: 端口{#SNMPINDEX}: 利用率</t>
  </si>
  <si>
    <t>1835</t>
  </si>
  <si>
    <t>ZYXEL XGS-4728F: SFP {#ZYXEL.SFP.PORT}: {#ZYXEL.SFP.DESCRIPTION}</t>
  </si>
  <si>
    <t>ZYXEL XGS-4728F: SFP{#ZYXEL.SFP.PORT}: {#ZYXEL.SFP.DESCRIPTION}</t>
  </si>
  <si>
    <t>1836</t>
  </si>
  <si>
    <t>ZYXEL XGS-4728F: Temperature "{#ZYXEL.TEMP.ID}"</t>
  </si>
  <si>
    <t>ZYXEL XGS-4728F: 温度"{#ZYXEL.TEMP.ID}"</t>
  </si>
  <si>
    <t>1837</t>
  </si>
  <si>
    <t>ZYXEL XGS-4728F: Nominal "{#ZYXEL.VOLT.NOMINAL}"</t>
  </si>
  <si>
    <t>ZYXEL XGS-4728F: 标称"{#ZYXEL.VOLT.NOMINAL}"</t>
  </si>
  <si>
    <t>(218/109)</t>
  </si>
  <si>
    <t>10286</t>
  </si>
  <si>
    <t>472</t>
  </si>
  <si>
    <t>Network traffic on {#IFNAME}</t>
  </si>
  <si>
    <t>{#IFNAME}上的网络流量</t>
  </si>
  <si>
    <t>473</t>
  </si>
  <si>
    <t>Disk space usage {#FSNAME}</t>
  </si>
  <si>
    <t>磁盘空间使用率{#FSNAME}</t>
  </si>
  <si>
    <t>(218/110)</t>
  </si>
  <si>
    <t>10293</t>
  </si>
  <si>
    <t>492</t>
  </si>
  <si>
    <t>467</t>
  </si>
  <si>
    <t>(218/111)</t>
  </si>
  <si>
    <t>10288</t>
  </si>
  <si>
    <t>478</t>
  </si>
  <si>
    <t>479</t>
  </si>
  <si>
    <t>(218/112)</t>
  </si>
  <si>
    <t>10295</t>
  </si>
  <si>
    <t>865</t>
  </si>
  <si>
    <t>867</t>
  </si>
  <si>
    <t>869</t>
  </si>
  <si>
    <t>871</t>
  </si>
  <si>
    <t>873</t>
  </si>
  <si>
    <t>(218/113)</t>
  </si>
  <si>
    <t>10290</t>
  </si>
  <si>
    <t>952</t>
  </si>
  <si>
    <t>955</t>
  </si>
  <si>
    <t>954</t>
  </si>
  <si>
    <t>956</t>
  </si>
  <si>
    <t>953</t>
  </si>
  <si>
    <t>(218/114)</t>
  </si>
  <si>
    <t>10297</t>
  </si>
  <si>
    <t>888</t>
  </si>
  <si>
    <t>900</t>
  </si>
  <si>
    <t>1215</t>
  </si>
  <si>
    <t>1218</t>
  </si>
  <si>
    <t>1221</t>
  </si>
  <si>
    <t>(218/115)</t>
  </si>
  <si>
    <t>10287</t>
  </si>
  <si>
    <t>927</t>
  </si>
  <si>
    <t>935</t>
  </si>
  <si>
    <t>1224</t>
  </si>
  <si>
    <t>1226</t>
  </si>
  <si>
    <t>1228</t>
  </si>
  <si>
    <t>(218/116)</t>
  </si>
  <si>
    <t>10294</t>
  </si>
  <si>
    <t>491</t>
  </si>
  <si>
    <t>(218/117)</t>
  </si>
  <si>
    <t>10291</t>
  </si>
  <si>
    <t>493</t>
  </si>
  <si>
    <t>461</t>
  </si>
  <si>
    <t>(218/118)</t>
  </si>
  <si>
    <t>10298</t>
  </si>
  <si>
    <t>484</t>
  </si>
  <si>
    <t>485</t>
  </si>
  <si>
    <t>(218/119)</t>
  </si>
  <si>
    <t>10289</t>
  </si>
  <si>
    <t>886</t>
  </si>
  <si>
    <t>1063</t>
  </si>
  <si>
    <t>1068</t>
  </si>
  <si>
    <t>(218/120)</t>
  </si>
  <si>
    <t>10296</t>
  </si>
  <si>
    <t>965</t>
  </si>
  <si>
    <t>1230</t>
  </si>
  <si>
    <t>1232</t>
  </si>
  <si>
    <t>1367</t>
  </si>
  <si>
    <t>1369</t>
  </si>
  <si>
    <t>1840</t>
  </si>
  <si>
    <t>(218/121)</t>
  </si>
  <si>
    <t>10314</t>
  </si>
  <si>
    <t>983</t>
  </si>
  <si>
    <t>1234</t>
  </si>
  <si>
    <t>1236</t>
  </si>
  <si>
    <t>1371</t>
  </si>
  <si>
    <t>1373</t>
  </si>
  <si>
    <t>1842</t>
  </si>
  <si>
    <t>(218/122)</t>
  </si>
  <si>
    <t>10315</t>
  </si>
  <si>
    <t>1403</t>
  </si>
  <si>
    <t>Controller {#ID}: CPU utilization</t>
  </si>
  <si>
    <t>控制器{#ID}: CPU利用率</t>
  </si>
  <si>
    <t>1404</t>
  </si>
  <si>
    <t>LUN {#NAME}: LUN I/O</t>
  </si>
  <si>
    <t>LUN{#NAME}: LUNI/O</t>
  </si>
  <si>
    <t>1405</t>
  </si>
  <si>
    <t>LUN {#NAME}: LUN I/O latency</t>
  </si>
  <si>
    <t>LUN{#NAME}: LUNI/O延迟</t>
  </si>
  <si>
    <t>1406</t>
  </si>
  <si>
    <t>LUN {#NAME}: LUN traffic</t>
  </si>
  <si>
    <t>LUN{#NAME}: LUN流量</t>
  </si>
  <si>
    <t>1407</t>
  </si>
  <si>
    <t>Node {#NODE}: CPU utilization</t>
  </si>
  <si>
    <t>节点{#NODE}: CPU利用率</t>
  </si>
  <si>
    <t>1408</t>
  </si>
  <si>
    <t>Node {#NODE}: Node I/O</t>
  </si>
  <si>
    <t>节点{#NODE}: 节点I/O</t>
  </si>
  <si>
    <t>1409</t>
  </si>
  <si>
    <t>Node {#NODE}: Node traffic</t>
  </si>
  <si>
    <t>节点{#NODE}: 节点流量</t>
  </si>
  <si>
    <t>1410</t>
  </si>
  <si>
    <t>Pool {#NAME}: Capacity</t>
  </si>
  <si>
    <t>池{#NAME}: 容量</t>
  </si>
  <si>
    <t>(218/123)</t>
  </si>
  <si>
    <t>10050</t>
  </si>
  <si>
    <t>1483</t>
  </si>
  <si>
    <t>{#VOLUMENAME}: Volume latency</t>
  </si>
  <si>
    <t>{#VOLUMENAME}: 卷延迟</t>
  </si>
  <si>
    <t>1484</t>
  </si>
  <si>
    <t>{#VOLUMENAME}: Volume size</t>
  </si>
  <si>
    <t>{#VOLUMENAME}: 卷大小</t>
  </si>
  <si>
    <t>(218/124)</t>
  </si>
  <si>
    <t>10292</t>
  </si>
  <si>
    <t>1387</t>
  </si>
  <si>
    <t>Node {#NODE.NAME}: CPU utilization</t>
  </si>
  <si>
    <t>节点{#NODE.NAME}: CPU利用率</t>
  </si>
  <si>
    <t>1388</t>
  </si>
  <si>
    <t>{#VSERVER}{#FSNAME}: Free space</t>
  </si>
  <si>
    <t>{#VSERVER}{#FSNAME}: 可用空间</t>
  </si>
  <si>
    <t>1389</t>
  </si>
  <si>
    <t>Node {#NODE}: port {#IFNAME} ({#TYPE}): Network traffic</t>
  </si>
  <si>
    <t>节点{#NODE}: 端口{#IFNAME}({#TYPE}): 网络流量</t>
  </si>
  <si>
    <t>(218/125)</t>
  </si>
  <si>
    <t>10207</t>
  </si>
  <si>
    <t>1142</t>
  </si>
  <si>
    <t>IPMI: {#SENSOR_ID}</t>
  </si>
  <si>
    <t>(218/126)</t>
  </si>
  <si>
    <t>10254</t>
  </si>
  <si>
    <t>1676</t>
  </si>
  <si>
    <t>(896/1)</t>
  </si>
  <si>
    <t>AIX by Zabbix agent</t>
  </si>
  <si>
    <t>(896/2)</t>
  </si>
  <si>
    <t>(896/3)</t>
  </si>
  <si>
    <t>AWS Cost Explorer by HTTP</t>
  </si>
  <si>
    <t>2519</t>
  </si>
  <si>
    <t>AWS Cost: Service [{#AWS.BILLING.SERVICE.NAME}]: Blended daily cost</t>
  </si>
  <si>
    <t>AWS 成本: 服务 [{#AWS.BILLING.SERVICE.NAME}]: 每日混合成本</t>
  </si>
  <si>
    <t>(896/4)</t>
  </si>
  <si>
    <t>2520</t>
  </si>
  <si>
    <t>AWS Cost: [{#AWS.BILLING.MONTH}]: Monthly blended cost</t>
  </si>
  <si>
    <t>AWS 成本: [{#AWS.BILLING.MONTH}]: 每月混合成本</t>
  </si>
  <si>
    <t>(896/5)</t>
  </si>
  <si>
    <t>2518</t>
  </si>
  <si>
    <t>AWS Cost: [{#AWS.BILLING.SERVICE.NAME}]: Month [{#AWS.BILLING.MONTH}] Blended cost</t>
  </si>
  <si>
    <t>AWS 成本: [{#AWS.BILLING.SERVICE.NAME}]: 月份 [{#AWS.BILLING.MONTH}] 混合成本</t>
  </si>
  <si>
    <t>(896/6)</t>
  </si>
  <si>
    <t>AWS EC2 by HTTP</t>
  </si>
  <si>
    <t>2413</t>
  </si>
  <si>
    <t>AWS EBS: [{#VOLUME_ID}]: Volume read/write time</t>
  </si>
  <si>
    <t>AWS EBS: [{#VOLUME_ID}]: 卷读写时间</t>
  </si>
  <si>
    <t>(896/7)</t>
  </si>
  <si>
    <t>2411</t>
  </si>
  <si>
    <t>AWS EBS: [{#VOLUME_ID}]: Volume read/write bytes</t>
  </si>
  <si>
    <t>AWS EBS: [{#VOLUME_ID}]: 卷读写字节</t>
  </si>
  <si>
    <t>(896/8)</t>
  </si>
  <si>
    <t>2412</t>
  </si>
  <si>
    <t>AWS EBS: [{#VOLUME_ID}]: Volume read/write ops</t>
  </si>
  <si>
    <t>AWS EBS: [{#VOLUME_ID}]: 卷读写操作</t>
  </si>
  <si>
    <t>(896/9)</t>
  </si>
  <si>
    <t>AWS ECS Cluster by HTTP</t>
  </si>
  <si>
    <t>2521</t>
  </si>
  <si>
    <t>AWS ECS Cluster Service: [{#AWS.ECS.SERVICE.NAME}]: CPU Utilization</t>
  </si>
  <si>
    <t>AWS ECS 集群服务: [{#AWS.ECS.SERVICE.NAME}]: CPU 使用率</t>
  </si>
  <si>
    <t>(896/10)</t>
  </si>
  <si>
    <t>2522</t>
  </si>
  <si>
    <t>AWS ECS Cluster Service: [{#AWS.ECS.SERVICE.NAME}]: Memory Utilization</t>
  </si>
  <si>
    <t>AWS ECS 集群服务: [{#AWS.ECS.SERVICE.NAME}]: 内存使用率</t>
  </si>
  <si>
    <t>(896/11)</t>
  </si>
  <si>
    <t>2523</t>
  </si>
  <si>
    <t>AWS ECS Cluster Service: [{#AWS.ECS.SERVICE.NAME}]: Network</t>
  </si>
  <si>
    <t>AWS ECS 集群服务: [{#AWS.ECS.SERVICE.NAME}]: 网络</t>
  </si>
  <si>
    <t>(896/12)</t>
  </si>
  <si>
    <t>AWS ECS Serverless Cluster by HTTP</t>
  </si>
  <si>
    <t>2527</t>
  </si>
  <si>
    <t>(896/13)</t>
  </si>
  <si>
    <t>2528</t>
  </si>
  <si>
    <t>(896/14)</t>
  </si>
  <si>
    <t>2529</t>
  </si>
  <si>
    <t>(896/15)</t>
  </si>
  <si>
    <t>AWS ELB Application Load Balancer by HTTP</t>
  </si>
  <si>
    <t>2633</t>
  </si>
  <si>
    <t>AWS ELB ALB Target Groups: [{#AWS.ELB.TARGET.GROUP.NAME}]: Healthy Host</t>
  </si>
  <si>
    <t>AWS ELB ALB 目标组: [{#AWS.ELB.TARGET.GROUP.NAME}]: 健康主机</t>
  </si>
  <si>
    <t>(896/16)</t>
  </si>
  <si>
    <t>2634</t>
  </si>
  <si>
    <t>AWS ELB ALB Target Groups: [{#AWS.ELB.TARGET.GROUP.NAME}]: Healthy State DNS</t>
  </si>
  <si>
    <t>AWS ELB ALB 目标组: [{#AWS.ELB.TARGET.GROUP.NAME}]: 健康状态 DNS</t>
  </si>
  <si>
    <t>(896/17)</t>
  </si>
  <si>
    <t>2635</t>
  </si>
  <si>
    <t>AWS ELB ALB Target Groups: [{#AWS.ELB.TARGET.GROUP.NAME}]: Healthy State Routing</t>
  </si>
  <si>
    <t>AWS ELB ALB 目标组: [{#AWS.ELB.TARGET.GROUP.NAME}]: 健康状态路由</t>
  </si>
  <si>
    <t>(896/18)</t>
  </si>
  <si>
    <t>2639</t>
  </si>
  <si>
    <t>AWS ELB ALB Target Groups: [{#AWS.ELB.TARGET.GROUP.NAME}]: HTTP Code Target Group</t>
  </si>
  <si>
    <t>AWS ELB ALB 目标组: [{#AWS.ELB.TARGET.GROUP.NAME}]: HTTP 代码目标组</t>
  </si>
  <si>
    <t>(896/19)</t>
  </si>
  <si>
    <t>2636</t>
  </si>
  <si>
    <t>AWS ELB ALB Target Groups: [{#AWS.ELB.TARGET.GROUP.NAME}]: Unhealthy Host</t>
  </si>
  <si>
    <t>AWS ELB ALB 目标组: [{#AWS.ELB.TARGET.GROUP.NAME}]: 不健康主机</t>
  </si>
  <si>
    <t>(896/20)</t>
  </si>
  <si>
    <t>2637</t>
  </si>
  <si>
    <t>AWS ELB ALB Target Groups: [{#AWS.ELB.TARGET.GROUP.NAME}]: Unhealthy State DNS</t>
  </si>
  <si>
    <t>AWS ELB ALB 目标组: [{#AWS.ELB.TARGET.GROUP.NAME}]: 不健康状态 DNS</t>
  </si>
  <si>
    <t>(896/21)</t>
  </si>
  <si>
    <t>2638</t>
  </si>
  <si>
    <t>AWS ELB ALB Target Groups: [{#AWS.ELB.TARGET.GROUP.NAME}]: Unhealthy State Routing</t>
  </si>
  <si>
    <t>AWS ELB ALB 目标组: [{#AWS.ELB.TARGET.GROUP.NAME}]: 不健康状态路由</t>
  </si>
  <si>
    <t>(896/22)</t>
  </si>
  <si>
    <t>AWS ELB Network Load Balancer by HTTP</t>
  </si>
  <si>
    <t>2744</t>
  </si>
  <si>
    <t>AWS ELB NLB Target Groups: [{#AWS.ELB.TARGET.GROUP.NAME}]: Healthy Host</t>
  </si>
  <si>
    <t>AWS ELB NLB目标组: [{#AWS.ELB.TARGET.GROUP.NAME}]: 健康主机</t>
  </si>
  <si>
    <t>(896/23)</t>
  </si>
  <si>
    <t>2745</t>
  </si>
  <si>
    <t>AWS ELB NLB Target Groups: [{#AWS.ELB.TARGET.GROUP.NAME}]: Unhealthy Host</t>
  </si>
  <si>
    <t>AWS ELB NLB目标组: [{#AWS.ELB.TARGET.GROUP.NAME}]: 非健康主机</t>
  </si>
  <si>
    <t>(896/24)</t>
  </si>
  <si>
    <t>AWS RDS instance by HTTP</t>
  </si>
  <si>
    <t>2420</t>
  </si>
  <si>
    <t>AWS RDS: [{#SINGLETON}]DML/DDL Latency</t>
  </si>
  <si>
    <t>AWS RDS: [{#SINGLETON}]DML/DDL延迟</t>
  </si>
  <si>
    <t>(896/25)</t>
  </si>
  <si>
    <t>2421</t>
  </si>
  <si>
    <t>AWS RDS: [{#SINGLETON}]DML/DDL Throughput</t>
  </si>
  <si>
    <t>AWS RDS: [{#SINGLETON}]DML/DDL吞吐量</t>
  </si>
  <si>
    <t>(896/26)</t>
  </si>
  <si>
    <t>2418</t>
  </si>
  <si>
    <t>AWS RDS: [{#SINGLETON}]Operations Latency (commit/select)</t>
  </si>
  <si>
    <t>AWS RDS: [{#SINGLETON}]操作延迟(commit/select)</t>
  </si>
  <si>
    <t>(896/27)</t>
  </si>
  <si>
    <t>2419</t>
  </si>
  <si>
    <t>AWS RDS: [{#SINGLETON}]Operations Throughput (commit/select)</t>
  </si>
  <si>
    <t>AWS RDS: [{#SINGLETON}]操作吞吐量(commit/select)</t>
  </si>
  <si>
    <t>(896/28)</t>
  </si>
  <si>
    <t>2422</t>
  </si>
  <si>
    <t>AWS RDS: [{#SINGLETON}]Operations Latency (insert/delete/update)</t>
  </si>
  <si>
    <t>AWS RDS: [{#SINGLETON}]操作延时(insert/delete/update)</t>
  </si>
  <si>
    <t>(896/29)</t>
  </si>
  <si>
    <t>2423</t>
  </si>
  <si>
    <t>AWS RDS: [{#SINGLETON}]Operations Throughput(insert/delete/update)</t>
  </si>
  <si>
    <t>AWS RDS: [{#SINGLETON}]操作吞吐量(insert/delete/update)</t>
  </si>
  <si>
    <t>(896/30)</t>
  </si>
  <si>
    <t>Acronis Cyber Protect Cloud MSP by HTTP</t>
  </si>
  <si>
    <t>2557</t>
  </si>
  <si>
    <t>Device [{#NAME}]:[{#ID}]: CyberFit score</t>
  </si>
  <si>
    <t>设备[{#NAME}]: [{#ID}]: CyberFit得分</t>
  </si>
  <si>
    <t>(896/31)</t>
  </si>
  <si>
    <t>Alcatel Timetra TiMOS by SNMP</t>
  </si>
  <si>
    <t>2123</t>
  </si>
  <si>
    <t>(896/32)</t>
  </si>
  <si>
    <t>Apache ActiveMQ by JMX</t>
  </si>
  <si>
    <t>(896/33)</t>
  </si>
  <si>
    <t>(896/34)</t>
  </si>
  <si>
    <t>(896/35)</t>
  </si>
  <si>
    <t>(896/36)</t>
  </si>
  <si>
    <t>(896/37)</t>
  </si>
  <si>
    <t>(896/38)</t>
  </si>
  <si>
    <t>Apache Cassandra by JMX</t>
  </si>
  <si>
    <t>1447</t>
  </si>
  <si>
    <t>(896/39)</t>
  </si>
  <si>
    <t>1448</t>
  </si>
  <si>
    <t>(896/40)</t>
  </si>
  <si>
    <t>Apache Tomcat by JMX</t>
  </si>
  <si>
    <t>1428</t>
  </si>
  <si>
    <t>(896/41)</t>
  </si>
  <si>
    <t>1427</t>
  </si>
  <si>
    <t>(896/42)</t>
  </si>
  <si>
    <t>1429</t>
  </si>
  <si>
    <t>(896/43)</t>
  </si>
  <si>
    <t>Apache by HTTP</t>
  </si>
  <si>
    <t>(896/44)</t>
  </si>
  <si>
    <t>(896/45)</t>
  </si>
  <si>
    <t>Apache by Zabbix agent</t>
  </si>
  <si>
    <t>(896/46)</t>
  </si>
  <si>
    <t>(896/47)</t>
  </si>
  <si>
    <t>Arista by SNMP</t>
  </si>
  <si>
    <t>2124</t>
  </si>
  <si>
    <t>(896/48)</t>
  </si>
  <si>
    <t>2125</t>
  </si>
  <si>
    <t>(896/49)</t>
  </si>
  <si>
    <t>2126</t>
  </si>
  <si>
    <t>(896/50)</t>
  </si>
  <si>
    <t>Azure Cost Management by HTTP</t>
  </si>
  <si>
    <t>2607</t>
  </si>
  <si>
    <t>Daily Cost: "{#AZURE.SERVICE.NAME}","{#AZURE.BILLING.METER}","{#AZURE.BILLING.METER.SUBCATEGORY}","{#AZURE.RESOURCE.GROUP}"</t>
  </si>
  <si>
    <t>日常费用: {#AZURE.SERVICE.NAME},{#AZURE.BILLING.METER},{#AZURE.BILLING.METER.SUBCATEGORY},{#AZURE.RESOURCE.GROUP}</t>
  </si>
  <si>
    <t>(896/51)</t>
  </si>
  <si>
    <t>2608</t>
  </si>
  <si>
    <t>Azure Cost: Month ["{#AZURE.BILLING.MONTH}"] cost</t>
  </si>
  <si>
    <t>Azure费用: 月份[{#AZURE.BILLING.MONTH}]的费用</t>
  </si>
  <si>
    <t>(896/52)</t>
  </si>
  <si>
    <t>2609</t>
  </si>
  <si>
    <t>Azure Cost: ["{#AZURE.RESOURCE.LOCATION}"]: Month ["{#AZURE.BILLING.MONTH}"] cost</t>
  </si>
  <si>
    <t>Azure费用: [{#AZURE.RESOURCE.LOCATION}]: 月份[{#AZURE.BILLING.MONTH}]的费用</t>
  </si>
  <si>
    <t>(896/53)</t>
  </si>
  <si>
    <t>2610</t>
  </si>
  <si>
    <t>Azure Cost: ["{#AZURE.RESOURCE.GROUP}"]: Month ["{#AZURE.BILLING.MONTH}"] cost</t>
  </si>
  <si>
    <t>Azure费用: [{#AZURE.RESOURCE.GROUP}]: 月份[{#AZURE.BILLING.MONTH}]的费用</t>
  </si>
  <si>
    <t>(896/54)</t>
  </si>
  <si>
    <t>2611</t>
  </si>
  <si>
    <t>Azure Cost: ["{#AZURE.SERVICE.NAME}"]: Month ["{#AZURE.BILLING.MONTH}"] cost</t>
  </si>
  <si>
    <t>Azure费用: [{#AZURE.SERVICE.NAME}]: 月份[{#AZURE.BILLING.MONTH}]的费用</t>
  </si>
  <si>
    <t>(896/55)</t>
  </si>
  <si>
    <t>Azure by HTTP</t>
  </si>
  <si>
    <t>2471</t>
  </si>
  <si>
    <t>Azure: Capacity by storage [{#NAME}]</t>
  </si>
  <si>
    <t>Azure: 按存储[{#NAME}]分类的容量</t>
  </si>
  <si>
    <t>(896/56)</t>
  </si>
  <si>
    <t>2605</t>
  </si>
  <si>
    <t>Azure: Storage account [{#NAME}] egress</t>
  </si>
  <si>
    <t>Azure: 存储账户[{#NAME}]出站</t>
  </si>
  <si>
    <t>(896/57)</t>
  </si>
  <si>
    <t>2606</t>
  </si>
  <si>
    <t>Azure: Storage account [{#NAME}] ingress</t>
  </si>
  <si>
    <t>Azure: 存储账户[{#NAME}]入站</t>
  </si>
  <si>
    <t>(896/58)</t>
  </si>
  <si>
    <t>2472</t>
  </si>
  <si>
    <t>Azure: Transactions by storage [{#NAME}]</t>
  </si>
  <si>
    <t>Azure: 按存储[{#NAME}]分类的事务</t>
  </si>
  <si>
    <t>(896/59)</t>
  </si>
  <si>
    <t>Brocade FC by SNMP</t>
  </si>
  <si>
    <t>2128</t>
  </si>
  <si>
    <t>(896/60)</t>
  </si>
  <si>
    <t>Brocade_Foundry Nonstackable by SNMP</t>
  </si>
  <si>
    <t>2129</t>
  </si>
  <si>
    <t>(896/61)</t>
  </si>
  <si>
    <t>Brocade_Foundry Stackable by SNMP</t>
  </si>
  <si>
    <t>2130</t>
  </si>
  <si>
    <t>(896/62)</t>
  </si>
  <si>
    <t>Ceph by Zabbix agent 2</t>
  </si>
  <si>
    <t>(896/63)</t>
  </si>
  <si>
    <t>(896/64)</t>
  </si>
  <si>
    <t>(896/65)</t>
  </si>
  <si>
    <t>(896/66)</t>
  </si>
  <si>
    <t>Chassis by IPMI</t>
  </si>
  <si>
    <t>(896/67)</t>
  </si>
  <si>
    <t>Check Point Next Generation Firewall by SNMP</t>
  </si>
  <si>
    <t>2668</t>
  </si>
  <si>
    <t>Check Point Firewall: Processed packets{#SINGLETON}</t>
  </si>
  <si>
    <t>Check Point 防火墙: 已处理的数据包{#SINGLETON}</t>
  </si>
  <si>
    <t>(896/68)</t>
  </si>
  <si>
    <t>2667</t>
  </si>
  <si>
    <t>Check Point Firewall: Concurrent connections{#SINGLETON}</t>
  </si>
  <si>
    <t>Check Point 防火墙: 并发连接数{#SINGLETON}</t>
  </si>
  <si>
    <t>(896/69)</t>
  </si>
  <si>
    <t>2665</t>
  </si>
  <si>
    <t>CPU Core {#CPU.ID}: CPU usage</t>
  </si>
  <si>
    <t>CPU 核心 {#CPU.ID}: CPU 使用率</t>
  </si>
  <si>
    <t>(896/70)</t>
  </si>
  <si>
    <t>2666</t>
  </si>
  <si>
    <t>FAN {#SNMPINDEX}: Fan speed</t>
  </si>
  <si>
    <t>风扇 {#SNMPINDEX}: 风扇速度</t>
  </si>
  <si>
    <t>(896/71)</t>
  </si>
  <si>
    <t>2669</t>
  </si>
  <si>
    <t>(896/72)</t>
  </si>
  <si>
    <t>2671</t>
  </si>
  <si>
    <t>{#DISK.NAME}: Disk usage</t>
  </si>
  <si>
    <t>{#DISK.NAME}: 磁盘使用情况</t>
  </si>
  <si>
    <t>(896/73)</t>
  </si>
  <si>
    <t>2670</t>
  </si>
  <si>
    <t>{#SENSOR.NAME}: Temperature</t>
  </si>
  <si>
    <t>{#SENSOR.NAME}: 温度</t>
  </si>
  <si>
    <t>(896/74)</t>
  </si>
  <si>
    <t>2672</t>
  </si>
  <si>
    <t>{#SENSOR.NAME}: Voltage</t>
  </si>
  <si>
    <t>{#SENSOR.NAME}: 电压</t>
  </si>
  <si>
    <t>(896/75)</t>
  </si>
  <si>
    <t>Cisco ASAv by SNMP</t>
  </si>
  <si>
    <t>(896/76)</t>
  </si>
  <si>
    <t>(896/77)</t>
  </si>
  <si>
    <t>(896/78)</t>
  </si>
  <si>
    <t>1680</t>
  </si>
  <si>
    <t>(896/79)</t>
  </si>
  <si>
    <t>(896/80)</t>
  </si>
  <si>
    <t>(896/81)</t>
  </si>
  <si>
    <t>Cisco CISCO-MEMORY-POOL-MIB by SNMP</t>
  </si>
  <si>
    <t>(896/82)</t>
  </si>
  <si>
    <t>Cisco CISCO-PROCESS-MIB IOS versions 12.0_3_T-12.2_3.5 by SNMP</t>
  </si>
  <si>
    <t>(896/83)</t>
  </si>
  <si>
    <t>Cisco CISCO-PROCESS-MIB by SNMP</t>
  </si>
  <si>
    <t>(896/84)</t>
  </si>
  <si>
    <t>Cisco Catalyst 3750V2-24FS by SNMP</t>
  </si>
  <si>
    <t>1549</t>
  </si>
  <si>
    <t>(896/85)</t>
  </si>
  <si>
    <t>1551</t>
  </si>
  <si>
    <t>(896/86)</t>
  </si>
  <si>
    <t>1550</t>
  </si>
  <si>
    <t>(896/87)</t>
  </si>
  <si>
    <t>Cisco Catalyst 3750V2-24PS by SNMP</t>
  </si>
  <si>
    <t>1552</t>
  </si>
  <si>
    <t>(896/88)</t>
  </si>
  <si>
    <t>1554</t>
  </si>
  <si>
    <t>(896/89)</t>
  </si>
  <si>
    <t>1553</t>
  </si>
  <si>
    <t>(896/90)</t>
  </si>
  <si>
    <t>Cisco Catalyst 3750V2-24TS by SNMP</t>
  </si>
  <si>
    <t>1555</t>
  </si>
  <si>
    <t>(896/91)</t>
  </si>
  <si>
    <t>1557</t>
  </si>
  <si>
    <t>(896/92)</t>
  </si>
  <si>
    <t>1556</t>
  </si>
  <si>
    <t>(896/93)</t>
  </si>
  <si>
    <t>Cisco Catalyst 3750V2-48PS by SNMP</t>
  </si>
  <si>
    <t>1558</t>
  </si>
  <si>
    <t>(896/94)</t>
  </si>
  <si>
    <t>1560</t>
  </si>
  <si>
    <t>(896/95)</t>
  </si>
  <si>
    <t>1559</t>
  </si>
  <si>
    <t>(896/96)</t>
  </si>
  <si>
    <t>Cisco Catalyst 3750V2-48TS by SNMP</t>
  </si>
  <si>
    <t>1561</t>
  </si>
  <si>
    <t>(896/97)</t>
  </si>
  <si>
    <t>1563</t>
  </si>
  <si>
    <t>(896/98)</t>
  </si>
  <si>
    <t>1562</t>
  </si>
  <si>
    <t>(896/99)</t>
  </si>
  <si>
    <t>Cisco IOS by SNMP</t>
  </si>
  <si>
    <t>2136</t>
  </si>
  <si>
    <t>(896/100)</t>
  </si>
  <si>
    <t>2138</t>
  </si>
  <si>
    <t>(896/101)</t>
  </si>
  <si>
    <t>2137</t>
  </si>
  <si>
    <t>(896/102)</t>
  </si>
  <si>
    <t>Cisco IOS prior to 12.0_3_T by SNMP</t>
  </si>
  <si>
    <t>2135</t>
  </si>
  <si>
    <t>(896/103)</t>
  </si>
  <si>
    <t>Cisco IOS versions 12.0_3_T-12.2_3.5 by SNMP</t>
  </si>
  <si>
    <t>2141</t>
  </si>
  <si>
    <t>(896/104)</t>
  </si>
  <si>
    <t>2139</t>
  </si>
  <si>
    <t>(896/105)</t>
  </si>
  <si>
    <t>2140</t>
  </si>
  <si>
    <t>(896/106)</t>
  </si>
  <si>
    <t>Cisco Meraki device by HTTP</t>
  </si>
  <si>
    <t>2406</t>
  </si>
  <si>
    <t>Uplink [{#IP}]: [{#UPLINK}]: Latency</t>
  </si>
  <si>
    <t>上行链路[{#IP}]: [{#UPLINK}]: 延迟</t>
  </si>
  <si>
    <t>(896/107)</t>
  </si>
  <si>
    <t>2407</t>
  </si>
  <si>
    <t>Uplink [{#IP}]: [{#UPLINK}]: Loss</t>
  </si>
  <si>
    <t>上行链路[{#IP}]: [{#UPLINK}]: 丢失</t>
  </si>
  <si>
    <t>(896/108)</t>
  </si>
  <si>
    <t>Cisco Meraki organization by HTTP</t>
  </si>
  <si>
    <t>2599</t>
  </si>
  <si>
    <t>Meraki: license [{#LICENSE.ID}] date</t>
  </si>
  <si>
    <t>Meraki: 许可证[{#LICENSE.ID}]日期</t>
  </si>
  <si>
    <t>(896/109)</t>
  </si>
  <si>
    <t>2408</t>
  </si>
  <si>
    <t>VPN [{#NETWORK.NAME}][{#SENDER.UPLINK}]=&gt;[{#PEER.NETWORK.NAME}][{#RECEIVER.UPLINK}]: jitter</t>
  </si>
  <si>
    <t>VPN[{#NETWORK.NAME}][{#SENDER.UPLINK}]=&gt;[{#PEER.NETWORK.NAME}]][{#RECEIVER.UPLINK}]: 抖动</t>
  </si>
  <si>
    <t>(896/110)</t>
  </si>
  <si>
    <t>2409</t>
  </si>
  <si>
    <t>VPN [{#NETWORK.NAME}][{#SENDER.UPLINK}]=&gt;[{#PEER.NETWORK.NAME}][{#RECEIVER.UPLINK}]: latency</t>
  </si>
  <si>
    <t>VPN[{#NETWORK.NAME}][{#SENDER.UPLINK}]=&gt;[{#PEER.NETWORK.NAME}]][{#RECEIVER.UPLINK}]: 延迟</t>
  </si>
  <si>
    <t>(896/111)</t>
  </si>
  <si>
    <t>2410</t>
  </si>
  <si>
    <t>VPN [{#NETWORK.NAME}][{#SENDER.UPLINK}]=&gt;[{#PEER.NETWORK.NAME}][{#RECEIVER.UPLINK}]: loss</t>
  </si>
  <si>
    <t>VPN[{#NETWORK.NAME}][{#SENDER.UPLINK}]=&gt;[{#PEER.NETWORK.NAME}]][{#RECEIVER.UPLINK}]: 丢失</t>
  </si>
  <si>
    <t>(896/112)</t>
  </si>
  <si>
    <t>Cisco Nexus 9000 Series by SNMP</t>
  </si>
  <si>
    <t>2467</t>
  </si>
  <si>
    <t>(896/113)</t>
  </si>
  <si>
    <t>2469</t>
  </si>
  <si>
    <t>(896/114)</t>
  </si>
  <si>
    <t>2468</t>
  </si>
  <si>
    <t>(896/115)</t>
  </si>
  <si>
    <t>2470</t>
  </si>
  <si>
    <t>{#SNMPVALUE}: Temperature</t>
  </si>
  <si>
    <t>{#SNMPVALUE}: 温度</t>
  </si>
  <si>
    <t>(896/116)</t>
  </si>
  <si>
    <t>Cisco SD-WAN device by HTTP</t>
  </si>
  <si>
    <t>2549</t>
  </si>
  <si>
    <t>Interface ["{#IFNAME}"]: Network traffic</t>
  </si>
  <si>
    <t>接口["{#IFNAME}"]: 网络流量</t>
  </si>
  <si>
    <t>(896/117)</t>
  </si>
  <si>
    <t>2550</t>
  </si>
  <si>
    <t>Route [{#LOCAL} =&gt; {#REMOTE}]: Route statistic</t>
  </si>
  <si>
    <t>路线[{#LOCAL}=&gt;{#REMOTE}]: 路线统计</t>
  </si>
  <si>
    <t>(896/118)</t>
  </si>
  <si>
    <t>2548</t>
  </si>
  <si>
    <t>["{#FSNAME}"]: Disk space usage</t>
  </si>
  <si>
    <t>["{#FSNAME}"]: 磁盘空间使用率</t>
  </si>
  <si>
    <t>(896/119)</t>
  </si>
  <si>
    <t>Cisco UCS Manager by SNMP</t>
  </si>
  <si>
    <t>(896/120)</t>
  </si>
  <si>
    <t>ClickHouse by HTTP</t>
  </si>
  <si>
    <t>(896/121)</t>
  </si>
  <si>
    <t>(896/122)</t>
  </si>
  <si>
    <t>CockroachDB by HTTP</t>
  </si>
  <si>
    <t>2339</t>
  </si>
  <si>
    <t>CockroachDB: Storage [{#STORE}]: Bytes</t>
  </si>
  <si>
    <t>CockroachDB: 存储[{#STORE}]: 字节</t>
  </si>
  <si>
    <t>(896/123)</t>
  </si>
  <si>
    <t>2340</t>
  </si>
  <si>
    <t>CockroachDB: Storage [{#STORE}]: Capacity</t>
  </si>
  <si>
    <t>CockroachDB: 存储[{#STORE}]: 容量</t>
  </si>
  <si>
    <t>(896/124)</t>
  </si>
  <si>
    <t>2341</t>
  </si>
  <si>
    <t>CockroachDB: Storage [{#STORE}]: Queue processing failures</t>
  </si>
  <si>
    <t>CockroachDB: 存储[{#STORE}]: 队列处理失败</t>
  </si>
  <si>
    <t>(896/125)</t>
  </si>
  <si>
    <t>2342</t>
  </si>
  <si>
    <t>CockroachDB: Storage [{#STORE}]: Ranges</t>
  </si>
  <si>
    <t>CockroachDB: 存储[{#STORE}]: 范围</t>
  </si>
  <si>
    <t>(896/126)</t>
  </si>
  <si>
    <t>2343</t>
  </si>
  <si>
    <t>CockroachDB: Storage [{#STORE}]: Replica quiescence</t>
  </si>
  <si>
    <t>CockroachDB: 存储[{#STORE}]: 副本静止</t>
  </si>
  <si>
    <t>(896/127)</t>
  </si>
  <si>
    <t>Control-M enterprise manager by HTTP</t>
  </si>
  <si>
    <t>2461</t>
  </si>
  <si>
    <t>Service [{#SERVICE.NAME}, {#SERVICE.JOB}]: jobs statuses</t>
  </si>
  <si>
    <t>服务[{#SERVICE.NAME},{#SERVICE.JOB}]: 任务状态</t>
  </si>
  <si>
    <t>(896/128)</t>
  </si>
  <si>
    <t>D-Link DES 7200 by SNMP</t>
  </si>
  <si>
    <t>2144</t>
  </si>
  <si>
    <t>(896/129)</t>
  </si>
  <si>
    <t>(896/130)</t>
  </si>
  <si>
    <t>D-Link DES_DGS Switch by SNMP</t>
  </si>
  <si>
    <t>(896/131)</t>
  </si>
  <si>
    <t>2145</t>
  </si>
  <si>
    <t>(896/132)</t>
  </si>
  <si>
    <t>Dell Force S-Series by SNMP</t>
  </si>
  <si>
    <t>(896/133)</t>
  </si>
  <si>
    <t>(896/134)</t>
  </si>
  <si>
    <t>2143</t>
  </si>
  <si>
    <t>(896/135)</t>
  </si>
  <si>
    <t>Docker by Zabbix agent 2</t>
  </si>
  <si>
    <t>(896/136)</t>
  </si>
  <si>
    <t>(896/137)</t>
  </si>
  <si>
    <t>(896/138)</t>
  </si>
  <si>
    <t>(896/139)</t>
  </si>
  <si>
    <t>Elasticsearch Cluster by HTTP</t>
  </si>
  <si>
    <t>(896/140)</t>
  </si>
  <si>
    <t>(896/141)</t>
  </si>
  <si>
    <t>(896/142)</t>
  </si>
  <si>
    <t>(896/143)</t>
  </si>
  <si>
    <t>(896/144)</t>
  </si>
  <si>
    <t>Envoy Proxy by HTTP</t>
  </si>
  <si>
    <t>2329</t>
  </si>
  <si>
    <t>Envoy Proxy: [{#CLUSTER_NAME}] HTTP requests</t>
  </si>
  <si>
    <t>Envoy Proxy: [{#CLUSTER_NAME}]HTTP请求</t>
  </si>
  <si>
    <t>(896/145)</t>
  </si>
  <si>
    <t>2330</t>
  </si>
  <si>
    <t>Envoy Proxy: [{#CLUSTER_NAME}] Upstream traffic</t>
  </si>
  <si>
    <t>Envoy Proxy: [{#CLUSTER_NAME}]上游流量</t>
  </si>
  <si>
    <t>(896/146)</t>
  </si>
  <si>
    <t>2331</t>
  </si>
  <si>
    <t>Envoy Proxy: [{#CLUSTER_NAME}] Downstream traffic</t>
  </si>
  <si>
    <t>Envoy Proxy: [{#CLUSTER_NAME}]下游流量</t>
  </si>
  <si>
    <t>(896/147)</t>
  </si>
  <si>
    <t>Extreme EXOS by SNMP</t>
  </si>
  <si>
    <t>(896/148)</t>
  </si>
  <si>
    <t>(896/149)</t>
  </si>
  <si>
    <t>2146</t>
  </si>
  <si>
    <t>(896/150)</t>
  </si>
  <si>
    <t>F5 Big-IP by SNMP</t>
  </si>
  <si>
    <t>(896/151)</t>
  </si>
  <si>
    <t>(896/152)</t>
  </si>
  <si>
    <t>(896/153)</t>
  </si>
  <si>
    <t>(896/154)</t>
  </si>
  <si>
    <t>(896/155)</t>
  </si>
  <si>
    <t>(896/156)</t>
  </si>
  <si>
    <t>(896/157)</t>
  </si>
  <si>
    <t>(896/158)</t>
  </si>
  <si>
    <t>(896/159)</t>
  </si>
  <si>
    <t>(896/160)</t>
  </si>
  <si>
    <t>(896/161)</t>
  </si>
  <si>
    <t>(896/162)</t>
  </si>
  <si>
    <t>(896/163)</t>
  </si>
  <si>
    <t>(896/164)</t>
  </si>
  <si>
    <t>(896/165)</t>
  </si>
  <si>
    <t>(896/166)</t>
  </si>
  <si>
    <t>(896/167)</t>
  </si>
  <si>
    <t>(896/168)</t>
  </si>
  <si>
    <t>FortiGate by HTTP</t>
  </si>
  <si>
    <t>2582</t>
  </si>
  <si>
    <t>FW Policy [{#FWNAME}]: Active sessions</t>
  </si>
  <si>
    <t>防火墙策略[{#FWNAME}]: 活动会话</t>
  </si>
  <si>
    <t>(896/169)</t>
  </si>
  <si>
    <t>2584</t>
  </si>
  <si>
    <t>FW Policy [{#FWNAME}]: Policy processing</t>
  </si>
  <si>
    <t>防火墙策略[{#FWNAME}]: 策略处理</t>
  </si>
  <si>
    <t>(896/170)</t>
  </si>
  <si>
    <t>2583</t>
  </si>
  <si>
    <t>FW Policy [{#FWNAME}]: Hits into the policy</t>
  </si>
  <si>
    <t>防火墙策略[{#FWNAME}]: 命中策略</t>
  </si>
  <si>
    <t>(896/171)</t>
  </si>
  <si>
    <t>2585</t>
  </si>
  <si>
    <t>Interface [{#IFNAME}({#IFALIAS})]: Network traffic</t>
  </si>
  <si>
    <t>接口[{#IFNAME}({#IFALIAS})]: 网络流量</t>
  </si>
  <si>
    <t>(896/172)</t>
  </si>
  <si>
    <t>2587</t>
  </si>
  <si>
    <t>SD-WAN [{#NAME}]:[{#IFNAME}]: Performance</t>
  </si>
  <si>
    <t>SD-WAN [{#NAME}]: [{#IFNAME}]: 性能</t>
  </si>
  <si>
    <t>(896/173)</t>
  </si>
  <si>
    <t>2586</t>
  </si>
  <si>
    <t>SD-WAN [{#NAME}]:[{#IFNAME}]: Packets statistics</t>
  </si>
  <si>
    <t>SD-WAN [{#NAME}]: [{#IFNAME}]: 数据包统计</t>
  </si>
  <si>
    <t>(896/174)</t>
  </si>
  <si>
    <t>2589</t>
  </si>
  <si>
    <t>SD-WAN [{#ZONE}]:[{#NAME}]: Network traffic</t>
  </si>
  <si>
    <t>SD-WAN [{#ZONE}]: [{#NAME}]: 网络流量</t>
  </si>
  <si>
    <t>(896/175)</t>
  </si>
  <si>
    <t>2588</t>
  </si>
  <si>
    <t>SD-WAN [{#ZONE}]:[{#NAME}]: Bandwidth</t>
  </si>
  <si>
    <t>SD-WAN [{#ZONE}]: [{#NAME}]: 带宽</t>
  </si>
  <si>
    <t>(896/176)</t>
  </si>
  <si>
    <t>FortiGate by SNMP</t>
  </si>
  <si>
    <t>2730</t>
  </si>
  <si>
    <t>CPU Core {#CPU.ID}: Average usage per core</t>
  </si>
  <si>
    <t>CPU 核心{#CPU.ID}: 每个核心的平均使用率</t>
  </si>
  <si>
    <t>(896/177)</t>
  </si>
  <si>
    <t>2733</t>
  </si>
  <si>
    <t>HA {#HA.ID}: HA events</t>
  </si>
  <si>
    <t>HA{#HA.ID}: HA 事件</t>
  </si>
  <si>
    <t>(896/178)</t>
  </si>
  <si>
    <t>2731</t>
  </si>
  <si>
    <t>HA {#HA.ID}: Bytes processed</t>
  </si>
  <si>
    <t>HA{#HA.ID}: 已处理的字节数</t>
  </si>
  <si>
    <t>(896/179)</t>
  </si>
  <si>
    <t>2732</t>
  </si>
  <si>
    <t>HA {#HA.ID}: CPU usage</t>
  </si>
  <si>
    <t>HA{#HA.ID}: CPU 使用率</t>
  </si>
  <si>
    <t>(896/180)</t>
  </si>
  <si>
    <t>2734</t>
  </si>
  <si>
    <t>HA {#HA.ID}: Memory usage</t>
  </si>
  <si>
    <t>HA{#HA.ID}: 内存使用率</t>
  </si>
  <si>
    <t>(896/181)</t>
  </si>
  <si>
    <t>2735</t>
  </si>
  <si>
    <t>HA {#HA.ID}: Network bandwidth usage</t>
  </si>
  <si>
    <t>HA{#HA.ID}: 网络带宽使用率</t>
  </si>
  <si>
    <t>(896/182)</t>
  </si>
  <si>
    <t>2736</t>
  </si>
  <si>
    <t>HA {#HA.ID}: Packets processed</t>
  </si>
  <si>
    <t>HA{#HA.ID}: 已处理的数据包数</t>
  </si>
  <si>
    <t>(896/183)</t>
  </si>
  <si>
    <t>2594</t>
  </si>
  <si>
    <t>(896/184)</t>
  </si>
  <si>
    <t>2738</t>
  </si>
  <si>
    <t>SD-WAN [{#HNAME}]:[{#IFNAME}]: Performance</t>
  </si>
  <si>
    <t>SD-WAN [{#HNAME}]: [{#IFNAME}]: 性能</t>
  </si>
  <si>
    <t>(896/185)</t>
  </si>
  <si>
    <t>2737</t>
  </si>
  <si>
    <t>SD-WAN [{#HNAME}]:[{#IFNAME}]: Packets statistics</t>
  </si>
  <si>
    <t>SD-WAN [{#HNAME}]: [{#IFNAME}]: 数据包统计</t>
  </si>
  <si>
    <t>(896/186)</t>
  </si>
  <si>
    <t>2739</t>
  </si>
  <si>
    <t>SoC3 {#CPU.ID}: Packets flow</t>
  </si>
  <si>
    <t>SoC3{#CPU.ID}: 数据包流量</t>
  </si>
  <si>
    <t>(896/187)</t>
  </si>
  <si>
    <t>2741</t>
  </si>
  <si>
    <t>WTP {#WC.NAME}: Network traffic</t>
  </si>
  <si>
    <t>WTP{#WC.NAME}: 网络流量</t>
  </si>
  <si>
    <t>(896/188)</t>
  </si>
  <si>
    <t>2740</t>
  </si>
  <si>
    <t>WTP {#WC.NAME}: Clients</t>
  </si>
  <si>
    <t>WTP{#WC.NAME}: 客户端</t>
  </si>
  <si>
    <t>(896/189)</t>
  </si>
  <si>
    <t>2742</t>
  </si>
  <si>
    <t>WTP {#WC.NAME}: Performance</t>
  </si>
  <si>
    <t>WTP{#WC.NAME}: 性能</t>
  </si>
  <si>
    <t>(896/190)</t>
  </si>
  <si>
    <t>FreeBSD by Zabbix agent</t>
  </si>
  <si>
    <t>(896/191)</t>
  </si>
  <si>
    <t>(896/192)</t>
  </si>
  <si>
    <t>GCP Cloud SQL PostgreSQL by HTTP</t>
  </si>
  <si>
    <t>2483</t>
  </si>
  <si>
    <t>GCP Cloud SQL PostgreSQL: Database [{#PGSQL.DB.NAME}]: Tuples</t>
  </si>
  <si>
    <t>GCP Cloud SQL PostgreSQL: 数据库[{#PGSQL.DB.NAME}]: 元组</t>
  </si>
  <si>
    <t>(896/193)</t>
  </si>
  <si>
    <t>GCP Compute Engine Instance by HTTP</t>
  </si>
  <si>
    <t>2484</t>
  </si>
  <si>
    <t>GCP Compute Engine: Disk [{#GCE.DISK.NAME}]: Read/Write bytes</t>
  </si>
  <si>
    <t>GCP Compute Engine: 磁盘[{#GCE.DISK.NAME}]: 读/写字节</t>
  </si>
  <si>
    <t>(896/194)</t>
  </si>
  <si>
    <t>2485</t>
  </si>
  <si>
    <t>GCP Compute Engine: Disk [{#GCE.DISK.NAME}]: Read/Write operations</t>
  </si>
  <si>
    <t>GCP Compute Engine: 磁盘[{#GCE.DISK.NAME}]: 读/写操作</t>
  </si>
  <si>
    <t>(896/195)</t>
  </si>
  <si>
    <t>GCP by HTTP</t>
  </si>
  <si>
    <t>2482</t>
  </si>
  <si>
    <t>GCP Compute Engine: Quota [{#GCE.QUOTA.NAME}]: Usage</t>
  </si>
  <si>
    <t>GCP Compute Engine: 配额[{#GCE.QUOTA.NAME}]: 使用率</t>
  </si>
  <si>
    <t>(896/196)</t>
  </si>
  <si>
    <t>Generic Java JMX</t>
  </si>
  <si>
    <t>2287</t>
  </si>
  <si>
    <t>GarbageCollector: Garbage Collector {#JMXNAME} collections per second</t>
  </si>
  <si>
    <t>GarbageCollector: 每秒回收站{#JMXNAME}个集合</t>
  </si>
  <si>
    <t>(896/197)</t>
  </si>
  <si>
    <t>2288</t>
  </si>
  <si>
    <t>Memory pool: Memory pool {#JMXNAME}</t>
  </si>
  <si>
    <t>Memory pool: 内存池{#JMXNAME}</t>
  </si>
  <si>
    <t>(896/198)</t>
  </si>
  <si>
    <t>GitHub repository by HTTP</t>
  </si>
  <si>
    <t>2867</t>
  </si>
  <si>
    <t>GitHub: Branch [{#BRANCH_NAME}]: Number of commits</t>
  </si>
  <si>
    <t>GitHub: 分支 [{#BRANCH_NAME}]: 提交次数</t>
  </si>
  <si>
    <t>(896/199)</t>
  </si>
  <si>
    <t>2868</t>
  </si>
  <si>
    <t>GitHub: Health percentage score{#SINGLETON}</t>
  </si>
  <si>
    <t>GitHub: 健康百分比得分{#SINGLETON}</t>
  </si>
  <si>
    <t>(896/200)</t>
  </si>
  <si>
    <t>GridGain by JMX</t>
  </si>
  <si>
    <t>1674</t>
  </si>
  <si>
    <t>(896/201)</t>
  </si>
  <si>
    <t>1673</t>
  </si>
  <si>
    <t>(896/202)</t>
  </si>
  <si>
    <t>1675</t>
  </si>
  <si>
    <t>(896/203)</t>
  </si>
  <si>
    <t>(896/204)</t>
  </si>
  <si>
    <t>(896/205)</t>
  </si>
  <si>
    <t>(896/206)</t>
  </si>
  <si>
    <t>(896/207)</t>
  </si>
  <si>
    <t>(896/208)</t>
  </si>
  <si>
    <t>(896/209)</t>
  </si>
  <si>
    <t>(896/210)</t>
  </si>
  <si>
    <t>(896/211)</t>
  </si>
  <si>
    <t>(896/212)</t>
  </si>
  <si>
    <t>1672</t>
  </si>
  <si>
    <t>(896/213)</t>
  </si>
  <si>
    <t>HAProxy by HTTP</t>
  </si>
  <si>
    <t>1633</t>
  </si>
  <si>
    <t>(896/214)</t>
  </si>
  <si>
    <t>1634</t>
  </si>
  <si>
    <t>(896/215)</t>
  </si>
  <si>
    <t>1081</t>
  </si>
  <si>
    <t>(896/216)</t>
  </si>
  <si>
    <t>1082</t>
  </si>
  <si>
    <t>(896/217)</t>
  </si>
  <si>
    <t>1083</t>
  </si>
  <si>
    <t>(896/218)</t>
  </si>
  <si>
    <t>1085</t>
  </si>
  <si>
    <t>(896/219)</t>
  </si>
  <si>
    <t>1084</t>
  </si>
  <si>
    <t>(896/220)</t>
  </si>
  <si>
    <t>1635</t>
  </si>
  <si>
    <t>(896/221)</t>
  </si>
  <si>
    <t>1636</t>
  </si>
  <si>
    <t>(896/222)</t>
  </si>
  <si>
    <t>1086</t>
  </si>
  <si>
    <t>(896/223)</t>
  </si>
  <si>
    <t>HAProxy by Zabbix agent</t>
  </si>
  <si>
    <t>1629</t>
  </si>
  <si>
    <t>(896/224)</t>
  </si>
  <si>
    <t>1630</t>
  </si>
  <si>
    <t>(896/225)</t>
  </si>
  <si>
    <t>1075</t>
  </si>
  <si>
    <t>(896/226)</t>
  </si>
  <si>
    <t>1076</t>
  </si>
  <si>
    <t>(896/227)</t>
  </si>
  <si>
    <t>1077</t>
  </si>
  <si>
    <t>(896/228)</t>
  </si>
  <si>
    <t>1079</t>
  </si>
  <si>
    <t>(896/229)</t>
  </si>
  <si>
    <t>1078</t>
  </si>
  <si>
    <t>(896/230)</t>
  </si>
  <si>
    <t>1631</t>
  </si>
  <si>
    <t>(896/231)</t>
  </si>
  <si>
    <t>1632</t>
  </si>
  <si>
    <t>(896/232)</t>
  </si>
  <si>
    <t>1080</t>
  </si>
  <si>
    <t>(896/233)</t>
  </si>
  <si>
    <t>HOST-RESOURCES-MIB by SNMP</t>
  </si>
  <si>
    <t>2114</t>
  </si>
  <si>
    <t>(896/234)</t>
  </si>
  <si>
    <t>2115</t>
  </si>
  <si>
    <t>(896/235)</t>
  </si>
  <si>
    <t>HOST-RESOURCES-MIB memory by SNMP</t>
  </si>
  <si>
    <t>(896/236)</t>
  </si>
  <si>
    <t>HOST-RESOURCES-MIB storage by SNMP</t>
  </si>
  <si>
    <t>(896/237)</t>
  </si>
  <si>
    <t>HP Comware HH3C by SNMP</t>
  </si>
  <si>
    <t>2148</t>
  </si>
  <si>
    <t>(896/238)</t>
  </si>
  <si>
    <t>(896/239)</t>
  </si>
  <si>
    <t>(896/240)</t>
  </si>
  <si>
    <t>HP Enterprise Switch by SNMP</t>
  </si>
  <si>
    <t>(896/241)</t>
  </si>
  <si>
    <t>(896/242)</t>
  </si>
  <si>
    <t>2149</t>
  </si>
  <si>
    <t>(896/243)</t>
  </si>
  <si>
    <t>HP-UX by Zabbix agent</t>
  </si>
  <si>
    <t>(896/244)</t>
  </si>
  <si>
    <t>(896/245)</t>
  </si>
  <si>
    <t>HPE MSA 2040 Storage by HTTP</t>
  </si>
  <si>
    <t>2356</t>
  </si>
  <si>
    <t>Controller [{#CONTROLLER.ID}]: Cache usage</t>
  </si>
  <si>
    <t>控制器[{#CONTROLLER.ID}]: 缓存使用率</t>
  </si>
  <si>
    <t>(896/246)</t>
  </si>
  <si>
    <t>2355</t>
  </si>
  <si>
    <t>Controller [{#CONTROLLER.ID}]: Cache: Write utilization</t>
  </si>
  <si>
    <t>控制器[{#CONTROLLER.ID}]: 缓存: 写入利用率</t>
  </si>
  <si>
    <t>(896/247)</t>
  </si>
  <si>
    <t>2357</t>
  </si>
  <si>
    <t>Controller [{#CONTROLLER.ID}]: Controller CPU utilization</t>
  </si>
  <si>
    <t>控制器[{#CONTROLLER.ID}]: 控制器CPU利用率</t>
  </si>
  <si>
    <t>(896/248)</t>
  </si>
  <si>
    <t>2358</t>
  </si>
  <si>
    <t>Controller [{#CONTROLLER.ID}]: Data transfer rate</t>
  </si>
  <si>
    <t>控制器[{#CONTROLLER.ID}]: 数据传输速率</t>
  </si>
  <si>
    <t>(896/249)</t>
  </si>
  <si>
    <t>2359</t>
  </si>
  <si>
    <t>Controller [{#CONTROLLER.ID}]: Disk operations rate</t>
  </si>
  <si>
    <t>控制器[{#CONTROLLER.ID}]: 磁盘操作速率</t>
  </si>
  <si>
    <t>(896/250)</t>
  </si>
  <si>
    <t>2360</t>
  </si>
  <si>
    <t>Disk group [{#NAME}]: Average response time</t>
  </si>
  <si>
    <t>磁盘组[{#NAME}]: 平均响应时间</t>
  </si>
  <si>
    <t>(896/251)</t>
  </si>
  <si>
    <t>2361</t>
  </si>
  <si>
    <t>Disk group [{#NAME}]: Data transfer rate</t>
  </si>
  <si>
    <t>磁盘组[{#NAME}]: 数据传输速率</t>
  </si>
  <si>
    <t>(896/252)</t>
  </si>
  <si>
    <t>2362</t>
  </si>
  <si>
    <t>Disk group [{#NAME}]: Disk operations rate</t>
  </si>
  <si>
    <t>磁盘组[{#NAME}]: 磁盘操作速率</t>
  </si>
  <si>
    <t>(896/253)</t>
  </si>
  <si>
    <t>2363</t>
  </si>
  <si>
    <t>Disk group [{#NAME}]: Space utilization</t>
  </si>
  <si>
    <t>磁盘组[{#NAME}]: 空间利用率</t>
  </si>
  <si>
    <t>(896/254)</t>
  </si>
  <si>
    <t>2364</t>
  </si>
  <si>
    <t>Fan [{#DURABLE.ID}]: Speed</t>
  </si>
  <si>
    <t>风扇[{#DURABLE.ID}]: 速度</t>
  </si>
  <si>
    <t>(896/255)</t>
  </si>
  <si>
    <t>2365</t>
  </si>
  <si>
    <t>Pool [{#NAME}]: Space utilization</t>
  </si>
  <si>
    <t>池[{#NAME}]: 空间利用率</t>
  </si>
  <si>
    <t>(896/256)</t>
  </si>
  <si>
    <t>2366</t>
  </si>
  <si>
    <t>Power supply [{#DURABLE.ID}]: Temperature</t>
  </si>
  <si>
    <t>电源[{#DURABLE.ID}]: 温度</t>
  </si>
  <si>
    <t>(896/257)</t>
  </si>
  <si>
    <t>2367</t>
  </si>
  <si>
    <t>Volume [{#NAME}]: Cache usage</t>
  </si>
  <si>
    <t>卷[{#NAME}]: 缓存使用率</t>
  </si>
  <si>
    <t>(896/258)</t>
  </si>
  <si>
    <t>2368</t>
  </si>
  <si>
    <t>Volume [{#NAME}]: Data transfer rate</t>
  </si>
  <si>
    <t>卷[{#NAME}]: 数据传输速率</t>
  </si>
  <si>
    <t>(896/259)</t>
  </si>
  <si>
    <t>2369</t>
  </si>
  <si>
    <t>Volume [{#NAME}]: Disk operations rate</t>
  </si>
  <si>
    <t>卷[{#NAME}]: 磁盘操作速率</t>
  </si>
  <si>
    <t>(896/260)</t>
  </si>
  <si>
    <t>2370</t>
  </si>
  <si>
    <t>Volume [{#NAME}]: Space utilization</t>
  </si>
  <si>
    <t>卷[{#NAME}]: 空间利用率</t>
  </si>
  <si>
    <t>(896/261)</t>
  </si>
  <si>
    <t>HPE MSA 2060 Storage by HTTP</t>
  </si>
  <si>
    <t>2372</t>
  </si>
  <si>
    <t>(896/262)</t>
  </si>
  <si>
    <t>2371</t>
  </si>
  <si>
    <t>(896/263)</t>
  </si>
  <si>
    <t>2373</t>
  </si>
  <si>
    <t>(896/264)</t>
  </si>
  <si>
    <t>2374</t>
  </si>
  <si>
    <t>(896/265)</t>
  </si>
  <si>
    <t>2375</t>
  </si>
  <si>
    <t>(896/266)</t>
  </si>
  <si>
    <t>2376</t>
  </si>
  <si>
    <t>(896/267)</t>
  </si>
  <si>
    <t>2377</t>
  </si>
  <si>
    <t>(896/268)</t>
  </si>
  <si>
    <t>2378</t>
  </si>
  <si>
    <t>(896/269)</t>
  </si>
  <si>
    <t>2379</t>
  </si>
  <si>
    <t>(896/270)</t>
  </si>
  <si>
    <t>2380</t>
  </si>
  <si>
    <t>(896/271)</t>
  </si>
  <si>
    <t>2381</t>
  </si>
  <si>
    <t>(896/272)</t>
  </si>
  <si>
    <t>2382</t>
  </si>
  <si>
    <t>(896/273)</t>
  </si>
  <si>
    <t>2383</t>
  </si>
  <si>
    <t>(896/274)</t>
  </si>
  <si>
    <t>2384</t>
  </si>
  <si>
    <t>(896/275)</t>
  </si>
  <si>
    <t>2385</t>
  </si>
  <si>
    <t>(896/276)</t>
  </si>
  <si>
    <t>HPE Primera by HTTP</t>
  </si>
  <si>
    <t>2386</t>
  </si>
  <si>
    <t>CPG [{#NAME}]: CPG space</t>
  </si>
  <si>
    <t>CPG[{#NAME}]: CPG空间</t>
  </si>
  <si>
    <t>(896/277)</t>
  </si>
  <si>
    <t>2389</t>
  </si>
  <si>
    <t>CPG [{#NAME}]: Snapshot administration space</t>
  </si>
  <si>
    <t>CPG[{#NAME}]: 快照管理空间</t>
  </si>
  <si>
    <t>(896/278)</t>
  </si>
  <si>
    <t>2390</t>
  </si>
  <si>
    <t>CPG [{#NAME}]: Snapshot data space</t>
  </si>
  <si>
    <t>CPG[{#NAME}]: 快照数据空间</t>
  </si>
  <si>
    <t>(896/279)</t>
  </si>
  <si>
    <t>2391</t>
  </si>
  <si>
    <t>CPG [{#NAME}]: User data space</t>
  </si>
  <si>
    <t>CPG[{#NAME}]: 用户数据空间</t>
  </si>
  <si>
    <t>(896/280)</t>
  </si>
  <si>
    <t>2387</t>
  </si>
  <si>
    <t>CPG [{#NAME}]: Number of virtual volumes</t>
  </si>
  <si>
    <t>CPG[{#NAME}]: 虚拟卷数</t>
  </si>
  <si>
    <t>(896/281)</t>
  </si>
  <si>
    <t>2388</t>
  </si>
  <si>
    <t>CPG [{#NAME}]: Raw space</t>
  </si>
  <si>
    <t>CPG[{#NAME}]: 读写空间</t>
  </si>
  <si>
    <t>(896/282)</t>
  </si>
  <si>
    <t>2392</t>
  </si>
  <si>
    <t>Volume [{#NAME}]: Administrative space</t>
  </si>
  <si>
    <t>卷[{#NAME}]: 管理空间</t>
  </si>
  <si>
    <t>(896/283)</t>
  </si>
  <si>
    <t>2393</t>
  </si>
  <si>
    <t>Volume [{#NAME}]: Capacity efficiency: Ratio</t>
  </si>
  <si>
    <t>容量[{#NAME}]: 容量效率: 速率</t>
  </si>
  <si>
    <t>(896/284)</t>
  </si>
  <si>
    <t>2395</t>
  </si>
  <si>
    <t>Volume [{#NAME}]: Snapshot space</t>
  </si>
  <si>
    <t>卷[{#NAME}]: 快照空间</t>
  </si>
  <si>
    <t>(896/285)</t>
  </si>
  <si>
    <t>2394</t>
  </si>
  <si>
    <t>Volume [{#NAME}]: Capacity efficiency: Space saved</t>
  </si>
  <si>
    <t>卷[{#NAME}]: 容量效率: 节省空间</t>
  </si>
  <si>
    <t>(896/286)</t>
  </si>
  <si>
    <t>2396</t>
  </si>
  <si>
    <t>Volume [{#NAME}]: User space</t>
  </si>
  <si>
    <t>卷[{#NAME}]: 用户空间</t>
  </si>
  <si>
    <t>(896/287)</t>
  </si>
  <si>
    <t>HPE Synergy by HTTP</t>
  </si>
  <si>
    <t>2398</t>
  </si>
  <si>
    <t>Enclosure [{#NAME}]: Power capacity</t>
  </si>
  <si>
    <t>机柜[{#NAME}]: 电源容量</t>
  </si>
  <si>
    <t>(896/288)</t>
  </si>
  <si>
    <t>2399</t>
  </si>
  <si>
    <t>Storage pool [{#NAME}]: Capacity</t>
  </si>
  <si>
    <t>存储池[{#NAME}]: 容量</t>
  </si>
  <si>
    <t>(896/289)</t>
  </si>
  <si>
    <t>2400</t>
  </si>
  <si>
    <t>Storage system [{#NAME}]: Capacity</t>
  </si>
  <si>
    <t>存储系统[{#NAME}]: 容量</t>
  </si>
  <si>
    <t>(896/290)</t>
  </si>
  <si>
    <t>2401</t>
  </si>
  <si>
    <t>Storage volume [{#NAME}]: Capacity</t>
  </si>
  <si>
    <t>存储卷[{#NAME}]: 容量</t>
  </si>
  <si>
    <t>(896/291)</t>
  </si>
  <si>
    <t>HPE iLO by HTTP</t>
  </si>
  <si>
    <t>2601</t>
  </si>
  <si>
    <t>HPE iLO: Chassis [{#CHASSIS_ID}]: Fan [{#FAN_NAME}]: Speed, in %</t>
  </si>
  <si>
    <t>HPE iLO: 机箱[{#CHASSIS_ID}]: 风扇[{#FAN_NAME}]: 速度,%</t>
  </si>
  <si>
    <t>(896/292)</t>
  </si>
  <si>
    <t>2602</t>
  </si>
  <si>
    <t>HPE iLO: Chassis [{#CHASSIS_ID}]: PSU [{#PSU_ID}]: Last power output</t>
  </si>
  <si>
    <t>HPE iLO: 机箱[{#CHASSIS_ID}]: PSU[{#PSU_ID}]: 上次电力输出</t>
  </si>
  <si>
    <t>(896/293)</t>
  </si>
  <si>
    <t>2603</t>
  </si>
  <si>
    <t>HPE iLO: Chassis [{#CHASSIS_ID}]: PSU [{#PSU_ID}]: Line input voltage</t>
  </si>
  <si>
    <t>HPE iLO: 机箱[{#CHASSIS_ID}]: PSU[{#PSU_ID}]: 线路输入电压</t>
  </si>
  <si>
    <t>(896/294)</t>
  </si>
  <si>
    <t>2604</t>
  </si>
  <si>
    <t>HPE iLO: Chassis [{#CHASSIS_ID}]: Sensor [{#SENSOR_NAME}]: Temperature</t>
  </si>
  <si>
    <t>HPE iLO: 机箱[{#CHASSIS_ID}]: 传感器[{#SENSOR_NAME}]: 温度</t>
  </si>
  <si>
    <t>(896/295)</t>
  </si>
  <si>
    <t>2600</t>
  </si>
  <si>
    <t>HPE iLO: Computer system [{#SYSTEM_HOSTNAME}]: Resources usage</t>
  </si>
  <si>
    <t>HPE iLO: 计算机系统[{#SYSTEM_HOSTNAME}]: 资源使用情况</t>
  </si>
  <si>
    <t>(896/296)</t>
  </si>
  <si>
    <t>Hadoop by HTTP</t>
  </si>
  <si>
    <t>1417</t>
  </si>
  <si>
    <t>(896/297)</t>
  </si>
  <si>
    <t>HashiCorp Nomad Client by HTTP</t>
  </si>
  <si>
    <t>2568</t>
  </si>
  <si>
    <t>HashiCorp Nomad Client: Disk ["{#DEV.NAME}"] utilization</t>
  </si>
  <si>
    <t>HashiCorp Nomad Client: 磁盘["{#DEV.NAME}"]使用率</t>
  </si>
  <si>
    <t>(896/298)</t>
  </si>
  <si>
    <t>2567</t>
  </si>
  <si>
    <t>HashiCorp Nomad Client: Disk ["{#DEV.NAME}"] usage</t>
  </si>
  <si>
    <t>HashiCorp Nomad Client: 磁盘["{#DEV.NAME}"]使用情况</t>
  </si>
  <si>
    <t>(896/299)</t>
  </si>
  <si>
    <t>2566</t>
  </si>
  <si>
    <t>HashiCorp Nomad Client: Job [{#JOB.NAME}] task ["{#JOB.TASK.GROUP}"] namespace ["{#JOB.NAMESPACE}"] CPU utilization</t>
  </si>
  <si>
    <t>HashiCorp Nomad Client: 任务[{#JOB.NAME}]任务组["{#JOB.TASK.GROUP}"]命名空间["{#JOB.NAMESPACE}"]CPU使用率</t>
  </si>
  <si>
    <t>(896/300)</t>
  </si>
  <si>
    <t>2565</t>
  </si>
  <si>
    <t>HashiCorp Nomad Client: Job [{#JOB.NAME}] task ["{#JOB.TASK.GROUP}"] namespace ["{#JOB.NAMESPACE}"] CPU throttling</t>
  </si>
  <si>
    <t>HashiCorp Nomad Client: 任务[{#JOB.NAME}]任务组["{#JOB.TASK.GROUP}"]命名空问["{#JOB.NAMESPACE}"]CPU节流</t>
  </si>
  <si>
    <t>(896/301)</t>
  </si>
  <si>
    <t>2564</t>
  </si>
  <si>
    <t>HashiCorp Nomad Client: Job ["{#JOB.NAME}"] task ["{#JOB.TASK.GROUP}"] namespace ["{#JOB.NAMESPACE}"] memory utilization</t>
  </si>
  <si>
    <t>HashiCorp Nomad Client: 任务[{#JOB.NAME}]任务组["{#JOB.TASK.GROUP}"]命名空间["{#JOB.NAMESPACE}"]内存使用率</t>
  </si>
  <si>
    <t>(896/302)</t>
  </si>
  <si>
    <t>Huawei OceanStor 5300 V5 by SNMP</t>
  </si>
  <si>
    <t>1518</t>
  </si>
  <si>
    <t>(896/303)</t>
  </si>
  <si>
    <t>(896/304)</t>
  </si>
  <si>
    <t>1519</t>
  </si>
  <si>
    <t>(896/305)</t>
  </si>
  <si>
    <t>(896/306)</t>
  </si>
  <si>
    <t>(896/307)</t>
  </si>
  <si>
    <t>(896/308)</t>
  </si>
  <si>
    <t>1524</t>
  </si>
  <si>
    <t>(896/309)</t>
  </si>
  <si>
    <t>1525</t>
  </si>
  <si>
    <t>(896/310)</t>
  </si>
  <si>
    <t>Huawei OceanStor V6 by SNMP</t>
  </si>
  <si>
    <t>2920</t>
  </si>
  <si>
    <t>Huawei OceanStor V6: Controller [{#ID}]: CPU utilization</t>
  </si>
  <si>
    <t>华为 OceanStor V6: 控制器[{#ID}]: CPU 利用率</t>
  </si>
  <si>
    <t>(896/311)</t>
  </si>
  <si>
    <t>2922</t>
  </si>
  <si>
    <t>Huawei OceanStor V6: LUN [{#NAME}]: LUN I/O latency</t>
  </si>
  <si>
    <t>华为 OceanStor V6: 逻辑单元号（LUN）[{#NAME}]: LUN I/O 延迟</t>
  </si>
  <si>
    <t>(896/312)</t>
  </si>
  <si>
    <t>2921</t>
  </si>
  <si>
    <t>Huawei OceanStor V6: LUN [{#NAME}]: LUN I/O</t>
  </si>
  <si>
    <t>华为 OceanStor V6: 逻辑单元号（LUN）[{#NAME}]: LUN I/O</t>
  </si>
  <si>
    <t>(896/313)</t>
  </si>
  <si>
    <t>2923</t>
  </si>
  <si>
    <t>Huawei OceanStor V6: LUN [{#NAME}]: LUN traffic</t>
  </si>
  <si>
    <t>华为 OceanStor V6: 逻辑单元号（LUN）[{#NAME}]: LUN 流量</t>
  </si>
  <si>
    <t>(896/314)</t>
  </si>
  <si>
    <t>2924</t>
  </si>
  <si>
    <t>Huawei OceanStor V6: Node [{#NODE}]: CPU utilization</t>
  </si>
  <si>
    <t>华为 OceanStor V6: 节点[{#NODE}]: CPU 利用率</t>
  </si>
  <si>
    <t>(896/315)</t>
  </si>
  <si>
    <t>2925</t>
  </si>
  <si>
    <t>Huawei OceanStor V6: Node [{#NODE}]: Node I/O</t>
  </si>
  <si>
    <t>华为 OceanStor V6: 节点[{#NODE}]: 节点 I/O</t>
  </si>
  <si>
    <t>(896/316)</t>
  </si>
  <si>
    <t>2926</t>
  </si>
  <si>
    <t>Huawei OceanStor V6: Node [{#NODE}]: Node traffic</t>
  </si>
  <si>
    <t>华为 OceanStor V6: 节点[{#NODE}]: 节点流量</t>
  </si>
  <si>
    <t>(896/317)</t>
  </si>
  <si>
    <t>2927</t>
  </si>
  <si>
    <t>Huawei OceanStor V6: Storage pool [{#NAME}]: Capacity</t>
  </si>
  <si>
    <t>华为 OceanStor V6: 存储池[{#NAME}]: 容量</t>
  </si>
  <si>
    <t>(896/318)</t>
  </si>
  <si>
    <t>Huawei VRP by SNMP</t>
  </si>
  <si>
    <t>2150</t>
  </si>
  <si>
    <t>(896/319)</t>
  </si>
  <si>
    <t>(896/320)</t>
  </si>
  <si>
    <t>(896/321)</t>
  </si>
  <si>
    <t>Ignite by JMX</t>
  </si>
  <si>
    <t>1516</t>
  </si>
  <si>
    <t>(896/322)</t>
  </si>
  <si>
    <t>1515</t>
  </si>
  <si>
    <t>(896/323)</t>
  </si>
  <si>
    <t>1517</t>
  </si>
  <si>
    <t>(896/324)</t>
  </si>
  <si>
    <t>1513</t>
  </si>
  <si>
    <t>(896/325)</t>
  </si>
  <si>
    <t>1505</t>
  </si>
  <si>
    <t>(896/326)</t>
  </si>
  <si>
    <t>1506</t>
  </si>
  <si>
    <t>(896/327)</t>
  </si>
  <si>
    <t>1509</t>
  </si>
  <si>
    <t>(896/328)</t>
  </si>
  <si>
    <t>1510</t>
  </si>
  <si>
    <t>(896/329)</t>
  </si>
  <si>
    <t>1507</t>
  </si>
  <si>
    <t>(896/330)</t>
  </si>
  <si>
    <t>1508</t>
  </si>
  <si>
    <t>(896/331)</t>
  </si>
  <si>
    <t>1512</t>
  </si>
  <si>
    <t>(896/332)</t>
  </si>
  <si>
    <t>1511</t>
  </si>
  <si>
    <t>(896/333)</t>
  </si>
  <si>
    <t>1514</t>
  </si>
  <si>
    <t>(896/334)</t>
  </si>
  <si>
    <t>InfluxDB by HTTP</t>
  </si>
  <si>
    <t>InfluxDB: [{#ORG_NAME}]: Query traffic</t>
  </si>
  <si>
    <t>InfluxDB: [{#ORG_NAME}]: 查询流量</t>
  </si>
  <si>
    <t>(896/335)</t>
  </si>
  <si>
    <t>InfluxDB: [{#ORG_NAME}]: Query requests</t>
  </si>
  <si>
    <t>InfluxDB: [{#ORG_NAME}]: 查询请求</t>
  </si>
  <si>
    <t>(896/336)</t>
  </si>
  <si>
    <t>Intel_Qlogic Infiniband by SNMP</t>
  </si>
  <si>
    <t>2151</t>
  </si>
  <si>
    <t>(896/337)</t>
  </si>
  <si>
    <t>Interfaces Simple by SNMP</t>
  </si>
  <si>
    <t>(896/338)</t>
  </si>
  <si>
    <t>Interfaces Windows by SNMP</t>
  </si>
  <si>
    <t>(896/339)</t>
  </si>
  <si>
    <t>Interfaces by SNMP</t>
  </si>
  <si>
    <t>(896/340)</t>
  </si>
  <si>
    <t>Jenkins by HTTP</t>
  </si>
  <si>
    <t>1499</t>
  </si>
  <si>
    <t>Jenkins: Computer [{#DISPLAY_NAME}]: Physical memory</t>
  </si>
  <si>
    <t>Jenkins: 计算机[{#DISPLAY_NAME}]: 物理内存</t>
  </si>
  <si>
    <t>(896/341)</t>
  </si>
  <si>
    <t>1500</t>
  </si>
  <si>
    <t>Jenkins: Computer [{#DISPLAY_NAME}]: Swap space</t>
  </si>
  <si>
    <t>Jenkins: 计算机[{#DISPLAY_NAME}]: 交换空间</t>
  </si>
  <si>
    <t>(896/342)</t>
  </si>
  <si>
    <t>Jira Data Center by JMX</t>
  </si>
  <si>
    <t>2762</t>
  </si>
  <si>
    <t>Indexing [{#JMXNAME}]: Latency</t>
  </si>
  <si>
    <t>Indexing [{#JMXNAME}]: 延迟</t>
  </si>
  <si>
    <t>(896/343)</t>
  </si>
  <si>
    <t>2763</t>
  </si>
  <si>
    <t>Issue [{#JMXNAME}]: Latency</t>
  </si>
  <si>
    <t>Issue [{#JMXNAME}]: 延迟</t>
  </si>
  <si>
    <t>(896/344)</t>
  </si>
  <si>
    <t>2765</t>
  </si>
  <si>
    <t>License [{#LICENSE.TYPE}]: Users</t>
  </si>
  <si>
    <t>License [{#LICENSE.TYPE}]: 用户</t>
  </si>
  <si>
    <t>(896/345)</t>
  </si>
  <si>
    <t>2764</t>
  </si>
  <si>
    <t>Mail [{#JMXCATEGORY01},{#JMXNAME}]: State and failures</t>
  </si>
  <si>
    <t>Mail [{#JMXCATEGORY01},{#JMXNAME}]: 状态和失败</t>
  </si>
  <si>
    <t>(896/346)</t>
  </si>
  <si>
    <t>2761</t>
  </si>
  <si>
    <t>Storage [{#JMXCATEGORY01}]: Latency</t>
  </si>
  <si>
    <t>Storage [{#JMXCATEGORY01}]: 延迟</t>
  </si>
  <si>
    <t>(896/347)</t>
  </si>
  <si>
    <t>Juniper by SNMP</t>
  </si>
  <si>
    <t>2152</t>
  </si>
  <si>
    <t>(896/348)</t>
  </si>
  <si>
    <t>(896/349)</t>
  </si>
  <si>
    <t>(896/350)</t>
  </si>
  <si>
    <t>Kubernetes API server by HTTP</t>
  </si>
  <si>
    <t>2085</t>
  </si>
  <si>
    <t>Kubernetes API: ["{#VERB}"] Requests latency</t>
  </si>
  <si>
    <t>Kubernetes API: ["{#VERB}"]请求延迟</t>
  </si>
  <si>
    <t>(896/351)</t>
  </si>
  <si>
    <t>Kubernetes Controller manager by HTTP</t>
  </si>
  <si>
    <t>2087</t>
  </si>
  <si>
    <t>Kubernetes Controller Manager: ["{#NAME}"] Workqueue add rate</t>
  </si>
  <si>
    <t>Kubernetes Controller Manager: ["{#NAME}"]工作队列添加速率</t>
  </si>
  <si>
    <t>(896/352)</t>
  </si>
  <si>
    <t>2088</t>
  </si>
  <si>
    <t>Kubernetes Controller Manager: ["{#NAME}"] Workqueue depth</t>
  </si>
  <si>
    <t>Kubernetes Controller Manager: ["{#NAME}"]工作队列深度</t>
  </si>
  <si>
    <t>(896/353)</t>
  </si>
  <si>
    <t>2089</t>
  </si>
  <si>
    <t>Kubernetes Controller Manager: ["{#NAME}"] Workqueue latency</t>
  </si>
  <si>
    <t>Kubernetes Controller Manager: ["{#NAME}"]工作队列延迟</t>
  </si>
  <si>
    <t>(896/354)</t>
  </si>
  <si>
    <t>Kubernetes Kubelet by HTTP</t>
  </si>
  <si>
    <t>2092</t>
  </si>
  <si>
    <t>Kubernetes: [{#OP_TYPE}] Operations latency</t>
  </si>
  <si>
    <t>Kubernetes: [{#OP_TYPE}]操作延迟</t>
  </si>
  <si>
    <t>(896/355)</t>
  </si>
  <si>
    <t>Kubernetes Scheduler by HTTP</t>
  </si>
  <si>
    <t>2289</t>
  </si>
  <si>
    <t>Kubernetes Scheduler: [{#SINGLETON}]Binding latency</t>
  </si>
  <si>
    <t>Kubernetes Scheduler: [{#SINGLETON}]绑定延迟</t>
  </si>
  <si>
    <t>(896/356)</t>
  </si>
  <si>
    <t>2290</t>
  </si>
  <si>
    <t>Kubernetes Scheduler: [{#SINGLETON}]Scheduling algorithm duration</t>
  </si>
  <si>
    <t>Kubernetes Scheduler: [{#SINGLETON}]调度算法持续时间</t>
  </si>
  <si>
    <t>(896/357)</t>
  </si>
  <si>
    <t>2094</t>
  </si>
  <si>
    <t>Kubernetes Scheduler: ["{#RESULT}"] E2e latency</t>
  </si>
  <si>
    <t>Kubernetes Scheduler: ["{#RESULT}"]E2e延迟</t>
  </si>
  <si>
    <t>(896/358)</t>
  </si>
  <si>
    <t>Kubernetes nodes by HTTP</t>
  </si>
  <si>
    <t>2477</t>
  </si>
  <si>
    <t>Node [{#NAME}] Allocatable: Pod limits</t>
  </si>
  <si>
    <t>Node [{#NAME}] Allocatable: Pod限制</t>
  </si>
  <si>
    <t>(896/359)</t>
  </si>
  <si>
    <t>Linux CPU by SNMP</t>
  </si>
  <si>
    <t>Linux: CPU usage{#SINGLETON}</t>
  </si>
  <si>
    <t>Linux: CPU使用率{#SINGLETON}</t>
  </si>
  <si>
    <t>(896/360)</t>
  </si>
  <si>
    <t>Linux: CPU utilization{#SINGLETON}</t>
  </si>
  <si>
    <t>Linux: CPU利用率{#SINGLETON}</t>
  </si>
  <si>
    <t>(896/361)</t>
  </si>
  <si>
    <t>Linux block devices by SNMP</t>
  </si>
  <si>
    <t>(896/362)</t>
  </si>
  <si>
    <t>Linux block devices by Zabbix agent</t>
  </si>
  <si>
    <t>(896/363)</t>
  </si>
  <si>
    <t>(896/364)</t>
  </si>
  <si>
    <t>(896/365)</t>
  </si>
  <si>
    <t>Linux block devices by Zabbix agent active</t>
  </si>
  <si>
    <t>1283</t>
  </si>
  <si>
    <t>(896/366)</t>
  </si>
  <si>
    <t>1279</t>
  </si>
  <si>
    <t>(896/367)</t>
  </si>
  <si>
    <t>1281</t>
  </si>
  <si>
    <t>(896/368)</t>
  </si>
  <si>
    <t>Linux by Prom</t>
  </si>
  <si>
    <t>(896/369)</t>
  </si>
  <si>
    <t>(896/370)</t>
  </si>
  <si>
    <t>(896/371)</t>
  </si>
  <si>
    <t>(896/372)</t>
  </si>
  <si>
    <t>(896/373)</t>
  </si>
  <si>
    <t>Linux by SNMP</t>
  </si>
  <si>
    <t>2253</t>
  </si>
  <si>
    <t>(896/374)</t>
  </si>
  <si>
    <t>2251</t>
  </si>
  <si>
    <t>(896/375)</t>
  </si>
  <si>
    <t>2252</t>
  </si>
  <si>
    <t>(896/376)</t>
  </si>
  <si>
    <t>2254</t>
  </si>
  <si>
    <t>(896/377)</t>
  </si>
  <si>
    <t>2255</t>
  </si>
  <si>
    <t>(896/378)</t>
  </si>
  <si>
    <t>Linux by Zabbix agent</t>
  </si>
  <si>
    <t>2212</t>
  </si>
  <si>
    <t>(896/379)</t>
  </si>
  <si>
    <t>2215</t>
  </si>
  <si>
    <t>(896/380)</t>
  </si>
  <si>
    <t>2214</t>
  </si>
  <si>
    <t>(896/381)</t>
  </si>
  <si>
    <t>2213</t>
  </si>
  <si>
    <t>(896/382)</t>
  </si>
  <si>
    <t>2216</t>
  </si>
  <si>
    <t>(896/383)</t>
  </si>
  <si>
    <t>Linux by Zabbix agent active</t>
  </si>
  <si>
    <t>2238</t>
  </si>
  <si>
    <t>(896/384)</t>
  </si>
  <si>
    <t>2241</t>
  </si>
  <si>
    <t>(896/385)</t>
  </si>
  <si>
    <t>2240</t>
  </si>
  <si>
    <t>(896/386)</t>
  </si>
  <si>
    <t>2239</t>
  </si>
  <si>
    <t>(896/387)</t>
  </si>
  <si>
    <t>2242</t>
  </si>
  <si>
    <t>(896/388)</t>
  </si>
  <si>
    <t>Linux filesystems by SNMP</t>
  </si>
  <si>
    <t>(896/389)</t>
  </si>
  <si>
    <t>Linux filesystems by Zabbix agent</t>
  </si>
  <si>
    <t>(896/390)</t>
  </si>
  <si>
    <t>Linux filesystems by Zabbix agent active</t>
  </si>
  <si>
    <t>1285</t>
  </si>
  <si>
    <t>(896/391)</t>
  </si>
  <si>
    <t>Linux network interfaces by Zabbix agent</t>
  </si>
  <si>
    <t>(896/392)</t>
  </si>
  <si>
    <t>Linux network interfaces by Zabbix agent active</t>
  </si>
  <si>
    <t>1287</t>
  </si>
  <si>
    <t>(896/393)</t>
  </si>
  <si>
    <t>MSSQL by ODBC</t>
  </si>
  <si>
    <t>(896/394)</t>
  </si>
  <si>
    <t>(896/395)</t>
  </si>
  <si>
    <t>(896/396)</t>
  </si>
  <si>
    <t>2613</t>
  </si>
  <si>
    <t>(896/397)</t>
  </si>
  <si>
    <t>MSSQL by Zabbix agent 2</t>
  </si>
  <si>
    <t>2646</t>
  </si>
  <si>
    <t>(896/398)</t>
  </si>
  <si>
    <t>2644</t>
  </si>
  <si>
    <t>(896/399)</t>
  </si>
  <si>
    <t>2645</t>
  </si>
  <si>
    <t>(896/400)</t>
  </si>
  <si>
    <t>2647</t>
  </si>
  <si>
    <t>(896/401)</t>
  </si>
  <si>
    <t>Mantis BT by HTTP</t>
  </si>
  <si>
    <t>2562</t>
  </si>
  <si>
    <t>Mantis BT: [{#NAME}] Issues by status</t>
  </si>
  <si>
    <t>Mantis BT: [{#NAME}]按状态的问题</t>
  </si>
  <si>
    <t>(896/402)</t>
  </si>
  <si>
    <t>2561</t>
  </si>
  <si>
    <t>Mantis BT: [{#NAME}] Issues by severity</t>
  </si>
  <si>
    <t>Mantis BT: [{#NAME}]按严重程度的问题</t>
  </si>
  <si>
    <t>(896/403)</t>
  </si>
  <si>
    <t>2560</t>
  </si>
  <si>
    <t>Mantis BT: [{#NAME}] Issues by resolution</t>
  </si>
  <si>
    <t>Mantis BT: [{#NAME}]按解决方案的问题</t>
  </si>
  <si>
    <t>(896/404)</t>
  </si>
  <si>
    <t>2559</t>
  </si>
  <si>
    <t>Mantis BT: [{#NAME}] Issues by priority</t>
  </si>
  <si>
    <t>Mantis BT: [{#NAME}]按优先级的问题</t>
  </si>
  <si>
    <t>(896/405)</t>
  </si>
  <si>
    <t>2563</t>
  </si>
  <si>
    <t>Mantis BT: [{#NAME}] Issues total</t>
  </si>
  <si>
    <t>Mantis BT: [{#NAME}]总问题数</t>
  </si>
  <si>
    <t>(896/406)</t>
  </si>
  <si>
    <t>Mellanox by SNMP</t>
  </si>
  <si>
    <t>1564</t>
  </si>
  <si>
    <t>(896/407)</t>
  </si>
  <si>
    <t>1565</t>
  </si>
  <si>
    <t>(896/408)</t>
  </si>
  <si>
    <t>1566</t>
  </si>
  <si>
    <t>(896/409)</t>
  </si>
  <si>
    <t>Microsoft Exchange Server 2016 by Zabbix agent</t>
  </si>
  <si>
    <t>(896/410)</t>
  </si>
  <si>
    <t>(896/411)</t>
  </si>
  <si>
    <t>Microsoft Exchange Server 2016 by Zabbix agent active</t>
  </si>
  <si>
    <t>(896/412)</t>
  </si>
  <si>
    <t>(896/413)</t>
  </si>
  <si>
    <t>MikroTik CCR1009-7G-1C-1S by SNMP</t>
  </si>
  <si>
    <t>(896/414)</t>
  </si>
  <si>
    <t>(896/415)</t>
  </si>
  <si>
    <t>2154</t>
  </si>
  <si>
    <t>(896/416)</t>
  </si>
  <si>
    <t>(896/417)</t>
  </si>
  <si>
    <t>MikroTik CCR1009-7G-1C-1SPC by SNMP</t>
  </si>
  <si>
    <t>(896/418)</t>
  </si>
  <si>
    <t>(896/419)</t>
  </si>
  <si>
    <t>2153</t>
  </si>
  <si>
    <t>(896/420)</t>
  </si>
  <si>
    <t>(896/421)</t>
  </si>
  <si>
    <t>MikroTik CCR1009-7G-1C-PC by SNMP</t>
  </si>
  <si>
    <t>(896/422)</t>
  </si>
  <si>
    <t>(896/423)</t>
  </si>
  <si>
    <t>2155</t>
  </si>
  <si>
    <t>(896/424)</t>
  </si>
  <si>
    <t>1822</t>
  </si>
  <si>
    <t>(896/425)</t>
  </si>
  <si>
    <t>MikroTik CCR1016-12G by SNMP</t>
  </si>
  <si>
    <t>(896/426)</t>
  </si>
  <si>
    <t>(896/427)</t>
  </si>
  <si>
    <t>2156</t>
  </si>
  <si>
    <t>(896/428)</t>
  </si>
  <si>
    <t>(896/429)</t>
  </si>
  <si>
    <t>MikroTik CCR1016-12S-1S by SNMP</t>
  </si>
  <si>
    <t>(896/430)</t>
  </si>
  <si>
    <t>(896/431)</t>
  </si>
  <si>
    <t>2157</t>
  </si>
  <si>
    <t>(896/432)</t>
  </si>
  <si>
    <t>(896/433)</t>
  </si>
  <si>
    <t>MikroTik CCR1036-12G-4S by SNMP</t>
  </si>
  <si>
    <t>(896/434)</t>
  </si>
  <si>
    <t>(896/435)</t>
  </si>
  <si>
    <t>2159</t>
  </si>
  <si>
    <t>(896/436)</t>
  </si>
  <si>
    <t>(896/437)</t>
  </si>
  <si>
    <t>MikroTik CCR1036-12G-4S-EM by SNMP</t>
  </si>
  <si>
    <t>(896/438)</t>
  </si>
  <si>
    <t>1838</t>
  </si>
  <si>
    <t>(896/439)</t>
  </si>
  <si>
    <t>2158</t>
  </si>
  <si>
    <t>(896/440)</t>
  </si>
  <si>
    <t>(896/441)</t>
  </si>
  <si>
    <t>MikroTik CCR1036-8G-2S by SNMP</t>
  </si>
  <si>
    <t>1851</t>
  </si>
  <si>
    <t>(896/442)</t>
  </si>
  <si>
    <t>1853</t>
  </si>
  <si>
    <t>(896/443)</t>
  </si>
  <si>
    <t>2161</t>
  </si>
  <si>
    <t>(896/444)</t>
  </si>
  <si>
    <t>1852</t>
  </si>
  <si>
    <t>(896/445)</t>
  </si>
  <si>
    <t>MikroTik CCR1036-8G-2SEM by SNMP</t>
  </si>
  <si>
    <t>1846</t>
  </si>
  <si>
    <t>(896/446)</t>
  </si>
  <si>
    <t>1848</t>
  </si>
  <si>
    <t>(896/447)</t>
  </si>
  <si>
    <t>2160</t>
  </si>
  <si>
    <t>(896/448)</t>
  </si>
  <si>
    <t>1847</t>
  </si>
  <si>
    <t>(896/449)</t>
  </si>
  <si>
    <t>MikroTik CCR1072-1G-8S by SNMP</t>
  </si>
  <si>
    <t>1856</t>
  </si>
  <si>
    <t>(896/450)</t>
  </si>
  <si>
    <t>1858</t>
  </si>
  <si>
    <t>(896/451)</t>
  </si>
  <si>
    <t>2162</t>
  </si>
  <si>
    <t>(896/452)</t>
  </si>
  <si>
    <t>1857</t>
  </si>
  <si>
    <t>(896/453)</t>
  </si>
  <si>
    <t>MikroTik CCR2004-16G-2S by SNMP</t>
  </si>
  <si>
    <t>(896/454)</t>
  </si>
  <si>
    <t>(896/455)</t>
  </si>
  <si>
    <t>2163</t>
  </si>
  <si>
    <t>(896/456)</t>
  </si>
  <si>
    <t>(896/457)</t>
  </si>
  <si>
    <t>MikroTik CCR2004-1G-12S2XS by SNMP</t>
  </si>
  <si>
    <t>1866</t>
  </si>
  <si>
    <t>(896/458)</t>
  </si>
  <si>
    <t>1868</t>
  </si>
  <si>
    <t>(896/459)</t>
  </si>
  <si>
    <t>2164</t>
  </si>
  <si>
    <t>(896/460)</t>
  </si>
  <si>
    <t>1867</t>
  </si>
  <si>
    <t>(896/461)</t>
  </si>
  <si>
    <t>MikroTik CRS106-1C-5S by SNMP</t>
  </si>
  <si>
    <t>1871</t>
  </si>
  <si>
    <t>(896/462)</t>
  </si>
  <si>
    <t>1873</t>
  </si>
  <si>
    <t>(896/463)</t>
  </si>
  <si>
    <t>2165</t>
  </si>
  <si>
    <t>(896/464)</t>
  </si>
  <si>
    <t>1872</t>
  </si>
  <si>
    <t>(896/465)</t>
  </si>
  <si>
    <t>MikroTik CRS109-8G-1S-2HnD-IN by SNMP</t>
  </si>
  <si>
    <t>1876</t>
  </si>
  <si>
    <t>(896/466)</t>
  </si>
  <si>
    <t>1878</t>
  </si>
  <si>
    <t>(896/467)</t>
  </si>
  <si>
    <t>2166</t>
  </si>
  <si>
    <t>(896/468)</t>
  </si>
  <si>
    <t>1877</t>
  </si>
  <si>
    <t>(896/469)</t>
  </si>
  <si>
    <t>MikroTik CRS112-8G-4S-IN by SNMP</t>
  </si>
  <si>
    <t>1881</t>
  </si>
  <si>
    <t>(896/470)</t>
  </si>
  <si>
    <t>1883</t>
  </si>
  <si>
    <t>(896/471)</t>
  </si>
  <si>
    <t>2167</t>
  </si>
  <si>
    <t>(896/472)</t>
  </si>
  <si>
    <t>1882</t>
  </si>
  <si>
    <t>(896/473)</t>
  </si>
  <si>
    <t>MikroTik CRS112-8P-4S-IN by SNMP</t>
  </si>
  <si>
    <t>1886</t>
  </si>
  <si>
    <t>(896/474)</t>
  </si>
  <si>
    <t>1888</t>
  </si>
  <si>
    <t>(896/475)</t>
  </si>
  <si>
    <t>2168</t>
  </si>
  <si>
    <t>(896/476)</t>
  </si>
  <si>
    <t>1887</t>
  </si>
  <si>
    <t>(896/477)</t>
  </si>
  <si>
    <t>MikroTik CRS125-24G-1S-2HnD-IN by SNMP</t>
  </si>
  <si>
    <t>(896/478)</t>
  </si>
  <si>
    <t>(896/479)</t>
  </si>
  <si>
    <t>2169</t>
  </si>
  <si>
    <t>(896/480)</t>
  </si>
  <si>
    <t>(896/481)</t>
  </si>
  <si>
    <t>MikroTik CRS212-1G-10S-1SIN by SNMP</t>
  </si>
  <si>
    <t>(896/482)</t>
  </si>
  <si>
    <t>(896/483)</t>
  </si>
  <si>
    <t>2170</t>
  </si>
  <si>
    <t>(896/484)</t>
  </si>
  <si>
    <t>(896/485)</t>
  </si>
  <si>
    <t>MikroTik CRS305-1G-4SIN by SNMP</t>
  </si>
  <si>
    <t>1901</t>
  </si>
  <si>
    <t>(896/486)</t>
  </si>
  <si>
    <t>1903</t>
  </si>
  <si>
    <t>(896/487)</t>
  </si>
  <si>
    <t>2171</t>
  </si>
  <si>
    <t>(896/488)</t>
  </si>
  <si>
    <t>1902</t>
  </si>
  <si>
    <t>(896/489)</t>
  </si>
  <si>
    <t>MikroTik CRS309-1G-8SIN by SNMP</t>
  </si>
  <si>
    <t>1906</t>
  </si>
  <si>
    <t>(896/490)</t>
  </si>
  <si>
    <t>1908</t>
  </si>
  <si>
    <t>(896/491)</t>
  </si>
  <si>
    <t>2172</t>
  </si>
  <si>
    <t>(896/492)</t>
  </si>
  <si>
    <t>1907</t>
  </si>
  <si>
    <t>(896/493)</t>
  </si>
  <si>
    <t>MikroTik CRS312-4C8XG-RM by SNMP</t>
  </si>
  <si>
    <t>1911</t>
  </si>
  <si>
    <t>(896/494)</t>
  </si>
  <si>
    <t>1913</t>
  </si>
  <si>
    <t>(896/495)</t>
  </si>
  <si>
    <t>2173</t>
  </si>
  <si>
    <t>(896/496)</t>
  </si>
  <si>
    <t>1912</t>
  </si>
  <si>
    <t>(896/497)</t>
  </si>
  <si>
    <t>MikroTik CRS317-1G-16SRM by SNMP</t>
  </si>
  <si>
    <t>1916</t>
  </si>
  <si>
    <t>(896/498)</t>
  </si>
  <si>
    <t>1918</t>
  </si>
  <si>
    <t>(896/499)</t>
  </si>
  <si>
    <t>2174</t>
  </si>
  <si>
    <t>(896/500)</t>
  </si>
  <si>
    <t>1917</t>
  </si>
  <si>
    <t>(896/501)</t>
  </si>
  <si>
    <t>MikroTik CRS326-24G-2SIN by SNMP</t>
  </si>
  <si>
    <t>1921</t>
  </si>
  <si>
    <t>(896/502)</t>
  </si>
  <si>
    <t>(896/503)</t>
  </si>
  <si>
    <t>2175</t>
  </si>
  <si>
    <t>(896/504)</t>
  </si>
  <si>
    <t>(896/505)</t>
  </si>
  <si>
    <t>MikroTik CRS326-24G-2SRM by SNMP</t>
  </si>
  <si>
    <t>(896/506)</t>
  </si>
  <si>
    <t>(896/507)</t>
  </si>
  <si>
    <t>2176</t>
  </si>
  <si>
    <t>(896/508)</t>
  </si>
  <si>
    <t>(896/509)</t>
  </si>
  <si>
    <t>MikroTik CRS326-24S2QRM by SNMP</t>
  </si>
  <si>
    <t>(896/510)</t>
  </si>
  <si>
    <t>(896/511)</t>
  </si>
  <si>
    <t>2177</t>
  </si>
  <si>
    <t>(896/512)</t>
  </si>
  <si>
    <t>(896/513)</t>
  </si>
  <si>
    <t>MikroTik CRS328-24P-4SRM by SNMP</t>
  </si>
  <si>
    <t>(896/514)</t>
  </si>
  <si>
    <t>1938</t>
  </si>
  <si>
    <t>(896/515)</t>
  </si>
  <si>
    <t>2178</t>
  </si>
  <si>
    <t>(896/516)</t>
  </si>
  <si>
    <t>(896/517)</t>
  </si>
  <si>
    <t>MikroTik CRS328-4C-20S-4SRM by SNMP</t>
  </si>
  <si>
    <t>1941</t>
  </si>
  <si>
    <t>(896/518)</t>
  </si>
  <si>
    <t>1943</t>
  </si>
  <si>
    <t>(896/519)</t>
  </si>
  <si>
    <t>2179</t>
  </si>
  <si>
    <t>(896/520)</t>
  </si>
  <si>
    <t>1942</t>
  </si>
  <si>
    <t>(896/521)</t>
  </si>
  <si>
    <t>MikroTik CRS354-48G-4S2QRM by SNMP</t>
  </si>
  <si>
    <t>1946</t>
  </si>
  <si>
    <t>(896/522)</t>
  </si>
  <si>
    <t>1948</t>
  </si>
  <si>
    <t>(896/523)</t>
  </si>
  <si>
    <t>2180</t>
  </si>
  <si>
    <t>(896/524)</t>
  </si>
  <si>
    <t>1947</t>
  </si>
  <si>
    <t>(896/525)</t>
  </si>
  <si>
    <t>MikroTik CRS354-48P-4S2QRM by SNMP</t>
  </si>
  <si>
    <t>1951</t>
  </si>
  <si>
    <t>(896/526)</t>
  </si>
  <si>
    <t>1953</t>
  </si>
  <si>
    <t>(896/527)</t>
  </si>
  <si>
    <t>2181</t>
  </si>
  <si>
    <t>(896/528)</t>
  </si>
  <si>
    <t>1952</t>
  </si>
  <si>
    <t>(896/529)</t>
  </si>
  <si>
    <t>MikroTik CSS326-24G-2SRM by SNMP</t>
  </si>
  <si>
    <t>1956</t>
  </si>
  <si>
    <t>(896/530)</t>
  </si>
  <si>
    <t>1958</t>
  </si>
  <si>
    <t>(896/531)</t>
  </si>
  <si>
    <t>2182</t>
  </si>
  <si>
    <t>(896/532)</t>
  </si>
  <si>
    <t>1957</t>
  </si>
  <si>
    <t>(896/533)</t>
  </si>
  <si>
    <t>MikroTik CSS610-8G-2SIN by SNMP</t>
  </si>
  <si>
    <t>1961</t>
  </si>
  <si>
    <t>(896/534)</t>
  </si>
  <si>
    <t>1963</t>
  </si>
  <si>
    <t>(896/535)</t>
  </si>
  <si>
    <t>2183</t>
  </si>
  <si>
    <t>(896/536)</t>
  </si>
  <si>
    <t>1962</t>
  </si>
  <si>
    <t>(896/537)</t>
  </si>
  <si>
    <t>MikroTik FiberBox by SNMP</t>
  </si>
  <si>
    <t>1966</t>
  </si>
  <si>
    <t>(896/538)</t>
  </si>
  <si>
    <t>1968</t>
  </si>
  <si>
    <t>(896/539)</t>
  </si>
  <si>
    <t>2184</t>
  </si>
  <si>
    <t>(896/540)</t>
  </si>
  <si>
    <t>1967</t>
  </si>
  <si>
    <t>(896/541)</t>
  </si>
  <si>
    <t>MikroTik PowerBox Pro by SNMP</t>
  </si>
  <si>
    <t>1971</t>
  </si>
  <si>
    <t>(896/542)</t>
  </si>
  <si>
    <t>1973</t>
  </si>
  <si>
    <t>(896/543)</t>
  </si>
  <si>
    <t>2185</t>
  </si>
  <si>
    <t>(896/544)</t>
  </si>
  <si>
    <t>1972</t>
  </si>
  <si>
    <t>(896/545)</t>
  </si>
  <si>
    <t>MikroTik PowerBox by SNMP</t>
  </si>
  <si>
    <t>1976</t>
  </si>
  <si>
    <t>(896/546)</t>
  </si>
  <si>
    <t>1978</t>
  </si>
  <si>
    <t>(896/547)</t>
  </si>
  <si>
    <t>2186</t>
  </si>
  <si>
    <t>(896/548)</t>
  </si>
  <si>
    <t>1977</t>
  </si>
  <si>
    <t>(896/549)</t>
  </si>
  <si>
    <t>MikroTik RB1100AHx4 Dude Edition by SNMP</t>
  </si>
  <si>
    <t>1981</t>
  </si>
  <si>
    <t>(896/550)</t>
  </si>
  <si>
    <t>1983</t>
  </si>
  <si>
    <t>(896/551)</t>
  </si>
  <si>
    <t>2187</t>
  </si>
  <si>
    <t>(896/552)</t>
  </si>
  <si>
    <t>1982</t>
  </si>
  <si>
    <t>(896/553)</t>
  </si>
  <si>
    <t>MikroTik RB1100AHx4 by SNMP</t>
  </si>
  <si>
    <t>1986</t>
  </si>
  <si>
    <t>(896/554)</t>
  </si>
  <si>
    <t>1988</t>
  </si>
  <si>
    <t>(896/555)</t>
  </si>
  <si>
    <t>2188</t>
  </si>
  <si>
    <t>(896/556)</t>
  </si>
  <si>
    <t>1987</t>
  </si>
  <si>
    <t>(896/557)</t>
  </si>
  <si>
    <t>MikroTik RB2011UiAS-IN by SNMP</t>
  </si>
  <si>
    <t>1991</t>
  </si>
  <si>
    <t>(896/558)</t>
  </si>
  <si>
    <t>1993</t>
  </si>
  <si>
    <t>(896/559)</t>
  </si>
  <si>
    <t>2189</t>
  </si>
  <si>
    <t>(896/560)</t>
  </si>
  <si>
    <t>1992</t>
  </si>
  <si>
    <t>(896/561)</t>
  </si>
  <si>
    <t>MikroTik RB2011UiAS-RM by SNMP</t>
  </si>
  <si>
    <t>1996</t>
  </si>
  <si>
    <t>(896/562)</t>
  </si>
  <si>
    <t>1998</t>
  </si>
  <si>
    <t>(896/563)</t>
  </si>
  <si>
    <t>2190</t>
  </si>
  <si>
    <t>(896/564)</t>
  </si>
  <si>
    <t>1997</t>
  </si>
  <si>
    <t>(896/565)</t>
  </si>
  <si>
    <t>MikroTik RB2011iL-IN by SNMP</t>
  </si>
  <si>
    <t>2001</t>
  </si>
  <si>
    <t>(896/566)</t>
  </si>
  <si>
    <t>2003</t>
  </si>
  <si>
    <t>(896/567)</t>
  </si>
  <si>
    <t>2191</t>
  </si>
  <si>
    <t>(896/568)</t>
  </si>
  <si>
    <t>2002</t>
  </si>
  <si>
    <t>(896/569)</t>
  </si>
  <si>
    <t>MikroTik RB2011iL-RM by SNMP</t>
  </si>
  <si>
    <t>2006</t>
  </si>
  <si>
    <t>(896/570)</t>
  </si>
  <si>
    <t>2008</t>
  </si>
  <si>
    <t>(896/571)</t>
  </si>
  <si>
    <t>2192</t>
  </si>
  <si>
    <t>(896/572)</t>
  </si>
  <si>
    <t>2007</t>
  </si>
  <si>
    <t>(896/573)</t>
  </si>
  <si>
    <t>MikroTik RB2011iLS-IN by SNMP</t>
  </si>
  <si>
    <t>2011</t>
  </si>
  <si>
    <t>(896/574)</t>
  </si>
  <si>
    <t>2013</t>
  </si>
  <si>
    <t>(896/575)</t>
  </si>
  <si>
    <t>2193</t>
  </si>
  <si>
    <t>(896/576)</t>
  </si>
  <si>
    <t>2012</t>
  </si>
  <si>
    <t>(896/577)</t>
  </si>
  <si>
    <t>MikroTik RB260GS by SNMP</t>
  </si>
  <si>
    <t>2021</t>
  </si>
  <si>
    <t>(896/578)</t>
  </si>
  <si>
    <t>2023</t>
  </si>
  <si>
    <t>(896/579)</t>
  </si>
  <si>
    <t>2195</t>
  </si>
  <si>
    <t>(896/580)</t>
  </si>
  <si>
    <t>2022</t>
  </si>
  <si>
    <t>(896/581)</t>
  </si>
  <si>
    <t>MikroTik RB260GSP by SNMP</t>
  </si>
  <si>
    <t>2016</t>
  </si>
  <si>
    <t>(896/582)</t>
  </si>
  <si>
    <t>2018</t>
  </si>
  <si>
    <t>(896/583)</t>
  </si>
  <si>
    <t>2194</t>
  </si>
  <si>
    <t>(896/584)</t>
  </si>
  <si>
    <t>2017</t>
  </si>
  <si>
    <t>(896/585)</t>
  </si>
  <si>
    <t>MikroTik RB3011UiAS-RM by SNMP</t>
  </si>
  <si>
    <t>2026</t>
  </si>
  <si>
    <t>(896/586)</t>
  </si>
  <si>
    <t>2028</t>
  </si>
  <si>
    <t>(896/587)</t>
  </si>
  <si>
    <t>2196</t>
  </si>
  <si>
    <t>(896/588)</t>
  </si>
  <si>
    <t>2027</t>
  </si>
  <si>
    <t>(896/589)</t>
  </si>
  <si>
    <t>MikroTik RB4011iGSRM by SNMP</t>
  </si>
  <si>
    <t>2031</t>
  </si>
  <si>
    <t>(896/590)</t>
  </si>
  <si>
    <t>2033</t>
  </si>
  <si>
    <t>(896/591)</t>
  </si>
  <si>
    <t>2197</t>
  </si>
  <si>
    <t>(896/592)</t>
  </si>
  <si>
    <t>2032</t>
  </si>
  <si>
    <t>(896/593)</t>
  </si>
  <si>
    <t>MikroTik RB5009UGSIN by SNMP</t>
  </si>
  <si>
    <t>2036</t>
  </si>
  <si>
    <t>(896/594)</t>
  </si>
  <si>
    <t>2038</t>
  </si>
  <si>
    <t>(896/595)</t>
  </si>
  <si>
    <t>2198</t>
  </si>
  <si>
    <t>(896/596)</t>
  </si>
  <si>
    <t>2037</t>
  </si>
  <si>
    <t>(896/597)</t>
  </si>
  <si>
    <t>MikroTik hEX PoE by SNMP</t>
  </si>
  <si>
    <t>2046</t>
  </si>
  <si>
    <t>(896/598)</t>
  </si>
  <si>
    <t>2048</t>
  </si>
  <si>
    <t>(896/599)</t>
  </si>
  <si>
    <t>2200</t>
  </si>
  <si>
    <t>(896/600)</t>
  </si>
  <si>
    <t>2047</t>
  </si>
  <si>
    <t>(896/601)</t>
  </si>
  <si>
    <t>MikroTik hEX PoE lite by SNMP</t>
  </si>
  <si>
    <t>2041</t>
  </si>
  <si>
    <t>(896/602)</t>
  </si>
  <si>
    <t>2043</t>
  </si>
  <si>
    <t>(896/603)</t>
  </si>
  <si>
    <t>2199</t>
  </si>
  <si>
    <t>(896/604)</t>
  </si>
  <si>
    <t>2042</t>
  </si>
  <si>
    <t>(896/605)</t>
  </si>
  <si>
    <t>MikroTik hEX S by SNMP</t>
  </si>
  <si>
    <t>2051</t>
  </si>
  <si>
    <t>(896/606)</t>
  </si>
  <si>
    <t>2053</t>
  </si>
  <si>
    <t>(896/607)</t>
  </si>
  <si>
    <t>2201</t>
  </si>
  <si>
    <t>(896/608)</t>
  </si>
  <si>
    <t>2052</t>
  </si>
  <si>
    <t>(896/609)</t>
  </si>
  <si>
    <t>MikroTik hEX by SNMP</t>
  </si>
  <si>
    <t>2061</t>
  </si>
  <si>
    <t>(896/610)</t>
  </si>
  <si>
    <t>2063</t>
  </si>
  <si>
    <t>(896/611)</t>
  </si>
  <si>
    <t>2203</t>
  </si>
  <si>
    <t>(896/612)</t>
  </si>
  <si>
    <t>2062</t>
  </si>
  <si>
    <t>(896/613)</t>
  </si>
  <si>
    <t>MikroTik hEX lite by SNMP</t>
  </si>
  <si>
    <t>2056</t>
  </si>
  <si>
    <t>(896/614)</t>
  </si>
  <si>
    <t>2058</t>
  </si>
  <si>
    <t>(896/615)</t>
  </si>
  <si>
    <t>2202</t>
  </si>
  <si>
    <t>(896/616)</t>
  </si>
  <si>
    <t>2057</t>
  </si>
  <si>
    <t>(896/617)</t>
  </si>
  <si>
    <t>MikroTik netPower 15FR by SNMP</t>
  </si>
  <si>
    <t>2066</t>
  </si>
  <si>
    <t>(896/618)</t>
  </si>
  <si>
    <t>2068</t>
  </si>
  <si>
    <t>(896/619)</t>
  </si>
  <si>
    <t>2204</t>
  </si>
  <si>
    <t>(896/620)</t>
  </si>
  <si>
    <t>2067</t>
  </si>
  <si>
    <t>(896/621)</t>
  </si>
  <si>
    <t>MikroTik netPower 16P by SNMP</t>
  </si>
  <si>
    <t>2071</t>
  </si>
  <si>
    <t>(896/622)</t>
  </si>
  <si>
    <t>2073</t>
  </si>
  <si>
    <t>(896/623)</t>
  </si>
  <si>
    <t>2205</t>
  </si>
  <si>
    <t>(896/624)</t>
  </si>
  <si>
    <t>2072</t>
  </si>
  <si>
    <t>(896/625)</t>
  </si>
  <si>
    <t>MikroTik netPower Lite 7R by SNMP</t>
  </si>
  <si>
    <t>2076</t>
  </si>
  <si>
    <t>(896/626)</t>
  </si>
  <si>
    <t>2078</t>
  </si>
  <si>
    <t>(896/627)</t>
  </si>
  <si>
    <t>2206</t>
  </si>
  <si>
    <t>(896/628)</t>
  </si>
  <si>
    <t>2077</t>
  </si>
  <si>
    <t>(896/629)</t>
  </si>
  <si>
    <t>Mikrotik by SNMP</t>
  </si>
  <si>
    <t>(896/630)</t>
  </si>
  <si>
    <t>(896/631)</t>
  </si>
  <si>
    <t>2207</t>
  </si>
  <si>
    <t>(896/632)</t>
  </si>
  <si>
    <t>(896/633)</t>
  </si>
  <si>
    <t>MongoDB cluster by Zabbix agent 2</t>
  </si>
  <si>
    <t>1543</t>
  </si>
  <si>
    <t>(896/634)</t>
  </si>
  <si>
    <t>MongoDB node by Zabbix agent 2</t>
  </si>
  <si>
    <t>1530</t>
  </si>
  <si>
    <t>(896/635)</t>
  </si>
  <si>
    <t>1529</t>
  </si>
  <si>
    <t>(896/636)</t>
  </si>
  <si>
    <t>1528</t>
  </si>
  <si>
    <t>(896/637)</t>
  </si>
  <si>
    <t>1527</t>
  </si>
  <si>
    <t>(896/638)</t>
  </si>
  <si>
    <t>1531</t>
  </si>
  <si>
    <t>(896/639)</t>
  </si>
  <si>
    <t>1532</t>
  </si>
  <si>
    <t>(896/640)</t>
  </si>
  <si>
    <t>1533</t>
  </si>
  <si>
    <t>(896/641)</t>
  </si>
  <si>
    <t>Morningstar ProStar MPPT by SNMP</t>
  </si>
  <si>
    <t>1457</t>
  </si>
  <si>
    <t>(896/642)</t>
  </si>
  <si>
    <t>Morningstar ProStar PWM by SNMP</t>
  </si>
  <si>
    <t>(896/643)</t>
  </si>
  <si>
    <t>Morningstar SunSaver MPPT by SNMP</t>
  </si>
  <si>
    <t>(896/644)</t>
  </si>
  <si>
    <t>Morningstar SureSine by SNMP</t>
  </si>
  <si>
    <t>(896/645)</t>
  </si>
  <si>
    <t>Morningstar TriStar MPPT 600V by SNMP</t>
  </si>
  <si>
    <t>(896/646)</t>
  </si>
  <si>
    <t>Morningstar TriStar MPPT by SNMP</t>
  </si>
  <si>
    <t>(896/647)</t>
  </si>
  <si>
    <t>Morningstar TriStar PWM by SNMP</t>
  </si>
  <si>
    <t>(896/648)</t>
  </si>
  <si>
    <t>(896/649)</t>
  </si>
  <si>
    <t>1482</t>
  </si>
  <si>
    <t>(896/650)</t>
  </si>
  <si>
    <t>1485</t>
  </si>
  <si>
    <t>(896/651)</t>
  </si>
  <si>
    <t>1486</t>
  </si>
  <si>
    <t>(896/652)</t>
  </si>
  <si>
    <t>NGINX Plus by HTTP</t>
  </si>
  <si>
    <t>1637</t>
  </si>
  <si>
    <t>(896/653)</t>
  </si>
  <si>
    <t>1638</t>
  </si>
  <si>
    <t>(896/654)</t>
  </si>
  <si>
    <t>1639</t>
  </si>
  <si>
    <t>(896/655)</t>
  </si>
  <si>
    <t>1640</t>
  </si>
  <si>
    <t>(896/656)</t>
  </si>
  <si>
    <t>1641</t>
  </si>
  <si>
    <t>(896/657)</t>
  </si>
  <si>
    <t>1642</t>
  </si>
  <si>
    <t>(896/658)</t>
  </si>
  <si>
    <t>1643</t>
  </si>
  <si>
    <t>(896/659)</t>
  </si>
  <si>
    <t>1644</t>
  </si>
  <si>
    <t>(896/660)</t>
  </si>
  <si>
    <t>1645</t>
  </si>
  <si>
    <t>(896/661)</t>
  </si>
  <si>
    <t>1646</t>
  </si>
  <si>
    <t>(896/662)</t>
  </si>
  <si>
    <t>NetApp AFF A700 by HTTP</t>
  </si>
  <si>
    <t>1572</t>
  </si>
  <si>
    <t>(896/663)</t>
  </si>
  <si>
    <t>1571</t>
  </si>
  <si>
    <t>(896/664)</t>
  </si>
  <si>
    <t>NetApp FAS3220 by SNMP</t>
  </si>
  <si>
    <t>1496</t>
  </si>
  <si>
    <t>(896/665)</t>
  </si>
  <si>
    <t>1498</t>
  </si>
  <si>
    <t>(896/666)</t>
  </si>
  <si>
    <t>1497</t>
  </si>
  <si>
    <t>(896/667)</t>
  </si>
  <si>
    <t>Netgear Fastpath by SNMP</t>
  </si>
  <si>
    <t>2208</t>
  </si>
  <si>
    <t>(896/668)</t>
  </si>
  <si>
    <t>Network Generic Device by SNMP</t>
  </si>
  <si>
    <t>2147</t>
  </si>
  <si>
    <t>(896/669)</t>
  </si>
  <si>
    <t>Nextcloud by HTTP</t>
  </si>
  <si>
    <t>2576</t>
  </si>
  <si>
    <t>Nextcloud: User "{#NEXTCLOUD.USER}": Quota</t>
  </si>
  <si>
    <t>Nextcloud: 用户"{#NEXTCLOUD.USER}": 配额</t>
  </si>
  <si>
    <t>(896/670)</t>
  </si>
  <si>
    <t>2577</t>
  </si>
  <si>
    <t>Nextcloud: User "{#NEXTCLOUD.USER}": Quota, history</t>
  </si>
  <si>
    <t>Nextcloud: 用户"{#NEXTCLOUD.USER}": 配额,历史记录</t>
  </si>
  <si>
    <t>(896/671)</t>
  </si>
  <si>
    <t>OPNsense by SNMP</t>
  </si>
  <si>
    <t>2403</t>
  </si>
  <si>
    <t>(896/672)</t>
  </si>
  <si>
    <t>2402</t>
  </si>
  <si>
    <t>(896/673)</t>
  </si>
  <si>
    <t>2404</t>
  </si>
  <si>
    <t>(896/674)</t>
  </si>
  <si>
    <t>OpenBSD by Zabbix agent</t>
  </si>
  <si>
    <t>(896/675)</t>
  </si>
  <si>
    <t>(896/676)</t>
  </si>
  <si>
    <t>OpenStack Nova by HTTP</t>
  </si>
  <si>
    <t>2534</t>
  </si>
  <si>
    <t>Tenant [{#TENANT_ID}]: Total disk utilization</t>
  </si>
  <si>
    <t>租户[{#TENANT_ID}]: 磁盘总使用率</t>
  </si>
  <si>
    <t>(896/677)</t>
  </si>
  <si>
    <t>2535</t>
  </si>
  <si>
    <t>Tenant [{#TENANT_ID}]: Total hours utilization</t>
  </si>
  <si>
    <t>租户[{#TENANT_ID}]: 总时长使用率</t>
  </si>
  <si>
    <t>(896/678)</t>
  </si>
  <si>
    <t>2536</t>
  </si>
  <si>
    <t>Tenant [{#TENANT_ID}]: Total memory utilization</t>
  </si>
  <si>
    <t>租户[{#TENANT_ID}]: 总内存使用率</t>
  </si>
  <si>
    <t>(896/679)</t>
  </si>
  <si>
    <t>2537</t>
  </si>
  <si>
    <t>Tenant [{#TENANT_ID}]: Total vCPUs utilization</t>
  </si>
  <si>
    <t>租户[{#TENANT_ID}]: 总CPU使用率</t>
  </si>
  <si>
    <t>(896/680)</t>
  </si>
  <si>
    <t>OpenWeatherMap by HTTP</t>
  </si>
  <si>
    <t>2291</t>
  </si>
  <si>
    <t>[{#LOCATION}, {#COUNTRY}]: Atmospheric pressure</t>
  </si>
  <si>
    <t>[{#LOCATION},{#COUNTRY}]: 大气压力</t>
  </si>
  <si>
    <t>(896/681)</t>
  </si>
  <si>
    <t>2292</t>
  </si>
  <si>
    <t>[{#LOCATION}, {#COUNTRY}]: Rain volume</t>
  </si>
  <si>
    <t>[{#LOCATION},{#COUNTRY}]: 降雨量</t>
  </si>
  <si>
    <t>(896/682)</t>
  </si>
  <si>
    <t>2293</t>
  </si>
  <si>
    <t>[{#LOCATION}, {#COUNTRY}]: Snow volume</t>
  </si>
  <si>
    <t>[{#LOCATION},{#COUNTRY}]: 雪量</t>
  </si>
  <si>
    <t>(896/683)</t>
  </si>
  <si>
    <t>2294</t>
  </si>
  <si>
    <t>[{#LOCATION}, {#COUNTRY}]: Temperature</t>
  </si>
  <si>
    <t>[{#LOCATION},{#COUNTRY}]: 温度</t>
  </si>
  <si>
    <t>(896/684)</t>
  </si>
  <si>
    <t>Oracle Cloud Compute by HTTP</t>
  </si>
  <si>
    <t>2680</t>
  </si>
  <si>
    <t>VNIC [{#NAME}]: Network bytes in</t>
  </si>
  <si>
    <t>VNIC [{#NAME}]: 入网字节数</t>
  </si>
  <si>
    <t>(896/685)</t>
  </si>
  <si>
    <t>2681</t>
  </si>
  <si>
    <t>VNIC [{#NAME}]: Network bytes out</t>
  </si>
  <si>
    <t>VNIC [{#NAME}]: 出网字节数</t>
  </si>
  <si>
    <t>(896/686)</t>
  </si>
  <si>
    <t>2682</t>
  </si>
  <si>
    <t>VNIC [{#NAME}]: Network packets dropped by connection tracking table</t>
  </si>
  <si>
    <t>VNIC [{#NAME}]: 由连接跟踪表丢弃的网络数据包</t>
  </si>
  <si>
    <t>(896/687)</t>
  </si>
  <si>
    <t>2683</t>
  </si>
  <si>
    <t>VNIC [{#NAME}]: Network packets dropped by security list</t>
  </si>
  <si>
    <t>VNIC [{#NAME}]: 由安全列表丢弃的网络数据包</t>
  </si>
  <si>
    <t>(896/688)</t>
  </si>
  <si>
    <t>2684</t>
  </si>
  <si>
    <t>VNIC [{#NAME}]: Network packets in</t>
  </si>
  <si>
    <t>VNIC [{#NAME}]: 入网数据包数</t>
  </si>
  <si>
    <t>(896/689)</t>
  </si>
  <si>
    <t>2685</t>
  </si>
  <si>
    <t>VNIC [{#NAME}]: Network packets out</t>
  </si>
  <si>
    <t>VNIC [{#NAME}]: 出网数据包数</t>
  </si>
  <si>
    <t>(896/690)</t>
  </si>
  <si>
    <t>2686</t>
  </si>
  <si>
    <t>VNIC [{#NAME}]: Smartnic buffer drops</t>
  </si>
  <si>
    <t>VNIC [{#NAME}]: Smartnic 缓冲区丢弃数</t>
  </si>
  <si>
    <t>(896/691)</t>
  </si>
  <si>
    <t>Oracle by ODBC</t>
  </si>
  <si>
    <t>2465</t>
  </si>
  <si>
    <t>(896/692)</t>
  </si>
  <si>
    <t>2466</t>
  </si>
  <si>
    <t>Oracle '{#CON_NAME}' TBS '{#TABLESPACE}': Tablespace '{#TABLESPACE}'</t>
  </si>
  <si>
    <t>Oracle"{#CON_NAME}"TBS"{#TABLESPACE}": 表空间"{#TABLESPACE}"</t>
  </si>
  <si>
    <t>(896/693)</t>
  </si>
  <si>
    <t>Oracle by Zabbix agent 2</t>
  </si>
  <si>
    <t>2463</t>
  </si>
  <si>
    <t>(896/694)</t>
  </si>
  <si>
    <t>2464</t>
  </si>
  <si>
    <t>(896/695)</t>
  </si>
  <si>
    <t>PFSense by SNMP</t>
  </si>
  <si>
    <t>2103</t>
  </si>
  <si>
    <t>(896/696)</t>
  </si>
  <si>
    <t>2102</t>
  </si>
  <si>
    <t>(896/697)</t>
  </si>
  <si>
    <t>2104</t>
  </si>
  <si>
    <t>(896/698)</t>
  </si>
  <si>
    <t>PostgreSQL by ODBC</t>
  </si>
  <si>
    <t>2547</t>
  </si>
  <si>
    <t>Application [{#APPLICATION_NAME}]: Replication lag</t>
  </si>
  <si>
    <t>应用程序[{#APPLICATION_NAME}]: 复制延迟</t>
  </si>
  <si>
    <t>(896/699)</t>
  </si>
  <si>
    <t>2542</t>
  </si>
  <si>
    <t>DB [{#DBNAME}]: Number of bloating tables</t>
  </si>
  <si>
    <t>DB[{#DBNAME}]: 膨胀表的数量</t>
  </si>
  <si>
    <t>(896/700)</t>
  </si>
  <si>
    <t>2543</t>
  </si>
  <si>
    <t>DB [{#DBNAME}]: pg_stat_database metrics</t>
  </si>
  <si>
    <t>DB[{#DBNAME}]: pg_stat_database指标</t>
  </si>
  <si>
    <t>(896/701)</t>
  </si>
  <si>
    <t>2545</t>
  </si>
  <si>
    <t>DB [{#DBNAME}]: Size</t>
  </si>
  <si>
    <t>DB[{#DBNAME}]: 大小</t>
  </si>
  <si>
    <t>(896/702)</t>
  </si>
  <si>
    <t>2541</t>
  </si>
  <si>
    <t>DB [{#DBNAME}]: Locks</t>
  </si>
  <si>
    <t>DB[{#DBNAME}]: 锁</t>
  </si>
  <si>
    <t>(896/703)</t>
  </si>
  <si>
    <t>2544</t>
  </si>
  <si>
    <t>DB [{#DBNAME}]: Queries</t>
  </si>
  <si>
    <t>DB[{#DBNAME}]: 查询</t>
  </si>
  <si>
    <t>(896/704)</t>
  </si>
  <si>
    <t>2546</t>
  </si>
  <si>
    <t>DB [{#DBNAME}]: Slow queries</t>
  </si>
  <si>
    <t>DB[{#DBNAME}]: 慢速查询</t>
  </si>
  <si>
    <t>(896/705)</t>
  </si>
  <si>
    <t>PostgreSQL by Zabbix agent</t>
  </si>
  <si>
    <t>DB [{#DBNAME}]: Block hit/read</t>
  </si>
  <si>
    <t>DB[{#DBNAME}]: 阻止命中/读取</t>
  </si>
  <si>
    <t>(896/706)</t>
  </si>
  <si>
    <t>1382</t>
  </si>
  <si>
    <t>DB [{#DBNAME}]: Events</t>
  </si>
  <si>
    <t>DB[{#DBNAME}]: 事件</t>
  </si>
  <si>
    <t>(896/707)</t>
  </si>
  <si>
    <t>DB [{#DBNAME}]: Database size</t>
  </si>
  <si>
    <t>DB[{#DBNAME}]: 数据库大小</t>
  </si>
  <si>
    <t>(896/708)</t>
  </si>
  <si>
    <t>(896/709)</t>
  </si>
  <si>
    <t>(896/710)</t>
  </si>
  <si>
    <t>1385</t>
  </si>
  <si>
    <t>(896/711)</t>
  </si>
  <si>
    <t>1386</t>
  </si>
  <si>
    <t>DB [{#DBNAME}]: Temp files</t>
  </si>
  <si>
    <t>DB[{#DBNAME}]: 临时文件</t>
  </si>
  <si>
    <t>(896/712)</t>
  </si>
  <si>
    <t>DB [{#DBNAME}]: Tuples</t>
  </si>
  <si>
    <t>DB[{#DBNAME}]: 元组</t>
  </si>
  <si>
    <t>(896/713)</t>
  </si>
  <si>
    <t>PostgreSQL by Zabbix agent 2</t>
  </si>
  <si>
    <t>1456</t>
  </si>
  <si>
    <t>(896/714)</t>
  </si>
  <si>
    <t>(896/715)</t>
  </si>
  <si>
    <t>(896/716)</t>
  </si>
  <si>
    <t>1222</t>
  </si>
  <si>
    <t>(896/717)</t>
  </si>
  <si>
    <t>1219</t>
  </si>
  <si>
    <t>(896/718)</t>
  </si>
  <si>
    <t>2295</t>
  </si>
  <si>
    <t>(896/719)</t>
  </si>
  <si>
    <t>2296</t>
  </si>
  <si>
    <t>(896/720)</t>
  </si>
  <si>
    <t>Proxmox VE by HTTP</t>
  </si>
  <si>
    <t>2297</t>
  </si>
  <si>
    <t>Proxmox: LXC [{#NODE.NAME}/{#LXC.NAME} ({#LXC.ID})]: CPU usage</t>
  </si>
  <si>
    <t>Proxmox: LXC[{#NODE.NAME}/{#LXC.NAME}({#LXC.ID})]: CPU使用率</t>
  </si>
  <si>
    <t>(896/721)</t>
  </si>
  <si>
    <t>2298</t>
  </si>
  <si>
    <t>Proxmox: LXC [{#NODE.NAME}/{#LXC.NAME} ({#LXC.ID})]: Disk usage</t>
  </si>
  <si>
    <t>Proxmox: LXC[{#NODE.NAME}/{#LXC.NAME}({#LXC.ID})]: 磁盘使用率</t>
  </si>
  <si>
    <t>(896/722)</t>
  </si>
  <si>
    <t>2300</t>
  </si>
  <si>
    <t>Proxmox: LXC [{#NODE.NAME}/{#LXC.NAME} ({#LXC.ID})]: Network usage</t>
  </si>
  <si>
    <t>Proxmox: LXC[{#NODE.NAME}/{#LXC.NAME}({#LXC.ID})]: 网络使用率</t>
  </si>
  <si>
    <t>(896/723)</t>
  </si>
  <si>
    <t>2299</t>
  </si>
  <si>
    <t>Proxmox: LXC [{#NODE.NAME}/{#LXC.NAME} ({#LXC.ID})]: Memory usage</t>
  </si>
  <si>
    <t>Proxmox: LXC[{#NODE.NAME}/{#LXC.NAME}({#LXC.ID})]: 内存使用率</t>
  </si>
  <si>
    <t>(896/724)</t>
  </si>
  <si>
    <t>2301</t>
  </si>
  <si>
    <t>Proxmox: Node [{#NODE.NAME}]: CPU usage</t>
  </si>
  <si>
    <t>Proxmox: 节点[{#NODE.NAME}]: CPU使用率</t>
  </si>
  <si>
    <t>(896/725)</t>
  </si>
  <si>
    <t>2303</t>
  </si>
  <si>
    <t>Proxmox: Node [{#NODE.NAME}]: Network usage</t>
  </si>
  <si>
    <t>Proxmox: 节点[{#NODE.NAME}]: 网络使用率</t>
  </si>
  <si>
    <t>(896/726)</t>
  </si>
  <si>
    <t>2302</t>
  </si>
  <si>
    <t>Proxmox: Node [{#NODE.NAME}]: Memory usage</t>
  </si>
  <si>
    <t>Proxmox: 节点[{#NODE.NAME}]: 内存使用率</t>
  </si>
  <si>
    <t>(896/727)</t>
  </si>
  <si>
    <t>2304</t>
  </si>
  <si>
    <t>Proxmox: Node [{#NODE.NAME}]: Root filesystem usage</t>
  </si>
  <si>
    <t>Proxmox: 节点[{#NODE.NAME}]: 根文件系统使用率</t>
  </si>
  <si>
    <t>(896/728)</t>
  </si>
  <si>
    <t>2305</t>
  </si>
  <si>
    <t>Proxmox: Node [{#NODE.NAME}]: Swap usage</t>
  </si>
  <si>
    <t>Proxmox: 节点[{#NODE.NAME}]: 交换使用率</t>
  </si>
  <si>
    <t>(896/729)</t>
  </si>
  <si>
    <t>2310</t>
  </si>
  <si>
    <t>Proxmox: Storage [{#NODE.NAME}/{#STORAGE.NAME}]: Usage</t>
  </si>
  <si>
    <t>Proxmox: 存储[{#NODE.NAME}/{#STORAGE.NAME}]: 用法</t>
  </si>
  <si>
    <t>(896/730)</t>
  </si>
  <si>
    <t>2306</t>
  </si>
  <si>
    <t>Proxmox: VM [{#NODE.NAME}/{#QEMU.NAME} ({#QEMU.ID})]: CPU usage</t>
  </si>
  <si>
    <t>Proxmox: VM[{#NODE.NAME}/{#QEMU.NAME}({#QEMU.ID})]: CPU使用率</t>
  </si>
  <si>
    <t>(896/731)</t>
  </si>
  <si>
    <t>2475</t>
  </si>
  <si>
    <t>Proxmox: VM [{#NODE.NAME}/{#QEMU.NAME} ({#QEMU.ID})]: Disk usage</t>
  </si>
  <si>
    <t>Proxmox: VM[{#NODE.NAME}/{#QEMU.NAME}({#QEMU.ID})]: 磁盘使用率</t>
  </si>
  <si>
    <t>(896/732)</t>
  </si>
  <si>
    <t>2307</t>
  </si>
  <si>
    <t>Proxmox: VM [{#NODE.NAME}/{#QEMU.NAME} ({#QEMU.ID})]: Network usage</t>
  </si>
  <si>
    <t>Proxmox: VM[{#NODE.NAME}/{#QEMU.NAME}({#QEMU.ID})]: 网络使用率</t>
  </si>
  <si>
    <t>(896/733)</t>
  </si>
  <si>
    <t>2308</t>
  </si>
  <si>
    <t>Proxmox: VM [{#NODE.NAME}/{#QEMU.NAME} ({#QEMU.ID})]: Memory usage</t>
  </si>
  <si>
    <t>Proxmox: VM[{#NODE.NAME}/{#QEMU.NAME}({#QEMU.ID})]: 内存使用率</t>
  </si>
  <si>
    <t>(896/734)</t>
  </si>
  <si>
    <t>QTech QSW by SNMP</t>
  </si>
  <si>
    <t>2209</t>
  </si>
  <si>
    <t>(896/735)</t>
  </si>
  <si>
    <t>RabbitMQ node by HTTP</t>
  </si>
  <si>
    <t>1014</t>
  </si>
  <si>
    <t>(896/736)</t>
  </si>
  <si>
    <t>1015</t>
  </si>
  <si>
    <t>(896/737)</t>
  </si>
  <si>
    <t>RabbitMQ node by Zabbix agent</t>
  </si>
  <si>
    <t>1000</t>
  </si>
  <si>
    <t>(896/738)</t>
  </si>
  <si>
    <t>1001</t>
  </si>
  <si>
    <t>(896/739)</t>
  </si>
  <si>
    <t>Redis by Zabbix agent 2</t>
  </si>
  <si>
    <t>(896/740)</t>
  </si>
  <si>
    <t>(896/741)</t>
  </si>
  <si>
    <t>(896/742)</t>
  </si>
  <si>
    <t>(896/743)</t>
  </si>
  <si>
    <t>Solaris by Zabbix agent</t>
  </si>
  <si>
    <t>(896/744)</t>
  </si>
  <si>
    <t>(896/745)</t>
  </si>
  <si>
    <t>TP-LINK by SNMP</t>
  </si>
  <si>
    <t>(896/746)</t>
  </si>
  <si>
    <t>(896/747)</t>
  </si>
  <si>
    <t>2210</t>
  </si>
  <si>
    <t>(896/748)</t>
  </si>
  <si>
    <t>TiDB PD by HTTP</t>
  </si>
  <si>
    <t>2517</t>
  </si>
  <si>
    <t>TiDB cluster: Stores number by states[{#SINGLETON}]</t>
  </si>
  <si>
    <t>TiDB cluster: 按状态存储数字[{#SINGLETON}]</t>
  </si>
  <si>
    <t>(896/749)</t>
  </si>
  <si>
    <t>1577</t>
  </si>
  <si>
    <t>TiDB cluster: Storage Usage[{#SINGLETON}]</t>
  </si>
  <si>
    <t>TiDB cluster: 存储使用率[{#SINGLETON}]</t>
  </si>
  <si>
    <t>(896/750)</t>
  </si>
  <si>
    <t>Travis CI by HTTP</t>
  </si>
  <si>
    <t>1806</t>
  </si>
  <si>
    <t>Travis: Repo [{#SLUG}]: Builds</t>
  </si>
  <si>
    <t>Travis: Repo [{#SLUG}]: 生成</t>
  </si>
  <si>
    <t>(896/751)</t>
  </si>
  <si>
    <t>TrueNAS CORE by SNMP</t>
  </si>
  <si>
    <t>2311</t>
  </si>
  <si>
    <t>TrueNAS CORE: CPU usage{#SINGLETON}</t>
  </si>
  <si>
    <t>TrueNAS CORE: CPU使用率{#SINGLETON}</t>
  </si>
  <si>
    <t>(896/752)</t>
  </si>
  <si>
    <t>2312</t>
  </si>
  <si>
    <t>TrueNAS CORE: CPU utilization{#SINGLETON}</t>
  </si>
  <si>
    <t>TrueNAS CORE: CPU利用率{#SINGLETON}</t>
  </si>
  <si>
    <t>(896/753)</t>
  </si>
  <si>
    <t>2314</t>
  </si>
  <si>
    <t>TrueNAS CORE: Dataset [{#DATASET_NAME}]: Space usage</t>
  </si>
  <si>
    <t>TrueNAS CORE: 数据集 [{#DATASET_NAME}]: 空间使用率</t>
  </si>
  <si>
    <t>(896/754)</t>
  </si>
  <si>
    <t>2478</t>
  </si>
  <si>
    <t>TrueNAS CORE: Disk [{#DISK_NAME}]: Temperature</t>
  </si>
  <si>
    <t>TrueNAS CORE: 磁盘 [{#DISK_NAME}]: 温度</t>
  </si>
  <si>
    <t>(896/755)</t>
  </si>
  <si>
    <t>2313</t>
  </si>
  <si>
    <t>TrueNAS CORE: Interface [{#IFNAME}({#IFALIAS})]: Network traffic</t>
  </si>
  <si>
    <t>TrueNAS CORE: 接口 [{#IFNAME}({#IFALIAS})]: 网络流量</t>
  </si>
  <si>
    <t>(896/756)</t>
  </si>
  <si>
    <t>2315</t>
  </si>
  <si>
    <t>TrueNAS CORE: Pool [{#POOLNAME}]: Read/write rates</t>
  </si>
  <si>
    <t>TrueNAS CORE: 存储池 [{#POOLNAME}]: 读写速率</t>
  </si>
  <si>
    <t>(896/757)</t>
  </si>
  <si>
    <t>2316</t>
  </si>
  <si>
    <t>TrueNAS CORE: Pool [{#POOLNAME}]: Space usage</t>
  </si>
  <si>
    <t>TrueNAS CORE: 存储池 [{#POOLNAME}]: 空间使用率</t>
  </si>
  <si>
    <t>(896/758)</t>
  </si>
  <si>
    <t>2317</t>
  </si>
  <si>
    <t>TrueNAS CORE: ZFS volume [{#ZVOL_NAME}]: Space usage</t>
  </si>
  <si>
    <t>TrueNAS CORE: ZFS卷 [{#ZVOL_NAME}]: 空间使用率</t>
  </si>
  <si>
    <t>(896/759)</t>
  </si>
  <si>
    <t>2318</t>
  </si>
  <si>
    <t>TrueNAS CORE: [{#DEVNAME}]: Read/write rates</t>
  </si>
  <si>
    <t>TrueNAS CORE: [{#DEVNAME}]: 读写速率</t>
  </si>
  <si>
    <t>(896/760)</t>
  </si>
  <si>
    <t>Ubiquiti AirOS by SNMP</t>
  </si>
  <si>
    <t>2211</t>
  </si>
  <si>
    <t>(896/761)</t>
  </si>
  <si>
    <t>VMWare SD-WAN VeloCloud by HTTP</t>
  </si>
  <si>
    <t>2080</t>
  </si>
  <si>
    <t>Gateway [{#NAME}]: Utilization</t>
  </si>
  <si>
    <t>网关[{#NAME}]: 利用率</t>
  </si>
  <si>
    <t>(896/762)</t>
  </si>
  <si>
    <t>2081</t>
  </si>
  <si>
    <t>Link [{#NAME}]:[{#IP}]: Best loss</t>
  </si>
  <si>
    <t>链接[{#NAME}]: [{#IP}]: 最佳损失</t>
  </si>
  <si>
    <t>(896/763)</t>
  </si>
  <si>
    <t>2082</t>
  </si>
  <si>
    <t>Link [{#NAME}]:[{#IP}]: Bytes summary</t>
  </si>
  <si>
    <t>链接[{#NAME}]: [{#IP}]: 字节摘要</t>
  </si>
  <si>
    <t>(896/764)</t>
  </si>
  <si>
    <t>2083</t>
  </si>
  <si>
    <t>Link [{#NAME}]:[{#IP}]: Packets summary</t>
  </si>
  <si>
    <t>链接[{#NAME}]: [{#IP}]: 数据包摘要</t>
  </si>
  <si>
    <t>(896/765)</t>
  </si>
  <si>
    <t>2084</t>
  </si>
  <si>
    <t>SDWAN Peer [{#NAME}]:[{#TYPE}]: {#EDGE.ID}: Path overview</t>
  </si>
  <si>
    <t>SDWAN对端[{#NAME}]: [{#TYPE}]: {#EDGE.ID}: 路径概述</t>
  </si>
  <si>
    <t>(896/766)</t>
  </si>
  <si>
    <t>WildFly Server by JMX</t>
  </si>
  <si>
    <t>1617</t>
  </si>
  <si>
    <t>(896/767)</t>
  </si>
  <si>
    <t>1616</t>
  </si>
  <si>
    <t>(896/768)</t>
  </si>
  <si>
    <t>1614</t>
  </si>
  <si>
    <t>(896/769)</t>
  </si>
  <si>
    <t>1615</t>
  </si>
  <si>
    <t>(896/770)</t>
  </si>
  <si>
    <t>Windows by SNMP</t>
  </si>
  <si>
    <t>2283</t>
  </si>
  <si>
    <t>(896/771)</t>
  </si>
  <si>
    <t>2284</t>
  </si>
  <si>
    <t>(896/772)</t>
  </si>
  <si>
    <t>2285</t>
  </si>
  <si>
    <t>(896/773)</t>
  </si>
  <si>
    <t>Windows by Zabbix agent</t>
  </si>
  <si>
    <t>2261</t>
  </si>
  <si>
    <t>(896/774)</t>
  </si>
  <si>
    <t>2262</t>
  </si>
  <si>
    <t>(896/775)</t>
  </si>
  <si>
    <t>2265</t>
  </si>
  <si>
    <t>(896/776)</t>
  </si>
  <si>
    <t>2264</t>
  </si>
  <si>
    <t>(896/777)</t>
  </si>
  <si>
    <t>2263</t>
  </si>
  <si>
    <t>(896/778)</t>
  </si>
  <si>
    <t>2266</t>
  </si>
  <si>
    <t>{#FSLABEL}({#FSNAME}): Disk space usage</t>
  </si>
  <si>
    <t>{#FSLABEL}({#FSNAME}): 磁盘空间使用率</t>
  </si>
  <si>
    <t>(896/779)</t>
  </si>
  <si>
    <t>Windows by Zabbix agent active</t>
  </si>
  <si>
    <t>2272</t>
  </si>
  <si>
    <t>(896/780)</t>
  </si>
  <si>
    <t>2273</t>
  </si>
  <si>
    <t>(896/781)</t>
  </si>
  <si>
    <t>2276</t>
  </si>
  <si>
    <t>(896/782)</t>
  </si>
  <si>
    <t>2275</t>
  </si>
  <si>
    <t>(896/783)</t>
  </si>
  <si>
    <t>2274</t>
  </si>
  <si>
    <t>(896/784)</t>
  </si>
  <si>
    <t>2277</t>
  </si>
  <si>
    <t>(896/785)</t>
  </si>
  <si>
    <t>Windows filesystems by Zabbix agent</t>
  </si>
  <si>
    <t>(896/786)</t>
  </si>
  <si>
    <t>Windows filesystems by Zabbix agent active</t>
  </si>
  <si>
    <t>(896/787)</t>
  </si>
  <si>
    <t>Windows network by Zabbix agent</t>
  </si>
  <si>
    <t>1238</t>
  </si>
  <si>
    <t>(896/788)</t>
  </si>
  <si>
    <t>Windows network by Zabbix agent active</t>
  </si>
  <si>
    <t>(896/789)</t>
  </si>
  <si>
    <t>Windows physical disks by Zabbix agent</t>
  </si>
  <si>
    <t>1242</t>
  </si>
  <si>
    <t>(896/790)</t>
  </si>
  <si>
    <t>1488</t>
  </si>
  <si>
    <t>(896/791)</t>
  </si>
  <si>
    <t>1490</t>
  </si>
  <si>
    <t>(896/792)</t>
  </si>
  <si>
    <t>1240</t>
  </si>
  <si>
    <t>(896/793)</t>
  </si>
  <si>
    <t>Windows physical disks by Zabbix agent active</t>
  </si>
  <si>
    <t>1311</t>
  </si>
  <si>
    <t>(896/794)</t>
  </si>
  <si>
    <t>1492</t>
  </si>
  <si>
    <t>(896/795)</t>
  </si>
  <si>
    <t>1494</t>
  </si>
  <si>
    <t>(896/796)</t>
  </si>
  <si>
    <t>1309</t>
  </si>
  <si>
    <t>(896/797)</t>
  </si>
  <si>
    <t>YugabyteDB Cluster by HTTP</t>
  </si>
  <si>
    <t>2614</t>
  </si>
  <si>
    <t>YugabyteDB Keyspace [{#KEYSPACE.NAME}]: Keyspace size</t>
  </si>
  <si>
    <t>YugabyteDB键值空间 [{#KEYSPACE.NAME}]: 键值空间大小</t>
  </si>
  <si>
    <t>(896/798)</t>
  </si>
  <si>
    <t>2615</t>
  </si>
  <si>
    <t>YugabyteDB Node [{#NODE.NAME}]: Node disk IOPS number</t>
  </si>
  <si>
    <t>YugabyteDB节点 [{#NODE.NAME}]: 节点磁盘IOPS数量</t>
  </si>
  <si>
    <t>(896/799)</t>
  </si>
  <si>
    <t>2616</t>
  </si>
  <si>
    <t>YugabyteDB Node [{#NODE.NAME}]: SST size</t>
  </si>
  <si>
    <t>YugabyteDB节点 [{#NODE.NAME}]: SST大小</t>
  </si>
  <si>
    <t>(896/800)</t>
  </si>
  <si>
    <t>ZYXEL AAM1212-51 IES-612 by SNMP</t>
  </si>
  <si>
    <t>(896/801)</t>
  </si>
  <si>
    <t>(896/802)</t>
  </si>
  <si>
    <t>(896/803)</t>
  </si>
  <si>
    <t>(896/804)</t>
  </si>
  <si>
    <t>ZYXEL ES3500-8PD by SNMP</t>
  </si>
  <si>
    <t>(896/805)</t>
  </si>
  <si>
    <t>(896/806)</t>
  </si>
  <si>
    <t>1706</t>
  </si>
  <si>
    <t>(896/807)</t>
  </si>
  <si>
    <t>1707</t>
  </si>
  <si>
    <t>(896/808)</t>
  </si>
  <si>
    <t>1708</t>
  </si>
  <si>
    <t>(896/809)</t>
  </si>
  <si>
    <t>(896/810)</t>
  </si>
  <si>
    <t>ZYXEL GS-4012F by SNMP</t>
  </si>
  <si>
    <t>(896/811)</t>
  </si>
  <si>
    <t>(896/812)</t>
  </si>
  <si>
    <t>(896/813)</t>
  </si>
  <si>
    <t>(896/814)</t>
  </si>
  <si>
    <t>(896/815)</t>
  </si>
  <si>
    <t>(896/816)</t>
  </si>
  <si>
    <t>ZYXEL IES-500x by SNMP</t>
  </si>
  <si>
    <t>(896/817)</t>
  </si>
  <si>
    <t>(896/818)</t>
  </si>
  <si>
    <t>(896/819)</t>
  </si>
  <si>
    <t>(896/820)</t>
  </si>
  <si>
    <t>(896/821)</t>
  </si>
  <si>
    <t>(896/822)</t>
  </si>
  <si>
    <t>(896/823)</t>
  </si>
  <si>
    <t>(896/824)</t>
  </si>
  <si>
    <t>(896/825)</t>
  </si>
  <si>
    <t>(896/826)</t>
  </si>
  <si>
    <t>(896/827)</t>
  </si>
  <si>
    <t>ZYXEL IES-6000 by SNMP</t>
  </si>
  <si>
    <t>(896/828)</t>
  </si>
  <si>
    <t>(896/829)</t>
  </si>
  <si>
    <t>(896/830)</t>
  </si>
  <si>
    <t>(896/831)</t>
  </si>
  <si>
    <t>(896/832)</t>
  </si>
  <si>
    <t>(896/833)</t>
  </si>
  <si>
    <t>(896/834)</t>
  </si>
  <si>
    <t>(896/835)</t>
  </si>
  <si>
    <t>(896/836)</t>
  </si>
  <si>
    <t>(896/837)</t>
  </si>
  <si>
    <t>(896/838)</t>
  </si>
  <si>
    <t>ZYXEL IES1248-51 by SNMP</t>
  </si>
  <si>
    <t>(896/839)</t>
  </si>
  <si>
    <t>1745</t>
  </si>
  <si>
    <t>(896/840)</t>
  </si>
  <si>
    <t>(896/841)</t>
  </si>
  <si>
    <t>(896/842)</t>
  </si>
  <si>
    <t>(896/843)</t>
  </si>
  <si>
    <t>ZYXEL MES-3528 by SNMP</t>
  </si>
  <si>
    <t>(896/844)</t>
  </si>
  <si>
    <t>(896/845)</t>
  </si>
  <si>
    <t>(896/846)</t>
  </si>
  <si>
    <t>(896/847)</t>
  </si>
  <si>
    <t>ZYXEL MES3500-10 by SNMP</t>
  </si>
  <si>
    <t>(896/848)</t>
  </si>
  <si>
    <t>(896/849)</t>
  </si>
  <si>
    <t>1752</t>
  </si>
  <si>
    <t>(896/850)</t>
  </si>
  <si>
    <t>(896/851)</t>
  </si>
  <si>
    <t>(896/852)</t>
  </si>
  <si>
    <t>(896/853)</t>
  </si>
  <si>
    <t>ZYXEL MES3500-24 by SNMP</t>
  </si>
  <si>
    <t>(896/854)</t>
  </si>
  <si>
    <t>(896/855)</t>
  </si>
  <si>
    <t>(896/856)</t>
  </si>
  <si>
    <t>(896/857)</t>
  </si>
  <si>
    <t>(896/858)</t>
  </si>
  <si>
    <t>(896/859)</t>
  </si>
  <si>
    <t>ZYXEL MES3500-24S by SNMP</t>
  </si>
  <si>
    <t>(896/860)</t>
  </si>
  <si>
    <t>(896/861)</t>
  </si>
  <si>
    <t>(896/862)</t>
  </si>
  <si>
    <t>1784</t>
  </si>
  <si>
    <t>(896/863)</t>
  </si>
  <si>
    <t>(896/864)</t>
  </si>
  <si>
    <t>(896/865)</t>
  </si>
  <si>
    <t>(896/866)</t>
  </si>
  <si>
    <t>ZYXEL MGS-3712 by SNMP</t>
  </si>
  <si>
    <t>(896/867)</t>
  </si>
  <si>
    <t>(896/868)</t>
  </si>
  <si>
    <t>(896/869)</t>
  </si>
  <si>
    <t>(896/870)</t>
  </si>
  <si>
    <t>(896/871)</t>
  </si>
  <si>
    <t>(896/872)</t>
  </si>
  <si>
    <t>(896/873)</t>
  </si>
  <si>
    <t>ZYXEL MGS-3712F by SNMP</t>
  </si>
  <si>
    <t>(896/874)</t>
  </si>
  <si>
    <t>(896/875)</t>
  </si>
  <si>
    <t>(896/876)</t>
  </si>
  <si>
    <t>(896/877)</t>
  </si>
  <si>
    <t>(896/878)</t>
  </si>
  <si>
    <t>(896/879)</t>
  </si>
  <si>
    <t>(896/880)</t>
  </si>
  <si>
    <t>ZYXEL MGS3520-28x by SNMP</t>
  </si>
  <si>
    <t>(896/881)</t>
  </si>
  <si>
    <t>(896/882)</t>
  </si>
  <si>
    <t>1791</t>
  </si>
  <si>
    <t>(896/883)</t>
  </si>
  <si>
    <t>(896/884)</t>
  </si>
  <si>
    <t>(896/885)</t>
  </si>
  <si>
    <t>(896/886)</t>
  </si>
  <si>
    <t>(896/887)</t>
  </si>
  <si>
    <t>ZYXEL XGS-4728F by SNMP</t>
  </si>
  <si>
    <t>(896/888)</t>
  </si>
  <si>
    <t>(896/889)</t>
  </si>
  <si>
    <t>1798</t>
  </si>
  <si>
    <t>(896/890)</t>
  </si>
  <si>
    <t>(896/891)</t>
  </si>
  <si>
    <t>(896/892)</t>
  </si>
  <si>
    <t>(896/893)</t>
  </si>
  <si>
    <t>(896/894)</t>
  </si>
  <si>
    <t>Zookeeper by HTTP</t>
  </si>
  <si>
    <t>1438</t>
  </si>
  <si>
    <t>(896/895)</t>
  </si>
  <si>
    <t>(896/896)</t>
  </si>
  <si>
    <t>macOS by Zabbix agent</t>
  </si>
  <si>
    <t>(1009/1)</t>
  </si>
  <si>
    <t>(1009/2)</t>
  </si>
  <si>
    <t>2768</t>
  </si>
  <si>
    <t>FS [{#FSTYPE}({#FSNAME})]: Space utilization chart (relative to total)</t>
  </si>
  <si>
    <t>FS [{#FSTYPE}({#FSNAME})]: 空间使用图(相对于总量)</t>
  </si>
  <si>
    <t>(1009/3)</t>
  </si>
  <si>
    <t>2767</t>
  </si>
  <si>
    <t>FS [{#FSTYPE}({#FSNAME})]: Space usage graph, in % (relative to max available)</t>
  </si>
  <si>
    <t>FS [{#FSTYPE}({#FSNAME})]: 空间使用图,以百分比表示(相对于最大可用量)</t>
  </si>
  <si>
    <t>(1009/4)</t>
  </si>
  <si>
    <t>2525</t>
  </si>
  <si>
    <t>(1009/5)</t>
  </si>
  <si>
    <t>2526</t>
  </si>
  <si>
    <t>(1009/6)</t>
  </si>
  <si>
    <t>2524</t>
  </si>
  <si>
    <t>(1009/7)</t>
  </si>
  <si>
    <t>(1009/8)</t>
  </si>
  <si>
    <t>(1009/9)</t>
  </si>
  <si>
    <t>(1009/10)</t>
  </si>
  <si>
    <t>(1009/11)</t>
  </si>
  <si>
    <t>(1009/12)</t>
  </si>
  <si>
    <t>(1009/13)</t>
  </si>
  <si>
    <t>2533</t>
  </si>
  <si>
    <t>(1009/14)</t>
  </si>
  <si>
    <t>(1009/15)</t>
  </si>
  <si>
    <t>(1009/16)</t>
  </si>
  <si>
    <t>2620</t>
  </si>
  <si>
    <t>(1009/17)</t>
  </si>
  <si>
    <t>2621</t>
  </si>
  <si>
    <t>(1009/18)</t>
  </si>
  <si>
    <t>2622</t>
  </si>
  <si>
    <t>(1009/19)</t>
  </si>
  <si>
    <t>2626</t>
  </si>
  <si>
    <t>(1009/20)</t>
  </si>
  <si>
    <t>2623</t>
  </si>
  <si>
    <t>(1009/21)</t>
  </si>
  <si>
    <t>2624</t>
  </si>
  <si>
    <t>(1009/22)</t>
  </si>
  <si>
    <t>2625</t>
  </si>
  <si>
    <t>(1009/23)</t>
  </si>
  <si>
    <t>2750</t>
  </si>
  <si>
    <t>(1009/24)</t>
  </si>
  <si>
    <t>2751</t>
  </si>
  <si>
    <t>(1009/25)</t>
  </si>
  <si>
    <t>(1009/26)</t>
  </si>
  <si>
    <t>(1009/27)</t>
  </si>
  <si>
    <t>(1009/28)</t>
  </si>
  <si>
    <t>(1009/29)</t>
  </si>
  <si>
    <t>2414</t>
  </si>
  <si>
    <t>(1009/30)</t>
  </si>
  <si>
    <t>2415</t>
  </si>
  <si>
    <t>(1009/31)</t>
  </si>
  <si>
    <t>2580</t>
  </si>
  <si>
    <t>(1009/32)</t>
  </si>
  <si>
    <t>(1009/33)</t>
  </si>
  <si>
    <t>(1009/34)</t>
  </si>
  <si>
    <t>(1009/35)</t>
  </si>
  <si>
    <t>(1009/36)</t>
  </si>
  <si>
    <t>(1009/37)</t>
  </si>
  <si>
    <t>(1009/38)</t>
  </si>
  <si>
    <t>(1009/39)</t>
  </si>
  <si>
    <t>(1009/40)</t>
  </si>
  <si>
    <t>(1009/41)</t>
  </si>
  <si>
    <t>(1009/42)</t>
  </si>
  <si>
    <t>(1009/43)</t>
  </si>
  <si>
    <t>(1009/44)</t>
  </si>
  <si>
    <t>(1009/45)</t>
  </si>
  <si>
    <t>(1009/46)</t>
  </si>
  <si>
    <t>(1009/47)</t>
  </si>
  <si>
    <t>2457</t>
  </si>
  <si>
    <t>Apache: Memory usage[{#APACHE.NAME}]</t>
  </si>
  <si>
    <t>Apache: 内存使用量[{#APACHE.NAME}]</t>
  </si>
  <si>
    <t>(1009/48)</t>
  </si>
  <si>
    <t>(1009/49)</t>
  </si>
  <si>
    <t>Apache by Zabbix agent active</t>
  </si>
  <si>
    <t>2856</t>
  </si>
  <si>
    <t>(1009/50)</t>
  </si>
  <si>
    <t>2858</t>
  </si>
  <si>
    <t>(1009/51)</t>
  </si>
  <si>
    <t>2857</t>
  </si>
  <si>
    <t>(1009/52)</t>
  </si>
  <si>
    <t>(1009/53)</t>
  </si>
  <si>
    <t>(1009/54)</t>
  </si>
  <si>
    <t>(1009/55)</t>
  </si>
  <si>
    <t>(1009/56)</t>
  </si>
  <si>
    <t>(1009/57)</t>
  </si>
  <si>
    <t>(1009/58)</t>
  </si>
  <si>
    <t>(1009/59)</t>
  </si>
  <si>
    <t>2617</t>
  </si>
  <si>
    <t>(1009/60)</t>
  </si>
  <si>
    <t>(1009/61)</t>
  </si>
  <si>
    <t>(1009/62)</t>
  </si>
  <si>
    <t>2612</t>
  </si>
  <si>
    <t>(1009/63)</t>
  </si>
  <si>
    <t>(1009/64)</t>
  </si>
  <si>
    <t>(1009/65)</t>
  </si>
  <si>
    <t>(1009/66)</t>
  </si>
  <si>
    <t>(1009/67)</t>
  </si>
  <si>
    <t>(1009/68)</t>
  </si>
  <si>
    <t>(1009/69)</t>
  </si>
  <si>
    <t>(1009/70)</t>
  </si>
  <si>
    <t>(1009/71)</t>
  </si>
  <si>
    <t>(1009/72)</t>
  </si>
  <si>
    <t>2674</t>
  </si>
  <si>
    <t>(1009/73)</t>
  </si>
  <si>
    <t>2673</t>
  </si>
  <si>
    <t>(1009/74)</t>
  </si>
  <si>
    <t>2675</t>
  </si>
  <si>
    <t>(1009/75)</t>
  </si>
  <si>
    <t>(1009/76)</t>
  </si>
  <si>
    <t>2676</t>
  </si>
  <si>
    <t>(1009/77)</t>
  </si>
  <si>
    <t>2678</t>
  </si>
  <si>
    <t>(1009/78)</t>
  </si>
  <si>
    <t>(1009/79)</t>
  </si>
  <si>
    <t>2677</t>
  </si>
  <si>
    <t>(1009/80)</t>
  </si>
  <si>
    <t>(1009/81)</t>
  </si>
  <si>
    <t>(1009/82)</t>
  </si>
  <si>
    <t>(1009/83)</t>
  </si>
  <si>
    <t>(1009/84)</t>
  </si>
  <si>
    <t>(1009/85)</t>
  </si>
  <si>
    <t>(1009/86)</t>
  </si>
  <si>
    <t>(1009/87)</t>
  </si>
  <si>
    <t>(1009/88)</t>
  </si>
  <si>
    <t>(1009/89)</t>
  </si>
  <si>
    <t>(1009/90)</t>
  </si>
  <si>
    <t>(1009/91)</t>
  </si>
  <si>
    <t>(1009/92)</t>
  </si>
  <si>
    <t>(1009/93)</t>
  </si>
  <si>
    <t>(1009/94)</t>
  </si>
  <si>
    <t>(1009/95)</t>
  </si>
  <si>
    <t>(1009/96)</t>
  </si>
  <si>
    <t>(1009/97)</t>
  </si>
  <si>
    <t>(1009/98)</t>
  </si>
  <si>
    <t>(1009/99)</t>
  </si>
  <si>
    <t>(1009/100)</t>
  </si>
  <si>
    <t>(1009/101)</t>
  </si>
  <si>
    <t>(1009/102)</t>
  </si>
  <si>
    <t>(1009/103)</t>
  </si>
  <si>
    <t>(1009/104)</t>
  </si>
  <si>
    <t>(1009/105)</t>
  </si>
  <si>
    <t>(1009/106)</t>
  </si>
  <si>
    <t>(1009/107)</t>
  </si>
  <si>
    <t>(1009/108)</t>
  </si>
  <si>
    <t>2452</t>
  </si>
  <si>
    <t>(1009/109)</t>
  </si>
  <si>
    <t>2453</t>
  </si>
  <si>
    <t>(1009/110)</t>
  </si>
  <si>
    <t>(1009/111)</t>
  </si>
  <si>
    <t>2454</t>
  </si>
  <si>
    <t>(1009/112)</t>
  </si>
  <si>
    <t>2455</t>
  </si>
  <si>
    <t>(1009/113)</t>
  </si>
  <si>
    <t>2456</t>
  </si>
  <si>
    <t>(1009/114)</t>
  </si>
  <si>
    <t>(1009/115)</t>
  </si>
  <si>
    <t>(1009/116)</t>
  </si>
  <si>
    <t>(1009/117)</t>
  </si>
  <si>
    <t>2462</t>
  </si>
  <si>
    <t>(1009/118)</t>
  </si>
  <si>
    <t>2554</t>
  </si>
  <si>
    <t>(1009/119)</t>
  </si>
  <si>
    <t>2555</t>
  </si>
  <si>
    <t>(1009/120)</t>
  </si>
  <si>
    <t>2556</t>
  </si>
  <si>
    <t>(1009/121)</t>
  </si>
  <si>
    <t>(1009/122)</t>
  </si>
  <si>
    <t>(1009/123)</t>
  </si>
  <si>
    <t>(1009/124)</t>
  </si>
  <si>
    <t>2327</t>
  </si>
  <si>
    <t>(1009/125)</t>
  </si>
  <si>
    <t>2328</t>
  </si>
  <si>
    <t>(1009/126)</t>
  </si>
  <si>
    <t>(1009/127)</t>
  </si>
  <si>
    <t>2325</t>
  </si>
  <si>
    <t>(1009/128)</t>
  </si>
  <si>
    <t>2326</t>
  </si>
  <si>
    <t>(1009/129)</t>
  </si>
  <si>
    <t>(1009/130)</t>
  </si>
  <si>
    <t>(1009/131)</t>
  </si>
  <si>
    <t>(1009/132)</t>
  </si>
  <si>
    <t>(1009/133)</t>
  </si>
  <si>
    <t>(1009/134)</t>
  </si>
  <si>
    <t>DELL PowerEdge R660 by HTTP</t>
  </si>
  <si>
    <t>2965</t>
  </si>
  <si>
    <t>Dell R660: Physical disk [{#DISK_NAME}]: Size</t>
  </si>
  <si>
    <t>戴尔R660:物理磁盘[{#DISK_NAME}]:容量大小</t>
  </si>
  <si>
    <t>(1009/135)</t>
  </si>
  <si>
    <t>2969</t>
  </si>
  <si>
    <t>Dell R660: Virtual disk [{#DISK_NAME}]: Size</t>
  </si>
  <si>
    <t>戴尔R660:虚拟磁盘[{#DISK_NAME}]:容量大小</t>
  </si>
  <si>
    <t>(1009/136)</t>
  </si>
  <si>
    <t>2964</t>
  </si>
  <si>
    <t>Dell R660: Interface [{#IFNAME}]: Speed</t>
  </si>
  <si>
    <t>戴尔R660:接口[{#IFNAME}]:速度</t>
  </si>
  <si>
    <t>(1009/137)</t>
  </si>
  <si>
    <t>2963</t>
  </si>
  <si>
    <t>Dell R660: Fan [{#SENSOR_NAME}]: Speed</t>
  </si>
  <si>
    <t>戴尔R660:风扇[{#SENSOR_NAME}]:转速</t>
  </si>
  <si>
    <t>(1009/138)</t>
  </si>
  <si>
    <t>2966</t>
  </si>
  <si>
    <t>Dell R660: Power supply [{#SENSOR_NAME}]: Current</t>
  </si>
  <si>
    <t>戴尔R660:电源[{#SENSOR_NAME}]:电流</t>
  </si>
  <si>
    <t>(1009/139)</t>
  </si>
  <si>
    <t>2967</t>
  </si>
  <si>
    <t>Dell R660: Power supply [{#SENSOR_NAME}]: Voltage</t>
  </si>
  <si>
    <t>戴尔R660:电源[{#SENSOR_NAME}]:电压</t>
  </si>
  <si>
    <t>(1009/140)</t>
  </si>
  <si>
    <t>2968</t>
  </si>
  <si>
    <t>Dell R660: Probe [{#SENSOR_NAME}]: Value</t>
  </si>
  <si>
    <t>戴尔R660:探头[{#SENSOR_NAME}]:数值</t>
  </si>
  <si>
    <t>(1009/141)</t>
  </si>
  <si>
    <t>DELL PowerEdge R660 by SNMP</t>
  </si>
  <si>
    <t>2975</t>
  </si>
  <si>
    <t>(1009/142)</t>
  </si>
  <si>
    <t>2977</t>
  </si>
  <si>
    <t>(1009/143)</t>
  </si>
  <si>
    <t>2974</t>
  </si>
  <si>
    <t>Dell R660: Fan [{#FAN_DESCR}]: Speed</t>
  </si>
  <si>
    <t>戴尔R660:风扇[{#FAN_DESCR}]:转速</t>
  </si>
  <si>
    <t>(1009/144)</t>
  </si>
  <si>
    <t>2976</t>
  </si>
  <si>
    <t>Dell R660: Probe [{#SENSOR_LOCALE}]: Value</t>
  </si>
  <si>
    <t>戴尔R660:探头[{#SENSOR_LOCALE}]:数值</t>
  </si>
  <si>
    <t>(1009/145)</t>
  </si>
  <si>
    <t>2978</t>
  </si>
  <si>
    <t>Dell R660: Voltage probe [{#VPROBE_NAME}]: Voltage</t>
  </si>
  <si>
    <t>戴尔R660:电压探头[{#VPROBE_NAME}]:电压</t>
  </si>
  <si>
    <t>(1009/146)</t>
  </si>
  <si>
    <t>DELL PowerEdge R720 by HTTP</t>
  </si>
  <si>
    <t>2982</t>
  </si>
  <si>
    <t>Dell R720: Physical disk [{#DISK_NAME}]: Size</t>
  </si>
  <si>
    <t>戴尔R720:物理磁盘[{#DISK_NAME}]:容量大小</t>
  </si>
  <si>
    <t>(1009/147)</t>
  </si>
  <si>
    <t>2986</t>
  </si>
  <si>
    <t>Dell R720: Virtual disk [{#DISK_NAME}]: Size</t>
  </si>
  <si>
    <t>戴尔R720:虚拟磁盘[{#DISK_NAME}]:容量大小</t>
  </si>
  <si>
    <t>(1009/148)</t>
  </si>
  <si>
    <t>2981</t>
  </si>
  <si>
    <t>Dell R720: Interface [{#IFNAME}]: Speed</t>
  </si>
  <si>
    <t>戴尔R720:接口[{#IFNAME}]:速度</t>
  </si>
  <si>
    <t>(1009/149)</t>
  </si>
  <si>
    <t>2980</t>
  </si>
  <si>
    <t>Dell R720: Fan [{#SENSOR_NAME}]: Speed</t>
  </si>
  <si>
    <t>戴尔R720:风扇[{#SENSOR_NAME}]:转速</t>
  </si>
  <si>
    <t>(1009/150)</t>
  </si>
  <si>
    <t>2983</t>
  </si>
  <si>
    <t>Dell R720: Power supply [{#SENSOR_NAME}]: Current</t>
  </si>
  <si>
    <t>戴尔R720:电源[{#SENSOR_NAME}]:电流</t>
  </si>
  <si>
    <t>(1009/151)</t>
  </si>
  <si>
    <t>2984</t>
  </si>
  <si>
    <t>Dell R720: Power supply [{#SENSOR_NAME}]: Voltage</t>
  </si>
  <si>
    <t>戴尔R720:电源[{#SENSOR_NAME}]:电压</t>
  </si>
  <si>
    <t>(1009/152)</t>
  </si>
  <si>
    <t>2985</t>
  </si>
  <si>
    <t>Dell R720: Probe [{#SENSOR_NAME}]: Value</t>
  </si>
  <si>
    <t>戴尔R720:探头[{#SENSOR_NAME}]:数值</t>
  </si>
  <si>
    <t>(1009/153)</t>
  </si>
  <si>
    <t>DELL PowerEdge R720 by SNMP</t>
  </si>
  <si>
    <t>2992</t>
  </si>
  <si>
    <t>(1009/154)</t>
  </si>
  <si>
    <t>2994</t>
  </si>
  <si>
    <t>(1009/155)</t>
  </si>
  <si>
    <t>2991</t>
  </si>
  <si>
    <t>Dell R720: Fan [{#FAN_DESCR}]: Speed</t>
  </si>
  <si>
    <t>戴尔R720:风扇[{#FAN_DESCR}]:转速</t>
  </si>
  <si>
    <t>(1009/156)</t>
  </si>
  <si>
    <t>2993</t>
  </si>
  <si>
    <t>Dell R720: Probe [{#SENSOR_LOCALE}]: Value</t>
  </si>
  <si>
    <t>戴尔R720:探头[{#SENSOR_LOCALE}]:数值</t>
  </si>
  <si>
    <t>(1009/157)</t>
  </si>
  <si>
    <t>2995</t>
  </si>
  <si>
    <t>Dell R720: Voltage probe [{#VPROBE_NAME}]: Voltage</t>
  </si>
  <si>
    <t>戴尔R720:电压探头[{#VPROBE_NAME}]:电压</t>
  </si>
  <si>
    <t>(1009/158)</t>
  </si>
  <si>
    <t>DELL PowerEdge R740 by HTTP</t>
  </si>
  <si>
    <t>2999</t>
  </si>
  <si>
    <t>Dell R740: Physical disk [{#DISK_NAME}]: Size</t>
  </si>
  <si>
    <t>戴尔R740:物理磁盘[{#DISK_NAME}]:容量大小</t>
  </si>
  <si>
    <t>(1009/159)</t>
  </si>
  <si>
    <t>3003</t>
  </si>
  <si>
    <t>Dell R740: Virtual disk [{#DISK_NAME}]: Size</t>
  </si>
  <si>
    <t>戴尔R740:虚拟磁盘[{#DISK_NAME}]:容量大小</t>
  </si>
  <si>
    <t>(1009/160)</t>
  </si>
  <si>
    <t>2998</t>
  </si>
  <si>
    <t>Dell R740: Interface [{#IFNAME}]: Speed</t>
  </si>
  <si>
    <t>戴尔R740:接口[{#IFNAME}]:速度</t>
  </si>
  <si>
    <t>(1009/161)</t>
  </si>
  <si>
    <t>2997</t>
  </si>
  <si>
    <t>Dell R740: Fan [{#SENSOR_NAME}]: Speed</t>
  </si>
  <si>
    <t>戴尔R740:风扇[{#SENSOR_NAME}]:转速</t>
  </si>
  <si>
    <t>(1009/162)</t>
  </si>
  <si>
    <t>3000</t>
  </si>
  <si>
    <t>Dell R740: Power supply [{#SENSOR_NAME}]: Current</t>
  </si>
  <si>
    <t>戴尔R740:电源[{#SENSOR_NAME}]:电流</t>
  </si>
  <si>
    <t>(1009/163)</t>
  </si>
  <si>
    <t>3001</t>
  </si>
  <si>
    <t>Dell R740: Power supply [{#SENSOR_NAME}]: Voltage</t>
  </si>
  <si>
    <t>戴尔R740:电源[{#SENSOR_NAME}]:电压</t>
  </si>
  <si>
    <t>(1009/164)</t>
  </si>
  <si>
    <t>3002</t>
  </si>
  <si>
    <t>Dell R740: Probe [{#SENSOR_NAME}]: Value</t>
  </si>
  <si>
    <t>戴尔R740:探头[{#SENSOR_NAME}]:数值</t>
  </si>
  <si>
    <t>(1009/165)</t>
  </si>
  <si>
    <t>DELL PowerEdge R740 by SNMP</t>
  </si>
  <si>
    <t>3009</t>
  </si>
  <si>
    <t>(1009/166)</t>
  </si>
  <si>
    <t>3011</t>
  </si>
  <si>
    <t>(1009/167)</t>
  </si>
  <si>
    <t>3008</t>
  </si>
  <si>
    <t>Dell R740: Fan [{#FAN_DESCR}]: Speed</t>
  </si>
  <si>
    <t>戴尔R740:风扇[{#FAN_DESCR}]:转速</t>
  </si>
  <si>
    <t>(1009/168)</t>
  </si>
  <si>
    <t>3010</t>
  </si>
  <si>
    <t>Dell R740: Probe [{#SENSOR_LOCALE}]: Value</t>
  </si>
  <si>
    <t>戴尔R740:探头[{#SENSOR_LOCALE}]:数值</t>
  </si>
  <si>
    <t>(1009/169)</t>
  </si>
  <si>
    <t>3012</t>
  </si>
  <si>
    <t>Dell R740: Voltage probe [{#VPROBE_NAME}]: Voltage</t>
  </si>
  <si>
    <t>戴尔R740:电压探头[{#VPROBE_NAME}]:电压</t>
  </si>
  <si>
    <t>(1009/170)</t>
  </si>
  <si>
    <t>DELL PowerEdge R750 by HTTP</t>
  </si>
  <si>
    <t>3016</t>
  </si>
  <si>
    <t>Dell R750: Physical disk [{#DISK_NAME}]: Size</t>
  </si>
  <si>
    <t>戴尔R750:物理磁盘[{#DISK_NAME}]:容量大小</t>
  </si>
  <si>
    <t>(1009/171)</t>
  </si>
  <si>
    <t>3020</t>
  </si>
  <si>
    <t>Dell R750: Virtual disk [{#DISK_NAME}]: Size</t>
  </si>
  <si>
    <t>戴尔R750:虚拟磁盘[{#DISK_NAME}]:容量大小</t>
  </si>
  <si>
    <t>(1009/172)</t>
  </si>
  <si>
    <t>3015</t>
  </si>
  <si>
    <t>Dell R750: Interface [{#IFNAME}]: Speed</t>
  </si>
  <si>
    <t>戴尔R750:接口[{#IFNAME}]:速度</t>
  </si>
  <si>
    <t>(1009/173)</t>
  </si>
  <si>
    <t>3014</t>
  </si>
  <si>
    <t>Dell R750: Fan [{#SENSOR_NAME}]: Speed</t>
  </si>
  <si>
    <t>戴尔R750:风扇[{#SENSOR_NAME}]:转速</t>
  </si>
  <si>
    <t>(1009/174)</t>
  </si>
  <si>
    <t>3017</t>
  </si>
  <si>
    <t>Dell R750: Power supply [{#SENSOR_NAME}]: Current</t>
  </si>
  <si>
    <t>戴尔R750:电源[{#SENSOR_NAME}]:电流</t>
  </si>
  <si>
    <t>(1009/175)</t>
  </si>
  <si>
    <t>3018</t>
  </si>
  <si>
    <t>Dell R750: Power supply [{#SENSOR_NAME}]: Voltage</t>
  </si>
  <si>
    <t>戴尔R750:电源[{#SENSOR_NAME}]:电压</t>
  </si>
  <si>
    <t>(1009/176)</t>
  </si>
  <si>
    <t>3019</t>
  </si>
  <si>
    <t>Dell R750: Probe [{#SENSOR_NAME}]: Value</t>
  </si>
  <si>
    <t>戴尔R750:探头[{#SENSOR_NAME}]:数值</t>
  </si>
  <si>
    <t>(1009/177)</t>
  </si>
  <si>
    <t>DELL PowerEdge R750 by SNMP</t>
  </si>
  <si>
    <t>3026</t>
  </si>
  <si>
    <t>(1009/178)</t>
  </si>
  <si>
    <t>3028</t>
  </si>
  <si>
    <t>(1009/179)</t>
  </si>
  <si>
    <t>3025</t>
  </si>
  <si>
    <t>Dell R750: Fan [{#FAN_DESCR}]: Speed</t>
  </si>
  <si>
    <t>戴尔R750:风扇[{#FAN_DESCR}]:转速</t>
  </si>
  <si>
    <t>(1009/180)</t>
  </si>
  <si>
    <t>3027</t>
  </si>
  <si>
    <t>Dell R750: Probe [{#SENSOR_LOCALE}]: Value</t>
  </si>
  <si>
    <t>戴尔R750:探头[{#SENSOR_LOCALE}]:数值</t>
  </si>
  <si>
    <t>(1009/181)</t>
  </si>
  <si>
    <t>3029</t>
  </si>
  <si>
    <t>Dell R750: Voltage probe [{#VPROBE_NAME}]: Voltage</t>
  </si>
  <si>
    <t>戴尔R750:电压探头[{#VPROBE_NAME}]:电压</t>
  </si>
  <si>
    <t>(1009/182)</t>
  </si>
  <si>
    <t>DELL PowerEdge R820 by HTTP</t>
  </si>
  <si>
    <t>3033</t>
  </si>
  <si>
    <t>Dell R820: Physical disk [{#DISK_NAME}]: Size</t>
  </si>
  <si>
    <t>戴尔R820:物理磁盘[{#DISK_NAME}]:容量大小</t>
  </si>
  <si>
    <t>(1009/183)</t>
  </si>
  <si>
    <t>3037</t>
  </si>
  <si>
    <t>Dell R820: Virtual disk [{#DISK_NAME}]: Size</t>
  </si>
  <si>
    <t>戴尔R820:虚拟磁盘[{#DISK_NAME}]:容量大小</t>
  </si>
  <si>
    <t>(1009/184)</t>
  </si>
  <si>
    <t>3032</t>
  </si>
  <si>
    <t>Dell R820: Interface [{#IFNAME}]: Speed</t>
  </si>
  <si>
    <t>戴尔R820:接口[{#IFNAME}]:速度</t>
  </si>
  <si>
    <t>(1009/185)</t>
  </si>
  <si>
    <t>3031</t>
  </si>
  <si>
    <t>Dell R820: Fan [{#SENSOR_NAME}]: Speed</t>
  </si>
  <si>
    <t>戴尔R820:风扇[{#SENSOR_NAME}]:转速</t>
  </si>
  <si>
    <t>(1009/186)</t>
  </si>
  <si>
    <t>3034</t>
  </si>
  <si>
    <t>Dell R820: Power supply [{#SENSOR_NAME}]: Current</t>
  </si>
  <si>
    <t>戴尔R820:电源[{#SENSOR_NAME}]:电流</t>
  </si>
  <si>
    <t>(1009/187)</t>
  </si>
  <si>
    <t>3035</t>
  </si>
  <si>
    <t>Dell R820: Power supply [{#SENSOR_NAME}]: Voltage</t>
  </si>
  <si>
    <t>戴尔R820:电源[{#SENSOR_NAME}]:电压</t>
  </si>
  <si>
    <t>(1009/188)</t>
  </si>
  <si>
    <t>3036</t>
  </si>
  <si>
    <t>Dell R820: Probe [{#SENSOR_NAME}]: Value</t>
  </si>
  <si>
    <t>戴尔R820:探头[{#SENSOR_NAME}]:数值</t>
  </si>
  <si>
    <t>(1009/189)</t>
  </si>
  <si>
    <t>DELL PowerEdge R820 by SNMP</t>
  </si>
  <si>
    <t>3043</t>
  </si>
  <si>
    <t>(1009/190)</t>
  </si>
  <si>
    <t>3045</t>
  </si>
  <si>
    <t>(1009/191)</t>
  </si>
  <si>
    <t>3042</t>
  </si>
  <si>
    <t>Dell R820: Fan [{#FAN_DESCR}]: Speed</t>
  </si>
  <si>
    <t>戴尔R820:风扇[{#FAN_DESCR}]:转速</t>
  </si>
  <si>
    <t>(1009/192)</t>
  </si>
  <si>
    <t>3044</t>
  </si>
  <si>
    <t>Dell R820: Probe [{#SENSOR_LOCALE}]: Value</t>
  </si>
  <si>
    <t>戴尔R820:探头[{#SENSOR_LOCALE}]:数值</t>
  </si>
  <si>
    <t>(1009/193)</t>
  </si>
  <si>
    <t>3046</t>
  </si>
  <si>
    <t>Dell R820: Voltage probe [{#VPROBE_NAME}]: Voltage</t>
  </si>
  <si>
    <t>戴尔R820:电压探头[{#VPROBE_NAME}]:电压</t>
  </si>
  <si>
    <t>(1009/194)</t>
  </si>
  <si>
    <t>DELL PowerEdge R840 by HTTP</t>
  </si>
  <si>
    <t>3050</t>
  </si>
  <si>
    <t>Dell R840: Physical disk [{#DISK_NAME}]: Size</t>
  </si>
  <si>
    <t>戴尔R840:物理磁盘[{#DISK_NAME}]:容量大小</t>
  </si>
  <si>
    <t>(1009/195)</t>
  </si>
  <si>
    <t>3054</t>
  </si>
  <si>
    <t>Dell R840: Virtual disk [{#DISK_NAME}]: Size</t>
  </si>
  <si>
    <t>戴尔R840:虚拟磁盘[{#DISK_NAME}]:容量大小</t>
  </si>
  <si>
    <t>(1009/196)</t>
  </si>
  <si>
    <t>3049</t>
  </si>
  <si>
    <t>Dell R840: Interface [{#IFNAME}]: Speed</t>
  </si>
  <si>
    <t>戴尔R840:接口[{#IFNAME}]:速度</t>
  </si>
  <si>
    <t>(1009/197)</t>
  </si>
  <si>
    <t>3048</t>
  </si>
  <si>
    <t>Dell R840: Fan [{#SENSOR_NAME}]: Speed</t>
  </si>
  <si>
    <t>戴尔R840:风扇[{#SENSOR_NAME}]:转速</t>
  </si>
  <si>
    <t>(1009/198)</t>
  </si>
  <si>
    <t>3051</t>
  </si>
  <si>
    <t>Dell R840: Power supply [{#SENSOR_NAME}]: Current</t>
  </si>
  <si>
    <t>戴尔R840:电源[{#SENSOR_NAME}]:电流</t>
  </si>
  <si>
    <t>(1009/199)</t>
  </si>
  <si>
    <t>3052</t>
  </si>
  <si>
    <t>Dell R840: Power supply [{#SENSOR_NAME}]: Voltage</t>
  </si>
  <si>
    <t>戴尔R840:电源[{#SENSOR_NAME}]:电压</t>
  </si>
  <si>
    <t>(1009/200)</t>
  </si>
  <si>
    <t>3053</t>
  </si>
  <si>
    <t>Dell R840: Probe [{#SENSOR_NAME}]: Value</t>
  </si>
  <si>
    <t>戴尔R840:探头[{#SENSOR_NAME}]:数值</t>
  </si>
  <si>
    <t>(1009/201)</t>
  </si>
  <si>
    <t>DELL PowerEdge R840 by SNMP</t>
  </si>
  <si>
    <t>3060</t>
  </si>
  <si>
    <t>(1009/202)</t>
  </si>
  <si>
    <t>3062</t>
  </si>
  <si>
    <t>(1009/203)</t>
  </si>
  <si>
    <t>3059</t>
  </si>
  <si>
    <t>Dell R840: Fan [{#FAN_DESCR}]: Speed</t>
  </si>
  <si>
    <t>戴尔R840:风扇[{#FAN_DESCR}]:转速</t>
  </si>
  <si>
    <t>(1009/204)</t>
  </si>
  <si>
    <t>3061</t>
  </si>
  <si>
    <t>Dell R840: Probe [{#SENSOR_LOCALE}]: Value</t>
  </si>
  <si>
    <t>戴尔R840:探头[{#SENSOR_LOCALE}]:数值</t>
  </si>
  <si>
    <t>(1009/205)</t>
  </si>
  <si>
    <t>3063</t>
  </si>
  <si>
    <t>Dell R840: Voltage probe [{#VPROBE_NAME}]: Voltage</t>
  </si>
  <si>
    <t>戴尔R840:电压探头[{#VPROBE_NAME}]:电压</t>
  </si>
  <si>
    <t>(1009/206)</t>
  </si>
  <si>
    <t>(1009/207)</t>
  </si>
  <si>
    <t>(1009/208)</t>
  </si>
  <si>
    <t>(1009/209)</t>
  </si>
  <si>
    <t>Dell iDRAC by SNMP</t>
  </si>
  <si>
    <t>3066</t>
  </si>
  <si>
    <t>Dell iDRAC: Physical disk [{#DISK_NAME}]: Size</t>
  </si>
  <si>
    <t>戴尔远程管理控制器(iDRAC):物理磁盘[{#DISK_NAME}]:容量大小</t>
  </si>
  <si>
    <t>(1009/210)</t>
  </si>
  <si>
    <t>3068</t>
  </si>
  <si>
    <t>Dell iDRAC: Virtual disk [{#DISK_NAME}]: Size</t>
  </si>
  <si>
    <t>戴尔远程管理控制器(iDRAC):虚拟磁盘[{#DISK_NAME}]:容量大小</t>
  </si>
  <si>
    <t>(1009/211)</t>
  </si>
  <si>
    <t>3065</t>
  </si>
  <si>
    <t>Dell iDRAC: Fan [{#FAN_DESCR}]: Speed</t>
  </si>
  <si>
    <t>戴尔远程管理控制器(iDRAC):风扇[{#FAN_DESCR}]:转速</t>
  </si>
  <si>
    <t>(1009/212)</t>
  </si>
  <si>
    <t>3067</t>
  </si>
  <si>
    <t>Dell iDRAC: Probe [{#SENSOR_LOCALE}]: Value</t>
  </si>
  <si>
    <t>戴尔远程管理控制器(iDRAC):探头[{#SENSOR_LOCALE}]:数值</t>
  </si>
  <si>
    <t>(1009/213)</t>
  </si>
  <si>
    <t>3069</t>
  </si>
  <si>
    <t>Dell iDRAC: Voltage probe [{#VPROBE_NAME}]: Voltage</t>
  </si>
  <si>
    <t>戴尔远程管理控制器(iDRAC):电压探头[{#VPROBE_NAME}]:电压</t>
  </si>
  <si>
    <t>(1009/214)</t>
  </si>
  <si>
    <t>(1009/215)</t>
  </si>
  <si>
    <t>(1009/216)</t>
  </si>
  <si>
    <t>(1009/217)</t>
  </si>
  <si>
    <t>(1009/218)</t>
  </si>
  <si>
    <t>(1009/219)</t>
  </si>
  <si>
    <t>(1009/220)</t>
  </si>
  <si>
    <t>(1009/221)</t>
  </si>
  <si>
    <t>(1009/222)</t>
  </si>
  <si>
    <t>(1009/223)</t>
  </si>
  <si>
    <t>(1009/224)</t>
  </si>
  <si>
    <t>(1009/225)</t>
  </si>
  <si>
    <t>(1009/226)</t>
  </si>
  <si>
    <t>(1009/227)</t>
  </si>
  <si>
    <t>(1009/228)</t>
  </si>
  <si>
    <t>(1009/229)</t>
  </si>
  <si>
    <t>(1009/230)</t>
  </si>
  <si>
    <t>(1009/231)</t>
  </si>
  <si>
    <t>(1009/232)</t>
  </si>
  <si>
    <t>(1009/233)</t>
  </si>
  <si>
    <t>(1009/234)</t>
  </si>
  <si>
    <t>(1009/235)</t>
  </si>
  <si>
    <t>(1009/236)</t>
  </si>
  <si>
    <t>(1009/237)</t>
  </si>
  <si>
    <t>(1009/238)</t>
  </si>
  <si>
    <t>(1009/239)</t>
  </si>
  <si>
    <t>(1009/240)</t>
  </si>
  <si>
    <t>(1009/241)</t>
  </si>
  <si>
    <t>(1009/242)</t>
  </si>
  <si>
    <t>(1009/243)</t>
  </si>
  <si>
    <t>(1009/244)</t>
  </si>
  <si>
    <t>(1009/245)</t>
  </si>
  <si>
    <t>(1009/246)</t>
  </si>
  <si>
    <t>(1009/247)</t>
  </si>
  <si>
    <t>2590</t>
  </si>
  <si>
    <t>(1009/248)</t>
  </si>
  <si>
    <t>(1009/249)</t>
  </si>
  <si>
    <t>(1009/250)</t>
  </si>
  <si>
    <t>2591</t>
  </si>
  <si>
    <t>(1009/251)</t>
  </si>
  <si>
    <t>2593</t>
  </si>
  <si>
    <t>(1009/252)</t>
  </si>
  <si>
    <t>2592</t>
  </si>
  <si>
    <t>(1009/253)</t>
  </si>
  <si>
    <t>(1009/254)</t>
  </si>
  <si>
    <t>2595</t>
  </si>
  <si>
    <t>(1009/255)</t>
  </si>
  <si>
    <t>(1009/256)</t>
  </si>
  <si>
    <t>(1009/257)</t>
  </si>
  <si>
    <t>(1009/258)</t>
  </si>
  <si>
    <t>(1009/259)</t>
  </si>
  <si>
    <t>(1009/260)</t>
  </si>
  <si>
    <t>(1009/261)</t>
  </si>
  <si>
    <t>(1009/262)</t>
  </si>
  <si>
    <t>(1009/263)</t>
  </si>
  <si>
    <t>2743</t>
  </si>
  <si>
    <t>(1009/264)</t>
  </si>
  <si>
    <t>(1009/265)</t>
  </si>
  <si>
    <t>(1009/266)</t>
  </si>
  <si>
    <t>2746</t>
  </si>
  <si>
    <t>(1009/267)</t>
  </si>
  <si>
    <t>2748</t>
  </si>
  <si>
    <t>(1009/268)</t>
  </si>
  <si>
    <t>2747</t>
  </si>
  <si>
    <t>(1009/269)</t>
  </si>
  <si>
    <t>(1009/270)</t>
  </si>
  <si>
    <t>2770</t>
  </si>
  <si>
    <t>(1009/271)</t>
  </si>
  <si>
    <t>2769</t>
  </si>
  <si>
    <t>(1009/272)</t>
  </si>
  <si>
    <t>2489</t>
  </si>
  <si>
    <t>(1009/273)</t>
  </si>
  <si>
    <t>2490</t>
  </si>
  <si>
    <t>(1009/274)</t>
  </si>
  <si>
    <t>2491</t>
  </si>
  <si>
    <t>(1009/275)</t>
  </si>
  <si>
    <t>2488</t>
  </si>
  <si>
    <t>(1009/276)</t>
  </si>
  <si>
    <t>(1009/277)</t>
  </si>
  <si>
    <t>(1009/278)</t>
  </si>
  <si>
    <t>2818</t>
  </si>
  <si>
    <t>Branch [{#BRANCH_NAME}]: Number of commits</t>
  </si>
  <si>
    <t>分支 [{#BRANCH_NAME}]: 提交次数</t>
  </si>
  <si>
    <t>(1009/279)</t>
  </si>
  <si>
    <t>2819</t>
  </si>
  <si>
    <t>Health percentage score{#SINGLETON}</t>
  </si>
  <si>
    <t>健康百分比得分{#SINGLETON}</t>
  </si>
  <si>
    <t>(1009/280)</t>
  </si>
  <si>
    <t>(1009/281)</t>
  </si>
  <si>
    <t>(1009/282)</t>
  </si>
  <si>
    <t>(1009/283)</t>
  </si>
  <si>
    <t>(1009/284)</t>
  </si>
  <si>
    <t>(1009/285)</t>
  </si>
  <si>
    <t>(1009/286)</t>
  </si>
  <si>
    <t>(1009/287)</t>
  </si>
  <si>
    <t>(1009/288)</t>
  </si>
  <si>
    <t>(1009/289)</t>
  </si>
  <si>
    <t>(1009/290)</t>
  </si>
  <si>
    <t>(1009/291)</t>
  </si>
  <si>
    <t>(1009/292)</t>
  </si>
  <si>
    <t>(1009/293)</t>
  </si>
  <si>
    <t>(1009/294)</t>
  </si>
  <si>
    <t>(1009/295)</t>
  </si>
  <si>
    <t>(1009/296)</t>
  </si>
  <si>
    <t>(1009/297)</t>
  </si>
  <si>
    <t>(1009/298)</t>
  </si>
  <si>
    <t>(1009/299)</t>
  </si>
  <si>
    <t>(1009/300)</t>
  </si>
  <si>
    <t>(1009/301)</t>
  </si>
  <si>
    <t>(1009/302)</t>
  </si>
  <si>
    <t>(1009/303)</t>
  </si>
  <si>
    <t>(1009/304)</t>
  </si>
  <si>
    <t>(1009/305)</t>
  </si>
  <si>
    <t>(1009/306)</t>
  </si>
  <si>
    <t>(1009/307)</t>
  </si>
  <si>
    <t>(1009/308)</t>
  </si>
  <si>
    <t>(1009/309)</t>
  </si>
  <si>
    <t>(1009/310)</t>
  </si>
  <si>
    <t>(1009/311)</t>
  </si>
  <si>
    <t>(1009/312)</t>
  </si>
  <si>
    <t>(1009/313)</t>
  </si>
  <si>
    <t>(1009/314)</t>
  </si>
  <si>
    <t>(1009/315)</t>
  </si>
  <si>
    <t>(1009/316)</t>
  </si>
  <si>
    <t>(1009/317)</t>
  </si>
  <si>
    <t>(1009/318)</t>
  </si>
  <si>
    <t>(1009/319)</t>
  </si>
  <si>
    <t>(1009/320)</t>
  </si>
  <si>
    <t>2772</t>
  </si>
  <si>
    <t>(1009/321)</t>
  </si>
  <si>
    <t>2771</t>
  </si>
  <si>
    <t>(1009/322)</t>
  </si>
  <si>
    <t>(1009/323)</t>
  </si>
  <si>
    <t>(1009/324)</t>
  </si>
  <si>
    <t>(1009/325)</t>
  </si>
  <si>
    <t>(1009/326)</t>
  </si>
  <si>
    <t>(1009/327)</t>
  </si>
  <si>
    <t>(1009/328)</t>
  </si>
  <si>
    <t>(1009/329)</t>
  </si>
  <si>
    <t>(1009/330)</t>
  </si>
  <si>
    <t>(1009/331)</t>
  </si>
  <si>
    <t>(1009/332)</t>
  </si>
  <si>
    <t>(1009/333)</t>
  </si>
  <si>
    <t>(1009/334)</t>
  </si>
  <si>
    <t>(1009/335)</t>
  </si>
  <si>
    <t>(1009/336)</t>
  </si>
  <si>
    <t>(1009/337)</t>
  </si>
  <si>
    <t>(1009/338)</t>
  </si>
  <si>
    <t>(1009/339)</t>
  </si>
  <si>
    <t>(1009/340)</t>
  </si>
  <si>
    <t>(1009/341)</t>
  </si>
  <si>
    <t>(1009/342)</t>
  </si>
  <si>
    <t>(1009/343)</t>
  </si>
  <si>
    <t>(1009/344)</t>
  </si>
  <si>
    <t>(1009/345)</t>
  </si>
  <si>
    <t>(1009/346)</t>
  </si>
  <si>
    <t>(1009/347)</t>
  </si>
  <si>
    <t>(1009/348)</t>
  </si>
  <si>
    <t>(1009/349)</t>
  </si>
  <si>
    <t>(1009/350)</t>
  </si>
  <si>
    <t>(1009/351)</t>
  </si>
  <si>
    <t>(1009/352)</t>
  </si>
  <si>
    <t>(1009/353)</t>
  </si>
  <si>
    <t>(1009/354)</t>
  </si>
  <si>
    <t>(1009/355)</t>
  </si>
  <si>
    <t>(1009/356)</t>
  </si>
  <si>
    <t>(1009/357)</t>
  </si>
  <si>
    <t>(1009/358)</t>
  </si>
  <si>
    <t>(1009/359)</t>
  </si>
  <si>
    <t>(1009/360)</t>
  </si>
  <si>
    <t>(1009/361)</t>
  </si>
  <si>
    <t>(1009/362)</t>
  </si>
  <si>
    <t>(1009/363)</t>
  </si>
  <si>
    <t>2397</t>
  </si>
  <si>
    <t>(1009/364)</t>
  </si>
  <si>
    <t>2433</t>
  </si>
  <si>
    <t>(1009/365)</t>
  </si>
  <si>
    <t>2434</t>
  </si>
  <si>
    <t>(1009/366)</t>
  </si>
  <si>
    <t>2435</t>
  </si>
  <si>
    <t>(1009/367)</t>
  </si>
  <si>
    <t>2436</t>
  </si>
  <si>
    <t>(1009/368)</t>
  </si>
  <si>
    <t>(1009/369)</t>
  </si>
  <si>
    <t>(1009/370)</t>
  </si>
  <si>
    <t>(1009/371)</t>
  </si>
  <si>
    <t>(1009/372)</t>
  </si>
  <si>
    <t>(1009/373)</t>
  </si>
  <si>
    <t>(1009/374)</t>
  </si>
  <si>
    <t>2570</t>
  </si>
  <si>
    <t>(1009/375)</t>
  </si>
  <si>
    <t>2569</t>
  </si>
  <si>
    <t>(1009/376)</t>
  </si>
  <si>
    <t>(1009/377)</t>
  </si>
  <si>
    <t>2571</t>
  </si>
  <si>
    <t>(1009/378)</t>
  </si>
  <si>
    <t>2572</t>
  </si>
  <si>
    <t>(1009/379)</t>
  </si>
  <si>
    <t>(1009/380)</t>
  </si>
  <si>
    <t>(1009/381)</t>
  </si>
  <si>
    <t>(1009/382)</t>
  </si>
  <si>
    <t>(1009/383)</t>
  </si>
  <si>
    <t>(1009/384)</t>
  </si>
  <si>
    <t>(1009/385)</t>
  </si>
  <si>
    <t>(1009/386)</t>
  </si>
  <si>
    <t>(1009/387)</t>
  </si>
  <si>
    <t>2847</t>
  </si>
  <si>
    <t>Controller [{#ID}]: CPU utilization</t>
  </si>
  <si>
    <t>控制器[{#ID}]:CPU利用率</t>
  </si>
  <si>
    <t>(1009/388)</t>
  </si>
  <si>
    <t>2850</t>
  </si>
  <si>
    <t>LUN [{#NAME}]: LUN traffic</t>
  </si>
  <si>
    <t>逻辑单元号[{#NAME}]:逻辑单元号流量</t>
  </si>
  <si>
    <t>(1009/389)</t>
  </si>
  <si>
    <t>2848</t>
  </si>
  <si>
    <t>LUN [{#NAME}]: LUN I/O</t>
  </si>
  <si>
    <t>逻辑单元号[{#NAME}]:逻辑单元号输入/输出</t>
  </si>
  <si>
    <t>(1009/390)</t>
  </si>
  <si>
    <t>2849</t>
  </si>
  <si>
    <t>LUN [{#NAME}]: LUN I/O latency</t>
  </si>
  <si>
    <t>逻辑单元号[{#NAME}]:逻辑单元号输入/输出延迟</t>
  </si>
  <si>
    <t>(1009/391)</t>
  </si>
  <si>
    <t>2853</t>
  </si>
  <si>
    <t>Node [{#NODE}]: Node traffic</t>
  </si>
  <si>
    <t>节点[{#NODE}]:节点流量</t>
  </si>
  <si>
    <t>(1009/392)</t>
  </si>
  <si>
    <t>2851</t>
  </si>
  <si>
    <t>Node [{#NODE}]: CPU utilization</t>
  </si>
  <si>
    <t>节点[{#NODE}]:CPU利用率</t>
  </si>
  <si>
    <t>(1009/393)</t>
  </si>
  <si>
    <t>2852</t>
  </si>
  <si>
    <t>Node [{#NODE}]: Node I/O</t>
  </si>
  <si>
    <t>节点[{#NODE}]:节点输入/输出</t>
  </si>
  <si>
    <t>(1009/394)</t>
  </si>
  <si>
    <t>2854</t>
  </si>
  <si>
    <t>(1009/395)</t>
  </si>
  <si>
    <t>(1009/396)</t>
  </si>
  <si>
    <t>(1009/397)</t>
  </si>
  <si>
    <t>(1009/398)</t>
  </si>
  <si>
    <t>(1009/399)</t>
  </si>
  <si>
    <t>(1009/400)</t>
  </si>
  <si>
    <t>(1009/401)</t>
  </si>
  <si>
    <t>(1009/402)</t>
  </si>
  <si>
    <t>(1009/403)</t>
  </si>
  <si>
    <t>[{#JMXIGNITEINSTANCENAME}]: Jobs current state</t>
  </si>
  <si>
    <t>[{#JMXIGNITEINSTANCENAME}]: 任务当前状态</t>
  </si>
  <si>
    <t>(1009/404)</t>
  </si>
  <si>
    <t>(1009/405)</t>
  </si>
  <si>
    <t>(1009/406)</t>
  </si>
  <si>
    <t>[{#JMXIGNITEINSTANCENAME}]: Transactions</t>
  </si>
  <si>
    <t>[{#JMXIGNITEINSTANCENAME}]: 事务</t>
  </si>
  <si>
    <t>(1009/407)</t>
  </si>
  <si>
    <t>[{#JMXIGNITEINSTANCENAME}]: Communication messages rate</t>
  </si>
  <si>
    <t>[{#JMXIGNITEINSTANCENAME}]: 通信消息速率</t>
  </si>
  <si>
    <t>(1009/408)</t>
  </si>
  <si>
    <t>[{#JMXIGNITEINSTANCENAME}]: Jobs rate</t>
  </si>
  <si>
    <t>[{#JMXIGNITEINSTANCENAME}]: 任务速率</t>
  </si>
  <si>
    <t>(1009/409)</t>
  </si>
  <si>
    <t>[{#JMXIGNITEINSTANCENAME}]: Discovery messages rate</t>
  </si>
  <si>
    <t>[{#JMXIGNITEINSTANCENAME}]: 发现消息速率</t>
  </si>
  <si>
    <t>(1009/410)</t>
  </si>
  <si>
    <t>[{#JMXIGNITEINSTANCENAME}]: Transactions rate</t>
  </si>
  <si>
    <t>[{#JMXIGNITEINSTANCENAME}]: 事务速率</t>
  </si>
  <si>
    <t>(1009/411)</t>
  </si>
  <si>
    <t>(1009/412)</t>
  </si>
  <si>
    <t>(1009/413)</t>
  </si>
  <si>
    <t>(1009/414)</t>
  </si>
  <si>
    <t>Computer [{#DISPLAY_NAME}]: Physical memory</t>
  </si>
  <si>
    <t>计算机[{#DISPLAY_NAME}]: 物理内存</t>
  </si>
  <si>
    <t>(1009/415)</t>
  </si>
  <si>
    <t>Computer [{#DISPLAY_NAME}]: Swap space</t>
  </si>
  <si>
    <t>计算机[{#DISPLAY_NAME}]: 交换空间</t>
  </si>
  <si>
    <t>(1009/416)</t>
  </si>
  <si>
    <t>2796</t>
  </si>
  <si>
    <t>(1009/417)</t>
  </si>
  <si>
    <t>2795</t>
  </si>
  <si>
    <t>(1009/418)</t>
  </si>
  <si>
    <t>2794</t>
  </si>
  <si>
    <t>(1009/419)</t>
  </si>
  <si>
    <t>Juniper MX by SNMP</t>
  </si>
  <si>
    <t>2950</t>
  </si>
  <si>
    <t>Juniper MX: System [{#SNMPVALUE}]: CPU utilization</t>
  </si>
  <si>
    <t>Juniper MX:系统[{#SNMPVALUE}]:CPU利用率</t>
  </si>
  <si>
    <t>(1009/420)</t>
  </si>
  <si>
    <t>2951</t>
  </si>
  <si>
    <t>Juniper MX: System [{#SNMPVALUE}]: Memory utilization</t>
  </si>
  <si>
    <t>Juniper MX:系统[{#SNMPVALUE}]:内存利用率</t>
  </si>
  <si>
    <t>(1009/421)</t>
  </si>
  <si>
    <t>2952</t>
  </si>
  <si>
    <t>Juniper MX: Interface [{#IFNAME}][{#IFALIAS}]: Network traffic</t>
  </si>
  <si>
    <t>Juniper MX:接口[{#IFNAME}][{#IFALIAS}]:网络流量</t>
  </si>
  <si>
    <t>(1009/422)</t>
  </si>
  <si>
    <t>(1009/423)</t>
  </si>
  <si>
    <t>(1009/424)</t>
  </si>
  <si>
    <t>(1009/425)</t>
  </si>
  <si>
    <t>(1009/426)</t>
  </si>
  <si>
    <t>(1009/427)</t>
  </si>
  <si>
    <t>(1009/428)</t>
  </si>
  <si>
    <t>(1009/429)</t>
  </si>
  <si>
    <t>(1009/430)</t>
  </si>
  <si>
    <t>(1009/431)</t>
  </si>
  <si>
    <t>(1009/432)</t>
  </si>
  <si>
    <t>(1009/433)</t>
  </si>
  <si>
    <t>2481</t>
  </si>
  <si>
    <t>(1009/434)</t>
  </si>
  <si>
    <t>(1009/435)</t>
  </si>
  <si>
    <t>(1009/436)</t>
  </si>
  <si>
    <t>(1009/437)</t>
  </si>
  <si>
    <t>(1009/438)</t>
  </si>
  <si>
    <t>2780</t>
  </si>
  <si>
    <t>(1009/439)</t>
  </si>
  <si>
    <t>2779</t>
  </si>
  <si>
    <t>(1009/440)</t>
  </si>
  <si>
    <t>(1009/441)</t>
  </si>
  <si>
    <t>(1009/442)</t>
  </si>
  <si>
    <t>(1009/443)</t>
  </si>
  <si>
    <t>(1009/444)</t>
  </si>
  <si>
    <t>2782</t>
  </si>
  <si>
    <t>FS [{#FSNAME}]: Space utilization chart (relative to total)</t>
  </si>
  <si>
    <t>FS [{#FSNAME}]: 空间使用图(相对于总量)</t>
  </si>
  <si>
    <t>(1009/445)</t>
  </si>
  <si>
    <t>2781</t>
  </si>
  <si>
    <t>FS [{#FSNAME}]: Space usage graph, in % (relative to max available)</t>
  </si>
  <si>
    <t>FS [{#FSNAME}]: 空间使用图,以百分比表示(相对于最大可用量)</t>
  </si>
  <si>
    <t>(1009/446)</t>
  </si>
  <si>
    <t>(1009/447)</t>
  </si>
  <si>
    <t>(1009/448)</t>
  </si>
  <si>
    <t>(1009/449)</t>
  </si>
  <si>
    <t>(1009/450)</t>
  </si>
  <si>
    <t>2774</t>
  </si>
  <si>
    <t>(1009/451)</t>
  </si>
  <si>
    <t>2773</t>
  </si>
  <si>
    <t>(1009/452)</t>
  </si>
  <si>
    <t>(1009/453)</t>
  </si>
  <si>
    <t>(1009/454)</t>
  </si>
  <si>
    <t>(1009/455)</t>
  </si>
  <si>
    <t>(1009/456)</t>
  </si>
  <si>
    <t>2778</t>
  </si>
  <si>
    <t>(1009/457)</t>
  </si>
  <si>
    <t>2777</t>
  </si>
  <si>
    <t>(1009/458)</t>
  </si>
  <si>
    <t>DB '{#DBNAME}': Size</t>
  </si>
  <si>
    <t>数据库"{#DBNAME}":大小</t>
  </si>
  <si>
    <t>(1009/459)</t>
  </si>
  <si>
    <t>DB '{#DBNAME}': Log size</t>
  </si>
  <si>
    <t>数据库"{#DBNAME}":日志大小</t>
  </si>
  <si>
    <t>(1009/460)</t>
  </si>
  <si>
    <t>DB '{#DBNAME}': Number of Log changes</t>
  </si>
  <si>
    <t>数据库"{#DBNAME}":日志变更次数</t>
  </si>
  <si>
    <t>(1009/461)</t>
  </si>
  <si>
    <t>2619</t>
  </si>
  <si>
    <t>Mirroring '{#DBNAME}': States</t>
  </si>
  <si>
    <t>镜像"{#DBNAME}":状态</t>
  </si>
  <si>
    <t>(1009/462)</t>
  </si>
  <si>
    <t>(1009/463)</t>
  </si>
  <si>
    <t>2631</t>
  </si>
  <si>
    <t>(1009/464)</t>
  </si>
  <si>
    <t>2632</t>
  </si>
  <si>
    <t>(1009/465)</t>
  </si>
  <si>
    <t>(1009/466)</t>
  </si>
  <si>
    <t>(1009/467)</t>
  </si>
  <si>
    <t>(1009/468)</t>
  </si>
  <si>
    <t>(1009/469)</t>
  </si>
  <si>
    <t>(1009/470)</t>
  </si>
  <si>
    <t>(1009/471)</t>
  </si>
  <si>
    <t>(1009/472)</t>
  </si>
  <si>
    <t>(1009/473)</t>
  </si>
  <si>
    <t>(1009/474)</t>
  </si>
  <si>
    <t>(1009/475)</t>
  </si>
  <si>
    <t>(1009/476)</t>
  </si>
  <si>
    <t>(1009/477)</t>
  </si>
  <si>
    <t>(1009/478)</t>
  </si>
  <si>
    <t>(1009/479)</t>
  </si>
  <si>
    <t>(1009/480)</t>
  </si>
  <si>
    <t>(1009/481)</t>
  </si>
  <si>
    <t>(1009/482)</t>
  </si>
  <si>
    <t>(1009/483)</t>
  </si>
  <si>
    <t>(1009/484)</t>
  </si>
  <si>
    <t>(1009/485)</t>
  </si>
  <si>
    <t>(1009/486)</t>
  </si>
  <si>
    <t>(1009/487)</t>
  </si>
  <si>
    <t>(1009/488)</t>
  </si>
  <si>
    <t>(1009/489)</t>
  </si>
  <si>
    <t>(1009/490)</t>
  </si>
  <si>
    <t>(1009/491)</t>
  </si>
  <si>
    <t>(1009/492)</t>
  </si>
  <si>
    <t>(1009/493)</t>
  </si>
  <si>
    <t>(1009/494)</t>
  </si>
  <si>
    <t>(1009/495)</t>
  </si>
  <si>
    <t>(1009/496)</t>
  </si>
  <si>
    <t>(1009/497)</t>
  </si>
  <si>
    <t>(1009/498)</t>
  </si>
  <si>
    <t>(1009/499)</t>
  </si>
  <si>
    <t>(1009/500)</t>
  </si>
  <si>
    <t>(1009/501)</t>
  </si>
  <si>
    <t>(1009/502)</t>
  </si>
  <si>
    <t>(1009/503)</t>
  </si>
  <si>
    <t>(1009/504)</t>
  </si>
  <si>
    <t>(1009/505)</t>
  </si>
  <si>
    <t>(1009/506)</t>
  </si>
  <si>
    <t>(1009/507)</t>
  </si>
  <si>
    <t>(1009/508)</t>
  </si>
  <si>
    <t>(1009/509)</t>
  </si>
  <si>
    <t>(1009/510)</t>
  </si>
  <si>
    <t>(1009/511)</t>
  </si>
  <si>
    <t>(1009/512)</t>
  </si>
  <si>
    <t>(1009/513)</t>
  </si>
  <si>
    <t>(1009/514)</t>
  </si>
  <si>
    <t>(1009/515)</t>
  </si>
  <si>
    <t>(1009/516)</t>
  </si>
  <si>
    <t>(1009/517)</t>
  </si>
  <si>
    <t>(1009/518)</t>
  </si>
  <si>
    <t>(1009/519)</t>
  </si>
  <si>
    <t>(1009/520)</t>
  </si>
  <si>
    <t>(1009/521)</t>
  </si>
  <si>
    <t>(1009/522)</t>
  </si>
  <si>
    <t>(1009/523)</t>
  </si>
  <si>
    <t>(1009/524)</t>
  </si>
  <si>
    <t>(1009/525)</t>
  </si>
  <si>
    <t>(1009/526)</t>
  </si>
  <si>
    <t>(1009/527)</t>
  </si>
  <si>
    <t>(1009/528)</t>
  </si>
  <si>
    <t>(1009/529)</t>
  </si>
  <si>
    <t>(1009/530)</t>
  </si>
  <si>
    <t>(1009/531)</t>
  </si>
  <si>
    <t>(1009/532)</t>
  </si>
  <si>
    <t>(1009/533)</t>
  </si>
  <si>
    <t>(1009/534)</t>
  </si>
  <si>
    <t>(1009/535)</t>
  </si>
  <si>
    <t>(1009/536)</t>
  </si>
  <si>
    <t>(1009/537)</t>
  </si>
  <si>
    <t>(1009/538)</t>
  </si>
  <si>
    <t>(1009/539)</t>
  </si>
  <si>
    <t>(1009/540)</t>
  </si>
  <si>
    <t>(1009/541)</t>
  </si>
  <si>
    <t>(1009/542)</t>
  </si>
  <si>
    <t>(1009/543)</t>
  </si>
  <si>
    <t>(1009/544)</t>
  </si>
  <si>
    <t>(1009/545)</t>
  </si>
  <si>
    <t>(1009/546)</t>
  </si>
  <si>
    <t>(1009/547)</t>
  </si>
  <si>
    <t>(1009/548)</t>
  </si>
  <si>
    <t>(1009/549)</t>
  </si>
  <si>
    <t>(1009/550)</t>
  </si>
  <si>
    <t>(1009/551)</t>
  </si>
  <si>
    <t>(1009/552)</t>
  </si>
  <si>
    <t>(1009/553)</t>
  </si>
  <si>
    <t>(1009/554)</t>
  </si>
  <si>
    <t>(1009/555)</t>
  </si>
  <si>
    <t>(1009/556)</t>
  </si>
  <si>
    <t>(1009/557)</t>
  </si>
  <si>
    <t>(1009/558)</t>
  </si>
  <si>
    <t>(1009/559)</t>
  </si>
  <si>
    <t>(1009/560)</t>
  </si>
  <si>
    <t>(1009/561)</t>
  </si>
  <si>
    <t>(1009/562)</t>
  </si>
  <si>
    <t>(1009/563)</t>
  </si>
  <si>
    <t>(1009/564)</t>
  </si>
  <si>
    <t>(1009/565)</t>
  </si>
  <si>
    <t>(1009/566)</t>
  </si>
  <si>
    <t>(1009/567)</t>
  </si>
  <si>
    <t>(1009/568)</t>
  </si>
  <si>
    <t>(1009/569)</t>
  </si>
  <si>
    <t>(1009/570)</t>
  </si>
  <si>
    <t>(1009/571)</t>
  </si>
  <si>
    <t>(1009/572)</t>
  </si>
  <si>
    <t>(1009/573)</t>
  </si>
  <si>
    <t>(1009/574)</t>
  </si>
  <si>
    <t>(1009/575)</t>
  </si>
  <si>
    <t>(1009/576)</t>
  </si>
  <si>
    <t>(1009/577)</t>
  </si>
  <si>
    <t>(1009/578)</t>
  </si>
  <si>
    <t>(1009/579)</t>
  </si>
  <si>
    <t>(1009/580)</t>
  </si>
  <si>
    <t>(1009/581)</t>
  </si>
  <si>
    <t>(1009/582)</t>
  </si>
  <si>
    <t>(1009/583)</t>
  </si>
  <si>
    <t>(1009/584)</t>
  </si>
  <si>
    <t>(1009/585)</t>
  </si>
  <si>
    <t>(1009/586)</t>
  </si>
  <si>
    <t>(1009/587)</t>
  </si>
  <si>
    <t>(1009/588)</t>
  </si>
  <si>
    <t>(1009/589)</t>
  </si>
  <si>
    <t>(1009/590)</t>
  </si>
  <si>
    <t>(1009/591)</t>
  </si>
  <si>
    <t>(1009/592)</t>
  </si>
  <si>
    <t>(1009/593)</t>
  </si>
  <si>
    <t>(1009/594)</t>
  </si>
  <si>
    <t>(1009/595)</t>
  </si>
  <si>
    <t>(1009/596)</t>
  </si>
  <si>
    <t>(1009/597)</t>
  </si>
  <si>
    <t>(1009/598)</t>
  </si>
  <si>
    <t>(1009/599)</t>
  </si>
  <si>
    <t>(1009/600)</t>
  </si>
  <si>
    <t>(1009/601)</t>
  </si>
  <si>
    <t>(1009/602)</t>
  </si>
  <si>
    <t>(1009/603)</t>
  </si>
  <si>
    <t>(1009/604)</t>
  </si>
  <si>
    <t>(1009/605)</t>
  </si>
  <si>
    <t>(1009/606)</t>
  </si>
  <si>
    <t>(1009/607)</t>
  </si>
  <si>
    <t>(1009/608)</t>
  </si>
  <si>
    <t>(1009/609)</t>
  </si>
  <si>
    <t>(1009/610)</t>
  </si>
  <si>
    <t>(1009/611)</t>
  </si>
  <si>
    <t>(1009/612)</t>
  </si>
  <si>
    <t>(1009/613)</t>
  </si>
  <si>
    <t>(1009/614)</t>
  </si>
  <si>
    <t>(1009/615)</t>
  </si>
  <si>
    <t>(1009/616)</t>
  </si>
  <si>
    <t>(1009/617)</t>
  </si>
  <si>
    <t>(1009/618)</t>
  </si>
  <si>
    <t>(1009/619)</t>
  </si>
  <si>
    <t>(1009/620)</t>
  </si>
  <si>
    <t>(1009/621)</t>
  </si>
  <si>
    <t>(1009/622)</t>
  </si>
  <si>
    <t>(1009/623)</t>
  </si>
  <si>
    <t>(1009/624)</t>
  </si>
  <si>
    <t>(1009/625)</t>
  </si>
  <si>
    <t>(1009/626)</t>
  </si>
  <si>
    <t>(1009/627)</t>
  </si>
  <si>
    <t>(1009/628)</t>
  </si>
  <si>
    <t>(1009/629)</t>
  </si>
  <si>
    <t>(1009/630)</t>
  </si>
  <si>
    <t>(1009/631)</t>
  </si>
  <si>
    <t>(1009/632)</t>
  </si>
  <si>
    <t>(1009/633)</t>
  </si>
  <si>
    <t>(1009/634)</t>
  </si>
  <si>
    <t>(1009/635)</t>
  </si>
  <si>
    <t>(1009/636)</t>
  </si>
  <si>
    <t>(1009/637)</t>
  </si>
  <si>
    <t>(1009/638)</t>
  </si>
  <si>
    <t>(1009/639)</t>
  </si>
  <si>
    <t>(1009/640)</t>
  </si>
  <si>
    <t>(1009/641)</t>
  </si>
  <si>
    <t>(1009/642)</t>
  </si>
  <si>
    <t>(1009/643)</t>
  </si>
  <si>
    <t>(1009/644)</t>
  </si>
  <si>
    <t>(1009/645)</t>
  </si>
  <si>
    <t>(1009/646)</t>
  </si>
  <si>
    <t>(1009/647)</t>
  </si>
  <si>
    <t>(1009/648)</t>
  </si>
  <si>
    <t>(1009/649)</t>
  </si>
  <si>
    <t>(1009/650)</t>
  </si>
  <si>
    <t>(1009/651)</t>
  </si>
  <si>
    <t>(1009/652)</t>
  </si>
  <si>
    <t>(1009/653)</t>
  </si>
  <si>
    <t>(1009/654)</t>
  </si>
  <si>
    <t>(1009/655)</t>
  </si>
  <si>
    <t>(1009/656)</t>
  </si>
  <si>
    <t>(1009/657)</t>
  </si>
  <si>
    <t>(1009/658)</t>
  </si>
  <si>
    <t>(1009/659)</t>
  </si>
  <si>
    <t>(1009/660)</t>
  </si>
  <si>
    <t>(1009/661)</t>
  </si>
  <si>
    <t>(1009/662)</t>
  </si>
  <si>
    <t>(1009/663)</t>
  </si>
  <si>
    <t>(1009/664)</t>
  </si>
  <si>
    <t>(1009/665)</t>
  </si>
  <si>
    <t>(1009/666)</t>
  </si>
  <si>
    <t>(1009/667)</t>
  </si>
  <si>
    <t>(1009/668)</t>
  </si>
  <si>
    <t>(1009/669)</t>
  </si>
  <si>
    <t>(1009/670)</t>
  </si>
  <si>
    <t>(1009/671)</t>
  </si>
  <si>
    <t>(1009/672)</t>
  </si>
  <si>
    <t>(1009/673)</t>
  </si>
  <si>
    <t>(1009/674)</t>
  </si>
  <si>
    <t>(1009/675)</t>
  </si>
  <si>
    <t>(1009/676)</t>
  </si>
  <si>
    <t>(1009/677)</t>
  </si>
  <si>
    <t>(1009/678)</t>
  </si>
  <si>
    <t>(1009/679)</t>
  </si>
  <si>
    <t>(1009/680)</t>
  </si>
  <si>
    <t>(1009/681)</t>
  </si>
  <si>
    <t>(1009/682)</t>
  </si>
  <si>
    <t>(1009/683)</t>
  </si>
  <si>
    <t>(1009/684)</t>
  </si>
  <si>
    <t>(1009/685)</t>
  </si>
  <si>
    <t>(1009/686)</t>
  </si>
  <si>
    <t>(1009/687)</t>
  </si>
  <si>
    <t>(1009/688)</t>
  </si>
  <si>
    <t>(1009/689)</t>
  </si>
  <si>
    <t>(1009/690)</t>
  </si>
  <si>
    <t>(1009/691)</t>
  </si>
  <si>
    <t>(1009/692)</t>
  </si>
  <si>
    <t>(1009/693)</t>
  </si>
  <si>
    <t>(1009/694)</t>
  </si>
  <si>
    <t>(1009/695)</t>
  </si>
  <si>
    <t>(1009/696)</t>
  </si>
  <si>
    <t>(1009/697)</t>
  </si>
  <si>
    <t>(1009/698)</t>
  </si>
  <si>
    <t>(1009/699)</t>
  </si>
  <si>
    <t>(1009/700)</t>
  </si>
  <si>
    <t>(1009/701)</t>
  </si>
  <si>
    <t>(1009/702)</t>
  </si>
  <si>
    <t>(1009/703)</t>
  </si>
  <si>
    <t>(1009/704)</t>
  </si>
  <si>
    <t>(1009/705)</t>
  </si>
  <si>
    <t>(1009/706)</t>
  </si>
  <si>
    <t>(1009/707)</t>
  </si>
  <si>
    <t>(1009/708)</t>
  </si>
  <si>
    <t>(1009/709)</t>
  </si>
  <si>
    <t>(1009/710)</t>
  </si>
  <si>
    <t>(1009/711)</t>
  </si>
  <si>
    <t>(1009/712)</t>
  </si>
  <si>
    <t>(1009/713)</t>
  </si>
  <si>
    <t>(1009/714)</t>
  </si>
  <si>
    <t>(1009/715)</t>
  </si>
  <si>
    <t>(1009/716)</t>
  </si>
  <si>
    <t>(1009/717)</t>
  </si>
  <si>
    <t>(1009/718)</t>
  </si>
  <si>
    <t>(1009/719)</t>
  </si>
  <si>
    <t>(1009/720)</t>
  </si>
  <si>
    <t>(1009/721)</t>
  </si>
  <si>
    <t>(1009/722)</t>
  </si>
  <si>
    <t>(1009/723)</t>
  </si>
  <si>
    <t>(1009/724)</t>
  </si>
  <si>
    <t>(1009/725)</t>
  </si>
  <si>
    <t>(1009/726)</t>
  </si>
  <si>
    <t>(1009/727)</t>
  </si>
  <si>
    <t>(1009/728)</t>
  </si>
  <si>
    <t>(1009/729)</t>
  </si>
  <si>
    <t>(1009/730)</t>
  </si>
  <si>
    <t>(1009/731)</t>
  </si>
  <si>
    <t>(1009/732)</t>
  </si>
  <si>
    <t>(1009/733)</t>
  </si>
  <si>
    <t>(1009/734)</t>
  </si>
  <si>
    <t>(1009/735)</t>
  </si>
  <si>
    <t>(1009/736)</t>
  </si>
  <si>
    <t>Nginx by Zabbix agent</t>
  </si>
  <si>
    <t>2458</t>
  </si>
  <si>
    <t>Nginx: Memory usage[{#NGINX.NAME}]</t>
  </si>
  <si>
    <t>Nginx: 内存使用量[{#NGINX.NAME}]</t>
  </si>
  <si>
    <t>(1009/737)</t>
  </si>
  <si>
    <t>Nginx by Zabbix agent active</t>
  </si>
  <si>
    <t>2862</t>
  </si>
  <si>
    <t>(1009/738)</t>
  </si>
  <si>
    <t>Nutanix Host Prism Element by HTTP</t>
  </si>
  <si>
    <t>Disk [{#DISK.SERIAL}]: Space: Total and Used</t>
  </si>
  <si>
    <t>磁盘[{#DISK.SERIAL}]:空间:总量与已使用量</t>
  </si>
  <si>
    <t>(1009/739)</t>
  </si>
  <si>
    <t>2866</t>
  </si>
  <si>
    <t>Disk [{#DISK.SERIAL}]: Space: Logical usage and Used</t>
  </si>
  <si>
    <t>磁盘[{#DISK.SERIAL}]:空间:逻辑使用量与已使用量</t>
  </si>
  <si>
    <t>(1009/740)</t>
  </si>
  <si>
    <t>Nutanix Prism Element by HTTP</t>
  </si>
  <si>
    <t>Container [{#STORAGE.CONTAINER.NAME}]: Space: Total and Used</t>
  </si>
  <si>
    <t>存储容器[{#STORAGE.CONTAINER.NAME}]:空间:总量与已使用量</t>
  </si>
  <si>
    <t>(1009/741)</t>
  </si>
  <si>
    <t>Interface [{#IFNAME}({#IFALIAS})]: Inbound packet filter traffic</t>
  </si>
  <si>
    <t>接口[{#IFNAME}({#IFALIAS})]: 进方向数据包过滤规则流量</t>
  </si>
  <si>
    <t>(1009/742)</t>
  </si>
  <si>
    <t>(1009/743)</t>
  </si>
  <si>
    <t>Interface [{#IFNAME}({#IFALIAS})]: Outbound packet filter traffic</t>
  </si>
  <si>
    <t>接口[{#IFNAME}({#IFALIAS})]: 出方向数据包过滤规则流量</t>
  </si>
  <si>
    <t>(1009/744)</t>
  </si>
  <si>
    <t>OS processes by Zabbix agent</t>
  </si>
  <si>
    <t>Process [{#NAME}]: Memory usage</t>
  </si>
  <si>
    <t>Process [{#NAME} ]: 内存使用情况</t>
  </si>
  <si>
    <t>(1009/745)</t>
  </si>
  <si>
    <t>(1009/746)</t>
  </si>
  <si>
    <t>2786</t>
  </si>
  <si>
    <t>(1009/747)</t>
  </si>
  <si>
    <t>2785</t>
  </si>
  <si>
    <t>(1009/748)</t>
  </si>
  <si>
    <t>2540</t>
  </si>
  <si>
    <t>(1009/749)</t>
  </si>
  <si>
    <t>(1009/750)</t>
  </si>
  <si>
    <t>(1009/751)</t>
  </si>
  <si>
    <t>(1009/752)</t>
  </si>
  <si>
    <t>(1009/753)</t>
  </si>
  <si>
    <t>(1009/754)</t>
  </si>
  <si>
    <t>(1009/755)</t>
  </si>
  <si>
    <t>(1009/756)</t>
  </si>
  <si>
    <t>2692</t>
  </si>
  <si>
    <t>(1009/757)</t>
  </si>
  <si>
    <t>2687</t>
  </si>
  <si>
    <t>(1009/758)</t>
  </si>
  <si>
    <t>(1009/759)</t>
  </si>
  <si>
    <t>2688</t>
  </si>
  <si>
    <t>(1009/760)</t>
  </si>
  <si>
    <t>2689</t>
  </si>
  <si>
    <t>(1009/761)</t>
  </si>
  <si>
    <t>2691</t>
  </si>
  <si>
    <t>(1009/762)</t>
  </si>
  <si>
    <t>2690</t>
  </si>
  <si>
    <t>(1009/763)</t>
  </si>
  <si>
    <t>(1009/764)</t>
  </si>
  <si>
    <t>2476</t>
  </si>
  <si>
    <t>'{#CON_NAME}' TBS '{#TABLESPACE}': Tablespace '{#TABLESPACE}'</t>
  </si>
  <si>
    <t>"{#CON_NAME}"表空间"{#TABLESPACE}":表空间"{#TABLESPACE}"</t>
  </si>
  <si>
    <t>(1009/765)</t>
  </si>
  <si>
    <t>2473</t>
  </si>
  <si>
    <t>(1009/766)</t>
  </si>
  <si>
    <t>2474</t>
  </si>
  <si>
    <t>(1009/767)</t>
  </si>
  <si>
    <t>(1009/768)</t>
  </si>
  <si>
    <t>(1009/769)</t>
  </si>
  <si>
    <t>(1009/770)</t>
  </si>
  <si>
    <t>PHP-FPM by Zabbix agent</t>
  </si>
  <si>
    <t>2459</t>
  </si>
  <si>
    <t>PHP-FPM: Memory usage[{#PHP_FPM.NAME}]</t>
  </si>
  <si>
    <t>PHP-FPM: 内存使用量[{#PHP_FPM.NAME}]</t>
  </si>
  <si>
    <t>(1009/771)</t>
  </si>
  <si>
    <t>PHP-FPM by Zabbix agent active</t>
  </si>
  <si>
    <t>2911</t>
  </si>
  <si>
    <t>(1009/772)</t>
  </si>
  <si>
    <t>Palo Alto PA-440 by HTTP</t>
  </si>
  <si>
    <t>2959</t>
  </si>
  <si>
    <t>Interface [{#IFNAME}]: Network traffic (bits, per second)</t>
  </si>
  <si>
    <t>接口[{#IFNAME}]:网络流量(比特/秒)</t>
  </si>
  <si>
    <t>(1009/773)</t>
  </si>
  <si>
    <t>2960</t>
  </si>
  <si>
    <t>Interface [{#IFNAME}]: Network traffic (packets, per second)</t>
  </si>
  <si>
    <t>接口[{#IFNAME}]:网络流量(数据包/秒)</t>
  </si>
  <si>
    <t>(1009/774)</t>
  </si>
  <si>
    <t>2961</t>
  </si>
  <si>
    <t>VSYS [{#VSYS}]: Interface [{#IFNAME}]: Network traffic (bits, per second)</t>
  </si>
  <si>
    <t>虚拟系统(VSYS)[{#VSYS}]:接口[{#IFNAME}]:网络流量(比特/秒)</t>
  </si>
  <si>
    <t>(1009/775)</t>
  </si>
  <si>
    <t>2962</t>
  </si>
  <si>
    <t>VSYS [{#VSYS}]: Interface [{#IFNAME}]: Network traffic (packets, per second)</t>
  </si>
  <si>
    <t>虚拟系统(VSYS)[{#VSYS}]:接口[{#IFNAME}]:网络流量(数据包/秒)</t>
  </si>
  <si>
    <t>(1009/776)</t>
  </si>
  <si>
    <t>(1009/777)</t>
  </si>
  <si>
    <t>2551</t>
  </si>
  <si>
    <t>(1009/778)</t>
  </si>
  <si>
    <t>(1009/779)</t>
  </si>
  <si>
    <t>(1009/780)</t>
  </si>
  <si>
    <t>2552</t>
  </si>
  <si>
    <t>(1009/781)</t>
  </si>
  <si>
    <t>(1009/782)</t>
  </si>
  <si>
    <t>2553</t>
  </si>
  <si>
    <t>(1009/783)</t>
  </si>
  <si>
    <t>(1009/784)</t>
  </si>
  <si>
    <t>(1009/785)</t>
  </si>
  <si>
    <t>(1009/786)</t>
  </si>
  <si>
    <t>(1009/787)</t>
  </si>
  <si>
    <t>(1009/788)</t>
  </si>
  <si>
    <t>(1009/789)</t>
  </si>
  <si>
    <t>(1009/790)</t>
  </si>
  <si>
    <t>(1009/791)</t>
  </si>
  <si>
    <t>(1009/792)</t>
  </si>
  <si>
    <t>(1009/793)</t>
  </si>
  <si>
    <t>(1009/794)</t>
  </si>
  <si>
    <t>(1009/795)</t>
  </si>
  <si>
    <t>2324</t>
  </si>
  <si>
    <t>(1009/796)</t>
  </si>
  <si>
    <t>2323</t>
  </si>
  <si>
    <t>(1009/797)</t>
  </si>
  <si>
    <t>(1009/798)</t>
  </si>
  <si>
    <t>PostgreSQL by Zabbix agent 2 active</t>
  </si>
  <si>
    <t>2928</t>
  </si>
  <si>
    <t>(1009/799)</t>
  </si>
  <si>
    <t>2931</t>
  </si>
  <si>
    <t>(1009/800)</t>
  </si>
  <si>
    <t>2929</t>
  </si>
  <si>
    <t>(1009/801)</t>
  </si>
  <si>
    <t>(1009/802)</t>
  </si>
  <si>
    <t>2932</t>
  </si>
  <si>
    <t>(1009/803)</t>
  </si>
  <si>
    <t>2930</t>
  </si>
  <si>
    <t>(1009/804)</t>
  </si>
  <si>
    <t>2933</t>
  </si>
  <si>
    <t>(1009/805)</t>
  </si>
  <si>
    <t>PostgreSQL by Zabbix agent active</t>
  </si>
  <si>
    <t>2935</t>
  </si>
  <si>
    <t>(1009/806)</t>
  </si>
  <si>
    <t>2934</t>
  </si>
  <si>
    <t>(1009/807)</t>
  </si>
  <si>
    <t>2936</t>
  </si>
  <si>
    <t>(1009/808)</t>
  </si>
  <si>
    <t>2940</t>
  </si>
  <si>
    <t>(1009/809)</t>
  </si>
  <si>
    <t>2941</t>
  </si>
  <si>
    <t>(1009/810)</t>
  </si>
  <si>
    <t>2937</t>
  </si>
  <si>
    <t>(1009/811)</t>
  </si>
  <si>
    <t>2939</t>
  </si>
  <si>
    <t>(1009/812)</t>
  </si>
  <si>
    <t>2938</t>
  </si>
  <si>
    <t>(1009/813)</t>
  </si>
  <si>
    <t>(1009/814)</t>
  </si>
  <si>
    <t>2914</t>
  </si>
  <si>
    <t>Proxmox: LXC [{#NODE.NAME}/{#LXC.NAME} ({#LXC.ID})]: Disk space usage</t>
  </si>
  <si>
    <t>普罗克斯莫克斯:Linux容器[{#NODE.NAME}/{#LXC.NAME}({#LXC.ID})]:磁盘空间使用情况</t>
  </si>
  <si>
    <t>(1009/815)</t>
  </si>
  <si>
    <t>(1009/816)</t>
  </si>
  <si>
    <t>(1009/817)</t>
  </si>
  <si>
    <t>(1009/818)</t>
  </si>
  <si>
    <t>(1009/819)</t>
  </si>
  <si>
    <t>(1009/820)</t>
  </si>
  <si>
    <t>(1009/821)</t>
  </si>
  <si>
    <t>(1009/822)</t>
  </si>
  <si>
    <t>(1009/823)</t>
  </si>
  <si>
    <t>(1009/824)</t>
  </si>
  <si>
    <t>(1009/825)</t>
  </si>
  <si>
    <t>(1009/826)</t>
  </si>
  <si>
    <t>(1009/827)</t>
  </si>
  <si>
    <t>(1009/828)</t>
  </si>
  <si>
    <t>Pure Storage FlashArray v1 by HTTP</t>
  </si>
  <si>
    <t>3074</t>
  </si>
  <si>
    <t>Drive [{#NAME}]: Capacity</t>
  </si>
  <si>
    <t>驱动器[{#NAME}]：容量</t>
  </si>
  <si>
    <t>(1009/829)</t>
  </si>
  <si>
    <t>3076</t>
  </si>
  <si>
    <t>Host [{#NAME}]: Read/write throughput</t>
  </si>
  <si>
    <t>主机 [{#NAME}]：读写吞吐量</t>
  </si>
  <si>
    <t>(1009/830)</t>
  </si>
  <si>
    <t>3077</t>
  </si>
  <si>
    <t>Host [{#NAME}]: Requests per second</t>
  </si>
  <si>
    <t>主机 [{#NAME}]：每秒请求数</t>
  </si>
  <si>
    <t>(1009/831)</t>
  </si>
  <si>
    <t>3078</t>
  </si>
  <si>
    <t>Host [{#NAME}]: Space</t>
  </si>
  <si>
    <t>主机 [{#NAME}]：空间</t>
  </si>
  <si>
    <t>(1009/832)</t>
  </si>
  <si>
    <t>3075</t>
  </si>
  <si>
    <t>Host [{#NAME}]: Operation latency</t>
  </si>
  <si>
    <t>主机 [{#NAME}]：操作延迟</t>
  </si>
  <si>
    <t>(1009/833)</t>
  </si>
  <si>
    <t>3079</t>
  </si>
  <si>
    <t>Interface [{#IFNAME}]: Speed</t>
  </si>
  <si>
    <t>接口 [{#IFNAME}]：速率</t>
  </si>
  <si>
    <t>(1009/834)</t>
  </si>
  <si>
    <t>3080</t>
  </si>
  <si>
    <t>Power supply [{#NAME}]: Voltage</t>
  </si>
  <si>
    <t>电源[{#NAME}]：电压</t>
  </si>
  <si>
    <t>(1009/835)</t>
  </si>
  <si>
    <t>3081</t>
  </si>
  <si>
    <t>Sensor [{#NAME}]: Temperature</t>
  </si>
  <si>
    <t>传感器 [{#NAME}]：温度</t>
  </si>
  <si>
    <t>(1009/836)</t>
  </si>
  <si>
    <t>3083</t>
  </si>
  <si>
    <t>Volume [{#NAME}]: Read/write throughput</t>
  </si>
  <si>
    <t>卷 [{#NAME}]：读写吞吐量</t>
  </si>
  <si>
    <t>(1009/837)</t>
  </si>
  <si>
    <t>3084</t>
  </si>
  <si>
    <t>Volume [{#NAME}]: Requests per second</t>
  </si>
  <si>
    <t>卷 [{#NAME}]：每秒请求数</t>
  </si>
  <si>
    <t>(1009/838)</t>
  </si>
  <si>
    <t>3085</t>
  </si>
  <si>
    <t>Volume [{#NAME}]: Space</t>
  </si>
  <si>
    <t>卷 [{#NAME}]：空间</t>
  </si>
  <si>
    <t>(1009/839)</t>
  </si>
  <si>
    <t>3082</t>
  </si>
  <si>
    <t>Volume [{#NAME}]: Operation latency</t>
  </si>
  <si>
    <t>卷 [{#NAME}]：操作延迟</t>
  </si>
  <si>
    <t>(1009/840)</t>
  </si>
  <si>
    <t>Pure Storage FlashArray v2 by HTTP</t>
  </si>
  <si>
    <t>3086</t>
  </si>
  <si>
    <t>驱动器 [{#NAME}]：容量</t>
  </si>
  <si>
    <t>(1009/841)</t>
  </si>
  <si>
    <t>3088</t>
  </si>
  <si>
    <t>(1009/842)</t>
  </si>
  <si>
    <t>3089</t>
  </si>
  <si>
    <t>(1009/843)</t>
  </si>
  <si>
    <t>3090</t>
  </si>
  <si>
    <t>(1009/844)</t>
  </si>
  <si>
    <t>3087</t>
  </si>
  <si>
    <t>(1009/845)</t>
  </si>
  <si>
    <t>3091</t>
  </si>
  <si>
    <t>(1009/846)</t>
  </si>
  <si>
    <t>3092</t>
  </si>
  <si>
    <t>Pod [{#NAME}]: Quota</t>
  </si>
  <si>
    <t>Pod [{#NAME}]：配额</t>
  </si>
  <si>
    <t>(1009/847)</t>
  </si>
  <si>
    <t>3093</t>
  </si>
  <si>
    <t>(1009/848)</t>
  </si>
  <si>
    <t>3094</t>
  </si>
  <si>
    <t>(1009/849)</t>
  </si>
  <si>
    <t>3096</t>
  </si>
  <si>
    <t>(1009/850)</t>
  </si>
  <si>
    <t>3097</t>
  </si>
  <si>
    <t>(1009/851)</t>
  </si>
  <si>
    <t>3098</t>
  </si>
  <si>
    <t>(1009/852)</t>
  </si>
  <si>
    <t>3095</t>
  </si>
  <si>
    <t>卷[{#NAME}]：操作延迟</t>
  </si>
  <si>
    <t>(1009/853)</t>
  </si>
  <si>
    <t>(1009/854)</t>
  </si>
  <si>
    <t>(1009/855)</t>
  </si>
  <si>
    <t>(1009/856)</t>
  </si>
  <si>
    <t>2460</t>
  </si>
  <si>
    <t>RabbitMQ: Memory usage[{#RABBITMQ.NAME}]</t>
  </si>
  <si>
    <t>RabbitMQ: 内存使用量[{#RABBITMQ.NAME}]</t>
  </si>
  <si>
    <t>(1009/857)</t>
  </si>
  <si>
    <t>(1009/858)</t>
  </si>
  <si>
    <t>(1009/859)</t>
  </si>
  <si>
    <t>(1009/860)</t>
  </si>
  <si>
    <t>(1009/861)</t>
  </si>
  <si>
    <t>(1009/862)</t>
  </si>
  <si>
    <t>(1009/863)</t>
  </si>
  <si>
    <t>(1009/864)</t>
  </si>
  <si>
    <t>2788</t>
  </si>
  <si>
    <t>(1009/865)</t>
  </si>
  <si>
    <t>2787</t>
  </si>
  <si>
    <t>(1009/866)</t>
  </si>
  <si>
    <t>(1009/867)</t>
  </si>
  <si>
    <t>(1009/868)</t>
  </si>
  <si>
    <t>(1009/869)</t>
  </si>
  <si>
    <t>(1009/870)</t>
  </si>
  <si>
    <t>(1009/871)</t>
  </si>
  <si>
    <t>Repo [{#SLUG}]: Builds</t>
  </si>
  <si>
    <t>Repo [{#SLUG}]: 生成</t>
  </si>
  <si>
    <t>(1009/872)</t>
  </si>
  <si>
    <t>3107</t>
  </si>
  <si>
    <t>(1009/873)</t>
  </si>
  <si>
    <t>2309</t>
  </si>
  <si>
    <t>(1009/874)</t>
  </si>
  <si>
    <t>(1009/875)</t>
  </si>
  <si>
    <t>Dataset [{#DATASET_NAME}]: Space usage</t>
  </si>
  <si>
    <t>数据集[{#DATASET_NAME}]: 空间使用率</t>
  </si>
  <si>
    <t>(1009/876)</t>
  </si>
  <si>
    <t>Disk [{#DISK_NAME}]': Temperature</t>
  </si>
  <si>
    <t>磁盘[{#DISK_NAME}]: 温度</t>
  </si>
  <si>
    <t>(1009/877)</t>
  </si>
  <si>
    <t>Pool [{#POOLNAME}]: Read/write rates</t>
  </si>
  <si>
    <t>存储池[{#POOLNAME}]: 读写速率</t>
  </si>
  <si>
    <t>(1009/878)</t>
  </si>
  <si>
    <t>Pool [{#POOLNAME}]: Space usage</t>
  </si>
  <si>
    <t>存储池[{#POOLNAME}]: 空间使用率</t>
  </si>
  <si>
    <t>(1009/879)</t>
  </si>
  <si>
    <t>(1009/880)</t>
  </si>
  <si>
    <t>(1009/881)</t>
  </si>
  <si>
    <t>(1009/882)</t>
  </si>
  <si>
    <t>(1009/883)</t>
  </si>
  <si>
    <t>(1009/884)</t>
  </si>
  <si>
    <t>(1009/885)</t>
  </si>
  <si>
    <t>(1009/886)</t>
  </si>
  <si>
    <t>(1009/887)</t>
  </si>
  <si>
    <t>{#JMX_DATA_SOURCE}: Connections</t>
  </si>
  <si>
    <t>{#JMX_DATA_SOURCE}: 连接</t>
  </si>
  <si>
    <t>(1009/888)</t>
  </si>
  <si>
    <t>{#JMX_DATA_SOURCE}: Cache operations</t>
  </si>
  <si>
    <t>{#JMX_DATA_SOURCE}: 缓存操作</t>
  </si>
  <si>
    <t>(1009/889)</t>
  </si>
  <si>
    <t>Listener {#HTTP_LISTENER}: Throughput</t>
  </si>
  <si>
    <t>监听器{#HTTP_LISTENER}: 吞吐量</t>
  </si>
  <si>
    <t>(1009/890)</t>
  </si>
  <si>
    <t>Listener {#HTTP_LISTENER}: Requests</t>
  </si>
  <si>
    <t>监听器{#HTTP_LISTENER}: 请求</t>
  </si>
  <si>
    <t>(1009/891)</t>
  </si>
  <si>
    <t>(1009/892)</t>
  </si>
  <si>
    <t>2791</t>
  </si>
  <si>
    <t>FS [{#FSNAME}]: Space usage graph, in %</t>
  </si>
  <si>
    <t>FS [{#FSNAME}]: 空间使用图,以百分比表示</t>
  </si>
  <si>
    <t>(1009/893)</t>
  </si>
  <si>
    <t>FS [{#FSNAME}]: Space utilization chart</t>
  </si>
  <si>
    <t>FS [{#FSNAME}]: 空间使用图</t>
  </si>
  <si>
    <t>(1009/894)</t>
  </si>
  <si>
    <t>(1009/895)</t>
  </si>
  <si>
    <t>(1009/896)</t>
  </si>
  <si>
    <t>(1009/897)</t>
  </si>
  <si>
    <t>(1009/898)</t>
  </si>
  <si>
    <t>(1009/899)</t>
  </si>
  <si>
    <t>(1009/900)</t>
  </si>
  <si>
    <t>FS [{#FSLABEL}({#FSNAME})]: Space utilization chart</t>
  </si>
  <si>
    <t>FS [{#FSLABEL}({#FSNAME})]: 空间使用图</t>
  </si>
  <si>
    <t>(1009/901)</t>
  </si>
  <si>
    <t>2789</t>
  </si>
  <si>
    <t>FS [{#FSLABEL}({#FSNAME})]: Space usage graph, in %</t>
  </si>
  <si>
    <t>FS [{#FSLABEL}({#FSNAME})]: 空间使用图,以百分比表示</t>
  </si>
  <si>
    <t>(1009/902)</t>
  </si>
  <si>
    <t>(1009/903)</t>
  </si>
  <si>
    <t>(1009/904)</t>
  </si>
  <si>
    <t>(1009/905)</t>
  </si>
  <si>
    <t>(1009/906)</t>
  </si>
  <si>
    <t>(1009/907)</t>
  </si>
  <si>
    <t>(1009/908)</t>
  </si>
  <si>
    <t>2790</t>
  </si>
  <si>
    <t>(1009/909)</t>
  </si>
  <si>
    <t>2652</t>
  </si>
  <si>
    <t>(1009/910)</t>
  </si>
  <si>
    <t>2653</t>
  </si>
  <si>
    <t>(1009/911)</t>
  </si>
  <si>
    <t>2654</t>
  </si>
  <si>
    <t>(1009/912)</t>
  </si>
  <si>
    <t>(1009/913)</t>
  </si>
  <si>
    <t>(1009/914)</t>
  </si>
  <si>
    <t>(1009/915)</t>
  </si>
  <si>
    <t>(1009/916)</t>
  </si>
  <si>
    <t>(1009/917)</t>
  </si>
  <si>
    <t>(1009/918)</t>
  </si>
  <si>
    <t>(1009/919)</t>
  </si>
  <si>
    <t>(1009/920)</t>
  </si>
  <si>
    <t>(1009/921)</t>
  </si>
  <si>
    <t>(1009/922)</t>
  </si>
  <si>
    <t>(1009/923)</t>
  </si>
  <si>
    <t>(1009/924)</t>
  </si>
  <si>
    <t>(1009/925)</t>
  </si>
  <si>
    <t>(1009/926)</t>
  </si>
  <si>
    <t>(1009/927)</t>
  </si>
  <si>
    <t>(1009/928)</t>
  </si>
  <si>
    <t>(1009/929)</t>
  </si>
  <si>
    <t>(1009/930)</t>
  </si>
  <si>
    <t>(1009/931)</t>
  </si>
  <si>
    <t>(1009/932)</t>
  </si>
  <si>
    <t>(1009/933)</t>
  </si>
  <si>
    <t>(1009/934)</t>
  </si>
  <si>
    <t>(1009/935)</t>
  </si>
  <si>
    <t>(1009/936)</t>
  </si>
  <si>
    <t>(1009/937)</t>
  </si>
  <si>
    <t>(1009/938)</t>
  </si>
  <si>
    <t>(1009/939)</t>
  </si>
  <si>
    <t>(1009/940)</t>
  </si>
  <si>
    <t>(1009/941)</t>
  </si>
  <si>
    <t>(1009/942)</t>
  </si>
  <si>
    <t>(1009/943)</t>
  </si>
  <si>
    <t>(1009/944)</t>
  </si>
  <si>
    <t>(1009/945)</t>
  </si>
  <si>
    <t>(1009/946)</t>
  </si>
  <si>
    <t>(1009/947)</t>
  </si>
  <si>
    <t>(1009/948)</t>
  </si>
  <si>
    <t>(1009/949)</t>
  </si>
  <si>
    <t>(1009/950)</t>
  </si>
  <si>
    <t>(1009/951)</t>
  </si>
  <si>
    <t>(1009/952)</t>
  </si>
  <si>
    <t>(1009/953)</t>
  </si>
  <si>
    <t>(1009/954)</t>
  </si>
  <si>
    <t>(1009/955)</t>
  </si>
  <si>
    <t>(1009/956)</t>
  </si>
  <si>
    <t>(1009/957)</t>
  </si>
  <si>
    <t>(1009/958)</t>
  </si>
  <si>
    <t>(1009/959)</t>
  </si>
  <si>
    <t>(1009/960)</t>
  </si>
  <si>
    <t>(1009/961)</t>
  </si>
  <si>
    <t>(1009/962)</t>
  </si>
  <si>
    <t>(1009/963)</t>
  </si>
  <si>
    <t>(1009/964)</t>
  </si>
  <si>
    <t>(1009/965)</t>
  </si>
  <si>
    <t>(1009/966)</t>
  </si>
  <si>
    <t>(1009/967)</t>
  </si>
  <si>
    <t>(1009/968)</t>
  </si>
  <si>
    <t>(1009/969)</t>
  </si>
  <si>
    <t>(1009/970)</t>
  </si>
  <si>
    <t>(1009/971)</t>
  </si>
  <si>
    <t>(1009/972)</t>
  </si>
  <si>
    <t>(1009/973)</t>
  </si>
  <si>
    <t>(1009/974)</t>
  </si>
  <si>
    <t>(1009/975)</t>
  </si>
  <si>
    <t>(1009/976)</t>
  </si>
  <si>
    <t>(1009/977)</t>
  </si>
  <si>
    <t>(1009/978)</t>
  </si>
  <si>
    <t>(1009/979)</t>
  </si>
  <si>
    <t>(1009/980)</t>
  </si>
  <si>
    <t>(1009/981)</t>
  </si>
  <si>
    <t>(1009/982)</t>
  </si>
  <si>
    <t>(1009/983)</t>
  </si>
  <si>
    <t>(1009/984)</t>
  </si>
  <si>
    <t>(1009/985)</t>
  </si>
  <si>
    <t>(1009/986)</t>
  </si>
  <si>
    <t>(1009/987)</t>
  </si>
  <si>
    <t>(1009/988)</t>
  </si>
  <si>
    <t>(1009/989)</t>
  </si>
  <si>
    <t>(1009/990)</t>
  </si>
  <si>
    <t>(1009/991)</t>
  </si>
  <si>
    <t>(1009/992)</t>
  </si>
  <si>
    <t>(1009/993)</t>
  </si>
  <si>
    <t>(1009/994)</t>
  </si>
  <si>
    <t>(1009/995)</t>
  </si>
  <si>
    <t>(1009/996)</t>
  </si>
  <si>
    <t>(1009/997)</t>
  </si>
  <si>
    <t>(1009/998)</t>
  </si>
  <si>
    <t>(1009/999)</t>
  </si>
  <si>
    <t>(1009/1000)</t>
  </si>
  <si>
    <t>(1009/1001)</t>
  </si>
  <si>
    <t>(1009/1002)</t>
  </si>
  <si>
    <t>(1009/1003)</t>
  </si>
  <si>
    <t>(1009/1004)</t>
  </si>
  <si>
    <t>(1009/1005)</t>
  </si>
  <si>
    <t>(1009/1006)</t>
  </si>
  <si>
    <t>(1009/1007)</t>
  </si>
  <si>
    <t>(1009/1008)</t>
  </si>
  <si>
    <t>2784</t>
  </si>
  <si>
    <t>(1009/1009)</t>
  </si>
  <si>
    <t>2783</t>
  </si>
  <si>
    <t>接口{#IFNAME}:网络流量</t>
  </si>
  <si>
    <t>戴尔R660：物理磁盘[{#DISK_NAME}]：容量大小</t>
  </si>
  <si>
    <t>戴尔R660：虚拟磁盘[{#DISK_NAME}]：容量大小</t>
  </si>
  <si>
    <t>戴尔R660：接口[{#IFNAME}]：速度</t>
  </si>
  <si>
    <t>戴尔R660：风扇[{#SENSOR_NAME}]：转速</t>
  </si>
  <si>
    <t>戴尔R660：电源[{#SENSOR_NAME}]：电流</t>
  </si>
  <si>
    <t>戴尔R660：电源[{#SENSOR_NAME}]：电压</t>
  </si>
  <si>
    <t>戴尔R660：探头[{#SENSOR_NAME}]：数值</t>
  </si>
  <si>
    <t>戴尔R660：风扇[{#FAN_DESCR}]：转速</t>
  </si>
  <si>
    <t>戴尔R660：探头[{#SENSOR_LOCALE}]：数值</t>
  </si>
  <si>
    <t>戴尔R660：电压探头[{#VPROBE_NAME}]：电压</t>
  </si>
  <si>
    <t>戴尔R720：物理磁盘[{#DISK_NAME}]：容量大小</t>
  </si>
  <si>
    <t>戴尔R720：虚拟磁盘[{#DISK_NAME}]：容量大小</t>
  </si>
  <si>
    <t>戴尔R720：接口[{#IFNAME}]：速度</t>
  </si>
  <si>
    <t>戴尔R720：风扇[{#SENSOR_NAME}]：转速</t>
  </si>
  <si>
    <t>戴尔R720：电源[{#SENSOR_NAME}]：电流</t>
  </si>
  <si>
    <t>戴尔R720：电源[{#SENSOR_NAME}]：电压</t>
  </si>
  <si>
    <t>戴尔R720：探头[{#SENSOR_NAME}]：数值</t>
  </si>
  <si>
    <t>磁盘[{#磁盘名称}]: 温度</t>
  </si>
  <si>
    <t>戴尔R720：风扇[{#FAN_DESCR}]：转速</t>
  </si>
  <si>
    <t>戴尔R720：探头[{#SENSOR_LOCALE}]：数值</t>
  </si>
  <si>
    <t>戴尔R720：电压探头[{#VPROBE_NAME}]：电压</t>
  </si>
  <si>
    <t>戴尔R740：物理磁盘[{#DISK_NAME}]：容量大小</t>
  </si>
  <si>
    <t>戴尔R740：虚拟磁盘[{#DISK_NAME}]：容量大小</t>
  </si>
  <si>
    <t>戴尔R740：接口[{#IFNAME}]：速度</t>
  </si>
  <si>
    <t>戴尔R740：风扇[{#SENSOR_NAME}]：转速</t>
  </si>
  <si>
    <t>戴尔R740：电源[{#SENSOR_NAME}]：电流</t>
  </si>
  <si>
    <t>戴尔R740：电源[{#SENSOR_NAME}]：电压</t>
  </si>
  <si>
    <t>戴尔R740：探头[{#SENSOR_NAME}]：数值</t>
  </si>
  <si>
    <t>戴尔R740：风扇[{#FAN_DESCR}]：转速</t>
  </si>
  <si>
    <t>戴尔R740：探头[{#SENSOR_LOCALE}]：数值</t>
  </si>
  <si>
    <t>戴尔R740：电压探头[{#VPROBE_NAME}]：电压</t>
  </si>
  <si>
    <t>戴尔R750：物理磁盘[{#DISK_NAME}]：容量大小</t>
  </si>
  <si>
    <t>戴尔R750：虚拟磁盘[{#DISK_NAME}]：容量大小</t>
  </si>
  <si>
    <t>戴尔R750：接口[{#IFNAME}]：速度</t>
  </si>
  <si>
    <t>戴尔R750：风扇[{#SENSOR_NAME}]：转速</t>
  </si>
  <si>
    <t>戴尔R750：电源[{#SENSOR_NAME}]：电流</t>
  </si>
  <si>
    <t>戴尔R750：电源[{#SENSOR_NAME}]：电压</t>
  </si>
  <si>
    <t>戴尔R750：探头[{#SENSOR_NAME}]：数值</t>
  </si>
  <si>
    <t>戴尔R750：风扇[{#FAN_DESCR}]：转速</t>
  </si>
  <si>
    <t>戴尔R750：探头[{#SENSOR_LOCALE}]：数值</t>
  </si>
  <si>
    <t>戴尔R750：电压探头[{#VPROBE_NAME}]：电压</t>
  </si>
  <si>
    <t>戴尔R820：物理磁盘[{#DISK_NAME}]：容量大小</t>
  </si>
  <si>
    <t>戴尔R820：虚拟磁盘[{#DISK_NAME}]：容量大小</t>
  </si>
  <si>
    <t>戴尔R820：接口[{#IFNAME}]：速度</t>
  </si>
  <si>
    <t>戴尔R820：风扇[{#SENSOR_NAME}]：转速</t>
  </si>
  <si>
    <t>戴尔R820：电源[{#SENSOR_NAME}]：电流</t>
  </si>
  <si>
    <t>戴尔R820：电源[{#SENSOR_NAME}]：电压</t>
  </si>
  <si>
    <t>戴尔R820：探头[{#SENSOR_NAME}]：数值</t>
  </si>
  <si>
    <t>戴尔R820：风扇[{#FAN_DESCR}]：转速</t>
  </si>
  <si>
    <t>戴尔R820：探头[{#SENSOR_LOCALE}]：数值</t>
  </si>
  <si>
    <t>戴尔R820：电压探头[{#VPROBE_NAME}]：电压</t>
  </si>
  <si>
    <t>戴尔R840：物理磁盘[{#DISK_NAME}]：容量大小</t>
  </si>
  <si>
    <t>戴尔R840：虚拟磁盘[{#DISK_NAME}]：容量大小</t>
  </si>
  <si>
    <t>戴尔R840：接口[{#IFNAME}]：速度</t>
  </si>
  <si>
    <t>戴尔R840：风扇[{#SENSOR_NAME}]：转速</t>
  </si>
  <si>
    <t>戴尔R840：电源[{#SENSOR_NAME}]：电流</t>
  </si>
  <si>
    <t>戴尔R840：电源[{#SENSOR_NAME}]：电压</t>
  </si>
  <si>
    <t>戴尔R840：探头[{#SENSOR_NAME}]：数值</t>
  </si>
  <si>
    <t>戴尔R840：风扇[{#FAN_DESCR}]：转速</t>
  </si>
  <si>
    <t>戴尔R840：探头[{#SENSOR_LOCALE}]：数值</t>
  </si>
  <si>
    <t>戴尔R840：电压探头[{#VPROBE_NAME}]：电压</t>
  </si>
  <si>
    <t>戴尔远程管理控制器（iDRAC）：物理磁盘[{#DISK_NAME}]：容量大小</t>
  </si>
  <si>
    <t>戴尔远程管理控制器（iDRAC）：虚拟磁盘[{#DISK_NAME}]：容量大小</t>
  </si>
  <si>
    <t>戴尔远程管理控制器（iDRAC）：风扇[{#FAN_DESCR}]：转速</t>
  </si>
  <si>
    <t>戴尔远程管理控制器（iDRAC）：探头[{#SENSOR_LOCALE}]：数值</t>
  </si>
  <si>
    <t>戴尔远程管理控制器（iDRAC）：电压探头[{#VPROBE_NAME}]：电压</t>
  </si>
  <si>
    <t>接口[{#IFNAME}]：网络流量（比特/秒）</t>
  </si>
  <si>
    <t>接口[{#IFNAME}]：网络流量（数据包/秒）</t>
  </si>
  <si>
    <t>虚拟系统（VSYS）[{#VSYS}]：接口[{#IFNAME}]：网络流量（比特/秒）</t>
  </si>
  <si>
    <t>虚拟系统（VSYS）[{#VSYS}]：接口[{#IFNAME}]：网络流量（数据包/秒）</t>
  </si>
  <si>
    <t>(310/1)</t>
  </si>
  <si>
    <t>(310/2)</t>
  </si>
  <si>
    <t>AWS 成本：服务 [{#AWS.BILLING.SERVICE.NAME}]：每日混合成本</t>
  </si>
  <si>
    <t>AWS 成本：[{#AWS.BILLING.MONTH}]：每月混合成本</t>
  </si>
  <si>
    <t>AWS 成本：[{#AWS.BILLING.SERVICE.NAME}]：月份 [{#AWS.BILLING.MONTH}] 混合成本</t>
  </si>
  <si>
    <t>(310/3)</t>
  </si>
  <si>
    <t>AWS EBS：[{#VOLUME_ID}]：卷读写时间</t>
  </si>
  <si>
    <t>AWS EBS：[{#VOLUME_ID}]：卷读写字节</t>
  </si>
  <si>
    <t>AWS EBS：[{#VOLUME_ID}]：卷读写操作</t>
  </si>
  <si>
    <t>(310/4)</t>
  </si>
  <si>
    <t>AWS ECS 集群服务：[{#AWS.ECS.SERVICE.NAME}]：CPU 使用率</t>
  </si>
  <si>
    <t>AWS ECS 集群服务：[{#AWS.ECS.SERVICE.NAME}]：内存使用率</t>
  </si>
  <si>
    <t>AWS ECS 集群服务：[{#AWS.ECS.SERVICE.NAME}]：网络</t>
  </si>
  <si>
    <t>(310/5)</t>
  </si>
  <si>
    <t>(310/6)</t>
  </si>
  <si>
    <t>AWS ELB ALB 目标组：[{#AWS.ELB.TARGET.GROUP.NAME}]：健康主机</t>
  </si>
  <si>
    <t>2640</t>
  </si>
  <si>
    <t>AWS ELB ALB 目标组：[{#AWS.ELB.TARGET.GROUP.NAME}]：健康状态 DNS</t>
  </si>
  <si>
    <t>2641</t>
  </si>
  <si>
    <t>AWS ELB ALB 目标组：[{#AWS.ELB.TARGET.GROUP.NAME}]：健康状态路由</t>
  </si>
  <si>
    <t>AWS ELB ALB Target Groups: [{#AWS.ELB.TARGET.GROUP.NAME}] HTTP Code Target Group</t>
  </si>
  <si>
    <t>AWS ELB ALB 目标组：[{#AWS.ELB.TARGET.GROUP.NAME}] HTTP 代码目标组</t>
  </si>
  <si>
    <t>2642</t>
  </si>
  <si>
    <t>AWS ELB ALB 目标组：[{#AWS.ELB.TARGET.GROUP.NAME}]：不健康主机</t>
  </si>
  <si>
    <t>2643</t>
  </si>
  <si>
    <t>AWS ELB ALB 目标组：[{#AWS.ELB.TARGET.GROUP.NAME}]：不健康状态 DNS</t>
  </si>
  <si>
    <t>AWS ELB ALB 目标组：[{#AWS.ELB.TARGET.GROUP.NAME}]：不健康状态路由</t>
  </si>
  <si>
    <t>(310/7)</t>
  </si>
  <si>
    <t>(310/8)</t>
  </si>
  <si>
    <t>设备[{#NAME}]:[{#ID}]: CyberFit得分</t>
  </si>
  <si>
    <t>(310/9)</t>
  </si>
  <si>
    <t>(310/10)</t>
  </si>
  <si>
    <t>代理{#JMXBROKERNAME}: 生产者和消费者</t>
  </si>
  <si>
    <t>代理{#JMXBROKERNAME}: 资源使用率</t>
  </si>
  <si>
    <t>代理{#JMXBROKERNAME}: 消息速率</t>
  </si>
  <si>
    <t>(310/11)</t>
  </si>
  <si>
    <t>(310/12)</t>
  </si>
  <si>
    <t>(310/13)</t>
  </si>
  <si>
    <t>(310/14)</t>
  </si>
  <si>
    <t>Apache：内存使用量[{#APACHE.NAME}]</t>
  </si>
  <si>
    <t>(310/15)</t>
  </si>
  <si>
    <t>(310/16)</t>
  </si>
  <si>
    <t>日常费用：{#AZURE.SERVICE.NAME},{#AZURE.BILLING.METER},{#AZURE.BILLING.METER.SUBCATEGORY},{#AZURE.RESOURCE.GROUP}</t>
  </si>
  <si>
    <t>Azure费用：月份[{#AZURE.BILLING.MONTH}]的费用</t>
  </si>
  <si>
    <t>Azure费用：[{#AZURE.RESOURCE.LOCATION}]：月份[{#AZURE.BILLING.MONTH}]的费用</t>
  </si>
  <si>
    <t>Azure费用：[{#AZURE.RESOURCE.GROUP}]：月份[{#AZURE.BILLING.MONTH}]的费用</t>
  </si>
  <si>
    <t>Azure费用：[{#AZURE.SERVICE.NAME}]：月份[{#AZURE.BILLING.MONTH}]的费用</t>
  </si>
  <si>
    <t>(310/17)</t>
  </si>
  <si>
    <t>Azure：存储账户[{#NAME}]出站</t>
  </si>
  <si>
    <t>Azure：存储账户[{#NAME}]入站</t>
  </si>
  <si>
    <t>2479</t>
  </si>
  <si>
    <t>(310/18)</t>
  </si>
  <si>
    <t>(310/19)</t>
  </si>
  <si>
    <t>(310/20)</t>
  </si>
  <si>
    <t>(310/21)</t>
  </si>
  <si>
    <t>(310/22)</t>
  </si>
  <si>
    <t>(310/23)</t>
  </si>
  <si>
    <t>Check Point 防火墙：已处理的数据包{#SINGLETON}</t>
  </si>
  <si>
    <t>Check Point 防火墙：并发连接数{#SINGLETON}</t>
  </si>
  <si>
    <t>CPU 核心 {#CPU.ID}：CPU 使用率</t>
  </si>
  <si>
    <t>风扇 {#SNMPINDEX}：风扇速度</t>
  </si>
  <si>
    <t>{#DISK.NAME}：磁盘使用情况</t>
  </si>
  <si>
    <t>{#SENSOR.NAME}：温度</t>
  </si>
  <si>
    <t>{#SENSOR.NAME}：电压</t>
  </si>
  <si>
    <t>(310/24)</t>
  </si>
  <si>
    <t>(310/25)</t>
  </si>
  <si>
    <t>(310/26)</t>
  </si>
  <si>
    <t>(310/27)</t>
  </si>
  <si>
    <t>(310/28)</t>
  </si>
  <si>
    <t>(310/29)</t>
  </si>
  <si>
    <t>(310/30)</t>
  </si>
  <si>
    <t>(310/31)</t>
  </si>
  <si>
    <t>(310/32)</t>
  </si>
  <si>
    <t>(310/33)</t>
  </si>
  <si>
    <t>(310/34)</t>
  </si>
  <si>
    <t>Meraki：许可证[{#LICENSE.ID}]日期</t>
  </si>
  <si>
    <t>(310/35)</t>
  </si>
  <si>
    <t>(310/36)</t>
  </si>
  <si>
    <t>(310/37)</t>
  </si>
  <si>
    <t>(310/38)</t>
  </si>
  <si>
    <t>(310/39)</t>
  </si>
  <si>
    <t>(310/40)</t>
  </si>
  <si>
    <t>服务[{#SERVICE.NAME}，{#SERVICE.JOB}]: 任务状态</t>
  </si>
  <si>
    <t>(310/41)</t>
  </si>
  <si>
    <t>(310/42)</t>
  </si>
  <si>
    <t>(310/43)</t>
  </si>
  <si>
    <t>(310/44)</t>
  </si>
  <si>
    <t>(310/45)</t>
  </si>
  <si>
    <t>(310/46)</t>
  </si>
  <si>
    <t>(310/47)</t>
  </si>
  <si>
    <t>(310/48)</t>
  </si>
  <si>
    <t>(310/49)</t>
  </si>
  <si>
    <t>防火墙策略[{#FWNAME}]：活动会话</t>
  </si>
  <si>
    <t>防火墙策略[{#FWNAME}]：策略处理</t>
  </si>
  <si>
    <t>防火墙策略[{#FWNAME}]：命中策略</t>
  </si>
  <si>
    <t>接口[{#IFNAME}({#IFALIAS})]：网络流量</t>
  </si>
  <si>
    <t>SD-WAN [{#NAME}]:[{#IFNAME}]：性能</t>
  </si>
  <si>
    <t>SD-WAN [{#NAME}]:[{#IFNAME}]：数据包统计</t>
  </si>
  <si>
    <t>SD-WAN [{#ZONE}]:[{#NAME}]：网络流量</t>
  </si>
  <si>
    <t>SD-WAN [{#ZONE}]:[{#NAME}]：带宽</t>
  </si>
  <si>
    <t>(310/50)</t>
  </si>
  <si>
    <t>(14/1)</t>
  </si>
  <si>
    <t>CPU 核心{#CPU.ID}：每个核心的平均使用率</t>
  </si>
  <si>
    <t>(14/2)</t>
  </si>
  <si>
    <t>HA{#HA.ID}：HA 事件</t>
  </si>
  <si>
    <t>(14/3)</t>
  </si>
  <si>
    <t>HA{#HA.ID}：已处理的字节数</t>
  </si>
  <si>
    <t>(14/4)</t>
  </si>
  <si>
    <t>HA{#HA.ID}：CPU 使用率</t>
  </si>
  <si>
    <t>(14/5)</t>
  </si>
  <si>
    <t>HA{#HA.ID}：内存使用率</t>
  </si>
  <si>
    <t>(14/6)</t>
  </si>
  <si>
    <t>HA{#HA.ID}：网络带宽使用率</t>
  </si>
  <si>
    <t>(14/7)</t>
  </si>
  <si>
    <t>HA{#HA.ID}：已处理的数据包数</t>
  </si>
  <si>
    <t>(14/8)</t>
  </si>
  <si>
    <t>(14/9)</t>
  </si>
  <si>
    <t>SD-WAN [{#HNAME}]:[{#IFNAME}]：性能</t>
  </si>
  <si>
    <t>(14/10)</t>
  </si>
  <si>
    <t>SD-WAN [{#HNAME}]:[{#IFNAME}]：数据包统计</t>
  </si>
  <si>
    <t>(14/11)</t>
  </si>
  <si>
    <t>SoC3{#CPU.ID}：数据包流量</t>
  </si>
  <si>
    <t>(14/12)</t>
  </si>
  <si>
    <t>WTP{#WC.NAME}：网络流量</t>
  </si>
  <si>
    <t>(14/13)</t>
  </si>
  <si>
    <t>WTP{#WC.NAME}：客户端</t>
  </si>
  <si>
    <t>(14/14)</t>
  </si>
  <si>
    <t>WTP{#WC.NAME}：性能</t>
  </si>
  <si>
    <t>(310/51)</t>
  </si>
  <si>
    <t>(310/52)</t>
  </si>
  <si>
    <t>(310/53)</t>
  </si>
  <si>
    <t>(310/54)</t>
  </si>
  <si>
    <t>(310/55)</t>
  </si>
  <si>
    <t>(310/56)</t>
  </si>
  <si>
    <t>(310/57)</t>
  </si>
  <si>
    <t>(310/58)</t>
  </si>
  <si>
    <t>(310/59)</t>
  </si>
  <si>
    <t>(310/60)</t>
  </si>
  <si>
    <t>(310/61)</t>
  </si>
  <si>
    <t>(310/62)</t>
  </si>
  <si>
    <t>(16/1)</t>
  </si>
  <si>
    <t>(16/2)</t>
  </si>
  <si>
    <t>(16/3)</t>
  </si>
  <si>
    <t>(16/4)</t>
  </si>
  <si>
    <t>(16/5)</t>
  </si>
  <si>
    <t>(16/6)</t>
  </si>
  <si>
    <t>(16/7)</t>
  </si>
  <si>
    <t>(16/8)</t>
  </si>
  <si>
    <t>(16/9)</t>
  </si>
  <si>
    <t>(16/10)</t>
  </si>
  <si>
    <t>(16/11)</t>
  </si>
  <si>
    <t>(16/12)</t>
  </si>
  <si>
    <t>(16/13)</t>
  </si>
  <si>
    <t>(16/14)</t>
  </si>
  <si>
    <t>(16/15)</t>
  </si>
  <si>
    <t>(16/16)</t>
  </si>
  <si>
    <t>(310/63)</t>
  </si>
  <si>
    <t>(15/1)</t>
  </si>
  <si>
    <t>(15/2)</t>
  </si>
  <si>
    <t>(15/3)</t>
  </si>
  <si>
    <t>(15/4)</t>
  </si>
  <si>
    <t>(15/5)</t>
  </si>
  <si>
    <t>(15/6)</t>
  </si>
  <si>
    <t>(15/7)</t>
  </si>
  <si>
    <t>(15/8)</t>
  </si>
  <si>
    <t>(15/9)</t>
  </si>
  <si>
    <t>(15/10)</t>
  </si>
  <si>
    <t>(15/11)</t>
  </si>
  <si>
    <t>(15/12)</t>
  </si>
  <si>
    <t>(15/13)</t>
  </si>
  <si>
    <t>(15/14)</t>
  </si>
  <si>
    <t>(15/15)</t>
  </si>
  <si>
    <t>(310/64)</t>
  </si>
  <si>
    <t>(310/65)</t>
  </si>
  <si>
    <t>(310/66)</t>
  </si>
  <si>
    <t>HPE iLO：机箱[{#CHASSIS_ID}]: 风扇[{#FAN_NAME}]: 速度，%</t>
  </si>
  <si>
    <t>HPE iLO：机箱[{#CHASSIS_ID}]: PSU[{#PSU_ID}]: 上次电力输出</t>
  </si>
  <si>
    <t>HPE iLO：机箱[{#CHASSIS_ID}]: PSU[{#PSU_ID}]: 线路输入电压</t>
  </si>
  <si>
    <t>HPE iLO：机箱[{#CHASSIS_ID}]: 传感器[{#SENSOR_NAME}]: 温度</t>
  </si>
  <si>
    <t>HPE iLO：计算机系统[{#SYSTEM_HOSTNAME}]: 资源使用情况</t>
  </si>
  <si>
    <t>(310/67)</t>
  </si>
  <si>
    <t>(310/68)</t>
  </si>
  <si>
    <t>2574</t>
  </si>
  <si>
    <t>2573</t>
  </si>
  <si>
    <t>(310/69)</t>
  </si>
  <si>
    <t>(310/70)</t>
  </si>
  <si>
    <t>(310/71)</t>
  </si>
  <si>
    <t>(310/72)</t>
  </si>
  <si>
    <t>(310/73)</t>
  </si>
  <si>
    <t>(310/74)</t>
  </si>
  <si>
    <t>(310/75)</t>
  </si>
  <si>
    <t>(310/76)</t>
  </si>
  <si>
    <t>(310/77)</t>
  </si>
  <si>
    <t>(310/78)</t>
  </si>
  <si>
    <t>(310/79)</t>
  </si>
  <si>
    <t>(310/80)</t>
  </si>
  <si>
    <t>(310/81)</t>
  </si>
  <si>
    <t>(310/82)</t>
  </si>
  <si>
    <t>(310/83)</t>
  </si>
  <si>
    <t>(310/84)</t>
  </si>
  <si>
    <t>(310/85)</t>
  </si>
  <si>
    <t>(310/86)</t>
  </si>
  <si>
    <t>2650</t>
  </si>
  <si>
    <t>2651</t>
  </si>
  <si>
    <t>(310/87)</t>
  </si>
  <si>
    <t>(310/88)</t>
  </si>
  <si>
    <t>(310/89)</t>
  </si>
  <si>
    <t>(310/90)</t>
  </si>
  <si>
    <t>(310/91)</t>
  </si>
  <si>
    <t>(310/92)</t>
  </si>
  <si>
    <t>(310/93)</t>
  </si>
  <si>
    <t>(310/94)</t>
  </si>
  <si>
    <t>(310/95)</t>
  </si>
  <si>
    <t>(310/96)</t>
  </si>
  <si>
    <t>(310/97)</t>
  </si>
  <si>
    <t>(310/98)</t>
  </si>
  <si>
    <t>(310/99)</t>
  </si>
  <si>
    <t>(310/100)</t>
  </si>
  <si>
    <t>(310/101)</t>
  </si>
  <si>
    <t>(310/102)</t>
  </si>
  <si>
    <t>(310/103)</t>
  </si>
  <si>
    <t>(310/104)</t>
  </si>
  <si>
    <t>(310/105)</t>
  </si>
  <si>
    <t>(310/106)</t>
  </si>
  <si>
    <t>(310/107)</t>
  </si>
  <si>
    <t>(310/108)</t>
  </si>
  <si>
    <t>(310/109)</t>
  </si>
  <si>
    <t>(310/110)</t>
  </si>
  <si>
    <t>(310/111)</t>
  </si>
  <si>
    <t>(310/112)</t>
  </si>
  <si>
    <t>(310/113)</t>
  </si>
  <si>
    <t>(310/114)</t>
  </si>
  <si>
    <t>(310/115)</t>
  </si>
  <si>
    <t>(310/116)</t>
  </si>
  <si>
    <t>(310/117)</t>
  </si>
  <si>
    <t>(310/118)</t>
  </si>
  <si>
    <t>(310/119)</t>
  </si>
  <si>
    <t>(310/120)</t>
  </si>
  <si>
    <t>(310/121)</t>
  </si>
  <si>
    <t>(310/122)</t>
  </si>
  <si>
    <t>(310/123)</t>
  </si>
  <si>
    <t>(310/124)</t>
  </si>
  <si>
    <t>(310/125)</t>
  </si>
  <si>
    <t>(310/126)</t>
  </si>
  <si>
    <t>(310/127)</t>
  </si>
  <si>
    <t>(310/128)</t>
  </si>
  <si>
    <t>(310/129)</t>
  </si>
  <si>
    <t>(310/130)</t>
  </si>
  <si>
    <t>(310/131)</t>
  </si>
  <si>
    <t>(310/132)</t>
  </si>
  <si>
    <t>(310/133)</t>
  </si>
  <si>
    <t>(310/134)</t>
  </si>
  <si>
    <t>(310/135)</t>
  </si>
  <si>
    <t>(310/136)</t>
  </si>
  <si>
    <t>(310/137)</t>
  </si>
  <si>
    <t>(310/138)</t>
  </si>
  <si>
    <t>(310/139)</t>
  </si>
  <si>
    <t>(310/140)</t>
  </si>
  <si>
    <t>(310/141)</t>
  </si>
  <si>
    <t>(310/142)</t>
  </si>
  <si>
    <t>(310/143)</t>
  </si>
  <si>
    <t>(310/144)</t>
  </si>
  <si>
    <t>(310/145)</t>
  </si>
  <si>
    <t>(310/146)</t>
  </si>
  <si>
    <t>(310/147)</t>
  </si>
  <si>
    <t>(310/148)</t>
  </si>
  <si>
    <t>(310/149)</t>
  </si>
  <si>
    <t>(310/150)</t>
  </si>
  <si>
    <t>(310/151)</t>
  </si>
  <si>
    <t>(310/152)</t>
  </si>
  <si>
    <t>(310/153)</t>
  </si>
  <si>
    <t>(310/154)</t>
  </si>
  <si>
    <t>(310/155)</t>
  </si>
  <si>
    <t>(310/156)</t>
  </si>
  <si>
    <t>(310/157)</t>
  </si>
  <si>
    <t>(310/158)</t>
  </si>
  <si>
    <t>(310/159)</t>
  </si>
  <si>
    <t>(310/160)</t>
  </si>
  <si>
    <t>Nextcloud：用户“{#NEXTCLOUD.USER}”：配额</t>
  </si>
  <si>
    <t>Nextcloud：用户“{#NEXTCLOUD.USER}”：配额，历史记录</t>
  </si>
  <si>
    <t>(310/161)</t>
  </si>
  <si>
    <t>Nginx：内存使用量[{#NGINX.NAME}]</t>
  </si>
  <si>
    <t>(310/162)</t>
  </si>
  <si>
    <t>(310/163)</t>
  </si>
  <si>
    <t>进程[{#NAME} ]：内存使用情况</t>
  </si>
  <si>
    <t>(310/164)</t>
  </si>
  <si>
    <t>(310/165)</t>
  </si>
  <si>
    <t>(310/166)</t>
  </si>
  <si>
    <t>(310/167)</t>
  </si>
  <si>
    <t>VNIC [{#NAME}]：入网字节数</t>
  </si>
  <si>
    <t>VNIC [{#NAME}]：出网字节数</t>
  </si>
  <si>
    <t>VNIC [{#NAME}]：由连接跟踪表丢弃的网络数据包</t>
  </si>
  <si>
    <t>VNIC [{#NAME}]：由安全列表丢弃的网络数据包</t>
  </si>
  <si>
    <t>VNIC [{#NAME}]：入网数据包数</t>
  </si>
  <si>
    <t>VNIC [{#NAME}]：出网数据包数</t>
  </si>
  <si>
    <t>VNIC [{#NAME}]：Smartnic 缓冲区丢弃数</t>
  </si>
  <si>
    <t>(310/168)</t>
  </si>
  <si>
    <t>(310/169)</t>
  </si>
  <si>
    <t>(310/170)</t>
  </si>
  <si>
    <t>(310/171)</t>
  </si>
  <si>
    <t>PHP-FPM：内存使用量[{#PHP_FPM.NAME}]</t>
  </si>
  <si>
    <t>(310/172)</t>
  </si>
  <si>
    <t>(310/173)</t>
  </si>
  <si>
    <t>(310/174)</t>
  </si>
  <si>
    <t>(310/175)</t>
  </si>
  <si>
    <t>(310/176)</t>
  </si>
  <si>
    <t>(310/177)</t>
  </si>
  <si>
    <t>(310/178)</t>
  </si>
  <si>
    <t>RabbitMQ：内存使用量[{#RABBITMQ.NAME}]</t>
  </si>
  <si>
    <t>(310/179)</t>
  </si>
  <si>
    <t>(310/180)</t>
  </si>
  <si>
    <t>(310/181)</t>
  </si>
  <si>
    <t>(310/182)</t>
  </si>
  <si>
    <t>(310/183)</t>
  </si>
  <si>
    <t>Travis: 回购[{#SLUG}]: 生成</t>
  </si>
  <si>
    <t>(310/184)</t>
  </si>
  <si>
    <t>(9/1)</t>
  </si>
  <si>
    <t>TrueNAS CORE：CPU使用率{#SINGLETON}</t>
  </si>
  <si>
    <t>(9/2)</t>
  </si>
  <si>
    <t>TrueNAS CORE：CPU利用率{#SINGLETON}</t>
  </si>
  <si>
    <t>(9/3)</t>
  </si>
  <si>
    <t>TrueNAS CORE：数据集 [{#DATASET_NAME}]：空间使用率</t>
  </si>
  <si>
    <t>(9/4)</t>
  </si>
  <si>
    <t>TrueNAS CORE：磁盘 [{#DISK_NAME}]：温度</t>
  </si>
  <si>
    <t>(9/5)</t>
  </si>
  <si>
    <t>TrueNAS CORE：接口 [{#IFNAME}({#IFALIAS})]：网络流量</t>
  </si>
  <si>
    <t>(9/6)</t>
  </si>
  <si>
    <t>TrueNAS CORE：存储池 [{#POOLNAME}]：读写速率</t>
  </si>
  <si>
    <t>(9/7)</t>
  </si>
  <si>
    <t>TrueNAS CORE：存储池 [{#POOLNAME}]：空间使用率</t>
  </si>
  <si>
    <t>(9/8)</t>
  </si>
  <si>
    <t>TrueNAS CORE：ZFS卷 [{#ZVOL_NAME}]：空间使用率</t>
  </si>
  <si>
    <t>(9/9)</t>
  </si>
  <si>
    <t>TrueNAS CORE：[{#DEVNAME}]：读写速率</t>
  </si>
  <si>
    <t>(310/185)</t>
  </si>
  <si>
    <t>(310/186)</t>
  </si>
  <si>
    <t>链接[{#NAME}]: [{#IP}]</t>
  </si>
  <si>
    <t>链接[{#NAME}]: [{#IP}]字节摘要</t>
  </si>
  <si>
    <t>(310/187)</t>
  </si>
  <si>
    <t>(310/188)</t>
  </si>
  <si>
    <t>(310/189)</t>
  </si>
  <si>
    <t>(310/190)</t>
  </si>
  <si>
    <t>(310/191)</t>
  </si>
  <si>
    <t>YugabyteDB键值空间 [{#KEYSPACE.NAME}]：键值空间大小</t>
  </si>
  <si>
    <t>YugabyteDB节点 [{#NODE.NAME}]：节点磁盘IOPS数量</t>
  </si>
  <si>
    <t>YugabyteDB节点 [{#NODE.NAME}]：SST大小</t>
  </si>
  <si>
    <t>(310/192)</t>
  </si>
  <si>
    <t>(310/193)</t>
  </si>
  <si>
    <t>(310/194)</t>
  </si>
  <si>
    <t>(310/195)</t>
  </si>
  <si>
    <t>(310/196)</t>
  </si>
  <si>
    <t>(310/197)</t>
  </si>
  <si>
    <t>(310/198)</t>
  </si>
  <si>
    <t>(310/199)</t>
  </si>
  <si>
    <t>(310/200)</t>
  </si>
  <si>
    <t>(310/201)</t>
  </si>
  <si>
    <t>(310/202)</t>
  </si>
  <si>
    <t>(310/203)</t>
  </si>
  <si>
    <t>(310/204)</t>
  </si>
  <si>
    <t>(310/205)</t>
  </si>
  <si>
    <t>(310/206)</t>
  </si>
  <si>
    <t>(310/207)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</si>
</sst>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7" fillId="1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2" fillId="22" borderId="6" applyNumberFormat="0" applyAlignment="0" applyProtection="0">
      <alignment vertical="center"/>
    </xf>
    <xf numFmtId="0" fontId="11" fillId="22" borderId="4" applyNumberFormat="0" applyAlignment="0" applyProtection="0">
      <alignment vertical="center"/>
    </xf>
    <xf numFmtId="0" fontId="17" fillId="29" borderId="8" applyNumberForma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Font="1" applyFill="1" applyAlignment="1"/>
    <xf numFmtId="0" fontId="0" fillId="0" borderId="0" xfId="0" applyFill="1" applyAlignment="1">
      <alignment vertical="center"/>
    </xf>
    <xf numFmtId="0" fontId="0" fillId="2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vertical="center"/>
    </xf>
    <xf numFmtId="0" fontId="0" fillId="3" borderId="0" xfId="0" applyFont="1" applyFill="1" applyAlignment="1"/>
    <xf numFmtId="0" fontId="0" fillId="0" borderId="0" xfId="0" applyNumberFormat="1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J437"/>
  <sheetViews>
    <sheetView workbookViewId="0">
      <selection activeCell="H9" sqref="H9"/>
    </sheetView>
  </sheetViews>
  <sheetFormatPr defaultColWidth="9" defaultRowHeight="13.5"/>
  <cols>
    <col min="1" max="16384" width="9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tr">
        <f>IFERROR(IF(OR(MID(G2,FIND(":",G2)-1,1)="""",MID(G2,FIND(":",G2)-1,1)="}",MID(G2,FIND(":",G2)-1,1)=")",MID(G2,FIND(":",G2)-1,1)="]"),"",LEFT(F2,FIND(":",F2)-1)),"")</f>
        <v/>
      </c>
      <c r="I2" s="1" t="str">
        <f>IFERROR(IF(OR(MID(G2,FIND(":",G2)-1,1)="""",MID(G2,FIND(":",G2)-1,1)="}",MID(G2,FIND(":",G2)-1,1)=")",MID(G2,FIND(":",G2)-1,1)="]"),"",RIGHT(G2,LEN(G2)-FIND(":",G2)-1)),"")</f>
        <v/>
      </c>
      <c r="J2" s="1" t="str">
        <f>IF(AND(I2="",H2=""),G2,H2&amp;": "&amp;I2)</f>
        <v>#{#SNMPINDEX}: CPU利用率</v>
      </c>
    </row>
    <row r="3" spans="1:8">
      <c r="A3" s="1">
        <v>2</v>
      </c>
      <c r="B3" s="1" t="s">
        <v>8</v>
      </c>
      <c r="C3" s="1" t="s">
        <v>14</v>
      </c>
      <c r="D3" s="1" t="s">
        <v>10</v>
      </c>
      <c r="E3" s="1" t="s">
        <v>15</v>
      </c>
      <c r="F3" s="1" t="s">
        <v>16</v>
      </c>
      <c r="G3" s="1" t="s">
        <v>17</v>
      </c>
      <c r="H3" s="1" t="s">
        <v>18</v>
      </c>
    </row>
    <row r="4" spans="1:8">
      <c r="A4" s="1">
        <v>3</v>
      </c>
      <c r="B4" s="1" t="s">
        <v>8</v>
      </c>
      <c r="C4" s="1" t="s">
        <v>19</v>
      </c>
      <c r="D4" s="1" t="s">
        <v>10</v>
      </c>
      <c r="E4" s="1" t="s">
        <v>20</v>
      </c>
      <c r="F4" s="1" t="s">
        <v>21</v>
      </c>
      <c r="G4" s="1" t="s">
        <v>22</v>
      </c>
      <c r="H4" s="1" t="s">
        <v>18</v>
      </c>
    </row>
    <row r="5" spans="1:8">
      <c r="A5" s="1">
        <v>4</v>
      </c>
      <c r="B5" s="1" t="s">
        <v>23</v>
      </c>
      <c r="C5" s="1" t="s">
        <v>9</v>
      </c>
      <c r="D5" s="1" t="s">
        <v>24</v>
      </c>
      <c r="E5" s="1" t="s">
        <v>25</v>
      </c>
      <c r="F5" s="1" t="s">
        <v>12</v>
      </c>
      <c r="G5" s="1" t="s">
        <v>13</v>
      </c>
      <c r="H5" s="1" t="s">
        <v>18</v>
      </c>
    </row>
    <row r="6" spans="1:8">
      <c r="A6" s="1">
        <v>5</v>
      </c>
      <c r="B6" s="1" t="s">
        <v>23</v>
      </c>
      <c r="C6" s="1" t="s">
        <v>14</v>
      </c>
      <c r="D6" s="1" t="s">
        <v>24</v>
      </c>
      <c r="E6" s="1" t="s">
        <v>26</v>
      </c>
      <c r="F6" s="1" t="s">
        <v>16</v>
      </c>
      <c r="G6" s="1" t="s">
        <v>17</v>
      </c>
      <c r="H6" s="1" t="s">
        <v>18</v>
      </c>
    </row>
    <row r="7" spans="1:8">
      <c r="A7" s="1">
        <v>6</v>
      </c>
      <c r="B7" s="1" t="s">
        <v>23</v>
      </c>
      <c r="C7" s="1" t="s">
        <v>19</v>
      </c>
      <c r="D7" s="1" t="s">
        <v>24</v>
      </c>
      <c r="E7" s="1" t="s">
        <v>27</v>
      </c>
      <c r="F7" s="1" t="s">
        <v>21</v>
      </c>
      <c r="G7" s="1" t="s">
        <v>22</v>
      </c>
      <c r="H7" s="1" t="s">
        <v>18</v>
      </c>
    </row>
    <row r="8" spans="1:8">
      <c r="A8" s="1">
        <v>7</v>
      </c>
      <c r="B8" s="1" t="s">
        <v>28</v>
      </c>
      <c r="C8" s="1" t="s">
        <v>9</v>
      </c>
      <c r="D8" s="1" t="s">
        <v>29</v>
      </c>
      <c r="E8" s="1" t="s">
        <v>30</v>
      </c>
      <c r="F8" s="1" t="s">
        <v>12</v>
      </c>
      <c r="G8" s="1" t="s">
        <v>13</v>
      </c>
      <c r="H8" s="1" t="s">
        <v>18</v>
      </c>
    </row>
    <row r="9" spans="1:8">
      <c r="A9" s="1">
        <v>8</v>
      </c>
      <c r="B9" s="1" t="s">
        <v>28</v>
      </c>
      <c r="C9" s="1" t="s">
        <v>14</v>
      </c>
      <c r="D9" s="1" t="s">
        <v>29</v>
      </c>
      <c r="E9" s="1" t="s">
        <v>31</v>
      </c>
      <c r="F9" s="1" t="s">
        <v>16</v>
      </c>
      <c r="G9" s="1" t="s">
        <v>17</v>
      </c>
      <c r="H9" s="1" t="s">
        <v>18</v>
      </c>
    </row>
    <row r="10" spans="1:8">
      <c r="A10" s="1">
        <v>9</v>
      </c>
      <c r="B10" s="1" t="s">
        <v>28</v>
      </c>
      <c r="C10" s="1" t="s">
        <v>19</v>
      </c>
      <c r="D10" s="1" t="s">
        <v>29</v>
      </c>
      <c r="E10" s="1" t="s">
        <v>32</v>
      </c>
      <c r="F10" s="1" t="s">
        <v>21</v>
      </c>
      <c r="G10" s="1" t="s">
        <v>22</v>
      </c>
      <c r="H10" s="1" t="s">
        <v>18</v>
      </c>
    </row>
    <row r="11" spans="1:8">
      <c r="A11" s="1">
        <v>10</v>
      </c>
      <c r="B11" s="1" t="s">
        <v>33</v>
      </c>
      <c r="C11" s="1" t="s">
        <v>9</v>
      </c>
      <c r="D11" s="1" t="s">
        <v>34</v>
      </c>
      <c r="E11" s="1" t="s">
        <v>35</v>
      </c>
      <c r="F11" s="1" t="s">
        <v>12</v>
      </c>
      <c r="G11" s="1" t="s">
        <v>13</v>
      </c>
      <c r="H11" s="1" t="s">
        <v>18</v>
      </c>
    </row>
    <row r="12" spans="1:8">
      <c r="A12" s="1">
        <v>11</v>
      </c>
      <c r="B12" s="1" t="s">
        <v>33</v>
      </c>
      <c r="C12" s="1" t="s">
        <v>14</v>
      </c>
      <c r="D12" s="1" t="s">
        <v>34</v>
      </c>
      <c r="E12" s="1" t="s">
        <v>36</v>
      </c>
      <c r="F12" s="1" t="s">
        <v>16</v>
      </c>
      <c r="G12" s="1" t="s">
        <v>17</v>
      </c>
      <c r="H12" s="1" t="s">
        <v>18</v>
      </c>
    </row>
    <row r="13" spans="1:8">
      <c r="A13" s="1">
        <v>12</v>
      </c>
      <c r="B13" s="1" t="s">
        <v>33</v>
      </c>
      <c r="C13" s="1" t="s">
        <v>19</v>
      </c>
      <c r="D13" s="1" t="s">
        <v>34</v>
      </c>
      <c r="E13" s="1" t="s">
        <v>37</v>
      </c>
      <c r="F13" s="1" t="s">
        <v>21</v>
      </c>
      <c r="G13" s="1" t="s">
        <v>22</v>
      </c>
      <c r="H13" s="1" t="s">
        <v>18</v>
      </c>
    </row>
    <row r="14" spans="1:8">
      <c r="A14" s="1">
        <v>13</v>
      </c>
      <c r="B14" s="1" t="s">
        <v>38</v>
      </c>
      <c r="C14" s="1" t="s">
        <v>9</v>
      </c>
      <c r="D14" s="1" t="s">
        <v>39</v>
      </c>
      <c r="E14" s="1" t="s">
        <v>40</v>
      </c>
      <c r="F14" s="1" t="s">
        <v>12</v>
      </c>
      <c r="G14" s="1" t="s">
        <v>13</v>
      </c>
      <c r="H14" s="1" t="s">
        <v>18</v>
      </c>
    </row>
    <row r="15" spans="1:8">
      <c r="A15" s="1">
        <v>14</v>
      </c>
      <c r="B15" s="1" t="s">
        <v>38</v>
      </c>
      <c r="C15" s="1" t="s">
        <v>14</v>
      </c>
      <c r="D15" s="1" t="s">
        <v>39</v>
      </c>
      <c r="E15" s="1" t="s">
        <v>41</v>
      </c>
      <c r="F15" s="1" t="s">
        <v>16</v>
      </c>
      <c r="G15" s="1" t="s">
        <v>17</v>
      </c>
      <c r="H15" s="1" t="s">
        <v>18</v>
      </c>
    </row>
    <row r="16" spans="1:8">
      <c r="A16" s="1">
        <v>15</v>
      </c>
      <c r="B16" s="1" t="s">
        <v>38</v>
      </c>
      <c r="C16" s="1" t="s">
        <v>19</v>
      </c>
      <c r="D16" s="1" t="s">
        <v>39</v>
      </c>
      <c r="E16" s="1" t="s">
        <v>42</v>
      </c>
      <c r="F16" s="1" t="s">
        <v>21</v>
      </c>
      <c r="G16" s="1" t="s">
        <v>22</v>
      </c>
      <c r="H16" s="1" t="s">
        <v>18</v>
      </c>
    </row>
    <row r="17" spans="1:8">
      <c r="A17" s="1">
        <v>16</v>
      </c>
      <c r="B17" s="1" t="s">
        <v>43</v>
      </c>
      <c r="C17" s="1" t="s">
        <v>44</v>
      </c>
      <c r="D17" s="1" t="s">
        <v>45</v>
      </c>
      <c r="E17" s="1" t="s">
        <v>46</v>
      </c>
      <c r="F17" s="1" t="s">
        <v>47</v>
      </c>
      <c r="G17" s="1" t="s">
        <v>48</v>
      </c>
      <c r="H17" s="1" t="s">
        <v>18</v>
      </c>
    </row>
    <row r="18" spans="1:8">
      <c r="A18" s="1">
        <v>17</v>
      </c>
      <c r="B18" s="1" t="s">
        <v>43</v>
      </c>
      <c r="C18" s="1" t="s">
        <v>49</v>
      </c>
      <c r="D18" s="1" t="s">
        <v>45</v>
      </c>
      <c r="E18" s="1" t="s">
        <v>50</v>
      </c>
      <c r="F18" s="1" t="s">
        <v>51</v>
      </c>
      <c r="G18" s="1" t="s">
        <v>52</v>
      </c>
      <c r="H18" s="1" t="s">
        <v>18</v>
      </c>
    </row>
    <row r="19" spans="1:8">
      <c r="A19" s="1">
        <v>18</v>
      </c>
      <c r="B19" s="1" t="s">
        <v>53</v>
      </c>
      <c r="C19" s="1" t="s">
        <v>44</v>
      </c>
      <c r="D19" s="1" t="s">
        <v>54</v>
      </c>
      <c r="E19" s="1" t="s">
        <v>55</v>
      </c>
      <c r="F19" s="1" t="s">
        <v>47</v>
      </c>
      <c r="G19" s="1" t="s">
        <v>48</v>
      </c>
      <c r="H19" s="1" t="s">
        <v>18</v>
      </c>
    </row>
    <row r="20" spans="1:8">
      <c r="A20" s="1">
        <v>19</v>
      </c>
      <c r="B20" s="1" t="s">
        <v>53</v>
      </c>
      <c r="C20" s="1" t="s">
        <v>49</v>
      </c>
      <c r="D20" s="1" t="s">
        <v>54</v>
      </c>
      <c r="E20" s="1" t="s">
        <v>56</v>
      </c>
      <c r="F20" s="1" t="s">
        <v>51</v>
      </c>
      <c r="G20" s="1" t="s">
        <v>52</v>
      </c>
      <c r="H20" s="1" t="s">
        <v>18</v>
      </c>
    </row>
    <row r="21" spans="1:8">
      <c r="A21" s="1">
        <v>20</v>
      </c>
      <c r="B21" s="1" t="s">
        <v>57</v>
      </c>
      <c r="C21" s="1" t="s">
        <v>58</v>
      </c>
      <c r="D21" s="1" t="s">
        <v>59</v>
      </c>
      <c r="E21" s="1" t="s">
        <v>60</v>
      </c>
      <c r="F21" s="1" t="s">
        <v>61</v>
      </c>
      <c r="G21" s="1" t="s">
        <v>62</v>
      </c>
      <c r="H21" s="1" t="s">
        <v>18</v>
      </c>
    </row>
    <row r="22" spans="1:8">
      <c r="A22" s="1">
        <v>21</v>
      </c>
      <c r="B22" s="1" t="s">
        <v>57</v>
      </c>
      <c r="C22" s="1" t="s">
        <v>63</v>
      </c>
      <c r="D22" s="1" t="s">
        <v>59</v>
      </c>
      <c r="E22" s="1" t="s">
        <v>64</v>
      </c>
      <c r="F22" s="1" t="s">
        <v>65</v>
      </c>
      <c r="G22" s="1" t="s">
        <v>66</v>
      </c>
      <c r="H22" s="1" t="s">
        <v>18</v>
      </c>
    </row>
    <row r="23" spans="1:8">
      <c r="A23" s="1">
        <v>22</v>
      </c>
      <c r="B23" s="1" t="s">
        <v>57</v>
      </c>
      <c r="C23" s="1" t="s">
        <v>67</v>
      </c>
      <c r="D23" s="1" t="s">
        <v>59</v>
      </c>
      <c r="E23" s="1" t="s">
        <v>68</v>
      </c>
      <c r="F23" s="1" t="s">
        <v>69</v>
      </c>
      <c r="G23" s="1" t="s">
        <v>70</v>
      </c>
      <c r="H23" s="1" t="s">
        <v>18</v>
      </c>
    </row>
    <row r="24" spans="1:8">
      <c r="A24" s="1">
        <v>23</v>
      </c>
      <c r="B24" s="1" t="s">
        <v>57</v>
      </c>
      <c r="C24" s="1" t="s">
        <v>71</v>
      </c>
      <c r="D24" s="1" t="s">
        <v>59</v>
      </c>
      <c r="E24" s="1" t="s">
        <v>72</v>
      </c>
      <c r="F24" s="1" t="s">
        <v>73</v>
      </c>
      <c r="G24" s="1" t="s">
        <v>74</v>
      </c>
      <c r="H24" s="1" t="s">
        <v>18</v>
      </c>
    </row>
    <row r="25" spans="1:8">
      <c r="A25" s="1">
        <v>24</v>
      </c>
      <c r="B25" s="1" t="s">
        <v>75</v>
      </c>
      <c r="C25" s="1" t="s">
        <v>76</v>
      </c>
      <c r="D25" s="1" t="s">
        <v>77</v>
      </c>
      <c r="E25" s="1" t="s">
        <v>78</v>
      </c>
      <c r="F25" s="1" t="s">
        <v>79</v>
      </c>
      <c r="G25" s="1" t="s">
        <v>80</v>
      </c>
      <c r="H25" s="1" t="s">
        <v>18</v>
      </c>
    </row>
    <row r="26" spans="1:8">
      <c r="A26" s="1">
        <v>25</v>
      </c>
      <c r="B26" s="1" t="s">
        <v>75</v>
      </c>
      <c r="C26" s="1" t="s">
        <v>81</v>
      </c>
      <c r="D26" s="1" t="s">
        <v>77</v>
      </c>
      <c r="E26" s="1" t="s">
        <v>82</v>
      </c>
      <c r="F26" s="1" t="s">
        <v>83</v>
      </c>
      <c r="G26" s="1" t="s">
        <v>84</v>
      </c>
      <c r="H26" s="1" t="s">
        <v>18</v>
      </c>
    </row>
    <row r="27" spans="1:8">
      <c r="A27" s="1">
        <v>26</v>
      </c>
      <c r="B27" s="1" t="s">
        <v>75</v>
      </c>
      <c r="C27" s="1" t="s">
        <v>85</v>
      </c>
      <c r="D27" s="1" t="s">
        <v>77</v>
      </c>
      <c r="E27" s="1" t="s">
        <v>86</v>
      </c>
      <c r="F27" s="1" t="s">
        <v>87</v>
      </c>
      <c r="G27" s="1" t="s">
        <v>88</v>
      </c>
      <c r="H27" s="1" t="s">
        <v>18</v>
      </c>
    </row>
    <row r="28" spans="1:8">
      <c r="A28" s="1">
        <v>27</v>
      </c>
      <c r="B28" s="1" t="s">
        <v>75</v>
      </c>
      <c r="C28" s="1" t="s">
        <v>89</v>
      </c>
      <c r="D28" s="1" t="s">
        <v>77</v>
      </c>
      <c r="E28" s="1" t="s">
        <v>90</v>
      </c>
      <c r="F28" s="1" t="s">
        <v>91</v>
      </c>
      <c r="G28" s="1" t="s">
        <v>92</v>
      </c>
      <c r="H28" s="1" t="s">
        <v>18</v>
      </c>
    </row>
    <row r="29" spans="1:8">
      <c r="A29" s="1">
        <v>28</v>
      </c>
      <c r="B29" s="1" t="s">
        <v>75</v>
      </c>
      <c r="C29" s="1" t="s">
        <v>93</v>
      </c>
      <c r="D29" s="1" t="s">
        <v>77</v>
      </c>
      <c r="E29" s="1" t="s">
        <v>94</v>
      </c>
      <c r="F29" s="1" t="s">
        <v>95</v>
      </c>
      <c r="G29" s="1" t="s">
        <v>96</v>
      </c>
      <c r="H29" s="1" t="s">
        <v>18</v>
      </c>
    </row>
    <row r="30" spans="1:8">
      <c r="A30" s="1">
        <v>29</v>
      </c>
      <c r="B30" s="1" t="s">
        <v>75</v>
      </c>
      <c r="C30" s="1" t="s">
        <v>97</v>
      </c>
      <c r="D30" s="1" t="s">
        <v>77</v>
      </c>
      <c r="E30" s="1" t="s">
        <v>98</v>
      </c>
      <c r="F30" s="1" t="s">
        <v>99</v>
      </c>
      <c r="G30" s="1" t="s">
        <v>100</v>
      </c>
      <c r="H30" s="1" t="s">
        <v>18</v>
      </c>
    </row>
    <row r="31" spans="1:8">
      <c r="A31" s="1">
        <v>30</v>
      </c>
      <c r="B31" s="1" t="s">
        <v>101</v>
      </c>
      <c r="C31" s="1" t="s">
        <v>9</v>
      </c>
      <c r="D31" s="1" t="s">
        <v>102</v>
      </c>
      <c r="E31" s="1" t="s">
        <v>103</v>
      </c>
      <c r="F31" s="1" t="s">
        <v>104</v>
      </c>
      <c r="G31" s="1" t="s">
        <v>105</v>
      </c>
      <c r="H31" s="1" t="s">
        <v>18</v>
      </c>
    </row>
    <row r="32" spans="1:8">
      <c r="A32" s="1">
        <v>31</v>
      </c>
      <c r="B32" s="1" t="s">
        <v>101</v>
      </c>
      <c r="C32" s="1" t="s">
        <v>14</v>
      </c>
      <c r="D32" s="1" t="s">
        <v>102</v>
      </c>
      <c r="E32" s="1" t="s">
        <v>106</v>
      </c>
      <c r="F32" s="1" t="s">
        <v>107</v>
      </c>
      <c r="G32" s="1" t="s">
        <v>108</v>
      </c>
      <c r="H32" s="1" t="s">
        <v>18</v>
      </c>
    </row>
    <row r="33" spans="1:8">
      <c r="A33" s="1">
        <v>32</v>
      </c>
      <c r="B33" s="1" t="s">
        <v>101</v>
      </c>
      <c r="C33" s="1" t="s">
        <v>19</v>
      </c>
      <c r="D33" s="1" t="s">
        <v>102</v>
      </c>
      <c r="E33" s="1" t="s">
        <v>109</v>
      </c>
      <c r="F33" s="1" t="s">
        <v>110</v>
      </c>
      <c r="G33" s="1" t="s">
        <v>111</v>
      </c>
      <c r="H33" s="1" t="s">
        <v>18</v>
      </c>
    </row>
    <row r="34" spans="1:8">
      <c r="A34" s="1">
        <v>33</v>
      </c>
      <c r="B34" s="1" t="s">
        <v>112</v>
      </c>
      <c r="C34" s="1" t="s">
        <v>44</v>
      </c>
      <c r="D34" s="1" t="s">
        <v>113</v>
      </c>
      <c r="E34" s="1" t="s">
        <v>114</v>
      </c>
      <c r="F34" s="1" t="s">
        <v>115</v>
      </c>
      <c r="G34" s="1" t="s">
        <v>116</v>
      </c>
      <c r="H34" s="1" t="s">
        <v>18</v>
      </c>
    </row>
    <row r="35" spans="1:8">
      <c r="A35" s="1">
        <v>34</v>
      </c>
      <c r="B35" s="1" t="s">
        <v>112</v>
      </c>
      <c r="C35" s="1" t="s">
        <v>49</v>
      </c>
      <c r="D35" s="1" t="s">
        <v>113</v>
      </c>
      <c r="E35" s="1" t="s">
        <v>117</v>
      </c>
      <c r="F35" s="1" t="s">
        <v>118</v>
      </c>
      <c r="G35" s="1" t="s">
        <v>119</v>
      </c>
      <c r="H35" s="1" t="s">
        <v>18</v>
      </c>
    </row>
    <row r="36" spans="1:8">
      <c r="A36" s="1">
        <v>35</v>
      </c>
      <c r="B36" s="1" t="s">
        <v>120</v>
      </c>
      <c r="C36" s="1" t="s">
        <v>44</v>
      </c>
      <c r="D36" s="1" t="s">
        <v>121</v>
      </c>
      <c r="E36" s="1" t="s">
        <v>122</v>
      </c>
      <c r="F36" s="1" t="s">
        <v>115</v>
      </c>
      <c r="G36" s="1" t="s">
        <v>116</v>
      </c>
      <c r="H36" s="1" t="s">
        <v>18</v>
      </c>
    </row>
    <row r="37" spans="1:8">
      <c r="A37" s="1">
        <v>36</v>
      </c>
      <c r="B37" s="1" t="s">
        <v>120</v>
      </c>
      <c r="C37" s="1" t="s">
        <v>49</v>
      </c>
      <c r="D37" s="1" t="s">
        <v>121</v>
      </c>
      <c r="E37" s="1" t="s">
        <v>123</v>
      </c>
      <c r="F37" s="1" t="s">
        <v>118</v>
      </c>
      <c r="G37" s="1" t="s">
        <v>119</v>
      </c>
      <c r="H37" s="1" t="s">
        <v>18</v>
      </c>
    </row>
    <row r="38" spans="1:8">
      <c r="A38" s="1">
        <v>37</v>
      </c>
      <c r="B38" s="1" t="s">
        <v>124</v>
      </c>
      <c r="C38" s="1" t="s">
        <v>58</v>
      </c>
      <c r="D38" s="1" t="s">
        <v>125</v>
      </c>
      <c r="E38" s="1" t="s">
        <v>126</v>
      </c>
      <c r="F38" s="1" t="s">
        <v>127</v>
      </c>
      <c r="G38" s="1" t="s">
        <v>128</v>
      </c>
      <c r="H38" s="1" t="s">
        <v>18</v>
      </c>
    </row>
    <row r="39" spans="1:8">
      <c r="A39" s="1">
        <v>38</v>
      </c>
      <c r="B39" s="1" t="s">
        <v>124</v>
      </c>
      <c r="C39" s="1" t="s">
        <v>63</v>
      </c>
      <c r="D39" s="1" t="s">
        <v>125</v>
      </c>
      <c r="E39" s="1" t="s">
        <v>129</v>
      </c>
      <c r="F39" s="1" t="s">
        <v>130</v>
      </c>
      <c r="G39" s="1" t="s">
        <v>131</v>
      </c>
      <c r="H39" s="1" t="s">
        <v>18</v>
      </c>
    </row>
    <row r="40" spans="1:8">
      <c r="A40" s="1">
        <v>39</v>
      </c>
      <c r="B40" s="1" t="s">
        <v>124</v>
      </c>
      <c r="C40" s="1" t="s">
        <v>67</v>
      </c>
      <c r="D40" s="1" t="s">
        <v>125</v>
      </c>
      <c r="E40" s="1" t="s">
        <v>132</v>
      </c>
      <c r="F40" s="1" t="s">
        <v>133</v>
      </c>
      <c r="G40" s="1" t="s">
        <v>134</v>
      </c>
      <c r="H40" s="1" t="s">
        <v>18</v>
      </c>
    </row>
    <row r="41" spans="1:8">
      <c r="A41" s="1">
        <v>40</v>
      </c>
      <c r="B41" s="1" t="s">
        <v>124</v>
      </c>
      <c r="C41" s="1" t="s">
        <v>71</v>
      </c>
      <c r="D41" s="1" t="s">
        <v>125</v>
      </c>
      <c r="E41" s="1" t="s">
        <v>135</v>
      </c>
      <c r="F41" s="1" t="s">
        <v>136</v>
      </c>
      <c r="G41" s="1" t="s">
        <v>137</v>
      </c>
      <c r="H41" s="1" t="s">
        <v>18</v>
      </c>
    </row>
    <row r="42" spans="1:8">
      <c r="A42" s="1">
        <v>41</v>
      </c>
      <c r="B42" s="1" t="s">
        <v>138</v>
      </c>
      <c r="C42" s="1" t="s">
        <v>58</v>
      </c>
      <c r="D42" s="1" t="s">
        <v>139</v>
      </c>
      <c r="E42" s="1" t="s">
        <v>140</v>
      </c>
      <c r="F42" s="1" t="s">
        <v>141</v>
      </c>
      <c r="G42" s="1" t="s">
        <v>142</v>
      </c>
      <c r="H42" s="1" t="s">
        <v>18</v>
      </c>
    </row>
    <row r="43" spans="1:8">
      <c r="A43" s="1">
        <v>42</v>
      </c>
      <c r="B43" s="1" t="s">
        <v>138</v>
      </c>
      <c r="C43" s="1" t="s">
        <v>63</v>
      </c>
      <c r="D43" s="1" t="s">
        <v>139</v>
      </c>
      <c r="E43" s="1" t="s">
        <v>143</v>
      </c>
      <c r="F43" s="1" t="s">
        <v>144</v>
      </c>
      <c r="G43" s="1" t="s">
        <v>145</v>
      </c>
      <c r="H43" s="1" t="s">
        <v>18</v>
      </c>
    </row>
    <row r="44" spans="1:8">
      <c r="A44" s="1">
        <v>43</v>
      </c>
      <c r="B44" s="1" t="s">
        <v>138</v>
      </c>
      <c r="C44" s="1" t="s">
        <v>67</v>
      </c>
      <c r="D44" s="1" t="s">
        <v>139</v>
      </c>
      <c r="E44" s="1" t="s">
        <v>146</v>
      </c>
      <c r="F44" s="1" t="s">
        <v>147</v>
      </c>
      <c r="G44" s="1" t="s">
        <v>148</v>
      </c>
      <c r="H44" s="1" t="s">
        <v>18</v>
      </c>
    </row>
    <row r="45" spans="1:8">
      <c r="A45" s="1">
        <v>44</v>
      </c>
      <c r="B45" s="1" t="s">
        <v>138</v>
      </c>
      <c r="C45" s="1" t="s">
        <v>71</v>
      </c>
      <c r="D45" s="1" t="s">
        <v>139</v>
      </c>
      <c r="E45" s="1" t="s">
        <v>149</v>
      </c>
      <c r="F45" s="1" t="s">
        <v>150</v>
      </c>
      <c r="G45" s="1" t="s">
        <v>151</v>
      </c>
      <c r="H45" s="1" t="s">
        <v>18</v>
      </c>
    </row>
    <row r="46" spans="1:8">
      <c r="A46" s="1">
        <v>45</v>
      </c>
      <c r="B46" s="1" t="s">
        <v>152</v>
      </c>
      <c r="C46" s="1" t="s">
        <v>153</v>
      </c>
      <c r="D46" s="1" t="s">
        <v>154</v>
      </c>
      <c r="E46" s="1" t="s">
        <v>155</v>
      </c>
      <c r="F46" s="1" t="s">
        <v>156</v>
      </c>
      <c r="G46" s="1" t="s">
        <v>157</v>
      </c>
      <c r="H46" s="1" t="s">
        <v>18</v>
      </c>
    </row>
    <row r="47" spans="1:8">
      <c r="A47" s="1">
        <v>46</v>
      </c>
      <c r="B47" s="1" t="s">
        <v>152</v>
      </c>
      <c r="C47" s="1" t="s">
        <v>158</v>
      </c>
      <c r="D47" s="1" t="s">
        <v>154</v>
      </c>
      <c r="E47" s="1" t="s">
        <v>159</v>
      </c>
      <c r="F47" s="1" t="s">
        <v>160</v>
      </c>
      <c r="G47" s="1" t="s">
        <v>161</v>
      </c>
      <c r="H47" s="1" t="s">
        <v>18</v>
      </c>
    </row>
    <row r="48" spans="1:8">
      <c r="A48" s="1">
        <v>47</v>
      </c>
      <c r="B48" s="1" t="s">
        <v>152</v>
      </c>
      <c r="C48" s="1" t="s">
        <v>162</v>
      </c>
      <c r="D48" s="1" t="s">
        <v>154</v>
      </c>
      <c r="E48" s="1" t="s">
        <v>163</v>
      </c>
      <c r="F48" s="1" t="s">
        <v>164</v>
      </c>
      <c r="G48" s="1" t="s">
        <v>165</v>
      </c>
      <c r="H48" s="1" t="s">
        <v>18</v>
      </c>
    </row>
    <row r="49" spans="1:8">
      <c r="A49" s="1">
        <v>48</v>
      </c>
      <c r="B49" s="1" t="s">
        <v>152</v>
      </c>
      <c r="C49" s="1" t="s">
        <v>166</v>
      </c>
      <c r="D49" s="1" t="s">
        <v>154</v>
      </c>
      <c r="E49" s="1" t="s">
        <v>167</v>
      </c>
      <c r="F49" s="1" t="s">
        <v>168</v>
      </c>
      <c r="G49" s="1" t="s">
        <v>169</v>
      </c>
      <c r="H49" s="1" t="s">
        <v>18</v>
      </c>
    </row>
    <row r="50" spans="1:8">
      <c r="A50" s="1">
        <v>49</v>
      </c>
      <c r="B50" s="1" t="s">
        <v>152</v>
      </c>
      <c r="C50" s="1" t="s">
        <v>170</v>
      </c>
      <c r="D50" s="1" t="s">
        <v>154</v>
      </c>
      <c r="E50" s="1" t="s">
        <v>171</v>
      </c>
      <c r="F50" s="1" t="s">
        <v>172</v>
      </c>
      <c r="G50" s="1" t="s">
        <v>173</v>
      </c>
      <c r="H50" s="1" t="s">
        <v>18</v>
      </c>
    </row>
    <row r="51" spans="1:8">
      <c r="A51" s="1">
        <v>50</v>
      </c>
      <c r="B51" s="1" t="s">
        <v>174</v>
      </c>
      <c r="C51" s="1" t="s">
        <v>44</v>
      </c>
      <c r="D51" s="1" t="s">
        <v>175</v>
      </c>
      <c r="E51" s="1" t="s">
        <v>176</v>
      </c>
      <c r="F51" s="1" t="s">
        <v>177</v>
      </c>
      <c r="G51" s="1" t="s">
        <v>178</v>
      </c>
      <c r="H51" s="1" t="s">
        <v>18</v>
      </c>
    </row>
    <row r="52" spans="1:8">
      <c r="A52" s="1">
        <v>51</v>
      </c>
      <c r="B52" s="1" t="s">
        <v>174</v>
      </c>
      <c r="C52" s="1" t="s">
        <v>49</v>
      </c>
      <c r="D52" s="1" t="s">
        <v>175</v>
      </c>
      <c r="E52" s="1" t="s">
        <v>179</v>
      </c>
      <c r="F52" s="1" t="s">
        <v>180</v>
      </c>
      <c r="G52" s="1" t="s">
        <v>181</v>
      </c>
      <c r="H52" s="1" t="s">
        <v>18</v>
      </c>
    </row>
    <row r="53" spans="1:8">
      <c r="A53" s="1">
        <v>52</v>
      </c>
      <c r="B53" s="1" t="s">
        <v>182</v>
      </c>
      <c r="C53" s="1" t="s">
        <v>183</v>
      </c>
      <c r="D53" s="1" t="s">
        <v>184</v>
      </c>
      <c r="E53" s="1" t="s">
        <v>185</v>
      </c>
      <c r="F53" s="1" t="s">
        <v>186</v>
      </c>
      <c r="G53" s="1" t="s">
        <v>187</v>
      </c>
      <c r="H53" s="1" t="s">
        <v>18</v>
      </c>
    </row>
    <row r="54" spans="1:8">
      <c r="A54" s="1">
        <v>53</v>
      </c>
      <c r="B54" s="1" t="s">
        <v>182</v>
      </c>
      <c r="C54" s="1" t="s">
        <v>188</v>
      </c>
      <c r="D54" s="1" t="s">
        <v>184</v>
      </c>
      <c r="E54" s="1" t="s">
        <v>189</v>
      </c>
      <c r="F54" s="1" t="s">
        <v>190</v>
      </c>
      <c r="G54" s="1" t="s">
        <v>191</v>
      </c>
      <c r="H54" s="1" t="s">
        <v>18</v>
      </c>
    </row>
    <row r="55" spans="1:8">
      <c r="A55" s="1">
        <v>54</v>
      </c>
      <c r="B55" s="1" t="s">
        <v>182</v>
      </c>
      <c r="C55" s="1" t="s">
        <v>192</v>
      </c>
      <c r="D55" s="1" t="s">
        <v>184</v>
      </c>
      <c r="E55" s="1" t="s">
        <v>193</v>
      </c>
      <c r="F55" s="1" t="s">
        <v>194</v>
      </c>
      <c r="G55" s="1" t="s">
        <v>195</v>
      </c>
      <c r="H55" s="1" t="s">
        <v>18</v>
      </c>
    </row>
    <row r="56" spans="1:8">
      <c r="A56" s="1">
        <v>55</v>
      </c>
      <c r="B56" s="1" t="s">
        <v>182</v>
      </c>
      <c r="C56" s="1" t="s">
        <v>196</v>
      </c>
      <c r="D56" s="1" t="s">
        <v>184</v>
      </c>
      <c r="E56" s="1" t="s">
        <v>197</v>
      </c>
      <c r="F56" s="1" t="s">
        <v>198</v>
      </c>
      <c r="G56" s="1" t="s">
        <v>199</v>
      </c>
      <c r="H56" s="1" t="s">
        <v>18</v>
      </c>
    </row>
    <row r="57" spans="1:8">
      <c r="A57" s="1">
        <v>56</v>
      </c>
      <c r="B57" s="1" t="s">
        <v>182</v>
      </c>
      <c r="C57" s="1" t="s">
        <v>200</v>
      </c>
      <c r="D57" s="1" t="s">
        <v>184</v>
      </c>
      <c r="E57" s="1" t="s">
        <v>201</v>
      </c>
      <c r="F57" s="1" t="s">
        <v>202</v>
      </c>
      <c r="G57" s="1" t="s">
        <v>203</v>
      </c>
      <c r="H57" s="1" t="s">
        <v>18</v>
      </c>
    </row>
    <row r="58" spans="1:8">
      <c r="A58" s="1">
        <v>57</v>
      </c>
      <c r="B58" s="1" t="s">
        <v>182</v>
      </c>
      <c r="C58" s="1" t="s">
        <v>204</v>
      </c>
      <c r="D58" s="1" t="s">
        <v>184</v>
      </c>
      <c r="E58" s="1" t="s">
        <v>205</v>
      </c>
      <c r="F58" s="1" t="s">
        <v>206</v>
      </c>
      <c r="G58" s="1" t="s">
        <v>207</v>
      </c>
      <c r="H58" s="1" t="s">
        <v>18</v>
      </c>
    </row>
    <row r="59" spans="1:8">
      <c r="A59" s="1">
        <v>58</v>
      </c>
      <c r="B59" s="1" t="s">
        <v>182</v>
      </c>
      <c r="C59" s="1" t="s">
        <v>208</v>
      </c>
      <c r="D59" s="1" t="s">
        <v>184</v>
      </c>
      <c r="E59" s="1" t="s">
        <v>209</v>
      </c>
      <c r="F59" s="1" t="s">
        <v>210</v>
      </c>
      <c r="G59" s="1" t="s">
        <v>211</v>
      </c>
      <c r="H59" s="1" t="s">
        <v>18</v>
      </c>
    </row>
    <row r="60" spans="1:8">
      <c r="A60" s="1">
        <v>59</v>
      </c>
      <c r="B60" s="1" t="s">
        <v>182</v>
      </c>
      <c r="C60" s="1" t="s">
        <v>212</v>
      </c>
      <c r="D60" s="1" t="s">
        <v>184</v>
      </c>
      <c r="E60" s="1" t="s">
        <v>213</v>
      </c>
      <c r="F60" s="1" t="s">
        <v>214</v>
      </c>
      <c r="G60" s="1" t="s">
        <v>215</v>
      </c>
      <c r="H60" s="1" t="s">
        <v>18</v>
      </c>
    </row>
    <row r="61" spans="1:8">
      <c r="A61" s="1">
        <v>60</v>
      </c>
      <c r="B61" s="1" t="s">
        <v>182</v>
      </c>
      <c r="C61" s="1" t="s">
        <v>216</v>
      </c>
      <c r="D61" s="1" t="s">
        <v>184</v>
      </c>
      <c r="E61" s="1" t="s">
        <v>217</v>
      </c>
      <c r="F61" s="1" t="s">
        <v>218</v>
      </c>
      <c r="G61" s="1" t="s">
        <v>219</v>
      </c>
      <c r="H61" s="1" t="s">
        <v>18</v>
      </c>
    </row>
    <row r="62" spans="1:8">
      <c r="A62" s="1">
        <v>61</v>
      </c>
      <c r="B62" s="1" t="s">
        <v>182</v>
      </c>
      <c r="C62" s="1" t="s">
        <v>220</v>
      </c>
      <c r="D62" s="1" t="s">
        <v>184</v>
      </c>
      <c r="E62" s="1" t="s">
        <v>221</v>
      </c>
      <c r="F62" s="1" t="s">
        <v>222</v>
      </c>
      <c r="G62" s="1" t="s">
        <v>223</v>
      </c>
      <c r="H62" s="1" t="s">
        <v>18</v>
      </c>
    </row>
    <row r="63" spans="1:8">
      <c r="A63" s="1">
        <v>62</v>
      </c>
      <c r="B63" s="1" t="s">
        <v>224</v>
      </c>
      <c r="C63" s="1" t="s">
        <v>183</v>
      </c>
      <c r="D63" s="1" t="s">
        <v>225</v>
      </c>
      <c r="E63" s="1" t="s">
        <v>226</v>
      </c>
      <c r="F63" s="1" t="s">
        <v>186</v>
      </c>
      <c r="G63" s="1" t="s">
        <v>187</v>
      </c>
      <c r="H63" s="1" t="s">
        <v>18</v>
      </c>
    </row>
    <row r="64" spans="1:8">
      <c r="A64" s="1">
        <v>63</v>
      </c>
      <c r="B64" s="1" t="s">
        <v>224</v>
      </c>
      <c r="C64" s="1" t="s">
        <v>188</v>
      </c>
      <c r="D64" s="1" t="s">
        <v>225</v>
      </c>
      <c r="E64" s="1" t="s">
        <v>227</v>
      </c>
      <c r="F64" s="1" t="s">
        <v>190</v>
      </c>
      <c r="G64" s="1" t="s">
        <v>191</v>
      </c>
      <c r="H64" s="1" t="s">
        <v>18</v>
      </c>
    </row>
    <row r="65" spans="1:8">
      <c r="A65" s="1">
        <v>64</v>
      </c>
      <c r="B65" s="1" t="s">
        <v>224</v>
      </c>
      <c r="C65" s="1" t="s">
        <v>192</v>
      </c>
      <c r="D65" s="1" t="s">
        <v>225</v>
      </c>
      <c r="E65" s="1" t="s">
        <v>228</v>
      </c>
      <c r="F65" s="1" t="s">
        <v>194</v>
      </c>
      <c r="G65" s="1" t="s">
        <v>195</v>
      </c>
      <c r="H65" s="1" t="s">
        <v>18</v>
      </c>
    </row>
    <row r="66" spans="1:8">
      <c r="A66" s="1">
        <v>65</v>
      </c>
      <c r="B66" s="1" t="s">
        <v>224</v>
      </c>
      <c r="C66" s="1" t="s">
        <v>196</v>
      </c>
      <c r="D66" s="1" t="s">
        <v>225</v>
      </c>
      <c r="E66" s="1" t="s">
        <v>229</v>
      </c>
      <c r="F66" s="1" t="s">
        <v>198</v>
      </c>
      <c r="G66" s="1" t="s">
        <v>199</v>
      </c>
      <c r="H66" s="1" t="s">
        <v>18</v>
      </c>
    </row>
    <row r="67" spans="1:8">
      <c r="A67" s="1">
        <v>66</v>
      </c>
      <c r="B67" s="1" t="s">
        <v>224</v>
      </c>
      <c r="C67" s="1" t="s">
        <v>200</v>
      </c>
      <c r="D67" s="1" t="s">
        <v>225</v>
      </c>
      <c r="E67" s="1" t="s">
        <v>230</v>
      </c>
      <c r="F67" s="1" t="s">
        <v>202</v>
      </c>
      <c r="G67" s="1" t="s">
        <v>203</v>
      </c>
      <c r="H67" s="1" t="s">
        <v>18</v>
      </c>
    </row>
    <row r="68" spans="1:8">
      <c r="A68" s="1">
        <v>67</v>
      </c>
      <c r="B68" s="1" t="s">
        <v>224</v>
      </c>
      <c r="C68" s="1" t="s">
        <v>204</v>
      </c>
      <c r="D68" s="1" t="s">
        <v>225</v>
      </c>
      <c r="E68" s="1" t="s">
        <v>231</v>
      </c>
      <c r="F68" s="1" t="s">
        <v>206</v>
      </c>
      <c r="G68" s="1" t="s">
        <v>207</v>
      </c>
      <c r="H68" s="1" t="s">
        <v>18</v>
      </c>
    </row>
    <row r="69" spans="1:8">
      <c r="A69" s="1">
        <v>68</v>
      </c>
      <c r="B69" s="1" t="s">
        <v>224</v>
      </c>
      <c r="C69" s="1" t="s">
        <v>208</v>
      </c>
      <c r="D69" s="1" t="s">
        <v>225</v>
      </c>
      <c r="E69" s="1" t="s">
        <v>232</v>
      </c>
      <c r="F69" s="1" t="s">
        <v>210</v>
      </c>
      <c r="G69" s="1" t="s">
        <v>211</v>
      </c>
      <c r="H69" s="1" t="s">
        <v>18</v>
      </c>
    </row>
    <row r="70" spans="1:8">
      <c r="A70" s="1">
        <v>69</v>
      </c>
      <c r="B70" s="1" t="s">
        <v>224</v>
      </c>
      <c r="C70" s="1" t="s">
        <v>212</v>
      </c>
      <c r="D70" s="1" t="s">
        <v>225</v>
      </c>
      <c r="E70" s="1" t="s">
        <v>233</v>
      </c>
      <c r="F70" s="1" t="s">
        <v>214</v>
      </c>
      <c r="G70" s="1" t="s">
        <v>215</v>
      </c>
      <c r="H70" s="1" t="s">
        <v>18</v>
      </c>
    </row>
    <row r="71" spans="1:8">
      <c r="A71" s="1">
        <v>70</v>
      </c>
      <c r="B71" s="1" t="s">
        <v>224</v>
      </c>
      <c r="C71" s="1" t="s">
        <v>216</v>
      </c>
      <c r="D71" s="1" t="s">
        <v>225</v>
      </c>
      <c r="E71" s="1" t="s">
        <v>234</v>
      </c>
      <c r="F71" s="1" t="s">
        <v>218</v>
      </c>
      <c r="G71" s="1" t="s">
        <v>219</v>
      </c>
      <c r="H71" s="1" t="s">
        <v>18</v>
      </c>
    </row>
    <row r="72" spans="1:8">
      <c r="A72" s="1">
        <v>71</v>
      </c>
      <c r="B72" s="1" t="s">
        <v>224</v>
      </c>
      <c r="C72" s="1" t="s">
        <v>220</v>
      </c>
      <c r="D72" s="1" t="s">
        <v>225</v>
      </c>
      <c r="E72" s="1" t="s">
        <v>235</v>
      </c>
      <c r="F72" s="1" t="s">
        <v>222</v>
      </c>
      <c r="G72" s="1" t="s">
        <v>223</v>
      </c>
      <c r="H72" s="1" t="s">
        <v>18</v>
      </c>
    </row>
    <row r="73" spans="1:8">
      <c r="A73" s="1">
        <v>72</v>
      </c>
      <c r="B73" s="1" t="s">
        <v>236</v>
      </c>
      <c r="C73" s="1" t="s">
        <v>237</v>
      </c>
      <c r="D73" s="1" t="s">
        <v>238</v>
      </c>
      <c r="E73" s="1" t="s">
        <v>239</v>
      </c>
      <c r="F73" s="1" t="s">
        <v>240</v>
      </c>
      <c r="G73" s="1" t="s">
        <v>241</v>
      </c>
      <c r="H73" s="1" t="s">
        <v>18</v>
      </c>
    </row>
    <row r="74" spans="1:8">
      <c r="A74" s="1">
        <v>73</v>
      </c>
      <c r="B74" s="1" t="s">
        <v>242</v>
      </c>
      <c r="C74" s="1" t="s">
        <v>44</v>
      </c>
      <c r="D74" s="1" t="s">
        <v>243</v>
      </c>
      <c r="E74" s="1" t="s">
        <v>244</v>
      </c>
      <c r="F74" s="1" t="s">
        <v>245</v>
      </c>
      <c r="G74" s="1" t="s">
        <v>246</v>
      </c>
      <c r="H74" s="1" t="s">
        <v>18</v>
      </c>
    </row>
    <row r="75" spans="1:8">
      <c r="A75" s="1">
        <v>74</v>
      </c>
      <c r="B75" s="1" t="s">
        <v>242</v>
      </c>
      <c r="C75" s="1" t="s">
        <v>49</v>
      </c>
      <c r="D75" s="1" t="s">
        <v>243</v>
      </c>
      <c r="E75" s="1" t="s">
        <v>247</v>
      </c>
      <c r="F75" s="1" t="s">
        <v>248</v>
      </c>
      <c r="G75" s="1" t="s">
        <v>249</v>
      </c>
      <c r="H75" s="1" t="s">
        <v>18</v>
      </c>
    </row>
    <row r="76" spans="1:8">
      <c r="A76" s="1">
        <v>75</v>
      </c>
      <c r="B76" s="1" t="s">
        <v>250</v>
      </c>
      <c r="C76" s="1" t="s">
        <v>44</v>
      </c>
      <c r="D76" s="1" t="s">
        <v>251</v>
      </c>
      <c r="E76" s="1" t="s">
        <v>252</v>
      </c>
      <c r="F76" s="1" t="s">
        <v>245</v>
      </c>
      <c r="G76" s="1" t="s">
        <v>246</v>
      </c>
      <c r="H76" s="1" t="s">
        <v>18</v>
      </c>
    </row>
    <row r="77" spans="1:8">
      <c r="A77" s="1">
        <v>76</v>
      </c>
      <c r="B77" s="1" t="s">
        <v>250</v>
      </c>
      <c r="C77" s="1" t="s">
        <v>49</v>
      </c>
      <c r="D77" s="1" t="s">
        <v>251</v>
      </c>
      <c r="E77" s="1" t="s">
        <v>253</v>
      </c>
      <c r="F77" s="1" t="s">
        <v>248</v>
      </c>
      <c r="G77" s="1" t="s">
        <v>249</v>
      </c>
      <c r="H77" s="1" t="s">
        <v>18</v>
      </c>
    </row>
    <row r="78" spans="1:8">
      <c r="A78" s="1">
        <v>77</v>
      </c>
      <c r="B78" s="1" t="s">
        <v>254</v>
      </c>
      <c r="C78" s="1" t="s">
        <v>183</v>
      </c>
      <c r="D78" s="1" t="s">
        <v>255</v>
      </c>
      <c r="E78" s="1" t="s">
        <v>256</v>
      </c>
      <c r="F78" s="1" t="s">
        <v>257</v>
      </c>
      <c r="G78" s="1" t="s">
        <v>258</v>
      </c>
      <c r="H78" s="1" t="s">
        <v>18</v>
      </c>
    </row>
    <row r="79" spans="1:8">
      <c r="A79" s="1">
        <v>78</v>
      </c>
      <c r="B79" s="1" t="s">
        <v>254</v>
      </c>
      <c r="C79" s="1" t="s">
        <v>188</v>
      </c>
      <c r="D79" s="1" t="s">
        <v>255</v>
      </c>
      <c r="E79" s="1" t="s">
        <v>259</v>
      </c>
      <c r="F79" s="1" t="s">
        <v>260</v>
      </c>
      <c r="G79" s="1" t="s">
        <v>261</v>
      </c>
      <c r="H79" s="1" t="s">
        <v>18</v>
      </c>
    </row>
    <row r="80" spans="1:8">
      <c r="A80" s="1">
        <v>79</v>
      </c>
      <c r="B80" s="1" t="s">
        <v>254</v>
      </c>
      <c r="C80" s="1" t="s">
        <v>192</v>
      </c>
      <c r="D80" s="1" t="s">
        <v>255</v>
      </c>
      <c r="E80" s="1" t="s">
        <v>262</v>
      </c>
      <c r="F80" s="1" t="s">
        <v>263</v>
      </c>
      <c r="G80" s="1" t="s">
        <v>264</v>
      </c>
      <c r="H80" s="1" t="s">
        <v>18</v>
      </c>
    </row>
    <row r="81" spans="1:8">
      <c r="A81" s="1">
        <v>80</v>
      </c>
      <c r="B81" s="1" t="s">
        <v>254</v>
      </c>
      <c r="C81" s="1" t="s">
        <v>196</v>
      </c>
      <c r="D81" s="1" t="s">
        <v>255</v>
      </c>
      <c r="E81" s="1" t="s">
        <v>265</v>
      </c>
      <c r="F81" s="1" t="s">
        <v>266</v>
      </c>
      <c r="G81" s="1" t="s">
        <v>267</v>
      </c>
      <c r="H81" s="1" t="s">
        <v>18</v>
      </c>
    </row>
    <row r="82" spans="1:8">
      <c r="A82" s="1">
        <v>81</v>
      </c>
      <c r="B82" s="1" t="s">
        <v>254</v>
      </c>
      <c r="C82" s="1" t="s">
        <v>200</v>
      </c>
      <c r="D82" s="1" t="s">
        <v>255</v>
      </c>
      <c r="E82" s="1" t="s">
        <v>268</v>
      </c>
      <c r="F82" s="1" t="s">
        <v>269</v>
      </c>
      <c r="G82" s="1" t="s">
        <v>270</v>
      </c>
      <c r="H82" s="1" t="s">
        <v>18</v>
      </c>
    </row>
    <row r="83" spans="1:8">
      <c r="A83" s="1">
        <v>82</v>
      </c>
      <c r="B83" s="1" t="s">
        <v>254</v>
      </c>
      <c r="C83" s="1" t="s">
        <v>204</v>
      </c>
      <c r="D83" s="1" t="s">
        <v>255</v>
      </c>
      <c r="E83" s="1" t="s">
        <v>271</v>
      </c>
      <c r="F83" s="1" t="s">
        <v>272</v>
      </c>
      <c r="G83" s="1" t="s">
        <v>273</v>
      </c>
      <c r="H83" s="1" t="s">
        <v>18</v>
      </c>
    </row>
    <row r="84" spans="1:8">
      <c r="A84" s="1">
        <v>83</v>
      </c>
      <c r="B84" s="1" t="s">
        <v>254</v>
      </c>
      <c r="C84" s="1" t="s">
        <v>208</v>
      </c>
      <c r="D84" s="1" t="s">
        <v>255</v>
      </c>
      <c r="E84" s="1" t="s">
        <v>274</v>
      </c>
      <c r="F84" s="1" t="s">
        <v>275</v>
      </c>
      <c r="G84" s="1" t="s">
        <v>276</v>
      </c>
      <c r="H84" s="1" t="s">
        <v>18</v>
      </c>
    </row>
    <row r="85" spans="1:8">
      <c r="A85" s="1">
        <v>84</v>
      </c>
      <c r="B85" s="1" t="s">
        <v>254</v>
      </c>
      <c r="C85" s="1" t="s">
        <v>212</v>
      </c>
      <c r="D85" s="1" t="s">
        <v>255</v>
      </c>
      <c r="E85" s="1" t="s">
        <v>277</v>
      </c>
      <c r="F85" s="1" t="s">
        <v>278</v>
      </c>
      <c r="G85" s="1" t="s">
        <v>279</v>
      </c>
      <c r="H85" s="1" t="s">
        <v>18</v>
      </c>
    </row>
    <row r="86" spans="1:8">
      <c r="A86" s="1">
        <v>85</v>
      </c>
      <c r="B86" s="1" t="s">
        <v>254</v>
      </c>
      <c r="C86" s="1" t="s">
        <v>216</v>
      </c>
      <c r="D86" s="1" t="s">
        <v>255</v>
      </c>
      <c r="E86" s="1" t="s">
        <v>280</v>
      </c>
      <c r="F86" s="1" t="s">
        <v>281</v>
      </c>
      <c r="G86" s="1" t="s">
        <v>282</v>
      </c>
      <c r="H86" s="1" t="s">
        <v>18</v>
      </c>
    </row>
    <row r="87" spans="1:8">
      <c r="A87" s="1">
        <v>86</v>
      </c>
      <c r="B87" s="1" t="s">
        <v>254</v>
      </c>
      <c r="C87" s="1" t="s">
        <v>220</v>
      </c>
      <c r="D87" s="1" t="s">
        <v>255</v>
      </c>
      <c r="E87" s="1" t="s">
        <v>283</v>
      </c>
      <c r="F87" s="1" t="s">
        <v>284</v>
      </c>
      <c r="G87" s="1" t="s">
        <v>285</v>
      </c>
      <c r="H87" s="1" t="s">
        <v>18</v>
      </c>
    </row>
    <row r="88" spans="1:8">
      <c r="A88" s="1">
        <v>87</v>
      </c>
      <c r="B88" s="1" t="s">
        <v>286</v>
      </c>
      <c r="C88" s="1" t="s">
        <v>9</v>
      </c>
      <c r="D88" s="1" t="s">
        <v>287</v>
      </c>
      <c r="E88" s="1" t="s">
        <v>288</v>
      </c>
      <c r="F88" s="1" t="s">
        <v>289</v>
      </c>
      <c r="G88" s="1" t="s">
        <v>290</v>
      </c>
      <c r="H88" s="1" t="s">
        <v>18</v>
      </c>
    </row>
    <row r="89" spans="1:8">
      <c r="A89" s="1">
        <v>88</v>
      </c>
      <c r="B89" s="1" t="s">
        <v>286</v>
      </c>
      <c r="C89" s="1" t="s">
        <v>14</v>
      </c>
      <c r="D89" s="1" t="s">
        <v>287</v>
      </c>
      <c r="E89" s="1" t="s">
        <v>291</v>
      </c>
      <c r="F89" s="1" t="s">
        <v>292</v>
      </c>
      <c r="G89" s="1" t="s">
        <v>293</v>
      </c>
      <c r="H89" s="1" t="s">
        <v>18</v>
      </c>
    </row>
    <row r="90" spans="1:8">
      <c r="A90" s="1">
        <v>89</v>
      </c>
      <c r="B90" s="1" t="s">
        <v>286</v>
      </c>
      <c r="C90" s="1" t="s">
        <v>19</v>
      </c>
      <c r="D90" s="1" t="s">
        <v>287</v>
      </c>
      <c r="E90" s="1" t="s">
        <v>294</v>
      </c>
      <c r="F90" s="1" t="s">
        <v>295</v>
      </c>
      <c r="G90" s="1" t="s">
        <v>296</v>
      </c>
      <c r="H90" s="1" t="s">
        <v>18</v>
      </c>
    </row>
    <row r="91" spans="1:8">
      <c r="A91" s="1">
        <v>90</v>
      </c>
      <c r="B91" s="1" t="s">
        <v>297</v>
      </c>
      <c r="C91" s="1" t="s">
        <v>9</v>
      </c>
      <c r="D91" s="1" t="s">
        <v>298</v>
      </c>
      <c r="E91" s="1" t="s">
        <v>299</v>
      </c>
      <c r="F91" s="1" t="s">
        <v>300</v>
      </c>
      <c r="G91" s="1" t="s">
        <v>301</v>
      </c>
      <c r="H91" s="1" t="s">
        <v>18</v>
      </c>
    </row>
    <row r="92" spans="1:8">
      <c r="A92" s="1">
        <v>91</v>
      </c>
      <c r="B92" s="1" t="s">
        <v>297</v>
      </c>
      <c r="C92" s="1" t="s">
        <v>14</v>
      </c>
      <c r="D92" s="1" t="s">
        <v>298</v>
      </c>
      <c r="E92" s="1" t="s">
        <v>302</v>
      </c>
      <c r="F92" s="1" t="s">
        <v>303</v>
      </c>
      <c r="G92" s="1" t="s">
        <v>304</v>
      </c>
      <c r="H92" s="1" t="s">
        <v>18</v>
      </c>
    </row>
    <row r="93" spans="1:8">
      <c r="A93" s="1">
        <v>92</v>
      </c>
      <c r="B93" s="1" t="s">
        <v>297</v>
      </c>
      <c r="C93" s="1" t="s">
        <v>19</v>
      </c>
      <c r="D93" s="1" t="s">
        <v>298</v>
      </c>
      <c r="E93" s="1" t="s">
        <v>305</v>
      </c>
      <c r="F93" s="1" t="s">
        <v>306</v>
      </c>
      <c r="G93" s="1" t="s">
        <v>307</v>
      </c>
      <c r="H93" s="1" t="s">
        <v>18</v>
      </c>
    </row>
    <row r="94" spans="1:8">
      <c r="A94" s="1">
        <v>93</v>
      </c>
      <c r="B94" s="1" t="s">
        <v>308</v>
      </c>
      <c r="C94" s="1" t="s">
        <v>44</v>
      </c>
      <c r="D94" s="1" t="s">
        <v>309</v>
      </c>
      <c r="E94" s="1" t="s">
        <v>310</v>
      </c>
      <c r="F94" s="1" t="s">
        <v>311</v>
      </c>
      <c r="G94" s="1" t="s">
        <v>312</v>
      </c>
      <c r="H94" s="1" t="s">
        <v>18</v>
      </c>
    </row>
    <row r="95" spans="1:8">
      <c r="A95" s="1">
        <v>94</v>
      </c>
      <c r="B95" s="1" t="s">
        <v>308</v>
      </c>
      <c r="C95" s="1" t="s">
        <v>49</v>
      </c>
      <c r="D95" s="1" t="s">
        <v>309</v>
      </c>
      <c r="E95" s="1" t="s">
        <v>313</v>
      </c>
      <c r="F95" s="1" t="s">
        <v>314</v>
      </c>
      <c r="G95" s="1" t="s">
        <v>315</v>
      </c>
      <c r="H95" s="1" t="s">
        <v>18</v>
      </c>
    </row>
    <row r="96" spans="1:8">
      <c r="A96" s="1">
        <v>95</v>
      </c>
      <c r="B96" s="1" t="s">
        <v>316</v>
      </c>
      <c r="C96" s="1" t="s">
        <v>44</v>
      </c>
      <c r="D96" s="1" t="s">
        <v>317</v>
      </c>
      <c r="E96" s="1" t="s">
        <v>318</v>
      </c>
      <c r="F96" s="1" t="s">
        <v>319</v>
      </c>
      <c r="G96" s="1" t="s">
        <v>320</v>
      </c>
      <c r="H96" s="1" t="s">
        <v>18</v>
      </c>
    </row>
    <row r="97" spans="1:8">
      <c r="A97" s="1">
        <v>96</v>
      </c>
      <c r="B97" s="1" t="s">
        <v>316</v>
      </c>
      <c r="C97" s="1" t="s">
        <v>49</v>
      </c>
      <c r="D97" s="1" t="s">
        <v>317</v>
      </c>
      <c r="E97" s="1" t="s">
        <v>321</v>
      </c>
      <c r="F97" s="1" t="s">
        <v>322</v>
      </c>
      <c r="G97" s="1" t="s">
        <v>323</v>
      </c>
      <c r="H97" s="1" t="s">
        <v>18</v>
      </c>
    </row>
    <row r="98" spans="1:8">
      <c r="A98" s="1">
        <v>97</v>
      </c>
      <c r="B98" s="1" t="s">
        <v>324</v>
      </c>
      <c r="C98" s="1" t="s">
        <v>44</v>
      </c>
      <c r="D98" s="1" t="s">
        <v>325</v>
      </c>
      <c r="E98" s="1" t="s">
        <v>326</v>
      </c>
      <c r="F98" s="1" t="s">
        <v>327</v>
      </c>
      <c r="G98" s="1" t="s">
        <v>328</v>
      </c>
      <c r="H98" s="1" t="s">
        <v>18</v>
      </c>
    </row>
    <row r="99" spans="1:8">
      <c r="A99" s="1">
        <v>98</v>
      </c>
      <c r="B99" s="1" t="s">
        <v>324</v>
      </c>
      <c r="C99" s="1" t="s">
        <v>49</v>
      </c>
      <c r="D99" s="1" t="s">
        <v>325</v>
      </c>
      <c r="E99" s="1" t="s">
        <v>329</v>
      </c>
      <c r="F99" s="1" t="s">
        <v>330</v>
      </c>
      <c r="G99" s="1" t="s">
        <v>331</v>
      </c>
      <c r="H99" s="1" t="s">
        <v>18</v>
      </c>
    </row>
    <row r="100" spans="1:8">
      <c r="A100" s="1">
        <v>99</v>
      </c>
      <c r="B100" s="1" t="s">
        <v>332</v>
      </c>
      <c r="C100" s="1" t="s">
        <v>333</v>
      </c>
      <c r="D100" s="1" t="s">
        <v>334</v>
      </c>
      <c r="E100" s="1" t="s">
        <v>335</v>
      </c>
      <c r="F100" s="1" t="s">
        <v>336</v>
      </c>
      <c r="G100" s="1" t="s">
        <v>337</v>
      </c>
      <c r="H100" s="1" t="s">
        <v>18</v>
      </c>
    </row>
    <row r="101" spans="1:8">
      <c r="A101" s="1">
        <v>100</v>
      </c>
      <c r="B101" s="1" t="s">
        <v>332</v>
      </c>
      <c r="C101" s="1" t="s">
        <v>338</v>
      </c>
      <c r="D101" s="1" t="s">
        <v>334</v>
      </c>
      <c r="E101" s="1" t="s">
        <v>339</v>
      </c>
      <c r="F101" s="1" t="s">
        <v>340</v>
      </c>
      <c r="G101" s="1" t="s">
        <v>341</v>
      </c>
      <c r="H101" s="1" t="s">
        <v>18</v>
      </c>
    </row>
    <row r="102" spans="1:8">
      <c r="A102" s="1">
        <v>101</v>
      </c>
      <c r="B102" s="1" t="s">
        <v>332</v>
      </c>
      <c r="C102" s="1" t="s">
        <v>342</v>
      </c>
      <c r="D102" s="1" t="s">
        <v>334</v>
      </c>
      <c r="E102" s="1" t="s">
        <v>343</v>
      </c>
      <c r="F102" s="1" t="s">
        <v>344</v>
      </c>
      <c r="G102" s="1" t="s">
        <v>345</v>
      </c>
      <c r="H102" s="1" t="s">
        <v>18</v>
      </c>
    </row>
    <row r="103" spans="1:8">
      <c r="A103" s="1">
        <v>102</v>
      </c>
      <c r="B103" s="1" t="s">
        <v>332</v>
      </c>
      <c r="C103" s="1" t="s">
        <v>346</v>
      </c>
      <c r="D103" s="1" t="s">
        <v>334</v>
      </c>
      <c r="E103" s="1" t="s">
        <v>347</v>
      </c>
      <c r="F103" s="1" t="s">
        <v>348</v>
      </c>
      <c r="G103" s="1" t="s">
        <v>349</v>
      </c>
      <c r="H103" s="1" t="s">
        <v>18</v>
      </c>
    </row>
    <row r="104" spans="1:8">
      <c r="A104" s="1">
        <v>103</v>
      </c>
      <c r="B104" s="1" t="s">
        <v>332</v>
      </c>
      <c r="C104" s="1" t="s">
        <v>350</v>
      </c>
      <c r="D104" s="1" t="s">
        <v>334</v>
      </c>
      <c r="E104" s="1" t="s">
        <v>351</v>
      </c>
      <c r="F104" s="1" t="s">
        <v>352</v>
      </c>
      <c r="G104" s="1" t="s">
        <v>353</v>
      </c>
      <c r="H104" s="1" t="s">
        <v>18</v>
      </c>
    </row>
    <row r="105" spans="1:8">
      <c r="A105" s="1">
        <v>104</v>
      </c>
      <c r="B105" s="1" t="s">
        <v>332</v>
      </c>
      <c r="C105" s="1" t="s">
        <v>354</v>
      </c>
      <c r="D105" s="1" t="s">
        <v>334</v>
      </c>
      <c r="E105" s="1" t="s">
        <v>355</v>
      </c>
      <c r="F105" s="1" t="s">
        <v>356</v>
      </c>
      <c r="G105" s="1" t="s">
        <v>357</v>
      </c>
      <c r="H105" s="1" t="s">
        <v>18</v>
      </c>
    </row>
    <row r="106" spans="1:8">
      <c r="A106" s="1">
        <v>105</v>
      </c>
      <c r="B106" s="1" t="s">
        <v>332</v>
      </c>
      <c r="C106" s="1" t="s">
        <v>358</v>
      </c>
      <c r="D106" s="1" t="s">
        <v>334</v>
      </c>
      <c r="E106" s="1" t="s">
        <v>359</v>
      </c>
      <c r="F106" s="1" t="s">
        <v>360</v>
      </c>
      <c r="G106" s="1" t="s">
        <v>361</v>
      </c>
      <c r="H106" s="1" t="s">
        <v>18</v>
      </c>
    </row>
    <row r="107" spans="1:8">
      <c r="A107" s="1">
        <v>106</v>
      </c>
      <c r="B107" s="1" t="s">
        <v>332</v>
      </c>
      <c r="C107" s="1" t="s">
        <v>362</v>
      </c>
      <c r="D107" s="1" t="s">
        <v>334</v>
      </c>
      <c r="E107" s="1" t="s">
        <v>363</v>
      </c>
      <c r="F107" s="1" t="s">
        <v>364</v>
      </c>
      <c r="G107" s="1" t="s">
        <v>365</v>
      </c>
      <c r="H107" s="1" t="s">
        <v>18</v>
      </c>
    </row>
    <row r="108" spans="1:8">
      <c r="A108" s="1">
        <v>107</v>
      </c>
      <c r="B108" s="1" t="s">
        <v>332</v>
      </c>
      <c r="C108" s="1" t="s">
        <v>366</v>
      </c>
      <c r="D108" s="1" t="s">
        <v>334</v>
      </c>
      <c r="E108" s="1" t="s">
        <v>367</v>
      </c>
      <c r="F108" s="1" t="s">
        <v>368</v>
      </c>
      <c r="G108" s="1" t="s">
        <v>369</v>
      </c>
      <c r="H108" s="1" t="s">
        <v>18</v>
      </c>
    </row>
    <row r="109" spans="1:8">
      <c r="A109" s="1">
        <v>108</v>
      </c>
      <c r="B109" s="1" t="s">
        <v>332</v>
      </c>
      <c r="C109" s="1" t="s">
        <v>370</v>
      </c>
      <c r="D109" s="1" t="s">
        <v>334</v>
      </c>
      <c r="E109" s="1" t="s">
        <v>371</v>
      </c>
      <c r="F109" s="1" t="s">
        <v>372</v>
      </c>
      <c r="G109" s="1" t="s">
        <v>373</v>
      </c>
      <c r="H109" s="1" t="s">
        <v>18</v>
      </c>
    </row>
    <row r="110" spans="1:8">
      <c r="A110" s="1">
        <v>109</v>
      </c>
      <c r="B110" s="1" t="s">
        <v>332</v>
      </c>
      <c r="C110" s="1" t="s">
        <v>374</v>
      </c>
      <c r="D110" s="1" t="s">
        <v>334</v>
      </c>
      <c r="E110" s="1" t="s">
        <v>375</v>
      </c>
      <c r="F110" s="1" t="s">
        <v>376</v>
      </c>
      <c r="G110" s="1" t="s">
        <v>377</v>
      </c>
      <c r="H110" s="1" t="s">
        <v>18</v>
      </c>
    </row>
    <row r="111" spans="1:8">
      <c r="A111" s="1">
        <v>110</v>
      </c>
      <c r="B111" s="1" t="s">
        <v>332</v>
      </c>
      <c r="C111" s="1" t="s">
        <v>378</v>
      </c>
      <c r="D111" s="1" t="s">
        <v>334</v>
      </c>
      <c r="E111" s="1" t="s">
        <v>379</v>
      </c>
      <c r="F111" s="1" t="s">
        <v>380</v>
      </c>
      <c r="G111" s="1" t="s">
        <v>381</v>
      </c>
      <c r="H111" s="1" t="s">
        <v>18</v>
      </c>
    </row>
    <row r="112" spans="1:8">
      <c r="A112" s="1">
        <v>111</v>
      </c>
      <c r="B112" s="1" t="s">
        <v>332</v>
      </c>
      <c r="C112" s="1" t="s">
        <v>382</v>
      </c>
      <c r="D112" s="1" t="s">
        <v>334</v>
      </c>
      <c r="E112" s="1" t="s">
        <v>383</v>
      </c>
      <c r="F112" s="1" t="s">
        <v>384</v>
      </c>
      <c r="G112" s="1" t="s">
        <v>385</v>
      </c>
      <c r="H112" s="1" t="s">
        <v>18</v>
      </c>
    </row>
    <row r="113" spans="1:8">
      <c r="A113" s="1">
        <v>112</v>
      </c>
      <c r="B113" s="1" t="s">
        <v>386</v>
      </c>
      <c r="C113" s="1" t="s">
        <v>333</v>
      </c>
      <c r="D113" s="1" t="s">
        <v>387</v>
      </c>
      <c r="E113" s="1" t="s">
        <v>388</v>
      </c>
      <c r="F113" s="1" t="s">
        <v>336</v>
      </c>
      <c r="G113" s="1" t="s">
        <v>337</v>
      </c>
      <c r="H113" s="1" t="s">
        <v>18</v>
      </c>
    </row>
    <row r="114" spans="1:8">
      <c r="A114" s="1">
        <v>113</v>
      </c>
      <c r="B114" s="1" t="s">
        <v>386</v>
      </c>
      <c r="C114" s="1" t="s">
        <v>338</v>
      </c>
      <c r="D114" s="1" t="s">
        <v>387</v>
      </c>
      <c r="E114" s="1" t="s">
        <v>389</v>
      </c>
      <c r="F114" s="1" t="s">
        <v>340</v>
      </c>
      <c r="G114" s="1" t="s">
        <v>341</v>
      </c>
      <c r="H114" s="1" t="s">
        <v>18</v>
      </c>
    </row>
    <row r="115" spans="1:8">
      <c r="A115" s="1">
        <v>114</v>
      </c>
      <c r="B115" s="1" t="s">
        <v>386</v>
      </c>
      <c r="C115" s="1" t="s">
        <v>342</v>
      </c>
      <c r="D115" s="1" t="s">
        <v>387</v>
      </c>
      <c r="E115" s="1" t="s">
        <v>390</v>
      </c>
      <c r="F115" s="1" t="s">
        <v>344</v>
      </c>
      <c r="G115" s="1" t="s">
        <v>345</v>
      </c>
      <c r="H115" s="1" t="s">
        <v>18</v>
      </c>
    </row>
    <row r="116" spans="1:8">
      <c r="A116" s="1">
        <v>115</v>
      </c>
      <c r="B116" s="1" t="s">
        <v>386</v>
      </c>
      <c r="C116" s="1" t="s">
        <v>346</v>
      </c>
      <c r="D116" s="1" t="s">
        <v>387</v>
      </c>
      <c r="E116" s="1" t="s">
        <v>391</v>
      </c>
      <c r="F116" s="1" t="s">
        <v>392</v>
      </c>
      <c r="G116" s="1" t="s">
        <v>393</v>
      </c>
      <c r="H116" s="1" t="s">
        <v>18</v>
      </c>
    </row>
    <row r="117" spans="1:8">
      <c r="A117" s="1">
        <v>116</v>
      </c>
      <c r="B117" s="1" t="s">
        <v>386</v>
      </c>
      <c r="C117" s="1" t="s">
        <v>350</v>
      </c>
      <c r="D117" s="1" t="s">
        <v>387</v>
      </c>
      <c r="E117" s="1" t="s">
        <v>394</v>
      </c>
      <c r="F117" s="1" t="s">
        <v>395</v>
      </c>
      <c r="G117" s="1" t="s">
        <v>396</v>
      </c>
      <c r="H117" s="1" t="s">
        <v>18</v>
      </c>
    </row>
    <row r="118" spans="1:8">
      <c r="A118" s="1">
        <v>117</v>
      </c>
      <c r="B118" s="1" t="s">
        <v>386</v>
      </c>
      <c r="C118" s="1" t="s">
        <v>354</v>
      </c>
      <c r="D118" s="1" t="s">
        <v>387</v>
      </c>
      <c r="E118" s="1" t="s">
        <v>397</v>
      </c>
      <c r="F118" s="1" t="s">
        <v>398</v>
      </c>
      <c r="G118" s="1" t="s">
        <v>399</v>
      </c>
      <c r="H118" s="1" t="s">
        <v>18</v>
      </c>
    </row>
    <row r="119" spans="1:8">
      <c r="A119" s="1">
        <v>118</v>
      </c>
      <c r="B119" s="1" t="s">
        <v>386</v>
      </c>
      <c r="C119" s="1" t="s">
        <v>358</v>
      </c>
      <c r="D119" s="1" t="s">
        <v>387</v>
      </c>
      <c r="E119" s="1" t="s">
        <v>400</v>
      </c>
      <c r="F119" s="1" t="s">
        <v>401</v>
      </c>
      <c r="G119" s="1" t="s">
        <v>402</v>
      </c>
      <c r="H119" s="1" t="s">
        <v>18</v>
      </c>
    </row>
    <row r="120" spans="1:8">
      <c r="A120" s="1">
        <v>119</v>
      </c>
      <c r="B120" s="1" t="s">
        <v>386</v>
      </c>
      <c r="C120" s="1" t="s">
        <v>362</v>
      </c>
      <c r="D120" s="1" t="s">
        <v>387</v>
      </c>
      <c r="E120" s="1" t="s">
        <v>403</v>
      </c>
      <c r="F120" s="1" t="s">
        <v>404</v>
      </c>
      <c r="G120" s="1" t="s">
        <v>405</v>
      </c>
      <c r="H120" s="1" t="s">
        <v>18</v>
      </c>
    </row>
    <row r="121" spans="1:8">
      <c r="A121" s="1">
        <v>120</v>
      </c>
      <c r="B121" s="1" t="s">
        <v>386</v>
      </c>
      <c r="C121" s="1" t="s">
        <v>366</v>
      </c>
      <c r="D121" s="1" t="s">
        <v>387</v>
      </c>
      <c r="E121" s="1" t="s">
        <v>406</v>
      </c>
      <c r="F121" s="1" t="s">
        <v>407</v>
      </c>
      <c r="G121" s="1" t="s">
        <v>408</v>
      </c>
      <c r="H121" s="1" t="s">
        <v>18</v>
      </c>
    </row>
    <row r="122" spans="1:8">
      <c r="A122" s="1">
        <v>121</v>
      </c>
      <c r="B122" s="1" t="s">
        <v>386</v>
      </c>
      <c r="C122" s="1" t="s">
        <v>370</v>
      </c>
      <c r="D122" s="1" t="s">
        <v>387</v>
      </c>
      <c r="E122" s="1" t="s">
        <v>409</v>
      </c>
      <c r="F122" s="1" t="s">
        <v>372</v>
      </c>
      <c r="G122" s="1" t="s">
        <v>373</v>
      </c>
      <c r="H122" s="1" t="s">
        <v>18</v>
      </c>
    </row>
    <row r="123" spans="1:8">
      <c r="A123" s="1">
        <v>122</v>
      </c>
      <c r="B123" s="1" t="s">
        <v>386</v>
      </c>
      <c r="C123" s="1" t="s">
        <v>374</v>
      </c>
      <c r="D123" s="1" t="s">
        <v>387</v>
      </c>
      <c r="E123" s="1" t="s">
        <v>410</v>
      </c>
      <c r="F123" s="1" t="s">
        <v>376</v>
      </c>
      <c r="G123" s="1" t="s">
        <v>377</v>
      </c>
      <c r="H123" s="1" t="s">
        <v>18</v>
      </c>
    </row>
    <row r="124" spans="1:8">
      <c r="A124" s="1">
        <v>123</v>
      </c>
      <c r="B124" s="1" t="s">
        <v>386</v>
      </c>
      <c r="C124" s="1" t="s">
        <v>378</v>
      </c>
      <c r="D124" s="1" t="s">
        <v>387</v>
      </c>
      <c r="E124" s="1" t="s">
        <v>411</v>
      </c>
      <c r="F124" s="1" t="s">
        <v>380</v>
      </c>
      <c r="G124" s="1" t="s">
        <v>381</v>
      </c>
      <c r="H124" s="1" t="s">
        <v>18</v>
      </c>
    </row>
    <row r="125" spans="1:8">
      <c r="A125" s="1">
        <v>124</v>
      </c>
      <c r="B125" s="1" t="s">
        <v>386</v>
      </c>
      <c r="C125" s="1" t="s">
        <v>382</v>
      </c>
      <c r="D125" s="1" t="s">
        <v>387</v>
      </c>
      <c r="E125" s="1" t="s">
        <v>412</v>
      </c>
      <c r="F125" s="1" t="s">
        <v>384</v>
      </c>
      <c r="G125" s="1" t="s">
        <v>385</v>
      </c>
      <c r="H125" s="1" t="s">
        <v>18</v>
      </c>
    </row>
    <row r="126" spans="1:8">
      <c r="A126" s="1">
        <v>125</v>
      </c>
      <c r="B126" s="1" t="s">
        <v>413</v>
      </c>
      <c r="C126" s="1" t="s">
        <v>58</v>
      </c>
      <c r="D126" s="1" t="s">
        <v>414</v>
      </c>
      <c r="E126" s="1" t="s">
        <v>415</v>
      </c>
      <c r="F126" s="1" t="s">
        <v>416</v>
      </c>
      <c r="G126" s="1" t="s">
        <v>417</v>
      </c>
      <c r="H126" s="1" t="s">
        <v>18</v>
      </c>
    </row>
    <row r="127" spans="1:8">
      <c r="A127" s="1">
        <v>126</v>
      </c>
      <c r="B127" s="1" t="s">
        <v>413</v>
      </c>
      <c r="C127" s="1" t="s">
        <v>63</v>
      </c>
      <c r="D127" s="1" t="s">
        <v>414</v>
      </c>
      <c r="E127" s="1" t="s">
        <v>418</v>
      </c>
      <c r="F127" s="1" t="s">
        <v>419</v>
      </c>
      <c r="G127" s="1" t="s">
        <v>420</v>
      </c>
      <c r="H127" s="1" t="s">
        <v>18</v>
      </c>
    </row>
    <row r="128" spans="1:8">
      <c r="A128" s="1">
        <v>127</v>
      </c>
      <c r="B128" s="1" t="s">
        <v>413</v>
      </c>
      <c r="C128" s="1" t="s">
        <v>67</v>
      </c>
      <c r="D128" s="1" t="s">
        <v>414</v>
      </c>
      <c r="E128" s="1" t="s">
        <v>421</v>
      </c>
      <c r="F128" s="1" t="s">
        <v>422</v>
      </c>
      <c r="G128" s="1" t="s">
        <v>423</v>
      </c>
      <c r="H128" s="1" t="s">
        <v>18</v>
      </c>
    </row>
    <row r="129" spans="1:8">
      <c r="A129" s="1">
        <v>128</v>
      </c>
      <c r="B129" s="1" t="s">
        <v>413</v>
      </c>
      <c r="C129" s="1" t="s">
        <v>71</v>
      </c>
      <c r="D129" s="1" t="s">
        <v>414</v>
      </c>
      <c r="E129" s="1" t="s">
        <v>424</v>
      </c>
      <c r="F129" s="1" t="s">
        <v>425</v>
      </c>
      <c r="G129" s="1" t="s">
        <v>426</v>
      </c>
      <c r="H129" s="1" t="s">
        <v>18</v>
      </c>
    </row>
    <row r="130" spans="1:8">
      <c r="A130" s="1">
        <v>129</v>
      </c>
      <c r="B130" s="1" t="s">
        <v>427</v>
      </c>
      <c r="C130" s="1" t="s">
        <v>237</v>
      </c>
      <c r="D130" s="1" t="s">
        <v>428</v>
      </c>
      <c r="E130" s="1" t="s">
        <v>429</v>
      </c>
      <c r="F130" s="1" t="s">
        <v>430</v>
      </c>
      <c r="G130" s="1" t="s">
        <v>431</v>
      </c>
      <c r="H130" s="1" t="s">
        <v>18</v>
      </c>
    </row>
    <row r="131" spans="1:8">
      <c r="A131" s="1">
        <v>130</v>
      </c>
      <c r="B131" s="1" t="s">
        <v>432</v>
      </c>
      <c r="C131" s="1" t="s">
        <v>433</v>
      </c>
      <c r="D131" s="1" t="s">
        <v>434</v>
      </c>
      <c r="E131" s="1" t="s">
        <v>435</v>
      </c>
      <c r="F131" s="1" t="s">
        <v>436</v>
      </c>
      <c r="G131" s="1" t="s">
        <v>437</v>
      </c>
      <c r="H131" s="1" t="s">
        <v>18</v>
      </c>
    </row>
    <row r="132" spans="1:8">
      <c r="A132" s="1">
        <v>131</v>
      </c>
      <c r="B132" s="1" t="s">
        <v>432</v>
      </c>
      <c r="C132" s="1" t="s">
        <v>438</v>
      </c>
      <c r="D132" s="1" t="s">
        <v>434</v>
      </c>
      <c r="E132" s="1" t="s">
        <v>439</v>
      </c>
      <c r="F132" s="1" t="s">
        <v>440</v>
      </c>
      <c r="G132" s="1" t="s">
        <v>441</v>
      </c>
      <c r="H132" s="1" t="s">
        <v>18</v>
      </c>
    </row>
    <row r="133" spans="1:8">
      <c r="A133" s="1">
        <v>132</v>
      </c>
      <c r="B133" s="1" t="s">
        <v>432</v>
      </c>
      <c r="C133" s="1" t="s">
        <v>442</v>
      </c>
      <c r="D133" s="1" t="s">
        <v>434</v>
      </c>
      <c r="E133" s="1" t="s">
        <v>443</v>
      </c>
      <c r="F133" s="1" t="s">
        <v>444</v>
      </c>
      <c r="G133" s="1" t="s">
        <v>445</v>
      </c>
      <c r="H133" s="1" t="s">
        <v>18</v>
      </c>
    </row>
    <row r="134" spans="1:8">
      <c r="A134" s="1">
        <v>133</v>
      </c>
      <c r="B134" s="1" t="s">
        <v>432</v>
      </c>
      <c r="C134" s="1" t="s">
        <v>446</v>
      </c>
      <c r="D134" s="1" t="s">
        <v>434</v>
      </c>
      <c r="E134" s="1" t="s">
        <v>447</v>
      </c>
      <c r="F134" s="1" t="s">
        <v>448</v>
      </c>
      <c r="G134" s="1" t="s">
        <v>449</v>
      </c>
      <c r="H134" s="1" t="s">
        <v>18</v>
      </c>
    </row>
    <row r="135" spans="1:8">
      <c r="A135" s="1">
        <v>134</v>
      </c>
      <c r="B135" s="1" t="s">
        <v>432</v>
      </c>
      <c r="C135" s="1" t="s">
        <v>450</v>
      </c>
      <c r="D135" s="1" t="s">
        <v>434</v>
      </c>
      <c r="E135" s="1" t="s">
        <v>451</v>
      </c>
      <c r="F135" s="1" t="s">
        <v>452</v>
      </c>
      <c r="G135" s="1" t="s">
        <v>453</v>
      </c>
      <c r="H135" s="1" t="s">
        <v>18</v>
      </c>
    </row>
    <row r="136" spans="1:8">
      <c r="A136" s="1">
        <v>135</v>
      </c>
      <c r="B136" s="1" t="s">
        <v>432</v>
      </c>
      <c r="C136" s="1" t="s">
        <v>454</v>
      </c>
      <c r="D136" s="1" t="s">
        <v>434</v>
      </c>
      <c r="E136" s="1" t="s">
        <v>455</v>
      </c>
      <c r="F136" s="1" t="s">
        <v>430</v>
      </c>
      <c r="G136" s="1" t="s">
        <v>431</v>
      </c>
      <c r="H136" s="1" t="s">
        <v>18</v>
      </c>
    </row>
    <row r="137" spans="1:8">
      <c r="A137" s="1">
        <v>136</v>
      </c>
      <c r="B137" s="1" t="s">
        <v>432</v>
      </c>
      <c r="C137" s="1" t="s">
        <v>456</v>
      </c>
      <c r="D137" s="1" t="s">
        <v>434</v>
      </c>
      <c r="E137" s="1" t="s">
        <v>457</v>
      </c>
      <c r="F137" s="1" t="s">
        <v>458</v>
      </c>
      <c r="G137" s="1" t="s">
        <v>459</v>
      </c>
      <c r="H137" s="1" t="s">
        <v>18</v>
      </c>
    </row>
    <row r="138" spans="1:8">
      <c r="A138" s="1">
        <v>137</v>
      </c>
      <c r="B138" s="1" t="s">
        <v>460</v>
      </c>
      <c r="C138" s="1" t="s">
        <v>44</v>
      </c>
      <c r="D138" s="1" t="s">
        <v>461</v>
      </c>
      <c r="E138" s="1" t="s">
        <v>462</v>
      </c>
      <c r="F138" s="1" t="s">
        <v>463</v>
      </c>
      <c r="G138" s="1" t="s">
        <v>464</v>
      </c>
      <c r="H138" s="1" t="s">
        <v>18</v>
      </c>
    </row>
    <row r="139" spans="1:8">
      <c r="A139" s="1">
        <v>138</v>
      </c>
      <c r="B139" s="1" t="s">
        <v>460</v>
      </c>
      <c r="C139" s="1" t="s">
        <v>49</v>
      </c>
      <c r="D139" s="1" t="s">
        <v>461</v>
      </c>
      <c r="E139" s="1" t="s">
        <v>465</v>
      </c>
      <c r="F139" s="1" t="s">
        <v>466</v>
      </c>
      <c r="G139" s="1" t="s">
        <v>467</v>
      </c>
      <c r="H139" s="1" t="s">
        <v>18</v>
      </c>
    </row>
    <row r="140" spans="1:8">
      <c r="A140" s="1">
        <v>139</v>
      </c>
      <c r="B140" s="1" t="s">
        <v>468</v>
      </c>
      <c r="C140" s="1" t="s">
        <v>44</v>
      </c>
      <c r="D140" s="1" t="s">
        <v>469</v>
      </c>
      <c r="E140" s="1" t="s">
        <v>470</v>
      </c>
      <c r="F140" s="1" t="s">
        <v>471</v>
      </c>
      <c r="G140" s="1" t="s">
        <v>472</v>
      </c>
      <c r="H140" s="1" t="s">
        <v>18</v>
      </c>
    </row>
    <row r="141" spans="1:8">
      <c r="A141" s="1">
        <v>140</v>
      </c>
      <c r="B141" s="1" t="s">
        <v>468</v>
      </c>
      <c r="C141" s="1" t="s">
        <v>49</v>
      </c>
      <c r="D141" s="1" t="s">
        <v>469</v>
      </c>
      <c r="E141" s="1" t="s">
        <v>473</v>
      </c>
      <c r="F141" s="1" t="s">
        <v>466</v>
      </c>
      <c r="G141" s="1" t="s">
        <v>467</v>
      </c>
      <c r="H141" s="1" t="s">
        <v>18</v>
      </c>
    </row>
    <row r="142" spans="1:8">
      <c r="A142" s="1">
        <v>141</v>
      </c>
      <c r="B142" s="1" t="s">
        <v>474</v>
      </c>
      <c r="C142" s="1" t="s">
        <v>433</v>
      </c>
      <c r="D142" s="1" t="s">
        <v>475</v>
      </c>
      <c r="E142" s="1" t="s">
        <v>476</v>
      </c>
      <c r="F142" s="1" t="s">
        <v>477</v>
      </c>
      <c r="G142" s="1" t="s">
        <v>478</v>
      </c>
      <c r="H142" s="1" t="s">
        <v>18</v>
      </c>
    </row>
    <row r="143" spans="1:8">
      <c r="A143" s="1">
        <v>142</v>
      </c>
      <c r="B143" s="1" t="s">
        <v>474</v>
      </c>
      <c r="C143" s="1" t="s">
        <v>438</v>
      </c>
      <c r="D143" s="1" t="s">
        <v>475</v>
      </c>
      <c r="E143" s="1" t="s">
        <v>479</v>
      </c>
      <c r="F143" s="1" t="s">
        <v>480</v>
      </c>
      <c r="G143" s="1" t="s">
        <v>481</v>
      </c>
      <c r="H143" s="1" t="s">
        <v>18</v>
      </c>
    </row>
    <row r="144" spans="1:8">
      <c r="A144" s="1">
        <v>143</v>
      </c>
      <c r="B144" s="1" t="s">
        <v>474</v>
      </c>
      <c r="C144" s="1" t="s">
        <v>442</v>
      </c>
      <c r="D144" s="1" t="s">
        <v>475</v>
      </c>
      <c r="E144" s="1" t="s">
        <v>482</v>
      </c>
      <c r="F144" s="1" t="s">
        <v>483</v>
      </c>
      <c r="G144" s="1" t="s">
        <v>484</v>
      </c>
      <c r="H144" s="1" t="s">
        <v>18</v>
      </c>
    </row>
    <row r="145" spans="1:8">
      <c r="A145" s="1">
        <v>144</v>
      </c>
      <c r="B145" s="1" t="s">
        <v>474</v>
      </c>
      <c r="C145" s="1" t="s">
        <v>446</v>
      </c>
      <c r="D145" s="1" t="s">
        <v>475</v>
      </c>
      <c r="E145" s="1" t="s">
        <v>485</v>
      </c>
      <c r="F145" s="1" t="s">
        <v>486</v>
      </c>
      <c r="G145" s="1" t="s">
        <v>487</v>
      </c>
      <c r="H145" s="1" t="s">
        <v>18</v>
      </c>
    </row>
    <row r="146" spans="1:8">
      <c r="A146" s="1">
        <v>145</v>
      </c>
      <c r="B146" s="1" t="s">
        <v>474</v>
      </c>
      <c r="C146" s="1" t="s">
        <v>450</v>
      </c>
      <c r="D146" s="1" t="s">
        <v>475</v>
      </c>
      <c r="E146" s="1" t="s">
        <v>488</v>
      </c>
      <c r="F146" s="1" t="s">
        <v>489</v>
      </c>
      <c r="G146" s="1" t="s">
        <v>490</v>
      </c>
      <c r="H146" s="1" t="s">
        <v>18</v>
      </c>
    </row>
    <row r="147" spans="1:8">
      <c r="A147" s="1">
        <v>146</v>
      </c>
      <c r="B147" s="1" t="s">
        <v>474</v>
      </c>
      <c r="C147" s="1" t="s">
        <v>454</v>
      </c>
      <c r="D147" s="1" t="s">
        <v>475</v>
      </c>
      <c r="E147" s="1" t="s">
        <v>491</v>
      </c>
      <c r="F147" s="1" t="s">
        <v>492</v>
      </c>
      <c r="G147" s="1" t="s">
        <v>493</v>
      </c>
      <c r="H147" s="1" t="s">
        <v>18</v>
      </c>
    </row>
    <row r="148" spans="1:8">
      <c r="A148" s="1">
        <v>147</v>
      </c>
      <c r="B148" s="1" t="s">
        <v>474</v>
      </c>
      <c r="C148" s="1" t="s">
        <v>456</v>
      </c>
      <c r="D148" s="1" t="s">
        <v>475</v>
      </c>
      <c r="E148" s="1" t="s">
        <v>494</v>
      </c>
      <c r="F148" s="1" t="s">
        <v>495</v>
      </c>
      <c r="G148" s="1" t="s">
        <v>496</v>
      </c>
      <c r="H148" s="1" t="s">
        <v>18</v>
      </c>
    </row>
    <row r="149" spans="1:8">
      <c r="A149" s="1">
        <v>148</v>
      </c>
      <c r="B149" s="1" t="s">
        <v>497</v>
      </c>
      <c r="C149" s="1" t="s">
        <v>498</v>
      </c>
      <c r="D149" s="1" t="s">
        <v>499</v>
      </c>
      <c r="E149" s="1" t="s">
        <v>500</v>
      </c>
      <c r="F149" s="1" t="s">
        <v>501</v>
      </c>
      <c r="G149" s="1" t="s">
        <v>502</v>
      </c>
      <c r="H149" s="1" t="s">
        <v>18</v>
      </c>
    </row>
    <row r="150" spans="1:8">
      <c r="A150" s="1">
        <v>149</v>
      </c>
      <c r="B150" s="1" t="s">
        <v>497</v>
      </c>
      <c r="C150" s="1" t="s">
        <v>503</v>
      </c>
      <c r="D150" s="1" t="s">
        <v>499</v>
      </c>
      <c r="E150" s="1" t="s">
        <v>504</v>
      </c>
      <c r="F150" s="1" t="s">
        <v>505</v>
      </c>
      <c r="G150" s="1" t="s">
        <v>506</v>
      </c>
      <c r="H150" s="1" t="s">
        <v>18</v>
      </c>
    </row>
    <row r="151" spans="1:8">
      <c r="A151" s="1">
        <v>150</v>
      </c>
      <c r="B151" s="1" t="s">
        <v>497</v>
      </c>
      <c r="C151" s="1" t="s">
        <v>507</v>
      </c>
      <c r="D151" s="1" t="s">
        <v>499</v>
      </c>
      <c r="E151" s="1" t="s">
        <v>508</v>
      </c>
      <c r="F151" s="1" t="s">
        <v>509</v>
      </c>
      <c r="G151" s="1" t="s">
        <v>510</v>
      </c>
      <c r="H151" s="1" t="s">
        <v>18</v>
      </c>
    </row>
    <row r="152" spans="1:8">
      <c r="A152" s="1">
        <v>151</v>
      </c>
      <c r="B152" s="1" t="s">
        <v>497</v>
      </c>
      <c r="C152" s="1" t="s">
        <v>511</v>
      </c>
      <c r="D152" s="1" t="s">
        <v>499</v>
      </c>
      <c r="E152" s="1" t="s">
        <v>512</v>
      </c>
      <c r="F152" s="1" t="s">
        <v>477</v>
      </c>
      <c r="G152" s="1" t="s">
        <v>478</v>
      </c>
      <c r="H152" s="1" t="s">
        <v>18</v>
      </c>
    </row>
    <row r="153" spans="1:8">
      <c r="A153" s="1">
        <v>152</v>
      </c>
      <c r="B153" s="1" t="s">
        <v>497</v>
      </c>
      <c r="C153" s="1" t="s">
        <v>513</v>
      </c>
      <c r="D153" s="1" t="s">
        <v>499</v>
      </c>
      <c r="E153" s="1" t="s">
        <v>514</v>
      </c>
      <c r="F153" s="1" t="s">
        <v>486</v>
      </c>
      <c r="G153" s="1" t="s">
        <v>487</v>
      </c>
      <c r="H153" s="1" t="s">
        <v>18</v>
      </c>
    </row>
    <row r="154" spans="1:8">
      <c r="A154" s="1">
        <v>153</v>
      </c>
      <c r="B154" s="1" t="s">
        <v>497</v>
      </c>
      <c r="C154" s="1" t="s">
        <v>515</v>
      </c>
      <c r="D154" s="1" t="s">
        <v>499</v>
      </c>
      <c r="E154" s="1" t="s">
        <v>516</v>
      </c>
      <c r="F154" s="1" t="s">
        <v>492</v>
      </c>
      <c r="G154" s="1" t="s">
        <v>493</v>
      </c>
      <c r="H154" s="1" t="s">
        <v>18</v>
      </c>
    </row>
    <row r="155" spans="1:8">
      <c r="A155" s="1">
        <v>154</v>
      </c>
      <c r="B155" s="1" t="s">
        <v>497</v>
      </c>
      <c r="C155" s="1" t="s">
        <v>517</v>
      </c>
      <c r="D155" s="1" t="s">
        <v>499</v>
      </c>
      <c r="E155" s="1" t="s">
        <v>518</v>
      </c>
      <c r="F155" s="1" t="s">
        <v>519</v>
      </c>
      <c r="G155" s="1" t="s">
        <v>520</v>
      </c>
      <c r="H155" s="1" t="s">
        <v>18</v>
      </c>
    </row>
    <row r="156" spans="1:8">
      <c r="A156" s="1">
        <v>155</v>
      </c>
      <c r="B156" s="1" t="s">
        <v>497</v>
      </c>
      <c r="C156" s="1" t="s">
        <v>521</v>
      </c>
      <c r="D156" s="1" t="s">
        <v>499</v>
      </c>
      <c r="E156" s="1" t="s">
        <v>522</v>
      </c>
      <c r="F156" s="1" t="s">
        <v>523</v>
      </c>
      <c r="G156" s="1" t="s">
        <v>524</v>
      </c>
      <c r="H156" s="1" t="s">
        <v>18</v>
      </c>
    </row>
    <row r="157" spans="1:8">
      <c r="A157" s="1">
        <v>156</v>
      </c>
      <c r="B157" s="1" t="s">
        <v>525</v>
      </c>
      <c r="C157" s="1" t="s">
        <v>58</v>
      </c>
      <c r="D157" s="1" t="s">
        <v>526</v>
      </c>
      <c r="E157" s="1" t="s">
        <v>527</v>
      </c>
      <c r="F157" s="1" t="s">
        <v>528</v>
      </c>
      <c r="G157" s="1" t="s">
        <v>529</v>
      </c>
      <c r="H157" s="1" t="s">
        <v>18</v>
      </c>
    </row>
    <row r="158" spans="1:8">
      <c r="A158" s="1">
        <v>157</v>
      </c>
      <c r="B158" s="1" t="s">
        <v>525</v>
      </c>
      <c r="C158" s="1" t="s">
        <v>63</v>
      </c>
      <c r="D158" s="1" t="s">
        <v>526</v>
      </c>
      <c r="E158" s="1" t="s">
        <v>530</v>
      </c>
      <c r="F158" s="1" t="s">
        <v>531</v>
      </c>
      <c r="G158" s="1" t="s">
        <v>532</v>
      </c>
      <c r="H158" s="1" t="s">
        <v>18</v>
      </c>
    </row>
    <row r="159" spans="1:8">
      <c r="A159" s="1">
        <v>158</v>
      </c>
      <c r="B159" s="1" t="s">
        <v>525</v>
      </c>
      <c r="C159" s="1" t="s">
        <v>67</v>
      </c>
      <c r="D159" s="1" t="s">
        <v>526</v>
      </c>
      <c r="E159" s="1" t="s">
        <v>533</v>
      </c>
      <c r="F159" s="1" t="s">
        <v>534</v>
      </c>
      <c r="G159" s="1" t="s">
        <v>535</v>
      </c>
      <c r="H159" s="1" t="s">
        <v>18</v>
      </c>
    </row>
    <row r="160" spans="1:8">
      <c r="A160" s="1">
        <v>159</v>
      </c>
      <c r="B160" s="1" t="s">
        <v>525</v>
      </c>
      <c r="C160" s="1" t="s">
        <v>71</v>
      </c>
      <c r="D160" s="1" t="s">
        <v>526</v>
      </c>
      <c r="E160" s="1" t="s">
        <v>536</v>
      </c>
      <c r="F160" s="1" t="s">
        <v>537</v>
      </c>
      <c r="G160" s="1" t="s">
        <v>538</v>
      </c>
      <c r="H160" s="1" t="s">
        <v>18</v>
      </c>
    </row>
    <row r="161" spans="1:8">
      <c r="A161" s="1">
        <v>160</v>
      </c>
      <c r="B161" s="1" t="s">
        <v>539</v>
      </c>
      <c r="C161" s="1" t="s">
        <v>540</v>
      </c>
      <c r="D161" s="1" t="s">
        <v>541</v>
      </c>
      <c r="E161" s="1" t="s">
        <v>542</v>
      </c>
      <c r="F161" s="1" t="s">
        <v>543</v>
      </c>
      <c r="G161" s="1" t="s">
        <v>544</v>
      </c>
      <c r="H161" s="1" t="s">
        <v>18</v>
      </c>
    </row>
    <row r="162" spans="1:8">
      <c r="A162" s="1">
        <v>161</v>
      </c>
      <c r="B162" s="1" t="s">
        <v>539</v>
      </c>
      <c r="C162" s="1" t="s">
        <v>545</v>
      </c>
      <c r="D162" s="1" t="s">
        <v>541</v>
      </c>
      <c r="E162" s="1" t="s">
        <v>546</v>
      </c>
      <c r="F162" s="1" t="s">
        <v>547</v>
      </c>
      <c r="G162" s="1" t="s">
        <v>548</v>
      </c>
      <c r="H162" s="1" t="s">
        <v>18</v>
      </c>
    </row>
    <row r="163" spans="1:8">
      <c r="A163" s="1">
        <v>162</v>
      </c>
      <c r="B163" s="1" t="s">
        <v>539</v>
      </c>
      <c r="C163" s="1" t="s">
        <v>549</v>
      </c>
      <c r="D163" s="1" t="s">
        <v>541</v>
      </c>
      <c r="E163" s="1" t="s">
        <v>550</v>
      </c>
      <c r="F163" s="1" t="s">
        <v>551</v>
      </c>
      <c r="G163" s="1" t="s">
        <v>552</v>
      </c>
      <c r="H163" s="1" t="s">
        <v>18</v>
      </c>
    </row>
    <row r="164" spans="1:8">
      <c r="A164" s="1">
        <v>163</v>
      </c>
      <c r="B164" s="1" t="s">
        <v>539</v>
      </c>
      <c r="C164" s="1" t="s">
        <v>553</v>
      </c>
      <c r="D164" s="1" t="s">
        <v>541</v>
      </c>
      <c r="E164" s="1" t="s">
        <v>554</v>
      </c>
      <c r="F164" s="1" t="s">
        <v>555</v>
      </c>
      <c r="G164" s="1" t="s">
        <v>556</v>
      </c>
      <c r="H164" s="1" t="s">
        <v>18</v>
      </c>
    </row>
    <row r="165" spans="1:8">
      <c r="A165" s="1">
        <v>164</v>
      </c>
      <c r="B165" s="1" t="s">
        <v>539</v>
      </c>
      <c r="C165" s="1" t="s">
        <v>557</v>
      </c>
      <c r="D165" s="1" t="s">
        <v>541</v>
      </c>
      <c r="E165" s="1" t="s">
        <v>558</v>
      </c>
      <c r="F165" s="1" t="s">
        <v>559</v>
      </c>
      <c r="G165" s="1" t="s">
        <v>560</v>
      </c>
      <c r="H165" s="1" t="s">
        <v>18</v>
      </c>
    </row>
    <row r="166" spans="1:8">
      <c r="A166" s="1">
        <v>165</v>
      </c>
      <c r="B166" s="1" t="s">
        <v>539</v>
      </c>
      <c r="C166" s="1" t="s">
        <v>561</v>
      </c>
      <c r="D166" s="1" t="s">
        <v>541</v>
      </c>
      <c r="E166" s="1" t="s">
        <v>562</v>
      </c>
      <c r="F166" s="1" t="s">
        <v>563</v>
      </c>
      <c r="G166" s="1" t="s">
        <v>564</v>
      </c>
      <c r="H166" s="1" t="s">
        <v>18</v>
      </c>
    </row>
    <row r="167" spans="1:8">
      <c r="A167" s="1">
        <v>166</v>
      </c>
      <c r="B167" s="1" t="s">
        <v>539</v>
      </c>
      <c r="C167" s="1" t="s">
        <v>565</v>
      </c>
      <c r="D167" s="1" t="s">
        <v>541</v>
      </c>
      <c r="E167" s="1" t="s">
        <v>566</v>
      </c>
      <c r="F167" s="1" t="s">
        <v>567</v>
      </c>
      <c r="G167" s="1" t="s">
        <v>568</v>
      </c>
      <c r="H167" s="1" t="s">
        <v>18</v>
      </c>
    </row>
    <row r="168" spans="1:8">
      <c r="A168" s="1">
        <v>167</v>
      </c>
      <c r="B168" s="1" t="s">
        <v>539</v>
      </c>
      <c r="C168" s="1" t="s">
        <v>569</v>
      </c>
      <c r="D168" s="1" t="s">
        <v>541</v>
      </c>
      <c r="E168" s="1" t="s">
        <v>570</v>
      </c>
      <c r="F168" s="1" t="s">
        <v>571</v>
      </c>
      <c r="G168" s="1" t="s">
        <v>572</v>
      </c>
      <c r="H168" s="1" t="s">
        <v>18</v>
      </c>
    </row>
    <row r="169" spans="1:8">
      <c r="A169" s="1">
        <v>168</v>
      </c>
      <c r="B169" s="1" t="s">
        <v>539</v>
      </c>
      <c r="C169" s="1" t="s">
        <v>573</v>
      </c>
      <c r="D169" s="1" t="s">
        <v>541</v>
      </c>
      <c r="E169" s="1" t="s">
        <v>574</v>
      </c>
      <c r="F169" s="1" t="s">
        <v>575</v>
      </c>
      <c r="G169" s="1" t="s">
        <v>576</v>
      </c>
      <c r="H169" s="1" t="s">
        <v>18</v>
      </c>
    </row>
    <row r="170" spans="1:8">
      <c r="A170" s="1">
        <v>169</v>
      </c>
      <c r="B170" s="1" t="s">
        <v>539</v>
      </c>
      <c r="C170" s="1" t="s">
        <v>577</v>
      </c>
      <c r="D170" s="1" t="s">
        <v>541</v>
      </c>
      <c r="E170" s="1" t="s">
        <v>578</v>
      </c>
      <c r="F170" s="1" t="s">
        <v>579</v>
      </c>
      <c r="G170" s="1" t="s">
        <v>580</v>
      </c>
      <c r="H170" s="1" t="s">
        <v>18</v>
      </c>
    </row>
    <row r="171" spans="1:8">
      <c r="A171" s="1">
        <v>170</v>
      </c>
      <c r="B171" s="1" t="s">
        <v>539</v>
      </c>
      <c r="C171" s="1" t="s">
        <v>581</v>
      </c>
      <c r="D171" s="1" t="s">
        <v>541</v>
      </c>
      <c r="E171" s="1" t="s">
        <v>582</v>
      </c>
      <c r="F171" s="1" t="s">
        <v>583</v>
      </c>
      <c r="G171" s="1" t="s">
        <v>584</v>
      </c>
      <c r="H171" s="1" t="s">
        <v>18</v>
      </c>
    </row>
    <row r="172" spans="1:8">
      <c r="A172" s="1">
        <v>171</v>
      </c>
      <c r="B172" s="1" t="s">
        <v>539</v>
      </c>
      <c r="C172" s="1" t="s">
        <v>585</v>
      </c>
      <c r="D172" s="1" t="s">
        <v>541</v>
      </c>
      <c r="E172" s="1" t="s">
        <v>586</v>
      </c>
      <c r="F172" s="1" t="s">
        <v>587</v>
      </c>
      <c r="G172" s="1" t="s">
        <v>588</v>
      </c>
      <c r="H172" s="1" t="s">
        <v>18</v>
      </c>
    </row>
    <row r="173" spans="1:8">
      <c r="A173" s="1">
        <v>172</v>
      </c>
      <c r="B173" s="1" t="s">
        <v>539</v>
      </c>
      <c r="C173" s="1" t="s">
        <v>589</v>
      </c>
      <c r="D173" s="1" t="s">
        <v>541</v>
      </c>
      <c r="E173" s="1" t="s">
        <v>590</v>
      </c>
      <c r="F173" s="1" t="s">
        <v>591</v>
      </c>
      <c r="G173" s="1" t="s">
        <v>592</v>
      </c>
      <c r="H173" s="1" t="s">
        <v>18</v>
      </c>
    </row>
    <row r="174" spans="1:8">
      <c r="A174" s="1">
        <v>173</v>
      </c>
      <c r="B174" s="1" t="s">
        <v>539</v>
      </c>
      <c r="C174" s="1" t="s">
        <v>593</v>
      </c>
      <c r="D174" s="1" t="s">
        <v>541</v>
      </c>
      <c r="E174" s="1" t="s">
        <v>594</v>
      </c>
      <c r="F174" s="1" t="s">
        <v>595</v>
      </c>
      <c r="G174" s="1" t="s">
        <v>596</v>
      </c>
      <c r="H174" s="1" t="s">
        <v>18</v>
      </c>
    </row>
    <row r="175" spans="1:8">
      <c r="A175" s="1">
        <v>174</v>
      </c>
      <c r="B175" s="1" t="s">
        <v>539</v>
      </c>
      <c r="C175" s="1" t="s">
        <v>597</v>
      </c>
      <c r="D175" s="1" t="s">
        <v>541</v>
      </c>
      <c r="E175" s="1" t="s">
        <v>598</v>
      </c>
      <c r="F175" s="1" t="s">
        <v>599</v>
      </c>
      <c r="G175" s="1" t="s">
        <v>600</v>
      </c>
      <c r="H175" s="1" t="s">
        <v>18</v>
      </c>
    </row>
    <row r="176" spans="1:8">
      <c r="A176" s="1">
        <v>175</v>
      </c>
      <c r="B176" s="1" t="s">
        <v>539</v>
      </c>
      <c r="C176" s="1" t="s">
        <v>601</v>
      </c>
      <c r="D176" s="1" t="s">
        <v>541</v>
      </c>
      <c r="E176" s="1" t="s">
        <v>602</v>
      </c>
      <c r="F176" s="1" t="s">
        <v>603</v>
      </c>
      <c r="G176" s="1" t="s">
        <v>604</v>
      </c>
      <c r="H176" s="1" t="s">
        <v>18</v>
      </c>
    </row>
    <row r="177" spans="1:8">
      <c r="A177" s="1">
        <v>176</v>
      </c>
      <c r="B177" s="1" t="s">
        <v>539</v>
      </c>
      <c r="C177" s="1" t="s">
        <v>605</v>
      </c>
      <c r="D177" s="1" t="s">
        <v>541</v>
      </c>
      <c r="E177" s="1" t="s">
        <v>606</v>
      </c>
      <c r="F177" s="1" t="s">
        <v>607</v>
      </c>
      <c r="G177" s="1" t="s">
        <v>608</v>
      </c>
      <c r="H177" s="1" t="s">
        <v>18</v>
      </c>
    </row>
    <row r="178" spans="1:8">
      <c r="A178" s="1">
        <v>177</v>
      </c>
      <c r="B178" s="1" t="s">
        <v>539</v>
      </c>
      <c r="C178" s="1" t="s">
        <v>609</v>
      </c>
      <c r="D178" s="1" t="s">
        <v>541</v>
      </c>
      <c r="E178" s="1" t="s">
        <v>610</v>
      </c>
      <c r="F178" s="1" t="s">
        <v>611</v>
      </c>
      <c r="G178" s="1" t="s">
        <v>612</v>
      </c>
      <c r="H178" s="1" t="s">
        <v>18</v>
      </c>
    </row>
    <row r="179" spans="1:8">
      <c r="A179" s="1">
        <v>178</v>
      </c>
      <c r="B179" s="1" t="s">
        <v>613</v>
      </c>
      <c r="C179" s="1" t="s">
        <v>237</v>
      </c>
      <c r="D179" s="1" t="s">
        <v>614</v>
      </c>
      <c r="E179" s="1" t="s">
        <v>615</v>
      </c>
      <c r="F179" s="1" t="s">
        <v>16</v>
      </c>
      <c r="G179" s="1" t="s">
        <v>17</v>
      </c>
      <c r="H179" s="1" t="s">
        <v>18</v>
      </c>
    </row>
    <row r="180" spans="1:8">
      <c r="A180" s="1">
        <v>179</v>
      </c>
      <c r="B180" s="1" t="s">
        <v>616</v>
      </c>
      <c r="C180" s="1" t="s">
        <v>237</v>
      </c>
      <c r="D180" s="1" t="s">
        <v>617</v>
      </c>
      <c r="E180" s="1" t="s">
        <v>618</v>
      </c>
      <c r="F180" s="1" t="s">
        <v>619</v>
      </c>
      <c r="G180" s="1" t="s">
        <v>620</v>
      </c>
      <c r="H180" s="1" t="s">
        <v>18</v>
      </c>
    </row>
    <row r="181" spans="1:8">
      <c r="A181" s="1">
        <v>180</v>
      </c>
      <c r="B181" s="1" t="s">
        <v>621</v>
      </c>
      <c r="C181" s="1" t="s">
        <v>237</v>
      </c>
      <c r="D181" s="1" t="s">
        <v>622</v>
      </c>
      <c r="E181" s="1" t="s">
        <v>623</v>
      </c>
      <c r="F181" s="1" t="s">
        <v>12</v>
      </c>
      <c r="G181" s="1" t="s">
        <v>13</v>
      </c>
      <c r="H181" s="1" t="s">
        <v>18</v>
      </c>
    </row>
    <row r="182" spans="1:8">
      <c r="A182" s="1">
        <v>181</v>
      </c>
      <c r="B182" s="1" t="s">
        <v>624</v>
      </c>
      <c r="C182" s="1" t="s">
        <v>44</v>
      </c>
      <c r="D182" s="1" t="s">
        <v>625</v>
      </c>
      <c r="E182" s="1" t="s">
        <v>626</v>
      </c>
      <c r="F182" s="1" t="s">
        <v>627</v>
      </c>
      <c r="G182" s="1" t="s">
        <v>628</v>
      </c>
      <c r="H182" s="1" t="s">
        <v>18</v>
      </c>
    </row>
    <row r="183" spans="1:8">
      <c r="A183" s="1">
        <v>182</v>
      </c>
      <c r="B183" s="1" t="s">
        <v>624</v>
      </c>
      <c r="C183" s="1" t="s">
        <v>49</v>
      </c>
      <c r="D183" s="1" t="s">
        <v>625</v>
      </c>
      <c r="E183" s="1" t="s">
        <v>629</v>
      </c>
      <c r="F183" s="1" t="s">
        <v>630</v>
      </c>
      <c r="G183" s="1" t="s">
        <v>631</v>
      </c>
      <c r="H183" s="1" t="s">
        <v>18</v>
      </c>
    </row>
    <row r="184" spans="1:8">
      <c r="A184" s="1">
        <v>183</v>
      </c>
      <c r="B184" s="1" t="s">
        <v>632</v>
      </c>
      <c r="C184" s="1" t="s">
        <v>237</v>
      </c>
      <c r="D184" s="1" t="s">
        <v>633</v>
      </c>
      <c r="E184" s="1" t="s">
        <v>634</v>
      </c>
      <c r="F184" s="1" t="s">
        <v>627</v>
      </c>
      <c r="G184" s="1" t="s">
        <v>628</v>
      </c>
      <c r="H184" s="1" t="s">
        <v>18</v>
      </c>
    </row>
    <row r="185" spans="1:8">
      <c r="A185" s="1">
        <v>184</v>
      </c>
      <c r="B185" s="1" t="s">
        <v>635</v>
      </c>
      <c r="C185" s="1" t="s">
        <v>237</v>
      </c>
      <c r="D185" s="1" t="s">
        <v>636</v>
      </c>
      <c r="E185" s="1" t="s">
        <v>637</v>
      </c>
      <c r="F185" s="1" t="s">
        <v>630</v>
      </c>
      <c r="G185" s="1" t="s">
        <v>631</v>
      </c>
      <c r="H185" s="1" t="s">
        <v>18</v>
      </c>
    </row>
    <row r="186" spans="1:8">
      <c r="A186" s="1">
        <v>185</v>
      </c>
      <c r="B186" s="1" t="s">
        <v>638</v>
      </c>
      <c r="C186" s="1" t="s">
        <v>237</v>
      </c>
      <c r="D186" s="1" t="s">
        <v>639</v>
      </c>
      <c r="E186" s="1" t="s">
        <v>640</v>
      </c>
      <c r="F186" s="1" t="s">
        <v>21</v>
      </c>
      <c r="G186" s="1" t="s">
        <v>22</v>
      </c>
      <c r="H186" s="1" t="s">
        <v>18</v>
      </c>
    </row>
    <row r="187" spans="1:8">
      <c r="A187" s="1">
        <v>186</v>
      </c>
      <c r="B187" s="1" t="s">
        <v>641</v>
      </c>
      <c r="C187" s="1" t="s">
        <v>237</v>
      </c>
      <c r="D187" s="1" t="s">
        <v>642</v>
      </c>
      <c r="E187" s="1" t="s">
        <v>643</v>
      </c>
      <c r="F187" s="1" t="s">
        <v>644</v>
      </c>
      <c r="G187" s="1" t="s">
        <v>645</v>
      </c>
      <c r="H187" s="1" t="s">
        <v>18</v>
      </c>
    </row>
    <row r="188" spans="1:8">
      <c r="A188" s="1">
        <v>187</v>
      </c>
      <c r="B188" s="1" t="s">
        <v>646</v>
      </c>
      <c r="C188" s="1" t="s">
        <v>237</v>
      </c>
      <c r="D188" s="1" t="s">
        <v>647</v>
      </c>
      <c r="E188" s="1" t="s">
        <v>648</v>
      </c>
      <c r="F188" s="1" t="s">
        <v>21</v>
      </c>
      <c r="G188" s="1" t="s">
        <v>22</v>
      </c>
      <c r="H188" s="1" t="s">
        <v>18</v>
      </c>
    </row>
    <row r="189" spans="1:8">
      <c r="A189" s="1">
        <v>188</v>
      </c>
      <c r="B189" s="1" t="s">
        <v>649</v>
      </c>
      <c r="C189" s="1" t="s">
        <v>44</v>
      </c>
      <c r="D189" s="1" t="s">
        <v>650</v>
      </c>
      <c r="E189" s="1" t="s">
        <v>651</v>
      </c>
      <c r="F189" s="1" t="s">
        <v>652</v>
      </c>
      <c r="G189" s="1" t="s">
        <v>653</v>
      </c>
      <c r="H189" s="1" t="s">
        <v>18</v>
      </c>
    </row>
    <row r="190" spans="1:8">
      <c r="A190" s="1">
        <v>189</v>
      </c>
      <c r="B190" s="1" t="s">
        <v>649</v>
      </c>
      <c r="C190" s="1" t="s">
        <v>49</v>
      </c>
      <c r="D190" s="1" t="s">
        <v>650</v>
      </c>
      <c r="E190" s="1" t="s">
        <v>654</v>
      </c>
      <c r="F190" s="1" t="s">
        <v>655</v>
      </c>
      <c r="G190" s="1" t="s">
        <v>656</v>
      </c>
      <c r="H190" s="1" t="s">
        <v>18</v>
      </c>
    </row>
    <row r="191" spans="1:8">
      <c r="A191" s="1">
        <v>190</v>
      </c>
      <c r="B191" s="1" t="s">
        <v>657</v>
      </c>
      <c r="C191" s="1" t="s">
        <v>237</v>
      </c>
      <c r="D191" s="1" t="s">
        <v>658</v>
      </c>
      <c r="E191" s="1" t="s">
        <v>659</v>
      </c>
      <c r="F191" s="1" t="s">
        <v>660</v>
      </c>
      <c r="G191" s="1" t="s">
        <v>661</v>
      </c>
      <c r="H191" s="1" t="s">
        <v>18</v>
      </c>
    </row>
    <row r="192" spans="1:8">
      <c r="A192" s="1">
        <v>191</v>
      </c>
      <c r="B192" s="1" t="s">
        <v>662</v>
      </c>
      <c r="C192" s="1" t="s">
        <v>9</v>
      </c>
      <c r="D192" s="1" t="s">
        <v>663</v>
      </c>
      <c r="E192" s="1" t="s">
        <v>664</v>
      </c>
      <c r="F192" s="1" t="s">
        <v>665</v>
      </c>
      <c r="G192" s="1" t="s">
        <v>666</v>
      </c>
      <c r="H192" s="1" t="s">
        <v>18</v>
      </c>
    </row>
    <row r="193" spans="1:8">
      <c r="A193" s="1">
        <v>192</v>
      </c>
      <c r="B193" s="1" t="s">
        <v>662</v>
      </c>
      <c r="C193" s="1" t="s">
        <v>14</v>
      </c>
      <c r="D193" s="1" t="s">
        <v>663</v>
      </c>
      <c r="E193" s="1" t="s">
        <v>667</v>
      </c>
      <c r="F193" s="1" t="s">
        <v>660</v>
      </c>
      <c r="G193" s="1" t="s">
        <v>661</v>
      </c>
      <c r="H193" s="1" t="s">
        <v>18</v>
      </c>
    </row>
    <row r="194" spans="1:8">
      <c r="A194" s="1">
        <v>193</v>
      </c>
      <c r="B194" s="1" t="s">
        <v>662</v>
      </c>
      <c r="C194" s="1" t="s">
        <v>19</v>
      </c>
      <c r="D194" s="1" t="s">
        <v>663</v>
      </c>
      <c r="E194" s="1" t="s">
        <v>668</v>
      </c>
      <c r="F194" s="1" t="s">
        <v>669</v>
      </c>
      <c r="G194" s="1" t="s">
        <v>670</v>
      </c>
      <c r="H194" s="1" t="s">
        <v>18</v>
      </c>
    </row>
    <row r="195" spans="1:8">
      <c r="A195" s="1">
        <v>194</v>
      </c>
      <c r="B195" s="1" t="s">
        <v>671</v>
      </c>
      <c r="C195" s="1" t="s">
        <v>9</v>
      </c>
      <c r="D195" s="1" t="s">
        <v>672</v>
      </c>
      <c r="E195" s="1" t="s">
        <v>673</v>
      </c>
      <c r="F195" s="1" t="s">
        <v>665</v>
      </c>
      <c r="G195" s="1" t="s">
        <v>666</v>
      </c>
      <c r="H195" s="1" t="s">
        <v>18</v>
      </c>
    </row>
    <row r="196" spans="1:8">
      <c r="A196" s="1">
        <v>195</v>
      </c>
      <c r="B196" s="1" t="s">
        <v>671</v>
      </c>
      <c r="C196" s="1" t="s">
        <v>14</v>
      </c>
      <c r="D196" s="1" t="s">
        <v>672</v>
      </c>
      <c r="E196" s="1" t="s">
        <v>674</v>
      </c>
      <c r="F196" s="1" t="s">
        <v>660</v>
      </c>
      <c r="G196" s="1" t="s">
        <v>661</v>
      </c>
      <c r="H196" s="1" t="s">
        <v>18</v>
      </c>
    </row>
    <row r="197" spans="1:8">
      <c r="A197" s="1">
        <v>196</v>
      </c>
      <c r="B197" s="1" t="s">
        <v>671</v>
      </c>
      <c r="C197" s="1" t="s">
        <v>19</v>
      </c>
      <c r="D197" s="1" t="s">
        <v>672</v>
      </c>
      <c r="E197" s="1" t="s">
        <v>675</v>
      </c>
      <c r="F197" s="1" t="s">
        <v>669</v>
      </c>
      <c r="G197" s="1" t="s">
        <v>670</v>
      </c>
      <c r="H197" s="1" t="s">
        <v>18</v>
      </c>
    </row>
    <row r="198" spans="1:8">
      <c r="A198" s="1">
        <v>197</v>
      </c>
      <c r="B198" s="1" t="s">
        <v>676</v>
      </c>
      <c r="C198" s="1" t="s">
        <v>237</v>
      </c>
      <c r="D198" s="1" t="s">
        <v>677</v>
      </c>
      <c r="E198" s="1" t="s">
        <v>678</v>
      </c>
      <c r="F198" s="1" t="s">
        <v>630</v>
      </c>
      <c r="G198" s="1" t="s">
        <v>631</v>
      </c>
      <c r="H198" s="1" t="s">
        <v>18</v>
      </c>
    </row>
    <row r="199" spans="1:8">
      <c r="A199" s="1">
        <v>198</v>
      </c>
      <c r="B199" s="1" t="s">
        <v>679</v>
      </c>
      <c r="C199" s="1" t="s">
        <v>237</v>
      </c>
      <c r="D199" s="1" t="s">
        <v>680</v>
      </c>
      <c r="E199" s="1" t="s">
        <v>681</v>
      </c>
      <c r="F199" s="1" t="s">
        <v>630</v>
      </c>
      <c r="G199" s="1" t="s">
        <v>631</v>
      </c>
      <c r="H199" s="1" t="s">
        <v>18</v>
      </c>
    </row>
    <row r="200" spans="1:8">
      <c r="A200" s="1">
        <v>199</v>
      </c>
      <c r="B200" s="1" t="s">
        <v>682</v>
      </c>
      <c r="C200" s="1" t="s">
        <v>237</v>
      </c>
      <c r="D200" s="1" t="s">
        <v>683</v>
      </c>
      <c r="E200" s="1" t="s">
        <v>684</v>
      </c>
      <c r="F200" s="1" t="s">
        <v>630</v>
      </c>
      <c r="G200" s="1" t="s">
        <v>631</v>
      </c>
      <c r="H200" s="1" t="s">
        <v>18</v>
      </c>
    </row>
    <row r="201" spans="1:8">
      <c r="A201" s="1">
        <v>200</v>
      </c>
      <c r="B201" s="1" t="s">
        <v>685</v>
      </c>
      <c r="C201" s="1" t="s">
        <v>237</v>
      </c>
      <c r="D201" s="1" t="s">
        <v>686</v>
      </c>
      <c r="E201" s="1" t="s">
        <v>687</v>
      </c>
      <c r="F201" s="1" t="s">
        <v>688</v>
      </c>
      <c r="G201" s="1" t="s">
        <v>689</v>
      </c>
      <c r="H201" s="1" t="s">
        <v>18</v>
      </c>
    </row>
    <row r="202" spans="1:8">
      <c r="A202" s="1">
        <v>201</v>
      </c>
      <c r="B202" s="1" t="s">
        <v>690</v>
      </c>
      <c r="C202" s="1" t="s">
        <v>237</v>
      </c>
      <c r="D202" s="1" t="s">
        <v>691</v>
      </c>
      <c r="E202" s="1" t="s">
        <v>692</v>
      </c>
      <c r="F202" s="1" t="s">
        <v>688</v>
      </c>
      <c r="G202" s="1" t="s">
        <v>689</v>
      </c>
      <c r="H202" s="1" t="s">
        <v>18</v>
      </c>
    </row>
    <row r="203" spans="1:8">
      <c r="A203" s="1">
        <v>202</v>
      </c>
      <c r="B203" s="1" t="s">
        <v>693</v>
      </c>
      <c r="C203" s="1" t="s">
        <v>237</v>
      </c>
      <c r="D203" s="1" t="s">
        <v>694</v>
      </c>
      <c r="E203" s="1" t="s">
        <v>695</v>
      </c>
      <c r="F203" s="1" t="s">
        <v>630</v>
      </c>
      <c r="G203" s="1" t="s">
        <v>631</v>
      </c>
      <c r="H203" s="1" t="s">
        <v>18</v>
      </c>
    </row>
    <row r="204" spans="1:8">
      <c r="A204" s="1">
        <v>203</v>
      </c>
      <c r="B204" s="1" t="s">
        <v>696</v>
      </c>
      <c r="C204" s="1" t="s">
        <v>237</v>
      </c>
      <c r="D204" s="1" t="s">
        <v>697</v>
      </c>
      <c r="E204" s="1" t="s">
        <v>698</v>
      </c>
      <c r="F204" s="1" t="s">
        <v>630</v>
      </c>
      <c r="G204" s="1" t="s">
        <v>631</v>
      </c>
      <c r="H204" s="1" t="s">
        <v>18</v>
      </c>
    </row>
    <row r="205" spans="1:8">
      <c r="A205" s="1">
        <v>204</v>
      </c>
      <c r="B205" s="1" t="s">
        <v>699</v>
      </c>
      <c r="C205" s="1" t="s">
        <v>237</v>
      </c>
      <c r="D205" s="1" t="s">
        <v>700</v>
      </c>
      <c r="E205" s="1" t="s">
        <v>701</v>
      </c>
      <c r="F205" s="1" t="s">
        <v>21</v>
      </c>
      <c r="G205" s="1" t="s">
        <v>22</v>
      </c>
      <c r="H205" s="1" t="s">
        <v>18</v>
      </c>
    </row>
    <row r="206" spans="1:8">
      <c r="A206" s="1">
        <v>205</v>
      </c>
      <c r="B206" s="1" t="s">
        <v>702</v>
      </c>
      <c r="C206" s="1" t="s">
        <v>237</v>
      </c>
      <c r="D206" s="1" t="s">
        <v>703</v>
      </c>
      <c r="E206" s="1" t="s">
        <v>704</v>
      </c>
      <c r="F206" s="1" t="s">
        <v>21</v>
      </c>
      <c r="G206" s="1" t="s">
        <v>22</v>
      </c>
      <c r="H206" s="1" t="s">
        <v>18</v>
      </c>
    </row>
    <row r="207" spans="1:8">
      <c r="A207" s="1">
        <v>206</v>
      </c>
      <c r="B207" s="1" t="s">
        <v>705</v>
      </c>
      <c r="C207" s="1" t="s">
        <v>58</v>
      </c>
      <c r="D207" s="1" t="s">
        <v>706</v>
      </c>
      <c r="E207" s="1" t="s">
        <v>707</v>
      </c>
      <c r="F207" s="1" t="s">
        <v>660</v>
      </c>
      <c r="G207" s="1" t="s">
        <v>661</v>
      </c>
      <c r="H207" s="1" t="s">
        <v>18</v>
      </c>
    </row>
    <row r="208" spans="1:8">
      <c r="A208" s="1">
        <v>207</v>
      </c>
      <c r="B208" s="1" t="s">
        <v>705</v>
      </c>
      <c r="C208" s="1" t="s">
        <v>63</v>
      </c>
      <c r="D208" s="1" t="s">
        <v>706</v>
      </c>
      <c r="E208" s="1" t="s">
        <v>708</v>
      </c>
      <c r="F208" s="1" t="s">
        <v>669</v>
      </c>
      <c r="G208" s="1" t="s">
        <v>670</v>
      </c>
      <c r="H208" s="1" t="s">
        <v>18</v>
      </c>
    </row>
    <row r="209" spans="1:8">
      <c r="A209" s="1">
        <v>208</v>
      </c>
      <c r="B209" s="1" t="s">
        <v>705</v>
      </c>
      <c r="C209" s="1" t="s">
        <v>67</v>
      </c>
      <c r="D209" s="1" t="s">
        <v>706</v>
      </c>
      <c r="E209" s="1" t="s">
        <v>709</v>
      </c>
      <c r="F209" s="1" t="s">
        <v>710</v>
      </c>
      <c r="G209" s="1" t="s">
        <v>711</v>
      </c>
      <c r="H209" s="1" t="s">
        <v>18</v>
      </c>
    </row>
    <row r="210" spans="1:8">
      <c r="A210" s="1">
        <v>209</v>
      </c>
      <c r="B210" s="1" t="s">
        <v>705</v>
      </c>
      <c r="C210" s="1" t="s">
        <v>71</v>
      </c>
      <c r="D210" s="1" t="s">
        <v>706</v>
      </c>
      <c r="E210" s="1" t="s">
        <v>712</v>
      </c>
      <c r="F210" s="1" t="s">
        <v>665</v>
      </c>
      <c r="G210" s="1" t="s">
        <v>666</v>
      </c>
      <c r="H210" s="1" t="s">
        <v>18</v>
      </c>
    </row>
    <row r="211" spans="1:8">
      <c r="A211" s="1">
        <v>210</v>
      </c>
      <c r="B211" s="1" t="s">
        <v>713</v>
      </c>
      <c r="C211" s="1" t="s">
        <v>58</v>
      </c>
      <c r="D211" s="1" t="s">
        <v>714</v>
      </c>
      <c r="E211" s="1" t="s">
        <v>715</v>
      </c>
      <c r="F211" s="1" t="s">
        <v>660</v>
      </c>
      <c r="G211" s="1" t="s">
        <v>661</v>
      </c>
      <c r="H211" s="1" t="s">
        <v>18</v>
      </c>
    </row>
    <row r="212" spans="1:8">
      <c r="A212" s="1">
        <v>211</v>
      </c>
      <c r="B212" s="1" t="s">
        <v>713</v>
      </c>
      <c r="C212" s="1" t="s">
        <v>63</v>
      </c>
      <c r="D212" s="1" t="s">
        <v>714</v>
      </c>
      <c r="E212" s="1" t="s">
        <v>716</v>
      </c>
      <c r="F212" s="1" t="s">
        <v>669</v>
      </c>
      <c r="G212" s="1" t="s">
        <v>670</v>
      </c>
      <c r="H212" s="1" t="s">
        <v>18</v>
      </c>
    </row>
    <row r="213" spans="1:8">
      <c r="A213" s="1">
        <v>212</v>
      </c>
      <c r="B213" s="1" t="s">
        <v>713</v>
      </c>
      <c r="C213" s="1" t="s">
        <v>67</v>
      </c>
      <c r="D213" s="1" t="s">
        <v>714</v>
      </c>
      <c r="E213" s="1" t="s">
        <v>717</v>
      </c>
      <c r="F213" s="1" t="s">
        <v>710</v>
      </c>
      <c r="G213" s="1" t="s">
        <v>711</v>
      </c>
      <c r="H213" s="1" t="s">
        <v>18</v>
      </c>
    </row>
    <row r="214" spans="1:8">
      <c r="A214" s="1">
        <v>213</v>
      </c>
      <c r="B214" s="1" t="s">
        <v>713</v>
      </c>
      <c r="C214" s="1" t="s">
        <v>71</v>
      </c>
      <c r="D214" s="1" t="s">
        <v>714</v>
      </c>
      <c r="E214" s="1" t="s">
        <v>718</v>
      </c>
      <c r="F214" s="1" t="s">
        <v>665</v>
      </c>
      <c r="G214" s="1" t="s">
        <v>666</v>
      </c>
      <c r="H214" s="1" t="s">
        <v>18</v>
      </c>
    </row>
    <row r="215" spans="1:8">
      <c r="A215" s="1">
        <v>214</v>
      </c>
      <c r="B215" s="1" t="s">
        <v>719</v>
      </c>
      <c r="C215" s="1" t="s">
        <v>237</v>
      </c>
      <c r="D215" s="1" t="s">
        <v>720</v>
      </c>
      <c r="E215" s="1" t="s">
        <v>721</v>
      </c>
      <c r="F215" s="1" t="s">
        <v>21</v>
      </c>
      <c r="G215" s="1" t="s">
        <v>22</v>
      </c>
      <c r="H215" s="1" t="s">
        <v>18</v>
      </c>
    </row>
    <row r="216" spans="1:8">
      <c r="A216" s="1">
        <v>215</v>
      </c>
      <c r="B216" s="1" t="s">
        <v>722</v>
      </c>
      <c r="C216" s="1" t="s">
        <v>9</v>
      </c>
      <c r="D216" s="1" t="s">
        <v>723</v>
      </c>
      <c r="E216" s="1" t="s">
        <v>724</v>
      </c>
      <c r="F216" s="1" t="s">
        <v>21</v>
      </c>
      <c r="G216" s="1" t="s">
        <v>22</v>
      </c>
      <c r="H216" s="1" t="s">
        <v>18</v>
      </c>
    </row>
    <row r="217" spans="1:8">
      <c r="A217" s="1">
        <v>216</v>
      </c>
      <c r="B217" s="1" t="s">
        <v>722</v>
      </c>
      <c r="C217" s="1" t="s">
        <v>14</v>
      </c>
      <c r="D217" s="1" t="s">
        <v>723</v>
      </c>
      <c r="E217" s="1" t="s">
        <v>725</v>
      </c>
      <c r="F217" s="1" t="s">
        <v>627</v>
      </c>
      <c r="G217" s="1" t="s">
        <v>628</v>
      </c>
      <c r="H217" s="1" t="s">
        <v>18</v>
      </c>
    </row>
    <row r="218" spans="1:8">
      <c r="A218" s="1">
        <v>217</v>
      </c>
      <c r="B218" s="1" t="s">
        <v>722</v>
      </c>
      <c r="C218" s="1" t="s">
        <v>19</v>
      </c>
      <c r="D218" s="1" t="s">
        <v>723</v>
      </c>
      <c r="E218" s="1" t="s">
        <v>726</v>
      </c>
      <c r="F218" s="1" t="s">
        <v>630</v>
      </c>
      <c r="G218" s="1" t="s">
        <v>631</v>
      </c>
      <c r="H218" s="1" t="s">
        <v>18</v>
      </c>
    </row>
    <row r="219" spans="1:8">
      <c r="A219" s="1">
        <v>218</v>
      </c>
      <c r="B219" s="1" t="s">
        <v>727</v>
      </c>
      <c r="C219" s="1" t="s">
        <v>237</v>
      </c>
      <c r="D219" s="1" t="s">
        <v>728</v>
      </c>
      <c r="E219" s="1" t="s">
        <v>729</v>
      </c>
      <c r="F219" s="1" t="s">
        <v>21</v>
      </c>
      <c r="G219" s="1" t="s">
        <v>22</v>
      </c>
      <c r="H219" s="1" t="s">
        <v>18</v>
      </c>
    </row>
    <row r="220" spans="1:8">
      <c r="A220" s="1">
        <v>219</v>
      </c>
      <c r="B220" s="1" t="s">
        <v>730</v>
      </c>
      <c r="C220" s="1" t="s">
        <v>237</v>
      </c>
      <c r="D220" s="1" t="s">
        <v>731</v>
      </c>
      <c r="E220" s="1" t="s">
        <v>732</v>
      </c>
      <c r="F220" s="1" t="s">
        <v>21</v>
      </c>
      <c r="G220" s="1" t="s">
        <v>22</v>
      </c>
      <c r="H220" s="1" t="s">
        <v>18</v>
      </c>
    </row>
    <row r="221" spans="1:8">
      <c r="A221" s="1">
        <v>220</v>
      </c>
      <c r="B221" s="1" t="s">
        <v>733</v>
      </c>
      <c r="C221" s="1" t="s">
        <v>237</v>
      </c>
      <c r="D221" s="1" t="s">
        <v>734</v>
      </c>
      <c r="E221" s="1" t="s">
        <v>735</v>
      </c>
      <c r="F221" s="1" t="s">
        <v>21</v>
      </c>
      <c r="G221" s="1" t="s">
        <v>22</v>
      </c>
      <c r="H221" s="1" t="s">
        <v>18</v>
      </c>
    </row>
    <row r="222" spans="1:8">
      <c r="A222" s="1">
        <v>221</v>
      </c>
      <c r="B222" s="1" t="s">
        <v>736</v>
      </c>
      <c r="C222" s="1" t="s">
        <v>76</v>
      </c>
      <c r="D222" s="1" t="s">
        <v>737</v>
      </c>
      <c r="E222" s="1" t="s">
        <v>738</v>
      </c>
      <c r="F222" s="1" t="s">
        <v>739</v>
      </c>
      <c r="G222" s="1" t="s">
        <v>740</v>
      </c>
      <c r="H222" s="1" t="s">
        <v>18</v>
      </c>
    </row>
    <row r="223" spans="1:8">
      <c r="A223" s="1">
        <v>222</v>
      </c>
      <c r="B223" s="1" t="s">
        <v>736</v>
      </c>
      <c r="C223" s="1" t="s">
        <v>81</v>
      </c>
      <c r="D223" s="1" t="s">
        <v>737</v>
      </c>
      <c r="E223" s="1" t="s">
        <v>741</v>
      </c>
      <c r="F223" s="1" t="s">
        <v>742</v>
      </c>
      <c r="G223" s="1" t="s">
        <v>743</v>
      </c>
      <c r="H223" s="1" t="s">
        <v>18</v>
      </c>
    </row>
    <row r="224" spans="1:8">
      <c r="A224" s="1">
        <v>223</v>
      </c>
      <c r="B224" s="1" t="s">
        <v>736</v>
      </c>
      <c r="C224" s="1" t="s">
        <v>85</v>
      </c>
      <c r="D224" s="1" t="s">
        <v>737</v>
      </c>
      <c r="E224" s="1" t="s">
        <v>744</v>
      </c>
      <c r="F224" s="1" t="s">
        <v>745</v>
      </c>
      <c r="G224" s="1" t="s">
        <v>746</v>
      </c>
      <c r="H224" s="1" t="s">
        <v>18</v>
      </c>
    </row>
    <row r="225" spans="1:8">
      <c r="A225" s="1">
        <v>224</v>
      </c>
      <c r="B225" s="1" t="s">
        <v>736</v>
      </c>
      <c r="C225" s="1" t="s">
        <v>89</v>
      </c>
      <c r="D225" s="1" t="s">
        <v>737</v>
      </c>
      <c r="E225" s="1" t="s">
        <v>747</v>
      </c>
      <c r="F225" s="1" t="s">
        <v>748</v>
      </c>
      <c r="G225" s="1" t="s">
        <v>749</v>
      </c>
      <c r="H225" s="1" t="s">
        <v>18</v>
      </c>
    </row>
    <row r="226" spans="1:8">
      <c r="A226" s="1">
        <v>225</v>
      </c>
      <c r="B226" s="1" t="s">
        <v>736</v>
      </c>
      <c r="C226" s="1" t="s">
        <v>93</v>
      </c>
      <c r="D226" s="1" t="s">
        <v>737</v>
      </c>
      <c r="E226" s="1" t="s">
        <v>750</v>
      </c>
      <c r="F226" s="1" t="s">
        <v>751</v>
      </c>
      <c r="G226" s="1" t="s">
        <v>752</v>
      </c>
      <c r="H226" s="1" t="s">
        <v>18</v>
      </c>
    </row>
    <row r="227" spans="1:8">
      <c r="A227" s="1">
        <v>226</v>
      </c>
      <c r="B227" s="1" t="s">
        <v>736</v>
      </c>
      <c r="C227" s="1" t="s">
        <v>97</v>
      </c>
      <c r="D227" s="1" t="s">
        <v>737</v>
      </c>
      <c r="E227" s="1" t="s">
        <v>753</v>
      </c>
      <c r="F227" s="1" t="s">
        <v>754</v>
      </c>
      <c r="G227" s="1" t="s">
        <v>755</v>
      </c>
      <c r="H227" s="1" t="s">
        <v>18</v>
      </c>
    </row>
    <row r="228" spans="1:8">
      <c r="A228" s="1">
        <v>227</v>
      </c>
      <c r="B228" s="1" t="s">
        <v>756</v>
      </c>
      <c r="C228" s="1" t="s">
        <v>9</v>
      </c>
      <c r="D228" s="1" t="s">
        <v>757</v>
      </c>
      <c r="E228" s="1" t="s">
        <v>758</v>
      </c>
      <c r="F228" s="1" t="s">
        <v>21</v>
      </c>
      <c r="G228" s="1" t="s">
        <v>22</v>
      </c>
      <c r="H228" s="1" t="s">
        <v>18</v>
      </c>
    </row>
    <row r="229" spans="1:8">
      <c r="A229" s="1">
        <v>228</v>
      </c>
      <c r="B229" s="1" t="s">
        <v>756</v>
      </c>
      <c r="C229" s="1" t="s">
        <v>14</v>
      </c>
      <c r="D229" s="1" t="s">
        <v>757</v>
      </c>
      <c r="E229" s="1" t="s">
        <v>759</v>
      </c>
      <c r="F229" s="1" t="s">
        <v>12</v>
      </c>
      <c r="G229" s="1" t="s">
        <v>13</v>
      </c>
      <c r="H229" s="1" t="s">
        <v>18</v>
      </c>
    </row>
    <row r="230" spans="1:8">
      <c r="A230" s="1">
        <v>229</v>
      </c>
      <c r="B230" s="1" t="s">
        <v>756</v>
      </c>
      <c r="C230" s="1" t="s">
        <v>19</v>
      </c>
      <c r="D230" s="1" t="s">
        <v>757</v>
      </c>
      <c r="E230" s="1" t="s">
        <v>760</v>
      </c>
      <c r="F230" s="1" t="s">
        <v>16</v>
      </c>
      <c r="G230" s="1" t="s">
        <v>17</v>
      </c>
      <c r="H230" s="1" t="s">
        <v>18</v>
      </c>
    </row>
    <row r="231" spans="1:8">
      <c r="A231" s="1">
        <v>230</v>
      </c>
      <c r="B231" s="1" t="s">
        <v>761</v>
      </c>
      <c r="C231" s="1" t="s">
        <v>237</v>
      </c>
      <c r="D231" s="1" t="s">
        <v>762</v>
      </c>
      <c r="E231" s="1" t="s">
        <v>763</v>
      </c>
      <c r="F231" s="1" t="s">
        <v>16</v>
      </c>
      <c r="G231" s="1" t="s">
        <v>17</v>
      </c>
      <c r="H231" s="1" t="s">
        <v>18</v>
      </c>
    </row>
    <row r="232" spans="1:8">
      <c r="A232" s="1">
        <v>231</v>
      </c>
      <c r="B232" s="1" t="s">
        <v>764</v>
      </c>
      <c r="C232" s="1" t="s">
        <v>9</v>
      </c>
      <c r="D232" s="1" t="s">
        <v>765</v>
      </c>
      <c r="E232" s="1" t="s">
        <v>766</v>
      </c>
      <c r="F232" s="1" t="s">
        <v>21</v>
      </c>
      <c r="G232" s="1" t="s">
        <v>22</v>
      </c>
      <c r="H232" s="1" t="s">
        <v>18</v>
      </c>
    </row>
    <row r="233" spans="1:8">
      <c r="A233" s="1">
        <v>232</v>
      </c>
      <c r="B233" s="1" t="s">
        <v>764</v>
      </c>
      <c r="C233" s="1" t="s">
        <v>14</v>
      </c>
      <c r="D233" s="1" t="s">
        <v>765</v>
      </c>
      <c r="E233" s="1" t="s">
        <v>767</v>
      </c>
      <c r="F233" s="1" t="s">
        <v>619</v>
      </c>
      <c r="G233" s="1" t="s">
        <v>620</v>
      </c>
      <c r="H233" s="1" t="s">
        <v>18</v>
      </c>
    </row>
    <row r="234" spans="1:8">
      <c r="A234" s="1">
        <v>233</v>
      </c>
      <c r="B234" s="1" t="s">
        <v>764</v>
      </c>
      <c r="C234" s="1" t="s">
        <v>19</v>
      </c>
      <c r="D234" s="1" t="s">
        <v>765</v>
      </c>
      <c r="E234" s="1" t="s">
        <v>768</v>
      </c>
      <c r="F234" s="1" t="s">
        <v>16</v>
      </c>
      <c r="G234" s="1" t="s">
        <v>17</v>
      </c>
      <c r="H234" s="1" t="s">
        <v>18</v>
      </c>
    </row>
    <row r="235" spans="1:8">
      <c r="A235" s="1">
        <v>234</v>
      </c>
      <c r="B235" s="1" t="s">
        <v>769</v>
      </c>
      <c r="C235" s="1" t="s">
        <v>44</v>
      </c>
      <c r="D235" s="1" t="s">
        <v>770</v>
      </c>
      <c r="E235" s="1" t="s">
        <v>771</v>
      </c>
      <c r="F235" s="1" t="s">
        <v>21</v>
      </c>
      <c r="G235" s="1" t="s">
        <v>22</v>
      </c>
      <c r="H235" s="1" t="s">
        <v>18</v>
      </c>
    </row>
    <row r="236" spans="1:8">
      <c r="A236" s="1">
        <v>235</v>
      </c>
      <c r="B236" s="1" t="s">
        <v>769</v>
      </c>
      <c r="C236" s="1" t="s">
        <v>49</v>
      </c>
      <c r="D236" s="1" t="s">
        <v>770</v>
      </c>
      <c r="E236" s="1" t="s">
        <v>772</v>
      </c>
      <c r="F236" s="1" t="s">
        <v>773</v>
      </c>
      <c r="G236" s="1" t="s">
        <v>774</v>
      </c>
      <c r="H236" s="1" t="s">
        <v>18</v>
      </c>
    </row>
    <row r="237" spans="1:8">
      <c r="A237" s="1">
        <v>236</v>
      </c>
      <c r="B237" s="1" t="s">
        <v>775</v>
      </c>
      <c r="C237" s="1" t="s">
        <v>44</v>
      </c>
      <c r="D237" s="1" t="s">
        <v>776</v>
      </c>
      <c r="E237" s="1" t="s">
        <v>777</v>
      </c>
      <c r="F237" s="1" t="s">
        <v>21</v>
      </c>
      <c r="G237" s="1" t="s">
        <v>22</v>
      </c>
      <c r="H237" s="1" t="s">
        <v>18</v>
      </c>
    </row>
    <row r="238" spans="1:8">
      <c r="A238" s="1">
        <v>237</v>
      </c>
      <c r="B238" s="1" t="s">
        <v>775</v>
      </c>
      <c r="C238" s="1" t="s">
        <v>49</v>
      </c>
      <c r="D238" s="1" t="s">
        <v>776</v>
      </c>
      <c r="E238" s="1" t="s">
        <v>778</v>
      </c>
      <c r="F238" s="1" t="s">
        <v>779</v>
      </c>
      <c r="G238" s="1" t="s">
        <v>780</v>
      </c>
      <c r="H238" s="1" t="s">
        <v>18</v>
      </c>
    </row>
    <row r="239" spans="1:8">
      <c r="A239" s="1">
        <v>238</v>
      </c>
      <c r="B239" s="1" t="s">
        <v>781</v>
      </c>
      <c r="C239" s="1" t="s">
        <v>9</v>
      </c>
      <c r="D239" s="1" t="s">
        <v>782</v>
      </c>
      <c r="E239" s="1" t="s">
        <v>783</v>
      </c>
      <c r="F239" s="1" t="s">
        <v>21</v>
      </c>
      <c r="G239" s="1" t="s">
        <v>22</v>
      </c>
      <c r="H239" s="1" t="s">
        <v>18</v>
      </c>
    </row>
    <row r="240" spans="1:8">
      <c r="A240" s="1">
        <v>239</v>
      </c>
      <c r="B240" s="1" t="s">
        <v>781</v>
      </c>
      <c r="C240" s="1" t="s">
        <v>14</v>
      </c>
      <c r="D240" s="1" t="s">
        <v>782</v>
      </c>
      <c r="E240" s="1" t="s">
        <v>784</v>
      </c>
      <c r="F240" s="1" t="s">
        <v>12</v>
      </c>
      <c r="G240" s="1" t="s">
        <v>13</v>
      </c>
      <c r="H240" s="1" t="s">
        <v>18</v>
      </c>
    </row>
    <row r="241" spans="1:8">
      <c r="A241" s="1">
        <v>240</v>
      </c>
      <c r="B241" s="1" t="s">
        <v>781</v>
      </c>
      <c r="C241" s="1" t="s">
        <v>19</v>
      </c>
      <c r="D241" s="1" t="s">
        <v>782</v>
      </c>
      <c r="E241" s="1" t="s">
        <v>785</v>
      </c>
      <c r="F241" s="1" t="s">
        <v>786</v>
      </c>
      <c r="G241" s="1" t="s">
        <v>787</v>
      </c>
      <c r="H241" s="1" t="s">
        <v>18</v>
      </c>
    </row>
    <row r="242" spans="1:8">
      <c r="A242" s="1">
        <v>241</v>
      </c>
      <c r="B242" s="1" t="s">
        <v>788</v>
      </c>
      <c r="C242" s="1" t="s">
        <v>9</v>
      </c>
      <c r="D242" s="1" t="s">
        <v>789</v>
      </c>
      <c r="E242" s="1" t="s">
        <v>790</v>
      </c>
      <c r="F242" s="1" t="s">
        <v>21</v>
      </c>
      <c r="G242" s="1" t="s">
        <v>22</v>
      </c>
      <c r="H242" s="1" t="s">
        <v>18</v>
      </c>
    </row>
    <row r="243" spans="1:8">
      <c r="A243" s="1">
        <v>242</v>
      </c>
      <c r="B243" s="1" t="s">
        <v>788</v>
      </c>
      <c r="C243" s="1" t="s">
        <v>14</v>
      </c>
      <c r="D243" s="1" t="s">
        <v>789</v>
      </c>
      <c r="E243" s="1" t="s">
        <v>791</v>
      </c>
      <c r="F243" s="1" t="s">
        <v>792</v>
      </c>
      <c r="G243" s="1" t="s">
        <v>793</v>
      </c>
      <c r="H243" s="1" t="s">
        <v>18</v>
      </c>
    </row>
    <row r="244" spans="1:8">
      <c r="A244" s="1">
        <v>243</v>
      </c>
      <c r="B244" s="1" t="s">
        <v>788</v>
      </c>
      <c r="C244" s="1" t="s">
        <v>19</v>
      </c>
      <c r="D244" s="1" t="s">
        <v>789</v>
      </c>
      <c r="E244" s="1" t="s">
        <v>794</v>
      </c>
      <c r="F244" s="1" t="s">
        <v>779</v>
      </c>
      <c r="G244" s="1" t="s">
        <v>780</v>
      </c>
      <c r="H244" s="1" t="s">
        <v>18</v>
      </c>
    </row>
    <row r="245" spans="1:8">
      <c r="A245" s="1">
        <v>244</v>
      </c>
      <c r="B245" s="1" t="s">
        <v>795</v>
      </c>
      <c r="C245" s="1" t="s">
        <v>9</v>
      </c>
      <c r="D245" s="1" t="s">
        <v>796</v>
      </c>
      <c r="E245" s="1" t="s">
        <v>797</v>
      </c>
      <c r="F245" s="1" t="s">
        <v>21</v>
      </c>
      <c r="G245" s="1" t="s">
        <v>22</v>
      </c>
      <c r="H245" s="1" t="s">
        <v>18</v>
      </c>
    </row>
    <row r="246" spans="1:8">
      <c r="A246" s="1">
        <v>245</v>
      </c>
      <c r="B246" s="1" t="s">
        <v>795</v>
      </c>
      <c r="C246" s="1" t="s">
        <v>14</v>
      </c>
      <c r="D246" s="1" t="s">
        <v>796</v>
      </c>
      <c r="E246" s="1" t="s">
        <v>798</v>
      </c>
      <c r="F246" s="1" t="s">
        <v>799</v>
      </c>
      <c r="G246" s="1" t="s">
        <v>800</v>
      </c>
      <c r="H246" s="1" t="s">
        <v>18</v>
      </c>
    </row>
    <row r="247" spans="1:8">
      <c r="A247" s="1">
        <v>246</v>
      </c>
      <c r="B247" s="1" t="s">
        <v>795</v>
      </c>
      <c r="C247" s="1" t="s">
        <v>19</v>
      </c>
      <c r="D247" s="1" t="s">
        <v>796</v>
      </c>
      <c r="E247" s="1" t="s">
        <v>801</v>
      </c>
      <c r="F247" s="1" t="s">
        <v>802</v>
      </c>
      <c r="G247" s="1" t="s">
        <v>803</v>
      </c>
      <c r="H247" s="1" t="s">
        <v>18</v>
      </c>
    </row>
    <row r="248" spans="1:8">
      <c r="A248" s="1">
        <v>247</v>
      </c>
      <c r="B248" s="1" t="s">
        <v>804</v>
      </c>
      <c r="C248" s="1" t="s">
        <v>9</v>
      </c>
      <c r="D248" s="1" t="s">
        <v>805</v>
      </c>
      <c r="E248" s="1" t="s">
        <v>806</v>
      </c>
      <c r="F248" s="1" t="s">
        <v>21</v>
      </c>
      <c r="G248" s="1" t="s">
        <v>22</v>
      </c>
      <c r="H248" s="1" t="s">
        <v>18</v>
      </c>
    </row>
    <row r="249" spans="1:8">
      <c r="A249" s="1">
        <v>248</v>
      </c>
      <c r="B249" s="1" t="s">
        <v>804</v>
      </c>
      <c r="C249" s="1" t="s">
        <v>14</v>
      </c>
      <c r="D249" s="1" t="s">
        <v>805</v>
      </c>
      <c r="E249" s="1" t="s">
        <v>807</v>
      </c>
      <c r="F249" s="1" t="s">
        <v>792</v>
      </c>
      <c r="G249" s="1" t="s">
        <v>793</v>
      </c>
      <c r="H249" s="1" t="s">
        <v>18</v>
      </c>
    </row>
    <row r="250" spans="1:8">
      <c r="A250" s="1">
        <v>249</v>
      </c>
      <c r="B250" s="1" t="s">
        <v>804</v>
      </c>
      <c r="C250" s="1" t="s">
        <v>19</v>
      </c>
      <c r="D250" s="1" t="s">
        <v>805</v>
      </c>
      <c r="E250" s="1" t="s">
        <v>808</v>
      </c>
      <c r="F250" s="1" t="s">
        <v>779</v>
      </c>
      <c r="G250" s="1" t="s">
        <v>780</v>
      </c>
      <c r="H250" s="1" t="s">
        <v>18</v>
      </c>
    </row>
    <row r="251" spans="1:8">
      <c r="A251" s="1">
        <v>250</v>
      </c>
      <c r="B251" s="1" t="s">
        <v>809</v>
      </c>
      <c r="C251" s="1" t="s">
        <v>9</v>
      </c>
      <c r="D251" s="1" t="s">
        <v>810</v>
      </c>
      <c r="E251" s="1" t="s">
        <v>811</v>
      </c>
      <c r="F251" s="1" t="s">
        <v>21</v>
      </c>
      <c r="G251" s="1" t="s">
        <v>22</v>
      </c>
      <c r="H251" s="1" t="s">
        <v>18</v>
      </c>
    </row>
    <row r="252" spans="1:8">
      <c r="A252" s="1">
        <v>251</v>
      </c>
      <c r="B252" s="1" t="s">
        <v>809</v>
      </c>
      <c r="C252" s="1" t="s">
        <v>14</v>
      </c>
      <c r="D252" s="1" t="s">
        <v>810</v>
      </c>
      <c r="E252" s="1" t="s">
        <v>812</v>
      </c>
      <c r="F252" s="1" t="s">
        <v>813</v>
      </c>
      <c r="G252" s="1" t="s">
        <v>814</v>
      </c>
      <c r="H252" s="1" t="s">
        <v>18</v>
      </c>
    </row>
    <row r="253" spans="1:8">
      <c r="A253" s="1">
        <v>252</v>
      </c>
      <c r="B253" s="1" t="s">
        <v>809</v>
      </c>
      <c r="C253" s="1" t="s">
        <v>19</v>
      </c>
      <c r="D253" s="1" t="s">
        <v>810</v>
      </c>
      <c r="E253" s="1" t="s">
        <v>815</v>
      </c>
      <c r="F253" s="1" t="s">
        <v>816</v>
      </c>
      <c r="G253" s="1" t="s">
        <v>817</v>
      </c>
      <c r="H253" s="1" t="s">
        <v>18</v>
      </c>
    </row>
    <row r="254" spans="1:8">
      <c r="A254" s="1">
        <v>253</v>
      </c>
      <c r="B254" s="1" t="s">
        <v>818</v>
      </c>
      <c r="C254" s="1" t="s">
        <v>237</v>
      </c>
      <c r="D254" s="1" t="s">
        <v>819</v>
      </c>
      <c r="E254" s="1" t="s">
        <v>820</v>
      </c>
      <c r="F254" s="1" t="s">
        <v>21</v>
      </c>
      <c r="G254" s="1" t="s">
        <v>22</v>
      </c>
      <c r="H254" s="1" t="s">
        <v>18</v>
      </c>
    </row>
    <row r="255" spans="1:8">
      <c r="A255" s="1">
        <v>254</v>
      </c>
      <c r="B255" s="1" t="s">
        <v>821</v>
      </c>
      <c r="C255" s="1" t="s">
        <v>9</v>
      </c>
      <c r="D255" s="1" t="s">
        <v>822</v>
      </c>
      <c r="E255" s="1" t="s">
        <v>823</v>
      </c>
      <c r="F255" s="1" t="s">
        <v>21</v>
      </c>
      <c r="G255" s="1" t="s">
        <v>22</v>
      </c>
      <c r="H255" s="1" t="s">
        <v>18</v>
      </c>
    </row>
    <row r="256" spans="1:8">
      <c r="A256" s="1">
        <v>255</v>
      </c>
      <c r="B256" s="1" t="s">
        <v>821</v>
      </c>
      <c r="C256" s="1" t="s">
        <v>14</v>
      </c>
      <c r="D256" s="1" t="s">
        <v>822</v>
      </c>
      <c r="E256" s="1" t="s">
        <v>824</v>
      </c>
      <c r="F256" s="1" t="s">
        <v>619</v>
      </c>
      <c r="G256" s="1" t="s">
        <v>620</v>
      </c>
      <c r="H256" s="1" t="s">
        <v>18</v>
      </c>
    </row>
    <row r="257" spans="1:8">
      <c r="A257" s="1">
        <v>256</v>
      </c>
      <c r="B257" s="1" t="s">
        <v>821</v>
      </c>
      <c r="C257" s="1" t="s">
        <v>19</v>
      </c>
      <c r="D257" s="1" t="s">
        <v>822</v>
      </c>
      <c r="E257" s="1" t="s">
        <v>825</v>
      </c>
      <c r="F257" s="1" t="s">
        <v>16</v>
      </c>
      <c r="G257" s="1" t="s">
        <v>17</v>
      </c>
      <c r="H257" s="1" t="s">
        <v>18</v>
      </c>
    </row>
    <row r="258" spans="1:8">
      <c r="A258" s="1">
        <v>257</v>
      </c>
      <c r="B258" s="1" t="s">
        <v>826</v>
      </c>
      <c r="C258" s="1" t="s">
        <v>9</v>
      </c>
      <c r="D258" s="1" t="s">
        <v>827</v>
      </c>
      <c r="E258" s="1" t="s">
        <v>828</v>
      </c>
      <c r="F258" s="1" t="s">
        <v>21</v>
      </c>
      <c r="G258" s="1" t="s">
        <v>22</v>
      </c>
      <c r="H258" s="1" t="s">
        <v>18</v>
      </c>
    </row>
    <row r="259" spans="1:8">
      <c r="A259" s="1">
        <v>258</v>
      </c>
      <c r="B259" s="1" t="s">
        <v>826</v>
      </c>
      <c r="C259" s="1" t="s">
        <v>14</v>
      </c>
      <c r="D259" s="1" t="s">
        <v>827</v>
      </c>
      <c r="E259" s="1" t="s">
        <v>829</v>
      </c>
      <c r="F259" s="1" t="s">
        <v>630</v>
      </c>
      <c r="G259" s="1" t="s">
        <v>631</v>
      </c>
      <c r="H259" s="1" t="s">
        <v>18</v>
      </c>
    </row>
    <row r="260" spans="1:8">
      <c r="A260" s="1">
        <v>259</v>
      </c>
      <c r="B260" s="1" t="s">
        <v>826</v>
      </c>
      <c r="C260" s="1" t="s">
        <v>19</v>
      </c>
      <c r="D260" s="1" t="s">
        <v>827</v>
      </c>
      <c r="E260" s="1" t="s">
        <v>830</v>
      </c>
      <c r="F260" s="1" t="s">
        <v>627</v>
      </c>
      <c r="G260" s="1" t="s">
        <v>628</v>
      </c>
      <c r="H260" s="1" t="s">
        <v>18</v>
      </c>
    </row>
    <row r="261" spans="1:8">
      <c r="A261" s="1">
        <v>260</v>
      </c>
      <c r="B261" s="1" t="s">
        <v>831</v>
      </c>
      <c r="C261" s="1" t="s">
        <v>58</v>
      </c>
      <c r="D261" s="1" t="s">
        <v>832</v>
      </c>
      <c r="E261" s="1" t="s">
        <v>833</v>
      </c>
      <c r="F261" s="1" t="s">
        <v>21</v>
      </c>
      <c r="G261" s="1" t="s">
        <v>22</v>
      </c>
      <c r="H261" s="1" t="s">
        <v>18</v>
      </c>
    </row>
    <row r="262" spans="1:8">
      <c r="A262" s="1">
        <v>261</v>
      </c>
      <c r="B262" s="1" t="s">
        <v>831</v>
      </c>
      <c r="C262" s="1" t="s">
        <v>63</v>
      </c>
      <c r="D262" s="1" t="s">
        <v>832</v>
      </c>
      <c r="E262" s="1" t="s">
        <v>834</v>
      </c>
      <c r="F262" s="1" t="s">
        <v>12</v>
      </c>
      <c r="G262" s="1" t="s">
        <v>13</v>
      </c>
      <c r="H262" s="1" t="s">
        <v>18</v>
      </c>
    </row>
    <row r="263" spans="1:8">
      <c r="A263" s="1">
        <v>262</v>
      </c>
      <c r="B263" s="1" t="s">
        <v>831</v>
      </c>
      <c r="C263" s="1" t="s">
        <v>67</v>
      </c>
      <c r="D263" s="1" t="s">
        <v>832</v>
      </c>
      <c r="E263" s="1" t="s">
        <v>835</v>
      </c>
      <c r="F263" s="1" t="s">
        <v>836</v>
      </c>
      <c r="G263" s="1" t="s">
        <v>837</v>
      </c>
      <c r="H263" s="1" t="s">
        <v>18</v>
      </c>
    </row>
    <row r="264" spans="1:8">
      <c r="A264" s="1">
        <v>263</v>
      </c>
      <c r="B264" s="1" t="s">
        <v>831</v>
      </c>
      <c r="C264" s="1" t="s">
        <v>71</v>
      </c>
      <c r="D264" s="1" t="s">
        <v>832</v>
      </c>
      <c r="E264" s="1" t="s">
        <v>838</v>
      </c>
      <c r="F264" s="1" t="s">
        <v>839</v>
      </c>
      <c r="G264" s="1" t="s">
        <v>840</v>
      </c>
      <c r="H264" s="1" t="s">
        <v>18</v>
      </c>
    </row>
    <row r="265" spans="1:8">
      <c r="A265" s="1">
        <v>264</v>
      </c>
      <c r="B265" s="1" t="s">
        <v>841</v>
      </c>
      <c r="C265" s="1" t="s">
        <v>237</v>
      </c>
      <c r="D265" s="1" t="s">
        <v>842</v>
      </c>
      <c r="E265" s="1" t="s">
        <v>843</v>
      </c>
      <c r="F265" s="1" t="s">
        <v>844</v>
      </c>
      <c r="G265" s="1" t="s">
        <v>845</v>
      </c>
      <c r="H265" s="1" t="s">
        <v>18</v>
      </c>
    </row>
    <row r="266" spans="1:8">
      <c r="A266" s="1">
        <v>265</v>
      </c>
      <c r="B266" s="1" t="s">
        <v>846</v>
      </c>
      <c r="C266" s="1" t="s">
        <v>237</v>
      </c>
      <c r="D266" s="1" t="s">
        <v>847</v>
      </c>
      <c r="E266" s="1" t="s">
        <v>848</v>
      </c>
      <c r="F266" s="1" t="s">
        <v>844</v>
      </c>
      <c r="G266" s="1" t="s">
        <v>845</v>
      </c>
      <c r="H266" s="1" t="s">
        <v>18</v>
      </c>
    </row>
    <row r="267" spans="1:8">
      <c r="A267" s="1">
        <v>266</v>
      </c>
      <c r="B267" s="1" t="s">
        <v>849</v>
      </c>
      <c r="C267" s="1" t="s">
        <v>237</v>
      </c>
      <c r="D267" s="1" t="s">
        <v>850</v>
      </c>
      <c r="E267" s="1" t="s">
        <v>851</v>
      </c>
      <c r="F267" s="1" t="s">
        <v>844</v>
      </c>
      <c r="G267" s="1" t="s">
        <v>845</v>
      </c>
      <c r="H267" s="1" t="s">
        <v>18</v>
      </c>
    </row>
    <row r="268" spans="1:8">
      <c r="A268" s="1">
        <v>267</v>
      </c>
      <c r="B268" s="1" t="s">
        <v>852</v>
      </c>
      <c r="C268" s="1" t="s">
        <v>237</v>
      </c>
      <c r="D268" s="1" t="s">
        <v>853</v>
      </c>
      <c r="E268" s="1" t="s">
        <v>854</v>
      </c>
      <c r="F268" s="1" t="s">
        <v>855</v>
      </c>
      <c r="G268" s="1" t="s">
        <v>856</v>
      </c>
      <c r="H268" s="1" t="s">
        <v>18</v>
      </c>
    </row>
    <row r="269" spans="1:8">
      <c r="A269" s="1">
        <v>268</v>
      </c>
      <c r="B269" s="1" t="s">
        <v>857</v>
      </c>
      <c r="C269" s="1" t="s">
        <v>237</v>
      </c>
      <c r="D269" s="1" t="s">
        <v>858</v>
      </c>
      <c r="E269" s="1" t="s">
        <v>859</v>
      </c>
      <c r="F269" s="1" t="s">
        <v>860</v>
      </c>
      <c r="G269" s="1" t="s">
        <v>861</v>
      </c>
      <c r="H269" s="1" t="s">
        <v>18</v>
      </c>
    </row>
    <row r="270" spans="1:8">
      <c r="A270" s="1">
        <v>269</v>
      </c>
      <c r="B270" s="1" t="s">
        <v>862</v>
      </c>
      <c r="C270" s="1" t="s">
        <v>237</v>
      </c>
      <c r="D270" s="1" t="s">
        <v>863</v>
      </c>
      <c r="E270" s="1" t="s">
        <v>864</v>
      </c>
      <c r="F270" s="1" t="s">
        <v>860</v>
      </c>
      <c r="G270" s="1" t="s">
        <v>861</v>
      </c>
      <c r="H270" s="1" t="s">
        <v>18</v>
      </c>
    </row>
    <row r="271" spans="1:8">
      <c r="A271" s="1">
        <v>270</v>
      </c>
      <c r="B271" s="1" t="s">
        <v>865</v>
      </c>
      <c r="C271" s="1" t="s">
        <v>153</v>
      </c>
      <c r="D271" s="1" t="s">
        <v>866</v>
      </c>
      <c r="E271" s="1" t="s">
        <v>867</v>
      </c>
      <c r="F271" s="1" t="s">
        <v>860</v>
      </c>
      <c r="G271" s="1" t="s">
        <v>861</v>
      </c>
      <c r="H271" s="1" t="s">
        <v>18</v>
      </c>
    </row>
    <row r="272" spans="1:8">
      <c r="A272" s="1">
        <v>271</v>
      </c>
      <c r="B272" s="1" t="s">
        <v>865</v>
      </c>
      <c r="C272" s="1" t="s">
        <v>158</v>
      </c>
      <c r="D272" s="1" t="s">
        <v>866</v>
      </c>
      <c r="E272" s="1" t="s">
        <v>868</v>
      </c>
      <c r="F272" s="1" t="s">
        <v>869</v>
      </c>
      <c r="G272" s="1" t="s">
        <v>870</v>
      </c>
      <c r="H272" s="1" t="s">
        <v>18</v>
      </c>
    </row>
    <row r="273" spans="1:8">
      <c r="A273" s="1">
        <v>272</v>
      </c>
      <c r="B273" s="1" t="s">
        <v>865</v>
      </c>
      <c r="C273" s="1" t="s">
        <v>162</v>
      </c>
      <c r="D273" s="1" t="s">
        <v>866</v>
      </c>
      <c r="E273" s="1" t="s">
        <v>871</v>
      </c>
      <c r="F273" s="1" t="s">
        <v>872</v>
      </c>
      <c r="G273" s="1" t="s">
        <v>873</v>
      </c>
      <c r="H273" s="1" t="s">
        <v>18</v>
      </c>
    </row>
    <row r="274" spans="1:8">
      <c r="A274" s="1">
        <v>273</v>
      </c>
      <c r="B274" s="1" t="s">
        <v>865</v>
      </c>
      <c r="C274" s="1" t="s">
        <v>166</v>
      </c>
      <c r="D274" s="1" t="s">
        <v>866</v>
      </c>
      <c r="E274" s="1" t="s">
        <v>874</v>
      </c>
      <c r="F274" s="1" t="s">
        <v>875</v>
      </c>
      <c r="G274" s="1" t="s">
        <v>876</v>
      </c>
      <c r="H274" s="1" t="s">
        <v>18</v>
      </c>
    </row>
    <row r="275" spans="1:8">
      <c r="A275" s="1">
        <v>274</v>
      </c>
      <c r="B275" s="1" t="s">
        <v>865</v>
      </c>
      <c r="C275" s="1" t="s">
        <v>170</v>
      </c>
      <c r="D275" s="1" t="s">
        <v>866</v>
      </c>
      <c r="E275" s="1" t="s">
        <v>877</v>
      </c>
      <c r="F275" s="1" t="s">
        <v>878</v>
      </c>
      <c r="G275" s="1" t="s">
        <v>879</v>
      </c>
      <c r="H275" s="1" t="s">
        <v>18</v>
      </c>
    </row>
    <row r="276" spans="1:8">
      <c r="A276" s="1">
        <v>275</v>
      </c>
      <c r="B276" s="1" t="s">
        <v>880</v>
      </c>
      <c r="C276" s="1" t="s">
        <v>237</v>
      </c>
      <c r="D276" s="1" t="s">
        <v>881</v>
      </c>
      <c r="E276" s="1" t="s">
        <v>882</v>
      </c>
      <c r="F276" s="1" t="s">
        <v>21</v>
      </c>
      <c r="G276" s="1" t="s">
        <v>22</v>
      </c>
      <c r="H276" s="1" t="s">
        <v>18</v>
      </c>
    </row>
    <row r="277" spans="1:8">
      <c r="A277" s="1">
        <v>276</v>
      </c>
      <c r="B277" s="1" t="s">
        <v>883</v>
      </c>
      <c r="C277" s="1" t="s">
        <v>237</v>
      </c>
      <c r="D277" s="1" t="s">
        <v>884</v>
      </c>
      <c r="E277" s="1" t="s">
        <v>885</v>
      </c>
      <c r="F277" s="1" t="s">
        <v>644</v>
      </c>
      <c r="G277" s="1" t="s">
        <v>645</v>
      </c>
      <c r="H277" s="1" t="s">
        <v>18</v>
      </c>
    </row>
    <row r="278" spans="1:8">
      <c r="A278" s="1">
        <v>277</v>
      </c>
      <c r="B278" s="1" t="s">
        <v>886</v>
      </c>
      <c r="C278" s="1" t="s">
        <v>237</v>
      </c>
      <c r="D278" s="1" t="s">
        <v>887</v>
      </c>
      <c r="E278" s="1" t="s">
        <v>888</v>
      </c>
      <c r="F278" s="1" t="s">
        <v>21</v>
      </c>
      <c r="G278" s="1" t="s">
        <v>22</v>
      </c>
      <c r="H278" s="1" t="s">
        <v>18</v>
      </c>
    </row>
    <row r="279" spans="1:8">
      <c r="A279" s="1">
        <v>278</v>
      </c>
      <c r="B279" s="1" t="s">
        <v>889</v>
      </c>
      <c r="C279" s="1" t="s">
        <v>9</v>
      </c>
      <c r="D279" s="1" t="s">
        <v>890</v>
      </c>
      <c r="E279" s="1" t="s">
        <v>891</v>
      </c>
      <c r="F279" s="1" t="s">
        <v>644</v>
      </c>
      <c r="G279" s="1" t="s">
        <v>645</v>
      </c>
      <c r="H279" s="1" t="s">
        <v>18</v>
      </c>
    </row>
    <row r="280" spans="1:8">
      <c r="A280" s="1">
        <v>279</v>
      </c>
      <c r="B280" s="1" t="s">
        <v>889</v>
      </c>
      <c r="C280" s="1" t="s">
        <v>14</v>
      </c>
      <c r="D280" s="1" t="s">
        <v>890</v>
      </c>
      <c r="E280" s="1" t="s">
        <v>892</v>
      </c>
      <c r="F280" s="1" t="s">
        <v>893</v>
      </c>
      <c r="G280" s="1" t="s">
        <v>894</v>
      </c>
      <c r="H280" s="1" t="s">
        <v>18</v>
      </c>
    </row>
    <row r="281" spans="1:8">
      <c r="A281" s="1">
        <v>280</v>
      </c>
      <c r="B281" s="1" t="s">
        <v>889</v>
      </c>
      <c r="C281" s="1" t="s">
        <v>19</v>
      </c>
      <c r="D281" s="1" t="s">
        <v>890</v>
      </c>
      <c r="E281" s="1" t="s">
        <v>895</v>
      </c>
      <c r="F281" s="1" t="s">
        <v>779</v>
      </c>
      <c r="G281" s="1" t="s">
        <v>780</v>
      </c>
      <c r="H281" s="1" t="s">
        <v>18</v>
      </c>
    </row>
    <row r="282" spans="1:8">
      <c r="A282" s="1">
        <v>281</v>
      </c>
      <c r="B282" s="1" t="s">
        <v>896</v>
      </c>
      <c r="C282" s="1" t="s">
        <v>237</v>
      </c>
      <c r="D282" s="1" t="s">
        <v>897</v>
      </c>
      <c r="E282" s="1" t="s">
        <v>898</v>
      </c>
      <c r="F282" s="1" t="s">
        <v>644</v>
      </c>
      <c r="G282" s="1" t="s">
        <v>645</v>
      </c>
      <c r="H282" s="1" t="s">
        <v>18</v>
      </c>
    </row>
    <row r="283" spans="1:8">
      <c r="A283" s="1">
        <v>282</v>
      </c>
      <c r="B283" s="1" t="s">
        <v>899</v>
      </c>
      <c r="C283" s="1" t="s">
        <v>58</v>
      </c>
      <c r="D283" s="1" t="s">
        <v>900</v>
      </c>
      <c r="E283" s="1" t="s">
        <v>901</v>
      </c>
      <c r="F283" s="1" t="s">
        <v>902</v>
      </c>
      <c r="G283" s="1" t="s">
        <v>903</v>
      </c>
      <c r="H283" s="1" t="s">
        <v>18</v>
      </c>
    </row>
    <row r="284" spans="1:8">
      <c r="A284" s="1">
        <v>283</v>
      </c>
      <c r="B284" s="1" t="s">
        <v>899</v>
      </c>
      <c r="C284" s="1" t="s">
        <v>63</v>
      </c>
      <c r="D284" s="1" t="s">
        <v>900</v>
      </c>
      <c r="E284" s="1" t="s">
        <v>904</v>
      </c>
      <c r="F284" s="1" t="s">
        <v>905</v>
      </c>
      <c r="G284" s="1" t="s">
        <v>906</v>
      </c>
      <c r="H284" s="1" t="s">
        <v>18</v>
      </c>
    </row>
    <row r="285" spans="1:8">
      <c r="A285" s="1">
        <v>284</v>
      </c>
      <c r="B285" s="1" t="s">
        <v>899</v>
      </c>
      <c r="C285" s="1" t="s">
        <v>67</v>
      </c>
      <c r="D285" s="1" t="s">
        <v>900</v>
      </c>
      <c r="E285" s="1" t="s">
        <v>907</v>
      </c>
      <c r="F285" s="1" t="s">
        <v>908</v>
      </c>
      <c r="G285" s="1" t="s">
        <v>909</v>
      </c>
      <c r="H285" s="1" t="s">
        <v>18</v>
      </c>
    </row>
    <row r="286" spans="1:8">
      <c r="A286" s="1">
        <v>285</v>
      </c>
      <c r="B286" s="1" t="s">
        <v>899</v>
      </c>
      <c r="C286" s="1" t="s">
        <v>71</v>
      </c>
      <c r="D286" s="1" t="s">
        <v>900</v>
      </c>
      <c r="E286" s="1" t="s">
        <v>910</v>
      </c>
      <c r="F286" s="1" t="s">
        <v>911</v>
      </c>
      <c r="G286" s="1" t="s">
        <v>912</v>
      </c>
      <c r="H286" s="1" t="s">
        <v>18</v>
      </c>
    </row>
    <row r="287" spans="1:8">
      <c r="A287" s="1">
        <v>286</v>
      </c>
      <c r="B287" s="1" t="s">
        <v>913</v>
      </c>
      <c r="C287" s="1" t="s">
        <v>76</v>
      </c>
      <c r="D287" s="1" t="s">
        <v>914</v>
      </c>
      <c r="E287" s="1" t="s">
        <v>915</v>
      </c>
      <c r="F287" s="1" t="s">
        <v>916</v>
      </c>
      <c r="G287" s="1" t="s">
        <v>917</v>
      </c>
      <c r="H287" s="1" t="s">
        <v>18</v>
      </c>
    </row>
    <row r="288" spans="1:8">
      <c r="A288" s="1">
        <v>287</v>
      </c>
      <c r="B288" s="1" t="s">
        <v>913</v>
      </c>
      <c r="C288" s="1" t="s">
        <v>81</v>
      </c>
      <c r="D288" s="1" t="s">
        <v>914</v>
      </c>
      <c r="E288" s="1" t="s">
        <v>918</v>
      </c>
      <c r="F288" s="1" t="s">
        <v>919</v>
      </c>
      <c r="G288" s="1" t="s">
        <v>920</v>
      </c>
      <c r="H288" s="1" t="s">
        <v>18</v>
      </c>
    </row>
    <row r="289" spans="1:8">
      <c r="A289" s="1">
        <v>288</v>
      </c>
      <c r="B289" s="1" t="s">
        <v>913</v>
      </c>
      <c r="C289" s="1" t="s">
        <v>85</v>
      </c>
      <c r="D289" s="1" t="s">
        <v>914</v>
      </c>
      <c r="E289" s="1" t="s">
        <v>921</v>
      </c>
      <c r="F289" s="1" t="s">
        <v>922</v>
      </c>
      <c r="G289" s="1" t="s">
        <v>923</v>
      </c>
      <c r="H289" s="1" t="s">
        <v>18</v>
      </c>
    </row>
    <row r="290" spans="1:8">
      <c r="A290" s="1">
        <v>289</v>
      </c>
      <c r="B290" s="1" t="s">
        <v>913</v>
      </c>
      <c r="C290" s="1" t="s">
        <v>89</v>
      </c>
      <c r="D290" s="1" t="s">
        <v>914</v>
      </c>
      <c r="E290" s="1" t="s">
        <v>924</v>
      </c>
      <c r="F290" s="1" t="s">
        <v>925</v>
      </c>
      <c r="G290" s="1" t="s">
        <v>926</v>
      </c>
      <c r="H290" s="1" t="s">
        <v>18</v>
      </c>
    </row>
    <row r="291" spans="1:8">
      <c r="A291" s="1">
        <v>290</v>
      </c>
      <c r="B291" s="1" t="s">
        <v>913</v>
      </c>
      <c r="C291" s="1" t="s">
        <v>93</v>
      </c>
      <c r="D291" s="1" t="s">
        <v>914</v>
      </c>
      <c r="E291" s="1" t="s">
        <v>927</v>
      </c>
      <c r="F291" s="1" t="s">
        <v>928</v>
      </c>
      <c r="G291" s="1" t="s">
        <v>929</v>
      </c>
      <c r="H291" s="1" t="s">
        <v>18</v>
      </c>
    </row>
    <row r="292" spans="1:8">
      <c r="A292" s="1">
        <v>291</v>
      </c>
      <c r="B292" s="1" t="s">
        <v>913</v>
      </c>
      <c r="C292" s="1" t="s">
        <v>97</v>
      </c>
      <c r="D292" s="1" t="s">
        <v>914</v>
      </c>
      <c r="E292" s="1" t="s">
        <v>930</v>
      </c>
      <c r="F292" s="1" t="s">
        <v>931</v>
      </c>
      <c r="G292" s="1" t="s">
        <v>932</v>
      </c>
      <c r="H292" s="1" t="s">
        <v>18</v>
      </c>
    </row>
    <row r="293" spans="1:8">
      <c r="A293" s="1">
        <v>292</v>
      </c>
      <c r="B293" s="1" t="s">
        <v>933</v>
      </c>
      <c r="C293" s="1" t="s">
        <v>76</v>
      </c>
      <c r="D293" s="1" t="s">
        <v>934</v>
      </c>
      <c r="E293" s="1" t="s">
        <v>935</v>
      </c>
      <c r="F293" s="1" t="s">
        <v>936</v>
      </c>
      <c r="G293" s="1" t="s">
        <v>937</v>
      </c>
      <c r="H293" s="1" t="s">
        <v>18</v>
      </c>
    </row>
    <row r="294" spans="1:8">
      <c r="A294" s="1">
        <v>293</v>
      </c>
      <c r="B294" s="1" t="s">
        <v>933</v>
      </c>
      <c r="C294" s="1" t="s">
        <v>81</v>
      </c>
      <c r="D294" s="1" t="s">
        <v>934</v>
      </c>
      <c r="E294" s="1" t="s">
        <v>938</v>
      </c>
      <c r="F294" s="1" t="s">
        <v>939</v>
      </c>
      <c r="G294" s="1" t="s">
        <v>940</v>
      </c>
      <c r="H294" s="1" t="s">
        <v>18</v>
      </c>
    </row>
    <row r="295" spans="1:8">
      <c r="A295" s="1">
        <v>294</v>
      </c>
      <c r="B295" s="1" t="s">
        <v>933</v>
      </c>
      <c r="C295" s="1" t="s">
        <v>85</v>
      </c>
      <c r="D295" s="1" t="s">
        <v>934</v>
      </c>
      <c r="E295" s="1" t="s">
        <v>941</v>
      </c>
      <c r="F295" s="1" t="s">
        <v>942</v>
      </c>
      <c r="G295" s="1" t="s">
        <v>943</v>
      </c>
      <c r="H295" s="1" t="s">
        <v>18</v>
      </c>
    </row>
    <row r="296" spans="1:8">
      <c r="A296" s="1">
        <v>295</v>
      </c>
      <c r="B296" s="1" t="s">
        <v>933</v>
      </c>
      <c r="C296" s="1" t="s">
        <v>89</v>
      </c>
      <c r="D296" s="1" t="s">
        <v>934</v>
      </c>
      <c r="E296" s="1" t="s">
        <v>944</v>
      </c>
      <c r="F296" s="1" t="s">
        <v>945</v>
      </c>
      <c r="G296" s="1" t="s">
        <v>946</v>
      </c>
      <c r="H296" s="1" t="s">
        <v>18</v>
      </c>
    </row>
    <row r="297" spans="1:8">
      <c r="A297" s="1">
        <v>296</v>
      </c>
      <c r="B297" s="1" t="s">
        <v>933</v>
      </c>
      <c r="C297" s="1" t="s">
        <v>93</v>
      </c>
      <c r="D297" s="1" t="s">
        <v>934</v>
      </c>
      <c r="E297" s="1" t="s">
        <v>947</v>
      </c>
      <c r="F297" s="1" t="s">
        <v>948</v>
      </c>
      <c r="G297" s="1" t="s">
        <v>949</v>
      </c>
      <c r="H297" s="1" t="s">
        <v>18</v>
      </c>
    </row>
    <row r="298" spans="1:8">
      <c r="A298" s="1">
        <v>297</v>
      </c>
      <c r="B298" s="1" t="s">
        <v>933</v>
      </c>
      <c r="C298" s="1" t="s">
        <v>97</v>
      </c>
      <c r="D298" s="1" t="s">
        <v>934</v>
      </c>
      <c r="E298" s="1" t="s">
        <v>950</v>
      </c>
      <c r="F298" s="1" t="s">
        <v>951</v>
      </c>
      <c r="G298" s="1" t="s">
        <v>952</v>
      </c>
      <c r="H298" s="1" t="s">
        <v>18</v>
      </c>
    </row>
    <row r="299" spans="1:8">
      <c r="A299" s="1">
        <v>298</v>
      </c>
      <c r="B299" s="1" t="s">
        <v>953</v>
      </c>
      <c r="C299" s="1" t="s">
        <v>954</v>
      </c>
      <c r="D299" s="1" t="s">
        <v>955</v>
      </c>
      <c r="E299" s="1" t="s">
        <v>956</v>
      </c>
      <c r="F299" s="1" t="s">
        <v>957</v>
      </c>
      <c r="G299" s="1" t="s">
        <v>958</v>
      </c>
      <c r="H299" s="1" t="s">
        <v>18</v>
      </c>
    </row>
    <row r="300" spans="1:8">
      <c r="A300" s="1">
        <v>299</v>
      </c>
      <c r="B300" s="1" t="s">
        <v>953</v>
      </c>
      <c r="C300" s="1" t="s">
        <v>959</v>
      </c>
      <c r="D300" s="1" t="s">
        <v>955</v>
      </c>
      <c r="E300" s="1" t="s">
        <v>960</v>
      </c>
      <c r="F300" s="1" t="s">
        <v>961</v>
      </c>
      <c r="G300" s="1" t="s">
        <v>962</v>
      </c>
      <c r="H300" s="1" t="s">
        <v>18</v>
      </c>
    </row>
    <row r="301" spans="1:8">
      <c r="A301" s="1">
        <v>300</v>
      </c>
      <c r="B301" s="1" t="s">
        <v>953</v>
      </c>
      <c r="C301" s="1" t="s">
        <v>963</v>
      </c>
      <c r="D301" s="1" t="s">
        <v>955</v>
      </c>
      <c r="E301" s="1" t="s">
        <v>964</v>
      </c>
      <c r="F301" s="1" t="s">
        <v>965</v>
      </c>
      <c r="G301" s="1" t="s">
        <v>966</v>
      </c>
      <c r="H301" s="1" t="s">
        <v>18</v>
      </c>
    </row>
    <row r="302" spans="1:8">
      <c r="A302" s="1">
        <v>301</v>
      </c>
      <c r="B302" s="1" t="s">
        <v>953</v>
      </c>
      <c r="C302" s="1" t="s">
        <v>967</v>
      </c>
      <c r="D302" s="1" t="s">
        <v>955</v>
      </c>
      <c r="E302" s="1" t="s">
        <v>968</v>
      </c>
      <c r="F302" s="1" t="s">
        <v>969</v>
      </c>
      <c r="G302" s="1" t="s">
        <v>970</v>
      </c>
      <c r="H302" s="1" t="s">
        <v>18</v>
      </c>
    </row>
    <row r="303" spans="1:8">
      <c r="A303" s="1">
        <v>302</v>
      </c>
      <c r="B303" s="1" t="s">
        <v>953</v>
      </c>
      <c r="C303" s="1" t="s">
        <v>971</v>
      </c>
      <c r="D303" s="1" t="s">
        <v>955</v>
      </c>
      <c r="E303" s="1" t="s">
        <v>972</v>
      </c>
      <c r="F303" s="1" t="s">
        <v>973</v>
      </c>
      <c r="G303" s="1" t="s">
        <v>974</v>
      </c>
      <c r="H303" s="1" t="s">
        <v>18</v>
      </c>
    </row>
    <row r="304" spans="1:8">
      <c r="A304" s="1">
        <v>303</v>
      </c>
      <c r="B304" s="1" t="s">
        <v>953</v>
      </c>
      <c r="C304" s="1" t="s">
        <v>975</v>
      </c>
      <c r="D304" s="1" t="s">
        <v>955</v>
      </c>
      <c r="E304" s="1" t="s">
        <v>976</v>
      </c>
      <c r="F304" s="1" t="s">
        <v>977</v>
      </c>
      <c r="G304" s="1" t="s">
        <v>978</v>
      </c>
      <c r="H304" s="1" t="s">
        <v>18</v>
      </c>
    </row>
    <row r="305" spans="1:8">
      <c r="A305" s="1">
        <v>304</v>
      </c>
      <c r="B305" s="1" t="s">
        <v>953</v>
      </c>
      <c r="C305" s="1" t="s">
        <v>979</v>
      </c>
      <c r="D305" s="1" t="s">
        <v>955</v>
      </c>
      <c r="E305" s="1" t="s">
        <v>980</v>
      </c>
      <c r="F305" s="1" t="s">
        <v>981</v>
      </c>
      <c r="G305" s="1" t="s">
        <v>982</v>
      </c>
      <c r="H305" s="1" t="s">
        <v>18</v>
      </c>
    </row>
    <row r="306" spans="1:8">
      <c r="A306" s="1">
        <v>305</v>
      </c>
      <c r="B306" s="1" t="s">
        <v>953</v>
      </c>
      <c r="C306" s="1" t="s">
        <v>983</v>
      </c>
      <c r="D306" s="1" t="s">
        <v>955</v>
      </c>
      <c r="E306" s="1" t="s">
        <v>984</v>
      </c>
      <c r="F306" s="1" t="s">
        <v>985</v>
      </c>
      <c r="G306" s="1" t="s">
        <v>986</v>
      </c>
      <c r="H306" s="1" t="s">
        <v>18</v>
      </c>
    </row>
    <row r="307" spans="1:8">
      <c r="A307" s="1">
        <v>306</v>
      </c>
      <c r="B307" s="1" t="s">
        <v>953</v>
      </c>
      <c r="C307" s="1" t="s">
        <v>987</v>
      </c>
      <c r="D307" s="1" t="s">
        <v>955</v>
      </c>
      <c r="E307" s="1" t="s">
        <v>988</v>
      </c>
      <c r="F307" s="1" t="s">
        <v>989</v>
      </c>
      <c r="G307" s="1" t="s">
        <v>990</v>
      </c>
      <c r="H307" s="1" t="s">
        <v>18</v>
      </c>
    </row>
    <row r="308" spans="1:8">
      <c r="A308" s="1">
        <v>307</v>
      </c>
      <c r="B308" s="1" t="s">
        <v>953</v>
      </c>
      <c r="C308" s="1" t="s">
        <v>991</v>
      </c>
      <c r="D308" s="1" t="s">
        <v>955</v>
      </c>
      <c r="E308" s="1" t="s">
        <v>992</v>
      </c>
      <c r="F308" s="1" t="s">
        <v>993</v>
      </c>
      <c r="G308" s="1" t="s">
        <v>994</v>
      </c>
      <c r="H308" s="1" t="s">
        <v>18</v>
      </c>
    </row>
    <row r="309" spans="1:8">
      <c r="A309" s="1">
        <v>308</v>
      </c>
      <c r="B309" s="1" t="s">
        <v>953</v>
      </c>
      <c r="C309" s="1" t="s">
        <v>995</v>
      </c>
      <c r="D309" s="1" t="s">
        <v>955</v>
      </c>
      <c r="E309" s="1" t="s">
        <v>996</v>
      </c>
      <c r="F309" s="1" t="s">
        <v>997</v>
      </c>
      <c r="G309" s="1" t="s">
        <v>998</v>
      </c>
      <c r="H309" s="1" t="s">
        <v>18</v>
      </c>
    </row>
    <row r="310" spans="1:8">
      <c r="A310" s="1">
        <v>309</v>
      </c>
      <c r="B310" s="1" t="s">
        <v>999</v>
      </c>
      <c r="C310" s="1" t="s">
        <v>954</v>
      </c>
      <c r="D310" s="1" t="s">
        <v>1000</v>
      </c>
      <c r="E310" s="1" t="s">
        <v>1001</v>
      </c>
      <c r="F310" s="1" t="s">
        <v>1002</v>
      </c>
      <c r="G310" s="1" t="s">
        <v>1003</v>
      </c>
      <c r="H310" s="1" t="s">
        <v>18</v>
      </c>
    </row>
    <row r="311" spans="1:8">
      <c r="A311" s="1">
        <v>310</v>
      </c>
      <c r="B311" s="1" t="s">
        <v>999</v>
      </c>
      <c r="C311" s="1" t="s">
        <v>959</v>
      </c>
      <c r="D311" s="1" t="s">
        <v>1000</v>
      </c>
      <c r="E311" s="1" t="s">
        <v>1004</v>
      </c>
      <c r="F311" s="1" t="s">
        <v>1005</v>
      </c>
      <c r="G311" s="1" t="s">
        <v>1006</v>
      </c>
      <c r="H311" s="1" t="s">
        <v>18</v>
      </c>
    </row>
    <row r="312" spans="1:8">
      <c r="A312" s="1">
        <v>311</v>
      </c>
      <c r="B312" s="1" t="s">
        <v>999</v>
      </c>
      <c r="C312" s="1" t="s">
        <v>963</v>
      </c>
      <c r="D312" s="1" t="s">
        <v>1000</v>
      </c>
      <c r="E312" s="1" t="s">
        <v>1007</v>
      </c>
      <c r="F312" s="1" t="s">
        <v>1008</v>
      </c>
      <c r="G312" s="1" t="s">
        <v>1009</v>
      </c>
      <c r="H312" s="1" t="s">
        <v>18</v>
      </c>
    </row>
    <row r="313" spans="1:8">
      <c r="A313" s="1">
        <v>312</v>
      </c>
      <c r="B313" s="1" t="s">
        <v>999</v>
      </c>
      <c r="C313" s="1" t="s">
        <v>967</v>
      </c>
      <c r="D313" s="1" t="s">
        <v>1000</v>
      </c>
      <c r="E313" s="1" t="s">
        <v>1010</v>
      </c>
      <c r="F313" s="1" t="s">
        <v>1011</v>
      </c>
      <c r="G313" s="1" t="s">
        <v>1012</v>
      </c>
      <c r="H313" s="1" t="s">
        <v>18</v>
      </c>
    </row>
    <row r="314" spans="1:8">
      <c r="A314" s="1">
        <v>313</v>
      </c>
      <c r="B314" s="1" t="s">
        <v>999</v>
      </c>
      <c r="C314" s="1" t="s">
        <v>971</v>
      </c>
      <c r="D314" s="1" t="s">
        <v>1000</v>
      </c>
      <c r="E314" s="1" t="s">
        <v>1013</v>
      </c>
      <c r="F314" s="1" t="s">
        <v>1014</v>
      </c>
      <c r="G314" s="1" t="s">
        <v>1015</v>
      </c>
      <c r="H314" s="1" t="s">
        <v>18</v>
      </c>
    </row>
    <row r="315" spans="1:8">
      <c r="A315" s="1">
        <v>314</v>
      </c>
      <c r="B315" s="1" t="s">
        <v>999</v>
      </c>
      <c r="C315" s="1" t="s">
        <v>975</v>
      </c>
      <c r="D315" s="1" t="s">
        <v>1000</v>
      </c>
      <c r="E315" s="1" t="s">
        <v>1016</v>
      </c>
      <c r="F315" s="1" t="s">
        <v>1017</v>
      </c>
      <c r="G315" s="1" t="s">
        <v>1018</v>
      </c>
      <c r="H315" s="1" t="s">
        <v>18</v>
      </c>
    </row>
    <row r="316" spans="1:8">
      <c r="A316" s="1">
        <v>315</v>
      </c>
      <c r="B316" s="1" t="s">
        <v>999</v>
      </c>
      <c r="C316" s="1" t="s">
        <v>979</v>
      </c>
      <c r="D316" s="1" t="s">
        <v>1000</v>
      </c>
      <c r="E316" s="1" t="s">
        <v>1019</v>
      </c>
      <c r="F316" s="1" t="s">
        <v>1020</v>
      </c>
      <c r="G316" s="1" t="s">
        <v>1021</v>
      </c>
      <c r="H316" s="1" t="s">
        <v>18</v>
      </c>
    </row>
    <row r="317" spans="1:8">
      <c r="A317" s="1">
        <v>316</v>
      </c>
      <c r="B317" s="1" t="s">
        <v>999</v>
      </c>
      <c r="C317" s="1" t="s">
        <v>983</v>
      </c>
      <c r="D317" s="1" t="s">
        <v>1000</v>
      </c>
      <c r="E317" s="1" t="s">
        <v>1022</v>
      </c>
      <c r="F317" s="1" t="s">
        <v>1023</v>
      </c>
      <c r="G317" s="1" t="s">
        <v>1024</v>
      </c>
      <c r="H317" s="1" t="s">
        <v>18</v>
      </c>
    </row>
    <row r="318" spans="1:8">
      <c r="A318" s="1">
        <v>317</v>
      </c>
      <c r="B318" s="1" t="s">
        <v>999</v>
      </c>
      <c r="C318" s="1" t="s">
        <v>987</v>
      </c>
      <c r="D318" s="1" t="s">
        <v>1000</v>
      </c>
      <c r="E318" s="1" t="s">
        <v>1025</v>
      </c>
      <c r="F318" s="1" t="s">
        <v>1026</v>
      </c>
      <c r="G318" s="1" t="s">
        <v>1027</v>
      </c>
      <c r="H318" s="1" t="s">
        <v>18</v>
      </c>
    </row>
    <row r="319" spans="1:8">
      <c r="A319" s="1">
        <v>318</v>
      </c>
      <c r="B319" s="1" t="s">
        <v>999</v>
      </c>
      <c r="C319" s="1" t="s">
        <v>991</v>
      </c>
      <c r="D319" s="1" t="s">
        <v>1000</v>
      </c>
      <c r="E319" s="1" t="s">
        <v>1028</v>
      </c>
      <c r="F319" s="1" t="s">
        <v>1029</v>
      </c>
      <c r="G319" s="1" t="s">
        <v>1030</v>
      </c>
      <c r="H319" s="1" t="s">
        <v>18</v>
      </c>
    </row>
    <row r="320" spans="1:8">
      <c r="A320" s="1">
        <v>319</v>
      </c>
      <c r="B320" s="1" t="s">
        <v>999</v>
      </c>
      <c r="C320" s="1" t="s">
        <v>995</v>
      </c>
      <c r="D320" s="1" t="s">
        <v>1000</v>
      </c>
      <c r="E320" s="1" t="s">
        <v>1031</v>
      </c>
      <c r="F320" s="1" t="s">
        <v>1032</v>
      </c>
      <c r="G320" s="1" t="s">
        <v>1033</v>
      </c>
      <c r="H320" s="1" t="s">
        <v>18</v>
      </c>
    </row>
    <row r="321" spans="1:8">
      <c r="A321" s="1">
        <v>320</v>
      </c>
      <c r="B321" s="1" t="s">
        <v>1034</v>
      </c>
      <c r="C321" s="1" t="s">
        <v>153</v>
      </c>
      <c r="D321" s="1" t="s">
        <v>1035</v>
      </c>
      <c r="E321" s="1" t="s">
        <v>1036</v>
      </c>
      <c r="F321" s="1" t="s">
        <v>1037</v>
      </c>
      <c r="G321" s="1" t="s">
        <v>1038</v>
      </c>
      <c r="H321" s="1" t="s">
        <v>18</v>
      </c>
    </row>
    <row r="322" spans="1:8">
      <c r="A322" s="1">
        <v>321</v>
      </c>
      <c r="B322" s="1" t="s">
        <v>1034</v>
      </c>
      <c r="C322" s="1" t="s">
        <v>158</v>
      </c>
      <c r="D322" s="1" t="s">
        <v>1035</v>
      </c>
      <c r="E322" s="1" t="s">
        <v>1039</v>
      </c>
      <c r="F322" s="1" t="s">
        <v>1040</v>
      </c>
      <c r="G322" s="1" t="s">
        <v>1041</v>
      </c>
      <c r="H322" s="1" t="s">
        <v>18</v>
      </c>
    </row>
    <row r="323" spans="1:8">
      <c r="A323" s="1">
        <v>322</v>
      </c>
      <c r="B323" s="1" t="s">
        <v>1034</v>
      </c>
      <c r="C323" s="1" t="s">
        <v>162</v>
      </c>
      <c r="D323" s="1" t="s">
        <v>1035</v>
      </c>
      <c r="E323" s="1" t="s">
        <v>1042</v>
      </c>
      <c r="F323" s="1" t="s">
        <v>1043</v>
      </c>
      <c r="G323" s="1" t="s">
        <v>1044</v>
      </c>
      <c r="H323" s="1" t="s">
        <v>18</v>
      </c>
    </row>
    <row r="324" spans="1:8">
      <c r="A324" s="1">
        <v>323</v>
      </c>
      <c r="B324" s="1" t="s">
        <v>1034</v>
      </c>
      <c r="C324" s="1" t="s">
        <v>166</v>
      </c>
      <c r="D324" s="1" t="s">
        <v>1035</v>
      </c>
      <c r="E324" s="1" t="s">
        <v>1045</v>
      </c>
      <c r="F324" s="1" t="s">
        <v>1046</v>
      </c>
      <c r="G324" s="1" t="s">
        <v>1047</v>
      </c>
      <c r="H324" s="1" t="s">
        <v>18</v>
      </c>
    </row>
    <row r="325" spans="1:8">
      <c r="A325" s="1">
        <v>324</v>
      </c>
      <c r="B325" s="1" t="s">
        <v>1034</v>
      </c>
      <c r="C325" s="1" t="s">
        <v>170</v>
      </c>
      <c r="D325" s="1" t="s">
        <v>1035</v>
      </c>
      <c r="E325" s="1" t="s">
        <v>1048</v>
      </c>
      <c r="F325" s="1" t="s">
        <v>1049</v>
      </c>
      <c r="G325" s="1" t="s">
        <v>1050</v>
      </c>
      <c r="H325" s="1" t="s">
        <v>18</v>
      </c>
    </row>
    <row r="326" spans="1:8">
      <c r="A326" s="1">
        <v>325</v>
      </c>
      <c r="B326" s="1" t="s">
        <v>1051</v>
      </c>
      <c r="C326" s="1" t="s">
        <v>58</v>
      </c>
      <c r="D326" s="1" t="s">
        <v>1052</v>
      </c>
      <c r="E326" s="1" t="s">
        <v>1053</v>
      </c>
      <c r="F326" s="1" t="s">
        <v>1054</v>
      </c>
      <c r="G326" s="1" t="s">
        <v>1055</v>
      </c>
      <c r="H326" s="1" t="s">
        <v>18</v>
      </c>
    </row>
    <row r="327" spans="1:8">
      <c r="A327" s="1">
        <v>326</v>
      </c>
      <c r="B327" s="1" t="s">
        <v>1051</v>
      </c>
      <c r="C327" s="1" t="s">
        <v>63</v>
      </c>
      <c r="D327" s="1" t="s">
        <v>1052</v>
      </c>
      <c r="E327" s="1" t="s">
        <v>1056</v>
      </c>
      <c r="F327" s="1" t="s">
        <v>1057</v>
      </c>
      <c r="G327" s="1" t="s">
        <v>1058</v>
      </c>
      <c r="H327" s="1" t="s">
        <v>18</v>
      </c>
    </row>
    <row r="328" spans="1:8">
      <c r="A328" s="1">
        <v>327</v>
      </c>
      <c r="B328" s="1" t="s">
        <v>1051</v>
      </c>
      <c r="C328" s="1" t="s">
        <v>67</v>
      </c>
      <c r="D328" s="1" t="s">
        <v>1052</v>
      </c>
      <c r="E328" s="1" t="s">
        <v>1059</v>
      </c>
      <c r="F328" s="1" t="s">
        <v>1060</v>
      </c>
      <c r="G328" s="1" t="s">
        <v>1061</v>
      </c>
      <c r="H328" s="1" t="s">
        <v>18</v>
      </c>
    </row>
    <row r="329" spans="1:8">
      <c r="A329" s="1">
        <v>328</v>
      </c>
      <c r="B329" s="1" t="s">
        <v>1051</v>
      </c>
      <c r="C329" s="1" t="s">
        <v>71</v>
      </c>
      <c r="D329" s="1" t="s">
        <v>1052</v>
      </c>
      <c r="E329" s="1" t="s">
        <v>1062</v>
      </c>
      <c r="F329" s="1" t="s">
        <v>1063</v>
      </c>
      <c r="G329" s="1" t="s">
        <v>1064</v>
      </c>
      <c r="H329" s="1" t="s">
        <v>18</v>
      </c>
    </row>
    <row r="330" spans="1:8">
      <c r="A330" s="1">
        <v>329</v>
      </c>
      <c r="B330" s="1" t="s">
        <v>1065</v>
      </c>
      <c r="C330" s="1" t="s">
        <v>76</v>
      </c>
      <c r="D330" s="1" t="s">
        <v>1066</v>
      </c>
      <c r="E330" s="1" t="s">
        <v>1067</v>
      </c>
      <c r="F330" s="1" t="s">
        <v>1068</v>
      </c>
      <c r="G330" s="1" t="s">
        <v>1069</v>
      </c>
      <c r="H330" s="1" t="s">
        <v>18</v>
      </c>
    </row>
    <row r="331" spans="1:8">
      <c r="A331" s="1">
        <v>330</v>
      </c>
      <c r="B331" s="1" t="s">
        <v>1065</v>
      </c>
      <c r="C331" s="1" t="s">
        <v>81</v>
      </c>
      <c r="D331" s="1" t="s">
        <v>1066</v>
      </c>
      <c r="E331" s="1" t="s">
        <v>1070</v>
      </c>
      <c r="F331" s="1" t="s">
        <v>1071</v>
      </c>
      <c r="G331" s="1" t="s">
        <v>1072</v>
      </c>
      <c r="H331" s="1" t="s">
        <v>18</v>
      </c>
    </row>
    <row r="332" spans="1:8">
      <c r="A332" s="1">
        <v>331</v>
      </c>
      <c r="B332" s="1" t="s">
        <v>1065</v>
      </c>
      <c r="C332" s="1" t="s">
        <v>85</v>
      </c>
      <c r="D332" s="1" t="s">
        <v>1066</v>
      </c>
      <c r="E332" s="1" t="s">
        <v>1073</v>
      </c>
      <c r="F332" s="1" t="s">
        <v>1074</v>
      </c>
      <c r="G332" s="1" t="s">
        <v>1075</v>
      </c>
      <c r="H332" s="1" t="s">
        <v>18</v>
      </c>
    </row>
    <row r="333" spans="1:8">
      <c r="A333" s="1">
        <v>332</v>
      </c>
      <c r="B333" s="1" t="s">
        <v>1065</v>
      </c>
      <c r="C333" s="1" t="s">
        <v>89</v>
      </c>
      <c r="D333" s="1" t="s">
        <v>1066</v>
      </c>
      <c r="E333" s="1" t="s">
        <v>1076</v>
      </c>
      <c r="F333" s="1" t="s">
        <v>1077</v>
      </c>
      <c r="G333" s="1" t="s">
        <v>1078</v>
      </c>
      <c r="H333" s="1" t="s">
        <v>18</v>
      </c>
    </row>
    <row r="334" spans="1:8">
      <c r="A334" s="1">
        <v>333</v>
      </c>
      <c r="B334" s="1" t="s">
        <v>1065</v>
      </c>
      <c r="C334" s="1" t="s">
        <v>93</v>
      </c>
      <c r="D334" s="1" t="s">
        <v>1066</v>
      </c>
      <c r="E334" s="1" t="s">
        <v>1079</v>
      </c>
      <c r="F334" s="1" t="s">
        <v>1080</v>
      </c>
      <c r="G334" s="1" t="s">
        <v>1081</v>
      </c>
      <c r="H334" s="1" t="s">
        <v>18</v>
      </c>
    </row>
    <row r="335" spans="1:8">
      <c r="A335" s="1">
        <v>334</v>
      </c>
      <c r="B335" s="1" t="s">
        <v>1065</v>
      </c>
      <c r="C335" s="1" t="s">
        <v>97</v>
      </c>
      <c r="D335" s="1" t="s">
        <v>1066</v>
      </c>
      <c r="E335" s="1" t="s">
        <v>1082</v>
      </c>
      <c r="F335" s="1" t="s">
        <v>1083</v>
      </c>
      <c r="G335" s="1" t="s">
        <v>1084</v>
      </c>
      <c r="H335" s="1" t="s">
        <v>18</v>
      </c>
    </row>
    <row r="336" spans="1:8">
      <c r="A336" s="1">
        <v>335</v>
      </c>
      <c r="B336" s="1" t="s">
        <v>1085</v>
      </c>
      <c r="C336" s="1" t="s">
        <v>76</v>
      </c>
      <c r="D336" s="1" t="s">
        <v>1086</v>
      </c>
      <c r="E336" s="1" t="s">
        <v>1087</v>
      </c>
      <c r="F336" s="1" t="s">
        <v>1088</v>
      </c>
      <c r="G336" s="1" t="s">
        <v>1089</v>
      </c>
      <c r="H336" s="1" t="s">
        <v>18</v>
      </c>
    </row>
    <row r="337" spans="1:8">
      <c r="A337" s="1">
        <v>336</v>
      </c>
      <c r="B337" s="1" t="s">
        <v>1085</v>
      </c>
      <c r="C337" s="1" t="s">
        <v>81</v>
      </c>
      <c r="D337" s="1" t="s">
        <v>1086</v>
      </c>
      <c r="E337" s="1" t="s">
        <v>1090</v>
      </c>
      <c r="F337" s="1" t="s">
        <v>1091</v>
      </c>
      <c r="G337" s="1" t="s">
        <v>1092</v>
      </c>
      <c r="H337" s="1" t="s">
        <v>18</v>
      </c>
    </row>
    <row r="338" spans="1:8">
      <c r="A338" s="1">
        <v>337</v>
      </c>
      <c r="B338" s="1" t="s">
        <v>1085</v>
      </c>
      <c r="C338" s="1" t="s">
        <v>85</v>
      </c>
      <c r="D338" s="1" t="s">
        <v>1086</v>
      </c>
      <c r="E338" s="1" t="s">
        <v>1093</v>
      </c>
      <c r="F338" s="1" t="s">
        <v>1094</v>
      </c>
      <c r="G338" s="1" t="s">
        <v>1095</v>
      </c>
      <c r="H338" s="1" t="s">
        <v>18</v>
      </c>
    </row>
    <row r="339" spans="1:8">
      <c r="A339" s="1">
        <v>338</v>
      </c>
      <c r="B339" s="1" t="s">
        <v>1085</v>
      </c>
      <c r="C339" s="1" t="s">
        <v>89</v>
      </c>
      <c r="D339" s="1" t="s">
        <v>1086</v>
      </c>
      <c r="E339" s="1" t="s">
        <v>1096</v>
      </c>
      <c r="F339" s="1" t="s">
        <v>1097</v>
      </c>
      <c r="G339" s="1" t="s">
        <v>1098</v>
      </c>
      <c r="H339" s="1" t="s">
        <v>18</v>
      </c>
    </row>
    <row r="340" spans="1:8">
      <c r="A340" s="1">
        <v>339</v>
      </c>
      <c r="B340" s="1" t="s">
        <v>1085</v>
      </c>
      <c r="C340" s="1" t="s">
        <v>93</v>
      </c>
      <c r="D340" s="1" t="s">
        <v>1086</v>
      </c>
      <c r="E340" s="1" t="s">
        <v>1099</v>
      </c>
      <c r="F340" s="1" t="s">
        <v>1100</v>
      </c>
      <c r="G340" s="1" t="s">
        <v>1101</v>
      </c>
      <c r="H340" s="1" t="s">
        <v>18</v>
      </c>
    </row>
    <row r="341" spans="1:8">
      <c r="A341" s="1">
        <v>340</v>
      </c>
      <c r="B341" s="1" t="s">
        <v>1085</v>
      </c>
      <c r="C341" s="1" t="s">
        <v>97</v>
      </c>
      <c r="D341" s="1" t="s">
        <v>1086</v>
      </c>
      <c r="E341" s="1" t="s">
        <v>1102</v>
      </c>
      <c r="F341" s="1" t="s">
        <v>1103</v>
      </c>
      <c r="G341" s="1" t="s">
        <v>1104</v>
      </c>
      <c r="H341" s="1" t="s">
        <v>18</v>
      </c>
    </row>
    <row r="342" spans="1:8">
      <c r="A342" s="1">
        <v>341</v>
      </c>
      <c r="B342" s="1" t="s">
        <v>1105</v>
      </c>
      <c r="C342" s="1" t="s">
        <v>433</v>
      </c>
      <c r="D342" s="1" t="s">
        <v>1106</v>
      </c>
      <c r="E342" s="1" t="s">
        <v>1107</v>
      </c>
      <c r="F342" s="1" t="s">
        <v>1108</v>
      </c>
      <c r="G342" s="1" t="s">
        <v>1109</v>
      </c>
      <c r="H342" s="1" t="s">
        <v>18</v>
      </c>
    </row>
    <row r="343" spans="1:8">
      <c r="A343" s="1">
        <v>342</v>
      </c>
      <c r="B343" s="1" t="s">
        <v>1105</v>
      </c>
      <c r="C343" s="1" t="s">
        <v>438</v>
      </c>
      <c r="D343" s="1" t="s">
        <v>1106</v>
      </c>
      <c r="E343" s="1" t="s">
        <v>1110</v>
      </c>
      <c r="F343" s="1" t="s">
        <v>1111</v>
      </c>
      <c r="G343" s="1" t="s">
        <v>1112</v>
      </c>
      <c r="H343" s="1" t="s">
        <v>18</v>
      </c>
    </row>
    <row r="344" spans="1:8">
      <c r="A344" s="1">
        <v>343</v>
      </c>
      <c r="B344" s="1" t="s">
        <v>1105</v>
      </c>
      <c r="C344" s="1" t="s">
        <v>442</v>
      </c>
      <c r="D344" s="1" t="s">
        <v>1106</v>
      </c>
      <c r="E344" s="1" t="s">
        <v>1113</v>
      </c>
      <c r="F344" s="1" t="s">
        <v>1114</v>
      </c>
      <c r="G344" s="1" t="s">
        <v>1115</v>
      </c>
      <c r="H344" s="1" t="s">
        <v>18</v>
      </c>
    </row>
    <row r="345" spans="1:8">
      <c r="A345" s="1">
        <v>344</v>
      </c>
      <c r="B345" s="1" t="s">
        <v>1105</v>
      </c>
      <c r="C345" s="1" t="s">
        <v>446</v>
      </c>
      <c r="D345" s="1" t="s">
        <v>1106</v>
      </c>
      <c r="E345" s="1" t="s">
        <v>1116</v>
      </c>
      <c r="F345" s="1" t="s">
        <v>1117</v>
      </c>
      <c r="G345" s="1" t="s">
        <v>1118</v>
      </c>
      <c r="H345" s="1" t="s">
        <v>18</v>
      </c>
    </row>
    <row r="346" spans="1:8">
      <c r="A346" s="1">
        <v>345</v>
      </c>
      <c r="B346" s="1" t="s">
        <v>1105</v>
      </c>
      <c r="C346" s="1" t="s">
        <v>450</v>
      </c>
      <c r="D346" s="1" t="s">
        <v>1106</v>
      </c>
      <c r="E346" s="1" t="s">
        <v>1119</v>
      </c>
      <c r="F346" s="1" t="s">
        <v>1120</v>
      </c>
      <c r="G346" s="1" t="s">
        <v>1121</v>
      </c>
      <c r="H346" s="1" t="s">
        <v>18</v>
      </c>
    </row>
    <row r="347" spans="1:8">
      <c r="A347" s="1">
        <v>346</v>
      </c>
      <c r="B347" s="1" t="s">
        <v>1105</v>
      </c>
      <c r="C347" s="1" t="s">
        <v>454</v>
      </c>
      <c r="D347" s="1" t="s">
        <v>1106</v>
      </c>
      <c r="E347" s="1" t="s">
        <v>1122</v>
      </c>
      <c r="F347" s="1" t="s">
        <v>1123</v>
      </c>
      <c r="G347" s="1" t="s">
        <v>1124</v>
      </c>
      <c r="H347" s="1" t="s">
        <v>18</v>
      </c>
    </row>
    <row r="348" spans="1:8">
      <c r="A348" s="1">
        <v>347</v>
      </c>
      <c r="B348" s="1" t="s">
        <v>1105</v>
      </c>
      <c r="C348" s="1" t="s">
        <v>456</v>
      </c>
      <c r="D348" s="1" t="s">
        <v>1106</v>
      </c>
      <c r="E348" s="1" t="s">
        <v>1125</v>
      </c>
      <c r="F348" s="1" t="s">
        <v>1126</v>
      </c>
      <c r="G348" s="1" t="s">
        <v>1127</v>
      </c>
      <c r="H348" s="1" t="s">
        <v>18</v>
      </c>
    </row>
    <row r="349" spans="1:8">
      <c r="A349" s="1">
        <v>348</v>
      </c>
      <c r="B349" s="1" t="s">
        <v>1128</v>
      </c>
      <c r="C349" s="1" t="s">
        <v>433</v>
      </c>
      <c r="D349" s="1" t="s">
        <v>1129</v>
      </c>
      <c r="E349" s="1" t="s">
        <v>1130</v>
      </c>
      <c r="F349" s="1" t="s">
        <v>1131</v>
      </c>
      <c r="G349" s="1" t="s">
        <v>1132</v>
      </c>
      <c r="H349" s="1" t="s">
        <v>18</v>
      </c>
    </row>
    <row r="350" spans="1:8">
      <c r="A350" s="1">
        <v>349</v>
      </c>
      <c r="B350" s="1" t="s">
        <v>1128</v>
      </c>
      <c r="C350" s="1" t="s">
        <v>438</v>
      </c>
      <c r="D350" s="1" t="s">
        <v>1129</v>
      </c>
      <c r="E350" s="1" t="s">
        <v>1133</v>
      </c>
      <c r="F350" s="1" t="s">
        <v>1134</v>
      </c>
      <c r="G350" s="1" t="s">
        <v>1135</v>
      </c>
      <c r="H350" s="1" t="s">
        <v>18</v>
      </c>
    </row>
    <row r="351" spans="1:8">
      <c r="A351" s="1">
        <v>350</v>
      </c>
      <c r="B351" s="1" t="s">
        <v>1128</v>
      </c>
      <c r="C351" s="1" t="s">
        <v>442</v>
      </c>
      <c r="D351" s="1" t="s">
        <v>1129</v>
      </c>
      <c r="E351" s="1" t="s">
        <v>1136</v>
      </c>
      <c r="F351" s="1" t="s">
        <v>1137</v>
      </c>
      <c r="G351" s="1" t="s">
        <v>1138</v>
      </c>
      <c r="H351" s="1" t="s">
        <v>18</v>
      </c>
    </row>
    <row r="352" spans="1:8">
      <c r="A352" s="1">
        <v>351</v>
      </c>
      <c r="B352" s="1" t="s">
        <v>1128</v>
      </c>
      <c r="C352" s="1" t="s">
        <v>446</v>
      </c>
      <c r="D352" s="1" t="s">
        <v>1129</v>
      </c>
      <c r="E352" s="1" t="s">
        <v>1139</v>
      </c>
      <c r="F352" s="1" t="s">
        <v>1140</v>
      </c>
      <c r="G352" s="1" t="s">
        <v>1141</v>
      </c>
      <c r="H352" s="1" t="s">
        <v>18</v>
      </c>
    </row>
    <row r="353" spans="1:8">
      <c r="A353" s="1">
        <v>352</v>
      </c>
      <c r="B353" s="1" t="s">
        <v>1128</v>
      </c>
      <c r="C353" s="1" t="s">
        <v>450</v>
      </c>
      <c r="D353" s="1" t="s">
        <v>1129</v>
      </c>
      <c r="E353" s="1" t="s">
        <v>1142</v>
      </c>
      <c r="F353" s="1" t="s">
        <v>1143</v>
      </c>
      <c r="G353" s="1" t="s">
        <v>1144</v>
      </c>
      <c r="H353" s="1" t="s">
        <v>18</v>
      </c>
    </row>
    <row r="354" spans="1:8">
      <c r="A354" s="1">
        <v>353</v>
      </c>
      <c r="B354" s="1" t="s">
        <v>1128</v>
      </c>
      <c r="C354" s="1" t="s">
        <v>454</v>
      </c>
      <c r="D354" s="1" t="s">
        <v>1129</v>
      </c>
      <c r="E354" s="1" t="s">
        <v>1145</v>
      </c>
      <c r="F354" s="1" t="s">
        <v>1146</v>
      </c>
      <c r="G354" s="1" t="s">
        <v>1147</v>
      </c>
      <c r="H354" s="1" t="s">
        <v>18</v>
      </c>
    </row>
    <row r="355" spans="1:8">
      <c r="A355" s="1">
        <v>354</v>
      </c>
      <c r="B355" s="1" t="s">
        <v>1128</v>
      </c>
      <c r="C355" s="1" t="s">
        <v>456</v>
      </c>
      <c r="D355" s="1" t="s">
        <v>1129</v>
      </c>
      <c r="E355" s="1" t="s">
        <v>1148</v>
      </c>
      <c r="F355" s="1" t="s">
        <v>1149</v>
      </c>
      <c r="G355" s="1" t="s">
        <v>1150</v>
      </c>
      <c r="H355" s="1" t="s">
        <v>18</v>
      </c>
    </row>
    <row r="356" spans="1:8">
      <c r="A356" s="1">
        <v>355</v>
      </c>
      <c r="B356" s="1" t="s">
        <v>1151</v>
      </c>
      <c r="C356" s="1" t="s">
        <v>433</v>
      </c>
      <c r="D356" s="1" t="s">
        <v>1152</v>
      </c>
      <c r="E356" s="1" t="s">
        <v>1153</v>
      </c>
      <c r="F356" s="1" t="s">
        <v>1154</v>
      </c>
      <c r="G356" s="1" t="s">
        <v>1155</v>
      </c>
      <c r="H356" s="1" t="s">
        <v>18</v>
      </c>
    </row>
    <row r="357" spans="1:8">
      <c r="A357" s="1">
        <v>356</v>
      </c>
      <c r="B357" s="1" t="s">
        <v>1151</v>
      </c>
      <c r="C357" s="1" t="s">
        <v>438</v>
      </c>
      <c r="D357" s="1" t="s">
        <v>1152</v>
      </c>
      <c r="E357" s="1" t="s">
        <v>1156</v>
      </c>
      <c r="F357" s="1" t="s">
        <v>1157</v>
      </c>
      <c r="G357" s="1" t="s">
        <v>1158</v>
      </c>
      <c r="H357" s="1" t="s">
        <v>18</v>
      </c>
    </row>
    <row r="358" spans="1:8">
      <c r="A358" s="1">
        <v>357</v>
      </c>
      <c r="B358" s="1" t="s">
        <v>1151</v>
      </c>
      <c r="C358" s="1" t="s">
        <v>442</v>
      </c>
      <c r="D358" s="1" t="s">
        <v>1152</v>
      </c>
      <c r="E358" s="1" t="s">
        <v>1159</v>
      </c>
      <c r="F358" s="1" t="s">
        <v>1160</v>
      </c>
      <c r="G358" s="1" t="s">
        <v>1161</v>
      </c>
      <c r="H358" s="1" t="s">
        <v>18</v>
      </c>
    </row>
    <row r="359" spans="1:8">
      <c r="A359" s="1">
        <v>358</v>
      </c>
      <c r="B359" s="1" t="s">
        <v>1151</v>
      </c>
      <c r="C359" s="1" t="s">
        <v>446</v>
      </c>
      <c r="D359" s="1" t="s">
        <v>1152</v>
      </c>
      <c r="E359" s="1" t="s">
        <v>1162</v>
      </c>
      <c r="F359" s="1" t="s">
        <v>1163</v>
      </c>
      <c r="G359" s="1" t="s">
        <v>1164</v>
      </c>
      <c r="H359" s="1" t="s">
        <v>18</v>
      </c>
    </row>
    <row r="360" spans="1:8">
      <c r="A360" s="1">
        <v>359</v>
      </c>
      <c r="B360" s="1" t="s">
        <v>1151</v>
      </c>
      <c r="C360" s="1" t="s">
        <v>450</v>
      </c>
      <c r="D360" s="1" t="s">
        <v>1152</v>
      </c>
      <c r="E360" s="1" t="s">
        <v>1165</v>
      </c>
      <c r="F360" s="1" t="s">
        <v>1166</v>
      </c>
      <c r="G360" s="1" t="s">
        <v>1167</v>
      </c>
      <c r="H360" s="1" t="s">
        <v>18</v>
      </c>
    </row>
    <row r="361" spans="1:8">
      <c r="A361" s="1">
        <v>360</v>
      </c>
      <c r="B361" s="1" t="s">
        <v>1151</v>
      </c>
      <c r="C361" s="1" t="s">
        <v>454</v>
      </c>
      <c r="D361" s="1" t="s">
        <v>1152</v>
      </c>
      <c r="E361" s="1" t="s">
        <v>1168</v>
      </c>
      <c r="F361" s="1" t="s">
        <v>1169</v>
      </c>
      <c r="G361" s="1" t="s">
        <v>1170</v>
      </c>
      <c r="H361" s="1" t="s">
        <v>18</v>
      </c>
    </row>
    <row r="362" spans="1:8">
      <c r="A362" s="1">
        <v>361</v>
      </c>
      <c r="B362" s="1" t="s">
        <v>1151</v>
      </c>
      <c r="C362" s="1" t="s">
        <v>456</v>
      </c>
      <c r="D362" s="1" t="s">
        <v>1152</v>
      </c>
      <c r="E362" s="1" t="s">
        <v>1171</v>
      </c>
      <c r="F362" s="1" t="s">
        <v>1172</v>
      </c>
      <c r="G362" s="1" t="s">
        <v>1173</v>
      </c>
      <c r="H362" s="1" t="s">
        <v>18</v>
      </c>
    </row>
    <row r="363" spans="1:8">
      <c r="A363" s="1">
        <v>362</v>
      </c>
      <c r="B363" s="1" t="s">
        <v>1174</v>
      </c>
      <c r="C363" s="1" t="s">
        <v>433</v>
      </c>
      <c r="D363" s="1" t="s">
        <v>1175</v>
      </c>
      <c r="E363" s="1" t="s">
        <v>1176</v>
      </c>
      <c r="F363" s="1" t="s">
        <v>1177</v>
      </c>
      <c r="G363" s="1" t="s">
        <v>1178</v>
      </c>
      <c r="H363" s="1" t="s">
        <v>18</v>
      </c>
    </row>
    <row r="364" spans="1:8">
      <c r="A364" s="1">
        <v>363</v>
      </c>
      <c r="B364" s="1" t="s">
        <v>1174</v>
      </c>
      <c r="C364" s="1" t="s">
        <v>438</v>
      </c>
      <c r="D364" s="1" t="s">
        <v>1175</v>
      </c>
      <c r="E364" s="1" t="s">
        <v>1179</v>
      </c>
      <c r="F364" s="1" t="s">
        <v>1180</v>
      </c>
      <c r="G364" s="1" t="s">
        <v>1181</v>
      </c>
      <c r="H364" s="1" t="s">
        <v>18</v>
      </c>
    </row>
    <row r="365" spans="1:8">
      <c r="A365" s="1">
        <v>364</v>
      </c>
      <c r="B365" s="1" t="s">
        <v>1174</v>
      </c>
      <c r="C365" s="1" t="s">
        <v>442</v>
      </c>
      <c r="D365" s="1" t="s">
        <v>1175</v>
      </c>
      <c r="E365" s="1" t="s">
        <v>1182</v>
      </c>
      <c r="F365" s="1" t="s">
        <v>1183</v>
      </c>
      <c r="G365" s="1" t="s">
        <v>1184</v>
      </c>
      <c r="H365" s="1" t="s">
        <v>18</v>
      </c>
    </row>
    <row r="366" spans="1:8">
      <c r="A366" s="1">
        <v>365</v>
      </c>
      <c r="B366" s="1" t="s">
        <v>1174</v>
      </c>
      <c r="C366" s="1" t="s">
        <v>446</v>
      </c>
      <c r="D366" s="1" t="s">
        <v>1175</v>
      </c>
      <c r="E366" s="1" t="s">
        <v>1185</v>
      </c>
      <c r="F366" s="1" t="s">
        <v>1186</v>
      </c>
      <c r="G366" s="1" t="s">
        <v>1187</v>
      </c>
      <c r="H366" s="1" t="s">
        <v>18</v>
      </c>
    </row>
    <row r="367" spans="1:8">
      <c r="A367" s="1">
        <v>366</v>
      </c>
      <c r="B367" s="1" t="s">
        <v>1174</v>
      </c>
      <c r="C367" s="1" t="s">
        <v>450</v>
      </c>
      <c r="D367" s="1" t="s">
        <v>1175</v>
      </c>
      <c r="E367" s="1" t="s">
        <v>1188</v>
      </c>
      <c r="F367" s="1" t="s">
        <v>1189</v>
      </c>
      <c r="G367" s="1" t="s">
        <v>1190</v>
      </c>
      <c r="H367" s="1" t="s">
        <v>18</v>
      </c>
    </row>
    <row r="368" spans="1:8">
      <c r="A368" s="1">
        <v>367</v>
      </c>
      <c r="B368" s="1" t="s">
        <v>1174</v>
      </c>
      <c r="C368" s="1" t="s">
        <v>454</v>
      </c>
      <c r="D368" s="1" t="s">
        <v>1175</v>
      </c>
      <c r="E368" s="1" t="s">
        <v>1191</v>
      </c>
      <c r="F368" s="1" t="s">
        <v>1192</v>
      </c>
      <c r="G368" s="1" t="s">
        <v>1193</v>
      </c>
      <c r="H368" s="1" t="s">
        <v>18</v>
      </c>
    </row>
    <row r="369" spans="1:8">
      <c r="A369" s="1">
        <v>368</v>
      </c>
      <c r="B369" s="1" t="s">
        <v>1174</v>
      </c>
      <c r="C369" s="1" t="s">
        <v>456</v>
      </c>
      <c r="D369" s="1" t="s">
        <v>1175</v>
      </c>
      <c r="E369" s="1" t="s">
        <v>1194</v>
      </c>
      <c r="F369" s="1" t="s">
        <v>1195</v>
      </c>
      <c r="G369" s="1" t="s">
        <v>1196</v>
      </c>
      <c r="H369" s="1" t="s">
        <v>18</v>
      </c>
    </row>
    <row r="370" spans="1:8">
      <c r="A370" s="1">
        <v>369</v>
      </c>
      <c r="B370" s="1" t="s">
        <v>1197</v>
      </c>
      <c r="C370" s="1" t="s">
        <v>433</v>
      </c>
      <c r="D370" s="1" t="s">
        <v>1198</v>
      </c>
      <c r="E370" s="1" t="s">
        <v>1199</v>
      </c>
      <c r="F370" s="1" t="s">
        <v>1200</v>
      </c>
      <c r="G370" s="1" t="s">
        <v>1201</v>
      </c>
      <c r="H370" s="1" t="s">
        <v>18</v>
      </c>
    </row>
    <row r="371" spans="1:8">
      <c r="A371" s="1">
        <v>370</v>
      </c>
      <c r="B371" s="1" t="s">
        <v>1197</v>
      </c>
      <c r="C371" s="1" t="s">
        <v>438</v>
      </c>
      <c r="D371" s="1" t="s">
        <v>1198</v>
      </c>
      <c r="E371" s="1" t="s">
        <v>1202</v>
      </c>
      <c r="F371" s="1" t="s">
        <v>1203</v>
      </c>
      <c r="G371" s="1" t="s">
        <v>1204</v>
      </c>
      <c r="H371" s="1" t="s">
        <v>18</v>
      </c>
    </row>
    <row r="372" spans="1:8">
      <c r="A372" s="1">
        <v>371</v>
      </c>
      <c r="B372" s="1" t="s">
        <v>1197</v>
      </c>
      <c r="C372" s="1" t="s">
        <v>442</v>
      </c>
      <c r="D372" s="1" t="s">
        <v>1198</v>
      </c>
      <c r="E372" s="1" t="s">
        <v>1205</v>
      </c>
      <c r="F372" s="1" t="s">
        <v>1206</v>
      </c>
      <c r="G372" s="1" t="s">
        <v>1207</v>
      </c>
      <c r="H372" s="1" t="s">
        <v>18</v>
      </c>
    </row>
    <row r="373" spans="1:8">
      <c r="A373" s="1">
        <v>372</v>
      </c>
      <c r="B373" s="1" t="s">
        <v>1197</v>
      </c>
      <c r="C373" s="1" t="s">
        <v>446</v>
      </c>
      <c r="D373" s="1" t="s">
        <v>1198</v>
      </c>
      <c r="E373" s="1" t="s">
        <v>1208</v>
      </c>
      <c r="F373" s="1" t="s">
        <v>1209</v>
      </c>
      <c r="G373" s="1" t="s">
        <v>1210</v>
      </c>
      <c r="H373" s="1" t="s">
        <v>18</v>
      </c>
    </row>
    <row r="374" spans="1:8">
      <c r="A374" s="1">
        <v>373</v>
      </c>
      <c r="B374" s="1" t="s">
        <v>1197</v>
      </c>
      <c r="C374" s="1" t="s">
        <v>450</v>
      </c>
      <c r="D374" s="1" t="s">
        <v>1198</v>
      </c>
      <c r="E374" s="1" t="s">
        <v>1211</v>
      </c>
      <c r="F374" s="1" t="s">
        <v>1212</v>
      </c>
      <c r="G374" s="1" t="s">
        <v>1213</v>
      </c>
      <c r="H374" s="1" t="s">
        <v>18</v>
      </c>
    </row>
    <row r="375" spans="1:8">
      <c r="A375" s="1">
        <v>374</v>
      </c>
      <c r="B375" s="1" t="s">
        <v>1197</v>
      </c>
      <c r="C375" s="1" t="s">
        <v>454</v>
      </c>
      <c r="D375" s="1" t="s">
        <v>1198</v>
      </c>
      <c r="E375" s="1" t="s">
        <v>1214</v>
      </c>
      <c r="F375" s="1" t="s">
        <v>1215</v>
      </c>
      <c r="G375" s="1" t="s">
        <v>1216</v>
      </c>
      <c r="H375" s="1" t="s">
        <v>18</v>
      </c>
    </row>
    <row r="376" spans="1:8">
      <c r="A376" s="1">
        <v>375</v>
      </c>
      <c r="B376" s="1" t="s">
        <v>1197</v>
      </c>
      <c r="C376" s="1" t="s">
        <v>456</v>
      </c>
      <c r="D376" s="1" t="s">
        <v>1198</v>
      </c>
      <c r="E376" s="1" t="s">
        <v>1217</v>
      </c>
      <c r="F376" s="1" t="s">
        <v>1218</v>
      </c>
      <c r="G376" s="1" t="s">
        <v>1219</v>
      </c>
      <c r="H376" s="1" t="s">
        <v>18</v>
      </c>
    </row>
    <row r="377" spans="1:8">
      <c r="A377" s="1">
        <v>376</v>
      </c>
      <c r="B377" s="1" t="s">
        <v>1220</v>
      </c>
      <c r="C377" s="1" t="s">
        <v>44</v>
      </c>
      <c r="D377" s="1" t="s">
        <v>1221</v>
      </c>
      <c r="E377" s="1" t="s">
        <v>1222</v>
      </c>
      <c r="F377" s="1" t="s">
        <v>1223</v>
      </c>
      <c r="G377" s="1" t="s">
        <v>1224</v>
      </c>
      <c r="H377" s="1" t="s">
        <v>18</v>
      </c>
    </row>
    <row r="378" spans="1:8">
      <c r="A378" s="1">
        <v>377</v>
      </c>
      <c r="B378" s="1" t="s">
        <v>1220</v>
      </c>
      <c r="C378" s="1" t="s">
        <v>49</v>
      </c>
      <c r="D378" s="1" t="s">
        <v>1221</v>
      </c>
      <c r="E378" s="1" t="s">
        <v>1225</v>
      </c>
      <c r="F378" s="1" t="s">
        <v>1226</v>
      </c>
      <c r="G378" s="1" t="s">
        <v>1227</v>
      </c>
      <c r="H378" s="1" t="s">
        <v>18</v>
      </c>
    </row>
    <row r="379" spans="1:8">
      <c r="A379" s="1">
        <v>378</v>
      </c>
      <c r="B379" s="1" t="s">
        <v>1228</v>
      </c>
      <c r="C379" s="1" t="s">
        <v>44</v>
      </c>
      <c r="D379" s="1" t="s">
        <v>1229</v>
      </c>
      <c r="E379" s="1" t="s">
        <v>1230</v>
      </c>
      <c r="F379" s="1" t="s">
        <v>1223</v>
      </c>
      <c r="G379" s="1" t="s">
        <v>1224</v>
      </c>
      <c r="H379" s="1" t="s">
        <v>18</v>
      </c>
    </row>
    <row r="380" spans="1:8">
      <c r="A380" s="1">
        <v>379</v>
      </c>
      <c r="B380" s="1" t="s">
        <v>1228</v>
      </c>
      <c r="C380" s="1" t="s">
        <v>49</v>
      </c>
      <c r="D380" s="1" t="s">
        <v>1229</v>
      </c>
      <c r="E380" s="1" t="s">
        <v>1231</v>
      </c>
      <c r="F380" s="1" t="s">
        <v>1226</v>
      </c>
      <c r="G380" s="1" t="s">
        <v>1227</v>
      </c>
      <c r="H380" s="1" t="s">
        <v>18</v>
      </c>
    </row>
    <row r="381" spans="1:8">
      <c r="A381" s="1">
        <v>380</v>
      </c>
      <c r="B381" s="1" t="s">
        <v>1232</v>
      </c>
      <c r="C381" s="1" t="s">
        <v>44</v>
      </c>
      <c r="D381" s="1" t="s">
        <v>1233</v>
      </c>
      <c r="E381" s="1" t="s">
        <v>1234</v>
      </c>
      <c r="F381" s="1" t="s">
        <v>1223</v>
      </c>
      <c r="G381" s="1" t="s">
        <v>1224</v>
      </c>
      <c r="H381" s="1" t="s">
        <v>18</v>
      </c>
    </row>
    <row r="382" spans="1:8">
      <c r="A382" s="1">
        <v>381</v>
      </c>
      <c r="B382" s="1" t="s">
        <v>1232</v>
      </c>
      <c r="C382" s="1" t="s">
        <v>49</v>
      </c>
      <c r="D382" s="1" t="s">
        <v>1233</v>
      </c>
      <c r="E382" s="1" t="s">
        <v>1235</v>
      </c>
      <c r="F382" s="1" t="s">
        <v>1226</v>
      </c>
      <c r="G382" s="1" t="s">
        <v>1227</v>
      </c>
      <c r="H382" s="1" t="s">
        <v>18</v>
      </c>
    </row>
    <row r="383" spans="1:8">
      <c r="A383" s="1">
        <v>382</v>
      </c>
      <c r="B383" s="1" t="s">
        <v>1236</v>
      </c>
      <c r="C383" s="1" t="s">
        <v>153</v>
      </c>
      <c r="D383" s="1" t="s">
        <v>1237</v>
      </c>
      <c r="E383" s="1" t="s">
        <v>1238</v>
      </c>
      <c r="F383" s="1" t="s">
        <v>21</v>
      </c>
      <c r="G383" s="1" t="s">
        <v>22</v>
      </c>
      <c r="H383" s="1" t="s">
        <v>18</v>
      </c>
    </row>
    <row r="384" spans="1:8">
      <c r="A384" s="1">
        <v>383</v>
      </c>
      <c r="B384" s="1" t="s">
        <v>1236</v>
      </c>
      <c r="C384" s="1" t="s">
        <v>158</v>
      </c>
      <c r="D384" s="1" t="s">
        <v>1237</v>
      </c>
      <c r="E384" s="1" t="s">
        <v>1239</v>
      </c>
      <c r="F384" s="1" t="s">
        <v>660</v>
      </c>
      <c r="G384" s="1" t="s">
        <v>661</v>
      </c>
      <c r="H384" s="1" t="s">
        <v>18</v>
      </c>
    </row>
    <row r="385" spans="1:8">
      <c r="A385" s="1">
        <v>384</v>
      </c>
      <c r="B385" s="1" t="s">
        <v>1236</v>
      </c>
      <c r="C385" s="1" t="s">
        <v>162</v>
      </c>
      <c r="D385" s="1" t="s">
        <v>1237</v>
      </c>
      <c r="E385" s="1" t="s">
        <v>1240</v>
      </c>
      <c r="F385" s="1" t="s">
        <v>652</v>
      </c>
      <c r="G385" s="1" t="s">
        <v>653</v>
      </c>
      <c r="H385" s="1" t="s">
        <v>18</v>
      </c>
    </row>
    <row r="386" spans="1:8">
      <c r="A386" s="1">
        <v>385</v>
      </c>
      <c r="B386" s="1" t="s">
        <v>1236</v>
      </c>
      <c r="C386" s="1" t="s">
        <v>166</v>
      </c>
      <c r="D386" s="1" t="s">
        <v>1237</v>
      </c>
      <c r="E386" s="1" t="s">
        <v>1241</v>
      </c>
      <c r="F386" s="1" t="s">
        <v>655</v>
      </c>
      <c r="G386" s="1" t="s">
        <v>656</v>
      </c>
      <c r="H386" s="1" t="s">
        <v>18</v>
      </c>
    </row>
    <row r="387" spans="1:8">
      <c r="A387" s="1">
        <v>386</v>
      </c>
      <c r="B387" s="1" t="s">
        <v>1236</v>
      </c>
      <c r="C387" s="1" t="s">
        <v>170</v>
      </c>
      <c r="D387" s="1" t="s">
        <v>1237</v>
      </c>
      <c r="E387" s="1" t="s">
        <v>1242</v>
      </c>
      <c r="F387" s="1" t="s">
        <v>630</v>
      </c>
      <c r="G387" s="1" t="s">
        <v>631</v>
      </c>
      <c r="H387" s="1" t="s">
        <v>18</v>
      </c>
    </row>
    <row r="388" spans="1:8">
      <c r="A388" s="1">
        <v>387</v>
      </c>
      <c r="B388" s="1" t="s">
        <v>1243</v>
      </c>
      <c r="C388" s="1" t="s">
        <v>153</v>
      </c>
      <c r="D388" s="1" t="s">
        <v>1244</v>
      </c>
      <c r="E388" s="1" t="s">
        <v>1245</v>
      </c>
      <c r="F388" s="1" t="s">
        <v>21</v>
      </c>
      <c r="G388" s="1" t="s">
        <v>22</v>
      </c>
      <c r="H388" s="1" t="s">
        <v>18</v>
      </c>
    </row>
    <row r="389" spans="1:8">
      <c r="A389" s="1">
        <v>388</v>
      </c>
      <c r="B389" s="1" t="s">
        <v>1243</v>
      </c>
      <c r="C389" s="1" t="s">
        <v>158</v>
      </c>
      <c r="D389" s="1" t="s">
        <v>1244</v>
      </c>
      <c r="E389" s="1" t="s">
        <v>1246</v>
      </c>
      <c r="F389" s="1" t="s">
        <v>665</v>
      </c>
      <c r="G389" s="1" t="s">
        <v>666</v>
      </c>
      <c r="H389" s="1" t="s">
        <v>18</v>
      </c>
    </row>
    <row r="390" spans="1:8">
      <c r="A390" s="1">
        <v>389</v>
      </c>
      <c r="B390" s="1" t="s">
        <v>1243</v>
      </c>
      <c r="C390" s="1" t="s">
        <v>162</v>
      </c>
      <c r="D390" s="1" t="s">
        <v>1244</v>
      </c>
      <c r="E390" s="1" t="s">
        <v>1247</v>
      </c>
      <c r="F390" s="1" t="s">
        <v>660</v>
      </c>
      <c r="G390" s="1" t="s">
        <v>661</v>
      </c>
      <c r="H390" s="1" t="s">
        <v>18</v>
      </c>
    </row>
    <row r="391" spans="1:8">
      <c r="A391" s="1">
        <v>390</v>
      </c>
      <c r="B391" s="1" t="s">
        <v>1243</v>
      </c>
      <c r="C391" s="1" t="s">
        <v>166</v>
      </c>
      <c r="D391" s="1" t="s">
        <v>1244</v>
      </c>
      <c r="E391" s="1" t="s">
        <v>1248</v>
      </c>
      <c r="F391" s="1" t="s">
        <v>669</v>
      </c>
      <c r="G391" s="1" t="s">
        <v>670</v>
      </c>
      <c r="H391" s="1" t="s">
        <v>18</v>
      </c>
    </row>
    <row r="392" spans="1:8">
      <c r="A392" s="1">
        <v>391</v>
      </c>
      <c r="B392" s="1" t="s">
        <v>1243</v>
      </c>
      <c r="C392" s="1" t="s">
        <v>170</v>
      </c>
      <c r="D392" s="1" t="s">
        <v>1244</v>
      </c>
      <c r="E392" s="1" t="s">
        <v>1249</v>
      </c>
      <c r="F392" s="1" t="s">
        <v>630</v>
      </c>
      <c r="G392" s="1" t="s">
        <v>631</v>
      </c>
      <c r="H392" s="1" t="s">
        <v>18</v>
      </c>
    </row>
    <row r="393" spans="1:8">
      <c r="A393" s="1">
        <v>392</v>
      </c>
      <c r="B393" s="1" t="s">
        <v>1250</v>
      </c>
      <c r="C393" s="1" t="s">
        <v>153</v>
      </c>
      <c r="D393" s="1" t="s">
        <v>1251</v>
      </c>
      <c r="E393" s="1" t="s">
        <v>1252</v>
      </c>
      <c r="F393" s="1" t="s">
        <v>630</v>
      </c>
      <c r="G393" s="1" t="s">
        <v>631</v>
      </c>
      <c r="H393" s="1" t="s">
        <v>18</v>
      </c>
    </row>
    <row r="394" spans="1:8">
      <c r="A394" s="1">
        <v>393</v>
      </c>
      <c r="B394" s="1" t="s">
        <v>1250</v>
      </c>
      <c r="C394" s="1" t="s">
        <v>158</v>
      </c>
      <c r="D394" s="1" t="s">
        <v>1251</v>
      </c>
      <c r="E394" s="1" t="s">
        <v>1253</v>
      </c>
      <c r="F394" s="1" t="s">
        <v>688</v>
      </c>
      <c r="G394" s="1" t="s">
        <v>689</v>
      </c>
      <c r="H394" s="1" t="s">
        <v>18</v>
      </c>
    </row>
    <row r="395" spans="1:8">
      <c r="A395" s="1">
        <v>394</v>
      </c>
      <c r="B395" s="1" t="s">
        <v>1250</v>
      </c>
      <c r="C395" s="1" t="s">
        <v>162</v>
      </c>
      <c r="D395" s="1" t="s">
        <v>1251</v>
      </c>
      <c r="E395" s="1" t="s">
        <v>1254</v>
      </c>
      <c r="F395" s="1" t="s">
        <v>665</v>
      </c>
      <c r="G395" s="1" t="s">
        <v>666</v>
      </c>
      <c r="H395" s="1" t="s">
        <v>18</v>
      </c>
    </row>
    <row r="396" spans="1:8">
      <c r="A396" s="1">
        <v>395</v>
      </c>
      <c r="B396" s="1" t="s">
        <v>1250</v>
      </c>
      <c r="C396" s="1" t="s">
        <v>166</v>
      </c>
      <c r="D396" s="1" t="s">
        <v>1251</v>
      </c>
      <c r="E396" s="1" t="s">
        <v>1255</v>
      </c>
      <c r="F396" s="1" t="s">
        <v>660</v>
      </c>
      <c r="G396" s="1" t="s">
        <v>661</v>
      </c>
      <c r="H396" s="1" t="s">
        <v>18</v>
      </c>
    </row>
    <row r="397" spans="1:8">
      <c r="A397" s="1">
        <v>396</v>
      </c>
      <c r="B397" s="1" t="s">
        <v>1250</v>
      </c>
      <c r="C397" s="1" t="s">
        <v>170</v>
      </c>
      <c r="D397" s="1" t="s">
        <v>1251</v>
      </c>
      <c r="E397" s="1" t="s">
        <v>1256</v>
      </c>
      <c r="F397" s="1" t="s">
        <v>669</v>
      </c>
      <c r="G397" s="1" t="s">
        <v>670</v>
      </c>
      <c r="H397" s="1" t="s">
        <v>18</v>
      </c>
    </row>
    <row r="398" spans="1:8">
      <c r="A398" s="1">
        <v>397</v>
      </c>
      <c r="B398" s="1" t="s">
        <v>1257</v>
      </c>
      <c r="C398" s="1" t="s">
        <v>153</v>
      </c>
      <c r="D398" s="1" t="s">
        <v>1258</v>
      </c>
      <c r="E398" s="1" t="s">
        <v>1259</v>
      </c>
      <c r="F398" s="1" t="s">
        <v>630</v>
      </c>
      <c r="G398" s="1" t="s">
        <v>631</v>
      </c>
      <c r="H398" s="1" t="s">
        <v>18</v>
      </c>
    </row>
    <row r="399" spans="1:8">
      <c r="A399" s="1">
        <v>398</v>
      </c>
      <c r="B399" s="1" t="s">
        <v>1257</v>
      </c>
      <c r="C399" s="1" t="s">
        <v>158</v>
      </c>
      <c r="D399" s="1" t="s">
        <v>1258</v>
      </c>
      <c r="E399" s="1" t="s">
        <v>1260</v>
      </c>
      <c r="F399" s="1" t="s">
        <v>688</v>
      </c>
      <c r="G399" s="1" t="s">
        <v>689</v>
      </c>
      <c r="H399" s="1" t="s">
        <v>18</v>
      </c>
    </row>
    <row r="400" spans="1:8">
      <c r="A400" s="1">
        <v>399</v>
      </c>
      <c r="B400" s="1" t="s">
        <v>1257</v>
      </c>
      <c r="C400" s="1" t="s">
        <v>162</v>
      </c>
      <c r="D400" s="1" t="s">
        <v>1258</v>
      </c>
      <c r="E400" s="1" t="s">
        <v>1261</v>
      </c>
      <c r="F400" s="1" t="s">
        <v>665</v>
      </c>
      <c r="G400" s="1" t="s">
        <v>666</v>
      </c>
      <c r="H400" s="1" t="s">
        <v>18</v>
      </c>
    </row>
    <row r="401" spans="1:8">
      <c r="A401" s="1">
        <v>400</v>
      </c>
      <c r="B401" s="1" t="s">
        <v>1257</v>
      </c>
      <c r="C401" s="1" t="s">
        <v>166</v>
      </c>
      <c r="D401" s="1" t="s">
        <v>1258</v>
      </c>
      <c r="E401" s="1" t="s">
        <v>1262</v>
      </c>
      <c r="F401" s="1" t="s">
        <v>660</v>
      </c>
      <c r="G401" s="1" t="s">
        <v>661</v>
      </c>
      <c r="H401" s="1" t="s">
        <v>18</v>
      </c>
    </row>
    <row r="402" spans="1:8">
      <c r="A402" s="1">
        <v>401</v>
      </c>
      <c r="B402" s="1" t="s">
        <v>1257</v>
      </c>
      <c r="C402" s="1" t="s">
        <v>170</v>
      </c>
      <c r="D402" s="1" t="s">
        <v>1258</v>
      </c>
      <c r="E402" s="1" t="s">
        <v>1263</v>
      </c>
      <c r="F402" s="1" t="s">
        <v>669</v>
      </c>
      <c r="G402" s="1" t="s">
        <v>670</v>
      </c>
      <c r="H402" s="1" t="s">
        <v>18</v>
      </c>
    </row>
    <row r="403" spans="1:8">
      <c r="A403" s="1">
        <v>402</v>
      </c>
      <c r="B403" s="1" t="s">
        <v>1264</v>
      </c>
      <c r="C403" s="1" t="s">
        <v>237</v>
      </c>
      <c r="D403" s="1" t="s">
        <v>1265</v>
      </c>
      <c r="E403" s="1" t="s">
        <v>1266</v>
      </c>
      <c r="F403" s="1" t="s">
        <v>1226</v>
      </c>
      <c r="G403" s="1" t="s">
        <v>1227</v>
      </c>
      <c r="H403" s="1" t="s">
        <v>18</v>
      </c>
    </row>
    <row r="404" spans="1:8">
      <c r="A404" s="1">
        <v>403</v>
      </c>
      <c r="B404" s="1" t="s">
        <v>1267</v>
      </c>
      <c r="C404" s="1" t="s">
        <v>44</v>
      </c>
      <c r="D404" s="1" t="s">
        <v>1268</v>
      </c>
      <c r="E404" s="1" t="s">
        <v>1269</v>
      </c>
      <c r="F404" s="1" t="s">
        <v>1223</v>
      </c>
      <c r="G404" s="1" t="s">
        <v>1224</v>
      </c>
      <c r="H404" s="1" t="s">
        <v>18</v>
      </c>
    </row>
    <row r="405" spans="1:8">
      <c r="A405" s="1">
        <v>404</v>
      </c>
      <c r="B405" s="1" t="s">
        <v>1267</v>
      </c>
      <c r="C405" s="1" t="s">
        <v>49</v>
      </c>
      <c r="D405" s="1" t="s">
        <v>1268</v>
      </c>
      <c r="E405" s="1" t="s">
        <v>1270</v>
      </c>
      <c r="F405" s="1" t="s">
        <v>1226</v>
      </c>
      <c r="G405" s="1" t="s">
        <v>1227</v>
      </c>
      <c r="H405" s="1" t="s">
        <v>18</v>
      </c>
    </row>
    <row r="406" spans="1:8">
      <c r="A406" s="1">
        <v>405</v>
      </c>
      <c r="B406" s="1" t="s">
        <v>1271</v>
      </c>
      <c r="C406" s="1" t="s">
        <v>44</v>
      </c>
      <c r="D406" s="1" t="s">
        <v>1272</v>
      </c>
      <c r="E406" s="1" t="s">
        <v>1273</v>
      </c>
      <c r="F406" s="1" t="s">
        <v>1223</v>
      </c>
      <c r="G406" s="1" t="s">
        <v>1224</v>
      </c>
      <c r="H406" s="1" t="s">
        <v>18</v>
      </c>
    </row>
    <row r="407" spans="1:8">
      <c r="A407" s="1">
        <v>406</v>
      </c>
      <c r="B407" s="1" t="s">
        <v>1271</v>
      </c>
      <c r="C407" s="1" t="s">
        <v>49</v>
      </c>
      <c r="D407" s="1" t="s">
        <v>1272</v>
      </c>
      <c r="E407" s="1" t="s">
        <v>1274</v>
      </c>
      <c r="F407" s="1" t="s">
        <v>1226</v>
      </c>
      <c r="G407" s="1" t="s">
        <v>1227</v>
      </c>
      <c r="H407" s="1" t="s">
        <v>18</v>
      </c>
    </row>
    <row r="408" spans="1:8">
      <c r="A408" s="1">
        <v>407</v>
      </c>
      <c r="B408" s="1" t="s">
        <v>1275</v>
      </c>
      <c r="C408" s="1" t="s">
        <v>9</v>
      </c>
      <c r="D408" s="1" t="s">
        <v>1276</v>
      </c>
      <c r="E408" s="1" t="s">
        <v>1277</v>
      </c>
      <c r="F408" s="1" t="s">
        <v>21</v>
      </c>
      <c r="G408" s="1" t="s">
        <v>22</v>
      </c>
      <c r="H408" s="1" t="s">
        <v>18</v>
      </c>
    </row>
    <row r="409" spans="1:8">
      <c r="A409" s="1">
        <v>408</v>
      </c>
      <c r="B409" s="1" t="s">
        <v>1275</v>
      </c>
      <c r="C409" s="1" t="s">
        <v>14</v>
      </c>
      <c r="D409" s="1" t="s">
        <v>1276</v>
      </c>
      <c r="E409" s="1" t="s">
        <v>1278</v>
      </c>
      <c r="F409" s="1" t="s">
        <v>627</v>
      </c>
      <c r="G409" s="1" t="s">
        <v>628</v>
      </c>
      <c r="H409" s="1" t="s">
        <v>18</v>
      </c>
    </row>
    <row r="410" spans="1:8">
      <c r="A410" s="1">
        <v>409</v>
      </c>
      <c r="B410" s="1" t="s">
        <v>1275</v>
      </c>
      <c r="C410" s="1" t="s">
        <v>19</v>
      </c>
      <c r="D410" s="1" t="s">
        <v>1276</v>
      </c>
      <c r="E410" s="1" t="s">
        <v>1279</v>
      </c>
      <c r="F410" s="1" t="s">
        <v>630</v>
      </c>
      <c r="G410" s="1" t="s">
        <v>631</v>
      </c>
      <c r="H410" s="1" t="s">
        <v>18</v>
      </c>
    </row>
    <row r="411" spans="1:8">
      <c r="A411" s="1">
        <v>410</v>
      </c>
      <c r="B411" s="1" t="s">
        <v>1280</v>
      </c>
      <c r="C411" s="1" t="s">
        <v>76</v>
      </c>
      <c r="D411" s="1" t="s">
        <v>1281</v>
      </c>
      <c r="E411" s="1" t="s">
        <v>1282</v>
      </c>
      <c r="F411" s="1" t="s">
        <v>630</v>
      </c>
      <c r="G411" s="1" t="s">
        <v>631</v>
      </c>
      <c r="H411" s="1" t="s">
        <v>18</v>
      </c>
    </row>
    <row r="412" spans="1:8">
      <c r="A412" s="1">
        <v>411</v>
      </c>
      <c r="B412" s="1" t="s">
        <v>1280</v>
      </c>
      <c r="C412" s="1" t="s">
        <v>81</v>
      </c>
      <c r="D412" s="1" t="s">
        <v>1281</v>
      </c>
      <c r="E412" s="1" t="s">
        <v>1283</v>
      </c>
      <c r="F412" s="1" t="s">
        <v>660</v>
      </c>
      <c r="G412" s="1" t="s">
        <v>661</v>
      </c>
      <c r="H412" s="1" t="s">
        <v>18</v>
      </c>
    </row>
    <row r="413" spans="1:8">
      <c r="A413" s="1">
        <v>412</v>
      </c>
      <c r="B413" s="1" t="s">
        <v>1280</v>
      </c>
      <c r="C413" s="1" t="s">
        <v>85</v>
      </c>
      <c r="D413" s="1" t="s">
        <v>1281</v>
      </c>
      <c r="E413" s="1" t="s">
        <v>1284</v>
      </c>
      <c r="F413" s="1" t="s">
        <v>669</v>
      </c>
      <c r="G413" s="1" t="s">
        <v>670</v>
      </c>
      <c r="H413" s="1" t="s">
        <v>18</v>
      </c>
    </row>
    <row r="414" spans="1:8">
      <c r="A414" s="1">
        <v>413</v>
      </c>
      <c r="B414" s="1" t="s">
        <v>1280</v>
      </c>
      <c r="C414" s="1" t="s">
        <v>89</v>
      </c>
      <c r="D414" s="1" t="s">
        <v>1281</v>
      </c>
      <c r="E414" s="1" t="s">
        <v>1285</v>
      </c>
      <c r="F414" s="1" t="s">
        <v>710</v>
      </c>
      <c r="G414" s="1" t="s">
        <v>711</v>
      </c>
      <c r="H414" s="1" t="s">
        <v>18</v>
      </c>
    </row>
    <row r="415" spans="1:8">
      <c r="A415" s="1">
        <v>414</v>
      </c>
      <c r="B415" s="1" t="s">
        <v>1280</v>
      </c>
      <c r="C415" s="1" t="s">
        <v>93</v>
      </c>
      <c r="D415" s="1" t="s">
        <v>1281</v>
      </c>
      <c r="E415" s="1" t="s">
        <v>1286</v>
      </c>
      <c r="F415" s="1" t="s">
        <v>665</v>
      </c>
      <c r="G415" s="1" t="s">
        <v>666</v>
      </c>
      <c r="H415" s="1" t="s">
        <v>18</v>
      </c>
    </row>
    <row r="416" spans="1:8">
      <c r="A416" s="1">
        <v>415</v>
      </c>
      <c r="B416" s="1" t="s">
        <v>1280</v>
      </c>
      <c r="C416" s="1" t="s">
        <v>97</v>
      </c>
      <c r="D416" s="1" t="s">
        <v>1281</v>
      </c>
      <c r="E416" s="1" t="s">
        <v>1287</v>
      </c>
      <c r="F416" s="1" t="s">
        <v>21</v>
      </c>
      <c r="G416" s="1" t="s">
        <v>22</v>
      </c>
      <c r="H416" s="1" t="s">
        <v>18</v>
      </c>
    </row>
    <row r="417" spans="1:8">
      <c r="A417" s="1">
        <v>416</v>
      </c>
      <c r="B417" s="1" t="s">
        <v>1288</v>
      </c>
      <c r="C417" s="1" t="s">
        <v>76</v>
      </c>
      <c r="D417" s="1" t="s">
        <v>1289</v>
      </c>
      <c r="E417" s="1" t="s">
        <v>1290</v>
      </c>
      <c r="F417" s="1" t="s">
        <v>630</v>
      </c>
      <c r="G417" s="1" t="s">
        <v>631</v>
      </c>
      <c r="H417" s="1" t="s">
        <v>18</v>
      </c>
    </row>
    <row r="418" spans="1:8">
      <c r="A418" s="1">
        <v>417</v>
      </c>
      <c r="B418" s="1" t="s">
        <v>1288</v>
      </c>
      <c r="C418" s="1" t="s">
        <v>81</v>
      </c>
      <c r="D418" s="1" t="s">
        <v>1289</v>
      </c>
      <c r="E418" s="1" t="s">
        <v>1291</v>
      </c>
      <c r="F418" s="1" t="s">
        <v>660</v>
      </c>
      <c r="G418" s="1" t="s">
        <v>661</v>
      </c>
      <c r="H418" s="1" t="s">
        <v>18</v>
      </c>
    </row>
    <row r="419" spans="1:8">
      <c r="A419" s="1">
        <v>418</v>
      </c>
      <c r="B419" s="1" t="s">
        <v>1288</v>
      </c>
      <c r="C419" s="1" t="s">
        <v>85</v>
      </c>
      <c r="D419" s="1" t="s">
        <v>1289</v>
      </c>
      <c r="E419" s="1" t="s">
        <v>1292</v>
      </c>
      <c r="F419" s="1" t="s">
        <v>669</v>
      </c>
      <c r="G419" s="1" t="s">
        <v>670</v>
      </c>
      <c r="H419" s="1" t="s">
        <v>18</v>
      </c>
    </row>
    <row r="420" spans="1:8">
      <c r="A420" s="1">
        <v>419</v>
      </c>
      <c r="B420" s="1" t="s">
        <v>1288</v>
      </c>
      <c r="C420" s="1" t="s">
        <v>89</v>
      </c>
      <c r="D420" s="1" t="s">
        <v>1289</v>
      </c>
      <c r="E420" s="1" t="s">
        <v>1293</v>
      </c>
      <c r="F420" s="1" t="s">
        <v>710</v>
      </c>
      <c r="G420" s="1" t="s">
        <v>711</v>
      </c>
      <c r="H420" s="1" t="s">
        <v>18</v>
      </c>
    </row>
    <row r="421" spans="1:8">
      <c r="A421" s="1">
        <v>420</v>
      </c>
      <c r="B421" s="1" t="s">
        <v>1288</v>
      </c>
      <c r="C421" s="1" t="s">
        <v>93</v>
      </c>
      <c r="D421" s="1" t="s">
        <v>1289</v>
      </c>
      <c r="E421" s="1" t="s">
        <v>1294</v>
      </c>
      <c r="F421" s="1" t="s">
        <v>665</v>
      </c>
      <c r="G421" s="1" t="s">
        <v>666</v>
      </c>
      <c r="H421" s="1" t="s">
        <v>18</v>
      </c>
    </row>
    <row r="422" spans="1:8">
      <c r="A422" s="1">
        <v>421</v>
      </c>
      <c r="B422" s="1" t="s">
        <v>1288</v>
      </c>
      <c r="C422" s="1" t="s">
        <v>97</v>
      </c>
      <c r="D422" s="1" t="s">
        <v>1289</v>
      </c>
      <c r="E422" s="1" t="s">
        <v>1295</v>
      </c>
      <c r="F422" s="1" t="s">
        <v>21</v>
      </c>
      <c r="G422" s="1" t="s">
        <v>22</v>
      </c>
      <c r="H422" s="1" t="s">
        <v>18</v>
      </c>
    </row>
    <row r="423" spans="1:8">
      <c r="A423" s="1">
        <v>422</v>
      </c>
      <c r="B423" s="1" t="s">
        <v>1296</v>
      </c>
      <c r="C423" s="1" t="s">
        <v>498</v>
      </c>
      <c r="D423" s="1" t="s">
        <v>1297</v>
      </c>
      <c r="E423" s="1" t="s">
        <v>1298</v>
      </c>
      <c r="F423" s="1" t="s">
        <v>1299</v>
      </c>
      <c r="G423" s="1" t="s">
        <v>1300</v>
      </c>
      <c r="H423" s="1" t="s">
        <v>18</v>
      </c>
    </row>
    <row r="424" spans="1:8">
      <c r="A424" s="1">
        <v>423</v>
      </c>
      <c r="B424" s="1" t="s">
        <v>1296</v>
      </c>
      <c r="C424" s="1" t="s">
        <v>503</v>
      </c>
      <c r="D424" s="1" t="s">
        <v>1297</v>
      </c>
      <c r="E424" s="1" t="s">
        <v>1301</v>
      </c>
      <c r="F424" s="1" t="s">
        <v>1302</v>
      </c>
      <c r="G424" s="1" t="s">
        <v>1303</v>
      </c>
      <c r="H424" s="1" t="s">
        <v>18</v>
      </c>
    </row>
    <row r="425" spans="1:8">
      <c r="A425" s="1">
        <v>424</v>
      </c>
      <c r="B425" s="1" t="s">
        <v>1296</v>
      </c>
      <c r="C425" s="1" t="s">
        <v>507</v>
      </c>
      <c r="D425" s="1" t="s">
        <v>1297</v>
      </c>
      <c r="E425" s="1" t="s">
        <v>1304</v>
      </c>
      <c r="F425" s="1" t="s">
        <v>1305</v>
      </c>
      <c r="G425" s="1" t="s">
        <v>1306</v>
      </c>
      <c r="H425" s="1" t="s">
        <v>18</v>
      </c>
    </row>
    <row r="426" spans="1:8">
      <c r="A426" s="1">
        <v>425</v>
      </c>
      <c r="B426" s="1" t="s">
        <v>1296</v>
      </c>
      <c r="C426" s="1" t="s">
        <v>511</v>
      </c>
      <c r="D426" s="1" t="s">
        <v>1297</v>
      </c>
      <c r="E426" s="1" t="s">
        <v>1307</v>
      </c>
      <c r="F426" s="1" t="s">
        <v>1308</v>
      </c>
      <c r="G426" s="1" t="s">
        <v>1309</v>
      </c>
      <c r="H426" s="1" t="s">
        <v>18</v>
      </c>
    </row>
    <row r="427" spans="1:8">
      <c r="A427" s="1">
        <v>426</v>
      </c>
      <c r="B427" s="1" t="s">
        <v>1296</v>
      </c>
      <c r="C427" s="1" t="s">
        <v>513</v>
      </c>
      <c r="D427" s="1" t="s">
        <v>1297</v>
      </c>
      <c r="E427" s="1" t="s">
        <v>1310</v>
      </c>
      <c r="F427" s="1" t="s">
        <v>1311</v>
      </c>
      <c r="G427" s="1" t="s">
        <v>1312</v>
      </c>
      <c r="H427" s="1" t="s">
        <v>18</v>
      </c>
    </row>
    <row r="428" spans="1:8">
      <c r="A428" s="1">
        <v>427</v>
      </c>
      <c r="B428" s="1" t="s">
        <v>1296</v>
      </c>
      <c r="C428" s="1" t="s">
        <v>515</v>
      </c>
      <c r="D428" s="1" t="s">
        <v>1297</v>
      </c>
      <c r="E428" s="1" t="s">
        <v>1313</v>
      </c>
      <c r="F428" s="1" t="s">
        <v>1314</v>
      </c>
      <c r="G428" s="1" t="s">
        <v>1315</v>
      </c>
      <c r="H428" s="1" t="s">
        <v>18</v>
      </c>
    </row>
    <row r="429" spans="1:8">
      <c r="A429" s="1">
        <v>428</v>
      </c>
      <c r="B429" s="1" t="s">
        <v>1296</v>
      </c>
      <c r="C429" s="1" t="s">
        <v>517</v>
      </c>
      <c r="D429" s="1" t="s">
        <v>1297</v>
      </c>
      <c r="E429" s="1" t="s">
        <v>1316</v>
      </c>
      <c r="F429" s="1" t="s">
        <v>1317</v>
      </c>
      <c r="G429" s="1" t="s">
        <v>1318</v>
      </c>
      <c r="H429" s="1" t="s">
        <v>18</v>
      </c>
    </row>
    <row r="430" spans="1:8">
      <c r="A430" s="1">
        <v>429</v>
      </c>
      <c r="B430" s="1" t="s">
        <v>1296</v>
      </c>
      <c r="C430" s="1" t="s">
        <v>521</v>
      </c>
      <c r="D430" s="1" t="s">
        <v>1297</v>
      </c>
      <c r="E430" s="1" t="s">
        <v>1319</v>
      </c>
      <c r="F430" s="1" t="s">
        <v>1320</v>
      </c>
      <c r="G430" s="1" t="s">
        <v>1321</v>
      </c>
      <c r="H430" s="1" t="s">
        <v>18</v>
      </c>
    </row>
    <row r="431" spans="1:8">
      <c r="A431" s="1">
        <v>430</v>
      </c>
      <c r="B431" s="1" t="s">
        <v>1322</v>
      </c>
      <c r="C431" s="1" t="s">
        <v>44</v>
      </c>
      <c r="D431" s="1" t="s">
        <v>1323</v>
      </c>
      <c r="E431" s="1" t="s">
        <v>1324</v>
      </c>
      <c r="F431" s="1" t="s">
        <v>1325</v>
      </c>
      <c r="G431" s="1" t="s">
        <v>1326</v>
      </c>
      <c r="H431" s="1" t="s">
        <v>18</v>
      </c>
    </row>
    <row r="432" spans="1:8">
      <c r="A432" s="1">
        <v>431</v>
      </c>
      <c r="B432" s="1" t="s">
        <v>1322</v>
      </c>
      <c r="C432" s="1" t="s">
        <v>49</v>
      </c>
      <c r="D432" s="1" t="s">
        <v>1323</v>
      </c>
      <c r="E432" s="1" t="s">
        <v>1327</v>
      </c>
      <c r="F432" s="1" t="s">
        <v>1328</v>
      </c>
      <c r="G432" s="1" t="s">
        <v>1329</v>
      </c>
      <c r="H432" s="1" t="s">
        <v>18</v>
      </c>
    </row>
    <row r="433" spans="1:8">
      <c r="A433" s="1">
        <v>432</v>
      </c>
      <c r="B433" s="1" t="s">
        <v>1330</v>
      </c>
      <c r="C433" s="1" t="s">
        <v>9</v>
      </c>
      <c r="D433" s="1" t="s">
        <v>1331</v>
      </c>
      <c r="E433" s="1" t="s">
        <v>1332</v>
      </c>
      <c r="F433" s="1" t="s">
        <v>1333</v>
      </c>
      <c r="G433" s="1" t="s">
        <v>1334</v>
      </c>
      <c r="H433" s="1" t="s">
        <v>18</v>
      </c>
    </row>
    <row r="434" spans="1:8">
      <c r="A434" s="1">
        <v>433</v>
      </c>
      <c r="B434" s="1" t="s">
        <v>1330</v>
      </c>
      <c r="C434" s="1" t="s">
        <v>14</v>
      </c>
      <c r="D434" s="1" t="s">
        <v>1331</v>
      </c>
      <c r="E434" s="1" t="s">
        <v>1335</v>
      </c>
      <c r="F434" s="1" t="s">
        <v>1336</v>
      </c>
      <c r="G434" s="1" t="s">
        <v>1337</v>
      </c>
      <c r="H434" s="1" t="s">
        <v>18</v>
      </c>
    </row>
    <row r="435" spans="1:8">
      <c r="A435" s="1">
        <v>434</v>
      </c>
      <c r="B435" s="1" t="s">
        <v>1330</v>
      </c>
      <c r="C435" s="1" t="s">
        <v>19</v>
      </c>
      <c r="D435" s="1" t="s">
        <v>1331</v>
      </c>
      <c r="E435" s="1" t="s">
        <v>1338</v>
      </c>
      <c r="F435" s="1" t="s">
        <v>1339</v>
      </c>
      <c r="G435" s="1" t="s">
        <v>1340</v>
      </c>
      <c r="H435" s="1" t="s">
        <v>18</v>
      </c>
    </row>
    <row r="436" spans="1:8">
      <c r="A436" s="1">
        <v>435</v>
      </c>
      <c r="B436" s="1" t="s">
        <v>1341</v>
      </c>
      <c r="C436" s="1" t="s">
        <v>237</v>
      </c>
      <c r="D436" s="1" t="s">
        <v>1342</v>
      </c>
      <c r="E436" s="1" t="s">
        <v>1343</v>
      </c>
      <c r="F436" s="1" t="s">
        <v>1344</v>
      </c>
      <c r="G436" s="1" t="s">
        <v>1344</v>
      </c>
      <c r="H436" s="1" t="s">
        <v>18</v>
      </c>
    </row>
    <row r="437" spans="1:8">
      <c r="A437" s="1">
        <v>436</v>
      </c>
      <c r="B437" s="1" t="s">
        <v>1345</v>
      </c>
      <c r="C437" s="1" t="s">
        <v>237</v>
      </c>
      <c r="D437" s="1" t="s">
        <v>1346</v>
      </c>
      <c r="E437" s="1" t="s">
        <v>1347</v>
      </c>
      <c r="F437" s="1" t="s">
        <v>21</v>
      </c>
      <c r="G437" s="1" t="s">
        <v>22</v>
      </c>
      <c r="H437" s="1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R897"/>
  <sheetViews>
    <sheetView workbookViewId="0">
      <selection activeCell="O13" sqref="O13"/>
    </sheetView>
  </sheetViews>
  <sheetFormatPr defaultColWidth="9" defaultRowHeight="13.5"/>
  <cols>
    <col min="1" max="16384" width="9" style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  <c r="R1" s="6"/>
    </row>
    <row r="2" spans="1:18">
      <c r="A2" s="1">
        <v>1</v>
      </c>
      <c r="B2" s="1" t="s">
        <v>1348</v>
      </c>
      <c r="D2" s="1" t="s">
        <v>1349</v>
      </c>
      <c r="E2" s="1" t="s">
        <v>1222</v>
      </c>
      <c r="F2" s="1" t="s">
        <v>688</v>
      </c>
      <c r="G2" s="1" t="s">
        <v>689</v>
      </c>
      <c r="H2" s="1" t="str">
        <f>IFERROR(IF(OR(MID(G2,FIND(":",G2)-1,1)="""",MID(G2,FIND(":",G2)-1,1)="}",MID(G2,FIND(":",G2)-1,1)=")",MID(G2,FIND(":",G2)-1,1)="]"),"",LEFT(F2,FIND(":",F2)-1)),"")</f>
        <v/>
      </c>
      <c r="I2" s="1" t="str">
        <f>IFERROR(IF(OR(MID(G2,FIND(":",G2)-1,1)="""",MID(G2,FIND(":",G2)-1,1)="}",MID(G2,FIND(":",G2)-1,1)=")",MID(G2,FIND(":",G2)-1,1)="]"),"",RIGHT(G2,LEN(G2)-FIND(":",G2)-1)),"")</f>
        <v/>
      </c>
      <c r="J2" s="1" t="str">
        <f>IF(AND(I2="",H2=""),G2,IF(H2="",I2,H2&amp;": "&amp;I2))</f>
        <v>接口{#IFNAME}: 网络流量</v>
      </c>
      <c r="K2" s="1" t="str">
        <f>IFERROR(IF(OR(MID(F2,FIND(":",F2)-1,1)="""",MID(F2,FIND(":",F2)-1,1)="}",MID(F2,FIND(":",F2)-1,1)=")",MID(F2,FIND(":",F2)-1,1)="]"),"",RIGHT(F2,LEN(F2)-FIND(":",F2)-1)),"")</f>
        <v/>
      </c>
      <c r="L2" s="1">
        <f>LEN(F2)-LEN(SUBSTITUTE(F2,":",""))</f>
        <v>1</v>
      </c>
      <c r="M2" s="1">
        <f>LEN(G2)-LEN(SUBSTITUTE(G2,":",""))</f>
        <v>1</v>
      </c>
      <c r="N2" s="1">
        <f>LEN(G2)-LEN(SUBSTITUTE(G2,"：",""))</f>
        <v>0</v>
      </c>
      <c r="O2" s="1" t="b">
        <f>IF(M2&gt;=2,MID(G2,FIND(":",G2)+1,LEN(G2)))</f>
        <v>0</v>
      </c>
      <c r="P2" s="1" t="str">
        <f>INDEX(G:G,MATCH(G2,G:G,0))</f>
        <v>接口{#IFNAME}: 网络流量</v>
      </c>
      <c r="Q2" s="1" t="e">
        <f>INDEX('6.0.35'!H:H,MATCH(E2,'6.0.35'!J:J,0))</f>
        <v>#N/A</v>
      </c>
      <c r="R2" s="1" t="str">
        <f>INDEX('6.0.35'!I:I,MATCH(E2,'6.0.35'!E:E,0))</f>
        <v/>
      </c>
    </row>
    <row r="3" spans="1:7">
      <c r="A3" s="1">
        <v>2</v>
      </c>
      <c r="B3" s="1" t="s">
        <v>1350</v>
      </c>
      <c r="D3" s="1" t="s">
        <v>1349</v>
      </c>
      <c r="E3" s="1" t="s">
        <v>1225</v>
      </c>
      <c r="F3" s="1" t="s">
        <v>630</v>
      </c>
      <c r="G3" s="1" t="s">
        <v>631</v>
      </c>
    </row>
    <row r="4" spans="1:7">
      <c r="A4" s="1">
        <v>3</v>
      </c>
      <c r="B4" s="1" t="s">
        <v>1351</v>
      </c>
      <c r="D4" s="1" t="s">
        <v>1352</v>
      </c>
      <c r="E4" s="1" t="s">
        <v>1353</v>
      </c>
      <c r="F4" s="1" t="s">
        <v>1354</v>
      </c>
      <c r="G4" s="1" t="s">
        <v>1355</v>
      </c>
    </row>
    <row r="5" spans="1:7">
      <c r="A5" s="1">
        <v>4</v>
      </c>
      <c r="B5" s="1" t="s">
        <v>1356</v>
      </c>
      <c r="D5" s="1" t="s">
        <v>1352</v>
      </c>
      <c r="E5" s="1" t="s">
        <v>1357</v>
      </c>
      <c r="F5" s="1" t="s">
        <v>1358</v>
      </c>
      <c r="G5" s="1" t="s">
        <v>1359</v>
      </c>
    </row>
    <row r="6" spans="1:7">
      <c r="A6" s="1">
        <v>5</v>
      </c>
      <c r="B6" s="1" t="s">
        <v>1360</v>
      </c>
      <c r="D6" s="1" t="s">
        <v>1352</v>
      </c>
      <c r="E6" s="1" t="s">
        <v>1361</v>
      </c>
      <c r="F6" s="1" t="s">
        <v>1362</v>
      </c>
      <c r="G6" s="1" t="s">
        <v>1363</v>
      </c>
    </row>
    <row r="7" spans="1:7">
      <c r="A7" s="1">
        <v>6</v>
      </c>
      <c r="B7" s="1" t="s">
        <v>1364</v>
      </c>
      <c r="D7" s="1" t="s">
        <v>1365</v>
      </c>
      <c r="E7" s="1" t="s">
        <v>1366</v>
      </c>
      <c r="F7" s="1" t="s">
        <v>1367</v>
      </c>
      <c r="G7" s="1" t="s">
        <v>1368</v>
      </c>
    </row>
    <row r="8" spans="1:7">
      <c r="A8" s="1">
        <v>7</v>
      </c>
      <c r="B8" s="1" t="s">
        <v>1369</v>
      </c>
      <c r="D8" s="1" t="s">
        <v>1365</v>
      </c>
      <c r="E8" s="1" t="s">
        <v>1370</v>
      </c>
      <c r="F8" s="1" t="s">
        <v>1371</v>
      </c>
      <c r="G8" s="1" t="s">
        <v>1372</v>
      </c>
    </row>
    <row r="9" spans="1:7">
      <c r="A9" s="1">
        <v>8</v>
      </c>
      <c r="B9" s="1" t="s">
        <v>1373</v>
      </c>
      <c r="D9" s="1" t="s">
        <v>1365</v>
      </c>
      <c r="E9" s="1" t="s">
        <v>1374</v>
      </c>
      <c r="F9" s="1" t="s">
        <v>1375</v>
      </c>
      <c r="G9" s="1" t="s">
        <v>1376</v>
      </c>
    </row>
    <row r="10" spans="1:7">
      <c r="A10" s="1">
        <v>9</v>
      </c>
      <c r="B10" s="1" t="s">
        <v>1377</v>
      </c>
      <c r="D10" s="1" t="s">
        <v>1378</v>
      </c>
      <c r="E10" s="1" t="s">
        <v>1379</v>
      </c>
      <c r="F10" s="1" t="s">
        <v>1380</v>
      </c>
      <c r="G10" s="1" t="s">
        <v>1381</v>
      </c>
    </row>
    <row r="11" spans="1:7">
      <c r="A11" s="1">
        <v>10</v>
      </c>
      <c r="B11" s="1" t="s">
        <v>1382</v>
      </c>
      <c r="D11" s="1" t="s">
        <v>1378</v>
      </c>
      <c r="E11" s="1" t="s">
        <v>1383</v>
      </c>
      <c r="F11" s="1" t="s">
        <v>1384</v>
      </c>
      <c r="G11" s="1" t="s">
        <v>1385</v>
      </c>
    </row>
    <row r="12" spans="1:7">
      <c r="A12" s="1">
        <v>11</v>
      </c>
      <c r="B12" s="1" t="s">
        <v>1386</v>
      </c>
      <c r="D12" s="1" t="s">
        <v>1378</v>
      </c>
      <c r="E12" s="1" t="s">
        <v>1387</v>
      </c>
      <c r="F12" s="1" t="s">
        <v>1388</v>
      </c>
      <c r="G12" s="1" t="s">
        <v>1389</v>
      </c>
    </row>
    <row r="13" spans="1:7">
      <c r="A13" s="1">
        <v>12</v>
      </c>
      <c r="B13" s="1" t="s">
        <v>1390</v>
      </c>
      <c r="D13" s="1" t="s">
        <v>1391</v>
      </c>
      <c r="E13" s="1" t="s">
        <v>1392</v>
      </c>
      <c r="F13" s="1" t="s">
        <v>1380</v>
      </c>
      <c r="G13" s="1" t="s">
        <v>1381</v>
      </c>
    </row>
    <row r="14" spans="1:7">
      <c r="A14" s="1">
        <v>13</v>
      </c>
      <c r="B14" s="1" t="s">
        <v>1393</v>
      </c>
      <c r="D14" s="1" t="s">
        <v>1391</v>
      </c>
      <c r="E14" s="1" t="s">
        <v>1394</v>
      </c>
      <c r="F14" s="1" t="s">
        <v>1384</v>
      </c>
      <c r="G14" s="1" t="s">
        <v>1385</v>
      </c>
    </row>
    <row r="15" spans="1:7">
      <c r="A15" s="1">
        <v>14</v>
      </c>
      <c r="B15" s="1" t="s">
        <v>1395</v>
      </c>
      <c r="D15" s="1" t="s">
        <v>1391</v>
      </c>
      <c r="E15" s="1" t="s">
        <v>1396</v>
      </c>
      <c r="F15" s="1" t="s">
        <v>1388</v>
      </c>
      <c r="G15" s="1" t="s">
        <v>1389</v>
      </c>
    </row>
    <row r="16" spans="1:7">
      <c r="A16" s="1">
        <v>15</v>
      </c>
      <c r="B16" s="1" t="s">
        <v>1397</v>
      </c>
      <c r="D16" s="1" t="s">
        <v>1398</v>
      </c>
      <c r="E16" s="1" t="s">
        <v>1399</v>
      </c>
      <c r="F16" s="1" t="s">
        <v>1400</v>
      </c>
      <c r="G16" s="1" t="s">
        <v>1401</v>
      </c>
    </row>
    <row r="17" spans="1:7">
      <c r="A17" s="1">
        <v>16</v>
      </c>
      <c r="B17" s="1" t="s">
        <v>1402</v>
      </c>
      <c r="D17" s="1" t="s">
        <v>1398</v>
      </c>
      <c r="E17" s="1" t="s">
        <v>1403</v>
      </c>
      <c r="F17" s="1" t="s">
        <v>1404</v>
      </c>
      <c r="G17" s="1" t="s">
        <v>1405</v>
      </c>
    </row>
    <row r="18" spans="1:7">
      <c r="A18" s="1">
        <v>17</v>
      </c>
      <c r="B18" s="1" t="s">
        <v>1406</v>
      </c>
      <c r="D18" s="1" t="s">
        <v>1398</v>
      </c>
      <c r="E18" s="1" t="s">
        <v>1407</v>
      </c>
      <c r="F18" s="1" t="s">
        <v>1408</v>
      </c>
      <c r="G18" s="1" t="s">
        <v>1409</v>
      </c>
    </row>
    <row r="19" spans="1:7">
      <c r="A19" s="1">
        <v>18</v>
      </c>
      <c r="B19" s="1" t="s">
        <v>1410</v>
      </c>
      <c r="D19" s="1" t="s">
        <v>1398</v>
      </c>
      <c r="E19" s="1" t="s">
        <v>1411</v>
      </c>
      <c r="F19" s="1" t="s">
        <v>1412</v>
      </c>
      <c r="G19" s="1" t="s">
        <v>1413</v>
      </c>
    </row>
    <row r="20" spans="1:7">
      <c r="A20" s="1">
        <v>19</v>
      </c>
      <c r="B20" s="1" t="s">
        <v>1414</v>
      </c>
      <c r="D20" s="1" t="s">
        <v>1398</v>
      </c>
      <c r="E20" s="1" t="s">
        <v>1415</v>
      </c>
      <c r="F20" s="1" t="s">
        <v>1416</v>
      </c>
      <c r="G20" s="1" t="s">
        <v>1417</v>
      </c>
    </row>
    <row r="21" spans="1:7">
      <c r="A21" s="1">
        <v>20</v>
      </c>
      <c r="B21" s="1" t="s">
        <v>1418</v>
      </c>
      <c r="D21" s="1" t="s">
        <v>1398</v>
      </c>
      <c r="E21" s="1" t="s">
        <v>1419</v>
      </c>
      <c r="F21" s="1" t="s">
        <v>1420</v>
      </c>
      <c r="G21" s="1" t="s">
        <v>1421</v>
      </c>
    </row>
    <row r="22" spans="1:7">
      <c r="A22" s="1">
        <v>21</v>
      </c>
      <c r="B22" s="1" t="s">
        <v>1422</v>
      </c>
      <c r="D22" s="1" t="s">
        <v>1398</v>
      </c>
      <c r="E22" s="1" t="s">
        <v>1423</v>
      </c>
      <c r="F22" s="1" t="s">
        <v>1424</v>
      </c>
      <c r="G22" s="1" t="s">
        <v>1425</v>
      </c>
    </row>
    <row r="23" spans="1:7">
      <c r="A23" s="1">
        <v>22</v>
      </c>
      <c r="B23" s="1" t="s">
        <v>1426</v>
      </c>
      <c r="D23" s="1" t="s">
        <v>1427</v>
      </c>
      <c r="E23" s="1" t="s">
        <v>1428</v>
      </c>
      <c r="F23" s="1" t="s">
        <v>1429</v>
      </c>
      <c r="G23" s="1" t="s">
        <v>1430</v>
      </c>
    </row>
    <row r="24" spans="1:7">
      <c r="A24" s="1">
        <v>23</v>
      </c>
      <c r="B24" s="1" t="s">
        <v>1431</v>
      </c>
      <c r="D24" s="1" t="s">
        <v>1427</v>
      </c>
      <c r="E24" s="1" t="s">
        <v>1432</v>
      </c>
      <c r="F24" s="1" t="s">
        <v>1433</v>
      </c>
      <c r="G24" s="1" t="s">
        <v>1434</v>
      </c>
    </row>
    <row r="25" spans="1:7">
      <c r="A25" s="1">
        <v>24</v>
      </c>
      <c r="B25" s="1" t="s">
        <v>1435</v>
      </c>
      <c r="D25" s="1" t="s">
        <v>1436</v>
      </c>
      <c r="E25" s="1" t="s">
        <v>1437</v>
      </c>
      <c r="F25" s="1" t="s">
        <v>1438</v>
      </c>
      <c r="G25" s="1" t="s">
        <v>1439</v>
      </c>
    </row>
    <row r="26" spans="1:7">
      <c r="A26" s="1">
        <v>25</v>
      </c>
      <c r="B26" s="1" t="s">
        <v>1440</v>
      </c>
      <c r="D26" s="1" t="s">
        <v>1436</v>
      </c>
      <c r="E26" s="1" t="s">
        <v>1441</v>
      </c>
      <c r="F26" s="1" t="s">
        <v>1442</v>
      </c>
      <c r="G26" s="1" t="s">
        <v>1443</v>
      </c>
    </row>
    <row r="27" spans="1:7">
      <c r="A27" s="1">
        <v>26</v>
      </c>
      <c r="B27" s="1" t="s">
        <v>1444</v>
      </c>
      <c r="D27" s="1" t="s">
        <v>1436</v>
      </c>
      <c r="E27" s="1" t="s">
        <v>1445</v>
      </c>
      <c r="F27" s="1" t="s">
        <v>1446</v>
      </c>
      <c r="G27" s="1" t="s">
        <v>1447</v>
      </c>
    </row>
    <row r="28" spans="1:7">
      <c r="A28" s="1">
        <v>27</v>
      </c>
      <c r="B28" s="1" t="s">
        <v>1448</v>
      </c>
      <c r="D28" s="1" t="s">
        <v>1436</v>
      </c>
      <c r="E28" s="1" t="s">
        <v>1449</v>
      </c>
      <c r="F28" s="1" t="s">
        <v>1450</v>
      </c>
      <c r="G28" s="1" t="s">
        <v>1451</v>
      </c>
    </row>
    <row r="29" spans="1:7">
      <c r="A29" s="1">
        <v>28</v>
      </c>
      <c r="B29" s="1" t="s">
        <v>1452</v>
      </c>
      <c r="D29" s="1" t="s">
        <v>1436</v>
      </c>
      <c r="E29" s="1" t="s">
        <v>1453</v>
      </c>
      <c r="F29" s="1" t="s">
        <v>1454</v>
      </c>
      <c r="G29" s="1" t="s">
        <v>1455</v>
      </c>
    </row>
    <row r="30" spans="1:7">
      <c r="A30" s="1">
        <v>29</v>
      </c>
      <c r="B30" s="1" t="s">
        <v>1456</v>
      </c>
      <c r="D30" s="1" t="s">
        <v>1436</v>
      </c>
      <c r="E30" s="1" t="s">
        <v>1457</v>
      </c>
      <c r="F30" s="1" t="s">
        <v>1458</v>
      </c>
      <c r="G30" s="1" t="s">
        <v>1459</v>
      </c>
    </row>
    <row r="31" spans="1:7">
      <c r="A31" s="1">
        <v>30</v>
      </c>
      <c r="B31" s="1" t="s">
        <v>1460</v>
      </c>
      <c r="D31" s="1" t="s">
        <v>1461</v>
      </c>
      <c r="E31" s="1" t="s">
        <v>1462</v>
      </c>
      <c r="F31" s="1" t="s">
        <v>1463</v>
      </c>
      <c r="G31" s="1" t="s">
        <v>1464</v>
      </c>
    </row>
    <row r="32" spans="1:7">
      <c r="A32" s="1">
        <v>31</v>
      </c>
      <c r="B32" s="1" t="s">
        <v>1465</v>
      </c>
      <c r="D32" s="1" t="s">
        <v>1466</v>
      </c>
      <c r="E32" s="1" t="s">
        <v>1467</v>
      </c>
      <c r="F32" s="1" t="s">
        <v>21</v>
      </c>
      <c r="G32" s="1" t="s">
        <v>22</v>
      </c>
    </row>
    <row r="33" spans="1:7">
      <c r="A33" s="1">
        <v>32</v>
      </c>
      <c r="B33" s="1" t="s">
        <v>1468</v>
      </c>
      <c r="D33" s="1" t="s">
        <v>1469</v>
      </c>
      <c r="E33" s="1" t="s">
        <v>403</v>
      </c>
      <c r="F33" s="1" t="s">
        <v>95</v>
      </c>
      <c r="G33" s="1" t="s">
        <v>96</v>
      </c>
    </row>
    <row r="34" spans="1:7">
      <c r="A34" s="1">
        <v>33</v>
      </c>
      <c r="B34" s="1" t="s">
        <v>1470</v>
      </c>
      <c r="D34" s="1" t="s">
        <v>1469</v>
      </c>
      <c r="E34" s="1" t="s">
        <v>406</v>
      </c>
      <c r="F34" s="1" t="s">
        <v>99</v>
      </c>
      <c r="G34" s="1" t="s">
        <v>100</v>
      </c>
    </row>
    <row r="35" spans="1:7">
      <c r="A35" s="1">
        <v>34</v>
      </c>
      <c r="B35" s="1" t="s">
        <v>1471</v>
      </c>
      <c r="D35" s="1" t="s">
        <v>1469</v>
      </c>
      <c r="E35" s="1" t="s">
        <v>400</v>
      </c>
      <c r="F35" s="1" t="s">
        <v>91</v>
      </c>
      <c r="G35" s="1" t="s">
        <v>92</v>
      </c>
    </row>
    <row r="36" spans="1:7">
      <c r="A36" s="1">
        <v>35</v>
      </c>
      <c r="B36" s="1" t="s">
        <v>1472</v>
      </c>
      <c r="D36" s="1" t="s">
        <v>1469</v>
      </c>
      <c r="E36" s="1" t="s">
        <v>411</v>
      </c>
      <c r="F36" s="1" t="s">
        <v>87</v>
      </c>
      <c r="G36" s="1" t="s">
        <v>88</v>
      </c>
    </row>
    <row r="37" spans="1:7">
      <c r="A37" s="1">
        <v>36</v>
      </c>
      <c r="B37" s="1" t="s">
        <v>1473</v>
      </c>
      <c r="D37" s="1" t="s">
        <v>1469</v>
      </c>
      <c r="E37" s="1" t="s">
        <v>409</v>
      </c>
      <c r="F37" s="1" t="s">
        <v>79</v>
      </c>
      <c r="G37" s="1" t="s">
        <v>80</v>
      </c>
    </row>
    <row r="38" spans="1:7">
      <c r="A38" s="1">
        <v>37</v>
      </c>
      <c r="B38" s="1" t="s">
        <v>1474</v>
      </c>
      <c r="D38" s="1" t="s">
        <v>1469</v>
      </c>
      <c r="E38" s="1" t="s">
        <v>410</v>
      </c>
      <c r="F38" s="1" t="s">
        <v>83</v>
      </c>
      <c r="G38" s="1" t="s">
        <v>84</v>
      </c>
    </row>
    <row r="39" spans="1:7">
      <c r="A39" s="1">
        <v>38</v>
      </c>
      <c r="B39" s="1" t="s">
        <v>1475</v>
      </c>
      <c r="D39" s="1" t="s">
        <v>1476</v>
      </c>
      <c r="E39" s="1" t="s">
        <v>1477</v>
      </c>
      <c r="F39" s="1" t="s">
        <v>319</v>
      </c>
      <c r="G39" s="1" t="s">
        <v>320</v>
      </c>
    </row>
    <row r="40" spans="1:7">
      <c r="A40" s="1">
        <v>39</v>
      </c>
      <c r="B40" s="1" t="s">
        <v>1478</v>
      </c>
      <c r="D40" s="1" t="s">
        <v>1476</v>
      </c>
      <c r="E40" s="1" t="s">
        <v>1479</v>
      </c>
      <c r="F40" s="1" t="s">
        <v>322</v>
      </c>
      <c r="G40" s="1" t="s">
        <v>323</v>
      </c>
    </row>
    <row r="41" spans="1:7">
      <c r="A41" s="1">
        <v>40</v>
      </c>
      <c r="B41" s="1" t="s">
        <v>1480</v>
      </c>
      <c r="D41" s="1" t="s">
        <v>1481</v>
      </c>
      <c r="E41" s="1" t="s">
        <v>1482</v>
      </c>
      <c r="F41" s="1" t="s">
        <v>107</v>
      </c>
      <c r="G41" s="1" t="s">
        <v>108</v>
      </c>
    </row>
    <row r="42" spans="1:7">
      <c r="A42" s="1">
        <v>41</v>
      </c>
      <c r="B42" s="1" t="s">
        <v>1483</v>
      </c>
      <c r="D42" s="1" t="s">
        <v>1481</v>
      </c>
      <c r="E42" s="1" t="s">
        <v>1484</v>
      </c>
      <c r="F42" s="1" t="s">
        <v>104</v>
      </c>
      <c r="G42" s="1" t="s">
        <v>105</v>
      </c>
    </row>
    <row r="43" spans="1:7">
      <c r="A43" s="1">
        <v>42</v>
      </c>
      <c r="B43" s="1" t="s">
        <v>1485</v>
      </c>
      <c r="D43" s="1" t="s">
        <v>1481</v>
      </c>
      <c r="E43" s="1" t="s">
        <v>1486</v>
      </c>
      <c r="F43" s="1" t="s">
        <v>110</v>
      </c>
      <c r="G43" s="1" t="s">
        <v>111</v>
      </c>
    </row>
    <row r="44" spans="1:7">
      <c r="A44" s="1">
        <v>43</v>
      </c>
      <c r="B44" s="1" t="s">
        <v>1487</v>
      </c>
      <c r="D44" s="1" t="s">
        <v>1488</v>
      </c>
      <c r="E44" s="1" t="s">
        <v>114</v>
      </c>
      <c r="F44" s="1" t="s">
        <v>115</v>
      </c>
      <c r="G44" s="1" t="s">
        <v>116</v>
      </c>
    </row>
    <row r="45" spans="1:7">
      <c r="A45" s="1">
        <v>44</v>
      </c>
      <c r="B45" s="1" t="s">
        <v>1489</v>
      </c>
      <c r="D45" s="1" t="s">
        <v>1488</v>
      </c>
      <c r="E45" s="1" t="s">
        <v>117</v>
      </c>
      <c r="F45" s="1" t="s">
        <v>118</v>
      </c>
      <c r="G45" s="1" t="s">
        <v>119</v>
      </c>
    </row>
    <row r="46" spans="1:7">
      <c r="A46" s="1">
        <v>45</v>
      </c>
      <c r="B46" s="1" t="s">
        <v>1490</v>
      </c>
      <c r="D46" s="1" t="s">
        <v>1491</v>
      </c>
      <c r="E46" s="1" t="s">
        <v>122</v>
      </c>
      <c r="F46" s="1" t="s">
        <v>115</v>
      </c>
      <c r="G46" s="1" t="s">
        <v>116</v>
      </c>
    </row>
    <row r="47" spans="1:7">
      <c r="A47" s="1">
        <v>46</v>
      </c>
      <c r="B47" s="1" t="s">
        <v>1492</v>
      </c>
      <c r="D47" s="1" t="s">
        <v>1491</v>
      </c>
      <c r="E47" s="1" t="s">
        <v>123</v>
      </c>
      <c r="F47" s="1" t="s">
        <v>118</v>
      </c>
      <c r="G47" s="1" t="s">
        <v>119</v>
      </c>
    </row>
    <row r="48" spans="1:7">
      <c r="A48" s="1">
        <v>47</v>
      </c>
      <c r="B48" s="1" t="s">
        <v>1493</v>
      </c>
      <c r="D48" s="1" t="s">
        <v>1494</v>
      </c>
      <c r="E48" s="1" t="s">
        <v>1495</v>
      </c>
      <c r="F48" s="1" t="s">
        <v>21</v>
      </c>
      <c r="G48" s="1" t="s">
        <v>22</v>
      </c>
    </row>
    <row r="49" spans="1:7">
      <c r="A49" s="1">
        <v>48</v>
      </c>
      <c r="B49" s="1" t="s">
        <v>1496</v>
      </c>
      <c r="D49" s="1" t="s">
        <v>1494</v>
      </c>
      <c r="E49" s="1" t="s">
        <v>1497</v>
      </c>
      <c r="F49" s="1" t="s">
        <v>630</v>
      </c>
      <c r="G49" s="1" t="s">
        <v>631</v>
      </c>
    </row>
    <row r="50" spans="1:7">
      <c r="A50" s="1">
        <v>49</v>
      </c>
      <c r="B50" s="1" t="s">
        <v>1498</v>
      </c>
      <c r="D50" s="1" t="s">
        <v>1494</v>
      </c>
      <c r="E50" s="1" t="s">
        <v>1499</v>
      </c>
      <c r="F50" s="1" t="s">
        <v>627</v>
      </c>
      <c r="G50" s="1" t="s">
        <v>628</v>
      </c>
    </row>
    <row r="51" spans="1:7">
      <c r="A51" s="1">
        <v>50</v>
      </c>
      <c r="B51" s="1" t="s">
        <v>1500</v>
      </c>
      <c r="D51" s="1" t="s">
        <v>1501</v>
      </c>
      <c r="E51" s="1" t="s">
        <v>1502</v>
      </c>
      <c r="F51" s="1" t="s">
        <v>1503</v>
      </c>
      <c r="G51" s="1" t="s">
        <v>1504</v>
      </c>
    </row>
    <row r="52" spans="1:7">
      <c r="A52" s="1">
        <v>51</v>
      </c>
      <c r="B52" s="1" t="s">
        <v>1505</v>
      </c>
      <c r="D52" s="1" t="s">
        <v>1501</v>
      </c>
      <c r="E52" s="1" t="s">
        <v>1506</v>
      </c>
      <c r="F52" s="1" t="s">
        <v>1507</v>
      </c>
      <c r="G52" s="1" t="s">
        <v>1508</v>
      </c>
    </row>
    <row r="53" spans="1:7">
      <c r="A53" s="1">
        <v>52</v>
      </c>
      <c r="B53" s="1" t="s">
        <v>1509</v>
      </c>
      <c r="D53" s="1" t="s">
        <v>1501</v>
      </c>
      <c r="E53" s="1" t="s">
        <v>1510</v>
      </c>
      <c r="F53" s="1" t="s">
        <v>1511</v>
      </c>
      <c r="G53" s="1" t="s">
        <v>1512</v>
      </c>
    </row>
    <row r="54" spans="1:7">
      <c r="A54" s="1">
        <v>53</v>
      </c>
      <c r="B54" s="1" t="s">
        <v>1513</v>
      </c>
      <c r="D54" s="1" t="s">
        <v>1501</v>
      </c>
      <c r="E54" s="1" t="s">
        <v>1514</v>
      </c>
      <c r="F54" s="1" t="s">
        <v>1515</v>
      </c>
      <c r="G54" s="1" t="s">
        <v>1516</v>
      </c>
    </row>
    <row r="55" spans="1:7">
      <c r="A55" s="1">
        <v>54</v>
      </c>
      <c r="B55" s="1" t="s">
        <v>1517</v>
      </c>
      <c r="D55" s="1" t="s">
        <v>1501</v>
      </c>
      <c r="E55" s="1" t="s">
        <v>1518</v>
      </c>
      <c r="F55" s="1" t="s">
        <v>1519</v>
      </c>
      <c r="G55" s="1" t="s">
        <v>1520</v>
      </c>
    </row>
    <row r="56" spans="1:7">
      <c r="A56" s="1">
        <v>55</v>
      </c>
      <c r="B56" s="1" t="s">
        <v>1521</v>
      </c>
      <c r="D56" s="1" t="s">
        <v>1522</v>
      </c>
      <c r="E56" s="1" t="s">
        <v>1523</v>
      </c>
      <c r="F56" s="1" t="s">
        <v>1524</v>
      </c>
      <c r="G56" s="1" t="s">
        <v>1525</v>
      </c>
    </row>
    <row r="57" spans="1:7">
      <c r="A57" s="1">
        <v>56</v>
      </c>
      <c r="B57" s="1" t="s">
        <v>1526</v>
      </c>
      <c r="D57" s="1" t="s">
        <v>1522</v>
      </c>
      <c r="E57" s="1" t="s">
        <v>1527</v>
      </c>
      <c r="F57" s="1" t="s">
        <v>1528</v>
      </c>
      <c r="G57" s="1" t="s">
        <v>1529</v>
      </c>
    </row>
    <row r="58" spans="1:7">
      <c r="A58" s="1">
        <v>57</v>
      </c>
      <c r="B58" s="1" t="s">
        <v>1530</v>
      </c>
      <c r="D58" s="1" t="s">
        <v>1522</v>
      </c>
      <c r="E58" s="1" t="s">
        <v>1531</v>
      </c>
      <c r="F58" s="1" t="s">
        <v>1532</v>
      </c>
      <c r="G58" s="1" t="s">
        <v>1533</v>
      </c>
    </row>
    <row r="59" spans="1:7">
      <c r="A59" s="1">
        <v>58</v>
      </c>
      <c r="B59" s="1" t="s">
        <v>1534</v>
      </c>
      <c r="D59" s="1" t="s">
        <v>1522</v>
      </c>
      <c r="E59" s="1" t="s">
        <v>1535</v>
      </c>
      <c r="F59" s="1" t="s">
        <v>1536</v>
      </c>
      <c r="G59" s="1" t="s">
        <v>1537</v>
      </c>
    </row>
    <row r="60" spans="1:7">
      <c r="A60" s="1">
        <v>59</v>
      </c>
      <c r="B60" s="1" t="s">
        <v>1538</v>
      </c>
      <c r="D60" s="1" t="s">
        <v>1539</v>
      </c>
      <c r="E60" s="1" t="s">
        <v>1540</v>
      </c>
      <c r="F60" s="1" t="s">
        <v>21</v>
      </c>
      <c r="G60" s="1" t="s">
        <v>22</v>
      </c>
    </row>
    <row r="61" spans="1:7">
      <c r="A61" s="1">
        <v>60</v>
      </c>
      <c r="B61" s="1" t="s">
        <v>1541</v>
      </c>
      <c r="D61" s="1" t="s">
        <v>1542</v>
      </c>
      <c r="E61" s="1" t="s">
        <v>1543</v>
      </c>
      <c r="F61" s="1" t="s">
        <v>21</v>
      </c>
      <c r="G61" s="1" t="s">
        <v>22</v>
      </c>
    </row>
    <row r="62" spans="1:7">
      <c r="A62" s="1">
        <v>61</v>
      </c>
      <c r="B62" s="1" t="s">
        <v>1544</v>
      </c>
      <c r="D62" s="1" t="s">
        <v>1545</v>
      </c>
      <c r="E62" s="1" t="s">
        <v>1546</v>
      </c>
      <c r="F62" s="1" t="s">
        <v>21</v>
      </c>
      <c r="G62" s="1" t="s">
        <v>22</v>
      </c>
    </row>
    <row r="63" spans="1:7">
      <c r="A63" s="1">
        <v>62</v>
      </c>
      <c r="B63" s="1" t="s">
        <v>1547</v>
      </c>
      <c r="D63" s="1" t="s">
        <v>1548</v>
      </c>
      <c r="E63" s="1" t="s">
        <v>848</v>
      </c>
      <c r="F63" s="1" t="s">
        <v>127</v>
      </c>
      <c r="G63" s="1" t="s">
        <v>128</v>
      </c>
    </row>
    <row r="64" spans="1:7">
      <c r="A64" s="1">
        <v>63</v>
      </c>
      <c r="B64" s="1" t="s">
        <v>1549</v>
      </c>
      <c r="D64" s="1" t="s">
        <v>1548</v>
      </c>
      <c r="E64" s="1" t="s">
        <v>1304</v>
      </c>
      <c r="F64" s="1" t="s">
        <v>136</v>
      </c>
      <c r="G64" s="1" t="s">
        <v>137</v>
      </c>
    </row>
    <row r="65" spans="1:7">
      <c r="A65" s="1">
        <v>64</v>
      </c>
      <c r="B65" s="1" t="s">
        <v>1550</v>
      </c>
      <c r="D65" s="1" t="s">
        <v>1548</v>
      </c>
      <c r="E65" s="1" t="s">
        <v>1298</v>
      </c>
      <c r="F65" s="1" t="s">
        <v>130</v>
      </c>
      <c r="G65" s="1" t="s">
        <v>131</v>
      </c>
    </row>
    <row r="66" spans="1:7">
      <c r="A66" s="1">
        <v>65</v>
      </c>
      <c r="B66" s="1" t="s">
        <v>1551</v>
      </c>
      <c r="D66" s="1" t="s">
        <v>1548</v>
      </c>
      <c r="E66" s="1" t="s">
        <v>1301</v>
      </c>
      <c r="F66" s="1" t="s">
        <v>133</v>
      </c>
      <c r="G66" s="1" t="s">
        <v>134</v>
      </c>
    </row>
    <row r="67" spans="1:7">
      <c r="A67" s="1">
        <v>66</v>
      </c>
      <c r="B67" s="1" t="s">
        <v>1552</v>
      </c>
      <c r="D67" s="1" t="s">
        <v>1553</v>
      </c>
      <c r="E67" s="1" t="s">
        <v>1343</v>
      </c>
      <c r="F67" s="1" t="s">
        <v>1344</v>
      </c>
      <c r="G67" s="1" t="s">
        <v>1344</v>
      </c>
    </row>
    <row r="68" spans="1:7">
      <c r="A68" s="1">
        <v>67</v>
      </c>
      <c r="B68" s="1" t="s">
        <v>1554</v>
      </c>
      <c r="D68" s="1" t="s">
        <v>1555</v>
      </c>
      <c r="E68" s="1" t="s">
        <v>1556</v>
      </c>
      <c r="F68" s="1" t="s">
        <v>1557</v>
      </c>
      <c r="G68" s="1" t="s">
        <v>1558</v>
      </c>
    </row>
    <row r="69" spans="1:7">
      <c r="A69" s="1">
        <v>68</v>
      </c>
      <c r="B69" s="1" t="s">
        <v>1559</v>
      </c>
      <c r="D69" s="1" t="s">
        <v>1555</v>
      </c>
      <c r="E69" s="1" t="s">
        <v>1560</v>
      </c>
      <c r="F69" s="1" t="s">
        <v>1561</v>
      </c>
      <c r="G69" s="1" t="s">
        <v>1562</v>
      </c>
    </row>
    <row r="70" spans="1:7">
      <c r="A70" s="1">
        <v>69</v>
      </c>
      <c r="B70" s="1" t="s">
        <v>1563</v>
      </c>
      <c r="D70" s="1" t="s">
        <v>1555</v>
      </c>
      <c r="E70" s="1" t="s">
        <v>1564</v>
      </c>
      <c r="F70" s="1" t="s">
        <v>1565</v>
      </c>
      <c r="G70" s="1" t="s">
        <v>1566</v>
      </c>
    </row>
    <row r="71" spans="1:7">
      <c r="A71" s="1">
        <v>70</v>
      </c>
      <c r="B71" s="1" t="s">
        <v>1567</v>
      </c>
      <c r="D71" s="1" t="s">
        <v>1555</v>
      </c>
      <c r="E71" s="1" t="s">
        <v>1568</v>
      </c>
      <c r="F71" s="1" t="s">
        <v>1569</v>
      </c>
      <c r="G71" s="1" t="s">
        <v>1570</v>
      </c>
    </row>
    <row r="72" spans="1:7">
      <c r="A72" s="1">
        <v>71</v>
      </c>
      <c r="B72" s="1" t="s">
        <v>1571</v>
      </c>
      <c r="D72" s="1" t="s">
        <v>1555</v>
      </c>
      <c r="E72" s="1" t="s">
        <v>1572</v>
      </c>
      <c r="F72" s="1" t="s">
        <v>21</v>
      </c>
      <c r="G72" s="1" t="s">
        <v>22</v>
      </c>
    </row>
    <row r="73" spans="1:7">
      <c r="A73" s="1">
        <v>72</v>
      </c>
      <c r="B73" s="1" t="s">
        <v>1573</v>
      </c>
      <c r="D73" s="1" t="s">
        <v>1555</v>
      </c>
      <c r="E73" s="1" t="s">
        <v>1574</v>
      </c>
      <c r="F73" s="1" t="s">
        <v>1575</v>
      </c>
      <c r="G73" s="1" t="s">
        <v>1576</v>
      </c>
    </row>
    <row r="74" spans="1:7">
      <c r="A74" s="1">
        <v>73</v>
      </c>
      <c r="B74" s="1" t="s">
        <v>1577</v>
      </c>
      <c r="D74" s="1" t="s">
        <v>1555</v>
      </c>
      <c r="E74" s="1" t="s">
        <v>1578</v>
      </c>
      <c r="F74" s="1" t="s">
        <v>1579</v>
      </c>
      <c r="G74" s="1" t="s">
        <v>1580</v>
      </c>
    </row>
    <row r="75" spans="1:7">
      <c r="A75" s="1">
        <v>74</v>
      </c>
      <c r="B75" s="1" t="s">
        <v>1581</v>
      </c>
      <c r="D75" s="1" t="s">
        <v>1555</v>
      </c>
      <c r="E75" s="1" t="s">
        <v>1582</v>
      </c>
      <c r="F75" s="1" t="s">
        <v>1583</v>
      </c>
      <c r="G75" s="1" t="s">
        <v>1584</v>
      </c>
    </row>
    <row r="76" spans="1:7">
      <c r="A76" s="1">
        <v>75</v>
      </c>
      <c r="B76" s="1" t="s">
        <v>1585</v>
      </c>
      <c r="D76" s="1" t="s">
        <v>1586</v>
      </c>
      <c r="E76" s="1" t="s">
        <v>1347</v>
      </c>
      <c r="F76" s="1" t="s">
        <v>739</v>
      </c>
      <c r="G76" s="1" t="s">
        <v>740</v>
      </c>
    </row>
    <row r="77" spans="1:7">
      <c r="A77" s="1">
        <v>76</v>
      </c>
      <c r="B77" s="1" t="s">
        <v>1587</v>
      </c>
      <c r="D77" s="1" t="s">
        <v>1586</v>
      </c>
      <c r="E77" s="1" t="s">
        <v>347</v>
      </c>
      <c r="F77" s="1" t="s">
        <v>754</v>
      </c>
      <c r="G77" s="1" t="s">
        <v>755</v>
      </c>
    </row>
    <row r="78" spans="1:7">
      <c r="A78" s="1">
        <v>77</v>
      </c>
      <c r="B78" s="1" t="s">
        <v>1588</v>
      </c>
      <c r="D78" s="1" t="s">
        <v>1586</v>
      </c>
      <c r="E78" s="1" t="s">
        <v>339</v>
      </c>
      <c r="F78" s="1" t="s">
        <v>745</v>
      </c>
      <c r="G78" s="1" t="s">
        <v>746</v>
      </c>
    </row>
    <row r="79" spans="1:7">
      <c r="A79" s="1">
        <v>78</v>
      </c>
      <c r="B79" s="1" t="s">
        <v>1589</v>
      </c>
      <c r="D79" s="1" t="s">
        <v>1586</v>
      </c>
      <c r="E79" s="1" t="s">
        <v>1590</v>
      </c>
      <c r="F79" s="1" t="s">
        <v>751</v>
      </c>
      <c r="G79" s="1" t="s">
        <v>752</v>
      </c>
    </row>
    <row r="80" spans="1:7">
      <c r="A80" s="1">
        <v>79</v>
      </c>
      <c r="B80" s="1" t="s">
        <v>1591</v>
      </c>
      <c r="D80" s="1" t="s">
        <v>1586</v>
      </c>
      <c r="E80" s="1" t="s">
        <v>343</v>
      </c>
      <c r="F80" s="1" t="s">
        <v>748</v>
      </c>
      <c r="G80" s="1" t="s">
        <v>749</v>
      </c>
    </row>
    <row r="81" spans="1:7">
      <c r="A81" s="1">
        <v>80</v>
      </c>
      <c r="B81" s="1" t="s">
        <v>1592</v>
      </c>
      <c r="D81" s="1" t="s">
        <v>1586</v>
      </c>
      <c r="E81" s="1" t="s">
        <v>335</v>
      </c>
      <c r="F81" s="1" t="s">
        <v>742</v>
      </c>
      <c r="G81" s="1" t="s">
        <v>743</v>
      </c>
    </row>
    <row r="82" spans="1:7">
      <c r="A82" s="1">
        <v>81</v>
      </c>
      <c r="B82" s="1" t="s">
        <v>1593</v>
      </c>
      <c r="D82" s="1" t="s">
        <v>1594</v>
      </c>
      <c r="E82" s="1" t="s">
        <v>615</v>
      </c>
      <c r="F82" s="1" t="s">
        <v>16</v>
      </c>
      <c r="G82" s="1" t="s">
        <v>17</v>
      </c>
    </row>
    <row r="83" spans="1:7">
      <c r="A83" s="1">
        <v>82</v>
      </c>
      <c r="B83" s="1" t="s">
        <v>1595</v>
      </c>
      <c r="D83" s="1" t="s">
        <v>1596</v>
      </c>
      <c r="E83" s="1" t="s">
        <v>618</v>
      </c>
      <c r="F83" s="1" t="s">
        <v>619</v>
      </c>
      <c r="G83" s="1" t="s">
        <v>620</v>
      </c>
    </row>
    <row r="84" spans="1:7">
      <c r="A84" s="1">
        <v>83</v>
      </c>
      <c r="B84" s="1" t="s">
        <v>1597</v>
      </c>
      <c r="D84" s="1" t="s">
        <v>1598</v>
      </c>
      <c r="E84" s="1" t="s">
        <v>623</v>
      </c>
      <c r="F84" s="1" t="s">
        <v>12</v>
      </c>
      <c r="G84" s="1" t="s">
        <v>13</v>
      </c>
    </row>
    <row r="85" spans="1:7">
      <c r="A85" s="1">
        <v>84</v>
      </c>
      <c r="B85" s="1" t="s">
        <v>1599</v>
      </c>
      <c r="D85" s="1" t="s">
        <v>1600</v>
      </c>
      <c r="E85" s="1" t="s">
        <v>1601</v>
      </c>
      <c r="F85" s="1" t="s">
        <v>12</v>
      </c>
      <c r="G85" s="1" t="s">
        <v>13</v>
      </c>
    </row>
    <row r="86" spans="1:7">
      <c r="A86" s="1">
        <v>85</v>
      </c>
      <c r="B86" s="1" t="s">
        <v>1602</v>
      </c>
      <c r="D86" s="1" t="s">
        <v>1600</v>
      </c>
      <c r="E86" s="1" t="s">
        <v>1603</v>
      </c>
      <c r="F86" s="1" t="s">
        <v>21</v>
      </c>
      <c r="G86" s="1" t="s">
        <v>22</v>
      </c>
    </row>
    <row r="87" spans="1:7">
      <c r="A87" s="1">
        <v>86</v>
      </c>
      <c r="B87" s="1" t="s">
        <v>1604</v>
      </c>
      <c r="D87" s="1" t="s">
        <v>1600</v>
      </c>
      <c r="E87" s="1" t="s">
        <v>1605</v>
      </c>
      <c r="F87" s="1" t="s">
        <v>16</v>
      </c>
      <c r="G87" s="1" t="s">
        <v>17</v>
      </c>
    </row>
    <row r="88" spans="1:7">
      <c r="A88" s="1">
        <v>87</v>
      </c>
      <c r="B88" s="1" t="s">
        <v>1606</v>
      </c>
      <c r="D88" s="1" t="s">
        <v>1607</v>
      </c>
      <c r="E88" s="1" t="s">
        <v>1608</v>
      </c>
      <c r="F88" s="1" t="s">
        <v>12</v>
      </c>
      <c r="G88" s="1" t="s">
        <v>13</v>
      </c>
    </row>
    <row r="89" spans="1:7">
      <c r="A89" s="1">
        <v>88</v>
      </c>
      <c r="B89" s="1" t="s">
        <v>1609</v>
      </c>
      <c r="D89" s="1" t="s">
        <v>1607</v>
      </c>
      <c r="E89" s="1" t="s">
        <v>1610</v>
      </c>
      <c r="F89" s="1" t="s">
        <v>21</v>
      </c>
      <c r="G89" s="1" t="s">
        <v>22</v>
      </c>
    </row>
    <row r="90" spans="1:7">
      <c r="A90" s="1">
        <v>89</v>
      </c>
      <c r="B90" s="1" t="s">
        <v>1611</v>
      </c>
      <c r="D90" s="1" t="s">
        <v>1607</v>
      </c>
      <c r="E90" s="1" t="s">
        <v>1612</v>
      </c>
      <c r="F90" s="1" t="s">
        <v>16</v>
      </c>
      <c r="G90" s="1" t="s">
        <v>17</v>
      </c>
    </row>
    <row r="91" spans="1:7">
      <c r="A91" s="1">
        <v>90</v>
      </c>
      <c r="B91" s="1" t="s">
        <v>1613</v>
      </c>
      <c r="D91" s="1" t="s">
        <v>1614</v>
      </c>
      <c r="E91" s="1" t="s">
        <v>1615</v>
      </c>
      <c r="F91" s="1" t="s">
        <v>12</v>
      </c>
      <c r="G91" s="1" t="s">
        <v>13</v>
      </c>
    </row>
    <row r="92" spans="1:7">
      <c r="A92" s="1">
        <v>91</v>
      </c>
      <c r="B92" s="1" t="s">
        <v>1616</v>
      </c>
      <c r="D92" s="1" t="s">
        <v>1614</v>
      </c>
      <c r="E92" s="1" t="s">
        <v>1617</v>
      </c>
      <c r="F92" s="1" t="s">
        <v>21</v>
      </c>
      <c r="G92" s="1" t="s">
        <v>22</v>
      </c>
    </row>
    <row r="93" spans="1:7">
      <c r="A93" s="1">
        <v>92</v>
      </c>
      <c r="B93" s="1" t="s">
        <v>1618</v>
      </c>
      <c r="D93" s="1" t="s">
        <v>1614</v>
      </c>
      <c r="E93" s="1" t="s">
        <v>1619</v>
      </c>
      <c r="F93" s="1" t="s">
        <v>16</v>
      </c>
      <c r="G93" s="1" t="s">
        <v>17</v>
      </c>
    </row>
    <row r="94" spans="1:7">
      <c r="A94" s="1">
        <v>93</v>
      </c>
      <c r="B94" s="1" t="s">
        <v>1620</v>
      </c>
      <c r="D94" s="1" t="s">
        <v>1621</v>
      </c>
      <c r="E94" s="1" t="s">
        <v>1622</v>
      </c>
      <c r="F94" s="1" t="s">
        <v>12</v>
      </c>
      <c r="G94" s="1" t="s">
        <v>13</v>
      </c>
    </row>
    <row r="95" spans="1:7">
      <c r="A95" s="1">
        <v>94</v>
      </c>
      <c r="B95" s="1" t="s">
        <v>1623</v>
      </c>
      <c r="D95" s="1" t="s">
        <v>1621</v>
      </c>
      <c r="E95" s="1" t="s">
        <v>1624</v>
      </c>
      <c r="F95" s="1" t="s">
        <v>21</v>
      </c>
      <c r="G95" s="1" t="s">
        <v>22</v>
      </c>
    </row>
    <row r="96" spans="1:7">
      <c r="A96" s="1">
        <v>95</v>
      </c>
      <c r="B96" s="1" t="s">
        <v>1625</v>
      </c>
      <c r="D96" s="1" t="s">
        <v>1621</v>
      </c>
      <c r="E96" s="1" t="s">
        <v>1626</v>
      </c>
      <c r="F96" s="1" t="s">
        <v>16</v>
      </c>
      <c r="G96" s="1" t="s">
        <v>17</v>
      </c>
    </row>
    <row r="97" spans="1:7">
      <c r="A97" s="1">
        <v>96</v>
      </c>
      <c r="B97" s="1" t="s">
        <v>1627</v>
      </c>
      <c r="D97" s="1" t="s">
        <v>1628</v>
      </c>
      <c r="E97" s="1" t="s">
        <v>1629</v>
      </c>
      <c r="F97" s="1" t="s">
        <v>12</v>
      </c>
      <c r="G97" s="1" t="s">
        <v>13</v>
      </c>
    </row>
    <row r="98" spans="1:7">
      <c r="A98" s="1">
        <v>97</v>
      </c>
      <c r="B98" s="1" t="s">
        <v>1630</v>
      </c>
      <c r="D98" s="1" t="s">
        <v>1628</v>
      </c>
      <c r="E98" s="1" t="s">
        <v>1631</v>
      </c>
      <c r="F98" s="1" t="s">
        <v>21</v>
      </c>
      <c r="G98" s="1" t="s">
        <v>22</v>
      </c>
    </row>
    <row r="99" spans="1:7">
      <c r="A99" s="1">
        <v>98</v>
      </c>
      <c r="B99" s="1" t="s">
        <v>1632</v>
      </c>
      <c r="D99" s="1" t="s">
        <v>1628</v>
      </c>
      <c r="E99" s="1" t="s">
        <v>1633</v>
      </c>
      <c r="F99" s="1" t="s">
        <v>16</v>
      </c>
      <c r="G99" s="1" t="s">
        <v>17</v>
      </c>
    </row>
    <row r="100" spans="1:7">
      <c r="A100" s="1">
        <v>99</v>
      </c>
      <c r="B100" s="1" t="s">
        <v>1634</v>
      </c>
      <c r="D100" s="1" t="s">
        <v>1635</v>
      </c>
      <c r="E100" s="1" t="s">
        <v>1636</v>
      </c>
      <c r="F100" s="1" t="s">
        <v>12</v>
      </c>
      <c r="G100" s="1" t="s">
        <v>13</v>
      </c>
    </row>
    <row r="101" spans="1:7">
      <c r="A101" s="1">
        <v>100</v>
      </c>
      <c r="B101" s="1" t="s">
        <v>1637</v>
      </c>
      <c r="D101" s="1" t="s">
        <v>1635</v>
      </c>
      <c r="E101" s="1" t="s">
        <v>1638</v>
      </c>
      <c r="F101" s="1" t="s">
        <v>21</v>
      </c>
      <c r="G101" s="1" t="s">
        <v>22</v>
      </c>
    </row>
    <row r="102" spans="1:7">
      <c r="A102" s="1">
        <v>101</v>
      </c>
      <c r="B102" s="1" t="s">
        <v>1639</v>
      </c>
      <c r="D102" s="1" t="s">
        <v>1635</v>
      </c>
      <c r="E102" s="1" t="s">
        <v>1640</v>
      </c>
      <c r="F102" s="1" t="s">
        <v>16</v>
      </c>
      <c r="G102" s="1" t="s">
        <v>17</v>
      </c>
    </row>
    <row r="103" spans="1:7">
      <c r="A103" s="1">
        <v>102</v>
      </c>
      <c r="B103" s="1" t="s">
        <v>1641</v>
      </c>
      <c r="D103" s="1" t="s">
        <v>1642</v>
      </c>
      <c r="E103" s="1" t="s">
        <v>1643</v>
      </c>
      <c r="F103" s="1" t="s">
        <v>16</v>
      </c>
      <c r="G103" s="1" t="s">
        <v>17</v>
      </c>
    </row>
    <row r="104" spans="1:7">
      <c r="A104" s="1">
        <v>103</v>
      </c>
      <c r="B104" s="1" t="s">
        <v>1644</v>
      </c>
      <c r="D104" s="1" t="s">
        <v>1645</v>
      </c>
      <c r="E104" s="1" t="s">
        <v>1646</v>
      </c>
      <c r="F104" s="1" t="s">
        <v>21</v>
      </c>
      <c r="G104" s="1" t="s">
        <v>22</v>
      </c>
    </row>
    <row r="105" spans="1:7">
      <c r="A105" s="1">
        <v>104</v>
      </c>
      <c r="B105" s="1" t="s">
        <v>1647</v>
      </c>
      <c r="D105" s="1" t="s">
        <v>1645</v>
      </c>
      <c r="E105" s="1" t="s">
        <v>1648</v>
      </c>
      <c r="F105" s="1" t="s">
        <v>619</v>
      </c>
      <c r="G105" s="1" t="s">
        <v>620</v>
      </c>
    </row>
    <row r="106" spans="1:7">
      <c r="A106" s="1">
        <v>105</v>
      </c>
      <c r="B106" s="1" t="s">
        <v>1649</v>
      </c>
      <c r="D106" s="1" t="s">
        <v>1645</v>
      </c>
      <c r="E106" s="1" t="s">
        <v>1650</v>
      </c>
      <c r="F106" s="1" t="s">
        <v>16</v>
      </c>
      <c r="G106" s="1" t="s">
        <v>17</v>
      </c>
    </row>
    <row r="107" spans="1:7">
      <c r="A107" s="1">
        <v>106</v>
      </c>
      <c r="B107" s="1" t="s">
        <v>1651</v>
      </c>
      <c r="D107" s="1" t="s">
        <v>1652</v>
      </c>
      <c r="E107" s="1" t="s">
        <v>1653</v>
      </c>
      <c r="F107" s="1" t="s">
        <v>1654</v>
      </c>
      <c r="G107" s="1" t="s">
        <v>1655</v>
      </c>
    </row>
    <row r="108" spans="1:7">
      <c r="A108" s="1">
        <v>107</v>
      </c>
      <c r="B108" s="1" t="s">
        <v>1656</v>
      </c>
      <c r="D108" s="1" t="s">
        <v>1652</v>
      </c>
      <c r="E108" s="1" t="s">
        <v>1657</v>
      </c>
      <c r="F108" s="1" t="s">
        <v>1658</v>
      </c>
      <c r="G108" s="1" t="s">
        <v>1659</v>
      </c>
    </row>
    <row r="109" spans="1:7">
      <c r="A109" s="1">
        <v>108</v>
      </c>
      <c r="B109" s="1" t="s">
        <v>1660</v>
      </c>
      <c r="D109" s="1" t="s">
        <v>1661</v>
      </c>
      <c r="E109" s="1" t="s">
        <v>1662</v>
      </c>
      <c r="F109" s="1" t="s">
        <v>1663</v>
      </c>
      <c r="G109" s="1" t="s">
        <v>1664</v>
      </c>
    </row>
    <row r="110" spans="1:7">
      <c r="A110" s="1">
        <v>109</v>
      </c>
      <c r="B110" s="1" t="s">
        <v>1665</v>
      </c>
      <c r="D110" s="1" t="s">
        <v>1661</v>
      </c>
      <c r="E110" s="1" t="s">
        <v>1666</v>
      </c>
      <c r="F110" s="1" t="s">
        <v>1667</v>
      </c>
      <c r="G110" s="1" t="s">
        <v>1668</v>
      </c>
    </row>
    <row r="111" spans="1:7">
      <c r="A111" s="1">
        <v>110</v>
      </c>
      <c r="B111" s="1" t="s">
        <v>1669</v>
      </c>
      <c r="D111" s="1" t="s">
        <v>1661</v>
      </c>
      <c r="E111" s="1" t="s">
        <v>1670</v>
      </c>
      <c r="F111" s="1" t="s">
        <v>1671</v>
      </c>
      <c r="G111" s="1" t="s">
        <v>1672</v>
      </c>
    </row>
    <row r="112" spans="1:7">
      <c r="A112" s="1">
        <v>111</v>
      </c>
      <c r="B112" s="1" t="s">
        <v>1673</v>
      </c>
      <c r="D112" s="1" t="s">
        <v>1661</v>
      </c>
      <c r="E112" s="1" t="s">
        <v>1674</v>
      </c>
      <c r="F112" s="1" t="s">
        <v>1675</v>
      </c>
      <c r="G112" s="1" t="s">
        <v>1676</v>
      </c>
    </row>
    <row r="113" spans="1:7">
      <c r="A113" s="1">
        <v>112</v>
      </c>
      <c r="B113" s="1" t="s">
        <v>1677</v>
      </c>
      <c r="D113" s="1" t="s">
        <v>1678</v>
      </c>
      <c r="E113" s="1" t="s">
        <v>1679</v>
      </c>
      <c r="F113" s="1" t="s">
        <v>12</v>
      </c>
      <c r="G113" s="1" t="s">
        <v>13</v>
      </c>
    </row>
    <row r="114" spans="1:7">
      <c r="A114" s="1">
        <v>113</v>
      </c>
      <c r="B114" s="1" t="s">
        <v>1680</v>
      </c>
      <c r="D114" s="1" t="s">
        <v>1678</v>
      </c>
      <c r="E114" s="1" t="s">
        <v>1681</v>
      </c>
      <c r="F114" s="1" t="s">
        <v>21</v>
      </c>
      <c r="G114" s="1" t="s">
        <v>22</v>
      </c>
    </row>
    <row r="115" spans="1:7">
      <c r="A115" s="1">
        <v>114</v>
      </c>
      <c r="B115" s="1" t="s">
        <v>1682</v>
      </c>
      <c r="D115" s="1" t="s">
        <v>1678</v>
      </c>
      <c r="E115" s="1" t="s">
        <v>1683</v>
      </c>
      <c r="F115" s="1" t="s">
        <v>16</v>
      </c>
      <c r="G115" s="1" t="s">
        <v>17</v>
      </c>
    </row>
    <row r="116" spans="1:7">
      <c r="A116" s="1">
        <v>115</v>
      </c>
      <c r="B116" s="1" t="s">
        <v>1684</v>
      </c>
      <c r="D116" s="1" t="s">
        <v>1678</v>
      </c>
      <c r="E116" s="1" t="s">
        <v>1685</v>
      </c>
      <c r="F116" s="1" t="s">
        <v>1686</v>
      </c>
      <c r="G116" s="1" t="s">
        <v>1687</v>
      </c>
    </row>
    <row r="117" spans="1:7">
      <c r="A117" s="1">
        <v>116</v>
      </c>
      <c r="B117" s="1" t="s">
        <v>1688</v>
      </c>
      <c r="D117" s="1" t="s">
        <v>1689</v>
      </c>
      <c r="E117" s="1" t="s">
        <v>1690</v>
      </c>
      <c r="F117" s="1" t="s">
        <v>1691</v>
      </c>
      <c r="G117" s="1" t="s">
        <v>1692</v>
      </c>
    </row>
    <row r="118" spans="1:7">
      <c r="A118" s="1">
        <v>117</v>
      </c>
      <c r="B118" s="1" t="s">
        <v>1693</v>
      </c>
      <c r="D118" s="1" t="s">
        <v>1689</v>
      </c>
      <c r="E118" s="1" t="s">
        <v>1694</v>
      </c>
      <c r="F118" s="1" t="s">
        <v>1695</v>
      </c>
      <c r="G118" s="1" t="s">
        <v>1696</v>
      </c>
    </row>
    <row r="119" spans="1:7">
      <c r="A119" s="1">
        <v>118</v>
      </c>
      <c r="B119" s="1" t="s">
        <v>1697</v>
      </c>
      <c r="D119" s="1" t="s">
        <v>1689</v>
      </c>
      <c r="E119" s="1" t="s">
        <v>1698</v>
      </c>
      <c r="F119" s="1" t="s">
        <v>1699</v>
      </c>
      <c r="G119" s="1" t="s">
        <v>1700</v>
      </c>
    </row>
    <row r="120" spans="1:7">
      <c r="A120" s="1">
        <v>119</v>
      </c>
      <c r="B120" s="1" t="s">
        <v>1701</v>
      </c>
      <c r="D120" s="1" t="s">
        <v>1702</v>
      </c>
      <c r="E120" s="1" t="s">
        <v>1148</v>
      </c>
      <c r="F120" s="1" t="s">
        <v>21</v>
      </c>
      <c r="G120" s="1" t="s">
        <v>22</v>
      </c>
    </row>
    <row r="121" spans="1:7">
      <c r="A121" s="1">
        <v>120</v>
      </c>
      <c r="B121" s="1" t="s">
        <v>1703</v>
      </c>
      <c r="D121" s="1" t="s">
        <v>1704</v>
      </c>
      <c r="E121" s="1" t="s">
        <v>329</v>
      </c>
      <c r="F121" s="1" t="s">
        <v>330</v>
      </c>
      <c r="G121" s="1" t="s">
        <v>331</v>
      </c>
    </row>
    <row r="122" spans="1:7">
      <c r="A122" s="1">
        <v>121</v>
      </c>
      <c r="B122" s="1" t="s">
        <v>1705</v>
      </c>
      <c r="D122" s="1" t="s">
        <v>1704</v>
      </c>
      <c r="E122" s="1" t="s">
        <v>326</v>
      </c>
      <c r="F122" s="1" t="s">
        <v>327</v>
      </c>
      <c r="G122" s="1" t="s">
        <v>328</v>
      </c>
    </row>
    <row r="123" spans="1:7">
      <c r="A123" s="1">
        <v>122</v>
      </c>
      <c r="B123" s="1" t="s">
        <v>1706</v>
      </c>
      <c r="D123" s="1" t="s">
        <v>1707</v>
      </c>
      <c r="E123" s="1" t="s">
        <v>1708</v>
      </c>
      <c r="F123" s="1" t="s">
        <v>1709</v>
      </c>
      <c r="G123" s="1" t="s">
        <v>1710</v>
      </c>
    </row>
    <row r="124" spans="1:7">
      <c r="A124" s="1">
        <v>123</v>
      </c>
      <c r="B124" s="1" t="s">
        <v>1711</v>
      </c>
      <c r="D124" s="1" t="s">
        <v>1707</v>
      </c>
      <c r="E124" s="1" t="s">
        <v>1712</v>
      </c>
      <c r="F124" s="1" t="s">
        <v>1713</v>
      </c>
      <c r="G124" s="1" t="s">
        <v>1714</v>
      </c>
    </row>
    <row r="125" spans="1:7">
      <c r="A125" s="1">
        <v>124</v>
      </c>
      <c r="B125" s="1" t="s">
        <v>1715</v>
      </c>
      <c r="D125" s="1" t="s">
        <v>1707</v>
      </c>
      <c r="E125" s="1" t="s">
        <v>1716</v>
      </c>
      <c r="F125" s="1" t="s">
        <v>1717</v>
      </c>
      <c r="G125" s="1" t="s">
        <v>1718</v>
      </c>
    </row>
    <row r="126" spans="1:7">
      <c r="A126" s="1">
        <v>125</v>
      </c>
      <c r="B126" s="1" t="s">
        <v>1719</v>
      </c>
      <c r="D126" s="1" t="s">
        <v>1707</v>
      </c>
      <c r="E126" s="1" t="s">
        <v>1720</v>
      </c>
      <c r="F126" s="1" t="s">
        <v>1721</v>
      </c>
      <c r="G126" s="1" t="s">
        <v>1722</v>
      </c>
    </row>
    <row r="127" spans="1:7">
      <c r="A127" s="1">
        <v>126</v>
      </c>
      <c r="B127" s="1" t="s">
        <v>1723</v>
      </c>
      <c r="D127" s="1" t="s">
        <v>1707</v>
      </c>
      <c r="E127" s="1" t="s">
        <v>1724</v>
      </c>
      <c r="F127" s="1" t="s">
        <v>1725</v>
      </c>
      <c r="G127" s="1" t="s">
        <v>1726</v>
      </c>
    </row>
    <row r="128" spans="1:7">
      <c r="A128" s="1">
        <v>127</v>
      </c>
      <c r="B128" s="1" t="s">
        <v>1727</v>
      </c>
      <c r="D128" s="1" t="s">
        <v>1728</v>
      </c>
      <c r="E128" s="1" t="s">
        <v>1729</v>
      </c>
      <c r="F128" s="1" t="s">
        <v>1730</v>
      </c>
      <c r="G128" s="1" t="s">
        <v>1731</v>
      </c>
    </row>
    <row r="129" spans="1:7">
      <c r="A129" s="1">
        <v>128</v>
      </c>
      <c r="B129" s="1" t="s">
        <v>1732</v>
      </c>
      <c r="D129" s="1" t="s">
        <v>1733</v>
      </c>
      <c r="E129" s="1" t="s">
        <v>1734</v>
      </c>
      <c r="F129" s="1" t="s">
        <v>21</v>
      </c>
      <c r="G129" s="1" t="s">
        <v>22</v>
      </c>
    </row>
    <row r="130" spans="1:7">
      <c r="A130" s="1">
        <v>129</v>
      </c>
      <c r="B130" s="1" t="s">
        <v>1735</v>
      </c>
      <c r="D130" s="1" t="s">
        <v>1733</v>
      </c>
      <c r="E130" s="1" t="s">
        <v>772</v>
      </c>
      <c r="F130" s="1" t="s">
        <v>773</v>
      </c>
      <c r="G130" s="1" t="s">
        <v>774</v>
      </c>
    </row>
    <row r="131" spans="1:7">
      <c r="A131" s="1">
        <v>130</v>
      </c>
      <c r="B131" s="1" t="s">
        <v>1736</v>
      </c>
      <c r="D131" s="1" t="s">
        <v>1737</v>
      </c>
      <c r="E131" s="1" t="s">
        <v>778</v>
      </c>
      <c r="F131" s="1" t="s">
        <v>779</v>
      </c>
      <c r="G131" s="1" t="s">
        <v>780</v>
      </c>
    </row>
    <row r="132" spans="1:7">
      <c r="A132" s="1">
        <v>131</v>
      </c>
      <c r="B132" s="1" t="s">
        <v>1738</v>
      </c>
      <c r="D132" s="1" t="s">
        <v>1737</v>
      </c>
      <c r="E132" s="1" t="s">
        <v>1739</v>
      </c>
      <c r="F132" s="1" t="s">
        <v>21</v>
      </c>
      <c r="G132" s="1" t="s">
        <v>22</v>
      </c>
    </row>
    <row r="133" spans="1:7">
      <c r="A133" s="1">
        <v>132</v>
      </c>
      <c r="B133" s="1" t="s">
        <v>1740</v>
      </c>
      <c r="D133" s="1" t="s">
        <v>1741</v>
      </c>
      <c r="E133" s="1" t="s">
        <v>784</v>
      </c>
      <c r="F133" s="1" t="s">
        <v>12</v>
      </c>
      <c r="G133" s="1" t="s">
        <v>13</v>
      </c>
    </row>
    <row r="134" spans="1:7">
      <c r="A134" s="1">
        <v>133</v>
      </c>
      <c r="B134" s="1" t="s">
        <v>1742</v>
      </c>
      <c r="D134" s="1" t="s">
        <v>1741</v>
      </c>
      <c r="E134" s="1" t="s">
        <v>785</v>
      </c>
      <c r="F134" s="1" t="s">
        <v>786</v>
      </c>
      <c r="G134" s="1" t="s">
        <v>787</v>
      </c>
    </row>
    <row r="135" spans="1:7">
      <c r="A135" s="1">
        <v>134</v>
      </c>
      <c r="B135" s="1" t="s">
        <v>1743</v>
      </c>
      <c r="D135" s="1" t="s">
        <v>1741</v>
      </c>
      <c r="E135" s="1" t="s">
        <v>1744</v>
      </c>
      <c r="F135" s="1" t="s">
        <v>21</v>
      </c>
      <c r="G135" s="1" t="s">
        <v>22</v>
      </c>
    </row>
    <row r="136" spans="1:7">
      <c r="A136" s="1">
        <v>135</v>
      </c>
      <c r="B136" s="1" t="s">
        <v>1745</v>
      </c>
      <c r="D136" s="1" t="s">
        <v>1746</v>
      </c>
      <c r="E136" s="1" t="s">
        <v>140</v>
      </c>
      <c r="F136" s="1" t="s">
        <v>141</v>
      </c>
      <c r="G136" s="1" t="s">
        <v>142</v>
      </c>
    </row>
    <row r="137" spans="1:7">
      <c r="A137" s="1">
        <v>136</v>
      </c>
      <c r="B137" s="1" t="s">
        <v>1747</v>
      </c>
      <c r="D137" s="1" t="s">
        <v>1746</v>
      </c>
      <c r="E137" s="1" t="s">
        <v>143</v>
      </c>
      <c r="F137" s="1" t="s">
        <v>144</v>
      </c>
      <c r="G137" s="1" t="s">
        <v>145</v>
      </c>
    </row>
    <row r="138" spans="1:7">
      <c r="A138" s="1">
        <v>137</v>
      </c>
      <c r="B138" s="1" t="s">
        <v>1748</v>
      </c>
      <c r="D138" s="1" t="s">
        <v>1746</v>
      </c>
      <c r="E138" s="1" t="s">
        <v>149</v>
      </c>
      <c r="F138" s="1" t="s">
        <v>150</v>
      </c>
      <c r="G138" s="1" t="s">
        <v>151</v>
      </c>
    </row>
    <row r="139" spans="1:7">
      <c r="A139" s="1">
        <v>138</v>
      </c>
      <c r="B139" s="1" t="s">
        <v>1749</v>
      </c>
      <c r="D139" s="1" t="s">
        <v>1746</v>
      </c>
      <c r="E139" s="1" t="s">
        <v>146</v>
      </c>
      <c r="F139" s="1" t="s">
        <v>147</v>
      </c>
      <c r="G139" s="1" t="s">
        <v>148</v>
      </c>
    </row>
    <row r="140" spans="1:7">
      <c r="A140" s="1">
        <v>139</v>
      </c>
      <c r="B140" s="1" t="s">
        <v>1750</v>
      </c>
      <c r="D140" s="1" t="s">
        <v>1751</v>
      </c>
      <c r="E140" s="1" t="s">
        <v>159</v>
      </c>
      <c r="F140" s="1" t="s">
        <v>160</v>
      </c>
      <c r="G140" s="1" t="s">
        <v>161</v>
      </c>
    </row>
    <row r="141" spans="1:7">
      <c r="A141" s="1">
        <v>140</v>
      </c>
      <c r="B141" s="1" t="s">
        <v>1752</v>
      </c>
      <c r="D141" s="1" t="s">
        <v>1751</v>
      </c>
      <c r="E141" s="1" t="s">
        <v>155</v>
      </c>
      <c r="F141" s="1" t="s">
        <v>156</v>
      </c>
      <c r="G141" s="1" t="s">
        <v>157</v>
      </c>
    </row>
    <row r="142" spans="1:7">
      <c r="A142" s="1">
        <v>141</v>
      </c>
      <c r="B142" s="1" t="s">
        <v>1753</v>
      </c>
      <c r="D142" s="1" t="s">
        <v>1751</v>
      </c>
      <c r="E142" s="1" t="s">
        <v>163</v>
      </c>
      <c r="F142" s="1" t="s">
        <v>164</v>
      </c>
      <c r="G142" s="1" t="s">
        <v>165</v>
      </c>
    </row>
    <row r="143" spans="1:7">
      <c r="A143" s="1">
        <v>142</v>
      </c>
      <c r="B143" s="1" t="s">
        <v>1754</v>
      </c>
      <c r="D143" s="1" t="s">
        <v>1751</v>
      </c>
      <c r="E143" s="1" t="s">
        <v>167</v>
      </c>
      <c r="F143" s="1" t="s">
        <v>168</v>
      </c>
      <c r="G143" s="1" t="s">
        <v>169</v>
      </c>
    </row>
    <row r="144" spans="1:7">
      <c r="A144" s="1">
        <v>143</v>
      </c>
      <c r="B144" s="1" t="s">
        <v>1755</v>
      </c>
      <c r="D144" s="1" t="s">
        <v>1751</v>
      </c>
      <c r="E144" s="1" t="s">
        <v>171</v>
      </c>
      <c r="F144" s="1" t="s">
        <v>172</v>
      </c>
      <c r="G144" s="1" t="s">
        <v>173</v>
      </c>
    </row>
    <row r="145" spans="1:7">
      <c r="A145" s="1">
        <v>144</v>
      </c>
      <c r="B145" s="1" t="s">
        <v>1756</v>
      </c>
      <c r="D145" s="1" t="s">
        <v>1757</v>
      </c>
      <c r="E145" s="1" t="s">
        <v>1758</v>
      </c>
      <c r="F145" s="1" t="s">
        <v>1759</v>
      </c>
      <c r="G145" s="1" t="s">
        <v>1760</v>
      </c>
    </row>
    <row r="146" spans="1:7">
      <c r="A146" s="1">
        <v>145</v>
      </c>
      <c r="B146" s="1" t="s">
        <v>1761</v>
      </c>
      <c r="D146" s="1" t="s">
        <v>1757</v>
      </c>
      <c r="E146" s="1" t="s">
        <v>1762</v>
      </c>
      <c r="F146" s="1" t="s">
        <v>1763</v>
      </c>
      <c r="G146" s="1" t="s">
        <v>1764</v>
      </c>
    </row>
    <row r="147" spans="1:7">
      <c r="A147" s="1">
        <v>146</v>
      </c>
      <c r="B147" s="1" t="s">
        <v>1765</v>
      </c>
      <c r="D147" s="1" t="s">
        <v>1757</v>
      </c>
      <c r="E147" s="1" t="s">
        <v>1766</v>
      </c>
      <c r="F147" s="1" t="s">
        <v>1767</v>
      </c>
      <c r="G147" s="1" t="s">
        <v>1768</v>
      </c>
    </row>
    <row r="148" spans="1:7">
      <c r="A148" s="1">
        <v>147</v>
      </c>
      <c r="B148" s="1" t="s">
        <v>1769</v>
      </c>
      <c r="D148" s="1" t="s">
        <v>1770</v>
      </c>
      <c r="E148" s="1" t="s">
        <v>791</v>
      </c>
      <c r="F148" s="1" t="s">
        <v>792</v>
      </c>
      <c r="G148" s="1" t="s">
        <v>793</v>
      </c>
    </row>
    <row r="149" spans="1:7">
      <c r="A149" s="1">
        <v>148</v>
      </c>
      <c r="B149" s="1" t="s">
        <v>1771</v>
      </c>
      <c r="D149" s="1" t="s">
        <v>1770</v>
      </c>
      <c r="E149" s="1" t="s">
        <v>794</v>
      </c>
      <c r="F149" s="1" t="s">
        <v>779</v>
      </c>
      <c r="G149" s="1" t="s">
        <v>780</v>
      </c>
    </row>
    <row r="150" spans="1:7">
      <c r="A150" s="1">
        <v>149</v>
      </c>
      <c r="B150" s="1" t="s">
        <v>1772</v>
      </c>
      <c r="D150" s="1" t="s">
        <v>1770</v>
      </c>
      <c r="E150" s="1" t="s">
        <v>1773</v>
      </c>
      <c r="F150" s="1" t="s">
        <v>21</v>
      </c>
      <c r="G150" s="1" t="s">
        <v>22</v>
      </c>
    </row>
    <row r="151" spans="1:7">
      <c r="A151" s="1">
        <v>150</v>
      </c>
      <c r="B151" s="1" t="s">
        <v>1774</v>
      </c>
      <c r="D151" s="1" t="s">
        <v>1775</v>
      </c>
      <c r="E151" s="1" t="s">
        <v>359</v>
      </c>
      <c r="F151" s="1" t="s">
        <v>551</v>
      </c>
      <c r="G151" s="1" t="s">
        <v>552</v>
      </c>
    </row>
    <row r="152" spans="1:7">
      <c r="A152" s="1">
        <v>151</v>
      </c>
      <c r="B152" s="1" t="s">
        <v>1776</v>
      </c>
      <c r="D152" s="1" t="s">
        <v>1775</v>
      </c>
      <c r="E152" s="1" t="s">
        <v>367</v>
      </c>
      <c r="F152" s="1" t="s">
        <v>559</v>
      </c>
      <c r="G152" s="1" t="s">
        <v>560</v>
      </c>
    </row>
    <row r="153" spans="1:7">
      <c r="A153" s="1">
        <v>152</v>
      </c>
      <c r="B153" s="1" t="s">
        <v>1777</v>
      </c>
      <c r="D153" s="1" t="s">
        <v>1775</v>
      </c>
      <c r="E153" s="1" t="s">
        <v>371</v>
      </c>
      <c r="F153" s="1" t="s">
        <v>563</v>
      </c>
      <c r="G153" s="1" t="s">
        <v>564</v>
      </c>
    </row>
    <row r="154" spans="1:7">
      <c r="A154" s="1">
        <v>153</v>
      </c>
      <c r="B154" s="1" t="s">
        <v>1778</v>
      </c>
      <c r="D154" s="1" t="s">
        <v>1775</v>
      </c>
      <c r="E154" s="1" t="s">
        <v>375</v>
      </c>
      <c r="F154" s="1" t="s">
        <v>567</v>
      </c>
      <c r="G154" s="1" t="s">
        <v>568</v>
      </c>
    </row>
    <row r="155" spans="1:7">
      <c r="A155" s="1">
        <v>154</v>
      </c>
      <c r="B155" s="1" t="s">
        <v>1779</v>
      </c>
      <c r="D155" s="1" t="s">
        <v>1775</v>
      </c>
      <c r="E155" s="1" t="s">
        <v>550</v>
      </c>
      <c r="F155" s="1" t="s">
        <v>583</v>
      </c>
      <c r="G155" s="1" t="s">
        <v>584</v>
      </c>
    </row>
    <row r="156" spans="1:7">
      <c r="A156" s="1">
        <v>155</v>
      </c>
      <c r="B156" s="1" t="s">
        <v>1780</v>
      </c>
      <c r="D156" s="1" t="s">
        <v>1775</v>
      </c>
      <c r="E156" s="1" t="s">
        <v>554</v>
      </c>
      <c r="F156" s="1" t="s">
        <v>587</v>
      </c>
      <c r="G156" s="1" t="s">
        <v>588</v>
      </c>
    </row>
    <row r="157" spans="1:7">
      <c r="A157" s="1">
        <v>156</v>
      </c>
      <c r="B157" s="1" t="s">
        <v>1781</v>
      </c>
      <c r="D157" s="1" t="s">
        <v>1775</v>
      </c>
      <c r="E157" s="1" t="s">
        <v>562</v>
      </c>
      <c r="F157" s="1" t="s">
        <v>595</v>
      </c>
      <c r="G157" s="1" t="s">
        <v>596</v>
      </c>
    </row>
    <row r="158" spans="1:7">
      <c r="A158" s="1">
        <v>157</v>
      </c>
      <c r="B158" s="1" t="s">
        <v>1782</v>
      </c>
      <c r="D158" s="1" t="s">
        <v>1775</v>
      </c>
      <c r="E158" s="1" t="s">
        <v>558</v>
      </c>
      <c r="F158" s="1" t="s">
        <v>591</v>
      </c>
      <c r="G158" s="1" t="s">
        <v>592</v>
      </c>
    </row>
    <row r="159" spans="1:7">
      <c r="A159" s="1">
        <v>158</v>
      </c>
      <c r="B159" s="1" t="s">
        <v>1783</v>
      </c>
      <c r="D159" s="1" t="s">
        <v>1775</v>
      </c>
      <c r="E159" s="1" t="s">
        <v>546</v>
      </c>
      <c r="F159" s="1" t="s">
        <v>579</v>
      </c>
      <c r="G159" s="1" t="s">
        <v>580</v>
      </c>
    </row>
    <row r="160" spans="1:7">
      <c r="A160" s="1">
        <v>159</v>
      </c>
      <c r="B160" s="1" t="s">
        <v>1784</v>
      </c>
      <c r="D160" s="1" t="s">
        <v>1775</v>
      </c>
      <c r="E160" s="1" t="s">
        <v>566</v>
      </c>
      <c r="F160" s="1" t="s">
        <v>599</v>
      </c>
      <c r="G160" s="1" t="s">
        <v>600</v>
      </c>
    </row>
    <row r="161" spans="1:7">
      <c r="A161" s="1">
        <v>160</v>
      </c>
      <c r="B161" s="1" t="s">
        <v>1785</v>
      </c>
      <c r="D161" s="1" t="s">
        <v>1775</v>
      </c>
      <c r="E161" s="1" t="s">
        <v>570</v>
      </c>
      <c r="F161" s="1" t="s">
        <v>603</v>
      </c>
      <c r="G161" s="1" t="s">
        <v>604</v>
      </c>
    </row>
    <row r="162" spans="1:7">
      <c r="A162" s="1">
        <v>161</v>
      </c>
      <c r="B162" s="1" t="s">
        <v>1786</v>
      </c>
      <c r="D162" s="1" t="s">
        <v>1775</v>
      </c>
      <c r="E162" s="1" t="s">
        <v>379</v>
      </c>
      <c r="F162" s="1" t="s">
        <v>571</v>
      </c>
      <c r="G162" s="1" t="s">
        <v>572</v>
      </c>
    </row>
    <row r="163" spans="1:7">
      <c r="A163" s="1">
        <v>162</v>
      </c>
      <c r="B163" s="1" t="s">
        <v>1787</v>
      </c>
      <c r="D163" s="1" t="s">
        <v>1775</v>
      </c>
      <c r="E163" s="1" t="s">
        <v>542</v>
      </c>
      <c r="F163" s="1" t="s">
        <v>575</v>
      </c>
      <c r="G163" s="1" t="s">
        <v>576</v>
      </c>
    </row>
    <row r="164" spans="1:7">
      <c r="A164" s="1">
        <v>163</v>
      </c>
      <c r="B164" s="1" t="s">
        <v>1788</v>
      </c>
      <c r="D164" s="1" t="s">
        <v>1775</v>
      </c>
      <c r="E164" s="1" t="s">
        <v>351</v>
      </c>
      <c r="F164" s="1" t="s">
        <v>543</v>
      </c>
      <c r="G164" s="1" t="s">
        <v>544</v>
      </c>
    </row>
    <row r="165" spans="1:7">
      <c r="A165" s="1">
        <v>164</v>
      </c>
      <c r="B165" s="1" t="s">
        <v>1789</v>
      </c>
      <c r="D165" s="1" t="s">
        <v>1775</v>
      </c>
      <c r="E165" s="1" t="s">
        <v>363</v>
      </c>
      <c r="F165" s="1" t="s">
        <v>555</v>
      </c>
      <c r="G165" s="1" t="s">
        <v>556</v>
      </c>
    </row>
    <row r="166" spans="1:7">
      <c r="A166" s="1">
        <v>165</v>
      </c>
      <c r="B166" s="1" t="s">
        <v>1790</v>
      </c>
      <c r="D166" s="1" t="s">
        <v>1775</v>
      </c>
      <c r="E166" s="1" t="s">
        <v>574</v>
      </c>
      <c r="F166" s="1" t="s">
        <v>607</v>
      </c>
      <c r="G166" s="1" t="s">
        <v>608</v>
      </c>
    </row>
    <row r="167" spans="1:7">
      <c r="A167" s="1">
        <v>166</v>
      </c>
      <c r="B167" s="1" t="s">
        <v>1791</v>
      </c>
      <c r="D167" s="1" t="s">
        <v>1775</v>
      </c>
      <c r="E167" s="1" t="s">
        <v>578</v>
      </c>
      <c r="F167" s="1" t="s">
        <v>611</v>
      </c>
      <c r="G167" s="1" t="s">
        <v>612</v>
      </c>
    </row>
    <row r="168" spans="1:7">
      <c r="A168" s="1">
        <v>167</v>
      </c>
      <c r="B168" s="1" t="s">
        <v>1792</v>
      </c>
      <c r="D168" s="1" t="s">
        <v>1775</v>
      </c>
      <c r="E168" s="1" t="s">
        <v>355</v>
      </c>
      <c r="F168" s="1" t="s">
        <v>547</v>
      </c>
      <c r="G168" s="1" t="s">
        <v>548</v>
      </c>
    </row>
    <row r="169" spans="1:7">
      <c r="A169" s="1">
        <v>168</v>
      </c>
      <c r="B169" s="1" t="s">
        <v>1793</v>
      </c>
      <c r="D169" s="1" t="s">
        <v>1794</v>
      </c>
      <c r="E169" s="1" t="s">
        <v>1795</v>
      </c>
      <c r="F169" s="1" t="s">
        <v>1796</v>
      </c>
      <c r="G169" s="1" t="s">
        <v>1797</v>
      </c>
    </row>
    <row r="170" spans="1:7">
      <c r="A170" s="1">
        <v>169</v>
      </c>
      <c r="B170" s="1" t="s">
        <v>1798</v>
      </c>
      <c r="D170" s="1" t="s">
        <v>1794</v>
      </c>
      <c r="E170" s="1" t="s">
        <v>1799</v>
      </c>
      <c r="F170" s="1" t="s">
        <v>1800</v>
      </c>
      <c r="G170" s="1" t="s">
        <v>1801</v>
      </c>
    </row>
    <row r="171" spans="1:7">
      <c r="A171" s="1">
        <v>170</v>
      </c>
      <c r="B171" s="1" t="s">
        <v>1802</v>
      </c>
      <c r="D171" s="1" t="s">
        <v>1794</v>
      </c>
      <c r="E171" s="1" t="s">
        <v>1803</v>
      </c>
      <c r="F171" s="1" t="s">
        <v>1804</v>
      </c>
      <c r="G171" s="1" t="s">
        <v>1805</v>
      </c>
    </row>
    <row r="172" spans="1:7">
      <c r="A172" s="1">
        <v>171</v>
      </c>
      <c r="B172" s="1" t="s">
        <v>1806</v>
      </c>
      <c r="D172" s="1" t="s">
        <v>1794</v>
      </c>
      <c r="E172" s="1" t="s">
        <v>1807</v>
      </c>
      <c r="F172" s="1" t="s">
        <v>1808</v>
      </c>
      <c r="G172" s="1" t="s">
        <v>1809</v>
      </c>
    </row>
    <row r="173" spans="1:7">
      <c r="A173" s="1">
        <v>172</v>
      </c>
      <c r="B173" s="1" t="s">
        <v>1810</v>
      </c>
      <c r="D173" s="1" t="s">
        <v>1794</v>
      </c>
      <c r="E173" s="1" t="s">
        <v>1811</v>
      </c>
      <c r="F173" s="1" t="s">
        <v>1812</v>
      </c>
      <c r="G173" s="1" t="s">
        <v>1813</v>
      </c>
    </row>
    <row r="174" spans="1:7">
      <c r="A174" s="1">
        <v>173</v>
      </c>
      <c r="B174" s="1" t="s">
        <v>1814</v>
      </c>
      <c r="D174" s="1" t="s">
        <v>1794</v>
      </c>
      <c r="E174" s="1" t="s">
        <v>1815</v>
      </c>
      <c r="F174" s="1" t="s">
        <v>1816</v>
      </c>
      <c r="G174" s="1" t="s">
        <v>1817</v>
      </c>
    </row>
    <row r="175" spans="1:7">
      <c r="A175" s="1">
        <v>174</v>
      </c>
      <c r="B175" s="1" t="s">
        <v>1818</v>
      </c>
      <c r="D175" s="1" t="s">
        <v>1794</v>
      </c>
      <c r="E175" s="1" t="s">
        <v>1819</v>
      </c>
      <c r="F175" s="1" t="s">
        <v>1820</v>
      </c>
      <c r="G175" s="1" t="s">
        <v>1821</v>
      </c>
    </row>
    <row r="176" spans="1:7">
      <c r="A176" s="1">
        <v>175</v>
      </c>
      <c r="B176" s="1" t="s">
        <v>1822</v>
      </c>
      <c r="D176" s="1" t="s">
        <v>1794</v>
      </c>
      <c r="E176" s="1" t="s">
        <v>1823</v>
      </c>
      <c r="F176" s="1" t="s">
        <v>1824</v>
      </c>
      <c r="G176" s="1" t="s">
        <v>1825</v>
      </c>
    </row>
    <row r="177" spans="1:7">
      <c r="A177" s="1">
        <v>176</v>
      </c>
      <c r="B177" s="1" t="s">
        <v>1826</v>
      </c>
      <c r="D177" s="1" t="s">
        <v>1827</v>
      </c>
      <c r="E177" s="1" t="s">
        <v>1828</v>
      </c>
      <c r="F177" s="1" t="s">
        <v>1829</v>
      </c>
      <c r="G177" s="1" t="s">
        <v>1830</v>
      </c>
    </row>
    <row r="178" spans="1:7">
      <c r="A178" s="1">
        <v>177</v>
      </c>
      <c r="B178" s="1" t="s">
        <v>1831</v>
      </c>
      <c r="D178" s="1" t="s">
        <v>1827</v>
      </c>
      <c r="E178" s="1" t="s">
        <v>1832</v>
      </c>
      <c r="F178" s="1" t="s">
        <v>1833</v>
      </c>
      <c r="G178" s="1" t="s">
        <v>1834</v>
      </c>
    </row>
    <row r="179" spans="1:7">
      <c r="A179" s="1">
        <v>178</v>
      </c>
      <c r="B179" s="1" t="s">
        <v>1835</v>
      </c>
      <c r="D179" s="1" t="s">
        <v>1827</v>
      </c>
      <c r="E179" s="1" t="s">
        <v>1836</v>
      </c>
      <c r="F179" s="1" t="s">
        <v>1837</v>
      </c>
      <c r="G179" s="1" t="s">
        <v>1838</v>
      </c>
    </row>
    <row r="180" spans="1:7">
      <c r="A180" s="1">
        <v>179</v>
      </c>
      <c r="B180" s="1" t="s">
        <v>1839</v>
      </c>
      <c r="D180" s="1" t="s">
        <v>1827</v>
      </c>
      <c r="E180" s="1" t="s">
        <v>1840</v>
      </c>
      <c r="F180" s="1" t="s">
        <v>1841</v>
      </c>
      <c r="G180" s="1" t="s">
        <v>1842</v>
      </c>
    </row>
    <row r="181" spans="1:7">
      <c r="A181" s="1">
        <v>180</v>
      </c>
      <c r="B181" s="1" t="s">
        <v>1843</v>
      </c>
      <c r="D181" s="1" t="s">
        <v>1827</v>
      </c>
      <c r="E181" s="1" t="s">
        <v>1844</v>
      </c>
      <c r="F181" s="1" t="s">
        <v>1845</v>
      </c>
      <c r="G181" s="1" t="s">
        <v>1846</v>
      </c>
    </row>
    <row r="182" spans="1:7">
      <c r="A182" s="1">
        <v>181</v>
      </c>
      <c r="B182" s="1" t="s">
        <v>1847</v>
      </c>
      <c r="D182" s="1" t="s">
        <v>1827</v>
      </c>
      <c r="E182" s="1" t="s">
        <v>1848</v>
      </c>
      <c r="F182" s="1" t="s">
        <v>1849</v>
      </c>
      <c r="G182" s="1" t="s">
        <v>1850</v>
      </c>
    </row>
    <row r="183" spans="1:7">
      <c r="A183" s="1">
        <v>182</v>
      </c>
      <c r="B183" s="1" t="s">
        <v>1851</v>
      </c>
      <c r="D183" s="1" t="s">
        <v>1827</v>
      </c>
      <c r="E183" s="1" t="s">
        <v>1852</v>
      </c>
      <c r="F183" s="1" t="s">
        <v>1853</v>
      </c>
      <c r="G183" s="1" t="s">
        <v>1854</v>
      </c>
    </row>
    <row r="184" spans="1:7">
      <c r="A184" s="1">
        <v>183</v>
      </c>
      <c r="B184" s="1" t="s">
        <v>1855</v>
      </c>
      <c r="D184" s="1" t="s">
        <v>1827</v>
      </c>
      <c r="E184" s="1" t="s">
        <v>1856</v>
      </c>
      <c r="F184" s="1" t="s">
        <v>21</v>
      </c>
      <c r="G184" s="1" t="s">
        <v>22</v>
      </c>
    </row>
    <row r="185" spans="1:7">
      <c r="A185" s="1">
        <v>184</v>
      </c>
      <c r="B185" s="1" t="s">
        <v>1857</v>
      </c>
      <c r="D185" s="1" t="s">
        <v>1827</v>
      </c>
      <c r="E185" s="1" t="s">
        <v>1858</v>
      </c>
      <c r="F185" s="1" t="s">
        <v>1859</v>
      </c>
      <c r="G185" s="1" t="s">
        <v>1860</v>
      </c>
    </row>
    <row r="186" spans="1:7">
      <c r="A186" s="1">
        <v>185</v>
      </c>
      <c r="B186" s="1" t="s">
        <v>1861</v>
      </c>
      <c r="D186" s="1" t="s">
        <v>1827</v>
      </c>
      <c r="E186" s="1" t="s">
        <v>1862</v>
      </c>
      <c r="F186" s="1" t="s">
        <v>1863</v>
      </c>
      <c r="G186" s="1" t="s">
        <v>1864</v>
      </c>
    </row>
    <row r="187" spans="1:7">
      <c r="A187" s="1">
        <v>186</v>
      </c>
      <c r="B187" s="1" t="s">
        <v>1865</v>
      </c>
      <c r="D187" s="1" t="s">
        <v>1827</v>
      </c>
      <c r="E187" s="1" t="s">
        <v>1866</v>
      </c>
      <c r="F187" s="1" t="s">
        <v>1867</v>
      </c>
      <c r="G187" s="1" t="s">
        <v>1868</v>
      </c>
    </row>
    <row r="188" spans="1:7">
      <c r="A188" s="1">
        <v>187</v>
      </c>
      <c r="B188" s="1" t="s">
        <v>1869</v>
      </c>
      <c r="D188" s="1" t="s">
        <v>1827</v>
      </c>
      <c r="E188" s="1" t="s">
        <v>1870</v>
      </c>
      <c r="F188" s="1" t="s">
        <v>1871</v>
      </c>
      <c r="G188" s="1" t="s">
        <v>1872</v>
      </c>
    </row>
    <row r="189" spans="1:7">
      <c r="A189" s="1">
        <v>188</v>
      </c>
      <c r="B189" s="1" t="s">
        <v>1873</v>
      </c>
      <c r="D189" s="1" t="s">
        <v>1827</v>
      </c>
      <c r="E189" s="1" t="s">
        <v>1874</v>
      </c>
      <c r="F189" s="1" t="s">
        <v>1875</v>
      </c>
      <c r="G189" s="1" t="s">
        <v>1876</v>
      </c>
    </row>
    <row r="190" spans="1:7">
      <c r="A190" s="1">
        <v>189</v>
      </c>
      <c r="B190" s="1" t="s">
        <v>1877</v>
      </c>
      <c r="D190" s="1" t="s">
        <v>1827</v>
      </c>
      <c r="E190" s="1" t="s">
        <v>1878</v>
      </c>
      <c r="F190" s="1" t="s">
        <v>1879</v>
      </c>
      <c r="G190" s="1" t="s">
        <v>1880</v>
      </c>
    </row>
    <row r="191" spans="1:7">
      <c r="A191" s="1">
        <v>190</v>
      </c>
      <c r="B191" s="1" t="s">
        <v>1881</v>
      </c>
      <c r="D191" s="1" t="s">
        <v>1882</v>
      </c>
      <c r="E191" s="1" t="s">
        <v>1230</v>
      </c>
      <c r="F191" s="1" t="s">
        <v>688</v>
      </c>
      <c r="G191" s="1" t="s">
        <v>689</v>
      </c>
    </row>
    <row r="192" spans="1:7">
      <c r="A192" s="1">
        <v>191</v>
      </c>
      <c r="B192" s="1" t="s">
        <v>1883</v>
      </c>
      <c r="D192" s="1" t="s">
        <v>1882</v>
      </c>
      <c r="E192" s="1" t="s">
        <v>1231</v>
      </c>
      <c r="F192" s="1" t="s">
        <v>630</v>
      </c>
      <c r="G192" s="1" t="s">
        <v>631</v>
      </c>
    </row>
    <row r="193" spans="1:7">
      <c r="A193" s="1">
        <v>192</v>
      </c>
      <c r="B193" s="1" t="s">
        <v>1884</v>
      </c>
      <c r="D193" s="1" t="s">
        <v>1885</v>
      </c>
      <c r="E193" s="1" t="s">
        <v>1886</v>
      </c>
      <c r="F193" s="1" t="s">
        <v>1887</v>
      </c>
      <c r="G193" s="1" t="s">
        <v>1888</v>
      </c>
    </row>
    <row r="194" spans="1:7">
      <c r="A194" s="1">
        <v>193</v>
      </c>
      <c r="B194" s="1" t="s">
        <v>1889</v>
      </c>
      <c r="D194" s="1" t="s">
        <v>1890</v>
      </c>
      <c r="E194" s="1" t="s">
        <v>1891</v>
      </c>
      <c r="F194" s="1" t="s">
        <v>1892</v>
      </c>
      <c r="G194" s="1" t="s">
        <v>1893</v>
      </c>
    </row>
    <row r="195" spans="1:7">
      <c r="A195" s="1">
        <v>194</v>
      </c>
      <c r="B195" s="1" t="s">
        <v>1894</v>
      </c>
      <c r="D195" s="1" t="s">
        <v>1890</v>
      </c>
      <c r="E195" s="1" t="s">
        <v>1895</v>
      </c>
      <c r="F195" s="1" t="s">
        <v>1896</v>
      </c>
      <c r="G195" s="1" t="s">
        <v>1897</v>
      </c>
    </row>
    <row r="196" spans="1:7">
      <c r="A196" s="1">
        <v>195</v>
      </c>
      <c r="B196" s="1" t="s">
        <v>1898</v>
      </c>
      <c r="D196" s="1" t="s">
        <v>1899</v>
      </c>
      <c r="E196" s="1" t="s">
        <v>1900</v>
      </c>
      <c r="F196" s="1" t="s">
        <v>1901</v>
      </c>
      <c r="G196" s="1" t="s">
        <v>1902</v>
      </c>
    </row>
    <row r="197" spans="1:7">
      <c r="A197" s="1">
        <v>196</v>
      </c>
      <c r="B197" s="1" t="s">
        <v>1903</v>
      </c>
      <c r="D197" s="1" t="s">
        <v>1904</v>
      </c>
      <c r="E197" s="1" t="s">
        <v>1905</v>
      </c>
      <c r="F197" s="1" t="s">
        <v>1906</v>
      </c>
      <c r="G197" s="1" t="s">
        <v>1907</v>
      </c>
    </row>
    <row r="198" spans="1:7">
      <c r="A198" s="1">
        <v>197</v>
      </c>
      <c r="B198" s="1" t="s">
        <v>1908</v>
      </c>
      <c r="D198" s="1" t="s">
        <v>1904</v>
      </c>
      <c r="E198" s="1" t="s">
        <v>1909</v>
      </c>
      <c r="F198" s="1" t="s">
        <v>1910</v>
      </c>
      <c r="G198" s="1" t="s">
        <v>1911</v>
      </c>
    </row>
    <row r="199" spans="1:7">
      <c r="A199" s="1">
        <v>198</v>
      </c>
      <c r="B199" s="1" t="s">
        <v>1912</v>
      </c>
      <c r="D199" s="1" t="s">
        <v>1913</v>
      </c>
      <c r="E199" s="1" t="s">
        <v>1914</v>
      </c>
      <c r="F199" s="1" t="s">
        <v>1915</v>
      </c>
      <c r="G199" s="1" t="s">
        <v>1916</v>
      </c>
    </row>
    <row r="200" spans="1:7">
      <c r="A200" s="1">
        <v>199</v>
      </c>
      <c r="B200" s="1" t="s">
        <v>1917</v>
      </c>
      <c r="D200" s="1" t="s">
        <v>1913</v>
      </c>
      <c r="E200" s="1" t="s">
        <v>1918</v>
      </c>
      <c r="F200" s="1" t="s">
        <v>1919</v>
      </c>
      <c r="G200" s="1" t="s">
        <v>1920</v>
      </c>
    </row>
    <row r="201" spans="1:7">
      <c r="A201" s="1">
        <v>200</v>
      </c>
      <c r="B201" s="1" t="s">
        <v>1921</v>
      </c>
      <c r="D201" s="1" t="s">
        <v>1922</v>
      </c>
      <c r="E201" s="1" t="s">
        <v>1923</v>
      </c>
      <c r="F201" s="1" t="s">
        <v>376</v>
      </c>
      <c r="G201" s="1" t="s">
        <v>377</v>
      </c>
    </row>
    <row r="202" spans="1:7">
      <c r="A202" s="1">
        <v>201</v>
      </c>
      <c r="B202" s="1" t="s">
        <v>1924</v>
      </c>
      <c r="D202" s="1" t="s">
        <v>1922</v>
      </c>
      <c r="E202" s="1" t="s">
        <v>1925</v>
      </c>
      <c r="F202" s="1" t="s">
        <v>372</v>
      </c>
      <c r="G202" s="1" t="s">
        <v>373</v>
      </c>
    </row>
    <row r="203" spans="1:7">
      <c r="A203" s="1">
        <v>202</v>
      </c>
      <c r="B203" s="1" t="s">
        <v>1926</v>
      </c>
      <c r="D203" s="1" t="s">
        <v>1922</v>
      </c>
      <c r="E203" s="1" t="s">
        <v>1927</v>
      </c>
      <c r="F203" s="1" t="s">
        <v>380</v>
      </c>
      <c r="G203" s="1" t="s">
        <v>381</v>
      </c>
    </row>
    <row r="204" spans="1:7">
      <c r="A204" s="1">
        <v>203</v>
      </c>
      <c r="B204" s="1" t="s">
        <v>1928</v>
      </c>
      <c r="D204" s="1" t="s">
        <v>1922</v>
      </c>
      <c r="E204" s="1" t="s">
        <v>283</v>
      </c>
      <c r="F204" s="1" t="s">
        <v>336</v>
      </c>
      <c r="G204" s="1" t="s">
        <v>337</v>
      </c>
    </row>
    <row r="205" spans="1:7">
      <c r="A205" s="1">
        <v>204</v>
      </c>
      <c r="B205" s="1" t="s">
        <v>1929</v>
      </c>
      <c r="D205" s="1" t="s">
        <v>1922</v>
      </c>
      <c r="E205" s="1" t="s">
        <v>259</v>
      </c>
      <c r="F205" s="1" t="s">
        <v>344</v>
      </c>
      <c r="G205" s="1" t="s">
        <v>345</v>
      </c>
    </row>
    <row r="206" spans="1:7">
      <c r="A206" s="1">
        <v>205</v>
      </c>
      <c r="B206" s="1" t="s">
        <v>1930</v>
      </c>
      <c r="D206" s="1" t="s">
        <v>1922</v>
      </c>
      <c r="E206" s="1" t="s">
        <v>262</v>
      </c>
      <c r="F206" s="1" t="s">
        <v>384</v>
      </c>
      <c r="G206" s="1" t="s">
        <v>385</v>
      </c>
    </row>
    <row r="207" spans="1:7">
      <c r="A207" s="1">
        <v>206</v>
      </c>
      <c r="B207" s="1" t="s">
        <v>1931</v>
      </c>
      <c r="D207" s="1" t="s">
        <v>1922</v>
      </c>
      <c r="E207" s="1" t="s">
        <v>271</v>
      </c>
      <c r="F207" s="1" t="s">
        <v>356</v>
      </c>
      <c r="G207" s="1" t="s">
        <v>357</v>
      </c>
    </row>
    <row r="208" spans="1:7">
      <c r="A208" s="1">
        <v>207</v>
      </c>
      <c r="B208" s="1" t="s">
        <v>1932</v>
      </c>
      <c r="D208" s="1" t="s">
        <v>1922</v>
      </c>
      <c r="E208" s="1" t="s">
        <v>274</v>
      </c>
      <c r="F208" s="1" t="s">
        <v>360</v>
      </c>
      <c r="G208" s="1" t="s">
        <v>361</v>
      </c>
    </row>
    <row r="209" spans="1:7">
      <c r="A209" s="1">
        <v>208</v>
      </c>
      <c r="B209" s="1" t="s">
        <v>1933</v>
      </c>
      <c r="D209" s="1" t="s">
        <v>1922</v>
      </c>
      <c r="E209" s="1" t="s">
        <v>265</v>
      </c>
      <c r="F209" s="1" t="s">
        <v>348</v>
      </c>
      <c r="G209" s="1" t="s">
        <v>349</v>
      </c>
    </row>
    <row r="210" spans="1:7">
      <c r="A210" s="1">
        <v>209</v>
      </c>
      <c r="B210" s="1" t="s">
        <v>1934</v>
      </c>
      <c r="D210" s="1" t="s">
        <v>1922</v>
      </c>
      <c r="E210" s="1" t="s">
        <v>268</v>
      </c>
      <c r="F210" s="1" t="s">
        <v>352</v>
      </c>
      <c r="G210" s="1" t="s">
        <v>353</v>
      </c>
    </row>
    <row r="211" spans="1:7">
      <c r="A211" s="1">
        <v>210</v>
      </c>
      <c r="B211" s="1" t="s">
        <v>1935</v>
      </c>
      <c r="D211" s="1" t="s">
        <v>1922</v>
      </c>
      <c r="E211" s="1" t="s">
        <v>280</v>
      </c>
      <c r="F211" s="1" t="s">
        <v>368</v>
      </c>
      <c r="G211" s="1" t="s">
        <v>369</v>
      </c>
    </row>
    <row r="212" spans="1:7">
      <c r="A212" s="1">
        <v>211</v>
      </c>
      <c r="B212" s="1" t="s">
        <v>1936</v>
      </c>
      <c r="D212" s="1" t="s">
        <v>1922</v>
      </c>
      <c r="E212" s="1" t="s">
        <v>277</v>
      </c>
      <c r="F212" s="1" t="s">
        <v>364</v>
      </c>
      <c r="G212" s="1" t="s">
        <v>365</v>
      </c>
    </row>
    <row r="213" spans="1:7">
      <c r="A213" s="1">
        <v>212</v>
      </c>
      <c r="B213" s="1" t="s">
        <v>1937</v>
      </c>
      <c r="D213" s="1" t="s">
        <v>1922</v>
      </c>
      <c r="E213" s="1" t="s">
        <v>1938</v>
      </c>
      <c r="F213" s="1" t="s">
        <v>340</v>
      </c>
      <c r="G213" s="1" t="s">
        <v>341</v>
      </c>
    </row>
    <row r="214" spans="1:7">
      <c r="A214" s="1">
        <v>213</v>
      </c>
      <c r="B214" s="1" t="s">
        <v>1939</v>
      </c>
      <c r="D214" s="1" t="s">
        <v>1940</v>
      </c>
      <c r="E214" s="1" t="s">
        <v>1941</v>
      </c>
      <c r="F214" s="1" t="s">
        <v>186</v>
      </c>
      <c r="G214" s="1" t="s">
        <v>187</v>
      </c>
    </row>
    <row r="215" spans="1:7">
      <c r="A215" s="1">
        <v>214</v>
      </c>
      <c r="B215" s="1" t="s">
        <v>1942</v>
      </c>
      <c r="D215" s="1" t="s">
        <v>1940</v>
      </c>
      <c r="E215" s="1" t="s">
        <v>1943</v>
      </c>
      <c r="F215" s="1" t="s">
        <v>194</v>
      </c>
      <c r="G215" s="1" t="s">
        <v>195</v>
      </c>
    </row>
    <row r="216" spans="1:7">
      <c r="A216" s="1">
        <v>215</v>
      </c>
      <c r="B216" s="1" t="s">
        <v>1944</v>
      </c>
      <c r="D216" s="1" t="s">
        <v>1940</v>
      </c>
      <c r="E216" s="1" t="s">
        <v>1945</v>
      </c>
      <c r="F216" s="1" t="s">
        <v>190</v>
      </c>
      <c r="G216" s="1" t="s">
        <v>191</v>
      </c>
    </row>
    <row r="217" spans="1:7">
      <c r="A217" s="1">
        <v>216</v>
      </c>
      <c r="B217" s="1" t="s">
        <v>1946</v>
      </c>
      <c r="D217" s="1" t="s">
        <v>1940</v>
      </c>
      <c r="E217" s="1" t="s">
        <v>1947</v>
      </c>
      <c r="F217" s="1" t="s">
        <v>198</v>
      </c>
      <c r="G217" s="1" t="s">
        <v>199</v>
      </c>
    </row>
    <row r="218" spans="1:7">
      <c r="A218" s="1">
        <v>217</v>
      </c>
      <c r="B218" s="1" t="s">
        <v>1948</v>
      </c>
      <c r="D218" s="1" t="s">
        <v>1940</v>
      </c>
      <c r="E218" s="1" t="s">
        <v>1949</v>
      </c>
      <c r="F218" s="1" t="s">
        <v>202</v>
      </c>
      <c r="G218" s="1" t="s">
        <v>203</v>
      </c>
    </row>
    <row r="219" spans="1:7">
      <c r="A219" s="1">
        <v>218</v>
      </c>
      <c r="B219" s="1" t="s">
        <v>1950</v>
      </c>
      <c r="D219" s="1" t="s">
        <v>1940</v>
      </c>
      <c r="E219" s="1" t="s">
        <v>1951</v>
      </c>
      <c r="F219" s="1" t="s">
        <v>210</v>
      </c>
      <c r="G219" s="1" t="s">
        <v>211</v>
      </c>
    </row>
    <row r="220" spans="1:7">
      <c r="A220" s="1">
        <v>219</v>
      </c>
      <c r="B220" s="1" t="s">
        <v>1952</v>
      </c>
      <c r="D220" s="1" t="s">
        <v>1940</v>
      </c>
      <c r="E220" s="1" t="s">
        <v>1953</v>
      </c>
      <c r="F220" s="1" t="s">
        <v>206</v>
      </c>
      <c r="G220" s="1" t="s">
        <v>207</v>
      </c>
    </row>
    <row r="221" spans="1:7">
      <c r="A221" s="1">
        <v>220</v>
      </c>
      <c r="B221" s="1" t="s">
        <v>1954</v>
      </c>
      <c r="D221" s="1" t="s">
        <v>1940</v>
      </c>
      <c r="E221" s="1" t="s">
        <v>1955</v>
      </c>
      <c r="F221" s="1" t="s">
        <v>214</v>
      </c>
      <c r="G221" s="1" t="s">
        <v>215</v>
      </c>
    </row>
    <row r="222" spans="1:7">
      <c r="A222" s="1">
        <v>221</v>
      </c>
      <c r="B222" s="1" t="s">
        <v>1956</v>
      </c>
      <c r="D222" s="1" t="s">
        <v>1940</v>
      </c>
      <c r="E222" s="1" t="s">
        <v>1957</v>
      </c>
      <c r="F222" s="1" t="s">
        <v>218</v>
      </c>
      <c r="G222" s="1" t="s">
        <v>219</v>
      </c>
    </row>
    <row r="223" spans="1:7">
      <c r="A223" s="1">
        <v>222</v>
      </c>
      <c r="B223" s="1" t="s">
        <v>1958</v>
      </c>
      <c r="D223" s="1" t="s">
        <v>1940</v>
      </c>
      <c r="E223" s="1" t="s">
        <v>1959</v>
      </c>
      <c r="F223" s="1" t="s">
        <v>222</v>
      </c>
      <c r="G223" s="1" t="s">
        <v>223</v>
      </c>
    </row>
    <row r="224" spans="1:7">
      <c r="A224" s="1">
        <v>223</v>
      </c>
      <c r="B224" s="1" t="s">
        <v>1960</v>
      </c>
      <c r="D224" s="1" t="s">
        <v>1961</v>
      </c>
      <c r="E224" s="1" t="s">
        <v>1962</v>
      </c>
      <c r="F224" s="1" t="s">
        <v>186</v>
      </c>
      <c r="G224" s="1" t="s">
        <v>187</v>
      </c>
    </row>
    <row r="225" spans="1:7">
      <c r="A225" s="1">
        <v>224</v>
      </c>
      <c r="B225" s="1" t="s">
        <v>1963</v>
      </c>
      <c r="D225" s="1" t="s">
        <v>1961</v>
      </c>
      <c r="E225" s="1" t="s">
        <v>1964</v>
      </c>
      <c r="F225" s="1" t="s">
        <v>194</v>
      </c>
      <c r="G225" s="1" t="s">
        <v>195</v>
      </c>
    </row>
    <row r="226" spans="1:7">
      <c r="A226" s="1">
        <v>225</v>
      </c>
      <c r="B226" s="1" t="s">
        <v>1965</v>
      </c>
      <c r="D226" s="1" t="s">
        <v>1961</v>
      </c>
      <c r="E226" s="1" t="s">
        <v>1966</v>
      </c>
      <c r="F226" s="1" t="s">
        <v>190</v>
      </c>
      <c r="G226" s="1" t="s">
        <v>191</v>
      </c>
    </row>
    <row r="227" spans="1:7">
      <c r="A227" s="1">
        <v>226</v>
      </c>
      <c r="B227" s="1" t="s">
        <v>1967</v>
      </c>
      <c r="D227" s="1" t="s">
        <v>1961</v>
      </c>
      <c r="E227" s="1" t="s">
        <v>1968</v>
      </c>
      <c r="F227" s="1" t="s">
        <v>198</v>
      </c>
      <c r="G227" s="1" t="s">
        <v>199</v>
      </c>
    </row>
    <row r="228" spans="1:7">
      <c r="A228" s="1">
        <v>227</v>
      </c>
      <c r="B228" s="1" t="s">
        <v>1969</v>
      </c>
      <c r="D228" s="1" t="s">
        <v>1961</v>
      </c>
      <c r="E228" s="1" t="s">
        <v>1970</v>
      </c>
      <c r="F228" s="1" t="s">
        <v>202</v>
      </c>
      <c r="G228" s="1" t="s">
        <v>203</v>
      </c>
    </row>
    <row r="229" spans="1:7">
      <c r="A229" s="1">
        <v>228</v>
      </c>
      <c r="B229" s="1" t="s">
        <v>1971</v>
      </c>
      <c r="D229" s="1" t="s">
        <v>1961</v>
      </c>
      <c r="E229" s="1" t="s">
        <v>1972</v>
      </c>
      <c r="F229" s="1" t="s">
        <v>210</v>
      </c>
      <c r="G229" s="1" t="s">
        <v>211</v>
      </c>
    </row>
    <row r="230" spans="1:7">
      <c r="A230" s="1">
        <v>229</v>
      </c>
      <c r="B230" s="1" t="s">
        <v>1973</v>
      </c>
      <c r="D230" s="1" t="s">
        <v>1961</v>
      </c>
      <c r="E230" s="1" t="s">
        <v>1974</v>
      </c>
      <c r="F230" s="1" t="s">
        <v>206</v>
      </c>
      <c r="G230" s="1" t="s">
        <v>207</v>
      </c>
    </row>
    <row r="231" spans="1:7">
      <c r="A231" s="1">
        <v>230</v>
      </c>
      <c r="B231" s="1" t="s">
        <v>1975</v>
      </c>
      <c r="D231" s="1" t="s">
        <v>1961</v>
      </c>
      <c r="E231" s="1" t="s">
        <v>1976</v>
      </c>
      <c r="F231" s="1" t="s">
        <v>214</v>
      </c>
      <c r="G231" s="1" t="s">
        <v>215</v>
      </c>
    </row>
    <row r="232" spans="1:7">
      <c r="A232" s="1">
        <v>231</v>
      </c>
      <c r="B232" s="1" t="s">
        <v>1977</v>
      </c>
      <c r="D232" s="1" t="s">
        <v>1961</v>
      </c>
      <c r="E232" s="1" t="s">
        <v>1978</v>
      </c>
      <c r="F232" s="1" t="s">
        <v>218</v>
      </c>
      <c r="G232" s="1" t="s">
        <v>219</v>
      </c>
    </row>
    <row r="233" spans="1:7">
      <c r="A233" s="1">
        <v>232</v>
      </c>
      <c r="B233" s="1" t="s">
        <v>1979</v>
      </c>
      <c r="D233" s="1" t="s">
        <v>1961</v>
      </c>
      <c r="E233" s="1" t="s">
        <v>1980</v>
      </c>
      <c r="F233" s="1" t="s">
        <v>222</v>
      </c>
      <c r="G233" s="1" t="s">
        <v>223</v>
      </c>
    </row>
    <row r="234" spans="1:7">
      <c r="A234" s="1">
        <v>233</v>
      </c>
      <c r="B234" s="1" t="s">
        <v>1981</v>
      </c>
      <c r="D234" s="1" t="s">
        <v>1982</v>
      </c>
      <c r="E234" s="1" t="s">
        <v>1983</v>
      </c>
      <c r="F234" s="1" t="s">
        <v>630</v>
      </c>
      <c r="G234" s="1" t="s">
        <v>631</v>
      </c>
    </row>
    <row r="235" spans="1:7">
      <c r="A235" s="1">
        <v>234</v>
      </c>
      <c r="B235" s="1" t="s">
        <v>1984</v>
      </c>
      <c r="D235" s="1" t="s">
        <v>1982</v>
      </c>
      <c r="E235" s="1" t="s">
        <v>1985</v>
      </c>
      <c r="F235" s="1" t="s">
        <v>627</v>
      </c>
      <c r="G235" s="1" t="s">
        <v>628</v>
      </c>
    </row>
    <row r="236" spans="1:7">
      <c r="A236" s="1">
        <v>235</v>
      </c>
      <c r="B236" s="1" t="s">
        <v>1986</v>
      </c>
      <c r="D236" s="1" t="s">
        <v>1987</v>
      </c>
      <c r="E236" s="1" t="s">
        <v>634</v>
      </c>
      <c r="F236" s="1" t="s">
        <v>627</v>
      </c>
      <c r="G236" s="1" t="s">
        <v>628</v>
      </c>
    </row>
    <row r="237" spans="1:7">
      <c r="A237" s="1">
        <v>236</v>
      </c>
      <c r="B237" s="1" t="s">
        <v>1988</v>
      </c>
      <c r="D237" s="1" t="s">
        <v>1989</v>
      </c>
      <c r="E237" s="1" t="s">
        <v>637</v>
      </c>
      <c r="F237" s="1" t="s">
        <v>630</v>
      </c>
      <c r="G237" s="1" t="s">
        <v>631</v>
      </c>
    </row>
    <row r="238" spans="1:7">
      <c r="A238" s="1">
        <v>237</v>
      </c>
      <c r="B238" s="1" t="s">
        <v>1990</v>
      </c>
      <c r="D238" s="1" t="s">
        <v>1991</v>
      </c>
      <c r="E238" s="1" t="s">
        <v>1992</v>
      </c>
      <c r="F238" s="1" t="s">
        <v>21</v>
      </c>
      <c r="G238" s="1" t="s">
        <v>22</v>
      </c>
    </row>
    <row r="239" spans="1:7">
      <c r="A239" s="1">
        <v>238</v>
      </c>
      <c r="B239" s="1" t="s">
        <v>1993</v>
      </c>
      <c r="D239" s="1" t="s">
        <v>1991</v>
      </c>
      <c r="E239" s="1" t="s">
        <v>798</v>
      </c>
      <c r="F239" s="1" t="s">
        <v>799</v>
      </c>
      <c r="G239" s="1" t="s">
        <v>800</v>
      </c>
    </row>
    <row r="240" spans="1:7">
      <c r="A240" s="1">
        <v>239</v>
      </c>
      <c r="B240" s="1" t="s">
        <v>1994</v>
      </c>
      <c r="D240" s="1" t="s">
        <v>1991</v>
      </c>
      <c r="E240" s="1" t="s">
        <v>801</v>
      </c>
      <c r="F240" s="1" t="s">
        <v>802</v>
      </c>
      <c r="G240" s="1" t="s">
        <v>803</v>
      </c>
    </row>
    <row r="241" spans="1:7">
      <c r="A241" s="1">
        <v>240</v>
      </c>
      <c r="B241" s="1" t="s">
        <v>1995</v>
      </c>
      <c r="D241" s="1" t="s">
        <v>1996</v>
      </c>
      <c r="E241" s="1" t="s">
        <v>807</v>
      </c>
      <c r="F241" s="1" t="s">
        <v>792</v>
      </c>
      <c r="G241" s="1" t="s">
        <v>793</v>
      </c>
    </row>
    <row r="242" spans="1:7">
      <c r="A242" s="1">
        <v>241</v>
      </c>
      <c r="B242" s="1" t="s">
        <v>1997</v>
      </c>
      <c r="D242" s="1" t="s">
        <v>1996</v>
      </c>
      <c r="E242" s="1" t="s">
        <v>808</v>
      </c>
      <c r="F242" s="1" t="s">
        <v>779</v>
      </c>
      <c r="G242" s="1" t="s">
        <v>780</v>
      </c>
    </row>
    <row r="243" spans="1:7">
      <c r="A243" s="1">
        <v>242</v>
      </c>
      <c r="B243" s="1" t="s">
        <v>1998</v>
      </c>
      <c r="D243" s="1" t="s">
        <v>1996</v>
      </c>
      <c r="E243" s="1" t="s">
        <v>1999</v>
      </c>
      <c r="F243" s="1" t="s">
        <v>21</v>
      </c>
      <c r="G243" s="1" t="s">
        <v>22</v>
      </c>
    </row>
    <row r="244" spans="1:7">
      <c r="A244" s="1">
        <v>243</v>
      </c>
      <c r="B244" s="1" t="s">
        <v>2000</v>
      </c>
      <c r="D244" s="1" t="s">
        <v>2001</v>
      </c>
      <c r="E244" s="1" t="s">
        <v>1234</v>
      </c>
      <c r="F244" s="1" t="s">
        <v>688</v>
      </c>
      <c r="G244" s="1" t="s">
        <v>689</v>
      </c>
    </row>
    <row r="245" spans="1:7">
      <c r="A245" s="1">
        <v>244</v>
      </c>
      <c r="B245" s="1" t="s">
        <v>2002</v>
      </c>
      <c r="D245" s="1" t="s">
        <v>2001</v>
      </c>
      <c r="E245" s="1" t="s">
        <v>1235</v>
      </c>
      <c r="F245" s="1" t="s">
        <v>630</v>
      </c>
      <c r="G245" s="1" t="s">
        <v>631</v>
      </c>
    </row>
    <row r="246" spans="1:7">
      <c r="A246" s="1">
        <v>245</v>
      </c>
      <c r="B246" s="1" t="s">
        <v>2003</v>
      </c>
      <c r="D246" s="1" t="s">
        <v>2004</v>
      </c>
      <c r="E246" s="1" t="s">
        <v>2005</v>
      </c>
      <c r="F246" s="1" t="s">
        <v>2006</v>
      </c>
      <c r="G246" s="1" t="s">
        <v>2007</v>
      </c>
    </row>
    <row r="247" spans="1:7">
      <c r="A247" s="1">
        <v>246</v>
      </c>
      <c r="B247" s="1" t="s">
        <v>2008</v>
      </c>
      <c r="D247" s="1" t="s">
        <v>2004</v>
      </c>
      <c r="E247" s="1" t="s">
        <v>2009</v>
      </c>
      <c r="F247" s="1" t="s">
        <v>2010</v>
      </c>
      <c r="G247" s="1" t="s">
        <v>2011</v>
      </c>
    </row>
    <row r="248" spans="1:7">
      <c r="A248" s="1">
        <v>247</v>
      </c>
      <c r="B248" s="1" t="s">
        <v>2012</v>
      </c>
      <c r="D248" s="1" t="s">
        <v>2004</v>
      </c>
      <c r="E248" s="1" t="s">
        <v>2013</v>
      </c>
      <c r="F248" s="1" t="s">
        <v>2014</v>
      </c>
      <c r="G248" s="1" t="s">
        <v>2015</v>
      </c>
    </row>
    <row r="249" spans="1:7">
      <c r="A249" s="1">
        <v>248</v>
      </c>
      <c r="B249" s="1" t="s">
        <v>2016</v>
      </c>
      <c r="D249" s="1" t="s">
        <v>2004</v>
      </c>
      <c r="E249" s="1" t="s">
        <v>2017</v>
      </c>
      <c r="F249" s="1" t="s">
        <v>2018</v>
      </c>
      <c r="G249" s="1" t="s">
        <v>2019</v>
      </c>
    </row>
    <row r="250" spans="1:7">
      <c r="A250" s="1">
        <v>249</v>
      </c>
      <c r="B250" s="1" t="s">
        <v>2020</v>
      </c>
      <c r="D250" s="1" t="s">
        <v>2004</v>
      </c>
      <c r="E250" s="1" t="s">
        <v>2021</v>
      </c>
      <c r="F250" s="1" t="s">
        <v>2022</v>
      </c>
      <c r="G250" s="1" t="s">
        <v>2023</v>
      </c>
    </row>
    <row r="251" spans="1:7">
      <c r="A251" s="1">
        <v>250</v>
      </c>
      <c r="B251" s="1" t="s">
        <v>2024</v>
      </c>
      <c r="D251" s="1" t="s">
        <v>2004</v>
      </c>
      <c r="E251" s="1" t="s">
        <v>2025</v>
      </c>
      <c r="F251" s="1" t="s">
        <v>2026</v>
      </c>
      <c r="G251" s="1" t="s">
        <v>2027</v>
      </c>
    </row>
    <row r="252" spans="1:7">
      <c r="A252" s="1">
        <v>251</v>
      </c>
      <c r="B252" s="1" t="s">
        <v>2028</v>
      </c>
      <c r="D252" s="1" t="s">
        <v>2004</v>
      </c>
      <c r="E252" s="1" t="s">
        <v>2029</v>
      </c>
      <c r="F252" s="1" t="s">
        <v>2030</v>
      </c>
      <c r="G252" s="1" t="s">
        <v>2031</v>
      </c>
    </row>
    <row r="253" spans="1:7">
      <c r="A253" s="1">
        <v>252</v>
      </c>
      <c r="B253" s="1" t="s">
        <v>2032</v>
      </c>
      <c r="D253" s="1" t="s">
        <v>2004</v>
      </c>
      <c r="E253" s="1" t="s">
        <v>2033</v>
      </c>
      <c r="F253" s="1" t="s">
        <v>2034</v>
      </c>
      <c r="G253" s="1" t="s">
        <v>2035</v>
      </c>
    </row>
    <row r="254" spans="1:7">
      <c r="A254" s="1">
        <v>253</v>
      </c>
      <c r="B254" s="1" t="s">
        <v>2036</v>
      </c>
      <c r="D254" s="1" t="s">
        <v>2004</v>
      </c>
      <c r="E254" s="1" t="s">
        <v>2037</v>
      </c>
      <c r="F254" s="1" t="s">
        <v>2038</v>
      </c>
      <c r="G254" s="1" t="s">
        <v>2039</v>
      </c>
    </row>
    <row r="255" spans="1:7">
      <c r="A255" s="1">
        <v>254</v>
      </c>
      <c r="B255" s="1" t="s">
        <v>2040</v>
      </c>
      <c r="D255" s="1" t="s">
        <v>2004</v>
      </c>
      <c r="E255" s="1" t="s">
        <v>2041</v>
      </c>
      <c r="F255" s="1" t="s">
        <v>2042</v>
      </c>
      <c r="G255" s="1" t="s">
        <v>2043</v>
      </c>
    </row>
    <row r="256" spans="1:7">
      <c r="A256" s="1">
        <v>255</v>
      </c>
      <c r="B256" s="1" t="s">
        <v>2044</v>
      </c>
      <c r="D256" s="1" t="s">
        <v>2004</v>
      </c>
      <c r="E256" s="1" t="s">
        <v>2045</v>
      </c>
      <c r="F256" s="1" t="s">
        <v>2046</v>
      </c>
      <c r="G256" s="1" t="s">
        <v>2047</v>
      </c>
    </row>
    <row r="257" spans="1:7">
      <c r="A257" s="1">
        <v>256</v>
      </c>
      <c r="B257" s="1" t="s">
        <v>2048</v>
      </c>
      <c r="D257" s="1" t="s">
        <v>2004</v>
      </c>
      <c r="E257" s="1" t="s">
        <v>2049</v>
      </c>
      <c r="F257" s="1" t="s">
        <v>2050</v>
      </c>
      <c r="G257" s="1" t="s">
        <v>2051</v>
      </c>
    </row>
    <row r="258" spans="1:7">
      <c r="A258" s="1">
        <v>257</v>
      </c>
      <c r="B258" s="1" t="s">
        <v>2052</v>
      </c>
      <c r="D258" s="1" t="s">
        <v>2004</v>
      </c>
      <c r="E258" s="1" t="s">
        <v>2053</v>
      </c>
      <c r="F258" s="1" t="s">
        <v>2054</v>
      </c>
      <c r="G258" s="1" t="s">
        <v>2055</v>
      </c>
    </row>
    <row r="259" spans="1:7">
      <c r="A259" s="1">
        <v>258</v>
      </c>
      <c r="B259" s="1" t="s">
        <v>2056</v>
      </c>
      <c r="D259" s="1" t="s">
        <v>2004</v>
      </c>
      <c r="E259" s="1" t="s">
        <v>2057</v>
      </c>
      <c r="F259" s="1" t="s">
        <v>2058</v>
      </c>
      <c r="G259" s="1" t="s">
        <v>2059</v>
      </c>
    </row>
    <row r="260" spans="1:7">
      <c r="A260" s="1">
        <v>259</v>
      </c>
      <c r="B260" s="1" t="s">
        <v>2060</v>
      </c>
      <c r="D260" s="1" t="s">
        <v>2004</v>
      </c>
      <c r="E260" s="1" t="s">
        <v>2061</v>
      </c>
      <c r="F260" s="1" t="s">
        <v>2062</v>
      </c>
      <c r="G260" s="1" t="s">
        <v>2063</v>
      </c>
    </row>
    <row r="261" spans="1:7">
      <c r="A261" s="1">
        <v>260</v>
      </c>
      <c r="B261" s="1" t="s">
        <v>2064</v>
      </c>
      <c r="D261" s="1" t="s">
        <v>2004</v>
      </c>
      <c r="E261" s="1" t="s">
        <v>2065</v>
      </c>
      <c r="F261" s="1" t="s">
        <v>2066</v>
      </c>
      <c r="G261" s="1" t="s">
        <v>2067</v>
      </c>
    </row>
    <row r="262" spans="1:7">
      <c r="A262" s="1">
        <v>261</v>
      </c>
      <c r="B262" s="1" t="s">
        <v>2068</v>
      </c>
      <c r="D262" s="1" t="s">
        <v>2069</v>
      </c>
      <c r="E262" s="1" t="s">
        <v>2070</v>
      </c>
      <c r="F262" s="1" t="s">
        <v>2006</v>
      </c>
      <c r="G262" s="1" t="s">
        <v>2007</v>
      </c>
    </row>
    <row r="263" spans="1:7">
      <c r="A263" s="1">
        <v>262</v>
      </c>
      <c r="B263" s="1" t="s">
        <v>2071</v>
      </c>
      <c r="D263" s="1" t="s">
        <v>2069</v>
      </c>
      <c r="E263" s="1" t="s">
        <v>2072</v>
      </c>
      <c r="F263" s="1" t="s">
        <v>2010</v>
      </c>
      <c r="G263" s="1" t="s">
        <v>2011</v>
      </c>
    </row>
    <row r="264" spans="1:7">
      <c r="A264" s="1">
        <v>263</v>
      </c>
      <c r="B264" s="1" t="s">
        <v>2073</v>
      </c>
      <c r="D264" s="1" t="s">
        <v>2069</v>
      </c>
      <c r="E264" s="1" t="s">
        <v>2074</v>
      </c>
      <c r="F264" s="1" t="s">
        <v>2014</v>
      </c>
      <c r="G264" s="1" t="s">
        <v>2015</v>
      </c>
    </row>
    <row r="265" spans="1:7">
      <c r="A265" s="1">
        <v>264</v>
      </c>
      <c r="B265" s="1" t="s">
        <v>2075</v>
      </c>
      <c r="D265" s="1" t="s">
        <v>2069</v>
      </c>
      <c r="E265" s="1" t="s">
        <v>2076</v>
      </c>
      <c r="F265" s="1" t="s">
        <v>2018</v>
      </c>
      <c r="G265" s="1" t="s">
        <v>2019</v>
      </c>
    </row>
    <row r="266" spans="1:7">
      <c r="A266" s="1">
        <v>265</v>
      </c>
      <c r="B266" s="1" t="s">
        <v>2077</v>
      </c>
      <c r="D266" s="1" t="s">
        <v>2069</v>
      </c>
      <c r="E266" s="1" t="s">
        <v>2078</v>
      </c>
      <c r="F266" s="1" t="s">
        <v>2022</v>
      </c>
      <c r="G266" s="1" t="s">
        <v>2023</v>
      </c>
    </row>
    <row r="267" spans="1:7">
      <c r="A267" s="1">
        <v>266</v>
      </c>
      <c r="B267" s="1" t="s">
        <v>2079</v>
      </c>
      <c r="D267" s="1" t="s">
        <v>2069</v>
      </c>
      <c r="E267" s="1" t="s">
        <v>2080</v>
      </c>
      <c r="F267" s="1" t="s">
        <v>2026</v>
      </c>
      <c r="G267" s="1" t="s">
        <v>2027</v>
      </c>
    </row>
    <row r="268" spans="1:7">
      <c r="A268" s="1">
        <v>267</v>
      </c>
      <c r="B268" s="1" t="s">
        <v>2081</v>
      </c>
      <c r="D268" s="1" t="s">
        <v>2069</v>
      </c>
      <c r="E268" s="1" t="s">
        <v>2082</v>
      </c>
      <c r="F268" s="1" t="s">
        <v>2030</v>
      </c>
      <c r="G268" s="1" t="s">
        <v>2031</v>
      </c>
    </row>
    <row r="269" spans="1:7">
      <c r="A269" s="1">
        <v>268</v>
      </c>
      <c r="B269" s="1" t="s">
        <v>2083</v>
      </c>
      <c r="D269" s="1" t="s">
        <v>2069</v>
      </c>
      <c r="E269" s="1" t="s">
        <v>2084</v>
      </c>
      <c r="F269" s="1" t="s">
        <v>2034</v>
      </c>
      <c r="G269" s="1" t="s">
        <v>2035</v>
      </c>
    </row>
    <row r="270" spans="1:7">
      <c r="A270" s="1">
        <v>269</v>
      </c>
      <c r="B270" s="1" t="s">
        <v>2085</v>
      </c>
      <c r="D270" s="1" t="s">
        <v>2069</v>
      </c>
      <c r="E270" s="1" t="s">
        <v>2086</v>
      </c>
      <c r="F270" s="1" t="s">
        <v>2038</v>
      </c>
      <c r="G270" s="1" t="s">
        <v>2039</v>
      </c>
    </row>
    <row r="271" spans="1:7">
      <c r="A271" s="1">
        <v>270</v>
      </c>
      <c r="B271" s="1" t="s">
        <v>2087</v>
      </c>
      <c r="D271" s="1" t="s">
        <v>2069</v>
      </c>
      <c r="E271" s="1" t="s">
        <v>2088</v>
      </c>
      <c r="F271" s="1" t="s">
        <v>2042</v>
      </c>
      <c r="G271" s="1" t="s">
        <v>2043</v>
      </c>
    </row>
    <row r="272" spans="1:7">
      <c r="A272" s="1">
        <v>271</v>
      </c>
      <c r="B272" s="1" t="s">
        <v>2089</v>
      </c>
      <c r="D272" s="1" t="s">
        <v>2069</v>
      </c>
      <c r="E272" s="1" t="s">
        <v>2090</v>
      </c>
      <c r="F272" s="1" t="s">
        <v>2046</v>
      </c>
      <c r="G272" s="1" t="s">
        <v>2047</v>
      </c>
    </row>
    <row r="273" spans="1:7">
      <c r="A273" s="1">
        <v>272</v>
      </c>
      <c r="B273" s="1" t="s">
        <v>2091</v>
      </c>
      <c r="D273" s="1" t="s">
        <v>2069</v>
      </c>
      <c r="E273" s="1" t="s">
        <v>2092</v>
      </c>
      <c r="F273" s="1" t="s">
        <v>2054</v>
      </c>
      <c r="G273" s="1" t="s">
        <v>2055</v>
      </c>
    </row>
    <row r="274" spans="1:7">
      <c r="A274" s="1">
        <v>273</v>
      </c>
      <c r="B274" s="1" t="s">
        <v>2093</v>
      </c>
      <c r="D274" s="1" t="s">
        <v>2069</v>
      </c>
      <c r="E274" s="1" t="s">
        <v>2094</v>
      </c>
      <c r="F274" s="1" t="s">
        <v>2058</v>
      </c>
      <c r="G274" s="1" t="s">
        <v>2059</v>
      </c>
    </row>
    <row r="275" spans="1:7">
      <c r="A275" s="1">
        <v>274</v>
      </c>
      <c r="B275" s="1" t="s">
        <v>2095</v>
      </c>
      <c r="D275" s="1" t="s">
        <v>2069</v>
      </c>
      <c r="E275" s="1" t="s">
        <v>2096</v>
      </c>
      <c r="F275" s="1" t="s">
        <v>2062</v>
      </c>
      <c r="G275" s="1" t="s">
        <v>2063</v>
      </c>
    </row>
    <row r="276" spans="1:7">
      <c r="A276" s="1">
        <v>275</v>
      </c>
      <c r="B276" s="1" t="s">
        <v>2097</v>
      </c>
      <c r="D276" s="1" t="s">
        <v>2069</v>
      </c>
      <c r="E276" s="1" t="s">
        <v>2098</v>
      </c>
      <c r="F276" s="1" t="s">
        <v>2066</v>
      </c>
      <c r="G276" s="1" t="s">
        <v>2067</v>
      </c>
    </row>
    <row r="277" spans="1:7">
      <c r="A277" s="1">
        <v>276</v>
      </c>
      <c r="B277" s="1" t="s">
        <v>2099</v>
      </c>
      <c r="D277" s="1" t="s">
        <v>2100</v>
      </c>
      <c r="E277" s="1" t="s">
        <v>2101</v>
      </c>
      <c r="F277" s="1" t="s">
        <v>2102</v>
      </c>
      <c r="G277" s="1" t="s">
        <v>2103</v>
      </c>
    </row>
    <row r="278" spans="1:7">
      <c r="A278" s="1">
        <v>277</v>
      </c>
      <c r="B278" s="1" t="s">
        <v>2104</v>
      </c>
      <c r="D278" s="1" t="s">
        <v>2100</v>
      </c>
      <c r="E278" s="1" t="s">
        <v>2105</v>
      </c>
      <c r="F278" s="1" t="s">
        <v>2106</v>
      </c>
      <c r="G278" s="1" t="s">
        <v>2107</v>
      </c>
    </row>
    <row r="279" spans="1:7">
      <c r="A279" s="1">
        <v>278</v>
      </c>
      <c r="B279" s="1" t="s">
        <v>2108</v>
      </c>
      <c r="D279" s="1" t="s">
        <v>2100</v>
      </c>
      <c r="E279" s="1" t="s">
        <v>2109</v>
      </c>
      <c r="F279" s="1" t="s">
        <v>2110</v>
      </c>
      <c r="G279" s="1" t="s">
        <v>2111</v>
      </c>
    </row>
    <row r="280" spans="1:7">
      <c r="A280" s="1">
        <v>279</v>
      </c>
      <c r="B280" s="1" t="s">
        <v>2112</v>
      </c>
      <c r="D280" s="1" t="s">
        <v>2100</v>
      </c>
      <c r="E280" s="1" t="s">
        <v>2113</v>
      </c>
      <c r="F280" s="1" t="s">
        <v>2114</v>
      </c>
      <c r="G280" s="1" t="s">
        <v>2115</v>
      </c>
    </row>
    <row r="281" spans="1:7">
      <c r="A281" s="1">
        <v>280</v>
      </c>
      <c r="B281" s="1" t="s">
        <v>2116</v>
      </c>
      <c r="D281" s="1" t="s">
        <v>2100</v>
      </c>
      <c r="E281" s="1" t="s">
        <v>2117</v>
      </c>
      <c r="F281" s="1" t="s">
        <v>2118</v>
      </c>
      <c r="G281" s="1" t="s">
        <v>2119</v>
      </c>
    </row>
    <row r="282" spans="1:7">
      <c r="A282" s="1">
        <v>281</v>
      </c>
      <c r="B282" s="1" t="s">
        <v>2120</v>
      </c>
      <c r="D282" s="1" t="s">
        <v>2100</v>
      </c>
      <c r="E282" s="1" t="s">
        <v>2121</v>
      </c>
      <c r="F282" s="1" t="s">
        <v>2122</v>
      </c>
      <c r="G282" s="1" t="s">
        <v>2123</v>
      </c>
    </row>
    <row r="283" spans="1:7">
      <c r="A283" s="1">
        <v>282</v>
      </c>
      <c r="B283" s="1" t="s">
        <v>2124</v>
      </c>
      <c r="D283" s="1" t="s">
        <v>2100</v>
      </c>
      <c r="E283" s="1" t="s">
        <v>2125</v>
      </c>
      <c r="F283" s="1" t="s">
        <v>2126</v>
      </c>
      <c r="G283" s="1" t="s">
        <v>2127</v>
      </c>
    </row>
    <row r="284" spans="1:7">
      <c r="A284" s="1">
        <v>283</v>
      </c>
      <c r="B284" s="1" t="s">
        <v>2128</v>
      </c>
      <c r="D284" s="1" t="s">
        <v>2100</v>
      </c>
      <c r="E284" s="1" t="s">
        <v>2129</v>
      </c>
      <c r="F284" s="1" t="s">
        <v>2130</v>
      </c>
      <c r="G284" s="1" t="s">
        <v>2131</v>
      </c>
    </row>
    <row r="285" spans="1:7">
      <c r="A285" s="1">
        <v>284</v>
      </c>
      <c r="B285" s="1" t="s">
        <v>2132</v>
      </c>
      <c r="D285" s="1" t="s">
        <v>2100</v>
      </c>
      <c r="E285" s="1" t="s">
        <v>2133</v>
      </c>
      <c r="F285" s="1" t="s">
        <v>2134</v>
      </c>
      <c r="G285" s="1" t="s">
        <v>2135</v>
      </c>
    </row>
    <row r="286" spans="1:7">
      <c r="A286" s="1">
        <v>285</v>
      </c>
      <c r="B286" s="1" t="s">
        <v>2136</v>
      </c>
      <c r="D286" s="1" t="s">
        <v>2100</v>
      </c>
      <c r="E286" s="1" t="s">
        <v>2137</v>
      </c>
      <c r="F286" s="1" t="s">
        <v>2138</v>
      </c>
      <c r="G286" s="1" t="s">
        <v>2139</v>
      </c>
    </row>
    <row r="287" spans="1:7">
      <c r="A287" s="1">
        <v>286</v>
      </c>
      <c r="B287" s="1" t="s">
        <v>2140</v>
      </c>
      <c r="D287" s="1" t="s">
        <v>2100</v>
      </c>
      <c r="E287" s="1" t="s">
        <v>2141</v>
      </c>
      <c r="F287" s="1" t="s">
        <v>2142</v>
      </c>
      <c r="G287" s="1" t="s">
        <v>2143</v>
      </c>
    </row>
    <row r="288" spans="1:7">
      <c r="A288" s="1">
        <v>287</v>
      </c>
      <c r="B288" s="1" t="s">
        <v>2144</v>
      </c>
      <c r="D288" s="1" t="s">
        <v>2145</v>
      </c>
      <c r="E288" s="1" t="s">
        <v>2146</v>
      </c>
      <c r="F288" s="1" t="s">
        <v>2147</v>
      </c>
      <c r="G288" s="1" t="s">
        <v>2148</v>
      </c>
    </row>
    <row r="289" spans="1:7">
      <c r="A289" s="1">
        <v>288</v>
      </c>
      <c r="B289" s="1" t="s">
        <v>2149</v>
      </c>
      <c r="D289" s="1" t="s">
        <v>2145</v>
      </c>
      <c r="E289" s="1" t="s">
        <v>2150</v>
      </c>
      <c r="F289" s="1" t="s">
        <v>2151</v>
      </c>
      <c r="G289" s="1" t="s">
        <v>2152</v>
      </c>
    </row>
    <row r="290" spans="1:7">
      <c r="A290" s="1">
        <v>289</v>
      </c>
      <c r="B290" s="1" t="s">
        <v>2153</v>
      </c>
      <c r="D290" s="1" t="s">
        <v>2145</v>
      </c>
      <c r="E290" s="1" t="s">
        <v>2154</v>
      </c>
      <c r="F290" s="1" t="s">
        <v>2155</v>
      </c>
      <c r="G290" s="1" t="s">
        <v>2156</v>
      </c>
    </row>
    <row r="291" spans="1:7">
      <c r="A291" s="1">
        <v>290</v>
      </c>
      <c r="B291" s="1" t="s">
        <v>2157</v>
      </c>
      <c r="D291" s="1" t="s">
        <v>2145</v>
      </c>
      <c r="E291" s="1" t="s">
        <v>2158</v>
      </c>
      <c r="F291" s="1" t="s">
        <v>2159</v>
      </c>
      <c r="G291" s="1" t="s">
        <v>2160</v>
      </c>
    </row>
    <row r="292" spans="1:7">
      <c r="A292" s="1">
        <v>291</v>
      </c>
      <c r="B292" s="1" t="s">
        <v>2161</v>
      </c>
      <c r="D292" s="1" t="s">
        <v>2162</v>
      </c>
      <c r="E292" s="1" t="s">
        <v>2163</v>
      </c>
      <c r="F292" s="1" t="s">
        <v>2164</v>
      </c>
      <c r="G292" s="1" t="s">
        <v>2165</v>
      </c>
    </row>
    <row r="293" spans="1:7">
      <c r="A293" s="1">
        <v>292</v>
      </c>
      <c r="B293" s="1" t="s">
        <v>2166</v>
      </c>
      <c r="D293" s="1" t="s">
        <v>2162</v>
      </c>
      <c r="E293" s="1" t="s">
        <v>2167</v>
      </c>
      <c r="F293" s="1" t="s">
        <v>2168</v>
      </c>
      <c r="G293" s="1" t="s">
        <v>2169</v>
      </c>
    </row>
    <row r="294" spans="1:7">
      <c r="A294" s="1">
        <v>293</v>
      </c>
      <c r="B294" s="1" t="s">
        <v>2170</v>
      </c>
      <c r="D294" s="1" t="s">
        <v>2162</v>
      </c>
      <c r="E294" s="1" t="s">
        <v>2171</v>
      </c>
      <c r="F294" s="1" t="s">
        <v>2172</v>
      </c>
      <c r="G294" s="1" t="s">
        <v>2173</v>
      </c>
    </row>
    <row r="295" spans="1:7">
      <c r="A295" s="1">
        <v>294</v>
      </c>
      <c r="B295" s="1" t="s">
        <v>2174</v>
      </c>
      <c r="D295" s="1" t="s">
        <v>2162</v>
      </c>
      <c r="E295" s="1" t="s">
        <v>2175</v>
      </c>
      <c r="F295" s="1" t="s">
        <v>2176</v>
      </c>
      <c r="G295" s="1" t="s">
        <v>2177</v>
      </c>
    </row>
    <row r="296" spans="1:7">
      <c r="A296" s="1">
        <v>295</v>
      </c>
      <c r="B296" s="1" t="s">
        <v>2178</v>
      </c>
      <c r="D296" s="1" t="s">
        <v>2162</v>
      </c>
      <c r="E296" s="1" t="s">
        <v>2179</v>
      </c>
      <c r="F296" s="1" t="s">
        <v>2180</v>
      </c>
      <c r="G296" s="1" t="s">
        <v>2181</v>
      </c>
    </row>
    <row r="297" spans="1:7">
      <c r="A297" s="1">
        <v>296</v>
      </c>
      <c r="B297" s="1" t="s">
        <v>2182</v>
      </c>
      <c r="D297" s="1" t="s">
        <v>2183</v>
      </c>
      <c r="E297" s="1" t="s">
        <v>2184</v>
      </c>
      <c r="F297" s="1" t="s">
        <v>240</v>
      </c>
      <c r="G297" s="1" t="s">
        <v>241</v>
      </c>
    </row>
    <row r="298" spans="1:7">
      <c r="A298" s="1">
        <v>297</v>
      </c>
      <c r="B298" s="1" t="s">
        <v>2185</v>
      </c>
      <c r="D298" s="1" t="s">
        <v>2186</v>
      </c>
      <c r="E298" s="1" t="s">
        <v>2187</v>
      </c>
      <c r="F298" s="1" t="s">
        <v>2188</v>
      </c>
      <c r="G298" s="1" t="s">
        <v>2189</v>
      </c>
    </row>
    <row r="299" spans="1:7">
      <c r="A299" s="1">
        <v>298</v>
      </c>
      <c r="B299" s="1" t="s">
        <v>2190</v>
      </c>
      <c r="D299" s="1" t="s">
        <v>2186</v>
      </c>
      <c r="E299" s="1" t="s">
        <v>2191</v>
      </c>
      <c r="F299" s="1" t="s">
        <v>2192</v>
      </c>
      <c r="G299" s="1" t="s">
        <v>2193</v>
      </c>
    </row>
    <row r="300" spans="1:7">
      <c r="A300" s="1">
        <v>299</v>
      </c>
      <c r="B300" s="1" t="s">
        <v>2194</v>
      </c>
      <c r="D300" s="1" t="s">
        <v>2186</v>
      </c>
      <c r="E300" s="1" t="s">
        <v>2195</v>
      </c>
      <c r="F300" s="1" t="s">
        <v>2196</v>
      </c>
      <c r="G300" s="1" t="s">
        <v>2197</v>
      </c>
    </row>
    <row r="301" spans="1:7">
      <c r="A301" s="1">
        <v>300</v>
      </c>
      <c r="B301" s="1" t="s">
        <v>2198</v>
      </c>
      <c r="D301" s="1" t="s">
        <v>2186</v>
      </c>
      <c r="E301" s="1" t="s">
        <v>2199</v>
      </c>
      <c r="F301" s="1" t="s">
        <v>2200</v>
      </c>
      <c r="G301" s="1" t="s">
        <v>2201</v>
      </c>
    </row>
    <row r="302" spans="1:7">
      <c r="A302" s="1">
        <v>301</v>
      </c>
      <c r="B302" s="1" t="s">
        <v>2202</v>
      </c>
      <c r="D302" s="1" t="s">
        <v>2186</v>
      </c>
      <c r="E302" s="1" t="s">
        <v>2203</v>
      </c>
      <c r="F302" s="1" t="s">
        <v>2204</v>
      </c>
      <c r="G302" s="1" t="s">
        <v>2205</v>
      </c>
    </row>
    <row r="303" spans="1:7">
      <c r="A303" s="1">
        <v>302</v>
      </c>
      <c r="B303" s="1" t="s">
        <v>2206</v>
      </c>
      <c r="D303" s="1" t="s">
        <v>2207</v>
      </c>
      <c r="E303" s="1" t="s">
        <v>2208</v>
      </c>
      <c r="F303" s="1" t="s">
        <v>1299</v>
      </c>
      <c r="G303" s="1" t="s">
        <v>1300</v>
      </c>
    </row>
    <row r="304" spans="1:7">
      <c r="A304" s="1">
        <v>303</v>
      </c>
      <c r="B304" s="1" t="s">
        <v>2209</v>
      </c>
      <c r="D304" s="1" t="s">
        <v>2207</v>
      </c>
      <c r="E304" s="1" t="s">
        <v>60</v>
      </c>
      <c r="F304" s="1" t="s">
        <v>1305</v>
      </c>
      <c r="G304" s="1" t="s">
        <v>1306</v>
      </c>
    </row>
    <row r="305" spans="1:7">
      <c r="A305" s="1">
        <v>304</v>
      </c>
      <c r="B305" s="1" t="s">
        <v>2210</v>
      </c>
      <c r="D305" s="1" t="s">
        <v>2207</v>
      </c>
      <c r="E305" s="1" t="s">
        <v>2211</v>
      </c>
      <c r="F305" s="1" t="s">
        <v>1302</v>
      </c>
      <c r="G305" s="1" t="s">
        <v>1303</v>
      </c>
    </row>
    <row r="306" spans="1:7">
      <c r="A306" s="1">
        <v>305</v>
      </c>
      <c r="B306" s="1" t="s">
        <v>2212</v>
      </c>
      <c r="D306" s="1" t="s">
        <v>2207</v>
      </c>
      <c r="E306" s="1" t="s">
        <v>64</v>
      </c>
      <c r="F306" s="1" t="s">
        <v>1308</v>
      </c>
      <c r="G306" s="1" t="s">
        <v>1309</v>
      </c>
    </row>
    <row r="307" spans="1:7">
      <c r="A307" s="1">
        <v>306</v>
      </c>
      <c r="B307" s="1" t="s">
        <v>2213</v>
      </c>
      <c r="D307" s="1" t="s">
        <v>2207</v>
      </c>
      <c r="E307" s="1" t="s">
        <v>68</v>
      </c>
      <c r="F307" s="1" t="s">
        <v>1311</v>
      </c>
      <c r="G307" s="1" t="s">
        <v>1312</v>
      </c>
    </row>
    <row r="308" spans="1:7">
      <c r="A308" s="1">
        <v>307</v>
      </c>
      <c r="B308" s="1" t="s">
        <v>2214</v>
      </c>
      <c r="D308" s="1" t="s">
        <v>2207</v>
      </c>
      <c r="E308" s="1" t="s">
        <v>72</v>
      </c>
      <c r="F308" s="1" t="s">
        <v>1314</v>
      </c>
      <c r="G308" s="1" t="s">
        <v>1315</v>
      </c>
    </row>
    <row r="309" spans="1:7">
      <c r="A309" s="1">
        <v>308</v>
      </c>
      <c r="B309" s="1" t="s">
        <v>2215</v>
      </c>
      <c r="D309" s="1" t="s">
        <v>2207</v>
      </c>
      <c r="E309" s="1" t="s">
        <v>2216</v>
      </c>
      <c r="F309" s="1" t="s">
        <v>1317</v>
      </c>
      <c r="G309" s="1" t="s">
        <v>1318</v>
      </c>
    </row>
    <row r="310" spans="1:7">
      <c r="A310" s="1">
        <v>309</v>
      </c>
      <c r="B310" s="1" t="s">
        <v>2217</v>
      </c>
      <c r="D310" s="1" t="s">
        <v>2207</v>
      </c>
      <c r="E310" s="1" t="s">
        <v>2218</v>
      </c>
      <c r="F310" s="1" t="s">
        <v>1320</v>
      </c>
      <c r="G310" s="1" t="s">
        <v>1321</v>
      </c>
    </row>
    <row r="311" spans="1:7">
      <c r="A311" s="1">
        <v>310</v>
      </c>
      <c r="B311" s="1" t="s">
        <v>2219</v>
      </c>
      <c r="D311" s="1" t="s">
        <v>2220</v>
      </c>
      <c r="E311" s="1" t="s">
        <v>2221</v>
      </c>
      <c r="F311" s="1" t="s">
        <v>2222</v>
      </c>
      <c r="G311" s="1" t="s">
        <v>2223</v>
      </c>
    </row>
    <row r="312" spans="1:7">
      <c r="A312" s="1">
        <v>311</v>
      </c>
      <c r="B312" s="1" t="s">
        <v>2224</v>
      </c>
      <c r="D312" s="1" t="s">
        <v>2220</v>
      </c>
      <c r="E312" s="1" t="s">
        <v>2225</v>
      </c>
      <c r="F312" s="1" t="s">
        <v>2226</v>
      </c>
      <c r="G312" s="1" t="s">
        <v>2227</v>
      </c>
    </row>
    <row r="313" spans="1:7">
      <c r="A313" s="1">
        <v>312</v>
      </c>
      <c r="B313" s="1" t="s">
        <v>2228</v>
      </c>
      <c r="D313" s="1" t="s">
        <v>2220</v>
      </c>
      <c r="E313" s="1" t="s">
        <v>2229</v>
      </c>
      <c r="F313" s="1" t="s">
        <v>2230</v>
      </c>
      <c r="G313" s="1" t="s">
        <v>2231</v>
      </c>
    </row>
    <row r="314" spans="1:7">
      <c r="A314" s="1">
        <v>313</v>
      </c>
      <c r="B314" s="1" t="s">
        <v>2232</v>
      </c>
      <c r="D314" s="1" t="s">
        <v>2220</v>
      </c>
      <c r="E314" s="1" t="s">
        <v>2233</v>
      </c>
      <c r="F314" s="1" t="s">
        <v>2234</v>
      </c>
      <c r="G314" s="1" t="s">
        <v>2235</v>
      </c>
    </row>
    <row r="315" spans="1:7">
      <c r="A315" s="1">
        <v>314</v>
      </c>
      <c r="B315" s="1" t="s">
        <v>2236</v>
      </c>
      <c r="D315" s="1" t="s">
        <v>2220</v>
      </c>
      <c r="E315" s="1" t="s">
        <v>2237</v>
      </c>
      <c r="F315" s="1" t="s">
        <v>2238</v>
      </c>
      <c r="G315" s="1" t="s">
        <v>2239</v>
      </c>
    </row>
    <row r="316" spans="1:7">
      <c r="A316" s="1">
        <v>315</v>
      </c>
      <c r="B316" s="1" t="s">
        <v>2240</v>
      </c>
      <c r="D316" s="1" t="s">
        <v>2220</v>
      </c>
      <c r="E316" s="1" t="s">
        <v>2241</v>
      </c>
      <c r="F316" s="1" t="s">
        <v>2242</v>
      </c>
      <c r="G316" s="1" t="s">
        <v>2243</v>
      </c>
    </row>
    <row r="317" spans="1:7">
      <c r="A317" s="1">
        <v>316</v>
      </c>
      <c r="B317" s="1" t="s">
        <v>2244</v>
      </c>
      <c r="D317" s="1" t="s">
        <v>2220</v>
      </c>
      <c r="E317" s="1" t="s">
        <v>2245</v>
      </c>
      <c r="F317" s="1" t="s">
        <v>2246</v>
      </c>
      <c r="G317" s="1" t="s">
        <v>2247</v>
      </c>
    </row>
    <row r="318" spans="1:7">
      <c r="A318" s="1">
        <v>317</v>
      </c>
      <c r="B318" s="1" t="s">
        <v>2248</v>
      </c>
      <c r="D318" s="1" t="s">
        <v>2220</v>
      </c>
      <c r="E318" s="1" t="s">
        <v>2249</v>
      </c>
      <c r="F318" s="1" t="s">
        <v>2250</v>
      </c>
      <c r="G318" s="1" t="s">
        <v>2251</v>
      </c>
    </row>
    <row r="319" spans="1:7">
      <c r="A319" s="1">
        <v>318</v>
      </c>
      <c r="B319" s="1" t="s">
        <v>2252</v>
      </c>
      <c r="D319" s="1" t="s">
        <v>2253</v>
      </c>
      <c r="E319" s="1" t="s">
        <v>2254</v>
      </c>
      <c r="F319" s="1" t="s">
        <v>21</v>
      </c>
      <c r="G319" s="1" t="s">
        <v>22</v>
      </c>
    </row>
    <row r="320" spans="1:7">
      <c r="A320" s="1">
        <v>319</v>
      </c>
      <c r="B320" s="1" t="s">
        <v>2255</v>
      </c>
      <c r="D320" s="1" t="s">
        <v>2253</v>
      </c>
      <c r="E320" s="1" t="s">
        <v>812</v>
      </c>
      <c r="F320" s="1" t="s">
        <v>813</v>
      </c>
      <c r="G320" s="1" t="s">
        <v>814</v>
      </c>
    </row>
    <row r="321" spans="1:7">
      <c r="A321" s="1">
        <v>320</v>
      </c>
      <c r="B321" s="1" t="s">
        <v>2256</v>
      </c>
      <c r="D321" s="1" t="s">
        <v>2253</v>
      </c>
      <c r="E321" s="1" t="s">
        <v>815</v>
      </c>
      <c r="F321" s="1" t="s">
        <v>816</v>
      </c>
      <c r="G321" s="1" t="s">
        <v>817</v>
      </c>
    </row>
    <row r="322" spans="1:7">
      <c r="A322" s="1">
        <v>321</v>
      </c>
      <c r="B322" s="1" t="s">
        <v>2257</v>
      </c>
      <c r="D322" s="1" t="s">
        <v>2258</v>
      </c>
      <c r="E322" s="1" t="s">
        <v>2259</v>
      </c>
      <c r="F322" s="1" t="s">
        <v>376</v>
      </c>
      <c r="G322" s="1" t="s">
        <v>377</v>
      </c>
    </row>
    <row r="323" spans="1:7">
      <c r="A323" s="1">
        <v>322</v>
      </c>
      <c r="B323" s="1" t="s">
        <v>2260</v>
      </c>
      <c r="D323" s="1" t="s">
        <v>2258</v>
      </c>
      <c r="E323" s="1" t="s">
        <v>2261</v>
      </c>
      <c r="F323" s="1" t="s">
        <v>372</v>
      </c>
      <c r="G323" s="1" t="s">
        <v>373</v>
      </c>
    </row>
    <row r="324" spans="1:7">
      <c r="A324" s="1">
        <v>323</v>
      </c>
      <c r="B324" s="1" t="s">
        <v>2262</v>
      </c>
      <c r="D324" s="1" t="s">
        <v>2258</v>
      </c>
      <c r="E324" s="1" t="s">
        <v>2263</v>
      </c>
      <c r="F324" s="1" t="s">
        <v>380</v>
      </c>
      <c r="G324" s="1" t="s">
        <v>381</v>
      </c>
    </row>
    <row r="325" spans="1:7">
      <c r="A325" s="1">
        <v>324</v>
      </c>
      <c r="B325" s="1" t="s">
        <v>2264</v>
      </c>
      <c r="D325" s="1" t="s">
        <v>2258</v>
      </c>
      <c r="E325" s="1" t="s">
        <v>2265</v>
      </c>
      <c r="F325" s="1" t="s">
        <v>336</v>
      </c>
      <c r="G325" s="1" t="s">
        <v>337</v>
      </c>
    </row>
    <row r="326" spans="1:7">
      <c r="A326" s="1">
        <v>325</v>
      </c>
      <c r="B326" s="1" t="s">
        <v>2266</v>
      </c>
      <c r="D326" s="1" t="s">
        <v>2258</v>
      </c>
      <c r="E326" s="1" t="s">
        <v>2267</v>
      </c>
      <c r="F326" s="1" t="s">
        <v>344</v>
      </c>
      <c r="G326" s="1" t="s">
        <v>345</v>
      </c>
    </row>
    <row r="327" spans="1:7">
      <c r="A327" s="1">
        <v>326</v>
      </c>
      <c r="B327" s="1" t="s">
        <v>2268</v>
      </c>
      <c r="D327" s="1" t="s">
        <v>2258</v>
      </c>
      <c r="E327" s="1" t="s">
        <v>2269</v>
      </c>
      <c r="F327" s="1" t="s">
        <v>384</v>
      </c>
      <c r="G327" s="1" t="s">
        <v>385</v>
      </c>
    </row>
    <row r="328" spans="1:7">
      <c r="A328" s="1">
        <v>327</v>
      </c>
      <c r="B328" s="1" t="s">
        <v>2270</v>
      </c>
      <c r="D328" s="1" t="s">
        <v>2258</v>
      </c>
      <c r="E328" s="1" t="s">
        <v>2271</v>
      </c>
      <c r="F328" s="1" t="s">
        <v>398</v>
      </c>
      <c r="G328" s="1" t="s">
        <v>399</v>
      </c>
    </row>
    <row r="329" spans="1:7">
      <c r="A329" s="1">
        <v>328</v>
      </c>
      <c r="B329" s="1" t="s">
        <v>2272</v>
      </c>
      <c r="D329" s="1" t="s">
        <v>2258</v>
      </c>
      <c r="E329" s="1" t="s">
        <v>2273</v>
      </c>
      <c r="F329" s="1" t="s">
        <v>401</v>
      </c>
      <c r="G329" s="1" t="s">
        <v>402</v>
      </c>
    </row>
    <row r="330" spans="1:7">
      <c r="A330" s="1">
        <v>329</v>
      </c>
      <c r="B330" s="1" t="s">
        <v>2274</v>
      </c>
      <c r="D330" s="1" t="s">
        <v>2258</v>
      </c>
      <c r="E330" s="1" t="s">
        <v>2275</v>
      </c>
      <c r="F330" s="1" t="s">
        <v>392</v>
      </c>
      <c r="G330" s="1" t="s">
        <v>393</v>
      </c>
    </row>
    <row r="331" spans="1:7">
      <c r="A331" s="1">
        <v>330</v>
      </c>
      <c r="B331" s="1" t="s">
        <v>2276</v>
      </c>
      <c r="D331" s="1" t="s">
        <v>2258</v>
      </c>
      <c r="E331" s="1" t="s">
        <v>2277</v>
      </c>
      <c r="F331" s="1" t="s">
        <v>395</v>
      </c>
      <c r="G331" s="1" t="s">
        <v>396</v>
      </c>
    </row>
    <row r="332" spans="1:7">
      <c r="A332" s="1">
        <v>331</v>
      </c>
      <c r="B332" s="1" t="s">
        <v>2278</v>
      </c>
      <c r="D332" s="1" t="s">
        <v>2258</v>
      </c>
      <c r="E332" s="1" t="s">
        <v>2279</v>
      </c>
      <c r="F332" s="1" t="s">
        <v>407</v>
      </c>
      <c r="G332" s="1" t="s">
        <v>408</v>
      </c>
    </row>
    <row r="333" spans="1:7">
      <c r="A333" s="1">
        <v>332</v>
      </c>
      <c r="B333" s="1" t="s">
        <v>2280</v>
      </c>
      <c r="D333" s="1" t="s">
        <v>2258</v>
      </c>
      <c r="E333" s="1" t="s">
        <v>2281</v>
      </c>
      <c r="F333" s="1" t="s">
        <v>404</v>
      </c>
      <c r="G333" s="1" t="s">
        <v>405</v>
      </c>
    </row>
    <row r="334" spans="1:7">
      <c r="A334" s="1">
        <v>333</v>
      </c>
      <c r="B334" s="1" t="s">
        <v>2282</v>
      </c>
      <c r="D334" s="1" t="s">
        <v>2258</v>
      </c>
      <c r="E334" s="1" t="s">
        <v>2283</v>
      </c>
      <c r="F334" s="1" t="s">
        <v>340</v>
      </c>
      <c r="G334" s="1" t="s">
        <v>341</v>
      </c>
    </row>
    <row r="335" spans="1:7">
      <c r="A335" s="1">
        <v>334</v>
      </c>
      <c r="B335" s="1" t="s">
        <v>2284</v>
      </c>
      <c r="D335" s="1" t="s">
        <v>2285</v>
      </c>
      <c r="E335" s="1" t="s">
        <v>1156</v>
      </c>
      <c r="F335" s="1" t="s">
        <v>2286</v>
      </c>
      <c r="G335" s="1" t="s">
        <v>2287</v>
      </c>
    </row>
    <row r="336" spans="1:7">
      <c r="A336" s="1">
        <v>335</v>
      </c>
      <c r="B336" s="1" t="s">
        <v>2288</v>
      </c>
      <c r="D336" s="1" t="s">
        <v>2285</v>
      </c>
      <c r="E336" s="1" t="s">
        <v>1153</v>
      </c>
      <c r="F336" s="1" t="s">
        <v>2289</v>
      </c>
      <c r="G336" s="1" t="s">
        <v>2290</v>
      </c>
    </row>
    <row r="337" spans="1:7">
      <c r="A337" s="1">
        <v>336</v>
      </c>
      <c r="B337" s="1" t="s">
        <v>2291</v>
      </c>
      <c r="D337" s="1" t="s">
        <v>2292</v>
      </c>
      <c r="E337" s="1" t="s">
        <v>2293</v>
      </c>
      <c r="F337" s="1" t="s">
        <v>21</v>
      </c>
      <c r="G337" s="1" t="s">
        <v>22</v>
      </c>
    </row>
    <row r="338" spans="1:7">
      <c r="A338" s="1">
        <v>337</v>
      </c>
      <c r="B338" s="1" t="s">
        <v>2294</v>
      </c>
      <c r="D338" s="1" t="s">
        <v>2295</v>
      </c>
      <c r="E338" s="1" t="s">
        <v>643</v>
      </c>
      <c r="F338" s="1" t="s">
        <v>21</v>
      </c>
      <c r="G338" s="1" t="s">
        <v>22</v>
      </c>
    </row>
    <row r="339" spans="1:7">
      <c r="A339" s="1">
        <v>338</v>
      </c>
      <c r="B339" s="1" t="s">
        <v>2296</v>
      </c>
      <c r="D339" s="1" t="s">
        <v>2297</v>
      </c>
      <c r="E339" s="1" t="s">
        <v>648</v>
      </c>
      <c r="F339" s="1" t="s">
        <v>21</v>
      </c>
      <c r="G339" s="1" t="s">
        <v>22</v>
      </c>
    </row>
    <row r="340" spans="1:7">
      <c r="A340" s="1">
        <v>339</v>
      </c>
      <c r="B340" s="1" t="s">
        <v>2298</v>
      </c>
      <c r="D340" s="1" t="s">
        <v>2299</v>
      </c>
      <c r="E340" s="1" t="s">
        <v>640</v>
      </c>
      <c r="F340" s="1" t="s">
        <v>21</v>
      </c>
      <c r="G340" s="1" t="s">
        <v>22</v>
      </c>
    </row>
    <row r="341" spans="1:7">
      <c r="A341" s="1">
        <v>340</v>
      </c>
      <c r="B341" s="1" t="s">
        <v>2300</v>
      </c>
      <c r="D341" s="1" t="s">
        <v>2301</v>
      </c>
      <c r="E341" s="1" t="s">
        <v>2302</v>
      </c>
      <c r="F341" s="1" t="s">
        <v>2303</v>
      </c>
      <c r="G341" s="1" t="s">
        <v>2304</v>
      </c>
    </row>
    <row r="342" spans="1:7">
      <c r="A342" s="1">
        <v>341</v>
      </c>
      <c r="B342" s="1" t="s">
        <v>2305</v>
      </c>
      <c r="D342" s="1" t="s">
        <v>2301</v>
      </c>
      <c r="E342" s="1" t="s">
        <v>2306</v>
      </c>
      <c r="F342" s="1" t="s">
        <v>2307</v>
      </c>
      <c r="G342" s="1" t="s">
        <v>2308</v>
      </c>
    </row>
    <row r="343" spans="1:7">
      <c r="A343" s="1">
        <v>342</v>
      </c>
      <c r="B343" s="1" t="s">
        <v>2309</v>
      </c>
      <c r="D343" s="1" t="s">
        <v>2310</v>
      </c>
      <c r="E343" s="1" t="s">
        <v>2311</v>
      </c>
      <c r="F343" s="1" t="s">
        <v>2312</v>
      </c>
      <c r="G343" s="1" t="s">
        <v>2313</v>
      </c>
    </row>
    <row r="344" spans="1:7">
      <c r="A344" s="1">
        <v>343</v>
      </c>
      <c r="B344" s="1" t="s">
        <v>2314</v>
      </c>
      <c r="D344" s="1" t="s">
        <v>2310</v>
      </c>
      <c r="E344" s="1" t="s">
        <v>2315</v>
      </c>
      <c r="F344" s="1" t="s">
        <v>2316</v>
      </c>
      <c r="G344" s="1" t="s">
        <v>2317</v>
      </c>
    </row>
    <row r="345" spans="1:7">
      <c r="A345" s="1">
        <v>344</v>
      </c>
      <c r="B345" s="1" t="s">
        <v>2318</v>
      </c>
      <c r="D345" s="1" t="s">
        <v>2310</v>
      </c>
      <c r="E345" s="1" t="s">
        <v>2319</v>
      </c>
      <c r="F345" s="1" t="s">
        <v>2320</v>
      </c>
      <c r="G345" s="1" t="s">
        <v>2321</v>
      </c>
    </row>
    <row r="346" spans="1:7">
      <c r="A346" s="1">
        <v>345</v>
      </c>
      <c r="B346" s="1" t="s">
        <v>2322</v>
      </c>
      <c r="D346" s="1" t="s">
        <v>2310</v>
      </c>
      <c r="E346" s="1" t="s">
        <v>2323</v>
      </c>
      <c r="F346" s="1" t="s">
        <v>2324</v>
      </c>
      <c r="G346" s="1" t="s">
        <v>2325</v>
      </c>
    </row>
    <row r="347" spans="1:7">
      <c r="A347" s="1">
        <v>346</v>
      </c>
      <c r="B347" s="1" t="s">
        <v>2326</v>
      </c>
      <c r="D347" s="1" t="s">
        <v>2310</v>
      </c>
      <c r="E347" s="1" t="s">
        <v>2327</v>
      </c>
      <c r="F347" s="1" t="s">
        <v>2328</v>
      </c>
      <c r="G347" s="1" t="s">
        <v>2329</v>
      </c>
    </row>
    <row r="348" spans="1:7">
      <c r="A348" s="1">
        <v>347</v>
      </c>
      <c r="B348" s="1" t="s">
        <v>2330</v>
      </c>
      <c r="D348" s="1" t="s">
        <v>2331</v>
      </c>
      <c r="E348" s="1" t="s">
        <v>2332</v>
      </c>
      <c r="F348" s="1" t="s">
        <v>21</v>
      </c>
      <c r="G348" s="1" t="s">
        <v>22</v>
      </c>
    </row>
    <row r="349" spans="1:7">
      <c r="A349" s="1">
        <v>348</v>
      </c>
      <c r="B349" s="1" t="s">
        <v>2333</v>
      </c>
      <c r="D349" s="1" t="s">
        <v>2331</v>
      </c>
      <c r="E349" s="1" t="s">
        <v>824</v>
      </c>
      <c r="F349" s="1" t="s">
        <v>619</v>
      </c>
      <c r="G349" s="1" t="s">
        <v>620</v>
      </c>
    </row>
    <row r="350" spans="1:7">
      <c r="A350" s="1">
        <v>349</v>
      </c>
      <c r="B350" s="1" t="s">
        <v>2334</v>
      </c>
      <c r="D350" s="1" t="s">
        <v>2331</v>
      </c>
      <c r="E350" s="1" t="s">
        <v>825</v>
      </c>
      <c r="F350" s="1" t="s">
        <v>16</v>
      </c>
      <c r="G350" s="1" t="s">
        <v>17</v>
      </c>
    </row>
    <row r="351" spans="1:7">
      <c r="A351" s="1">
        <v>350</v>
      </c>
      <c r="B351" s="1" t="s">
        <v>2335</v>
      </c>
      <c r="D351" s="1" t="s">
        <v>2336</v>
      </c>
      <c r="E351" s="1" t="s">
        <v>2337</v>
      </c>
      <c r="F351" s="1" t="s">
        <v>2338</v>
      </c>
      <c r="G351" s="1" t="s">
        <v>2339</v>
      </c>
    </row>
    <row r="352" spans="1:7">
      <c r="A352" s="1">
        <v>351</v>
      </c>
      <c r="B352" s="1" t="s">
        <v>2340</v>
      </c>
      <c r="D352" s="1" t="s">
        <v>2341</v>
      </c>
      <c r="E352" s="1" t="s">
        <v>2342</v>
      </c>
      <c r="F352" s="1" t="s">
        <v>2343</v>
      </c>
      <c r="G352" s="1" t="s">
        <v>2344</v>
      </c>
    </row>
    <row r="353" spans="1:7">
      <c r="A353" s="1">
        <v>352</v>
      </c>
      <c r="B353" s="1" t="s">
        <v>2345</v>
      </c>
      <c r="D353" s="1" t="s">
        <v>2341</v>
      </c>
      <c r="E353" s="1" t="s">
        <v>2346</v>
      </c>
      <c r="F353" s="1" t="s">
        <v>2347</v>
      </c>
      <c r="G353" s="1" t="s">
        <v>2348</v>
      </c>
    </row>
    <row r="354" spans="1:7">
      <c r="A354" s="1">
        <v>353</v>
      </c>
      <c r="B354" s="1" t="s">
        <v>2349</v>
      </c>
      <c r="D354" s="1" t="s">
        <v>2341</v>
      </c>
      <c r="E354" s="1" t="s">
        <v>2350</v>
      </c>
      <c r="F354" s="1" t="s">
        <v>2351</v>
      </c>
      <c r="G354" s="1" t="s">
        <v>2352</v>
      </c>
    </row>
    <row r="355" spans="1:7">
      <c r="A355" s="1">
        <v>354</v>
      </c>
      <c r="B355" s="1" t="s">
        <v>2353</v>
      </c>
      <c r="D355" s="1" t="s">
        <v>2354</v>
      </c>
      <c r="E355" s="1" t="s">
        <v>2355</v>
      </c>
      <c r="F355" s="1" t="s">
        <v>2356</v>
      </c>
      <c r="G355" s="1" t="s">
        <v>2357</v>
      </c>
    </row>
    <row r="356" spans="1:7">
      <c r="A356" s="1">
        <v>355</v>
      </c>
      <c r="B356" s="1" t="s">
        <v>2358</v>
      </c>
      <c r="D356" s="1" t="s">
        <v>2359</v>
      </c>
      <c r="E356" s="1" t="s">
        <v>2360</v>
      </c>
      <c r="F356" s="1" t="s">
        <v>2361</v>
      </c>
      <c r="G356" s="1" t="s">
        <v>2362</v>
      </c>
    </row>
    <row r="357" spans="1:7">
      <c r="A357" s="1">
        <v>356</v>
      </c>
      <c r="B357" s="1" t="s">
        <v>2363</v>
      </c>
      <c r="D357" s="1" t="s">
        <v>2359</v>
      </c>
      <c r="E357" s="1" t="s">
        <v>2364</v>
      </c>
      <c r="F357" s="1" t="s">
        <v>2365</v>
      </c>
      <c r="G357" s="1" t="s">
        <v>2366</v>
      </c>
    </row>
    <row r="358" spans="1:7">
      <c r="A358" s="1">
        <v>357</v>
      </c>
      <c r="B358" s="1" t="s">
        <v>2367</v>
      </c>
      <c r="D358" s="1" t="s">
        <v>2359</v>
      </c>
      <c r="E358" s="1" t="s">
        <v>2368</v>
      </c>
      <c r="F358" s="1" t="s">
        <v>2369</v>
      </c>
      <c r="G358" s="1" t="s">
        <v>2370</v>
      </c>
    </row>
    <row r="359" spans="1:7">
      <c r="A359" s="1">
        <v>358</v>
      </c>
      <c r="B359" s="1" t="s">
        <v>2371</v>
      </c>
      <c r="D359" s="1" t="s">
        <v>2372</v>
      </c>
      <c r="E359" s="1" t="s">
        <v>2373</v>
      </c>
      <c r="F359" s="1" t="s">
        <v>2374</v>
      </c>
      <c r="G359" s="1" t="s">
        <v>2375</v>
      </c>
    </row>
    <row r="360" spans="1:7">
      <c r="A360" s="1">
        <v>359</v>
      </c>
      <c r="B360" s="1" t="s">
        <v>2376</v>
      </c>
      <c r="D360" s="1" t="s">
        <v>2377</v>
      </c>
      <c r="E360" s="1" t="s">
        <v>651</v>
      </c>
      <c r="F360" s="1" t="s">
        <v>2378</v>
      </c>
      <c r="G360" s="1" t="s">
        <v>2379</v>
      </c>
    </row>
    <row r="361" spans="1:7">
      <c r="A361" s="1">
        <v>360</v>
      </c>
      <c r="B361" s="1" t="s">
        <v>2380</v>
      </c>
      <c r="D361" s="1" t="s">
        <v>2377</v>
      </c>
      <c r="E361" s="1" t="s">
        <v>654</v>
      </c>
      <c r="F361" s="1" t="s">
        <v>2381</v>
      </c>
      <c r="G361" s="1" t="s">
        <v>2382</v>
      </c>
    </row>
    <row r="362" spans="1:7">
      <c r="A362" s="1">
        <v>361</v>
      </c>
      <c r="B362" s="1" t="s">
        <v>2383</v>
      </c>
      <c r="D362" s="1" t="s">
        <v>2384</v>
      </c>
      <c r="E362" s="1" t="s">
        <v>659</v>
      </c>
      <c r="F362" s="1" t="s">
        <v>660</v>
      </c>
      <c r="G362" s="1" t="s">
        <v>661</v>
      </c>
    </row>
    <row r="363" spans="1:7">
      <c r="A363" s="1">
        <v>362</v>
      </c>
      <c r="B363" s="1" t="s">
        <v>2385</v>
      </c>
      <c r="D363" s="1" t="s">
        <v>2386</v>
      </c>
      <c r="E363" s="1" t="s">
        <v>707</v>
      </c>
      <c r="F363" s="1" t="s">
        <v>669</v>
      </c>
      <c r="G363" s="1" t="s">
        <v>670</v>
      </c>
    </row>
    <row r="364" spans="1:7">
      <c r="A364" s="1">
        <v>363</v>
      </c>
      <c r="B364" s="1" t="s">
        <v>2387</v>
      </c>
      <c r="D364" s="1" t="s">
        <v>2386</v>
      </c>
      <c r="E364" s="1" t="s">
        <v>673</v>
      </c>
      <c r="F364" s="1" t="s">
        <v>665</v>
      </c>
      <c r="G364" s="1" t="s">
        <v>666</v>
      </c>
    </row>
    <row r="365" spans="1:7">
      <c r="A365" s="1">
        <v>364</v>
      </c>
      <c r="B365" s="1" t="s">
        <v>2388</v>
      </c>
      <c r="D365" s="1" t="s">
        <v>2386</v>
      </c>
      <c r="E365" s="1" t="s">
        <v>1262</v>
      </c>
      <c r="F365" s="1" t="s">
        <v>660</v>
      </c>
      <c r="G365" s="1" t="s">
        <v>661</v>
      </c>
    </row>
    <row r="366" spans="1:7">
      <c r="A366" s="1">
        <v>365</v>
      </c>
      <c r="B366" s="1" t="s">
        <v>2389</v>
      </c>
      <c r="D366" s="1" t="s">
        <v>2390</v>
      </c>
      <c r="E366" s="1" t="s">
        <v>2391</v>
      </c>
      <c r="F366" s="1" t="s">
        <v>669</v>
      </c>
      <c r="G366" s="1" t="s">
        <v>670</v>
      </c>
    </row>
    <row r="367" spans="1:7">
      <c r="A367" s="1">
        <v>366</v>
      </c>
      <c r="B367" s="1" t="s">
        <v>2392</v>
      </c>
      <c r="D367" s="1" t="s">
        <v>2390</v>
      </c>
      <c r="E367" s="1" t="s">
        <v>2393</v>
      </c>
      <c r="F367" s="1" t="s">
        <v>665</v>
      </c>
      <c r="G367" s="1" t="s">
        <v>666</v>
      </c>
    </row>
    <row r="368" spans="1:7">
      <c r="A368" s="1">
        <v>367</v>
      </c>
      <c r="B368" s="1" t="s">
        <v>2394</v>
      </c>
      <c r="D368" s="1" t="s">
        <v>2390</v>
      </c>
      <c r="E368" s="1" t="s">
        <v>2395</v>
      </c>
      <c r="F368" s="1" t="s">
        <v>660</v>
      </c>
      <c r="G368" s="1" t="s">
        <v>661</v>
      </c>
    </row>
    <row r="369" spans="1:7">
      <c r="A369" s="1">
        <v>368</v>
      </c>
      <c r="B369" s="1" t="s">
        <v>2396</v>
      </c>
      <c r="D369" s="1" t="s">
        <v>2397</v>
      </c>
      <c r="E369" s="1" t="s">
        <v>1245</v>
      </c>
      <c r="F369" s="1" t="s">
        <v>21</v>
      </c>
      <c r="G369" s="1" t="s">
        <v>22</v>
      </c>
    </row>
    <row r="370" spans="1:7">
      <c r="A370" s="1">
        <v>369</v>
      </c>
      <c r="B370" s="1" t="s">
        <v>2398</v>
      </c>
      <c r="D370" s="1" t="s">
        <v>2397</v>
      </c>
      <c r="E370" s="1" t="s">
        <v>1248</v>
      </c>
      <c r="F370" s="1" t="s">
        <v>669</v>
      </c>
      <c r="G370" s="1" t="s">
        <v>670</v>
      </c>
    </row>
    <row r="371" spans="1:7">
      <c r="A371" s="1">
        <v>370</v>
      </c>
      <c r="B371" s="1" t="s">
        <v>2399</v>
      </c>
      <c r="D371" s="1" t="s">
        <v>2397</v>
      </c>
      <c r="E371" s="1" t="s">
        <v>1247</v>
      </c>
      <c r="F371" s="1" t="s">
        <v>660</v>
      </c>
      <c r="G371" s="1" t="s">
        <v>661</v>
      </c>
    </row>
    <row r="372" spans="1:7">
      <c r="A372" s="1">
        <v>371</v>
      </c>
      <c r="B372" s="1" t="s">
        <v>2400</v>
      </c>
      <c r="D372" s="1" t="s">
        <v>2397</v>
      </c>
      <c r="E372" s="1" t="s">
        <v>1246</v>
      </c>
      <c r="F372" s="1" t="s">
        <v>665</v>
      </c>
      <c r="G372" s="1" t="s">
        <v>666</v>
      </c>
    </row>
    <row r="373" spans="1:7">
      <c r="A373" s="1">
        <v>372</v>
      </c>
      <c r="B373" s="1" t="s">
        <v>2401</v>
      </c>
      <c r="D373" s="1" t="s">
        <v>2397</v>
      </c>
      <c r="E373" s="1" t="s">
        <v>1249</v>
      </c>
      <c r="F373" s="1" t="s">
        <v>630</v>
      </c>
      <c r="G373" s="1" t="s">
        <v>631</v>
      </c>
    </row>
    <row r="374" spans="1:7">
      <c r="A374" s="1">
        <v>373</v>
      </c>
      <c r="B374" s="1" t="s">
        <v>2402</v>
      </c>
      <c r="D374" s="1" t="s">
        <v>2403</v>
      </c>
      <c r="E374" s="1" t="s">
        <v>2404</v>
      </c>
      <c r="F374" s="1" t="s">
        <v>21</v>
      </c>
      <c r="G374" s="1" t="s">
        <v>22</v>
      </c>
    </row>
    <row r="375" spans="1:7">
      <c r="A375" s="1">
        <v>374</v>
      </c>
      <c r="B375" s="1" t="s">
        <v>2405</v>
      </c>
      <c r="D375" s="1" t="s">
        <v>2403</v>
      </c>
      <c r="E375" s="1" t="s">
        <v>2406</v>
      </c>
      <c r="F375" s="1" t="s">
        <v>2378</v>
      </c>
      <c r="G375" s="1" t="s">
        <v>2379</v>
      </c>
    </row>
    <row r="376" spans="1:7">
      <c r="A376" s="1">
        <v>375</v>
      </c>
      <c r="B376" s="1" t="s">
        <v>2407</v>
      </c>
      <c r="D376" s="1" t="s">
        <v>2403</v>
      </c>
      <c r="E376" s="1" t="s">
        <v>2408</v>
      </c>
      <c r="F376" s="1" t="s">
        <v>2381</v>
      </c>
      <c r="G376" s="1" t="s">
        <v>2382</v>
      </c>
    </row>
    <row r="377" spans="1:7">
      <c r="A377" s="1">
        <v>376</v>
      </c>
      <c r="B377" s="1" t="s">
        <v>2409</v>
      </c>
      <c r="D377" s="1" t="s">
        <v>2403</v>
      </c>
      <c r="E377" s="1" t="s">
        <v>2410</v>
      </c>
      <c r="F377" s="1" t="s">
        <v>660</v>
      </c>
      <c r="G377" s="1" t="s">
        <v>661</v>
      </c>
    </row>
    <row r="378" spans="1:7">
      <c r="A378" s="1">
        <v>377</v>
      </c>
      <c r="B378" s="1" t="s">
        <v>2411</v>
      </c>
      <c r="D378" s="1" t="s">
        <v>2403</v>
      </c>
      <c r="E378" s="1" t="s">
        <v>2412</v>
      </c>
      <c r="F378" s="1" t="s">
        <v>630</v>
      </c>
      <c r="G378" s="1" t="s">
        <v>631</v>
      </c>
    </row>
    <row r="379" spans="1:7">
      <c r="A379" s="1">
        <v>378</v>
      </c>
      <c r="B379" s="1" t="s">
        <v>2413</v>
      </c>
      <c r="D379" s="1" t="s">
        <v>2414</v>
      </c>
      <c r="E379" s="1" t="s">
        <v>2415</v>
      </c>
      <c r="F379" s="1" t="s">
        <v>688</v>
      </c>
      <c r="G379" s="1" t="s">
        <v>689</v>
      </c>
    </row>
    <row r="380" spans="1:7">
      <c r="A380" s="1">
        <v>379</v>
      </c>
      <c r="B380" s="1" t="s">
        <v>2416</v>
      </c>
      <c r="D380" s="1" t="s">
        <v>2414</v>
      </c>
      <c r="E380" s="1" t="s">
        <v>2417</v>
      </c>
      <c r="F380" s="1" t="s">
        <v>669</v>
      </c>
      <c r="G380" s="1" t="s">
        <v>670</v>
      </c>
    </row>
    <row r="381" spans="1:7">
      <c r="A381" s="1">
        <v>380</v>
      </c>
      <c r="B381" s="1" t="s">
        <v>2418</v>
      </c>
      <c r="D381" s="1" t="s">
        <v>2414</v>
      </c>
      <c r="E381" s="1" t="s">
        <v>2419</v>
      </c>
      <c r="F381" s="1" t="s">
        <v>660</v>
      </c>
      <c r="G381" s="1" t="s">
        <v>661</v>
      </c>
    </row>
    <row r="382" spans="1:7">
      <c r="A382" s="1">
        <v>381</v>
      </c>
      <c r="B382" s="1" t="s">
        <v>2420</v>
      </c>
      <c r="D382" s="1" t="s">
        <v>2414</v>
      </c>
      <c r="E382" s="1" t="s">
        <v>2421</v>
      </c>
      <c r="F382" s="1" t="s">
        <v>665</v>
      </c>
      <c r="G382" s="1" t="s">
        <v>666</v>
      </c>
    </row>
    <row r="383" spans="1:7">
      <c r="A383" s="1">
        <v>382</v>
      </c>
      <c r="B383" s="1" t="s">
        <v>2422</v>
      </c>
      <c r="D383" s="1" t="s">
        <v>2414</v>
      </c>
      <c r="E383" s="1" t="s">
        <v>2423</v>
      </c>
      <c r="F383" s="1" t="s">
        <v>630</v>
      </c>
      <c r="G383" s="1" t="s">
        <v>631</v>
      </c>
    </row>
    <row r="384" spans="1:7">
      <c r="A384" s="1">
        <v>383</v>
      </c>
      <c r="B384" s="1" t="s">
        <v>2424</v>
      </c>
      <c r="D384" s="1" t="s">
        <v>2425</v>
      </c>
      <c r="E384" s="1" t="s">
        <v>2426</v>
      </c>
      <c r="F384" s="1" t="s">
        <v>688</v>
      </c>
      <c r="G384" s="1" t="s">
        <v>689</v>
      </c>
    </row>
    <row r="385" spans="1:7">
      <c r="A385" s="1">
        <v>384</v>
      </c>
      <c r="B385" s="1" t="s">
        <v>2427</v>
      </c>
      <c r="D385" s="1" t="s">
        <v>2425</v>
      </c>
      <c r="E385" s="1" t="s">
        <v>2428</v>
      </c>
      <c r="F385" s="1" t="s">
        <v>669</v>
      </c>
      <c r="G385" s="1" t="s">
        <v>670</v>
      </c>
    </row>
    <row r="386" spans="1:7">
      <c r="A386" s="1">
        <v>385</v>
      </c>
      <c r="B386" s="1" t="s">
        <v>2429</v>
      </c>
      <c r="D386" s="1" t="s">
        <v>2425</v>
      </c>
      <c r="E386" s="1" t="s">
        <v>2430</v>
      </c>
      <c r="F386" s="1" t="s">
        <v>660</v>
      </c>
      <c r="G386" s="1" t="s">
        <v>661</v>
      </c>
    </row>
    <row r="387" spans="1:7">
      <c r="A387" s="1">
        <v>386</v>
      </c>
      <c r="B387" s="1" t="s">
        <v>2431</v>
      </c>
      <c r="D387" s="1" t="s">
        <v>2425</v>
      </c>
      <c r="E387" s="1" t="s">
        <v>2432</v>
      </c>
      <c r="F387" s="1" t="s">
        <v>665</v>
      </c>
      <c r="G387" s="1" t="s">
        <v>666</v>
      </c>
    </row>
    <row r="388" spans="1:7">
      <c r="A388" s="1">
        <v>387</v>
      </c>
      <c r="B388" s="1" t="s">
        <v>2433</v>
      </c>
      <c r="D388" s="1" t="s">
        <v>2425</v>
      </c>
      <c r="E388" s="1" t="s">
        <v>2434</v>
      </c>
      <c r="F388" s="1" t="s">
        <v>630</v>
      </c>
      <c r="G388" s="1" t="s">
        <v>631</v>
      </c>
    </row>
    <row r="389" spans="1:7">
      <c r="A389" s="1">
        <v>388</v>
      </c>
      <c r="B389" s="1" t="s">
        <v>2435</v>
      </c>
      <c r="D389" s="1" t="s">
        <v>2436</v>
      </c>
      <c r="E389" s="1" t="s">
        <v>678</v>
      </c>
      <c r="F389" s="1" t="s">
        <v>630</v>
      </c>
      <c r="G389" s="1" t="s">
        <v>631</v>
      </c>
    </row>
    <row r="390" spans="1:7">
      <c r="A390" s="1">
        <v>389</v>
      </c>
      <c r="B390" s="1" t="s">
        <v>2437</v>
      </c>
      <c r="D390" s="1" t="s">
        <v>2438</v>
      </c>
      <c r="E390" s="1" t="s">
        <v>681</v>
      </c>
      <c r="F390" s="1" t="s">
        <v>630</v>
      </c>
      <c r="G390" s="1" t="s">
        <v>631</v>
      </c>
    </row>
    <row r="391" spans="1:7">
      <c r="A391" s="1">
        <v>390</v>
      </c>
      <c r="B391" s="1" t="s">
        <v>2439</v>
      </c>
      <c r="D391" s="1" t="s">
        <v>2440</v>
      </c>
      <c r="E391" s="1" t="s">
        <v>2441</v>
      </c>
      <c r="F391" s="1" t="s">
        <v>630</v>
      </c>
      <c r="G391" s="1" t="s">
        <v>631</v>
      </c>
    </row>
    <row r="392" spans="1:7">
      <c r="A392" s="1">
        <v>391</v>
      </c>
      <c r="B392" s="1" t="s">
        <v>2442</v>
      </c>
      <c r="D392" s="1" t="s">
        <v>2443</v>
      </c>
      <c r="E392" s="1" t="s">
        <v>687</v>
      </c>
      <c r="F392" s="1" t="s">
        <v>688</v>
      </c>
      <c r="G392" s="1" t="s">
        <v>689</v>
      </c>
    </row>
    <row r="393" spans="1:7">
      <c r="A393" s="1">
        <v>392</v>
      </c>
      <c r="B393" s="1" t="s">
        <v>2444</v>
      </c>
      <c r="D393" s="1" t="s">
        <v>2445</v>
      </c>
      <c r="E393" s="1" t="s">
        <v>2446</v>
      </c>
      <c r="F393" s="1" t="s">
        <v>688</v>
      </c>
      <c r="G393" s="1" t="s">
        <v>689</v>
      </c>
    </row>
    <row r="394" spans="1:7">
      <c r="A394" s="1">
        <v>393</v>
      </c>
      <c r="B394" s="1" t="s">
        <v>2447</v>
      </c>
      <c r="D394" s="1" t="s">
        <v>2448</v>
      </c>
      <c r="E394" s="1" t="s">
        <v>421</v>
      </c>
      <c r="F394" s="1" t="s">
        <v>422</v>
      </c>
      <c r="G394" s="1" t="s">
        <v>423</v>
      </c>
    </row>
    <row r="395" spans="1:7">
      <c r="A395" s="1">
        <v>394</v>
      </c>
      <c r="B395" s="1" t="s">
        <v>2449</v>
      </c>
      <c r="D395" s="1" t="s">
        <v>2448</v>
      </c>
      <c r="E395" s="1" t="s">
        <v>415</v>
      </c>
      <c r="F395" s="1" t="s">
        <v>416</v>
      </c>
      <c r="G395" s="1" t="s">
        <v>417</v>
      </c>
    </row>
    <row r="396" spans="1:7">
      <c r="A396" s="1">
        <v>395</v>
      </c>
      <c r="B396" s="1" t="s">
        <v>2450</v>
      </c>
      <c r="D396" s="1" t="s">
        <v>2448</v>
      </c>
      <c r="E396" s="1" t="s">
        <v>418</v>
      </c>
      <c r="F396" s="1" t="s">
        <v>419</v>
      </c>
      <c r="G396" s="1" t="s">
        <v>420</v>
      </c>
    </row>
    <row r="397" spans="1:7">
      <c r="A397" s="1">
        <v>396</v>
      </c>
      <c r="B397" s="1" t="s">
        <v>2451</v>
      </c>
      <c r="D397" s="1" t="s">
        <v>2448</v>
      </c>
      <c r="E397" s="1" t="s">
        <v>2452</v>
      </c>
      <c r="F397" s="1" t="s">
        <v>425</v>
      </c>
      <c r="G397" s="1" t="s">
        <v>426</v>
      </c>
    </row>
    <row r="398" spans="1:7">
      <c r="A398" s="1">
        <v>397</v>
      </c>
      <c r="B398" s="1" t="s">
        <v>2453</v>
      </c>
      <c r="D398" s="1" t="s">
        <v>2454</v>
      </c>
      <c r="E398" s="1" t="s">
        <v>2455</v>
      </c>
      <c r="F398" s="1" t="s">
        <v>422</v>
      </c>
      <c r="G398" s="1" t="s">
        <v>423</v>
      </c>
    </row>
    <row r="399" spans="1:7">
      <c r="A399" s="1">
        <v>398</v>
      </c>
      <c r="B399" s="1" t="s">
        <v>2456</v>
      </c>
      <c r="D399" s="1" t="s">
        <v>2454</v>
      </c>
      <c r="E399" s="1" t="s">
        <v>2457</v>
      </c>
      <c r="F399" s="1" t="s">
        <v>416</v>
      </c>
      <c r="G399" s="1" t="s">
        <v>417</v>
      </c>
    </row>
    <row r="400" spans="1:7">
      <c r="A400" s="1">
        <v>399</v>
      </c>
      <c r="B400" s="1" t="s">
        <v>2458</v>
      </c>
      <c r="D400" s="1" t="s">
        <v>2454</v>
      </c>
      <c r="E400" s="1" t="s">
        <v>2459</v>
      </c>
      <c r="F400" s="1" t="s">
        <v>419</v>
      </c>
      <c r="G400" s="1" t="s">
        <v>420</v>
      </c>
    </row>
    <row r="401" spans="1:7">
      <c r="A401" s="1">
        <v>400</v>
      </c>
      <c r="B401" s="1" t="s">
        <v>2460</v>
      </c>
      <c r="D401" s="1" t="s">
        <v>2454</v>
      </c>
      <c r="E401" s="1" t="s">
        <v>2461</v>
      </c>
      <c r="F401" s="1" t="s">
        <v>425</v>
      </c>
      <c r="G401" s="1" t="s">
        <v>426</v>
      </c>
    </row>
    <row r="402" spans="1:7">
      <c r="A402" s="1">
        <v>401</v>
      </c>
      <c r="B402" s="1" t="s">
        <v>2462</v>
      </c>
      <c r="D402" s="1" t="s">
        <v>2463</v>
      </c>
      <c r="E402" s="1" t="s">
        <v>2464</v>
      </c>
      <c r="F402" s="1" t="s">
        <v>2465</v>
      </c>
      <c r="G402" s="1" t="s">
        <v>2466</v>
      </c>
    </row>
    <row r="403" spans="1:7">
      <c r="A403" s="1">
        <v>402</v>
      </c>
      <c r="B403" s="1" t="s">
        <v>2467</v>
      </c>
      <c r="D403" s="1" t="s">
        <v>2463</v>
      </c>
      <c r="E403" s="1" t="s">
        <v>2468</v>
      </c>
      <c r="F403" s="1" t="s">
        <v>2469</v>
      </c>
      <c r="G403" s="1" t="s">
        <v>2470</v>
      </c>
    </row>
    <row r="404" spans="1:7">
      <c r="A404" s="1">
        <v>403</v>
      </c>
      <c r="B404" s="1" t="s">
        <v>2471</v>
      </c>
      <c r="D404" s="1" t="s">
        <v>2463</v>
      </c>
      <c r="E404" s="1" t="s">
        <v>2472</v>
      </c>
      <c r="F404" s="1" t="s">
        <v>2473</v>
      </c>
      <c r="G404" s="1" t="s">
        <v>2474</v>
      </c>
    </row>
    <row r="405" spans="1:7">
      <c r="A405" s="1">
        <v>404</v>
      </c>
      <c r="B405" s="1" t="s">
        <v>2475</v>
      </c>
      <c r="D405" s="1" t="s">
        <v>2463</v>
      </c>
      <c r="E405" s="1" t="s">
        <v>2476</v>
      </c>
      <c r="F405" s="1" t="s">
        <v>2477</v>
      </c>
      <c r="G405" s="1" t="s">
        <v>2478</v>
      </c>
    </row>
    <row r="406" spans="1:7">
      <c r="A406" s="1">
        <v>405</v>
      </c>
      <c r="B406" s="1" t="s">
        <v>2479</v>
      </c>
      <c r="D406" s="1" t="s">
        <v>2463</v>
      </c>
      <c r="E406" s="1" t="s">
        <v>2480</v>
      </c>
      <c r="F406" s="1" t="s">
        <v>2481</v>
      </c>
      <c r="G406" s="1" t="s">
        <v>2482</v>
      </c>
    </row>
    <row r="407" spans="1:7">
      <c r="A407" s="1">
        <v>406</v>
      </c>
      <c r="B407" s="1" t="s">
        <v>2483</v>
      </c>
      <c r="D407" s="1" t="s">
        <v>2484</v>
      </c>
      <c r="E407" s="1" t="s">
        <v>2485</v>
      </c>
      <c r="F407" s="1" t="s">
        <v>21</v>
      </c>
      <c r="G407" s="1" t="s">
        <v>22</v>
      </c>
    </row>
    <row r="408" spans="1:7">
      <c r="A408" s="1">
        <v>407</v>
      </c>
      <c r="B408" s="1" t="s">
        <v>2486</v>
      </c>
      <c r="D408" s="1" t="s">
        <v>2484</v>
      </c>
      <c r="E408" s="1" t="s">
        <v>2487</v>
      </c>
      <c r="F408" s="1" t="s">
        <v>630</v>
      </c>
      <c r="G408" s="1" t="s">
        <v>631</v>
      </c>
    </row>
    <row r="409" spans="1:7">
      <c r="A409" s="1">
        <v>408</v>
      </c>
      <c r="B409" s="1" t="s">
        <v>2488</v>
      </c>
      <c r="D409" s="1" t="s">
        <v>2484</v>
      </c>
      <c r="E409" s="1" t="s">
        <v>2489</v>
      </c>
      <c r="F409" s="1" t="s">
        <v>627</v>
      </c>
      <c r="G409" s="1" t="s">
        <v>628</v>
      </c>
    </row>
    <row r="410" spans="1:7">
      <c r="A410" s="1">
        <v>409</v>
      </c>
      <c r="B410" s="1" t="s">
        <v>2490</v>
      </c>
      <c r="D410" s="1" t="s">
        <v>2491</v>
      </c>
      <c r="E410" s="1" t="s">
        <v>1307</v>
      </c>
      <c r="F410" s="1" t="s">
        <v>248</v>
      </c>
      <c r="G410" s="1" t="s">
        <v>249</v>
      </c>
    </row>
    <row r="411" spans="1:7">
      <c r="A411" s="1">
        <v>410</v>
      </c>
      <c r="B411" s="1" t="s">
        <v>2492</v>
      </c>
      <c r="D411" s="1" t="s">
        <v>2491</v>
      </c>
      <c r="E411" s="1" t="s">
        <v>1310</v>
      </c>
      <c r="F411" s="1" t="s">
        <v>245</v>
      </c>
      <c r="G411" s="1" t="s">
        <v>246</v>
      </c>
    </row>
    <row r="412" spans="1:7">
      <c r="A412" s="1">
        <v>411</v>
      </c>
      <c r="B412" s="1" t="s">
        <v>2493</v>
      </c>
      <c r="D412" s="1" t="s">
        <v>2494</v>
      </c>
      <c r="E412" s="1" t="s">
        <v>1316</v>
      </c>
      <c r="F412" s="1" t="s">
        <v>248</v>
      </c>
      <c r="G412" s="1" t="s">
        <v>249</v>
      </c>
    </row>
    <row r="413" spans="1:7">
      <c r="A413" s="1">
        <v>412</v>
      </c>
      <c r="B413" s="1" t="s">
        <v>2495</v>
      </c>
      <c r="D413" s="1" t="s">
        <v>2494</v>
      </c>
      <c r="E413" s="1" t="s">
        <v>1319</v>
      </c>
      <c r="F413" s="1" t="s">
        <v>245</v>
      </c>
      <c r="G413" s="1" t="s">
        <v>246</v>
      </c>
    </row>
    <row r="414" spans="1:7">
      <c r="A414" s="1">
        <v>413</v>
      </c>
      <c r="B414" s="1" t="s">
        <v>2496</v>
      </c>
      <c r="D414" s="1" t="s">
        <v>2497</v>
      </c>
      <c r="E414" s="1" t="s">
        <v>1110</v>
      </c>
      <c r="F414" s="1" t="s">
        <v>12</v>
      </c>
      <c r="G414" s="1" t="s">
        <v>13</v>
      </c>
    </row>
    <row r="415" spans="1:7">
      <c r="A415" s="1">
        <v>414</v>
      </c>
      <c r="B415" s="1" t="s">
        <v>2498</v>
      </c>
      <c r="D415" s="1" t="s">
        <v>2497</v>
      </c>
      <c r="E415" s="1" t="s">
        <v>1116</v>
      </c>
      <c r="F415" s="1" t="s">
        <v>839</v>
      </c>
      <c r="G415" s="1" t="s">
        <v>840</v>
      </c>
    </row>
    <row r="416" spans="1:7">
      <c r="A416" s="1">
        <v>415</v>
      </c>
      <c r="B416" s="1" t="s">
        <v>2499</v>
      </c>
      <c r="D416" s="1" t="s">
        <v>2497</v>
      </c>
      <c r="E416" s="1" t="s">
        <v>2500</v>
      </c>
      <c r="F416" s="1" t="s">
        <v>21</v>
      </c>
      <c r="G416" s="1" t="s">
        <v>22</v>
      </c>
    </row>
    <row r="417" spans="1:7">
      <c r="A417" s="1">
        <v>416</v>
      </c>
      <c r="B417" s="1" t="s">
        <v>2501</v>
      </c>
      <c r="D417" s="1" t="s">
        <v>2497</v>
      </c>
      <c r="E417" s="1" t="s">
        <v>1113</v>
      </c>
      <c r="F417" s="1" t="s">
        <v>836</v>
      </c>
      <c r="G417" s="1" t="s">
        <v>837</v>
      </c>
    </row>
    <row r="418" spans="1:7">
      <c r="A418" s="1">
        <v>417</v>
      </c>
      <c r="B418" s="1" t="s">
        <v>2502</v>
      </c>
      <c r="D418" s="1" t="s">
        <v>2503</v>
      </c>
      <c r="E418" s="1" t="s">
        <v>1165</v>
      </c>
      <c r="F418" s="1" t="s">
        <v>12</v>
      </c>
      <c r="G418" s="1" t="s">
        <v>13</v>
      </c>
    </row>
    <row r="419" spans="1:7">
      <c r="A419" s="1">
        <v>418</v>
      </c>
      <c r="B419" s="1" t="s">
        <v>2504</v>
      </c>
      <c r="D419" s="1" t="s">
        <v>2503</v>
      </c>
      <c r="E419" s="1" t="s">
        <v>1171</v>
      </c>
      <c r="F419" s="1" t="s">
        <v>839</v>
      </c>
      <c r="G419" s="1" t="s">
        <v>840</v>
      </c>
    </row>
    <row r="420" spans="1:7">
      <c r="A420" s="1">
        <v>419</v>
      </c>
      <c r="B420" s="1" t="s">
        <v>2505</v>
      </c>
      <c r="D420" s="1" t="s">
        <v>2503</v>
      </c>
      <c r="E420" s="1" t="s">
        <v>2506</v>
      </c>
      <c r="F420" s="1" t="s">
        <v>21</v>
      </c>
      <c r="G420" s="1" t="s">
        <v>22</v>
      </c>
    </row>
    <row r="421" spans="1:7">
      <c r="A421" s="1">
        <v>420</v>
      </c>
      <c r="B421" s="1" t="s">
        <v>2507</v>
      </c>
      <c r="D421" s="1" t="s">
        <v>2503</v>
      </c>
      <c r="E421" s="1" t="s">
        <v>1168</v>
      </c>
      <c r="F421" s="1" t="s">
        <v>836</v>
      </c>
      <c r="G421" s="1" t="s">
        <v>837</v>
      </c>
    </row>
    <row r="422" spans="1:7">
      <c r="A422" s="1">
        <v>421</v>
      </c>
      <c r="B422" s="1" t="s">
        <v>2508</v>
      </c>
      <c r="D422" s="1" t="s">
        <v>2509</v>
      </c>
      <c r="E422" s="1" t="s">
        <v>1125</v>
      </c>
      <c r="F422" s="1" t="s">
        <v>12</v>
      </c>
      <c r="G422" s="1" t="s">
        <v>13</v>
      </c>
    </row>
    <row r="423" spans="1:7">
      <c r="A423" s="1">
        <v>422</v>
      </c>
      <c r="B423" s="1" t="s">
        <v>2510</v>
      </c>
      <c r="D423" s="1" t="s">
        <v>2509</v>
      </c>
      <c r="E423" s="1" t="s">
        <v>1176</v>
      </c>
      <c r="F423" s="1" t="s">
        <v>839</v>
      </c>
      <c r="G423" s="1" t="s">
        <v>840</v>
      </c>
    </row>
    <row r="424" spans="1:7">
      <c r="A424" s="1">
        <v>423</v>
      </c>
      <c r="B424" s="1" t="s">
        <v>2511</v>
      </c>
      <c r="D424" s="1" t="s">
        <v>2509</v>
      </c>
      <c r="E424" s="1" t="s">
        <v>2512</v>
      </c>
      <c r="F424" s="1" t="s">
        <v>21</v>
      </c>
      <c r="G424" s="1" t="s">
        <v>22</v>
      </c>
    </row>
    <row r="425" spans="1:7">
      <c r="A425" s="1">
        <v>424</v>
      </c>
      <c r="B425" s="1" t="s">
        <v>2513</v>
      </c>
      <c r="D425" s="1" t="s">
        <v>2509</v>
      </c>
      <c r="E425" s="1" t="s">
        <v>2514</v>
      </c>
      <c r="F425" s="1" t="s">
        <v>836</v>
      </c>
      <c r="G425" s="1" t="s">
        <v>837</v>
      </c>
    </row>
    <row r="426" spans="1:7">
      <c r="A426" s="1">
        <v>425</v>
      </c>
      <c r="B426" s="1" t="s">
        <v>2515</v>
      </c>
      <c r="D426" s="1" t="s">
        <v>2516</v>
      </c>
      <c r="E426" s="1" t="s">
        <v>1185</v>
      </c>
      <c r="F426" s="1" t="s">
        <v>12</v>
      </c>
      <c r="G426" s="1" t="s">
        <v>13</v>
      </c>
    </row>
    <row r="427" spans="1:7">
      <c r="A427" s="1">
        <v>426</v>
      </c>
      <c r="B427" s="1" t="s">
        <v>2517</v>
      </c>
      <c r="D427" s="1" t="s">
        <v>2516</v>
      </c>
      <c r="E427" s="1" t="s">
        <v>1191</v>
      </c>
      <c r="F427" s="1" t="s">
        <v>839</v>
      </c>
      <c r="G427" s="1" t="s">
        <v>840</v>
      </c>
    </row>
    <row r="428" spans="1:7">
      <c r="A428" s="1">
        <v>427</v>
      </c>
      <c r="B428" s="1" t="s">
        <v>2518</v>
      </c>
      <c r="D428" s="1" t="s">
        <v>2516</v>
      </c>
      <c r="E428" s="1" t="s">
        <v>2519</v>
      </c>
      <c r="F428" s="1" t="s">
        <v>21</v>
      </c>
      <c r="G428" s="1" t="s">
        <v>22</v>
      </c>
    </row>
    <row r="429" spans="1:7">
      <c r="A429" s="1">
        <v>428</v>
      </c>
      <c r="B429" s="1" t="s">
        <v>2520</v>
      </c>
      <c r="D429" s="1" t="s">
        <v>2516</v>
      </c>
      <c r="E429" s="1" t="s">
        <v>1188</v>
      </c>
      <c r="F429" s="1" t="s">
        <v>836</v>
      </c>
      <c r="G429" s="1" t="s">
        <v>837</v>
      </c>
    </row>
    <row r="430" spans="1:7">
      <c r="A430" s="1">
        <v>429</v>
      </c>
      <c r="B430" s="1" t="s">
        <v>2521</v>
      </c>
      <c r="D430" s="1" t="s">
        <v>2522</v>
      </c>
      <c r="E430" s="1" t="s">
        <v>1199</v>
      </c>
      <c r="F430" s="1" t="s">
        <v>12</v>
      </c>
      <c r="G430" s="1" t="s">
        <v>13</v>
      </c>
    </row>
    <row r="431" spans="1:7">
      <c r="A431" s="1">
        <v>430</v>
      </c>
      <c r="B431" s="1" t="s">
        <v>2523</v>
      </c>
      <c r="D431" s="1" t="s">
        <v>2522</v>
      </c>
      <c r="E431" s="1" t="s">
        <v>1205</v>
      </c>
      <c r="F431" s="1" t="s">
        <v>839</v>
      </c>
      <c r="G431" s="1" t="s">
        <v>840</v>
      </c>
    </row>
    <row r="432" spans="1:7">
      <c r="A432" s="1">
        <v>431</v>
      </c>
      <c r="B432" s="1" t="s">
        <v>2524</v>
      </c>
      <c r="D432" s="1" t="s">
        <v>2522</v>
      </c>
      <c r="E432" s="1" t="s">
        <v>2525</v>
      </c>
      <c r="F432" s="1" t="s">
        <v>21</v>
      </c>
      <c r="G432" s="1" t="s">
        <v>22</v>
      </c>
    </row>
    <row r="433" spans="1:7">
      <c r="A433" s="1">
        <v>432</v>
      </c>
      <c r="B433" s="1" t="s">
        <v>2526</v>
      </c>
      <c r="D433" s="1" t="s">
        <v>2522</v>
      </c>
      <c r="E433" s="1" t="s">
        <v>1202</v>
      </c>
      <c r="F433" s="1" t="s">
        <v>836</v>
      </c>
      <c r="G433" s="1" t="s">
        <v>837</v>
      </c>
    </row>
    <row r="434" spans="1:7">
      <c r="A434" s="1">
        <v>433</v>
      </c>
      <c r="B434" s="1" t="s">
        <v>2527</v>
      </c>
      <c r="D434" s="1" t="s">
        <v>2528</v>
      </c>
      <c r="E434" s="1" t="s">
        <v>704</v>
      </c>
      <c r="F434" s="1" t="s">
        <v>12</v>
      </c>
      <c r="G434" s="1" t="s">
        <v>13</v>
      </c>
    </row>
    <row r="435" spans="1:7">
      <c r="A435" s="1">
        <v>434</v>
      </c>
      <c r="B435" s="1" t="s">
        <v>2529</v>
      </c>
      <c r="D435" s="1" t="s">
        <v>2528</v>
      </c>
      <c r="E435" s="1" t="s">
        <v>606</v>
      </c>
      <c r="F435" s="1" t="s">
        <v>839</v>
      </c>
      <c r="G435" s="1" t="s">
        <v>840</v>
      </c>
    </row>
    <row r="436" spans="1:7">
      <c r="A436" s="1">
        <v>435</v>
      </c>
      <c r="B436" s="1" t="s">
        <v>2530</v>
      </c>
      <c r="D436" s="1" t="s">
        <v>2528</v>
      </c>
      <c r="E436" s="1" t="s">
        <v>2531</v>
      </c>
      <c r="F436" s="1" t="s">
        <v>21</v>
      </c>
      <c r="G436" s="1" t="s">
        <v>22</v>
      </c>
    </row>
    <row r="437" spans="1:7">
      <c r="A437" s="1">
        <v>436</v>
      </c>
      <c r="B437" s="1" t="s">
        <v>2532</v>
      </c>
      <c r="D437" s="1" t="s">
        <v>2528</v>
      </c>
      <c r="E437" s="1" t="s">
        <v>1295</v>
      </c>
      <c r="F437" s="1" t="s">
        <v>836</v>
      </c>
      <c r="G437" s="1" t="s">
        <v>837</v>
      </c>
    </row>
    <row r="438" spans="1:7">
      <c r="A438" s="1">
        <v>437</v>
      </c>
      <c r="B438" s="1" t="s">
        <v>2533</v>
      </c>
      <c r="D438" s="1" t="s">
        <v>2534</v>
      </c>
      <c r="E438" s="1" t="s">
        <v>1214</v>
      </c>
      <c r="F438" s="1" t="s">
        <v>12</v>
      </c>
      <c r="G438" s="1" t="s">
        <v>13</v>
      </c>
    </row>
    <row r="439" spans="1:7">
      <c r="A439" s="1">
        <v>438</v>
      </c>
      <c r="B439" s="1" t="s">
        <v>2535</v>
      </c>
      <c r="D439" s="1" t="s">
        <v>2534</v>
      </c>
      <c r="E439" s="1" t="s">
        <v>2536</v>
      </c>
      <c r="F439" s="1" t="s">
        <v>839</v>
      </c>
      <c r="G439" s="1" t="s">
        <v>840</v>
      </c>
    </row>
    <row r="440" spans="1:7">
      <c r="A440" s="1">
        <v>439</v>
      </c>
      <c r="B440" s="1" t="s">
        <v>2537</v>
      </c>
      <c r="D440" s="1" t="s">
        <v>2534</v>
      </c>
      <c r="E440" s="1" t="s">
        <v>2538</v>
      </c>
      <c r="F440" s="1" t="s">
        <v>21</v>
      </c>
      <c r="G440" s="1" t="s">
        <v>22</v>
      </c>
    </row>
    <row r="441" spans="1:7">
      <c r="A441" s="1">
        <v>440</v>
      </c>
      <c r="B441" s="1" t="s">
        <v>2539</v>
      </c>
      <c r="D441" s="1" t="s">
        <v>2534</v>
      </c>
      <c r="E441" s="1" t="s">
        <v>1217</v>
      </c>
      <c r="F441" s="1" t="s">
        <v>836</v>
      </c>
      <c r="G441" s="1" t="s">
        <v>837</v>
      </c>
    </row>
    <row r="442" spans="1:7">
      <c r="A442" s="1">
        <v>441</v>
      </c>
      <c r="B442" s="1" t="s">
        <v>2540</v>
      </c>
      <c r="D442" s="1" t="s">
        <v>2541</v>
      </c>
      <c r="E442" s="1" t="s">
        <v>2542</v>
      </c>
      <c r="F442" s="1" t="s">
        <v>12</v>
      </c>
      <c r="G442" s="1" t="s">
        <v>13</v>
      </c>
    </row>
    <row r="443" spans="1:7">
      <c r="A443" s="1">
        <v>442</v>
      </c>
      <c r="B443" s="1" t="s">
        <v>2543</v>
      </c>
      <c r="D443" s="1" t="s">
        <v>2541</v>
      </c>
      <c r="E443" s="1" t="s">
        <v>2544</v>
      </c>
      <c r="F443" s="1" t="s">
        <v>839</v>
      </c>
      <c r="G443" s="1" t="s">
        <v>840</v>
      </c>
    </row>
    <row r="444" spans="1:7">
      <c r="A444" s="1">
        <v>443</v>
      </c>
      <c r="B444" s="1" t="s">
        <v>2545</v>
      </c>
      <c r="D444" s="1" t="s">
        <v>2541</v>
      </c>
      <c r="E444" s="1" t="s">
        <v>2546</v>
      </c>
      <c r="F444" s="1" t="s">
        <v>21</v>
      </c>
      <c r="G444" s="1" t="s">
        <v>22</v>
      </c>
    </row>
    <row r="445" spans="1:7">
      <c r="A445" s="1">
        <v>444</v>
      </c>
      <c r="B445" s="1" t="s">
        <v>2547</v>
      </c>
      <c r="D445" s="1" t="s">
        <v>2541</v>
      </c>
      <c r="E445" s="1" t="s">
        <v>2548</v>
      </c>
      <c r="F445" s="1" t="s">
        <v>836</v>
      </c>
      <c r="G445" s="1" t="s">
        <v>837</v>
      </c>
    </row>
    <row r="446" spans="1:7">
      <c r="A446" s="1">
        <v>445</v>
      </c>
      <c r="B446" s="1" t="s">
        <v>2549</v>
      </c>
      <c r="D446" s="1" t="s">
        <v>2550</v>
      </c>
      <c r="E446" s="1" t="s">
        <v>2551</v>
      </c>
      <c r="F446" s="1" t="s">
        <v>12</v>
      </c>
      <c r="G446" s="1" t="s">
        <v>13</v>
      </c>
    </row>
    <row r="447" spans="1:7">
      <c r="A447" s="1">
        <v>446</v>
      </c>
      <c r="B447" s="1" t="s">
        <v>2552</v>
      </c>
      <c r="D447" s="1" t="s">
        <v>2550</v>
      </c>
      <c r="E447" s="1" t="s">
        <v>2553</v>
      </c>
      <c r="F447" s="1" t="s">
        <v>839</v>
      </c>
      <c r="G447" s="1" t="s">
        <v>840</v>
      </c>
    </row>
    <row r="448" spans="1:7">
      <c r="A448" s="1">
        <v>447</v>
      </c>
      <c r="B448" s="1" t="s">
        <v>2554</v>
      </c>
      <c r="D448" s="1" t="s">
        <v>2550</v>
      </c>
      <c r="E448" s="1" t="s">
        <v>2555</v>
      </c>
      <c r="F448" s="1" t="s">
        <v>21</v>
      </c>
      <c r="G448" s="1" t="s">
        <v>22</v>
      </c>
    </row>
    <row r="449" spans="1:7">
      <c r="A449" s="1">
        <v>448</v>
      </c>
      <c r="B449" s="1" t="s">
        <v>2556</v>
      </c>
      <c r="D449" s="1" t="s">
        <v>2550</v>
      </c>
      <c r="E449" s="1" t="s">
        <v>2557</v>
      </c>
      <c r="F449" s="1" t="s">
        <v>836</v>
      </c>
      <c r="G449" s="1" t="s">
        <v>837</v>
      </c>
    </row>
    <row r="450" spans="1:7">
      <c r="A450" s="1">
        <v>449</v>
      </c>
      <c r="B450" s="1" t="s">
        <v>2558</v>
      </c>
      <c r="D450" s="1" t="s">
        <v>2559</v>
      </c>
      <c r="E450" s="1" t="s">
        <v>2560</v>
      </c>
      <c r="F450" s="1" t="s">
        <v>12</v>
      </c>
      <c r="G450" s="1" t="s">
        <v>13</v>
      </c>
    </row>
    <row r="451" spans="1:7">
      <c r="A451" s="1">
        <v>450</v>
      </c>
      <c r="B451" s="1" t="s">
        <v>2561</v>
      </c>
      <c r="D451" s="1" t="s">
        <v>2559</v>
      </c>
      <c r="E451" s="1" t="s">
        <v>2562</v>
      </c>
      <c r="F451" s="1" t="s">
        <v>839</v>
      </c>
      <c r="G451" s="1" t="s">
        <v>840</v>
      </c>
    </row>
    <row r="452" spans="1:7">
      <c r="A452" s="1">
        <v>451</v>
      </c>
      <c r="B452" s="1" t="s">
        <v>2563</v>
      </c>
      <c r="D452" s="1" t="s">
        <v>2559</v>
      </c>
      <c r="E452" s="1" t="s">
        <v>2564</v>
      </c>
      <c r="F452" s="1" t="s">
        <v>21</v>
      </c>
      <c r="G452" s="1" t="s">
        <v>22</v>
      </c>
    </row>
    <row r="453" spans="1:7">
      <c r="A453" s="1">
        <v>452</v>
      </c>
      <c r="B453" s="1" t="s">
        <v>2565</v>
      </c>
      <c r="D453" s="1" t="s">
        <v>2559</v>
      </c>
      <c r="E453" s="1" t="s">
        <v>2566</v>
      </c>
      <c r="F453" s="1" t="s">
        <v>836</v>
      </c>
      <c r="G453" s="1" t="s">
        <v>837</v>
      </c>
    </row>
    <row r="454" spans="1:7">
      <c r="A454" s="1">
        <v>453</v>
      </c>
      <c r="B454" s="1" t="s">
        <v>2567</v>
      </c>
      <c r="D454" s="1" t="s">
        <v>2568</v>
      </c>
      <c r="E454" s="1" t="s">
        <v>476</v>
      </c>
      <c r="F454" s="1" t="s">
        <v>12</v>
      </c>
      <c r="G454" s="1" t="s">
        <v>13</v>
      </c>
    </row>
    <row r="455" spans="1:7">
      <c r="A455" s="1">
        <v>454</v>
      </c>
      <c r="B455" s="1" t="s">
        <v>2569</v>
      </c>
      <c r="D455" s="1" t="s">
        <v>2568</v>
      </c>
      <c r="E455" s="1" t="s">
        <v>482</v>
      </c>
      <c r="F455" s="1" t="s">
        <v>839</v>
      </c>
      <c r="G455" s="1" t="s">
        <v>840</v>
      </c>
    </row>
    <row r="456" spans="1:7">
      <c r="A456" s="1">
        <v>455</v>
      </c>
      <c r="B456" s="1" t="s">
        <v>2570</v>
      </c>
      <c r="D456" s="1" t="s">
        <v>2568</v>
      </c>
      <c r="E456" s="1" t="s">
        <v>2571</v>
      </c>
      <c r="F456" s="1" t="s">
        <v>21</v>
      </c>
      <c r="G456" s="1" t="s">
        <v>22</v>
      </c>
    </row>
    <row r="457" spans="1:7">
      <c r="A457" s="1">
        <v>456</v>
      </c>
      <c r="B457" s="1" t="s">
        <v>2572</v>
      </c>
      <c r="D457" s="1" t="s">
        <v>2568</v>
      </c>
      <c r="E457" s="1" t="s">
        <v>479</v>
      </c>
      <c r="F457" s="1" t="s">
        <v>836</v>
      </c>
      <c r="G457" s="1" t="s">
        <v>837</v>
      </c>
    </row>
    <row r="458" spans="1:7">
      <c r="A458" s="1">
        <v>457</v>
      </c>
      <c r="B458" s="1" t="s">
        <v>2573</v>
      </c>
      <c r="D458" s="1" t="s">
        <v>2574</v>
      </c>
      <c r="E458" s="1" t="s">
        <v>2575</v>
      </c>
      <c r="F458" s="1" t="s">
        <v>12</v>
      </c>
      <c r="G458" s="1" t="s">
        <v>13</v>
      </c>
    </row>
    <row r="459" spans="1:7">
      <c r="A459" s="1">
        <v>458</v>
      </c>
      <c r="B459" s="1" t="s">
        <v>2576</v>
      </c>
      <c r="D459" s="1" t="s">
        <v>2574</v>
      </c>
      <c r="E459" s="1" t="s">
        <v>2577</v>
      </c>
      <c r="F459" s="1" t="s">
        <v>839</v>
      </c>
      <c r="G459" s="1" t="s">
        <v>840</v>
      </c>
    </row>
    <row r="460" spans="1:7">
      <c r="A460" s="1">
        <v>459</v>
      </c>
      <c r="B460" s="1" t="s">
        <v>2578</v>
      </c>
      <c r="D460" s="1" t="s">
        <v>2574</v>
      </c>
      <c r="E460" s="1" t="s">
        <v>2579</v>
      </c>
      <c r="F460" s="1" t="s">
        <v>21</v>
      </c>
      <c r="G460" s="1" t="s">
        <v>22</v>
      </c>
    </row>
    <row r="461" spans="1:7">
      <c r="A461" s="1">
        <v>460</v>
      </c>
      <c r="B461" s="1" t="s">
        <v>2580</v>
      </c>
      <c r="D461" s="1" t="s">
        <v>2574</v>
      </c>
      <c r="E461" s="1" t="s">
        <v>2581</v>
      </c>
      <c r="F461" s="1" t="s">
        <v>836</v>
      </c>
      <c r="G461" s="1" t="s">
        <v>837</v>
      </c>
    </row>
    <row r="462" spans="1:7">
      <c r="A462" s="1">
        <v>461</v>
      </c>
      <c r="B462" s="1" t="s">
        <v>2582</v>
      </c>
      <c r="D462" s="1" t="s">
        <v>2583</v>
      </c>
      <c r="E462" s="1" t="s">
        <v>2584</v>
      </c>
      <c r="F462" s="1" t="s">
        <v>12</v>
      </c>
      <c r="G462" s="1" t="s">
        <v>13</v>
      </c>
    </row>
    <row r="463" spans="1:7">
      <c r="A463" s="1">
        <v>462</v>
      </c>
      <c r="B463" s="1" t="s">
        <v>2585</v>
      </c>
      <c r="D463" s="1" t="s">
        <v>2583</v>
      </c>
      <c r="E463" s="1" t="s">
        <v>2586</v>
      </c>
      <c r="F463" s="1" t="s">
        <v>839</v>
      </c>
      <c r="G463" s="1" t="s">
        <v>840</v>
      </c>
    </row>
    <row r="464" spans="1:7">
      <c r="A464" s="1">
        <v>463</v>
      </c>
      <c r="B464" s="1" t="s">
        <v>2587</v>
      </c>
      <c r="D464" s="1" t="s">
        <v>2583</v>
      </c>
      <c r="E464" s="1" t="s">
        <v>2588</v>
      </c>
      <c r="F464" s="1" t="s">
        <v>21</v>
      </c>
      <c r="G464" s="1" t="s">
        <v>22</v>
      </c>
    </row>
    <row r="465" spans="1:7">
      <c r="A465" s="1">
        <v>464</v>
      </c>
      <c r="B465" s="1" t="s">
        <v>2589</v>
      </c>
      <c r="D465" s="1" t="s">
        <v>2583</v>
      </c>
      <c r="E465" s="1" t="s">
        <v>2590</v>
      </c>
      <c r="F465" s="1" t="s">
        <v>836</v>
      </c>
      <c r="G465" s="1" t="s">
        <v>837</v>
      </c>
    </row>
    <row r="466" spans="1:7">
      <c r="A466" s="1">
        <v>465</v>
      </c>
      <c r="B466" s="1" t="s">
        <v>2591</v>
      </c>
      <c r="D466" s="1" t="s">
        <v>2592</v>
      </c>
      <c r="E466" s="1" t="s">
        <v>2593</v>
      </c>
      <c r="F466" s="1" t="s">
        <v>12</v>
      </c>
      <c r="G466" s="1" t="s">
        <v>13</v>
      </c>
    </row>
    <row r="467" spans="1:7">
      <c r="A467" s="1">
        <v>466</v>
      </c>
      <c r="B467" s="1" t="s">
        <v>2594</v>
      </c>
      <c r="D467" s="1" t="s">
        <v>2592</v>
      </c>
      <c r="E467" s="1" t="s">
        <v>2595</v>
      </c>
      <c r="F467" s="1" t="s">
        <v>839</v>
      </c>
      <c r="G467" s="1" t="s">
        <v>840</v>
      </c>
    </row>
    <row r="468" spans="1:7">
      <c r="A468" s="1">
        <v>467</v>
      </c>
      <c r="B468" s="1" t="s">
        <v>2596</v>
      </c>
      <c r="D468" s="1" t="s">
        <v>2592</v>
      </c>
      <c r="E468" s="1" t="s">
        <v>2597</v>
      </c>
      <c r="F468" s="1" t="s">
        <v>21</v>
      </c>
      <c r="G468" s="1" t="s">
        <v>22</v>
      </c>
    </row>
    <row r="469" spans="1:7">
      <c r="A469" s="1">
        <v>468</v>
      </c>
      <c r="B469" s="1" t="s">
        <v>2598</v>
      </c>
      <c r="D469" s="1" t="s">
        <v>2592</v>
      </c>
      <c r="E469" s="1" t="s">
        <v>2599</v>
      </c>
      <c r="F469" s="1" t="s">
        <v>836</v>
      </c>
      <c r="G469" s="1" t="s">
        <v>837</v>
      </c>
    </row>
    <row r="470" spans="1:7">
      <c r="A470" s="1">
        <v>469</v>
      </c>
      <c r="B470" s="1" t="s">
        <v>2600</v>
      </c>
      <c r="D470" s="1" t="s">
        <v>2601</v>
      </c>
      <c r="E470" s="1" t="s">
        <v>2602</v>
      </c>
      <c r="F470" s="1" t="s">
        <v>12</v>
      </c>
      <c r="G470" s="1" t="s">
        <v>13</v>
      </c>
    </row>
    <row r="471" spans="1:7">
      <c r="A471" s="1">
        <v>470</v>
      </c>
      <c r="B471" s="1" t="s">
        <v>2603</v>
      </c>
      <c r="D471" s="1" t="s">
        <v>2601</v>
      </c>
      <c r="E471" s="1" t="s">
        <v>2604</v>
      </c>
      <c r="F471" s="1" t="s">
        <v>839</v>
      </c>
      <c r="G471" s="1" t="s">
        <v>840</v>
      </c>
    </row>
    <row r="472" spans="1:7">
      <c r="A472" s="1">
        <v>471</v>
      </c>
      <c r="B472" s="1" t="s">
        <v>2605</v>
      </c>
      <c r="D472" s="1" t="s">
        <v>2601</v>
      </c>
      <c r="E472" s="1" t="s">
        <v>2606</v>
      </c>
      <c r="F472" s="1" t="s">
        <v>21</v>
      </c>
      <c r="G472" s="1" t="s">
        <v>22</v>
      </c>
    </row>
    <row r="473" spans="1:7">
      <c r="A473" s="1">
        <v>472</v>
      </c>
      <c r="B473" s="1" t="s">
        <v>2607</v>
      </c>
      <c r="D473" s="1" t="s">
        <v>2601</v>
      </c>
      <c r="E473" s="1" t="s">
        <v>2608</v>
      </c>
      <c r="F473" s="1" t="s">
        <v>836</v>
      </c>
      <c r="G473" s="1" t="s">
        <v>837</v>
      </c>
    </row>
    <row r="474" spans="1:7">
      <c r="A474" s="1">
        <v>473</v>
      </c>
      <c r="B474" s="1" t="s">
        <v>2609</v>
      </c>
      <c r="D474" s="1" t="s">
        <v>2610</v>
      </c>
      <c r="E474" s="1" t="s">
        <v>2611</v>
      </c>
      <c r="F474" s="1" t="s">
        <v>12</v>
      </c>
      <c r="G474" s="1" t="s">
        <v>13</v>
      </c>
    </row>
    <row r="475" spans="1:7">
      <c r="A475" s="1">
        <v>474</v>
      </c>
      <c r="B475" s="1" t="s">
        <v>2612</v>
      </c>
      <c r="D475" s="1" t="s">
        <v>2610</v>
      </c>
      <c r="E475" s="1" t="s">
        <v>2613</v>
      </c>
      <c r="F475" s="1" t="s">
        <v>839</v>
      </c>
      <c r="G475" s="1" t="s">
        <v>840</v>
      </c>
    </row>
    <row r="476" spans="1:7">
      <c r="A476" s="1">
        <v>475</v>
      </c>
      <c r="B476" s="1" t="s">
        <v>2614</v>
      </c>
      <c r="D476" s="1" t="s">
        <v>2610</v>
      </c>
      <c r="E476" s="1" t="s">
        <v>2615</v>
      </c>
      <c r="F476" s="1" t="s">
        <v>21</v>
      </c>
      <c r="G476" s="1" t="s">
        <v>22</v>
      </c>
    </row>
    <row r="477" spans="1:7">
      <c r="A477" s="1">
        <v>476</v>
      </c>
      <c r="B477" s="1" t="s">
        <v>2616</v>
      </c>
      <c r="D477" s="1" t="s">
        <v>2610</v>
      </c>
      <c r="E477" s="1" t="s">
        <v>2617</v>
      </c>
      <c r="F477" s="1" t="s">
        <v>836</v>
      </c>
      <c r="G477" s="1" t="s">
        <v>837</v>
      </c>
    </row>
    <row r="478" spans="1:7">
      <c r="A478" s="1">
        <v>477</v>
      </c>
      <c r="B478" s="1" t="s">
        <v>2618</v>
      </c>
      <c r="D478" s="1" t="s">
        <v>2619</v>
      </c>
      <c r="E478" s="1" t="s">
        <v>383</v>
      </c>
      <c r="F478" s="1" t="s">
        <v>12</v>
      </c>
      <c r="G478" s="1" t="s">
        <v>13</v>
      </c>
    </row>
    <row r="479" spans="1:7">
      <c r="A479" s="1">
        <v>478</v>
      </c>
      <c r="B479" s="1" t="s">
        <v>2620</v>
      </c>
      <c r="D479" s="1" t="s">
        <v>2619</v>
      </c>
      <c r="E479" s="1" t="s">
        <v>500</v>
      </c>
      <c r="F479" s="1" t="s">
        <v>839</v>
      </c>
      <c r="G479" s="1" t="s">
        <v>840</v>
      </c>
    </row>
    <row r="480" spans="1:7">
      <c r="A480" s="1">
        <v>479</v>
      </c>
      <c r="B480" s="1" t="s">
        <v>2621</v>
      </c>
      <c r="D480" s="1" t="s">
        <v>2619</v>
      </c>
      <c r="E480" s="1" t="s">
        <v>2622</v>
      </c>
      <c r="F480" s="1" t="s">
        <v>21</v>
      </c>
      <c r="G480" s="1" t="s">
        <v>22</v>
      </c>
    </row>
    <row r="481" spans="1:7">
      <c r="A481" s="1">
        <v>480</v>
      </c>
      <c r="B481" s="1" t="s">
        <v>2623</v>
      </c>
      <c r="D481" s="1" t="s">
        <v>2619</v>
      </c>
      <c r="E481" s="1" t="s">
        <v>412</v>
      </c>
      <c r="F481" s="1" t="s">
        <v>836</v>
      </c>
      <c r="G481" s="1" t="s">
        <v>837</v>
      </c>
    </row>
    <row r="482" spans="1:7">
      <c r="A482" s="1">
        <v>481</v>
      </c>
      <c r="B482" s="1" t="s">
        <v>2624</v>
      </c>
      <c r="D482" s="1" t="s">
        <v>2625</v>
      </c>
      <c r="E482" s="1" t="s">
        <v>512</v>
      </c>
      <c r="F482" s="1" t="s">
        <v>12</v>
      </c>
      <c r="G482" s="1" t="s">
        <v>13</v>
      </c>
    </row>
    <row r="483" spans="1:7">
      <c r="A483" s="1">
        <v>482</v>
      </c>
      <c r="B483" s="1" t="s">
        <v>2626</v>
      </c>
      <c r="D483" s="1" t="s">
        <v>2625</v>
      </c>
      <c r="E483" s="1" t="s">
        <v>516</v>
      </c>
      <c r="F483" s="1" t="s">
        <v>839</v>
      </c>
      <c r="G483" s="1" t="s">
        <v>840</v>
      </c>
    </row>
    <row r="484" spans="1:7">
      <c r="A484" s="1">
        <v>483</v>
      </c>
      <c r="B484" s="1" t="s">
        <v>2627</v>
      </c>
      <c r="D484" s="1" t="s">
        <v>2625</v>
      </c>
      <c r="E484" s="1" t="s">
        <v>2628</v>
      </c>
      <c r="F484" s="1" t="s">
        <v>21</v>
      </c>
      <c r="G484" s="1" t="s">
        <v>22</v>
      </c>
    </row>
    <row r="485" spans="1:7">
      <c r="A485" s="1">
        <v>484</v>
      </c>
      <c r="B485" s="1" t="s">
        <v>2629</v>
      </c>
      <c r="D485" s="1" t="s">
        <v>2625</v>
      </c>
      <c r="E485" s="1" t="s">
        <v>514</v>
      </c>
      <c r="F485" s="1" t="s">
        <v>836</v>
      </c>
      <c r="G485" s="1" t="s">
        <v>837</v>
      </c>
    </row>
    <row r="486" spans="1:7">
      <c r="A486" s="1">
        <v>485</v>
      </c>
      <c r="B486" s="1" t="s">
        <v>2630</v>
      </c>
      <c r="D486" s="1" t="s">
        <v>2631</v>
      </c>
      <c r="E486" s="1" t="s">
        <v>2632</v>
      </c>
      <c r="F486" s="1" t="s">
        <v>12</v>
      </c>
      <c r="G486" s="1" t="s">
        <v>13</v>
      </c>
    </row>
    <row r="487" spans="1:7">
      <c r="A487" s="1">
        <v>486</v>
      </c>
      <c r="B487" s="1" t="s">
        <v>2633</v>
      </c>
      <c r="D487" s="1" t="s">
        <v>2631</v>
      </c>
      <c r="E487" s="1" t="s">
        <v>2634</v>
      </c>
      <c r="F487" s="1" t="s">
        <v>839</v>
      </c>
      <c r="G487" s="1" t="s">
        <v>840</v>
      </c>
    </row>
    <row r="488" spans="1:7">
      <c r="A488" s="1">
        <v>487</v>
      </c>
      <c r="B488" s="1" t="s">
        <v>2635</v>
      </c>
      <c r="D488" s="1" t="s">
        <v>2631</v>
      </c>
      <c r="E488" s="1" t="s">
        <v>2636</v>
      </c>
      <c r="F488" s="1" t="s">
        <v>21</v>
      </c>
      <c r="G488" s="1" t="s">
        <v>22</v>
      </c>
    </row>
    <row r="489" spans="1:7">
      <c r="A489" s="1">
        <v>488</v>
      </c>
      <c r="B489" s="1" t="s">
        <v>2637</v>
      </c>
      <c r="D489" s="1" t="s">
        <v>2631</v>
      </c>
      <c r="E489" s="1" t="s">
        <v>2638</v>
      </c>
      <c r="F489" s="1" t="s">
        <v>836</v>
      </c>
      <c r="G489" s="1" t="s">
        <v>837</v>
      </c>
    </row>
    <row r="490" spans="1:7">
      <c r="A490" s="1">
        <v>489</v>
      </c>
      <c r="B490" s="1" t="s">
        <v>2639</v>
      </c>
      <c r="D490" s="1" t="s">
        <v>2640</v>
      </c>
      <c r="E490" s="1" t="s">
        <v>2641</v>
      </c>
      <c r="F490" s="1" t="s">
        <v>12</v>
      </c>
      <c r="G490" s="1" t="s">
        <v>13</v>
      </c>
    </row>
    <row r="491" spans="1:7">
      <c r="A491" s="1">
        <v>490</v>
      </c>
      <c r="B491" s="1" t="s">
        <v>2642</v>
      </c>
      <c r="D491" s="1" t="s">
        <v>2640</v>
      </c>
      <c r="E491" s="1" t="s">
        <v>2643</v>
      </c>
      <c r="F491" s="1" t="s">
        <v>839</v>
      </c>
      <c r="G491" s="1" t="s">
        <v>840</v>
      </c>
    </row>
    <row r="492" spans="1:7">
      <c r="A492" s="1">
        <v>491</v>
      </c>
      <c r="B492" s="1" t="s">
        <v>2644</v>
      </c>
      <c r="D492" s="1" t="s">
        <v>2640</v>
      </c>
      <c r="E492" s="1" t="s">
        <v>2645</v>
      </c>
      <c r="F492" s="1" t="s">
        <v>21</v>
      </c>
      <c r="G492" s="1" t="s">
        <v>22</v>
      </c>
    </row>
    <row r="493" spans="1:7">
      <c r="A493" s="1">
        <v>492</v>
      </c>
      <c r="B493" s="1" t="s">
        <v>2646</v>
      </c>
      <c r="D493" s="1" t="s">
        <v>2640</v>
      </c>
      <c r="E493" s="1" t="s">
        <v>2647</v>
      </c>
      <c r="F493" s="1" t="s">
        <v>836</v>
      </c>
      <c r="G493" s="1" t="s">
        <v>837</v>
      </c>
    </row>
    <row r="494" spans="1:7">
      <c r="A494" s="1">
        <v>493</v>
      </c>
      <c r="B494" s="1" t="s">
        <v>2648</v>
      </c>
      <c r="D494" s="1" t="s">
        <v>2649</v>
      </c>
      <c r="E494" s="1" t="s">
        <v>2650</v>
      </c>
      <c r="F494" s="1" t="s">
        <v>12</v>
      </c>
      <c r="G494" s="1" t="s">
        <v>13</v>
      </c>
    </row>
    <row r="495" spans="1:7">
      <c r="A495" s="1">
        <v>494</v>
      </c>
      <c r="B495" s="1" t="s">
        <v>2651</v>
      </c>
      <c r="D495" s="1" t="s">
        <v>2649</v>
      </c>
      <c r="E495" s="1" t="s">
        <v>2652</v>
      </c>
      <c r="F495" s="1" t="s">
        <v>839</v>
      </c>
      <c r="G495" s="1" t="s">
        <v>840</v>
      </c>
    </row>
    <row r="496" spans="1:7">
      <c r="A496" s="1">
        <v>495</v>
      </c>
      <c r="B496" s="1" t="s">
        <v>2653</v>
      </c>
      <c r="D496" s="1" t="s">
        <v>2649</v>
      </c>
      <c r="E496" s="1" t="s">
        <v>2654</v>
      </c>
      <c r="F496" s="1" t="s">
        <v>21</v>
      </c>
      <c r="G496" s="1" t="s">
        <v>22</v>
      </c>
    </row>
    <row r="497" spans="1:7">
      <c r="A497" s="1">
        <v>496</v>
      </c>
      <c r="B497" s="1" t="s">
        <v>2655</v>
      </c>
      <c r="D497" s="1" t="s">
        <v>2649</v>
      </c>
      <c r="E497" s="1" t="s">
        <v>2656</v>
      </c>
      <c r="F497" s="1" t="s">
        <v>836</v>
      </c>
      <c r="G497" s="1" t="s">
        <v>837</v>
      </c>
    </row>
    <row r="498" spans="1:7">
      <c r="A498" s="1">
        <v>497</v>
      </c>
      <c r="B498" s="1" t="s">
        <v>2657</v>
      </c>
      <c r="D498" s="1" t="s">
        <v>2658</v>
      </c>
      <c r="E498" s="1" t="s">
        <v>2659</v>
      </c>
      <c r="F498" s="1" t="s">
        <v>12</v>
      </c>
      <c r="G498" s="1" t="s">
        <v>13</v>
      </c>
    </row>
    <row r="499" spans="1:7">
      <c r="A499" s="1">
        <v>498</v>
      </c>
      <c r="B499" s="1" t="s">
        <v>2660</v>
      </c>
      <c r="D499" s="1" t="s">
        <v>2658</v>
      </c>
      <c r="E499" s="1" t="s">
        <v>2661</v>
      </c>
      <c r="F499" s="1" t="s">
        <v>839</v>
      </c>
      <c r="G499" s="1" t="s">
        <v>840</v>
      </c>
    </row>
    <row r="500" spans="1:7">
      <c r="A500" s="1">
        <v>499</v>
      </c>
      <c r="B500" s="1" t="s">
        <v>2662</v>
      </c>
      <c r="D500" s="1" t="s">
        <v>2658</v>
      </c>
      <c r="E500" s="1" t="s">
        <v>2663</v>
      </c>
      <c r="F500" s="1" t="s">
        <v>21</v>
      </c>
      <c r="G500" s="1" t="s">
        <v>22</v>
      </c>
    </row>
    <row r="501" spans="1:7">
      <c r="A501" s="1">
        <v>500</v>
      </c>
      <c r="B501" s="1" t="s">
        <v>2664</v>
      </c>
      <c r="D501" s="1" t="s">
        <v>2658</v>
      </c>
      <c r="E501" s="1" t="s">
        <v>2665</v>
      </c>
      <c r="F501" s="1" t="s">
        <v>836</v>
      </c>
      <c r="G501" s="1" t="s">
        <v>837</v>
      </c>
    </row>
    <row r="502" spans="1:7">
      <c r="A502" s="1">
        <v>501</v>
      </c>
      <c r="B502" s="1" t="s">
        <v>2666</v>
      </c>
      <c r="D502" s="1" t="s">
        <v>2667</v>
      </c>
      <c r="E502" s="1" t="s">
        <v>2668</v>
      </c>
      <c r="F502" s="1" t="s">
        <v>12</v>
      </c>
      <c r="G502" s="1" t="s">
        <v>13</v>
      </c>
    </row>
    <row r="503" spans="1:7">
      <c r="A503" s="1">
        <v>502</v>
      </c>
      <c r="B503" s="1" t="s">
        <v>2669</v>
      </c>
      <c r="D503" s="1" t="s">
        <v>2667</v>
      </c>
      <c r="E503" s="1" t="s">
        <v>50</v>
      </c>
      <c r="F503" s="1" t="s">
        <v>839</v>
      </c>
      <c r="G503" s="1" t="s">
        <v>840</v>
      </c>
    </row>
    <row r="504" spans="1:7">
      <c r="A504" s="1">
        <v>503</v>
      </c>
      <c r="B504" s="1" t="s">
        <v>2670</v>
      </c>
      <c r="D504" s="1" t="s">
        <v>2667</v>
      </c>
      <c r="E504" s="1" t="s">
        <v>2671</v>
      </c>
      <c r="F504" s="1" t="s">
        <v>21</v>
      </c>
      <c r="G504" s="1" t="s">
        <v>22</v>
      </c>
    </row>
    <row r="505" spans="1:7">
      <c r="A505" s="1">
        <v>504</v>
      </c>
      <c r="B505" s="1" t="s">
        <v>2672</v>
      </c>
      <c r="D505" s="1" t="s">
        <v>2667</v>
      </c>
      <c r="E505" s="1" t="s">
        <v>46</v>
      </c>
      <c r="F505" s="1" t="s">
        <v>836</v>
      </c>
      <c r="G505" s="1" t="s">
        <v>837</v>
      </c>
    </row>
    <row r="506" spans="1:7">
      <c r="A506" s="1">
        <v>505</v>
      </c>
      <c r="B506" s="1" t="s">
        <v>2673</v>
      </c>
      <c r="D506" s="1" t="s">
        <v>2674</v>
      </c>
      <c r="E506" s="1" t="s">
        <v>485</v>
      </c>
      <c r="F506" s="1" t="s">
        <v>12</v>
      </c>
      <c r="G506" s="1" t="s">
        <v>13</v>
      </c>
    </row>
    <row r="507" spans="1:7">
      <c r="A507" s="1">
        <v>506</v>
      </c>
      <c r="B507" s="1" t="s">
        <v>2675</v>
      </c>
      <c r="D507" s="1" t="s">
        <v>2674</v>
      </c>
      <c r="E507" s="1" t="s">
        <v>299</v>
      </c>
      <c r="F507" s="1" t="s">
        <v>839</v>
      </c>
      <c r="G507" s="1" t="s">
        <v>840</v>
      </c>
    </row>
    <row r="508" spans="1:7">
      <c r="A508" s="1">
        <v>507</v>
      </c>
      <c r="B508" s="1" t="s">
        <v>2676</v>
      </c>
      <c r="D508" s="1" t="s">
        <v>2674</v>
      </c>
      <c r="E508" s="1" t="s">
        <v>2677</v>
      </c>
      <c r="F508" s="1" t="s">
        <v>21</v>
      </c>
      <c r="G508" s="1" t="s">
        <v>22</v>
      </c>
    </row>
    <row r="509" spans="1:7">
      <c r="A509" s="1">
        <v>508</v>
      </c>
      <c r="B509" s="1" t="s">
        <v>2678</v>
      </c>
      <c r="D509" s="1" t="s">
        <v>2674</v>
      </c>
      <c r="E509" s="1" t="s">
        <v>491</v>
      </c>
      <c r="F509" s="1" t="s">
        <v>836</v>
      </c>
      <c r="G509" s="1" t="s">
        <v>837</v>
      </c>
    </row>
    <row r="510" spans="1:7">
      <c r="A510" s="1">
        <v>509</v>
      </c>
      <c r="B510" s="1" t="s">
        <v>2679</v>
      </c>
      <c r="D510" s="1" t="s">
        <v>2680</v>
      </c>
      <c r="E510" s="1" t="s">
        <v>288</v>
      </c>
      <c r="F510" s="1" t="s">
        <v>12</v>
      </c>
      <c r="G510" s="1" t="s">
        <v>13</v>
      </c>
    </row>
    <row r="511" spans="1:7">
      <c r="A511" s="1">
        <v>510</v>
      </c>
      <c r="B511" s="1" t="s">
        <v>2681</v>
      </c>
      <c r="D511" s="1" t="s">
        <v>2680</v>
      </c>
      <c r="E511" s="1" t="s">
        <v>294</v>
      </c>
      <c r="F511" s="1" t="s">
        <v>839</v>
      </c>
      <c r="G511" s="1" t="s">
        <v>840</v>
      </c>
    </row>
    <row r="512" spans="1:7">
      <c r="A512" s="1">
        <v>511</v>
      </c>
      <c r="B512" s="1" t="s">
        <v>2682</v>
      </c>
      <c r="D512" s="1" t="s">
        <v>2680</v>
      </c>
      <c r="E512" s="1" t="s">
        <v>2683</v>
      </c>
      <c r="F512" s="1" t="s">
        <v>21</v>
      </c>
      <c r="G512" s="1" t="s">
        <v>22</v>
      </c>
    </row>
    <row r="513" spans="1:7">
      <c r="A513" s="1">
        <v>512</v>
      </c>
      <c r="B513" s="1" t="s">
        <v>2684</v>
      </c>
      <c r="D513" s="1" t="s">
        <v>2680</v>
      </c>
      <c r="E513" s="1" t="s">
        <v>291</v>
      </c>
      <c r="F513" s="1" t="s">
        <v>836</v>
      </c>
      <c r="G513" s="1" t="s">
        <v>837</v>
      </c>
    </row>
    <row r="514" spans="1:7">
      <c r="A514" s="1">
        <v>513</v>
      </c>
      <c r="B514" s="1" t="s">
        <v>2685</v>
      </c>
      <c r="D514" s="1" t="s">
        <v>2686</v>
      </c>
      <c r="E514" s="1" t="s">
        <v>470</v>
      </c>
      <c r="F514" s="1" t="s">
        <v>12</v>
      </c>
      <c r="G514" s="1" t="s">
        <v>13</v>
      </c>
    </row>
    <row r="515" spans="1:7">
      <c r="A515" s="1">
        <v>514</v>
      </c>
      <c r="B515" s="1" t="s">
        <v>2687</v>
      </c>
      <c r="D515" s="1" t="s">
        <v>2686</v>
      </c>
      <c r="E515" s="1" t="s">
        <v>2688</v>
      </c>
      <c r="F515" s="1" t="s">
        <v>839</v>
      </c>
      <c r="G515" s="1" t="s">
        <v>840</v>
      </c>
    </row>
    <row r="516" spans="1:7">
      <c r="A516" s="1">
        <v>515</v>
      </c>
      <c r="B516" s="1" t="s">
        <v>2689</v>
      </c>
      <c r="D516" s="1" t="s">
        <v>2686</v>
      </c>
      <c r="E516" s="1" t="s">
        <v>2690</v>
      </c>
      <c r="F516" s="1" t="s">
        <v>21</v>
      </c>
      <c r="G516" s="1" t="s">
        <v>22</v>
      </c>
    </row>
    <row r="517" spans="1:7">
      <c r="A517" s="1">
        <v>516</v>
      </c>
      <c r="B517" s="1" t="s">
        <v>2691</v>
      </c>
      <c r="D517" s="1" t="s">
        <v>2686</v>
      </c>
      <c r="E517" s="1" t="s">
        <v>473</v>
      </c>
      <c r="F517" s="1" t="s">
        <v>836</v>
      </c>
      <c r="G517" s="1" t="s">
        <v>837</v>
      </c>
    </row>
    <row r="518" spans="1:7">
      <c r="A518" s="1">
        <v>517</v>
      </c>
      <c r="B518" s="1" t="s">
        <v>2692</v>
      </c>
      <c r="D518" s="1" t="s">
        <v>2693</v>
      </c>
      <c r="E518" s="1" t="s">
        <v>2694</v>
      </c>
      <c r="F518" s="1" t="s">
        <v>12</v>
      </c>
      <c r="G518" s="1" t="s">
        <v>13</v>
      </c>
    </row>
    <row r="519" spans="1:7">
      <c r="A519" s="1">
        <v>518</v>
      </c>
      <c r="B519" s="1" t="s">
        <v>2695</v>
      </c>
      <c r="D519" s="1" t="s">
        <v>2693</v>
      </c>
      <c r="E519" s="1" t="s">
        <v>2696</v>
      </c>
      <c r="F519" s="1" t="s">
        <v>839</v>
      </c>
      <c r="G519" s="1" t="s">
        <v>840</v>
      </c>
    </row>
    <row r="520" spans="1:7">
      <c r="A520" s="1">
        <v>519</v>
      </c>
      <c r="B520" s="1" t="s">
        <v>2697</v>
      </c>
      <c r="D520" s="1" t="s">
        <v>2693</v>
      </c>
      <c r="E520" s="1" t="s">
        <v>2698</v>
      </c>
      <c r="F520" s="1" t="s">
        <v>21</v>
      </c>
      <c r="G520" s="1" t="s">
        <v>22</v>
      </c>
    </row>
    <row r="521" spans="1:7">
      <c r="A521" s="1">
        <v>520</v>
      </c>
      <c r="B521" s="1" t="s">
        <v>2699</v>
      </c>
      <c r="D521" s="1" t="s">
        <v>2693</v>
      </c>
      <c r="E521" s="1" t="s">
        <v>2700</v>
      </c>
      <c r="F521" s="1" t="s">
        <v>836</v>
      </c>
      <c r="G521" s="1" t="s">
        <v>837</v>
      </c>
    </row>
    <row r="522" spans="1:7">
      <c r="A522" s="1">
        <v>521</v>
      </c>
      <c r="B522" s="1" t="s">
        <v>2701</v>
      </c>
      <c r="D522" s="1" t="s">
        <v>2702</v>
      </c>
      <c r="E522" s="1" t="s">
        <v>2703</v>
      </c>
      <c r="F522" s="1" t="s">
        <v>12</v>
      </c>
      <c r="G522" s="1" t="s">
        <v>13</v>
      </c>
    </row>
    <row r="523" spans="1:7">
      <c r="A523" s="1">
        <v>522</v>
      </c>
      <c r="B523" s="1" t="s">
        <v>2704</v>
      </c>
      <c r="D523" s="1" t="s">
        <v>2702</v>
      </c>
      <c r="E523" s="1" t="s">
        <v>2705</v>
      </c>
      <c r="F523" s="1" t="s">
        <v>839</v>
      </c>
      <c r="G523" s="1" t="s">
        <v>840</v>
      </c>
    </row>
    <row r="524" spans="1:7">
      <c r="A524" s="1">
        <v>523</v>
      </c>
      <c r="B524" s="1" t="s">
        <v>2706</v>
      </c>
      <c r="D524" s="1" t="s">
        <v>2702</v>
      </c>
      <c r="E524" s="1" t="s">
        <v>2707</v>
      </c>
      <c r="F524" s="1" t="s">
        <v>21</v>
      </c>
      <c r="G524" s="1" t="s">
        <v>22</v>
      </c>
    </row>
    <row r="525" spans="1:7">
      <c r="A525" s="1">
        <v>524</v>
      </c>
      <c r="B525" s="1" t="s">
        <v>2708</v>
      </c>
      <c r="D525" s="1" t="s">
        <v>2702</v>
      </c>
      <c r="E525" s="1" t="s">
        <v>2709</v>
      </c>
      <c r="F525" s="1" t="s">
        <v>836</v>
      </c>
      <c r="G525" s="1" t="s">
        <v>837</v>
      </c>
    </row>
    <row r="526" spans="1:7">
      <c r="A526" s="1">
        <v>525</v>
      </c>
      <c r="B526" s="1" t="s">
        <v>2710</v>
      </c>
      <c r="D526" s="1" t="s">
        <v>2711</v>
      </c>
      <c r="E526" s="1" t="s">
        <v>2712</v>
      </c>
      <c r="F526" s="1" t="s">
        <v>12</v>
      </c>
      <c r="G526" s="1" t="s">
        <v>13</v>
      </c>
    </row>
    <row r="527" spans="1:7">
      <c r="A527" s="1">
        <v>526</v>
      </c>
      <c r="B527" s="1" t="s">
        <v>2713</v>
      </c>
      <c r="D527" s="1" t="s">
        <v>2711</v>
      </c>
      <c r="E527" s="1" t="s">
        <v>2714</v>
      </c>
      <c r="F527" s="1" t="s">
        <v>839</v>
      </c>
      <c r="G527" s="1" t="s">
        <v>840</v>
      </c>
    </row>
    <row r="528" spans="1:7">
      <c r="A528" s="1">
        <v>527</v>
      </c>
      <c r="B528" s="1" t="s">
        <v>2715</v>
      </c>
      <c r="D528" s="1" t="s">
        <v>2711</v>
      </c>
      <c r="E528" s="1" t="s">
        <v>2716</v>
      </c>
      <c r="F528" s="1" t="s">
        <v>21</v>
      </c>
      <c r="G528" s="1" t="s">
        <v>22</v>
      </c>
    </row>
    <row r="529" spans="1:7">
      <c r="A529" s="1">
        <v>528</v>
      </c>
      <c r="B529" s="1" t="s">
        <v>2717</v>
      </c>
      <c r="D529" s="1" t="s">
        <v>2711</v>
      </c>
      <c r="E529" s="1" t="s">
        <v>2718</v>
      </c>
      <c r="F529" s="1" t="s">
        <v>836</v>
      </c>
      <c r="G529" s="1" t="s">
        <v>837</v>
      </c>
    </row>
    <row r="530" spans="1:7">
      <c r="A530" s="1">
        <v>529</v>
      </c>
      <c r="B530" s="1" t="s">
        <v>2719</v>
      </c>
      <c r="D530" s="1" t="s">
        <v>2720</v>
      </c>
      <c r="E530" s="1" t="s">
        <v>2721</v>
      </c>
      <c r="F530" s="1" t="s">
        <v>12</v>
      </c>
      <c r="G530" s="1" t="s">
        <v>13</v>
      </c>
    </row>
    <row r="531" spans="1:7">
      <c r="A531" s="1">
        <v>530</v>
      </c>
      <c r="B531" s="1" t="s">
        <v>2722</v>
      </c>
      <c r="D531" s="1" t="s">
        <v>2720</v>
      </c>
      <c r="E531" s="1" t="s">
        <v>2723</v>
      </c>
      <c r="F531" s="1" t="s">
        <v>839</v>
      </c>
      <c r="G531" s="1" t="s">
        <v>840</v>
      </c>
    </row>
    <row r="532" spans="1:7">
      <c r="A532" s="1">
        <v>531</v>
      </c>
      <c r="B532" s="1" t="s">
        <v>2724</v>
      </c>
      <c r="D532" s="1" t="s">
        <v>2720</v>
      </c>
      <c r="E532" s="1" t="s">
        <v>2725</v>
      </c>
      <c r="F532" s="1" t="s">
        <v>21</v>
      </c>
      <c r="G532" s="1" t="s">
        <v>22</v>
      </c>
    </row>
    <row r="533" spans="1:7">
      <c r="A533" s="1">
        <v>532</v>
      </c>
      <c r="B533" s="1" t="s">
        <v>2726</v>
      </c>
      <c r="D533" s="1" t="s">
        <v>2720</v>
      </c>
      <c r="E533" s="1" t="s">
        <v>2727</v>
      </c>
      <c r="F533" s="1" t="s">
        <v>836</v>
      </c>
      <c r="G533" s="1" t="s">
        <v>837</v>
      </c>
    </row>
    <row r="534" spans="1:7">
      <c r="A534" s="1">
        <v>533</v>
      </c>
      <c r="B534" s="1" t="s">
        <v>2728</v>
      </c>
      <c r="D534" s="1" t="s">
        <v>2729</v>
      </c>
      <c r="E534" s="1" t="s">
        <v>2730</v>
      </c>
      <c r="F534" s="1" t="s">
        <v>12</v>
      </c>
      <c r="G534" s="1" t="s">
        <v>13</v>
      </c>
    </row>
    <row r="535" spans="1:7">
      <c r="A535" s="1">
        <v>534</v>
      </c>
      <c r="B535" s="1" t="s">
        <v>2731</v>
      </c>
      <c r="D535" s="1" t="s">
        <v>2729</v>
      </c>
      <c r="E535" s="1" t="s">
        <v>2732</v>
      </c>
      <c r="F535" s="1" t="s">
        <v>839</v>
      </c>
      <c r="G535" s="1" t="s">
        <v>840</v>
      </c>
    </row>
    <row r="536" spans="1:7">
      <c r="A536" s="1">
        <v>535</v>
      </c>
      <c r="B536" s="1" t="s">
        <v>2733</v>
      </c>
      <c r="D536" s="1" t="s">
        <v>2729</v>
      </c>
      <c r="E536" s="1" t="s">
        <v>2734</v>
      </c>
      <c r="F536" s="1" t="s">
        <v>21</v>
      </c>
      <c r="G536" s="1" t="s">
        <v>22</v>
      </c>
    </row>
    <row r="537" spans="1:7">
      <c r="A537" s="1">
        <v>536</v>
      </c>
      <c r="B537" s="1" t="s">
        <v>2735</v>
      </c>
      <c r="D537" s="1" t="s">
        <v>2729</v>
      </c>
      <c r="E537" s="1" t="s">
        <v>2736</v>
      </c>
      <c r="F537" s="1" t="s">
        <v>836</v>
      </c>
      <c r="G537" s="1" t="s">
        <v>837</v>
      </c>
    </row>
    <row r="538" spans="1:7">
      <c r="A538" s="1">
        <v>537</v>
      </c>
      <c r="B538" s="1" t="s">
        <v>2737</v>
      </c>
      <c r="D538" s="1" t="s">
        <v>2738</v>
      </c>
      <c r="E538" s="1" t="s">
        <v>2739</v>
      </c>
      <c r="F538" s="1" t="s">
        <v>12</v>
      </c>
      <c r="G538" s="1" t="s">
        <v>13</v>
      </c>
    </row>
    <row r="539" spans="1:7">
      <c r="A539" s="1">
        <v>538</v>
      </c>
      <c r="B539" s="1" t="s">
        <v>2740</v>
      </c>
      <c r="D539" s="1" t="s">
        <v>2738</v>
      </c>
      <c r="E539" s="1" t="s">
        <v>2741</v>
      </c>
      <c r="F539" s="1" t="s">
        <v>839</v>
      </c>
      <c r="G539" s="1" t="s">
        <v>840</v>
      </c>
    </row>
    <row r="540" spans="1:7">
      <c r="A540" s="1">
        <v>539</v>
      </c>
      <c r="B540" s="1" t="s">
        <v>2742</v>
      </c>
      <c r="D540" s="1" t="s">
        <v>2738</v>
      </c>
      <c r="E540" s="1" t="s">
        <v>2743</v>
      </c>
      <c r="F540" s="1" t="s">
        <v>21</v>
      </c>
      <c r="G540" s="1" t="s">
        <v>22</v>
      </c>
    </row>
    <row r="541" spans="1:7">
      <c r="A541" s="1">
        <v>540</v>
      </c>
      <c r="B541" s="1" t="s">
        <v>2744</v>
      </c>
      <c r="D541" s="1" t="s">
        <v>2738</v>
      </c>
      <c r="E541" s="1" t="s">
        <v>2745</v>
      </c>
      <c r="F541" s="1" t="s">
        <v>836</v>
      </c>
      <c r="G541" s="1" t="s">
        <v>837</v>
      </c>
    </row>
    <row r="542" spans="1:7">
      <c r="A542" s="1">
        <v>541</v>
      </c>
      <c r="B542" s="1" t="s">
        <v>2746</v>
      </c>
      <c r="D542" s="1" t="s">
        <v>2747</v>
      </c>
      <c r="E542" s="1" t="s">
        <v>2748</v>
      </c>
      <c r="F542" s="1" t="s">
        <v>12</v>
      </c>
      <c r="G542" s="1" t="s">
        <v>13</v>
      </c>
    </row>
    <row r="543" spans="1:7">
      <c r="A543" s="1">
        <v>542</v>
      </c>
      <c r="B543" s="1" t="s">
        <v>2749</v>
      </c>
      <c r="D543" s="1" t="s">
        <v>2747</v>
      </c>
      <c r="E543" s="1" t="s">
        <v>2750</v>
      </c>
      <c r="F543" s="1" t="s">
        <v>839</v>
      </c>
      <c r="G543" s="1" t="s">
        <v>840</v>
      </c>
    </row>
    <row r="544" spans="1:7">
      <c r="A544" s="1">
        <v>543</v>
      </c>
      <c r="B544" s="1" t="s">
        <v>2751</v>
      </c>
      <c r="D544" s="1" t="s">
        <v>2747</v>
      </c>
      <c r="E544" s="1" t="s">
        <v>2752</v>
      </c>
      <c r="F544" s="1" t="s">
        <v>21</v>
      </c>
      <c r="G544" s="1" t="s">
        <v>22</v>
      </c>
    </row>
    <row r="545" spans="1:7">
      <c r="A545" s="1">
        <v>544</v>
      </c>
      <c r="B545" s="1" t="s">
        <v>2753</v>
      </c>
      <c r="D545" s="1" t="s">
        <v>2747</v>
      </c>
      <c r="E545" s="1" t="s">
        <v>2754</v>
      </c>
      <c r="F545" s="1" t="s">
        <v>836</v>
      </c>
      <c r="G545" s="1" t="s">
        <v>837</v>
      </c>
    </row>
    <row r="546" spans="1:7">
      <c r="A546" s="1">
        <v>545</v>
      </c>
      <c r="B546" s="1" t="s">
        <v>2755</v>
      </c>
      <c r="D546" s="1" t="s">
        <v>2756</v>
      </c>
      <c r="E546" s="1" t="s">
        <v>2757</v>
      </c>
      <c r="F546" s="1" t="s">
        <v>12</v>
      </c>
      <c r="G546" s="1" t="s">
        <v>13</v>
      </c>
    </row>
    <row r="547" spans="1:7">
      <c r="A547" s="1">
        <v>546</v>
      </c>
      <c r="B547" s="1" t="s">
        <v>2758</v>
      </c>
      <c r="D547" s="1" t="s">
        <v>2756</v>
      </c>
      <c r="E547" s="1" t="s">
        <v>2759</v>
      </c>
      <c r="F547" s="1" t="s">
        <v>839</v>
      </c>
      <c r="G547" s="1" t="s">
        <v>840</v>
      </c>
    </row>
    <row r="548" spans="1:7">
      <c r="A548" s="1">
        <v>547</v>
      </c>
      <c r="B548" s="1" t="s">
        <v>2760</v>
      </c>
      <c r="D548" s="1" t="s">
        <v>2756</v>
      </c>
      <c r="E548" s="1" t="s">
        <v>2761</v>
      </c>
      <c r="F548" s="1" t="s">
        <v>21</v>
      </c>
      <c r="G548" s="1" t="s">
        <v>22</v>
      </c>
    </row>
    <row r="549" spans="1:7">
      <c r="A549" s="1">
        <v>548</v>
      </c>
      <c r="B549" s="1" t="s">
        <v>2762</v>
      </c>
      <c r="D549" s="1" t="s">
        <v>2756</v>
      </c>
      <c r="E549" s="1" t="s">
        <v>2763</v>
      </c>
      <c r="F549" s="1" t="s">
        <v>836</v>
      </c>
      <c r="G549" s="1" t="s">
        <v>837</v>
      </c>
    </row>
    <row r="550" spans="1:7">
      <c r="A550" s="1">
        <v>549</v>
      </c>
      <c r="B550" s="1" t="s">
        <v>2764</v>
      </c>
      <c r="D550" s="1" t="s">
        <v>2765</v>
      </c>
      <c r="E550" s="1" t="s">
        <v>2766</v>
      </c>
      <c r="F550" s="1" t="s">
        <v>12</v>
      </c>
      <c r="G550" s="1" t="s">
        <v>13</v>
      </c>
    </row>
    <row r="551" spans="1:7">
      <c r="A551" s="1">
        <v>550</v>
      </c>
      <c r="B551" s="1" t="s">
        <v>2767</v>
      </c>
      <c r="D551" s="1" t="s">
        <v>2765</v>
      </c>
      <c r="E551" s="1" t="s">
        <v>2768</v>
      </c>
      <c r="F551" s="1" t="s">
        <v>839</v>
      </c>
      <c r="G551" s="1" t="s">
        <v>840</v>
      </c>
    </row>
    <row r="552" spans="1:7">
      <c r="A552" s="1">
        <v>551</v>
      </c>
      <c r="B552" s="1" t="s">
        <v>2769</v>
      </c>
      <c r="D552" s="1" t="s">
        <v>2765</v>
      </c>
      <c r="E552" s="1" t="s">
        <v>2770</v>
      </c>
      <c r="F552" s="1" t="s">
        <v>21</v>
      </c>
      <c r="G552" s="1" t="s">
        <v>22</v>
      </c>
    </row>
    <row r="553" spans="1:7">
      <c r="A553" s="1">
        <v>552</v>
      </c>
      <c r="B553" s="1" t="s">
        <v>2771</v>
      </c>
      <c r="D553" s="1" t="s">
        <v>2765</v>
      </c>
      <c r="E553" s="1" t="s">
        <v>2772</v>
      </c>
      <c r="F553" s="1" t="s">
        <v>836</v>
      </c>
      <c r="G553" s="1" t="s">
        <v>837</v>
      </c>
    </row>
    <row r="554" spans="1:7">
      <c r="A554" s="1">
        <v>553</v>
      </c>
      <c r="B554" s="1" t="s">
        <v>2773</v>
      </c>
      <c r="D554" s="1" t="s">
        <v>2774</v>
      </c>
      <c r="E554" s="1" t="s">
        <v>2775</v>
      </c>
      <c r="F554" s="1" t="s">
        <v>12</v>
      </c>
      <c r="G554" s="1" t="s">
        <v>13</v>
      </c>
    </row>
    <row r="555" spans="1:7">
      <c r="A555" s="1">
        <v>554</v>
      </c>
      <c r="B555" s="1" t="s">
        <v>2776</v>
      </c>
      <c r="D555" s="1" t="s">
        <v>2774</v>
      </c>
      <c r="E555" s="1" t="s">
        <v>2777</v>
      </c>
      <c r="F555" s="1" t="s">
        <v>839</v>
      </c>
      <c r="G555" s="1" t="s">
        <v>840</v>
      </c>
    </row>
    <row r="556" spans="1:7">
      <c r="A556" s="1">
        <v>555</v>
      </c>
      <c r="B556" s="1" t="s">
        <v>2778</v>
      </c>
      <c r="D556" s="1" t="s">
        <v>2774</v>
      </c>
      <c r="E556" s="1" t="s">
        <v>2779</v>
      </c>
      <c r="F556" s="1" t="s">
        <v>21</v>
      </c>
      <c r="G556" s="1" t="s">
        <v>22</v>
      </c>
    </row>
    <row r="557" spans="1:7">
      <c r="A557" s="1">
        <v>556</v>
      </c>
      <c r="B557" s="1" t="s">
        <v>2780</v>
      </c>
      <c r="D557" s="1" t="s">
        <v>2774</v>
      </c>
      <c r="E557" s="1" t="s">
        <v>2781</v>
      </c>
      <c r="F557" s="1" t="s">
        <v>836</v>
      </c>
      <c r="G557" s="1" t="s">
        <v>837</v>
      </c>
    </row>
    <row r="558" spans="1:7">
      <c r="A558" s="1">
        <v>557</v>
      </c>
      <c r="B558" s="1" t="s">
        <v>2782</v>
      </c>
      <c r="D558" s="1" t="s">
        <v>2783</v>
      </c>
      <c r="E558" s="1" t="s">
        <v>2784</v>
      </c>
      <c r="F558" s="1" t="s">
        <v>12</v>
      </c>
      <c r="G558" s="1" t="s">
        <v>13</v>
      </c>
    </row>
    <row r="559" spans="1:7">
      <c r="A559" s="1">
        <v>558</v>
      </c>
      <c r="B559" s="1" t="s">
        <v>2785</v>
      </c>
      <c r="D559" s="1" t="s">
        <v>2783</v>
      </c>
      <c r="E559" s="1" t="s">
        <v>2786</v>
      </c>
      <c r="F559" s="1" t="s">
        <v>839</v>
      </c>
      <c r="G559" s="1" t="s">
        <v>840</v>
      </c>
    </row>
    <row r="560" spans="1:7">
      <c r="A560" s="1">
        <v>559</v>
      </c>
      <c r="B560" s="1" t="s">
        <v>2787</v>
      </c>
      <c r="D560" s="1" t="s">
        <v>2783</v>
      </c>
      <c r="E560" s="1" t="s">
        <v>2788</v>
      </c>
      <c r="F560" s="1" t="s">
        <v>21</v>
      </c>
      <c r="G560" s="1" t="s">
        <v>22</v>
      </c>
    </row>
    <row r="561" spans="1:7">
      <c r="A561" s="1">
        <v>560</v>
      </c>
      <c r="B561" s="1" t="s">
        <v>2789</v>
      </c>
      <c r="D561" s="1" t="s">
        <v>2783</v>
      </c>
      <c r="E561" s="1" t="s">
        <v>2790</v>
      </c>
      <c r="F561" s="1" t="s">
        <v>836</v>
      </c>
      <c r="G561" s="1" t="s">
        <v>837</v>
      </c>
    </row>
    <row r="562" spans="1:7">
      <c r="A562" s="1">
        <v>561</v>
      </c>
      <c r="B562" s="1" t="s">
        <v>2791</v>
      </c>
      <c r="D562" s="1" t="s">
        <v>2792</v>
      </c>
      <c r="E562" s="1" t="s">
        <v>2793</v>
      </c>
      <c r="F562" s="1" t="s">
        <v>12</v>
      </c>
      <c r="G562" s="1" t="s">
        <v>13</v>
      </c>
    </row>
    <row r="563" spans="1:7">
      <c r="A563" s="1">
        <v>562</v>
      </c>
      <c r="B563" s="1" t="s">
        <v>2794</v>
      </c>
      <c r="D563" s="1" t="s">
        <v>2792</v>
      </c>
      <c r="E563" s="1" t="s">
        <v>2795</v>
      </c>
      <c r="F563" s="1" t="s">
        <v>839</v>
      </c>
      <c r="G563" s="1" t="s">
        <v>840</v>
      </c>
    </row>
    <row r="564" spans="1:7">
      <c r="A564" s="1">
        <v>563</v>
      </c>
      <c r="B564" s="1" t="s">
        <v>2796</v>
      </c>
      <c r="D564" s="1" t="s">
        <v>2792</v>
      </c>
      <c r="E564" s="1" t="s">
        <v>2797</v>
      </c>
      <c r="F564" s="1" t="s">
        <v>21</v>
      </c>
      <c r="G564" s="1" t="s">
        <v>22</v>
      </c>
    </row>
    <row r="565" spans="1:7">
      <c r="A565" s="1">
        <v>564</v>
      </c>
      <c r="B565" s="1" t="s">
        <v>2798</v>
      </c>
      <c r="D565" s="1" t="s">
        <v>2792</v>
      </c>
      <c r="E565" s="1" t="s">
        <v>2799</v>
      </c>
      <c r="F565" s="1" t="s">
        <v>836</v>
      </c>
      <c r="G565" s="1" t="s">
        <v>837</v>
      </c>
    </row>
    <row r="566" spans="1:7">
      <c r="A566" s="1">
        <v>565</v>
      </c>
      <c r="B566" s="1" t="s">
        <v>2800</v>
      </c>
      <c r="D566" s="1" t="s">
        <v>2801</v>
      </c>
      <c r="E566" s="1" t="s">
        <v>2802</v>
      </c>
      <c r="F566" s="1" t="s">
        <v>12</v>
      </c>
      <c r="G566" s="1" t="s">
        <v>13</v>
      </c>
    </row>
    <row r="567" spans="1:7">
      <c r="A567" s="1">
        <v>566</v>
      </c>
      <c r="B567" s="1" t="s">
        <v>2803</v>
      </c>
      <c r="D567" s="1" t="s">
        <v>2801</v>
      </c>
      <c r="E567" s="1" t="s">
        <v>2804</v>
      </c>
      <c r="F567" s="1" t="s">
        <v>839</v>
      </c>
      <c r="G567" s="1" t="s">
        <v>840</v>
      </c>
    </row>
    <row r="568" spans="1:7">
      <c r="A568" s="1">
        <v>567</v>
      </c>
      <c r="B568" s="1" t="s">
        <v>2805</v>
      </c>
      <c r="D568" s="1" t="s">
        <v>2801</v>
      </c>
      <c r="E568" s="1" t="s">
        <v>2806</v>
      </c>
      <c r="F568" s="1" t="s">
        <v>21</v>
      </c>
      <c r="G568" s="1" t="s">
        <v>22</v>
      </c>
    </row>
    <row r="569" spans="1:7">
      <c r="A569" s="1">
        <v>568</v>
      </c>
      <c r="B569" s="1" t="s">
        <v>2807</v>
      </c>
      <c r="D569" s="1" t="s">
        <v>2801</v>
      </c>
      <c r="E569" s="1" t="s">
        <v>2808</v>
      </c>
      <c r="F569" s="1" t="s">
        <v>836</v>
      </c>
      <c r="G569" s="1" t="s">
        <v>837</v>
      </c>
    </row>
    <row r="570" spans="1:7">
      <c r="A570" s="1">
        <v>569</v>
      </c>
      <c r="B570" s="1" t="s">
        <v>2809</v>
      </c>
      <c r="D570" s="1" t="s">
        <v>2810</v>
      </c>
      <c r="E570" s="1" t="s">
        <v>2811</v>
      </c>
      <c r="F570" s="1" t="s">
        <v>12</v>
      </c>
      <c r="G570" s="1" t="s">
        <v>13</v>
      </c>
    </row>
    <row r="571" spans="1:7">
      <c r="A571" s="1">
        <v>570</v>
      </c>
      <c r="B571" s="1" t="s">
        <v>2812</v>
      </c>
      <c r="D571" s="1" t="s">
        <v>2810</v>
      </c>
      <c r="E571" s="1" t="s">
        <v>2813</v>
      </c>
      <c r="F571" s="1" t="s">
        <v>839</v>
      </c>
      <c r="G571" s="1" t="s">
        <v>840</v>
      </c>
    </row>
    <row r="572" spans="1:7">
      <c r="A572" s="1">
        <v>571</v>
      </c>
      <c r="B572" s="1" t="s">
        <v>2814</v>
      </c>
      <c r="D572" s="1" t="s">
        <v>2810</v>
      </c>
      <c r="E572" s="1" t="s">
        <v>2815</v>
      </c>
      <c r="F572" s="1" t="s">
        <v>21</v>
      </c>
      <c r="G572" s="1" t="s">
        <v>22</v>
      </c>
    </row>
    <row r="573" spans="1:7">
      <c r="A573" s="1">
        <v>572</v>
      </c>
      <c r="B573" s="1" t="s">
        <v>2816</v>
      </c>
      <c r="D573" s="1" t="s">
        <v>2810</v>
      </c>
      <c r="E573" s="1" t="s">
        <v>2817</v>
      </c>
      <c r="F573" s="1" t="s">
        <v>836</v>
      </c>
      <c r="G573" s="1" t="s">
        <v>837</v>
      </c>
    </row>
    <row r="574" spans="1:7">
      <c r="A574" s="1">
        <v>573</v>
      </c>
      <c r="B574" s="1" t="s">
        <v>2818</v>
      </c>
      <c r="D574" s="1" t="s">
        <v>2819</v>
      </c>
      <c r="E574" s="1" t="s">
        <v>2820</v>
      </c>
      <c r="F574" s="1" t="s">
        <v>12</v>
      </c>
      <c r="G574" s="1" t="s">
        <v>13</v>
      </c>
    </row>
    <row r="575" spans="1:7">
      <c r="A575" s="1">
        <v>574</v>
      </c>
      <c r="B575" s="1" t="s">
        <v>2821</v>
      </c>
      <c r="D575" s="1" t="s">
        <v>2819</v>
      </c>
      <c r="E575" s="1" t="s">
        <v>2822</v>
      </c>
      <c r="F575" s="1" t="s">
        <v>839</v>
      </c>
      <c r="G575" s="1" t="s">
        <v>840</v>
      </c>
    </row>
    <row r="576" spans="1:7">
      <c r="A576" s="1">
        <v>575</v>
      </c>
      <c r="B576" s="1" t="s">
        <v>2823</v>
      </c>
      <c r="D576" s="1" t="s">
        <v>2819</v>
      </c>
      <c r="E576" s="1" t="s">
        <v>2824</v>
      </c>
      <c r="F576" s="1" t="s">
        <v>21</v>
      </c>
      <c r="G576" s="1" t="s">
        <v>22</v>
      </c>
    </row>
    <row r="577" spans="1:7">
      <c r="A577" s="1">
        <v>576</v>
      </c>
      <c r="B577" s="1" t="s">
        <v>2825</v>
      </c>
      <c r="D577" s="1" t="s">
        <v>2819</v>
      </c>
      <c r="E577" s="1" t="s">
        <v>2826</v>
      </c>
      <c r="F577" s="1" t="s">
        <v>836</v>
      </c>
      <c r="G577" s="1" t="s">
        <v>837</v>
      </c>
    </row>
    <row r="578" spans="1:7">
      <c r="A578" s="1">
        <v>577</v>
      </c>
      <c r="B578" s="1" t="s">
        <v>2827</v>
      </c>
      <c r="D578" s="1" t="s">
        <v>2828</v>
      </c>
      <c r="E578" s="1" t="s">
        <v>2829</v>
      </c>
      <c r="F578" s="1" t="s">
        <v>12</v>
      </c>
      <c r="G578" s="1" t="s">
        <v>13</v>
      </c>
    </row>
    <row r="579" spans="1:7">
      <c r="A579" s="1">
        <v>578</v>
      </c>
      <c r="B579" s="1" t="s">
        <v>2830</v>
      </c>
      <c r="D579" s="1" t="s">
        <v>2828</v>
      </c>
      <c r="E579" s="1" t="s">
        <v>2831</v>
      </c>
      <c r="F579" s="1" t="s">
        <v>839</v>
      </c>
      <c r="G579" s="1" t="s">
        <v>840</v>
      </c>
    </row>
    <row r="580" spans="1:7">
      <c r="A580" s="1">
        <v>579</v>
      </c>
      <c r="B580" s="1" t="s">
        <v>2832</v>
      </c>
      <c r="D580" s="1" t="s">
        <v>2828</v>
      </c>
      <c r="E580" s="1" t="s">
        <v>2833</v>
      </c>
      <c r="F580" s="1" t="s">
        <v>21</v>
      </c>
      <c r="G580" s="1" t="s">
        <v>22</v>
      </c>
    </row>
    <row r="581" spans="1:7">
      <c r="A581" s="1">
        <v>580</v>
      </c>
      <c r="B581" s="1" t="s">
        <v>2834</v>
      </c>
      <c r="D581" s="1" t="s">
        <v>2828</v>
      </c>
      <c r="E581" s="1" t="s">
        <v>2835</v>
      </c>
      <c r="F581" s="1" t="s">
        <v>836</v>
      </c>
      <c r="G581" s="1" t="s">
        <v>837</v>
      </c>
    </row>
    <row r="582" spans="1:7">
      <c r="A582" s="1">
        <v>581</v>
      </c>
      <c r="B582" s="1" t="s">
        <v>2836</v>
      </c>
      <c r="D582" s="1" t="s">
        <v>2837</v>
      </c>
      <c r="E582" s="1" t="s">
        <v>2838</v>
      </c>
      <c r="F582" s="1" t="s">
        <v>12</v>
      </c>
      <c r="G582" s="1" t="s">
        <v>13</v>
      </c>
    </row>
    <row r="583" spans="1:7">
      <c r="A583" s="1">
        <v>582</v>
      </c>
      <c r="B583" s="1" t="s">
        <v>2839</v>
      </c>
      <c r="D583" s="1" t="s">
        <v>2837</v>
      </c>
      <c r="E583" s="1" t="s">
        <v>2840</v>
      </c>
      <c r="F583" s="1" t="s">
        <v>839</v>
      </c>
      <c r="G583" s="1" t="s">
        <v>840</v>
      </c>
    </row>
    <row r="584" spans="1:7">
      <c r="A584" s="1">
        <v>583</v>
      </c>
      <c r="B584" s="1" t="s">
        <v>2841</v>
      </c>
      <c r="D584" s="1" t="s">
        <v>2837</v>
      </c>
      <c r="E584" s="1" t="s">
        <v>2842</v>
      </c>
      <c r="F584" s="1" t="s">
        <v>21</v>
      </c>
      <c r="G584" s="1" t="s">
        <v>22</v>
      </c>
    </row>
    <row r="585" spans="1:7">
      <c r="A585" s="1">
        <v>584</v>
      </c>
      <c r="B585" s="1" t="s">
        <v>2843</v>
      </c>
      <c r="D585" s="1" t="s">
        <v>2837</v>
      </c>
      <c r="E585" s="1" t="s">
        <v>2844</v>
      </c>
      <c r="F585" s="1" t="s">
        <v>836</v>
      </c>
      <c r="G585" s="1" t="s">
        <v>837</v>
      </c>
    </row>
    <row r="586" spans="1:7">
      <c r="A586" s="1">
        <v>585</v>
      </c>
      <c r="B586" s="1" t="s">
        <v>2845</v>
      </c>
      <c r="D586" s="1" t="s">
        <v>2846</v>
      </c>
      <c r="E586" s="1" t="s">
        <v>2847</v>
      </c>
      <c r="F586" s="1" t="s">
        <v>12</v>
      </c>
      <c r="G586" s="1" t="s">
        <v>13</v>
      </c>
    </row>
    <row r="587" spans="1:7">
      <c r="A587" s="1">
        <v>586</v>
      </c>
      <c r="B587" s="1" t="s">
        <v>2848</v>
      </c>
      <c r="D587" s="1" t="s">
        <v>2846</v>
      </c>
      <c r="E587" s="1" t="s">
        <v>2849</v>
      </c>
      <c r="F587" s="1" t="s">
        <v>839</v>
      </c>
      <c r="G587" s="1" t="s">
        <v>840</v>
      </c>
    </row>
    <row r="588" spans="1:7">
      <c r="A588" s="1">
        <v>587</v>
      </c>
      <c r="B588" s="1" t="s">
        <v>2850</v>
      </c>
      <c r="D588" s="1" t="s">
        <v>2846</v>
      </c>
      <c r="E588" s="1" t="s">
        <v>2851</v>
      </c>
      <c r="F588" s="1" t="s">
        <v>21</v>
      </c>
      <c r="G588" s="1" t="s">
        <v>22</v>
      </c>
    </row>
    <row r="589" spans="1:7">
      <c r="A589" s="1">
        <v>588</v>
      </c>
      <c r="B589" s="1" t="s">
        <v>2852</v>
      </c>
      <c r="D589" s="1" t="s">
        <v>2846</v>
      </c>
      <c r="E589" s="1" t="s">
        <v>2853</v>
      </c>
      <c r="F589" s="1" t="s">
        <v>836</v>
      </c>
      <c r="G589" s="1" t="s">
        <v>837</v>
      </c>
    </row>
    <row r="590" spans="1:7">
      <c r="A590" s="1">
        <v>589</v>
      </c>
      <c r="B590" s="1" t="s">
        <v>2854</v>
      </c>
      <c r="D590" s="1" t="s">
        <v>2855</v>
      </c>
      <c r="E590" s="1" t="s">
        <v>2856</v>
      </c>
      <c r="F590" s="1" t="s">
        <v>12</v>
      </c>
      <c r="G590" s="1" t="s">
        <v>13</v>
      </c>
    </row>
    <row r="591" spans="1:7">
      <c r="A591" s="1">
        <v>590</v>
      </c>
      <c r="B591" s="1" t="s">
        <v>2857</v>
      </c>
      <c r="D591" s="1" t="s">
        <v>2855</v>
      </c>
      <c r="E591" s="1" t="s">
        <v>2858</v>
      </c>
      <c r="F591" s="1" t="s">
        <v>839</v>
      </c>
      <c r="G591" s="1" t="s">
        <v>840</v>
      </c>
    </row>
    <row r="592" spans="1:7">
      <c r="A592" s="1">
        <v>591</v>
      </c>
      <c r="B592" s="1" t="s">
        <v>2859</v>
      </c>
      <c r="D592" s="1" t="s">
        <v>2855</v>
      </c>
      <c r="E592" s="1" t="s">
        <v>2860</v>
      </c>
      <c r="F592" s="1" t="s">
        <v>21</v>
      </c>
      <c r="G592" s="1" t="s">
        <v>22</v>
      </c>
    </row>
    <row r="593" spans="1:7">
      <c r="A593" s="1">
        <v>592</v>
      </c>
      <c r="B593" s="1" t="s">
        <v>2861</v>
      </c>
      <c r="D593" s="1" t="s">
        <v>2855</v>
      </c>
      <c r="E593" s="1" t="s">
        <v>2862</v>
      </c>
      <c r="F593" s="1" t="s">
        <v>836</v>
      </c>
      <c r="G593" s="1" t="s">
        <v>837</v>
      </c>
    </row>
    <row r="594" spans="1:7">
      <c r="A594" s="1">
        <v>593</v>
      </c>
      <c r="B594" s="1" t="s">
        <v>2863</v>
      </c>
      <c r="D594" s="1" t="s">
        <v>2864</v>
      </c>
      <c r="E594" s="1" t="s">
        <v>2865</v>
      </c>
      <c r="F594" s="1" t="s">
        <v>12</v>
      </c>
      <c r="G594" s="1" t="s">
        <v>13</v>
      </c>
    </row>
    <row r="595" spans="1:7">
      <c r="A595" s="1">
        <v>594</v>
      </c>
      <c r="B595" s="1" t="s">
        <v>2866</v>
      </c>
      <c r="D595" s="1" t="s">
        <v>2864</v>
      </c>
      <c r="E595" s="1" t="s">
        <v>2867</v>
      </c>
      <c r="F595" s="1" t="s">
        <v>839</v>
      </c>
      <c r="G595" s="1" t="s">
        <v>840</v>
      </c>
    </row>
    <row r="596" spans="1:7">
      <c r="A596" s="1">
        <v>595</v>
      </c>
      <c r="B596" s="1" t="s">
        <v>2868</v>
      </c>
      <c r="D596" s="1" t="s">
        <v>2864</v>
      </c>
      <c r="E596" s="1" t="s">
        <v>2869</v>
      </c>
      <c r="F596" s="1" t="s">
        <v>21</v>
      </c>
      <c r="G596" s="1" t="s">
        <v>22</v>
      </c>
    </row>
    <row r="597" spans="1:7">
      <c r="A597" s="1">
        <v>596</v>
      </c>
      <c r="B597" s="1" t="s">
        <v>2870</v>
      </c>
      <c r="D597" s="1" t="s">
        <v>2864</v>
      </c>
      <c r="E597" s="1" t="s">
        <v>2871</v>
      </c>
      <c r="F597" s="1" t="s">
        <v>836</v>
      </c>
      <c r="G597" s="1" t="s">
        <v>837</v>
      </c>
    </row>
    <row r="598" spans="1:7">
      <c r="A598" s="1">
        <v>597</v>
      </c>
      <c r="B598" s="1" t="s">
        <v>2872</v>
      </c>
      <c r="D598" s="1" t="s">
        <v>2873</v>
      </c>
      <c r="E598" s="1" t="s">
        <v>2874</v>
      </c>
      <c r="F598" s="1" t="s">
        <v>12</v>
      </c>
      <c r="G598" s="1" t="s">
        <v>13</v>
      </c>
    </row>
    <row r="599" spans="1:7">
      <c r="A599" s="1">
        <v>598</v>
      </c>
      <c r="B599" s="1" t="s">
        <v>2875</v>
      </c>
      <c r="D599" s="1" t="s">
        <v>2873</v>
      </c>
      <c r="E599" s="1" t="s">
        <v>2876</v>
      </c>
      <c r="F599" s="1" t="s">
        <v>839</v>
      </c>
      <c r="G599" s="1" t="s">
        <v>840</v>
      </c>
    </row>
    <row r="600" spans="1:7">
      <c r="A600" s="1">
        <v>599</v>
      </c>
      <c r="B600" s="1" t="s">
        <v>2877</v>
      </c>
      <c r="D600" s="1" t="s">
        <v>2873</v>
      </c>
      <c r="E600" s="1" t="s">
        <v>2878</v>
      </c>
      <c r="F600" s="1" t="s">
        <v>21</v>
      </c>
      <c r="G600" s="1" t="s">
        <v>22</v>
      </c>
    </row>
    <row r="601" spans="1:7">
      <c r="A601" s="1">
        <v>600</v>
      </c>
      <c r="B601" s="1" t="s">
        <v>2879</v>
      </c>
      <c r="D601" s="1" t="s">
        <v>2873</v>
      </c>
      <c r="E601" s="1" t="s">
        <v>2880</v>
      </c>
      <c r="F601" s="1" t="s">
        <v>836</v>
      </c>
      <c r="G601" s="1" t="s">
        <v>837</v>
      </c>
    </row>
    <row r="602" spans="1:7">
      <c r="A602" s="1">
        <v>601</v>
      </c>
      <c r="B602" s="1" t="s">
        <v>2881</v>
      </c>
      <c r="D602" s="1" t="s">
        <v>2882</v>
      </c>
      <c r="E602" s="1" t="s">
        <v>2883</v>
      </c>
      <c r="F602" s="1" t="s">
        <v>12</v>
      </c>
      <c r="G602" s="1" t="s">
        <v>13</v>
      </c>
    </row>
    <row r="603" spans="1:7">
      <c r="A603" s="1">
        <v>602</v>
      </c>
      <c r="B603" s="1" t="s">
        <v>2884</v>
      </c>
      <c r="D603" s="1" t="s">
        <v>2882</v>
      </c>
      <c r="E603" s="1" t="s">
        <v>2885</v>
      </c>
      <c r="F603" s="1" t="s">
        <v>839</v>
      </c>
      <c r="G603" s="1" t="s">
        <v>840</v>
      </c>
    </row>
    <row r="604" spans="1:7">
      <c r="A604" s="1">
        <v>603</v>
      </c>
      <c r="B604" s="1" t="s">
        <v>2886</v>
      </c>
      <c r="D604" s="1" t="s">
        <v>2882</v>
      </c>
      <c r="E604" s="1" t="s">
        <v>2887</v>
      </c>
      <c r="F604" s="1" t="s">
        <v>21</v>
      </c>
      <c r="G604" s="1" t="s">
        <v>22</v>
      </c>
    </row>
    <row r="605" spans="1:7">
      <c r="A605" s="1">
        <v>604</v>
      </c>
      <c r="B605" s="1" t="s">
        <v>2888</v>
      </c>
      <c r="D605" s="1" t="s">
        <v>2882</v>
      </c>
      <c r="E605" s="1" t="s">
        <v>2889</v>
      </c>
      <c r="F605" s="1" t="s">
        <v>836</v>
      </c>
      <c r="G605" s="1" t="s">
        <v>837</v>
      </c>
    </row>
    <row r="606" spans="1:7">
      <c r="A606" s="1">
        <v>605</v>
      </c>
      <c r="B606" s="1" t="s">
        <v>2890</v>
      </c>
      <c r="D606" s="1" t="s">
        <v>2891</v>
      </c>
      <c r="E606" s="1" t="s">
        <v>2892</v>
      </c>
      <c r="F606" s="1" t="s">
        <v>12</v>
      </c>
      <c r="G606" s="1" t="s">
        <v>13</v>
      </c>
    </row>
    <row r="607" spans="1:7">
      <c r="A607" s="1">
        <v>606</v>
      </c>
      <c r="B607" s="1" t="s">
        <v>2893</v>
      </c>
      <c r="D607" s="1" t="s">
        <v>2891</v>
      </c>
      <c r="E607" s="1" t="s">
        <v>2894</v>
      </c>
      <c r="F607" s="1" t="s">
        <v>839</v>
      </c>
      <c r="G607" s="1" t="s">
        <v>840</v>
      </c>
    </row>
    <row r="608" spans="1:7">
      <c r="A608" s="1">
        <v>607</v>
      </c>
      <c r="B608" s="1" t="s">
        <v>2895</v>
      </c>
      <c r="D608" s="1" t="s">
        <v>2891</v>
      </c>
      <c r="E608" s="1" t="s">
        <v>2896</v>
      </c>
      <c r="F608" s="1" t="s">
        <v>21</v>
      </c>
      <c r="G608" s="1" t="s">
        <v>22</v>
      </c>
    </row>
    <row r="609" spans="1:7">
      <c r="A609" s="1">
        <v>608</v>
      </c>
      <c r="B609" s="1" t="s">
        <v>2897</v>
      </c>
      <c r="D609" s="1" t="s">
        <v>2891</v>
      </c>
      <c r="E609" s="1" t="s">
        <v>2898</v>
      </c>
      <c r="F609" s="1" t="s">
        <v>836</v>
      </c>
      <c r="G609" s="1" t="s">
        <v>837</v>
      </c>
    </row>
    <row r="610" spans="1:7">
      <c r="A610" s="1">
        <v>609</v>
      </c>
      <c r="B610" s="1" t="s">
        <v>2899</v>
      </c>
      <c r="D610" s="1" t="s">
        <v>2900</v>
      </c>
      <c r="E610" s="1" t="s">
        <v>2901</v>
      </c>
      <c r="F610" s="1" t="s">
        <v>12</v>
      </c>
      <c r="G610" s="1" t="s">
        <v>13</v>
      </c>
    </row>
    <row r="611" spans="1:7">
      <c r="A611" s="1">
        <v>610</v>
      </c>
      <c r="B611" s="1" t="s">
        <v>2902</v>
      </c>
      <c r="D611" s="1" t="s">
        <v>2900</v>
      </c>
      <c r="E611" s="1" t="s">
        <v>2903</v>
      </c>
      <c r="F611" s="1" t="s">
        <v>839</v>
      </c>
      <c r="G611" s="1" t="s">
        <v>840</v>
      </c>
    </row>
    <row r="612" spans="1:7">
      <c r="A612" s="1">
        <v>611</v>
      </c>
      <c r="B612" s="1" t="s">
        <v>2904</v>
      </c>
      <c r="D612" s="1" t="s">
        <v>2900</v>
      </c>
      <c r="E612" s="1" t="s">
        <v>2905</v>
      </c>
      <c r="F612" s="1" t="s">
        <v>21</v>
      </c>
      <c r="G612" s="1" t="s">
        <v>22</v>
      </c>
    </row>
    <row r="613" spans="1:7">
      <c r="A613" s="1">
        <v>612</v>
      </c>
      <c r="B613" s="1" t="s">
        <v>2906</v>
      </c>
      <c r="D613" s="1" t="s">
        <v>2900</v>
      </c>
      <c r="E613" s="1" t="s">
        <v>2907</v>
      </c>
      <c r="F613" s="1" t="s">
        <v>836</v>
      </c>
      <c r="G613" s="1" t="s">
        <v>837</v>
      </c>
    </row>
    <row r="614" spans="1:7">
      <c r="A614" s="1">
        <v>613</v>
      </c>
      <c r="B614" s="1" t="s">
        <v>2908</v>
      </c>
      <c r="D614" s="1" t="s">
        <v>2909</v>
      </c>
      <c r="E614" s="1" t="s">
        <v>2910</v>
      </c>
      <c r="F614" s="1" t="s">
        <v>12</v>
      </c>
      <c r="G614" s="1" t="s">
        <v>13</v>
      </c>
    </row>
    <row r="615" spans="1:7">
      <c r="A615" s="1">
        <v>614</v>
      </c>
      <c r="B615" s="1" t="s">
        <v>2911</v>
      </c>
      <c r="D615" s="1" t="s">
        <v>2909</v>
      </c>
      <c r="E615" s="1" t="s">
        <v>2912</v>
      </c>
      <c r="F615" s="1" t="s">
        <v>839</v>
      </c>
      <c r="G615" s="1" t="s">
        <v>840</v>
      </c>
    </row>
    <row r="616" spans="1:7">
      <c r="A616" s="1">
        <v>615</v>
      </c>
      <c r="B616" s="1" t="s">
        <v>2913</v>
      </c>
      <c r="D616" s="1" t="s">
        <v>2909</v>
      </c>
      <c r="E616" s="1" t="s">
        <v>2914</v>
      </c>
      <c r="F616" s="1" t="s">
        <v>21</v>
      </c>
      <c r="G616" s="1" t="s">
        <v>22</v>
      </c>
    </row>
    <row r="617" spans="1:7">
      <c r="A617" s="1">
        <v>616</v>
      </c>
      <c r="B617" s="1" t="s">
        <v>2915</v>
      </c>
      <c r="D617" s="1" t="s">
        <v>2909</v>
      </c>
      <c r="E617" s="1" t="s">
        <v>2916</v>
      </c>
      <c r="F617" s="1" t="s">
        <v>836</v>
      </c>
      <c r="G617" s="1" t="s">
        <v>837</v>
      </c>
    </row>
    <row r="618" spans="1:7">
      <c r="A618" s="1">
        <v>617</v>
      </c>
      <c r="B618" s="1" t="s">
        <v>2917</v>
      </c>
      <c r="D618" s="1" t="s">
        <v>2918</v>
      </c>
      <c r="E618" s="1" t="s">
        <v>2919</v>
      </c>
      <c r="F618" s="1" t="s">
        <v>12</v>
      </c>
      <c r="G618" s="1" t="s">
        <v>13</v>
      </c>
    </row>
    <row r="619" spans="1:7">
      <c r="A619" s="1">
        <v>618</v>
      </c>
      <c r="B619" s="1" t="s">
        <v>2920</v>
      </c>
      <c r="D619" s="1" t="s">
        <v>2918</v>
      </c>
      <c r="E619" s="1" t="s">
        <v>2921</v>
      </c>
      <c r="F619" s="1" t="s">
        <v>839</v>
      </c>
      <c r="G619" s="1" t="s">
        <v>840</v>
      </c>
    </row>
    <row r="620" spans="1:7">
      <c r="A620" s="1">
        <v>619</v>
      </c>
      <c r="B620" s="1" t="s">
        <v>2922</v>
      </c>
      <c r="D620" s="1" t="s">
        <v>2918</v>
      </c>
      <c r="E620" s="1" t="s">
        <v>2923</v>
      </c>
      <c r="F620" s="1" t="s">
        <v>21</v>
      </c>
      <c r="G620" s="1" t="s">
        <v>22</v>
      </c>
    </row>
    <row r="621" spans="1:7">
      <c r="A621" s="1">
        <v>620</v>
      </c>
      <c r="B621" s="1" t="s">
        <v>2924</v>
      </c>
      <c r="D621" s="1" t="s">
        <v>2918</v>
      </c>
      <c r="E621" s="1" t="s">
        <v>2925</v>
      </c>
      <c r="F621" s="1" t="s">
        <v>836</v>
      </c>
      <c r="G621" s="1" t="s">
        <v>837</v>
      </c>
    </row>
    <row r="622" spans="1:7">
      <c r="A622" s="1">
        <v>621</v>
      </c>
      <c r="B622" s="1" t="s">
        <v>2926</v>
      </c>
      <c r="D622" s="1" t="s">
        <v>2927</v>
      </c>
      <c r="E622" s="1" t="s">
        <v>2928</v>
      </c>
      <c r="F622" s="1" t="s">
        <v>12</v>
      </c>
      <c r="G622" s="1" t="s">
        <v>13</v>
      </c>
    </row>
    <row r="623" spans="1:7">
      <c r="A623" s="1">
        <v>622</v>
      </c>
      <c r="B623" s="1" t="s">
        <v>2929</v>
      </c>
      <c r="D623" s="1" t="s">
        <v>2927</v>
      </c>
      <c r="E623" s="1" t="s">
        <v>2930</v>
      </c>
      <c r="F623" s="1" t="s">
        <v>839</v>
      </c>
      <c r="G623" s="1" t="s">
        <v>840</v>
      </c>
    </row>
    <row r="624" spans="1:7">
      <c r="A624" s="1">
        <v>623</v>
      </c>
      <c r="B624" s="1" t="s">
        <v>2931</v>
      </c>
      <c r="D624" s="1" t="s">
        <v>2927</v>
      </c>
      <c r="E624" s="1" t="s">
        <v>2932</v>
      </c>
      <c r="F624" s="1" t="s">
        <v>21</v>
      </c>
      <c r="G624" s="1" t="s">
        <v>22</v>
      </c>
    </row>
    <row r="625" spans="1:7">
      <c r="A625" s="1">
        <v>624</v>
      </c>
      <c r="B625" s="1" t="s">
        <v>2933</v>
      </c>
      <c r="D625" s="1" t="s">
        <v>2927</v>
      </c>
      <c r="E625" s="1" t="s">
        <v>2934</v>
      </c>
      <c r="F625" s="1" t="s">
        <v>836</v>
      </c>
      <c r="G625" s="1" t="s">
        <v>837</v>
      </c>
    </row>
    <row r="626" spans="1:7">
      <c r="A626" s="1">
        <v>625</v>
      </c>
      <c r="B626" s="1" t="s">
        <v>2935</v>
      </c>
      <c r="D626" s="1" t="s">
        <v>2936</v>
      </c>
      <c r="E626" s="1" t="s">
        <v>2937</v>
      </c>
      <c r="F626" s="1" t="s">
        <v>12</v>
      </c>
      <c r="G626" s="1" t="s">
        <v>13</v>
      </c>
    </row>
    <row r="627" spans="1:7">
      <c r="A627" s="1">
        <v>626</v>
      </c>
      <c r="B627" s="1" t="s">
        <v>2938</v>
      </c>
      <c r="D627" s="1" t="s">
        <v>2936</v>
      </c>
      <c r="E627" s="1" t="s">
        <v>2939</v>
      </c>
      <c r="F627" s="1" t="s">
        <v>839</v>
      </c>
      <c r="G627" s="1" t="s">
        <v>840</v>
      </c>
    </row>
    <row r="628" spans="1:7">
      <c r="A628" s="1">
        <v>627</v>
      </c>
      <c r="B628" s="1" t="s">
        <v>2940</v>
      </c>
      <c r="D628" s="1" t="s">
        <v>2936</v>
      </c>
      <c r="E628" s="1" t="s">
        <v>2941</v>
      </c>
      <c r="F628" s="1" t="s">
        <v>21</v>
      </c>
      <c r="G628" s="1" t="s">
        <v>22</v>
      </c>
    </row>
    <row r="629" spans="1:7">
      <c r="A629" s="1">
        <v>628</v>
      </c>
      <c r="B629" s="1" t="s">
        <v>2942</v>
      </c>
      <c r="D629" s="1" t="s">
        <v>2936</v>
      </c>
      <c r="E629" s="1" t="s">
        <v>2943</v>
      </c>
      <c r="F629" s="1" t="s">
        <v>836</v>
      </c>
      <c r="G629" s="1" t="s">
        <v>837</v>
      </c>
    </row>
    <row r="630" spans="1:7">
      <c r="A630" s="1">
        <v>629</v>
      </c>
      <c r="B630" s="1" t="s">
        <v>2944</v>
      </c>
      <c r="D630" s="1" t="s">
        <v>2945</v>
      </c>
      <c r="E630" s="1" t="s">
        <v>834</v>
      </c>
      <c r="F630" s="1" t="s">
        <v>12</v>
      </c>
      <c r="G630" s="1" t="s">
        <v>13</v>
      </c>
    </row>
    <row r="631" spans="1:7">
      <c r="A631" s="1">
        <v>630</v>
      </c>
      <c r="B631" s="1" t="s">
        <v>2946</v>
      </c>
      <c r="D631" s="1" t="s">
        <v>2945</v>
      </c>
      <c r="E631" s="1" t="s">
        <v>838</v>
      </c>
      <c r="F631" s="1" t="s">
        <v>839</v>
      </c>
      <c r="G631" s="1" t="s">
        <v>840</v>
      </c>
    </row>
    <row r="632" spans="1:7">
      <c r="A632" s="1">
        <v>631</v>
      </c>
      <c r="B632" s="1" t="s">
        <v>2947</v>
      </c>
      <c r="D632" s="1" t="s">
        <v>2945</v>
      </c>
      <c r="E632" s="1" t="s">
        <v>2948</v>
      </c>
      <c r="F632" s="1" t="s">
        <v>21</v>
      </c>
      <c r="G632" s="1" t="s">
        <v>22</v>
      </c>
    </row>
    <row r="633" spans="1:7">
      <c r="A633" s="1">
        <v>632</v>
      </c>
      <c r="B633" s="1" t="s">
        <v>2949</v>
      </c>
      <c r="D633" s="1" t="s">
        <v>2945</v>
      </c>
      <c r="E633" s="1" t="s">
        <v>397</v>
      </c>
      <c r="F633" s="1" t="s">
        <v>836</v>
      </c>
      <c r="G633" s="1" t="s">
        <v>837</v>
      </c>
    </row>
    <row r="634" spans="1:7">
      <c r="A634" s="1">
        <v>633</v>
      </c>
      <c r="B634" s="1" t="s">
        <v>2950</v>
      </c>
      <c r="D634" s="1" t="s">
        <v>2951</v>
      </c>
      <c r="E634" s="1" t="s">
        <v>2952</v>
      </c>
      <c r="F634" s="1" t="s">
        <v>430</v>
      </c>
      <c r="G634" s="1" t="s">
        <v>431</v>
      </c>
    </row>
    <row r="635" spans="1:7">
      <c r="A635" s="1">
        <v>634</v>
      </c>
      <c r="B635" s="1" t="s">
        <v>2953</v>
      </c>
      <c r="D635" s="1" t="s">
        <v>2954</v>
      </c>
      <c r="E635" s="1" t="s">
        <v>2955</v>
      </c>
      <c r="F635" s="1" t="s">
        <v>448</v>
      </c>
      <c r="G635" s="1" t="s">
        <v>449</v>
      </c>
    </row>
    <row r="636" spans="1:7">
      <c r="A636" s="1">
        <v>635</v>
      </c>
      <c r="B636" s="1" t="s">
        <v>2956</v>
      </c>
      <c r="D636" s="1" t="s">
        <v>2954</v>
      </c>
      <c r="E636" s="1" t="s">
        <v>2957</v>
      </c>
      <c r="F636" s="1" t="s">
        <v>444</v>
      </c>
      <c r="G636" s="1" t="s">
        <v>445</v>
      </c>
    </row>
    <row r="637" spans="1:7">
      <c r="A637" s="1">
        <v>636</v>
      </c>
      <c r="B637" s="1" t="s">
        <v>2958</v>
      </c>
      <c r="D637" s="1" t="s">
        <v>2954</v>
      </c>
      <c r="E637" s="1" t="s">
        <v>2959</v>
      </c>
      <c r="F637" s="1" t="s">
        <v>440</v>
      </c>
      <c r="G637" s="1" t="s">
        <v>441</v>
      </c>
    </row>
    <row r="638" spans="1:7">
      <c r="A638" s="1">
        <v>637</v>
      </c>
      <c r="B638" s="1" t="s">
        <v>2960</v>
      </c>
      <c r="D638" s="1" t="s">
        <v>2954</v>
      </c>
      <c r="E638" s="1" t="s">
        <v>2961</v>
      </c>
      <c r="F638" s="1" t="s">
        <v>436</v>
      </c>
      <c r="G638" s="1" t="s">
        <v>437</v>
      </c>
    </row>
    <row r="639" spans="1:7">
      <c r="A639" s="1">
        <v>638</v>
      </c>
      <c r="B639" s="1" t="s">
        <v>2962</v>
      </c>
      <c r="D639" s="1" t="s">
        <v>2954</v>
      </c>
      <c r="E639" s="1" t="s">
        <v>2963</v>
      </c>
      <c r="F639" s="1" t="s">
        <v>452</v>
      </c>
      <c r="G639" s="1" t="s">
        <v>453</v>
      </c>
    </row>
    <row r="640" spans="1:7">
      <c r="A640" s="1">
        <v>639</v>
      </c>
      <c r="B640" s="1" t="s">
        <v>2964</v>
      </c>
      <c r="D640" s="1" t="s">
        <v>2954</v>
      </c>
      <c r="E640" s="1" t="s">
        <v>2965</v>
      </c>
      <c r="F640" s="1" t="s">
        <v>430</v>
      </c>
      <c r="G640" s="1" t="s">
        <v>431</v>
      </c>
    </row>
    <row r="641" spans="1:7">
      <c r="A641" s="1">
        <v>640</v>
      </c>
      <c r="B641" s="1" t="s">
        <v>2966</v>
      </c>
      <c r="D641" s="1" t="s">
        <v>2954</v>
      </c>
      <c r="E641" s="1" t="s">
        <v>2967</v>
      </c>
      <c r="F641" s="1" t="s">
        <v>458</v>
      </c>
      <c r="G641" s="1" t="s">
        <v>459</v>
      </c>
    </row>
    <row r="642" spans="1:7">
      <c r="A642" s="1">
        <v>641</v>
      </c>
      <c r="B642" s="1" t="s">
        <v>2968</v>
      </c>
      <c r="D642" s="1" t="s">
        <v>2969</v>
      </c>
      <c r="E642" s="1" t="s">
        <v>2970</v>
      </c>
      <c r="F642" s="1" t="s">
        <v>844</v>
      </c>
      <c r="G642" s="1" t="s">
        <v>845</v>
      </c>
    </row>
    <row r="643" spans="1:7">
      <c r="A643" s="1">
        <v>642</v>
      </c>
      <c r="B643" s="1" t="s">
        <v>2971</v>
      </c>
      <c r="D643" s="1" t="s">
        <v>2972</v>
      </c>
      <c r="E643" s="1" t="s">
        <v>11</v>
      </c>
      <c r="F643" s="1" t="s">
        <v>844</v>
      </c>
      <c r="G643" s="1" t="s">
        <v>845</v>
      </c>
    </row>
    <row r="644" spans="1:7">
      <c r="A644" s="1">
        <v>643</v>
      </c>
      <c r="B644" s="1" t="s">
        <v>2973</v>
      </c>
      <c r="D644" s="1" t="s">
        <v>2974</v>
      </c>
      <c r="E644" s="1" t="s">
        <v>26</v>
      </c>
      <c r="F644" s="1" t="s">
        <v>844</v>
      </c>
      <c r="G644" s="1" t="s">
        <v>845</v>
      </c>
    </row>
    <row r="645" spans="1:7">
      <c r="A645" s="1">
        <v>644</v>
      </c>
      <c r="B645" s="1" t="s">
        <v>2975</v>
      </c>
      <c r="D645" s="1" t="s">
        <v>2976</v>
      </c>
      <c r="E645" s="1" t="s">
        <v>32</v>
      </c>
      <c r="F645" s="1" t="s">
        <v>855</v>
      </c>
      <c r="G645" s="1" t="s">
        <v>856</v>
      </c>
    </row>
    <row r="646" spans="1:7">
      <c r="A646" s="1">
        <v>645</v>
      </c>
      <c r="B646" s="1" t="s">
        <v>2977</v>
      </c>
      <c r="D646" s="1" t="s">
        <v>2978</v>
      </c>
      <c r="E646" s="1" t="s">
        <v>37</v>
      </c>
      <c r="F646" s="1" t="s">
        <v>860</v>
      </c>
      <c r="G646" s="1" t="s">
        <v>861</v>
      </c>
    </row>
    <row r="647" spans="1:7">
      <c r="A647" s="1">
        <v>646</v>
      </c>
      <c r="B647" s="1" t="s">
        <v>2979</v>
      </c>
      <c r="D647" s="1" t="s">
        <v>2980</v>
      </c>
      <c r="E647" s="1" t="s">
        <v>829</v>
      </c>
      <c r="F647" s="1" t="s">
        <v>860</v>
      </c>
      <c r="G647" s="1" t="s">
        <v>861</v>
      </c>
    </row>
    <row r="648" spans="1:7">
      <c r="A648" s="1">
        <v>647</v>
      </c>
      <c r="B648" s="1" t="s">
        <v>2981</v>
      </c>
      <c r="D648" s="1" t="s">
        <v>2982</v>
      </c>
      <c r="E648" s="1" t="s">
        <v>1324</v>
      </c>
      <c r="F648" s="1" t="s">
        <v>869</v>
      </c>
      <c r="G648" s="1" t="s">
        <v>870</v>
      </c>
    </row>
    <row r="649" spans="1:7">
      <c r="A649" s="1">
        <v>648</v>
      </c>
      <c r="B649" s="1" t="s">
        <v>2983</v>
      </c>
      <c r="D649" s="1" t="s">
        <v>2982</v>
      </c>
      <c r="E649" s="1" t="s">
        <v>1327</v>
      </c>
      <c r="F649" s="1" t="s">
        <v>872</v>
      </c>
      <c r="G649" s="1" t="s">
        <v>873</v>
      </c>
    </row>
    <row r="650" spans="1:7">
      <c r="A650" s="1">
        <v>649</v>
      </c>
      <c r="B650" s="1" t="s">
        <v>2984</v>
      </c>
      <c r="D650" s="1" t="s">
        <v>2982</v>
      </c>
      <c r="E650" s="1" t="s">
        <v>2985</v>
      </c>
      <c r="F650" s="1" t="s">
        <v>860</v>
      </c>
      <c r="G650" s="1" t="s">
        <v>861</v>
      </c>
    </row>
    <row r="651" spans="1:7">
      <c r="A651" s="1">
        <v>650</v>
      </c>
      <c r="B651" s="1" t="s">
        <v>2986</v>
      </c>
      <c r="D651" s="1" t="s">
        <v>2982</v>
      </c>
      <c r="E651" s="1" t="s">
        <v>2987</v>
      </c>
      <c r="F651" s="1" t="s">
        <v>875</v>
      </c>
      <c r="G651" s="1" t="s">
        <v>876</v>
      </c>
    </row>
    <row r="652" spans="1:7">
      <c r="A652" s="1">
        <v>651</v>
      </c>
      <c r="B652" s="1" t="s">
        <v>2988</v>
      </c>
      <c r="D652" s="1" t="s">
        <v>2982</v>
      </c>
      <c r="E652" s="1" t="s">
        <v>2989</v>
      </c>
      <c r="F652" s="1" t="s">
        <v>878</v>
      </c>
      <c r="G652" s="1" t="s">
        <v>879</v>
      </c>
    </row>
    <row r="653" spans="1:7">
      <c r="A653" s="1">
        <v>652</v>
      </c>
      <c r="B653" s="1" t="s">
        <v>2990</v>
      </c>
      <c r="D653" s="1" t="s">
        <v>2991</v>
      </c>
      <c r="E653" s="1" t="s">
        <v>2992</v>
      </c>
      <c r="F653" s="1" t="s">
        <v>257</v>
      </c>
      <c r="G653" s="1" t="s">
        <v>258</v>
      </c>
    </row>
    <row r="654" spans="1:7">
      <c r="A654" s="1">
        <v>653</v>
      </c>
      <c r="B654" s="1" t="s">
        <v>2993</v>
      </c>
      <c r="D654" s="1" t="s">
        <v>2991</v>
      </c>
      <c r="E654" s="1" t="s">
        <v>2994</v>
      </c>
      <c r="F654" s="1" t="s">
        <v>260</v>
      </c>
      <c r="G654" s="1" t="s">
        <v>261</v>
      </c>
    </row>
    <row r="655" spans="1:7">
      <c r="A655" s="1">
        <v>654</v>
      </c>
      <c r="B655" s="1" t="s">
        <v>2995</v>
      </c>
      <c r="D655" s="1" t="s">
        <v>2991</v>
      </c>
      <c r="E655" s="1" t="s">
        <v>2996</v>
      </c>
      <c r="F655" s="1" t="s">
        <v>263</v>
      </c>
      <c r="G655" s="1" t="s">
        <v>264</v>
      </c>
    </row>
    <row r="656" spans="1:7">
      <c r="A656" s="1">
        <v>655</v>
      </c>
      <c r="B656" s="1" t="s">
        <v>2997</v>
      </c>
      <c r="D656" s="1" t="s">
        <v>2991</v>
      </c>
      <c r="E656" s="1" t="s">
        <v>2998</v>
      </c>
      <c r="F656" s="1" t="s">
        <v>266</v>
      </c>
      <c r="G656" s="1" t="s">
        <v>267</v>
      </c>
    </row>
    <row r="657" spans="1:7">
      <c r="A657" s="1">
        <v>656</v>
      </c>
      <c r="B657" s="1" t="s">
        <v>2999</v>
      </c>
      <c r="D657" s="1" t="s">
        <v>2991</v>
      </c>
      <c r="E657" s="1" t="s">
        <v>3000</v>
      </c>
      <c r="F657" s="1" t="s">
        <v>269</v>
      </c>
      <c r="G657" s="1" t="s">
        <v>270</v>
      </c>
    </row>
    <row r="658" spans="1:7">
      <c r="A658" s="1">
        <v>657</v>
      </c>
      <c r="B658" s="1" t="s">
        <v>3001</v>
      </c>
      <c r="D658" s="1" t="s">
        <v>2991</v>
      </c>
      <c r="E658" s="1" t="s">
        <v>3002</v>
      </c>
      <c r="F658" s="1" t="s">
        <v>272</v>
      </c>
      <c r="G658" s="1" t="s">
        <v>273</v>
      </c>
    </row>
    <row r="659" spans="1:7">
      <c r="A659" s="1">
        <v>658</v>
      </c>
      <c r="B659" s="1" t="s">
        <v>3003</v>
      </c>
      <c r="D659" s="1" t="s">
        <v>2991</v>
      </c>
      <c r="E659" s="1" t="s">
        <v>3004</v>
      </c>
      <c r="F659" s="1" t="s">
        <v>275</v>
      </c>
      <c r="G659" s="1" t="s">
        <v>276</v>
      </c>
    </row>
    <row r="660" spans="1:7">
      <c r="A660" s="1">
        <v>659</v>
      </c>
      <c r="B660" s="1" t="s">
        <v>3005</v>
      </c>
      <c r="D660" s="1" t="s">
        <v>2991</v>
      </c>
      <c r="E660" s="1" t="s">
        <v>3006</v>
      </c>
      <c r="F660" s="1" t="s">
        <v>278</v>
      </c>
      <c r="G660" s="1" t="s">
        <v>279</v>
      </c>
    </row>
    <row r="661" spans="1:7">
      <c r="A661" s="1">
        <v>660</v>
      </c>
      <c r="B661" s="1" t="s">
        <v>3007</v>
      </c>
      <c r="D661" s="1" t="s">
        <v>2991</v>
      </c>
      <c r="E661" s="1" t="s">
        <v>3008</v>
      </c>
      <c r="F661" s="1" t="s">
        <v>281</v>
      </c>
      <c r="G661" s="1" t="s">
        <v>282</v>
      </c>
    </row>
    <row r="662" spans="1:7">
      <c r="A662" s="1">
        <v>661</v>
      </c>
      <c r="B662" s="1" t="s">
        <v>3009</v>
      </c>
      <c r="D662" s="1" t="s">
        <v>2991</v>
      </c>
      <c r="E662" s="1" t="s">
        <v>3010</v>
      </c>
      <c r="F662" s="1" t="s">
        <v>284</v>
      </c>
      <c r="G662" s="1" t="s">
        <v>285</v>
      </c>
    </row>
    <row r="663" spans="1:7">
      <c r="A663" s="1">
        <v>662</v>
      </c>
      <c r="B663" s="1" t="s">
        <v>3011</v>
      </c>
      <c r="D663" s="1" t="s">
        <v>3012</v>
      </c>
      <c r="E663" s="1" t="s">
        <v>3013</v>
      </c>
      <c r="F663" s="1" t="s">
        <v>1328</v>
      </c>
      <c r="G663" s="1" t="s">
        <v>1329</v>
      </c>
    </row>
    <row r="664" spans="1:7">
      <c r="A664" s="1">
        <v>663</v>
      </c>
      <c r="B664" s="1" t="s">
        <v>3014</v>
      </c>
      <c r="D664" s="1" t="s">
        <v>3012</v>
      </c>
      <c r="E664" s="1" t="s">
        <v>3015</v>
      </c>
      <c r="F664" s="1" t="s">
        <v>1325</v>
      </c>
      <c r="G664" s="1" t="s">
        <v>1326</v>
      </c>
    </row>
    <row r="665" spans="1:7">
      <c r="A665" s="1">
        <v>664</v>
      </c>
      <c r="B665" s="1" t="s">
        <v>3016</v>
      </c>
      <c r="D665" s="1" t="s">
        <v>3017</v>
      </c>
      <c r="E665" s="1" t="s">
        <v>3018</v>
      </c>
      <c r="F665" s="1" t="s">
        <v>1333</v>
      </c>
      <c r="G665" s="1" t="s">
        <v>1334</v>
      </c>
    </row>
    <row r="666" spans="1:7">
      <c r="A666" s="1">
        <v>665</v>
      </c>
      <c r="B666" s="1" t="s">
        <v>3019</v>
      </c>
      <c r="D666" s="1" t="s">
        <v>3017</v>
      </c>
      <c r="E666" s="1" t="s">
        <v>3020</v>
      </c>
      <c r="F666" s="1" t="s">
        <v>1339</v>
      </c>
      <c r="G666" s="1" t="s">
        <v>1340</v>
      </c>
    </row>
    <row r="667" spans="1:7">
      <c r="A667" s="1">
        <v>666</v>
      </c>
      <c r="B667" s="1" t="s">
        <v>3021</v>
      </c>
      <c r="D667" s="1" t="s">
        <v>3017</v>
      </c>
      <c r="E667" s="1" t="s">
        <v>3022</v>
      </c>
      <c r="F667" s="1" t="s">
        <v>1336</v>
      </c>
      <c r="G667" s="1" t="s">
        <v>1337</v>
      </c>
    </row>
    <row r="668" spans="1:7">
      <c r="A668" s="1">
        <v>667</v>
      </c>
      <c r="B668" s="1" t="s">
        <v>3023</v>
      </c>
      <c r="D668" s="1" t="s">
        <v>3024</v>
      </c>
      <c r="E668" s="1" t="s">
        <v>3025</v>
      </c>
      <c r="F668" s="1" t="s">
        <v>21</v>
      </c>
      <c r="G668" s="1" t="s">
        <v>22</v>
      </c>
    </row>
    <row r="669" spans="1:7">
      <c r="A669" s="1">
        <v>668</v>
      </c>
      <c r="B669" s="1" t="s">
        <v>3026</v>
      </c>
      <c r="D669" s="1" t="s">
        <v>3027</v>
      </c>
      <c r="E669" s="1" t="s">
        <v>3028</v>
      </c>
      <c r="F669" s="1" t="s">
        <v>21</v>
      </c>
      <c r="G669" s="1" t="s">
        <v>22</v>
      </c>
    </row>
    <row r="670" spans="1:7">
      <c r="A670" s="1">
        <v>669</v>
      </c>
      <c r="B670" s="1" t="s">
        <v>3029</v>
      </c>
      <c r="D670" s="1" t="s">
        <v>3030</v>
      </c>
      <c r="E670" s="1" t="s">
        <v>3031</v>
      </c>
      <c r="F670" s="1" t="s">
        <v>3032</v>
      </c>
      <c r="G670" s="1" t="s">
        <v>3033</v>
      </c>
    </row>
    <row r="671" spans="1:7">
      <c r="A671" s="1">
        <v>670</v>
      </c>
      <c r="B671" s="1" t="s">
        <v>3034</v>
      </c>
      <c r="D671" s="1" t="s">
        <v>3030</v>
      </c>
      <c r="E671" s="1" t="s">
        <v>3035</v>
      </c>
      <c r="F671" s="1" t="s">
        <v>3036</v>
      </c>
      <c r="G671" s="1" t="s">
        <v>3037</v>
      </c>
    </row>
    <row r="672" spans="1:7">
      <c r="A672" s="1">
        <v>671</v>
      </c>
      <c r="B672" s="1" t="s">
        <v>3038</v>
      </c>
      <c r="D672" s="1" t="s">
        <v>3039</v>
      </c>
      <c r="E672" s="1" t="s">
        <v>3040</v>
      </c>
      <c r="F672" s="1" t="s">
        <v>292</v>
      </c>
      <c r="G672" s="1" t="s">
        <v>293</v>
      </c>
    </row>
    <row r="673" spans="1:7">
      <c r="A673" s="1">
        <v>672</v>
      </c>
      <c r="B673" s="1" t="s">
        <v>3041</v>
      </c>
      <c r="D673" s="1" t="s">
        <v>3039</v>
      </c>
      <c r="E673" s="1" t="s">
        <v>3042</v>
      </c>
      <c r="F673" s="1" t="s">
        <v>289</v>
      </c>
      <c r="G673" s="1" t="s">
        <v>290</v>
      </c>
    </row>
    <row r="674" spans="1:7">
      <c r="A674" s="1">
        <v>673</v>
      </c>
      <c r="B674" s="1" t="s">
        <v>3043</v>
      </c>
      <c r="D674" s="1" t="s">
        <v>3039</v>
      </c>
      <c r="E674" s="1" t="s">
        <v>3044</v>
      </c>
      <c r="F674" s="1" t="s">
        <v>295</v>
      </c>
      <c r="G674" s="1" t="s">
        <v>296</v>
      </c>
    </row>
    <row r="675" spans="1:7">
      <c r="A675" s="1">
        <v>674</v>
      </c>
      <c r="B675" s="1" t="s">
        <v>3045</v>
      </c>
      <c r="D675" s="1" t="s">
        <v>3046</v>
      </c>
      <c r="E675" s="1" t="s">
        <v>1269</v>
      </c>
      <c r="F675" s="1" t="s">
        <v>688</v>
      </c>
      <c r="G675" s="1" t="s">
        <v>689</v>
      </c>
    </row>
    <row r="676" spans="1:7">
      <c r="A676" s="1">
        <v>675</v>
      </c>
      <c r="B676" s="1" t="s">
        <v>3047</v>
      </c>
      <c r="D676" s="1" t="s">
        <v>3046</v>
      </c>
      <c r="E676" s="1" t="s">
        <v>1270</v>
      </c>
      <c r="F676" s="1" t="s">
        <v>630</v>
      </c>
      <c r="G676" s="1" t="s">
        <v>631</v>
      </c>
    </row>
    <row r="677" spans="1:7">
      <c r="A677" s="1">
        <v>676</v>
      </c>
      <c r="B677" s="1" t="s">
        <v>3048</v>
      </c>
      <c r="D677" s="1" t="s">
        <v>3049</v>
      </c>
      <c r="E677" s="1" t="s">
        <v>3050</v>
      </c>
      <c r="F677" s="1" t="s">
        <v>3051</v>
      </c>
      <c r="G677" s="1" t="s">
        <v>3052</v>
      </c>
    </row>
    <row r="678" spans="1:7">
      <c r="A678" s="1">
        <v>677</v>
      </c>
      <c r="B678" s="1" t="s">
        <v>3053</v>
      </c>
      <c r="D678" s="1" t="s">
        <v>3049</v>
      </c>
      <c r="E678" s="1" t="s">
        <v>3054</v>
      </c>
      <c r="F678" s="1" t="s">
        <v>3055</v>
      </c>
      <c r="G678" s="1" t="s">
        <v>3056</v>
      </c>
    </row>
    <row r="679" spans="1:7">
      <c r="A679" s="1">
        <v>678</v>
      </c>
      <c r="B679" s="1" t="s">
        <v>3057</v>
      </c>
      <c r="D679" s="1" t="s">
        <v>3049</v>
      </c>
      <c r="E679" s="1" t="s">
        <v>3058</v>
      </c>
      <c r="F679" s="1" t="s">
        <v>3059</v>
      </c>
      <c r="G679" s="1" t="s">
        <v>3060</v>
      </c>
    </row>
    <row r="680" spans="1:7">
      <c r="A680" s="1">
        <v>679</v>
      </c>
      <c r="B680" s="1" t="s">
        <v>3061</v>
      </c>
      <c r="D680" s="1" t="s">
        <v>3049</v>
      </c>
      <c r="E680" s="1" t="s">
        <v>3062</v>
      </c>
      <c r="F680" s="1" t="s">
        <v>3063</v>
      </c>
      <c r="G680" s="1" t="s">
        <v>3064</v>
      </c>
    </row>
    <row r="681" spans="1:7">
      <c r="A681" s="1">
        <v>680</v>
      </c>
      <c r="B681" s="1" t="s">
        <v>3065</v>
      </c>
      <c r="D681" s="1" t="s">
        <v>3066</v>
      </c>
      <c r="E681" s="1" t="s">
        <v>3067</v>
      </c>
      <c r="F681" s="1" t="s">
        <v>3068</v>
      </c>
      <c r="G681" s="1" t="s">
        <v>3069</v>
      </c>
    </row>
    <row r="682" spans="1:7">
      <c r="A682" s="1">
        <v>681</v>
      </c>
      <c r="B682" s="1" t="s">
        <v>3070</v>
      </c>
      <c r="D682" s="1" t="s">
        <v>3066</v>
      </c>
      <c r="E682" s="1" t="s">
        <v>3071</v>
      </c>
      <c r="F682" s="1" t="s">
        <v>3072</v>
      </c>
      <c r="G682" s="1" t="s">
        <v>3073</v>
      </c>
    </row>
    <row r="683" spans="1:7">
      <c r="A683" s="1">
        <v>682</v>
      </c>
      <c r="B683" s="1" t="s">
        <v>3074</v>
      </c>
      <c r="D683" s="1" t="s">
        <v>3066</v>
      </c>
      <c r="E683" s="1" t="s">
        <v>3075</v>
      </c>
      <c r="F683" s="1" t="s">
        <v>3076</v>
      </c>
      <c r="G683" s="1" t="s">
        <v>3077</v>
      </c>
    </row>
    <row r="684" spans="1:7">
      <c r="A684" s="1">
        <v>683</v>
      </c>
      <c r="B684" s="1" t="s">
        <v>3078</v>
      </c>
      <c r="D684" s="1" t="s">
        <v>3066</v>
      </c>
      <c r="E684" s="1" t="s">
        <v>3079</v>
      </c>
      <c r="F684" s="1" t="s">
        <v>3080</v>
      </c>
      <c r="G684" s="1" t="s">
        <v>3081</v>
      </c>
    </row>
    <row r="685" spans="1:7">
      <c r="A685" s="1">
        <v>684</v>
      </c>
      <c r="B685" s="1" t="s">
        <v>3082</v>
      </c>
      <c r="D685" s="1" t="s">
        <v>3083</v>
      </c>
      <c r="E685" s="1" t="s">
        <v>3084</v>
      </c>
      <c r="F685" s="1" t="s">
        <v>3085</v>
      </c>
      <c r="G685" s="1" t="s">
        <v>3086</v>
      </c>
    </row>
    <row r="686" spans="1:7">
      <c r="A686" s="1">
        <v>685</v>
      </c>
      <c r="B686" s="1" t="s">
        <v>3087</v>
      </c>
      <c r="D686" s="1" t="s">
        <v>3083</v>
      </c>
      <c r="E686" s="1" t="s">
        <v>3088</v>
      </c>
      <c r="F686" s="1" t="s">
        <v>3089</v>
      </c>
      <c r="G686" s="1" t="s">
        <v>3090</v>
      </c>
    </row>
    <row r="687" spans="1:7">
      <c r="A687" s="1">
        <v>686</v>
      </c>
      <c r="B687" s="1" t="s">
        <v>3091</v>
      </c>
      <c r="D687" s="1" t="s">
        <v>3083</v>
      </c>
      <c r="E687" s="1" t="s">
        <v>3092</v>
      </c>
      <c r="F687" s="1" t="s">
        <v>3093</v>
      </c>
      <c r="G687" s="1" t="s">
        <v>3094</v>
      </c>
    </row>
    <row r="688" spans="1:7">
      <c r="A688" s="1">
        <v>687</v>
      </c>
      <c r="B688" s="1" t="s">
        <v>3095</v>
      </c>
      <c r="D688" s="1" t="s">
        <v>3083</v>
      </c>
      <c r="E688" s="1" t="s">
        <v>3096</v>
      </c>
      <c r="F688" s="1" t="s">
        <v>3097</v>
      </c>
      <c r="G688" s="1" t="s">
        <v>3098</v>
      </c>
    </row>
    <row r="689" spans="1:7">
      <c r="A689" s="1">
        <v>688</v>
      </c>
      <c r="B689" s="1" t="s">
        <v>3099</v>
      </c>
      <c r="D689" s="1" t="s">
        <v>3083</v>
      </c>
      <c r="E689" s="1" t="s">
        <v>3100</v>
      </c>
      <c r="F689" s="1" t="s">
        <v>3101</v>
      </c>
      <c r="G689" s="1" t="s">
        <v>3102</v>
      </c>
    </row>
    <row r="690" spans="1:7">
      <c r="A690" s="1">
        <v>689</v>
      </c>
      <c r="B690" s="1" t="s">
        <v>3103</v>
      </c>
      <c r="D690" s="1" t="s">
        <v>3083</v>
      </c>
      <c r="E690" s="1" t="s">
        <v>3104</v>
      </c>
      <c r="F690" s="1" t="s">
        <v>3105</v>
      </c>
      <c r="G690" s="1" t="s">
        <v>3106</v>
      </c>
    </row>
    <row r="691" spans="1:7">
      <c r="A691" s="1">
        <v>690</v>
      </c>
      <c r="B691" s="1" t="s">
        <v>3107</v>
      </c>
      <c r="D691" s="1" t="s">
        <v>3083</v>
      </c>
      <c r="E691" s="1" t="s">
        <v>3108</v>
      </c>
      <c r="F691" s="1" t="s">
        <v>3109</v>
      </c>
      <c r="G691" s="1" t="s">
        <v>3110</v>
      </c>
    </row>
    <row r="692" spans="1:7">
      <c r="A692" s="1">
        <v>691</v>
      </c>
      <c r="B692" s="1" t="s">
        <v>3111</v>
      </c>
      <c r="D692" s="1" t="s">
        <v>3112</v>
      </c>
      <c r="E692" s="1" t="s">
        <v>3113</v>
      </c>
      <c r="F692" s="1" t="s">
        <v>471</v>
      </c>
      <c r="G692" s="1" t="s">
        <v>472</v>
      </c>
    </row>
    <row r="693" spans="1:7">
      <c r="A693" s="1">
        <v>692</v>
      </c>
      <c r="B693" s="1" t="s">
        <v>3114</v>
      </c>
      <c r="D693" s="1" t="s">
        <v>3112</v>
      </c>
      <c r="E693" s="1" t="s">
        <v>3115</v>
      </c>
      <c r="F693" s="1" t="s">
        <v>3116</v>
      </c>
      <c r="G693" s="1" t="s">
        <v>3117</v>
      </c>
    </row>
    <row r="694" spans="1:7">
      <c r="A694" s="1">
        <v>693</v>
      </c>
      <c r="B694" s="1" t="s">
        <v>3118</v>
      </c>
      <c r="D694" s="1" t="s">
        <v>3119</v>
      </c>
      <c r="E694" s="1" t="s">
        <v>3120</v>
      </c>
      <c r="F694" s="1" t="s">
        <v>471</v>
      </c>
      <c r="G694" s="1" t="s">
        <v>472</v>
      </c>
    </row>
    <row r="695" spans="1:7">
      <c r="A695" s="1">
        <v>694</v>
      </c>
      <c r="B695" s="1" t="s">
        <v>3121</v>
      </c>
      <c r="D695" s="1" t="s">
        <v>3119</v>
      </c>
      <c r="E695" s="1" t="s">
        <v>3122</v>
      </c>
      <c r="F695" s="1" t="s">
        <v>466</v>
      </c>
      <c r="G695" s="1" t="s">
        <v>467</v>
      </c>
    </row>
    <row r="696" spans="1:7">
      <c r="A696" s="1">
        <v>695</v>
      </c>
      <c r="B696" s="1" t="s">
        <v>3123</v>
      </c>
      <c r="D696" s="1" t="s">
        <v>3124</v>
      </c>
      <c r="E696" s="1" t="s">
        <v>3125</v>
      </c>
      <c r="F696" s="1" t="s">
        <v>303</v>
      </c>
      <c r="G696" s="1" t="s">
        <v>304</v>
      </c>
    </row>
    <row r="697" spans="1:7">
      <c r="A697" s="1">
        <v>696</v>
      </c>
      <c r="B697" s="1" t="s">
        <v>3126</v>
      </c>
      <c r="D697" s="1" t="s">
        <v>3124</v>
      </c>
      <c r="E697" s="1" t="s">
        <v>3127</v>
      </c>
      <c r="F697" s="1" t="s">
        <v>300</v>
      </c>
      <c r="G697" s="1" t="s">
        <v>301</v>
      </c>
    </row>
    <row r="698" spans="1:7">
      <c r="A698" s="1">
        <v>697</v>
      </c>
      <c r="B698" s="1" t="s">
        <v>3128</v>
      </c>
      <c r="D698" s="1" t="s">
        <v>3124</v>
      </c>
      <c r="E698" s="1" t="s">
        <v>3129</v>
      </c>
      <c r="F698" s="1" t="s">
        <v>306</v>
      </c>
      <c r="G698" s="1" t="s">
        <v>307</v>
      </c>
    </row>
    <row r="699" spans="1:7">
      <c r="A699" s="1">
        <v>698</v>
      </c>
      <c r="B699" s="1" t="s">
        <v>3130</v>
      </c>
      <c r="D699" s="1" t="s">
        <v>3131</v>
      </c>
      <c r="E699" s="1" t="s">
        <v>3132</v>
      </c>
      <c r="F699" s="1" t="s">
        <v>3133</v>
      </c>
      <c r="G699" s="1" t="s">
        <v>3134</v>
      </c>
    </row>
    <row r="700" spans="1:7">
      <c r="A700" s="1">
        <v>699</v>
      </c>
      <c r="B700" s="1" t="s">
        <v>3135</v>
      </c>
      <c r="D700" s="1" t="s">
        <v>3131</v>
      </c>
      <c r="E700" s="1" t="s">
        <v>3136</v>
      </c>
      <c r="F700" s="1" t="s">
        <v>3137</v>
      </c>
      <c r="G700" s="1" t="s">
        <v>3138</v>
      </c>
    </row>
    <row r="701" spans="1:7">
      <c r="A701" s="1">
        <v>700</v>
      </c>
      <c r="B701" s="1" t="s">
        <v>3139</v>
      </c>
      <c r="D701" s="1" t="s">
        <v>3131</v>
      </c>
      <c r="E701" s="1" t="s">
        <v>3140</v>
      </c>
      <c r="F701" s="1" t="s">
        <v>3141</v>
      </c>
      <c r="G701" s="1" t="s">
        <v>3142</v>
      </c>
    </row>
    <row r="702" spans="1:7">
      <c r="A702" s="1">
        <v>701</v>
      </c>
      <c r="B702" s="1" t="s">
        <v>3143</v>
      </c>
      <c r="D702" s="1" t="s">
        <v>3131</v>
      </c>
      <c r="E702" s="1" t="s">
        <v>3144</v>
      </c>
      <c r="F702" s="1" t="s">
        <v>3145</v>
      </c>
      <c r="G702" s="1" t="s">
        <v>3146</v>
      </c>
    </row>
    <row r="703" spans="1:7">
      <c r="A703" s="1">
        <v>702</v>
      </c>
      <c r="B703" s="1" t="s">
        <v>3147</v>
      </c>
      <c r="D703" s="1" t="s">
        <v>3131</v>
      </c>
      <c r="E703" s="1" t="s">
        <v>3148</v>
      </c>
      <c r="F703" s="1" t="s">
        <v>3149</v>
      </c>
      <c r="G703" s="1" t="s">
        <v>3150</v>
      </c>
    </row>
    <row r="704" spans="1:7">
      <c r="A704" s="1">
        <v>703</v>
      </c>
      <c r="B704" s="1" t="s">
        <v>3151</v>
      </c>
      <c r="D704" s="1" t="s">
        <v>3131</v>
      </c>
      <c r="E704" s="1" t="s">
        <v>3152</v>
      </c>
      <c r="F704" s="1" t="s">
        <v>3153</v>
      </c>
      <c r="G704" s="1" t="s">
        <v>3154</v>
      </c>
    </row>
    <row r="705" spans="1:7">
      <c r="A705" s="1">
        <v>704</v>
      </c>
      <c r="B705" s="1" t="s">
        <v>3155</v>
      </c>
      <c r="D705" s="1" t="s">
        <v>3131</v>
      </c>
      <c r="E705" s="1" t="s">
        <v>3156</v>
      </c>
      <c r="F705" s="1" t="s">
        <v>3157</v>
      </c>
      <c r="G705" s="1" t="s">
        <v>3158</v>
      </c>
    </row>
    <row r="706" spans="1:7">
      <c r="A706" s="1">
        <v>705</v>
      </c>
      <c r="B706" s="1" t="s">
        <v>3159</v>
      </c>
      <c r="D706" s="1" t="s">
        <v>3160</v>
      </c>
      <c r="E706" s="1" t="s">
        <v>244</v>
      </c>
      <c r="F706" s="1" t="s">
        <v>3161</v>
      </c>
      <c r="G706" s="1" t="s">
        <v>3162</v>
      </c>
    </row>
    <row r="707" spans="1:7">
      <c r="A707" s="1">
        <v>706</v>
      </c>
      <c r="B707" s="1" t="s">
        <v>3163</v>
      </c>
      <c r="D707" s="1" t="s">
        <v>3160</v>
      </c>
      <c r="E707" s="1" t="s">
        <v>3164</v>
      </c>
      <c r="F707" s="1" t="s">
        <v>3165</v>
      </c>
      <c r="G707" s="1" t="s">
        <v>3166</v>
      </c>
    </row>
    <row r="708" spans="1:7">
      <c r="A708" s="1">
        <v>707</v>
      </c>
      <c r="B708" s="1" t="s">
        <v>3167</v>
      </c>
      <c r="D708" s="1" t="s">
        <v>3160</v>
      </c>
      <c r="E708" s="1" t="s">
        <v>247</v>
      </c>
      <c r="F708" s="1" t="s">
        <v>3168</v>
      </c>
      <c r="G708" s="1" t="s">
        <v>3169</v>
      </c>
    </row>
    <row r="709" spans="1:7">
      <c r="A709" s="1">
        <v>708</v>
      </c>
      <c r="B709" s="1" t="s">
        <v>3170</v>
      </c>
      <c r="D709" s="1" t="s">
        <v>3160</v>
      </c>
      <c r="E709" s="1" t="s">
        <v>252</v>
      </c>
      <c r="F709" s="1" t="s">
        <v>3149</v>
      </c>
      <c r="G709" s="1" t="s">
        <v>3150</v>
      </c>
    </row>
    <row r="710" spans="1:7">
      <c r="A710" s="1">
        <v>709</v>
      </c>
      <c r="B710" s="1" t="s">
        <v>3171</v>
      </c>
      <c r="D710" s="1" t="s">
        <v>3160</v>
      </c>
      <c r="E710" s="1" t="s">
        <v>253</v>
      </c>
      <c r="F710" s="1" t="s">
        <v>3153</v>
      </c>
      <c r="G710" s="1" t="s">
        <v>3154</v>
      </c>
    </row>
    <row r="711" spans="1:7">
      <c r="A711" s="1">
        <v>710</v>
      </c>
      <c r="B711" s="1" t="s">
        <v>3172</v>
      </c>
      <c r="D711" s="1" t="s">
        <v>3160</v>
      </c>
      <c r="E711" s="1" t="s">
        <v>3173</v>
      </c>
      <c r="F711" s="1" t="s">
        <v>3157</v>
      </c>
      <c r="G711" s="1" t="s">
        <v>3158</v>
      </c>
    </row>
    <row r="712" spans="1:7">
      <c r="A712" s="1">
        <v>711</v>
      </c>
      <c r="B712" s="1" t="s">
        <v>3174</v>
      </c>
      <c r="D712" s="1" t="s">
        <v>3160</v>
      </c>
      <c r="E712" s="1" t="s">
        <v>3175</v>
      </c>
      <c r="F712" s="1" t="s">
        <v>3176</v>
      </c>
      <c r="G712" s="1" t="s">
        <v>3177</v>
      </c>
    </row>
    <row r="713" spans="1:7">
      <c r="A713" s="1">
        <v>712</v>
      </c>
      <c r="B713" s="1" t="s">
        <v>3178</v>
      </c>
      <c r="D713" s="1" t="s">
        <v>3160</v>
      </c>
      <c r="E713" s="1" t="s">
        <v>1332</v>
      </c>
      <c r="F713" s="1" t="s">
        <v>3179</v>
      </c>
      <c r="G713" s="1" t="s">
        <v>3180</v>
      </c>
    </row>
    <row r="714" spans="1:7">
      <c r="A714" s="1">
        <v>713</v>
      </c>
      <c r="B714" s="1" t="s">
        <v>3181</v>
      </c>
      <c r="D714" s="1" t="s">
        <v>3182</v>
      </c>
      <c r="E714" s="1" t="s">
        <v>3183</v>
      </c>
      <c r="F714" s="1" t="s">
        <v>3133</v>
      </c>
      <c r="G714" s="1" t="s">
        <v>3134</v>
      </c>
    </row>
    <row r="715" spans="1:7">
      <c r="A715" s="1">
        <v>714</v>
      </c>
      <c r="B715" s="1" t="s">
        <v>3184</v>
      </c>
      <c r="D715" s="1" t="s">
        <v>3182</v>
      </c>
      <c r="E715" s="1" t="s">
        <v>668</v>
      </c>
      <c r="F715" s="1" t="s">
        <v>3137</v>
      </c>
      <c r="G715" s="1" t="s">
        <v>3138</v>
      </c>
    </row>
    <row r="716" spans="1:7">
      <c r="A716" s="1">
        <v>715</v>
      </c>
      <c r="B716" s="1" t="s">
        <v>3185</v>
      </c>
      <c r="D716" s="1" t="s">
        <v>3182</v>
      </c>
      <c r="E716" s="1" t="s">
        <v>1256</v>
      </c>
      <c r="F716" s="1" t="s">
        <v>3141</v>
      </c>
      <c r="G716" s="1" t="s">
        <v>3142</v>
      </c>
    </row>
    <row r="717" spans="1:7">
      <c r="A717" s="1">
        <v>716</v>
      </c>
      <c r="B717" s="1" t="s">
        <v>3186</v>
      </c>
      <c r="D717" s="1" t="s">
        <v>3182</v>
      </c>
      <c r="E717" s="1" t="s">
        <v>3187</v>
      </c>
      <c r="F717" s="1" t="s">
        <v>3145</v>
      </c>
      <c r="G717" s="1" t="s">
        <v>3146</v>
      </c>
    </row>
    <row r="718" spans="1:7">
      <c r="A718" s="1">
        <v>717</v>
      </c>
      <c r="B718" s="1" t="s">
        <v>3188</v>
      </c>
      <c r="D718" s="1" t="s">
        <v>3182</v>
      </c>
      <c r="E718" s="1" t="s">
        <v>3189</v>
      </c>
      <c r="F718" s="1" t="s">
        <v>3149</v>
      </c>
      <c r="G718" s="1" t="s">
        <v>3150</v>
      </c>
    </row>
    <row r="719" spans="1:7">
      <c r="A719" s="1">
        <v>718</v>
      </c>
      <c r="B719" s="1" t="s">
        <v>3190</v>
      </c>
      <c r="D719" s="1" t="s">
        <v>3182</v>
      </c>
      <c r="E719" s="1" t="s">
        <v>3191</v>
      </c>
      <c r="F719" s="1" t="s">
        <v>3153</v>
      </c>
      <c r="G719" s="1" t="s">
        <v>3154</v>
      </c>
    </row>
    <row r="720" spans="1:7">
      <c r="A720" s="1">
        <v>719</v>
      </c>
      <c r="B720" s="1" t="s">
        <v>3192</v>
      </c>
      <c r="D720" s="1" t="s">
        <v>3182</v>
      </c>
      <c r="E720" s="1" t="s">
        <v>3193</v>
      </c>
      <c r="F720" s="1" t="s">
        <v>3157</v>
      </c>
      <c r="G720" s="1" t="s">
        <v>3158</v>
      </c>
    </row>
    <row r="721" spans="1:7">
      <c r="A721" s="1">
        <v>720</v>
      </c>
      <c r="B721" s="1" t="s">
        <v>3194</v>
      </c>
      <c r="D721" s="1" t="s">
        <v>3195</v>
      </c>
      <c r="E721" s="1" t="s">
        <v>3196</v>
      </c>
      <c r="F721" s="1" t="s">
        <v>3197</v>
      </c>
      <c r="G721" s="1" t="s">
        <v>3198</v>
      </c>
    </row>
    <row r="722" spans="1:7">
      <c r="A722" s="1">
        <v>721</v>
      </c>
      <c r="B722" s="1" t="s">
        <v>3199</v>
      </c>
      <c r="D722" s="1" t="s">
        <v>3195</v>
      </c>
      <c r="E722" s="1" t="s">
        <v>3200</v>
      </c>
      <c r="F722" s="1" t="s">
        <v>3201</v>
      </c>
      <c r="G722" s="1" t="s">
        <v>3202</v>
      </c>
    </row>
    <row r="723" spans="1:7">
      <c r="A723" s="1">
        <v>722</v>
      </c>
      <c r="B723" s="1" t="s">
        <v>3203</v>
      </c>
      <c r="D723" s="1" t="s">
        <v>3195</v>
      </c>
      <c r="E723" s="1" t="s">
        <v>3204</v>
      </c>
      <c r="F723" s="1" t="s">
        <v>3205</v>
      </c>
      <c r="G723" s="1" t="s">
        <v>3206</v>
      </c>
    </row>
    <row r="724" spans="1:7">
      <c r="A724" s="1">
        <v>723</v>
      </c>
      <c r="B724" s="1" t="s">
        <v>3207</v>
      </c>
      <c r="D724" s="1" t="s">
        <v>3195</v>
      </c>
      <c r="E724" s="1" t="s">
        <v>3208</v>
      </c>
      <c r="F724" s="1" t="s">
        <v>3209</v>
      </c>
      <c r="G724" s="1" t="s">
        <v>3210</v>
      </c>
    </row>
    <row r="725" spans="1:7">
      <c r="A725" s="1">
        <v>724</v>
      </c>
      <c r="B725" s="1" t="s">
        <v>3211</v>
      </c>
      <c r="D725" s="1" t="s">
        <v>3195</v>
      </c>
      <c r="E725" s="1" t="s">
        <v>3212</v>
      </c>
      <c r="F725" s="1" t="s">
        <v>3213</v>
      </c>
      <c r="G725" s="1" t="s">
        <v>3214</v>
      </c>
    </row>
    <row r="726" spans="1:7">
      <c r="A726" s="1">
        <v>725</v>
      </c>
      <c r="B726" s="1" t="s">
        <v>3215</v>
      </c>
      <c r="D726" s="1" t="s">
        <v>3195</v>
      </c>
      <c r="E726" s="1" t="s">
        <v>3216</v>
      </c>
      <c r="F726" s="1" t="s">
        <v>3217</v>
      </c>
      <c r="G726" s="1" t="s">
        <v>3218</v>
      </c>
    </row>
    <row r="727" spans="1:7">
      <c r="A727" s="1">
        <v>726</v>
      </c>
      <c r="B727" s="1" t="s">
        <v>3219</v>
      </c>
      <c r="D727" s="1" t="s">
        <v>3195</v>
      </c>
      <c r="E727" s="1" t="s">
        <v>3220</v>
      </c>
      <c r="F727" s="1" t="s">
        <v>3221</v>
      </c>
      <c r="G727" s="1" t="s">
        <v>3222</v>
      </c>
    </row>
    <row r="728" spans="1:7">
      <c r="A728" s="1">
        <v>727</v>
      </c>
      <c r="B728" s="1" t="s">
        <v>3223</v>
      </c>
      <c r="D728" s="1" t="s">
        <v>3195</v>
      </c>
      <c r="E728" s="1" t="s">
        <v>3224</v>
      </c>
      <c r="F728" s="1" t="s">
        <v>3225</v>
      </c>
      <c r="G728" s="1" t="s">
        <v>3226</v>
      </c>
    </row>
    <row r="729" spans="1:7">
      <c r="A729" s="1">
        <v>728</v>
      </c>
      <c r="B729" s="1" t="s">
        <v>3227</v>
      </c>
      <c r="D729" s="1" t="s">
        <v>3195</v>
      </c>
      <c r="E729" s="1" t="s">
        <v>3228</v>
      </c>
      <c r="F729" s="1" t="s">
        <v>3229</v>
      </c>
      <c r="G729" s="1" t="s">
        <v>3230</v>
      </c>
    </row>
    <row r="730" spans="1:7">
      <c r="A730" s="1">
        <v>729</v>
      </c>
      <c r="B730" s="1" t="s">
        <v>3231</v>
      </c>
      <c r="D730" s="1" t="s">
        <v>3195</v>
      </c>
      <c r="E730" s="1" t="s">
        <v>3232</v>
      </c>
      <c r="F730" s="1" t="s">
        <v>3233</v>
      </c>
      <c r="G730" s="1" t="s">
        <v>3234</v>
      </c>
    </row>
    <row r="731" spans="1:7">
      <c r="A731" s="1">
        <v>730</v>
      </c>
      <c r="B731" s="1" t="s">
        <v>3235</v>
      </c>
      <c r="D731" s="1" t="s">
        <v>3195</v>
      </c>
      <c r="E731" s="1" t="s">
        <v>3236</v>
      </c>
      <c r="F731" s="1" t="s">
        <v>3237</v>
      </c>
      <c r="G731" s="1" t="s">
        <v>3238</v>
      </c>
    </row>
    <row r="732" spans="1:7">
      <c r="A732" s="1">
        <v>731</v>
      </c>
      <c r="B732" s="1" t="s">
        <v>3239</v>
      </c>
      <c r="D732" s="1" t="s">
        <v>3195</v>
      </c>
      <c r="E732" s="1" t="s">
        <v>3240</v>
      </c>
      <c r="F732" s="1" t="s">
        <v>3241</v>
      </c>
      <c r="G732" s="1" t="s">
        <v>3242</v>
      </c>
    </row>
    <row r="733" spans="1:7">
      <c r="A733" s="1">
        <v>732</v>
      </c>
      <c r="B733" s="1" t="s">
        <v>3243</v>
      </c>
      <c r="D733" s="1" t="s">
        <v>3195</v>
      </c>
      <c r="E733" s="1" t="s">
        <v>3244</v>
      </c>
      <c r="F733" s="1" t="s">
        <v>3245</v>
      </c>
      <c r="G733" s="1" t="s">
        <v>3246</v>
      </c>
    </row>
    <row r="734" spans="1:7">
      <c r="A734" s="1">
        <v>733</v>
      </c>
      <c r="B734" s="1" t="s">
        <v>3247</v>
      </c>
      <c r="D734" s="1" t="s">
        <v>3195</v>
      </c>
      <c r="E734" s="1" t="s">
        <v>3248</v>
      </c>
      <c r="F734" s="1" t="s">
        <v>3249</v>
      </c>
      <c r="G734" s="1" t="s">
        <v>3250</v>
      </c>
    </row>
    <row r="735" spans="1:7">
      <c r="A735" s="1">
        <v>734</v>
      </c>
      <c r="B735" s="1" t="s">
        <v>3251</v>
      </c>
      <c r="D735" s="1" t="s">
        <v>3252</v>
      </c>
      <c r="E735" s="1" t="s">
        <v>3253</v>
      </c>
      <c r="F735" s="1" t="s">
        <v>21</v>
      </c>
      <c r="G735" s="1" t="s">
        <v>22</v>
      </c>
    </row>
    <row r="736" spans="1:7">
      <c r="A736" s="1">
        <v>735</v>
      </c>
      <c r="B736" s="1" t="s">
        <v>3254</v>
      </c>
      <c r="D736" s="1" t="s">
        <v>3255</v>
      </c>
      <c r="E736" s="1" t="s">
        <v>3256</v>
      </c>
      <c r="F736" s="1" t="s">
        <v>51</v>
      </c>
      <c r="G736" s="1" t="s">
        <v>52</v>
      </c>
    </row>
    <row r="737" spans="1:7">
      <c r="A737" s="1">
        <v>736</v>
      </c>
      <c r="B737" s="1" t="s">
        <v>3257</v>
      </c>
      <c r="D737" s="1" t="s">
        <v>3255</v>
      </c>
      <c r="E737" s="1" t="s">
        <v>3258</v>
      </c>
      <c r="F737" s="1" t="s">
        <v>47</v>
      </c>
      <c r="G737" s="1" t="s">
        <v>48</v>
      </c>
    </row>
    <row r="738" spans="1:7">
      <c r="A738" s="1">
        <v>737</v>
      </c>
      <c r="B738" s="1" t="s">
        <v>3259</v>
      </c>
      <c r="D738" s="1" t="s">
        <v>3260</v>
      </c>
      <c r="E738" s="1" t="s">
        <v>3261</v>
      </c>
      <c r="F738" s="1" t="s">
        <v>51</v>
      </c>
      <c r="G738" s="1" t="s">
        <v>52</v>
      </c>
    </row>
    <row r="739" spans="1:7">
      <c r="A739" s="1">
        <v>738</v>
      </c>
      <c r="B739" s="1" t="s">
        <v>3262</v>
      </c>
      <c r="D739" s="1" t="s">
        <v>3260</v>
      </c>
      <c r="E739" s="1" t="s">
        <v>3263</v>
      </c>
      <c r="F739" s="1" t="s">
        <v>47</v>
      </c>
      <c r="G739" s="1" t="s">
        <v>48</v>
      </c>
    </row>
    <row r="740" spans="1:7">
      <c r="A740" s="1">
        <v>739</v>
      </c>
      <c r="B740" s="1" t="s">
        <v>3264</v>
      </c>
      <c r="D740" s="1" t="s">
        <v>3265</v>
      </c>
      <c r="E740" s="1" t="s">
        <v>530</v>
      </c>
      <c r="F740" s="1" t="s">
        <v>531</v>
      </c>
      <c r="G740" s="1" t="s">
        <v>532</v>
      </c>
    </row>
    <row r="741" spans="1:7">
      <c r="A741" s="1">
        <v>740</v>
      </c>
      <c r="B741" s="1" t="s">
        <v>3266</v>
      </c>
      <c r="D741" s="1" t="s">
        <v>3265</v>
      </c>
      <c r="E741" s="1" t="s">
        <v>533</v>
      </c>
      <c r="F741" s="1" t="s">
        <v>534</v>
      </c>
      <c r="G741" s="1" t="s">
        <v>535</v>
      </c>
    </row>
    <row r="742" spans="1:7">
      <c r="A742" s="1">
        <v>741</v>
      </c>
      <c r="B742" s="1" t="s">
        <v>3267</v>
      </c>
      <c r="D742" s="1" t="s">
        <v>3265</v>
      </c>
      <c r="E742" s="1" t="s">
        <v>536</v>
      </c>
      <c r="F742" s="1" t="s">
        <v>537</v>
      </c>
      <c r="G742" s="1" t="s">
        <v>538</v>
      </c>
    </row>
    <row r="743" spans="1:7">
      <c r="A743" s="1">
        <v>742</v>
      </c>
      <c r="B743" s="1" t="s">
        <v>3268</v>
      </c>
      <c r="D743" s="1" t="s">
        <v>3265</v>
      </c>
      <c r="E743" s="1" t="s">
        <v>527</v>
      </c>
      <c r="F743" s="1" t="s">
        <v>528</v>
      </c>
      <c r="G743" s="1" t="s">
        <v>529</v>
      </c>
    </row>
    <row r="744" spans="1:7">
      <c r="A744" s="1">
        <v>743</v>
      </c>
      <c r="B744" s="1" t="s">
        <v>3269</v>
      </c>
      <c r="D744" s="1" t="s">
        <v>3270</v>
      </c>
      <c r="E744" s="1" t="s">
        <v>1273</v>
      </c>
      <c r="F744" s="1" t="s">
        <v>688</v>
      </c>
      <c r="G744" s="1" t="s">
        <v>689</v>
      </c>
    </row>
    <row r="745" spans="1:7">
      <c r="A745" s="1">
        <v>744</v>
      </c>
      <c r="B745" s="1" t="s">
        <v>3271</v>
      </c>
      <c r="D745" s="1" t="s">
        <v>3270</v>
      </c>
      <c r="E745" s="1" t="s">
        <v>1274</v>
      </c>
      <c r="F745" s="1" t="s">
        <v>630</v>
      </c>
      <c r="G745" s="1" t="s">
        <v>631</v>
      </c>
    </row>
    <row r="746" spans="1:7">
      <c r="A746" s="1">
        <v>745</v>
      </c>
      <c r="B746" s="1" t="s">
        <v>3272</v>
      </c>
      <c r="D746" s="1" t="s">
        <v>3273</v>
      </c>
      <c r="E746" s="1" t="s">
        <v>892</v>
      </c>
      <c r="F746" s="1" t="s">
        <v>893</v>
      </c>
      <c r="G746" s="1" t="s">
        <v>894</v>
      </c>
    </row>
    <row r="747" spans="1:7">
      <c r="A747" s="1">
        <v>746</v>
      </c>
      <c r="B747" s="1" t="s">
        <v>3274</v>
      </c>
      <c r="D747" s="1" t="s">
        <v>3273</v>
      </c>
      <c r="E747" s="1" t="s">
        <v>895</v>
      </c>
      <c r="F747" s="1" t="s">
        <v>779</v>
      </c>
      <c r="G747" s="1" t="s">
        <v>780</v>
      </c>
    </row>
    <row r="748" spans="1:7">
      <c r="A748" s="1">
        <v>747</v>
      </c>
      <c r="B748" s="1" t="s">
        <v>3275</v>
      </c>
      <c r="D748" s="1" t="s">
        <v>3273</v>
      </c>
      <c r="E748" s="1" t="s">
        <v>3276</v>
      </c>
      <c r="F748" s="1" t="s">
        <v>21</v>
      </c>
      <c r="G748" s="1" t="s">
        <v>22</v>
      </c>
    </row>
    <row r="749" spans="1:7">
      <c r="A749" s="1">
        <v>748</v>
      </c>
      <c r="B749" s="1" t="s">
        <v>3277</v>
      </c>
      <c r="D749" s="1" t="s">
        <v>3278</v>
      </c>
      <c r="E749" s="1" t="s">
        <v>3279</v>
      </c>
      <c r="F749" s="1" t="s">
        <v>3280</v>
      </c>
      <c r="G749" s="1" t="s">
        <v>3281</v>
      </c>
    </row>
    <row r="750" spans="1:7">
      <c r="A750" s="1">
        <v>749</v>
      </c>
      <c r="B750" s="1" t="s">
        <v>3282</v>
      </c>
      <c r="D750" s="1" t="s">
        <v>3278</v>
      </c>
      <c r="E750" s="1" t="s">
        <v>3283</v>
      </c>
      <c r="F750" s="1" t="s">
        <v>3284</v>
      </c>
      <c r="G750" s="1" t="s">
        <v>3285</v>
      </c>
    </row>
    <row r="751" spans="1:7">
      <c r="A751" s="1">
        <v>750</v>
      </c>
      <c r="B751" s="1" t="s">
        <v>3286</v>
      </c>
      <c r="D751" s="1" t="s">
        <v>3287</v>
      </c>
      <c r="E751" s="1" t="s">
        <v>3288</v>
      </c>
      <c r="F751" s="1" t="s">
        <v>3289</v>
      </c>
      <c r="G751" s="1" t="s">
        <v>3290</v>
      </c>
    </row>
    <row r="752" spans="1:7">
      <c r="A752" s="1">
        <v>751</v>
      </c>
      <c r="B752" s="1" t="s">
        <v>3291</v>
      </c>
      <c r="D752" s="1" t="s">
        <v>3292</v>
      </c>
      <c r="E752" s="1" t="s">
        <v>3293</v>
      </c>
      <c r="F752" s="1" t="s">
        <v>3294</v>
      </c>
      <c r="G752" s="1" t="s">
        <v>3295</v>
      </c>
    </row>
    <row r="753" spans="1:7">
      <c r="A753" s="1">
        <v>752</v>
      </c>
      <c r="B753" s="1" t="s">
        <v>3296</v>
      </c>
      <c r="D753" s="1" t="s">
        <v>3292</v>
      </c>
      <c r="E753" s="1" t="s">
        <v>3297</v>
      </c>
      <c r="F753" s="1" t="s">
        <v>3298</v>
      </c>
      <c r="G753" s="1" t="s">
        <v>3299</v>
      </c>
    </row>
    <row r="754" spans="1:7">
      <c r="A754" s="1">
        <v>753</v>
      </c>
      <c r="B754" s="1" t="s">
        <v>3300</v>
      </c>
      <c r="D754" s="1" t="s">
        <v>3292</v>
      </c>
      <c r="E754" s="1" t="s">
        <v>3301</v>
      </c>
      <c r="F754" s="1" t="s">
        <v>3302</v>
      </c>
      <c r="G754" s="1" t="s">
        <v>3303</v>
      </c>
    </row>
    <row r="755" spans="1:7">
      <c r="A755" s="1">
        <v>754</v>
      </c>
      <c r="B755" s="1" t="s">
        <v>3304</v>
      </c>
      <c r="D755" s="1" t="s">
        <v>3292</v>
      </c>
      <c r="E755" s="1" t="s">
        <v>3305</v>
      </c>
      <c r="F755" s="1" t="s">
        <v>3306</v>
      </c>
      <c r="G755" s="1" t="s">
        <v>3307</v>
      </c>
    </row>
    <row r="756" spans="1:7">
      <c r="A756" s="1">
        <v>755</v>
      </c>
      <c r="B756" s="1" t="s">
        <v>3308</v>
      </c>
      <c r="D756" s="1" t="s">
        <v>3292</v>
      </c>
      <c r="E756" s="1" t="s">
        <v>3309</v>
      </c>
      <c r="F756" s="1" t="s">
        <v>3310</v>
      </c>
      <c r="G756" s="1" t="s">
        <v>3311</v>
      </c>
    </row>
    <row r="757" spans="1:7">
      <c r="A757" s="1">
        <v>756</v>
      </c>
      <c r="B757" s="1" t="s">
        <v>3312</v>
      </c>
      <c r="D757" s="1" t="s">
        <v>3292</v>
      </c>
      <c r="E757" s="1" t="s">
        <v>3313</v>
      </c>
      <c r="F757" s="1" t="s">
        <v>3314</v>
      </c>
      <c r="G757" s="1" t="s">
        <v>3315</v>
      </c>
    </row>
    <row r="758" spans="1:7">
      <c r="A758" s="1">
        <v>757</v>
      </c>
      <c r="B758" s="1" t="s">
        <v>3316</v>
      </c>
      <c r="D758" s="1" t="s">
        <v>3292</v>
      </c>
      <c r="E758" s="1" t="s">
        <v>3317</v>
      </c>
      <c r="F758" s="1" t="s">
        <v>3318</v>
      </c>
      <c r="G758" s="1" t="s">
        <v>3319</v>
      </c>
    </row>
    <row r="759" spans="1:7">
      <c r="A759" s="1">
        <v>758</v>
      </c>
      <c r="B759" s="1" t="s">
        <v>3320</v>
      </c>
      <c r="D759" s="1" t="s">
        <v>3292</v>
      </c>
      <c r="E759" s="1" t="s">
        <v>3321</v>
      </c>
      <c r="F759" s="1" t="s">
        <v>3322</v>
      </c>
      <c r="G759" s="1" t="s">
        <v>3323</v>
      </c>
    </row>
    <row r="760" spans="1:7">
      <c r="A760" s="1">
        <v>759</v>
      </c>
      <c r="B760" s="1" t="s">
        <v>3324</v>
      </c>
      <c r="D760" s="1" t="s">
        <v>3292</v>
      </c>
      <c r="E760" s="1" t="s">
        <v>3325</v>
      </c>
      <c r="F760" s="1" t="s">
        <v>3326</v>
      </c>
      <c r="G760" s="1" t="s">
        <v>3327</v>
      </c>
    </row>
    <row r="761" spans="1:7">
      <c r="A761" s="1">
        <v>760</v>
      </c>
      <c r="B761" s="1" t="s">
        <v>3328</v>
      </c>
      <c r="D761" s="1" t="s">
        <v>3329</v>
      </c>
      <c r="E761" s="1" t="s">
        <v>3330</v>
      </c>
      <c r="F761" s="1" t="s">
        <v>21</v>
      </c>
      <c r="G761" s="1" t="s">
        <v>22</v>
      </c>
    </row>
    <row r="762" spans="1:7">
      <c r="A762" s="1">
        <v>761</v>
      </c>
      <c r="B762" s="1" t="s">
        <v>3331</v>
      </c>
      <c r="D762" s="1" t="s">
        <v>3332</v>
      </c>
      <c r="E762" s="1" t="s">
        <v>3333</v>
      </c>
      <c r="F762" s="1" t="s">
        <v>3334</v>
      </c>
      <c r="G762" s="1" t="s">
        <v>3335</v>
      </c>
    </row>
    <row r="763" spans="1:7">
      <c r="A763" s="1">
        <v>762</v>
      </c>
      <c r="B763" s="1" t="s">
        <v>3336</v>
      </c>
      <c r="D763" s="1" t="s">
        <v>3332</v>
      </c>
      <c r="E763" s="1" t="s">
        <v>3337</v>
      </c>
      <c r="F763" s="1" t="s">
        <v>3338</v>
      </c>
      <c r="G763" s="1" t="s">
        <v>3339</v>
      </c>
    </row>
    <row r="764" spans="1:7">
      <c r="A764" s="1">
        <v>763</v>
      </c>
      <c r="B764" s="1" t="s">
        <v>3340</v>
      </c>
      <c r="D764" s="1" t="s">
        <v>3332</v>
      </c>
      <c r="E764" s="1" t="s">
        <v>3341</v>
      </c>
      <c r="F764" s="1" t="s">
        <v>3342</v>
      </c>
      <c r="G764" s="1" t="s">
        <v>3343</v>
      </c>
    </row>
    <row r="765" spans="1:7">
      <c r="A765" s="1">
        <v>764</v>
      </c>
      <c r="B765" s="1" t="s">
        <v>3344</v>
      </c>
      <c r="D765" s="1" t="s">
        <v>3332</v>
      </c>
      <c r="E765" s="1" t="s">
        <v>3345</v>
      </c>
      <c r="F765" s="1" t="s">
        <v>3346</v>
      </c>
      <c r="G765" s="1" t="s">
        <v>3347</v>
      </c>
    </row>
    <row r="766" spans="1:7">
      <c r="A766" s="1">
        <v>765</v>
      </c>
      <c r="B766" s="1" t="s">
        <v>3348</v>
      </c>
      <c r="D766" s="1" t="s">
        <v>3332</v>
      </c>
      <c r="E766" s="1" t="s">
        <v>3349</v>
      </c>
      <c r="F766" s="1" t="s">
        <v>3350</v>
      </c>
      <c r="G766" s="1" t="s">
        <v>3351</v>
      </c>
    </row>
    <row r="767" spans="1:7">
      <c r="A767" s="1">
        <v>766</v>
      </c>
      <c r="B767" s="1" t="s">
        <v>3352</v>
      </c>
      <c r="D767" s="1" t="s">
        <v>3353</v>
      </c>
      <c r="E767" s="1" t="s">
        <v>3354</v>
      </c>
      <c r="F767" s="1" t="s">
        <v>73</v>
      </c>
      <c r="G767" s="1" t="s">
        <v>74</v>
      </c>
    </row>
    <row r="768" spans="1:7">
      <c r="A768" s="1">
        <v>767</v>
      </c>
      <c r="B768" s="1" t="s">
        <v>3355</v>
      </c>
      <c r="D768" s="1" t="s">
        <v>3353</v>
      </c>
      <c r="E768" s="1" t="s">
        <v>3356</v>
      </c>
      <c r="F768" s="1" t="s">
        <v>69</v>
      </c>
      <c r="G768" s="1" t="s">
        <v>70</v>
      </c>
    </row>
    <row r="769" spans="1:7">
      <c r="A769" s="1">
        <v>768</v>
      </c>
      <c r="B769" s="1" t="s">
        <v>3357</v>
      </c>
      <c r="D769" s="1" t="s">
        <v>3353</v>
      </c>
      <c r="E769" s="1" t="s">
        <v>3358</v>
      </c>
      <c r="F769" s="1" t="s">
        <v>61</v>
      </c>
      <c r="G769" s="1" t="s">
        <v>62</v>
      </c>
    </row>
    <row r="770" spans="1:7">
      <c r="A770" s="1">
        <v>769</v>
      </c>
      <c r="B770" s="1" t="s">
        <v>3359</v>
      </c>
      <c r="D770" s="1" t="s">
        <v>3353</v>
      </c>
      <c r="E770" s="1" t="s">
        <v>3360</v>
      </c>
      <c r="F770" s="1" t="s">
        <v>65</v>
      </c>
      <c r="G770" s="1" t="s">
        <v>66</v>
      </c>
    </row>
    <row r="771" spans="1:7">
      <c r="A771" s="1">
        <v>770</v>
      </c>
      <c r="B771" s="1" t="s">
        <v>3361</v>
      </c>
      <c r="D771" s="1" t="s">
        <v>3362</v>
      </c>
      <c r="E771" s="1" t="s">
        <v>3363</v>
      </c>
      <c r="F771" s="1" t="s">
        <v>21</v>
      </c>
      <c r="G771" s="1" t="s">
        <v>22</v>
      </c>
    </row>
    <row r="772" spans="1:7">
      <c r="A772" s="1">
        <v>771</v>
      </c>
      <c r="B772" s="1" t="s">
        <v>3364</v>
      </c>
      <c r="D772" s="1" t="s">
        <v>3362</v>
      </c>
      <c r="E772" s="1" t="s">
        <v>3365</v>
      </c>
      <c r="F772" s="1" t="s">
        <v>630</v>
      </c>
      <c r="G772" s="1" t="s">
        <v>631</v>
      </c>
    </row>
    <row r="773" spans="1:7">
      <c r="A773" s="1">
        <v>772</v>
      </c>
      <c r="B773" s="1" t="s">
        <v>3366</v>
      </c>
      <c r="D773" s="1" t="s">
        <v>3362</v>
      </c>
      <c r="E773" s="1" t="s">
        <v>3367</v>
      </c>
      <c r="F773" s="1" t="s">
        <v>627</v>
      </c>
      <c r="G773" s="1" t="s">
        <v>628</v>
      </c>
    </row>
    <row r="774" spans="1:7">
      <c r="A774" s="1">
        <v>773</v>
      </c>
      <c r="B774" s="1" t="s">
        <v>3368</v>
      </c>
      <c r="D774" s="1" t="s">
        <v>3369</v>
      </c>
      <c r="E774" s="1" t="s">
        <v>3370</v>
      </c>
      <c r="F774" s="1" t="s">
        <v>21</v>
      </c>
      <c r="G774" s="1" t="s">
        <v>22</v>
      </c>
    </row>
    <row r="775" spans="1:7">
      <c r="A775" s="1">
        <v>774</v>
      </c>
      <c r="B775" s="1" t="s">
        <v>3371</v>
      </c>
      <c r="D775" s="1" t="s">
        <v>3369</v>
      </c>
      <c r="E775" s="1" t="s">
        <v>3372</v>
      </c>
      <c r="F775" s="1" t="s">
        <v>710</v>
      </c>
      <c r="G775" s="1" t="s">
        <v>711</v>
      </c>
    </row>
    <row r="776" spans="1:7">
      <c r="A776" s="1">
        <v>775</v>
      </c>
      <c r="B776" s="1" t="s">
        <v>3373</v>
      </c>
      <c r="D776" s="1" t="s">
        <v>3369</v>
      </c>
      <c r="E776" s="1" t="s">
        <v>3374</v>
      </c>
      <c r="F776" s="1" t="s">
        <v>669</v>
      </c>
      <c r="G776" s="1" t="s">
        <v>670</v>
      </c>
    </row>
    <row r="777" spans="1:7">
      <c r="A777" s="1">
        <v>776</v>
      </c>
      <c r="B777" s="1" t="s">
        <v>3375</v>
      </c>
      <c r="D777" s="1" t="s">
        <v>3369</v>
      </c>
      <c r="E777" s="1" t="s">
        <v>3376</v>
      </c>
      <c r="F777" s="1" t="s">
        <v>660</v>
      </c>
      <c r="G777" s="1" t="s">
        <v>661</v>
      </c>
    </row>
    <row r="778" spans="1:7">
      <c r="A778" s="1">
        <v>777</v>
      </c>
      <c r="B778" s="1" t="s">
        <v>3377</v>
      </c>
      <c r="D778" s="1" t="s">
        <v>3369</v>
      </c>
      <c r="E778" s="1" t="s">
        <v>3378</v>
      </c>
      <c r="F778" s="1" t="s">
        <v>665</v>
      </c>
      <c r="G778" s="1" t="s">
        <v>666</v>
      </c>
    </row>
    <row r="779" spans="1:7">
      <c r="A779" s="1">
        <v>778</v>
      </c>
      <c r="B779" s="1" t="s">
        <v>3379</v>
      </c>
      <c r="D779" s="1" t="s">
        <v>3369</v>
      </c>
      <c r="E779" s="1" t="s">
        <v>3380</v>
      </c>
      <c r="F779" s="1" t="s">
        <v>3381</v>
      </c>
      <c r="G779" s="1" t="s">
        <v>3382</v>
      </c>
    </row>
    <row r="780" spans="1:7">
      <c r="A780" s="1">
        <v>779</v>
      </c>
      <c r="B780" s="1" t="s">
        <v>3383</v>
      </c>
      <c r="D780" s="1" t="s">
        <v>3384</v>
      </c>
      <c r="E780" s="1" t="s">
        <v>3385</v>
      </c>
      <c r="F780" s="1" t="s">
        <v>21</v>
      </c>
      <c r="G780" s="1" t="s">
        <v>22</v>
      </c>
    </row>
    <row r="781" spans="1:7">
      <c r="A781" s="1">
        <v>780</v>
      </c>
      <c r="B781" s="1" t="s">
        <v>3386</v>
      </c>
      <c r="D781" s="1" t="s">
        <v>3384</v>
      </c>
      <c r="E781" s="1" t="s">
        <v>3387</v>
      </c>
      <c r="F781" s="1" t="s">
        <v>710</v>
      </c>
      <c r="G781" s="1" t="s">
        <v>711</v>
      </c>
    </row>
    <row r="782" spans="1:7">
      <c r="A782" s="1">
        <v>781</v>
      </c>
      <c r="B782" s="1" t="s">
        <v>3388</v>
      </c>
      <c r="D782" s="1" t="s">
        <v>3384</v>
      </c>
      <c r="E782" s="1" t="s">
        <v>3389</v>
      </c>
      <c r="F782" s="1" t="s">
        <v>669</v>
      </c>
      <c r="G782" s="1" t="s">
        <v>670</v>
      </c>
    </row>
    <row r="783" spans="1:7">
      <c r="A783" s="1">
        <v>782</v>
      </c>
      <c r="B783" s="1" t="s">
        <v>3390</v>
      </c>
      <c r="D783" s="1" t="s">
        <v>3384</v>
      </c>
      <c r="E783" s="1" t="s">
        <v>3391</v>
      </c>
      <c r="F783" s="1" t="s">
        <v>660</v>
      </c>
      <c r="G783" s="1" t="s">
        <v>661</v>
      </c>
    </row>
    <row r="784" spans="1:7">
      <c r="A784" s="1">
        <v>783</v>
      </c>
      <c r="B784" s="1" t="s">
        <v>3392</v>
      </c>
      <c r="D784" s="1" t="s">
        <v>3384</v>
      </c>
      <c r="E784" s="1" t="s">
        <v>3393</v>
      </c>
      <c r="F784" s="1" t="s">
        <v>665</v>
      </c>
      <c r="G784" s="1" t="s">
        <v>666</v>
      </c>
    </row>
    <row r="785" spans="1:7">
      <c r="A785" s="1">
        <v>784</v>
      </c>
      <c r="B785" s="1" t="s">
        <v>3394</v>
      </c>
      <c r="D785" s="1" t="s">
        <v>3384</v>
      </c>
      <c r="E785" s="1" t="s">
        <v>3395</v>
      </c>
      <c r="F785" s="1" t="s">
        <v>3381</v>
      </c>
      <c r="G785" s="1" t="s">
        <v>3382</v>
      </c>
    </row>
    <row r="786" spans="1:7">
      <c r="A786" s="1">
        <v>785</v>
      </c>
      <c r="B786" s="1" t="s">
        <v>3396</v>
      </c>
      <c r="D786" s="1" t="s">
        <v>3397</v>
      </c>
      <c r="E786" s="1" t="s">
        <v>695</v>
      </c>
      <c r="F786" s="1" t="s">
        <v>3381</v>
      </c>
      <c r="G786" s="1" t="s">
        <v>3382</v>
      </c>
    </row>
    <row r="787" spans="1:7">
      <c r="A787" s="1">
        <v>786</v>
      </c>
      <c r="B787" s="1" t="s">
        <v>3398</v>
      </c>
      <c r="D787" s="1" t="s">
        <v>3399</v>
      </c>
      <c r="E787" s="1" t="s">
        <v>132</v>
      </c>
      <c r="F787" s="1" t="s">
        <v>3381</v>
      </c>
      <c r="G787" s="1" t="s">
        <v>3382</v>
      </c>
    </row>
    <row r="788" spans="1:7">
      <c r="A788" s="1">
        <v>787</v>
      </c>
      <c r="B788" s="1" t="s">
        <v>3400</v>
      </c>
      <c r="D788" s="1" t="s">
        <v>3401</v>
      </c>
      <c r="E788" s="1" t="s">
        <v>3402</v>
      </c>
      <c r="F788" s="1" t="s">
        <v>21</v>
      </c>
      <c r="G788" s="1" t="s">
        <v>22</v>
      </c>
    </row>
    <row r="789" spans="1:7">
      <c r="A789" s="1">
        <v>788</v>
      </c>
      <c r="B789" s="1" t="s">
        <v>3403</v>
      </c>
      <c r="D789" s="1" t="s">
        <v>3404</v>
      </c>
      <c r="E789" s="1" t="s">
        <v>239</v>
      </c>
      <c r="F789" s="1" t="s">
        <v>21</v>
      </c>
      <c r="G789" s="1" t="s">
        <v>22</v>
      </c>
    </row>
    <row r="790" spans="1:7">
      <c r="A790" s="1">
        <v>789</v>
      </c>
      <c r="B790" s="1" t="s">
        <v>3405</v>
      </c>
      <c r="D790" s="1" t="s">
        <v>3406</v>
      </c>
      <c r="E790" s="1" t="s">
        <v>3407</v>
      </c>
      <c r="F790" s="1" t="s">
        <v>669</v>
      </c>
      <c r="G790" s="1" t="s">
        <v>670</v>
      </c>
    </row>
    <row r="791" spans="1:7">
      <c r="A791" s="1">
        <v>790</v>
      </c>
      <c r="B791" s="1" t="s">
        <v>3408</v>
      </c>
      <c r="D791" s="1" t="s">
        <v>3406</v>
      </c>
      <c r="E791" s="1" t="s">
        <v>3409</v>
      </c>
      <c r="F791" s="1" t="s">
        <v>710</v>
      </c>
      <c r="G791" s="1" t="s">
        <v>711</v>
      </c>
    </row>
    <row r="792" spans="1:7">
      <c r="A792" s="1">
        <v>791</v>
      </c>
      <c r="B792" s="1" t="s">
        <v>3410</v>
      </c>
      <c r="D792" s="1" t="s">
        <v>3406</v>
      </c>
      <c r="E792" s="1" t="s">
        <v>3411</v>
      </c>
      <c r="F792" s="1" t="s">
        <v>665</v>
      </c>
      <c r="G792" s="1" t="s">
        <v>666</v>
      </c>
    </row>
    <row r="793" spans="1:7">
      <c r="A793" s="1">
        <v>792</v>
      </c>
      <c r="B793" s="1" t="s">
        <v>3412</v>
      </c>
      <c r="D793" s="1" t="s">
        <v>3406</v>
      </c>
      <c r="E793" s="1" t="s">
        <v>3413</v>
      </c>
      <c r="F793" s="1" t="s">
        <v>660</v>
      </c>
      <c r="G793" s="1" t="s">
        <v>661</v>
      </c>
    </row>
    <row r="794" spans="1:7">
      <c r="A794" s="1">
        <v>793</v>
      </c>
      <c r="B794" s="1" t="s">
        <v>3414</v>
      </c>
      <c r="D794" s="1" t="s">
        <v>3415</v>
      </c>
      <c r="E794" s="1" t="s">
        <v>3416</v>
      </c>
      <c r="F794" s="1" t="s">
        <v>669</v>
      </c>
      <c r="G794" s="1" t="s">
        <v>670</v>
      </c>
    </row>
    <row r="795" spans="1:7">
      <c r="A795" s="1">
        <v>794</v>
      </c>
      <c r="B795" s="1" t="s">
        <v>3417</v>
      </c>
      <c r="D795" s="1" t="s">
        <v>3415</v>
      </c>
      <c r="E795" s="1" t="s">
        <v>3418</v>
      </c>
      <c r="F795" s="1" t="s">
        <v>710</v>
      </c>
      <c r="G795" s="1" t="s">
        <v>711</v>
      </c>
    </row>
    <row r="796" spans="1:7">
      <c r="A796" s="1">
        <v>795</v>
      </c>
      <c r="B796" s="1" t="s">
        <v>3419</v>
      </c>
      <c r="D796" s="1" t="s">
        <v>3415</v>
      </c>
      <c r="E796" s="1" t="s">
        <v>3420</v>
      </c>
      <c r="F796" s="1" t="s">
        <v>665</v>
      </c>
      <c r="G796" s="1" t="s">
        <v>666</v>
      </c>
    </row>
    <row r="797" spans="1:7">
      <c r="A797" s="1">
        <v>796</v>
      </c>
      <c r="B797" s="1" t="s">
        <v>3421</v>
      </c>
      <c r="D797" s="1" t="s">
        <v>3415</v>
      </c>
      <c r="E797" s="1" t="s">
        <v>3422</v>
      </c>
      <c r="F797" s="1" t="s">
        <v>660</v>
      </c>
      <c r="G797" s="1" t="s">
        <v>661</v>
      </c>
    </row>
    <row r="798" spans="1:7">
      <c r="A798" s="1">
        <v>797</v>
      </c>
      <c r="B798" s="1" t="s">
        <v>3423</v>
      </c>
      <c r="D798" s="1" t="s">
        <v>3424</v>
      </c>
      <c r="E798" s="1" t="s">
        <v>3425</v>
      </c>
      <c r="F798" s="1" t="s">
        <v>3426</v>
      </c>
      <c r="G798" s="1" t="s">
        <v>3427</v>
      </c>
    </row>
    <row r="799" spans="1:7">
      <c r="A799" s="1">
        <v>798</v>
      </c>
      <c r="B799" s="1" t="s">
        <v>3428</v>
      </c>
      <c r="D799" s="1" t="s">
        <v>3424</v>
      </c>
      <c r="E799" s="1" t="s">
        <v>3429</v>
      </c>
      <c r="F799" s="1" t="s">
        <v>3430</v>
      </c>
      <c r="G799" s="1" t="s">
        <v>3431</v>
      </c>
    </row>
    <row r="800" spans="1:7">
      <c r="A800" s="1">
        <v>799</v>
      </c>
      <c r="B800" s="1" t="s">
        <v>3432</v>
      </c>
      <c r="D800" s="1" t="s">
        <v>3424</v>
      </c>
      <c r="E800" s="1" t="s">
        <v>3433</v>
      </c>
      <c r="F800" s="1" t="s">
        <v>3434</v>
      </c>
      <c r="G800" s="1" t="s">
        <v>3435</v>
      </c>
    </row>
    <row r="801" spans="1:7">
      <c r="A801" s="1">
        <v>800</v>
      </c>
      <c r="B801" s="1" t="s">
        <v>3436</v>
      </c>
      <c r="D801" s="1" t="s">
        <v>3437</v>
      </c>
      <c r="E801" s="1" t="s">
        <v>598</v>
      </c>
      <c r="F801" s="1" t="s">
        <v>911</v>
      </c>
      <c r="G801" s="1" t="s">
        <v>912</v>
      </c>
    </row>
    <row r="802" spans="1:7">
      <c r="A802" s="1">
        <v>801</v>
      </c>
      <c r="B802" s="1" t="s">
        <v>3438</v>
      </c>
      <c r="D802" s="1" t="s">
        <v>3437</v>
      </c>
      <c r="E802" s="1" t="s">
        <v>586</v>
      </c>
      <c r="F802" s="1" t="s">
        <v>902</v>
      </c>
      <c r="G802" s="1" t="s">
        <v>903</v>
      </c>
    </row>
    <row r="803" spans="1:7">
      <c r="A803" s="1">
        <v>802</v>
      </c>
      <c r="B803" s="1" t="s">
        <v>3439</v>
      </c>
      <c r="D803" s="1" t="s">
        <v>3437</v>
      </c>
      <c r="E803" s="1" t="s">
        <v>590</v>
      </c>
      <c r="F803" s="1" t="s">
        <v>905</v>
      </c>
      <c r="G803" s="1" t="s">
        <v>906</v>
      </c>
    </row>
    <row r="804" spans="1:7">
      <c r="A804" s="1">
        <v>803</v>
      </c>
      <c r="B804" s="1" t="s">
        <v>3440</v>
      </c>
      <c r="D804" s="1" t="s">
        <v>3437</v>
      </c>
      <c r="E804" s="1" t="s">
        <v>594</v>
      </c>
      <c r="F804" s="1" t="s">
        <v>908</v>
      </c>
      <c r="G804" s="1" t="s">
        <v>909</v>
      </c>
    </row>
    <row r="805" spans="1:7">
      <c r="A805" s="1">
        <v>804</v>
      </c>
      <c r="B805" s="1" t="s">
        <v>3441</v>
      </c>
      <c r="D805" s="1" t="s">
        <v>3442</v>
      </c>
      <c r="E805" s="1" t="s">
        <v>227</v>
      </c>
      <c r="F805" s="1" t="s">
        <v>931</v>
      </c>
      <c r="G805" s="1" t="s">
        <v>932</v>
      </c>
    </row>
    <row r="806" spans="1:7">
      <c r="A806" s="1">
        <v>805</v>
      </c>
      <c r="B806" s="1" t="s">
        <v>3443</v>
      </c>
      <c r="D806" s="1" t="s">
        <v>3442</v>
      </c>
      <c r="E806" s="1" t="s">
        <v>602</v>
      </c>
      <c r="F806" s="1" t="s">
        <v>916</v>
      </c>
      <c r="G806" s="1" t="s">
        <v>917</v>
      </c>
    </row>
    <row r="807" spans="1:7">
      <c r="A807" s="1">
        <v>806</v>
      </c>
      <c r="B807" s="1" t="s">
        <v>3444</v>
      </c>
      <c r="D807" s="1" t="s">
        <v>3442</v>
      </c>
      <c r="E807" s="1" t="s">
        <v>3445</v>
      </c>
      <c r="F807" s="1" t="s">
        <v>919</v>
      </c>
      <c r="G807" s="1" t="s">
        <v>920</v>
      </c>
    </row>
    <row r="808" spans="1:7">
      <c r="A808" s="1">
        <v>807</v>
      </c>
      <c r="B808" s="1" t="s">
        <v>3446</v>
      </c>
      <c r="D808" s="1" t="s">
        <v>3442</v>
      </c>
      <c r="E808" s="1" t="s">
        <v>3447</v>
      </c>
      <c r="F808" s="1" t="s">
        <v>922</v>
      </c>
      <c r="G808" s="1" t="s">
        <v>923</v>
      </c>
    </row>
    <row r="809" spans="1:7">
      <c r="A809" s="1">
        <v>808</v>
      </c>
      <c r="B809" s="1" t="s">
        <v>3448</v>
      </c>
      <c r="D809" s="1" t="s">
        <v>3442</v>
      </c>
      <c r="E809" s="1" t="s">
        <v>3449</v>
      </c>
      <c r="F809" s="1" t="s">
        <v>925</v>
      </c>
      <c r="G809" s="1" t="s">
        <v>926</v>
      </c>
    </row>
    <row r="810" spans="1:7">
      <c r="A810" s="1">
        <v>809</v>
      </c>
      <c r="B810" s="1" t="s">
        <v>3450</v>
      </c>
      <c r="D810" s="1" t="s">
        <v>3442</v>
      </c>
      <c r="E810" s="1" t="s">
        <v>226</v>
      </c>
      <c r="F810" s="1" t="s">
        <v>928</v>
      </c>
      <c r="G810" s="1" t="s">
        <v>929</v>
      </c>
    </row>
    <row r="811" spans="1:7">
      <c r="A811" s="1">
        <v>810</v>
      </c>
      <c r="B811" s="1" t="s">
        <v>3451</v>
      </c>
      <c r="D811" s="1" t="s">
        <v>3452</v>
      </c>
      <c r="E811" s="1" t="s">
        <v>229</v>
      </c>
      <c r="F811" s="1" t="s">
        <v>936</v>
      </c>
      <c r="G811" s="1" t="s">
        <v>937</v>
      </c>
    </row>
    <row r="812" spans="1:7">
      <c r="A812" s="1">
        <v>811</v>
      </c>
      <c r="B812" s="1" t="s">
        <v>3453</v>
      </c>
      <c r="D812" s="1" t="s">
        <v>3452</v>
      </c>
      <c r="E812" s="1" t="s">
        <v>234</v>
      </c>
      <c r="F812" s="1" t="s">
        <v>951</v>
      </c>
      <c r="G812" s="1" t="s">
        <v>952</v>
      </c>
    </row>
    <row r="813" spans="1:7">
      <c r="A813" s="1">
        <v>812</v>
      </c>
      <c r="B813" s="1" t="s">
        <v>3454</v>
      </c>
      <c r="D813" s="1" t="s">
        <v>3452</v>
      </c>
      <c r="E813" s="1" t="s">
        <v>230</v>
      </c>
      <c r="F813" s="1" t="s">
        <v>939</v>
      </c>
      <c r="G813" s="1" t="s">
        <v>940</v>
      </c>
    </row>
    <row r="814" spans="1:7">
      <c r="A814" s="1">
        <v>813</v>
      </c>
      <c r="B814" s="1" t="s">
        <v>3455</v>
      </c>
      <c r="D814" s="1" t="s">
        <v>3452</v>
      </c>
      <c r="E814" s="1" t="s">
        <v>231</v>
      </c>
      <c r="F814" s="1" t="s">
        <v>942</v>
      </c>
      <c r="G814" s="1" t="s">
        <v>943</v>
      </c>
    </row>
    <row r="815" spans="1:7">
      <c r="A815" s="1">
        <v>814</v>
      </c>
      <c r="B815" s="1" t="s">
        <v>3456</v>
      </c>
      <c r="D815" s="1" t="s">
        <v>3452</v>
      </c>
      <c r="E815" s="1" t="s">
        <v>232</v>
      </c>
      <c r="F815" s="1" t="s">
        <v>945</v>
      </c>
      <c r="G815" s="1" t="s">
        <v>946</v>
      </c>
    </row>
    <row r="816" spans="1:7">
      <c r="A816" s="1">
        <v>815</v>
      </c>
      <c r="B816" s="1" t="s">
        <v>3457</v>
      </c>
      <c r="D816" s="1" t="s">
        <v>3452</v>
      </c>
      <c r="E816" s="1" t="s">
        <v>233</v>
      </c>
      <c r="F816" s="1" t="s">
        <v>948</v>
      </c>
      <c r="G816" s="1" t="s">
        <v>949</v>
      </c>
    </row>
    <row r="817" spans="1:7">
      <c r="A817" s="1">
        <v>816</v>
      </c>
      <c r="B817" s="1" t="s">
        <v>3458</v>
      </c>
      <c r="D817" s="1" t="s">
        <v>3459</v>
      </c>
      <c r="E817" s="1" t="s">
        <v>193</v>
      </c>
      <c r="F817" s="1" t="s">
        <v>965</v>
      </c>
      <c r="G817" s="1" t="s">
        <v>966</v>
      </c>
    </row>
    <row r="818" spans="1:7">
      <c r="A818" s="1">
        <v>817</v>
      </c>
      <c r="B818" s="1" t="s">
        <v>3460</v>
      </c>
      <c r="D818" s="1" t="s">
        <v>3459</v>
      </c>
      <c r="E818" s="1" t="s">
        <v>209</v>
      </c>
      <c r="F818" s="1" t="s">
        <v>981</v>
      </c>
      <c r="G818" s="1" t="s">
        <v>982</v>
      </c>
    </row>
    <row r="819" spans="1:7">
      <c r="A819" s="1">
        <v>818</v>
      </c>
      <c r="B819" s="1" t="s">
        <v>3461</v>
      </c>
      <c r="D819" s="1" t="s">
        <v>3459</v>
      </c>
      <c r="E819" s="1" t="s">
        <v>213</v>
      </c>
      <c r="F819" s="1" t="s">
        <v>985</v>
      </c>
      <c r="G819" s="1" t="s">
        <v>986</v>
      </c>
    </row>
    <row r="820" spans="1:7">
      <c r="A820" s="1">
        <v>819</v>
      </c>
      <c r="B820" s="1" t="s">
        <v>3462</v>
      </c>
      <c r="D820" s="1" t="s">
        <v>3459</v>
      </c>
      <c r="E820" s="1" t="s">
        <v>217</v>
      </c>
      <c r="F820" s="1" t="s">
        <v>989</v>
      </c>
      <c r="G820" s="1" t="s">
        <v>990</v>
      </c>
    </row>
    <row r="821" spans="1:7">
      <c r="A821" s="1">
        <v>820</v>
      </c>
      <c r="B821" s="1" t="s">
        <v>3463</v>
      </c>
      <c r="D821" s="1" t="s">
        <v>3459</v>
      </c>
      <c r="E821" s="1" t="s">
        <v>201</v>
      </c>
      <c r="F821" s="1" t="s">
        <v>973</v>
      </c>
      <c r="G821" s="1" t="s">
        <v>974</v>
      </c>
    </row>
    <row r="822" spans="1:7">
      <c r="A822" s="1">
        <v>821</v>
      </c>
      <c r="B822" s="1" t="s">
        <v>3464</v>
      </c>
      <c r="D822" s="1" t="s">
        <v>3459</v>
      </c>
      <c r="E822" s="1" t="s">
        <v>205</v>
      </c>
      <c r="F822" s="1" t="s">
        <v>977</v>
      </c>
      <c r="G822" s="1" t="s">
        <v>978</v>
      </c>
    </row>
    <row r="823" spans="1:7">
      <c r="A823" s="1">
        <v>822</v>
      </c>
      <c r="B823" s="1" t="s">
        <v>3465</v>
      </c>
      <c r="D823" s="1" t="s">
        <v>3459</v>
      </c>
      <c r="E823" s="1" t="s">
        <v>189</v>
      </c>
      <c r="F823" s="1" t="s">
        <v>961</v>
      </c>
      <c r="G823" s="1" t="s">
        <v>962</v>
      </c>
    </row>
    <row r="824" spans="1:7">
      <c r="A824" s="1">
        <v>823</v>
      </c>
      <c r="B824" s="1" t="s">
        <v>3466</v>
      </c>
      <c r="D824" s="1" t="s">
        <v>3459</v>
      </c>
      <c r="E824" s="1" t="s">
        <v>197</v>
      </c>
      <c r="F824" s="1" t="s">
        <v>969</v>
      </c>
      <c r="G824" s="1" t="s">
        <v>970</v>
      </c>
    </row>
    <row r="825" spans="1:7">
      <c r="A825" s="1">
        <v>824</v>
      </c>
      <c r="B825" s="1" t="s">
        <v>3467</v>
      </c>
      <c r="D825" s="1" t="s">
        <v>3459</v>
      </c>
      <c r="E825" s="1" t="s">
        <v>738</v>
      </c>
      <c r="F825" s="1" t="s">
        <v>997</v>
      </c>
      <c r="G825" s="1" t="s">
        <v>998</v>
      </c>
    </row>
    <row r="826" spans="1:7">
      <c r="A826" s="1">
        <v>825</v>
      </c>
      <c r="B826" s="1" t="s">
        <v>3468</v>
      </c>
      <c r="D826" s="1" t="s">
        <v>3459</v>
      </c>
      <c r="E826" s="1" t="s">
        <v>185</v>
      </c>
      <c r="F826" s="1" t="s">
        <v>957</v>
      </c>
      <c r="G826" s="1" t="s">
        <v>958</v>
      </c>
    </row>
    <row r="827" spans="1:7">
      <c r="A827" s="1">
        <v>826</v>
      </c>
      <c r="B827" s="1" t="s">
        <v>3469</v>
      </c>
      <c r="D827" s="1" t="s">
        <v>3459</v>
      </c>
      <c r="E827" s="1" t="s">
        <v>221</v>
      </c>
      <c r="F827" s="1" t="s">
        <v>993</v>
      </c>
      <c r="G827" s="1" t="s">
        <v>994</v>
      </c>
    </row>
    <row r="828" spans="1:7">
      <c r="A828" s="1">
        <v>827</v>
      </c>
      <c r="B828" s="1" t="s">
        <v>3470</v>
      </c>
      <c r="D828" s="1" t="s">
        <v>3471</v>
      </c>
      <c r="E828" s="1" t="s">
        <v>747</v>
      </c>
      <c r="F828" s="1" t="s">
        <v>1008</v>
      </c>
      <c r="G828" s="1" t="s">
        <v>1009</v>
      </c>
    </row>
    <row r="829" spans="1:7">
      <c r="A829" s="1">
        <v>828</v>
      </c>
      <c r="B829" s="1" t="s">
        <v>3472</v>
      </c>
      <c r="D829" s="1" t="s">
        <v>3471</v>
      </c>
      <c r="E829" s="1" t="s">
        <v>904</v>
      </c>
      <c r="F829" s="1" t="s">
        <v>1020</v>
      </c>
      <c r="G829" s="1" t="s">
        <v>1021</v>
      </c>
    </row>
    <row r="830" spans="1:7">
      <c r="A830" s="1">
        <v>829</v>
      </c>
      <c r="B830" s="1" t="s">
        <v>3473</v>
      </c>
      <c r="D830" s="1" t="s">
        <v>3471</v>
      </c>
      <c r="E830" s="1" t="s">
        <v>907</v>
      </c>
      <c r="F830" s="1" t="s">
        <v>1023</v>
      </c>
      <c r="G830" s="1" t="s">
        <v>1024</v>
      </c>
    </row>
    <row r="831" spans="1:7">
      <c r="A831" s="1">
        <v>830</v>
      </c>
      <c r="B831" s="1" t="s">
        <v>3474</v>
      </c>
      <c r="D831" s="1" t="s">
        <v>3471</v>
      </c>
      <c r="E831" s="1" t="s">
        <v>910</v>
      </c>
      <c r="F831" s="1" t="s">
        <v>1026</v>
      </c>
      <c r="G831" s="1" t="s">
        <v>1027</v>
      </c>
    </row>
    <row r="832" spans="1:7">
      <c r="A832" s="1">
        <v>831</v>
      </c>
      <c r="B832" s="1" t="s">
        <v>3475</v>
      </c>
      <c r="D832" s="1" t="s">
        <v>3471</v>
      </c>
      <c r="E832" s="1" t="s">
        <v>753</v>
      </c>
      <c r="F832" s="1" t="s">
        <v>1014</v>
      </c>
      <c r="G832" s="1" t="s">
        <v>1015</v>
      </c>
    </row>
    <row r="833" spans="1:7">
      <c r="A833" s="1">
        <v>832</v>
      </c>
      <c r="B833" s="1" t="s">
        <v>3476</v>
      </c>
      <c r="D833" s="1" t="s">
        <v>3471</v>
      </c>
      <c r="E833" s="1" t="s">
        <v>901</v>
      </c>
      <c r="F833" s="1" t="s">
        <v>1017</v>
      </c>
      <c r="G833" s="1" t="s">
        <v>1018</v>
      </c>
    </row>
    <row r="834" spans="1:7">
      <c r="A834" s="1">
        <v>833</v>
      </c>
      <c r="B834" s="1" t="s">
        <v>3477</v>
      </c>
      <c r="D834" s="1" t="s">
        <v>3471</v>
      </c>
      <c r="E834" s="1" t="s">
        <v>744</v>
      </c>
      <c r="F834" s="1" t="s">
        <v>1005</v>
      </c>
      <c r="G834" s="1" t="s">
        <v>1006</v>
      </c>
    </row>
    <row r="835" spans="1:7">
      <c r="A835" s="1">
        <v>834</v>
      </c>
      <c r="B835" s="1" t="s">
        <v>3478</v>
      </c>
      <c r="D835" s="1" t="s">
        <v>3471</v>
      </c>
      <c r="E835" s="1" t="s">
        <v>750</v>
      </c>
      <c r="F835" s="1" t="s">
        <v>1011</v>
      </c>
      <c r="G835" s="1" t="s">
        <v>1012</v>
      </c>
    </row>
    <row r="836" spans="1:7">
      <c r="A836" s="1">
        <v>835</v>
      </c>
      <c r="B836" s="1" t="s">
        <v>3479</v>
      </c>
      <c r="D836" s="1" t="s">
        <v>3471</v>
      </c>
      <c r="E836" s="1" t="s">
        <v>918</v>
      </c>
      <c r="F836" s="1" t="s">
        <v>1032</v>
      </c>
      <c r="G836" s="1" t="s">
        <v>1033</v>
      </c>
    </row>
    <row r="837" spans="1:7">
      <c r="A837" s="1">
        <v>836</v>
      </c>
      <c r="B837" s="1" t="s">
        <v>3480</v>
      </c>
      <c r="D837" s="1" t="s">
        <v>3471</v>
      </c>
      <c r="E837" s="1" t="s">
        <v>741</v>
      </c>
      <c r="F837" s="1" t="s">
        <v>1002</v>
      </c>
      <c r="G837" s="1" t="s">
        <v>1003</v>
      </c>
    </row>
    <row r="838" spans="1:7">
      <c r="A838" s="1">
        <v>837</v>
      </c>
      <c r="B838" s="1" t="s">
        <v>3481</v>
      </c>
      <c r="D838" s="1" t="s">
        <v>3471</v>
      </c>
      <c r="E838" s="1" t="s">
        <v>915</v>
      </c>
      <c r="F838" s="1" t="s">
        <v>1029</v>
      </c>
      <c r="G838" s="1" t="s">
        <v>1030</v>
      </c>
    </row>
    <row r="839" spans="1:7">
      <c r="A839" s="1">
        <v>838</v>
      </c>
      <c r="B839" s="1" t="s">
        <v>3482</v>
      </c>
      <c r="D839" s="1" t="s">
        <v>3483</v>
      </c>
      <c r="E839" s="1" t="s">
        <v>921</v>
      </c>
      <c r="F839" s="1" t="s">
        <v>1037</v>
      </c>
      <c r="G839" s="1" t="s">
        <v>1038</v>
      </c>
    </row>
    <row r="840" spans="1:7">
      <c r="A840" s="1">
        <v>839</v>
      </c>
      <c r="B840" s="1" t="s">
        <v>3484</v>
      </c>
      <c r="D840" s="1" t="s">
        <v>3483</v>
      </c>
      <c r="E840" s="1" t="s">
        <v>3485</v>
      </c>
      <c r="F840" s="1" t="s">
        <v>1049</v>
      </c>
      <c r="G840" s="1" t="s">
        <v>1050</v>
      </c>
    </row>
    <row r="841" spans="1:7">
      <c r="A841" s="1">
        <v>840</v>
      </c>
      <c r="B841" s="1" t="s">
        <v>3486</v>
      </c>
      <c r="D841" s="1" t="s">
        <v>3483</v>
      </c>
      <c r="E841" s="1" t="s">
        <v>924</v>
      </c>
      <c r="F841" s="1" t="s">
        <v>1040</v>
      </c>
      <c r="G841" s="1" t="s">
        <v>1041</v>
      </c>
    </row>
    <row r="842" spans="1:7">
      <c r="A842" s="1">
        <v>841</v>
      </c>
      <c r="B842" s="1" t="s">
        <v>3487</v>
      </c>
      <c r="D842" s="1" t="s">
        <v>3483</v>
      </c>
      <c r="E842" s="1" t="s">
        <v>927</v>
      </c>
      <c r="F842" s="1" t="s">
        <v>1043</v>
      </c>
      <c r="G842" s="1" t="s">
        <v>1044</v>
      </c>
    </row>
    <row r="843" spans="1:7">
      <c r="A843" s="1">
        <v>842</v>
      </c>
      <c r="B843" s="1" t="s">
        <v>3488</v>
      </c>
      <c r="D843" s="1" t="s">
        <v>3483</v>
      </c>
      <c r="E843" s="1" t="s">
        <v>930</v>
      </c>
      <c r="F843" s="1" t="s">
        <v>1046</v>
      </c>
      <c r="G843" s="1" t="s">
        <v>1047</v>
      </c>
    </row>
    <row r="844" spans="1:7">
      <c r="A844" s="1">
        <v>843</v>
      </c>
      <c r="B844" s="1" t="s">
        <v>3489</v>
      </c>
      <c r="D844" s="1" t="s">
        <v>3490</v>
      </c>
      <c r="E844" s="1" t="s">
        <v>935</v>
      </c>
      <c r="F844" s="1" t="s">
        <v>1054</v>
      </c>
      <c r="G844" s="1" t="s">
        <v>1055</v>
      </c>
    </row>
    <row r="845" spans="1:7">
      <c r="A845" s="1">
        <v>844</v>
      </c>
      <c r="B845" s="1" t="s">
        <v>3491</v>
      </c>
      <c r="D845" s="1" t="s">
        <v>3490</v>
      </c>
      <c r="E845" s="1" t="s">
        <v>938</v>
      </c>
      <c r="F845" s="1" t="s">
        <v>1057</v>
      </c>
      <c r="G845" s="1" t="s">
        <v>1058</v>
      </c>
    </row>
    <row r="846" spans="1:7">
      <c r="A846" s="1">
        <v>845</v>
      </c>
      <c r="B846" s="1" t="s">
        <v>3492</v>
      </c>
      <c r="D846" s="1" t="s">
        <v>3490</v>
      </c>
      <c r="E846" s="1" t="s">
        <v>941</v>
      </c>
      <c r="F846" s="1" t="s">
        <v>1060</v>
      </c>
      <c r="G846" s="1" t="s">
        <v>1061</v>
      </c>
    </row>
    <row r="847" spans="1:7">
      <c r="A847" s="1">
        <v>846</v>
      </c>
      <c r="B847" s="1" t="s">
        <v>3493</v>
      </c>
      <c r="D847" s="1" t="s">
        <v>3490</v>
      </c>
      <c r="E847" s="1" t="s">
        <v>944</v>
      </c>
      <c r="F847" s="1" t="s">
        <v>1063</v>
      </c>
      <c r="G847" s="1" t="s">
        <v>1064</v>
      </c>
    </row>
    <row r="848" spans="1:7">
      <c r="A848" s="1">
        <v>847</v>
      </c>
      <c r="B848" s="1" t="s">
        <v>3494</v>
      </c>
      <c r="D848" s="1" t="s">
        <v>3495</v>
      </c>
      <c r="E848" s="1" t="s">
        <v>968</v>
      </c>
      <c r="F848" s="1" t="s">
        <v>1083</v>
      </c>
      <c r="G848" s="1" t="s">
        <v>1084</v>
      </c>
    </row>
    <row r="849" spans="1:7">
      <c r="A849" s="1">
        <v>848</v>
      </c>
      <c r="B849" s="1" t="s">
        <v>3496</v>
      </c>
      <c r="D849" s="1" t="s">
        <v>3495</v>
      </c>
      <c r="E849" s="1" t="s">
        <v>950</v>
      </c>
      <c r="F849" s="1" t="s">
        <v>1068</v>
      </c>
      <c r="G849" s="1" t="s">
        <v>1069</v>
      </c>
    </row>
    <row r="850" spans="1:7">
      <c r="A850" s="1">
        <v>849</v>
      </c>
      <c r="B850" s="1" t="s">
        <v>3497</v>
      </c>
      <c r="D850" s="1" t="s">
        <v>3495</v>
      </c>
      <c r="E850" s="1" t="s">
        <v>3498</v>
      </c>
      <c r="F850" s="1" t="s">
        <v>1071</v>
      </c>
      <c r="G850" s="1" t="s">
        <v>1072</v>
      </c>
    </row>
    <row r="851" spans="1:7">
      <c r="A851" s="1">
        <v>850</v>
      </c>
      <c r="B851" s="1" t="s">
        <v>3499</v>
      </c>
      <c r="D851" s="1" t="s">
        <v>3495</v>
      </c>
      <c r="E851" s="1" t="s">
        <v>956</v>
      </c>
      <c r="F851" s="1" t="s">
        <v>1074</v>
      </c>
      <c r="G851" s="1" t="s">
        <v>1075</v>
      </c>
    </row>
    <row r="852" spans="1:7">
      <c r="A852" s="1">
        <v>851</v>
      </c>
      <c r="B852" s="1" t="s">
        <v>3500</v>
      </c>
      <c r="D852" s="1" t="s">
        <v>3495</v>
      </c>
      <c r="E852" s="1" t="s">
        <v>960</v>
      </c>
      <c r="F852" s="1" t="s">
        <v>1077</v>
      </c>
      <c r="G852" s="1" t="s">
        <v>1078</v>
      </c>
    </row>
    <row r="853" spans="1:7">
      <c r="A853" s="1">
        <v>852</v>
      </c>
      <c r="B853" s="1" t="s">
        <v>3501</v>
      </c>
      <c r="D853" s="1" t="s">
        <v>3495</v>
      </c>
      <c r="E853" s="1" t="s">
        <v>964</v>
      </c>
      <c r="F853" s="1" t="s">
        <v>1080</v>
      </c>
      <c r="G853" s="1" t="s">
        <v>1081</v>
      </c>
    </row>
    <row r="854" spans="1:7">
      <c r="A854" s="1">
        <v>853</v>
      </c>
      <c r="B854" s="1" t="s">
        <v>3502</v>
      </c>
      <c r="D854" s="1" t="s">
        <v>3503</v>
      </c>
      <c r="E854" s="1" t="s">
        <v>996</v>
      </c>
      <c r="F854" s="1" t="s">
        <v>1103</v>
      </c>
      <c r="G854" s="1" t="s">
        <v>1104</v>
      </c>
    </row>
    <row r="855" spans="1:7">
      <c r="A855" s="1">
        <v>854</v>
      </c>
      <c r="B855" s="1" t="s">
        <v>3504</v>
      </c>
      <c r="D855" s="1" t="s">
        <v>3503</v>
      </c>
      <c r="E855" s="1" t="s">
        <v>976</v>
      </c>
      <c r="F855" s="1" t="s">
        <v>1088</v>
      </c>
      <c r="G855" s="1" t="s">
        <v>1089</v>
      </c>
    </row>
    <row r="856" spans="1:7">
      <c r="A856" s="1">
        <v>855</v>
      </c>
      <c r="B856" s="1" t="s">
        <v>3505</v>
      </c>
      <c r="D856" s="1" t="s">
        <v>3503</v>
      </c>
      <c r="E856" s="1" t="s">
        <v>980</v>
      </c>
      <c r="F856" s="1" t="s">
        <v>1091</v>
      </c>
      <c r="G856" s="1" t="s">
        <v>1092</v>
      </c>
    </row>
    <row r="857" spans="1:7">
      <c r="A857" s="1">
        <v>856</v>
      </c>
      <c r="B857" s="1" t="s">
        <v>3506</v>
      </c>
      <c r="D857" s="1" t="s">
        <v>3503</v>
      </c>
      <c r="E857" s="1" t="s">
        <v>984</v>
      </c>
      <c r="F857" s="1" t="s">
        <v>1094</v>
      </c>
      <c r="G857" s="1" t="s">
        <v>1095</v>
      </c>
    </row>
    <row r="858" spans="1:7">
      <c r="A858" s="1">
        <v>857</v>
      </c>
      <c r="B858" s="1" t="s">
        <v>3507</v>
      </c>
      <c r="D858" s="1" t="s">
        <v>3503</v>
      </c>
      <c r="E858" s="1" t="s">
        <v>988</v>
      </c>
      <c r="F858" s="1" t="s">
        <v>1097</v>
      </c>
      <c r="G858" s="1" t="s">
        <v>1098</v>
      </c>
    </row>
    <row r="859" spans="1:7">
      <c r="A859" s="1">
        <v>858</v>
      </c>
      <c r="B859" s="1" t="s">
        <v>3508</v>
      </c>
      <c r="D859" s="1" t="s">
        <v>3503</v>
      </c>
      <c r="E859" s="1" t="s">
        <v>992</v>
      </c>
      <c r="F859" s="1" t="s">
        <v>1100</v>
      </c>
      <c r="G859" s="1" t="s">
        <v>1101</v>
      </c>
    </row>
    <row r="860" spans="1:7">
      <c r="A860" s="1">
        <v>859</v>
      </c>
      <c r="B860" s="1" t="s">
        <v>3509</v>
      </c>
      <c r="D860" s="1" t="s">
        <v>3510</v>
      </c>
      <c r="E860" s="1" t="s">
        <v>1073</v>
      </c>
      <c r="F860" s="1" t="s">
        <v>1126</v>
      </c>
      <c r="G860" s="1" t="s">
        <v>1127</v>
      </c>
    </row>
    <row r="861" spans="1:7">
      <c r="A861" s="1">
        <v>860</v>
      </c>
      <c r="B861" s="1" t="s">
        <v>3511</v>
      </c>
      <c r="D861" s="1" t="s">
        <v>3510</v>
      </c>
      <c r="E861" s="1" t="s">
        <v>1059</v>
      </c>
      <c r="F861" s="1" t="s">
        <v>1111</v>
      </c>
      <c r="G861" s="1" t="s">
        <v>1112</v>
      </c>
    </row>
    <row r="862" spans="1:7">
      <c r="A862" s="1">
        <v>861</v>
      </c>
      <c r="B862" s="1" t="s">
        <v>3512</v>
      </c>
      <c r="D862" s="1" t="s">
        <v>3510</v>
      </c>
      <c r="E862" s="1" t="s">
        <v>1062</v>
      </c>
      <c r="F862" s="1" t="s">
        <v>1114</v>
      </c>
      <c r="G862" s="1" t="s">
        <v>1115</v>
      </c>
    </row>
    <row r="863" spans="1:7">
      <c r="A863" s="1">
        <v>862</v>
      </c>
      <c r="B863" s="1" t="s">
        <v>3513</v>
      </c>
      <c r="D863" s="1" t="s">
        <v>3510</v>
      </c>
      <c r="E863" s="1" t="s">
        <v>3514</v>
      </c>
      <c r="F863" s="1" t="s">
        <v>1117</v>
      </c>
      <c r="G863" s="1" t="s">
        <v>1118</v>
      </c>
    </row>
    <row r="864" spans="1:7">
      <c r="A864" s="1">
        <v>863</v>
      </c>
      <c r="B864" s="1" t="s">
        <v>3515</v>
      </c>
      <c r="D864" s="1" t="s">
        <v>3510</v>
      </c>
      <c r="E864" s="1" t="s">
        <v>1067</v>
      </c>
      <c r="F864" s="1" t="s">
        <v>1120</v>
      </c>
      <c r="G864" s="1" t="s">
        <v>1121</v>
      </c>
    </row>
    <row r="865" spans="1:7">
      <c r="A865" s="1">
        <v>864</v>
      </c>
      <c r="B865" s="1" t="s">
        <v>3516</v>
      </c>
      <c r="D865" s="1" t="s">
        <v>3510</v>
      </c>
      <c r="E865" s="1" t="s">
        <v>1070</v>
      </c>
      <c r="F865" s="1" t="s">
        <v>1123</v>
      </c>
      <c r="G865" s="1" t="s">
        <v>1124</v>
      </c>
    </row>
    <row r="866" spans="1:7">
      <c r="A866" s="1">
        <v>865</v>
      </c>
      <c r="B866" s="1" t="s">
        <v>3517</v>
      </c>
      <c r="D866" s="1" t="s">
        <v>3510</v>
      </c>
      <c r="E866" s="1" t="s">
        <v>1056</v>
      </c>
      <c r="F866" s="1" t="s">
        <v>1108</v>
      </c>
      <c r="G866" s="1" t="s">
        <v>1109</v>
      </c>
    </row>
    <row r="867" spans="1:7">
      <c r="A867" s="1">
        <v>866</v>
      </c>
      <c r="B867" s="1" t="s">
        <v>3518</v>
      </c>
      <c r="D867" s="1" t="s">
        <v>3519</v>
      </c>
      <c r="E867" s="1" t="s">
        <v>1004</v>
      </c>
      <c r="F867" s="1" t="s">
        <v>1131</v>
      </c>
      <c r="G867" s="1" t="s">
        <v>1132</v>
      </c>
    </row>
    <row r="868" spans="1:7">
      <c r="A868" s="1">
        <v>867</v>
      </c>
      <c r="B868" s="1" t="s">
        <v>3520</v>
      </c>
      <c r="D868" s="1" t="s">
        <v>3519</v>
      </c>
      <c r="E868" s="1" t="s">
        <v>1022</v>
      </c>
      <c r="F868" s="1" t="s">
        <v>1149</v>
      </c>
      <c r="G868" s="1" t="s">
        <v>1150</v>
      </c>
    </row>
    <row r="869" spans="1:7">
      <c r="A869" s="1">
        <v>868</v>
      </c>
      <c r="B869" s="1" t="s">
        <v>3521</v>
      </c>
      <c r="D869" s="1" t="s">
        <v>3519</v>
      </c>
      <c r="E869" s="1" t="s">
        <v>1007</v>
      </c>
      <c r="F869" s="1" t="s">
        <v>1134</v>
      </c>
      <c r="G869" s="1" t="s">
        <v>1135</v>
      </c>
    </row>
    <row r="870" spans="1:7">
      <c r="A870" s="1">
        <v>869</v>
      </c>
      <c r="B870" s="1" t="s">
        <v>3522</v>
      </c>
      <c r="D870" s="1" t="s">
        <v>3519</v>
      </c>
      <c r="E870" s="1" t="s">
        <v>1010</v>
      </c>
      <c r="F870" s="1" t="s">
        <v>1137</v>
      </c>
      <c r="G870" s="1" t="s">
        <v>1138</v>
      </c>
    </row>
    <row r="871" spans="1:7">
      <c r="A871" s="1">
        <v>870</v>
      </c>
      <c r="B871" s="1" t="s">
        <v>3523</v>
      </c>
      <c r="D871" s="1" t="s">
        <v>3519</v>
      </c>
      <c r="E871" s="1" t="s">
        <v>1013</v>
      </c>
      <c r="F871" s="1" t="s">
        <v>1140</v>
      </c>
      <c r="G871" s="1" t="s">
        <v>1141</v>
      </c>
    </row>
    <row r="872" spans="1:7">
      <c r="A872" s="1">
        <v>871</v>
      </c>
      <c r="B872" s="1" t="s">
        <v>3524</v>
      </c>
      <c r="D872" s="1" t="s">
        <v>3519</v>
      </c>
      <c r="E872" s="1" t="s">
        <v>1016</v>
      </c>
      <c r="F872" s="1" t="s">
        <v>1143</v>
      </c>
      <c r="G872" s="1" t="s">
        <v>1144</v>
      </c>
    </row>
    <row r="873" spans="1:7">
      <c r="A873" s="1">
        <v>872</v>
      </c>
      <c r="B873" s="1" t="s">
        <v>3525</v>
      </c>
      <c r="D873" s="1" t="s">
        <v>3519</v>
      </c>
      <c r="E873" s="1" t="s">
        <v>1019</v>
      </c>
      <c r="F873" s="1" t="s">
        <v>1146</v>
      </c>
      <c r="G873" s="1" t="s">
        <v>1147</v>
      </c>
    </row>
    <row r="874" spans="1:7">
      <c r="A874" s="1">
        <v>873</v>
      </c>
      <c r="B874" s="1" t="s">
        <v>3526</v>
      </c>
      <c r="D874" s="1" t="s">
        <v>3527</v>
      </c>
      <c r="E874" s="1" t="s">
        <v>1028</v>
      </c>
      <c r="F874" s="1" t="s">
        <v>1154</v>
      </c>
      <c r="G874" s="1" t="s">
        <v>1155</v>
      </c>
    </row>
    <row r="875" spans="1:7">
      <c r="A875" s="1">
        <v>874</v>
      </c>
      <c r="B875" s="1" t="s">
        <v>3528</v>
      </c>
      <c r="D875" s="1" t="s">
        <v>3527</v>
      </c>
      <c r="E875" s="1" t="s">
        <v>1048</v>
      </c>
      <c r="F875" s="1" t="s">
        <v>1172</v>
      </c>
      <c r="G875" s="1" t="s">
        <v>1173</v>
      </c>
    </row>
    <row r="876" spans="1:7">
      <c r="A876" s="1">
        <v>875</v>
      </c>
      <c r="B876" s="1" t="s">
        <v>3529</v>
      </c>
      <c r="D876" s="1" t="s">
        <v>3527</v>
      </c>
      <c r="E876" s="1" t="s">
        <v>1031</v>
      </c>
      <c r="F876" s="1" t="s">
        <v>1157</v>
      </c>
      <c r="G876" s="1" t="s">
        <v>1158</v>
      </c>
    </row>
    <row r="877" spans="1:7">
      <c r="A877" s="1">
        <v>876</v>
      </c>
      <c r="B877" s="1" t="s">
        <v>3530</v>
      </c>
      <c r="D877" s="1" t="s">
        <v>3527</v>
      </c>
      <c r="E877" s="1" t="s">
        <v>1036</v>
      </c>
      <c r="F877" s="1" t="s">
        <v>1160</v>
      </c>
      <c r="G877" s="1" t="s">
        <v>1161</v>
      </c>
    </row>
    <row r="878" spans="1:7">
      <c r="A878" s="1">
        <v>877</v>
      </c>
      <c r="B878" s="1" t="s">
        <v>3531</v>
      </c>
      <c r="D878" s="1" t="s">
        <v>3527</v>
      </c>
      <c r="E878" s="1" t="s">
        <v>1039</v>
      </c>
      <c r="F878" s="1" t="s">
        <v>1163</v>
      </c>
      <c r="G878" s="1" t="s">
        <v>1164</v>
      </c>
    </row>
    <row r="879" spans="1:7">
      <c r="A879" s="1">
        <v>878</v>
      </c>
      <c r="B879" s="1" t="s">
        <v>3532</v>
      </c>
      <c r="D879" s="1" t="s">
        <v>3527</v>
      </c>
      <c r="E879" s="1" t="s">
        <v>1042</v>
      </c>
      <c r="F879" s="1" t="s">
        <v>1166</v>
      </c>
      <c r="G879" s="1" t="s">
        <v>1167</v>
      </c>
    </row>
    <row r="880" spans="1:7">
      <c r="A880" s="1">
        <v>879</v>
      </c>
      <c r="B880" s="1" t="s">
        <v>3533</v>
      </c>
      <c r="D880" s="1" t="s">
        <v>3527</v>
      </c>
      <c r="E880" s="1" t="s">
        <v>1045</v>
      </c>
      <c r="F880" s="1" t="s">
        <v>1169</v>
      </c>
      <c r="G880" s="1" t="s">
        <v>1170</v>
      </c>
    </row>
    <row r="881" spans="1:7">
      <c r="A881" s="1">
        <v>880</v>
      </c>
      <c r="B881" s="1" t="s">
        <v>3534</v>
      </c>
      <c r="D881" s="1" t="s">
        <v>3535</v>
      </c>
      <c r="E881" s="1" t="s">
        <v>1096</v>
      </c>
      <c r="F881" s="1" t="s">
        <v>1195</v>
      </c>
      <c r="G881" s="1" t="s">
        <v>1196</v>
      </c>
    </row>
    <row r="882" spans="1:7">
      <c r="A882" s="1">
        <v>881</v>
      </c>
      <c r="B882" s="1" t="s">
        <v>3536</v>
      </c>
      <c r="D882" s="1" t="s">
        <v>3535</v>
      </c>
      <c r="E882" s="1" t="s">
        <v>1082</v>
      </c>
      <c r="F882" s="1" t="s">
        <v>1180</v>
      </c>
      <c r="G882" s="1" t="s">
        <v>1181</v>
      </c>
    </row>
    <row r="883" spans="1:7">
      <c r="A883" s="1">
        <v>882</v>
      </c>
      <c r="B883" s="1" t="s">
        <v>3537</v>
      </c>
      <c r="D883" s="1" t="s">
        <v>3535</v>
      </c>
      <c r="E883" s="1" t="s">
        <v>3538</v>
      </c>
      <c r="F883" s="1" t="s">
        <v>1183</v>
      </c>
      <c r="G883" s="1" t="s">
        <v>1184</v>
      </c>
    </row>
    <row r="884" spans="1:7">
      <c r="A884" s="1">
        <v>883</v>
      </c>
      <c r="B884" s="1" t="s">
        <v>3539</v>
      </c>
      <c r="D884" s="1" t="s">
        <v>3535</v>
      </c>
      <c r="E884" s="1" t="s">
        <v>1087</v>
      </c>
      <c r="F884" s="1" t="s">
        <v>1186</v>
      </c>
      <c r="G884" s="1" t="s">
        <v>1187</v>
      </c>
    </row>
    <row r="885" spans="1:7">
      <c r="A885" s="1">
        <v>884</v>
      </c>
      <c r="B885" s="1" t="s">
        <v>3540</v>
      </c>
      <c r="D885" s="1" t="s">
        <v>3535</v>
      </c>
      <c r="E885" s="1" t="s">
        <v>1090</v>
      </c>
      <c r="F885" s="1" t="s">
        <v>1189</v>
      </c>
      <c r="G885" s="1" t="s">
        <v>1190</v>
      </c>
    </row>
    <row r="886" spans="1:7">
      <c r="A886" s="1">
        <v>885</v>
      </c>
      <c r="B886" s="1" t="s">
        <v>3541</v>
      </c>
      <c r="D886" s="1" t="s">
        <v>3535</v>
      </c>
      <c r="E886" s="1" t="s">
        <v>1093</v>
      </c>
      <c r="F886" s="1" t="s">
        <v>1192</v>
      </c>
      <c r="G886" s="1" t="s">
        <v>1193</v>
      </c>
    </row>
    <row r="887" spans="1:7">
      <c r="A887" s="1">
        <v>886</v>
      </c>
      <c r="B887" s="1" t="s">
        <v>3542</v>
      </c>
      <c r="D887" s="1" t="s">
        <v>3535</v>
      </c>
      <c r="E887" s="1" t="s">
        <v>1079</v>
      </c>
      <c r="F887" s="1" t="s">
        <v>1177</v>
      </c>
      <c r="G887" s="1" t="s">
        <v>1178</v>
      </c>
    </row>
    <row r="888" spans="1:7">
      <c r="A888" s="1">
        <v>887</v>
      </c>
      <c r="B888" s="1" t="s">
        <v>3543</v>
      </c>
      <c r="D888" s="1" t="s">
        <v>3544</v>
      </c>
      <c r="E888" s="1" t="s">
        <v>1102</v>
      </c>
      <c r="F888" s="1" t="s">
        <v>1200</v>
      </c>
      <c r="G888" s="1" t="s">
        <v>1201</v>
      </c>
    </row>
    <row r="889" spans="1:7">
      <c r="A889" s="1">
        <v>888</v>
      </c>
      <c r="B889" s="1" t="s">
        <v>3545</v>
      </c>
      <c r="D889" s="1" t="s">
        <v>3544</v>
      </c>
      <c r="E889" s="1" t="s">
        <v>1142</v>
      </c>
      <c r="F889" s="1" t="s">
        <v>1218</v>
      </c>
      <c r="G889" s="1" t="s">
        <v>1219</v>
      </c>
    </row>
    <row r="890" spans="1:7">
      <c r="A890" s="1">
        <v>889</v>
      </c>
      <c r="B890" s="1" t="s">
        <v>3546</v>
      </c>
      <c r="D890" s="1" t="s">
        <v>3544</v>
      </c>
      <c r="E890" s="1" t="s">
        <v>3547</v>
      </c>
      <c r="F890" s="1" t="s">
        <v>1203</v>
      </c>
      <c r="G890" s="1" t="s">
        <v>1204</v>
      </c>
    </row>
    <row r="891" spans="1:7">
      <c r="A891" s="1">
        <v>890</v>
      </c>
      <c r="B891" s="1" t="s">
        <v>3548</v>
      </c>
      <c r="D891" s="1" t="s">
        <v>3544</v>
      </c>
      <c r="E891" s="1" t="s">
        <v>1130</v>
      </c>
      <c r="F891" s="1" t="s">
        <v>1206</v>
      </c>
      <c r="G891" s="1" t="s">
        <v>1207</v>
      </c>
    </row>
    <row r="892" spans="1:7">
      <c r="A892" s="1">
        <v>891</v>
      </c>
      <c r="B892" s="1" t="s">
        <v>3549</v>
      </c>
      <c r="D892" s="1" t="s">
        <v>3544</v>
      </c>
      <c r="E892" s="1" t="s">
        <v>1133</v>
      </c>
      <c r="F892" s="1" t="s">
        <v>1209</v>
      </c>
      <c r="G892" s="1" t="s">
        <v>1210</v>
      </c>
    </row>
    <row r="893" spans="1:7">
      <c r="A893" s="1">
        <v>892</v>
      </c>
      <c r="B893" s="1" t="s">
        <v>3550</v>
      </c>
      <c r="D893" s="1" t="s">
        <v>3544</v>
      </c>
      <c r="E893" s="1" t="s">
        <v>1136</v>
      </c>
      <c r="F893" s="1" t="s">
        <v>1212</v>
      </c>
      <c r="G893" s="1" t="s">
        <v>1213</v>
      </c>
    </row>
    <row r="894" spans="1:7">
      <c r="A894" s="1">
        <v>893</v>
      </c>
      <c r="B894" s="1" t="s">
        <v>3551</v>
      </c>
      <c r="D894" s="1" t="s">
        <v>3544</v>
      </c>
      <c r="E894" s="1" t="s">
        <v>1139</v>
      </c>
      <c r="F894" s="1" t="s">
        <v>1215</v>
      </c>
      <c r="G894" s="1" t="s">
        <v>1216</v>
      </c>
    </row>
    <row r="895" spans="1:7">
      <c r="A895" s="1">
        <v>894</v>
      </c>
      <c r="B895" s="1" t="s">
        <v>3552</v>
      </c>
      <c r="D895" s="1" t="s">
        <v>3553</v>
      </c>
      <c r="E895" s="1" t="s">
        <v>3554</v>
      </c>
      <c r="F895" s="1" t="s">
        <v>311</v>
      </c>
      <c r="G895" s="1" t="s">
        <v>312</v>
      </c>
    </row>
    <row r="896" spans="1:7">
      <c r="A896" s="1">
        <v>895</v>
      </c>
      <c r="B896" s="1" t="s">
        <v>3555</v>
      </c>
      <c r="D896" s="1" t="s">
        <v>3553</v>
      </c>
      <c r="E896" s="1" t="s">
        <v>435</v>
      </c>
      <c r="F896" s="1" t="s">
        <v>314</v>
      </c>
      <c r="G896" s="1" t="s">
        <v>315</v>
      </c>
    </row>
    <row r="897" spans="1:7">
      <c r="A897" s="1">
        <v>896</v>
      </c>
      <c r="B897" s="1" t="s">
        <v>3556</v>
      </c>
      <c r="D897" s="1" t="s">
        <v>3557</v>
      </c>
      <c r="E897" s="1" t="s">
        <v>1266</v>
      </c>
      <c r="F897" s="1" t="s">
        <v>630</v>
      </c>
      <c r="G897" s="1" t="s">
        <v>631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S1010"/>
  <sheetViews>
    <sheetView workbookViewId="0">
      <selection activeCell="H14" sqref="H14"/>
    </sheetView>
  </sheetViews>
  <sheetFormatPr defaultColWidth="9" defaultRowHeight="13.5"/>
  <cols>
    <col min="1" max="8" width="9.00833333333333" style="1" customWidth="1"/>
    <col min="9" max="16384" width="9" style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  <c r="S1" s="6"/>
    </row>
    <row r="2" spans="1:19">
      <c r="A2" s="1">
        <v>1</v>
      </c>
      <c r="B2" s="1" t="s">
        <v>3558</v>
      </c>
      <c r="D2" s="1" t="s">
        <v>1349</v>
      </c>
      <c r="E2" s="1" t="s">
        <v>1222</v>
      </c>
      <c r="F2" s="1" t="s">
        <v>688</v>
      </c>
      <c r="G2" s="1" t="s">
        <v>689</v>
      </c>
      <c r="I2" s="1" t="str">
        <f>IFERROR(IF(OR(MID(G2,FIND(":",G2)-1,1)="""",MID(G2,FIND(":",G2)-1,1)="}",MID(G2,FIND(":",G2)-1,1)=")",MID(G2,FIND(":",G2)-1,1)="]"),"",RIGHT(G2,LEN(G2)-FIND(":",G2)-1)),"")</f>
        <v/>
      </c>
      <c r="J2" s="1" t="str">
        <f>IF(AND(I2="",H2=""),G2,IF(H2="",I2,H2&amp;": "&amp;I2))</f>
        <v>接口{#IFNAME}: 网络流量</v>
      </c>
      <c r="K2" s="1" t="str">
        <f>IFERROR(IF(OR(MID(F2,FIND(":",F2)-1,1)="""",MID(F2,FIND(":",F2)-1,1)="}",MID(F2,FIND(":",F2)-1,1)=")",MID(F2,FIND(":",F2)-1,1)="]"),"",RIGHT(F2,LEN(F2)-FIND(":",F2)-1)),"")</f>
        <v/>
      </c>
      <c r="L2" s="1">
        <f>LEN(F2)-LEN(SUBSTITUTE(F2,":",""))</f>
        <v>1</v>
      </c>
      <c r="M2" s="1">
        <f>LEN(G2)-LEN(SUBSTITUTE(G2,":",""))</f>
        <v>1</v>
      </c>
      <c r="N2" s="1">
        <f>LEN(G2)-LEN(SUBSTITUTE(G2,"：",""))</f>
        <v>0</v>
      </c>
      <c r="O2" s="1" t="b">
        <f>IF(M2&gt;=2,MID(G2,FIND(":",G2)+1,LEN(G2)))</f>
        <v>0</v>
      </c>
      <c r="P2" s="1" t="str">
        <f>INDEX(G:G,MATCH(G2,G:G,0))</f>
        <v>接口{#IFNAME}: 网络流量</v>
      </c>
      <c r="Q2" s="1" t="str">
        <f>IF(P2&lt;&gt;G2,"校验","")</f>
        <v/>
      </c>
      <c r="R2" s="1" t="e">
        <f>INDEX('6.0.35'!I:I,MATCH(F2,'6.0.35'!K:K,0))</f>
        <v>#N/A</v>
      </c>
      <c r="S2" s="1" t="str">
        <f>INDEX('6.0.35'!J:J,MATCH(F2,'6.0.35'!F:F,0))</f>
        <v>接口{#IFNAME}: 网络流量</v>
      </c>
    </row>
    <row r="3" spans="1:7">
      <c r="A3" s="1">
        <v>2</v>
      </c>
      <c r="B3" s="1" t="s">
        <v>3559</v>
      </c>
      <c r="D3" s="1" t="s">
        <v>1349</v>
      </c>
      <c r="E3" s="1" t="s">
        <v>3560</v>
      </c>
      <c r="F3" s="1" t="s">
        <v>3561</v>
      </c>
      <c r="G3" s="1" t="s">
        <v>3562</v>
      </c>
    </row>
    <row r="4" spans="1:7">
      <c r="A4" s="1">
        <v>3</v>
      </c>
      <c r="B4" s="1" t="s">
        <v>3563</v>
      </c>
      <c r="D4" s="1" t="s">
        <v>1349</v>
      </c>
      <c r="E4" s="1" t="s">
        <v>3564</v>
      </c>
      <c r="F4" s="1" t="s">
        <v>3565</v>
      </c>
      <c r="G4" s="1" t="s">
        <v>3566</v>
      </c>
    </row>
    <row r="5" spans="1:7">
      <c r="A5" s="1">
        <v>4</v>
      </c>
      <c r="B5" s="1" t="s">
        <v>3567</v>
      </c>
      <c r="D5" s="1" t="s">
        <v>1352</v>
      </c>
      <c r="E5" s="1" t="s">
        <v>3568</v>
      </c>
      <c r="F5" s="1" t="s">
        <v>1354</v>
      </c>
      <c r="G5" s="1" t="s">
        <v>1355</v>
      </c>
    </row>
    <row r="6" spans="1:7">
      <c r="A6" s="1">
        <v>5</v>
      </c>
      <c r="B6" s="1" t="s">
        <v>3569</v>
      </c>
      <c r="D6" s="1" t="s">
        <v>1352</v>
      </c>
      <c r="E6" s="1" t="s">
        <v>3570</v>
      </c>
      <c r="F6" s="1" t="s">
        <v>1358</v>
      </c>
      <c r="G6" s="1" t="s">
        <v>1359</v>
      </c>
    </row>
    <row r="7" spans="1:7">
      <c r="A7" s="1">
        <v>6</v>
      </c>
      <c r="B7" s="1" t="s">
        <v>3571</v>
      </c>
      <c r="D7" s="1" t="s">
        <v>1352</v>
      </c>
      <c r="E7" s="1" t="s">
        <v>3572</v>
      </c>
      <c r="F7" s="1" t="s">
        <v>1362</v>
      </c>
      <c r="G7" s="1" t="s">
        <v>1363</v>
      </c>
    </row>
    <row r="8" spans="1:7">
      <c r="A8" s="1">
        <v>7</v>
      </c>
      <c r="B8" s="1" t="s">
        <v>3573</v>
      </c>
      <c r="D8" s="1" t="s">
        <v>1365</v>
      </c>
      <c r="E8" s="1" t="s">
        <v>2150</v>
      </c>
      <c r="F8" s="1" t="s">
        <v>1371</v>
      </c>
      <c r="G8" s="1" t="s">
        <v>1372</v>
      </c>
    </row>
    <row r="9" spans="1:7">
      <c r="A9" s="1">
        <v>8</v>
      </c>
      <c r="B9" s="1" t="s">
        <v>3574</v>
      </c>
      <c r="D9" s="1" t="s">
        <v>1365</v>
      </c>
      <c r="E9" s="1" t="s">
        <v>2154</v>
      </c>
      <c r="F9" s="1" t="s">
        <v>1375</v>
      </c>
      <c r="G9" s="1" t="s">
        <v>1376</v>
      </c>
    </row>
    <row r="10" spans="1:7">
      <c r="A10" s="1">
        <v>9</v>
      </c>
      <c r="B10" s="1" t="s">
        <v>3575</v>
      </c>
      <c r="D10" s="1" t="s">
        <v>1365</v>
      </c>
      <c r="E10" s="1" t="s">
        <v>2158</v>
      </c>
      <c r="F10" s="1" t="s">
        <v>1367</v>
      </c>
      <c r="G10" s="1" t="s">
        <v>1368</v>
      </c>
    </row>
    <row r="11" spans="1:7">
      <c r="A11" s="1">
        <v>10</v>
      </c>
      <c r="B11" s="1" t="s">
        <v>3576</v>
      </c>
      <c r="D11" s="1" t="s">
        <v>1378</v>
      </c>
      <c r="E11" s="1" t="s">
        <v>1392</v>
      </c>
      <c r="F11" s="1" t="s">
        <v>1380</v>
      </c>
      <c r="G11" s="1" t="s">
        <v>1381</v>
      </c>
    </row>
    <row r="12" spans="1:7">
      <c r="A12" s="1">
        <v>11</v>
      </c>
      <c r="B12" s="1" t="s">
        <v>3577</v>
      </c>
      <c r="D12" s="1" t="s">
        <v>1378</v>
      </c>
      <c r="E12" s="1" t="s">
        <v>1394</v>
      </c>
      <c r="F12" s="1" t="s">
        <v>1384</v>
      </c>
      <c r="G12" s="1" t="s">
        <v>1385</v>
      </c>
    </row>
    <row r="13" spans="1:7">
      <c r="A13" s="1">
        <v>12</v>
      </c>
      <c r="B13" s="1" t="s">
        <v>3578</v>
      </c>
      <c r="D13" s="1" t="s">
        <v>1378</v>
      </c>
      <c r="E13" s="1" t="s">
        <v>1396</v>
      </c>
      <c r="F13" s="1" t="s">
        <v>1388</v>
      </c>
      <c r="G13" s="1" t="s">
        <v>1389</v>
      </c>
    </row>
    <row r="14" spans="1:7">
      <c r="A14" s="1">
        <v>13</v>
      </c>
      <c r="B14" s="1" t="s">
        <v>3579</v>
      </c>
      <c r="D14" s="1" t="s">
        <v>1391</v>
      </c>
      <c r="E14" s="1" t="s">
        <v>3580</v>
      </c>
      <c r="F14" s="1" t="s">
        <v>1380</v>
      </c>
      <c r="G14" s="1" t="s">
        <v>1381</v>
      </c>
    </row>
    <row r="15" spans="1:7">
      <c r="A15" s="1">
        <v>14</v>
      </c>
      <c r="B15" s="1" t="s">
        <v>3581</v>
      </c>
      <c r="D15" s="1" t="s">
        <v>1391</v>
      </c>
      <c r="E15" s="1" t="s">
        <v>3050</v>
      </c>
      <c r="F15" s="1" t="s">
        <v>1384</v>
      </c>
      <c r="G15" s="1" t="s">
        <v>1385</v>
      </c>
    </row>
    <row r="16" spans="1:7">
      <c r="A16" s="1">
        <v>15</v>
      </c>
      <c r="B16" s="1" t="s">
        <v>3582</v>
      </c>
      <c r="D16" s="1" t="s">
        <v>1391</v>
      </c>
      <c r="E16" s="1" t="s">
        <v>3054</v>
      </c>
      <c r="F16" s="1" t="s">
        <v>1388</v>
      </c>
      <c r="G16" s="1" t="s">
        <v>1389</v>
      </c>
    </row>
    <row r="17" spans="1:7">
      <c r="A17" s="1">
        <v>16</v>
      </c>
      <c r="B17" s="1" t="s">
        <v>3583</v>
      </c>
      <c r="D17" s="1" t="s">
        <v>1398</v>
      </c>
      <c r="E17" s="1" t="s">
        <v>3584</v>
      </c>
      <c r="F17" s="1" t="s">
        <v>1400</v>
      </c>
      <c r="G17" s="1" t="s">
        <v>1401</v>
      </c>
    </row>
    <row r="18" spans="1:7">
      <c r="A18" s="1">
        <v>17</v>
      </c>
      <c r="B18" s="1" t="s">
        <v>3585</v>
      </c>
      <c r="D18" s="1" t="s">
        <v>1398</v>
      </c>
      <c r="E18" s="1" t="s">
        <v>3586</v>
      </c>
      <c r="F18" s="1" t="s">
        <v>1404</v>
      </c>
      <c r="G18" s="1" t="s">
        <v>1405</v>
      </c>
    </row>
    <row r="19" spans="1:7">
      <c r="A19" s="1">
        <v>18</v>
      </c>
      <c r="B19" s="1" t="s">
        <v>3587</v>
      </c>
      <c r="D19" s="1" t="s">
        <v>1398</v>
      </c>
      <c r="E19" s="1" t="s">
        <v>3588</v>
      </c>
      <c r="F19" s="1" t="s">
        <v>1408</v>
      </c>
      <c r="G19" s="1" t="s">
        <v>1409</v>
      </c>
    </row>
    <row r="20" spans="1:7">
      <c r="A20" s="1">
        <v>19</v>
      </c>
      <c r="B20" s="1" t="s">
        <v>3589</v>
      </c>
      <c r="D20" s="1" t="s">
        <v>1398</v>
      </c>
      <c r="E20" s="1" t="s">
        <v>3590</v>
      </c>
      <c r="F20" s="1" t="s">
        <v>1412</v>
      </c>
      <c r="G20" s="1" t="s">
        <v>1413</v>
      </c>
    </row>
    <row r="21" spans="1:7">
      <c r="A21" s="1">
        <v>20</v>
      </c>
      <c r="B21" s="1" t="s">
        <v>3591</v>
      </c>
      <c r="D21" s="1" t="s">
        <v>1398</v>
      </c>
      <c r="E21" s="1" t="s">
        <v>3592</v>
      </c>
      <c r="F21" s="1" t="s">
        <v>1416</v>
      </c>
      <c r="G21" s="1" t="s">
        <v>1417</v>
      </c>
    </row>
    <row r="22" spans="1:7">
      <c r="A22" s="1">
        <v>21</v>
      </c>
      <c r="B22" s="1" t="s">
        <v>3593</v>
      </c>
      <c r="D22" s="1" t="s">
        <v>1398</v>
      </c>
      <c r="E22" s="1" t="s">
        <v>3594</v>
      </c>
      <c r="F22" s="1" t="s">
        <v>1420</v>
      </c>
      <c r="G22" s="1" t="s">
        <v>1421</v>
      </c>
    </row>
    <row r="23" spans="1:7">
      <c r="A23" s="1">
        <v>22</v>
      </c>
      <c r="B23" s="1" t="s">
        <v>3595</v>
      </c>
      <c r="D23" s="1" t="s">
        <v>1398</v>
      </c>
      <c r="E23" s="1" t="s">
        <v>3596</v>
      </c>
      <c r="F23" s="1" t="s">
        <v>1424</v>
      </c>
      <c r="G23" s="1" t="s">
        <v>1425</v>
      </c>
    </row>
    <row r="24" spans="1:7">
      <c r="A24" s="1">
        <v>23</v>
      </c>
      <c r="B24" s="1" t="s">
        <v>3597</v>
      </c>
      <c r="D24" s="1" t="s">
        <v>1427</v>
      </c>
      <c r="E24" s="1" t="s">
        <v>3598</v>
      </c>
      <c r="F24" s="1" t="s">
        <v>1429</v>
      </c>
      <c r="G24" s="1" t="s">
        <v>1430</v>
      </c>
    </row>
    <row r="25" spans="1:7">
      <c r="A25" s="1">
        <v>24</v>
      </c>
      <c r="B25" s="1" t="s">
        <v>3599</v>
      </c>
      <c r="D25" s="1" t="s">
        <v>1427</v>
      </c>
      <c r="E25" s="1" t="s">
        <v>3600</v>
      </c>
      <c r="F25" s="1" t="s">
        <v>1433</v>
      </c>
      <c r="G25" s="1" t="s">
        <v>1434</v>
      </c>
    </row>
    <row r="26" spans="1:7">
      <c r="A26" s="1">
        <v>25</v>
      </c>
      <c r="B26" s="1" t="s">
        <v>3601</v>
      </c>
      <c r="D26" s="1" t="s">
        <v>1436</v>
      </c>
      <c r="E26" s="1" t="s">
        <v>1674</v>
      </c>
      <c r="F26" s="1" t="s">
        <v>1446</v>
      </c>
      <c r="G26" s="1" t="s">
        <v>1447</v>
      </c>
    </row>
    <row r="27" spans="1:7">
      <c r="A27" s="1">
        <v>26</v>
      </c>
      <c r="B27" s="1" t="s">
        <v>3602</v>
      </c>
      <c r="D27" s="1" t="s">
        <v>1436</v>
      </c>
      <c r="E27" s="1" t="s">
        <v>1370</v>
      </c>
      <c r="F27" s="1" t="s">
        <v>1450</v>
      </c>
      <c r="G27" s="1" t="s">
        <v>1451</v>
      </c>
    </row>
    <row r="28" spans="1:7">
      <c r="A28" s="1">
        <v>27</v>
      </c>
      <c r="B28" s="1" t="s">
        <v>3603</v>
      </c>
      <c r="D28" s="1" t="s">
        <v>1436</v>
      </c>
      <c r="E28" s="1" t="s">
        <v>1374</v>
      </c>
      <c r="F28" s="1" t="s">
        <v>1438</v>
      </c>
      <c r="G28" s="1" t="s">
        <v>1439</v>
      </c>
    </row>
    <row r="29" spans="1:7">
      <c r="A29" s="1">
        <v>28</v>
      </c>
      <c r="B29" s="1" t="s">
        <v>3604</v>
      </c>
      <c r="D29" s="1" t="s">
        <v>1436</v>
      </c>
      <c r="E29" s="1" t="s">
        <v>1366</v>
      </c>
      <c r="F29" s="1" t="s">
        <v>1442</v>
      </c>
      <c r="G29" s="1" t="s">
        <v>1443</v>
      </c>
    </row>
    <row r="30" spans="1:7">
      <c r="A30" s="1">
        <v>29</v>
      </c>
      <c r="B30" s="1" t="s">
        <v>3605</v>
      </c>
      <c r="D30" s="1" t="s">
        <v>1436</v>
      </c>
      <c r="E30" s="1" t="s">
        <v>3606</v>
      </c>
      <c r="F30" s="1" t="s">
        <v>1454</v>
      </c>
      <c r="G30" s="1" t="s">
        <v>1455</v>
      </c>
    </row>
    <row r="31" spans="1:7">
      <c r="A31" s="1">
        <v>30</v>
      </c>
      <c r="B31" s="1" t="s">
        <v>3607</v>
      </c>
      <c r="D31" s="1" t="s">
        <v>1436</v>
      </c>
      <c r="E31" s="1" t="s">
        <v>3608</v>
      </c>
      <c r="F31" s="1" t="s">
        <v>1458</v>
      </c>
      <c r="G31" s="1" t="s">
        <v>1459</v>
      </c>
    </row>
    <row r="32" spans="1:7">
      <c r="A32" s="1">
        <v>31</v>
      </c>
      <c r="B32" s="1" t="s">
        <v>3609</v>
      </c>
      <c r="D32" s="1" t="s">
        <v>1461</v>
      </c>
      <c r="E32" s="1" t="s">
        <v>3610</v>
      </c>
      <c r="F32" s="1" t="s">
        <v>1463</v>
      </c>
      <c r="G32" s="1" t="s">
        <v>1464</v>
      </c>
    </row>
    <row r="33" spans="1:7">
      <c r="A33" s="1">
        <v>32</v>
      </c>
      <c r="B33" s="1" t="s">
        <v>3611</v>
      </c>
      <c r="D33" s="1" t="s">
        <v>1466</v>
      </c>
      <c r="E33" s="1" t="s">
        <v>1467</v>
      </c>
      <c r="F33" s="1" t="s">
        <v>21</v>
      </c>
      <c r="G33" s="1" t="s">
        <v>22</v>
      </c>
    </row>
    <row r="34" spans="1:7">
      <c r="A34" s="1">
        <v>33</v>
      </c>
      <c r="B34" s="1" t="s">
        <v>3612</v>
      </c>
      <c r="D34" s="1" t="s">
        <v>1469</v>
      </c>
      <c r="E34" s="1" t="s">
        <v>406</v>
      </c>
      <c r="F34" s="1" t="s">
        <v>99</v>
      </c>
      <c r="G34" s="1" t="s">
        <v>100</v>
      </c>
    </row>
    <row r="35" spans="1:7">
      <c r="A35" s="1">
        <v>34</v>
      </c>
      <c r="B35" s="1" t="s">
        <v>3613</v>
      </c>
      <c r="D35" s="1" t="s">
        <v>1469</v>
      </c>
      <c r="E35" s="1" t="s">
        <v>411</v>
      </c>
      <c r="F35" s="1" t="s">
        <v>87</v>
      </c>
      <c r="G35" s="1" t="s">
        <v>88</v>
      </c>
    </row>
    <row r="36" spans="1:7">
      <c r="A36" s="1">
        <v>35</v>
      </c>
      <c r="B36" s="1" t="s">
        <v>3614</v>
      </c>
      <c r="D36" s="1" t="s">
        <v>1469</v>
      </c>
      <c r="E36" s="1" t="s">
        <v>410</v>
      </c>
      <c r="F36" s="1" t="s">
        <v>83</v>
      </c>
      <c r="G36" s="1" t="s">
        <v>84</v>
      </c>
    </row>
    <row r="37" spans="1:7">
      <c r="A37" s="1">
        <v>36</v>
      </c>
      <c r="B37" s="1" t="s">
        <v>3615</v>
      </c>
      <c r="D37" s="1" t="s">
        <v>1469</v>
      </c>
      <c r="E37" s="1" t="s">
        <v>409</v>
      </c>
      <c r="F37" s="1" t="s">
        <v>79</v>
      </c>
      <c r="G37" s="1" t="s">
        <v>80</v>
      </c>
    </row>
    <row r="38" spans="1:7">
      <c r="A38" s="1">
        <v>37</v>
      </c>
      <c r="B38" s="1" t="s">
        <v>3616</v>
      </c>
      <c r="D38" s="1" t="s">
        <v>1469</v>
      </c>
      <c r="E38" s="1" t="s">
        <v>403</v>
      </c>
      <c r="F38" s="1" t="s">
        <v>95</v>
      </c>
      <c r="G38" s="1" t="s">
        <v>96</v>
      </c>
    </row>
    <row r="39" spans="1:7">
      <c r="A39" s="1">
        <v>38</v>
      </c>
      <c r="B39" s="1" t="s">
        <v>3617</v>
      </c>
      <c r="D39" s="1" t="s">
        <v>1469</v>
      </c>
      <c r="E39" s="1" t="s">
        <v>400</v>
      </c>
      <c r="F39" s="1" t="s">
        <v>91</v>
      </c>
      <c r="G39" s="1" t="s">
        <v>92</v>
      </c>
    </row>
    <row r="40" spans="1:7">
      <c r="A40" s="1">
        <v>39</v>
      </c>
      <c r="B40" s="1" t="s">
        <v>3618</v>
      </c>
      <c r="D40" s="1" t="s">
        <v>1476</v>
      </c>
      <c r="E40" s="1" t="s">
        <v>1477</v>
      </c>
      <c r="F40" s="1" t="s">
        <v>319</v>
      </c>
      <c r="G40" s="1" t="s">
        <v>320</v>
      </c>
    </row>
    <row r="41" spans="1:7">
      <c r="A41" s="1">
        <v>40</v>
      </c>
      <c r="B41" s="1" t="s">
        <v>3619</v>
      </c>
      <c r="D41" s="1" t="s">
        <v>1476</v>
      </c>
      <c r="E41" s="1" t="s">
        <v>1479</v>
      </c>
      <c r="F41" s="1" t="s">
        <v>322</v>
      </c>
      <c r="G41" s="1" t="s">
        <v>323</v>
      </c>
    </row>
    <row r="42" spans="1:7">
      <c r="A42" s="1">
        <v>41</v>
      </c>
      <c r="B42" s="1" t="s">
        <v>3620</v>
      </c>
      <c r="D42" s="1" t="s">
        <v>1481</v>
      </c>
      <c r="E42" s="1" t="s">
        <v>1482</v>
      </c>
      <c r="F42" s="1" t="s">
        <v>107</v>
      </c>
      <c r="G42" s="1" t="s">
        <v>108</v>
      </c>
    </row>
    <row r="43" spans="1:7">
      <c r="A43" s="1">
        <v>42</v>
      </c>
      <c r="B43" s="1" t="s">
        <v>3621</v>
      </c>
      <c r="D43" s="1" t="s">
        <v>1481</v>
      </c>
      <c r="E43" s="1" t="s">
        <v>1484</v>
      </c>
      <c r="F43" s="1" t="s">
        <v>104</v>
      </c>
      <c r="G43" s="1" t="s">
        <v>105</v>
      </c>
    </row>
    <row r="44" spans="1:7">
      <c r="A44" s="1">
        <v>43</v>
      </c>
      <c r="B44" s="1" t="s">
        <v>3622</v>
      </c>
      <c r="D44" s="1" t="s">
        <v>1481</v>
      </c>
      <c r="E44" s="1" t="s">
        <v>1486</v>
      </c>
      <c r="F44" s="1" t="s">
        <v>110</v>
      </c>
      <c r="G44" s="1" t="s">
        <v>111</v>
      </c>
    </row>
    <row r="45" spans="1:7">
      <c r="A45" s="1">
        <v>44</v>
      </c>
      <c r="B45" s="1" t="s">
        <v>3623</v>
      </c>
      <c r="D45" s="1" t="s">
        <v>1488</v>
      </c>
      <c r="E45" s="1" t="s">
        <v>114</v>
      </c>
      <c r="F45" s="1" t="s">
        <v>115</v>
      </c>
      <c r="G45" s="1" t="s">
        <v>116</v>
      </c>
    </row>
    <row r="46" spans="1:7">
      <c r="A46" s="1">
        <v>45</v>
      </c>
      <c r="B46" s="1" t="s">
        <v>3624</v>
      </c>
      <c r="D46" s="1" t="s">
        <v>1488</v>
      </c>
      <c r="E46" s="1" t="s">
        <v>117</v>
      </c>
      <c r="F46" s="1" t="s">
        <v>118</v>
      </c>
      <c r="G46" s="1" t="s">
        <v>119</v>
      </c>
    </row>
    <row r="47" spans="1:7">
      <c r="A47" s="1">
        <v>46</v>
      </c>
      <c r="B47" s="1" t="s">
        <v>3625</v>
      </c>
      <c r="D47" s="1" t="s">
        <v>1491</v>
      </c>
      <c r="E47" s="1" t="s">
        <v>122</v>
      </c>
      <c r="F47" s="1" t="s">
        <v>115</v>
      </c>
      <c r="G47" s="1" t="s">
        <v>116</v>
      </c>
    </row>
    <row r="48" spans="1:7">
      <c r="A48" s="1">
        <v>47</v>
      </c>
      <c r="B48" s="1" t="s">
        <v>3626</v>
      </c>
      <c r="D48" s="1" t="s">
        <v>1491</v>
      </c>
      <c r="E48" s="1" t="s">
        <v>3627</v>
      </c>
      <c r="F48" s="1" t="s">
        <v>3628</v>
      </c>
      <c r="G48" s="1" t="s">
        <v>3629</v>
      </c>
    </row>
    <row r="49" spans="1:7">
      <c r="A49" s="1">
        <v>48</v>
      </c>
      <c r="B49" s="1" t="s">
        <v>3630</v>
      </c>
      <c r="D49" s="1" t="s">
        <v>1491</v>
      </c>
      <c r="E49" s="1" t="s">
        <v>123</v>
      </c>
      <c r="F49" s="1" t="s">
        <v>118</v>
      </c>
      <c r="G49" s="1" t="s">
        <v>119</v>
      </c>
    </row>
    <row r="50" spans="1:7">
      <c r="A50" s="1">
        <v>49</v>
      </c>
      <c r="B50" s="1" t="s">
        <v>3631</v>
      </c>
      <c r="D50" s="1" t="s">
        <v>3632</v>
      </c>
      <c r="E50" s="1" t="s">
        <v>3633</v>
      </c>
      <c r="F50" s="1" t="s">
        <v>115</v>
      </c>
      <c r="G50" s="1" t="s">
        <v>116</v>
      </c>
    </row>
    <row r="51" spans="1:7">
      <c r="A51" s="1">
        <v>50</v>
      </c>
      <c r="B51" s="1" t="s">
        <v>3634</v>
      </c>
      <c r="D51" s="1" t="s">
        <v>3632</v>
      </c>
      <c r="E51" s="1" t="s">
        <v>3635</v>
      </c>
      <c r="F51" s="1" t="s">
        <v>3628</v>
      </c>
      <c r="G51" s="1" t="s">
        <v>3629</v>
      </c>
    </row>
    <row r="52" spans="1:7">
      <c r="A52" s="1">
        <v>51</v>
      </c>
      <c r="B52" s="1" t="s">
        <v>3636</v>
      </c>
      <c r="D52" s="1" t="s">
        <v>3632</v>
      </c>
      <c r="E52" s="1" t="s">
        <v>3637</v>
      </c>
      <c r="F52" s="1" t="s">
        <v>118</v>
      </c>
      <c r="G52" s="1" t="s">
        <v>119</v>
      </c>
    </row>
    <row r="53" spans="1:7">
      <c r="A53" s="1">
        <v>52</v>
      </c>
      <c r="B53" s="1" t="s">
        <v>3638</v>
      </c>
      <c r="D53" s="1" t="s">
        <v>1494</v>
      </c>
      <c r="E53" s="1" t="s">
        <v>1495</v>
      </c>
      <c r="F53" s="1" t="s">
        <v>21</v>
      </c>
      <c r="G53" s="1" t="s">
        <v>22</v>
      </c>
    </row>
    <row r="54" spans="1:7">
      <c r="A54" s="1">
        <v>53</v>
      </c>
      <c r="B54" s="1" t="s">
        <v>3639</v>
      </c>
      <c r="D54" s="1" t="s">
        <v>1494</v>
      </c>
      <c r="E54" s="1" t="s">
        <v>1497</v>
      </c>
      <c r="F54" s="1" t="s">
        <v>630</v>
      </c>
      <c r="G54" s="1" t="s">
        <v>631</v>
      </c>
    </row>
    <row r="55" spans="1:7">
      <c r="A55" s="1">
        <v>54</v>
      </c>
      <c r="B55" s="1" t="s">
        <v>3640</v>
      </c>
      <c r="D55" s="1" t="s">
        <v>1494</v>
      </c>
      <c r="E55" s="1" t="s">
        <v>1499</v>
      </c>
      <c r="F55" s="1" t="s">
        <v>627</v>
      </c>
      <c r="G55" s="1" t="s">
        <v>628</v>
      </c>
    </row>
    <row r="56" spans="1:7">
      <c r="A56" s="1">
        <v>55</v>
      </c>
      <c r="B56" s="1" t="s">
        <v>3641</v>
      </c>
      <c r="D56" s="1" t="s">
        <v>1501</v>
      </c>
      <c r="E56" s="1" t="s">
        <v>2452</v>
      </c>
      <c r="F56" s="1" t="s">
        <v>1503</v>
      </c>
      <c r="G56" s="1" t="s">
        <v>1504</v>
      </c>
    </row>
    <row r="57" spans="1:7">
      <c r="A57" s="1">
        <v>56</v>
      </c>
      <c r="B57" s="1" t="s">
        <v>3642</v>
      </c>
      <c r="D57" s="1" t="s">
        <v>1501</v>
      </c>
      <c r="E57" s="1" t="s">
        <v>3425</v>
      </c>
      <c r="F57" s="1" t="s">
        <v>1507</v>
      </c>
      <c r="G57" s="1" t="s">
        <v>1508</v>
      </c>
    </row>
    <row r="58" spans="1:7">
      <c r="A58" s="1">
        <v>57</v>
      </c>
      <c r="B58" s="1" t="s">
        <v>3643</v>
      </c>
      <c r="D58" s="1" t="s">
        <v>1501</v>
      </c>
      <c r="E58" s="1" t="s">
        <v>3429</v>
      </c>
      <c r="F58" s="1" t="s">
        <v>1511</v>
      </c>
      <c r="G58" s="1" t="s">
        <v>1512</v>
      </c>
    </row>
    <row r="59" spans="1:7">
      <c r="A59" s="1">
        <v>58</v>
      </c>
      <c r="B59" s="1" t="s">
        <v>3644</v>
      </c>
      <c r="D59" s="1" t="s">
        <v>1501</v>
      </c>
      <c r="E59" s="1" t="s">
        <v>3433</v>
      </c>
      <c r="F59" s="1" t="s">
        <v>1515</v>
      </c>
      <c r="G59" s="1" t="s">
        <v>1516</v>
      </c>
    </row>
    <row r="60" spans="1:7">
      <c r="A60" s="1">
        <v>59</v>
      </c>
      <c r="B60" s="1" t="s">
        <v>3645</v>
      </c>
      <c r="D60" s="1" t="s">
        <v>1501</v>
      </c>
      <c r="E60" s="1" t="s">
        <v>3646</v>
      </c>
      <c r="F60" s="1" t="s">
        <v>1519</v>
      </c>
      <c r="G60" s="1" t="s">
        <v>1520</v>
      </c>
    </row>
    <row r="61" spans="1:7">
      <c r="A61" s="1">
        <v>60</v>
      </c>
      <c r="B61" s="1" t="s">
        <v>3647</v>
      </c>
      <c r="D61" s="1" t="s">
        <v>1522</v>
      </c>
      <c r="E61" s="1" t="s">
        <v>1886</v>
      </c>
      <c r="F61" s="1" t="s">
        <v>1524</v>
      </c>
      <c r="G61" s="1" t="s">
        <v>1525</v>
      </c>
    </row>
    <row r="62" spans="1:7">
      <c r="A62" s="1">
        <v>61</v>
      </c>
      <c r="B62" s="1" t="s">
        <v>3648</v>
      </c>
      <c r="D62" s="1" t="s">
        <v>1522</v>
      </c>
      <c r="E62" s="1" t="s">
        <v>1518</v>
      </c>
      <c r="F62" s="1" t="s">
        <v>1528</v>
      </c>
      <c r="G62" s="1" t="s">
        <v>1529</v>
      </c>
    </row>
    <row r="63" spans="1:7">
      <c r="A63" s="1">
        <v>62</v>
      </c>
      <c r="B63" s="1" t="s">
        <v>3649</v>
      </c>
      <c r="D63" s="1" t="s">
        <v>1522</v>
      </c>
      <c r="E63" s="1" t="s">
        <v>3650</v>
      </c>
      <c r="F63" s="1" t="s">
        <v>1532</v>
      </c>
      <c r="G63" s="1" t="s">
        <v>1533</v>
      </c>
    </row>
    <row r="64" spans="1:7">
      <c r="A64" s="1">
        <v>63</v>
      </c>
      <c r="B64" s="1" t="s">
        <v>3651</v>
      </c>
      <c r="D64" s="1" t="s">
        <v>1522</v>
      </c>
      <c r="E64" s="1" t="s">
        <v>1891</v>
      </c>
      <c r="F64" s="1" t="s">
        <v>1536</v>
      </c>
      <c r="G64" s="1" t="s">
        <v>1537</v>
      </c>
    </row>
    <row r="65" spans="1:7">
      <c r="A65" s="1">
        <v>64</v>
      </c>
      <c r="B65" s="1" t="s">
        <v>3652</v>
      </c>
      <c r="D65" s="1" t="s">
        <v>1539</v>
      </c>
      <c r="E65" s="1" t="s">
        <v>1540</v>
      </c>
      <c r="F65" s="1" t="s">
        <v>21</v>
      </c>
      <c r="G65" s="1" t="s">
        <v>22</v>
      </c>
    </row>
    <row r="66" spans="1:7">
      <c r="A66" s="1">
        <v>65</v>
      </c>
      <c r="B66" s="1" t="s">
        <v>3653</v>
      </c>
      <c r="D66" s="1" t="s">
        <v>1542</v>
      </c>
      <c r="E66" s="1" t="s">
        <v>1543</v>
      </c>
      <c r="F66" s="1" t="s">
        <v>21</v>
      </c>
      <c r="G66" s="1" t="s">
        <v>22</v>
      </c>
    </row>
    <row r="67" spans="1:7">
      <c r="A67" s="1">
        <v>66</v>
      </c>
      <c r="B67" s="1" t="s">
        <v>3654</v>
      </c>
      <c r="D67" s="1" t="s">
        <v>1545</v>
      </c>
      <c r="E67" s="1" t="s">
        <v>1546</v>
      </c>
      <c r="F67" s="1" t="s">
        <v>21</v>
      </c>
      <c r="G67" s="1" t="s">
        <v>22</v>
      </c>
    </row>
    <row r="68" spans="1:7">
      <c r="A68" s="1">
        <v>67</v>
      </c>
      <c r="B68" s="1" t="s">
        <v>3655</v>
      </c>
      <c r="D68" s="1" t="s">
        <v>1548</v>
      </c>
      <c r="E68" s="1" t="s">
        <v>848</v>
      </c>
      <c r="F68" s="1" t="s">
        <v>127</v>
      </c>
      <c r="G68" s="1" t="s">
        <v>128</v>
      </c>
    </row>
    <row r="69" spans="1:7">
      <c r="A69" s="1">
        <v>68</v>
      </c>
      <c r="B69" s="1" t="s">
        <v>3656</v>
      </c>
      <c r="D69" s="1" t="s">
        <v>1548</v>
      </c>
      <c r="E69" s="1" t="s">
        <v>1304</v>
      </c>
      <c r="F69" s="1" t="s">
        <v>136</v>
      </c>
      <c r="G69" s="1" t="s">
        <v>137</v>
      </c>
    </row>
    <row r="70" spans="1:7">
      <c r="A70" s="1">
        <v>69</v>
      </c>
      <c r="B70" s="1" t="s">
        <v>3657</v>
      </c>
      <c r="D70" s="1" t="s">
        <v>1548</v>
      </c>
      <c r="E70" s="1" t="s">
        <v>1298</v>
      </c>
      <c r="F70" s="1" t="s">
        <v>130</v>
      </c>
      <c r="G70" s="1" t="s">
        <v>131</v>
      </c>
    </row>
    <row r="71" spans="1:7">
      <c r="A71" s="1">
        <v>70</v>
      </c>
      <c r="B71" s="1" t="s">
        <v>3658</v>
      </c>
      <c r="D71" s="1" t="s">
        <v>1548</v>
      </c>
      <c r="E71" s="1" t="s">
        <v>1301</v>
      </c>
      <c r="F71" s="1" t="s">
        <v>133</v>
      </c>
      <c r="G71" s="1" t="s">
        <v>134</v>
      </c>
    </row>
    <row r="72" spans="1:7">
      <c r="A72" s="1">
        <v>71</v>
      </c>
      <c r="B72" s="1" t="s">
        <v>3659</v>
      </c>
      <c r="D72" s="1" t="s">
        <v>1553</v>
      </c>
      <c r="E72" s="1" t="s">
        <v>1343</v>
      </c>
      <c r="F72" s="1" t="s">
        <v>1344</v>
      </c>
      <c r="G72" s="1" t="s">
        <v>1344</v>
      </c>
    </row>
    <row r="73" spans="1:7">
      <c r="A73" s="1">
        <v>72</v>
      </c>
      <c r="B73" s="1" t="s">
        <v>3660</v>
      </c>
      <c r="D73" s="1" t="s">
        <v>1555</v>
      </c>
      <c r="E73" s="1" t="s">
        <v>3661</v>
      </c>
      <c r="F73" s="1" t="s">
        <v>1557</v>
      </c>
      <c r="G73" s="1" t="s">
        <v>1558</v>
      </c>
    </row>
    <row r="74" spans="1:7">
      <c r="A74" s="1">
        <v>73</v>
      </c>
      <c r="B74" s="1" t="s">
        <v>3662</v>
      </c>
      <c r="D74" s="1" t="s">
        <v>1555</v>
      </c>
      <c r="E74" s="1" t="s">
        <v>3663</v>
      </c>
      <c r="F74" s="1" t="s">
        <v>1561</v>
      </c>
      <c r="G74" s="1" t="s">
        <v>1562</v>
      </c>
    </row>
    <row r="75" spans="1:7">
      <c r="A75" s="1">
        <v>74</v>
      </c>
      <c r="B75" s="1" t="s">
        <v>3664</v>
      </c>
      <c r="D75" s="1" t="s">
        <v>1555</v>
      </c>
      <c r="E75" s="1" t="s">
        <v>3665</v>
      </c>
      <c r="F75" s="1" t="s">
        <v>21</v>
      </c>
      <c r="G75" s="1" t="s">
        <v>22</v>
      </c>
    </row>
    <row r="76" spans="1:7">
      <c r="A76" s="1">
        <v>75</v>
      </c>
      <c r="B76" s="1" t="s">
        <v>3666</v>
      </c>
      <c r="D76" s="1" t="s">
        <v>1555</v>
      </c>
      <c r="E76" s="1" t="s">
        <v>1582</v>
      </c>
      <c r="F76" s="1" t="s">
        <v>1569</v>
      </c>
      <c r="G76" s="1" t="s">
        <v>1570</v>
      </c>
    </row>
    <row r="77" spans="1:7">
      <c r="A77" s="1">
        <v>76</v>
      </c>
      <c r="B77" s="1" t="s">
        <v>3667</v>
      </c>
      <c r="D77" s="1" t="s">
        <v>1555</v>
      </c>
      <c r="E77" s="1" t="s">
        <v>3668</v>
      </c>
      <c r="F77" s="1" t="s">
        <v>1579</v>
      </c>
      <c r="G77" s="1" t="s">
        <v>1580</v>
      </c>
    </row>
    <row r="78" spans="1:7">
      <c r="A78" s="1">
        <v>77</v>
      </c>
      <c r="B78" s="1" t="s">
        <v>3669</v>
      </c>
      <c r="D78" s="1" t="s">
        <v>1555</v>
      </c>
      <c r="E78" s="1" t="s">
        <v>3670</v>
      </c>
      <c r="F78" s="1" t="s">
        <v>1583</v>
      </c>
      <c r="G78" s="1" t="s">
        <v>1584</v>
      </c>
    </row>
    <row r="79" spans="1:7">
      <c r="A79" s="1">
        <v>78</v>
      </c>
      <c r="B79" s="1" t="s">
        <v>3671</v>
      </c>
      <c r="D79" s="1" t="s">
        <v>1555</v>
      </c>
      <c r="E79" s="1" t="s">
        <v>1574</v>
      </c>
      <c r="F79" s="1" t="s">
        <v>1565</v>
      </c>
      <c r="G79" s="1" t="s">
        <v>1566</v>
      </c>
    </row>
    <row r="80" spans="1:7">
      <c r="A80" s="1">
        <v>79</v>
      </c>
      <c r="B80" s="1" t="s">
        <v>3672</v>
      </c>
      <c r="D80" s="1" t="s">
        <v>1555</v>
      </c>
      <c r="E80" s="1" t="s">
        <v>3673</v>
      </c>
      <c r="F80" s="1" t="s">
        <v>1575</v>
      </c>
      <c r="G80" s="1" t="s">
        <v>1576</v>
      </c>
    </row>
    <row r="81" spans="1:7">
      <c r="A81" s="1">
        <v>80</v>
      </c>
      <c r="B81" s="1" t="s">
        <v>3674</v>
      </c>
      <c r="D81" s="1" t="s">
        <v>1586</v>
      </c>
      <c r="E81" s="1" t="s">
        <v>1347</v>
      </c>
      <c r="F81" s="1" t="s">
        <v>739</v>
      </c>
      <c r="G81" s="1" t="s">
        <v>740</v>
      </c>
    </row>
    <row r="82" spans="1:7">
      <c r="A82" s="1">
        <v>81</v>
      </c>
      <c r="B82" s="1" t="s">
        <v>3675</v>
      </c>
      <c r="D82" s="1" t="s">
        <v>1586</v>
      </c>
      <c r="E82" s="1" t="s">
        <v>335</v>
      </c>
      <c r="F82" s="1" t="s">
        <v>742</v>
      </c>
      <c r="G82" s="1" t="s">
        <v>743</v>
      </c>
    </row>
    <row r="83" spans="1:7">
      <c r="A83" s="1">
        <v>82</v>
      </c>
      <c r="B83" s="1" t="s">
        <v>3676</v>
      </c>
      <c r="D83" s="1" t="s">
        <v>1586</v>
      </c>
      <c r="E83" s="1" t="s">
        <v>339</v>
      </c>
      <c r="F83" s="1" t="s">
        <v>745</v>
      </c>
      <c r="G83" s="1" t="s">
        <v>746</v>
      </c>
    </row>
    <row r="84" spans="1:7">
      <c r="A84" s="1">
        <v>83</v>
      </c>
      <c r="B84" s="1" t="s">
        <v>3677</v>
      </c>
      <c r="D84" s="1" t="s">
        <v>1586</v>
      </c>
      <c r="E84" s="1" t="s">
        <v>1590</v>
      </c>
      <c r="F84" s="1" t="s">
        <v>751</v>
      </c>
      <c r="G84" s="1" t="s">
        <v>752</v>
      </c>
    </row>
    <row r="85" spans="1:7">
      <c r="A85" s="1">
        <v>84</v>
      </c>
      <c r="B85" s="1" t="s">
        <v>3678</v>
      </c>
      <c r="D85" s="1" t="s">
        <v>1586</v>
      </c>
      <c r="E85" s="1" t="s">
        <v>343</v>
      </c>
      <c r="F85" s="1" t="s">
        <v>748</v>
      </c>
      <c r="G85" s="1" t="s">
        <v>749</v>
      </c>
    </row>
    <row r="86" spans="1:7">
      <c r="A86" s="1">
        <v>85</v>
      </c>
      <c r="B86" s="1" t="s">
        <v>3679</v>
      </c>
      <c r="D86" s="1" t="s">
        <v>1586</v>
      </c>
      <c r="E86" s="1" t="s">
        <v>347</v>
      </c>
      <c r="F86" s="1" t="s">
        <v>754</v>
      </c>
      <c r="G86" s="1" t="s">
        <v>755</v>
      </c>
    </row>
    <row r="87" spans="1:7">
      <c r="A87" s="1">
        <v>86</v>
      </c>
      <c r="B87" s="1" t="s">
        <v>3680</v>
      </c>
      <c r="D87" s="1" t="s">
        <v>1600</v>
      </c>
      <c r="E87" s="1" t="s">
        <v>1603</v>
      </c>
      <c r="F87" s="1" t="s">
        <v>21</v>
      </c>
      <c r="G87" s="1" t="s">
        <v>22</v>
      </c>
    </row>
    <row r="88" spans="1:7">
      <c r="A88" s="1">
        <v>87</v>
      </c>
      <c r="B88" s="1" t="s">
        <v>3681</v>
      </c>
      <c r="D88" s="1" t="s">
        <v>1600</v>
      </c>
      <c r="E88" s="1" t="s">
        <v>1601</v>
      </c>
      <c r="F88" s="1" t="s">
        <v>12</v>
      </c>
      <c r="G88" s="1" t="s">
        <v>13</v>
      </c>
    </row>
    <row r="89" spans="1:7">
      <c r="A89" s="1">
        <v>88</v>
      </c>
      <c r="B89" s="1" t="s">
        <v>3682</v>
      </c>
      <c r="D89" s="1" t="s">
        <v>1600</v>
      </c>
      <c r="E89" s="1" t="s">
        <v>1605</v>
      </c>
      <c r="F89" s="1" t="s">
        <v>16</v>
      </c>
      <c r="G89" s="1" t="s">
        <v>17</v>
      </c>
    </row>
    <row r="90" spans="1:7">
      <c r="A90" s="1">
        <v>89</v>
      </c>
      <c r="B90" s="1" t="s">
        <v>3683</v>
      </c>
      <c r="D90" s="1" t="s">
        <v>1607</v>
      </c>
      <c r="E90" s="1" t="s">
        <v>1610</v>
      </c>
      <c r="F90" s="1" t="s">
        <v>21</v>
      </c>
      <c r="G90" s="1" t="s">
        <v>22</v>
      </c>
    </row>
    <row r="91" spans="1:7">
      <c r="A91" s="1">
        <v>90</v>
      </c>
      <c r="B91" s="1" t="s">
        <v>3684</v>
      </c>
      <c r="D91" s="1" t="s">
        <v>1607</v>
      </c>
      <c r="E91" s="1" t="s">
        <v>1608</v>
      </c>
      <c r="F91" s="1" t="s">
        <v>12</v>
      </c>
      <c r="G91" s="1" t="s">
        <v>13</v>
      </c>
    </row>
    <row r="92" spans="1:7">
      <c r="A92" s="1">
        <v>91</v>
      </c>
      <c r="B92" s="1" t="s">
        <v>3685</v>
      </c>
      <c r="D92" s="1" t="s">
        <v>1607</v>
      </c>
      <c r="E92" s="1" t="s">
        <v>1612</v>
      </c>
      <c r="F92" s="1" t="s">
        <v>16</v>
      </c>
      <c r="G92" s="1" t="s">
        <v>17</v>
      </c>
    </row>
    <row r="93" spans="1:7">
      <c r="A93" s="1">
        <v>92</v>
      </c>
      <c r="B93" s="1" t="s">
        <v>3686</v>
      </c>
      <c r="D93" s="1" t="s">
        <v>1614</v>
      </c>
      <c r="E93" s="1" t="s">
        <v>1617</v>
      </c>
      <c r="F93" s="1" t="s">
        <v>21</v>
      </c>
      <c r="G93" s="1" t="s">
        <v>22</v>
      </c>
    </row>
    <row r="94" spans="1:7">
      <c r="A94" s="1">
        <v>93</v>
      </c>
      <c r="B94" s="1" t="s">
        <v>3687</v>
      </c>
      <c r="D94" s="1" t="s">
        <v>1614</v>
      </c>
      <c r="E94" s="1" t="s">
        <v>1615</v>
      </c>
      <c r="F94" s="1" t="s">
        <v>12</v>
      </c>
      <c r="G94" s="1" t="s">
        <v>13</v>
      </c>
    </row>
    <row r="95" spans="1:7">
      <c r="A95" s="1">
        <v>94</v>
      </c>
      <c r="B95" s="1" t="s">
        <v>3688</v>
      </c>
      <c r="D95" s="1" t="s">
        <v>1614</v>
      </c>
      <c r="E95" s="1" t="s">
        <v>1619</v>
      </c>
      <c r="F95" s="1" t="s">
        <v>16</v>
      </c>
      <c r="G95" s="1" t="s">
        <v>17</v>
      </c>
    </row>
    <row r="96" spans="1:7">
      <c r="A96" s="1">
        <v>95</v>
      </c>
      <c r="B96" s="1" t="s">
        <v>3689</v>
      </c>
      <c r="D96" s="1" t="s">
        <v>1621</v>
      </c>
      <c r="E96" s="1" t="s">
        <v>1624</v>
      </c>
      <c r="F96" s="1" t="s">
        <v>21</v>
      </c>
      <c r="G96" s="1" t="s">
        <v>22</v>
      </c>
    </row>
    <row r="97" spans="1:7">
      <c r="A97" s="1">
        <v>96</v>
      </c>
      <c r="B97" s="1" t="s">
        <v>3690</v>
      </c>
      <c r="D97" s="1" t="s">
        <v>1621</v>
      </c>
      <c r="E97" s="1" t="s">
        <v>1622</v>
      </c>
      <c r="F97" s="1" t="s">
        <v>12</v>
      </c>
      <c r="G97" s="1" t="s">
        <v>13</v>
      </c>
    </row>
    <row r="98" spans="1:7">
      <c r="A98" s="1">
        <v>97</v>
      </c>
      <c r="B98" s="1" t="s">
        <v>3691</v>
      </c>
      <c r="D98" s="1" t="s">
        <v>1621</v>
      </c>
      <c r="E98" s="1" t="s">
        <v>1626</v>
      </c>
      <c r="F98" s="1" t="s">
        <v>16</v>
      </c>
      <c r="G98" s="1" t="s">
        <v>17</v>
      </c>
    </row>
    <row r="99" spans="1:7">
      <c r="A99" s="1">
        <v>98</v>
      </c>
      <c r="B99" s="1" t="s">
        <v>3692</v>
      </c>
      <c r="D99" s="1" t="s">
        <v>1628</v>
      </c>
      <c r="E99" s="1" t="s">
        <v>1631</v>
      </c>
      <c r="F99" s="1" t="s">
        <v>21</v>
      </c>
      <c r="G99" s="1" t="s">
        <v>22</v>
      </c>
    </row>
    <row r="100" spans="1:7">
      <c r="A100" s="1">
        <v>99</v>
      </c>
      <c r="B100" s="1" t="s">
        <v>3693</v>
      </c>
      <c r="D100" s="1" t="s">
        <v>1628</v>
      </c>
      <c r="E100" s="1" t="s">
        <v>1629</v>
      </c>
      <c r="F100" s="1" t="s">
        <v>12</v>
      </c>
      <c r="G100" s="1" t="s">
        <v>13</v>
      </c>
    </row>
    <row r="101" spans="1:7">
      <c r="A101" s="1">
        <v>100</v>
      </c>
      <c r="B101" s="1" t="s">
        <v>3694</v>
      </c>
      <c r="D101" s="1" t="s">
        <v>1628</v>
      </c>
      <c r="E101" s="1" t="s">
        <v>1633</v>
      </c>
      <c r="F101" s="1" t="s">
        <v>16</v>
      </c>
      <c r="G101" s="1" t="s">
        <v>17</v>
      </c>
    </row>
    <row r="102" spans="1:7">
      <c r="A102" s="1">
        <v>101</v>
      </c>
      <c r="B102" s="1" t="s">
        <v>3695</v>
      </c>
      <c r="D102" s="1" t="s">
        <v>1635</v>
      </c>
      <c r="E102" s="1" t="s">
        <v>1638</v>
      </c>
      <c r="F102" s="1" t="s">
        <v>21</v>
      </c>
      <c r="G102" s="1" t="s">
        <v>22</v>
      </c>
    </row>
    <row r="103" spans="1:7">
      <c r="A103" s="1">
        <v>102</v>
      </c>
      <c r="B103" s="1" t="s">
        <v>3696</v>
      </c>
      <c r="D103" s="1" t="s">
        <v>1635</v>
      </c>
      <c r="E103" s="1" t="s">
        <v>1636</v>
      </c>
      <c r="F103" s="1" t="s">
        <v>12</v>
      </c>
      <c r="G103" s="1" t="s">
        <v>13</v>
      </c>
    </row>
    <row r="104" spans="1:7">
      <c r="A104" s="1">
        <v>103</v>
      </c>
      <c r="B104" s="1" t="s">
        <v>3697</v>
      </c>
      <c r="D104" s="1" t="s">
        <v>1635</v>
      </c>
      <c r="E104" s="1" t="s">
        <v>1640</v>
      </c>
      <c r="F104" s="1" t="s">
        <v>16</v>
      </c>
      <c r="G104" s="1" t="s">
        <v>17</v>
      </c>
    </row>
    <row r="105" spans="1:7">
      <c r="A105" s="1">
        <v>104</v>
      </c>
      <c r="B105" s="1" t="s">
        <v>3698</v>
      </c>
      <c r="D105" s="1" t="s">
        <v>1642</v>
      </c>
      <c r="E105" s="1" t="s">
        <v>1643</v>
      </c>
      <c r="F105" s="1" t="s">
        <v>16</v>
      </c>
      <c r="G105" s="1" t="s">
        <v>17</v>
      </c>
    </row>
    <row r="106" spans="1:7">
      <c r="A106" s="1">
        <v>105</v>
      </c>
      <c r="B106" s="1" t="s">
        <v>3699</v>
      </c>
      <c r="D106" s="1" t="s">
        <v>1645</v>
      </c>
      <c r="E106" s="1" t="s">
        <v>1646</v>
      </c>
      <c r="F106" s="1" t="s">
        <v>21</v>
      </c>
      <c r="G106" s="1" t="s">
        <v>22</v>
      </c>
    </row>
    <row r="107" spans="1:7">
      <c r="A107" s="1">
        <v>106</v>
      </c>
      <c r="B107" s="1" t="s">
        <v>3700</v>
      </c>
      <c r="D107" s="1" t="s">
        <v>1645</v>
      </c>
      <c r="E107" s="1" t="s">
        <v>1648</v>
      </c>
      <c r="F107" s="1" t="s">
        <v>619</v>
      </c>
      <c r="G107" s="1" t="s">
        <v>620</v>
      </c>
    </row>
    <row r="108" spans="1:7">
      <c r="A108" s="1">
        <v>107</v>
      </c>
      <c r="B108" s="1" t="s">
        <v>3701</v>
      </c>
      <c r="D108" s="1" t="s">
        <v>1645</v>
      </c>
      <c r="E108" s="1" t="s">
        <v>1650</v>
      </c>
      <c r="F108" s="1" t="s">
        <v>16</v>
      </c>
      <c r="G108" s="1" t="s">
        <v>17</v>
      </c>
    </row>
    <row r="109" spans="1:7">
      <c r="A109" s="1">
        <v>108</v>
      </c>
      <c r="B109" s="1" t="s">
        <v>3702</v>
      </c>
      <c r="D109" s="1" t="s">
        <v>1652</v>
      </c>
      <c r="E109" s="1" t="s">
        <v>3703</v>
      </c>
      <c r="F109" s="1" t="s">
        <v>1654</v>
      </c>
      <c r="G109" s="1" t="s">
        <v>1655</v>
      </c>
    </row>
    <row r="110" spans="1:7">
      <c r="A110" s="1">
        <v>109</v>
      </c>
      <c r="B110" s="1" t="s">
        <v>3704</v>
      </c>
      <c r="D110" s="1" t="s">
        <v>1652</v>
      </c>
      <c r="E110" s="1" t="s">
        <v>3705</v>
      </c>
      <c r="F110" s="1" t="s">
        <v>1658</v>
      </c>
      <c r="G110" s="1" t="s">
        <v>1659</v>
      </c>
    </row>
    <row r="111" spans="1:7">
      <c r="A111" s="1">
        <v>110</v>
      </c>
      <c r="B111" s="1" t="s">
        <v>3706</v>
      </c>
      <c r="D111" s="1" t="s">
        <v>1661</v>
      </c>
      <c r="E111" s="1" t="s">
        <v>1527</v>
      </c>
      <c r="F111" s="1" t="s">
        <v>1663</v>
      </c>
      <c r="G111" s="1" t="s">
        <v>1664</v>
      </c>
    </row>
    <row r="112" spans="1:7">
      <c r="A112" s="1">
        <v>111</v>
      </c>
      <c r="B112" s="1" t="s">
        <v>3707</v>
      </c>
      <c r="D112" s="1" t="s">
        <v>1661</v>
      </c>
      <c r="E112" s="1" t="s">
        <v>3708</v>
      </c>
      <c r="F112" s="1" t="s">
        <v>1667</v>
      </c>
      <c r="G112" s="1" t="s">
        <v>1668</v>
      </c>
    </row>
    <row r="113" spans="1:7">
      <c r="A113" s="1">
        <v>112</v>
      </c>
      <c r="B113" s="1" t="s">
        <v>3709</v>
      </c>
      <c r="D113" s="1" t="s">
        <v>1661</v>
      </c>
      <c r="E113" s="1" t="s">
        <v>3710</v>
      </c>
      <c r="F113" s="1" t="s">
        <v>1671</v>
      </c>
      <c r="G113" s="1" t="s">
        <v>1672</v>
      </c>
    </row>
    <row r="114" spans="1:7">
      <c r="A114" s="1">
        <v>113</v>
      </c>
      <c r="B114" s="1" t="s">
        <v>3711</v>
      </c>
      <c r="D114" s="1" t="s">
        <v>1661</v>
      </c>
      <c r="E114" s="1" t="s">
        <v>3712</v>
      </c>
      <c r="F114" s="1" t="s">
        <v>1675</v>
      </c>
      <c r="G114" s="1" t="s">
        <v>1676</v>
      </c>
    </row>
    <row r="115" spans="1:7">
      <c r="A115" s="1">
        <v>114</v>
      </c>
      <c r="B115" s="1" t="s">
        <v>3713</v>
      </c>
      <c r="D115" s="1" t="s">
        <v>1678</v>
      </c>
      <c r="E115" s="1" t="s">
        <v>3120</v>
      </c>
      <c r="F115" s="1" t="s">
        <v>21</v>
      </c>
      <c r="G115" s="1" t="s">
        <v>22</v>
      </c>
    </row>
    <row r="116" spans="1:7">
      <c r="A116" s="1">
        <v>115</v>
      </c>
      <c r="B116" s="1" t="s">
        <v>3714</v>
      </c>
      <c r="D116" s="1" t="s">
        <v>1678</v>
      </c>
      <c r="E116" s="1" t="s">
        <v>3122</v>
      </c>
      <c r="F116" s="1" t="s">
        <v>1686</v>
      </c>
      <c r="G116" s="1" t="s">
        <v>1687</v>
      </c>
    </row>
    <row r="117" spans="1:7">
      <c r="A117" s="1">
        <v>116</v>
      </c>
      <c r="B117" s="1" t="s">
        <v>3715</v>
      </c>
      <c r="D117" s="1" t="s">
        <v>1678</v>
      </c>
      <c r="E117" s="1" t="s">
        <v>1729</v>
      </c>
      <c r="F117" s="1" t="s">
        <v>12</v>
      </c>
      <c r="G117" s="1" t="s">
        <v>13</v>
      </c>
    </row>
    <row r="118" spans="1:7">
      <c r="A118" s="1">
        <v>117</v>
      </c>
      <c r="B118" s="1" t="s">
        <v>3716</v>
      </c>
      <c r="D118" s="1" t="s">
        <v>1678</v>
      </c>
      <c r="E118" s="1" t="s">
        <v>3717</v>
      </c>
      <c r="F118" s="1" t="s">
        <v>16</v>
      </c>
      <c r="G118" s="1" t="s">
        <v>17</v>
      </c>
    </row>
    <row r="119" spans="1:7">
      <c r="A119" s="1">
        <v>118</v>
      </c>
      <c r="B119" s="1" t="s">
        <v>3718</v>
      </c>
      <c r="D119" s="1" t="s">
        <v>1689</v>
      </c>
      <c r="E119" s="1" t="s">
        <v>3719</v>
      </c>
      <c r="F119" s="1" t="s">
        <v>1699</v>
      </c>
      <c r="G119" s="1" t="s">
        <v>1700</v>
      </c>
    </row>
    <row r="120" spans="1:7">
      <c r="A120" s="1">
        <v>119</v>
      </c>
      <c r="B120" s="1" t="s">
        <v>3720</v>
      </c>
      <c r="D120" s="1" t="s">
        <v>1689</v>
      </c>
      <c r="E120" s="1" t="s">
        <v>3721</v>
      </c>
      <c r="F120" s="1" t="s">
        <v>1691</v>
      </c>
      <c r="G120" s="1" t="s">
        <v>1692</v>
      </c>
    </row>
    <row r="121" spans="1:7">
      <c r="A121" s="1">
        <v>120</v>
      </c>
      <c r="B121" s="1" t="s">
        <v>3722</v>
      </c>
      <c r="D121" s="1" t="s">
        <v>1689</v>
      </c>
      <c r="E121" s="1" t="s">
        <v>3723</v>
      </c>
      <c r="F121" s="1" t="s">
        <v>1695</v>
      </c>
      <c r="G121" s="1" t="s">
        <v>1696</v>
      </c>
    </row>
    <row r="122" spans="1:7">
      <c r="A122" s="1">
        <v>121</v>
      </c>
      <c r="B122" s="1" t="s">
        <v>3724</v>
      </c>
      <c r="D122" s="1" t="s">
        <v>1702</v>
      </c>
      <c r="E122" s="1" t="s">
        <v>1148</v>
      </c>
      <c r="F122" s="1" t="s">
        <v>21</v>
      </c>
      <c r="G122" s="1" t="s">
        <v>22</v>
      </c>
    </row>
    <row r="123" spans="1:7">
      <c r="A123" s="1">
        <v>122</v>
      </c>
      <c r="B123" s="1" t="s">
        <v>3725</v>
      </c>
      <c r="D123" s="1" t="s">
        <v>1704</v>
      </c>
      <c r="E123" s="1" t="s">
        <v>329</v>
      </c>
      <c r="F123" s="1" t="s">
        <v>330</v>
      </c>
      <c r="G123" s="1" t="s">
        <v>331</v>
      </c>
    </row>
    <row r="124" spans="1:7">
      <c r="A124" s="1">
        <v>123</v>
      </c>
      <c r="B124" s="1" t="s">
        <v>3726</v>
      </c>
      <c r="D124" s="1" t="s">
        <v>1704</v>
      </c>
      <c r="E124" s="1" t="s">
        <v>326</v>
      </c>
      <c r="F124" s="1" t="s">
        <v>327</v>
      </c>
      <c r="G124" s="1" t="s">
        <v>328</v>
      </c>
    </row>
    <row r="125" spans="1:7">
      <c r="A125" s="1">
        <v>124</v>
      </c>
      <c r="B125" s="1" t="s">
        <v>3727</v>
      </c>
      <c r="D125" s="1" t="s">
        <v>1707</v>
      </c>
      <c r="E125" s="1" t="s">
        <v>3728</v>
      </c>
      <c r="F125" s="1" t="s">
        <v>1717</v>
      </c>
      <c r="G125" s="1" t="s">
        <v>1718</v>
      </c>
    </row>
    <row r="126" spans="1:7">
      <c r="A126" s="1">
        <v>125</v>
      </c>
      <c r="B126" s="1" t="s">
        <v>3729</v>
      </c>
      <c r="D126" s="1" t="s">
        <v>1707</v>
      </c>
      <c r="E126" s="1" t="s">
        <v>3730</v>
      </c>
      <c r="F126" s="1" t="s">
        <v>1721</v>
      </c>
      <c r="G126" s="1" t="s">
        <v>1722</v>
      </c>
    </row>
    <row r="127" spans="1:7">
      <c r="A127" s="1">
        <v>126</v>
      </c>
      <c r="B127" s="1" t="s">
        <v>3731</v>
      </c>
      <c r="D127" s="1" t="s">
        <v>1707</v>
      </c>
      <c r="E127" s="1" t="s">
        <v>1758</v>
      </c>
      <c r="F127" s="1" t="s">
        <v>1725</v>
      </c>
      <c r="G127" s="1" t="s">
        <v>1726</v>
      </c>
    </row>
    <row r="128" spans="1:7">
      <c r="A128" s="1">
        <v>127</v>
      </c>
      <c r="B128" s="1" t="s">
        <v>3732</v>
      </c>
      <c r="D128" s="1" t="s">
        <v>1707</v>
      </c>
      <c r="E128" s="1" t="s">
        <v>3733</v>
      </c>
      <c r="F128" s="1" t="s">
        <v>1709</v>
      </c>
      <c r="G128" s="1" t="s">
        <v>1710</v>
      </c>
    </row>
    <row r="129" spans="1:7">
      <c r="A129" s="1">
        <v>128</v>
      </c>
      <c r="B129" s="1" t="s">
        <v>3734</v>
      </c>
      <c r="D129" s="1" t="s">
        <v>1707</v>
      </c>
      <c r="E129" s="1" t="s">
        <v>3735</v>
      </c>
      <c r="F129" s="1" t="s">
        <v>1713</v>
      </c>
      <c r="G129" s="1" t="s">
        <v>1714</v>
      </c>
    </row>
    <row r="130" spans="1:7">
      <c r="A130" s="1">
        <v>129</v>
      </c>
      <c r="B130" s="1" t="s">
        <v>3736</v>
      </c>
      <c r="D130" s="1" t="s">
        <v>1728</v>
      </c>
      <c r="E130" s="1" t="s">
        <v>3113</v>
      </c>
      <c r="F130" s="1" t="s">
        <v>1730</v>
      </c>
      <c r="G130" s="1" t="s">
        <v>1731</v>
      </c>
    </row>
    <row r="131" spans="1:7">
      <c r="A131" s="1">
        <v>130</v>
      </c>
      <c r="B131" s="1" t="s">
        <v>3737</v>
      </c>
      <c r="D131" s="1" t="s">
        <v>1733</v>
      </c>
      <c r="E131" s="1" t="s">
        <v>1734</v>
      </c>
      <c r="F131" s="1" t="s">
        <v>21</v>
      </c>
      <c r="G131" s="1" t="s">
        <v>22</v>
      </c>
    </row>
    <row r="132" spans="1:7">
      <c r="A132" s="1">
        <v>131</v>
      </c>
      <c r="B132" s="1" t="s">
        <v>3738</v>
      </c>
      <c r="D132" s="1" t="s">
        <v>1733</v>
      </c>
      <c r="E132" s="1" t="s">
        <v>772</v>
      </c>
      <c r="F132" s="1" t="s">
        <v>773</v>
      </c>
      <c r="G132" s="1" t="s">
        <v>774</v>
      </c>
    </row>
    <row r="133" spans="1:7">
      <c r="A133" s="1">
        <v>132</v>
      </c>
      <c r="B133" s="1" t="s">
        <v>3739</v>
      </c>
      <c r="D133" s="1" t="s">
        <v>1737</v>
      </c>
      <c r="E133" s="1" t="s">
        <v>1739</v>
      </c>
      <c r="F133" s="1" t="s">
        <v>21</v>
      </c>
      <c r="G133" s="1" t="s">
        <v>22</v>
      </c>
    </row>
    <row r="134" spans="1:7">
      <c r="A134" s="1">
        <v>133</v>
      </c>
      <c r="B134" s="1" t="s">
        <v>3740</v>
      </c>
      <c r="D134" s="1" t="s">
        <v>1737</v>
      </c>
      <c r="E134" s="1" t="s">
        <v>778</v>
      </c>
      <c r="F134" s="1" t="s">
        <v>779</v>
      </c>
      <c r="G134" s="1" t="s">
        <v>780</v>
      </c>
    </row>
    <row r="135" spans="1:7">
      <c r="A135" s="1">
        <v>134</v>
      </c>
      <c r="B135" s="1" t="s">
        <v>3741</v>
      </c>
      <c r="D135" s="1" t="s">
        <v>3742</v>
      </c>
      <c r="E135" s="1" t="s">
        <v>3743</v>
      </c>
      <c r="F135" s="1" t="s">
        <v>3744</v>
      </c>
      <c r="G135" s="1" t="s">
        <v>3745</v>
      </c>
    </row>
    <row r="136" spans="1:7">
      <c r="A136" s="1">
        <v>135</v>
      </c>
      <c r="B136" s="1" t="s">
        <v>3746</v>
      </c>
      <c r="D136" s="1" t="s">
        <v>3742</v>
      </c>
      <c r="E136" s="1" t="s">
        <v>3747</v>
      </c>
      <c r="F136" s="1" t="s">
        <v>3748</v>
      </c>
      <c r="G136" s="1" t="s">
        <v>3749</v>
      </c>
    </row>
    <row r="137" spans="1:7">
      <c r="A137" s="1">
        <v>136</v>
      </c>
      <c r="B137" s="1" t="s">
        <v>3750</v>
      </c>
      <c r="D137" s="1" t="s">
        <v>3742</v>
      </c>
      <c r="E137" s="1" t="s">
        <v>3751</v>
      </c>
      <c r="F137" s="1" t="s">
        <v>3752</v>
      </c>
      <c r="G137" s="1" t="s">
        <v>3753</v>
      </c>
    </row>
    <row r="138" spans="1:7">
      <c r="A138" s="1">
        <v>137</v>
      </c>
      <c r="B138" s="1" t="s">
        <v>3754</v>
      </c>
      <c r="D138" s="1" t="s">
        <v>3742</v>
      </c>
      <c r="E138" s="1" t="s">
        <v>3755</v>
      </c>
      <c r="F138" s="1" t="s">
        <v>3756</v>
      </c>
      <c r="G138" s="1" t="s">
        <v>3757</v>
      </c>
    </row>
    <row r="139" spans="1:7">
      <c r="A139" s="1">
        <v>138</v>
      </c>
      <c r="B139" s="1" t="s">
        <v>3758</v>
      </c>
      <c r="D139" s="1" t="s">
        <v>3742</v>
      </c>
      <c r="E139" s="1" t="s">
        <v>3759</v>
      </c>
      <c r="F139" s="1" t="s">
        <v>3760</v>
      </c>
      <c r="G139" s="1" t="s">
        <v>3761</v>
      </c>
    </row>
    <row r="140" spans="1:7">
      <c r="A140" s="1">
        <v>139</v>
      </c>
      <c r="B140" s="1" t="s">
        <v>3762</v>
      </c>
      <c r="D140" s="1" t="s">
        <v>3742</v>
      </c>
      <c r="E140" s="1" t="s">
        <v>3763</v>
      </c>
      <c r="F140" s="1" t="s">
        <v>3764</v>
      </c>
      <c r="G140" s="1" t="s">
        <v>3765</v>
      </c>
    </row>
    <row r="141" spans="1:7">
      <c r="A141" s="1">
        <v>140</v>
      </c>
      <c r="B141" s="1" t="s">
        <v>3766</v>
      </c>
      <c r="D141" s="1" t="s">
        <v>3742</v>
      </c>
      <c r="E141" s="1" t="s">
        <v>3767</v>
      </c>
      <c r="F141" s="1" t="s">
        <v>3768</v>
      </c>
      <c r="G141" s="1" t="s">
        <v>3769</v>
      </c>
    </row>
    <row r="142" spans="1:7">
      <c r="A142" s="1">
        <v>141</v>
      </c>
      <c r="B142" s="1" t="s">
        <v>3770</v>
      </c>
      <c r="D142" s="1" t="s">
        <v>3771</v>
      </c>
      <c r="E142" s="1" t="s">
        <v>3772</v>
      </c>
      <c r="F142" s="1" t="s">
        <v>3744</v>
      </c>
      <c r="G142" s="1" t="s">
        <v>3745</v>
      </c>
    </row>
    <row r="143" spans="1:7">
      <c r="A143" s="1">
        <v>142</v>
      </c>
      <c r="B143" s="1" t="s">
        <v>3773</v>
      </c>
      <c r="D143" s="1" t="s">
        <v>3771</v>
      </c>
      <c r="E143" s="1" t="s">
        <v>3774</v>
      </c>
      <c r="F143" s="1" t="s">
        <v>3748</v>
      </c>
      <c r="G143" s="1" t="s">
        <v>3749</v>
      </c>
    </row>
    <row r="144" spans="1:7">
      <c r="A144" s="1">
        <v>143</v>
      </c>
      <c r="B144" s="1" t="s">
        <v>3775</v>
      </c>
      <c r="D144" s="1" t="s">
        <v>3771</v>
      </c>
      <c r="E144" s="1" t="s">
        <v>3776</v>
      </c>
      <c r="F144" s="1" t="s">
        <v>3777</v>
      </c>
      <c r="G144" s="1" t="s">
        <v>3778</v>
      </c>
    </row>
    <row r="145" spans="1:7">
      <c r="A145" s="1">
        <v>144</v>
      </c>
      <c r="B145" s="1" t="s">
        <v>3779</v>
      </c>
      <c r="D145" s="1" t="s">
        <v>3771</v>
      </c>
      <c r="E145" s="1" t="s">
        <v>3780</v>
      </c>
      <c r="F145" s="1" t="s">
        <v>3781</v>
      </c>
      <c r="G145" s="1" t="s">
        <v>3782</v>
      </c>
    </row>
    <row r="146" spans="1:7">
      <c r="A146" s="1">
        <v>145</v>
      </c>
      <c r="B146" s="1" t="s">
        <v>3783</v>
      </c>
      <c r="D146" s="1" t="s">
        <v>3771</v>
      </c>
      <c r="E146" s="1" t="s">
        <v>3784</v>
      </c>
      <c r="F146" s="1" t="s">
        <v>3785</v>
      </c>
      <c r="G146" s="1" t="s">
        <v>3786</v>
      </c>
    </row>
    <row r="147" spans="1:7">
      <c r="A147" s="1">
        <v>146</v>
      </c>
      <c r="B147" s="1" t="s">
        <v>3787</v>
      </c>
      <c r="D147" s="1" t="s">
        <v>3788</v>
      </c>
      <c r="E147" s="1" t="s">
        <v>3789</v>
      </c>
      <c r="F147" s="1" t="s">
        <v>3790</v>
      </c>
      <c r="G147" s="1" t="s">
        <v>3791</v>
      </c>
    </row>
    <row r="148" spans="1:7">
      <c r="A148" s="1">
        <v>147</v>
      </c>
      <c r="B148" s="1" t="s">
        <v>3792</v>
      </c>
      <c r="D148" s="1" t="s">
        <v>3788</v>
      </c>
      <c r="E148" s="1" t="s">
        <v>3793</v>
      </c>
      <c r="F148" s="1" t="s">
        <v>3794</v>
      </c>
      <c r="G148" s="1" t="s">
        <v>3795</v>
      </c>
    </row>
    <row r="149" spans="1:7">
      <c r="A149" s="1">
        <v>148</v>
      </c>
      <c r="B149" s="1" t="s">
        <v>3796</v>
      </c>
      <c r="D149" s="1" t="s">
        <v>3788</v>
      </c>
      <c r="E149" s="1" t="s">
        <v>3797</v>
      </c>
      <c r="F149" s="1" t="s">
        <v>3798</v>
      </c>
      <c r="G149" s="1" t="s">
        <v>3799</v>
      </c>
    </row>
    <row r="150" spans="1:7">
      <c r="A150" s="1">
        <v>149</v>
      </c>
      <c r="B150" s="1" t="s">
        <v>3800</v>
      </c>
      <c r="D150" s="1" t="s">
        <v>3788</v>
      </c>
      <c r="E150" s="1" t="s">
        <v>3801</v>
      </c>
      <c r="F150" s="1" t="s">
        <v>3802</v>
      </c>
      <c r="G150" s="1" t="s">
        <v>3803</v>
      </c>
    </row>
    <row r="151" spans="1:7">
      <c r="A151" s="1">
        <v>150</v>
      </c>
      <c r="B151" s="1" t="s">
        <v>3804</v>
      </c>
      <c r="D151" s="1" t="s">
        <v>3788</v>
      </c>
      <c r="E151" s="1" t="s">
        <v>3805</v>
      </c>
      <c r="F151" s="1" t="s">
        <v>3806</v>
      </c>
      <c r="G151" s="1" t="s">
        <v>3807</v>
      </c>
    </row>
    <row r="152" spans="1:7">
      <c r="A152" s="1">
        <v>151</v>
      </c>
      <c r="B152" s="1" t="s">
        <v>3808</v>
      </c>
      <c r="D152" s="1" t="s">
        <v>3788</v>
      </c>
      <c r="E152" s="1" t="s">
        <v>3809</v>
      </c>
      <c r="F152" s="1" t="s">
        <v>3810</v>
      </c>
      <c r="G152" s="1" t="s">
        <v>3811</v>
      </c>
    </row>
    <row r="153" spans="1:7">
      <c r="A153" s="1">
        <v>152</v>
      </c>
      <c r="B153" s="1" t="s">
        <v>3812</v>
      </c>
      <c r="D153" s="1" t="s">
        <v>3788</v>
      </c>
      <c r="E153" s="1" t="s">
        <v>3813</v>
      </c>
      <c r="F153" s="1" t="s">
        <v>3814</v>
      </c>
      <c r="G153" s="1" t="s">
        <v>3815</v>
      </c>
    </row>
    <row r="154" spans="1:7">
      <c r="A154" s="1">
        <v>153</v>
      </c>
      <c r="B154" s="1" t="s">
        <v>3816</v>
      </c>
      <c r="D154" s="1" t="s">
        <v>3817</v>
      </c>
      <c r="E154" s="1" t="s">
        <v>3818</v>
      </c>
      <c r="F154" s="1" t="s">
        <v>3790</v>
      </c>
      <c r="G154" s="1" t="s">
        <v>3791</v>
      </c>
    </row>
    <row r="155" spans="1:7">
      <c r="A155" s="1">
        <v>154</v>
      </c>
      <c r="B155" s="1" t="s">
        <v>3819</v>
      </c>
      <c r="D155" s="1" t="s">
        <v>3817</v>
      </c>
      <c r="E155" s="1" t="s">
        <v>3820</v>
      </c>
      <c r="F155" s="1" t="s">
        <v>3794</v>
      </c>
      <c r="G155" s="1" t="s">
        <v>3795</v>
      </c>
    </row>
    <row r="156" spans="1:7">
      <c r="A156" s="1">
        <v>155</v>
      </c>
      <c r="B156" s="1" t="s">
        <v>3821</v>
      </c>
      <c r="D156" s="1" t="s">
        <v>3817</v>
      </c>
      <c r="E156" s="1" t="s">
        <v>3822</v>
      </c>
      <c r="F156" s="1" t="s">
        <v>3823</v>
      </c>
      <c r="G156" s="1" t="s">
        <v>3824</v>
      </c>
    </row>
    <row r="157" spans="1:7">
      <c r="A157" s="1">
        <v>156</v>
      </c>
      <c r="B157" s="1" t="s">
        <v>3825</v>
      </c>
      <c r="D157" s="1" t="s">
        <v>3817</v>
      </c>
      <c r="E157" s="1" t="s">
        <v>3826</v>
      </c>
      <c r="F157" s="1" t="s">
        <v>3827</v>
      </c>
      <c r="G157" s="1" t="s">
        <v>3828</v>
      </c>
    </row>
    <row r="158" spans="1:7">
      <c r="A158" s="1">
        <v>157</v>
      </c>
      <c r="B158" s="1" t="s">
        <v>3829</v>
      </c>
      <c r="D158" s="1" t="s">
        <v>3817</v>
      </c>
      <c r="E158" s="1" t="s">
        <v>3830</v>
      </c>
      <c r="F158" s="1" t="s">
        <v>3831</v>
      </c>
      <c r="G158" s="1" t="s">
        <v>3832</v>
      </c>
    </row>
    <row r="159" spans="1:7">
      <c r="A159" s="1">
        <v>158</v>
      </c>
      <c r="B159" s="1" t="s">
        <v>3833</v>
      </c>
      <c r="D159" s="1" t="s">
        <v>3834</v>
      </c>
      <c r="E159" s="1" t="s">
        <v>3835</v>
      </c>
      <c r="F159" s="1" t="s">
        <v>3836</v>
      </c>
      <c r="G159" s="1" t="s">
        <v>3837</v>
      </c>
    </row>
    <row r="160" spans="1:7">
      <c r="A160" s="1">
        <v>159</v>
      </c>
      <c r="B160" s="1" t="s">
        <v>3838</v>
      </c>
      <c r="D160" s="1" t="s">
        <v>3834</v>
      </c>
      <c r="E160" s="1" t="s">
        <v>3839</v>
      </c>
      <c r="F160" s="1" t="s">
        <v>3840</v>
      </c>
      <c r="G160" s="1" t="s">
        <v>3841</v>
      </c>
    </row>
    <row r="161" spans="1:7">
      <c r="A161" s="1">
        <v>160</v>
      </c>
      <c r="B161" s="1" t="s">
        <v>3842</v>
      </c>
      <c r="D161" s="1" t="s">
        <v>3834</v>
      </c>
      <c r="E161" s="1" t="s">
        <v>3843</v>
      </c>
      <c r="F161" s="1" t="s">
        <v>3844</v>
      </c>
      <c r="G161" s="1" t="s">
        <v>3845</v>
      </c>
    </row>
    <row r="162" spans="1:7">
      <c r="A162" s="1">
        <v>161</v>
      </c>
      <c r="B162" s="1" t="s">
        <v>3846</v>
      </c>
      <c r="D162" s="1" t="s">
        <v>3834</v>
      </c>
      <c r="E162" s="1" t="s">
        <v>3847</v>
      </c>
      <c r="F162" s="1" t="s">
        <v>3848</v>
      </c>
      <c r="G162" s="1" t="s">
        <v>3849</v>
      </c>
    </row>
    <row r="163" spans="1:7">
      <c r="A163" s="1">
        <v>162</v>
      </c>
      <c r="B163" s="1" t="s">
        <v>3850</v>
      </c>
      <c r="D163" s="1" t="s">
        <v>3834</v>
      </c>
      <c r="E163" s="1" t="s">
        <v>3851</v>
      </c>
      <c r="F163" s="1" t="s">
        <v>3852</v>
      </c>
      <c r="G163" s="1" t="s">
        <v>3853</v>
      </c>
    </row>
    <row r="164" spans="1:7">
      <c r="A164" s="1">
        <v>163</v>
      </c>
      <c r="B164" s="1" t="s">
        <v>3854</v>
      </c>
      <c r="D164" s="1" t="s">
        <v>3834</v>
      </c>
      <c r="E164" s="1" t="s">
        <v>3855</v>
      </c>
      <c r="F164" s="1" t="s">
        <v>3856</v>
      </c>
      <c r="G164" s="1" t="s">
        <v>3857</v>
      </c>
    </row>
    <row r="165" spans="1:7">
      <c r="A165" s="1">
        <v>164</v>
      </c>
      <c r="B165" s="1" t="s">
        <v>3858</v>
      </c>
      <c r="D165" s="1" t="s">
        <v>3834</v>
      </c>
      <c r="E165" s="1" t="s">
        <v>3859</v>
      </c>
      <c r="F165" s="1" t="s">
        <v>3860</v>
      </c>
      <c r="G165" s="1" t="s">
        <v>3861</v>
      </c>
    </row>
    <row r="166" spans="1:7">
      <c r="A166" s="1">
        <v>165</v>
      </c>
      <c r="B166" s="1" t="s">
        <v>3862</v>
      </c>
      <c r="D166" s="1" t="s">
        <v>3863</v>
      </c>
      <c r="E166" s="1" t="s">
        <v>3864</v>
      </c>
      <c r="F166" s="1" t="s">
        <v>3836</v>
      </c>
      <c r="G166" s="1" t="s">
        <v>3837</v>
      </c>
    </row>
    <row r="167" spans="1:7">
      <c r="A167" s="1">
        <v>166</v>
      </c>
      <c r="B167" s="1" t="s">
        <v>3865</v>
      </c>
      <c r="D167" s="1" t="s">
        <v>3863</v>
      </c>
      <c r="E167" s="1" t="s">
        <v>3866</v>
      </c>
      <c r="F167" s="1" t="s">
        <v>3840</v>
      </c>
      <c r="G167" s="1" t="s">
        <v>3841</v>
      </c>
    </row>
    <row r="168" spans="1:7">
      <c r="A168" s="1">
        <v>167</v>
      </c>
      <c r="B168" s="1" t="s">
        <v>3867</v>
      </c>
      <c r="D168" s="1" t="s">
        <v>3863</v>
      </c>
      <c r="E168" s="1" t="s">
        <v>3868</v>
      </c>
      <c r="F168" s="1" t="s">
        <v>3869</v>
      </c>
      <c r="G168" s="1" t="s">
        <v>3870</v>
      </c>
    </row>
    <row r="169" spans="1:7">
      <c r="A169" s="1">
        <v>168</v>
      </c>
      <c r="B169" s="1" t="s">
        <v>3871</v>
      </c>
      <c r="D169" s="1" t="s">
        <v>3863</v>
      </c>
      <c r="E169" s="1" t="s">
        <v>3872</v>
      </c>
      <c r="F169" s="1" t="s">
        <v>3873</v>
      </c>
      <c r="G169" s="1" t="s">
        <v>3874</v>
      </c>
    </row>
    <row r="170" spans="1:7">
      <c r="A170" s="1">
        <v>169</v>
      </c>
      <c r="B170" s="1" t="s">
        <v>3875</v>
      </c>
      <c r="D170" s="1" t="s">
        <v>3863</v>
      </c>
      <c r="E170" s="1" t="s">
        <v>3876</v>
      </c>
      <c r="F170" s="1" t="s">
        <v>3877</v>
      </c>
      <c r="G170" s="1" t="s">
        <v>3878</v>
      </c>
    </row>
    <row r="171" spans="1:7">
      <c r="A171" s="1">
        <v>170</v>
      </c>
      <c r="B171" s="1" t="s">
        <v>3879</v>
      </c>
      <c r="D171" s="1" t="s">
        <v>3880</v>
      </c>
      <c r="E171" s="1" t="s">
        <v>3881</v>
      </c>
      <c r="F171" s="1" t="s">
        <v>3882</v>
      </c>
      <c r="G171" s="1" t="s">
        <v>3883</v>
      </c>
    </row>
    <row r="172" spans="1:7">
      <c r="A172" s="1">
        <v>171</v>
      </c>
      <c r="B172" s="1" t="s">
        <v>3884</v>
      </c>
      <c r="D172" s="1" t="s">
        <v>3880</v>
      </c>
      <c r="E172" s="1" t="s">
        <v>3885</v>
      </c>
      <c r="F172" s="1" t="s">
        <v>3886</v>
      </c>
      <c r="G172" s="1" t="s">
        <v>3887</v>
      </c>
    </row>
    <row r="173" spans="1:7">
      <c r="A173" s="1">
        <v>172</v>
      </c>
      <c r="B173" s="1" t="s">
        <v>3888</v>
      </c>
      <c r="D173" s="1" t="s">
        <v>3880</v>
      </c>
      <c r="E173" s="1" t="s">
        <v>3889</v>
      </c>
      <c r="F173" s="1" t="s">
        <v>3890</v>
      </c>
      <c r="G173" s="1" t="s">
        <v>3891</v>
      </c>
    </row>
    <row r="174" spans="1:7">
      <c r="A174" s="1">
        <v>173</v>
      </c>
      <c r="B174" s="1" t="s">
        <v>3892</v>
      </c>
      <c r="D174" s="1" t="s">
        <v>3880</v>
      </c>
      <c r="E174" s="1" t="s">
        <v>3893</v>
      </c>
      <c r="F174" s="1" t="s">
        <v>3894</v>
      </c>
      <c r="G174" s="1" t="s">
        <v>3895</v>
      </c>
    </row>
    <row r="175" spans="1:7">
      <c r="A175" s="1">
        <v>174</v>
      </c>
      <c r="B175" s="1" t="s">
        <v>3896</v>
      </c>
      <c r="D175" s="1" t="s">
        <v>3880</v>
      </c>
      <c r="E175" s="1" t="s">
        <v>3897</v>
      </c>
      <c r="F175" s="1" t="s">
        <v>3898</v>
      </c>
      <c r="G175" s="1" t="s">
        <v>3899</v>
      </c>
    </row>
    <row r="176" spans="1:7">
      <c r="A176" s="1">
        <v>175</v>
      </c>
      <c r="B176" s="1" t="s">
        <v>3900</v>
      </c>
      <c r="D176" s="1" t="s">
        <v>3880</v>
      </c>
      <c r="E176" s="1" t="s">
        <v>3901</v>
      </c>
      <c r="F176" s="1" t="s">
        <v>3902</v>
      </c>
      <c r="G176" s="1" t="s">
        <v>3903</v>
      </c>
    </row>
    <row r="177" spans="1:7">
      <c r="A177" s="1">
        <v>176</v>
      </c>
      <c r="B177" s="1" t="s">
        <v>3904</v>
      </c>
      <c r="D177" s="1" t="s">
        <v>3880</v>
      </c>
      <c r="E177" s="1" t="s">
        <v>3905</v>
      </c>
      <c r="F177" s="1" t="s">
        <v>3906</v>
      </c>
      <c r="G177" s="1" t="s">
        <v>3907</v>
      </c>
    </row>
    <row r="178" spans="1:7">
      <c r="A178" s="1">
        <v>177</v>
      </c>
      <c r="B178" s="1" t="s">
        <v>3908</v>
      </c>
      <c r="D178" s="1" t="s">
        <v>3909</v>
      </c>
      <c r="E178" s="1" t="s">
        <v>3910</v>
      </c>
      <c r="F178" s="1" t="s">
        <v>3882</v>
      </c>
      <c r="G178" s="1" t="s">
        <v>3883</v>
      </c>
    </row>
    <row r="179" spans="1:7">
      <c r="A179" s="1">
        <v>178</v>
      </c>
      <c r="B179" s="1" t="s">
        <v>3911</v>
      </c>
      <c r="D179" s="1" t="s">
        <v>3909</v>
      </c>
      <c r="E179" s="1" t="s">
        <v>3912</v>
      </c>
      <c r="F179" s="1" t="s">
        <v>3886</v>
      </c>
      <c r="G179" s="1" t="s">
        <v>3887</v>
      </c>
    </row>
    <row r="180" spans="1:7">
      <c r="A180" s="1">
        <v>179</v>
      </c>
      <c r="B180" s="1" t="s">
        <v>3913</v>
      </c>
      <c r="D180" s="1" t="s">
        <v>3909</v>
      </c>
      <c r="E180" s="1" t="s">
        <v>3914</v>
      </c>
      <c r="F180" s="1" t="s">
        <v>3915</v>
      </c>
      <c r="G180" s="1" t="s">
        <v>3916</v>
      </c>
    </row>
    <row r="181" spans="1:7">
      <c r="A181" s="1">
        <v>180</v>
      </c>
      <c r="B181" s="1" t="s">
        <v>3917</v>
      </c>
      <c r="D181" s="1" t="s">
        <v>3909</v>
      </c>
      <c r="E181" s="1" t="s">
        <v>3918</v>
      </c>
      <c r="F181" s="1" t="s">
        <v>3919</v>
      </c>
      <c r="G181" s="1" t="s">
        <v>3920</v>
      </c>
    </row>
    <row r="182" spans="1:7">
      <c r="A182" s="1">
        <v>181</v>
      </c>
      <c r="B182" s="1" t="s">
        <v>3921</v>
      </c>
      <c r="D182" s="1" t="s">
        <v>3909</v>
      </c>
      <c r="E182" s="1" t="s">
        <v>3922</v>
      </c>
      <c r="F182" s="1" t="s">
        <v>3923</v>
      </c>
      <c r="G182" s="1" t="s">
        <v>3924</v>
      </c>
    </row>
    <row r="183" spans="1:7">
      <c r="A183" s="1">
        <v>182</v>
      </c>
      <c r="B183" s="1" t="s">
        <v>3925</v>
      </c>
      <c r="D183" s="1" t="s">
        <v>3926</v>
      </c>
      <c r="E183" s="1" t="s">
        <v>3927</v>
      </c>
      <c r="F183" s="1" t="s">
        <v>3928</v>
      </c>
      <c r="G183" s="1" t="s">
        <v>3929</v>
      </c>
    </row>
    <row r="184" spans="1:7">
      <c r="A184" s="1">
        <v>183</v>
      </c>
      <c r="B184" s="1" t="s">
        <v>3930</v>
      </c>
      <c r="D184" s="1" t="s">
        <v>3926</v>
      </c>
      <c r="E184" s="1" t="s">
        <v>3931</v>
      </c>
      <c r="F184" s="1" t="s">
        <v>3932</v>
      </c>
      <c r="G184" s="1" t="s">
        <v>3933</v>
      </c>
    </row>
    <row r="185" spans="1:7">
      <c r="A185" s="1">
        <v>184</v>
      </c>
      <c r="B185" s="1" t="s">
        <v>3934</v>
      </c>
      <c r="D185" s="1" t="s">
        <v>3926</v>
      </c>
      <c r="E185" s="1" t="s">
        <v>3935</v>
      </c>
      <c r="F185" s="1" t="s">
        <v>3936</v>
      </c>
      <c r="G185" s="1" t="s">
        <v>3937</v>
      </c>
    </row>
    <row r="186" spans="1:7">
      <c r="A186" s="1">
        <v>185</v>
      </c>
      <c r="B186" s="1" t="s">
        <v>3938</v>
      </c>
      <c r="D186" s="1" t="s">
        <v>3926</v>
      </c>
      <c r="E186" s="1" t="s">
        <v>3939</v>
      </c>
      <c r="F186" s="1" t="s">
        <v>3940</v>
      </c>
      <c r="G186" s="1" t="s">
        <v>3941</v>
      </c>
    </row>
    <row r="187" spans="1:7">
      <c r="A187" s="1">
        <v>186</v>
      </c>
      <c r="B187" s="1" t="s">
        <v>3942</v>
      </c>
      <c r="D187" s="1" t="s">
        <v>3926</v>
      </c>
      <c r="E187" s="1" t="s">
        <v>3943</v>
      </c>
      <c r="F187" s="1" t="s">
        <v>3944</v>
      </c>
      <c r="G187" s="1" t="s">
        <v>3945</v>
      </c>
    </row>
    <row r="188" spans="1:7">
      <c r="A188" s="1">
        <v>187</v>
      </c>
      <c r="B188" s="1" t="s">
        <v>3946</v>
      </c>
      <c r="D188" s="1" t="s">
        <v>3926</v>
      </c>
      <c r="E188" s="1" t="s">
        <v>3947</v>
      </c>
      <c r="F188" s="1" t="s">
        <v>3948</v>
      </c>
      <c r="G188" s="1" t="s">
        <v>3949</v>
      </c>
    </row>
    <row r="189" spans="1:7">
      <c r="A189" s="1">
        <v>188</v>
      </c>
      <c r="B189" s="1" t="s">
        <v>3950</v>
      </c>
      <c r="D189" s="1" t="s">
        <v>3926</v>
      </c>
      <c r="E189" s="1" t="s">
        <v>3951</v>
      </c>
      <c r="F189" s="1" t="s">
        <v>3952</v>
      </c>
      <c r="G189" s="1" t="s">
        <v>3953</v>
      </c>
    </row>
    <row r="190" spans="1:7">
      <c r="A190" s="1">
        <v>189</v>
      </c>
      <c r="B190" s="1" t="s">
        <v>3954</v>
      </c>
      <c r="D190" s="1" t="s">
        <v>3955</v>
      </c>
      <c r="E190" s="1" t="s">
        <v>3956</v>
      </c>
      <c r="F190" s="1" t="s">
        <v>3928</v>
      </c>
      <c r="G190" s="1" t="s">
        <v>3929</v>
      </c>
    </row>
    <row r="191" spans="1:7">
      <c r="A191" s="1">
        <v>190</v>
      </c>
      <c r="B191" s="1" t="s">
        <v>3957</v>
      </c>
      <c r="D191" s="1" t="s">
        <v>3955</v>
      </c>
      <c r="E191" s="1" t="s">
        <v>3958</v>
      </c>
      <c r="F191" s="1" t="s">
        <v>3932</v>
      </c>
      <c r="G191" s="1" t="s">
        <v>3933</v>
      </c>
    </row>
    <row r="192" spans="1:7">
      <c r="A192" s="1">
        <v>191</v>
      </c>
      <c r="B192" s="1" t="s">
        <v>3959</v>
      </c>
      <c r="D192" s="1" t="s">
        <v>3955</v>
      </c>
      <c r="E192" s="1" t="s">
        <v>3960</v>
      </c>
      <c r="F192" s="1" t="s">
        <v>3961</v>
      </c>
      <c r="G192" s="1" t="s">
        <v>3962</v>
      </c>
    </row>
    <row r="193" spans="1:7">
      <c r="A193" s="1">
        <v>192</v>
      </c>
      <c r="B193" s="1" t="s">
        <v>3963</v>
      </c>
      <c r="D193" s="1" t="s">
        <v>3955</v>
      </c>
      <c r="E193" s="1" t="s">
        <v>3964</v>
      </c>
      <c r="F193" s="1" t="s">
        <v>3965</v>
      </c>
      <c r="G193" s="1" t="s">
        <v>3966</v>
      </c>
    </row>
    <row r="194" spans="1:7">
      <c r="A194" s="1">
        <v>193</v>
      </c>
      <c r="B194" s="1" t="s">
        <v>3967</v>
      </c>
      <c r="D194" s="1" t="s">
        <v>3955</v>
      </c>
      <c r="E194" s="1" t="s">
        <v>3968</v>
      </c>
      <c r="F194" s="1" t="s">
        <v>3969</v>
      </c>
      <c r="G194" s="1" t="s">
        <v>3970</v>
      </c>
    </row>
    <row r="195" spans="1:7">
      <c r="A195" s="1">
        <v>194</v>
      </c>
      <c r="B195" s="1" t="s">
        <v>3971</v>
      </c>
      <c r="D195" s="1" t="s">
        <v>3972</v>
      </c>
      <c r="E195" s="1" t="s">
        <v>3973</v>
      </c>
      <c r="F195" s="1" t="s">
        <v>3974</v>
      </c>
      <c r="G195" s="1" t="s">
        <v>3975</v>
      </c>
    </row>
    <row r="196" spans="1:7">
      <c r="A196" s="1">
        <v>195</v>
      </c>
      <c r="B196" s="1" t="s">
        <v>3976</v>
      </c>
      <c r="D196" s="1" t="s">
        <v>3972</v>
      </c>
      <c r="E196" s="1" t="s">
        <v>3977</v>
      </c>
      <c r="F196" s="1" t="s">
        <v>3978</v>
      </c>
      <c r="G196" s="1" t="s">
        <v>3979</v>
      </c>
    </row>
    <row r="197" spans="1:7">
      <c r="A197" s="1">
        <v>196</v>
      </c>
      <c r="B197" s="1" t="s">
        <v>3980</v>
      </c>
      <c r="D197" s="1" t="s">
        <v>3972</v>
      </c>
      <c r="E197" s="1" t="s">
        <v>3981</v>
      </c>
      <c r="F197" s="1" t="s">
        <v>3982</v>
      </c>
      <c r="G197" s="1" t="s">
        <v>3983</v>
      </c>
    </row>
    <row r="198" spans="1:7">
      <c r="A198" s="1">
        <v>197</v>
      </c>
      <c r="B198" s="1" t="s">
        <v>3984</v>
      </c>
      <c r="D198" s="1" t="s">
        <v>3972</v>
      </c>
      <c r="E198" s="1" t="s">
        <v>3985</v>
      </c>
      <c r="F198" s="1" t="s">
        <v>3986</v>
      </c>
      <c r="G198" s="1" t="s">
        <v>3987</v>
      </c>
    </row>
    <row r="199" spans="1:7">
      <c r="A199" s="1">
        <v>198</v>
      </c>
      <c r="B199" s="1" t="s">
        <v>3988</v>
      </c>
      <c r="D199" s="1" t="s">
        <v>3972</v>
      </c>
      <c r="E199" s="1" t="s">
        <v>3989</v>
      </c>
      <c r="F199" s="1" t="s">
        <v>3990</v>
      </c>
      <c r="G199" s="1" t="s">
        <v>3991</v>
      </c>
    </row>
    <row r="200" spans="1:7">
      <c r="A200" s="1">
        <v>199</v>
      </c>
      <c r="B200" s="1" t="s">
        <v>3992</v>
      </c>
      <c r="D200" s="1" t="s">
        <v>3972</v>
      </c>
      <c r="E200" s="1" t="s">
        <v>3993</v>
      </c>
      <c r="F200" s="1" t="s">
        <v>3994</v>
      </c>
      <c r="G200" s="1" t="s">
        <v>3995</v>
      </c>
    </row>
    <row r="201" spans="1:7">
      <c r="A201" s="1">
        <v>200</v>
      </c>
      <c r="B201" s="1" t="s">
        <v>3996</v>
      </c>
      <c r="D201" s="1" t="s">
        <v>3972</v>
      </c>
      <c r="E201" s="1" t="s">
        <v>3997</v>
      </c>
      <c r="F201" s="1" t="s">
        <v>3998</v>
      </c>
      <c r="G201" s="1" t="s">
        <v>3999</v>
      </c>
    </row>
    <row r="202" spans="1:7">
      <c r="A202" s="1">
        <v>201</v>
      </c>
      <c r="B202" s="1" t="s">
        <v>4000</v>
      </c>
      <c r="D202" s="1" t="s">
        <v>4001</v>
      </c>
      <c r="E202" s="1" t="s">
        <v>4002</v>
      </c>
      <c r="F202" s="1" t="s">
        <v>3974</v>
      </c>
      <c r="G202" s="1" t="s">
        <v>3975</v>
      </c>
    </row>
    <row r="203" spans="1:7">
      <c r="A203" s="1">
        <v>202</v>
      </c>
      <c r="B203" s="1" t="s">
        <v>4003</v>
      </c>
      <c r="D203" s="1" t="s">
        <v>4001</v>
      </c>
      <c r="E203" s="1" t="s">
        <v>4004</v>
      </c>
      <c r="F203" s="1" t="s">
        <v>3978</v>
      </c>
      <c r="G203" s="1" t="s">
        <v>3979</v>
      </c>
    </row>
    <row r="204" spans="1:7">
      <c r="A204" s="1">
        <v>203</v>
      </c>
      <c r="B204" s="1" t="s">
        <v>4005</v>
      </c>
      <c r="D204" s="1" t="s">
        <v>4001</v>
      </c>
      <c r="E204" s="1" t="s">
        <v>4006</v>
      </c>
      <c r="F204" s="1" t="s">
        <v>4007</v>
      </c>
      <c r="G204" s="1" t="s">
        <v>4008</v>
      </c>
    </row>
    <row r="205" spans="1:7">
      <c r="A205" s="1">
        <v>204</v>
      </c>
      <c r="B205" s="1" t="s">
        <v>4009</v>
      </c>
      <c r="D205" s="1" t="s">
        <v>4001</v>
      </c>
      <c r="E205" s="1" t="s">
        <v>4010</v>
      </c>
      <c r="F205" s="1" t="s">
        <v>4011</v>
      </c>
      <c r="G205" s="1" t="s">
        <v>4012</v>
      </c>
    </row>
    <row r="206" spans="1:7">
      <c r="A206" s="1">
        <v>205</v>
      </c>
      <c r="B206" s="1" t="s">
        <v>4013</v>
      </c>
      <c r="D206" s="1" t="s">
        <v>4001</v>
      </c>
      <c r="E206" s="1" t="s">
        <v>4014</v>
      </c>
      <c r="F206" s="1" t="s">
        <v>4015</v>
      </c>
      <c r="G206" s="1" t="s">
        <v>4016</v>
      </c>
    </row>
    <row r="207" spans="1:7">
      <c r="A207" s="1">
        <v>206</v>
      </c>
      <c r="B207" s="1" t="s">
        <v>4017</v>
      </c>
      <c r="D207" s="1" t="s">
        <v>1741</v>
      </c>
      <c r="E207" s="1" t="s">
        <v>1744</v>
      </c>
      <c r="F207" s="1" t="s">
        <v>21</v>
      </c>
      <c r="G207" s="1" t="s">
        <v>22</v>
      </c>
    </row>
    <row r="208" spans="1:7">
      <c r="A208" s="1">
        <v>207</v>
      </c>
      <c r="B208" s="1" t="s">
        <v>4018</v>
      </c>
      <c r="D208" s="1" t="s">
        <v>1741</v>
      </c>
      <c r="E208" s="1" t="s">
        <v>784</v>
      </c>
      <c r="F208" s="1" t="s">
        <v>12</v>
      </c>
      <c r="G208" s="1" t="s">
        <v>13</v>
      </c>
    </row>
    <row r="209" spans="1:7">
      <c r="A209" s="1">
        <v>208</v>
      </c>
      <c r="B209" s="1" t="s">
        <v>4019</v>
      </c>
      <c r="D209" s="1" t="s">
        <v>1741</v>
      </c>
      <c r="E209" s="1" t="s">
        <v>785</v>
      </c>
      <c r="F209" s="1" t="s">
        <v>786</v>
      </c>
      <c r="G209" s="1" t="s">
        <v>787</v>
      </c>
    </row>
    <row r="210" spans="1:7">
      <c r="A210" s="1">
        <v>209</v>
      </c>
      <c r="B210" s="1" t="s">
        <v>4020</v>
      </c>
      <c r="D210" s="1" t="s">
        <v>4021</v>
      </c>
      <c r="E210" s="1" t="s">
        <v>4022</v>
      </c>
      <c r="F210" s="1" t="s">
        <v>4023</v>
      </c>
      <c r="G210" s="1" t="s">
        <v>4024</v>
      </c>
    </row>
    <row r="211" spans="1:7">
      <c r="A211" s="1">
        <v>210</v>
      </c>
      <c r="B211" s="1" t="s">
        <v>4025</v>
      </c>
      <c r="D211" s="1" t="s">
        <v>4021</v>
      </c>
      <c r="E211" s="1" t="s">
        <v>4026</v>
      </c>
      <c r="F211" s="1" t="s">
        <v>4027</v>
      </c>
      <c r="G211" s="1" t="s">
        <v>4028</v>
      </c>
    </row>
    <row r="212" spans="1:7">
      <c r="A212" s="1">
        <v>211</v>
      </c>
      <c r="B212" s="1" t="s">
        <v>4029</v>
      </c>
      <c r="D212" s="1" t="s">
        <v>4021</v>
      </c>
      <c r="E212" s="1" t="s">
        <v>4030</v>
      </c>
      <c r="F212" s="1" t="s">
        <v>4031</v>
      </c>
      <c r="G212" s="1" t="s">
        <v>4032</v>
      </c>
    </row>
    <row r="213" spans="1:7">
      <c r="A213" s="1">
        <v>212</v>
      </c>
      <c r="B213" s="1" t="s">
        <v>4033</v>
      </c>
      <c r="D213" s="1" t="s">
        <v>4021</v>
      </c>
      <c r="E213" s="1" t="s">
        <v>4034</v>
      </c>
      <c r="F213" s="1" t="s">
        <v>4035</v>
      </c>
      <c r="G213" s="1" t="s">
        <v>4036</v>
      </c>
    </row>
    <row r="214" spans="1:7">
      <c r="A214" s="1">
        <v>213</v>
      </c>
      <c r="B214" s="1" t="s">
        <v>4037</v>
      </c>
      <c r="D214" s="1" t="s">
        <v>4021</v>
      </c>
      <c r="E214" s="1" t="s">
        <v>4038</v>
      </c>
      <c r="F214" s="1" t="s">
        <v>4039</v>
      </c>
      <c r="G214" s="1" t="s">
        <v>4040</v>
      </c>
    </row>
    <row r="215" spans="1:7">
      <c r="A215" s="1">
        <v>214</v>
      </c>
      <c r="B215" s="1" t="s">
        <v>4041</v>
      </c>
      <c r="D215" s="1" t="s">
        <v>1746</v>
      </c>
      <c r="E215" s="1" t="s">
        <v>140</v>
      </c>
      <c r="F215" s="1" t="s">
        <v>141</v>
      </c>
      <c r="G215" s="1" t="s">
        <v>142</v>
      </c>
    </row>
    <row r="216" spans="1:7">
      <c r="A216" s="1">
        <v>215</v>
      </c>
      <c r="B216" s="1" t="s">
        <v>4042</v>
      </c>
      <c r="D216" s="1" t="s">
        <v>1746</v>
      </c>
      <c r="E216" s="1" t="s">
        <v>143</v>
      </c>
      <c r="F216" s="1" t="s">
        <v>144</v>
      </c>
      <c r="G216" s="1" t="s">
        <v>145</v>
      </c>
    </row>
    <row r="217" spans="1:7">
      <c r="A217" s="1">
        <v>216</v>
      </c>
      <c r="B217" s="1" t="s">
        <v>4043</v>
      </c>
      <c r="D217" s="1" t="s">
        <v>1746</v>
      </c>
      <c r="E217" s="1" t="s">
        <v>149</v>
      </c>
      <c r="F217" s="1" t="s">
        <v>150</v>
      </c>
      <c r="G217" s="1" t="s">
        <v>151</v>
      </c>
    </row>
    <row r="218" spans="1:7">
      <c r="A218" s="1">
        <v>217</v>
      </c>
      <c r="B218" s="1" t="s">
        <v>4044</v>
      </c>
      <c r="D218" s="1" t="s">
        <v>1746</v>
      </c>
      <c r="E218" s="1" t="s">
        <v>146</v>
      </c>
      <c r="F218" s="1" t="s">
        <v>147</v>
      </c>
      <c r="G218" s="1" t="s">
        <v>148</v>
      </c>
    </row>
    <row r="219" spans="1:7">
      <c r="A219" s="1">
        <v>218</v>
      </c>
      <c r="B219" s="1" t="s">
        <v>4045</v>
      </c>
      <c r="D219" s="1" t="s">
        <v>1751</v>
      </c>
      <c r="E219" s="1" t="s">
        <v>155</v>
      </c>
      <c r="F219" s="1" t="s">
        <v>156</v>
      </c>
      <c r="G219" s="1" t="s">
        <v>157</v>
      </c>
    </row>
    <row r="220" spans="1:7">
      <c r="A220" s="1">
        <v>219</v>
      </c>
      <c r="B220" s="1" t="s">
        <v>4046</v>
      </c>
      <c r="D220" s="1" t="s">
        <v>1751</v>
      </c>
      <c r="E220" s="1" t="s">
        <v>159</v>
      </c>
      <c r="F220" s="1" t="s">
        <v>160</v>
      </c>
      <c r="G220" s="1" t="s">
        <v>161</v>
      </c>
    </row>
    <row r="221" spans="1:7">
      <c r="A221" s="1">
        <v>220</v>
      </c>
      <c r="B221" s="1" t="s">
        <v>4047</v>
      </c>
      <c r="D221" s="1" t="s">
        <v>1751</v>
      </c>
      <c r="E221" s="1" t="s">
        <v>163</v>
      </c>
      <c r="F221" s="1" t="s">
        <v>164</v>
      </c>
      <c r="G221" s="1" t="s">
        <v>165</v>
      </c>
    </row>
    <row r="222" spans="1:7">
      <c r="A222" s="1">
        <v>221</v>
      </c>
      <c r="B222" s="1" t="s">
        <v>4048</v>
      </c>
      <c r="D222" s="1" t="s">
        <v>1751</v>
      </c>
      <c r="E222" s="1" t="s">
        <v>167</v>
      </c>
      <c r="F222" s="1" t="s">
        <v>168</v>
      </c>
      <c r="G222" s="1" t="s">
        <v>169</v>
      </c>
    </row>
    <row r="223" spans="1:7">
      <c r="A223" s="1">
        <v>222</v>
      </c>
      <c r="B223" s="1" t="s">
        <v>4049</v>
      </c>
      <c r="D223" s="1" t="s">
        <v>1751</v>
      </c>
      <c r="E223" s="1" t="s">
        <v>171</v>
      </c>
      <c r="F223" s="1" t="s">
        <v>172</v>
      </c>
      <c r="G223" s="1" t="s">
        <v>173</v>
      </c>
    </row>
    <row r="224" spans="1:7">
      <c r="A224" s="1">
        <v>223</v>
      </c>
      <c r="B224" s="1" t="s">
        <v>4050</v>
      </c>
      <c r="D224" s="1" t="s">
        <v>1757</v>
      </c>
      <c r="E224" s="1" t="s">
        <v>1720</v>
      </c>
      <c r="F224" s="1" t="s">
        <v>1763</v>
      </c>
      <c r="G224" s="1" t="s">
        <v>1764</v>
      </c>
    </row>
    <row r="225" spans="1:7">
      <c r="A225" s="1">
        <v>224</v>
      </c>
      <c r="B225" s="1" t="s">
        <v>4051</v>
      </c>
      <c r="D225" s="1" t="s">
        <v>1757</v>
      </c>
      <c r="E225" s="1" t="s">
        <v>1716</v>
      </c>
      <c r="F225" s="1" t="s">
        <v>1759</v>
      </c>
      <c r="G225" s="1" t="s">
        <v>1760</v>
      </c>
    </row>
    <row r="226" spans="1:7">
      <c r="A226" s="1">
        <v>225</v>
      </c>
      <c r="B226" s="1" t="s">
        <v>4052</v>
      </c>
      <c r="D226" s="1" t="s">
        <v>1757</v>
      </c>
      <c r="E226" s="1" t="s">
        <v>1724</v>
      </c>
      <c r="F226" s="1" t="s">
        <v>1767</v>
      </c>
      <c r="G226" s="1" t="s">
        <v>1768</v>
      </c>
    </row>
    <row r="227" spans="1:7">
      <c r="A227" s="1">
        <v>226</v>
      </c>
      <c r="B227" s="1" t="s">
        <v>4053</v>
      </c>
      <c r="D227" s="1" t="s">
        <v>1770</v>
      </c>
      <c r="E227" s="1" t="s">
        <v>1773</v>
      </c>
      <c r="F227" s="1" t="s">
        <v>21</v>
      </c>
      <c r="G227" s="1" t="s">
        <v>22</v>
      </c>
    </row>
    <row r="228" spans="1:7">
      <c r="A228" s="1">
        <v>227</v>
      </c>
      <c r="B228" s="1" t="s">
        <v>4054</v>
      </c>
      <c r="D228" s="1" t="s">
        <v>1770</v>
      </c>
      <c r="E228" s="1" t="s">
        <v>791</v>
      </c>
      <c r="F228" s="1" t="s">
        <v>792</v>
      </c>
      <c r="G228" s="1" t="s">
        <v>793</v>
      </c>
    </row>
    <row r="229" spans="1:7">
      <c r="A229" s="1">
        <v>228</v>
      </c>
      <c r="B229" s="1" t="s">
        <v>4055</v>
      </c>
      <c r="D229" s="1" t="s">
        <v>1770</v>
      </c>
      <c r="E229" s="1" t="s">
        <v>794</v>
      </c>
      <c r="F229" s="1" t="s">
        <v>779</v>
      </c>
      <c r="G229" s="1" t="s">
        <v>780</v>
      </c>
    </row>
    <row r="230" spans="1:7">
      <c r="A230" s="1">
        <v>229</v>
      </c>
      <c r="B230" s="1" t="s">
        <v>4056</v>
      </c>
      <c r="D230" s="1" t="s">
        <v>1775</v>
      </c>
      <c r="E230" s="1" t="s">
        <v>351</v>
      </c>
      <c r="F230" s="1" t="s">
        <v>543</v>
      </c>
      <c r="G230" s="1" t="s">
        <v>544</v>
      </c>
    </row>
    <row r="231" spans="1:7">
      <c r="A231" s="1">
        <v>230</v>
      </c>
      <c r="B231" s="1" t="s">
        <v>4057</v>
      </c>
      <c r="D231" s="1" t="s">
        <v>1775</v>
      </c>
      <c r="E231" s="1" t="s">
        <v>355</v>
      </c>
      <c r="F231" s="1" t="s">
        <v>547</v>
      </c>
      <c r="G231" s="1" t="s">
        <v>548</v>
      </c>
    </row>
    <row r="232" spans="1:7">
      <c r="A232" s="1">
        <v>231</v>
      </c>
      <c r="B232" s="1" t="s">
        <v>4058</v>
      </c>
      <c r="D232" s="1" t="s">
        <v>1775</v>
      </c>
      <c r="E232" s="1" t="s">
        <v>359</v>
      </c>
      <c r="F232" s="1" t="s">
        <v>551</v>
      </c>
      <c r="G232" s="1" t="s">
        <v>552</v>
      </c>
    </row>
    <row r="233" spans="1:7">
      <c r="A233" s="1">
        <v>232</v>
      </c>
      <c r="B233" s="1" t="s">
        <v>4059</v>
      </c>
      <c r="D233" s="1" t="s">
        <v>1775</v>
      </c>
      <c r="E233" s="1" t="s">
        <v>363</v>
      </c>
      <c r="F233" s="1" t="s">
        <v>555</v>
      </c>
      <c r="G233" s="1" t="s">
        <v>556</v>
      </c>
    </row>
    <row r="234" spans="1:7">
      <c r="A234" s="1">
        <v>233</v>
      </c>
      <c r="B234" s="1" t="s">
        <v>4060</v>
      </c>
      <c r="D234" s="1" t="s">
        <v>1775</v>
      </c>
      <c r="E234" s="1" t="s">
        <v>367</v>
      </c>
      <c r="F234" s="1" t="s">
        <v>559</v>
      </c>
      <c r="G234" s="1" t="s">
        <v>560</v>
      </c>
    </row>
    <row r="235" spans="1:7">
      <c r="A235" s="1">
        <v>234</v>
      </c>
      <c r="B235" s="1" t="s">
        <v>4061</v>
      </c>
      <c r="D235" s="1" t="s">
        <v>1775</v>
      </c>
      <c r="E235" s="1" t="s">
        <v>371</v>
      </c>
      <c r="F235" s="1" t="s">
        <v>563</v>
      </c>
      <c r="G235" s="1" t="s">
        <v>564</v>
      </c>
    </row>
    <row r="236" spans="1:7">
      <c r="A236" s="1">
        <v>235</v>
      </c>
      <c r="B236" s="1" t="s">
        <v>4062</v>
      </c>
      <c r="D236" s="1" t="s">
        <v>1775</v>
      </c>
      <c r="E236" s="1" t="s">
        <v>375</v>
      </c>
      <c r="F236" s="1" t="s">
        <v>567</v>
      </c>
      <c r="G236" s="1" t="s">
        <v>568</v>
      </c>
    </row>
    <row r="237" spans="1:7">
      <c r="A237" s="1">
        <v>236</v>
      </c>
      <c r="B237" s="1" t="s">
        <v>4063</v>
      </c>
      <c r="D237" s="1" t="s">
        <v>1775</v>
      </c>
      <c r="E237" s="1" t="s">
        <v>379</v>
      </c>
      <c r="F237" s="1" t="s">
        <v>571</v>
      </c>
      <c r="G237" s="1" t="s">
        <v>572</v>
      </c>
    </row>
    <row r="238" spans="1:7">
      <c r="A238" s="1">
        <v>237</v>
      </c>
      <c r="B238" s="1" t="s">
        <v>4064</v>
      </c>
      <c r="D238" s="1" t="s">
        <v>1775</v>
      </c>
      <c r="E238" s="1" t="s">
        <v>542</v>
      </c>
      <c r="F238" s="1" t="s">
        <v>575</v>
      </c>
      <c r="G238" s="1" t="s">
        <v>576</v>
      </c>
    </row>
    <row r="239" spans="1:7">
      <c r="A239" s="1">
        <v>238</v>
      </c>
      <c r="B239" s="1" t="s">
        <v>4065</v>
      </c>
      <c r="D239" s="1" t="s">
        <v>1775</v>
      </c>
      <c r="E239" s="1" t="s">
        <v>546</v>
      </c>
      <c r="F239" s="1" t="s">
        <v>579</v>
      </c>
      <c r="G239" s="1" t="s">
        <v>580</v>
      </c>
    </row>
    <row r="240" spans="1:7">
      <c r="A240" s="1">
        <v>239</v>
      </c>
      <c r="B240" s="1" t="s">
        <v>4066</v>
      </c>
      <c r="D240" s="1" t="s">
        <v>1775</v>
      </c>
      <c r="E240" s="1" t="s">
        <v>554</v>
      </c>
      <c r="F240" s="1" t="s">
        <v>587</v>
      </c>
      <c r="G240" s="1" t="s">
        <v>588</v>
      </c>
    </row>
    <row r="241" spans="1:7">
      <c r="A241" s="1">
        <v>240</v>
      </c>
      <c r="B241" s="1" t="s">
        <v>4067</v>
      </c>
      <c r="D241" s="1" t="s">
        <v>1775</v>
      </c>
      <c r="E241" s="1" t="s">
        <v>550</v>
      </c>
      <c r="F241" s="1" t="s">
        <v>583</v>
      </c>
      <c r="G241" s="1" t="s">
        <v>584</v>
      </c>
    </row>
    <row r="242" spans="1:7">
      <c r="A242" s="1">
        <v>241</v>
      </c>
      <c r="B242" s="1" t="s">
        <v>4068</v>
      </c>
      <c r="D242" s="1" t="s">
        <v>1775</v>
      </c>
      <c r="E242" s="1" t="s">
        <v>558</v>
      </c>
      <c r="F242" s="1" t="s">
        <v>591</v>
      </c>
      <c r="G242" s="1" t="s">
        <v>592</v>
      </c>
    </row>
    <row r="243" spans="1:7">
      <c r="A243" s="1">
        <v>242</v>
      </c>
      <c r="B243" s="1" t="s">
        <v>4069</v>
      </c>
      <c r="D243" s="1" t="s">
        <v>1775</v>
      </c>
      <c r="E243" s="1" t="s">
        <v>562</v>
      </c>
      <c r="F243" s="1" t="s">
        <v>595</v>
      </c>
      <c r="G243" s="1" t="s">
        <v>596</v>
      </c>
    </row>
    <row r="244" spans="1:7">
      <c r="A244" s="1">
        <v>243</v>
      </c>
      <c r="B244" s="1" t="s">
        <v>4070</v>
      </c>
      <c r="D244" s="1" t="s">
        <v>1775</v>
      </c>
      <c r="E244" s="1" t="s">
        <v>566</v>
      </c>
      <c r="F244" s="1" t="s">
        <v>599</v>
      </c>
      <c r="G244" s="1" t="s">
        <v>600</v>
      </c>
    </row>
    <row r="245" spans="1:7">
      <c r="A245" s="1">
        <v>244</v>
      </c>
      <c r="B245" s="1" t="s">
        <v>4071</v>
      </c>
      <c r="D245" s="1" t="s">
        <v>1775</v>
      </c>
      <c r="E245" s="1" t="s">
        <v>570</v>
      </c>
      <c r="F245" s="1" t="s">
        <v>603</v>
      </c>
      <c r="G245" s="1" t="s">
        <v>604</v>
      </c>
    </row>
    <row r="246" spans="1:7">
      <c r="A246" s="1">
        <v>245</v>
      </c>
      <c r="B246" s="1" t="s">
        <v>4072</v>
      </c>
      <c r="D246" s="1" t="s">
        <v>1775</v>
      </c>
      <c r="E246" s="1" t="s">
        <v>574</v>
      </c>
      <c r="F246" s="1" t="s">
        <v>607</v>
      </c>
      <c r="G246" s="1" t="s">
        <v>608</v>
      </c>
    </row>
    <row r="247" spans="1:7">
      <c r="A247" s="1">
        <v>246</v>
      </c>
      <c r="B247" s="1" t="s">
        <v>4073</v>
      </c>
      <c r="D247" s="1" t="s">
        <v>1775</v>
      </c>
      <c r="E247" s="1" t="s">
        <v>578</v>
      </c>
      <c r="F247" s="1" t="s">
        <v>611</v>
      </c>
      <c r="G247" s="1" t="s">
        <v>612</v>
      </c>
    </row>
    <row r="248" spans="1:7">
      <c r="A248" s="1">
        <v>247</v>
      </c>
      <c r="B248" s="1" t="s">
        <v>4074</v>
      </c>
      <c r="D248" s="1" t="s">
        <v>1794</v>
      </c>
      <c r="E248" s="1" t="s">
        <v>4075</v>
      </c>
      <c r="F248" s="1" t="s">
        <v>1800</v>
      </c>
      <c r="G248" s="1" t="s">
        <v>1801</v>
      </c>
    </row>
    <row r="249" spans="1:7">
      <c r="A249" s="1">
        <v>248</v>
      </c>
      <c r="B249" s="1" t="s">
        <v>4076</v>
      </c>
      <c r="D249" s="1" t="s">
        <v>1794</v>
      </c>
      <c r="E249" s="1" t="s">
        <v>1819</v>
      </c>
      <c r="F249" s="1" t="s">
        <v>1804</v>
      </c>
      <c r="G249" s="1" t="s">
        <v>1805</v>
      </c>
    </row>
    <row r="250" spans="1:7">
      <c r="A250" s="1">
        <v>249</v>
      </c>
      <c r="B250" s="1" t="s">
        <v>4077</v>
      </c>
      <c r="D250" s="1" t="s">
        <v>1794</v>
      </c>
      <c r="E250" s="1" t="s">
        <v>1823</v>
      </c>
      <c r="F250" s="1" t="s">
        <v>1796</v>
      </c>
      <c r="G250" s="1" t="s">
        <v>1797</v>
      </c>
    </row>
    <row r="251" spans="1:7">
      <c r="A251" s="1">
        <v>250</v>
      </c>
      <c r="B251" s="1" t="s">
        <v>4078</v>
      </c>
      <c r="D251" s="1" t="s">
        <v>1794</v>
      </c>
      <c r="E251" s="1" t="s">
        <v>4079</v>
      </c>
      <c r="F251" s="1" t="s">
        <v>1808</v>
      </c>
      <c r="G251" s="1" t="s">
        <v>1809</v>
      </c>
    </row>
    <row r="252" spans="1:7">
      <c r="A252" s="1">
        <v>251</v>
      </c>
      <c r="B252" s="1" t="s">
        <v>4080</v>
      </c>
      <c r="D252" s="1" t="s">
        <v>1794</v>
      </c>
      <c r="E252" s="1" t="s">
        <v>4081</v>
      </c>
      <c r="F252" s="1" t="s">
        <v>1812</v>
      </c>
      <c r="G252" s="1" t="s">
        <v>1813</v>
      </c>
    </row>
    <row r="253" spans="1:7">
      <c r="A253" s="1">
        <v>252</v>
      </c>
      <c r="B253" s="1" t="s">
        <v>4082</v>
      </c>
      <c r="D253" s="1" t="s">
        <v>1794</v>
      </c>
      <c r="E253" s="1" t="s">
        <v>4083</v>
      </c>
      <c r="F253" s="1" t="s">
        <v>1816</v>
      </c>
      <c r="G253" s="1" t="s">
        <v>1817</v>
      </c>
    </row>
    <row r="254" spans="1:7">
      <c r="A254" s="1">
        <v>253</v>
      </c>
      <c r="B254" s="1" t="s">
        <v>4084</v>
      </c>
      <c r="D254" s="1" t="s">
        <v>1794</v>
      </c>
      <c r="E254" s="1" t="s">
        <v>1856</v>
      </c>
      <c r="F254" s="1" t="s">
        <v>1824</v>
      </c>
      <c r="G254" s="1" t="s">
        <v>1825</v>
      </c>
    </row>
    <row r="255" spans="1:7">
      <c r="A255" s="1">
        <v>254</v>
      </c>
      <c r="B255" s="1" t="s">
        <v>4085</v>
      </c>
      <c r="D255" s="1" t="s">
        <v>1794</v>
      </c>
      <c r="E255" s="1" t="s">
        <v>4086</v>
      </c>
      <c r="F255" s="1" t="s">
        <v>1820</v>
      </c>
      <c r="G255" s="1" t="s">
        <v>1821</v>
      </c>
    </row>
    <row r="256" spans="1:7">
      <c r="A256" s="1">
        <v>255</v>
      </c>
      <c r="B256" s="1" t="s">
        <v>4087</v>
      </c>
      <c r="D256" s="1" t="s">
        <v>1827</v>
      </c>
      <c r="E256" s="1" t="s">
        <v>1866</v>
      </c>
      <c r="F256" s="1" t="s">
        <v>1833</v>
      </c>
      <c r="G256" s="1" t="s">
        <v>1834</v>
      </c>
    </row>
    <row r="257" spans="1:7">
      <c r="A257" s="1">
        <v>256</v>
      </c>
      <c r="B257" s="1" t="s">
        <v>4088</v>
      </c>
      <c r="D257" s="1" t="s">
        <v>1827</v>
      </c>
      <c r="E257" s="1" t="s">
        <v>1862</v>
      </c>
      <c r="F257" s="1" t="s">
        <v>1837</v>
      </c>
      <c r="G257" s="1" t="s">
        <v>1838</v>
      </c>
    </row>
    <row r="258" spans="1:7">
      <c r="A258" s="1">
        <v>257</v>
      </c>
      <c r="B258" s="1" t="s">
        <v>4089</v>
      </c>
      <c r="D258" s="1" t="s">
        <v>1827</v>
      </c>
      <c r="E258" s="1" t="s">
        <v>1858</v>
      </c>
      <c r="F258" s="1" t="s">
        <v>1841</v>
      </c>
      <c r="G258" s="1" t="s">
        <v>1842</v>
      </c>
    </row>
    <row r="259" spans="1:7">
      <c r="A259" s="1">
        <v>258</v>
      </c>
      <c r="B259" s="1" t="s">
        <v>4090</v>
      </c>
      <c r="D259" s="1" t="s">
        <v>1827</v>
      </c>
      <c r="E259" s="1" t="s">
        <v>1874</v>
      </c>
      <c r="F259" s="1" t="s">
        <v>1845</v>
      </c>
      <c r="G259" s="1" t="s">
        <v>1846</v>
      </c>
    </row>
    <row r="260" spans="1:7">
      <c r="A260" s="1">
        <v>259</v>
      </c>
      <c r="B260" s="1" t="s">
        <v>4091</v>
      </c>
      <c r="D260" s="1" t="s">
        <v>1827</v>
      </c>
      <c r="E260" s="1" t="s">
        <v>1870</v>
      </c>
      <c r="F260" s="1" t="s">
        <v>1849</v>
      </c>
      <c r="G260" s="1" t="s">
        <v>1850</v>
      </c>
    </row>
    <row r="261" spans="1:7">
      <c r="A261" s="1">
        <v>260</v>
      </c>
      <c r="B261" s="1" t="s">
        <v>4092</v>
      </c>
      <c r="D261" s="1" t="s">
        <v>1827</v>
      </c>
      <c r="E261" s="1" t="s">
        <v>1878</v>
      </c>
      <c r="F261" s="1" t="s">
        <v>1853</v>
      </c>
      <c r="G261" s="1" t="s">
        <v>1854</v>
      </c>
    </row>
    <row r="262" spans="1:7">
      <c r="A262" s="1">
        <v>261</v>
      </c>
      <c r="B262" s="1" t="s">
        <v>4093</v>
      </c>
      <c r="D262" s="1" t="s">
        <v>1827</v>
      </c>
      <c r="E262" s="1" t="s">
        <v>2179</v>
      </c>
      <c r="F262" s="1" t="s">
        <v>21</v>
      </c>
      <c r="G262" s="1" t="s">
        <v>22</v>
      </c>
    </row>
    <row r="263" spans="1:7">
      <c r="A263" s="1">
        <v>262</v>
      </c>
      <c r="B263" s="1" t="s">
        <v>4094</v>
      </c>
      <c r="D263" s="1" t="s">
        <v>1827</v>
      </c>
      <c r="E263" s="1" t="s">
        <v>1428</v>
      </c>
      <c r="F263" s="1" t="s">
        <v>1859</v>
      </c>
      <c r="G263" s="1" t="s">
        <v>1860</v>
      </c>
    </row>
    <row r="264" spans="1:7">
      <c r="A264" s="1">
        <v>263</v>
      </c>
      <c r="B264" s="1" t="s">
        <v>4095</v>
      </c>
      <c r="D264" s="1" t="s">
        <v>1827</v>
      </c>
      <c r="E264" s="1" t="s">
        <v>4096</v>
      </c>
      <c r="F264" s="1" t="s">
        <v>1863</v>
      </c>
      <c r="G264" s="1" t="s">
        <v>1864</v>
      </c>
    </row>
    <row r="265" spans="1:7">
      <c r="A265" s="1">
        <v>264</v>
      </c>
      <c r="B265" s="1" t="s">
        <v>4097</v>
      </c>
      <c r="D265" s="1" t="s">
        <v>1827</v>
      </c>
      <c r="E265" s="1" t="s">
        <v>1432</v>
      </c>
      <c r="F265" s="1" t="s">
        <v>1867</v>
      </c>
      <c r="G265" s="1" t="s">
        <v>1868</v>
      </c>
    </row>
    <row r="266" spans="1:7">
      <c r="A266" s="1">
        <v>265</v>
      </c>
      <c r="B266" s="1" t="s">
        <v>4098</v>
      </c>
      <c r="D266" s="1" t="s">
        <v>1827</v>
      </c>
      <c r="E266" s="1" t="s">
        <v>1852</v>
      </c>
      <c r="F266" s="1" t="s">
        <v>1829</v>
      </c>
      <c r="G266" s="1" t="s">
        <v>1830</v>
      </c>
    </row>
    <row r="267" spans="1:7">
      <c r="A267" s="1">
        <v>266</v>
      </c>
      <c r="B267" s="1" t="s">
        <v>4099</v>
      </c>
      <c r="D267" s="1" t="s">
        <v>1827</v>
      </c>
      <c r="E267" s="1" t="s">
        <v>4100</v>
      </c>
      <c r="F267" s="1" t="s">
        <v>1875</v>
      </c>
      <c r="G267" s="1" t="s">
        <v>1876</v>
      </c>
    </row>
    <row r="268" spans="1:7">
      <c r="A268" s="1">
        <v>267</v>
      </c>
      <c r="B268" s="1" t="s">
        <v>4101</v>
      </c>
      <c r="D268" s="1" t="s">
        <v>1827</v>
      </c>
      <c r="E268" s="1" t="s">
        <v>4102</v>
      </c>
      <c r="F268" s="1" t="s">
        <v>1879</v>
      </c>
      <c r="G268" s="1" t="s">
        <v>1880</v>
      </c>
    </row>
    <row r="269" spans="1:7">
      <c r="A269" s="1">
        <v>268</v>
      </c>
      <c r="B269" s="1" t="s">
        <v>4103</v>
      </c>
      <c r="D269" s="1" t="s">
        <v>1827</v>
      </c>
      <c r="E269" s="1" t="s">
        <v>4104</v>
      </c>
      <c r="F269" s="1" t="s">
        <v>1871</v>
      </c>
      <c r="G269" s="1" t="s">
        <v>1872</v>
      </c>
    </row>
    <row r="270" spans="1:7">
      <c r="A270" s="1">
        <v>269</v>
      </c>
      <c r="B270" s="1" t="s">
        <v>4105</v>
      </c>
      <c r="D270" s="1" t="s">
        <v>1882</v>
      </c>
      <c r="E270" s="1" t="s">
        <v>1230</v>
      </c>
      <c r="F270" s="1" t="s">
        <v>688</v>
      </c>
      <c r="G270" s="1" t="s">
        <v>689</v>
      </c>
    </row>
    <row r="271" spans="1:7">
      <c r="A271" s="1">
        <v>270</v>
      </c>
      <c r="B271" s="1" t="s">
        <v>4106</v>
      </c>
      <c r="D271" s="1" t="s">
        <v>1882</v>
      </c>
      <c r="E271" s="1" t="s">
        <v>4107</v>
      </c>
      <c r="F271" s="1" t="s">
        <v>3561</v>
      </c>
      <c r="G271" s="1" t="s">
        <v>3562</v>
      </c>
    </row>
    <row r="272" spans="1:7">
      <c r="A272" s="1">
        <v>271</v>
      </c>
      <c r="B272" s="1" t="s">
        <v>4108</v>
      </c>
      <c r="D272" s="1" t="s">
        <v>1882</v>
      </c>
      <c r="E272" s="1" t="s">
        <v>4109</v>
      </c>
      <c r="F272" s="1" t="s">
        <v>3565</v>
      </c>
      <c r="G272" s="1" t="s">
        <v>3566</v>
      </c>
    </row>
    <row r="273" spans="1:7">
      <c r="A273" s="1">
        <v>272</v>
      </c>
      <c r="B273" s="1" t="s">
        <v>4110</v>
      </c>
      <c r="D273" s="1" t="s">
        <v>1885</v>
      </c>
      <c r="E273" s="1" t="s">
        <v>4111</v>
      </c>
      <c r="F273" s="1" t="s">
        <v>1887</v>
      </c>
      <c r="G273" s="1" t="s">
        <v>1888</v>
      </c>
    </row>
    <row r="274" spans="1:7">
      <c r="A274" s="1">
        <v>273</v>
      </c>
      <c r="B274" s="1" t="s">
        <v>4112</v>
      </c>
      <c r="D274" s="1" t="s">
        <v>1890</v>
      </c>
      <c r="E274" s="1" t="s">
        <v>4113</v>
      </c>
      <c r="F274" s="1" t="s">
        <v>1892</v>
      </c>
      <c r="G274" s="1" t="s">
        <v>1893</v>
      </c>
    </row>
    <row r="275" spans="1:7">
      <c r="A275" s="1">
        <v>274</v>
      </c>
      <c r="B275" s="1" t="s">
        <v>4114</v>
      </c>
      <c r="D275" s="1" t="s">
        <v>1890</v>
      </c>
      <c r="E275" s="1" t="s">
        <v>4115</v>
      </c>
      <c r="F275" s="1" t="s">
        <v>1896</v>
      </c>
      <c r="G275" s="1" t="s">
        <v>1897</v>
      </c>
    </row>
    <row r="276" spans="1:7">
      <c r="A276" s="1">
        <v>275</v>
      </c>
      <c r="B276" s="1" t="s">
        <v>4116</v>
      </c>
      <c r="D276" s="1" t="s">
        <v>1899</v>
      </c>
      <c r="E276" s="1" t="s">
        <v>4117</v>
      </c>
      <c r="F276" s="1" t="s">
        <v>1901</v>
      </c>
      <c r="G276" s="1" t="s">
        <v>1902</v>
      </c>
    </row>
    <row r="277" spans="1:7">
      <c r="A277" s="1">
        <v>276</v>
      </c>
      <c r="B277" s="1" t="s">
        <v>4118</v>
      </c>
      <c r="D277" s="1" t="s">
        <v>1904</v>
      </c>
      <c r="E277" s="1" t="s">
        <v>1905</v>
      </c>
      <c r="F277" s="1" t="s">
        <v>1906</v>
      </c>
      <c r="G277" s="1" t="s">
        <v>1907</v>
      </c>
    </row>
    <row r="278" spans="1:7">
      <c r="A278" s="1">
        <v>277</v>
      </c>
      <c r="B278" s="1" t="s">
        <v>4119</v>
      </c>
      <c r="D278" s="1" t="s">
        <v>1904</v>
      </c>
      <c r="E278" s="1" t="s">
        <v>1909</v>
      </c>
      <c r="F278" s="1" t="s">
        <v>1910</v>
      </c>
      <c r="G278" s="1" t="s">
        <v>1911</v>
      </c>
    </row>
    <row r="279" spans="1:7">
      <c r="A279" s="1">
        <v>278</v>
      </c>
      <c r="B279" s="1" t="s">
        <v>4120</v>
      </c>
      <c r="D279" s="1" t="s">
        <v>1913</v>
      </c>
      <c r="E279" s="1" t="s">
        <v>4121</v>
      </c>
      <c r="F279" s="1" t="s">
        <v>4122</v>
      </c>
      <c r="G279" s="1" t="s">
        <v>4123</v>
      </c>
    </row>
    <row r="280" spans="1:7">
      <c r="A280" s="1">
        <v>279</v>
      </c>
      <c r="B280" s="1" t="s">
        <v>4124</v>
      </c>
      <c r="D280" s="1" t="s">
        <v>1913</v>
      </c>
      <c r="E280" s="1" t="s">
        <v>4125</v>
      </c>
      <c r="F280" s="1" t="s">
        <v>4126</v>
      </c>
      <c r="G280" s="1" t="s">
        <v>4127</v>
      </c>
    </row>
    <row r="281" spans="1:7">
      <c r="A281" s="1">
        <v>280</v>
      </c>
      <c r="B281" s="1" t="s">
        <v>4128</v>
      </c>
      <c r="D281" s="1" t="s">
        <v>1922</v>
      </c>
      <c r="E281" s="1" t="s">
        <v>1923</v>
      </c>
      <c r="F281" s="1" t="s">
        <v>376</v>
      </c>
      <c r="G281" s="1" t="s">
        <v>377</v>
      </c>
    </row>
    <row r="282" spans="1:7">
      <c r="A282" s="1">
        <v>281</v>
      </c>
      <c r="B282" s="1" t="s">
        <v>4129</v>
      </c>
      <c r="D282" s="1" t="s">
        <v>1922</v>
      </c>
      <c r="E282" s="1" t="s">
        <v>1925</v>
      </c>
      <c r="F282" s="1" t="s">
        <v>372</v>
      </c>
      <c r="G282" s="1" t="s">
        <v>373</v>
      </c>
    </row>
    <row r="283" spans="1:7">
      <c r="A283" s="1">
        <v>282</v>
      </c>
      <c r="B283" s="1" t="s">
        <v>4130</v>
      </c>
      <c r="D283" s="1" t="s">
        <v>1922</v>
      </c>
      <c r="E283" s="1" t="s">
        <v>1927</v>
      </c>
      <c r="F283" s="1" t="s">
        <v>380</v>
      </c>
      <c r="G283" s="1" t="s">
        <v>381</v>
      </c>
    </row>
    <row r="284" spans="1:7">
      <c r="A284" s="1">
        <v>283</v>
      </c>
      <c r="B284" s="1" t="s">
        <v>4131</v>
      </c>
      <c r="D284" s="1" t="s">
        <v>1922</v>
      </c>
      <c r="E284" s="1" t="s">
        <v>259</v>
      </c>
      <c r="F284" s="1" t="s">
        <v>344</v>
      </c>
      <c r="G284" s="1" t="s">
        <v>345</v>
      </c>
    </row>
    <row r="285" spans="1:7">
      <c r="A285" s="1">
        <v>284</v>
      </c>
      <c r="B285" s="1" t="s">
        <v>4132</v>
      </c>
      <c r="D285" s="1" t="s">
        <v>1922</v>
      </c>
      <c r="E285" s="1" t="s">
        <v>1938</v>
      </c>
      <c r="F285" s="1" t="s">
        <v>340</v>
      </c>
      <c r="G285" s="1" t="s">
        <v>341</v>
      </c>
    </row>
    <row r="286" spans="1:7">
      <c r="A286" s="1">
        <v>285</v>
      </c>
      <c r="B286" s="1" t="s">
        <v>4133</v>
      </c>
      <c r="D286" s="1" t="s">
        <v>1922</v>
      </c>
      <c r="E286" s="1" t="s">
        <v>265</v>
      </c>
      <c r="F286" s="1" t="s">
        <v>348</v>
      </c>
      <c r="G286" s="1" t="s">
        <v>349</v>
      </c>
    </row>
    <row r="287" spans="1:7">
      <c r="A287" s="1">
        <v>286</v>
      </c>
      <c r="B287" s="1" t="s">
        <v>4134</v>
      </c>
      <c r="D287" s="1" t="s">
        <v>1922</v>
      </c>
      <c r="E287" s="1" t="s">
        <v>283</v>
      </c>
      <c r="F287" s="1" t="s">
        <v>336</v>
      </c>
      <c r="G287" s="1" t="s">
        <v>337</v>
      </c>
    </row>
    <row r="288" spans="1:7">
      <c r="A288" s="1">
        <v>287</v>
      </c>
      <c r="B288" s="1" t="s">
        <v>4135</v>
      </c>
      <c r="D288" s="1" t="s">
        <v>1922</v>
      </c>
      <c r="E288" s="1" t="s">
        <v>262</v>
      </c>
      <c r="F288" s="1" t="s">
        <v>384</v>
      </c>
      <c r="G288" s="1" t="s">
        <v>385</v>
      </c>
    </row>
    <row r="289" spans="1:7">
      <c r="A289" s="1">
        <v>288</v>
      </c>
      <c r="B289" s="1" t="s">
        <v>4136</v>
      </c>
      <c r="D289" s="1" t="s">
        <v>1922</v>
      </c>
      <c r="E289" s="1" t="s">
        <v>277</v>
      </c>
      <c r="F289" s="1" t="s">
        <v>364</v>
      </c>
      <c r="G289" s="1" t="s">
        <v>365</v>
      </c>
    </row>
    <row r="290" spans="1:7">
      <c r="A290" s="1">
        <v>289</v>
      </c>
      <c r="B290" s="1" t="s">
        <v>4137</v>
      </c>
      <c r="D290" s="1" t="s">
        <v>1922</v>
      </c>
      <c r="E290" s="1" t="s">
        <v>271</v>
      </c>
      <c r="F290" s="1" t="s">
        <v>356</v>
      </c>
      <c r="G290" s="1" t="s">
        <v>357</v>
      </c>
    </row>
    <row r="291" spans="1:7">
      <c r="A291" s="1">
        <v>290</v>
      </c>
      <c r="B291" s="1" t="s">
        <v>4138</v>
      </c>
      <c r="D291" s="1" t="s">
        <v>1922</v>
      </c>
      <c r="E291" s="1" t="s">
        <v>268</v>
      </c>
      <c r="F291" s="1" t="s">
        <v>352</v>
      </c>
      <c r="G291" s="1" t="s">
        <v>353</v>
      </c>
    </row>
    <row r="292" spans="1:7">
      <c r="A292" s="1">
        <v>291</v>
      </c>
      <c r="B292" s="1" t="s">
        <v>4139</v>
      </c>
      <c r="D292" s="1" t="s">
        <v>1922</v>
      </c>
      <c r="E292" s="1" t="s">
        <v>274</v>
      </c>
      <c r="F292" s="1" t="s">
        <v>360</v>
      </c>
      <c r="G292" s="1" t="s">
        <v>361</v>
      </c>
    </row>
    <row r="293" spans="1:7">
      <c r="A293" s="1">
        <v>292</v>
      </c>
      <c r="B293" s="1" t="s">
        <v>4140</v>
      </c>
      <c r="D293" s="1" t="s">
        <v>1922</v>
      </c>
      <c r="E293" s="1" t="s">
        <v>280</v>
      </c>
      <c r="F293" s="1" t="s">
        <v>368</v>
      </c>
      <c r="G293" s="1" t="s">
        <v>369</v>
      </c>
    </row>
    <row r="294" spans="1:7">
      <c r="A294" s="1">
        <v>293</v>
      </c>
      <c r="B294" s="1" t="s">
        <v>4141</v>
      </c>
      <c r="D294" s="1" t="s">
        <v>1940</v>
      </c>
      <c r="E294" s="1" t="s">
        <v>1941</v>
      </c>
      <c r="F294" s="1" t="s">
        <v>186</v>
      </c>
      <c r="G294" s="1" t="s">
        <v>187</v>
      </c>
    </row>
    <row r="295" spans="1:7">
      <c r="A295" s="1">
        <v>294</v>
      </c>
      <c r="B295" s="1" t="s">
        <v>4142</v>
      </c>
      <c r="D295" s="1" t="s">
        <v>1940</v>
      </c>
      <c r="E295" s="1" t="s">
        <v>1943</v>
      </c>
      <c r="F295" s="1" t="s">
        <v>194</v>
      </c>
      <c r="G295" s="1" t="s">
        <v>195</v>
      </c>
    </row>
    <row r="296" spans="1:7">
      <c r="A296" s="1">
        <v>295</v>
      </c>
      <c r="B296" s="1" t="s">
        <v>4143</v>
      </c>
      <c r="D296" s="1" t="s">
        <v>1940</v>
      </c>
      <c r="E296" s="1" t="s">
        <v>1945</v>
      </c>
      <c r="F296" s="1" t="s">
        <v>190</v>
      </c>
      <c r="G296" s="1" t="s">
        <v>191</v>
      </c>
    </row>
    <row r="297" spans="1:7">
      <c r="A297" s="1">
        <v>296</v>
      </c>
      <c r="B297" s="1" t="s">
        <v>4144</v>
      </c>
      <c r="D297" s="1" t="s">
        <v>1940</v>
      </c>
      <c r="E297" s="1" t="s">
        <v>1949</v>
      </c>
      <c r="F297" s="1" t="s">
        <v>202</v>
      </c>
      <c r="G297" s="1" t="s">
        <v>203</v>
      </c>
    </row>
    <row r="298" spans="1:7">
      <c r="A298" s="1">
        <v>297</v>
      </c>
      <c r="B298" s="1" t="s">
        <v>4145</v>
      </c>
      <c r="D298" s="1" t="s">
        <v>1940</v>
      </c>
      <c r="E298" s="1" t="s">
        <v>1947</v>
      </c>
      <c r="F298" s="1" t="s">
        <v>198</v>
      </c>
      <c r="G298" s="1" t="s">
        <v>199</v>
      </c>
    </row>
    <row r="299" spans="1:7">
      <c r="A299" s="1">
        <v>298</v>
      </c>
      <c r="B299" s="1" t="s">
        <v>4146</v>
      </c>
      <c r="D299" s="1" t="s">
        <v>1940</v>
      </c>
      <c r="E299" s="1" t="s">
        <v>1951</v>
      </c>
      <c r="F299" s="1" t="s">
        <v>210</v>
      </c>
      <c r="G299" s="1" t="s">
        <v>211</v>
      </c>
    </row>
    <row r="300" spans="1:7">
      <c r="A300" s="1">
        <v>299</v>
      </c>
      <c r="B300" s="1" t="s">
        <v>4147</v>
      </c>
      <c r="D300" s="1" t="s">
        <v>1940</v>
      </c>
      <c r="E300" s="1" t="s">
        <v>1953</v>
      </c>
      <c r="F300" s="1" t="s">
        <v>206</v>
      </c>
      <c r="G300" s="1" t="s">
        <v>207</v>
      </c>
    </row>
    <row r="301" spans="1:7">
      <c r="A301" s="1">
        <v>300</v>
      </c>
      <c r="B301" s="1" t="s">
        <v>4148</v>
      </c>
      <c r="D301" s="1" t="s">
        <v>1940</v>
      </c>
      <c r="E301" s="1" t="s">
        <v>1955</v>
      </c>
      <c r="F301" s="1" t="s">
        <v>214</v>
      </c>
      <c r="G301" s="1" t="s">
        <v>215</v>
      </c>
    </row>
    <row r="302" spans="1:7">
      <c r="A302" s="1">
        <v>301</v>
      </c>
      <c r="B302" s="1" t="s">
        <v>4149</v>
      </c>
      <c r="D302" s="1" t="s">
        <v>1940</v>
      </c>
      <c r="E302" s="1" t="s">
        <v>1957</v>
      </c>
      <c r="F302" s="1" t="s">
        <v>218</v>
      </c>
      <c r="G302" s="1" t="s">
        <v>219</v>
      </c>
    </row>
    <row r="303" spans="1:7">
      <c r="A303" s="1">
        <v>302</v>
      </c>
      <c r="B303" s="1" t="s">
        <v>4150</v>
      </c>
      <c r="D303" s="1" t="s">
        <v>1940</v>
      </c>
      <c r="E303" s="1" t="s">
        <v>1959</v>
      </c>
      <c r="F303" s="1" t="s">
        <v>222</v>
      </c>
      <c r="G303" s="1" t="s">
        <v>223</v>
      </c>
    </row>
    <row r="304" spans="1:7">
      <c r="A304" s="1">
        <v>303</v>
      </c>
      <c r="B304" s="1" t="s">
        <v>4151</v>
      </c>
      <c r="D304" s="1" t="s">
        <v>1961</v>
      </c>
      <c r="E304" s="1" t="s">
        <v>1962</v>
      </c>
      <c r="F304" s="1" t="s">
        <v>186</v>
      </c>
      <c r="G304" s="1" t="s">
        <v>187</v>
      </c>
    </row>
    <row r="305" spans="1:7">
      <c r="A305" s="1">
        <v>304</v>
      </c>
      <c r="B305" s="1" t="s">
        <v>4152</v>
      </c>
      <c r="D305" s="1" t="s">
        <v>1961</v>
      </c>
      <c r="E305" s="1" t="s">
        <v>1964</v>
      </c>
      <c r="F305" s="1" t="s">
        <v>194</v>
      </c>
      <c r="G305" s="1" t="s">
        <v>195</v>
      </c>
    </row>
    <row r="306" spans="1:7">
      <c r="A306" s="1">
        <v>305</v>
      </c>
      <c r="B306" s="1" t="s">
        <v>4153</v>
      </c>
      <c r="D306" s="1" t="s">
        <v>1961</v>
      </c>
      <c r="E306" s="1" t="s">
        <v>1966</v>
      </c>
      <c r="F306" s="1" t="s">
        <v>190</v>
      </c>
      <c r="G306" s="1" t="s">
        <v>191</v>
      </c>
    </row>
    <row r="307" spans="1:7">
      <c r="A307" s="1">
        <v>306</v>
      </c>
      <c r="B307" s="1" t="s">
        <v>4154</v>
      </c>
      <c r="D307" s="1" t="s">
        <v>1961</v>
      </c>
      <c r="E307" s="1" t="s">
        <v>1970</v>
      </c>
      <c r="F307" s="1" t="s">
        <v>202</v>
      </c>
      <c r="G307" s="1" t="s">
        <v>203</v>
      </c>
    </row>
    <row r="308" spans="1:7">
      <c r="A308" s="1">
        <v>307</v>
      </c>
      <c r="B308" s="1" t="s">
        <v>4155</v>
      </c>
      <c r="D308" s="1" t="s">
        <v>1961</v>
      </c>
      <c r="E308" s="1" t="s">
        <v>1968</v>
      </c>
      <c r="F308" s="1" t="s">
        <v>198</v>
      </c>
      <c r="G308" s="1" t="s">
        <v>199</v>
      </c>
    </row>
    <row r="309" spans="1:7">
      <c r="A309" s="1">
        <v>308</v>
      </c>
      <c r="B309" s="1" t="s">
        <v>4156</v>
      </c>
      <c r="D309" s="1" t="s">
        <v>1961</v>
      </c>
      <c r="E309" s="1" t="s">
        <v>1972</v>
      </c>
      <c r="F309" s="1" t="s">
        <v>210</v>
      </c>
      <c r="G309" s="1" t="s">
        <v>211</v>
      </c>
    </row>
    <row r="310" spans="1:7">
      <c r="A310" s="1">
        <v>309</v>
      </c>
      <c r="B310" s="1" t="s">
        <v>4157</v>
      </c>
      <c r="D310" s="1" t="s">
        <v>1961</v>
      </c>
      <c r="E310" s="1" t="s">
        <v>1974</v>
      </c>
      <c r="F310" s="1" t="s">
        <v>206</v>
      </c>
      <c r="G310" s="1" t="s">
        <v>207</v>
      </c>
    </row>
    <row r="311" spans="1:7">
      <c r="A311" s="1">
        <v>310</v>
      </c>
      <c r="B311" s="1" t="s">
        <v>4158</v>
      </c>
      <c r="D311" s="1" t="s">
        <v>1961</v>
      </c>
      <c r="E311" s="1" t="s">
        <v>1976</v>
      </c>
      <c r="F311" s="1" t="s">
        <v>214</v>
      </c>
      <c r="G311" s="1" t="s">
        <v>215</v>
      </c>
    </row>
    <row r="312" spans="1:7">
      <c r="A312" s="1">
        <v>311</v>
      </c>
      <c r="B312" s="1" t="s">
        <v>4159</v>
      </c>
      <c r="D312" s="1" t="s">
        <v>1961</v>
      </c>
      <c r="E312" s="1" t="s">
        <v>1978</v>
      </c>
      <c r="F312" s="1" t="s">
        <v>218</v>
      </c>
      <c r="G312" s="1" t="s">
        <v>219</v>
      </c>
    </row>
    <row r="313" spans="1:7">
      <c r="A313" s="1">
        <v>312</v>
      </c>
      <c r="B313" s="1" t="s">
        <v>4160</v>
      </c>
      <c r="D313" s="1" t="s">
        <v>1961</v>
      </c>
      <c r="E313" s="1" t="s">
        <v>1980</v>
      </c>
      <c r="F313" s="1" t="s">
        <v>222</v>
      </c>
      <c r="G313" s="1" t="s">
        <v>223</v>
      </c>
    </row>
    <row r="314" spans="1:7">
      <c r="A314" s="1">
        <v>313</v>
      </c>
      <c r="B314" s="1" t="s">
        <v>4161</v>
      </c>
      <c r="D314" s="1" t="s">
        <v>1991</v>
      </c>
      <c r="E314" s="1" t="s">
        <v>1992</v>
      </c>
      <c r="F314" s="1" t="s">
        <v>21</v>
      </c>
      <c r="G314" s="1" t="s">
        <v>22</v>
      </c>
    </row>
    <row r="315" spans="1:7">
      <c r="A315" s="1">
        <v>314</v>
      </c>
      <c r="B315" s="1" t="s">
        <v>4162</v>
      </c>
      <c r="D315" s="1" t="s">
        <v>1991</v>
      </c>
      <c r="E315" s="1" t="s">
        <v>798</v>
      </c>
      <c r="F315" s="1" t="s">
        <v>799</v>
      </c>
      <c r="G315" s="1" t="s">
        <v>800</v>
      </c>
    </row>
    <row r="316" spans="1:7">
      <c r="A316" s="1">
        <v>315</v>
      </c>
      <c r="B316" s="1" t="s">
        <v>4163</v>
      </c>
      <c r="D316" s="1" t="s">
        <v>1991</v>
      </c>
      <c r="E316" s="1" t="s">
        <v>801</v>
      </c>
      <c r="F316" s="1" t="s">
        <v>802</v>
      </c>
      <c r="G316" s="1" t="s">
        <v>803</v>
      </c>
    </row>
    <row r="317" spans="1:7">
      <c r="A317" s="1">
        <v>316</v>
      </c>
      <c r="B317" s="1" t="s">
        <v>4164</v>
      </c>
      <c r="D317" s="1" t="s">
        <v>1996</v>
      </c>
      <c r="E317" s="1" t="s">
        <v>1999</v>
      </c>
      <c r="F317" s="1" t="s">
        <v>21</v>
      </c>
      <c r="G317" s="1" t="s">
        <v>22</v>
      </c>
    </row>
    <row r="318" spans="1:7">
      <c r="A318" s="1">
        <v>317</v>
      </c>
      <c r="B318" s="1" t="s">
        <v>4165</v>
      </c>
      <c r="D318" s="1" t="s">
        <v>1996</v>
      </c>
      <c r="E318" s="1" t="s">
        <v>807</v>
      </c>
      <c r="F318" s="1" t="s">
        <v>792</v>
      </c>
      <c r="G318" s="1" t="s">
        <v>793</v>
      </c>
    </row>
    <row r="319" spans="1:7">
      <c r="A319" s="1">
        <v>318</v>
      </c>
      <c r="B319" s="1" t="s">
        <v>4166</v>
      </c>
      <c r="D319" s="1" t="s">
        <v>1996</v>
      </c>
      <c r="E319" s="1" t="s">
        <v>808</v>
      </c>
      <c r="F319" s="1" t="s">
        <v>779</v>
      </c>
      <c r="G319" s="1" t="s">
        <v>780</v>
      </c>
    </row>
    <row r="320" spans="1:7">
      <c r="A320" s="1">
        <v>319</v>
      </c>
      <c r="B320" s="1" t="s">
        <v>4167</v>
      </c>
      <c r="D320" s="1" t="s">
        <v>2001</v>
      </c>
      <c r="E320" s="1" t="s">
        <v>1234</v>
      </c>
      <c r="F320" s="1" t="s">
        <v>688</v>
      </c>
      <c r="G320" s="1" t="s">
        <v>689</v>
      </c>
    </row>
    <row r="321" spans="1:7">
      <c r="A321" s="1">
        <v>320</v>
      </c>
      <c r="B321" s="1" t="s">
        <v>4168</v>
      </c>
      <c r="D321" s="1" t="s">
        <v>2001</v>
      </c>
      <c r="E321" s="1" t="s">
        <v>4169</v>
      </c>
      <c r="F321" s="1" t="s">
        <v>3561</v>
      </c>
      <c r="G321" s="1" t="s">
        <v>3562</v>
      </c>
    </row>
    <row r="322" spans="1:7">
      <c r="A322" s="1">
        <v>321</v>
      </c>
      <c r="B322" s="1" t="s">
        <v>4170</v>
      </c>
      <c r="D322" s="1" t="s">
        <v>2001</v>
      </c>
      <c r="E322" s="1" t="s">
        <v>4171</v>
      </c>
      <c r="F322" s="1" t="s">
        <v>3565</v>
      </c>
      <c r="G322" s="1" t="s">
        <v>3566</v>
      </c>
    </row>
    <row r="323" spans="1:7">
      <c r="A323" s="1">
        <v>322</v>
      </c>
      <c r="B323" s="1" t="s">
        <v>4172</v>
      </c>
      <c r="D323" s="1" t="s">
        <v>2004</v>
      </c>
      <c r="E323" s="1" t="s">
        <v>2013</v>
      </c>
      <c r="F323" s="1" t="s">
        <v>2006</v>
      </c>
      <c r="G323" s="1" t="s">
        <v>2007</v>
      </c>
    </row>
    <row r="324" spans="1:7">
      <c r="A324" s="1">
        <v>323</v>
      </c>
      <c r="B324" s="1" t="s">
        <v>4173</v>
      </c>
      <c r="D324" s="1" t="s">
        <v>2004</v>
      </c>
      <c r="E324" s="1" t="s">
        <v>2005</v>
      </c>
      <c r="F324" s="1" t="s">
        <v>2010</v>
      </c>
      <c r="G324" s="1" t="s">
        <v>2011</v>
      </c>
    </row>
    <row r="325" spans="1:7">
      <c r="A325" s="1">
        <v>324</v>
      </c>
      <c r="B325" s="1" t="s">
        <v>4174</v>
      </c>
      <c r="D325" s="1" t="s">
        <v>2004</v>
      </c>
      <c r="E325" s="1" t="s">
        <v>2017</v>
      </c>
      <c r="F325" s="1" t="s">
        <v>2014</v>
      </c>
      <c r="G325" s="1" t="s">
        <v>2015</v>
      </c>
    </row>
    <row r="326" spans="1:7">
      <c r="A326" s="1">
        <v>325</v>
      </c>
      <c r="B326" s="1" t="s">
        <v>4175</v>
      </c>
      <c r="D326" s="1" t="s">
        <v>2004</v>
      </c>
      <c r="E326" s="1" t="s">
        <v>2021</v>
      </c>
      <c r="F326" s="1" t="s">
        <v>2018</v>
      </c>
      <c r="G326" s="1" t="s">
        <v>2019</v>
      </c>
    </row>
    <row r="327" spans="1:7">
      <c r="A327" s="1">
        <v>326</v>
      </c>
      <c r="B327" s="1" t="s">
        <v>4176</v>
      </c>
      <c r="D327" s="1" t="s">
        <v>2004</v>
      </c>
      <c r="E327" s="1" t="s">
        <v>2025</v>
      </c>
      <c r="F327" s="1" t="s">
        <v>2022</v>
      </c>
      <c r="G327" s="1" t="s">
        <v>2023</v>
      </c>
    </row>
    <row r="328" spans="1:7">
      <c r="A328" s="1">
        <v>327</v>
      </c>
      <c r="B328" s="1" t="s">
        <v>4177</v>
      </c>
      <c r="D328" s="1" t="s">
        <v>2004</v>
      </c>
      <c r="E328" s="1" t="s">
        <v>2029</v>
      </c>
      <c r="F328" s="1" t="s">
        <v>2026</v>
      </c>
      <c r="G328" s="1" t="s">
        <v>2027</v>
      </c>
    </row>
    <row r="329" spans="1:7">
      <c r="A329" s="1">
        <v>328</v>
      </c>
      <c r="B329" s="1" t="s">
        <v>4178</v>
      </c>
      <c r="D329" s="1" t="s">
        <v>2004</v>
      </c>
      <c r="E329" s="1" t="s">
        <v>2033</v>
      </c>
      <c r="F329" s="1" t="s">
        <v>2030</v>
      </c>
      <c r="G329" s="1" t="s">
        <v>2031</v>
      </c>
    </row>
    <row r="330" spans="1:7">
      <c r="A330" s="1">
        <v>329</v>
      </c>
      <c r="B330" s="1" t="s">
        <v>4179</v>
      </c>
      <c r="D330" s="1" t="s">
        <v>2004</v>
      </c>
      <c r="E330" s="1" t="s">
        <v>2037</v>
      </c>
      <c r="F330" s="1" t="s">
        <v>2034</v>
      </c>
      <c r="G330" s="1" t="s">
        <v>2035</v>
      </c>
    </row>
    <row r="331" spans="1:7">
      <c r="A331" s="1">
        <v>330</v>
      </c>
      <c r="B331" s="1" t="s">
        <v>4180</v>
      </c>
      <c r="D331" s="1" t="s">
        <v>2004</v>
      </c>
      <c r="E331" s="1" t="s">
        <v>2041</v>
      </c>
      <c r="F331" s="1" t="s">
        <v>2038</v>
      </c>
      <c r="G331" s="1" t="s">
        <v>2039</v>
      </c>
    </row>
    <row r="332" spans="1:7">
      <c r="A332" s="1">
        <v>331</v>
      </c>
      <c r="B332" s="1" t="s">
        <v>4181</v>
      </c>
      <c r="D332" s="1" t="s">
        <v>2004</v>
      </c>
      <c r="E332" s="1" t="s">
        <v>2045</v>
      </c>
      <c r="F332" s="1" t="s">
        <v>2042</v>
      </c>
      <c r="G332" s="1" t="s">
        <v>2043</v>
      </c>
    </row>
    <row r="333" spans="1:7">
      <c r="A333" s="1">
        <v>332</v>
      </c>
      <c r="B333" s="1" t="s">
        <v>4182</v>
      </c>
      <c r="D333" s="1" t="s">
        <v>2004</v>
      </c>
      <c r="E333" s="1" t="s">
        <v>2049</v>
      </c>
      <c r="F333" s="1" t="s">
        <v>2046</v>
      </c>
      <c r="G333" s="1" t="s">
        <v>2047</v>
      </c>
    </row>
    <row r="334" spans="1:7">
      <c r="A334" s="1">
        <v>333</v>
      </c>
      <c r="B334" s="1" t="s">
        <v>4183</v>
      </c>
      <c r="D334" s="1" t="s">
        <v>2004</v>
      </c>
      <c r="E334" s="1" t="s">
        <v>2053</v>
      </c>
      <c r="F334" s="1" t="s">
        <v>2050</v>
      </c>
      <c r="G334" s="1" t="s">
        <v>2051</v>
      </c>
    </row>
    <row r="335" spans="1:7">
      <c r="A335" s="1">
        <v>334</v>
      </c>
      <c r="B335" s="1" t="s">
        <v>4184</v>
      </c>
      <c r="D335" s="1" t="s">
        <v>2004</v>
      </c>
      <c r="E335" s="1" t="s">
        <v>2057</v>
      </c>
      <c r="F335" s="1" t="s">
        <v>2054</v>
      </c>
      <c r="G335" s="1" t="s">
        <v>2055</v>
      </c>
    </row>
    <row r="336" spans="1:7">
      <c r="A336" s="1">
        <v>335</v>
      </c>
      <c r="B336" s="1" t="s">
        <v>4185</v>
      </c>
      <c r="D336" s="1" t="s">
        <v>2004</v>
      </c>
      <c r="E336" s="1" t="s">
        <v>2061</v>
      </c>
      <c r="F336" s="1" t="s">
        <v>2058</v>
      </c>
      <c r="G336" s="1" t="s">
        <v>2059</v>
      </c>
    </row>
    <row r="337" spans="1:7">
      <c r="A337" s="1">
        <v>336</v>
      </c>
      <c r="B337" s="1" t="s">
        <v>4186</v>
      </c>
      <c r="D337" s="1" t="s">
        <v>2004</v>
      </c>
      <c r="E337" s="1" t="s">
        <v>2065</v>
      </c>
      <c r="F337" s="1" t="s">
        <v>2062</v>
      </c>
      <c r="G337" s="1" t="s">
        <v>2063</v>
      </c>
    </row>
    <row r="338" spans="1:7">
      <c r="A338" s="1">
        <v>337</v>
      </c>
      <c r="B338" s="1" t="s">
        <v>4187</v>
      </c>
      <c r="D338" s="1" t="s">
        <v>2004</v>
      </c>
      <c r="E338" s="1" t="s">
        <v>2072</v>
      </c>
      <c r="F338" s="1" t="s">
        <v>2066</v>
      </c>
      <c r="G338" s="1" t="s">
        <v>2067</v>
      </c>
    </row>
    <row r="339" spans="1:7">
      <c r="A339" s="1">
        <v>338</v>
      </c>
      <c r="B339" s="1" t="s">
        <v>4188</v>
      </c>
      <c r="D339" s="1" t="s">
        <v>2069</v>
      </c>
      <c r="E339" s="1" t="s">
        <v>2074</v>
      </c>
      <c r="F339" s="1" t="s">
        <v>2006</v>
      </c>
      <c r="G339" s="1" t="s">
        <v>2007</v>
      </c>
    </row>
    <row r="340" spans="1:7">
      <c r="A340" s="1">
        <v>339</v>
      </c>
      <c r="B340" s="1" t="s">
        <v>4189</v>
      </c>
      <c r="D340" s="1" t="s">
        <v>2069</v>
      </c>
      <c r="E340" s="1" t="s">
        <v>2070</v>
      </c>
      <c r="F340" s="1" t="s">
        <v>2010</v>
      </c>
      <c r="G340" s="1" t="s">
        <v>2011</v>
      </c>
    </row>
    <row r="341" spans="1:7">
      <c r="A341" s="1">
        <v>340</v>
      </c>
      <c r="B341" s="1" t="s">
        <v>4190</v>
      </c>
      <c r="D341" s="1" t="s">
        <v>2069</v>
      </c>
      <c r="E341" s="1" t="s">
        <v>2076</v>
      </c>
      <c r="F341" s="1" t="s">
        <v>2014</v>
      </c>
      <c r="G341" s="1" t="s">
        <v>2015</v>
      </c>
    </row>
    <row r="342" spans="1:7">
      <c r="A342" s="1">
        <v>341</v>
      </c>
      <c r="B342" s="1" t="s">
        <v>4191</v>
      </c>
      <c r="D342" s="1" t="s">
        <v>2069</v>
      </c>
      <c r="E342" s="1" t="s">
        <v>2078</v>
      </c>
      <c r="F342" s="1" t="s">
        <v>2018</v>
      </c>
      <c r="G342" s="1" t="s">
        <v>2019</v>
      </c>
    </row>
    <row r="343" spans="1:7">
      <c r="A343" s="1">
        <v>342</v>
      </c>
      <c r="B343" s="1" t="s">
        <v>4192</v>
      </c>
      <c r="D343" s="1" t="s">
        <v>2069</v>
      </c>
      <c r="E343" s="1" t="s">
        <v>2080</v>
      </c>
      <c r="F343" s="1" t="s">
        <v>2022</v>
      </c>
      <c r="G343" s="1" t="s">
        <v>2023</v>
      </c>
    </row>
    <row r="344" spans="1:7">
      <c r="A344" s="1">
        <v>343</v>
      </c>
      <c r="B344" s="1" t="s">
        <v>4193</v>
      </c>
      <c r="D344" s="1" t="s">
        <v>2069</v>
      </c>
      <c r="E344" s="1" t="s">
        <v>2082</v>
      </c>
      <c r="F344" s="1" t="s">
        <v>2026</v>
      </c>
      <c r="G344" s="1" t="s">
        <v>2027</v>
      </c>
    </row>
    <row r="345" spans="1:7">
      <c r="A345" s="1">
        <v>344</v>
      </c>
      <c r="B345" s="1" t="s">
        <v>4194</v>
      </c>
      <c r="D345" s="1" t="s">
        <v>2069</v>
      </c>
      <c r="E345" s="1" t="s">
        <v>2084</v>
      </c>
      <c r="F345" s="1" t="s">
        <v>2030</v>
      </c>
      <c r="G345" s="1" t="s">
        <v>2031</v>
      </c>
    </row>
    <row r="346" spans="1:7">
      <c r="A346" s="1">
        <v>345</v>
      </c>
      <c r="B346" s="1" t="s">
        <v>4195</v>
      </c>
      <c r="D346" s="1" t="s">
        <v>2069</v>
      </c>
      <c r="E346" s="1" t="s">
        <v>2086</v>
      </c>
      <c r="F346" s="1" t="s">
        <v>2034</v>
      </c>
      <c r="G346" s="1" t="s">
        <v>2035</v>
      </c>
    </row>
    <row r="347" spans="1:7">
      <c r="A347" s="1">
        <v>346</v>
      </c>
      <c r="B347" s="1" t="s">
        <v>4196</v>
      </c>
      <c r="D347" s="1" t="s">
        <v>2069</v>
      </c>
      <c r="E347" s="1" t="s">
        <v>2088</v>
      </c>
      <c r="F347" s="1" t="s">
        <v>2038</v>
      </c>
      <c r="G347" s="1" t="s">
        <v>2039</v>
      </c>
    </row>
    <row r="348" spans="1:7">
      <c r="A348" s="1">
        <v>347</v>
      </c>
      <c r="B348" s="1" t="s">
        <v>4197</v>
      </c>
      <c r="D348" s="1" t="s">
        <v>2069</v>
      </c>
      <c r="E348" s="1" t="s">
        <v>2090</v>
      </c>
      <c r="F348" s="1" t="s">
        <v>2042</v>
      </c>
      <c r="G348" s="1" t="s">
        <v>2043</v>
      </c>
    </row>
    <row r="349" spans="1:7">
      <c r="A349" s="1">
        <v>348</v>
      </c>
      <c r="B349" s="1" t="s">
        <v>4198</v>
      </c>
      <c r="D349" s="1" t="s">
        <v>2069</v>
      </c>
      <c r="E349" s="1" t="s">
        <v>2092</v>
      </c>
      <c r="F349" s="1" t="s">
        <v>2046</v>
      </c>
      <c r="G349" s="7" t="s">
        <v>2047</v>
      </c>
    </row>
    <row r="350" spans="1:7">
      <c r="A350" s="1">
        <v>349</v>
      </c>
      <c r="B350" s="1" t="s">
        <v>4199</v>
      </c>
      <c r="D350" s="1" t="s">
        <v>2069</v>
      </c>
      <c r="E350" s="1" t="s">
        <v>2094</v>
      </c>
      <c r="F350" s="1" t="s">
        <v>2054</v>
      </c>
      <c r="G350" s="7" t="s">
        <v>2055</v>
      </c>
    </row>
    <row r="351" spans="1:7">
      <c r="A351" s="1">
        <v>350</v>
      </c>
      <c r="B351" s="1" t="s">
        <v>4200</v>
      </c>
      <c r="D351" s="1" t="s">
        <v>2069</v>
      </c>
      <c r="E351" s="1" t="s">
        <v>2096</v>
      </c>
      <c r="F351" s="1" t="s">
        <v>2058</v>
      </c>
      <c r="G351" s="1" t="s">
        <v>2059</v>
      </c>
    </row>
    <row r="352" spans="1:7">
      <c r="A352" s="1">
        <v>351</v>
      </c>
      <c r="B352" s="1" t="s">
        <v>4201</v>
      </c>
      <c r="D352" s="1" t="s">
        <v>2069</v>
      </c>
      <c r="E352" s="1" t="s">
        <v>2098</v>
      </c>
      <c r="F352" s="1" t="s">
        <v>2062</v>
      </c>
      <c r="G352" s="1" t="s">
        <v>2063</v>
      </c>
    </row>
    <row r="353" spans="1:7">
      <c r="A353" s="1">
        <v>352</v>
      </c>
      <c r="B353" s="1" t="s">
        <v>4202</v>
      </c>
      <c r="D353" s="1" t="s">
        <v>2069</v>
      </c>
      <c r="E353" s="1" t="s">
        <v>2101</v>
      </c>
      <c r="F353" s="1" t="s">
        <v>2066</v>
      </c>
      <c r="G353" s="1" t="s">
        <v>2067</v>
      </c>
    </row>
    <row r="354" spans="1:7">
      <c r="A354" s="1">
        <v>353</v>
      </c>
      <c r="B354" s="1" t="s">
        <v>4203</v>
      </c>
      <c r="D354" s="1" t="s">
        <v>2100</v>
      </c>
      <c r="E354" s="1" t="s">
        <v>2121</v>
      </c>
      <c r="F354" s="1" t="s">
        <v>2118</v>
      </c>
      <c r="G354" s="1" t="s">
        <v>2119</v>
      </c>
    </row>
    <row r="355" spans="1:7">
      <c r="A355" s="1">
        <v>354</v>
      </c>
      <c r="B355" s="1" t="s">
        <v>4204</v>
      </c>
      <c r="D355" s="1" t="s">
        <v>2100</v>
      </c>
      <c r="E355" s="1" t="s">
        <v>2105</v>
      </c>
      <c r="F355" s="1" t="s">
        <v>2122</v>
      </c>
      <c r="G355" s="7" t="s">
        <v>2123</v>
      </c>
    </row>
    <row r="356" spans="1:7">
      <c r="A356" s="1">
        <v>355</v>
      </c>
      <c r="B356" s="1" t="s">
        <v>4205</v>
      </c>
      <c r="D356" s="1" t="s">
        <v>2100</v>
      </c>
      <c r="E356" s="1" t="s">
        <v>2109</v>
      </c>
      <c r="F356" s="1" t="s">
        <v>2106</v>
      </c>
      <c r="G356" s="7" t="s">
        <v>2107</v>
      </c>
    </row>
    <row r="357" spans="1:7">
      <c r="A357" s="1">
        <v>356</v>
      </c>
      <c r="B357" s="1" t="s">
        <v>4206</v>
      </c>
      <c r="D357" s="1" t="s">
        <v>2100</v>
      </c>
      <c r="E357" s="1" t="s">
        <v>2113</v>
      </c>
      <c r="F357" s="1" t="s">
        <v>2110</v>
      </c>
      <c r="G357" s="1" t="s">
        <v>2111</v>
      </c>
    </row>
    <row r="358" spans="1:7">
      <c r="A358" s="1">
        <v>357</v>
      </c>
      <c r="B358" s="1" t="s">
        <v>4207</v>
      </c>
      <c r="D358" s="1" t="s">
        <v>2100</v>
      </c>
      <c r="E358" s="1" t="s">
        <v>2125</v>
      </c>
      <c r="F358" s="1" t="s">
        <v>2114</v>
      </c>
      <c r="G358" s="1" t="s">
        <v>2115</v>
      </c>
    </row>
    <row r="359" spans="1:7">
      <c r="A359" s="1">
        <v>358</v>
      </c>
      <c r="B359" s="1" t="s">
        <v>4208</v>
      </c>
      <c r="D359" s="1" t="s">
        <v>2100</v>
      </c>
      <c r="E359" s="1" t="s">
        <v>2117</v>
      </c>
      <c r="F359" s="1" t="s">
        <v>2102</v>
      </c>
      <c r="G359" s="1" t="s">
        <v>2103</v>
      </c>
    </row>
    <row r="360" spans="1:7">
      <c r="A360" s="1">
        <v>359</v>
      </c>
      <c r="B360" s="1" t="s">
        <v>4209</v>
      </c>
      <c r="D360" s="1" t="s">
        <v>2100</v>
      </c>
      <c r="E360" s="1" t="s">
        <v>2137</v>
      </c>
      <c r="F360" s="1" t="s">
        <v>2130</v>
      </c>
      <c r="G360" s="1" t="s">
        <v>2131</v>
      </c>
    </row>
    <row r="361" spans="1:7">
      <c r="A361" s="1">
        <v>360</v>
      </c>
      <c r="B361" s="1" t="s">
        <v>4210</v>
      </c>
      <c r="D361" s="1" t="s">
        <v>2100</v>
      </c>
      <c r="E361" s="1" t="s">
        <v>2133</v>
      </c>
      <c r="F361" s="1" t="s">
        <v>2138</v>
      </c>
      <c r="G361" s="7" t="s">
        <v>2139</v>
      </c>
    </row>
    <row r="362" spans="1:7">
      <c r="A362" s="1">
        <v>361</v>
      </c>
      <c r="B362" s="1" t="s">
        <v>4211</v>
      </c>
      <c r="D362" s="1" t="s">
        <v>2100</v>
      </c>
      <c r="E362" s="1" t="s">
        <v>2129</v>
      </c>
      <c r="F362" s="1" t="s">
        <v>2126</v>
      </c>
      <c r="G362" s="7" t="s">
        <v>2127</v>
      </c>
    </row>
    <row r="363" spans="1:7">
      <c r="A363" s="1">
        <v>362</v>
      </c>
      <c r="B363" s="1" t="s">
        <v>4212</v>
      </c>
      <c r="D363" s="1" t="s">
        <v>2100</v>
      </c>
      <c r="E363" s="1" t="s">
        <v>2141</v>
      </c>
      <c r="F363" s="1" t="s">
        <v>2134</v>
      </c>
      <c r="G363" s="1" t="s">
        <v>2135</v>
      </c>
    </row>
    <row r="364" spans="1:7">
      <c r="A364" s="1">
        <v>363</v>
      </c>
      <c r="B364" s="1" t="s">
        <v>4213</v>
      </c>
      <c r="D364" s="1" t="s">
        <v>2100</v>
      </c>
      <c r="E364" s="1" t="s">
        <v>4214</v>
      </c>
      <c r="F364" s="1" t="s">
        <v>2142</v>
      </c>
      <c r="G364" s="1" t="s">
        <v>2143</v>
      </c>
    </row>
    <row r="365" spans="1:7">
      <c r="A365" s="1">
        <v>364</v>
      </c>
      <c r="B365" s="1" t="s">
        <v>4215</v>
      </c>
      <c r="D365" s="1" t="s">
        <v>2145</v>
      </c>
      <c r="E365" s="1" t="s">
        <v>4216</v>
      </c>
      <c r="F365" s="1" t="s">
        <v>2147</v>
      </c>
      <c r="G365" s="1" t="s">
        <v>2148</v>
      </c>
    </row>
    <row r="366" spans="1:7">
      <c r="A366" s="1">
        <v>365</v>
      </c>
      <c r="B366" s="1" t="s">
        <v>4217</v>
      </c>
      <c r="D366" s="1" t="s">
        <v>2145</v>
      </c>
      <c r="E366" s="1" t="s">
        <v>4218</v>
      </c>
      <c r="F366" s="1" t="s">
        <v>2151</v>
      </c>
      <c r="G366" s="1" t="s">
        <v>2152</v>
      </c>
    </row>
    <row r="367" spans="1:7">
      <c r="A367" s="1">
        <v>366</v>
      </c>
      <c r="B367" s="1" t="s">
        <v>4219</v>
      </c>
      <c r="D367" s="1" t="s">
        <v>2145</v>
      </c>
      <c r="E367" s="1" t="s">
        <v>4220</v>
      </c>
      <c r="F367" s="1" t="s">
        <v>2155</v>
      </c>
      <c r="G367" s="1" t="s">
        <v>2156</v>
      </c>
    </row>
    <row r="368" spans="1:7">
      <c r="A368" s="1">
        <v>367</v>
      </c>
      <c r="B368" s="1" t="s">
        <v>4221</v>
      </c>
      <c r="D368" s="1" t="s">
        <v>2145</v>
      </c>
      <c r="E368" s="1" t="s">
        <v>4222</v>
      </c>
      <c r="F368" s="1" t="s">
        <v>2159</v>
      </c>
      <c r="G368" s="1" t="s">
        <v>2160</v>
      </c>
    </row>
    <row r="369" spans="1:7">
      <c r="A369" s="1">
        <v>368</v>
      </c>
      <c r="B369" s="1" t="s">
        <v>4223</v>
      </c>
      <c r="D369" s="1" t="s">
        <v>2162</v>
      </c>
      <c r="E369" s="1" t="s">
        <v>1531</v>
      </c>
      <c r="F369" s="1" t="s">
        <v>2180</v>
      </c>
      <c r="G369" s="1" t="s">
        <v>2181</v>
      </c>
    </row>
    <row r="370" spans="1:7">
      <c r="A370" s="1">
        <v>369</v>
      </c>
      <c r="B370" s="1" t="s">
        <v>4224</v>
      </c>
      <c r="D370" s="1" t="s">
        <v>2162</v>
      </c>
      <c r="E370" s="1" t="s">
        <v>1502</v>
      </c>
      <c r="F370" s="1" t="s">
        <v>2164</v>
      </c>
      <c r="G370" s="1" t="s">
        <v>2165</v>
      </c>
    </row>
    <row r="371" spans="1:7">
      <c r="A371" s="1">
        <v>370</v>
      </c>
      <c r="B371" s="1" t="s">
        <v>4225</v>
      </c>
      <c r="D371" s="1" t="s">
        <v>2162</v>
      </c>
      <c r="E371" s="1" t="s">
        <v>1506</v>
      </c>
      <c r="F371" s="1" t="s">
        <v>2168</v>
      </c>
      <c r="G371" s="1" t="s">
        <v>2169</v>
      </c>
    </row>
    <row r="372" spans="1:7">
      <c r="A372" s="1">
        <v>371</v>
      </c>
      <c r="B372" s="1" t="s">
        <v>4226</v>
      </c>
      <c r="D372" s="1" t="s">
        <v>2162</v>
      </c>
      <c r="E372" s="1" t="s">
        <v>1510</v>
      </c>
      <c r="F372" s="1" t="s">
        <v>2172</v>
      </c>
      <c r="G372" s="1" t="s">
        <v>2173</v>
      </c>
    </row>
    <row r="373" spans="1:7">
      <c r="A373" s="1">
        <v>372</v>
      </c>
      <c r="B373" s="1" t="s">
        <v>4227</v>
      </c>
      <c r="D373" s="1" t="s">
        <v>2162</v>
      </c>
      <c r="E373" s="1" t="s">
        <v>1514</v>
      </c>
      <c r="F373" s="1" t="s">
        <v>2176</v>
      </c>
      <c r="G373" s="1" t="s">
        <v>2177</v>
      </c>
    </row>
    <row r="374" spans="1:7">
      <c r="A374" s="1">
        <v>373</v>
      </c>
      <c r="B374" s="1" t="s">
        <v>4228</v>
      </c>
      <c r="D374" s="1" t="s">
        <v>2183</v>
      </c>
      <c r="E374" s="1" t="s">
        <v>2184</v>
      </c>
      <c r="F374" s="1" t="s">
        <v>240</v>
      </c>
      <c r="G374" s="1" t="s">
        <v>241</v>
      </c>
    </row>
    <row r="375" spans="1:7">
      <c r="A375" s="1">
        <v>374</v>
      </c>
      <c r="B375" s="1" t="s">
        <v>4229</v>
      </c>
      <c r="D375" s="1" t="s">
        <v>2186</v>
      </c>
      <c r="E375" s="1" t="s">
        <v>4230</v>
      </c>
      <c r="F375" s="1" t="s">
        <v>2196</v>
      </c>
      <c r="G375" s="1" t="s">
        <v>2197</v>
      </c>
    </row>
    <row r="376" spans="1:7">
      <c r="A376" s="1">
        <v>375</v>
      </c>
      <c r="B376" s="1" t="s">
        <v>4231</v>
      </c>
      <c r="D376" s="1" t="s">
        <v>2186</v>
      </c>
      <c r="E376" s="1" t="s">
        <v>4232</v>
      </c>
      <c r="F376" s="1" t="s">
        <v>2200</v>
      </c>
      <c r="G376" s="1" t="s">
        <v>2201</v>
      </c>
    </row>
    <row r="377" spans="1:7">
      <c r="A377" s="1">
        <v>376</v>
      </c>
      <c r="B377" s="1" t="s">
        <v>4233</v>
      </c>
      <c r="D377" s="1" t="s">
        <v>2186</v>
      </c>
      <c r="E377" s="1" t="s">
        <v>2187</v>
      </c>
      <c r="F377" s="1" t="s">
        <v>2204</v>
      </c>
      <c r="G377" s="1" t="s">
        <v>2205</v>
      </c>
    </row>
    <row r="378" spans="1:7">
      <c r="A378" s="1">
        <v>377</v>
      </c>
      <c r="B378" s="1" t="s">
        <v>4234</v>
      </c>
      <c r="D378" s="1" t="s">
        <v>2186</v>
      </c>
      <c r="E378" s="1" t="s">
        <v>4235</v>
      </c>
      <c r="F378" s="1" t="s">
        <v>2192</v>
      </c>
      <c r="G378" s="1" t="s">
        <v>2193</v>
      </c>
    </row>
    <row r="379" spans="1:7">
      <c r="A379" s="1">
        <v>378</v>
      </c>
      <c r="B379" s="1" t="s">
        <v>4236</v>
      </c>
      <c r="D379" s="1" t="s">
        <v>2186</v>
      </c>
      <c r="E379" s="1" t="s">
        <v>4237</v>
      </c>
      <c r="F379" s="1" t="s">
        <v>2188</v>
      </c>
      <c r="G379" s="1" t="s">
        <v>2189</v>
      </c>
    </row>
    <row r="380" spans="1:7">
      <c r="A380" s="1">
        <v>379</v>
      </c>
      <c r="B380" s="1" t="s">
        <v>4238</v>
      </c>
      <c r="D380" s="1" t="s">
        <v>2207</v>
      </c>
      <c r="E380" s="1" t="s">
        <v>2208</v>
      </c>
      <c r="F380" s="1" t="s">
        <v>1299</v>
      </c>
      <c r="G380" s="1" t="s">
        <v>1300</v>
      </c>
    </row>
    <row r="381" spans="1:7">
      <c r="A381" s="1">
        <v>380</v>
      </c>
      <c r="B381" s="1" t="s">
        <v>4239</v>
      </c>
      <c r="D381" s="1" t="s">
        <v>2207</v>
      </c>
      <c r="E381" s="1" t="s">
        <v>2218</v>
      </c>
      <c r="F381" s="1" t="s">
        <v>1320</v>
      </c>
      <c r="G381" s="1" t="s">
        <v>1321</v>
      </c>
    </row>
    <row r="382" spans="1:7">
      <c r="A382" s="1">
        <v>381</v>
      </c>
      <c r="B382" s="1" t="s">
        <v>4240</v>
      </c>
      <c r="D382" s="1" t="s">
        <v>2207</v>
      </c>
      <c r="E382" s="1" t="s">
        <v>60</v>
      </c>
      <c r="F382" s="1" t="s">
        <v>1305</v>
      </c>
      <c r="G382" s="1" t="s">
        <v>1306</v>
      </c>
    </row>
    <row r="383" spans="1:7">
      <c r="A383" s="1">
        <v>382</v>
      </c>
      <c r="B383" s="1" t="s">
        <v>4241</v>
      </c>
      <c r="D383" s="1" t="s">
        <v>2207</v>
      </c>
      <c r="E383" s="1" t="s">
        <v>2211</v>
      </c>
      <c r="F383" s="1" t="s">
        <v>1302</v>
      </c>
      <c r="G383" s="1" t="s">
        <v>1303</v>
      </c>
    </row>
    <row r="384" spans="1:7">
      <c r="A384" s="1">
        <v>383</v>
      </c>
      <c r="B384" s="1" t="s">
        <v>4242</v>
      </c>
      <c r="D384" s="1" t="s">
        <v>2207</v>
      </c>
      <c r="E384" s="1" t="s">
        <v>64</v>
      </c>
      <c r="F384" s="1" t="s">
        <v>1308</v>
      </c>
      <c r="G384" s="1" t="s">
        <v>1309</v>
      </c>
    </row>
    <row r="385" spans="1:7">
      <c r="A385" s="1">
        <v>384</v>
      </c>
      <c r="B385" s="1" t="s">
        <v>4243</v>
      </c>
      <c r="D385" s="1" t="s">
        <v>2207</v>
      </c>
      <c r="E385" s="1" t="s">
        <v>68</v>
      </c>
      <c r="F385" s="1" t="s">
        <v>1311</v>
      </c>
      <c r="G385" s="1" t="s">
        <v>1312</v>
      </c>
    </row>
    <row r="386" spans="1:7">
      <c r="A386" s="1">
        <v>385</v>
      </c>
      <c r="B386" s="1" t="s">
        <v>4244</v>
      </c>
      <c r="D386" s="1" t="s">
        <v>2207</v>
      </c>
      <c r="E386" s="1" t="s">
        <v>72</v>
      </c>
      <c r="F386" s="1" t="s">
        <v>1314</v>
      </c>
      <c r="G386" s="1" t="s">
        <v>1315</v>
      </c>
    </row>
    <row r="387" spans="1:7">
      <c r="A387" s="1">
        <v>386</v>
      </c>
      <c r="B387" s="1" t="s">
        <v>4245</v>
      </c>
      <c r="D387" s="1" t="s">
        <v>2207</v>
      </c>
      <c r="E387" s="1" t="s">
        <v>2216</v>
      </c>
      <c r="F387" s="1" t="s">
        <v>1317</v>
      </c>
      <c r="G387" s="1" t="s">
        <v>1318</v>
      </c>
    </row>
    <row r="388" spans="1:7">
      <c r="A388" s="1">
        <v>387</v>
      </c>
      <c r="B388" s="1" t="s">
        <v>4246</v>
      </c>
      <c r="D388" s="1" t="s">
        <v>2220</v>
      </c>
      <c r="E388" s="1" t="s">
        <v>4247</v>
      </c>
      <c r="F388" s="1" t="s">
        <v>4248</v>
      </c>
      <c r="G388" s="1" t="s">
        <v>4249</v>
      </c>
    </row>
    <row r="389" spans="1:7">
      <c r="A389" s="1">
        <v>388</v>
      </c>
      <c r="B389" s="1" t="s">
        <v>4250</v>
      </c>
      <c r="D389" s="1" t="s">
        <v>2220</v>
      </c>
      <c r="E389" s="1" t="s">
        <v>4251</v>
      </c>
      <c r="F389" s="1" t="s">
        <v>4252</v>
      </c>
      <c r="G389" s="1" t="s">
        <v>4253</v>
      </c>
    </row>
    <row r="390" spans="1:7">
      <c r="A390" s="1">
        <v>389</v>
      </c>
      <c r="B390" s="1" t="s">
        <v>4254</v>
      </c>
      <c r="D390" s="1" t="s">
        <v>2220</v>
      </c>
      <c r="E390" s="1" t="s">
        <v>4255</v>
      </c>
      <c r="F390" s="1" t="s">
        <v>4256</v>
      </c>
      <c r="G390" s="1" t="s">
        <v>4257</v>
      </c>
    </row>
    <row r="391" spans="1:7">
      <c r="A391" s="1">
        <v>390</v>
      </c>
      <c r="B391" s="1" t="s">
        <v>4258</v>
      </c>
      <c r="D391" s="1" t="s">
        <v>2220</v>
      </c>
      <c r="E391" s="1" t="s">
        <v>4259</v>
      </c>
      <c r="F391" s="1" t="s">
        <v>4260</v>
      </c>
      <c r="G391" s="1" t="s">
        <v>4261</v>
      </c>
    </row>
    <row r="392" spans="1:7">
      <c r="A392" s="1">
        <v>391</v>
      </c>
      <c r="B392" s="1" t="s">
        <v>4262</v>
      </c>
      <c r="D392" s="1" t="s">
        <v>2220</v>
      </c>
      <c r="E392" s="1" t="s">
        <v>4263</v>
      </c>
      <c r="F392" s="1" t="s">
        <v>4264</v>
      </c>
      <c r="G392" s="1" t="s">
        <v>4265</v>
      </c>
    </row>
    <row r="393" spans="1:7">
      <c r="A393" s="1">
        <v>392</v>
      </c>
      <c r="B393" s="1" t="s">
        <v>4266</v>
      </c>
      <c r="D393" s="1" t="s">
        <v>2220</v>
      </c>
      <c r="E393" s="1" t="s">
        <v>4267</v>
      </c>
      <c r="F393" s="1" t="s">
        <v>4268</v>
      </c>
      <c r="G393" s="1" t="s">
        <v>4269</v>
      </c>
    </row>
    <row r="394" spans="1:7">
      <c r="A394" s="1">
        <v>393</v>
      </c>
      <c r="B394" s="1" t="s">
        <v>4270</v>
      </c>
      <c r="D394" s="1" t="s">
        <v>2220</v>
      </c>
      <c r="E394" s="1" t="s">
        <v>4271</v>
      </c>
      <c r="F394" s="1" t="s">
        <v>4272</v>
      </c>
      <c r="G394" s="1" t="s">
        <v>4273</v>
      </c>
    </row>
    <row r="395" spans="1:7">
      <c r="A395" s="1">
        <v>394</v>
      </c>
      <c r="B395" s="1" t="s">
        <v>4274</v>
      </c>
      <c r="D395" s="1" t="s">
        <v>2220</v>
      </c>
      <c r="E395" s="1" t="s">
        <v>4275</v>
      </c>
      <c r="F395" s="1" t="s">
        <v>2151</v>
      </c>
      <c r="G395" s="1" t="s">
        <v>2152</v>
      </c>
    </row>
    <row r="396" spans="1:7">
      <c r="A396" s="1">
        <v>395</v>
      </c>
      <c r="B396" s="1" t="s">
        <v>4276</v>
      </c>
      <c r="D396" s="1" t="s">
        <v>2253</v>
      </c>
      <c r="E396" s="1" t="s">
        <v>2254</v>
      </c>
      <c r="F396" s="1" t="s">
        <v>21</v>
      </c>
      <c r="G396" s="1" t="s">
        <v>22</v>
      </c>
    </row>
    <row r="397" spans="1:7">
      <c r="A397" s="1">
        <v>396</v>
      </c>
      <c r="B397" s="1" t="s">
        <v>4277</v>
      </c>
      <c r="D397" s="1" t="s">
        <v>2253</v>
      </c>
      <c r="E397" s="1" t="s">
        <v>812</v>
      </c>
      <c r="F397" s="1" t="s">
        <v>813</v>
      </c>
      <c r="G397" s="1" t="s">
        <v>814</v>
      </c>
    </row>
    <row r="398" spans="1:7">
      <c r="A398" s="1">
        <v>397</v>
      </c>
      <c r="B398" s="1" t="s">
        <v>4278</v>
      </c>
      <c r="D398" s="1" t="s">
        <v>2253</v>
      </c>
      <c r="E398" s="1" t="s">
        <v>815</v>
      </c>
      <c r="F398" s="1" t="s">
        <v>816</v>
      </c>
      <c r="G398" s="1" t="s">
        <v>817</v>
      </c>
    </row>
    <row r="399" spans="1:7">
      <c r="A399" s="1">
        <v>398</v>
      </c>
      <c r="B399" s="1" t="s">
        <v>4279</v>
      </c>
      <c r="D399" s="1" t="s">
        <v>2258</v>
      </c>
      <c r="E399" s="1" t="s">
        <v>2259</v>
      </c>
      <c r="F399" s="1" t="s">
        <v>376</v>
      </c>
      <c r="G399" s="1" t="s">
        <v>377</v>
      </c>
    </row>
    <row r="400" spans="1:7">
      <c r="A400" s="1">
        <v>399</v>
      </c>
      <c r="B400" s="1" t="s">
        <v>4280</v>
      </c>
      <c r="D400" s="1" t="s">
        <v>2258</v>
      </c>
      <c r="E400" s="1" t="s">
        <v>2261</v>
      </c>
      <c r="F400" s="1" t="s">
        <v>372</v>
      </c>
      <c r="G400" s="1" t="s">
        <v>373</v>
      </c>
    </row>
    <row r="401" spans="1:7">
      <c r="A401" s="1">
        <v>400</v>
      </c>
      <c r="B401" s="1" t="s">
        <v>4281</v>
      </c>
      <c r="D401" s="1" t="s">
        <v>2258</v>
      </c>
      <c r="E401" s="1" t="s">
        <v>2263</v>
      </c>
      <c r="F401" s="1" t="s">
        <v>380</v>
      </c>
      <c r="G401" s="1" t="s">
        <v>381</v>
      </c>
    </row>
    <row r="402" spans="1:7">
      <c r="A402" s="1">
        <v>401</v>
      </c>
      <c r="B402" s="1" t="s">
        <v>4282</v>
      </c>
      <c r="D402" s="1" t="s">
        <v>2258</v>
      </c>
      <c r="E402" s="1" t="s">
        <v>2267</v>
      </c>
      <c r="F402" s="1" t="s">
        <v>344</v>
      </c>
      <c r="G402" s="1" t="s">
        <v>345</v>
      </c>
    </row>
    <row r="403" spans="1:7">
      <c r="A403" s="1">
        <v>402</v>
      </c>
      <c r="B403" s="1" t="s">
        <v>4283</v>
      </c>
      <c r="D403" s="1" t="s">
        <v>2258</v>
      </c>
      <c r="E403" s="1" t="s">
        <v>2283</v>
      </c>
      <c r="F403" s="1" t="s">
        <v>340</v>
      </c>
      <c r="G403" s="1" t="s">
        <v>341</v>
      </c>
    </row>
    <row r="404" spans="1:7">
      <c r="A404" s="1">
        <v>403</v>
      </c>
      <c r="B404" s="1" t="s">
        <v>4284</v>
      </c>
      <c r="D404" s="1" t="s">
        <v>2258</v>
      </c>
      <c r="E404" s="1" t="s">
        <v>2275</v>
      </c>
      <c r="F404" s="1" t="s">
        <v>4285</v>
      </c>
      <c r="G404" s="1" t="s">
        <v>4286</v>
      </c>
    </row>
    <row r="405" spans="1:7">
      <c r="A405" s="1">
        <v>404</v>
      </c>
      <c r="B405" s="1" t="s">
        <v>4287</v>
      </c>
      <c r="D405" s="1" t="s">
        <v>2258</v>
      </c>
      <c r="E405" s="1" t="s">
        <v>2265</v>
      </c>
      <c r="F405" s="1" t="s">
        <v>336</v>
      </c>
      <c r="G405" s="1" t="s">
        <v>337</v>
      </c>
    </row>
    <row r="406" spans="1:7">
      <c r="A406" s="1">
        <v>405</v>
      </c>
      <c r="B406" s="1" t="s">
        <v>4288</v>
      </c>
      <c r="D406" s="1" t="s">
        <v>2258</v>
      </c>
      <c r="E406" s="1" t="s">
        <v>2269</v>
      </c>
      <c r="F406" s="1" t="s">
        <v>384</v>
      </c>
      <c r="G406" s="1" t="s">
        <v>385</v>
      </c>
    </row>
    <row r="407" spans="1:7">
      <c r="A407" s="1">
        <v>406</v>
      </c>
      <c r="B407" s="1" t="s">
        <v>4289</v>
      </c>
      <c r="D407" s="1" t="s">
        <v>2258</v>
      </c>
      <c r="E407" s="1" t="s">
        <v>2281</v>
      </c>
      <c r="F407" s="1" t="s">
        <v>4290</v>
      </c>
      <c r="G407" s="1" t="s">
        <v>4291</v>
      </c>
    </row>
    <row r="408" spans="1:7">
      <c r="A408" s="1">
        <v>407</v>
      </c>
      <c r="B408" s="1" t="s">
        <v>4292</v>
      </c>
      <c r="D408" s="1" t="s">
        <v>2258</v>
      </c>
      <c r="E408" s="1" t="s">
        <v>2271</v>
      </c>
      <c r="F408" s="1" t="s">
        <v>4293</v>
      </c>
      <c r="G408" s="1" t="s">
        <v>4294</v>
      </c>
    </row>
    <row r="409" spans="1:7">
      <c r="A409" s="1">
        <v>408</v>
      </c>
      <c r="B409" s="1" t="s">
        <v>4295</v>
      </c>
      <c r="D409" s="1" t="s">
        <v>2258</v>
      </c>
      <c r="E409" s="1" t="s">
        <v>2277</v>
      </c>
      <c r="F409" s="1" t="s">
        <v>4296</v>
      </c>
      <c r="G409" s="1" t="s">
        <v>4297</v>
      </c>
    </row>
    <row r="410" spans="1:7">
      <c r="A410" s="1">
        <v>409</v>
      </c>
      <c r="B410" s="1" t="s">
        <v>4298</v>
      </c>
      <c r="D410" s="1" t="s">
        <v>2258</v>
      </c>
      <c r="E410" s="1" t="s">
        <v>2273</v>
      </c>
      <c r="F410" s="1" t="s">
        <v>4299</v>
      </c>
      <c r="G410" s="1" t="s">
        <v>4300</v>
      </c>
    </row>
    <row r="411" spans="1:7">
      <c r="A411" s="1">
        <v>410</v>
      </c>
      <c r="B411" s="1" t="s">
        <v>4301</v>
      </c>
      <c r="D411" s="1" t="s">
        <v>2258</v>
      </c>
      <c r="E411" s="1" t="s">
        <v>2279</v>
      </c>
      <c r="F411" s="1" t="s">
        <v>4302</v>
      </c>
      <c r="G411" s="1" t="s">
        <v>4303</v>
      </c>
    </row>
    <row r="412" spans="1:7">
      <c r="A412" s="1">
        <v>411</v>
      </c>
      <c r="B412" s="1" t="s">
        <v>4304</v>
      </c>
      <c r="D412" s="1" t="s">
        <v>2285</v>
      </c>
      <c r="E412" s="1" t="s">
        <v>1156</v>
      </c>
      <c r="F412" s="1" t="s">
        <v>2286</v>
      </c>
      <c r="G412" s="1" t="s">
        <v>2287</v>
      </c>
    </row>
    <row r="413" spans="1:7">
      <c r="A413" s="1">
        <v>412</v>
      </c>
      <c r="B413" s="1" t="s">
        <v>4305</v>
      </c>
      <c r="D413" s="1" t="s">
        <v>2285</v>
      </c>
      <c r="E413" s="1" t="s">
        <v>1153</v>
      </c>
      <c r="F413" s="1" t="s">
        <v>2289</v>
      </c>
      <c r="G413" s="1" t="s">
        <v>2290</v>
      </c>
    </row>
    <row r="414" spans="1:7">
      <c r="A414" s="1">
        <v>413</v>
      </c>
      <c r="B414" s="1" t="s">
        <v>4306</v>
      </c>
      <c r="D414" s="1" t="s">
        <v>2292</v>
      </c>
      <c r="E414" s="1" t="s">
        <v>2293</v>
      </c>
      <c r="F414" s="1" t="s">
        <v>21</v>
      </c>
      <c r="G414" s="1" t="s">
        <v>22</v>
      </c>
    </row>
    <row r="415" spans="1:7">
      <c r="A415" s="1">
        <v>414</v>
      </c>
      <c r="B415" s="1" t="s">
        <v>4307</v>
      </c>
      <c r="D415" s="1" t="s">
        <v>2301</v>
      </c>
      <c r="E415" s="1" t="s">
        <v>2302</v>
      </c>
      <c r="F415" s="1" t="s">
        <v>4308</v>
      </c>
      <c r="G415" s="1" t="s">
        <v>4309</v>
      </c>
    </row>
    <row r="416" spans="1:7">
      <c r="A416" s="1">
        <v>415</v>
      </c>
      <c r="B416" s="1" t="s">
        <v>4310</v>
      </c>
      <c r="D416" s="1" t="s">
        <v>2301</v>
      </c>
      <c r="E416" s="1" t="s">
        <v>2306</v>
      </c>
      <c r="F416" s="1" t="s">
        <v>4311</v>
      </c>
      <c r="G416" s="1" t="s">
        <v>4312</v>
      </c>
    </row>
    <row r="417" spans="1:7">
      <c r="A417" s="1">
        <v>416</v>
      </c>
      <c r="B417" s="1" t="s">
        <v>4313</v>
      </c>
      <c r="D417" s="1" t="s">
        <v>2310</v>
      </c>
      <c r="E417" s="1" t="s">
        <v>4314</v>
      </c>
      <c r="F417" s="1" t="s">
        <v>2320</v>
      </c>
      <c r="G417" s="1" t="s">
        <v>2321</v>
      </c>
    </row>
    <row r="418" spans="1:7">
      <c r="A418" s="1">
        <v>417</v>
      </c>
      <c r="B418" s="1" t="s">
        <v>4315</v>
      </c>
      <c r="D418" s="1" t="s">
        <v>2310</v>
      </c>
      <c r="E418" s="1" t="s">
        <v>4316</v>
      </c>
      <c r="F418" s="1" t="s">
        <v>2324</v>
      </c>
      <c r="G418" s="1" t="s">
        <v>2325</v>
      </c>
    </row>
    <row r="419" spans="1:7">
      <c r="A419" s="1">
        <v>418</v>
      </c>
      <c r="B419" s="1" t="s">
        <v>4317</v>
      </c>
      <c r="D419" s="1" t="s">
        <v>2310</v>
      </c>
      <c r="E419" s="1" t="s">
        <v>4318</v>
      </c>
      <c r="F419" s="1" t="s">
        <v>2328</v>
      </c>
      <c r="G419" s="1" t="s">
        <v>2329</v>
      </c>
    </row>
    <row r="420" spans="1:7">
      <c r="A420" s="1">
        <v>419</v>
      </c>
      <c r="B420" s="1" t="s">
        <v>4319</v>
      </c>
      <c r="D420" s="1" t="s">
        <v>4320</v>
      </c>
      <c r="E420" s="1" t="s">
        <v>4321</v>
      </c>
      <c r="F420" s="1" t="s">
        <v>4322</v>
      </c>
      <c r="G420" s="1" t="s">
        <v>4323</v>
      </c>
    </row>
    <row r="421" spans="1:7">
      <c r="A421" s="1">
        <v>420</v>
      </c>
      <c r="B421" s="1" t="s">
        <v>4324</v>
      </c>
      <c r="D421" s="1" t="s">
        <v>4320</v>
      </c>
      <c r="E421" s="1" t="s">
        <v>4325</v>
      </c>
      <c r="F421" s="1" t="s">
        <v>4326</v>
      </c>
      <c r="G421" s="1" t="s">
        <v>4327</v>
      </c>
    </row>
    <row r="422" spans="1:7">
      <c r="A422" s="1">
        <v>421</v>
      </c>
      <c r="B422" s="1" t="s">
        <v>4328</v>
      </c>
      <c r="D422" s="1" t="s">
        <v>4320</v>
      </c>
      <c r="E422" s="1" t="s">
        <v>4329</v>
      </c>
      <c r="F422" s="1" t="s">
        <v>4330</v>
      </c>
      <c r="G422" s="1" t="s">
        <v>4331</v>
      </c>
    </row>
    <row r="423" spans="1:7">
      <c r="A423" s="1">
        <v>422</v>
      </c>
      <c r="B423" s="1" t="s">
        <v>4332</v>
      </c>
      <c r="D423" s="1" t="s">
        <v>2331</v>
      </c>
      <c r="E423" s="1" t="s">
        <v>2332</v>
      </c>
      <c r="F423" s="1" t="s">
        <v>21</v>
      </c>
      <c r="G423" s="1" t="s">
        <v>22</v>
      </c>
    </row>
    <row r="424" spans="1:7">
      <c r="A424" s="1">
        <v>423</v>
      </c>
      <c r="B424" s="1" t="s">
        <v>4333</v>
      </c>
      <c r="D424" s="1" t="s">
        <v>2331</v>
      </c>
      <c r="E424" s="1" t="s">
        <v>824</v>
      </c>
      <c r="F424" s="1" t="s">
        <v>619</v>
      </c>
      <c r="G424" s="1" t="s">
        <v>620</v>
      </c>
    </row>
    <row r="425" spans="1:7">
      <c r="A425" s="1">
        <v>424</v>
      </c>
      <c r="B425" s="1" t="s">
        <v>4334</v>
      </c>
      <c r="D425" s="1" t="s">
        <v>2331</v>
      </c>
      <c r="E425" s="1" t="s">
        <v>825</v>
      </c>
      <c r="F425" s="1" t="s">
        <v>16</v>
      </c>
      <c r="G425" s="1" t="s">
        <v>17</v>
      </c>
    </row>
    <row r="426" spans="1:7">
      <c r="A426" s="1">
        <v>425</v>
      </c>
      <c r="B426" s="1" t="s">
        <v>4335</v>
      </c>
      <c r="D426" s="1" t="s">
        <v>2336</v>
      </c>
      <c r="E426" s="1" t="s">
        <v>2337</v>
      </c>
      <c r="F426" s="1" t="s">
        <v>2338</v>
      </c>
      <c r="G426" s="1" t="s">
        <v>2339</v>
      </c>
    </row>
    <row r="427" spans="1:7">
      <c r="A427" s="1">
        <v>426</v>
      </c>
      <c r="B427" s="1" t="s">
        <v>4336</v>
      </c>
      <c r="D427" s="1" t="s">
        <v>2341</v>
      </c>
      <c r="E427" s="1" t="s">
        <v>2342</v>
      </c>
      <c r="F427" s="1" t="s">
        <v>2343</v>
      </c>
      <c r="G427" s="1" t="s">
        <v>2344</v>
      </c>
    </row>
    <row r="428" spans="1:7">
      <c r="A428" s="1">
        <v>427</v>
      </c>
      <c r="B428" s="1" t="s">
        <v>4337</v>
      </c>
      <c r="D428" s="1" t="s">
        <v>2341</v>
      </c>
      <c r="E428" s="1" t="s">
        <v>2346</v>
      </c>
      <c r="F428" s="1" t="s">
        <v>2347</v>
      </c>
      <c r="G428" s="1" t="s">
        <v>2348</v>
      </c>
    </row>
    <row r="429" spans="1:7">
      <c r="A429" s="1">
        <v>428</v>
      </c>
      <c r="B429" s="1" t="s">
        <v>4338</v>
      </c>
      <c r="D429" s="1" t="s">
        <v>2341</v>
      </c>
      <c r="E429" s="1" t="s">
        <v>2350</v>
      </c>
      <c r="F429" s="1" t="s">
        <v>2351</v>
      </c>
      <c r="G429" s="1" t="s">
        <v>2352</v>
      </c>
    </row>
    <row r="430" spans="1:7">
      <c r="A430" s="1">
        <v>429</v>
      </c>
      <c r="B430" s="1" t="s">
        <v>4339</v>
      </c>
      <c r="D430" s="1" t="s">
        <v>2354</v>
      </c>
      <c r="E430" s="1" t="s">
        <v>2355</v>
      </c>
      <c r="F430" s="1" t="s">
        <v>2356</v>
      </c>
      <c r="G430" s="1" t="s">
        <v>2357</v>
      </c>
    </row>
    <row r="431" spans="1:7">
      <c r="A431" s="1">
        <v>430</v>
      </c>
      <c r="B431" s="1" t="s">
        <v>4340</v>
      </c>
      <c r="D431" s="1" t="s">
        <v>2359</v>
      </c>
      <c r="E431" s="1" t="s">
        <v>2360</v>
      </c>
      <c r="F431" s="1" t="s">
        <v>2361</v>
      </c>
      <c r="G431" s="1" t="s">
        <v>2362</v>
      </c>
    </row>
    <row r="432" spans="1:7">
      <c r="A432" s="1">
        <v>431</v>
      </c>
      <c r="B432" s="1" t="s">
        <v>4341</v>
      </c>
      <c r="D432" s="1" t="s">
        <v>2359</v>
      </c>
      <c r="E432" s="1" t="s">
        <v>2368</v>
      </c>
      <c r="F432" s="1" t="s">
        <v>2369</v>
      </c>
      <c r="G432" s="1" t="s">
        <v>2370</v>
      </c>
    </row>
    <row r="433" spans="1:7">
      <c r="A433" s="1">
        <v>432</v>
      </c>
      <c r="B433" s="1" t="s">
        <v>4342</v>
      </c>
      <c r="D433" s="1" t="s">
        <v>2359</v>
      </c>
      <c r="E433" s="1" t="s">
        <v>2364</v>
      </c>
      <c r="F433" s="1" t="s">
        <v>2365</v>
      </c>
      <c r="G433" s="1" t="s">
        <v>2366</v>
      </c>
    </row>
    <row r="434" spans="1:7">
      <c r="A434" s="1">
        <v>433</v>
      </c>
      <c r="B434" s="1" t="s">
        <v>4343</v>
      </c>
      <c r="D434" s="1" t="s">
        <v>2372</v>
      </c>
      <c r="E434" s="1" t="s">
        <v>4344</v>
      </c>
      <c r="F434" s="1" t="s">
        <v>2374</v>
      </c>
      <c r="G434" s="1" t="s">
        <v>2375</v>
      </c>
    </row>
    <row r="435" spans="1:7">
      <c r="A435" s="1">
        <v>434</v>
      </c>
      <c r="B435" s="1" t="s">
        <v>4345</v>
      </c>
      <c r="D435" s="1" t="s">
        <v>2397</v>
      </c>
      <c r="E435" s="1" t="s">
        <v>1245</v>
      </c>
      <c r="F435" s="1" t="s">
        <v>21</v>
      </c>
      <c r="G435" s="1" t="s">
        <v>22</v>
      </c>
    </row>
    <row r="436" spans="1:7">
      <c r="A436" s="1">
        <v>435</v>
      </c>
      <c r="B436" s="1" t="s">
        <v>4346</v>
      </c>
      <c r="D436" s="1" t="s">
        <v>2397</v>
      </c>
      <c r="E436" s="1" t="s">
        <v>1248</v>
      </c>
      <c r="F436" s="1" t="s">
        <v>669</v>
      </c>
      <c r="G436" s="1" t="s">
        <v>670</v>
      </c>
    </row>
    <row r="437" spans="1:7">
      <c r="A437" s="1">
        <v>436</v>
      </c>
      <c r="B437" s="1" t="s">
        <v>4347</v>
      </c>
      <c r="D437" s="1" t="s">
        <v>2397</v>
      </c>
      <c r="E437" s="1" t="s">
        <v>1246</v>
      </c>
      <c r="F437" s="1" t="s">
        <v>665</v>
      </c>
      <c r="G437" s="1" t="s">
        <v>666</v>
      </c>
    </row>
    <row r="438" spans="1:7">
      <c r="A438" s="1">
        <v>437</v>
      </c>
      <c r="B438" s="1" t="s">
        <v>4348</v>
      </c>
      <c r="D438" s="1" t="s">
        <v>2397</v>
      </c>
      <c r="E438" s="1" t="s">
        <v>1247</v>
      </c>
      <c r="F438" s="1" t="s">
        <v>660</v>
      </c>
      <c r="G438" s="1" t="s">
        <v>661</v>
      </c>
    </row>
    <row r="439" spans="1:7">
      <c r="A439" s="1">
        <v>438</v>
      </c>
      <c r="B439" s="1" t="s">
        <v>4349</v>
      </c>
      <c r="D439" s="1" t="s">
        <v>2397</v>
      </c>
      <c r="E439" s="1" t="s">
        <v>4350</v>
      </c>
      <c r="F439" s="1" t="s">
        <v>3561</v>
      </c>
      <c r="G439" s="1" t="s">
        <v>3562</v>
      </c>
    </row>
    <row r="440" spans="1:7">
      <c r="A440" s="1">
        <v>439</v>
      </c>
      <c r="B440" s="1" t="s">
        <v>4351</v>
      </c>
      <c r="D440" s="1" t="s">
        <v>2397</v>
      </c>
      <c r="E440" s="1" t="s">
        <v>4352</v>
      </c>
      <c r="F440" s="1" t="s">
        <v>3565</v>
      </c>
      <c r="G440" s="1" t="s">
        <v>3566</v>
      </c>
    </row>
    <row r="441" spans="1:7">
      <c r="A441" s="1">
        <v>440</v>
      </c>
      <c r="B441" s="1" t="s">
        <v>4353</v>
      </c>
      <c r="D441" s="1" t="s">
        <v>2403</v>
      </c>
      <c r="E441" s="1" t="s">
        <v>2404</v>
      </c>
      <c r="F441" s="1" t="s">
        <v>21</v>
      </c>
      <c r="G441" s="1" t="s">
        <v>22</v>
      </c>
    </row>
    <row r="442" spans="1:7">
      <c r="A442" s="1">
        <v>441</v>
      </c>
      <c r="B442" s="1" t="s">
        <v>4354</v>
      </c>
      <c r="D442" s="1" t="s">
        <v>2403</v>
      </c>
      <c r="E442" s="1" t="s">
        <v>2406</v>
      </c>
      <c r="F442" s="1" t="s">
        <v>2378</v>
      </c>
      <c r="G442" s="1" t="s">
        <v>2379</v>
      </c>
    </row>
    <row r="443" spans="1:7">
      <c r="A443" s="1">
        <v>442</v>
      </c>
      <c r="B443" s="1" t="s">
        <v>4355</v>
      </c>
      <c r="D443" s="1" t="s">
        <v>2403</v>
      </c>
      <c r="E443" s="1" t="s">
        <v>2408</v>
      </c>
      <c r="F443" s="1" t="s">
        <v>2381</v>
      </c>
      <c r="G443" s="1" t="s">
        <v>2382</v>
      </c>
    </row>
    <row r="444" spans="1:7">
      <c r="A444" s="1">
        <v>443</v>
      </c>
      <c r="B444" s="1" t="s">
        <v>4356</v>
      </c>
      <c r="D444" s="1" t="s">
        <v>2403</v>
      </c>
      <c r="E444" s="1" t="s">
        <v>2410</v>
      </c>
      <c r="F444" s="1" t="s">
        <v>660</v>
      </c>
      <c r="G444" s="1" t="s">
        <v>661</v>
      </c>
    </row>
    <row r="445" spans="1:7">
      <c r="A445" s="1">
        <v>444</v>
      </c>
      <c r="B445" s="1" t="s">
        <v>4357</v>
      </c>
      <c r="D445" s="1" t="s">
        <v>2403</v>
      </c>
      <c r="E445" s="1" t="s">
        <v>4358</v>
      </c>
      <c r="F445" s="1" t="s">
        <v>4359</v>
      </c>
      <c r="G445" s="1" t="s">
        <v>4360</v>
      </c>
    </row>
    <row r="446" spans="1:7">
      <c r="A446" s="1">
        <v>445</v>
      </c>
      <c r="B446" s="1" t="s">
        <v>4361</v>
      </c>
      <c r="D446" s="1" t="s">
        <v>2403</v>
      </c>
      <c r="E446" s="1" t="s">
        <v>4362</v>
      </c>
      <c r="F446" s="1" t="s">
        <v>4363</v>
      </c>
      <c r="G446" s="1" t="s">
        <v>4364</v>
      </c>
    </row>
    <row r="447" spans="1:7">
      <c r="A447" s="1">
        <v>446</v>
      </c>
      <c r="B447" s="1" t="s">
        <v>4365</v>
      </c>
      <c r="D447" s="1" t="s">
        <v>2414</v>
      </c>
      <c r="E447" s="1" t="s">
        <v>2415</v>
      </c>
      <c r="F447" s="1" t="s">
        <v>688</v>
      </c>
      <c r="G447" s="1" t="s">
        <v>689</v>
      </c>
    </row>
    <row r="448" spans="1:7">
      <c r="A448" s="1">
        <v>447</v>
      </c>
      <c r="B448" s="1" t="s">
        <v>4366</v>
      </c>
      <c r="D448" s="1" t="s">
        <v>2414</v>
      </c>
      <c r="E448" s="1" t="s">
        <v>2417</v>
      </c>
      <c r="F448" s="1" t="s">
        <v>669</v>
      </c>
      <c r="G448" s="1" t="s">
        <v>670</v>
      </c>
    </row>
    <row r="449" spans="1:7">
      <c r="A449" s="1">
        <v>448</v>
      </c>
      <c r="B449" s="1" t="s">
        <v>4367</v>
      </c>
      <c r="D449" s="1" t="s">
        <v>2414</v>
      </c>
      <c r="E449" s="1" t="s">
        <v>2421</v>
      </c>
      <c r="F449" s="1" t="s">
        <v>665</v>
      </c>
      <c r="G449" s="1" t="s">
        <v>666</v>
      </c>
    </row>
    <row r="450" spans="1:7">
      <c r="A450" s="1">
        <v>449</v>
      </c>
      <c r="B450" s="1" t="s">
        <v>4368</v>
      </c>
      <c r="D450" s="1" t="s">
        <v>2414</v>
      </c>
      <c r="E450" s="1" t="s">
        <v>2419</v>
      </c>
      <c r="F450" s="1" t="s">
        <v>660</v>
      </c>
      <c r="G450" s="1" t="s">
        <v>661</v>
      </c>
    </row>
    <row r="451" spans="1:7">
      <c r="A451" s="1">
        <v>450</v>
      </c>
      <c r="B451" s="1" t="s">
        <v>4369</v>
      </c>
      <c r="D451" s="1" t="s">
        <v>2414</v>
      </c>
      <c r="E451" s="1" t="s">
        <v>4370</v>
      </c>
      <c r="F451" s="1" t="s">
        <v>3561</v>
      </c>
      <c r="G451" s="1" t="s">
        <v>3562</v>
      </c>
    </row>
    <row r="452" spans="1:7">
      <c r="A452" s="1">
        <v>451</v>
      </c>
      <c r="B452" s="1" t="s">
        <v>4371</v>
      </c>
      <c r="D452" s="1" t="s">
        <v>2414</v>
      </c>
      <c r="E452" s="1" t="s">
        <v>4372</v>
      </c>
      <c r="F452" s="1" t="s">
        <v>3565</v>
      </c>
      <c r="G452" s="1" t="s">
        <v>3566</v>
      </c>
    </row>
    <row r="453" spans="1:7">
      <c r="A453" s="1">
        <v>452</v>
      </c>
      <c r="B453" s="1" t="s">
        <v>4373</v>
      </c>
      <c r="D453" s="1" t="s">
        <v>2425</v>
      </c>
      <c r="E453" s="1" t="s">
        <v>2426</v>
      </c>
      <c r="F453" s="1" t="s">
        <v>688</v>
      </c>
      <c r="G453" s="1" t="s">
        <v>689</v>
      </c>
    </row>
    <row r="454" spans="1:7">
      <c r="A454" s="1">
        <v>453</v>
      </c>
      <c r="B454" s="1" t="s">
        <v>4374</v>
      </c>
      <c r="D454" s="1" t="s">
        <v>2425</v>
      </c>
      <c r="E454" s="1" t="s">
        <v>2428</v>
      </c>
      <c r="F454" s="1" t="s">
        <v>669</v>
      </c>
      <c r="G454" s="1" t="s">
        <v>670</v>
      </c>
    </row>
    <row r="455" spans="1:7">
      <c r="A455" s="1">
        <v>454</v>
      </c>
      <c r="B455" s="1" t="s">
        <v>4375</v>
      </c>
      <c r="D455" s="1" t="s">
        <v>2425</v>
      </c>
      <c r="E455" s="1" t="s">
        <v>2432</v>
      </c>
      <c r="F455" s="1" t="s">
        <v>665</v>
      </c>
      <c r="G455" s="1" t="s">
        <v>666</v>
      </c>
    </row>
    <row r="456" spans="1:7">
      <c r="A456" s="1">
        <v>455</v>
      </c>
      <c r="B456" s="1" t="s">
        <v>4376</v>
      </c>
      <c r="D456" s="1" t="s">
        <v>2425</v>
      </c>
      <c r="E456" s="1" t="s">
        <v>2430</v>
      </c>
      <c r="F456" s="1" t="s">
        <v>660</v>
      </c>
      <c r="G456" s="1" t="s">
        <v>661</v>
      </c>
    </row>
    <row r="457" spans="1:7">
      <c r="A457" s="1">
        <v>456</v>
      </c>
      <c r="B457" s="1" t="s">
        <v>4377</v>
      </c>
      <c r="D457" s="1" t="s">
        <v>2425</v>
      </c>
      <c r="E457" s="1" t="s">
        <v>4378</v>
      </c>
      <c r="F457" s="1" t="s">
        <v>3561</v>
      </c>
      <c r="G457" s="1" t="s">
        <v>3562</v>
      </c>
    </row>
    <row r="458" spans="1:7">
      <c r="A458" s="1">
        <v>457</v>
      </c>
      <c r="B458" s="1" t="s">
        <v>4379</v>
      </c>
      <c r="D458" s="1" t="s">
        <v>2425</v>
      </c>
      <c r="E458" s="1" t="s">
        <v>4380</v>
      </c>
      <c r="F458" s="1" t="s">
        <v>3565</v>
      </c>
      <c r="G458" s="1" t="s">
        <v>3566</v>
      </c>
    </row>
    <row r="459" spans="1:7">
      <c r="A459" s="1">
        <v>458</v>
      </c>
      <c r="B459" s="1" t="s">
        <v>4381</v>
      </c>
      <c r="D459" s="1" t="s">
        <v>2448</v>
      </c>
      <c r="E459" s="1" t="s">
        <v>421</v>
      </c>
      <c r="F459" s="1" t="s">
        <v>4382</v>
      </c>
      <c r="G459" s="1" t="s">
        <v>4383</v>
      </c>
    </row>
    <row r="460" spans="1:7">
      <c r="A460" s="1">
        <v>459</v>
      </c>
      <c r="B460" s="1" t="s">
        <v>4384</v>
      </c>
      <c r="D460" s="1" t="s">
        <v>2448</v>
      </c>
      <c r="E460" s="1" t="s">
        <v>415</v>
      </c>
      <c r="F460" s="1" t="s">
        <v>4385</v>
      </c>
      <c r="G460" s="1" t="s">
        <v>4386</v>
      </c>
    </row>
    <row r="461" spans="1:7">
      <c r="A461" s="1">
        <v>460</v>
      </c>
      <c r="B461" s="1" t="s">
        <v>4387</v>
      </c>
      <c r="D461" s="1" t="s">
        <v>2448</v>
      </c>
      <c r="E461" s="1" t="s">
        <v>418</v>
      </c>
      <c r="F461" s="1" t="s">
        <v>4388</v>
      </c>
      <c r="G461" s="1" t="s">
        <v>4389</v>
      </c>
    </row>
    <row r="462" spans="1:7">
      <c r="A462" s="1">
        <v>461</v>
      </c>
      <c r="B462" s="1" t="s">
        <v>4390</v>
      </c>
      <c r="D462" s="1" t="s">
        <v>2448</v>
      </c>
      <c r="E462" s="1" t="s">
        <v>4391</v>
      </c>
      <c r="F462" s="1" t="s">
        <v>4392</v>
      </c>
      <c r="G462" s="1" t="s">
        <v>4393</v>
      </c>
    </row>
    <row r="463" spans="1:7">
      <c r="A463" s="1">
        <v>462</v>
      </c>
      <c r="B463" s="1" t="s">
        <v>4394</v>
      </c>
      <c r="D463" s="1" t="s">
        <v>2454</v>
      </c>
      <c r="E463" s="1" t="s">
        <v>1399</v>
      </c>
      <c r="F463" s="1" t="s">
        <v>4382</v>
      </c>
      <c r="G463" s="1" t="s">
        <v>4383</v>
      </c>
    </row>
    <row r="464" spans="1:7">
      <c r="A464" s="1">
        <v>463</v>
      </c>
      <c r="B464" s="1" t="s">
        <v>4395</v>
      </c>
      <c r="D464" s="1" t="s">
        <v>2454</v>
      </c>
      <c r="E464" s="1" t="s">
        <v>4396</v>
      </c>
      <c r="F464" s="1" t="s">
        <v>4385</v>
      </c>
      <c r="G464" s="1" t="s">
        <v>4386</v>
      </c>
    </row>
    <row r="465" spans="1:7">
      <c r="A465" s="1">
        <v>464</v>
      </c>
      <c r="B465" s="1" t="s">
        <v>4397</v>
      </c>
      <c r="D465" s="1" t="s">
        <v>2454</v>
      </c>
      <c r="E465" s="1" t="s">
        <v>4398</v>
      </c>
      <c r="F465" s="1" t="s">
        <v>4388</v>
      </c>
      <c r="G465" s="1" t="s">
        <v>4389</v>
      </c>
    </row>
    <row r="466" spans="1:7">
      <c r="A466" s="1">
        <v>465</v>
      </c>
      <c r="B466" s="1" t="s">
        <v>4399</v>
      </c>
      <c r="D466" s="1" t="s">
        <v>2454</v>
      </c>
      <c r="E466" s="1" t="s">
        <v>1403</v>
      </c>
      <c r="F466" s="1" t="s">
        <v>4392</v>
      </c>
      <c r="G466" s="1" t="s">
        <v>4393</v>
      </c>
    </row>
    <row r="467" spans="1:7">
      <c r="A467" s="1">
        <v>466</v>
      </c>
      <c r="B467" s="1" t="s">
        <v>4400</v>
      </c>
      <c r="D467" s="1" t="s">
        <v>2463</v>
      </c>
      <c r="E467" s="1" t="s">
        <v>2480</v>
      </c>
      <c r="F467" s="1" t="s">
        <v>2477</v>
      </c>
      <c r="G467" s="1" t="s">
        <v>2478</v>
      </c>
    </row>
    <row r="468" spans="1:7">
      <c r="A468" s="1">
        <v>467</v>
      </c>
      <c r="B468" s="1" t="s">
        <v>4401</v>
      </c>
      <c r="D468" s="1" t="s">
        <v>2463</v>
      </c>
      <c r="E468" s="1" t="s">
        <v>2203</v>
      </c>
      <c r="F468" s="1" t="s">
        <v>2473</v>
      </c>
      <c r="G468" s="1" t="s">
        <v>2474</v>
      </c>
    </row>
    <row r="469" spans="1:7">
      <c r="A469" s="1">
        <v>468</v>
      </c>
      <c r="B469" s="1" t="s">
        <v>4402</v>
      </c>
      <c r="D469" s="1" t="s">
        <v>2463</v>
      </c>
      <c r="E469" s="1" t="s">
        <v>2199</v>
      </c>
      <c r="F469" s="1" t="s">
        <v>2469</v>
      </c>
      <c r="G469" s="1" t="s">
        <v>2470</v>
      </c>
    </row>
    <row r="470" spans="1:7">
      <c r="A470" s="1">
        <v>469</v>
      </c>
      <c r="B470" s="1" t="s">
        <v>4403</v>
      </c>
      <c r="D470" s="1" t="s">
        <v>2463</v>
      </c>
      <c r="E470" s="1" t="s">
        <v>2195</v>
      </c>
      <c r="F470" s="1" t="s">
        <v>2465</v>
      </c>
      <c r="G470" s="1" t="s">
        <v>2466</v>
      </c>
    </row>
    <row r="471" spans="1:7">
      <c r="A471" s="1">
        <v>470</v>
      </c>
      <c r="B471" s="1" t="s">
        <v>4404</v>
      </c>
      <c r="D471" s="1" t="s">
        <v>2463</v>
      </c>
      <c r="E471" s="1" t="s">
        <v>2191</v>
      </c>
      <c r="F471" s="1" t="s">
        <v>2481</v>
      </c>
      <c r="G471" s="1" t="s">
        <v>2482</v>
      </c>
    </row>
    <row r="472" spans="1:7">
      <c r="A472" s="1">
        <v>471</v>
      </c>
      <c r="B472" s="1" t="s">
        <v>4405</v>
      </c>
      <c r="D472" s="1" t="s">
        <v>2484</v>
      </c>
      <c r="E472" s="1" t="s">
        <v>2485</v>
      </c>
      <c r="F472" s="1" t="s">
        <v>21</v>
      </c>
      <c r="G472" s="1" t="s">
        <v>22</v>
      </c>
    </row>
    <row r="473" spans="1:7">
      <c r="A473" s="1">
        <v>472</v>
      </c>
      <c r="B473" s="1" t="s">
        <v>4406</v>
      </c>
      <c r="D473" s="1" t="s">
        <v>2484</v>
      </c>
      <c r="E473" s="1" t="s">
        <v>2487</v>
      </c>
      <c r="F473" s="1" t="s">
        <v>630</v>
      </c>
      <c r="G473" s="1" t="s">
        <v>631</v>
      </c>
    </row>
    <row r="474" spans="1:7">
      <c r="A474" s="1">
        <v>473</v>
      </c>
      <c r="B474" s="1" t="s">
        <v>4407</v>
      </c>
      <c r="D474" s="1" t="s">
        <v>2484</v>
      </c>
      <c r="E474" s="1" t="s">
        <v>2489</v>
      </c>
      <c r="F474" s="1" t="s">
        <v>627</v>
      </c>
      <c r="G474" s="1" t="s">
        <v>628</v>
      </c>
    </row>
    <row r="475" spans="1:7">
      <c r="A475" s="1">
        <v>474</v>
      </c>
      <c r="B475" s="1" t="s">
        <v>4408</v>
      </c>
      <c r="D475" s="1" t="s">
        <v>2491</v>
      </c>
      <c r="E475" s="1" t="s">
        <v>1310</v>
      </c>
      <c r="F475" s="1" t="s">
        <v>245</v>
      </c>
      <c r="G475" s="1" t="s">
        <v>246</v>
      </c>
    </row>
    <row r="476" spans="1:7">
      <c r="A476" s="1">
        <v>475</v>
      </c>
      <c r="B476" s="1" t="s">
        <v>4409</v>
      </c>
      <c r="D476" s="1" t="s">
        <v>2491</v>
      </c>
      <c r="E476" s="1" t="s">
        <v>1307</v>
      </c>
      <c r="F476" s="1" t="s">
        <v>248</v>
      </c>
      <c r="G476" s="1" t="s">
        <v>249</v>
      </c>
    </row>
    <row r="477" spans="1:7">
      <c r="A477" s="1">
        <v>476</v>
      </c>
      <c r="B477" s="1" t="s">
        <v>4410</v>
      </c>
      <c r="D477" s="1" t="s">
        <v>2494</v>
      </c>
      <c r="E477" s="1" t="s">
        <v>1319</v>
      </c>
      <c r="F477" s="1" t="s">
        <v>245</v>
      </c>
      <c r="G477" s="1" t="s">
        <v>246</v>
      </c>
    </row>
    <row r="478" spans="1:7">
      <c r="A478" s="1">
        <v>477</v>
      </c>
      <c r="B478" s="1" t="s">
        <v>4411</v>
      </c>
      <c r="D478" s="1" t="s">
        <v>2494</v>
      </c>
      <c r="E478" s="1" t="s">
        <v>1316</v>
      </c>
      <c r="F478" s="1" t="s">
        <v>248</v>
      </c>
      <c r="G478" s="1" t="s">
        <v>249</v>
      </c>
    </row>
    <row r="479" spans="1:7">
      <c r="A479" s="1">
        <v>478</v>
      </c>
      <c r="B479" s="1" t="s">
        <v>4412</v>
      </c>
      <c r="D479" s="1" t="s">
        <v>2497</v>
      </c>
      <c r="E479" s="1" t="s">
        <v>1113</v>
      </c>
      <c r="F479" s="1" t="s">
        <v>836</v>
      </c>
      <c r="G479" s="1" t="s">
        <v>837</v>
      </c>
    </row>
    <row r="480" spans="1:7">
      <c r="A480" s="1">
        <v>479</v>
      </c>
      <c r="B480" s="1" t="s">
        <v>4413</v>
      </c>
      <c r="D480" s="1" t="s">
        <v>2497</v>
      </c>
      <c r="E480" s="1" t="s">
        <v>2500</v>
      </c>
      <c r="F480" s="1" t="s">
        <v>21</v>
      </c>
      <c r="G480" s="1" t="s">
        <v>22</v>
      </c>
    </row>
    <row r="481" spans="1:7">
      <c r="A481" s="1">
        <v>480</v>
      </c>
      <c r="B481" s="1" t="s">
        <v>4414</v>
      </c>
      <c r="D481" s="1" t="s">
        <v>2497</v>
      </c>
      <c r="E481" s="1" t="s">
        <v>1110</v>
      </c>
      <c r="F481" s="1" t="s">
        <v>12</v>
      </c>
      <c r="G481" s="1" t="s">
        <v>13</v>
      </c>
    </row>
    <row r="482" spans="1:7">
      <c r="A482" s="1">
        <v>481</v>
      </c>
      <c r="B482" s="1" t="s">
        <v>4415</v>
      </c>
      <c r="D482" s="1" t="s">
        <v>2497</v>
      </c>
      <c r="E482" s="1" t="s">
        <v>1116</v>
      </c>
      <c r="F482" s="1" t="s">
        <v>839</v>
      </c>
      <c r="G482" s="1" t="s">
        <v>840</v>
      </c>
    </row>
    <row r="483" spans="1:7">
      <c r="A483" s="1">
        <v>482</v>
      </c>
      <c r="B483" s="1" t="s">
        <v>4416</v>
      </c>
      <c r="D483" s="1" t="s">
        <v>2503</v>
      </c>
      <c r="E483" s="1" t="s">
        <v>1168</v>
      </c>
      <c r="F483" s="1" t="s">
        <v>836</v>
      </c>
      <c r="G483" s="1" t="s">
        <v>837</v>
      </c>
    </row>
    <row r="484" spans="1:7">
      <c r="A484" s="1">
        <v>483</v>
      </c>
      <c r="B484" s="1" t="s">
        <v>4417</v>
      </c>
      <c r="D484" s="1" t="s">
        <v>2503</v>
      </c>
      <c r="E484" s="1" t="s">
        <v>2506</v>
      </c>
      <c r="F484" s="1" t="s">
        <v>21</v>
      </c>
      <c r="G484" s="1" t="s">
        <v>22</v>
      </c>
    </row>
    <row r="485" spans="1:7">
      <c r="A485" s="1">
        <v>484</v>
      </c>
      <c r="B485" s="1" t="s">
        <v>4418</v>
      </c>
      <c r="D485" s="1" t="s">
        <v>2503</v>
      </c>
      <c r="E485" s="1" t="s">
        <v>1165</v>
      </c>
      <c r="F485" s="1" t="s">
        <v>12</v>
      </c>
      <c r="G485" s="1" t="s">
        <v>13</v>
      </c>
    </row>
    <row r="486" spans="1:7">
      <c r="A486" s="1">
        <v>485</v>
      </c>
      <c r="B486" s="1" t="s">
        <v>4419</v>
      </c>
      <c r="D486" s="1" t="s">
        <v>2503</v>
      </c>
      <c r="E486" s="1" t="s">
        <v>1171</v>
      </c>
      <c r="F486" s="1" t="s">
        <v>839</v>
      </c>
      <c r="G486" s="1" t="s">
        <v>840</v>
      </c>
    </row>
    <row r="487" spans="1:7">
      <c r="A487" s="1">
        <v>486</v>
      </c>
      <c r="B487" s="1" t="s">
        <v>4420</v>
      </c>
      <c r="D487" s="1" t="s">
        <v>2509</v>
      </c>
      <c r="E487" s="1" t="s">
        <v>2514</v>
      </c>
      <c r="F487" s="1" t="s">
        <v>836</v>
      </c>
      <c r="G487" s="1" t="s">
        <v>837</v>
      </c>
    </row>
    <row r="488" spans="1:7">
      <c r="A488" s="1">
        <v>487</v>
      </c>
      <c r="B488" s="1" t="s">
        <v>4421</v>
      </c>
      <c r="D488" s="1" t="s">
        <v>2509</v>
      </c>
      <c r="E488" s="1" t="s">
        <v>2512</v>
      </c>
      <c r="F488" s="1" t="s">
        <v>21</v>
      </c>
      <c r="G488" s="1" t="s">
        <v>22</v>
      </c>
    </row>
    <row r="489" spans="1:7">
      <c r="A489" s="1">
        <v>488</v>
      </c>
      <c r="B489" s="1" t="s">
        <v>4422</v>
      </c>
      <c r="D489" s="1" t="s">
        <v>2509</v>
      </c>
      <c r="E489" s="1" t="s">
        <v>1125</v>
      </c>
      <c r="F489" s="1" t="s">
        <v>12</v>
      </c>
      <c r="G489" s="1" t="s">
        <v>13</v>
      </c>
    </row>
    <row r="490" spans="1:7">
      <c r="A490" s="1">
        <v>489</v>
      </c>
      <c r="B490" s="1" t="s">
        <v>4423</v>
      </c>
      <c r="D490" s="1" t="s">
        <v>2509</v>
      </c>
      <c r="E490" s="1" t="s">
        <v>1176</v>
      </c>
      <c r="F490" s="1" t="s">
        <v>839</v>
      </c>
      <c r="G490" s="1" t="s">
        <v>840</v>
      </c>
    </row>
    <row r="491" spans="1:7">
      <c r="A491" s="1">
        <v>490</v>
      </c>
      <c r="B491" s="1" t="s">
        <v>4424</v>
      </c>
      <c r="D491" s="1" t="s">
        <v>2516</v>
      </c>
      <c r="E491" s="1" t="s">
        <v>1188</v>
      </c>
      <c r="F491" s="1" t="s">
        <v>836</v>
      </c>
      <c r="G491" s="1" t="s">
        <v>837</v>
      </c>
    </row>
    <row r="492" spans="1:7">
      <c r="A492" s="1">
        <v>491</v>
      </c>
      <c r="B492" s="1" t="s">
        <v>4425</v>
      </c>
      <c r="D492" s="1" t="s">
        <v>2516</v>
      </c>
      <c r="E492" s="1" t="s">
        <v>2519</v>
      </c>
      <c r="F492" s="1" t="s">
        <v>21</v>
      </c>
      <c r="G492" s="1" t="s">
        <v>22</v>
      </c>
    </row>
    <row r="493" spans="1:7">
      <c r="A493" s="1">
        <v>492</v>
      </c>
      <c r="B493" s="1" t="s">
        <v>4426</v>
      </c>
      <c r="D493" s="1" t="s">
        <v>2516</v>
      </c>
      <c r="E493" s="1" t="s">
        <v>1185</v>
      </c>
      <c r="F493" s="1" t="s">
        <v>12</v>
      </c>
      <c r="G493" s="1" t="s">
        <v>13</v>
      </c>
    </row>
    <row r="494" spans="1:7">
      <c r="A494" s="1">
        <v>493</v>
      </c>
      <c r="B494" s="1" t="s">
        <v>4427</v>
      </c>
      <c r="D494" s="1" t="s">
        <v>2516</v>
      </c>
      <c r="E494" s="1" t="s">
        <v>1191</v>
      </c>
      <c r="F494" s="1" t="s">
        <v>839</v>
      </c>
      <c r="G494" s="1" t="s">
        <v>840</v>
      </c>
    </row>
    <row r="495" spans="1:7">
      <c r="A495" s="1">
        <v>494</v>
      </c>
      <c r="B495" s="1" t="s">
        <v>4428</v>
      </c>
      <c r="D495" s="1" t="s">
        <v>2522</v>
      </c>
      <c r="E495" s="1" t="s">
        <v>1202</v>
      </c>
      <c r="F495" s="1" t="s">
        <v>836</v>
      </c>
      <c r="G495" s="1" t="s">
        <v>837</v>
      </c>
    </row>
    <row r="496" spans="1:7">
      <c r="A496" s="1">
        <v>495</v>
      </c>
      <c r="B496" s="1" t="s">
        <v>4429</v>
      </c>
      <c r="D496" s="1" t="s">
        <v>2522</v>
      </c>
      <c r="E496" s="1" t="s">
        <v>2525</v>
      </c>
      <c r="F496" s="1" t="s">
        <v>21</v>
      </c>
      <c r="G496" s="1" t="s">
        <v>22</v>
      </c>
    </row>
    <row r="497" spans="1:7">
      <c r="A497" s="1">
        <v>496</v>
      </c>
      <c r="B497" s="1" t="s">
        <v>4430</v>
      </c>
      <c r="D497" s="1" t="s">
        <v>2522</v>
      </c>
      <c r="E497" s="1" t="s">
        <v>1199</v>
      </c>
      <c r="F497" s="1" t="s">
        <v>12</v>
      </c>
      <c r="G497" s="1" t="s">
        <v>13</v>
      </c>
    </row>
    <row r="498" spans="1:7">
      <c r="A498" s="1">
        <v>497</v>
      </c>
      <c r="B498" s="1" t="s">
        <v>4431</v>
      </c>
      <c r="D498" s="1" t="s">
        <v>2522</v>
      </c>
      <c r="E498" s="1" t="s">
        <v>1205</v>
      </c>
      <c r="F498" s="1" t="s">
        <v>839</v>
      </c>
      <c r="G498" s="1" t="s">
        <v>840</v>
      </c>
    </row>
    <row r="499" spans="1:7">
      <c r="A499" s="1">
        <v>498</v>
      </c>
      <c r="B499" s="1" t="s">
        <v>4432</v>
      </c>
      <c r="D499" s="1" t="s">
        <v>2528</v>
      </c>
      <c r="E499" s="1" t="s">
        <v>1295</v>
      </c>
      <c r="F499" s="1" t="s">
        <v>836</v>
      </c>
      <c r="G499" s="1" t="s">
        <v>837</v>
      </c>
    </row>
    <row r="500" spans="1:7">
      <c r="A500" s="1">
        <v>499</v>
      </c>
      <c r="B500" s="1" t="s">
        <v>4433</v>
      </c>
      <c r="D500" s="1" t="s">
        <v>2528</v>
      </c>
      <c r="E500" s="1" t="s">
        <v>2531</v>
      </c>
      <c r="F500" s="1" t="s">
        <v>21</v>
      </c>
      <c r="G500" s="1" t="s">
        <v>22</v>
      </c>
    </row>
    <row r="501" spans="1:7">
      <c r="A501" s="1">
        <v>500</v>
      </c>
      <c r="B501" s="1" t="s">
        <v>4434</v>
      </c>
      <c r="D501" s="1" t="s">
        <v>2528</v>
      </c>
      <c r="E501" s="1" t="s">
        <v>704</v>
      </c>
      <c r="F501" s="1" t="s">
        <v>12</v>
      </c>
      <c r="G501" s="1" t="s">
        <v>13</v>
      </c>
    </row>
    <row r="502" spans="1:7">
      <c r="A502" s="1">
        <v>501</v>
      </c>
      <c r="B502" s="1" t="s">
        <v>4435</v>
      </c>
      <c r="D502" s="1" t="s">
        <v>2528</v>
      </c>
      <c r="E502" s="1" t="s">
        <v>606</v>
      </c>
      <c r="F502" s="1" t="s">
        <v>839</v>
      </c>
      <c r="G502" s="1" t="s">
        <v>840</v>
      </c>
    </row>
    <row r="503" spans="1:7">
      <c r="A503" s="1">
        <v>502</v>
      </c>
      <c r="B503" s="1" t="s">
        <v>4436</v>
      </c>
      <c r="D503" s="1" t="s">
        <v>2534</v>
      </c>
      <c r="E503" s="1" t="s">
        <v>1217</v>
      </c>
      <c r="F503" s="1" t="s">
        <v>836</v>
      </c>
      <c r="G503" s="1" t="s">
        <v>837</v>
      </c>
    </row>
    <row r="504" spans="1:7">
      <c r="A504" s="1">
        <v>503</v>
      </c>
      <c r="B504" s="1" t="s">
        <v>4437</v>
      </c>
      <c r="D504" s="1" t="s">
        <v>2534</v>
      </c>
      <c r="E504" s="1" t="s">
        <v>2538</v>
      </c>
      <c r="F504" s="1" t="s">
        <v>21</v>
      </c>
      <c r="G504" s="1" t="s">
        <v>22</v>
      </c>
    </row>
    <row r="505" spans="1:7">
      <c r="A505" s="1">
        <v>504</v>
      </c>
      <c r="B505" s="1" t="s">
        <v>4438</v>
      </c>
      <c r="D505" s="1" t="s">
        <v>2534</v>
      </c>
      <c r="E505" s="1" t="s">
        <v>1214</v>
      </c>
      <c r="F505" s="1" t="s">
        <v>12</v>
      </c>
      <c r="G505" s="1" t="s">
        <v>13</v>
      </c>
    </row>
    <row r="506" spans="1:7">
      <c r="A506" s="1">
        <v>505</v>
      </c>
      <c r="B506" s="1" t="s">
        <v>4439</v>
      </c>
      <c r="D506" s="1" t="s">
        <v>2534</v>
      </c>
      <c r="E506" s="1" t="s">
        <v>2536</v>
      </c>
      <c r="F506" s="1" t="s">
        <v>839</v>
      </c>
      <c r="G506" s="1" t="s">
        <v>840</v>
      </c>
    </row>
    <row r="507" spans="1:7">
      <c r="A507" s="1">
        <v>506</v>
      </c>
      <c r="B507" s="1" t="s">
        <v>4440</v>
      </c>
      <c r="D507" s="1" t="s">
        <v>2541</v>
      </c>
      <c r="E507" s="1" t="s">
        <v>2548</v>
      </c>
      <c r="F507" s="1" t="s">
        <v>836</v>
      </c>
      <c r="G507" s="1" t="s">
        <v>837</v>
      </c>
    </row>
    <row r="508" spans="1:7">
      <c r="A508" s="1">
        <v>507</v>
      </c>
      <c r="B508" s="1" t="s">
        <v>4441</v>
      </c>
      <c r="D508" s="1" t="s">
        <v>2541</v>
      </c>
      <c r="E508" s="1" t="s">
        <v>2546</v>
      </c>
      <c r="F508" s="1" t="s">
        <v>21</v>
      </c>
      <c r="G508" s="1" t="s">
        <v>22</v>
      </c>
    </row>
    <row r="509" spans="1:7">
      <c r="A509" s="1">
        <v>508</v>
      </c>
      <c r="B509" s="1" t="s">
        <v>4442</v>
      </c>
      <c r="D509" s="1" t="s">
        <v>2541</v>
      </c>
      <c r="E509" s="1" t="s">
        <v>2542</v>
      </c>
      <c r="F509" s="1" t="s">
        <v>12</v>
      </c>
      <c r="G509" s="1" t="s">
        <v>13</v>
      </c>
    </row>
    <row r="510" spans="1:7">
      <c r="A510" s="1">
        <v>509</v>
      </c>
      <c r="B510" s="1" t="s">
        <v>4443</v>
      </c>
      <c r="D510" s="1" t="s">
        <v>2541</v>
      </c>
      <c r="E510" s="1" t="s">
        <v>2544</v>
      </c>
      <c r="F510" s="1" t="s">
        <v>839</v>
      </c>
      <c r="G510" s="1" t="s">
        <v>840</v>
      </c>
    </row>
    <row r="511" spans="1:7">
      <c r="A511" s="1">
        <v>510</v>
      </c>
      <c r="B511" s="1" t="s">
        <v>4444</v>
      </c>
      <c r="D511" s="1" t="s">
        <v>2550</v>
      </c>
      <c r="E511" s="1" t="s">
        <v>2557</v>
      </c>
      <c r="F511" s="1" t="s">
        <v>836</v>
      </c>
      <c r="G511" s="1" t="s">
        <v>837</v>
      </c>
    </row>
    <row r="512" spans="1:7">
      <c r="A512" s="1">
        <v>511</v>
      </c>
      <c r="B512" s="1" t="s">
        <v>4445</v>
      </c>
      <c r="D512" s="1" t="s">
        <v>2550</v>
      </c>
      <c r="E512" s="1" t="s">
        <v>2555</v>
      </c>
      <c r="F512" s="1" t="s">
        <v>21</v>
      </c>
      <c r="G512" s="1" t="s">
        <v>22</v>
      </c>
    </row>
    <row r="513" spans="1:7">
      <c r="A513" s="1">
        <v>512</v>
      </c>
      <c r="B513" s="1" t="s">
        <v>4446</v>
      </c>
      <c r="D513" s="1" t="s">
        <v>2550</v>
      </c>
      <c r="E513" s="1" t="s">
        <v>2551</v>
      </c>
      <c r="F513" s="1" t="s">
        <v>12</v>
      </c>
      <c r="G513" s="1" t="s">
        <v>13</v>
      </c>
    </row>
    <row r="514" spans="1:7">
      <c r="A514" s="1">
        <v>513</v>
      </c>
      <c r="B514" s="1" t="s">
        <v>4447</v>
      </c>
      <c r="D514" s="1" t="s">
        <v>2550</v>
      </c>
      <c r="E514" s="1" t="s">
        <v>2553</v>
      </c>
      <c r="F514" s="1" t="s">
        <v>839</v>
      </c>
      <c r="G514" s="1" t="s">
        <v>840</v>
      </c>
    </row>
    <row r="515" spans="1:7">
      <c r="A515" s="1">
        <v>514</v>
      </c>
      <c r="B515" s="1" t="s">
        <v>4448</v>
      </c>
      <c r="D515" s="1" t="s">
        <v>2559</v>
      </c>
      <c r="E515" s="1" t="s">
        <v>2566</v>
      </c>
      <c r="F515" s="1" t="s">
        <v>836</v>
      </c>
      <c r="G515" s="1" t="s">
        <v>837</v>
      </c>
    </row>
    <row r="516" spans="1:7">
      <c r="A516" s="1">
        <v>515</v>
      </c>
      <c r="B516" s="1" t="s">
        <v>4449</v>
      </c>
      <c r="D516" s="1" t="s">
        <v>2559</v>
      </c>
      <c r="E516" s="1" t="s">
        <v>2564</v>
      </c>
      <c r="F516" s="1" t="s">
        <v>21</v>
      </c>
      <c r="G516" s="1" t="s">
        <v>22</v>
      </c>
    </row>
    <row r="517" spans="1:7">
      <c r="A517" s="1">
        <v>516</v>
      </c>
      <c r="B517" s="1" t="s">
        <v>4450</v>
      </c>
      <c r="D517" s="1" t="s">
        <v>2559</v>
      </c>
      <c r="E517" s="1" t="s">
        <v>2560</v>
      </c>
      <c r="F517" s="1" t="s">
        <v>12</v>
      </c>
      <c r="G517" s="1" t="s">
        <v>13</v>
      </c>
    </row>
    <row r="518" spans="1:7">
      <c r="A518" s="1">
        <v>517</v>
      </c>
      <c r="B518" s="1" t="s">
        <v>4451</v>
      </c>
      <c r="D518" s="1" t="s">
        <v>2559</v>
      </c>
      <c r="E518" s="1" t="s">
        <v>2562</v>
      </c>
      <c r="F518" s="1" t="s">
        <v>839</v>
      </c>
      <c r="G518" s="1" t="s">
        <v>840</v>
      </c>
    </row>
    <row r="519" spans="1:7">
      <c r="A519" s="1">
        <v>518</v>
      </c>
      <c r="B519" s="1" t="s">
        <v>4452</v>
      </c>
      <c r="D519" s="1" t="s">
        <v>2568</v>
      </c>
      <c r="E519" s="1" t="s">
        <v>479</v>
      </c>
      <c r="F519" s="1" t="s">
        <v>836</v>
      </c>
      <c r="G519" s="1" t="s">
        <v>837</v>
      </c>
    </row>
    <row r="520" spans="1:7">
      <c r="A520" s="1">
        <v>519</v>
      </c>
      <c r="B520" s="1" t="s">
        <v>4453</v>
      </c>
      <c r="D520" s="1" t="s">
        <v>2568</v>
      </c>
      <c r="E520" s="1" t="s">
        <v>2571</v>
      </c>
      <c r="F520" s="1" t="s">
        <v>21</v>
      </c>
      <c r="G520" s="1" t="s">
        <v>22</v>
      </c>
    </row>
    <row r="521" spans="1:7">
      <c r="A521" s="1">
        <v>520</v>
      </c>
      <c r="B521" s="1" t="s">
        <v>4454</v>
      </c>
      <c r="D521" s="1" t="s">
        <v>2568</v>
      </c>
      <c r="E521" s="1" t="s">
        <v>476</v>
      </c>
      <c r="F521" s="1" t="s">
        <v>12</v>
      </c>
      <c r="G521" s="1" t="s">
        <v>13</v>
      </c>
    </row>
    <row r="522" spans="1:7">
      <c r="A522" s="1">
        <v>521</v>
      </c>
      <c r="B522" s="1" t="s">
        <v>4455</v>
      </c>
      <c r="D522" s="1" t="s">
        <v>2568</v>
      </c>
      <c r="E522" s="1" t="s">
        <v>482</v>
      </c>
      <c r="F522" s="1" t="s">
        <v>839</v>
      </c>
      <c r="G522" s="1" t="s">
        <v>840</v>
      </c>
    </row>
    <row r="523" spans="1:7">
      <c r="A523" s="1">
        <v>522</v>
      </c>
      <c r="B523" s="1" t="s">
        <v>4456</v>
      </c>
      <c r="D523" s="1" t="s">
        <v>2574</v>
      </c>
      <c r="E523" s="1" t="s">
        <v>2581</v>
      </c>
      <c r="F523" s="1" t="s">
        <v>836</v>
      </c>
      <c r="G523" s="1" t="s">
        <v>837</v>
      </c>
    </row>
    <row r="524" spans="1:7">
      <c r="A524" s="1">
        <v>523</v>
      </c>
      <c r="B524" s="1" t="s">
        <v>4457</v>
      </c>
      <c r="D524" s="1" t="s">
        <v>2574</v>
      </c>
      <c r="E524" s="1" t="s">
        <v>2579</v>
      </c>
      <c r="F524" s="1" t="s">
        <v>21</v>
      </c>
      <c r="G524" s="1" t="s">
        <v>22</v>
      </c>
    </row>
    <row r="525" spans="1:7">
      <c r="A525" s="1">
        <v>524</v>
      </c>
      <c r="B525" s="1" t="s">
        <v>4458</v>
      </c>
      <c r="D525" s="1" t="s">
        <v>2574</v>
      </c>
      <c r="E525" s="1" t="s">
        <v>2575</v>
      </c>
      <c r="F525" s="1" t="s">
        <v>12</v>
      </c>
      <c r="G525" s="1" t="s">
        <v>13</v>
      </c>
    </row>
    <row r="526" spans="1:7">
      <c r="A526" s="1">
        <v>525</v>
      </c>
      <c r="B526" s="1" t="s">
        <v>4459</v>
      </c>
      <c r="D526" s="1" t="s">
        <v>2574</v>
      </c>
      <c r="E526" s="1" t="s">
        <v>2577</v>
      </c>
      <c r="F526" s="1" t="s">
        <v>839</v>
      </c>
      <c r="G526" s="1" t="s">
        <v>840</v>
      </c>
    </row>
    <row r="527" spans="1:7">
      <c r="A527" s="1">
        <v>526</v>
      </c>
      <c r="B527" s="1" t="s">
        <v>4460</v>
      </c>
      <c r="D527" s="1" t="s">
        <v>2583</v>
      </c>
      <c r="E527" s="1" t="s">
        <v>2590</v>
      </c>
      <c r="F527" s="1" t="s">
        <v>836</v>
      </c>
      <c r="G527" s="1" t="s">
        <v>837</v>
      </c>
    </row>
    <row r="528" spans="1:7">
      <c r="A528" s="1">
        <v>527</v>
      </c>
      <c r="B528" s="1" t="s">
        <v>4461</v>
      </c>
      <c r="D528" s="1" t="s">
        <v>2583</v>
      </c>
      <c r="E528" s="1" t="s">
        <v>2588</v>
      </c>
      <c r="F528" s="1" t="s">
        <v>21</v>
      </c>
      <c r="G528" s="1" t="s">
        <v>22</v>
      </c>
    </row>
    <row r="529" spans="1:7">
      <c r="A529" s="1">
        <v>528</v>
      </c>
      <c r="B529" s="1" t="s">
        <v>4462</v>
      </c>
      <c r="D529" s="1" t="s">
        <v>2583</v>
      </c>
      <c r="E529" s="1" t="s">
        <v>2584</v>
      </c>
      <c r="F529" s="1" t="s">
        <v>12</v>
      </c>
      <c r="G529" s="1" t="s">
        <v>13</v>
      </c>
    </row>
    <row r="530" spans="1:7">
      <c r="A530" s="1">
        <v>529</v>
      </c>
      <c r="B530" s="1" t="s">
        <v>4463</v>
      </c>
      <c r="D530" s="1" t="s">
        <v>2583</v>
      </c>
      <c r="E530" s="1" t="s">
        <v>2586</v>
      </c>
      <c r="F530" s="1" t="s">
        <v>839</v>
      </c>
      <c r="G530" s="1" t="s">
        <v>840</v>
      </c>
    </row>
    <row r="531" spans="1:7">
      <c r="A531" s="1">
        <v>530</v>
      </c>
      <c r="B531" s="1" t="s">
        <v>4464</v>
      </c>
      <c r="D531" s="1" t="s">
        <v>2592</v>
      </c>
      <c r="E531" s="1" t="s">
        <v>2599</v>
      </c>
      <c r="F531" s="1" t="s">
        <v>836</v>
      </c>
      <c r="G531" s="1" t="s">
        <v>837</v>
      </c>
    </row>
    <row r="532" spans="1:7">
      <c r="A532" s="1">
        <v>531</v>
      </c>
      <c r="B532" s="1" t="s">
        <v>4465</v>
      </c>
      <c r="D532" s="1" t="s">
        <v>2592</v>
      </c>
      <c r="E532" s="1" t="s">
        <v>2597</v>
      </c>
      <c r="F532" s="1" t="s">
        <v>21</v>
      </c>
      <c r="G532" s="1" t="s">
        <v>22</v>
      </c>
    </row>
    <row r="533" spans="1:7">
      <c r="A533" s="1">
        <v>532</v>
      </c>
      <c r="B533" s="1" t="s">
        <v>4466</v>
      </c>
      <c r="D533" s="1" t="s">
        <v>2592</v>
      </c>
      <c r="E533" s="1" t="s">
        <v>2593</v>
      </c>
      <c r="F533" s="1" t="s">
        <v>12</v>
      </c>
      <c r="G533" s="1" t="s">
        <v>13</v>
      </c>
    </row>
    <row r="534" spans="1:7">
      <c r="A534" s="1">
        <v>533</v>
      </c>
      <c r="B534" s="1" t="s">
        <v>4467</v>
      </c>
      <c r="D534" s="1" t="s">
        <v>2592</v>
      </c>
      <c r="E534" s="1" t="s">
        <v>2595</v>
      </c>
      <c r="F534" s="1" t="s">
        <v>839</v>
      </c>
      <c r="G534" s="1" t="s">
        <v>840</v>
      </c>
    </row>
    <row r="535" spans="1:7">
      <c r="A535" s="1">
        <v>534</v>
      </c>
      <c r="B535" s="1" t="s">
        <v>4468</v>
      </c>
      <c r="D535" s="1" t="s">
        <v>2601</v>
      </c>
      <c r="E535" s="1" t="s">
        <v>2608</v>
      </c>
      <c r="F535" s="1" t="s">
        <v>836</v>
      </c>
      <c r="G535" s="1" t="s">
        <v>837</v>
      </c>
    </row>
    <row r="536" spans="1:7">
      <c r="A536" s="1">
        <v>535</v>
      </c>
      <c r="B536" s="1" t="s">
        <v>4469</v>
      </c>
      <c r="D536" s="1" t="s">
        <v>2601</v>
      </c>
      <c r="E536" s="1" t="s">
        <v>2606</v>
      </c>
      <c r="F536" s="1" t="s">
        <v>21</v>
      </c>
      <c r="G536" s="1" t="s">
        <v>22</v>
      </c>
    </row>
    <row r="537" spans="1:7">
      <c r="A537" s="1">
        <v>536</v>
      </c>
      <c r="B537" s="1" t="s">
        <v>4470</v>
      </c>
      <c r="D537" s="1" t="s">
        <v>2601</v>
      </c>
      <c r="E537" s="1" t="s">
        <v>2602</v>
      </c>
      <c r="F537" s="1" t="s">
        <v>12</v>
      </c>
      <c r="G537" s="1" t="s">
        <v>13</v>
      </c>
    </row>
    <row r="538" spans="1:7">
      <c r="A538" s="1">
        <v>537</v>
      </c>
      <c r="B538" s="1" t="s">
        <v>4471</v>
      </c>
      <c r="D538" s="1" t="s">
        <v>2601</v>
      </c>
      <c r="E538" s="1" t="s">
        <v>2604</v>
      </c>
      <c r="F538" s="1" t="s">
        <v>839</v>
      </c>
      <c r="G538" s="1" t="s">
        <v>840</v>
      </c>
    </row>
    <row r="539" spans="1:7">
      <c r="A539" s="1">
        <v>538</v>
      </c>
      <c r="B539" s="1" t="s">
        <v>4472</v>
      </c>
      <c r="D539" s="1" t="s">
        <v>2610</v>
      </c>
      <c r="E539" s="1" t="s">
        <v>2617</v>
      </c>
      <c r="F539" s="1" t="s">
        <v>836</v>
      </c>
      <c r="G539" s="1" t="s">
        <v>837</v>
      </c>
    </row>
    <row r="540" spans="1:7">
      <c r="A540" s="1">
        <v>539</v>
      </c>
      <c r="B540" s="1" t="s">
        <v>4473</v>
      </c>
      <c r="D540" s="1" t="s">
        <v>2610</v>
      </c>
      <c r="E540" s="1" t="s">
        <v>2615</v>
      </c>
      <c r="F540" s="1" t="s">
        <v>21</v>
      </c>
      <c r="G540" s="1" t="s">
        <v>22</v>
      </c>
    </row>
    <row r="541" spans="1:7">
      <c r="A541" s="1">
        <v>540</v>
      </c>
      <c r="B541" s="1" t="s">
        <v>4474</v>
      </c>
      <c r="D541" s="1" t="s">
        <v>2610</v>
      </c>
      <c r="E541" s="1" t="s">
        <v>2611</v>
      </c>
      <c r="F541" s="1" t="s">
        <v>12</v>
      </c>
      <c r="G541" s="1" t="s">
        <v>13</v>
      </c>
    </row>
    <row r="542" spans="1:7">
      <c r="A542" s="1">
        <v>541</v>
      </c>
      <c r="B542" s="1" t="s">
        <v>4475</v>
      </c>
      <c r="D542" s="1" t="s">
        <v>2610</v>
      </c>
      <c r="E542" s="1" t="s">
        <v>2613</v>
      </c>
      <c r="F542" s="1" t="s">
        <v>839</v>
      </c>
      <c r="G542" s="1" t="s">
        <v>840</v>
      </c>
    </row>
    <row r="543" spans="1:7">
      <c r="A543" s="1">
        <v>542</v>
      </c>
      <c r="B543" s="1" t="s">
        <v>4476</v>
      </c>
      <c r="D543" s="1" t="s">
        <v>2619</v>
      </c>
      <c r="E543" s="1" t="s">
        <v>412</v>
      </c>
      <c r="F543" s="1" t="s">
        <v>836</v>
      </c>
      <c r="G543" s="1" t="s">
        <v>837</v>
      </c>
    </row>
    <row r="544" spans="1:7">
      <c r="A544" s="1">
        <v>543</v>
      </c>
      <c r="B544" s="1" t="s">
        <v>4477</v>
      </c>
      <c r="D544" s="1" t="s">
        <v>2619</v>
      </c>
      <c r="E544" s="1" t="s">
        <v>2622</v>
      </c>
      <c r="F544" s="1" t="s">
        <v>21</v>
      </c>
      <c r="G544" s="1" t="s">
        <v>22</v>
      </c>
    </row>
    <row r="545" spans="1:7">
      <c r="A545" s="1">
        <v>544</v>
      </c>
      <c r="B545" s="1" t="s">
        <v>4478</v>
      </c>
      <c r="D545" s="1" t="s">
        <v>2619</v>
      </c>
      <c r="E545" s="1" t="s">
        <v>383</v>
      </c>
      <c r="F545" s="1" t="s">
        <v>12</v>
      </c>
      <c r="G545" s="1" t="s">
        <v>13</v>
      </c>
    </row>
    <row r="546" spans="1:7">
      <c r="A546" s="1">
        <v>545</v>
      </c>
      <c r="B546" s="1" t="s">
        <v>4479</v>
      </c>
      <c r="D546" s="1" t="s">
        <v>2619</v>
      </c>
      <c r="E546" s="1" t="s">
        <v>500</v>
      </c>
      <c r="F546" s="1" t="s">
        <v>839</v>
      </c>
      <c r="G546" s="1" t="s">
        <v>840</v>
      </c>
    </row>
    <row r="547" spans="1:7">
      <c r="A547" s="1">
        <v>546</v>
      </c>
      <c r="B547" s="1" t="s">
        <v>4480</v>
      </c>
      <c r="D547" s="1" t="s">
        <v>2625</v>
      </c>
      <c r="E547" s="1" t="s">
        <v>514</v>
      </c>
      <c r="F547" s="1" t="s">
        <v>836</v>
      </c>
      <c r="G547" s="1" t="s">
        <v>837</v>
      </c>
    </row>
    <row r="548" spans="1:7">
      <c r="A548" s="1">
        <v>547</v>
      </c>
      <c r="B548" s="1" t="s">
        <v>4481</v>
      </c>
      <c r="D548" s="1" t="s">
        <v>2625</v>
      </c>
      <c r="E548" s="1" t="s">
        <v>2628</v>
      </c>
      <c r="F548" s="1" t="s">
        <v>21</v>
      </c>
      <c r="G548" s="1" t="s">
        <v>22</v>
      </c>
    </row>
    <row r="549" spans="1:7">
      <c r="A549" s="1">
        <v>548</v>
      </c>
      <c r="B549" s="1" t="s">
        <v>4482</v>
      </c>
      <c r="D549" s="1" t="s">
        <v>2625</v>
      </c>
      <c r="E549" s="1" t="s">
        <v>512</v>
      </c>
      <c r="F549" s="1" t="s">
        <v>12</v>
      </c>
      <c r="G549" s="1" t="s">
        <v>13</v>
      </c>
    </row>
    <row r="550" spans="1:7">
      <c r="A550" s="1">
        <v>549</v>
      </c>
      <c r="B550" s="1" t="s">
        <v>4483</v>
      </c>
      <c r="D550" s="1" t="s">
        <v>2625</v>
      </c>
      <c r="E550" s="1" t="s">
        <v>516</v>
      </c>
      <c r="F550" s="1" t="s">
        <v>839</v>
      </c>
      <c r="G550" s="1" t="s">
        <v>840</v>
      </c>
    </row>
    <row r="551" spans="1:7">
      <c r="A551" s="1">
        <v>550</v>
      </c>
      <c r="B551" s="1" t="s">
        <v>4484</v>
      </c>
      <c r="D551" s="1" t="s">
        <v>2631</v>
      </c>
      <c r="E551" s="1" t="s">
        <v>2638</v>
      </c>
      <c r="F551" s="1" t="s">
        <v>836</v>
      </c>
      <c r="G551" s="1" t="s">
        <v>837</v>
      </c>
    </row>
    <row r="552" spans="1:7">
      <c r="A552" s="1">
        <v>551</v>
      </c>
      <c r="B552" s="1" t="s">
        <v>4485</v>
      </c>
      <c r="D552" s="1" t="s">
        <v>2631</v>
      </c>
      <c r="E552" s="1" t="s">
        <v>2636</v>
      </c>
      <c r="F552" s="1" t="s">
        <v>21</v>
      </c>
      <c r="G552" s="1" t="s">
        <v>22</v>
      </c>
    </row>
    <row r="553" spans="1:7">
      <c r="A553" s="1">
        <v>552</v>
      </c>
      <c r="B553" s="1" t="s">
        <v>4486</v>
      </c>
      <c r="D553" s="1" t="s">
        <v>2631</v>
      </c>
      <c r="E553" s="1" t="s">
        <v>2632</v>
      </c>
      <c r="F553" s="1" t="s">
        <v>12</v>
      </c>
      <c r="G553" s="1" t="s">
        <v>13</v>
      </c>
    </row>
    <row r="554" spans="1:7">
      <c r="A554" s="1">
        <v>553</v>
      </c>
      <c r="B554" s="1" t="s">
        <v>4487</v>
      </c>
      <c r="D554" s="1" t="s">
        <v>2631</v>
      </c>
      <c r="E554" s="1" t="s">
        <v>2634</v>
      </c>
      <c r="F554" s="1" t="s">
        <v>839</v>
      </c>
      <c r="G554" s="1" t="s">
        <v>840</v>
      </c>
    </row>
    <row r="555" spans="1:7">
      <c r="A555" s="1">
        <v>554</v>
      </c>
      <c r="B555" s="1" t="s">
        <v>4488</v>
      </c>
      <c r="D555" s="1" t="s">
        <v>2640</v>
      </c>
      <c r="E555" s="1" t="s">
        <v>2647</v>
      </c>
      <c r="F555" s="1" t="s">
        <v>836</v>
      </c>
      <c r="G555" s="1" t="s">
        <v>837</v>
      </c>
    </row>
    <row r="556" spans="1:7">
      <c r="A556" s="1">
        <v>555</v>
      </c>
      <c r="B556" s="1" t="s">
        <v>4489</v>
      </c>
      <c r="D556" s="1" t="s">
        <v>2640</v>
      </c>
      <c r="E556" s="1" t="s">
        <v>2645</v>
      </c>
      <c r="F556" s="1" t="s">
        <v>21</v>
      </c>
      <c r="G556" s="1" t="s">
        <v>22</v>
      </c>
    </row>
    <row r="557" spans="1:7">
      <c r="A557" s="1">
        <v>556</v>
      </c>
      <c r="B557" s="1" t="s">
        <v>4490</v>
      </c>
      <c r="D557" s="1" t="s">
        <v>2640</v>
      </c>
      <c r="E557" s="1" t="s">
        <v>2641</v>
      </c>
      <c r="F557" s="1" t="s">
        <v>12</v>
      </c>
      <c r="G557" s="1" t="s">
        <v>13</v>
      </c>
    </row>
    <row r="558" spans="1:7">
      <c r="A558" s="1">
        <v>557</v>
      </c>
      <c r="B558" s="1" t="s">
        <v>4491</v>
      </c>
      <c r="D558" s="1" t="s">
        <v>2640</v>
      </c>
      <c r="E558" s="1" t="s">
        <v>2643</v>
      </c>
      <c r="F558" s="1" t="s">
        <v>839</v>
      </c>
      <c r="G558" s="1" t="s">
        <v>840</v>
      </c>
    </row>
    <row r="559" spans="1:7">
      <c r="A559" s="1">
        <v>558</v>
      </c>
      <c r="B559" s="1" t="s">
        <v>4492</v>
      </c>
      <c r="D559" s="1" t="s">
        <v>2649</v>
      </c>
      <c r="E559" s="1" t="s">
        <v>2656</v>
      </c>
      <c r="F559" s="1" t="s">
        <v>836</v>
      </c>
      <c r="G559" s="1" t="s">
        <v>837</v>
      </c>
    </row>
    <row r="560" spans="1:7">
      <c r="A560" s="1">
        <v>559</v>
      </c>
      <c r="B560" s="1" t="s">
        <v>4493</v>
      </c>
      <c r="D560" s="1" t="s">
        <v>2649</v>
      </c>
      <c r="E560" s="1" t="s">
        <v>2654</v>
      </c>
      <c r="F560" s="1" t="s">
        <v>21</v>
      </c>
      <c r="G560" s="1" t="s">
        <v>22</v>
      </c>
    </row>
    <row r="561" spans="1:7">
      <c r="A561" s="1">
        <v>560</v>
      </c>
      <c r="B561" s="1" t="s">
        <v>4494</v>
      </c>
      <c r="D561" s="1" t="s">
        <v>2649</v>
      </c>
      <c r="E561" s="1" t="s">
        <v>2650</v>
      </c>
      <c r="F561" s="1" t="s">
        <v>12</v>
      </c>
      <c r="G561" s="1" t="s">
        <v>13</v>
      </c>
    </row>
    <row r="562" spans="1:7">
      <c r="A562" s="1">
        <v>561</v>
      </c>
      <c r="B562" s="1" t="s">
        <v>4495</v>
      </c>
      <c r="D562" s="1" t="s">
        <v>2649</v>
      </c>
      <c r="E562" s="1" t="s">
        <v>2652</v>
      </c>
      <c r="F562" s="1" t="s">
        <v>839</v>
      </c>
      <c r="G562" s="1" t="s">
        <v>840</v>
      </c>
    </row>
    <row r="563" spans="1:7">
      <c r="A563" s="1">
        <v>562</v>
      </c>
      <c r="B563" s="1" t="s">
        <v>4496</v>
      </c>
      <c r="D563" s="1" t="s">
        <v>2658</v>
      </c>
      <c r="E563" s="1" t="s">
        <v>2665</v>
      </c>
      <c r="F563" s="1" t="s">
        <v>836</v>
      </c>
      <c r="G563" s="1" t="s">
        <v>837</v>
      </c>
    </row>
    <row r="564" spans="1:7">
      <c r="A564" s="1">
        <v>563</v>
      </c>
      <c r="B564" s="1" t="s">
        <v>4497</v>
      </c>
      <c r="D564" s="1" t="s">
        <v>2658</v>
      </c>
      <c r="E564" s="1" t="s">
        <v>2663</v>
      </c>
      <c r="F564" s="1" t="s">
        <v>21</v>
      </c>
      <c r="G564" s="1" t="s">
        <v>22</v>
      </c>
    </row>
    <row r="565" spans="1:7">
      <c r="A565" s="1">
        <v>564</v>
      </c>
      <c r="B565" s="1" t="s">
        <v>4498</v>
      </c>
      <c r="D565" s="1" t="s">
        <v>2658</v>
      </c>
      <c r="E565" s="1" t="s">
        <v>2659</v>
      </c>
      <c r="F565" s="1" t="s">
        <v>12</v>
      </c>
      <c r="G565" s="1" t="s">
        <v>13</v>
      </c>
    </row>
    <row r="566" spans="1:7">
      <c r="A566" s="1">
        <v>565</v>
      </c>
      <c r="B566" s="1" t="s">
        <v>4499</v>
      </c>
      <c r="D566" s="1" t="s">
        <v>2658</v>
      </c>
      <c r="E566" s="1" t="s">
        <v>2661</v>
      </c>
      <c r="F566" s="1" t="s">
        <v>839</v>
      </c>
      <c r="G566" s="1" t="s">
        <v>840</v>
      </c>
    </row>
    <row r="567" spans="1:7">
      <c r="A567" s="1">
        <v>566</v>
      </c>
      <c r="B567" s="1" t="s">
        <v>4500</v>
      </c>
      <c r="D567" s="1" t="s">
        <v>2667</v>
      </c>
      <c r="E567" s="1" t="s">
        <v>46</v>
      </c>
      <c r="F567" s="1" t="s">
        <v>836</v>
      </c>
      <c r="G567" s="1" t="s">
        <v>837</v>
      </c>
    </row>
    <row r="568" spans="1:7">
      <c r="A568" s="1">
        <v>567</v>
      </c>
      <c r="B568" s="1" t="s">
        <v>4501</v>
      </c>
      <c r="D568" s="1" t="s">
        <v>2667</v>
      </c>
      <c r="E568" s="1" t="s">
        <v>2671</v>
      </c>
      <c r="F568" s="1" t="s">
        <v>21</v>
      </c>
      <c r="G568" s="1" t="s">
        <v>22</v>
      </c>
    </row>
    <row r="569" spans="1:7">
      <c r="A569" s="1">
        <v>568</v>
      </c>
      <c r="B569" s="1" t="s">
        <v>4502</v>
      </c>
      <c r="D569" s="1" t="s">
        <v>2667</v>
      </c>
      <c r="E569" s="1" t="s">
        <v>2668</v>
      </c>
      <c r="F569" s="1" t="s">
        <v>12</v>
      </c>
      <c r="G569" s="1" t="s">
        <v>13</v>
      </c>
    </row>
    <row r="570" spans="1:7">
      <c r="A570" s="1">
        <v>569</v>
      </c>
      <c r="B570" s="1" t="s">
        <v>4503</v>
      </c>
      <c r="D570" s="1" t="s">
        <v>2667</v>
      </c>
      <c r="E570" s="1" t="s">
        <v>50</v>
      </c>
      <c r="F570" s="1" t="s">
        <v>839</v>
      </c>
      <c r="G570" s="1" t="s">
        <v>840</v>
      </c>
    </row>
    <row r="571" spans="1:7">
      <c r="A571" s="1">
        <v>570</v>
      </c>
      <c r="B571" s="1" t="s">
        <v>4504</v>
      </c>
      <c r="D571" s="1" t="s">
        <v>2674</v>
      </c>
      <c r="E571" s="1" t="s">
        <v>491</v>
      </c>
      <c r="F571" s="1" t="s">
        <v>836</v>
      </c>
      <c r="G571" s="1" t="s">
        <v>837</v>
      </c>
    </row>
    <row r="572" spans="1:7">
      <c r="A572" s="1">
        <v>571</v>
      </c>
      <c r="B572" s="1" t="s">
        <v>4505</v>
      </c>
      <c r="D572" s="1" t="s">
        <v>2674</v>
      </c>
      <c r="E572" s="1" t="s">
        <v>2677</v>
      </c>
      <c r="F572" s="1" t="s">
        <v>21</v>
      </c>
      <c r="G572" s="1" t="s">
        <v>22</v>
      </c>
    </row>
    <row r="573" spans="1:7">
      <c r="A573" s="1">
        <v>572</v>
      </c>
      <c r="B573" s="1" t="s">
        <v>4506</v>
      </c>
      <c r="D573" s="1" t="s">
        <v>2674</v>
      </c>
      <c r="E573" s="1" t="s">
        <v>485</v>
      </c>
      <c r="F573" s="1" t="s">
        <v>12</v>
      </c>
      <c r="G573" s="1" t="s">
        <v>13</v>
      </c>
    </row>
    <row r="574" spans="1:7">
      <c r="A574" s="1">
        <v>573</v>
      </c>
      <c r="B574" s="1" t="s">
        <v>4507</v>
      </c>
      <c r="D574" s="1" t="s">
        <v>2674</v>
      </c>
      <c r="E574" s="1" t="s">
        <v>299</v>
      </c>
      <c r="F574" s="1" t="s">
        <v>839</v>
      </c>
      <c r="G574" s="1" t="s">
        <v>840</v>
      </c>
    </row>
    <row r="575" spans="1:7">
      <c r="A575" s="1">
        <v>574</v>
      </c>
      <c r="B575" s="1" t="s">
        <v>4508</v>
      </c>
      <c r="D575" s="1" t="s">
        <v>2680</v>
      </c>
      <c r="E575" s="1" t="s">
        <v>291</v>
      </c>
      <c r="F575" s="1" t="s">
        <v>836</v>
      </c>
      <c r="G575" s="1" t="s">
        <v>837</v>
      </c>
    </row>
    <row r="576" spans="1:7">
      <c r="A576" s="1">
        <v>575</v>
      </c>
      <c r="B576" s="1" t="s">
        <v>4509</v>
      </c>
      <c r="D576" s="1" t="s">
        <v>2680</v>
      </c>
      <c r="E576" s="1" t="s">
        <v>2683</v>
      </c>
      <c r="F576" s="1" t="s">
        <v>21</v>
      </c>
      <c r="G576" s="1" t="s">
        <v>22</v>
      </c>
    </row>
    <row r="577" spans="1:7">
      <c r="A577" s="1">
        <v>576</v>
      </c>
      <c r="B577" s="1" t="s">
        <v>4510</v>
      </c>
      <c r="D577" s="1" t="s">
        <v>2680</v>
      </c>
      <c r="E577" s="1" t="s">
        <v>288</v>
      </c>
      <c r="F577" s="1" t="s">
        <v>12</v>
      </c>
      <c r="G577" s="1" t="s">
        <v>13</v>
      </c>
    </row>
    <row r="578" spans="1:7">
      <c r="A578" s="1">
        <v>577</v>
      </c>
      <c r="B578" s="1" t="s">
        <v>4511</v>
      </c>
      <c r="D578" s="1" t="s">
        <v>2680</v>
      </c>
      <c r="E578" s="1" t="s">
        <v>294</v>
      </c>
      <c r="F578" s="1" t="s">
        <v>839</v>
      </c>
      <c r="G578" s="1" t="s">
        <v>840</v>
      </c>
    </row>
    <row r="579" spans="1:7">
      <c r="A579" s="1">
        <v>578</v>
      </c>
      <c r="B579" s="1" t="s">
        <v>4512</v>
      </c>
      <c r="D579" s="1" t="s">
        <v>2686</v>
      </c>
      <c r="E579" s="1" t="s">
        <v>473</v>
      </c>
      <c r="F579" s="1" t="s">
        <v>836</v>
      </c>
      <c r="G579" s="1" t="s">
        <v>837</v>
      </c>
    </row>
    <row r="580" spans="1:7">
      <c r="A580" s="1">
        <v>579</v>
      </c>
      <c r="B580" s="1" t="s">
        <v>4513</v>
      </c>
      <c r="D580" s="1" t="s">
        <v>2686</v>
      </c>
      <c r="E580" s="1" t="s">
        <v>2690</v>
      </c>
      <c r="F580" s="1" t="s">
        <v>21</v>
      </c>
      <c r="G580" s="1" t="s">
        <v>22</v>
      </c>
    </row>
    <row r="581" spans="1:7">
      <c r="A581" s="1">
        <v>580</v>
      </c>
      <c r="B581" s="1" t="s">
        <v>4514</v>
      </c>
      <c r="D581" s="1" t="s">
        <v>2686</v>
      </c>
      <c r="E581" s="1" t="s">
        <v>470</v>
      </c>
      <c r="F581" s="1" t="s">
        <v>12</v>
      </c>
      <c r="G581" s="1" t="s">
        <v>13</v>
      </c>
    </row>
    <row r="582" spans="1:7">
      <c r="A582" s="1">
        <v>581</v>
      </c>
      <c r="B582" s="1" t="s">
        <v>4515</v>
      </c>
      <c r="D582" s="1" t="s">
        <v>2686</v>
      </c>
      <c r="E582" s="1" t="s">
        <v>2688</v>
      </c>
      <c r="F582" s="1" t="s">
        <v>839</v>
      </c>
      <c r="G582" s="1" t="s">
        <v>840</v>
      </c>
    </row>
    <row r="583" spans="1:7">
      <c r="A583" s="1">
        <v>582</v>
      </c>
      <c r="B583" s="1" t="s">
        <v>4516</v>
      </c>
      <c r="D583" s="1" t="s">
        <v>2693</v>
      </c>
      <c r="E583" s="1" t="s">
        <v>2700</v>
      </c>
      <c r="F583" s="1" t="s">
        <v>836</v>
      </c>
      <c r="G583" s="1" t="s">
        <v>837</v>
      </c>
    </row>
    <row r="584" spans="1:7">
      <c r="A584" s="1">
        <v>583</v>
      </c>
      <c r="B584" s="1" t="s">
        <v>4517</v>
      </c>
      <c r="D584" s="1" t="s">
        <v>2693</v>
      </c>
      <c r="E584" s="1" t="s">
        <v>2698</v>
      </c>
      <c r="F584" s="1" t="s">
        <v>21</v>
      </c>
      <c r="G584" s="1" t="s">
        <v>22</v>
      </c>
    </row>
    <row r="585" spans="1:7">
      <c r="A585" s="1">
        <v>584</v>
      </c>
      <c r="B585" s="1" t="s">
        <v>4518</v>
      </c>
      <c r="D585" s="1" t="s">
        <v>2693</v>
      </c>
      <c r="E585" s="1" t="s">
        <v>2694</v>
      </c>
      <c r="F585" s="1" t="s">
        <v>12</v>
      </c>
      <c r="G585" s="1" t="s">
        <v>13</v>
      </c>
    </row>
    <row r="586" spans="1:7">
      <c r="A586" s="1">
        <v>585</v>
      </c>
      <c r="B586" s="1" t="s">
        <v>4519</v>
      </c>
      <c r="D586" s="1" t="s">
        <v>2693</v>
      </c>
      <c r="E586" s="1" t="s">
        <v>2696</v>
      </c>
      <c r="F586" s="1" t="s">
        <v>839</v>
      </c>
      <c r="G586" s="1" t="s">
        <v>840</v>
      </c>
    </row>
    <row r="587" spans="1:7">
      <c r="A587" s="1">
        <v>586</v>
      </c>
      <c r="B587" s="1" t="s">
        <v>4520</v>
      </c>
      <c r="D587" s="1" t="s">
        <v>2702</v>
      </c>
      <c r="E587" s="1" t="s">
        <v>2709</v>
      </c>
      <c r="F587" s="1" t="s">
        <v>836</v>
      </c>
      <c r="G587" s="1" t="s">
        <v>837</v>
      </c>
    </row>
    <row r="588" spans="1:7">
      <c r="A588" s="1">
        <v>587</v>
      </c>
      <c r="B588" s="1" t="s">
        <v>4521</v>
      </c>
      <c r="D588" s="1" t="s">
        <v>2702</v>
      </c>
      <c r="E588" s="1" t="s">
        <v>2707</v>
      </c>
      <c r="F588" s="1" t="s">
        <v>21</v>
      </c>
      <c r="G588" s="1" t="s">
        <v>22</v>
      </c>
    </row>
    <row r="589" spans="1:7">
      <c r="A589" s="1">
        <v>588</v>
      </c>
      <c r="B589" s="1" t="s">
        <v>4522</v>
      </c>
      <c r="D589" s="1" t="s">
        <v>2702</v>
      </c>
      <c r="E589" s="1" t="s">
        <v>2703</v>
      </c>
      <c r="F589" s="1" t="s">
        <v>12</v>
      </c>
      <c r="G589" s="1" t="s">
        <v>13</v>
      </c>
    </row>
    <row r="590" spans="1:7">
      <c r="A590" s="1">
        <v>589</v>
      </c>
      <c r="B590" s="1" t="s">
        <v>4523</v>
      </c>
      <c r="D590" s="1" t="s">
        <v>2702</v>
      </c>
      <c r="E590" s="1" t="s">
        <v>2705</v>
      </c>
      <c r="F590" s="1" t="s">
        <v>839</v>
      </c>
      <c r="G590" s="1" t="s">
        <v>840</v>
      </c>
    </row>
    <row r="591" spans="1:7">
      <c r="A591" s="1">
        <v>590</v>
      </c>
      <c r="B591" s="1" t="s">
        <v>4524</v>
      </c>
      <c r="D591" s="1" t="s">
        <v>2711</v>
      </c>
      <c r="E591" s="1" t="s">
        <v>2718</v>
      </c>
      <c r="F591" s="1" t="s">
        <v>836</v>
      </c>
      <c r="G591" s="1" t="s">
        <v>837</v>
      </c>
    </row>
    <row r="592" spans="1:7">
      <c r="A592" s="1">
        <v>591</v>
      </c>
      <c r="B592" s="1" t="s">
        <v>4525</v>
      </c>
      <c r="D592" s="1" t="s">
        <v>2711</v>
      </c>
      <c r="E592" s="1" t="s">
        <v>2716</v>
      </c>
      <c r="F592" s="1" t="s">
        <v>21</v>
      </c>
      <c r="G592" s="1" t="s">
        <v>22</v>
      </c>
    </row>
    <row r="593" spans="1:7">
      <c r="A593" s="1">
        <v>592</v>
      </c>
      <c r="B593" s="1" t="s">
        <v>4526</v>
      </c>
      <c r="D593" s="1" t="s">
        <v>2711</v>
      </c>
      <c r="E593" s="1" t="s">
        <v>2712</v>
      </c>
      <c r="F593" s="1" t="s">
        <v>12</v>
      </c>
      <c r="G593" s="1" t="s">
        <v>13</v>
      </c>
    </row>
    <row r="594" spans="1:7">
      <c r="A594" s="1">
        <v>593</v>
      </c>
      <c r="B594" s="1" t="s">
        <v>4527</v>
      </c>
      <c r="D594" s="1" t="s">
        <v>2711</v>
      </c>
      <c r="E594" s="1" t="s">
        <v>2714</v>
      </c>
      <c r="F594" s="1" t="s">
        <v>839</v>
      </c>
      <c r="G594" s="1" t="s">
        <v>840</v>
      </c>
    </row>
    <row r="595" spans="1:7">
      <c r="A595" s="1">
        <v>594</v>
      </c>
      <c r="B595" s="1" t="s">
        <v>4528</v>
      </c>
      <c r="D595" s="1" t="s">
        <v>2720</v>
      </c>
      <c r="E595" s="1" t="s">
        <v>2727</v>
      </c>
      <c r="F595" s="1" t="s">
        <v>836</v>
      </c>
      <c r="G595" s="1" t="s">
        <v>837</v>
      </c>
    </row>
    <row r="596" spans="1:7">
      <c r="A596" s="1">
        <v>595</v>
      </c>
      <c r="B596" s="1" t="s">
        <v>4529</v>
      </c>
      <c r="D596" s="1" t="s">
        <v>2720</v>
      </c>
      <c r="E596" s="1" t="s">
        <v>2725</v>
      </c>
      <c r="F596" s="1" t="s">
        <v>21</v>
      </c>
      <c r="G596" s="1" t="s">
        <v>22</v>
      </c>
    </row>
    <row r="597" spans="1:7">
      <c r="A597" s="1">
        <v>596</v>
      </c>
      <c r="B597" s="1" t="s">
        <v>4530</v>
      </c>
      <c r="D597" s="1" t="s">
        <v>2720</v>
      </c>
      <c r="E597" s="1" t="s">
        <v>2721</v>
      </c>
      <c r="F597" s="1" t="s">
        <v>12</v>
      </c>
      <c r="G597" s="1" t="s">
        <v>13</v>
      </c>
    </row>
    <row r="598" spans="1:7">
      <c r="A598" s="1">
        <v>597</v>
      </c>
      <c r="B598" s="1" t="s">
        <v>4531</v>
      </c>
      <c r="D598" s="1" t="s">
        <v>2720</v>
      </c>
      <c r="E598" s="1" t="s">
        <v>2723</v>
      </c>
      <c r="F598" s="1" t="s">
        <v>839</v>
      </c>
      <c r="G598" s="1" t="s">
        <v>840</v>
      </c>
    </row>
    <row r="599" spans="1:7">
      <c r="A599" s="1">
        <v>598</v>
      </c>
      <c r="B599" s="1" t="s">
        <v>4532</v>
      </c>
      <c r="D599" s="1" t="s">
        <v>2729</v>
      </c>
      <c r="E599" s="1" t="s">
        <v>2736</v>
      </c>
      <c r="F599" s="1" t="s">
        <v>836</v>
      </c>
      <c r="G599" s="1" t="s">
        <v>837</v>
      </c>
    </row>
    <row r="600" spans="1:7">
      <c r="A600" s="1">
        <v>599</v>
      </c>
      <c r="B600" s="1" t="s">
        <v>4533</v>
      </c>
      <c r="D600" s="1" t="s">
        <v>2729</v>
      </c>
      <c r="E600" s="1" t="s">
        <v>2734</v>
      </c>
      <c r="F600" s="1" t="s">
        <v>21</v>
      </c>
      <c r="G600" s="1" t="s">
        <v>22</v>
      </c>
    </row>
    <row r="601" spans="1:7">
      <c r="A601" s="1">
        <v>600</v>
      </c>
      <c r="B601" s="1" t="s">
        <v>4534</v>
      </c>
      <c r="D601" s="1" t="s">
        <v>2729</v>
      </c>
      <c r="E601" s="1" t="s">
        <v>2730</v>
      </c>
      <c r="F601" s="1" t="s">
        <v>12</v>
      </c>
      <c r="G601" s="1" t="s">
        <v>13</v>
      </c>
    </row>
    <row r="602" spans="1:7">
      <c r="A602" s="1">
        <v>601</v>
      </c>
      <c r="B602" s="1" t="s">
        <v>4535</v>
      </c>
      <c r="D602" s="1" t="s">
        <v>2729</v>
      </c>
      <c r="E602" s="1" t="s">
        <v>2732</v>
      </c>
      <c r="F602" s="1" t="s">
        <v>839</v>
      </c>
      <c r="G602" s="1" t="s">
        <v>840</v>
      </c>
    </row>
    <row r="603" spans="1:7">
      <c r="A603" s="1">
        <v>602</v>
      </c>
      <c r="B603" s="1" t="s">
        <v>4536</v>
      </c>
      <c r="D603" s="1" t="s">
        <v>2738</v>
      </c>
      <c r="E603" s="1" t="s">
        <v>2745</v>
      </c>
      <c r="F603" s="1" t="s">
        <v>836</v>
      </c>
      <c r="G603" s="1" t="s">
        <v>837</v>
      </c>
    </row>
    <row r="604" spans="1:7">
      <c r="A604" s="1">
        <v>603</v>
      </c>
      <c r="B604" s="1" t="s">
        <v>4537</v>
      </c>
      <c r="D604" s="1" t="s">
        <v>2738</v>
      </c>
      <c r="E604" s="1" t="s">
        <v>2743</v>
      </c>
      <c r="F604" s="1" t="s">
        <v>21</v>
      </c>
      <c r="G604" s="1" t="s">
        <v>22</v>
      </c>
    </row>
    <row r="605" spans="1:7">
      <c r="A605" s="1">
        <v>604</v>
      </c>
      <c r="B605" s="1" t="s">
        <v>4538</v>
      </c>
      <c r="D605" s="1" t="s">
        <v>2738</v>
      </c>
      <c r="E605" s="1" t="s">
        <v>2739</v>
      </c>
      <c r="F605" s="1" t="s">
        <v>12</v>
      </c>
      <c r="G605" s="1" t="s">
        <v>13</v>
      </c>
    </row>
    <row r="606" spans="1:7">
      <c r="A606" s="1">
        <v>605</v>
      </c>
      <c r="B606" s="1" t="s">
        <v>4539</v>
      </c>
      <c r="D606" s="1" t="s">
        <v>2738</v>
      </c>
      <c r="E606" s="1" t="s">
        <v>2741</v>
      </c>
      <c r="F606" s="1" t="s">
        <v>839</v>
      </c>
      <c r="G606" s="1" t="s">
        <v>840</v>
      </c>
    </row>
    <row r="607" spans="1:7">
      <c r="A607" s="1">
        <v>606</v>
      </c>
      <c r="B607" s="1" t="s">
        <v>4540</v>
      </c>
      <c r="D607" s="1" t="s">
        <v>2747</v>
      </c>
      <c r="E607" s="1" t="s">
        <v>2754</v>
      </c>
      <c r="F607" s="1" t="s">
        <v>836</v>
      </c>
      <c r="G607" s="1" t="s">
        <v>837</v>
      </c>
    </row>
    <row r="608" spans="1:7">
      <c r="A608" s="1">
        <v>607</v>
      </c>
      <c r="B608" s="1" t="s">
        <v>4541</v>
      </c>
      <c r="D608" s="1" t="s">
        <v>2747</v>
      </c>
      <c r="E608" s="1" t="s">
        <v>2752</v>
      </c>
      <c r="F608" s="1" t="s">
        <v>21</v>
      </c>
      <c r="G608" s="1" t="s">
        <v>22</v>
      </c>
    </row>
    <row r="609" spans="1:7">
      <c r="A609" s="1">
        <v>608</v>
      </c>
      <c r="B609" s="1" t="s">
        <v>4542</v>
      </c>
      <c r="D609" s="1" t="s">
        <v>2747</v>
      </c>
      <c r="E609" s="1" t="s">
        <v>2748</v>
      </c>
      <c r="F609" s="1" t="s">
        <v>12</v>
      </c>
      <c r="G609" s="1" t="s">
        <v>13</v>
      </c>
    </row>
    <row r="610" spans="1:7">
      <c r="A610" s="1">
        <v>609</v>
      </c>
      <c r="B610" s="1" t="s">
        <v>4543</v>
      </c>
      <c r="D610" s="1" t="s">
        <v>2747</v>
      </c>
      <c r="E610" s="1" t="s">
        <v>2750</v>
      </c>
      <c r="F610" s="1" t="s">
        <v>839</v>
      </c>
      <c r="G610" s="1" t="s">
        <v>840</v>
      </c>
    </row>
    <row r="611" spans="1:7">
      <c r="A611" s="1">
        <v>610</v>
      </c>
      <c r="B611" s="1" t="s">
        <v>4544</v>
      </c>
      <c r="D611" s="1" t="s">
        <v>2756</v>
      </c>
      <c r="E611" s="1" t="s">
        <v>2763</v>
      </c>
      <c r="F611" s="1" t="s">
        <v>836</v>
      </c>
      <c r="G611" s="1" t="s">
        <v>837</v>
      </c>
    </row>
    <row r="612" spans="1:7">
      <c r="A612" s="1">
        <v>611</v>
      </c>
      <c r="B612" s="1" t="s">
        <v>4545</v>
      </c>
      <c r="D612" s="1" t="s">
        <v>2756</v>
      </c>
      <c r="E612" s="1" t="s">
        <v>2761</v>
      </c>
      <c r="F612" s="1" t="s">
        <v>21</v>
      </c>
      <c r="G612" s="1" t="s">
        <v>22</v>
      </c>
    </row>
    <row r="613" spans="1:7">
      <c r="A613" s="1">
        <v>612</v>
      </c>
      <c r="B613" s="1" t="s">
        <v>4546</v>
      </c>
      <c r="D613" s="1" t="s">
        <v>2756</v>
      </c>
      <c r="E613" s="1" t="s">
        <v>2757</v>
      </c>
      <c r="F613" s="1" t="s">
        <v>12</v>
      </c>
      <c r="G613" s="1" t="s">
        <v>13</v>
      </c>
    </row>
    <row r="614" spans="1:7">
      <c r="A614" s="1">
        <v>613</v>
      </c>
      <c r="B614" s="1" t="s">
        <v>4547</v>
      </c>
      <c r="D614" s="1" t="s">
        <v>2756</v>
      </c>
      <c r="E614" s="1" t="s">
        <v>2759</v>
      </c>
      <c r="F614" s="1" t="s">
        <v>839</v>
      </c>
      <c r="G614" s="1" t="s">
        <v>840</v>
      </c>
    </row>
    <row r="615" spans="1:7">
      <c r="A615" s="1">
        <v>614</v>
      </c>
      <c r="B615" s="1" t="s">
        <v>4548</v>
      </c>
      <c r="D615" s="1" t="s">
        <v>2765</v>
      </c>
      <c r="E615" s="1" t="s">
        <v>2772</v>
      </c>
      <c r="F615" s="1" t="s">
        <v>836</v>
      </c>
      <c r="G615" s="1" t="s">
        <v>837</v>
      </c>
    </row>
    <row r="616" spans="1:7">
      <c r="A616" s="1">
        <v>615</v>
      </c>
      <c r="B616" s="1" t="s">
        <v>4549</v>
      </c>
      <c r="D616" s="1" t="s">
        <v>2765</v>
      </c>
      <c r="E616" s="1" t="s">
        <v>2770</v>
      </c>
      <c r="F616" s="1" t="s">
        <v>21</v>
      </c>
      <c r="G616" s="1" t="s">
        <v>22</v>
      </c>
    </row>
    <row r="617" spans="1:7">
      <c r="A617" s="1">
        <v>616</v>
      </c>
      <c r="B617" s="1" t="s">
        <v>4550</v>
      </c>
      <c r="D617" s="1" t="s">
        <v>2765</v>
      </c>
      <c r="E617" s="1" t="s">
        <v>2766</v>
      </c>
      <c r="F617" s="1" t="s">
        <v>12</v>
      </c>
      <c r="G617" s="1" t="s">
        <v>13</v>
      </c>
    </row>
    <row r="618" spans="1:7">
      <c r="A618" s="1">
        <v>617</v>
      </c>
      <c r="B618" s="1" t="s">
        <v>4551</v>
      </c>
      <c r="D618" s="1" t="s">
        <v>2765</v>
      </c>
      <c r="E618" s="1" t="s">
        <v>2768</v>
      </c>
      <c r="F618" s="1" t="s">
        <v>839</v>
      </c>
      <c r="G618" s="1" t="s">
        <v>840</v>
      </c>
    </row>
    <row r="619" spans="1:7">
      <c r="A619" s="1">
        <v>618</v>
      </c>
      <c r="B619" s="1" t="s">
        <v>4552</v>
      </c>
      <c r="D619" s="1" t="s">
        <v>2774</v>
      </c>
      <c r="E619" s="1" t="s">
        <v>2781</v>
      </c>
      <c r="F619" s="1" t="s">
        <v>836</v>
      </c>
      <c r="G619" s="1" t="s">
        <v>837</v>
      </c>
    </row>
    <row r="620" spans="1:7">
      <c r="A620" s="1">
        <v>619</v>
      </c>
      <c r="B620" s="1" t="s">
        <v>4553</v>
      </c>
      <c r="D620" s="1" t="s">
        <v>2774</v>
      </c>
      <c r="E620" s="1" t="s">
        <v>2779</v>
      </c>
      <c r="F620" s="1" t="s">
        <v>21</v>
      </c>
      <c r="G620" s="1" t="s">
        <v>22</v>
      </c>
    </row>
    <row r="621" spans="1:7">
      <c r="A621" s="1">
        <v>620</v>
      </c>
      <c r="B621" s="1" t="s">
        <v>4554</v>
      </c>
      <c r="D621" s="1" t="s">
        <v>2774</v>
      </c>
      <c r="E621" s="1" t="s">
        <v>2775</v>
      </c>
      <c r="F621" s="1" t="s">
        <v>12</v>
      </c>
      <c r="G621" s="1" t="s">
        <v>13</v>
      </c>
    </row>
    <row r="622" spans="1:7">
      <c r="A622" s="1">
        <v>621</v>
      </c>
      <c r="B622" s="1" t="s">
        <v>4555</v>
      </c>
      <c r="D622" s="1" t="s">
        <v>2774</v>
      </c>
      <c r="E622" s="1" t="s">
        <v>2777</v>
      </c>
      <c r="F622" s="1" t="s">
        <v>839</v>
      </c>
      <c r="G622" s="1" t="s">
        <v>840</v>
      </c>
    </row>
    <row r="623" spans="1:7">
      <c r="A623" s="1">
        <v>622</v>
      </c>
      <c r="B623" s="1" t="s">
        <v>4556</v>
      </c>
      <c r="D623" s="1" t="s">
        <v>2783</v>
      </c>
      <c r="E623" s="1" t="s">
        <v>2790</v>
      </c>
      <c r="F623" s="1" t="s">
        <v>836</v>
      </c>
      <c r="G623" s="1" t="s">
        <v>837</v>
      </c>
    </row>
    <row r="624" spans="1:7">
      <c r="A624" s="1">
        <v>623</v>
      </c>
      <c r="B624" s="1" t="s">
        <v>4557</v>
      </c>
      <c r="D624" s="1" t="s">
        <v>2783</v>
      </c>
      <c r="E624" s="1" t="s">
        <v>2788</v>
      </c>
      <c r="F624" s="1" t="s">
        <v>21</v>
      </c>
      <c r="G624" s="1" t="s">
        <v>22</v>
      </c>
    </row>
    <row r="625" spans="1:7">
      <c r="A625" s="1">
        <v>624</v>
      </c>
      <c r="B625" s="1" t="s">
        <v>4558</v>
      </c>
      <c r="D625" s="1" t="s">
        <v>2783</v>
      </c>
      <c r="E625" s="1" t="s">
        <v>2784</v>
      </c>
      <c r="F625" s="1" t="s">
        <v>12</v>
      </c>
      <c r="G625" s="1" t="s">
        <v>13</v>
      </c>
    </row>
    <row r="626" spans="1:7">
      <c r="A626" s="1">
        <v>625</v>
      </c>
      <c r="B626" s="1" t="s">
        <v>4559</v>
      </c>
      <c r="D626" s="1" t="s">
        <v>2783</v>
      </c>
      <c r="E626" s="1" t="s">
        <v>2786</v>
      </c>
      <c r="F626" s="1" t="s">
        <v>839</v>
      </c>
      <c r="G626" s="1" t="s">
        <v>840</v>
      </c>
    </row>
    <row r="627" spans="1:7">
      <c r="A627" s="1">
        <v>626</v>
      </c>
      <c r="B627" s="1" t="s">
        <v>4560</v>
      </c>
      <c r="D627" s="1" t="s">
        <v>2792</v>
      </c>
      <c r="E627" s="1" t="s">
        <v>2799</v>
      </c>
      <c r="F627" s="1" t="s">
        <v>836</v>
      </c>
      <c r="G627" s="1" t="s">
        <v>837</v>
      </c>
    </row>
    <row r="628" spans="1:7">
      <c r="A628" s="1">
        <v>627</v>
      </c>
      <c r="B628" s="1" t="s">
        <v>4561</v>
      </c>
      <c r="D628" s="1" t="s">
        <v>2792</v>
      </c>
      <c r="E628" s="1" t="s">
        <v>2797</v>
      </c>
      <c r="F628" s="1" t="s">
        <v>21</v>
      </c>
      <c r="G628" s="1" t="s">
        <v>22</v>
      </c>
    </row>
    <row r="629" spans="1:7">
      <c r="A629" s="1">
        <v>628</v>
      </c>
      <c r="B629" s="1" t="s">
        <v>4562</v>
      </c>
      <c r="D629" s="1" t="s">
        <v>2792</v>
      </c>
      <c r="E629" s="1" t="s">
        <v>2793</v>
      </c>
      <c r="F629" s="1" t="s">
        <v>12</v>
      </c>
      <c r="G629" s="1" t="s">
        <v>13</v>
      </c>
    </row>
    <row r="630" spans="1:7">
      <c r="A630" s="1">
        <v>629</v>
      </c>
      <c r="B630" s="1" t="s">
        <v>4563</v>
      </c>
      <c r="D630" s="1" t="s">
        <v>2792</v>
      </c>
      <c r="E630" s="1" t="s">
        <v>2795</v>
      </c>
      <c r="F630" s="1" t="s">
        <v>839</v>
      </c>
      <c r="G630" s="1" t="s">
        <v>840</v>
      </c>
    </row>
    <row r="631" spans="1:7">
      <c r="A631" s="1">
        <v>630</v>
      </c>
      <c r="B631" s="1" t="s">
        <v>4564</v>
      </c>
      <c r="D631" s="1" t="s">
        <v>2801</v>
      </c>
      <c r="E631" s="1" t="s">
        <v>2808</v>
      </c>
      <c r="F631" s="1" t="s">
        <v>836</v>
      </c>
      <c r="G631" s="1" t="s">
        <v>837</v>
      </c>
    </row>
    <row r="632" spans="1:7">
      <c r="A632" s="1">
        <v>631</v>
      </c>
      <c r="B632" s="1" t="s">
        <v>4565</v>
      </c>
      <c r="D632" s="1" t="s">
        <v>2801</v>
      </c>
      <c r="E632" s="1" t="s">
        <v>2806</v>
      </c>
      <c r="F632" s="1" t="s">
        <v>21</v>
      </c>
      <c r="G632" s="1" t="s">
        <v>22</v>
      </c>
    </row>
    <row r="633" spans="1:7">
      <c r="A633" s="1">
        <v>632</v>
      </c>
      <c r="B633" s="1" t="s">
        <v>4566</v>
      </c>
      <c r="D633" s="1" t="s">
        <v>2801</v>
      </c>
      <c r="E633" s="1" t="s">
        <v>2802</v>
      </c>
      <c r="F633" s="1" t="s">
        <v>12</v>
      </c>
      <c r="G633" s="1" t="s">
        <v>13</v>
      </c>
    </row>
    <row r="634" spans="1:7">
      <c r="A634" s="1">
        <v>633</v>
      </c>
      <c r="B634" s="1" t="s">
        <v>4567</v>
      </c>
      <c r="D634" s="1" t="s">
        <v>2801</v>
      </c>
      <c r="E634" s="1" t="s">
        <v>2804</v>
      </c>
      <c r="F634" s="1" t="s">
        <v>839</v>
      </c>
      <c r="G634" s="1" t="s">
        <v>840</v>
      </c>
    </row>
    <row r="635" spans="1:7">
      <c r="A635" s="1">
        <v>634</v>
      </c>
      <c r="B635" s="1" t="s">
        <v>4568</v>
      </c>
      <c r="D635" s="1" t="s">
        <v>2810</v>
      </c>
      <c r="E635" s="1" t="s">
        <v>2817</v>
      </c>
      <c r="F635" s="1" t="s">
        <v>836</v>
      </c>
      <c r="G635" s="1" t="s">
        <v>837</v>
      </c>
    </row>
    <row r="636" spans="1:7">
      <c r="A636" s="1">
        <v>635</v>
      </c>
      <c r="B636" s="1" t="s">
        <v>4569</v>
      </c>
      <c r="D636" s="1" t="s">
        <v>2810</v>
      </c>
      <c r="E636" s="1" t="s">
        <v>2815</v>
      </c>
      <c r="F636" s="1" t="s">
        <v>21</v>
      </c>
      <c r="G636" s="1" t="s">
        <v>22</v>
      </c>
    </row>
    <row r="637" spans="1:7">
      <c r="A637" s="1">
        <v>636</v>
      </c>
      <c r="B637" s="1" t="s">
        <v>4570</v>
      </c>
      <c r="D637" s="1" t="s">
        <v>2810</v>
      </c>
      <c r="E637" s="1" t="s">
        <v>2811</v>
      </c>
      <c r="F637" s="1" t="s">
        <v>12</v>
      </c>
      <c r="G637" s="1" t="s">
        <v>13</v>
      </c>
    </row>
    <row r="638" spans="1:7">
      <c r="A638" s="1">
        <v>637</v>
      </c>
      <c r="B638" s="1" t="s">
        <v>4571</v>
      </c>
      <c r="D638" s="1" t="s">
        <v>2810</v>
      </c>
      <c r="E638" s="1" t="s">
        <v>2813</v>
      </c>
      <c r="F638" s="1" t="s">
        <v>839</v>
      </c>
      <c r="G638" s="1" t="s">
        <v>840</v>
      </c>
    </row>
    <row r="639" spans="1:7">
      <c r="A639" s="1">
        <v>638</v>
      </c>
      <c r="B639" s="1" t="s">
        <v>4572</v>
      </c>
      <c r="D639" s="1" t="s">
        <v>2819</v>
      </c>
      <c r="E639" s="1" t="s">
        <v>2826</v>
      </c>
      <c r="F639" s="1" t="s">
        <v>836</v>
      </c>
      <c r="G639" s="1" t="s">
        <v>837</v>
      </c>
    </row>
    <row r="640" spans="1:7">
      <c r="A640" s="1">
        <v>639</v>
      </c>
      <c r="B640" s="1" t="s">
        <v>4573</v>
      </c>
      <c r="D640" s="1" t="s">
        <v>2819</v>
      </c>
      <c r="E640" s="1" t="s">
        <v>2824</v>
      </c>
      <c r="F640" s="1" t="s">
        <v>21</v>
      </c>
      <c r="G640" s="1" t="s">
        <v>22</v>
      </c>
    </row>
    <row r="641" spans="1:7">
      <c r="A641" s="1">
        <v>640</v>
      </c>
      <c r="B641" s="1" t="s">
        <v>4574</v>
      </c>
      <c r="D641" s="1" t="s">
        <v>2819</v>
      </c>
      <c r="E641" s="1" t="s">
        <v>2820</v>
      </c>
      <c r="F641" s="1" t="s">
        <v>12</v>
      </c>
      <c r="G641" s="1" t="s">
        <v>13</v>
      </c>
    </row>
    <row r="642" spans="1:7">
      <c r="A642" s="1">
        <v>641</v>
      </c>
      <c r="B642" s="1" t="s">
        <v>4575</v>
      </c>
      <c r="D642" s="1" t="s">
        <v>2819</v>
      </c>
      <c r="E642" s="1" t="s">
        <v>2822</v>
      </c>
      <c r="F642" s="1" t="s">
        <v>839</v>
      </c>
      <c r="G642" s="1" t="s">
        <v>840</v>
      </c>
    </row>
    <row r="643" spans="1:7">
      <c r="A643" s="1">
        <v>642</v>
      </c>
      <c r="B643" s="1" t="s">
        <v>4576</v>
      </c>
      <c r="D643" s="1" t="s">
        <v>2828</v>
      </c>
      <c r="E643" s="1" t="s">
        <v>2835</v>
      </c>
      <c r="F643" s="1" t="s">
        <v>836</v>
      </c>
      <c r="G643" s="1" t="s">
        <v>837</v>
      </c>
    </row>
    <row r="644" spans="1:7">
      <c r="A644" s="1">
        <v>643</v>
      </c>
      <c r="B644" s="1" t="s">
        <v>4577</v>
      </c>
      <c r="D644" s="1" t="s">
        <v>2828</v>
      </c>
      <c r="E644" s="1" t="s">
        <v>2833</v>
      </c>
      <c r="F644" s="1" t="s">
        <v>21</v>
      </c>
      <c r="G644" s="1" t="s">
        <v>22</v>
      </c>
    </row>
    <row r="645" spans="1:7">
      <c r="A645" s="1">
        <v>644</v>
      </c>
      <c r="B645" s="1" t="s">
        <v>4578</v>
      </c>
      <c r="D645" s="1" t="s">
        <v>2828</v>
      </c>
      <c r="E645" s="1" t="s">
        <v>2829</v>
      </c>
      <c r="F645" s="1" t="s">
        <v>12</v>
      </c>
      <c r="G645" s="1" t="s">
        <v>13</v>
      </c>
    </row>
    <row r="646" spans="1:7">
      <c r="A646" s="1">
        <v>645</v>
      </c>
      <c r="B646" s="1" t="s">
        <v>4579</v>
      </c>
      <c r="D646" s="1" t="s">
        <v>2828</v>
      </c>
      <c r="E646" s="1" t="s">
        <v>2831</v>
      </c>
      <c r="F646" s="1" t="s">
        <v>839</v>
      </c>
      <c r="G646" s="1" t="s">
        <v>840</v>
      </c>
    </row>
    <row r="647" spans="1:7">
      <c r="A647" s="1">
        <v>646</v>
      </c>
      <c r="B647" s="1" t="s">
        <v>4580</v>
      </c>
      <c r="D647" s="1" t="s">
        <v>2837</v>
      </c>
      <c r="E647" s="1" t="s">
        <v>2844</v>
      </c>
      <c r="F647" s="1" t="s">
        <v>836</v>
      </c>
      <c r="G647" s="7" t="s">
        <v>837</v>
      </c>
    </row>
    <row r="648" spans="1:7">
      <c r="A648" s="1">
        <v>647</v>
      </c>
      <c r="B648" s="1" t="s">
        <v>4581</v>
      </c>
      <c r="D648" s="1" t="s">
        <v>2837</v>
      </c>
      <c r="E648" s="1" t="s">
        <v>2842</v>
      </c>
      <c r="F648" s="1" t="s">
        <v>21</v>
      </c>
      <c r="G648" s="7" t="s">
        <v>22</v>
      </c>
    </row>
    <row r="649" spans="1:7">
      <c r="A649" s="1">
        <v>648</v>
      </c>
      <c r="B649" s="1" t="s">
        <v>4582</v>
      </c>
      <c r="D649" s="1" t="s">
        <v>2837</v>
      </c>
      <c r="E649" s="1" t="s">
        <v>2838</v>
      </c>
      <c r="F649" s="1" t="s">
        <v>12</v>
      </c>
      <c r="G649" s="1" t="s">
        <v>13</v>
      </c>
    </row>
    <row r="650" spans="1:7">
      <c r="A650" s="1">
        <v>649</v>
      </c>
      <c r="B650" s="1" t="s">
        <v>4583</v>
      </c>
      <c r="D650" s="1" t="s">
        <v>2837</v>
      </c>
      <c r="E650" s="1" t="s">
        <v>2840</v>
      </c>
      <c r="F650" s="1" t="s">
        <v>839</v>
      </c>
      <c r="G650" s="1" t="s">
        <v>840</v>
      </c>
    </row>
    <row r="651" spans="1:7">
      <c r="A651" s="1">
        <v>650</v>
      </c>
      <c r="B651" s="1" t="s">
        <v>4584</v>
      </c>
      <c r="D651" s="1" t="s">
        <v>2846</v>
      </c>
      <c r="E651" s="1" t="s">
        <v>2853</v>
      </c>
      <c r="F651" s="1" t="s">
        <v>836</v>
      </c>
      <c r="G651" s="1" t="s">
        <v>837</v>
      </c>
    </row>
    <row r="652" spans="1:7">
      <c r="A652" s="1">
        <v>651</v>
      </c>
      <c r="B652" s="1" t="s">
        <v>4585</v>
      </c>
      <c r="D652" s="1" t="s">
        <v>2846</v>
      </c>
      <c r="E652" s="1" t="s">
        <v>2851</v>
      </c>
      <c r="F652" s="1" t="s">
        <v>21</v>
      </c>
      <c r="G652" s="1" t="s">
        <v>22</v>
      </c>
    </row>
    <row r="653" spans="1:7">
      <c r="A653" s="1">
        <v>652</v>
      </c>
      <c r="B653" s="1" t="s">
        <v>4586</v>
      </c>
      <c r="D653" s="1" t="s">
        <v>2846</v>
      </c>
      <c r="E653" s="1" t="s">
        <v>2847</v>
      </c>
      <c r="F653" s="1" t="s">
        <v>12</v>
      </c>
      <c r="G653" s="1" t="s">
        <v>13</v>
      </c>
    </row>
    <row r="654" spans="1:7">
      <c r="A654" s="1">
        <v>653</v>
      </c>
      <c r="B654" s="1" t="s">
        <v>4587</v>
      </c>
      <c r="D654" s="1" t="s">
        <v>2846</v>
      </c>
      <c r="E654" s="1" t="s">
        <v>2849</v>
      </c>
      <c r="F654" s="1" t="s">
        <v>839</v>
      </c>
      <c r="G654" s="1" t="s">
        <v>840</v>
      </c>
    </row>
    <row r="655" spans="1:7">
      <c r="A655" s="1">
        <v>654</v>
      </c>
      <c r="B655" s="1" t="s">
        <v>4588</v>
      </c>
      <c r="D655" s="1" t="s">
        <v>2855</v>
      </c>
      <c r="E655" s="1" t="s">
        <v>2862</v>
      </c>
      <c r="F655" s="1" t="s">
        <v>836</v>
      </c>
      <c r="G655" s="1" t="s">
        <v>837</v>
      </c>
    </row>
    <row r="656" spans="1:7">
      <c r="A656" s="1">
        <v>655</v>
      </c>
      <c r="B656" s="1" t="s">
        <v>4589</v>
      </c>
      <c r="D656" s="1" t="s">
        <v>2855</v>
      </c>
      <c r="E656" s="1" t="s">
        <v>2860</v>
      </c>
      <c r="F656" s="1" t="s">
        <v>21</v>
      </c>
      <c r="G656" s="1" t="s">
        <v>22</v>
      </c>
    </row>
    <row r="657" spans="1:7">
      <c r="A657" s="1">
        <v>656</v>
      </c>
      <c r="B657" s="1" t="s">
        <v>4590</v>
      </c>
      <c r="D657" s="1" t="s">
        <v>2855</v>
      </c>
      <c r="E657" s="1" t="s">
        <v>2856</v>
      </c>
      <c r="F657" s="1" t="s">
        <v>12</v>
      </c>
      <c r="G657" s="1" t="s">
        <v>13</v>
      </c>
    </row>
    <row r="658" spans="1:7">
      <c r="A658" s="1">
        <v>657</v>
      </c>
      <c r="B658" s="1" t="s">
        <v>4591</v>
      </c>
      <c r="D658" s="1" t="s">
        <v>2855</v>
      </c>
      <c r="E658" s="1" t="s">
        <v>2858</v>
      </c>
      <c r="F658" s="1" t="s">
        <v>839</v>
      </c>
      <c r="G658" s="1" t="s">
        <v>840</v>
      </c>
    </row>
    <row r="659" spans="1:7">
      <c r="A659" s="1">
        <v>658</v>
      </c>
      <c r="B659" s="1" t="s">
        <v>4592</v>
      </c>
      <c r="D659" s="1" t="s">
        <v>2864</v>
      </c>
      <c r="E659" s="1" t="s">
        <v>2871</v>
      </c>
      <c r="F659" s="1" t="s">
        <v>836</v>
      </c>
      <c r="G659" s="1" t="s">
        <v>837</v>
      </c>
    </row>
    <row r="660" spans="1:7">
      <c r="A660" s="1">
        <v>659</v>
      </c>
      <c r="B660" s="1" t="s">
        <v>4593</v>
      </c>
      <c r="D660" s="1" t="s">
        <v>2864</v>
      </c>
      <c r="E660" s="1" t="s">
        <v>2869</v>
      </c>
      <c r="F660" s="1" t="s">
        <v>21</v>
      </c>
      <c r="G660" s="1" t="s">
        <v>22</v>
      </c>
    </row>
    <row r="661" spans="1:7">
      <c r="A661" s="1">
        <v>660</v>
      </c>
      <c r="B661" s="1" t="s">
        <v>4594</v>
      </c>
      <c r="D661" s="1" t="s">
        <v>2864</v>
      </c>
      <c r="E661" s="1" t="s">
        <v>2865</v>
      </c>
      <c r="F661" s="1" t="s">
        <v>12</v>
      </c>
      <c r="G661" s="1" t="s">
        <v>13</v>
      </c>
    </row>
    <row r="662" spans="1:7">
      <c r="A662" s="1">
        <v>661</v>
      </c>
      <c r="B662" s="1" t="s">
        <v>4595</v>
      </c>
      <c r="D662" s="1" t="s">
        <v>2864</v>
      </c>
      <c r="E662" s="1" t="s">
        <v>2867</v>
      </c>
      <c r="F662" s="1" t="s">
        <v>839</v>
      </c>
      <c r="G662" s="1" t="s">
        <v>840</v>
      </c>
    </row>
    <row r="663" spans="1:7">
      <c r="A663" s="1">
        <v>662</v>
      </c>
      <c r="B663" s="1" t="s">
        <v>4596</v>
      </c>
      <c r="D663" s="1" t="s">
        <v>2873</v>
      </c>
      <c r="E663" s="1" t="s">
        <v>2880</v>
      </c>
      <c r="F663" s="1" t="s">
        <v>836</v>
      </c>
      <c r="G663" s="1" t="s">
        <v>837</v>
      </c>
    </row>
    <row r="664" spans="1:7">
      <c r="A664" s="1">
        <v>663</v>
      </c>
      <c r="B664" s="1" t="s">
        <v>4597</v>
      </c>
      <c r="D664" s="1" t="s">
        <v>2873</v>
      </c>
      <c r="E664" s="1" t="s">
        <v>2878</v>
      </c>
      <c r="F664" s="1" t="s">
        <v>21</v>
      </c>
      <c r="G664" s="1" t="s">
        <v>22</v>
      </c>
    </row>
    <row r="665" spans="1:7">
      <c r="A665" s="1">
        <v>664</v>
      </c>
      <c r="B665" s="1" t="s">
        <v>4598</v>
      </c>
      <c r="D665" s="1" t="s">
        <v>2873</v>
      </c>
      <c r="E665" s="1" t="s">
        <v>2874</v>
      </c>
      <c r="F665" s="1" t="s">
        <v>12</v>
      </c>
      <c r="G665" s="1" t="s">
        <v>13</v>
      </c>
    </row>
    <row r="666" spans="1:7">
      <c r="A666" s="1">
        <v>665</v>
      </c>
      <c r="B666" s="1" t="s">
        <v>4599</v>
      </c>
      <c r="D666" s="1" t="s">
        <v>2873</v>
      </c>
      <c r="E666" s="1" t="s">
        <v>2876</v>
      </c>
      <c r="F666" s="1" t="s">
        <v>839</v>
      </c>
      <c r="G666" s="1" t="s">
        <v>840</v>
      </c>
    </row>
    <row r="667" spans="1:7">
      <c r="A667" s="1">
        <v>666</v>
      </c>
      <c r="B667" s="1" t="s">
        <v>4600</v>
      </c>
      <c r="D667" s="1" t="s">
        <v>2882</v>
      </c>
      <c r="E667" s="1" t="s">
        <v>2889</v>
      </c>
      <c r="F667" s="1" t="s">
        <v>836</v>
      </c>
      <c r="G667" s="1" t="s">
        <v>837</v>
      </c>
    </row>
    <row r="668" spans="1:7">
      <c r="A668" s="1">
        <v>667</v>
      </c>
      <c r="B668" s="1" t="s">
        <v>4601</v>
      </c>
      <c r="D668" s="1" t="s">
        <v>2882</v>
      </c>
      <c r="E668" s="1" t="s">
        <v>2887</v>
      </c>
      <c r="F668" s="1" t="s">
        <v>21</v>
      </c>
      <c r="G668" s="1" t="s">
        <v>22</v>
      </c>
    </row>
    <row r="669" spans="1:7">
      <c r="A669" s="1">
        <v>668</v>
      </c>
      <c r="B669" s="1" t="s">
        <v>4602</v>
      </c>
      <c r="D669" s="1" t="s">
        <v>2882</v>
      </c>
      <c r="E669" s="1" t="s">
        <v>2883</v>
      </c>
      <c r="F669" s="1" t="s">
        <v>12</v>
      </c>
      <c r="G669" s="1" t="s">
        <v>13</v>
      </c>
    </row>
    <row r="670" spans="1:7">
      <c r="A670" s="1">
        <v>669</v>
      </c>
      <c r="B670" s="1" t="s">
        <v>4603</v>
      </c>
      <c r="D670" s="1" t="s">
        <v>2882</v>
      </c>
      <c r="E670" s="1" t="s">
        <v>2885</v>
      </c>
      <c r="F670" s="1" t="s">
        <v>839</v>
      </c>
      <c r="G670" s="1" t="s">
        <v>840</v>
      </c>
    </row>
    <row r="671" spans="1:7">
      <c r="A671" s="1">
        <v>670</v>
      </c>
      <c r="B671" s="1" t="s">
        <v>4604</v>
      </c>
      <c r="D671" s="1" t="s">
        <v>2891</v>
      </c>
      <c r="E671" s="1" t="s">
        <v>2898</v>
      </c>
      <c r="F671" s="1" t="s">
        <v>836</v>
      </c>
      <c r="G671" s="1" t="s">
        <v>837</v>
      </c>
    </row>
    <row r="672" spans="1:7">
      <c r="A672" s="1">
        <v>671</v>
      </c>
      <c r="B672" s="1" t="s">
        <v>4605</v>
      </c>
      <c r="D672" s="1" t="s">
        <v>2891</v>
      </c>
      <c r="E672" s="1" t="s">
        <v>2896</v>
      </c>
      <c r="F672" s="1" t="s">
        <v>21</v>
      </c>
      <c r="G672" s="1" t="s">
        <v>22</v>
      </c>
    </row>
    <row r="673" spans="1:7">
      <c r="A673" s="1">
        <v>672</v>
      </c>
      <c r="B673" s="1" t="s">
        <v>4606</v>
      </c>
      <c r="D673" s="1" t="s">
        <v>2891</v>
      </c>
      <c r="E673" s="1" t="s">
        <v>2892</v>
      </c>
      <c r="F673" s="1" t="s">
        <v>12</v>
      </c>
      <c r="G673" s="1" t="s">
        <v>13</v>
      </c>
    </row>
    <row r="674" spans="1:7">
      <c r="A674" s="1">
        <v>673</v>
      </c>
      <c r="B674" s="1" t="s">
        <v>4607</v>
      </c>
      <c r="D674" s="1" t="s">
        <v>2891</v>
      </c>
      <c r="E674" s="1" t="s">
        <v>2894</v>
      </c>
      <c r="F674" s="1" t="s">
        <v>839</v>
      </c>
      <c r="G674" s="1" t="s">
        <v>840</v>
      </c>
    </row>
    <row r="675" spans="1:7">
      <c r="A675" s="1">
        <v>674</v>
      </c>
      <c r="B675" s="1" t="s">
        <v>4608</v>
      </c>
      <c r="D675" s="1" t="s">
        <v>2900</v>
      </c>
      <c r="E675" s="1" t="s">
        <v>2907</v>
      </c>
      <c r="F675" s="1" t="s">
        <v>836</v>
      </c>
      <c r="G675" s="1" t="s">
        <v>837</v>
      </c>
    </row>
    <row r="676" spans="1:7">
      <c r="A676" s="1">
        <v>675</v>
      </c>
      <c r="B676" s="1" t="s">
        <v>4609</v>
      </c>
      <c r="D676" s="1" t="s">
        <v>2900</v>
      </c>
      <c r="E676" s="1" t="s">
        <v>2905</v>
      </c>
      <c r="F676" s="1" t="s">
        <v>21</v>
      </c>
      <c r="G676" s="1" t="s">
        <v>22</v>
      </c>
    </row>
    <row r="677" spans="1:7">
      <c r="A677" s="1">
        <v>676</v>
      </c>
      <c r="B677" s="1" t="s">
        <v>4610</v>
      </c>
      <c r="D677" s="1" t="s">
        <v>2900</v>
      </c>
      <c r="E677" s="1" t="s">
        <v>2901</v>
      </c>
      <c r="F677" s="1" t="s">
        <v>12</v>
      </c>
      <c r="G677" s="1" t="s">
        <v>13</v>
      </c>
    </row>
    <row r="678" spans="1:7">
      <c r="A678" s="1">
        <v>677</v>
      </c>
      <c r="B678" s="1" t="s">
        <v>4611</v>
      </c>
      <c r="D678" s="1" t="s">
        <v>2900</v>
      </c>
      <c r="E678" s="1" t="s">
        <v>2903</v>
      </c>
      <c r="F678" s="1" t="s">
        <v>839</v>
      </c>
      <c r="G678" s="1" t="s">
        <v>840</v>
      </c>
    </row>
    <row r="679" spans="1:7">
      <c r="A679" s="1">
        <v>678</v>
      </c>
      <c r="B679" s="1" t="s">
        <v>4612</v>
      </c>
      <c r="D679" s="1" t="s">
        <v>2909</v>
      </c>
      <c r="E679" s="1" t="s">
        <v>2916</v>
      </c>
      <c r="F679" s="1" t="s">
        <v>836</v>
      </c>
      <c r="G679" s="1" t="s">
        <v>837</v>
      </c>
    </row>
    <row r="680" spans="1:7">
      <c r="A680" s="1">
        <v>679</v>
      </c>
      <c r="B680" s="1" t="s">
        <v>4613</v>
      </c>
      <c r="D680" s="1" t="s">
        <v>2909</v>
      </c>
      <c r="E680" s="1" t="s">
        <v>2914</v>
      </c>
      <c r="F680" s="1" t="s">
        <v>21</v>
      </c>
      <c r="G680" s="1" t="s">
        <v>22</v>
      </c>
    </row>
    <row r="681" spans="1:7">
      <c r="A681" s="1">
        <v>680</v>
      </c>
      <c r="B681" s="1" t="s">
        <v>4614</v>
      </c>
      <c r="D681" s="1" t="s">
        <v>2909</v>
      </c>
      <c r="E681" s="1" t="s">
        <v>2910</v>
      </c>
      <c r="F681" s="1" t="s">
        <v>12</v>
      </c>
      <c r="G681" s="1" t="s">
        <v>13</v>
      </c>
    </row>
    <row r="682" spans="1:7">
      <c r="A682" s="1">
        <v>681</v>
      </c>
      <c r="B682" s="1" t="s">
        <v>4615</v>
      </c>
      <c r="D682" s="1" t="s">
        <v>2909</v>
      </c>
      <c r="E682" s="1" t="s">
        <v>2912</v>
      </c>
      <c r="F682" s="1" t="s">
        <v>839</v>
      </c>
      <c r="G682" s="1" t="s">
        <v>840</v>
      </c>
    </row>
    <row r="683" spans="1:7">
      <c r="A683" s="1">
        <v>682</v>
      </c>
      <c r="B683" s="1" t="s">
        <v>4616</v>
      </c>
      <c r="D683" s="1" t="s">
        <v>2918</v>
      </c>
      <c r="E683" s="1" t="s">
        <v>2925</v>
      </c>
      <c r="F683" s="1" t="s">
        <v>836</v>
      </c>
      <c r="G683" s="1" t="s">
        <v>837</v>
      </c>
    </row>
    <row r="684" spans="1:7">
      <c r="A684" s="1">
        <v>683</v>
      </c>
      <c r="B684" s="1" t="s">
        <v>4617</v>
      </c>
      <c r="D684" s="1" t="s">
        <v>2918</v>
      </c>
      <c r="E684" s="1" t="s">
        <v>2923</v>
      </c>
      <c r="F684" s="1" t="s">
        <v>21</v>
      </c>
      <c r="G684" s="1" t="s">
        <v>22</v>
      </c>
    </row>
    <row r="685" spans="1:7">
      <c r="A685" s="1">
        <v>684</v>
      </c>
      <c r="B685" s="1" t="s">
        <v>4618</v>
      </c>
      <c r="D685" s="1" t="s">
        <v>2918</v>
      </c>
      <c r="E685" s="1" t="s">
        <v>2919</v>
      </c>
      <c r="F685" s="1" t="s">
        <v>12</v>
      </c>
      <c r="G685" s="1" t="s">
        <v>13</v>
      </c>
    </row>
    <row r="686" spans="1:7">
      <c r="A686" s="1">
        <v>685</v>
      </c>
      <c r="B686" s="1" t="s">
        <v>4619</v>
      </c>
      <c r="D686" s="1" t="s">
        <v>2918</v>
      </c>
      <c r="E686" s="1" t="s">
        <v>2921</v>
      </c>
      <c r="F686" s="1" t="s">
        <v>839</v>
      </c>
      <c r="G686" s="1" t="s">
        <v>840</v>
      </c>
    </row>
    <row r="687" spans="1:7">
      <c r="A687" s="1">
        <v>686</v>
      </c>
      <c r="B687" s="1" t="s">
        <v>4620</v>
      </c>
      <c r="D687" s="1" t="s">
        <v>2927</v>
      </c>
      <c r="E687" s="1" t="s">
        <v>2934</v>
      </c>
      <c r="F687" s="1" t="s">
        <v>836</v>
      </c>
      <c r="G687" s="1" t="s">
        <v>837</v>
      </c>
    </row>
    <row r="688" spans="1:7">
      <c r="A688" s="1">
        <v>687</v>
      </c>
      <c r="B688" s="1" t="s">
        <v>4621</v>
      </c>
      <c r="D688" s="1" t="s">
        <v>2927</v>
      </c>
      <c r="E688" s="1" t="s">
        <v>2932</v>
      </c>
      <c r="F688" s="1" t="s">
        <v>21</v>
      </c>
      <c r="G688" s="1" t="s">
        <v>22</v>
      </c>
    </row>
    <row r="689" spans="1:7">
      <c r="A689" s="1">
        <v>688</v>
      </c>
      <c r="B689" s="1" t="s">
        <v>4622</v>
      </c>
      <c r="D689" s="1" t="s">
        <v>2927</v>
      </c>
      <c r="E689" s="1" t="s">
        <v>2928</v>
      </c>
      <c r="F689" s="1" t="s">
        <v>12</v>
      </c>
      <c r="G689" s="1" t="s">
        <v>13</v>
      </c>
    </row>
    <row r="690" spans="1:7">
      <c r="A690" s="1">
        <v>689</v>
      </c>
      <c r="B690" s="1" t="s">
        <v>4623</v>
      </c>
      <c r="D690" s="1" t="s">
        <v>2927</v>
      </c>
      <c r="E690" s="1" t="s">
        <v>2930</v>
      </c>
      <c r="F690" s="1" t="s">
        <v>839</v>
      </c>
      <c r="G690" s="1" t="s">
        <v>840</v>
      </c>
    </row>
    <row r="691" spans="1:7">
      <c r="A691" s="1">
        <v>690</v>
      </c>
      <c r="B691" s="1" t="s">
        <v>4624</v>
      </c>
      <c r="D691" s="1" t="s">
        <v>2936</v>
      </c>
      <c r="E691" s="1" t="s">
        <v>2943</v>
      </c>
      <c r="F691" s="1" t="s">
        <v>836</v>
      </c>
      <c r="G691" s="1" t="s">
        <v>837</v>
      </c>
    </row>
    <row r="692" spans="1:7">
      <c r="A692" s="1">
        <v>691</v>
      </c>
      <c r="B692" s="1" t="s">
        <v>4625</v>
      </c>
      <c r="D692" s="1" t="s">
        <v>2936</v>
      </c>
      <c r="E692" s="1" t="s">
        <v>2941</v>
      </c>
      <c r="F692" s="1" t="s">
        <v>21</v>
      </c>
      <c r="G692" s="1" t="s">
        <v>22</v>
      </c>
    </row>
    <row r="693" spans="1:7">
      <c r="A693" s="1">
        <v>692</v>
      </c>
      <c r="B693" s="1" t="s">
        <v>4626</v>
      </c>
      <c r="D693" s="1" t="s">
        <v>2936</v>
      </c>
      <c r="E693" s="1" t="s">
        <v>2937</v>
      </c>
      <c r="F693" s="1" t="s">
        <v>12</v>
      </c>
      <c r="G693" s="1" t="s">
        <v>13</v>
      </c>
    </row>
    <row r="694" spans="1:7">
      <c r="A694" s="1">
        <v>693</v>
      </c>
      <c r="B694" s="1" t="s">
        <v>4627</v>
      </c>
      <c r="D694" s="1" t="s">
        <v>2936</v>
      </c>
      <c r="E694" s="1" t="s">
        <v>2939</v>
      </c>
      <c r="F694" s="1" t="s">
        <v>839</v>
      </c>
      <c r="G694" s="1" t="s">
        <v>840</v>
      </c>
    </row>
    <row r="695" spans="1:7">
      <c r="A695" s="1">
        <v>694</v>
      </c>
      <c r="B695" s="1" t="s">
        <v>4628</v>
      </c>
      <c r="D695" s="1" t="s">
        <v>2945</v>
      </c>
      <c r="E695" s="1" t="s">
        <v>397</v>
      </c>
      <c r="F695" s="1" t="s">
        <v>836</v>
      </c>
      <c r="G695" s="1" t="s">
        <v>837</v>
      </c>
    </row>
    <row r="696" spans="1:7">
      <c r="A696" s="1">
        <v>695</v>
      </c>
      <c r="B696" s="1" t="s">
        <v>4629</v>
      </c>
      <c r="D696" s="1" t="s">
        <v>2945</v>
      </c>
      <c r="E696" s="1" t="s">
        <v>2948</v>
      </c>
      <c r="F696" s="1" t="s">
        <v>21</v>
      </c>
      <c r="G696" s="1" t="s">
        <v>22</v>
      </c>
    </row>
    <row r="697" spans="1:7">
      <c r="A697" s="1">
        <v>696</v>
      </c>
      <c r="B697" s="1" t="s">
        <v>4630</v>
      </c>
      <c r="D697" s="1" t="s">
        <v>2945</v>
      </c>
      <c r="E697" s="1" t="s">
        <v>834</v>
      </c>
      <c r="F697" s="1" t="s">
        <v>12</v>
      </c>
      <c r="G697" s="1" t="s">
        <v>13</v>
      </c>
    </row>
    <row r="698" spans="1:7">
      <c r="A698" s="1">
        <v>697</v>
      </c>
      <c r="B698" s="1" t="s">
        <v>4631</v>
      </c>
      <c r="D698" s="1" t="s">
        <v>2945</v>
      </c>
      <c r="E698" s="1" t="s">
        <v>838</v>
      </c>
      <c r="F698" s="1" t="s">
        <v>839</v>
      </c>
      <c r="G698" s="1" t="s">
        <v>840</v>
      </c>
    </row>
    <row r="699" spans="1:7">
      <c r="A699" s="1">
        <v>698</v>
      </c>
      <c r="B699" s="1" t="s">
        <v>4632</v>
      </c>
      <c r="D699" s="1" t="s">
        <v>2951</v>
      </c>
      <c r="E699" s="1" t="s">
        <v>2952</v>
      </c>
      <c r="F699" s="1" t="s">
        <v>430</v>
      </c>
      <c r="G699" s="1" t="s">
        <v>431</v>
      </c>
    </row>
    <row r="700" spans="1:7">
      <c r="A700" s="1">
        <v>699</v>
      </c>
      <c r="B700" s="1" t="s">
        <v>4633</v>
      </c>
      <c r="D700" s="1" t="s">
        <v>2954</v>
      </c>
      <c r="E700" s="1" t="s">
        <v>2955</v>
      </c>
      <c r="F700" s="1" t="s">
        <v>448</v>
      </c>
      <c r="G700" s="1" t="s">
        <v>449</v>
      </c>
    </row>
    <row r="701" spans="1:7">
      <c r="A701" s="1">
        <v>700</v>
      </c>
      <c r="B701" s="1" t="s">
        <v>4634</v>
      </c>
      <c r="D701" s="1" t="s">
        <v>2954</v>
      </c>
      <c r="E701" s="1" t="s">
        <v>2957</v>
      </c>
      <c r="F701" s="1" t="s">
        <v>444</v>
      </c>
      <c r="G701" s="1" t="s">
        <v>445</v>
      </c>
    </row>
    <row r="702" spans="1:7">
      <c r="A702" s="1">
        <v>701</v>
      </c>
      <c r="B702" s="1" t="s">
        <v>4635</v>
      </c>
      <c r="D702" s="1" t="s">
        <v>2954</v>
      </c>
      <c r="E702" s="1" t="s">
        <v>2959</v>
      </c>
      <c r="F702" s="1" t="s">
        <v>440</v>
      </c>
      <c r="G702" s="1" t="s">
        <v>441</v>
      </c>
    </row>
    <row r="703" spans="1:7">
      <c r="A703" s="1">
        <v>702</v>
      </c>
      <c r="B703" s="1" t="s">
        <v>4636</v>
      </c>
      <c r="D703" s="1" t="s">
        <v>2954</v>
      </c>
      <c r="E703" s="1" t="s">
        <v>2961</v>
      </c>
      <c r="F703" s="1" t="s">
        <v>436</v>
      </c>
      <c r="G703" s="1" t="s">
        <v>437</v>
      </c>
    </row>
    <row r="704" spans="1:7">
      <c r="A704" s="1">
        <v>703</v>
      </c>
      <c r="B704" s="1" t="s">
        <v>4637</v>
      </c>
      <c r="D704" s="1" t="s">
        <v>2954</v>
      </c>
      <c r="E704" s="1" t="s">
        <v>2963</v>
      </c>
      <c r="F704" s="1" t="s">
        <v>452</v>
      </c>
      <c r="G704" s="1" t="s">
        <v>453</v>
      </c>
    </row>
    <row r="705" spans="1:7">
      <c r="A705" s="1">
        <v>704</v>
      </c>
      <c r="B705" s="1" t="s">
        <v>4638</v>
      </c>
      <c r="D705" s="1" t="s">
        <v>2954</v>
      </c>
      <c r="E705" s="1" t="s">
        <v>2965</v>
      </c>
      <c r="F705" s="1" t="s">
        <v>430</v>
      </c>
      <c r="G705" s="1" t="s">
        <v>431</v>
      </c>
    </row>
    <row r="706" spans="1:7">
      <c r="A706" s="1">
        <v>705</v>
      </c>
      <c r="B706" s="1" t="s">
        <v>4639</v>
      </c>
      <c r="D706" s="1" t="s">
        <v>2954</v>
      </c>
      <c r="E706" s="1" t="s">
        <v>2967</v>
      </c>
      <c r="F706" s="1" t="s">
        <v>458</v>
      </c>
      <c r="G706" s="1" t="s">
        <v>459</v>
      </c>
    </row>
    <row r="707" spans="1:7">
      <c r="A707" s="1">
        <v>706</v>
      </c>
      <c r="B707" s="1" t="s">
        <v>4640</v>
      </c>
      <c r="D707" s="1" t="s">
        <v>2969</v>
      </c>
      <c r="E707" s="1" t="s">
        <v>2970</v>
      </c>
      <c r="F707" s="1" t="s">
        <v>844</v>
      </c>
      <c r="G707" s="1" t="s">
        <v>845</v>
      </c>
    </row>
    <row r="708" spans="1:7">
      <c r="A708" s="1">
        <v>707</v>
      </c>
      <c r="B708" s="1" t="s">
        <v>4641</v>
      </c>
      <c r="D708" s="1" t="s">
        <v>2972</v>
      </c>
      <c r="E708" s="1" t="s">
        <v>11</v>
      </c>
      <c r="F708" s="1" t="s">
        <v>844</v>
      </c>
      <c r="G708" s="1" t="s">
        <v>845</v>
      </c>
    </row>
    <row r="709" spans="1:7">
      <c r="A709" s="1">
        <v>708</v>
      </c>
      <c r="B709" s="1" t="s">
        <v>4642</v>
      </c>
      <c r="D709" s="1" t="s">
        <v>2974</v>
      </c>
      <c r="E709" s="1" t="s">
        <v>26</v>
      </c>
      <c r="F709" s="1" t="s">
        <v>844</v>
      </c>
      <c r="G709" s="1" t="s">
        <v>845</v>
      </c>
    </row>
    <row r="710" spans="1:7">
      <c r="A710" s="1">
        <v>709</v>
      </c>
      <c r="B710" s="1" t="s">
        <v>4643</v>
      </c>
      <c r="D710" s="1" t="s">
        <v>2976</v>
      </c>
      <c r="E710" s="1" t="s">
        <v>32</v>
      </c>
      <c r="F710" s="1" t="s">
        <v>855</v>
      </c>
      <c r="G710" s="1" t="s">
        <v>856</v>
      </c>
    </row>
    <row r="711" spans="1:7">
      <c r="A711" s="1">
        <v>710</v>
      </c>
      <c r="B711" s="1" t="s">
        <v>4644</v>
      </c>
      <c r="D711" s="1" t="s">
        <v>2978</v>
      </c>
      <c r="E711" s="1" t="s">
        <v>37</v>
      </c>
      <c r="F711" s="1" t="s">
        <v>860</v>
      </c>
      <c r="G711" s="1" t="s">
        <v>861</v>
      </c>
    </row>
    <row r="712" spans="1:7">
      <c r="A712" s="1">
        <v>711</v>
      </c>
      <c r="B712" s="1" t="s">
        <v>4645</v>
      </c>
      <c r="D712" s="1" t="s">
        <v>2980</v>
      </c>
      <c r="E712" s="1" t="s">
        <v>829</v>
      </c>
      <c r="F712" s="1" t="s">
        <v>860</v>
      </c>
      <c r="G712" s="1" t="s">
        <v>861</v>
      </c>
    </row>
    <row r="713" spans="1:7">
      <c r="A713" s="1">
        <v>712</v>
      </c>
      <c r="B713" s="1" t="s">
        <v>4646</v>
      </c>
      <c r="D713" s="1" t="s">
        <v>2982</v>
      </c>
      <c r="E713" s="1" t="s">
        <v>1324</v>
      </c>
      <c r="F713" s="1" t="s">
        <v>869</v>
      </c>
      <c r="G713" s="1" t="s">
        <v>870</v>
      </c>
    </row>
    <row r="714" spans="1:7">
      <c r="A714" s="1">
        <v>713</v>
      </c>
      <c r="B714" s="1" t="s">
        <v>4647</v>
      </c>
      <c r="D714" s="1" t="s">
        <v>2982</v>
      </c>
      <c r="E714" s="1" t="s">
        <v>2985</v>
      </c>
      <c r="F714" s="1" t="s">
        <v>860</v>
      </c>
      <c r="G714" s="1" t="s">
        <v>861</v>
      </c>
    </row>
    <row r="715" spans="1:7">
      <c r="A715" s="1">
        <v>714</v>
      </c>
      <c r="B715" s="1" t="s">
        <v>4648</v>
      </c>
      <c r="D715" s="1" t="s">
        <v>2982</v>
      </c>
      <c r="E715" s="1" t="s">
        <v>1327</v>
      </c>
      <c r="F715" s="1" t="s">
        <v>872</v>
      </c>
      <c r="G715" s="1" t="s">
        <v>873</v>
      </c>
    </row>
    <row r="716" spans="1:7">
      <c r="A716" s="1">
        <v>715</v>
      </c>
      <c r="B716" s="1" t="s">
        <v>4649</v>
      </c>
      <c r="D716" s="1" t="s">
        <v>2982</v>
      </c>
      <c r="E716" s="1" t="s">
        <v>2987</v>
      </c>
      <c r="F716" s="1" t="s">
        <v>875</v>
      </c>
      <c r="G716" s="1" t="s">
        <v>876</v>
      </c>
    </row>
    <row r="717" spans="1:7">
      <c r="A717" s="1">
        <v>716</v>
      </c>
      <c r="B717" s="1" t="s">
        <v>4650</v>
      </c>
      <c r="D717" s="1" t="s">
        <v>2982</v>
      </c>
      <c r="E717" s="1" t="s">
        <v>2989</v>
      </c>
      <c r="F717" s="1" t="s">
        <v>878</v>
      </c>
      <c r="G717" s="1" t="s">
        <v>879</v>
      </c>
    </row>
    <row r="718" spans="1:7">
      <c r="A718" s="1">
        <v>717</v>
      </c>
      <c r="B718" s="1" t="s">
        <v>4651</v>
      </c>
      <c r="D718" s="1" t="s">
        <v>2991</v>
      </c>
      <c r="E718" s="1" t="s">
        <v>2992</v>
      </c>
      <c r="F718" s="1" t="s">
        <v>257</v>
      </c>
      <c r="G718" s="1" t="s">
        <v>258</v>
      </c>
    </row>
    <row r="719" spans="1:7">
      <c r="A719" s="1">
        <v>718</v>
      </c>
      <c r="B719" s="1" t="s">
        <v>4652</v>
      </c>
      <c r="D719" s="1" t="s">
        <v>2991</v>
      </c>
      <c r="E719" s="1" t="s">
        <v>2994</v>
      </c>
      <c r="F719" s="1" t="s">
        <v>260</v>
      </c>
      <c r="G719" s="7" t="s">
        <v>261</v>
      </c>
    </row>
    <row r="720" spans="1:7">
      <c r="A720" s="1">
        <v>719</v>
      </c>
      <c r="B720" s="1" t="s">
        <v>4653</v>
      </c>
      <c r="D720" s="1" t="s">
        <v>2991</v>
      </c>
      <c r="E720" s="1" t="s">
        <v>2996</v>
      </c>
      <c r="F720" s="1" t="s">
        <v>263</v>
      </c>
      <c r="G720" s="7" t="s">
        <v>264</v>
      </c>
    </row>
    <row r="721" spans="1:7">
      <c r="A721" s="1">
        <v>720</v>
      </c>
      <c r="B721" s="1" t="s">
        <v>4654</v>
      </c>
      <c r="D721" s="1" t="s">
        <v>2991</v>
      </c>
      <c r="E721" s="1" t="s">
        <v>2998</v>
      </c>
      <c r="F721" s="1" t="s">
        <v>266</v>
      </c>
      <c r="G721" s="1" t="s">
        <v>267</v>
      </c>
    </row>
    <row r="722" spans="1:7">
      <c r="A722" s="1">
        <v>721</v>
      </c>
      <c r="B722" s="1" t="s">
        <v>4655</v>
      </c>
      <c r="D722" s="1" t="s">
        <v>2991</v>
      </c>
      <c r="E722" s="1" t="s">
        <v>3000</v>
      </c>
      <c r="F722" s="1" t="s">
        <v>269</v>
      </c>
      <c r="G722" s="1" t="s">
        <v>270</v>
      </c>
    </row>
    <row r="723" spans="1:7">
      <c r="A723" s="1">
        <v>722</v>
      </c>
      <c r="B723" s="1" t="s">
        <v>4656</v>
      </c>
      <c r="D723" s="1" t="s">
        <v>2991</v>
      </c>
      <c r="E723" s="1" t="s">
        <v>3002</v>
      </c>
      <c r="F723" s="1" t="s">
        <v>272</v>
      </c>
      <c r="G723" s="1" t="s">
        <v>273</v>
      </c>
    </row>
    <row r="724" spans="1:7">
      <c r="A724" s="1">
        <v>723</v>
      </c>
      <c r="B724" s="1" t="s">
        <v>4657</v>
      </c>
      <c r="D724" s="1" t="s">
        <v>2991</v>
      </c>
      <c r="E724" s="1" t="s">
        <v>3004</v>
      </c>
      <c r="F724" s="1" t="s">
        <v>275</v>
      </c>
      <c r="G724" s="1" t="s">
        <v>276</v>
      </c>
    </row>
    <row r="725" spans="1:7">
      <c r="A725" s="1">
        <v>724</v>
      </c>
      <c r="B725" s="1" t="s">
        <v>4658</v>
      </c>
      <c r="D725" s="1" t="s">
        <v>2991</v>
      </c>
      <c r="E725" s="1" t="s">
        <v>3006</v>
      </c>
      <c r="F725" s="1" t="s">
        <v>278</v>
      </c>
      <c r="G725" s="1" t="s">
        <v>279</v>
      </c>
    </row>
    <row r="726" spans="1:7">
      <c r="A726" s="1">
        <v>725</v>
      </c>
      <c r="B726" s="1" t="s">
        <v>4659</v>
      </c>
      <c r="D726" s="1" t="s">
        <v>2991</v>
      </c>
      <c r="E726" s="1" t="s">
        <v>3008</v>
      </c>
      <c r="F726" s="1" t="s">
        <v>281</v>
      </c>
      <c r="G726" s="1" t="s">
        <v>282</v>
      </c>
    </row>
    <row r="727" spans="1:7">
      <c r="A727" s="1">
        <v>726</v>
      </c>
      <c r="B727" s="1" t="s">
        <v>4660</v>
      </c>
      <c r="D727" s="1" t="s">
        <v>2991</v>
      </c>
      <c r="E727" s="1" t="s">
        <v>3010</v>
      </c>
      <c r="F727" s="1" t="s">
        <v>284</v>
      </c>
      <c r="G727" s="1" t="s">
        <v>285</v>
      </c>
    </row>
    <row r="728" spans="1:7">
      <c r="A728" s="1">
        <v>727</v>
      </c>
      <c r="B728" s="1" t="s">
        <v>4661</v>
      </c>
      <c r="D728" s="1" t="s">
        <v>3012</v>
      </c>
      <c r="E728" s="1" t="s">
        <v>3013</v>
      </c>
      <c r="F728" s="1" t="s">
        <v>1328</v>
      </c>
      <c r="G728" s="1" t="s">
        <v>1329</v>
      </c>
    </row>
    <row r="729" spans="1:7">
      <c r="A729" s="1">
        <v>728</v>
      </c>
      <c r="B729" s="1" t="s">
        <v>4662</v>
      </c>
      <c r="D729" s="1" t="s">
        <v>3012</v>
      </c>
      <c r="E729" s="1" t="s">
        <v>3015</v>
      </c>
      <c r="F729" s="1" t="s">
        <v>1325</v>
      </c>
      <c r="G729" s="1" t="s">
        <v>1326</v>
      </c>
    </row>
    <row r="730" spans="1:7">
      <c r="A730" s="1">
        <v>729</v>
      </c>
      <c r="B730" s="1" t="s">
        <v>4663</v>
      </c>
      <c r="D730" s="1" t="s">
        <v>3017</v>
      </c>
      <c r="E730" s="1" t="s">
        <v>3018</v>
      </c>
      <c r="F730" s="1" t="s">
        <v>1333</v>
      </c>
      <c r="G730" s="1" t="s">
        <v>1334</v>
      </c>
    </row>
    <row r="731" spans="1:7">
      <c r="A731" s="1">
        <v>730</v>
      </c>
      <c r="B731" s="1" t="s">
        <v>4664</v>
      </c>
      <c r="D731" s="1" t="s">
        <v>3017</v>
      </c>
      <c r="E731" s="1" t="s">
        <v>3022</v>
      </c>
      <c r="F731" s="1" t="s">
        <v>1336</v>
      </c>
      <c r="G731" s="1" t="s">
        <v>1337</v>
      </c>
    </row>
    <row r="732" spans="1:7">
      <c r="A732" s="1">
        <v>731</v>
      </c>
      <c r="B732" s="1" t="s">
        <v>4665</v>
      </c>
      <c r="D732" s="1" t="s">
        <v>3017</v>
      </c>
      <c r="E732" s="1" t="s">
        <v>3020</v>
      </c>
      <c r="F732" s="1" t="s">
        <v>1339</v>
      </c>
      <c r="G732" s="1" t="s">
        <v>1340</v>
      </c>
    </row>
    <row r="733" spans="1:7">
      <c r="A733" s="1">
        <v>732</v>
      </c>
      <c r="B733" s="1" t="s">
        <v>4666</v>
      </c>
      <c r="D733" s="1" t="s">
        <v>3024</v>
      </c>
      <c r="E733" s="1" t="s">
        <v>3025</v>
      </c>
      <c r="F733" s="1" t="s">
        <v>21</v>
      </c>
      <c r="G733" s="1" t="s">
        <v>22</v>
      </c>
    </row>
    <row r="734" spans="1:7">
      <c r="A734" s="1">
        <v>733</v>
      </c>
      <c r="B734" s="1" t="s">
        <v>4667</v>
      </c>
      <c r="D734" s="1" t="s">
        <v>3027</v>
      </c>
      <c r="E734" s="1" t="s">
        <v>3028</v>
      </c>
      <c r="F734" s="1" t="s">
        <v>21</v>
      </c>
      <c r="G734" s="1" t="s">
        <v>22</v>
      </c>
    </row>
    <row r="735" spans="1:7">
      <c r="A735" s="1">
        <v>734</v>
      </c>
      <c r="B735" s="1" t="s">
        <v>4668</v>
      </c>
      <c r="D735" s="1" t="s">
        <v>3030</v>
      </c>
      <c r="E735" s="1" t="s">
        <v>1795</v>
      </c>
      <c r="F735" s="1" t="s">
        <v>3032</v>
      </c>
      <c r="G735" s="1" t="s">
        <v>3033</v>
      </c>
    </row>
    <row r="736" spans="1:7">
      <c r="A736" s="1">
        <v>735</v>
      </c>
      <c r="B736" s="1" t="s">
        <v>4669</v>
      </c>
      <c r="D736" s="1" t="s">
        <v>3030</v>
      </c>
      <c r="E736" s="1" t="s">
        <v>1803</v>
      </c>
      <c r="F736" s="1" t="s">
        <v>3036</v>
      </c>
      <c r="G736" s="1" t="s">
        <v>3037</v>
      </c>
    </row>
    <row r="737" spans="1:7">
      <c r="A737" s="1">
        <v>736</v>
      </c>
      <c r="B737" s="1" t="s">
        <v>4670</v>
      </c>
      <c r="D737" s="1" t="s">
        <v>4671</v>
      </c>
      <c r="E737" s="1" t="s">
        <v>4672</v>
      </c>
      <c r="F737" s="1" t="s">
        <v>4673</v>
      </c>
      <c r="G737" s="1" t="s">
        <v>4674</v>
      </c>
    </row>
    <row r="738" spans="1:7">
      <c r="A738" s="1">
        <v>737</v>
      </c>
      <c r="B738" s="1" t="s">
        <v>4675</v>
      </c>
      <c r="D738" s="1" t="s">
        <v>4676</v>
      </c>
      <c r="E738" s="1" t="s">
        <v>4677</v>
      </c>
      <c r="F738" s="1" t="s">
        <v>4673</v>
      </c>
      <c r="G738" s="1" t="s">
        <v>4674</v>
      </c>
    </row>
    <row r="739" spans="1:7">
      <c r="A739" s="1">
        <v>738</v>
      </c>
      <c r="B739" s="1" t="s">
        <v>4678</v>
      </c>
      <c r="D739" s="1" t="s">
        <v>4679</v>
      </c>
      <c r="E739" s="1" t="s">
        <v>1914</v>
      </c>
      <c r="F739" s="1" t="s">
        <v>4680</v>
      </c>
      <c r="G739" s="1" t="s">
        <v>4681</v>
      </c>
    </row>
    <row r="740" spans="1:7">
      <c r="A740" s="1">
        <v>739</v>
      </c>
      <c r="B740" s="1" t="s">
        <v>4682</v>
      </c>
      <c r="D740" s="1" t="s">
        <v>4679</v>
      </c>
      <c r="E740" s="1" t="s">
        <v>4683</v>
      </c>
      <c r="F740" s="1" t="s">
        <v>4684</v>
      </c>
      <c r="G740" s="1" t="s">
        <v>4685</v>
      </c>
    </row>
    <row r="741" spans="1:7">
      <c r="A741" s="1">
        <v>740</v>
      </c>
      <c r="B741" s="1" t="s">
        <v>4686</v>
      </c>
      <c r="D741" s="1" t="s">
        <v>4687</v>
      </c>
      <c r="E741" s="1" t="s">
        <v>1918</v>
      </c>
      <c r="F741" s="1" t="s">
        <v>4688</v>
      </c>
      <c r="G741" s="1" t="s">
        <v>4689</v>
      </c>
    </row>
    <row r="742" spans="1:7">
      <c r="A742" s="1">
        <v>741</v>
      </c>
      <c r="B742" s="1" t="s">
        <v>4690</v>
      </c>
      <c r="D742" s="1" t="s">
        <v>3039</v>
      </c>
      <c r="E742" s="1" t="s">
        <v>1653</v>
      </c>
      <c r="F742" s="1" t="s">
        <v>4691</v>
      </c>
      <c r="G742" s="1" t="s">
        <v>4692</v>
      </c>
    </row>
    <row r="743" spans="1:7">
      <c r="A743" s="1">
        <v>742</v>
      </c>
      <c r="B743" s="1" t="s">
        <v>4693</v>
      </c>
      <c r="D743" s="1" t="s">
        <v>3039</v>
      </c>
      <c r="E743" s="1" t="s">
        <v>1657</v>
      </c>
      <c r="F743" s="1" t="s">
        <v>1808</v>
      </c>
      <c r="G743" s="1" t="s">
        <v>1809</v>
      </c>
    </row>
    <row r="744" spans="1:7">
      <c r="A744" s="1">
        <v>743</v>
      </c>
      <c r="B744" s="1" t="s">
        <v>4694</v>
      </c>
      <c r="D744" s="1" t="s">
        <v>3039</v>
      </c>
      <c r="E744" s="1" t="s">
        <v>1666</v>
      </c>
      <c r="F744" s="1" t="s">
        <v>4695</v>
      </c>
      <c r="G744" s="1" t="s">
        <v>4696</v>
      </c>
    </row>
    <row r="745" spans="1:7">
      <c r="A745" s="1">
        <v>744</v>
      </c>
      <c r="B745" s="1" t="s">
        <v>4697</v>
      </c>
      <c r="D745" s="1" t="s">
        <v>4698</v>
      </c>
      <c r="E745" s="1" t="s">
        <v>2373</v>
      </c>
      <c r="F745" s="1" t="s">
        <v>4699</v>
      </c>
      <c r="G745" s="1" t="s">
        <v>4700</v>
      </c>
    </row>
    <row r="746" spans="1:7">
      <c r="A746" s="1">
        <v>745</v>
      </c>
      <c r="B746" s="1" t="s">
        <v>4701</v>
      </c>
      <c r="D746" s="1" t="s">
        <v>3046</v>
      </c>
      <c r="E746" s="1" t="s">
        <v>1269</v>
      </c>
      <c r="F746" s="1" t="s">
        <v>688</v>
      </c>
      <c r="G746" s="1" t="s">
        <v>689</v>
      </c>
    </row>
    <row r="747" spans="1:7">
      <c r="A747" s="1">
        <v>746</v>
      </c>
      <c r="B747" s="1" t="s">
        <v>4702</v>
      </c>
      <c r="D747" s="1" t="s">
        <v>3046</v>
      </c>
      <c r="E747" s="1" t="s">
        <v>4703</v>
      </c>
      <c r="F747" s="1" t="s">
        <v>3561</v>
      </c>
      <c r="G747" s="7" t="s">
        <v>3562</v>
      </c>
    </row>
    <row r="748" spans="1:7">
      <c r="A748" s="1">
        <v>747</v>
      </c>
      <c r="B748" s="1" t="s">
        <v>4704</v>
      </c>
      <c r="D748" s="1" t="s">
        <v>3046</v>
      </c>
      <c r="E748" s="1" t="s">
        <v>4705</v>
      </c>
      <c r="F748" s="1" t="s">
        <v>3565</v>
      </c>
      <c r="G748" s="1" t="s">
        <v>3566</v>
      </c>
    </row>
    <row r="749" spans="1:7">
      <c r="A749" s="1">
        <v>748</v>
      </c>
      <c r="B749" s="1" t="s">
        <v>4706</v>
      </c>
      <c r="D749" s="1" t="s">
        <v>3049</v>
      </c>
      <c r="E749" s="1" t="s">
        <v>4707</v>
      </c>
      <c r="F749" s="1" t="s">
        <v>3051</v>
      </c>
      <c r="G749" s="1" t="s">
        <v>3052</v>
      </c>
    </row>
    <row r="750" spans="1:7">
      <c r="A750" s="1">
        <v>749</v>
      </c>
      <c r="B750" s="1" t="s">
        <v>4708</v>
      </c>
      <c r="D750" s="1" t="s">
        <v>3049</v>
      </c>
      <c r="E750" s="1" t="s">
        <v>3148</v>
      </c>
      <c r="F750" s="1" t="s">
        <v>3055</v>
      </c>
      <c r="G750" s="1" t="s">
        <v>3056</v>
      </c>
    </row>
    <row r="751" spans="1:7">
      <c r="A751" s="1">
        <v>750</v>
      </c>
      <c r="B751" s="1" t="s">
        <v>4709</v>
      </c>
      <c r="D751" s="1" t="s">
        <v>3049</v>
      </c>
      <c r="E751" s="1" t="s">
        <v>3136</v>
      </c>
      <c r="F751" s="1" t="s">
        <v>3059</v>
      </c>
      <c r="G751" s="1" t="s">
        <v>3060</v>
      </c>
    </row>
    <row r="752" spans="1:7">
      <c r="A752" s="1">
        <v>751</v>
      </c>
      <c r="B752" s="1" t="s">
        <v>4710</v>
      </c>
      <c r="D752" s="1" t="s">
        <v>3049</v>
      </c>
      <c r="E752" s="1" t="s">
        <v>3140</v>
      </c>
      <c r="F752" s="1" t="s">
        <v>3063</v>
      </c>
      <c r="G752" s="1" t="s">
        <v>3064</v>
      </c>
    </row>
    <row r="753" spans="1:7">
      <c r="A753" s="1">
        <v>752</v>
      </c>
      <c r="B753" s="1" t="s">
        <v>4711</v>
      </c>
      <c r="D753" s="1" t="s">
        <v>3066</v>
      </c>
      <c r="E753" s="1" t="s">
        <v>3067</v>
      </c>
      <c r="F753" s="1" t="s">
        <v>3068</v>
      </c>
      <c r="G753" s="1" t="s">
        <v>3069</v>
      </c>
    </row>
    <row r="754" spans="1:7">
      <c r="A754" s="1">
        <v>753</v>
      </c>
      <c r="B754" s="1" t="s">
        <v>4712</v>
      </c>
      <c r="D754" s="1" t="s">
        <v>3066</v>
      </c>
      <c r="E754" s="1" t="s">
        <v>3071</v>
      </c>
      <c r="F754" s="1" t="s">
        <v>3072</v>
      </c>
      <c r="G754" s="1" t="s">
        <v>3073</v>
      </c>
    </row>
    <row r="755" spans="1:7">
      <c r="A755" s="1">
        <v>754</v>
      </c>
      <c r="B755" s="1" t="s">
        <v>4713</v>
      </c>
      <c r="D755" s="1" t="s">
        <v>3066</v>
      </c>
      <c r="E755" s="1" t="s">
        <v>3075</v>
      </c>
      <c r="F755" s="1" t="s">
        <v>3076</v>
      </c>
      <c r="G755" s="1" t="s">
        <v>3077</v>
      </c>
    </row>
    <row r="756" spans="1:7">
      <c r="A756" s="1">
        <v>755</v>
      </c>
      <c r="B756" s="1" t="s">
        <v>4714</v>
      </c>
      <c r="D756" s="1" t="s">
        <v>3066</v>
      </c>
      <c r="E756" s="1" t="s">
        <v>3079</v>
      </c>
      <c r="F756" s="1" t="s">
        <v>3080</v>
      </c>
      <c r="G756" s="7" t="s">
        <v>3081</v>
      </c>
    </row>
    <row r="757" spans="1:7">
      <c r="A757" s="1">
        <v>756</v>
      </c>
      <c r="B757" s="1" t="s">
        <v>4715</v>
      </c>
      <c r="D757" s="1" t="s">
        <v>3083</v>
      </c>
      <c r="E757" s="1" t="s">
        <v>4716</v>
      </c>
      <c r="F757" s="1" t="s">
        <v>3109</v>
      </c>
      <c r="G757" s="1" t="s">
        <v>3110</v>
      </c>
    </row>
    <row r="758" spans="1:7">
      <c r="A758" s="1">
        <v>757</v>
      </c>
      <c r="B758" s="1" t="s">
        <v>4717</v>
      </c>
      <c r="D758" s="1" t="s">
        <v>3083</v>
      </c>
      <c r="E758" s="1" t="s">
        <v>4718</v>
      </c>
      <c r="F758" s="1" t="s">
        <v>3089</v>
      </c>
      <c r="G758" s="1" t="s">
        <v>3090</v>
      </c>
    </row>
    <row r="759" spans="1:7">
      <c r="A759" s="1">
        <v>758</v>
      </c>
      <c r="B759" s="1" t="s">
        <v>4719</v>
      </c>
      <c r="D759" s="1" t="s">
        <v>3083</v>
      </c>
      <c r="E759" s="1" t="s">
        <v>3108</v>
      </c>
      <c r="F759" s="1" t="s">
        <v>3085</v>
      </c>
      <c r="G759" s="1" t="s">
        <v>3086</v>
      </c>
    </row>
    <row r="760" spans="1:7">
      <c r="A760" s="1">
        <v>759</v>
      </c>
      <c r="B760" s="1" t="s">
        <v>4720</v>
      </c>
      <c r="D760" s="1" t="s">
        <v>3083</v>
      </c>
      <c r="E760" s="1" t="s">
        <v>4721</v>
      </c>
      <c r="F760" s="1" t="s">
        <v>3093</v>
      </c>
      <c r="G760" s="1" t="s">
        <v>3094</v>
      </c>
    </row>
    <row r="761" spans="1:7">
      <c r="A761" s="1">
        <v>760</v>
      </c>
      <c r="B761" s="1" t="s">
        <v>4722</v>
      </c>
      <c r="D761" s="1" t="s">
        <v>3083</v>
      </c>
      <c r="E761" s="1" t="s">
        <v>4723</v>
      </c>
      <c r="F761" s="1" t="s">
        <v>3097</v>
      </c>
      <c r="G761" s="1" t="s">
        <v>3098</v>
      </c>
    </row>
    <row r="762" spans="1:7">
      <c r="A762" s="1">
        <v>761</v>
      </c>
      <c r="B762" s="1" t="s">
        <v>4724</v>
      </c>
      <c r="D762" s="1" t="s">
        <v>3083</v>
      </c>
      <c r="E762" s="1" t="s">
        <v>4725</v>
      </c>
      <c r="F762" s="1" t="s">
        <v>3105</v>
      </c>
      <c r="G762" s="1" t="s">
        <v>3106</v>
      </c>
    </row>
    <row r="763" spans="1:7">
      <c r="A763" s="1">
        <v>762</v>
      </c>
      <c r="B763" s="1" t="s">
        <v>4726</v>
      </c>
      <c r="D763" s="1" t="s">
        <v>3083</v>
      </c>
      <c r="E763" s="1" t="s">
        <v>4727</v>
      </c>
      <c r="F763" s="1" t="s">
        <v>3101</v>
      </c>
      <c r="G763" s="7" t="s">
        <v>3102</v>
      </c>
    </row>
    <row r="764" spans="1:7">
      <c r="A764" s="1">
        <v>763</v>
      </c>
      <c r="B764" s="1" t="s">
        <v>4728</v>
      </c>
      <c r="D764" s="1" t="s">
        <v>3112</v>
      </c>
      <c r="E764" s="1" t="s">
        <v>3240</v>
      </c>
      <c r="F764" s="1" t="s">
        <v>471</v>
      </c>
      <c r="G764" s="1" t="s">
        <v>472</v>
      </c>
    </row>
    <row r="765" spans="1:7">
      <c r="A765" s="1">
        <v>764</v>
      </c>
      <c r="B765" s="1" t="s">
        <v>4729</v>
      </c>
      <c r="D765" s="1" t="s">
        <v>3112</v>
      </c>
      <c r="E765" s="1" t="s">
        <v>4730</v>
      </c>
      <c r="F765" s="1" t="s">
        <v>4731</v>
      </c>
      <c r="G765" s="1" t="s">
        <v>4732</v>
      </c>
    </row>
    <row r="766" spans="1:7">
      <c r="A766" s="1">
        <v>765</v>
      </c>
      <c r="B766" s="1" t="s">
        <v>4733</v>
      </c>
      <c r="D766" s="1" t="s">
        <v>3119</v>
      </c>
      <c r="E766" s="1" t="s">
        <v>4734</v>
      </c>
      <c r="F766" s="1" t="s">
        <v>471</v>
      </c>
      <c r="G766" s="1" t="s">
        <v>472</v>
      </c>
    </row>
    <row r="767" spans="1:7">
      <c r="A767" s="1">
        <v>766</v>
      </c>
      <c r="B767" s="1" t="s">
        <v>4735</v>
      </c>
      <c r="D767" s="1" t="s">
        <v>3119</v>
      </c>
      <c r="E767" s="1" t="s">
        <v>4736</v>
      </c>
      <c r="F767" s="1" t="s">
        <v>4731</v>
      </c>
      <c r="G767" s="1" t="s">
        <v>4732</v>
      </c>
    </row>
    <row r="768" spans="1:7">
      <c r="A768" s="1">
        <v>767</v>
      </c>
      <c r="B768" s="1" t="s">
        <v>4737</v>
      </c>
      <c r="D768" s="1" t="s">
        <v>3124</v>
      </c>
      <c r="E768" s="1" t="s">
        <v>3127</v>
      </c>
      <c r="F768" s="1" t="s">
        <v>4691</v>
      </c>
      <c r="G768" s="1" t="s">
        <v>4692</v>
      </c>
    </row>
    <row r="769" spans="1:7">
      <c r="A769" s="1">
        <v>768</v>
      </c>
      <c r="B769" s="1" t="s">
        <v>4738</v>
      </c>
      <c r="D769" s="1" t="s">
        <v>3124</v>
      </c>
      <c r="E769" s="1" t="s">
        <v>3125</v>
      </c>
      <c r="F769" s="1" t="s">
        <v>1808</v>
      </c>
      <c r="G769" s="1" t="s">
        <v>1809</v>
      </c>
    </row>
    <row r="770" spans="1:7">
      <c r="A770" s="1">
        <v>769</v>
      </c>
      <c r="B770" s="1" t="s">
        <v>4739</v>
      </c>
      <c r="D770" s="1" t="s">
        <v>3124</v>
      </c>
      <c r="E770" s="1" t="s">
        <v>3129</v>
      </c>
      <c r="F770" s="1" t="s">
        <v>4695</v>
      </c>
      <c r="G770" s="1" t="s">
        <v>4696</v>
      </c>
    </row>
    <row r="771" spans="1:7">
      <c r="A771" s="1">
        <v>770</v>
      </c>
      <c r="B771" s="1" t="s">
        <v>4740</v>
      </c>
      <c r="D771" s="1" t="s">
        <v>4741</v>
      </c>
      <c r="E771" s="1" t="s">
        <v>4742</v>
      </c>
      <c r="F771" s="1" t="s">
        <v>4743</v>
      </c>
      <c r="G771" s="1" t="s">
        <v>4744</v>
      </c>
    </row>
    <row r="772" spans="1:7">
      <c r="A772" s="1">
        <v>771</v>
      </c>
      <c r="B772" s="1" t="s">
        <v>4745</v>
      </c>
      <c r="D772" s="1" t="s">
        <v>4746</v>
      </c>
      <c r="E772" s="1" t="s">
        <v>4747</v>
      </c>
      <c r="F772" s="1" t="s">
        <v>4743</v>
      </c>
      <c r="G772" s="1" t="s">
        <v>4744</v>
      </c>
    </row>
    <row r="773" spans="1:7">
      <c r="A773" s="1">
        <v>772</v>
      </c>
      <c r="B773" s="1" t="s">
        <v>4748</v>
      </c>
      <c r="D773" s="1" t="s">
        <v>4749</v>
      </c>
      <c r="E773" s="1" t="s">
        <v>4750</v>
      </c>
      <c r="F773" s="1" t="s">
        <v>4751</v>
      </c>
      <c r="G773" s="1" t="s">
        <v>4752</v>
      </c>
    </row>
    <row r="774" spans="1:7">
      <c r="A774" s="1">
        <v>773</v>
      </c>
      <c r="B774" s="1" t="s">
        <v>4753</v>
      </c>
      <c r="D774" s="1" t="s">
        <v>4749</v>
      </c>
      <c r="E774" s="1" t="s">
        <v>4754</v>
      </c>
      <c r="F774" s="1" t="s">
        <v>4755</v>
      </c>
      <c r="G774" s="1" t="s">
        <v>4756</v>
      </c>
    </row>
    <row r="775" spans="1:7">
      <c r="A775" s="1">
        <v>774</v>
      </c>
      <c r="B775" s="1" t="s">
        <v>4757</v>
      </c>
      <c r="D775" s="1" t="s">
        <v>4749</v>
      </c>
      <c r="E775" s="1" t="s">
        <v>4758</v>
      </c>
      <c r="F775" s="1" t="s">
        <v>4759</v>
      </c>
      <c r="G775" s="1" t="s">
        <v>4760</v>
      </c>
    </row>
    <row r="776" spans="1:7">
      <c r="A776" s="1">
        <v>775</v>
      </c>
      <c r="B776" s="1" t="s">
        <v>4761</v>
      </c>
      <c r="D776" s="1" t="s">
        <v>4749</v>
      </c>
      <c r="E776" s="1" t="s">
        <v>4762</v>
      </c>
      <c r="F776" s="1" t="s">
        <v>4763</v>
      </c>
      <c r="G776" s="1" t="s">
        <v>4764</v>
      </c>
    </row>
    <row r="777" spans="1:7">
      <c r="A777" s="1">
        <v>776</v>
      </c>
      <c r="B777" s="1" t="s">
        <v>4765</v>
      </c>
      <c r="D777" s="1" t="s">
        <v>3131</v>
      </c>
      <c r="E777" s="1" t="s">
        <v>1698</v>
      </c>
      <c r="F777" s="1" t="s">
        <v>3137</v>
      </c>
      <c r="G777" s="1" t="s">
        <v>3138</v>
      </c>
    </row>
    <row r="778" spans="1:7">
      <c r="A778" s="1">
        <v>777</v>
      </c>
      <c r="B778" s="1" t="s">
        <v>4766</v>
      </c>
      <c r="D778" s="1" t="s">
        <v>3131</v>
      </c>
      <c r="E778" s="1" t="s">
        <v>4767</v>
      </c>
      <c r="F778" s="1" t="s">
        <v>3145</v>
      </c>
      <c r="G778" s="1" t="s">
        <v>3146</v>
      </c>
    </row>
    <row r="779" spans="1:7">
      <c r="A779" s="1">
        <v>778</v>
      </c>
      <c r="B779" s="1" t="s">
        <v>4768</v>
      </c>
      <c r="D779" s="1" t="s">
        <v>3131</v>
      </c>
      <c r="E779" s="1" t="s">
        <v>1690</v>
      </c>
      <c r="F779" s="1" t="s">
        <v>3141</v>
      </c>
      <c r="G779" s="1" t="s">
        <v>3142</v>
      </c>
    </row>
    <row r="780" spans="1:7">
      <c r="A780" s="1">
        <v>779</v>
      </c>
      <c r="B780" s="1" t="s">
        <v>4769</v>
      </c>
      <c r="D780" s="1" t="s">
        <v>3131</v>
      </c>
      <c r="E780" s="1" t="s">
        <v>3132</v>
      </c>
      <c r="F780" s="1" t="s">
        <v>3149</v>
      </c>
      <c r="G780" s="1" t="s">
        <v>3150</v>
      </c>
    </row>
    <row r="781" spans="1:7">
      <c r="A781" s="1">
        <v>780</v>
      </c>
      <c r="B781" s="1" t="s">
        <v>4770</v>
      </c>
      <c r="D781" s="1" t="s">
        <v>3131</v>
      </c>
      <c r="E781" s="1" t="s">
        <v>4771</v>
      </c>
      <c r="F781" s="1" t="s">
        <v>3157</v>
      </c>
      <c r="G781" s="1" t="s">
        <v>3158</v>
      </c>
    </row>
    <row r="782" spans="1:7">
      <c r="A782" s="1">
        <v>781</v>
      </c>
      <c r="B782" s="1" t="s">
        <v>4772</v>
      </c>
      <c r="D782" s="1" t="s">
        <v>3131</v>
      </c>
      <c r="E782" s="1" t="s">
        <v>1694</v>
      </c>
      <c r="F782" s="1" t="s">
        <v>3153</v>
      </c>
      <c r="G782" s="1" t="s">
        <v>3154</v>
      </c>
    </row>
    <row r="783" spans="1:7">
      <c r="A783" s="1">
        <v>782</v>
      </c>
      <c r="B783" s="1" t="s">
        <v>4773</v>
      </c>
      <c r="D783" s="1" t="s">
        <v>3131</v>
      </c>
      <c r="E783" s="1" t="s">
        <v>4774</v>
      </c>
      <c r="F783" s="1" t="s">
        <v>3133</v>
      </c>
      <c r="G783" s="1" t="s">
        <v>3134</v>
      </c>
    </row>
    <row r="784" spans="1:7">
      <c r="A784" s="1">
        <v>783</v>
      </c>
      <c r="B784" s="1" t="s">
        <v>4775</v>
      </c>
      <c r="D784" s="1" t="s">
        <v>3160</v>
      </c>
      <c r="E784" s="1" t="s">
        <v>247</v>
      </c>
      <c r="F784" s="1" t="s">
        <v>3168</v>
      </c>
      <c r="G784" s="1" t="s">
        <v>3169</v>
      </c>
    </row>
    <row r="785" spans="1:7">
      <c r="A785" s="1">
        <v>784</v>
      </c>
      <c r="B785" s="1" t="s">
        <v>4776</v>
      </c>
      <c r="D785" s="1" t="s">
        <v>3160</v>
      </c>
      <c r="E785" s="1" t="s">
        <v>244</v>
      </c>
      <c r="F785" s="1" t="s">
        <v>3161</v>
      </c>
      <c r="G785" s="1" t="s">
        <v>3162</v>
      </c>
    </row>
    <row r="786" spans="1:7">
      <c r="A786" s="1">
        <v>785</v>
      </c>
      <c r="B786" s="1" t="s">
        <v>4777</v>
      </c>
      <c r="D786" s="1" t="s">
        <v>3160</v>
      </c>
      <c r="E786" s="1" t="s">
        <v>3164</v>
      </c>
      <c r="F786" s="1" t="s">
        <v>3165</v>
      </c>
      <c r="G786" s="1" t="s">
        <v>3166</v>
      </c>
    </row>
    <row r="787" spans="1:7">
      <c r="A787" s="1">
        <v>786</v>
      </c>
      <c r="B787" s="1" t="s">
        <v>4778</v>
      </c>
      <c r="D787" s="1" t="s">
        <v>3160</v>
      </c>
      <c r="E787" s="1" t="s">
        <v>3175</v>
      </c>
      <c r="F787" s="1" t="s">
        <v>3176</v>
      </c>
      <c r="G787" s="1" t="s">
        <v>3177</v>
      </c>
    </row>
    <row r="788" spans="1:7">
      <c r="A788" s="1">
        <v>787</v>
      </c>
      <c r="B788" s="1" t="s">
        <v>4779</v>
      </c>
      <c r="D788" s="1" t="s">
        <v>3160</v>
      </c>
      <c r="E788" s="1" t="s">
        <v>1332</v>
      </c>
      <c r="F788" s="1" t="s">
        <v>3179</v>
      </c>
      <c r="G788" s="1" t="s">
        <v>3180</v>
      </c>
    </row>
    <row r="789" spans="1:7">
      <c r="A789" s="1">
        <v>788</v>
      </c>
      <c r="B789" s="1" t="s">
        <v>4780</v>
      </c>
      <c r="D789" s="1" t="s">
        <v>3160</v>
      </c>
      <c r="E789" s="1" t="s">
        <v>252</v>
      </c>
      <c r="F789" s="1" t="s">
        <v>3149</v>
      </c>
      <c r="G789" s="1" t="s">
        <v>3150</v>
      </c>
    </row>
    <row r="790" spans="1:7">
      <c r="A790" s="1">
        <v>789</v>
      </c>
      <c r="B790" s="1" t="s">
        <v>4781</v>
      </c>
      <c r="D790" s="1" t="s">
        <v>3160</v>
      </c>
      <c r="E790" s="1" t="s">
        <v>3173</v>
      </c>
      <c r="F790" s="1" t="s">
        <v>3157</v>
      </c>
      <c r="G790" s="1" t="s">
        <v>3158</v>
      </c>
    </row>
    <row r="791" spans="1:7">
      <c r="A791" s="1">
        <v>790</v>
      </c>
      <c r="B791" s="1" t="s">
        <v>4782</v>
      </c>
      <c r="D791" s="1" t="s">
        <v>3160</v>
      </c>
      <c r="E791" s="1" t="s">
        <v>253</v>
      </c>
      <c r="F791" s="1" t="s">
        <v>3153</v>
      </c>
      <c r="G791" s="1" t="s">
        <v>3154</v>
      </c>
    </row>
    <row r="792" spans="1:7">
      <c r="A792" s="1">
        <v>791</v>
      </c>
      <c r="B792" s="1" t="s">
        <v>4783</v>
      </c>
      <c r="D792" s="1" t="s">
        <v>3182</v>
      </c>
      <c r="E792" s="1" t="s">
        <v>668</v>
      </c>
      <c r="F792" s="1" t="s">
        <v>3137</v>
      </c>
      <c r="G792" s="1" t="s">
        <v>3138</v>
      </c>
    </row>
    <row r="793" spans="1:7">
      <c r="A793" s="1">
        <v>792</v>
      </c>
      <c r="B793" s="1" t="s">
        <v>4784</v>
      </c>
      <c r="D793" s="1" t="s">
        <v>3182</v>
      </c>
      <c r="E793" s="1" t="s">
        <v>3187</v>
      </c>
      <c r="F793" s="1" t="s">
        <v>3145</v>
      </c>
      <c r="G793" s="1" t="s">
        <v>3146</v>
      </c>
    </row>
    <row r="794" spans="1:7">
      <c r="A794" s="1">
        <v>793</v>
      </c>
      <c r="B794" s="1" t="s">
        <v>4785</v>
      </c>
      <c r="D794" s="1" t="s">
        <v>3182</v>
      </c>
      <c r="E794" s="1" t="s">
        <v>1256</v>
      </c>
      <c r="F794" s="1" t="s">
        <v>3141</v>
      </c>
      <c r="G794" s="1" t="s">
        <v>3142</v>
      </c>
    </row>
    <row r="795" spans="1:7">
      <c r="A795" s="1">
        <v>794</v>
      </c>
      <c r="B795" s="1" t="s">
        <v>4786</v>
      </c>
      <c r="D795" s="1" t="s">
        <v>3182</v>
      </c>
      <c r="E795" s="1" t="s">
        <v>3189</v>
      </c>
      <c r="F795" s="1" t="s">
        <v>3149</v>
      </c>
      <c r="G795" s="1" t="s">
        <v>3150</v>
      </c>
    </row>
    <row r="796" spans="1:7">
      <c r="A796" s="1">
        <v>795</v>
      </c>
      <c r="B796" s="1" t="s">
        <v>4787</v>
      </c>
      <c r="D796" s="1" t="s">
        <v>3182</v>
      </c>
      <c r="E796" s="1" t="s">
        <v>4788</v>
      </c>
      <c r="F796" s="1" t="s">
        <v>3157</v>
      </c>
      <c r="G796" s="1" t="s">
        <v>3158</v>
      </c>
    </row>
    <row r="797" spans="1:7">
      <c r="A797" s="1">
        <v>796</v>
      </c>
      <c r="B797" s="1" t="s">
        <v>4789</v>
      </c>
      <c r="D797" s="1" t="s">
        <v>3182</v>
      </c>
      <c r="E797" s="1" t="s">
        <v>4790</v>
      </c>
      <c r="F797" s="1" t="s">
        <v>3153</v>
      </c>
      <c r="G797" s="1" t="s">
        <v>3154</v>
      </c>
    </row>
    <row r="798" spans="1:7">
      <c r="A798" s="1">
        <v>797</v>
      </c>
      <c r="B798" s="1" t="s">
        <v>4791</v>
      </c>
      <c r="D798" s="1" t="s">
        <v>3182</v>
      </c>
      <c r="E798" s="1" t="s">
        <v>3183</v>
      </c>
      <c r="F798" s="1" t="s">
        <v>3133</v>
      </c>
      <c r="G798" s="1" t="s">
        <v>3134</v>
      </c>
    </row>
    <row r="799" spans="1:7">
      <c r="A799" s="1">
        <v>798</v>
      </c>
      <c r="B799" s="1" t="s">
        <v>4792</v>
      </c>
      <c r="D799" s="1" t="s">
        <v>4793</v>
      </c>
      <c r="E799" s="1" t="s">
        <v>4794</v>
      </c>
      <c r="F799" s="1" t="s">
        <v>3137</v>
      </c>
      <c r="G799" s="1" t="s">
        <v>3138</v>
      </c>
    </row>
    <row r="800" spans="1:7">
      <c r="A800" s="1">
        <v>799</v>
      </c>
      <c r="B800" s="1" t="s">
        <v>4795</v>
      </c>
      <c r="D800" s="1" t="s">
        <v>4793</v>
      </c>
      <c r="E800" s="1" t="s">
        <v>4796</v>
      </c>
      <c r="F800" s="1" t="s">
        <v>3145</v>
      </c>
      <c r="G800" s="1" t="s">
        <v>3146</v>
      </c>
    </row>
    <row r="801" spans="1:7">
      <c r="A801" s="1">
        <v>800</v>
      </c>
      <c r="B801" s="1" t="s">
        <v>4797</v>
      </c>
      <c r="D801" s="1" t="s">
        <v>4793</v>
      </c>
      <c r="E801" s="1" t="s">
        <v>4798</v>
      </c>
      <c r="F801" s="1" t="s">
        <v>3141</v>
      </c>
      <c r="G801" s="1" t="s">
        <v>3142</v>
      </c>
    </row>
    <row r="802" spans="1:7">
      <c r="A802" s="1">
        <v>801</v>
      </c>
      <c r="B802" s="1" t="s">
        <v>4799</v>
      </c>
      <c r="D802" s="1" t="s">
        <v>4793</v>
      </c>
      <c r="E802" s="1" t="s">
        <v>2249</v>
      </c>
      <c r="F802" s="1" t="s">
        <v>3149</v>
      </c>
      <c r="G802" s="1" t="s">
        <v>3150</v>
      </c>
    </row>
    <row r="803" spans="1:7">
      <c r="A803" s="1">
        <v>802</v>
      </c>
      <c r="B803" s="1" t="s">
        <v>4800</v>
      </c>
      <c r="D803" s="1" t="s">
        <v>4793</v>
      </c>
      <c r="E803" s="1" t="s">
        <v>4801</v>
      </c>
      <c r="F803" s="1" t="s">
        <v>3157</v>
      </c>
      <c r="G803" s="1" t="s">
        <v>3158</v>
      </c>
    </row>
    <row r="804" spans="1:7">
      <c r="A804" s="1">
        <v>803</v>
      </c>
      <c r="B804" s="1" t="s">
        <v>4802</v>
      </c>
      <c r="D804" s="1" t="s">
        <v>4793</v>
      </c>
      <c r="E804" s="1" t="s">
        <v>4803</v>
      </c>
      <c r="F804" s="1" t="s">
        <v>3153</v>
      </c>
      <c r="G804" s="1" t="s">
        <v>3154</v>
      </c>
    </row>
    <row r="805" spans="1:7">
      <c r="A805" s="1">
        <v>804</v>
      </c>
      <c r="B805" s="1" t="s">
        <v>4804</v>
      </c>
      <c r="D805" s="1" t="s">
        <v>4793</v>
      </c>
      <c r="E805" s="1" t="s">
        <v>4805</v>
      </c>
      <c r="F805" s="1" t="s">
        <v>3133</v>
      </c>
      <c r="G805" s="1" t="s">
        <v>3134</v>
      </c>
    </row>
    <row r="806" spans="1:7">
      <c r="A806" s="1">
        <v>805</v>
      </c>
      <c r="B806" s="1" t="s">
        <v>4806</v>
      </c>
      <c r="D806" s="1" t="s">
        <v>4807</v>
      </c>
      <c r="E806" s="1" t="s">
        <v>4808</v>
      </c>
      <c r="F806" s="1" t="s">
        <v>3168</v>
      </c>
      <c r="G806" s="1" t="s">
        <v>3169</v>
      </c>
    </row>
    <row r="807" spans="1:7">
      <c r="A807" s="1">
        <v>806</v>
      </c>
      <c r="B807" s="1" t="s">
        <v>4809</v>
      </c>
      <c r="D807" s="1" t="s">
        <v>4807</v>
      </c>
      <c r="E807" s="1" t="s">
        <v>4810</v>
      </c>
      <c r="F807" s="1" t="s">
        <v>3161</v>
      </c>
      <c r="G807" s="1" t="s">
        <v>3162</v>
      </c>
    </row>
    <row r="808" spans="1:7">
      <c r="A808" s="1">
        <v>807</v>
      </c>
      <c r="B808" s="1" t="s">
        <v>4811</v>
      </c>
      <c r="D808" s="1" t="s">
        <v>4807</v>
      </c>
      <c r="E808" s="1" t="s">
        <v>4812</v>
      </c>
      <c r="F808" s="1" t="s">
        <v>3165</v>
      </c>
      <c r="G808" s="1" t="s">
        <v>3166</v>
      </c>
    </row>
    <row r="809" spans="1:7">
      <c r="A809" s="1">
        <v>808</v>
      </c>
      <c r="B809" s="1" t="s">
        <v>4813</v>
      </c>
      <c r="D809" s="1" t="s">
        <v>4807</v>
      </c>
      <c r="E809" s="1" t="s">
        <v>4814</v>
      </c>
      <c r="F809" s="1" t="s">
        <v>3176</v>
      </c>
      <c r="G809" s="1" t="s">
        <v>3177</v>
      </c>
    </row>
    <row r="810" spans="1:7">
      <c r="A810" s="1">
        <v>809</v>
      </c>
      <c r="B810" s="1" t="s">
        <v>4815</v>
      </c>
      <c r="D810" s="1" t="s">
        <v>4807</v>
      </c>
      <c r="E810" s="1" t="s">
        <v>4816</v>
      </c>
      <c r="F810" s="1" t="s">
        <v>3179</v>
      </c>
      <c r="G810" s="1" t="s">
        <v>3180</v>
      </c>
    </row>
    <row r="811" spans="1:7">
      <c r="A811" s="1">
        <v>810</v>
      </c>
      <c r="B811" s="1" t="s">
        <v>4817</v>
      </c>
      <c r="D811" s="1" t="s">
        <v>4807</v>
      </c>
      <c r="E811" s="1" t="s">
        <v>4818</v>
      </c>
      <c r="F811" s="1" t="s">
        <v>3149</v>
      </c>
      <c r="G811" s="1" t="s">
        <v>3150</v>
      </c>
    </row>
    <row r="812" spans="1:7">
      <c r="A812" s="1">
        <v>811</v>
      </c>
      <c r="B812" s="1" t="s">
        <v>4819</v>
      </c>
      <c r="D812" s="1" t="s">
        <v>4807</v>
      </c>
      <c r="E812" s="1" t="s">
        <v>4820</v>
      </c>
      <c r="F812" s="1" t="s">
        <v>3157</v>
      </c>
      <c r="G812" s="1" t="s">
        <v>3158</v>
      </c>
    </row>
    <row r="813" spans="1:7">
      <c r="A813" s="1">
        <v>812</v>
      </c>
      <c r="B813" s="1" t="s">
        <v>4821</v>
      </c>
      <c r="D813" s="1" t="s">
        <v>4807</v>
      </c>
      <c r="E813" s="1" t="s">
        <v>4822</v>
      </c>
      <c r="F813" s="1" t="s">
        <v>3153</v>
      </c>
      <c r="G813" s="1" t="s">
        <v>3154</v>
      </c>
    </row>
    <row r="814" spans="1:7">
      <c r="A814" s="1">
        <v>813</v>
      </c>
      <c r="B814" s="1" t="s">
        <v>4823</v>
      </c>
      <c r="D814" s="1" t="s">
        <v>3195</v>
      </c>
      <c r="E814" s="1" t="s">
        <v>3191</v>
      </c>
      <c r="F814" s="1" t="s">
        <v>3197</v>
      </c>
      <c r="G814" s="1" t="s">
        <v>3198</v>
      </c>
    </row>
    <row r="815" spans="1:7">
      <c r="A815" s="1">
        <v>814</v>
      </c>
      <c r="B815" s="1" t="s">
        <v>4824</v>
      </c>
      <c r="D815" s="1" t="s">
        <v>3195</v>
      </c>
      <c r="E815" s="1" t="s">
        <v>4825</v>
      </c>
      <c r="F815" s="1" t="s">
        <v>4826</v>
      </c>
      <c r="G815" s="1" t="s">
        <v>4827</v>
      </c>
    </row>
    <row r="816" spans="1:7">
      <c r="A816" s="1">
        <v>815</v>
      </c>
      <c r="B816" s="1" t="s">
        <v>4828</v>
      </c>
      <c r="D816" s="1" t="s">
        <v>3195</v>
      </c>
      <c r="E816" s="1" t="s">
        <v>3193</v>
      </c>
      <c r="F816" s="1" t="s">
        <v>3201</v>
      </c>
      <c r="G816" s="1" t="s">
        <v>3202</v>
      </c>
    </row>
    <row r="817" spans="1:7">
      <c r="A817" s="1">
        <v>816</v>
      </c>
      <c r="B817" s="1" t="s">
        <v>4829</v>
      </c>
      <c r="D817" s="1" t="s">
        <v>3195</v>
      </c>
      <c r="E817" s="1" t="s">
        <v>3196</v>
      </c>
      <c r="F817" s="1" t="s">
        <v>3209</v>
      </c>
      <c r="G817" s="1" t="s">
        <v>3210</v>
      </c>
    </row>
    <row r="818" spans="1:7">
      <c r="A818" s="1">
        <v>817</v>
      </c>
      <c r="B818" s="1" t="s">
        <v>4830</v>
      </c>
      <c r="D818" s="1" t="s">
        <v>3195</v>
      </c>
      <c r="E818" s="1" t="s">
        <v>3200</v>
      </c>
      <c r="F818" s="1" t="s">
        <v>3205</v>
      </c>
      <c r="G818" s="1" t="s">
        <v>3206</v>
      </c>
    </row>
    <row r="819" spans="1:7">
      <c r="A819" s="1">
        <v>818</v>
      </c>
      <c r="B819" s="1" t="s">
        <v>4831</v>
      </c>
      <c r="D819" s="1" t="s">
        <v>3195</v>
      </c>
      <c r="E819" s="1" t="s">
        <v>3208</v>
      </c>
      <c r="F819" s="1" t="s">
        <v>3213</v>
      </c>
      <c r="G819" s="1" t="s">
        <v>3214</v>
      </c>
    </row>
    <row r="820" spans="1:7">
      <c r="A820" s="1">
        <v>819</v>
      </c>
      <c r="B820" s="1" t="s">
        <v>4832</v>
      </c>
      <c r="D820" s="1" t="s">
        <v>3195</v>
      </c>
      <c r="E820" s="1" t="s">
        <v>3248</v>
      </c>
      <c r="F820" s="1" t="s">
        <v>3233</v>
      </c>
      <c r="G820" s="1" t="s">
        <v>3234</v>
      </c>
    </row>
    <row r="821" spans="1:7">
      <c r="A821" s="1">
        <v>820</v>
      </c>
      <c r="B821" s="1" t="s">
        <v>4833</v>
      </c>
      <c r="D821" s="1" t="s">
        <v>3195</v>
      </c>
      <c r="E821" s="1" t="s">
        <v>3204</v>
      </c>
      <c r="F821" s="1" t="s">
        <v>3221</v>
      </c>
      <c r="G821" s="1" t="s">
        <v>3222</v>
      </c>
    </row>
    <row r="822" spans="1:7">
      <c r="A822" s="1">
        <v>821</v>
      </c>
      <c r="B822" s="1" t="s">
        <v>4834</v>
      </c>
      <c r="D822" s="1" t="s">
        <v>3195</v>
      </c>
      <c r="E822" s="1" t="s">
        <v>3212</v>
      </c>
      <c r="F822" s="1" t="s">
        <v>3217</v>
      </c>
      <c r="G822" s="1" t="s">
        <v>3218</v>
      </c>
    </row>
    <row r="823" spans="1:7">
      <c r="A823" s="1">
        <v>822</v>
      </c>
      <c r="B823" s="1" t="s">
        <v>4835</v>
      </c>
      <c r="D823" s="1" t="s">
        <v>3195</v>
      </c>
      <c r="E823" s="1" t="s">
        <v>3220</v>
      </c>
      <c r="F823" s="1" t="s">
        <v>3225</v>
      </c>
      <c r="G823" s="1" t="s">
        <v>3226</v>
      </c>
    </row>
    <row r="824" spans="1:7">
      <c r="A824" s="1">
        <v>823</v>
      </c>
      <c r="B824" s="1" t="s">
        <v>4836</v>
      </c>
      <c r="D824" s="1" t="s">
        <v>3195</v>
      </c>
      <c r="E824" s="1" t="s">
        <v>3216</v>
      </c>
      <c r="F824" s="1" t="s">
        <v>3229</v>
      </c>
      <c r="G824" s="1" t="s">
        <v>3230</v>
      </c>
    </row>
    <row r="825" spans="1:7">
      <c r="A825" s="1">
        <v>824</v>
      </c>
      <c r="B825" s="1" t="s">
        <v>4837</v>
      </c>
      <c r="D825" s="1" t="s">
        <v>3195</v>
      </c>
      <c r="E825" s="1" t="s">
        <v>3224</v>
      </c>
      <c r="F825" s="1" t="s">
        <v>3237</v>
      </c>
      <c r="G825" s="1" t="s">
        <v>3238</v>
      </c>
    </row>
    <row r="826" spans="1:7">
      <c r="A826" s="1">
        <v>825</v>
      </c>
      <c r="B826" s="1" t="s">
        <v>4838</v>
      </c>
      <c r="D826" s="1" t="s">
        <v>3195</v>
      </c>
      <c r="E826" s="1" t="s">
        <v>3228</v>
      </c>
      <c r="F826" s="1" t="s">
        <v>3241</v>
      </c>
      <c r="G826" s="1" t="s">
        <v>3242</v>
      </c>
    </row>
    <row r="827" spans="1:7">
      <c r="A827" s="1">
        <v>826</v>
      </c>
      <c r="B827" s="1" t="s">
        <v>4839</v>
      </c>
      <c r="D827" s="1" t="s">
        <v>3195</v>
      </c>
      <c r="E827" s="1" t="s">
        <v>3236</v>
      </c>
      <c r="F827" s="1" t="s">
        <v>3249</v>
      </c>
      <c r="G827" s="1" t="s">
        <v>3250</v>
      </c>
    </row>
    <row r="828" spans="1:7">
      <c r="A828" s="1">
        <v>827</v>
      </c>
      <c r="B828" s="1" t="s">
        <v>4840</v>
      </c>
      <c r="D828" s="1" t="s">
        <v>3195</v>
      </c>
      <c r="E828" s="1" t="s">
        <v>2009</v>
      </c>
      <c r="F828" s="1" t="s">
        <v>3245</v>
      </c>
      <c r="G828" s="1" t="s">
        <v>3246</v>
      </c>
    </row>
    <row r="829" spans="1:7">
      <c r="A829" s="1">
        <v>828</v>
      </c>
      <c r="B829" s="1" t="s">
        <v>4841</v>
      </c>
      <c r="D829" s="1" t="s">
        <v>4842</v>
      </c>
      <c r="E829" s="1" t="s">
        <v>4843</v>
      </c>
      <c r="F829" s="1" t="s">
        <v>4844</v>
      </c>
      <c r="G829" s="1" t="s">
        <v>4845</v>
      </c>
    </row>
    <row r="830" spans="1:7">
      <c r="A830" s="1">
        <v>829</v>
      </c>
      <c r="B830" s="1" t="s">
        <v>4846</v>
      </c>
      <c r="D830" s="1" t="s">
        <v>4842</v>
      </c>
      <c r="E830" s="1" t="s">
        <v>4847</v>
      </c>
      <c r="F830" s="1" t="s">
        <v>4848</v>
      </c>
      <c r="G830" s="1" t="s">
        <v>4849</v>
      </c>
    </row>
    <row r="831" spans="1:7">
      <c r="A831" s="1">
        <v>830</v>
      </c>
      <c r="B831" s="1" t="s">
        <v>4850</v>
      </c>
      <c r="D831" s="1" t="s">
        <v>4842</v>
      </c>
      <c r="E831" s="1" t="s">
        <v>4851</v>
      </c>
      <c r="F831" s="1" t="s">
        <v>4852</v>
      </c>
      <c r="G831" s="1" t="s">
        <v>4853</v>
      </c>
    </row>
    <row r="832" spans="1:7">
      <c r="A832" s="1">
        <v>831</v>
      </c>
      <c r="B832" s="1" t="s">
        <v>4854</v>
      </c>
      <c r="D832" s="1" t="s">
        <v>4842</v>
      </c>
      <c r="E832" s="1" t="s">
        <v>4855</v>
      </c>
      <c r="F832" s="1" t="s">
        <v>4856</v>
      </c>
      <c r="G832" s="1" t="s">
        <v>4857</v>
      </c>
    </row>
    <row r="833" spans="1:7">
      <c r="A833" s="1">
        <v>832</v>
      </c>
      <c r="B833" s="1" t="s">
        <v>4858</v>
      </c>
      <c r="D833" s="1" t="s">
        <v>4842</v>
      </c>
      <c r="E833" s="1" t="s">
        <v>4859</v>
      </c>
      <c r="F833" s="1" t="s">
        <v>4860</v>
      </c>
      <c r="G833" s="1" t="s">
        <v>4861</v>
      </c>
    </row>
    <row r="834" spans="1:7">
      <c r="A834" s="1">
        <v>833</v>
      </c>
      <c r="B834" s="1" t="s">
        <v>4862</v>
      </c>
      <c r="D834" s="1" t="s">
        <v>4842</v>
      </c>
      <c r="E834" s="1" t="s">
        <v>4863</v>
      </c>
      <c r="F834" s="1" t="s">
        <v>4864</v>
      </c>
      <c r="G834" s="1" t="s">
        <v>4865</v>
      </c>
    </row>
    <row r="835" spans="1:7">
      <c r="A835" s="1">
        <v>834</v>
      </c>
      <c r="B835" s="1" t="s">
        <v>4866</v>
      </c>
      <c r="D835" s="1" t="s">
        <v>4842</v>
      </c>
      <c r="E835" s="1" t="s">
        <v>4867</v>
      </c>
      <c r="F835" s="1" t="s">
        <v>4868</v>
      </c>
      <c r="G835" s="1" t="s">
        <v>4869</v>
      </c>
    </row>
    <row r="836" spans="1:7">
      <c r="A836" s="1">
        <v>835</v>
      </c>
      <c r="B836" s="1" t="s">
        <v>4870</v>
      </c>
      <c r="D836" s="1" t="s">
        <v>4842</v>
      </c>
      <c r="E836" s="1" t="s">
        <v>4871</v>
      </c>
      <c r="F836" s="1" t="s">
        <v>4872</v>
      </c>
      <c r="G836" s="1" t="s">
        <v>4873</v>
      </c>
    </row>
    <row r="837" spans="1:7">
      <c r="A837" s="1">
        <v>836</v>
      </c>
      <c r="B837" s="1" t="s">
        <v>4874</v>
      </c>
      <c r="D837" s="1" t="s">
        <v>4842</v>
      </c>
      <c r="E837" s="1" t="s">
        <v>4875</v>
      </c>
      <c r="F837" s="1" t="s">
        <v>4876</v>
      </c>
      <c r="G837" s="1" t="s">
        <v>4877</v>
      </c>
    </row>
    <row r="838" spans="1:7">
      <c r="A838" s="1">
        <v>837</v>
      </c>
      <c r="B838" s="1" t="s">
        <v>4878</v>
      </c>
      <c r="D838" s="1" t="s">
        <v>4842</v>
      </c>
      <c r="E838" s="1" t="s">
        <v>4879</v>
      </c>
      <c r="F838" s="1" t="s">
        <v>4880</v>
      </c>
      <c r="G838" s="1" t="s">
        <v>4881</v>
      </c>
    </row>
    <row r="839" spans="1:7">
      <c r="A839" s="1">
        <v>838</v>
      </c>
      <c r="B839" s="1" t="s">
        <v>4882</v>
      </c>
      <c r="D839" s="1" t="s">
        <v>4842</v>
      </c>
      <c r="E839" s="1" t="s">
        <v>4883</v>
      </c>
      <c r="F839" s="1" t="s">
        <v>4884</v>
      </c>
      <c r="G839" s="1" t="s">
        <v>4885</v>
      </c>
    </row>
    <row r="840" spans="1:7">
      <c r="A840" s="1">
        <v>839</v>
      </c>
      <c r="B840" s="1" t="s">
        <v>4886</v>
      </c>
      <c r="D840" s="1" t="s">
        <v>4842</v>
      </c>
      <c r="E840" s="1" t="s">
        <v>4887</v>
      </c>
      <c r="F840" s="1" t="s">
        <v>4888</v>
      </c>
      <c r="G840" s="1" t="s">
        <v>4889</v>
      </c>
    </row>
    <row r="841" spans="1:7">
      <c r="A841" s="1">
        <v>840</v>
      </c>
      <c r="B841" s="1" t="s">
        <v>4890</v>
      </c>
      <c r="D841" s="1" t="s">
        <v>4891</v>
      </c>
      <c r="E841" s="1" t="s">
        <v>4892</v>
      </c>
      <c r="F841" s="1" t="s">
        <v>4844</v>
      </c>
      <c r="G841" s="1" t="s">
        <v>4893</v>
      </c>
    </row>
    <row r="842" spans="1:7">
      <c r="A842" s="1">
        <v>841</v>
      </c>
      <c r="B842" s="1" t="s">
        <v>4894</v>
      </c>
      <c r="D842" s="1" t="s">
        <v>4891</v>
      </c>
      <c r="E842" s="1" t="s">
        <v>4895</v>
      </c>
      <c r="F842" s="1" t="s">
        <v>4848</v>
      </c>
      <c r="G842" s="1" t="s">
        <v>4849</v>
      </c>
    </row>
    <row r="843" spans="1:7">
      <c r="A843" s="1">
        <v>842</v>
      </c>
      <c r="B843" s="1" t="s">
        <v>4896</v>
      </c>
      <c r="D843" s="1" t="s">
        <v>4891</v>
      </c>
      <c r="E843" s="1" t="s">
        <v>4897</v>
      </c>
      <c r="F843" s="1" t="s">
        <v>4852</v>
      </c>
      <c r="G843" s="1" t="s">
        <v>4853</v>
      </c>
    </row>
    <row r="844" spans="1:7">
      <c r="A844" s="1">
        <v>843</v>
      </c>
      <c r="B844" s="1" t="s">
        <v>4898</v>
      </c>
      <c r="D844" s="1" t="s">
        <v>4891</v>
      </c>
      <c r="E844" s="1" t="s">
        <v>4899</v>
      </c>
      <c r="F844" s="1" t="s">
        <v>4856</v>
      </c>
      <c r="G844" s="1" t="s">
        <v>4857</v>
      </c>
    </row>
    <row r="845" spans="1:7">
      <c r="A845" s="1">
        <v>844</v>
      </c>
      <c r="B845" s="1" t="s">
        <v>4900</v>
      </c>
      <c r="D845" s="1" t="s">
        <v>4891</v>
      </c>
      <c r="E845" s="1" t="s">
        <v>4901</v>
      </c>
      <c r="F845" s="1" t="s">
        <v>4860</v>
      </c>
      <c r="G845" s="1" t="s">
        <v>4861</v>
      </c>
    </row>
    <row r="846" spans="1:7">
      <c r="A846" s="1">
        <v>845</v>
      </c>
      <c r="B846" s="1" t="s">
        <v>4902</v>
      </c>
      <c r="D846" s="1" t="s">
        <v>4891</v>
      </c>
      <c r="E846" s="1" t="s">
        <v>4903</v>
      </c>
      <c r="F846" s="1" t="s">
        <v>4864</v>
      </c>
      <c r="G846" s="1" t="s">
        <v>4865</v>
      </c>
    </row>
    <row r="847" spans="1:7">
      <c r="A847" s="1">
        <v>846</v>
      </c>
      <c r="B847" s="1" t="s">
        <v>4904</v>
      </c>
      <c r="D847" s="1" t="s">
        <v>4891</v>
      </c>
      <c r="E847" s="1" t="s">
        <v>4905</v>
      </c>
      <c r="F847" s="1" t="s">
        <v>4906</v>
      </c>
      <c r="G847" s="1" t="s">
        <v>4907</v>
      </c>
    </row>
    <row r="848" spans="1:7">
      <c r="A848" s="1">
        <v>847</v>
      </c>
      <c r="B848" s="1" t="s">
        <v>4908</v>
      </c>
      <c r="D848" s="1" t="s">
        <v>4891</v>
      </c>
      <c r="E848" s="1" t="s">
        <v>4909</v>
      </c>
      <c r="F848" s="1" t="s">
        <v>4868</v>
      </c>
      <c r="G848" s="1" t="s">
        <v>4869</v>
      </c>
    </row>
    <row r="849" spans="1:7">
      <c r="A849" s="1">
        <v>848</v>
      </c>
      <c r="B849" s="1" t="s">
        <v>4910</v>
      </c>
      <c r="D849" s="1" t="s">
        <v>4891</v>
      </c>
      <c r="E849" s="1" t="s">
        <v>4911</v>
      </c>
      <c r="F849" s="1" t="s">
        <v>4872</v>
      </c>
      <c r="G849" s="1" t="s">
        <v>4873</v>
      </c>
    </row>
    <row r="850" spans="1:7">
      <c r="A850" s="1">
        <v>849</v>
      </c>
      <c r="B850" s="1" t="s">
        <v>4912</v>
      </c>
      <c r="D850" s="1" t="s">
        <v>4891</v>
      </c>
      <c r="E850" s="1" t="s">
        <v>4913</v>
      </c>
      <c r="F850" s="1" t="s">
        <v>4876</v>
      </c>
      <c r="G850" s="1" t="s">
        <v>4877</v>
      </c>
    </row>
    <row r="851" spans="1:7">
      <c r="A851" s="1">
        <v>850</v>
      </c>
      <c r="B851" s="1" t="s">
        <v>4914</v>
      </c>
      <c r="D851" s="1" t="s">
        <v>4891</v>
      </c>
      <c r="E851" s="1" t="s">
        <v>4915</v>
      </c>
      <c r="F851" s="1" t="s">
        <v>4880</v>
      </c>
      <c r="G851" s="1" t="s">
        <v>4881</v>
      </c>
    </row>
    <row r="852" spans="1:7">
      <c r="A852" s="1">
        <v>851</v>
      </c>
      <c r="B852" s="1" t="s">
        <v>4916</v>
      </c>
      <c r="D852" s="1" t="s">
        <v>4891</v>
      </c>
      <c r="E852" s="1" t="s">
        <v>4917</v>
      </c>
      <c r="F852" s="1" t="s">
        <v>4884</v>
      </c>
      <c r="G852" s="1" t="s">
        <v>4885</v>
      </c>
    </row>
    <row r="853" spans="1:7">
      <c r="A853" s="1">
        <v>852</v>
      </c>
      <c r="B853" s="1" t="s">
        <v>4918</v>
      </c>
      <c r="D853" s="1" t="s">
        <v>4891</v>
      </c>
      <c r="E853" s="1" t="s">
        <v>4919</v>
      </c>
      <c r="F853" s="1" t="s">
        <v>4888</v>
      </c>
      <c r="G853" s="1" t="s">
        <v>4920</v>
      </c>
    </row>
    <row r="854" spans="1:7">
      <c r="A854" s="1">
        <v>853</v>
      </c>
      <c r="B854" s="1" t="s">
        <v>4921</v>
      </c>
      <c r="D854" s="1" t="s">
        <v>3252</v>
      </c>
      <c r="E854" s="1" t="s">
        <v>3253</v>
      </c>
      <c r="F854" s="1" t="s">
        <v>21</v>
      </c>
      <c r="G854" s="1" t="s">
        <v>22</v>
      </c>
    </row>
    <row r="855" spans="1:7">
      <c r="A855" s="1">
        <v>854</v>
      </c>
      <c r="B855" s="1" t="s">
        <v>4922</v>
      </c>
      <c r="D855" s="1" t="s">
        <v>3255</v>
      </c>
      <c r="E855" s="1" t="s">
        <v>3258</v>
      </c>
      <c r="F855" s="1" t="s">
        <v>47</v>
      </c>
      <c r="G855" s="1" t="s">
        <v>48</v>
      </c>
    </row>
    <row r="856" spans="1:7">
      <c r="A856" s="1">
        <v>855</v>
      </c>
      <c r="B856" s="1" t="s">
        <v>4923</v>
      </c>
      <c r="D856" s="1" t="s">
        <v>3255</v>
      </c>
      <c r="E856" s="1" t="s">
        <v>3256</v>
      </c>
      <c r="F856" s="1" t="s">
        <v>51</v>
      </c>
      <c r="G856" s="1" t="s">
        <v>52</v>
      </c>
    </row>
    <row r="857" spans="1:7">
      <c r="A857" s="1">
        <v>856</v>
      </c>
      <c r="B857" s="1" t="s">
        <v>4924</v>
      </c>
      <c r="D857" s="1" t="s">
        <v>3260</v>
      </c>
      <c r="E857" s="1" t="s">
        <v>4925</v>
      </c>
      <c r="F857" s="1" t="s">
        <v>4926</v>
      </c>
      <c r="G857" s="1" t="s">
        <v>4927</v>
      </c>
    </row>
    <row r="858" spans="1:7">
      <c r="A858" s="1">
        <v>857</v>
      </c>
      <c r="B858" s="1" t="s">
        <v>4928</v>
      </c>
      <c r="D858" s="1" t="s">
        <v>3260</v>
      </c>
      <c r="E858" s="1" t="s">
        <v>3263</v>
      </c>
      <c r="F858" s="1" t="s">
        <v>47</v>
      </c>
      <c r="G858" s="1" t="s">
        <v>48</v>
      </c>
    </row>
    <row r="859" spans="1:7">
      <c r="A859" s="1">
        <v>858</v>
      </c>
      <c r="B859" s="1" t="s">
        <v>4929</v>
      </c>
      <c r="D859" s="1" t="s">
        <v>3260</v>
      </c>
      <c r="E859" s="1" t="s">
        <v>3261</v>
      </c>
      <c r="F859" s="1" t="s">
        <v>51</v>
      </c>
      <c r="G859" s="1" t="s">
        <v>52</v>
      </c>
    </row>
    <row r="860" spans="1:7">
      <c r="A860" s="1">
        <v>859</v>
      </c>
      <c r="B860" s="1" t="s">
        <v>4930</v>
      </c>
      <c r="D860" s="1" t="s">
        <v>3265</v>
      </c>
      <c r="E860" s="1" t="s">
        <v>527</v>
      </c>
      <c r="F860" s="1" t="s">
        <v>528</v>
      </c>
      <c r="G860" s="1" t="s">
        <v>529</v>
      </c>
    </row>
    <row r="861" spans="1:7">
      <c r="A861" s="1">
        <v>860</v>
      </c>
      <c r="B861" s="1" t="s">
        <v>4931</v>
      </c>
      <c r="D861" s="1" t="s">
        <v>3265</v>
      </c>
      <c r="E861" s="1" t="s">
        <v>530</v>
      </c>
      <c r="F861" s="1" t="s">
        <v>531</v>
      </c>
      <c r="G861" s="1" t="s">
        <v>532</v>
      </c>
    </row>
    <row r="862" spans="1:7">
      <c r="A862" s="1">
        <v>861</v>
      </c>
      <c r="B862" s="1" t="s">
        <v>4932</v>
      </c>
      <c r="D862" s="1" t="s">
        <v>3265</v>
      </c>
      <c r="E862" s="1" t="s">
        <v>533</v>
      </c>
      <c r="F862" s="1" t="s">
        <v>534</v>
      </c>
      <c r="G862" s="1" t="s">
        <v>535</v>
      </c>
    </row>
    <row r="863" spans="1:7">
      <c r="A863" s="1">
        <v>862</v>
      </c>
      <c r="B863" s="1" t="s">
        <v>4933</v>
      </c>
      <c r="D863" s="1" t="s">
        <v>3265</v>
      </c>
      <c r="E863" s="1" t="s">
        <v>536</v>
      </c>
      <c r="F863" s="1" t="s">
        <v>537</v>
      </c>
      <c r="G863" s="7" t="s">
        <v>538</v>
      </c>
    </row>
    <row r="864" spans="1:7">
      <c r="A864" s="1">
        <v>863</v>
      </c>
      <c r="B864" s="1" t="s">
        <v>4934</v>
      </c>
      <c r="D864" s="1" t="s">
        <v>3270</v>
      </c>
      <c r="E864" s="1" t="s">
        <v>1273</v>
      </c>
      <c r="F864" s="1" t="s">
        <v>688</v>
      </c>
      <c r="G864" s="7" t="s">
        <v>689</v>
      </c>
    </row>
    <row r="865" spans="1:7">
      <c r="A865" s="1">
        <v>864</v>
      </c>
      <c r="B865" s="1" t="s">
        <v>4935</v>
      </c>
      <c r="D865" s="1" t="s">
        <v>3270</v>
      </c>
      <c r="E865" s="1" t="s">
        <v>4936</v>
      </c>
      <c r="F865" s="1" t="s">
        <v>3561</v>
      </c>
      <c r="G865" s="1" t="s">
        <v>3562</v>
      </c>
    </row>
    <row r="866" spans="1:7">
      <c r="A866" s="1">
        <v>865</v>
      </c>
      <c r="B866" s="1" t="s">
        <v>4937</v>
      </c>
      <c r="D866" s="1" t="s">
        <v>3270</v>
      </c>
      <c r="E866" s="1" t="s">
        <v>4938</v>
      </c>
      <c r="F866" s="1" t="s">
        <v>3565</v>
      </c>
      <c r="G866" s="1" t="s">
        <v>3566</v>
      </c>
    </row>
    <row r="867" spans="1:7">
      <c r="A867" s="1">
        <v>866</v>
      </c>
      <c r="B867" s="1" t="s">
        <v>4939</v>
      </c>
      <c r="D867" s="1" t="s">
        <v>3273</v>
      </c>
      <c r="E867" s="1" t="s">
        <v>3276</v>
      </c>
      <c r="F867" s="1" t="s">
        <v>21</v>
      </c>
      <c r="G867" s="1" t="s">
        <v>22</v>
      </c>
    </row>
    <row r="868" spans="1:7">
      <c r="A868" s="1">
        <v>867</v>
      </c>
      <c r="B868" s="1" t="s">
        <v>4940</v>
      </c>
      <c r="D868" s="1" t="s">
        <v>3273</v>
      </c>
      <c r="E868" s="1" t="s">
        <v>892</v>
      </c>
      <c r="F868" s="1" t="s">
        <v>893</v>
      </c>
      <c r="G868" s="1" t="s">
        <v>894</v>
      </c>
    </row>
    <row r="869" spans="1:7">
      <c r="A869" s="1">
        <v>868</v>
      </c>
      <c r="B869" s="1" t="s">
        <v>4941</v>
      </c>
      <c r="D869" s="1" t="s">
        <v>3273</v>
      </c>
      <c r="E869" s="1" t="s">
        <v>895</v>
      </c>
      <c r="F869" s="1" t="s">
        <v>779</v>
      </c>
      <c r="G869" s="1" t="s">
        <v>780</v>
      </c>
    </row>
    <row r="870" spans="1:7">
      <c r="A870" s="1">
        <v>869</v>
      </c>
      <c r="B870" s="1" t="s">
        <v>4942</v>
      </c>
      <c r="D870" s="1" t="s">
        <v>3278</v>
      </c>
      <c r="E870" s="1" t="s">
        <v>3283</v>
      </c>
      <c r="F870" s="1" t="s">
        <v>3284</v>
      </c>
      <c r="G870" s="1" t="s">
        <v>3285</v>
      </c>
    </row>
    <row r="871" spans="1:7">
      <c r="A871" s="1">
        <v>870</v>
      </c>
      <c r="B871" s="1" t="s">
        <v>4943</v>
      </c>
      <c r="D871" s="1" t="s">
        <v>3278</v>
      </c>
      <c r="E871" s="1" t="s">
        <v>1387</v>
      </c>
      <c r="F871" s="1" t="s">
        <v>3280</v>
      </c>
      <c r="G871" s="1" t="s">
        <v>3281</v>
      </c>
    </row>
    <row r="872" spans="1:7">
      <c r="A872" s="1">
        <v>871</v>
      </c>
      <c r="B872" s="1" t="s">
        <v>4944</v>
      </c>
      <c r="D872" s="1" t="s">
        <v>3287</v>
      </c>
      <c r="E872" s="1" t="s">
        <v>3288</v>
      </c>
      <c r="F872" s="1" t="s">
        <v>4945</v>
      </c>
      <c r="G872" s="1" t="s">
        <v>4946</v>
      </c>
    </row>
    <row r="873" spans="1:7">
      <c r="A873" s="1">
        <v>872</v>
      </c>
      <c r="B873" s="1" t="s">
        <v>4947</v>
      </c>
      <c r="D873" s="1" t="s">
        <v>3292</v>
      </c>
      <c r="E873" s="1" t="s">
        <v>4948</v>
      </c>
      <c r="F873" s="1" t="s">
        <v>21</v>
      </c>
      <c r="G873" s="1" t="s">
        <v>22</v>
      </c>
    </row>
    <row r="874" spans="1:7">
      <c r="A874" s="1">
        <v>873</v>
      </c>
      <c r="B874" s="1" t="s">
        <v>4949</v>
      </c>
      <c r="D874" s="1" t="s">
        <v>3292</v>
      </c>
      <c r="E874" s="1" t="s">
        <v>4950</v>
      </c>
      <c r="F874" s="1" t="s">
        <v>3294</v>
      </c>
      <c r="G874" s="1" t="s">
        <v>3295</v>
      </c>
    </row>
    <row r="875" spans="1:7">
      <c r="A875" s="1">
        <v>874</v>
      </c>
      <c r="B875" s="1" t="s">
        <v>4951</v>
      </c>
      <c r="D875" s="1" t="s">
        <v>3292</v>
      </c>
      <c r="E875" s="1" t="s">
        <v>3232</v>
      </c>
      <c r="F875" s="1" t="s">
        <v>3298</v>
      </c>
      <c r="G875" s="1" t="s">
        <v>3299</v>
      </c>
    </row>
    <row r="876" spans="1:7">
      <c r="A876" s="1">
        <v>875</v>
      </c>
      <c r="B876" s="1" t="s">
        <v>4952</v>
      </c>
      <c r="D876" s="1" t="s">
        <v>3292</v>
      </c>
      <c r="E876" s="1" t="s">
        <v>3297</v>
      </c>
      <c r="F876" s="1" t="s">
        <v>4953</v>
      </c>
      <c r="G876" s="1" t="s">
        <v>4954</v>
      </c>
    </row>
    <row r="877" spans="1:7">
      <c r="A877" s="1">
        <v>876</v>
      </c>
      <c r="B877" s="1" t="s">
        <v>4955</v>
      </c>
      <c r="D877" s="1" t="s">
        <v>3292</v>
      </c>
      <c r="E877" s="1" t="s">
        <v>1900</v>
      </c>
      <c r="F877" s="1" t="s">
        <v>4956</v>
      </c>
      <c r="G877" s="1" t="s">
        <v>4957</v>
      </c>
    </row>
    <row r="878" spans="1:7">
      <c r="A878" s="1">
        <v>877</v>
      </c>
      <c r="B878" s="1" t="s">
        <v>4958</v>
      </c>
      <c r="D878" s="1" t="s">
        <v>3292</v>
      </c>
      <c r="E878" s="1" t="s">
        <v>3309</v>
      </c>
      <c r="F878" s="1" t="s">
        <v>4959</v>
      </c>
      <c r="G878" s="1" t="s">
        <v>4960</v>
      </c>
    </row>
    <row r="879" spans="1:7">
      <c r="A879" s="1">
        <v>878</v>
      </c>
      <c r="B879" s="1" t="s">
        <v>4961</v>
      </c>
      <c r="D879" s="1" t="s">
        <v>3292</v>
      </c>
      <c r="E879" s="1" t="s">
        <v>3301</v>
      </c>
      <c r="F879" s="1" t="s">
        <v>4962</v>
      </c>
      <c r="G879" s="1" t="s">
        <v>4963</v>
      </c>
    </row>
    <row r="880" spans="1:7">
      <c r="A880" s="1">
        <v>879</v>
      </c>
      <c r="B880" s="1" t="s">
        <v>4964</v>
      </c>
      <c r="D880" s="1" t="s">
        <v>3292</v>
      </c>
      <c r="E880" s="1" t="s">
        <v>3313</v>
      </c>
      <c r="F880" s="1" t="s">
        <v>3322</v>
      </c>
      <c r="G880" s="1" t="s">
        <v>3323</v>
      </c>
    </row>
    <row r="881" spans="1:7">
      <c r="A881" s="1">
        <v>880</v>
      </c>
      <c r="B881" s="1" t="s">
        <v>4965</v>
      </c>
      <c r="D881" s="1" t="s">
        <v>3292</v>
      </c>
      <c r="E881" s="1" t="s">
        <v>3317</v>
      </c>
      <c r="F881" s="1" t="s">
        <v>3326</v>
      </c>
      <c r="G881" s="1" t="s">
        <v>3327</v>
      </c>
    </row>
    <row r="882" spans="1:7">
      <c r="A882" s="1">
        <v>881</v>
      </c>
      <c r="B882" s="1" t="s">
        <v>4966</v>
      </c>
      <c r="D882" s="1" t="s">
        <v>3329</v>
      </c>
      <c r="E882" s="1" t="s">
        <v>3330</v>
      </c>
      <c r="F882" s="1" t="s">
        <v>21</v>
      </c>
      <c r="G882" s="1" t="s">
        <v>22</v>
      </c>
    </row>
    <row r="883" spans="1:7">
      <c r="A883" s="1">
        <v>882</v>
      </c>
      <c r="B883" s="1" t="s">
        <v>4967</v>
      </c>
      <c r="D883" s="1" t="s">
        <v>3332</v>
      </c>
      <c r="E883" s="1" t="s">
        <v>3333</v>
      </c>
      <c r="F883" s="1" t="s">
        <v>3334</v>
      </c>
      <c r="G883" s="1" t="s">
        <v>3335</v>
      </c>
    </row>
    <row r="884" spans="1:7">
      <c r="A884" s="1">
        <v>883</v>
      </c>
      <c r="B884" s="1" t="s">
        <v>4968</v>
      </c>
      <c r="D884" s="1" t="s">
        <v>3332</v>
      </c>
      <c r="E884" s="1" t="s">
        <v>3337</v>
      </c>
      <c r="F884" s="1" t="s">
        <v>3338</v>
      </c>
      <c r="G884" s="1" t="s">
        <v>3339</v>
      </c>
    </row>
    <row r="885" spans="1:7">
      <c r="A885" s="1">
        <v>884</v>
      </c>
      <c r="B885" s="1" t="s">
        <v>4969</v>
      </c>
      <c r="D885" s="1" t="s">
        <v>3332</v>
      </c>
      <c r="E885" s="1" t="s">
        <v>3341</v>
      </c>
      <c r="F885" s="1" t="s">
        <v>3342</v>
      </c>
      <c r="G885" s="1" t="s">
        <v>3343</v>
      </c>
    </row>
    <row r="886" spans="1:7">
      <c r="A886" s="1">
        <v>885</v>
      </c>
      <c r="B886" s="1" t="s">
        <v>4970</v>
      </c>
      <c r="D886" s="1" t="s">
        <v>3332</v>
      </c>
      <c r="E886" s="1" t="s">
        <v>3345</v>
      </c>
      <c r="F886" s="1" t="s">
        <v>3346</v>
      </c>
      <c r="G886" s="1" t="s">
        <v>3347</v>
      </c>
    </row>
    <row r="887" spans="1:7">
      <c r="A887" s="1">
        <v>886</v>
      </c>
      <c r="B887" s="1" t="s">
        <v>4971</v>
      </c>
      <c r="D887" s="1" t="s">
        <v>3332</v>
      </c>
      <c r="E887" s="1" t="s">
        <v>3349</v>
      </c>
      <c r="F887" s="1" t="s">
        <v>3350</v>
      </c>
      <c r="G887" s="1" t="s">
        <v>3351</v>
      </c>
    </row>
    <row r="888" spans="1:7">
      <c r="A888" s="1">
        <v>887</v>
      </c>
      <c r="B888" s="1" t="s">
        <v>4972</v>
      </c>
      <c r="D888" s="1" t="s">
        <v>3353</v>
      </c>
      <c r="E888" s="1" t="s">
        <v>3360</v>
      </c>
      <c r="F888" s="1" t="s">
        <v>4973</v>
      </c>
      <c r="G888" s="1" t="s">
        <v>4974</v>
      </c>
    </row>
    <row r="889" spans="1:7">
      <c r="A889" s="1">
        <v>888</v>
      </c>
      <c r="B889" s="1" t="s">
        <v>4975</v>
      </c>
      <c r="D889" s="1" t="s">
        <v>3353</v>
      </c>
      <c r="E889" s="1" t="s">
        <v>3358</v>
      </c>
      <c r="F889" s="1" t="s">
        <v>4976</v>
      </c>
      <c r="G889" s="1" t="s">
        <v>4977</v>
      </c>
    </row>
    <row r="890" spans="1:7">
      <c r="A890" s="1">
        <v>889</v>
      </c>
      <c r="B890" s="1" t="s">
        <v>4978</v>
      </c>
      <c r="D890" s="1" t="s">
        <v>3353</v>
      </c>
      <c r="E890" s="1" t="s">
        <v>3354</v>
      </c>
      <c r="F890" s="1" t="s">
        <v>4979</v>
      </c>
      <c r="G890" s="1" t="s">
        <v>4980</v>
      </c>
    </row>
    <row r="891" spans="1:7">
      <c r="A891" s="1">
        <v>890</v>
      </c>
      <c r="B891" s="1" t="s">
        <v>4981</v>
      </c>
      <c r="D891" s="1" t="s">
        <v>3353</v>
      </c>
      <c r="E891" s="1" t="s">
        <v>3356</v>
      </c>
      <c r="F891" s="1" t="s">
        <v>4982</v>
      </c>
      <c r="G891" s="1" t="s">
        <v>4983</v>
      </c>
    </row>
    <row r="892" spans="1:7">
      <c r="A892" s="1">
        <v>891</v>
      </c>
      <c r="B892" s="1" t="s">
        <v>4984</v>
      </c>
      <c r="D892" s="1" t="s">
        <v>3362</v>
      </c>
      <c r="E892" s="1" t="s">
        <v>3363</v>
      </c>
      <c r="F892" s="1" t="s">
        <v>21</v>
      </c>
      <c r="G892" s="1" t="s">
        <v>22</v>
      </c>
    </row>
    <row r="893" spans="1:7">
      <c r="A893" s="1">
        <v>892</v>
      </c>
      <c r="B893" s="1" t="s">
        <v>4985</v>
      </c>
      <c r="D893" s="1" t="s">
        <v>3362</v>
      </c>
      <c r="E893" s="1" t="s">
        <v>4986</v>
      </c>
      <c r="F893" s="1" t="s">
        <v>4987</v>
      </c>
      <c r="G893" s="1" t="s">
        <v>4988</v>
      </c>
    </row>
    <row r="894" spans="1:7">
      <c r="A894" s="1">
        <v>893</v>
      </c>
      <c r="B894" s="1" t="s">
        <v>4989</v>
      </c>
      <c r="D894" s="1" t="s">
        <v>3362</v>
      </c>
      <c r="E894" s="1" t="s">
        <v>3365</v>
      </c>
      <c r="F894" s="1" t="s">
        <v>4990</v>
      </c>
      <c r="G894" s="1" t="s">
        <v>4991</v>
      </c>
    </row>
    <row r="895" spans="1:7">
      <c r="A895" s="1">
        <v>894</v>
      </c>
      <c r="B895" s="1" t="s">
        <v>4992</v>
      </c>
      <c r="D895" s="1" t="s">
        <v>3362</v>
      </c>
      <c r="E895" s="1" t="s">
        <v>3367</v>
      </c>
      <c r="F895" s="1" t="s">
        <v>627</v>
      </c>
      <c r="G895" s="1" t="s">
        <v>628</v>
      </c>
    </row>
    <row r="896" spans="1:7">
      <c r="A896" s="1">
        <v>895</v>
      </c>
      <c r="B896" s="1" t="s">
        <v>4993</v>
      </c>
      <c r="D896" s="1" t="s">
        <v>3369</v>
      </c>
      <c r="E896" s="1" t="s">
        <v>3370</v>
      </c>
      <c r="F896" s="1" t="s">
        <v>21</v>
      </c>
      <c r="G896" s="1" t="s">
        <v>22</v>
      </c>
    </row>
    <row r="897" spans="1:7">
      <c r="A897" s="1">
        <v>896</v>
      </c>
      <c r="B897" s="1" t="s">
        <v>4994</v>
      </c>
      <c r="D897" s="1" t="s">
        <v>3369</v>
      </c>
      <c r="E897" s="1" t="s">
        <v>3374</v>
      </c>
      <c r="F897" s="1" t="s">
        <v>669</v>
      </c>
      <c r="G897" s="1" t="s">
        <v>670</v>
      </c>
    </row>
    <row r="898" spans="1:7">
      <c r="A898" s="1">
        <v>897</v>
      </c>
      <c r="B898" s="1" t="s">
        <v>4995</v>
      </c>
      <c r="D898" s="1" t="s">
        <v>3369</v>
      </c>
      <c r="E898" s="1" t="s">
        <v>3372</v>
      </c>
      <c r="F898" s="1" t="s">
        <v>710</v>
      </c>
      <c r="G898" s="1" t="s">
        <v>711</v>
      </c>
    </row>
    <row r="899" spans="1:7">
      <c r="A899" s="1">
        <v>898</v>
      </c>
      <c r="B899" s="1" t="s">
        <v>4996</v>
      </c>
      <c r="D899" s="1" t="s">
        <v>3369</v>
      </c>
      <c r="E899" s="1" t="s">
        <v>3378</v>
      </c>
      <c r="F899" s="1" t="s">
        <v>665</v>
      </c>
      <c r="G899" s="1" t="s">
        <v>666</v>
      </c>
    </row>
    <row r="900" spans="1:7">
      <c r="A900" s="1">
        <v>899</v>
      </c>
      <c r="B900" s="1" t="s">
        <v>4997</v>
      </c>
      <c r="D900" s="1" t="s">
        <v>3369</v>
      </c>
      <c r="E900" s="1" t="s">
        <v>3376</v>
      </c>
      <c r="F900" s="1" t="s">
        <v>660</v>
      </c>
      <c r="G900" s="1" t="s">
        <v>661</v>
      </c>
    </row>
    <row r="901" spans="1:7">
      <c r="A901" s="1">
        <v>900</v>
      </c>
      <c r="B901" s="1" t="s">
        <v>4998</v>
      </c>
      <c r="D901" s="1" t="s">
        <v>3369</v>
      </c>
      <c r="E901" s="1" t="s">
        <v>3380</v>
      </c>
      <c r="F901" s="1" t="s">
        <v>4999</v>
      </c>
      <c r="G901" s="1" t="s">
        <v>5000</v>
      </c>
    </row>
    <row r="902" spans="1:7">
      <c r="A902" s="1">
        <v>901</v>
      </c>
      <c r="B902" s="1" t="s">
        <v>5001</v>
      </c>
      <c r="D902" s="1" t="s">
        <v>3369</v>
      </c>
      <c r="E902" s="1" t="s">
        <v>5002</v>
      </c>
      <c r="F902" s="1" t="s">
        <v>5003</v>
      </c>
      <c r="G902" s="1" t="s">
        <v>5004</v>
      </c>
    </row>
    <row r="903" spans="1:7">
      <c r="A903" s="1">
        <v>902</v>
      </c>
      <c r="B903" s="1" t="s">
        <v>5005</v>
      </c>
      <c r="D903" s="1" t="s">
        <v>3384</v>
      </c>
      <c r="E903" s="1" t="s">
        <v>3385</v>
      </c>
      <c r="F903" s="1" t="s">
        <v>21</v>
      </c>
      <c r="G903" s="1" t="s">
        <v>22</v>
      </c>
    </row>
    <row r="904" spans="1:7">
      <c r="A904" s="1">
        <v>903</v>
      </c>
      <c r="B904" s="1" t="s">
        <v>5006</v>
      </c>
      <c r="D904" s="1" t="s">
        <v>3384</v>
      </c>
      <c r="E904" s="1" t="s">
        <v>3389</v>
      </c>
      <c r="F904" s="1" t="s">
        <v>669</v>
      </c>
      <c r="G904" s="1" t="s">
        <v>670</v>
      </c>
    </row>
    <row r="905" spans="1:7">
      <c r="A905" s="1">
        <v>904</v>
      </c>
      <c r="B905" s="1" t="s">
        <v>5007</v>
      </c>
      <c r="D905" s="1" t="s">
        <v>3384</v>
      </c>
      <c r="E905" s="1" t="s">
        <v>3387</v>
      </c>
      <c r="F905" s="1" t="s">
        <v>710</v>
      </c>
      <c r="G905" s="1" t="s">
        <v>711</v>
      </c>
    </row>
    <row r="906" spans="1:7">
      <c r="A906" s="1">
        <v>905</v>
      </c>
      <c r="B906" s="1" t="s">
        <v>5008</v>
      </c>
      <c r="D906" s="1" t="s">
        <v>3384</v>
      </c>
      <c r="E906" s="1" t="s">
        <v>3393</v>
      </c>
      <c r="F906" s="1" t="s">
        <v>665</v>
      </c>
      <c r="G906" s="1" t="s">
        <v>666</v>
      </c>
    </row>
    <row r="907" spans="1:7">
      <c r="A907" s="1">
        <v>906</v>
      </c>
      <c r="B907" s="1" t="s">
        <v>5009</v>
      </c>
      <c r="D907" s="1" t="s">
        <v>3384</v>
      </c>
      <c r="E907" s="1" t="s">
        <v>3391</v>
      </c>
      <c r="F907" s="1" t="s">
        <v>660</v>
      </c>
      <c r="G907" s="1" t="s">
        <v>661</v>
      </c>
    </row>
    <row r="908" spans="1:7">
      <c r="A908" s="1">
        <v>907</v>
      </c>
      <c r="B908" s="1" t="s">
        <v>5010</v>
      </c>
      <c r="D908" s="1" t="s">
        <v>3384</v>
      </c>
      <c r="E908" s="1" t="s">
        <v>3395</v>
      </c>
      <c r="F908" s="1" t="s">
        <v>4999</v>
      </c>
      <c r="G908" s="1" t="s">
        <v>5000</v>
      </c>
    </row>
    <row r="909" spans="1:7">
      <c r="A909" s="1">
        <v>908</v>
      </c>
      <c r="B909" s="1" t="s">
        <v>5011</v>
      </c>
      <c r="D909" s="1" t="s">
        <v>3384</v>
      </c>
      <c r="E909" s="1" t="s">
        <v>5012</v>
      </c>
      <c r="F909" s="1" t="s">
        <v>5003</v>
      </c>
      <c r="G909" s="1" t="s">
        <v>5004</v>
      </c>
    </row>
    <row r="910" spans="1:7">
      <c r="A910" s="1">
        <v>909</v>
      </c>
      <c r="B910" s="1" t="s">
        <v>5013</v>
      </c>
      <c r="D910" s="1" t="s">
        <v>3424</v>
      </c>
      <c r="E910" s="1" t="s">
        <v>5014</v>
      </c>
      <c r="F910" s="1" t="s">
        <v>3426</v>
      </c>
      <c r="G910" s="1" t="s">
        <v>3427</v>
      </c>
    </row>
    <row r="911" spans="1:7">
      <c r="A911" s="1">
        <v>910</v>
      </c>
      <c r="B911" s="1" t="s">
        <v>5015</v>
      </c>
      <c r="D911" s="1" t="s">
        <v>3424</v>
      </c>
      <c r="E911" s="1" t="s">
        <v>5016</v>
      </c>
      <c r="F911" s="1" t="s">
        <v>3430</v>
      </c>
      <c r="G911" s="1" t="s">
        <v>3431</v>
      </c>
    </row>
    <row r="912" spans="1:7">
      <c r="A912" s="1">
        <v>911</v>
      </c>
      <c r="B912" s="1" t="s">
        <v>5017</v>
      </c>
      <c r="D912" s="1" t="s">
        <v>3424</v>
      </c>
      <c r="E912" s="1" t="s">
        <v>5018</v>
      </c>
      <c r="F912" s="1" t="s">
        <v>3434</v>
      </c>
      <c r="G912" s="1" t="s">
        <v>3435</v>
      </c>
    </row>
    <row r="913" spans="1:7">
      <c r="A913" s="1">
        <v>912</v>
      </c>
      <c r="B913" s="1" t="s">
        <v>5019</v>
      </c>
      <c r="D913" s="1" t="s">
        <v>3437</v>
      </c>
      <c r="E913" s="1" t="s">
        <v>586</v>
      </c>
      <c r="F913" s="1" t="s">
        <v>902</v>
      </c>
      <c r="G913" s="1" t="s">
        <v>903</v>
      </c>
    </row>
    <row r="914" spans="1:7">
      <c r="A914" s="1">
        <v>913</v>
      </c>
      <c r="B914" s="1" t="s">
        <v>5020</v>
      </c>
      <c r="D914" s="1" t="s">
        <v>3437</v>
      </c>
      <c r="E914" s="1" t="s">
        <v>590</v>
      </c>
      <c r="F914" s="1" t="s">
        <v>905</v>
      </c>
      <c r="G914" s="1" t="s">
        <v>906</v>
      </c>
    </row>
    <row r="915" spans="1:7">
      <c r="A915" s="1">
        <v>914</v>
      </c>
      <c r="B915" s="1" t="s">
        <v>5021</v>
      </c>
      <c r="D915" s="1" t="s">
        <v>3437</v>
      </c>
      <c r="E915" s="1" t="s">
        <v>594</v>
      </c>
      <c r="F915" s="1" t="s">
        <v>908</v>
      </c>
      <c r="G915" s="1" t="s">
        <v>909</v>
      </c>
    </row>
    <row r="916" spans="1:7">
      <c r="A916" s="1">
        <v>915</v>
      </c>
      <c r="B916" s="1" t="s">
        <v>5022</v>
      </c>
      <c r="D916" s="1" t="s">
        <v>3437</v>
      </c>
      <c r="E916" s="1" t="s">
        <v>598</v>
      </c>
      <c r="F916" s="1" t="s">
        <v>911</v>
      </c>
      <c r="G916" s="1" t="s">
        <v>912</v>
      </c>
    </row>
    <row r="917" spans="1:7">
      <c r="A917" s="1">
        <v>916</v>
      </c>
      <c r="B917" s="1" t="s">
        <v>5023</v>
      </c>
      <c r="D917" s="1" t="s">
        <v>3442</v>
      </c>
      <c r="E917" s="1" t="s">
        <v>602</v>
      </c>
      <c r="F917" s="1" t="s">
        <v>916</v>
      </c>
      <c r="G917" s="1" t="s">
        <v>917</v>
      </c>
    </row>
    <row r="918" spans="1:7">
      <c r="A918" s="1">
        <v>917</v>
      </c>
      <c r="B918" s="1" t="s">
        <v>5024</v>
      </c>
      <c r="D918" s="1" t="s">
        <v>3442</v>
      </c>
      <c r="E918" s="1" t="s">
        <v>3445</v>
      </c>
      <c r="F918" s="1" t="s">
        <v>919</v>
      </c>
      <c r="G918" s="1" t="s">
        <v>920</v>
      </c>
    </row>
    <row r="919" spans="1:7">
      <c r="A919" s="1">
        <v>918</v>
      </c>
      <c r="B919" s="1" t="s">
        <v>5025</v>
      </c>
      <c r="D919" s="1" t="s">
        <v>3442</v>
      </c>
      <c r="E919" s="1" t="s">
        <v>3447</v>
      </c>
      <c r="F919" s="1" t="s">
        <v>922</v>
      </c>
      <c r="G919" s="1" t="s">
        <v>923</v>
      </c>
    </row>
    <row r="920" spans="1:7">
      <c r="A920" s="1">
        <v>919</v>
      </c>
      <c r="B920" s="1" t="s">
        <v>5026</v>
      </c>
      <c r="D920" s="1" t="s">
        <v>3442</v>
      </c>
      <c r="E920" s="1" t="s">
        <v>3449</v>
      </c>
      <c r="F920" s="1" t="s">
        <v>925</v>
      </c>
      <c r="G920" s="1" t="s">
        <v>926</v>
      </c>
    </row>
    <row r="921" spans="1:7">
      <c r="A921" s="1">
        <v>920</v>
      </c>
      <c r="B921" s="1" t="s">
        <v>5027</v>
      </c>
      <c r="D921" s="1" t="s">
        <v>3442</v>
      </c>
      <c r="E921" s="1" t="s">
        <v>226</v>
      </c>
      <c r="F921" s="1" t="s">
        <v>928</v>
      </c>
      <c r="G921" s="1" t="s">
        <v>929</v>
      </c>
    </row>
    <row r="922" spans="1:7">
      <c r="A922" s="1">
        <v>921</v>
      </c>
      <c r="B922" s="1" t="s">
        <v>5028</v>
      </c>
      <c r="D922" s="1" t="s">
        <v>3442</v>
      </c>
      <c r="E922" s="1" t="s">
        <v>227</v>
      </c>
      <c r="F922" s="1" t="s">
        <v>931</v>
      </c>
      <c r="G922" s="1" t="s">
        <v>932</v>
      </c>
    </row>
    <row r="923" spans="1:7">
      <c r="A923" s="1">
        <v>922</v>
      </c>
      <c r="B923" s="1" t="s">
        <v>5029</v>
      </c>
      <c r="D923" s="1" t="s">
        <v>3452</v>
      </c>
      <c r="E923" s="1" t="s">
        <v>229</v>
      </c>
      <c r="F923" s="1" t="s">
        <v>936</v>
      </c>
      <c r="G923" s="1" t="s">
        <v>937</v>
      </c>
    </row>
    <row r="924" spans="1:7">
      <c r="A924" s="1">
        <v>923</v>
      </c>
      <c r="B924" s="1" t="s">
        <v>5030</v>
      </c>
      <c r="D924" s="1" t="s">
        <v>3452</v>
      </c>
      <c r="E924" s="1" t="s">
        <v>230</v>
      </c>
      <c r="F924" s="1" t="s">
        <v>939</v>
      </c>
      <c r="G924" s="1" t="s">
        <v>940</v>
      </c>
    </row>
    <row r="925" spans="1:7">
      <c r="A925" s="1">
        <v>924</v>
      </c>
      <c r="B925" s="1" t="s">
        <v>5031</v>
      </c>
      <c r="D925" s="1" t="s">
        <v>3452</v>
      </c>
      <c r="E925" s="1" t="s">
        <v>231</v>
      </c>
      <c r="F925" s="1" t="s">
        <v>942</v>
      </c>
      <c r="G925" s="1" t="s">
        <v>943</v>
      </c>
    </row>
    <row r="926" spans="1:7">
      <c r="A926" s="1">
        <v>925</v>
      </c>
      <c r="B926" s="1" t="s">
        <v>5032</v>
      </c>
      <c r="D926" s="1" t="s">
        <v>3452</v>
      </c>
      <c r="E926" s="1" t="s">
        <v>232</v>
      </c>
      <c r="F926" s="1" t="s">
        <v>945</v>
      </c>
      <c r="G926" s="1" t="s">
        <v>946</v>
      </c>
    </row>
    <row r="927" spans="1:7">
      <c r="A927" s="1">
        <v>926</v>
      </c>
      <c r="B927" s="1" t="s">
        <v>5033</v>
      </c>
      <c r="D927" s="1" t="s">
        <v>3452</v>
      </c>
      <c r="E927" s="1" t="s">
        <v>233</v>
      </c>
      <c r="F927" s="1" t="s">
        <v>948</v>
      </c>
      <c r="G927" s="1" t="s">
        <v>949</v>
      </c>
    </row>
    <row r="928" spans="1:7">
      <c r="A928" s="1">
        <v>927</v>
      </c>
      <c r="B928" s="1" t="s">
        <v>5034</v>
      </c>
      <c r="D928" s="1" t="s">
        <v>3452</v>
      </c>
      <c r="E928" s="1" t="s">
        <v>234</v>
      </c>
      <c r="F928" s="1" t="s">
        <v>951</v>
      </c>
      <c r="G928" s="1" t="s">
        <v>952</v>
      </c>
    </row>
    <row r="929" spans="1:7">
      <c r="A929" s="1">
        <v>928</v>
      </c>
      <c r="B929" s="1" t="s">
        <v>5035</v>
      </c>
      <c r="D929" s="1" t="s">
        <v>3459</v>
      </c>
      <c r="E929" s="1" t="s">
        <v>185</v>
      </c>
      <c r="F929" s="1" t="s">
        <v>957</v>
      </c>
      <c r="G929" s="1" t="s">
        <v>958</v>
      </c>
    </row>
    <row r="930" spans="1:7">
      <c r="A930" s="1">
        <v>929</v>
      </c>
      <c r="B930" s="1" t="s">
        <v>5036</v>
      </c>
      <c r="D930" s="1" t="s">
        <v>3459</v>
      </c>
      <c r="E930" s="1" t="s">
        <v>189</v>
      </c>
      <c r="F930" s="1" t="s">
        <v>961</v>
      </c>
      <c r="G930" s="1" t="s">
        <v>962</v>
      </c>
    </row>
    <row r="931" spans="1:7">
      <c r="A931" s="1">
        <v>930</v>
      </c>
      <c r="B931" s="1" t="s">
        <v>5037</v>
      </c>
      <c r="D931" s="1" t="s">
        <v>3459</v>
      </c>
      <c r="E931" s="1" t="s">
        <v>193</v>
      </c>
      <c r="F931" s="1" t="s">
        <v>965</v>
      </c>
      <c r="G931" s="1" t="s">
        <v>966</v>
      </c>
    </row>
    <row r="932" spans="1:7">
      <c r="A932" s="1">
        <v>931</v>
      </c>
      <c r="B932" s="1" t="s">
        <v>5038</v>
      </c>
      <c r="D932" s="1" t="s">
        <v>3459</v>
      </c>
      <c r="E932" s="1" t="s">
        <v>197</v>
      </c>
      <c r="F932" s="1" t="s">
        <v>969</v>
      </c>
      <c r="G932" s="1" t="s">
        <v>970</v>
      </c>
    </row>
    <row r="933" spans="1:7">
      <c r="A933" s="1">
        <v>932</v>
      </c>
      <c r="B933" s="1" t="s">
        <v>5039</v>
      </c>
      <c r="D933" s="1" t="s">
        <v>3459</v>
      </c>
      <c r="E933" s="1" t="s">
        <v>201</v>
      </c>
      <c r="F933" s="1" t="s">
        <v>973</v>
      </c>
      <c r="G933" s="1" t="s">
        <v>974</v>
      </c>
    </row>
    <row r="934" spans="1:7">
      <c r="A934" s="1">
        <v>933</v>
      </c>
      <c r="B934" s="1" t="s">
        <v>5040</v>
      </c>
      <c r="D934" s="1" t="s">
        <v>3459</v>
      </c>
      <c r="E934" s="1" t="s">
        <v>205</v>
      </c>
      <c r="F934" s="1" t="s">
        <v>977</v>
      </c>
      <c r="G934" s="1" t="s">
        <v>978</v>
      </c>
    </row>
    <row r="935" spans="1:7">
      <c r="A935" s="1">
        <v>934</v>
      </c>
      <c r="B935" s="1" t="s">
        <v>5041</v>
      </c>
      <c r="D935" s="1" t="s">
        <v>3459</v>
      </c>
      <c r="E935" s="1" t="s">
        <v>209</v>
      </c>
      <c r="F935" s="1" t="s">
        <v>981</v>
      </c>
      <c r="G935" s="1" t="s">
        <v>982</v>
      </c>
    </row>
    <row r="936" spans="1:7">
      <c r="A936" s="1">
        <v>935</v>
      </c>
      <c r="B936" s="1" t="s">
        <v>5042</v>
      </c>
      <c r="D936" s="1" t="s">
        <v>3459</v>
      </c>
      <c r="E936" s="1" t="s">
        <v>213</v>
      </c>
      <c r="F936" s="1" t="s">
        <v>985</v>
      </c>
      <c r="G936" s="1" t="s">
        <v>986</v>
      </c>
    </row>
    <row r="937" spans="1:7">
      <c r="A937" s="1">
        <v>936</v>
      </c>
      <c r="B937" s="1" t="s">
        <v>5043</v>
      </c>
      <c r="D937" s="1" t="s">
        <v>3459</v>
      </c>
      <c r="E937" s="1" t="s">
        <v>217</v>
      </c>
      <c r="F937" s="1" t="s">
        <v>989</v>
      </c>
      <c r="G937" s="1" t="s">
        <v>990</v>
      </c>
    </row>
    <row r="938" spans="1:7">
      <c r="A938" s="1">
        <v>937</v>
      </c>
      <c r="B938" s="1" t="s">
        <v>5044</v>
      </c>
      <c r="D938" s="1" t="s">
        <v>3459</v>
      </c>
      <c r="E938" s="1" t="s">
        <v>221</v>
      </c>
      <c r="F938" s="1" t="s">
        <v>993</v>
      </c>
      <c r="G938" s="1" t="s">
        <v>994</v>
      </c>
    </row>
    <row r="939" spans="1:7">
      <c r="A939" s="1">
        <v>938</v>
      </c>
      <c r="B939" s="1" t="s">
        <v>5045</v>
      </c>
      <c r="D939" s="1" t="s">
        <v>3459</v>
      </c>
      <c r="E939" s="1" t="s">
        <v>738</v>
      </c>
      <c r="F939" s="1" t="s">
        <v>997</v>
      </c>
      <c r="G939" s="1" t="s">
        <v>998</v>
      </c>
    </row>
    <row r="940" spans="1:7">
      <c r="A940" s="1">
        <v>939</v>
      </c>
      <c r="B940" s="1" t="s">
        <v>5046</v>
      </c>
      <c r="D940" s="1" t="s">
        <v>3471</v>
      </c>
      <c r="E940" s="1" t="s">
        <v>741</v>
      </c>
      <c r="F940" s="1" t="s">
        <v>1002</v>
      </c>
      <c r="G940" s="1" t="s">
        <v>1003</v>
      </c>
    </row>
    <row r="941" spans="1:7">
      <c r="A941" s="1">
        <v>940</v>
      </c>
      <c r="B941" s="1" t="s">
        <v>5047</v>
      </c>
      <c r="D941" s="1" t="s">
        <v>3471</v>
      </c>
      <c r="E941" s="1" t="s">
        <v>744</v>
      </c>
      <c r="F941" s="1" t="s">
        <v>1005</v>
      </c>
      <c r="G941" s="1" t="s">
        <v>1006</v>
      </c>
    </row>
    <row r="942" spans="1:7">
      <c r="A942" s="1">
        <v>941</v>
      </c>
      <c r="B942" s="1" t="s">
        <v>5048</v>
      </c>
      <c r="D942" s="1" t="s">
        <v>3471</v>
      </c>
      <c r="E942" s="1" t="s">
        <v>747</v>
      </c>
      <c r="F942" s="1" t="s">
        <v>1008</v>
      </c>
      <c r="G942" s="1" t="s">
        <v>1009</v>
      </c>
    </row>
    <row r="943" spans="1:7">
      <c r="A943" s="1">
        <v>942</v>
      </c>
      <c r="B943" s="1" t="s">
        <v>5049</v>
      </c>
      <c r="D943" s="1" t="s">
        <v>3471</v>
      </c>
      <c r="E943" s="1" t="s">
        <v>750</v>
      </c>
      <c r="F943" s="1" t="s">
        <v>1011</v>
      </c>
      <c r="G943" s="1" t="s">
        <v>1012</v>
      </c>
    </row>
    <row r="944" spans="1:7">
      <c r="A944" s="1">
        <v>943</v>
      </c>
      <c r="B944" s="1" t="s">
        <v>5050</v>
      </c>
      <c r="D944" s="1" t="s">
        <v>3471</v>
      </c>
      <c r="E944" s="1" t="s">
        <v>753</v>
      </c>
      <c r="F944" s="1" t="s">
        <v>1014</v>
      </c>
      <c r="G944" s="1" t="s">
        <v>1015</v>
      </c>
    </row>
    <row r="945" spans="1:7">
      <c r="A945" s="1">
        <v>944</v>
      </c>
      <c r="B945" s="1" t="s">
        <v>5051</v>
      </c>
      <c r="D945" s="1" t="s">
        <v>3471</v>
      </c>
      <c r="E945" s="1" t="s">
        <v>901</v>
      </c>
      <c r="F945" s="1" t="s">
        <v>1017</v>
      </c>
      <c r="G945" s="1" t="s">
        <v>1018</v>
      </c>
    </row>
    <row r="946" spans="1:7">
      <c r="A946" s="1">
        <v>945</v>
      </c>
      <c r="B946" s="1" t="s">
        <v>5052</v>
      </c>
      <c r="D946" s="1" t="s">
        <v>3471</v>
      </c>
      <c r="E946" s="1" t="s">
        <v>904</v>
      </c>
      <c r="F946" s="1" t="s">
        <v>1020</v>
      </c>
      <c r="G946" s="1" t="s">
        <v>1021</v>
      </c>
    </row>
    <row r="947" spans="1:7">
      <c r="A947" s="1">
        <v>946</v>
      </c>
      <c r="B947" s="1" t="s">
        <v>5053</v>
      </c>
      <c r="D947" s="1" t="s">
        <v>3471</v>
      </c>
      <c r="E947" s="1" t="s">
        <v>907</v>
      </c>
      <c r="F947" s="1" t="s">
        <v>1023</v>
      </c>
      <c r="G947" s="1" t="s">
        <v>1024</v>
      </c>
    </row>
    <row r="948" spans="1:7">
      <c r="A948" s="1">
        <v>947</v>
      </c>
      <c r="B948" s="1" t="s">
        <v>5054</v>
      </c>
      <c r="D948" s="1" t="s">
        <v>3471</v>
      </c>
      <c r="E948" s="1" t="s">
        <v>910</v>
      </c>
      <c r="F948" s="1" t="s">
        <v>1026</v>
      </c>
      <c r="G948" s="1" t="s">
        <v>1027</v>
      </c>
    </row>
    <row r="949" spans="1:7">
      <c r="A949" s="1">
        <v>948</v>
      </c>
      <c r="B949" s="1" t="s">
        <v>5055</v>
      </c>
      <c r="D949" s="1" t="s">
        <v>3471</v>
      </c>
      <c r="E949" s="1" t="s">
        <v>915</v>
      </c>
      <c r="F949" s="1" t="s">
        <v>1029</v>
      </c>
      <c r="G949" s="1" t="s">
        <v>1030</v>
      </c>
    </row>
    <row r="950" spans="1:7">
      <c r="A950" s="1">
        <v>949</v>
      </c>
      <c r="B950" s="1" t="s">
        <v>5056</v>
      </c>
      <c r="D950" s="1" t="s">
        <v>3471</v>
      </c>
      <c r="E950" s="1" t="s">
        <v>918</v>
      </c>
      <c r="F950" s="1" t="s">
        <v>1032</v>
      </c>
      <c r="G950" s="1" t="s">
        <v>1033</v>
      </c>
    </row>
    <row r="951" spans="1:7">
      <c r="A951" s="1">
        <v>950</v>
      </c>
      <c r="B951" s="1" t="s">
        <v>5057</v>
      </c>
      <c r="D951" s="1" t="s">
        <v>3483</v>
      </c>
      <c r="E951" s="1" t="s">
        <v>921</v>
      </c>
      <c r="F951" s="1" t="s">
        <v>1037</v>
      </c>
      <c r="G951" s="1" t="s">
        <v>1038</v>
      </c>
    </row>
    <row r="952" spans="1:7">
      <c r="A952" s="1">
        <v>951</v>
      </c>
      <c r="B952" s="1" t="s">
        <v>5058</v>
      </c>
      <c r="D952" s="1" t="s">
        <v>3483</v>
      </c>
      <c r="E952" s="1" t="s">
        <v>924</v>
      </c>
      <c r="F952" s="1" t="s">
        <v>1040</v>
      </c>
      <c r="G952" s="1" t="s">
        <v>1041</v>
      </c>
    </row>
    <row r="953" spans="1:7">
      <c r="A953" s="1">
        <v>952</v>
      </c>
      <c r="B953" s="1" t="s">
        <v>5059</v>
      </c>
      <c r="D953" s="1" t="s">
        <v>3483</v>
      </c>
      <c r="E953" s="1" t="s">
        <v>927</v>
      </c>
      <c r="F953" s="1" t="s">
        <v>1043</v>
      </c>
      <c r="G953" s="1" t="s">
        <v>1044</v>
      </c>
    </row>
    <row r="954" spans="1:7">
      <c r="A954" s="1">
        <v>953</v>
      </c>
      <c r="B954" s="1" t="s">
        <v>5060</v>
      </c>
      <c r="D954" s="1" t="s">
        <v>3483</v>
      </c>
      <c r="E954" s="1" t="s">
        <v>930</v>
      </c>
      <c r="F954" s="1" t="s">
        <v>1046</v>
      </c>
      <c r="G954" s="1" t="s">
        <v>1047</v>
      </c>
    </row>
    <row r="955" spans="1:7">
      <c r="A955" s="1">
        <v>954</v>
      </c>
      <c r="B955" s="1" t="s">
        <v>5061</v>
      </c>
      <c r="D955" s="1" t="s">
        <v>3483</v>
      </c>
      <c r="E955" s="1" t="s">
        <v>3485</v>
      </c>
      <c r="F955" s="1" t="s">
        <v>1049</v>
      </c>
      <c r="G955" s="1" t="s">
        <v>1050</v>
      </c>
    </row>
    <row r="956" spans="1:7">
      <c r="A956" s="1">
        <v>955</v>
      </c>
      <c r="B956" s="1" t="s">
        <v>5062</v>
      </c>
      <c r="D956" s="1" t="s">
        <v>3490</v>
      </c>
      <c r="E956" s="1" t="s">
        <v>935</v>
      </c>
      <c r="F956" s="1" t="s">
        <v>1054</v>
      </c>
      <c r="G956" s="1" t="s">
        <v>1055</v>
      </c>
    </row>
    <row r="957" spans="1:7">
      <c r="A957" s="1">
        <v>956</v>
      </c>
      <c r="B957" s="1" t="s">
        <v>5063</v>
      </c>
      <c r="D957" s="1" t="s">
        <v>3490</v>
      </c>
      <c r="E957" s="1" t="s">
        <v>938</v>
      </c>
      <c r="F957" s="1" t="s">
        <v>1057</v>
      </c>
      <c r="G957" s="1" t="s">
        <v>1058</v>
      </c>
    </row>
    <row r="958" spans="1:7">
      <c r="A958" s="1">
        <v>957</v>
      </c>
      <c r="B958" s="1" t="s">
        <v>5064</v>
      </c>
      <c r="D958" s="1" t="s">
        <v>3490</v>
      </c>
      <c r="E958" s="1" t="s">
        <v>941</v>
      </c>
      <c r="F958" s="1" t="s">
        <v>1060</v>
      </c>
      <c r="G958" s="1" t="s">
        <v>1061</v>
      </c>
    </row>
    <row r="959" spans="1:7">
      <c r="A959" s="1">
        <v>958</v>
      </c>
      <c r="B959" s="1" t="s">
        <v>5065</v>
      </c>
      <c r="D959" s="1" t="s">
        <v>3490</v>
      </c>
      <c r="E959" s="1" t="s">
        <v>944</v>
      </c>
      <c r="F959" s="1" t="s">
        <v>1063</v>
      </c>
      <c r="G959" s="1" t="s">
        <v>1064</v>
      </c>
    </row>
    <row r="960" spans="1:7">
      <c r="A960" s="1">
        <v>959</v>
      </c>
      <c r="B960" s="1" t="s">
        <v>5066</v>
      </c>
      <c r="D960" s="1" t="s">
        <v>3495</v>
      </c>
      <c r="E960" s="1" t="s">
        <v>950</v>
      </c>
      <c r="F960" s="1" t="s">
        <v>1068</v>
      </c>
      <c r="G960" s="1" t="s">
        <v>1069</v>
      </c>
    </row>
    <row r="961" spans="1:7">
      <c r="A961" s="1">
        <v>960</v>
      </c>
      <c r="B961" s="1" t="s">
        <v>5067</v>
      </c>
      <c r="D961" s="1" t="s">
        <v>3495</v>
      </c>
      <c r="E961" s="1" t="s">
        <v>3498</v>
      </c>
      <c r="F961" s="1" t="s">
        <v>1071</v>
      </c>
      <c r="G961" s="1" t="s">
        <v>1072</v>
      </c>
    </row>
    <row r="962" spans="1:7">
      <c r="A962" s="1">
        <v>961</v>
      </c>
      <c r="B962" s="1" t="s">
        <v>5068</v>
      </c>
      <c r="D962" s="1" t="s">
        <v>3495</v>
      </c>
      <c r="E962" s="1" t="s">
        <v>956</v>
      </c>
      <c r="F962" s="1" t="s">
        <v>1074</v>
      </c>
      <c r="G962" s="1" t="s">
        <v>1075</v>
      </c>
    </row>
    <row r="963" spans="1:7">
      <c r="A963" s="1">
        <v>962</v>
      </c>
      <c r="B963" s="1" t="s">
        <v>5069</v>
      </c>
      <c r="D963" s="1" t="s">
        <v>3495</v>
      </c>
      <c r="E963" s="1" t="s">
        <v>960</v>
      </c>
      <c r="F963" s="1" t="s">
        <v>1077</v>
      </c>
      <c r="G963" s="1" t="s">
        <v>1078</v>
      </c>
    </row>
    <row r="964" spans="1:7">
      <c r="A964" s="1">
        <v>963</v>
      </c>
      <c r="B964" s="1" t="s">
        <v>5070</v>
      </c>
      <c r="D964" s="1" t="s">
        <v>3495</v>
      </c>
      <c r="E964" s="1" t="s">
        <v>964</v>
      </c>
      <c r="F964" s="1" t="s">
        <v>1080</v>
      </c>
      <c r="G964" s="1" t="s">
        <v>1081</v>
      </c>
    </row>
    <row r="965" spans="1:7">
      <c r="A965" s="1">
        <v>964</v>
      </c>
      <c r="B965" s="1" t="s">
        <v>5071</v>
      </c>
      <c r="D965" s="1" t="s">
        <v>3495</v>
      </c>
      <c r="E965" s="1" t="s">
        <v>968</v>
      </c>
      <c r="F965" s="1" t="s">
        <v>1083</v>
      </c>
      <c r="G965" s="1" t="s">
        <v>1084</v>
      </c>
    </row>
    <row r="966" spans="1:7">
      <c r="A966" s="1">
        <v>965</v>
      </c>
      <c r="B966" s="1" t="s">
        <v>5072</v>
      </c>
      <c r="D966" s="1" t="s">
        <v>3503</v>
      </c>
      <c r="E966" s="1" t="s">
        <v>976</v>
      </c>
      <c r="F966" s="1" t="s">
        <v>1088</v>
      </c>
      <c r="G966" s="1" t="s">
        <v>1089</v>
      </c>
    </row>
    <row r="967" spans="1:7">
      <c r="A967" s="1">
        <v>966</v>
      </c>
      <c r="B967" s="1" t="s">
        <v>5073</v>
      </c>
      <c r="D967" s="1" t="s">
        <v>3503</v>
      </c>
      <c r="E967" s="1" t="s">
        <v>980</v>
      </c>
      <c r="F967" s="1" t="s">
        <v>1091</v>
      </c>
      <c r="G967" s="1" t="s">
        <v>1092</v>
      </c>
    </row>
    <row r="968" spans="1:7">
      <c r="A968" s="1">
        <v>967</v>
      </c>
      <c r="B968" s="1" t="s">
        <v>5074</v>
      </c>
      <c r="D968" s="1" t="s">
        <v>3503</v>
      </c>
      <c r="E968" s="1" t="s">
        <v>984</v>
      </c>
      <c r="F968" s="1" t="s">
        <v>1094</v>
      </c>
      <c r="G968" s="1" t="s">
        <v>1095</v>
      </c>
    </row>
    <row r="969" spans="1:7">
      <c r="A969" s="1">
        <v>968</v>
      </c>
      <c r="B969" s="1" t="s">
        <v>5075</v>
      </c>
      <c r="D969" s="1" t="s">
        <v>3503</v>
      </c>
      <c r="E969" s="1" t="s">
        <v>988</v>
      </c>
      <c r="F969" s="1" t="s">
        <v>1097</v>
      </c>
      <c r="G969" s="1" t="s">
        <v>1098</v>
      </c>
    </row>
    <row r="970" spans="1:7">
      <c r="A970" s="1">
        <v>969</v>
      </c>
      <c r="B970" s="1" t="s">
        <v>5076</v>
      </c>
      <c r="D970" s="1" t="s">
        <v>3503</v>
      </c>
      <c r="E970" s="1" t="s">
        <v>992</v>
      </c>
      <c r="F970" s="1" t="s">
        <v>1100</v>
      </c>
      <c r="G970" s="1" t="s">
        <v>1101</v>
      </c>
    </row>
    <row r="971" spans="1:7">
      <c r="A971" s="1">
        <v>970</v>
      </c>
      <c r="B971" s="1" t="s">
        <v>5077</v>
      </c>
      <c r="D971" s="1" t="s">
        <v>3503</v>
      </c>
      <c r="E971" s="1" t="s">
        <v>996</v>
      </c>
      <c r="F971" s="1" t="s">
        <v>1103</v>
      </c>
      <c r="G971" s="1" t="s">
        <v>1104</v>
      </c>
    </row>
    <row r="972" spans="1:7">
      <c r="A972" s="1">
        <v>971</v>
      </c>
      <c r="B972" s="1" t="s">
        <v>5078</v>
      </c>
      <c r="D972" s="1" t="s">
        <v>3510</v>
      </c>
      <c r="E972" s="1" t="s">
        <v>1056</v>
      </c>
      <c r="F972" s="1" t="s">
        <v>1108</v>
      </c>
      <c r="G972" s="1" t="s">
        <v>1109</v>
      </c>
    </row>
    <row r="973" spans="1:7">
      <c r="A973" s="1">
        <v>972</v>
      </c>
      <c r="B973" s="1" t="s">
        <v>5079</v>
      </c>
      <c r="D973" s="1" t="s">
        <v>3510</v>
      </c>
      <c r="E973" s="1" t="s">
        <v>1059</v>
      </c>
      <c r="F973" s="1" t="s">
        <v>1111</v>
      </c>
      <c r="G973" s="1" t="s">
        <v>1112</v>
      </c>
    </row>
    <row r="974" spans="1:7">
      <c r="A974" s="1">
        <v>973</v>
      </c>
      <c r="B974" s="1" t="s">
        <v>5080</v>
      </c>
      <c r="D974" s="1" t="s">
        <v>3510</v>
      </c>
      <c r="E974" s="1" t="s">
        <v>1062</v>
      </c>
      <c r="F974" s="1" t="s">
        <v>1114</v>
      </c>
      <c r="G974" s="1" t="s">
        <v>1115</v>
      </c>
    </row>
    <row r="975" spans="1:7">
      <c r="A975" s="1">
        <v>974</v>
      </c>
      <c r="B975" s="1" t="s">
        <v>5081</v>
      </c>
      <c r="D975" s="1" t="s">
        <v>3510</v>
      </c>
      <c r="E975" s="1" t="s">
        <v>3514</v>
      </c>
      <c r="F975" s="1" t="s">
        <v>1117</v>
      </c>
      <c r="G975" s="1" t="s">
        <v>1118</v>
      </c>
    </row>
    <row r="976" spans="1:7">
      <c r="A976" s="1">
        <v>975</v>
      </c>
      <c r="B976" s="1" t="s">
        <v>5082</v>
      </c>
      <c r="D976" s="1" t="s">
        <v>3510</v>
      </c>
      <c r="E976" s="1" t="s">
        <v>1067</v>
      </c>
      <c r="F976" s="1" t="s">
        <v>1120</v>
      </c>
      <c r="G976" s="1" t="s">
        <v>1121</v>
      </c>
    </row>
    <row r="977" spans="1:7">
      <c r="A977" s="1">
        <v>976</v>
      </c>
      <c r="B977" s="1" t="s">
        <v>5083</v>
      </c>
      <c r="D977" s="1" t="s">
        <v>3510</v>
      </c>
      <c r="E977" s="1" t="s">
        <v>1070</v>
      </c>
      <c r="F977" s="1" t="s">
        <v>1123</v>
      </c>
      <c r="G977" s="1" t="s">
        <v>1124</v>
      </c>
    </row>
    <row r="978" spans="1:7">
      <c r="A978" s="1">
        <v>977</v>
      </c>
      <c r="B978" s="1" t="s">
        <v>5084</v>
      </c>
      <c r="D978" s="1" t="s">
        <v>3510</v>
      </c>
      <c r="E978" s="1" t="s">
        <v>1073</v>
      </c>
      <c r="F978" s="1" t="s">
        <v>1126</v>
      </c>
      <c r="G978" s="1" t="s">
        <v>1127</v>
      </c>
    </row>
    <row r="979" spans="1:7">
      <c r="A979" s="1">
        <v>978</v>
      </c>
      <c r="B979" s="1" t="s">
        <v>5085</v>
      </c>
      <c r="D979" s="1" t="s">
        <v>3519</v>
      </c>
      <c r="E979" s="1" t="s">
        <v>1004</v>
      </c>
      <c r="F979" s="1" t="s">
        <v>1131</v>
      </c>
      <c r="G979" s="1" t="s">
        <v>1132</v>
      </c>
    </row>
    <row r="980" spans="1:7">
      <c r="A980" s="1">
        <v>979</v>
      </c>
      <c r="B980" s="1" t="s">
        <v>5086</v>
      </c>
      <c r="D980" s="1" t="s">
        <v>3519</v>
      </c>
      <c r="E980" s="1" t="s">
        <v>1007</v>
      </c>
      <c r="F980" s="1" t="s">
        <v>1134</v>
      </c>
      <c r="G980" s="1" t="s">
        <v>1135</v>
      </c>
    </row>
    <row r="981" spans="1:7">
      <c r="A981" s="1">
        <v>980</v>
      </c>
      <c r="B981" s="1" t="s">
        <v>5087</v>
      </c>
      <c r="D981" s="1" t="s">
        <v>3519</v>
      </c>
      <c r="E981" s="1" t="s">
        <v>1010</v>
      </c>
      <c r="F981" s="1" t="s">
        <v>1137</v>
      </c>
      <c r="G981" s="1" t="s">
        <v>1138</v>
      </c>
    </row>
    <row r="982" spans="1:7">
      <c r="A982" s="1">
        <v>981</v>
      </c>
      <c r="B982" s="1" t="s">
        <v>5088</v>
      </c>
      <c r="D982" s="1" t="s">
        <v>3519</v>
      </c>
      <c r="E982" s="1" t="s">
        <v>1013</v>
      </c>
      <c r="F982" s="1" t="s">
        <v>1140</v>
      </c>
      <c r="G982" s="1" t="s">
        <v>1141</v>
      </c>
    </row>
    <row r="983" spans="1:7">
      <c r="A983" s="1">
        <v>982</v>
      </c>
      <c r="B983" s="1" t="s">
        <v>5089</v>
      </c>
      <c r="D983" s="1" t="s">
        <v>3519</v>
      </c>
      <c r="E983" s="1" t="s">
        <v>1016</v>
      </c>
      <c r="F983" s="1" t="s">
        <v>1143</v>
      </c>
      <c r="G983" s="1" t="s">
        <v>1144</v>
      </c>
    </row>
    <row r="984" spans="1:7">
      <c r="A984" s="1">
        <v>983</v>
      </c>
      <c r="B984" s="1" t="s">
        <v>5090</v>
      </c>
      <c r="D984" s="1" t="s">
        <v>3519</v>
      </c>
      <c r="E984" s="1" t="s">
        <v>1019</v>
      </c>
      <c r="F984" s="1" t="s">
        <v>1146</v>
      </c>
      <c r="G984" s="1" t="s">
        <v>1147</v>
      </c>
    </row>
    <row r="985" spans="1:7">
      <c r="A985" s="1">
        <v>984</v>
      </c>
      <c r="B985" s="1" t="s">
        <v>5091</v>
      </c>
      <c r="D985" s="1" t="s">
        <v>3519</v>
      </c>
      <c r="E985" s="1" t="s">
        <v>1022</v>
      </c>
      <c r="F985" s="1" t="s">
        <v>1149</v>
      </c>
      <c r="G985" s="1" t="s">
        <v>1150</v>
      </c>
    </row>
    <row r="986" spans="1:7">
      <c r="A986" s="1">
        <v>985</v>
      </c>
      <c r="B986" s="1" t="s">
        <v>5092</v>
      </c>
      <c r="D986" s="1" t="s">
        <v>3527</v>
      </c>
      <c r="E986" s="1" t="s">
        <v>1028</v>
      </c>
      <c r="F986" s="1" t="s">
        <v>1154</v>
      </c>
      <c r="G986" s="1" t="s">
        <v>1155</v>
      </c>
    </row>
    <row r="987" spans="1:7">
      <c r="A987" s="1">
        <v>986</v>
      </c>
      <c r="B987" s="1" t="s">
        <v>5093</v>
      </c>
      <c r="D987" s="1" t="s">
        <v>3527</v>
      </c>
      <c r="E987" s="1" t="s">
        <v>1031</v>
      </c>
      <c r="F987" s="1" t="s">
        <v>1157</v>
      </c>
      <c r="G987" s="1" t="s">
        <v>1158</v>
      </c>
    </row>
    <row r="988" spans="1:7">
      <c r="A988" s="1">
        <v>987</v>
      </c>
      <c r="B988" s="1" t="s">
        <v>5094</v>
      </c>
      <c r="D988" s="1" t="s">
        <v>3527</v>
      </c>
      <c r="E988" s="1" t="s">
        <v>1036</v>
      </c>
      <c r="F988" s="1" t="s">
        <v>1160</v>
      </c>
      <c r="G988" s="1" t="s">
        <v>1161</v>
      </c>
    </row>
    <row r="989" spans="1:7">
      <c r="A989" s="1">
        <v>988</v>
      </c>
      <c r="B989" s="1" t="s">
        <v>5095</v>
      </c>
      <c r="D989" s="1" t="s">
        <v>3527</v>
      </c>
      <c r="E989" s="1" t="s">
        <v>1039</v>
      </c>
      <c r="F989" s="1" t="s">
        <v>1163</v>
      </c>
      <c r="G989" s="1" t="s">
        <v>1164</v>
      </c>
    </row>
    <row r="990" spans="1:7">
      <c r="A990" s="1">
        <v>989</v>
      </c>
      <c r="B990" s="1" t="s">
        <v>5096</v>
      </c>
      <c r="D990" s="1" t="s">
        <v>3527</v>
      </c>
      <c r="E990" s="1" t="s">
        <v>1042</v>
      </c>
      <c r="F990" s="1" t="s">
        <v>1166</v>
      </c>
      <c r="G990" s="1" t="s">
        <v>1167</v>
      </c>
    </row>
    <row r="991" spans="1:7">
      <c r="A991" s="1">
        <v>990</v>
      </c>
      <c r="B991" s="1" t="s">
        <v>5097</v>
      </c>
      <c r="D991" s="1" t="s">
        <v>3527</v>
      </c>
      <c r="E991" s="1" t="s">
        <v>1045</v>
      </c>
      <c r="F991" s="1" t="s">
        <v>1169</v>
      </c>
      <c r="G991" s="1" t="s">
        <v>1170</v>
      </c>
    </row>
    <row r="992" spans="1:7">
      <c r="A992" s="1">
        <v>991</v>
      </c>
      <c r="B992" s="1" t="s">
        <v>5098</v>
      </c>
      <c r="D992" s="1" t="s">
        <v>3527</v>
      </c>
      <c r="E992" s="1" t="s">
        <v>1048</v>
      </c>
      <c r="F992" s="1" t="s">
        <v>1172</v>
      </c>
      <c r="G992" s="1" t="s">
        <v>1173</v>
      </c>
    </row>
    <row r="993" spans="1:7">
      <c r="A993" s="1">
        <v>992</v>
      </c>
      <c r="B993" s="1" t="s">
        <v>5099</v>
      </c>
      <c r="D993" s="1" t="s">
        <v>3535</v>
      </c>
      <c r="E993" s="1" t="s">
        <v>1079</v>
      </c>
      <c r="F993" s="1" t="s">
        <v>1177</v>
      </c>
      <c r="G993" s="1" t="s">
        <v>1178</v>
      </c>
    </row>
    <row r="994" spans="1:7">
      <c r="A994" s="1">
        <v>993</v>
      </c>
      <c r="B994" s="1" t="s">
        <v>5100</v>
      </c>
      <c r="D994" s="1" t="s">
        <v>3535</v>
      </c>
      <c r="E994" s="1" t="s">
        <v>1082</v>
      </c>
      <c r="F994" s="1" t="s">
        <v>1180</v>
      </c>
      <c r="G994" s="1" t="s">
        <v>1181</v>
      </c>
    </row>
    <row r="995" spans="1:7">
      <c r="A995" s="1">
        <v>994</v>
      </c>
      <c r="B995" s="1" t="s">
        <v>5101</v>
      </c>
      <c r="D995" s="1" t="s">
        <v>3535</v>
      </c>
      <c r="E995" s="1" t="s">
        <v>3538</v>
      </c>
      <c r="F995" s="1" t="s">
        <v>1183</v>
      </c>
      <c r="G995" s="1" t="s">
        <v>1184</v>
      </c>
    </row>
    <row r="996" spans="1:7">
      <c r="A996" s="1">
        <v>995</v>
      </c>
      <c r="B996" s="1" t="s">
        <v>5102</v>
      </c>
      <c r="D996" s="1" t="s">
        <v>3535</v>
      </c>
      <c r="E996" s="1" t="s">
        <v>1087</v>
      </c>
      <c r="F996" s="1" t="s">
        <v>1186</v>
      </c>
      <c r="G996" s="1" t="s">
        <v>1187</v>
      </c>
    </row>
    <row r="997" spans="1:7">
      <c r="A997" s="1">
        <v>996</v>
      </c>
      <c r="B997" s="1" t="s">
        <v>5103</v>
      </c>
      <c r="D997" s="1" t="s">
        <v>3535</v>
      </c>
      <c r="E997" s="1" t="s">
        <v>1090</v>
      </c>
      <c r="F997" s="1" t="s">
        <v>1189</v>
      </c>
      <c r="G997" s="1" t="s">
        <v>1190</v>
      </c>
    </row>
    <row r="998" spans="1:7">
      <c r="A998" s="1">
        <v>997</v>
      </c>
      <c r="B998" s="1" t="s">
        <v>5104</v>
      </c>
      <c r="D998" s="1" t="s">
        <v>3535</v>
      </c>
      <c r="E998" s="1" t="s">
        <v>1093</v>
      </c>
      <c r="F998" s="1" t="s">
        <v>1192</v>
      </c>
      <c r="G998" s="1" t="s">
        <v>1193</v>
      </c>
    </row>
    <row r="999" spans="1:7">
      <c r="A999" s="1">
        <v>998</v>
      </c>
      <c r="B999" s="1" t="s">
        <v>5105</v>
      </c>
      <c r="D999" s="1" t="s">
        <v>3535</v>
      </c>
      <c r="E999" s="1" t="s">
        <v>1096</v>
      </c>
      <c r="F999" s="1" t="s">
        <v>1195</v>
      </c>
      <c r="G999" s="1" t="s">
        <v>1196</v>
      </c>
    </row>
    <row r="1000" spans="1:7">
      <c r="A1000" s="1">
        <v>999</v>
      </c>
      <c r="B1000" s="1" t="s">
        <v>5106</v>
      </c>
      <c r="D1000" s="1" t="s">
        <v>3544</v>
      </c>
      <c r="E1000" s="1" t="s">
        <v>1102</v>
      </c>
      <c r="F1000" s="1" t="s">
        <v>1200</v>
      </c>
      <c r="G1000" s="1" t="s">
        <v>1201</v>
      </c>
    </row>
    <row r="1001" spans="1:7">
      <c r="A1001" s="1">
        <v>1000</v>
      </c>
      <c r="B1001" s="1" t="s">
        <v>5107</v>
      </c>
      <c r="D1001" s="1" t="s">
        <v>3544</v>
      </c>
      <c r="E1001" s="1" t="s">
        <v>3547</v>
      </c>
      <c r="F1001" s="1" t="s">
        <v>1203</v>
      </c>
      <c r="G1001" s="1" t="s">
        <v>1204</v>
      </c>
    </row>
    <row r="1002" spans="1:7">
      <c r="A1002" s="1">
        <v>1001</v>
      </c>
      <c r="B1002" s="1" t="s">
        <v>5108</v>
      </c>
      <c r="D1002" s="1" t="s">
        <v>3544</v>
      </c>
      <c r="E1002" s="1" t="s">
        <v>1130</v>
      </c>
      <c r="F1002" s="1" t="s">
        <v>1206</v>
      </c>
      <c r="G1002" s="1" t="s">
        <v>1207</v>
      </c>
    </row>
    <row r="1003" spans="1:7">
      <c r="A1003" s="1">
        <v>1002</v>
      </c>
      <c r="B1003" s="1" t="s">
        <v>5109</v>
      </c>
      <c r="D1003" s="1" t="s">
        <v>3544</v>
      </c>
      <c r="E1003" s="1" t="s">
        <v>1133</v>
      </c>
      <c r="F1003" s="1" t="s">
        <v>1209</v>
      </c>
      <c r="G1003" s="1" t="s">
        <v>1210</v>
      </c>
    </row>
    <row r="1004" spans="1:7">
      <c r="A1004" s="1">
        <v>1003</v>
      </c>
      <c r="B1004" s="1" t="s">
        <v>5110</v>
      </c>
      <c r="D1004" s="1" t="s">
        <v>3544</v>
      </c>
      <c r="E1004" s="1" t="s">
        <v>1136</v>
      </c>
      <c r="F1004" s="1" t="s">
        <v>1212</v>
      </c>
      <c r="G1004" s="1" t="s">
        <v>1213</v>
      </c>
    </row>
    <row r="1005" spans="1:7">
      <c r="A1005" s="1">
        <v>1004</v>
      </c>
      <c r="B1005" s="1" t="s">
        <v>5111</v>
      </c>
      <c r="D1005" s="1" t="s">
        <v>3544</v>
      </c>
      <c r="E1005" s="1" t="s">
        <v>1139</v>
      </c>
      <c r="F1005" s="1" t="s">
        <v>1215</v>
      </c>
      <c r="G1005" s="1" t="s">
        <v>1216</v>
      </c>
    </row>
    <row r="1006" spans="1:7">
      <c r="A1006" s="1">
        <v>1005</v>
      </c>
      <c r="B1006" s="1" t="s">
        <v>5112</v>
      </c>
      <c r="D1006" s="1" t="s">
        <v>3544</v>
      </c>
      <c r="E1006" s="1" t="s">
        <v>1142</v>
      </c>
      <c r="F1006" s="1" t="s">
        <v>1218</v>
      </c>
      <c r="G1006" s="1" t="s">
        <v>1219</v>
      </c>
    </row>
    <row r="1007" spans="1:7">
      <c r="A1007" s="1">
        <v>1006</v>
      </c>
      <c r="B1007" s="1" t="s">
        <v>5113</v>
      </c>
      <c r="D1007" s="1" t="s">
        <v>3553</v>
      </c>
      <c r="E1007" s="1" t="s">
        <v>3554</v>
      </c>
      <c r="F1007" s="1" t="s">
        <v>311</v>
      </c>
      <c r="G1007" s="1" t="s">
        <v>312</v>
      </c>
    </row>
    <row r="1008" spans="1:7">
      <c r="A1008" s="1">
        <v>1007</v>
      </c>
      <c r="B1008" s="1" t="s">
        <v>5114</v>
      </c>
      <c r="D1008" s="1" t="s">
        <v>3553</v>
      </c>
      <c r="E1008" s="1" t="s">
        <v>435</v>
      </c>
      <c r="F1008" s="1" t="s">
        <v>314</v>
      </c>
      <c r="G1008" s="1" t="s">
        <v>315</v>
      </c>
    </row>
    <row r="1009" spans="1:7">
      <c r="A1009" s="1">
        <v>1008</v>
      </c>
      <c r="B1009" s="1" t="s">
        <v>5115</v>
      </c>
      <c r="D1009" s="1" t="s">
        <v>3557</v>
      </c>
      <c r="E1009" s="1" t="s">
        <v>5116</v>
      </c>
      <c r="F1009" s="1" t="s">
        <v>3561</v>
      </c>
      <c r="G1009" s="1" t="s">
        <v>3562</v>
      </c>
    </row>
    <row r="1010" spans="1:7">
      <c r="A1010" s="1">
        <v>1009</v>
      </c>
      <c r="B1010" s="1" t="s">
        <v>5117</v>
      </c>
      <c r="D1010" s="1" t="s">
        <v>3557</v>
      </c>
      <c r="E1010" s="1" t="s">
        <v>5118</v>
      </c>
      <c r="F1010" s="1" t="s">
        <v>3565</v>
      </c>
      <c r="G1010" s="1" t="s">
        <v>3566</v>
      </c>
    </row>
  </sheetData>
  <autoFilter ref="A1:S985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45"/>
  <dimension ref="A1:BS2"/>
  <sheetViews>
    <sheetView tabSelected="1" workbookViewId="0">
      <pane ySplit="1" topLeftCell="A2" activePane="bottomLeft" state="frozen"/>
      <selection/>
      <selection pane="bottomLeft" activeCell="C8" sqref="C8"/>
    </sheetView>
  </sheetViews>
  <sheetFormatPr defaultColWidth="9" defaultRowHeight="13.5" outlineLevelRow="1"/>
  <cols>
    <col min="1" max="1" width="51" style="1" customWidth="1"/>
    <col min="2" max="2" width="38.225" style="1" customWidth="1"/>
    <col min="3" max="3" width="35.6666666666667" style="1" customWidth="1"/>
    <col min="4" max="16384" width="9" style="1"/>
  </cols>
  <sheetData>
    <row r="1" spans="1:71">
      <c r="A1" s="1" t="s">
        <v>5</v>
      </c>
      <c r="F1" s="3">
        <v>1</v>
      </c>
      <c r="G1" s="4"/>
      <c r="H1" s="4"/>
      <c r="I1" s="4"/>
      <c r="J1" s="4"/>
      <c r="K1" s="4"/>
      <c r="L1" s="4"/>
      <c r="M1" s="4"/>
      <c r="N1" s="4"/>
      <c r="O1" s="4"/>
      <c r="P1" s="3">
        <v>2</v>
      </c>
      <c r="Q1" s="4"/>
      <c r="R1" s="4"/>
      <c r="S1" s="4"/>
      <c r="T1" s="4"/>
      <c r="U1" s="4"/>
      <c r="V1" s="4"/>
      <c r="W1" s="4"/>
      <c r="X1" s="4"/>
      <c r="Y1" s="4"/>
      <c r="Z1" s="3">
        <v>3</v>
      </c>
      <c r="AA1" s="4"/>
      <c r="AB1" s="4"/>
      <c r="AC1" s="4"/>
      <c r="AD1" s="4"/>
      <c r="AE1" s="4"/>
      <c r="AF1" s="4"/>
      <c r="AG1" s="4"/>
      <c r="AH1" s="4"/>
      <c r="AI1" s="4"/>
      <c r="AJ1" s="3">
        <v>4</v>
      </c>
      <c r="AK1" s="4"/>
      <c r="AL1" s="4"/>
      <c r="AM1" s="4"/>
      <c r="AN1" s="4"/>
      <c r="AO1" s="4"/>
      <c r="AP1" s="4"/>
      <c r="AQ1" s="4"/>
      <c r="AR1" s="4"/>
      <c r="AS1" s="3">
        <v>5</v>
      </c>
      <c r="AT1" s="4"/>
      <c r="AU1" s="4"/>
      <c r="AV1" s="4"/>
      <c r="AW1" s="4"/>
      <c r="AX1" s="4"/>
      <c r="AY1" s="4"/>
      <c r="AZ1" s="4"/>
      <c r="BA1" s="4"/>
      <c r="BB1" s="3">
        <v>6</v>
      </c>
      <c r="BC1" s="4"/>
      <c r="BD1" s="4"/>
      <c r="BE1" s="4"/>
      <c r="BF1" s="4"/>
      <c r="BG1" s="4"/>
      <c r="BH1" s="4"/>
      <c r="BI1" s="4"/>
      <c r="BJ1" s="4"/>
      <c r="BK1" s="3">
        <v>7</v>
      </c>
      <c r="BL1" s="4"/>
      <c r="BM1" s="4"/>
      <c r="BN1" s="4"/>
      <c r="BO1" s="4"/>
      <c r="BP1" s="4"/>
      <c r="BQ1" s="4"/>
      <c r="BR1" s="4"/>
      <c r="BS1" s="3"/>
    </row>
    <row r="2" spans="1:71">
      <c r="A2" s="1" t="s">
        <v>688</v>
      </c>
      <c r="B2" s="1" t="s">
        <v>5119</v>
      </c>
      <c r="C2" s="1" t="str">
        <f>IFERROR(INDEX('6.0.35'!G:G,MATCH(A2,'6.0.35'!F:F,0)),IFERROR(INDEX('5.0.42'!G:G,MATCH(A2,'5.0.42'!F:F,0)),IFERROR(INDEX('7.0.17'!G:G,MATCH(A2,'7.0.17'!F:F,0)),"")))</f>
        <v>接口{#IFNAME}: 网络流量</v>
      </c>
      <c r="D2" s="1">
        <f>IF(C2=B2,1,0)</f>
        <v>0</v>
      </c>
      <c r="E2" s="5">
        <f>(LEN(A2)-LEN(SUBSTITUTE(A2,"{","")))/LEN("{")</f>
        <v>1</v>
      </c>
      <c r="F2" s="5" t="str">
        <f>REPLACE(B2,H2,I2-H2+1,N2)</f>
        <v>接口{#IFNAME}:网络流量</v>
      </c>
      <c r="G2" s="5"/>
      <c r="H2" s="5">
        <f>FIND("{",B2,1)</f>
        <v>3</v>
      </c>
      <c r="I2" s="5">
        <f>FIND("}",B2,H2+1)</f>
        <v>11</v>
      </c>
      <c r="J2" s="5" t="str">
        <f>MID(B2,H2,I2-H2+1)</f>
        <v>{#IFNAME}</v>
      </c>
      <c r="K2" s="5"/>
      <c r="L2" s="5">
        <f>FIND("{",A2,1)</f>
        <v>11</v>
      </c>
      <c r="M2" s="5">
        <f>FIND("}",A2,L2+1)</f>
        <v>19</v>
      </c>
      <c r="N2" s="5" t="str">
        <f>MID(A2,L2,M2-L2+1)</f>
        <v>{#IFNAME}</v>
      </c>
      <c r="O2" s="5"/>
      <c r="P2" s="5" t="e">
        <f>REPLACE($B2,R2,S2-R2+1,X2)</f>
        <v>#VALUE!</v>
      </c>
      <c r="Q2" s="5"/>
      <c r="R2" s="5" t="e">
        <f>FIND("{",$B2,I2+1)</f>
        <v>#VALUE!</v>
      </c>
      <c r="S2" s="5" t="e">
        <f>FIND("}",$B2,R2+1)</f>
        <v>#VALUE!</v>
      </c>
      <c r="T2" s="5" t="e">
        <f>MID($B2,R2,S2-R2+1)</f>
        <v>#VALUE!</v>
      </c>
      <c r="U2" s="5"/>
      <c r="V2" s="5" t="e">
        <f>FIND("{",$A2,M2+1)</f>
        <v>#VALUE!</v>
      </c>
      <c r="W2" s="5" t="e">
        <f>FIND("}",$A2,V2+1)</f>
        <v>#VALUE!</v>
      </c>
      <c r="X2" s="5" t="e">
        <f>MID($A2,V2,W2-V2+1)</f>
        <v>#VALUE!</v>
      </c>
      <c r="Y2" s="5"/>
      <c r="Z2" s="5" t="e">
        <f>REPLACE($B2,AB2,AC2-AB2+1,AH2)</f>
        <v>#VALUE!</v>
      </c>
      <c r="AA2" s="5"/>
      <c r="AB2" s="5" t="e">
        <f>FIND("{",$B2,S2+1)</f>
        <v>#VALUE!</v>
      </c>
      <c r="AC2" s="5" t="e">
        <f>FIND("}",$B2,AB2+1)</f>
        <v>#VALUE!</v>
      </c>
      <c r="AD2" s="5" t="e">
        <f>MID($B2,AB2,AC2-AB2+1)</f>
        <v>#VALUE!</v>
      </c>
      <c r="AE2" s="5"/>
      <c r="AF2" s="5" t="e">
        <f>FIND("{",$A2,W2+1)</f>
        <v>#VALUE!</v>
      </c>
      <c r="AG2" s="5" t="e">
        <f>FIND("}",$A2,AF2+1)</f>
        <v>#VALUE!</v>
      </c>
      <c r="AH2" s="5" t="e">
        <f>MID($A2,AF2,AG2-AF2+1)</f>
        <v>#VALUE!</v>
      </c>
      <c r="AI2" s="5"/>
      <c r="AJ2" s="5" t="e">
        <f>REPLACE($B2,AL2,AM2-AL2+1,AR2)</f>
        <v>#VALUE!</v>
      </c>
      <c r="AK2" s="5"/>
      <c r="AL2" s="5" t="e">
        <f>FIND("{",$B2,AC2+1)</f>
        <v>#VALUE!</v>
      </c>
      <c r="AM2" s="5" t="e">
        <f>FIND("}",$B2,AL2+1)</f>
        <v>#VALUE!</v>
      </c>
      <c r="AN2" s="5" t="e">
        <f>MID($B2,AL2,AM2-AL2+1)</f>
        <v>#VALUE!</v>
      </c>
      <c r="AO2" s="5"/>
      <c r="AP2" s="5" t="e">
        <f>FIND("{",$A2,AG2+1)</f>
        <v>#VALUE!</v>
      </c>
      <c r="AQ2" s="5" t="e">
        <f>FIND("}",$A2,AP2+1)</f>
        <v>#VALUE!</v>
      </c>
      <c r="AR2" s="5" t="e">
        <f>MID($A2,AP2,AQ2-AP2+1)</f>
        <v>#VALUE!</v>
      </c>
      <c r="AS2" s="5" t="e">
        <f>REPLACE($B2,AU2,AV2-AU2+1,BA2)</f>
        <v>#VALUE!</v>
      </c>
      <c r="AT2" s="5"/>
      <c r="AU2" s="5" t="e">
        <f>FIND("{",$B2,AM2+1)</f>
        <v>#VALUE!</v>
      </c>
      <c r="AV2" s="5" t="e">
        <f>FIND("}",$B2,AU2+1)</f>
        <v>#VALUE!</v>
      </c>
      <c r="AW2" s="5" t="e">
        <f>MID($B2,AU2,AV2-AU2+1)</f>
        <v>#VALUE!</v>
      </c>
      <c r="AX2" s="5"/>
      <c r="AY2" s="5" t="e">
        <f>FIND("{",$A2,AQ2+1)</f>
        <v>#VALUE!</v>
      </c>
      <c r="AZ2" s="5" t="e">
        <f>FIND("}",$A2,AY2+1)</f>
        <v>#VALUE!</v>
      </c>
      <c r="BA2" s="5" t="e">
        <f>MID($A2,AY2,AZ2-AY2+1)</f>
        <v>#VALUE!</v>
      </c>
      <c r="BB2" s="5" t="e">
        <f>REPLACE($B2,BD2,BE2-BD2+1,BJ2)</f>
        <v>#VALUE!</v>
      </c>
      <c r="BC2" s="5"/>
      <c r="BD2" s="5" t="e">
        <f>FIND("{",$B2,AV2+1)</f>
        <v>#VALUE!</v>
      </c>
      <c r="BE2" s="5" t="e">
        <f>FIND("}",$B2,BD2+1)</f>
        <v>#VALUE!</v>
      </c>
      <c r="BF2" s="5" t="e">
        <f>MID($B2,BD2,BE2-BD2+1)</f>
        <v>#VALUE!</v>
      </c>
      <c r="BG2" s="5"/>
      <c r="BH2" s="5" t="e">
        <f>FIND("{",$A2,AZ2+1)</f>
        <v>#VALUE!</v>
      </c>
      <c r="BI2" s="5" t="e">
        <f>FIND("}",$A2,BH2+1)</f>
        <v>#VALUE!</v>
      </c>
      <c r="BJ2" s="5" t="e">
        <f>MID($A2,BH2,BI2-BH2+1)</f>
        <v>#VALUE!</v>
      </c>
      <c r="BK2" s="5" t="e">
        <f>REPLACE($B2,BM2,BN2-BM2+1,BS2)</f>
        <v>#VALUE!</v>
      </c>
      <c r="BL2" s="5"/>
      <c r="BM2" s="5" t="e">
        <f>FIND("{",$B2,BE2+1)</f>
        <v>#VALUE!</v>
      </c>
      <c r="BN2" s="5" t="e">
        <f>FIND("}",$B2,BM2+1)</f>
        <v>#VALUE!</v>
      </c>
      <c r="BO2" s="5" t="e">
        <f>MID($B2,BM2,BN2-BM2+1)</f>
        <v>#VALUE!</v>
      </c>
      <c r="BP2" s="5"/>
      <c r="BQ2" s="5" t="e">
        <f>FIND("{",$A2,BI2+1)</f>
        <v>#VALUE!</v>
      </c>
      <c r="BR2" s="5" t="e">
        <f>FIND("}",$A2,BQ2+1)</f>
        <v>#VALUE!</v>
      </c>
      <c r="BS2" s="5" t="e">
        <f>MID($A2,BQ2,BR2-BQ2+1)</f>
        <v>#VALUE!</v>
      </c>
    </row>
  </sheetData>
  <autoFilter ref="A1:BS2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11"/>
  <dimension ref="A1:C82"/>
  <sheetViews>
    <sheetView workbookViewId="0">
      <selection activeCell="B18" sqref="B18"/>
    </sheetView>
  </sheetViews>
  <sheetFormatPr defaultColWidth="8.89166666666667" defaultRowHeight="13.5" outlineLevelCol="2"/>
  <cols>
    <col min="1" max="1" width="29.6666666666667" customWidth="1"/>
    <col min="2" max="2" width="47.3833333333333" customWidth="1"/>
  </cols>
  <sheetData>
    <row r="1" spans="1:3">
      <c r="A1" s="2"/>
      <c r="C1" s="2" t="str">
        <f>A1&amp;B1</f>
        <v/>
      </c>
    </row>
    <row r="2" spans="1:3">
      <c r="A2" s="2" t="s">
        <v>5120</v>
      </c>
      <c r="B2" t="s">
        <v>4286</v>
      </c>
      <c r="C2" s="2" t="str">
        <f>A2&amp;B2</f>
        <v>戴尔R660：物理磁盘[{#DISK_NAME}]：容量大小[{#JMXIGNITEINSTANCENAME}]: 任务当前状态</v>
      </c>
    </row>
    <row r="3" spans="1:3">
      <c r="A3" s="1" t="s">
        <v>5121</v>
      </c>
      <c r="B3" t="s">
        <v>4291</v>
      </c>
      <c r="C3" s="2" t="str">
        <f>INDEX(B:B,MATCH(A3,A:A,0))</f>
        <v>[{#JMXIGNITEINSTANCENAME}]: 事务</v>
      </c>
    </row>
    <row r="4" spans="1:3">
      <c r="A4" s="1" t="s">
        <v>5122</v>
      </c>
      <c r="B4" t="s">
        <v>4294</v>
      </c>
      <c r="C4" s="2" t="str">
        <f>INDEX(B:B,MATCH(A4,A:A,0))</f>
        <v>[{#JMXIGNITEINSTANCENAME}]: 通信消息速率</v>
      </c>
    </row>
    <row r="5" spans="1:3">
      <c r="A5" s="1" t="s">
        <v>5123</v>
      </c>
      <c r="B5" t="s">
        <v>4297</v>
      </c>
      <c r="C5" s="2" t="str">
        <f>INDEX(B:B,MATCH(A5,A:A,0))</f>
        <v>[{#JMXIGNITEINSTANCENAME}]: 任务速率</v>
      </c>
    </row>
    <row r="6" spans="1:3">
      <c r="A6" s="1" t="s">
        <v>5124</v>
      </c>
      <c r="B6" t="s">
        <v>4300</v>
      </c>
      <c r="C6" s="2" t="str">
        <f>INDEX(B:B,MATCH(A6,A:A,0))</f>
        <v>[{#JMXIGNITEINSTANCENAME}]: 发现消息速率</v>
      </c>
    </row>
    <row r="7" spans="1:3">
      <c r="A7" s="1" t="s">
        <v>5125</v>
      </c>
      <c r="B7" t="s">
        <v>4303</v>
      </c>
      <c r="C7" s="2" t="str">
        <f>INDEX(B:B,MATCH(A7,A:A,0))</f>
        <v>[{#JMXIGNITEINSTANCENAME}]: 事务速率</v>
      </c>
    </row>
    <row r="8" spans="1:3">
      <c r="A8" s="1" t="s">
        <v>5126</v>
      </c>
      <c r="B8" t="s">
        <v>4323</v>
      </c>
      <c r="C8" s="2"/>
    </row>
    <row r="9" spans="1:3">
      <c r="A9" s="1" t="s">
        <v>5120</v>
      </c>
      <c r="B9" t="s">
        <v>4327</v>
      </c>
      <c r="C9" s="2"/>
    </row>
    <row r="10" spans="1:3">
      <c r="A10" s="1" t="s">
        <v>5121</v>
      </c>
      <c r="B10" t="s">
        <v>4331</v>
      </c>
      <c r="C10" s="2"/>
    </row>
    <row r="11" spans="1:3">
      <c r="A11" s="1" t="s">
        <v>5127</v>
      </c>
      <c r="B11" t="s">
        <v>4383</v>
      </c>
      <c r="C11" s="2"/>
    </row>
    <row r="12" spans="1:3">
      <c r="A12" t="s">
        <v>5128</v>
      </c>
      <c r="B12" t="s">
        <v>4386</v>
      </c>
      <c r="C12" s="2"/>
    </row>
    <row r="13" spans="1:3">
      <c r="A13" t="s">
        <v>5129</v>
      </c>
      <c r="B13" t="s">
        <v>4389</v>
      </c>
      <c r="C13" s="2"/>
    </row>
    <row r="14" spans="1:3">
      <c r="A14" t="s">
        <v>5130</v>
      </c>
      <c r="B14" t="s">
        <v>4383</v>
      </c>
      <c r="C14" s="2"/>
    </row>
    <row r="15" spans="1:3">
      <c r="A15" t="s">
        <v>5131</v>
      </c>
      <c r="B15" t="s">
        <v>4386</v>
      </c>
      <c r="C15" s="2"/>
    </row>
    <row r="16" spans="1:3">
      <c r="A16" t="s">
        <v>5132</v>
      </c>
      <c r="B16" t="s">
        <v>4389</v>
      </c>
      <c r="C16" s="2"/>
    </row>
    <row r="17" spans="1:3">
      <c r="A17" t="s">
        <v>5133</v>
      </c>
      <c r="B17" t="s">
        <v>4393</v>
      </c>
      <c r="C17" s="2"/>
    </row>
    <row r="18" spans="1:3">
      <c r="A18" t="s">
        <v>5134</v>
      </c>
      <c r="B18" t="s">
        <v>4732</v>
      </c>
      <c r="C18" s="2"/>
    </row>
    <row r="19" spans="1:3">
      <c r="A19" t="s">
        <v>5135</v>
      </c>
      <c r="B19" t="s">
        <v>4732</v>
      </c>
      <c r="C19" s="2"/>
    </row>
    <row r="20" spans="1:3">
      <c r="A20" t="s">
        <v>5136</v>
      </c>
      <c r="B20" t="s">
        <v>4954</v>
      </c>
      <c r="C20" s="2"/>
    </row>
    <row r="21" spans="1:2">
      <c r="A21" t="s">
        <v>5130</v>
      </c>
      <c r="B21" t="s">
        <v>5137</v>
      </c>
    </row>
    <row r="22" spans="1:2">
      <c r="A22" t="s">
        <v>5131</v>
      </c>
      <c r="B22" t="s">
        <v>4960</v>
      </c>
    </row>
    <row r="23" spans="1:2">
      <c r="A23" t="s">
        <v>5138</v>
      </c>
      <c r="B23" t="s">
        <v>4963</v>
      </c>
    </row>
    <row r="24" spans="1:2">
      <c r="A24" t="s">
        <v>5139</v>
      </c>
      <c r="B24" t="s">
        <v>4974</v>
      </c>
    </row>
    <row r="25" spans="1:2">
      <c r="A25" t="s">
        <v>5140</v>
      </c>
      <c r="B25" t="s">
        <v>4977</v>
      </c>
    </row>
    <row r="26" spans="1:2">
      <c r="A26" t="s">
        <v>5141</v>
      </c>
      <c r="B26" t="s">
        <v>4983</v>
      </c>
    </row>
    <row r="27" spans="1:1">
      <c r="A27" t="s">
        <v>5142</v>
      </c>
    </row>
    <row r="28" spans="1:1">
      <c r="A28" t="s">
        <v>5143</v>
      </c>
    </row>
    <row r="29" spans="1:1">
      <c r="A29" t="s">
        <v>5144</v>
      </c>
    </row>
    <row r="30" spans="1:1">
      <c r="A30" t="s">
        <v>5145</v>
      </c>
    </row>
    <row r="31" spans="1:1">
      <c r="A31" t="s">
        <v>5146</v>
      </c>
    </row>
    <row r="32" spans="1:1">
      <c r="A32" t="s">
        <v>5147</v>
      </c>
    </row>
    <row r="33" spans="1:1">
      <c r="A33" t="s">
        <v>5141</v>
      </c>
    </row>
    <row r="34" spans="1:1">
      <c r="A34" t="s">
        <v>5142</v>
      </c>
    </row>
    <row r="35" spans="1:1">
      <c r="A35" t="s">
        <v>5148</v>
      </c>
    </row>
    <row r="36" spans="1:1">
      <c r="A36" t="s">
        <v>5149</v>
      </c>
    </row>
    <row r="37" spans="1:1">
      <c r="A37" t="s">
        <v>5150</v>
      </c>
    </row>
    <row r="38" spans="1:1">
      <c r="A38" t="s">
        <v>5151</v>
      </c>
    </row>
    <row r="39" spans="1:1">
      <c r="A39" t="s">
        <v>5152</v>
      </c>
    </row>
    <row r="40" spans="1:1">
      <c r="A40" t="s">
        <v>5153</v>
      </c>
    </row>
    <row r="41" spans="1:1">
      <c r="A41" t="s">
        <v>5154</v>
      </c>
    </row>
    <row r="42" spans="1:1">
      <c r="A42" t="s">
        <v>5155</v>
      </c>
    </row>
    <row r="43" spans="1:1">
      <c r="A43" t="s">
        <v>5156</v>
      </c>
    </row>
    <row r="44" spans="1:1">
      <c r="A44" t="s">
        <v>5157</v>
      </c>
    </row>
    <row r="45" spans="1:1">
      <c r="A45" t="s">
        <v>5151</v>
      </c>
    </row>
    <row r="46" spans="1:1">
      <c r="A46" t="s">
        <v>5152</v>
      </c>
    </row>
    <row r="47" spans="1:1">
      <c r="A47" t="s">
        <v>5158</v>
      </c>
    </row>
    <row r="48" spans="1:1">
      <c r="A48" t="s">
        <v>5159</v>
      </c>
    </row>
    <row r="49" spans="1:1">
      <c r="A49" t="s">
        <v>5160</v>
      </c>
    </row>
    <row r="50" spans="1:1">
      <c r="A50" t="s">
        <v>5161</v>
      </c>
    </row>
    <row r="51" spans="1:1">
      <c r="A51" t="s">
        <v>5162</v>
      </c>
    </row>
    <row r="52" spans="1:1">
      <c r="A52" t="s">
        <v>5163</v>
      </c>
    </row>
    <row r="53" spans="1:1">
      <c r="A53" t="s">
        <v>5164</v>
      </c>
    </row>
    <row r="54" spans="1:1">
      <c r="A54" t="s">
        <v>5165</v>
      </c>
    </row>
    <row r="55" spans="1:1">
      <c r="A55" t="s">
        <v>5166</v>
      </c>
    </row>
    <row r="56" spans="1:1">
      <c r="A56" t="s">
        <v>5167</v>
      </c>
    </row>
    <row r="57" spans="1:1">
      <c r="A57" t="s">
        <v>5161</v>
      </c>
    </row>
    <row r="58" spans="1:1">
      <c r="A58" t="s">
        <v>5162</v>
      </c>
    </row>
    <row r="59" spans="1:1">
      <c r="A59" t="s">
        <v>5168</v>
      </c>
    </row>
    <row r="60" spans="1:1">
      <c r="A60" t="s">
        <v>5169</v>
      </c>
    </row>
    <row r="61" spans="1:1">
      <c r="A61" t="s">
        <v>5170</v>
      </c>
    </row>
    <row r="62" spans="1:1">
      <c r="A62" t="s">
        <v>5171</v>
      </c>
    </row>
    <row r="63" spans="1:1">
      <c r="A63" t="s">
        <v>5172</v>
      </c>
    </row>
    <row r="64" spans="1:1">
      <c r="A64" t="s">
        <v>5173</v>
      </c>
    </row>
    <row r="65" spans="1:1">
      <c r="A65" t="s">
        <v>5174</v>
      </c>
    </row>
    <row r="66" spans="1:1">
      <c r="A66" t="s">
        <v>5175</v>
      </c>
    </row>
    <row r="67" spans="1:1">
      <c r="A67" t="s">
        <v>5176</v>
      </c>
    </row>
    <row r="68" spans="1:1">
      <c r="A68" t="s">
        <v>5177</v>
      </c>
    </row>
    <row r="69" spans="1:1">
      <c r="A69" t="s">
        <v>5171</v>
      </c>
    </row>
    <row r="70" spans="1:1">
      <c r="A70" t="s">
        <v>5172</v>
      </c>
    </row>
    <row r="71" spans="1:1">
      <c r="A71" t="s">
        <v>5178</v>
      </c>
    </row>
    <row r="72" spans="1:1">
      <c r="A72" t="s">
        <v>5179</v>
      </c>
    </row>
    <row r="73" spans="1:1">
      <c r="A73" t="s">
        <v>5180</v>
      </c>
    </row>
    <row r="74" spans="1:1">
      <c r="A74" t="s">
        <v>5181</v>
      </c>
    </row>
    <row r="75" spans="1:1">
      <c r="A75" t="s">
        <v>5182</v>
      </c>
    </row>
    <row r="76" spans="1:1">
      <c r="A76" t="s">
        <v>5183</v>
      </c>
    </row>
    <row r="77" spans="1:1">
      <c r="A77" t="s">
        <v>5184</v>
      </c>
    </row>
    <row r="78" spans="1:1">
      <c r="A78" t="s">
        <v>5185</v>
      </c>
    </row>
    <row r="79" spans="1:1">
      <c r="A79" t="s">
        <v>5186</v>
      </c>
    </row>
    <row r="80" spans="1:1">
      <c r="A80" t="s">
        <v>5187</v>
      </c>
    </row>
    <row r="81" spans="1:1">
      <c r="A81" t="s">
        <v>5188</v>
      </c>
    </row>
    <row r="82" spans="1:1">
      <c r="A82" t="s">
        <v>5189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K849"/>
  <sheetViews>
    <sheetView topLeftCell="A273" workbookViewId="0">
      <selection activeCell="H293" sqref="H293"/>
    </sheetView>
  </sheetViews>
  <sheetFormatPr defaultColWidth="9" defaultRowHeight="13.5"/>
  <cols>
    <col min="1" max="16384" width="9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>
      <c r="A2" s="1">
        <v>1</v>
      </c>
      <c r="B2" s="1" t="s">
        <v>5190</v>
      </c>
      <c r="C2" s="1" t="s">
        <v>44</v>
      </c>
      <c r="D2" s="1" t="s">
        <v>1349</v>
      </c>
      <c r="E2" s="1" t="s">
        <v>1222</v>
      </c>
      <c r="F2" s="1" t="s">
        <v>688</v>
      </c>
      <c r="G2" s="1" t="s">
        <v>689</v>
      </c>
      <c r="H2" s="1" t="str">
        <f>IFERROR(IF(OR(MID(G2,FIND(":",G2)-1,1)="""",MID(G2,FIND(":",G2)-1,1)="}",MID(G2,FIND(":",G2)-1,1)=")",MID(G2,FIND(":",G2)-1,1)="]"),"",LEFT(F2,FIND(":",F2)-1)),"")</f>
        <v/>
      </c>
      <c r="I2" s="1" t="str">
        <f>IFERROR(IF(OR(MID(G2,FIND(":",G2)-1,1)="""",MID(G2,FIND(":",G2)-1,1)="}",MID(G2,FIND(":",G2)-1,1)=")",MID(G2,FIND(":",G2)-1,1)="]"),"",RIGHT(G2,LEN(G2)-FIND(":",G2)-1)),"")</f>
        <v/>
      </c>
      <c r="J2" s="1" t="str">
        <f>IF(AND(I2="",H2=""),G2,H2&amp;": "&amp;I2)</f>
        <v>接口{#IFNAME}: 网络流量</v>
      </c>
      <c r="K2" s="1" t="str">
        <f>IFERROR(IF(OR(MID(F2,FIND(":",F2)-1,1)="""",MID(F2,FIND(":",F2)-1,1)="}",MID(F2,FIND(":",F2)-1,1)=")",MID(F2,FIND(":",F2)-1,1)="]"),"",RIGHT(F2,LEN(F2)-FIND(":",F2)-1)),"")</f>
        <v/>
      </c>
    </row>
    <row r="3" spans="1:8">
      <c r="A3" s="1">
        <v>2</v>
      </c>
      <c r="B3" s="1" t="s">
        <v>5190</v>
      </c>
      <c r="C3" s="1" t="s">
        <v>49</v>
      </c>
      <c r="D3" s="1" t="s">
        <v>1349</v>
      </c>
      <c r="E3" s="1" t="s">
        <v>1225</v>
      </c>
      <c r="F3" s="1" t="s">
        <v>630</v>
      </c>
      <c r="G3" s="1" t="s">
        <v>631</v>
      </c>
      <c r="H3" s="1" t="s">
        <v>18</v>
      </c>
    </row>
    <row r="4" spans="1:8">
      <c r="A4" s="1">
        <v>3</v>
      </c>
      <c r="B4" s="1" t="s">
        <v>5191</v>
      </c>
      <c r="C4" s="1" t="s">
        <v>9</v>
      </c>
      <c r="D4" s="1" t="s">
        <v>1352</v>
      </c>
      <c r="E4" s="1" t="s">
        <v>3568</v>
      </c>
      <c r="F4" s="1" t="s">
        <v>1354</v>
      </c>
      <c r="G4" s="1" t="s">
        <v>5192</v>
      </c>
      <c r="H4" s="1" t="s">
        <v>18</v>
      </c>
    </row>
    <row r="5" spans="1:8">
      <c r="A5" s="1">
        <v>4</v>
      </c>
      <c r="B5" s="1" t="s">
        <v>5191</v>
      </c>
      <c r="C5" s="1" t="s">
        <v>14</v>
      </c>
      <c r="D5" s="1" t="s">
        <v>1352</v>
      </c>
      <c r="E5" s="1" t="s">
        <v>3570</v>
      </c>
      <c r="F5" s="1" t="s">
        <v>1358</v>
      </c>
      <c r="G5" s="1" t="s">
        <v>5193</v>
      </c>
      <c r="H5" s="1" t="s">
        <v>18</v>
      </c>
    </row>
    <row r="6" spans="1:8">
      <c r="A6" s="1">
        <v>5</v>
      </c>
      <c r="B6" s="1" t="s">
        <v>5191</v>
      </c>
      <c r="C6" s="1" t="s">
        <v>19</v>
      </c>
      <c r="D6" s="1" t="s">
        <v>1352</v>
      </c>
      <c r="E6" s="1" t="s">
        <v>3572</v>
      </c>
      <c r="F6" s="1" t="s">
        <v>1362</v>
      </c>
      <c r="G6" s="1" t="s">
        <v>5194</v>
      </c>
      <c r="H6" s="1" t="s">
        <v>18</v>
      </c>
    </row>
    <row r="7" spans="1:8">
      <c r="A7" s="1">
        <v>6</v>
      </c>
      <c r="B7" s="1" t="s">
        <v>5195</v>
      </c>
      <c r="C7" s="1" t="s">
        <v>9</v>
      </c>
      <c r="D7" s="1" t="s">
        <v>1365</v>
      </c>
      <c r="E7" s="1" t="s">
        <v>2158</v>
      </c>
      <c r="F7" s="1" t="s">
        <v>1367</v>
      </c>
      <c r="G7" s="1" t="s">
        <v>5196</v>
      </c>
      <c r="H7" s="1" t="s">
        <v>18</v>
      </c>
    </row>
    <row r="8" spans="1:8">
      <c r="A8" s="1">
        <v>7</v>
      </c>
      <c r="B8" s="1" t="s">
        <v>5195</v>
      </c>
      <c r="C8" s="1" t="s">
        <v>14</v>
      </c>
      <c r="D8" s="1" t="s">
        <v>1365</v>
      </c>
      <c r="E8" s="1" t="s">
        <v>2150</v>
      </c>
      <c r="F8" s="1" t="s">
        <v>1371</v>
      </c>
      <c r="G8" s="1" t="s">
        <v>5197</v>
      </c>
      <c r="H8" s="1" t="s">
        <v>18</v>
      </c>
    </row>
    <row r="9" spans="1:8">
      <c r="A9" s="1">
        <v>8</v>
      </c>
      <c r="B9" s="1" t="s">
        <v>5195</v>
      </c>
      <c r="C9" s="1" t="s">
        <v>19</v>
      </c>
      <c r="D9" s="1" t="s">
        <v>1365</v>
      </c>
      <c r="E9" s="1" t="s">
        <v>2154</v>
      </c>
      <c r="F9" s="1" t="s">
        <v>1375</v>
      </c>
      <c r="G9" s="1" t="s">
        <v>5198</v>
      </c>
      <c r="H9" s="1" t="s">
        <v>18</v>
      </c>
    </row>
    <row r="10" spans="1:8">
      <c r="A10" s="1">
        <v>9</v>
      </c>
      <c r="B10" s="1" t="s">
        <v>5199</v>
      </c>
      <c r="C10" s="1" t="s">
        <v>9</v>
      </c>
      <c r="D10" s="1" t="s">
        <v>1378</v>
      </c>
      <c r="E10" s="1" t="s">
        <v>1392</v>
      </c>
      <c r="F10" s="1" t="s">
        <v>1380</v>
      </c>
      <c r="G10" s="1" t="s">
        <v>5200</v>
      </c>
      <c r="H10" s="1" t="s">
        <v>18</v>
      </c>
    </row>
    <row r="11" spans="1:8">
      <c r="A11" s="1">
        <v>10</v>
      </c>
      <c r="B11" s="1" t="s">
        <v>5199</v>
      </c>
      <c r="C11" s="1" t="s">
        <v>14</v>
      </c>
      <c r="D11" s="1" t="s">
        <v>1378</v>
      </c>
      <c r="E11" s="1" t="s">
        <v>1394</v>
      </c>
      <c r="F11" s="1" t="s">
        <v>1384</v>
      </c>
      <c r="G11" s="1" t="s">
        <v>5201</v>
      </c>
      <c r="H11" s="1" t="s">
        <v>18</v>
      </c>
    </row>
    <row r="12" spans="1:8">
      <c r="A12" s="1">
        <v>11</v>
      </c>
      <c r="B12" s="1" t="s">
        <v>5199</v>
      </c>
      <c r="C12" s="1" t="s">
        <v>19</v>
      </c>
      <c r="D12" s="1" t="s">
        <v>1378</v>
      </c>
      <c r="E12" s="1" t="s">
        <v>1396</v>
      </c>
      <c r="F12" s="1" t="s">
        <v>1388</v>
      </c>
      <c r="G12" s="1" t="s">
        <v>5202</v>
      </c>
      <c r="H12" s="1" t="s">
        <v>18</v>
      </c>
    </row>
    <row r="13" spans="1:8">
      <c r="A13" s="1">
        <v>12</v>
      </c>
      <c r="B13" s="1" t="s">
        <v>5203</v>
      </c>
      <c r="C13" s="1" t="s">
        <v>9</v>
      </c>
      <c r="D13" s="1" t="s">
        <v>1391</v>
      </c>
      <c r="E13" s="1" t="s">
        <v>3580</v>
      </c>
      <c r="F13" s="1" t="s">
        <v>1380</v>
      </c>
      <c r="G13" s="1" t="s">
        <v>5200</v>
      </c>
      <c r="H13" s="1" t="s">
        <v>18</v>
      </c>
    </row>
    <row r="14" spans="1:8">
      <c r="A14" s="1">
        <v>13</v>
      </c>
      <c r="B14" s="1" t="s">
        <v>5203</v>
      </c>
      <c r="C14" s="1" t="s">
        <v>14</v>
      </c>
      <c r="D14" s="1" t="s">
        <v>1391</v>
      </c>
      <c r="E14" s="1" t="s">
        <v>3050</v>
      </c>
      <c r="F14" s="1" t="s">
        <v>1384</v>
      </c>
      <c r="G14" s="1" t="s">
        <v>5201</v>
      </c>
      <c r="H14" s="1" t="s">
        <v>18</v>
      </c>
    </row>
    <row r="15" spans="1:8">
      <c r="A15" s="1">
        <v>14</v>
      </c>
      <c r="B15" s="1" t="s">
        <v>5203</v>
      </c>
      <c r="C15" s="1" t="s">
        <v>19</v>
      </c>
      <c r="D15" s="1" t="s">
        <v>1391</v>
      </c>
      <c r="E15" s="1" t="s">
        <v>3054</v>
      </c>
      <c r="F15" s="1" t="s">
        <v>1388</v>
      </c>
      <c r="G15" s="1" t="s">
        <v>5202</v>
      </c>
      <c r="H15" s="1" t="s">
        <v>18</v>
      </c>
    </row>
    <row r="16" spans="1:8">
      <c r="A16" s="1">
        <v>15</v>
      </c>
      <c r="B16" s="1" t="s">
        <v>5204</v>
      </c>
      <c r="C16" s="1" t="s">
        <v>433</v>
      </c>
      <c r="D16" s="1" t="s">
        <v>1398</v>
      </c>
      <c r="E16" s="1" t="s">
        <v>1411</v>
      </c>
      <c r="F16" s="1" t="s">
        <v>1400</v>
      </c>
      <c r="G16" s="1" t="s">
        <v>5205</v>
      </c>
      <c r="H16" s="1" t="s">
        <v>18</v>
      </c>
    </row>
    <row r="17" spans="1:8">
      <c r="A17" s="1">
        <v>16</v>
      </c>
      <c r="B17" s="1" t="s">
        <v>5204</v>
      </c>
      <c r="C17" s="1" t="s">
        <v>438</v>
      </c>
      <c r="D17" s="1" t="s">
        <v>1398</v>
      </c>
      <c r="E17" s="1" t="s">
        <v>5206</v>
      </c>
      <c r="F17" s="1" t="s">
        <v>1404</v>
      </c>
      <c r="G17" s="1" t="s">
        <v>5207</v>
      </c>
      <c r="H17" s="1" t="s">
        <v>18</v>
      </c>
    </row>
    <row r="18" spans="1:8">
      <c r="A18" s="1">
        <v>17</v>
      </c>
      <c r="B18" s="1" t="s">
        <v>5204</v>
      </c>
      <c r="C18" s="1" t="s">
        <v>442</v>
      </c>
      <c r="D18" s="1" t="s">
        <v>1398</v>
      </c>
      <c r="E18" s="1" t="s">
        <v>5208</v>
      </c>
      <c r="F18" s="1" t="s">
        <v>1408</v>
      </c>
      <c r="G18" s="1" t="s">
        <v>5209</v>
      </c>
      <c r="H18" s="1" t="s">
        <v>18</v>
      </c>
    </row>
    <row r="19" spans="1:8">
      <c r="A19" s="1">
        <v>18</v>
      </c>
      <c r="B19" s="1" t="s">
        <v>5204</v>
      </c>
      <c r="C19" s="1" t="s">
        <v>446</v>
      </c>
      <c r="D19" s="1" t="s">
        <v>1398</v>
      </c>
      <c r="E19" s="1" t="s">
        <v>2459</v>
      </c>
      <c r="F19" s="1" t="s">
        <v>5210</v>
      </c>
      <c r="G19" s="1" t="s">
        <v>5211</v>
      </c>
      <c r="H19" s="1" t="s">
        <v>18</v>
      </c>
    </row>
    <row r="20" spans="1:8">
      <c r="A20" s="1">
        <v>19</v>
      </c>
      <c r="B20" s="1" t="s">
        <v>5204</v>
      </c>
      <c r="C20" s="1" t="s">
        <v>450</v>
      </c>
      <c r="D20" s="1" t="s">
        <v>1398</v>
      </c>
      <c r="E20" s="1" t="s">
        <v>5212</v>
      </c>
      <c r="F20" s="1" t="s">
        <v>1416</v>
      </c>
      <c r="G20" s="1" t="s">
        <v>5213</v>
      </c>
      <c r="H20" s="1" t="s">
        <v>18</v>
      </c>
    </row>
    <row r="21" spans="1:8">
      <c r="A21" s="1">
        <v>20</v>
      </c>
      <c r="B21" s="1" t="s">
        <v>5204</v>
      </c>
      <c r="C21" s="1" t="s">
        <v>454</v>
      </c>
      <c r="D21" s="1" t="s">
        <v>1398</v>
      </c>
      <c r="E21" s="1" t="s">
        <v>5214</v>
      </c>
      <c r="F21" s="1" t="s">
        <v>1420</v>
      </c>
      <c r="G21" s="1" t="s">
        <v>5215</v>
      </c>
      <c r="H21" s="1" t="s">
        <v>18</v>
      </c>
    </row>
    <row r="22" spans="1:8">
      <c r="A22" s="1">
        <v>21</v>
      </c>
      <c r="B22" s="1" t="s">
        <v>5204</v>
      </c>
      <c r="C22" s="1" t="s">
        <v>456</v>
      </c>
      <c r="D22" s="1" t="s">
        <v>1398</v>
      </c>
      <c r="E22" s="1" t="s">
        <v>2457</v>
      </c>
      <c r="F22" s="1" t="s">
        <v>1424</v>
      </c>
      <c r="G22" s="1" t="s">
        <v>5216</v>
      </c>
      <c r="H22" s="1" t="s">
        <v>18</v>
      </c>
    </row>
    <row r="23" spans="1:8">
      <c r="A23" s="1">
        <v>22</v>
      </c>
      <c r="B23" s="1" t="s">
        <v>5217</v>
      </c>
      <c r="C23" s="1" t="s">
        <v>76</v>
      </c>
      <c r="D23" s="1" t="s">
        <v>1436</v>
      </c>
      <c r="E23" s="1" t="s">
        <v>1374</v>
      </c>
      <c r="F23" s="1" t="s">
        <v>1438</v>
      </c>
      <c r="G23" s="1" t="s">
        <v>1439</v>
      </c>
      <c r="H23" s="1" t="s">
        <v>18</v>
      </c>
    </row>
    <row r="24" spans="1:8">
      <c r="A24" s="1">
        <v>23</v>
      </c>
      <c r="B24" s="1" t="s">
        <v>5217</v>
      </c>
      <c r="C24" s="1" t="s">
        <v>81</v>
      </c>
      <c r="D24" s="1" t="s">
        <v>1436</v>
      </c>
      <c r="E24" s="1" t="s">
        <v>1366</v>
      </c>
      <c r="F24" s="1" t="s">
        <v>1442</v>
      </c>
      <c r="G24" s="1" t="s">
        <v>1443</v>
      </c>
      <c r="H24" s="1" t="s">
        <v>18</v>
      </c>
    </row>
    <row r="25" spans="1:8">
      <c r="A25" s="1">
        <v>24</v>
      </c>
      <c r="B25" s="1" t="s">
        <v>5217</v>
      </c>
      <c r="C25" s="1" t="s">
        <v>85</v>
      </c>
      <c r="D25" s="1" t="s">
        <v>1436</v>
      </c>
      <c r="E25" s="1" t="s">
        <v>1674</v>
      </c>
      <c r="F25" s="1" t="s">
        <v>1446</v>
      </c>
      <c r="G25" s="1" t="s">
        <v>1447</v>
      </c>
      <c r="H25" s="1" t="s">
        <v>18</v>
      </c>
    </row>
    <row r="26" spans="1:8">
      <c r="A26" s="1">
        <v>25</v>
      </c>
      <c r="B26" s="1" t="s">
        <v>5217</v>
      </c>
      <c r="C26" s="1" t="s">
        <v>89</v>
      </c>
      <c r="D26" s="1" t="s">
        <v>1436</v>
      </c>
      <c r="E26" s="1" t="s">
        <v>1370</v>
      </c>
      <c r="F26" s="1" t="s">
        <v>1450</v>
      </c>
      <c r="G26" s="1" t="s">
        <v>1451</v>
      </c>
      <c r="H26" s="1" t="s">
        <v>18</v>
      </c>
    </row>
    <row r="27" spans="1:8">
      <c r="A27" s="1">
        <v>26</v>
      </c>
      <c r="B27" s="1" t="s">
        <v>5217</v>
      </c>
      <c r="C27" s="1" t="s">
        <v>93</v>
      </c>
      <c r="D27" s="1" t="s">
        <v>1436</v>
      </c>
      <c r="E27" s="1" t="s">
        <v>3606</v>
      </c>
      <c r="F27" s="1" t="s">
        <v>1454</v>
      </c>
      <c r="G27" s="1" t="s">
        <v>1455</v>
      </c>
      <c r="H27" s="1" t="s">
        <v>18</v>
      </c>
    </row>
    <row r="28" spans="1:8">
      <c r="A28" s="1">
        <v>27</v>
      </c>
      <c r="B28" s="1" t="s">
        <v>5217</v>
      </c>
      <c r="C28" s="1" t="s">
        <v>97</v>
      </c>
      <c r="D28" s="1" t="s">
        <v>1436</v>
      </c>
      <c r="E28" s="1" t="s">
        <v>3608</v>
      </c>
      <c r="F28" s="1" t="s">
        <v>1458</v>
      </c>
      <c r="G28" s="1" t="s">
        <v>1459</v>
      </c>
      <c r="H28" s="1" t="s">
        <v>18</v>
      </c>
    </row>
    <row r="29" spans="1:8">
      <c r="A29" s="1">
        <v>28</v>
      </c>
      <c r="B29" s="1" t="s">
        <v>5218</v>
      </c>
      <c r="C29" s="1" t="s">
        <v>237</v>
      </c>
      <c r="D29" s="1" t="s">
        <v>1461</v>
      </c>
      <c r="E29" s="1" t="s">
        <v>2480</v>
      </c>
      <c r="F29" s="1" t="s">
        <v>1463</v>
      </c>
      <c r="G29" s="1" t="s">
        <v>5219</v>
      </c>
      <c r="H29" s="1" t="s">
        <v>18</v>
      </c>
    </row>
    <row r="30" spans="1:8">
      <c r="A30" s="1">
        <v>29</v>
      </c>
      <c r="B30" s="1" t="s">
        <v>5220</v>
      </c>
      <c r="C30" s="1" t="s">
        <v>237</v>
      </c>
      <c r="D30" s="1" t="s">
        <v>1466</v>
      </c>
      <c r="E30" s="1" t="s">
        <v>1467</v>
      </c>
      <c r="F30" s="1" t="s">
        <v>21</v>
      </c>
      <c r="G30" s="1" t="s">
        <v>22</v>
      </c>
      <c r="H30" s="1" t="s">
        <v>18</v>
      </c>
    </row>
    <row r="31" spans="1:8">
      <c r="A31" s="1">
        <v>30</v>
      </c>
      <c r="B31" s="1" t="s">
        <v>5221</v>
      </c>
      <c r="C31" s="1" t="s">
        <v>76</v>
      </c>
      <c r="D31" s="1" t="s">
        <v>1469</v>
      </c>
      <c r="E31" s="1" t="s">
        <v>403</v>
      </c>
      <c r="F31" s="1" t="s">
        <v>95</v>
      </c>
      <c r="G31" s="1" t="s">
        <v>5222</v>
      </c>
      <c r="H31" s="1" t="s">
        <v>18</v>
      </c>
    </row>
    <row r="32" spans="1:8">
      <c r="A32" s="1">
        <v>31</v>
      </c>
      <c r="B32" s="1" t="s">
        <v>5221</v>
      </c>
      <c r="C32" s="1" t="s">
        <v>81</v>
      </c>
      <c r="D32" s="1" t="s">
        <v>1469</v>
      </c>
      <c r="E32" s="1" t="s">
        <v>406</v>
      </c>
      <c r="F32" s="1" t="s">
        <v>99</v>
      </c>
      <c r="G32" s="1" t="s">
        <v>5223</v>
      </c>
      <c r="H32" s="1" t="s">
        <v>18</v>
      </c>
    </row>
    <row r="33" spans="1:8">
      <c r="A33" s="1">
        <v>32</v>
      </c>
      <c r="B33" s="1" t="s">
        <v>5221</v>
      </c>
      <c r="C33" s="1" t="s">
        <v>85</v>
      </c>
      <c r="D33" s="1" t="s">
        <v>1469</v>
      </c>
      <c r="E33" s="1" t="s">
        <v>400</v>
      </c>
      <c r="F33" s="1" t="s">
        <v>91</v>
      </c>
      <c r="G33" s="1" t="s">
        <v>5224</v>
      </c>
      <c r="H33" s="1" t="s">
        <v>18</v>
      </c>
    </row>
    <row r="34" spans="1:8">
      <c r="A34" s="1">
        <v>33</v>
      </c>
      <c r="B34" s="1" t="s">
        <v>5221</v>
      </c>
      <c r="C34" s="1" t="s">
        <v>89</v>
      </c>
      <c r="D34" s="1" t="s">
        <v>1469</v>
      </c>
      <c r="E34" s="1" t="s">
        <v>411</v>
      </c>
      <c r="F34" s="1" t="s">
        <v>87</v>
      </c>
      <c r="G34" s="1" t="s">
        <v>88</v>
      </c>
      <c r="H34" s="1" t="s">
        <v>18</v>
      </c>
    </row>
    <row r="35" spans="1:8">
      <c r="A35" s="1">
        <v>34</v>
      </c>
      <c r="B35" s="1" t="s">
        <v>5221</v>
      </c>
      <c r="C35" s="1" t="s">
        <v>93</v>
      </c>
      <c r="D35" s="1" t="s">
        <v>1469</v>
      </c>
      <c r="E35" s="1" t="s">
        <v>409</v>
      </c>
      <c r="F35" s="1" t="s">
        <v>79</v>
      </c>
      <c r="G35" s="1" t="s">
        <v>80</v>
      </c>
      <c r="H35" s="1" t="s">
        <v>18</v>
      </c>
    </row>
    <row r="36" spans="1:8">
      <c r="A36" s="1">
        <v>35</v>
      </c>
      <c r="B36" s="1" t="s">
        <v>5221</v>
      </c>
      <c r="C36" s="1" t="s">
        <v>97</v>
      </c>
      <c r="D36" s="1" t="s">
        <v>1469</v>
      </c>
      <c r="E36" s="1" t="s">
        <v>410</v>
      </c>
      <c r="F36" s="1" t="s">
        <v>83</v>
      </c>
      <c r="G36" s="1" t="s">
        <v>84</v>
      </c>
      <c r="H36" s="1" t="s">
        <v>18</v>
      </c>
    </row>
    <row r="37" spans="1:8">
      <c r="A37" s="1">
        <v>36</v>
      </c>
      <c r="B37" s="1" t="s">
        <v>5225</v>
      </c>
      <c r="C37" s="1" t="s">
        <v>44</v>
      </c>
      <c r="D37" s="1" t="s">
        <v>1476</v>
      </c>
      <c r="E37" s="1" t="s">
        <v>1477</v>
      </c>
      <c r="F37" s="1" t="s">
        <v>319</v>
      </c>
      <c r="G37" s="1" t="s">
        <v>320</v>
      </c>
      <c r="H37" s="1" t="s">
        <v>18</v>
      </c>
    </row>
    <row r="38" spans="1:8">
      <c r="A38" s="1">
        <v>37</v>
      </c>
      <c r="B38" s="1" t="s">
        <v>5225</v>
      </c>
      <c r="C38" s="1" t="s">
        <v>49</v>
      </c>
      <c r="D38" s="1" t="s">
        <v>1476</v>
      </c>
      <c r="E38" s="1" t="s">
        <v>1479</v>
      </c>
      <c r="F38" s="1" t="s">
        <v>322</v>
      </c>
      <c r="G38" s="1" t="s">
        <v>323</v>
      </c>
      <c r="H38" s="1" t="s">
        <v>18</v>
      </c>
    </row>
    <row r="39" spans="1:8">
      <c r="A39" s="1">
        <v>38</v>
      </c>
      <c r="B39" s="1" t="s">
        <v>5226</v>
      </c>
      <c r="C39" s="1" t="s">
        <v>9</v>
      </c>
      <c r="D39" s="1" t="s">
        <v>1481</v>
      </c>
      <c r="E39" s="1" t="s">
        <v>1482</v>
      </c>
      <c r="F39" s="1" t="s">
        <v>107</v>
      </c>
      <c r="G39" s="1" t="s">
        <v>108</v>
      </c>
      <c r="H39" s="1" t="s">
        <v>18</v>
      </c>
    </row>
    <row r="40" spans="1:8">
      <c r="A40" s="1">
        <v>39</v>
      </c>
      <c r="B40" s="1" t="s">
        <v>5226</v>
      </c>
      <c r="C40" s="1" t="s">
        <v>14</v>
      </c>
      <c r="D40" s="1" t="s">
        <v>1481</v>
      </c>
      <c r="E40" s="1" t="s">
        <v>1484</v>
      </c>
      <c r="F40" s="1" t="s">
        <v>104</v>
      </c>
      <c r="G40" s="1" t="s">
        <v>105</v>
      </c>
      <c r="H40" s="1" t="s">
        <v>18</v>
      </c>
    </row>
    <row r="41" spans="1:8">
      <c r="A41" s="1">
        <v>40</v>
      </c>
      <c r="B41" s="1" t="s">
        <v>5226</v>
      </c>
      <c r="C41" s="1" t="s">
        <v>19</v>
      </c>
      <c r="D41" s="1" t="s">
        <v>1481</v>
      </c>
      <c r="E41" s="1" t="s">
        <v>1486</v>
      </c>
      <c r="F41" s="1" t="s">
        <v>110</v>
      </c>
      <c r="G41" s="1" t="s">
        <v>111</v>
      </c>
      <c r="H41" s="1" t="s">
        <v>18</v>
      </c>
    </row>
    <row r="42" spans="1:8">
      <c r="A42" s="1">
        <v>41</v>
      </c>
      <c r="B42" s="1" t="s">
        <v>5227</v>
      </c>
      <c r="C42" s="1" t="s">
        <v>44</v>
      </c>
      <c r="D42" s="1" t="s">
        <v>1488</v>
      </c>
      <c r="E42" s="1" t="s">
        <v>114</v>
      </c>
      <c r="F42" s="1" t="s">
        <v>115</v>
      </c>
      <c r="G42" s="1" t="s">
        <v>116</v>
      </c>
      <c r="H42" s="1" t="s">
        <v>18</v>
      </c>
    </row>
    <row r="43" spans="1:8">
      <c r="A43" s="1">
        <v>42</v>
      </c>
      <c r="B43" s="1" t="s">
        <v>5227</v>
      </c>
      <c r="C43" s="1" t="s">
        <v>49</v>
      </c>
      <c r="D43" s="1" t="s">
        <v>1488</v>
      </c>
      <c r="E43" s="1" t="s">
        <v>117</v>
      </c>
      <c r="F43" s="1" t="s">
        <v>118</v>
      </c>
      <c r="G43" s="1" t="s">
        <v>119</v>
      </c>
      <c r="H43" s="1" t="s">
        <v>18</v>
      </c>
    </row>
    <row r="44" spans="1:8">
      <c r="A44" s="1">
        <v>43</v>
      </c>
      <c r="B44" s="1" t="s">
        <v>5228</v>
      </c>
      <c r="C44" s="1" t="s">
        <v>9</v>
      </c>
      <c r="D44" s="1" t="s">
        <v>1491</v>
      </c>
      <c r="E44" s="1" t="s">
        <v>122</v>
      </c>
      <c r="F44" s="1" t="s">
        <v>115</v>
      </c>
      <c r="G44" s="1" t="s">
        <v>116</v>
      </c>
      <c r="H44" s="1" t="s">
        <v>18</v>
      </c>
    </row>
    <row r="45" spans="1:8">
      <c r="A45" s="1">
        <v>44</v>
      </c>
      <c r="B45" s="1" t="s">
        <v>5228</v>
      </c>
      <c r="C45" s="1" t="s">
        <v>14</v>
      </c>
      <c r="D45" s="1" t="s">
        <v>1491</v>
      </c>
      <c r="E45" s="1" t="s">
        <v>3627</v>
      </c>
      <c r="F45" s="1" t="s">
        <v>3628</v>
      </c>
      <c r="G45" s="1" t="s">
        <v>5229</v>
      </c>
      <c r="H45" s="1" t="s">
        <v>18</v>
      </c>
    </row>
    <row r="46" spans="1:8">
      <c r="A46" s="1">
        <v>45</v>
      </c>
      <c r="B46" s="1" t="s">
        <v>5228</v>
      </c>
      <c r="C46" s="1" t="s">
        <v>19</v>
      </c>
      <c r="D46" s="1" t="s">
        <v>1491</v>
      </c>
      <c r="E46" s="1" t="s">
        <v>123</v>
      </c>
      <c r="F46" s="1" t="s">
        <v>118</v>
      </c>
      <c r="G46" s="1" t="s">
        <v>119</v>
      </c>
      <c r="H46" s="1" t="s">
        <v>18</v>
      </c>
    </row>
    <row r="47" spans="1:8">
      <c r="A47" s="1">
        <v>46</v>
      </c>
      <c r="B47" s="1" t="s">
        <v>5230</v>
      </c>
      <c r="C47" s="1" t="s">
        <v>9</v>
      </c>
      <c r="D47" s="1" t="s">
        <v>1494</v>
      </c>
      <c r="E47" s="1" t="s">
        <v>1495</v>
      </c>
      <c r="F47" s="1" t="s">
        <v>21</v>
      </c>
      <c r="G47" s="1" t="s">
        <v>22</v>
      </c>
      <c r="H47" s="1" t="s">
        <v>18</v>
      </c>
    </row>
    <row r="48" spans="1:8">
      <c r="A48" s="1">
        <v>47</v>
      </c>
      <c r="B48" s="1" t="s">
        <v>5230</v>
      </c>
      <c r="C48" s="1" t="s">
        <v>14</v>
      </c>
      <c r="D48" s="1" t="s">
        <v>1494</v>
      </c>
      <c r="E48" s="1" t="s">
        <v>1497</v>
      </c>
      <c r="F48" s="1" t="s">
        <v>630</v>
      </c>
      <c r="G48" s="1" t="s">
        <v>631</v>
      </c>
      <c r="H48" s="1" t="s">
        <v>18</v>
      </c>
    </row>
    <row r="49" spans="1:8">
      <c r="A49" s="1">
        <v>48</v>
      </c>
      <c r="B49" s="1" t="s">
        <v>5230</v>
      </c>
      <c r="C49" s="1" t="s">
        <v>19</v>
      </c>
      <c r="D49" s="1" t="s">
        <v>1494</v>
      </c>
      <c r="E49" s="1" t="s">
        <v>1499</v>
      </c>
      <c r="F49" s="1" t="s">
        <v>627</v>
      </c>
      <c r="G49" s="1" t="s">
        <v>628</v>
      </c>
      <c r="H49" s="1" t="s">
        <v>18</v>
      </c>
    </row>
    <row r="50" spans="1:8">
      <c r="A50" s="1">
        <v>49</v>
      </c>
      <c r="B50" s="1" t="s">
        <v>5231</v>
      </c>
      <c r="C50" s="1" t="s">
        <v>153</v>
      </c>
      <c r="D50" s="1" t="s">
        <v>1501</v>
      </c>
      <c r="E50" s="1" t="s">
        <v>2452</v>
      </c>
      <c r="F50" s="1" t="s">
        <v>1503</v>
      </c>
      <c r="G50" s="1" t="s">
        <v>5232</v>
      </c>
      <c r="H50" s="1" t="s">
        <v>18</v>
      </c>
    </row>
    <row r="51" spans="1:8">
      <c r="A51" s="1">
        <v>50</v>
      </c>
      <c r="B51" s="1" t="s">
        <v>5231</v>
      </c>
      <c r="C51" s="1" t="s">
        <v>158</v>
      </c>
      <c r="D51" s="1" t="s">
        <v>1501</v>
      </c>
      <c r="E51" s="1" t="s">
        <v>3425</v>
      </c>
      <c r="F51" s="1" t="s">
        <v>1507</v>
      </c>
      <c r="G51" s="1" t="s">
        <v>5233</v>
      </c>
      <c r="H51" s="1" t="s">
        <v>18</v>
      </c>
    </row>
    <row r="52" spans="1:8">
      <c r="A52" s="1">
        <v>51</v>
      </c>
      <c r="B52" s="1" t="s">
        <v>5231</v>
      </c>
      <c r="C52" s="1" t="s">
        <v>162</v>
      </c>
      <c r="D52" s="1" t="s">
        <v>1501</v>
      </c>
      <c r="E52" s="1" t="s">
        <v>3429</v>
      </c>
      <c r="F52" s="1" t="s">
        <v>1511</v>
      </c>
      <c r="G52" s="1" t="s">
        <v>5234</v>
      </c>
      <c r="H52" s="1" t="s">
        <v>18</v>
      </c>
    </row>
    <row r="53" spans="1:8">
      <c r="A53" s="1">
        <v>52</v>
      </c>
      <c r="B53" s="1" t="s">
        <v>5231</v>
      </c>
      <c r="C53" s="1" t="s">
        <v>166</v>
      </c>
      <c r="D53" s="1" t="s">
        <v>1501</v>
      </c>
      <c r="E53" s="1" t="s">
        <v>3433</v>
      </c>
      <c r="F53" s="1" t="s">
        <v>1515</v>
      </c>
      <c r="G53" s="1" t="s">
        <v>5235</v>
      </c>
      <c r="H53" s="1" t="s">
        <v>18</v>
      </c>
    </row>
    <row r="54" spans="1:8">
      <c r="A54" s="1">
        <v>53</v>
      </c>
      <c r="B54" s="1" t="s">
        <v>5231</v>
      </c>
      <c r="C54" s="1" t="s">
        <v>170</v>
      </c>
      <c r="D54" s="1" t="s">
        <v>1501</v>
      </c>
      <c r="E54" s="1" t="s">
        <v>3646</v>
      </c>
      <c r="F54" s="1" t="s">
        <v>1519</v>
      </c>
      <c r="G54" s="1" t="s">
        <v>5236</v>
      </c>
      <c r="H54" s="1" t="s">
        <v>18</v>
      </c>
    </row>
    <row r="55" spans="1:8">
      <c r="A55" s="1">
        <v>54</v>
      </c>
      <c r="B55" s="1" t="s">
        <v>5237</v>
      </c>
      <c r="C55" s="1" t="s">
        <v>58</v>
      </c>
      <c r="D55" s="1" t="s">
        <v>1522</v>
      </c>
      <c r="E55" s="1" t="s">
        <v>3305</v>
      </c>
      <c r="F55" s="1" t="s">
        <v>1524</v>
      </c>
      <c r="G55" s="1" t="s">
        <v>1525</v>
      </c>
      <c r="H55" s="1" t="s">
        <v>18</v>
      </c>
    </row>
    <row r="56" spans="1:8">
      <c r="A56" s="1">
        <v>55</v>
      </c>
      <c r="B56" s="1" t="s">
        <v>5237</v>
      </c>
      <c r="C56" s="1" t="s">
        <v>63</v>
      </c>
      <c r="D56" s="1" t="s">
        <v>1522</v>
      </c>
      <c r="E56" s="1" t="s">
        <v>1518</v>
      </c>
      <c r="F56" s="1" t="s">
        <v>1528</v>
      </c>
      <c r="G56" s="1" t="s">
        <v>5238</v>
      </c>
      <c r="H56" s="1" t="s">
        <v>18</v>
      </c>
    </row>
    <row r="57" spans="1:8">
      <c r="A57" s="1">
        <v>56</v>
      </c>
      <c r="B57" s="1" t="s">
        <v>5237</v>
      </c>
      <c r="C57" s="1" t="s">
        <v>67</v>
      </c>
      <c r="D57" s="1" t="s">
        <v>1522</v>
      </c>
      <c r="E57" s="1" t="s">
        <v>3650</v>
      </c>
      <c r="F57" s="1" t="s">
        <v>1532</v>
      </c>
      <c r="G57" s="1" t="s">
        <v>5239</v>
      </c>
      <c r="H57" s="1" t="s">
        <v>18</v>
      </c>
    </row>
    <row r="58" spans="1:8">
      <c r="A58" s="1">
        <v>57</v>
      </c>
      <c r="B58" s="1" t="s">
        <v>5237</v>
      </c>
      <c r="C58" s="1" t="s">
        <v>71</v>
      </c>
      <c r="D58" s="1" t="s">
        <v>1522</v>
      </c>
      <c r="E58" s="1" t="s">
        <v>5240</v>
      </c>
      <c r="F58" s="1" t="s">
        <v>1536</v>
      </c>
      <c r="G58" s="1" t="s">
        <v>1537</v>
      </c>
      <c r="H58" s="1" t="s">
        <v>18</v>
      </c>
    </row>
    <row r="59" spans="1:8">
      <c r="A59" s="1">
        <v>58</v>
      </c>
      <c r="B59" s="1" t="s">
        <v>5241</v>
      </c>
      <c r="C59" s="1" t="s">
        <v>237</v>
      </c>
      <c r="D59" s="1" t="s">
        <v>1539</v>
      </c>
      <c r="E59" s="1" t="s">
        <v>1540</v>
      </c>
      <c r="F59" s="1" t="s">
        <v>21</v>
      </c>
      <c r="G59" s="1" t="s">
        <v>22</v>
      </c>
      <c r="H59" s="1" t="s">
        <v>18</v>
      </c>
    </row>
    <row r="60" spans="1:8">
      <c r="A60" s="1">
        <v>59</v>
      </c>
      <c r="B60" s="1" t="s">
        <v>5242</v>
      </c>
      <c r="C60" s="1" t="s">
        <v>237</v>
      </c>
      <c r="D60" s="1" t="s">
        <v>1542</v>
      </c>
      <c r="E60" s="1" t="s">
        <v>1543</v>
      </c>
      <c r="F60" s="1" t="s">
        <v>21</v>
      </c>
      <c r="G60" s="1" t="s">
        <v>22</v>
      </c>
      <c r="H60" s="1" t="s">
        <v>18</v>
      </c>
    </row>
    <row r="61" spans="1:8">
      <c r="A61" s="1">
        <v>60</v>
      </c>
      <c r="B61" s="1" t="s">
        <v>5243</v>
      </c>
      <c r="C61" s="1" t="s">
        <v>237</v>
      </c>
      <c r="D61" s="1" t="s">
        <v>1545</v>
      </c>
      <c r="E61" s="1" t="s">
        <v>1546</v>
      </c>
      <c r="F61" s="1" t="s">
        <v>21</v>
      </c>
      <c r="G61" s="1" t="s">
        <v>22</v>
      </c>
      <c r="H61" s="1" t="s">
        <v>18</v>
      </c>
    </row>
    <row r="62" spans="1:8">
      <c r="A62" s="1">
        <v>61</v>
      </c>
      <c r="B62" s="1" t="s">
        <v>5244</v>
      </c>
      <c r="C62" s="1" t="s">
        <v>58</v>
      </c>
      <c r="D62" s="1" t="s">
        <v>1548</v>
      </c>
      <c r="E62" s="1" t="s">
        <v>848</v>
      </c>
      <c r="F62" s="1" t="s">
        <v>127</v>
      </c>
      <c r="G62" s="1" t="s">
        <v>128</v>
      </c>
      <c r="H62" s="1" t="s">
        <v>18</v>
      </c>
    </row>
    <row r="63" spans="1:8">
      <c r="A63" s="1">
        <v>62</v>
      </c>
      <c r="B63" s="1" t="s">
        <v>5244</v>
      </c>
      <c r="C63" s="1" t="s">
        <v>63</v>
      </c>
      <c r="D63" s="1" t="s">
        <v>1548</v>
      </c>
      <c r="E63" s="1" t="s">
        <v>1304</v>
      </c>
      <c r="F63" s="1" t="s">
        <v>136</v>
      </c>
      <c r="G63" s="1" t="s">
        <v>137</v>
      </c>
      <c r="H63" s="1" t="s">
        <v>18</v>
      </c>
    </row>
    <row r="64" spans="1:8">
      <c r="A64" s="1">
        <v>63</v>
      </c>
      <c r="B64" s="1" t="s">
        <v>5244</v>
      </c>
      <c r="C64" s="1" t="s">
        <v>67</v>
      </c>
      <c r="D64" s="1" t="s">
        <v>1548</v>
      </c>
      <c r="E64" s="1" t="s">
        <v>1298</v>
      </c>
      <c r="F64" s="1" t="s">
        <v>130</v>
      </c>
      <c r="G64" s="1" t="s">
        <v>131</v>
      </c>
      <c r="H64" s="1" t="s">
        <v>18</v>
      </c>
    </row>
    <row r="65" spans="1:8">
      <c r="A65" s="1">
        <v>64</v>
      </c>
      <c r="B65" s="1" t="s">
        <v>5244</v>
      </c>
      <c r="C65" s="1" t="s">
        <v>71</v>
      </c>
      <c r="D65" s="1" t="s">
        <v>1548</v>
      </c>
      <c r="E65" s="1" t="s">
        <v>1301</v>
      </c>
      <c r="F65" s="1" t="s">
        <v>133</v>
      </c>
      <c r="G65" s="1" t="s">
        <v>134</v>
      </c>
      <c r="H65" s="1" t="s">
        <v>18</v>
      </c>
    </row>
    <row r="66" spans="1:8">
      <c r="A66" s="1">
        <v>65</v>
      </c>
      <c r="B66" s="1" t="s">
        <v>5245</v>
      </c>
      <c r="C66" s="1" t="s">
        <v>237</v>
      </c>
      <c r="D66" s="1" t="s">
        <v>1553</v>
      </c>
      <c r="E66" s="1" t="s">
        <v>1343</v>
      </c>
      <c r="F66" s="1" t="s">
        <v>1344</v>
      </c>
      <c r="G66" s="1" t="s">
        <v>1344</v>
      </c>
      <c r="H66" s="1" t="s">
        <v>18</v>
      </c>
    </row>
    <row r="67" spans="1:8">
      <c r="A67" s="1">
        <v>66</v>
      </c>
      <c r="B67" s="1" t="s">
        <v>5246</v>
      </c>
      <c r="C67" s="1" t="s">
        <v>498</v>
      </c>
      <c r="D67" s="1" t="s">
        <v>1555</v>
      </c>
      <c r="E67" s="1" t="s">
        <v>3661</v>
      </c>
      <c r="F67" s="1" t="s">
        <v>1557</v>
      </c>
      <c r="G67" s="1" t="s">
        <v>5247</v>
      </c>
      <c r="H67" s="1" t="s">
        <v>18</v>
      </c>
    </row>
    <row r="68" spans="1:8">
      <c r="A68" s="1">
        <v>67</v>
      </c>
      <c r="B68" s="1" t="s">
        <v>5246</v>
      </c>
      <c r="C68" s="1" t="s">
        <v>503</v>
      </c>
      <c r="D68" s="1" t="s">
        <v>1555</v>
      </c>
      <c r="E68" s="1" t="s">
        <v>3663</v>
      </c>
      <c r="F68" s="1" t="s">
        <v>1561</v>
      </c>
      <c r="G68" s="1" t="s">
        <v>5248</v>
      </c>
      <c r="H68" s="1" t="s">
        <v>18</v>
      </c>
    </row>
    <row r="69" spans="1:8">
      <c r="A69" s="1">
        <v>68</v>
      </c>
      <c r="B69" s="1" t="s">
        <v>5246</v>
      </c>
      <c r="C69" s="1" t="s">
        <v>507</v>
      </c>
      <c r="D69" s="1" t="s">
        <v>1555</v>
      </c>
      <c r="E69" s="1" t="s">
        <v>1574</v>
      </c>
      <c r="F69" s="1" t="s">
        <v>1565</v>
      </c>
      <c r="G69" s="1" t="s">
        <v>5249</v>
      </c>
      <c r="H69" s="1" t="s">
        <v>18</v>
      </c>
    </row>
    <row r="70" spans="1:8">
      <c r="A70" s="1">
        <v>69</v>
      </c>
      <c r="B70" s="1" t="s">
        <v>5246</v>
      </c>
      <c r="C70" s="1" t="s">
        <v>511</v>
      </c>
      <c r="D70" s="1" t="s">
        <v>1555</v>
      </c>
      <c r="E70" s="1" t="s">
        <v>1582</v>
      </c>
      <c r="F70" s="1" t="s">
        <v>1569</v>
      </c>
      <c r="G70" s="1" t="s">
        <v>5250</v>
      </c>
      <c r="H70" s="1" t="s">
        <v>18</v>
      </c>
    </row>
    <row r="71" spans="1:8">
      <c r="A71" s="1">
        <v>70</v>
      </c>
      <c r="B71" s="1" t="s">
        <v>5246</v>
      </c>
      <c r="C71" s="1" t="s">
        <v>513</v>
      </c>
      <c r="D71" s="1" t="s">
        <v>1555</v>
      </c>
      <c r="E71" s="1" t="s">
        <v>3665</v>
      </c>
      <c r="F71" s="1" t="s">
        <v>21</v>
      </c>
      <c r="G71" s="1" t="s">
        <v>22</v>
      </c>
      <c r="H71" s="1" t="s">
        <v>18</v>
      </c>
    </row>
    <row r="72" spans="1:8">
      <c r="A72" s="1">
        <v>71</v>
      </c>
      <c r="B72" s="1" t="s">
        <v>5246</v>
      </c>
      <c r="C72" s="1" t="s">
        <v>515</v>
      </c>
      <c r="D72" s="1" t="s">
        <v>1555</v>
      </c>
      <c r="E72" s="1" t="s">
        <v>3673</v>
      </c>
      <c r="F72" s="1" t="s">
        <v>1575</v>
      </c>
      <c r="G72" s="1" t="s">
        <v>5251</v>
      </c>
      <c r="H72" s="1" t="s">
        <v>18</v>
      </c>
    </row>
    <row r="73" spans="1:8">
      <c r="A73" s="1">
        <v>72</v>
      </c>
      <c r="B73" s="1" t="s">
        <v>5246</v>
      </c>
      <c r="C73" s="1" t="s">
        <v>517</v>
      </c>
      <c r="D73" s="1" t="s">
        <v>1555</v>
      </c>
      <c r="E73" s="1" t="s">
        <v>3668</v>
      </c>
      <c r="F73" s="1" t="s">
        <v>1579</v>
      </c>
      <c r="G73" s="1" t="s">
        <v>5252</v>
      </c>
      <c r="H73" s="1" t="s">
        <v>18</v>
      </c>
    </row>
    <row r="74" spans="1:8">
      <c r="A74" s="1">
        <v>73</v>
      </c>
      <c r="B74" s="1" t="s">
        <v>5246</v>
      </c>
      <c r="C74" s="1" t="s">
        <v>521</v>
      </c>
      <c r="D74" s="1" t="s">
        <v>1555</v>
      </c>
      <c r="E74" s="1" t="s">
        <v>3670</v>
      </c>
      <c r="F74" s="1" t="s">
        <v>1583</v>
      </c>
      <c r="G74" s="1" t="s">
        <v>5253</v>
      </c>
      <c r="H74" s="1" t="s">
        <v>18</v>
      </c>
    </row>
    <row r="75" spans="1:8">
      <c r="A75" s="1">
        <v>74</v>
      </c>
      <c r="B75" s="1" t="s">
        <v>5254</v>
      </c>
      <c r="C75" s="1" t="s">
        <v>76</v>
      </c>
      <c r="D75" s="1" t="s">
        <v>1586</v>
      </c>
      <c r="E75" s="1" t="s">
        <v>1347</v>
      </c>
      <c r="F75" s="1" t="s">
        <v>739</v>
      </c>
      <c r="G75" s="1" t="s">
        <v>740</v>
      </c>
      <c r="H75" s="1" t="s">
        <v>18</v>
      </c>
    </row>
    <row r="76" spans="1:8">
      <c r="A76" s="1">
        <v>75</v>
      </c>
      <c r="B76" s="1" t="s">
        <v>5254</v>
      </c>
      <c r="C76" s="1" t="s">
        <v>81</v>
      </c>
      <c r="D76" s="1" t="s">
        <v>1586</v>
      </c>
      <c r="E76" s="1" t="s">
        <v>347</v>
      </c>
      <c r="F76" s="1" t="s">
        <v>754</v>
      </c>
      <c r="G76" s="1" t="s">
        <v>755</v>
      </c>
      <c r="H76" s="1" t="s">
        <v>18</v>
      </c>
    </row>
    <row r="77" spans="1:8">
      <c r="A77" s="1">
        <v>76</v>
      </c>
      <c r="B77" s="1" t="s">
        <v>5254</v>
      </c>
      <c r="C77" s="1" t="s">
        <v>85</v>
      </c>
      <c r="D77" s="1" t="s">
        <v>1586</v>
      </c>
      <c r="E77" s="1" t="s">
        <v>339</v>
      </c>
      <c r="F77" s="1" t="s">
        <v>745</v>
      </c>
      <c r="G77" s="1" t="s">
        <v>746</v>
      </c>
      <c r="H77" s="1" t="s">
        <v>18</v>
      </c>
    </row>
    <row r="78" spans="1:8">
      <c r="A78" s="1">
        <v>77</v>
      </c>
      <c r="B78" s="1" t="s">
        <v>5254</v>
      </c>
      <c r="C78" s="1" t="s">
        <v>89</v>
      </c>
      <c r="D78" s="1" t="s">
        <v>1586</v>
      </c>
      <c r="E78" s="1" t="s">
        <v>1590</v>
      </c>
      <c r="F78" s="1" t="s">
        <v>751</v>
      </c>
      <c r="G78" s="1" t="s">
        <v>752</v>
      </c>
      <c r="H78" s="1" t="s">
        <v>18</v>
      </c>
    </row>
    <row r="79" spans="1:8">
      <c r="A79" s="1">
        <v>78</v>
      </c>
      <c r="B79" s="1" t="s">
        <v>5254</v>
      </c>
      <c r="C79" s="1" t="s">
        <v>93</v>
      </c>
      <c r="D79" s="1" t="s">
        <v>1586</v>
      </c>
      <c r="E79" s="1" t="s">
        <v>343</v>
      </c>
      <c r="F79" s="1" t="s">
        <v>748</v>
      </c>
      <c r="G79" s="1" t="s">
        <v>749</v>
      </c>
      <c r="H79" s="1" t="s">
        <v>18</v>
      </c>
    </row>
    <row r="80" spans="1:8">
      <c r="A80" s="1">
        <v>79</v>
      </c>
      <c r="B80" s="1" t="s">
        <v>5254</v>
      </c>
      <c r="C80" s="1" t="s">
        <v>97</v>
      </c>
      <c r="D80" s="1" t="s">
        <v>1586</v>
      </c>
      <c r="E80" s="1" t="s">
        <v>335</v>
      </c>
      <c r="F80" s="1" t="s">
        <v>742</v>
      </c>
      <c r="G80" s="1" t="s">
        <v>743</v>
      </c>
      <c r="H80" s="1" t="s">
        <v>18</v>
      </c>
    </row>
    <row r="81" spans="1:8">
      <c r="A81" s="1">
        <v>80</v>
      </c>
      <c r="B81" s="1" t="s">
        <v>5255</v>
      </c>
      <c r="C81" s="1" t="s">
        <v>9</v>
      </c>
      <c r="D81" s="1" t="s">
        <v>1600</v>
      </c>
      <c r="E81" s="1" t="s">
        <v>1601</v>
      </c>
      <c r="F81" s="1" t="s">
        <v>12</v>
      </c>
      <c r="G81" s="1" t="s">
        <v>13</v>
      </c>
      <c r="H81" s="1" t="s">
        <v>18</v>
      </c>
    </row>
    <row r="82" spans="1:8">
      <c r="A82" s="1">
        <v>81</v>
      </c>
      <c r="B82" s="1" t="s">
        <v>5255</v>
      </c>
      <c r="C82" s="1" t="s">
        <v>14</v>
      </c>
      <c r="D82" s="1" t="s">
        <v>1600</v>
      </c>
      <c r="E82" s="1" t="s">
        <v>1603</v>
      </c>
      <c r="F82" s="1" t="s">
        <v>21</v>
      </c>
      <c r="G82" s="1" t="s">
        <v>22</v>
      </c>
      <c r="H82" s="1" t="s">
        <v>18</v>
      </c>
    </row>
    <row r="83" spans="1:8">
      <c r="A83" s="1">
        <v>82</v>
      </c>
      <c r="B83" s="1" t="s">
        <v>5255</v>
      </c>
      <c r="C83" s="1" t="s">
        <v>19</v>
      </c>
      <c r="D83" s="1" t="s">
        <v>1600</v>
      </c>
      <c r="E83" s="1" t="s">
        <v>1605</v>
      </c>
      <c r="F83" s="1" t="s">
        <v>16</v>
      </c>
      <c r="G83" s="1" t="s">
        <v>17</v>
      </c>
      <c r="H83" s="1" t="s">
        <v>18</v>
      </c>
    </row>
    <row r="84" spans="1:8">
      <c r="A84" s="1">
        <v>83</v>
      </c>
      <c r="B84" s="1" t="s">
        <v>5256</v>
      </c>
      <c r="C84" s="1" t="s">
        <v>9</v>
      </c>
      <c r="D84" s="1" t="s">
        <v>1607</v>
      </c>
      <c r="E84" s="1" t="s">
        <v>1608</v>
      </c>
      <c r="F84" s="1" t="s">
        <v>12</v>
      </c>
      <c r="G84" s="1" t="s">
        <v>13</v>
      </c>
      <c r="H84" s="1" t="s">
        <v>18</v>
      </c>
    </row>
    <row r="85" spans="1:8">
      <c r="A85" s="1">
        <v>84</v>
      </c>
      <c r="B85" s="1" t="s">
        <v>5256</v>
      </c>
      <c r="C85" s="1" t="s">
        <v>14</v>
      </c>
      <c r="D85" s="1" t="s">
        <v>1607</v>
      </c>
      <c r="E85" s="1" t="s">
        <v>1610</v>
      </c>
      <c r="F85" s="1" t="s">
        <v>21</v>
      </c>
      <c r="G85" s="1" t="s">
        <v>22</v>
      </c>
      <c r="H85" s="1" t="s">
        <v>18</v>
      </c>
    </row>
    <row r="86" spans="1:8">
      <c r="A86" s="1">
        <v>85</v>
      </c>
      <c r="B86" s="1" t="s">
        <v>5256</v>
      </c>
      <c r="C86" s="1" t="s">
        <v>19</v>
      </c>
      <c r="D86" s="1" t="s">
        <v>1607</v>
      </c>
      <c r="E86" s="1" t="s">
        <v>1612</v>
      </c>
      <c r="F86" s="1" t="s">
        <v>16</v>
      </c>
      <c r="G86" s="1" t="s">
        <v>17</v>
      </c>
      <c r="H86" s="1" t="s">
        <v>18</v>
      </c>
    </row>
    <row r="87" spans="1:8">
      <c r="A87" s="1">
        <v>86</v>
      </c>
      <c r="B87" s="1" t="s">
        <v>5257</v>
      </c>
      <c r="C87" s="1" t="s">
        <v>9</v>
      </c>
      <c r="D87" s="1" t="s">
        <v>1614</v>
      </c>
      <c r="E87" s="1" t="s">
        <v>1615</v>
      </c>
      <c r="F87" s="1" t="s">
        <v>12</v>
      </c>
      <c r="G87" s="1" t="s">
        <v>13</v>
      </c>
      <c r="H87" s="1" t="s">
        <v>18</v>
      </c>
    </row>
    <row r="88" spans="1:8">
      <c r="A88" s="1">
        <v>87</v>
      </c>
      <c r="B88" s="1" t="s">
        <v>5257</v>
      </c>
      <c r="C88" s="1" t="s">
        <v>14</v>
      </c>
      <c r="D88" s="1" t="s">
        <v>1614</v>
      </c>
      <c r="E88" s="1" t="s">
        <v>1617</v>
      </c>
      <c r="F88" s="1" t="s">
        <v>21</v>
      </c>
      <c r="G88" s="1" t="s">
        <v>22</v>
      </c>
      <c r="H88" s="1" t="s">
        <v>18</v>
      </c>
    </row>
    <row r="89" spans="1:8">
      <c r="A89" s="1">
        <v>88</v>
      </c>
      <c r="B89" s="1" t="s">
        <v>5257</v>
      </c>
      <c r="C89" s="1" t="s">
        <v>19</v>
      </c>
      <c r="D89" s="1" t="s">
        <v>1614</v>
      </c>
      <c r="E89" s="1" t="s">
        <v>1619</v>
      </c>
      <c r="F89" s="1" t="s">
        <v>16</v>
      </c>
      <c r="G89" s="1" t="s">
        <v>17</v>
      </c>
      <c r="H89" s="1" t="s">
        <v>18</v>
      </c>
    </row>
    <row r="90" spans="1:8">
      <c r="A90" s="1">
        <v>89</v>
      </c>
      <c r="B90" s="1" t="s">
        <v>5258</v>
      </c>
      <c r="C90" s="1" t="s">
        <v>9</v>
      </c>
      <c r="D90" s="1" t="s">
        <v>1621</v>
      </c>
      <c r="E90" s="1" t="s">
        <v>1622</v>
      </c>
      <c r="F90" s="1" t="s">
        <v>12</v>
      </c>
      <c r="G90" s="1" t="s">
        <v>13</v>
      </c>
      <c r="H90" s="1" t="s">
        <v>18</v>
      </c>
    </row>
    <row r="91" spans="1:8">
      <c r="A91" s="1">
        <v>90</v>
      </c>
      <c r="B91" s="1" t="s">
        <v>5258</v>
      </c>
      <c r="C91" s="1" t="s">
        <v>14</v>
      </c>
      <c r="D91" s="1" t="s">
        <v>1621</v>
      </c>
      <c r="E91" s="1" t="s">
        <v>1624</v>
      </c>
      <c r="F91" s="1" t="s">
        <v>21</v>
      </c>
      <c r="G91" s="1" t="s">
        <v>22</v>
      </c>
      <c r="H91" s="1" t="s">
        <v>18</v>
      </c>
    </row>
    <row r="92" spans="1:8">
      <c r="A92" s="1">
        <v>91</v>
      </c>
      <c r="B92" s="1" t="s">
        <v>5258</v>
      </c>
      <c r="C92" s="1" t="s">
        <v>19</v>
      </c>
      <c r="D92" s="1" t="s">
        <v>1621</v>
      </c>
      <c r="E92" s="1" t="s">
        <v>1626</v>
      </c>
      <c r="F92" s="1" t="s">
        <v>16</v>
      </c>
      <c r="G92" s="1" t="s">
        <v>17</v>
      </c>
      <c r="H92" s="1" t="s">
        <v>18</v>
      </c>
    </row>
    <row r="93" spans="1:8">
      <c r="A93" s="1">
        <v>92</v>
      </c>
      <c r="B93" s="1" t="s">
        <v>5259</v>
      </c>
      <c r="C93" s="1" t="s">
        <v>9</v>
      </c>
      <c r="D93" s="1" t="s">
        <v>1628</v>
      </c>
      <c r="E93" s="1" t="s">
        <v>1629</v>
      </c>
      <c r="F93" s="1" t="s">
        <v>12</v>
      </c>
      <c r="G93" s="1" t="s">
        <v>13</v>
      </c>
      <c r="H93" s="1" t="s">
        <v>18</v>
      </c>
    </row>
    <row r="94" spans="1:8">
      <c r="A94" s="1">
        <v>93</v>
      </c>
      <c r="B94" s="1" t="s">
        <v>5259</v>
      </c>
      <c r="C94" s="1" t="s">
        <v>14</v>
      </c>
      <c r="D94" s="1" t="s">
        <v>1628</v>
      </c>
      <c r="E94" s="1" t="s">
        <v>1631</v>
      </c>
      <c r="F94" s="1" t="s">
        <v>21</v>
      </c>
      <c r="G94" s="1" t="s">
        <v>22</v>
      </c>
      <c r="H94" s="1" t="s">
        <v>18</v>
      </c>
    </row>
    <row r="95" spans="1:8">
      <c r="A95" s="1">
        <v>94</v>
      </c>
      <c r="B95" s="1" t="s">
        <v>5259</v>
      </c>
      <c r="C95" s="1" t="s">
        <v>19</v>
      </c>
      <c r="D95" s="1" t="s">
        <v>1628</v>
      </c>
      <c r="E95" s="1" t="s">
        <v>1633</v>
      </c>
      <c r="F95" s="1" t="s">
        <v>16</v>
      </c>
      <c r="G95" s="1" t="s">
        <v>17</v>
      </c>
      <c r="H95" s="1" t="s">
        <v>18</v>
      </c>
    </row>
    <row r="96" spans="1:8">
      <c r="A96" s="1">
        <v>95</v>
      </c>
      <c r="B96" s="1" t="s">
        <v>5260</v>
      </c>
      <c r="C96" s="1" t="s">
        <v>9</v>
      </c>
      <c r="D96" s="1" t="s">
        <v>1635</v>
      </c>
      <c r="E96" s="1" t="s">
        <v>1636</v>
      </c>
      <c r="F96" s="1" t="s">
        <v>12</v>
      </c>
      <c r="G96" s="1" t="s">
        <v>13</v>
      </c>
      <c r="H96" s="1" t="s">
        <v>18</v>
      </c>
    </row>
    <row r="97" spans="1:8">
      <c r="A97" s="1">
        <v>96</v>
      </c>
      <c r="B97" s="1" t="s">
        <v>5260</v>
      </c>
      <c r="C97" s="1" t="s">
        <v>14</v>
      </c>
      <c r="D97" s="1" t="s">
        <v>1635</v>
      </c>
      <c r="E97" s="1" t="s">
        <v>1638</v>
      </c>
      <c r="F97" s="1" t="s">
        <v>21</v>
      </c>
      <c r="G97" s="1" t="s">
        <v>22</v>
      </c>
      <c r="H97" s="1" t="s">
        <v>18</v>
      </c>
    </row>
    <row r="98" spans="1:8">
      <c r="A98" s="1">
        <v>97</v>
      </c>
      <c r="B98" s="1" t="s">
        <v>5260</v>
      </c>
      <c r="C98" s="1" t="s">
        <v>19</v>
      </c>
      <c r="D98" s="1" t="s">
        <v>1635</v>
      </c>
      <c r="E98" s="1" t="s">
        <v>1640</v>
      </c>
      <c r="F98" s="1" t="s">
        <v>16</v>
      </c>
      <c r="G98" s="1" t="s">
        <v>17</v>
      </c>
      <c r="H98" s="1" t="s">
        <v>18</v>
      </c>
    </row>
    <row r="99" spans="1:8">
      <c r="A99" s="1">
        <v>98</v>
      </c>
      <c r="B99" s="1" t="s">
        <v>5261</v>
      </c>
      <c r="C99" s="1" t="s">
        <v>237</v>
      </c>
      <c r="D99" s="1" t="s">
        <v>1642</v>
      </c>
      <c r="E99" s="1" t="s">
        <v>1643</v>
      </c>
      <c r="F99" s="1" t="s">
        <v>16</v>
      </c>
      <c r="G99" s="1" t="s">
        <v>17</v>
      </c>
      <c r="H99" s="1" t="s">
        <v>18</v>
      </c>
    </row>
    <row r="100" spans="1:8">
      <c r="A100" s="1">
        <v>99</v>
      </c>
      <c r="B100" s="1" t="s">
        <v>5262</v>
      </c>
      <c r="C100" s="1" t="s">
        <v>9</v>
      </c>
      <c r="D100" s="1" t="s">
        <v>1645</v>
      </c>
      <c r="E100" s="1" t="s">
        <v>1646</v>
      </c>
      <c r="F100" s="1" t="s">
        <v>21</v>
      </c>
      <c r="G100" s="1" t="s">
        <v>22</v>
      </c>
      <c r="H100" s="1" t="s">
        <v>18</v>
      </c>
    </row>
    <row r="101" spans="1:8">
      <c r="A101" s="1">
        <v>100</v>
      </c>
      <c r="B101" s="1" t="s">
        <v>5262</v>
      </c>
      <c r="C101" s="1" t="s">
        <v>14</v>
      </c>
      <c r="D101" s="1" t="s">
        <v>1645</v>
      </c>
      <c r="E101" s="1" t="s">
        <v>1648</v>
      </c>
      <c r="F101" s="1" t="s">
        <v>619</v>
      </c>
      <c r="G101" s="1" t="s">
        <v>620</v>
      </c>
      <c r="H101" s="1" t="s">
        <v>18</v>
      </c>
    </row>
    <row r="102" spans="1:8">
      <c r="A102" s="1">
        <v>101</v>
      </c>
      <c r="B102" s="1" t="s">
        <v>5262</v>
      </c>
      <c r="C102" s="1" t="s">
        <v>19</v>
      </c>
      <c r="D102" s="1" t="s">
        <v>1645</v>
      </c>
      <c r="E102" s="1" t="s">
        <v>1650</v>
      </c>
      <c r="F102" s="1" t="s">
        <v>16</v>
      </c>
      <c r="G102" s="1" t="s">
        <v>17</v>
      </c>
      <c r="H102" s="1" t="s">
        <v>18</v>
      </c>
    </row>
    <row r="103" spans="1:8">
      <c r="A103" s="1">
        <v>102</v>
      </c>
      <c r="B103" s="1" t="s">
        <v>5263</v>
      </c>
      <c r="C103" s="1" t="s">
        <v>44</v>
      </c>
      <c r="D103" s="1" t="s">
        <v>1652</v>
      </c>
      <c r="E103" s="1" t="s">
        <v>3703</v>
      </c>
      <c r="F103" s="1" t="s">
        <v>1654</v>
      </c>
      <c r="G103" s="1" t="s">
        <v>1655</v>
      </c>
      <c r="H103" s="1" t="s">
        <v>18</v>
      </c>
    </row>
    <row r="104" spans="1:8">
      <c r="A104" s="1">
        <v>103</v>
      </c>
      <c r="B104" s="1" t="s">
        <v>5263</v>
      </c>
      <c r="C104" s="1" t="s">
        <v>49</v>
      </c>
      <c r="D104" s="1" t="s">
        <v>1652</v>
      </c>
      <c r="E104" s="1" t="s">
        <v>3705</v>
      </c>
      <c r="F104" s="1" t="s">
        <v>1658</v>
      </c>
      <c r="G104" s="1" t="s">
        <v>1659</v>
      </c>
      <c r="H104" s="1" t="s">
        <v>18</v>
      </c>
    </row>
    <row r="105" spans="1:8">
      <c r="A105" s="1">
        <v>104</v>
      </c>
      <c r="B105" s="1" t="s">
        <v>5264</v>
      </c>
      <c r="C105" s="1" t="s">
        <v>58</v>
      </c>
      <c r="D105" s="1" t="s">
        <v>1661</v>
      </c>
      <c r="E105" s="1" t="s">
        <v>1527</v>
      </c>
      <c r="F105" s="1" t="s">
        <v>1663</v>
      </c>
      <c r="G105" s="1" t="s">
        <v>5265</v>
      </c>
      <c r="H105" s="1" t="s">
        <v>18</v>
      </c>
    </row>
    <row r="106" spans="1:8">
      <c r="A106" s="1">
        <v>105</v>
      </c>
      <c r="B106" s="1" t="s">
        <v>5264</v>
      </c>
      <c r="C106" s="1" t="s">
        <v>63</v>
      </c>
      <c r="D106" s="1" t="s">
        <v>1661</v>
      </c>
      <c r="E106" s="1" t="s">
        <v>3708</v>
      </c>
      <c r="F106" s="1" t="s">
        <v>1667</v>
      </c>
      <c r="G106" s="1" t="s">
        <v>1668</v>
      </c>
      <c r="H106" s="1" t="s">
        <v>18</v>
      </c>
    </row>
    <row r="107" spans="1:8">
      <c r="A107" s="1">
        <v>106</v>
      </c>
      <c r="B107" s="1" t="s">
        <v>5264</v>
      </c>
      <c r="C107" s="1" t="s">
        <v>67</v>
      </c>
      <c r="D107" s="1" t="s">
        <v>1661</v>
      </c>
      <c r="E107" s="1" t="s">
        <v>3710</v>
      </c>
      <c r="F107" s="1" t="s">
        <v>1671</v>
      </c>
      <c r="G107" s="1" t="s">
        <v>1672</v>
      </c>
      <c r="H107" s="1" t="s">
        <v>18</v>
      </c>
    </row>
    <row r="108" spans="1:8">
      <c r="A108" s="1">
        <v>107</v>
      </c>
      <c r="B108" s="1" t="s">
        <v>5264</v>
      </c>
      <c r="C108" s="1" t="s">
        <v>71</v>
      </c>
      <c r="D108" s="1" t="s">
        <v>1661</v>
      </c>
      <c r="E108" s="1" t="s">
        <v>3712</v>
      </c>
      <c r="F108" s="1" t="s">
        <v>1675</v>
      </c>
      <c r="G108" s="1" t="s">
        <v>1676</v>
      </c>
      <c r="H108" s="1" t="s">
        <v>18</v>
      </c>
    </row>
    <row r="109" spans="1:8">
      <c r="A109" s="1">
        <v>108</v>
      </c>
      <c r="B109" s="1" t="s">
        <v>5266</v>
      </c>
      <c r="C109" s="1" t="s">
        <v>58</v>
      </c>
      <c r="D109" s="1" t="s">
        <v>1678</v>
      </c>
      <c r="E109" s="1" t="s">
        <v>1729</v>
      </c>
      <c r="F109" s="1" t="s">
        <v>12</v>
      </c>
      <c r="G109" s="1" t="s">
        <v>13</v>
      </c>
      <c r="H109" s="1" t="s">
        <v>18</v>
      </c>
    </row>
    <row r="110" spans="1:8">
      <c r="A110" s="1">
        <v>109</v>
      </c>
      <c r="B110" s="1" t="s">
        <v>5266</v>
      </c>
      <c r="C110" s="1" t="s">
        <v>63</v>
      </c>
      <c r="D110" s="1" t="s">
        <v>1678</v>
      </c>
      <c r="E110" s="1" t="s">
        <v>3120</v>
      </c>
      <c r="F110" s="1" t="s">
        <v>21</v>
      </c>
      <c r="G110" s="1" t="s">
        <v>22</v>
      </c>
      <c r="H110" s="1" t="s">
        <v>18</v>
      </c>
    </row>
    <row r="111" spans="1:8">
      <c r="A111" s="1">
        <v>110</v>
      </c>
      <c r="B111" s="1" t="s">
        <v>5266</v>
      </c>
      <c r="C111" s="1" t="s">
        <v>67</v>
      </c>
      <c r="D111" s="1" t="s">
        <v>1678</v>
      </c>
      <c r="E111" s="1" t="s">
        <v>3717</v>
      </c>
      <c r="F111" s="1" t="s">
        <v>16</v>
      </c>
      <c r="G111" s="1" t="s">
        <v>17</v>
      </c>
      <c r="H111" s="1" t="s">
        <v>18</v>
      </c>
    </row>
    <row r="112" spans="1:8">
      <c r="A112" s="1">
        <v>111</v>
      </c>
      <c r="B112" s="1" t="s">
        <v>5266</v>
      </c>
      <c r="C112" s="1" t="s">
        <v>71</v>
      </c>
      <c r="D112" s="1" t="s">
        <v>1678</v>
      </c>
      <c r="E112" s="1" t="s">
        <v>3122</v>
      </c>
      <c r="F112" s="1" t="s">
        <v>1686</v>
      </c>
      <c r="G112" s="1" t="s">
        <v>1687</v>
      </c>
      <c r="H112" s="1" t="s">
        <v>18</v>
      </c>
    </row>
    <row r="113" spans="1:8">
      <c r="A113" s="1">
        <v>112</v>
      </c>
      <c r="B113" s="1" t="s">
        <v>5267</v>
      </c>
      <c r="C113" s="1" t="s">
        <v>9</v>
      </c>
      <c r="D113" s="1" t="s">
        <v>1689</v>
      </c>
      <c r="E113" s="1" t="s">
        <v>3721</v>
      </c>
      <c r="F113" s="1" t="s">
        <v>1691</v>
      </c>
      <c r="G113" s="1" t="s">
        <v>1692</v>
      </c>
      <c r="H113" s="1" t="s">
        <v>18</v>
      </c>
    </row>
    <row r="114" spans="1:8">
      <c r="A114" s="1">
        <v>113</v>
      </c>
      <c r="B114" s="1" t="s">
        <v>5267</v>
      </c>
      <c r="C114" s="1" t="s">
        <v>14</v>
      </c>
      <c r="D114" s="1" t="s">
        <v>1689</v>
      </c>
      <c r="E114" s="1" t="s">
        <v>3723</v>
      </c>
      <c r="F114" s="1" t="s">
        <v>1695</v>
      </c>
      <c r="G114" s="1" t="s">
        <v>1696</v>
      </c>
      <c r="H114" s="1" t="s">
        <v>18</v>
      </c>
    </row>
    <row r="115" spans="1:8">
      <c r="A115" s="1">
        <v>114</v>
      </c>
      <c r="B115" s="1" t="s">
        <v>5267</v>
      </c>
      <c r="C115" s="1" t="s">
        <v>19</v>
      </c>
      <c r="D115" s="1" t="s">
        <v>1689</v>
      </c>
      <c r="E115" s="1" t="s">
        <v>3719</v>
      </c>
      <c r="F115" s="1" t="s">
        <v>1699</v>
      </c>
      <c r="G115" s="1" t="s">
        <v>1700</v>
      </c>
      <c r="H115" s="1" t="s">
        <v>18</v>
      </c>
    </row>
    <row r="116" spans="1:8">
      <c r="A116" s="1">
        <v>115</v>
      </c>
      <c r="B116" s="1" t="s">
        <v>5268</v>
      </c>
      <c r="C116" s="1" t="s">
        <v>237</v>
      </c>
      <c r="D116" s="1" t="s">
        <v>1702</v>
      </c>
      <c r="E116" s="1" t="s">
        <v>1148</v>
      </c>
      <c r="F116" s="1" t="s">
        <v>21</v>
      </c>
      <c r="G116" s="1" t="s">
        <v>22</v>
      </c>
      <c r="H116" s="1" t="s">
        <v>18</v>
      </c>
    </row>
    <row r="117" spans="1:8">
      <c r="A117" s="1">
        <v>116</v>
      </c>
      <c r="B117" s="1" t="s">
        <v>5269</v>
      </c>
      <c r="C117" s="1" t="s">
        <v>44</v>
      </c>
      <c r="D117" s="1" t="s">
        <v>1704</v>
      </c>
      <c r="E117" s="1" t="s">
        <v>329</v>
      </c>
      <c r="F117" s="1" t="s">
        <v>330</v>
      </c>
      <c r="G117" s="1" t="s">
        <v>331</v>
      </c>
      <c r="H117" s="1" t="s">
        <v>18</v>
      </c>
    </row>
    <row r="118" spans="1:8">
      <c r="A118" s="1">
        <v>117</v>
      </c>
      <c r="B118" s="1" t="s">
        <v>5269</v>
      </c>
      <c r="C118" s="1" t="s">
        <v>49</v>
      </c>
      <c r="D118" s="1" t="s">
        <v>1704</v>
      </c>
      <c r="E118" s="1" t="s">
        <v>326</v>
      </c>
      <c r="F118" s="1" t="s">
        <v>327</v>
      </c>
      <c r="G118" s="1" t="s">
        <v>328</v>
      </c>
      <c r="H118" s="1" t="s">
        <v>18</v>
      </c>
    </row>
    <row r="119" spans="1:8">
      <c r="A119" s="1">
        <v>118</v>
      </c>
      <c r="B119" s="1" t="s">
        <v>5270</v>
      </c>
      <c r="C119" s="1" t="s">
        <v>153</v>
      </c>
      <c r="D119" s="1" t="s">
        <v>1707</v>
      </c>
      <c r="E119" s="1" t="s">
        <v>3733</v>
      </c>
      <c r="F119" s="1" t="s">
        <v>1709</v>
      </c>
      <c r="G119" s="1" t="s">
        <v>1710</v>
      </c>
      <c r="H119" s="1" t="s">
        <v>18</v>
      </c>
    </row>
    <row r="120" spans="1:8">
      <c r="A120" s="1">
        <v>119</v>
      </c>
      <c r="B120" s="1" t="s">
        <v>5270</v>
      </c>
      <c r="C120" s="1" t="s">
        <v>158</v>
      </c>
      <c r="D120" s="1" t="s">
        <v>1707</v>
      </c>
      <c r="E120" s="1" t="s">
        <v>3735</v>
      </c>
      <c r="F120" s="1" t="s">
        <v>1713</v>
      </c>
      <c r="G120" s="1" t="s">
        <v>1714</v>
      </c>
      <c r="H120" s="1" t="s">
        <v>18</v>
      </c>
    </row>
    <row r="121" spans="1:8">
      <c r="A121" s="1">
        <v>120</v>
      </c>
      <c r="B121" s="1" t="s">
        <v>5270</v>
      </c>
      <c r="C121" s="1" t="s">
        <v>162</v>
      </c>
      <c r="D121" s="1" t="s">
        <v>1707</v>
      </c>
      <c r="E121" s="1" t="s">
        <v>3728</v>
      </c>
      <c r="F121" s="1" t="s">
        <v>1717</v>
      </c>
      <c r="G121" s="1" t="s">
        <v>1718</v>
      </c>
      <c r="H121" s="1" t="s">
        <v>18</v>
      </c>
    </row>
    <row r="122" spans="1:8">
      <c r="A122" s="1">
        <v>121</v>
      </c>
      <c r="B122" s="1" t="s">
        <v>5270</v>
      </c>
      <c r="C122" s="1" t="s">
        <v>166</v>
      </c>
      <c r="D122" s="1" t="s">
        <v>1707</v>
      </c>
      <c r="E122" s="1" t="s">
        <v>3730</v>
      </c>
      <c r="F122" s="1" t="s">
        <v>1721</v>
      </c>
      <c r="G122" s="1" t="s">
        <v>1722</v>
      </c>
      <c r="H122" s="1" t="s">
        <v>18</v>
      </c>
    </row>
    <row r="123" spans="1:8">
      <c r="A123" s="1">
        <v>122</v>
      </c>
      <c r="B123" s="1" t="s">
        <v>5270</v>
      </c>
      <c r="C123" s="1" t="s">
        <v>170</v>
      </c>
      <c r="D123" s="1" t="s">
        <v>1707</v>
      </c>
      <c r="E123" s="1" t="s">
        <v>1758</v>
      </c>
      <c r="F123" s="1" t="s">
        <v>1725</v>
      </c>
      <c r="G123" s="1" t="s">
        <v>1726</v>
      </c>
      <c r="H123" s="1" t="s">
        <v>18</v>
      </c>
    </row>
    <row r="124" spans="1:8">
      <c r="A124" s="1">
        <v>123</v>
      </c>
      <c r="B124" s="1" t="s">
        <v>5271</v>
      </c>
      <c r="C124" s="1" t="s">
        <v>237</v>
      </c>
      <c r="D124" s="1" t="s">
        <v>1728</v>
      </c>
      <c r="E124" s="1" t="s">
        <v>3113</v>
      </c>
      <c r="F124" s="1" t="s">
        <v>1730</v>
      </c>
      <c r="G124" s="1" t="s">
        <v>5272</v>
      </c>
      <c r="H124" s="1" t="s">
        <v>18</v>
      </c>
    </row>
    <row r="125" spans="1:8">
      <c r="A125" s="1">
        <v>124</v>
      </c>
      <c r="B125" s="1" t="s">
        <v>5273</v>
      </c>
      <c r="C125" s="1" t="s">
        <v>44</v>
      </c>
      <c r="D125" s="1" t="s">
        <v>1733</v>
      </c>
      <c r="E125" s="1" t="s">
        <v>1734</v>
      </c>
      <c r="F125" s="1" t="s">
        <v>21</v>
      </c>
      <c r="G125" s="1" t="s">
        <v>22</v>
      </c>
      <c r="H125" s="1" t="s">
        <v>18</v>
      </c>
    </row>
    <row r="126" spans="1:8">
      <c r="A126" s="1">
        <v>125</v>
      </c>
      <c r="B126" s="1" t="s">
        <v>5273</v>
      </c>
      <c r="C126" s="1" t="s">
        <v>49</v>
      </c>
      <c r="D126" s="1" t="s">
        <v>1733</v>
      </c>
      <c r="E126" s="1" t="s">
        <v>772</v>
      </c>
      <c r="F126" s="1" t="s">
        <v>773</v>
      </c>
      <c r="G126" s="1" t="s">
        <v>774</v>
      </c>
      <c r="H126" s="1" t="s">
        <v>18</v>
      </c>
    </row>
    <row r="127" spans="1:8">
      <c r="A127" s="1">
        <v>126</v>
      </c>
      <c r="B127" s="1" t="s">
        <v>5274</v>
      </c>
      <c r="C127" s="1" t="s">
        <v>44</v>
      </c>
      <c r="D127" s="1" t="s">
        <v>1737</v>
      </c>
      <c r="E127" s="1" t="s">
        <v>778</v>
      </c>
      <c r="F127" s="1" t="s">
        <v>779</v>
      </c>
      <c r="G127" s="1" t="s">
        <v>780</v>
      </c>
      <c r="H127" s="1" t="s">
        <v>18</v>
      </c>
    </row>
    <row r="128" spans="1:8">
      <c r="A128" s="1">
        <v>127</v>
      </c>
      <c r="B128" s="1" t="s">
        <v>5274</v>
      </c>
      <c r="C128" s="1" t="s">
        <v>49</v>
      </c>
      <c r="D128" s="1" t="s">
        <v>1737</v>
      </c>
      <c r="E128" s="1" t="s">
        <v>1739</v>
      </c>
      <c r="F128" s="1" t="s">
        <v>21</v>
      </c>
      <c r="G128" s="1" t="s">
        <v>22</v>
      </c>
      <c r="H128" s="1" t="s">
        <v>18</v>
      </c>
    </row>
    <row r="129" spans="1:8">
      <c r="A129" s="1">
        <v>128</v>
      </c>
      <c r="B129" s="1" t="s">
        <v>5275</v>
      </c>
      <c r="C129" s="1" t="s">
        <v>9</v>
      </c>
      <c r="D129" s="1" t="s">
        <v>1741</v>
      </c>
      <c r="E129" s="1" t="s">
        <v>784</v>
      </c>
      <c r="F129" s="1" t="s">
        <v>12</v>
      </c>
      <c r="G129" s="1" t="s">
        <v>13</v>
      </c>
      <c r="H129" s="1" t="s">
        <v>18</v>
      </c>
    </row>
    <row r="130" spans="1:8">
      <c r="A130" s="1">
        <v>129</v>
      </c>
      <c r="B130" s="1" t="s">
        <v>5275</v>
      </c>
      <c r="C130" s="1" t="s">
        <v>14</v>
      </c>
      <c r="D130" s="1" t="s">
        <v>1741</v>
      </c>
      <c r="E130" s="1" t="s">
        <v>785</v>
      </c>
      <c r="F130" s="1" t="s">
        <v>786</v>
      </c>
      <c r="G130" s="1" t="s">
        <v>787</v>
      </c>
      <c r="H130" s="1" t="s">
        <v>18</v>
      </c>
    </row>
    <row r="131" spans="1:8">
      <c r="A131" s="1">
        <v>130</v>
      </c>
      <c r="B131" s="1" t="s">
        <v>5275</v>
      </c>
      <c r="C131" s="1" t="s">
        <v>19</v>
      </c>
      <c r="D131" s="1" t="s">
        <v>1741</v>
      </c>
      <c r="E131" s="1" t="s">
        <v>1744</v>
      </c>
      <c r="F131" s="1" t="s">
        <v>21</v>
      </c>
      <c r="G131" s="1" t="s">
        <v>22</v>
      </c>
      <c r="H131" s="1" t="s">
        <v>18</v>
      </c>
    </row>
    <row r="132" spans="1:8">
      <c r="A132" s="1">
        <v>131</v>
      </c>
      <c r="B132" s="1" t="s">
        <v>5276</v>
      </c>
      <c r="C132" s="1" t="s">
        <v>58</v>
      </c>
      <c r="D132" s="1" t="s">
        <v>1746</v>
      </c>
      <c r="E132" s="1" t="s">
        <v>140</v>
      </c>
      <c r="F132" s="1" t="s">
        <v>141</v>
      </c>
      <c r="G132" s="1" t="s">
        <v>142</v>
      </c>
      <c r="H132" s="1" t="s">
        <v>18</v>
      </c>
    </row>
    <row r="133" spans="1:8">
      <c r="A133" s="1">
        <v>132</v>
      </c>
      <c r="B133" s="1" t="s">
        <v>5276</v>
      </c>
      <c r="C133" s="1" t="s">
        <v>63</v>
      </c>
      <c r="D133" s="1" t="s">
        <v>1746</v>
      </c>
      <c r="E133" s="1" t="s">
        <v>143</v>
      </c>
      <c r="F133" s="1" t="s">
        <v>144</v>
      </c>
      <c r="G133" s="1" t="s">
        <v>145</v>
      </c>
      <c r="H133" s="1" t="s">
        <v>18</v>
      </c>
    </row>
    <row r="134" spans="1:8">
      <c r="A134" s="1">
        <v>133</v>
      </c>
      <c r="B134" s="1" t="s">
        <v>5276</v>
      </c>
      <c r="C134" s="1" t="s">
        <v>67</v>
      </c>
      <c r="D134" s="1" t="s">
        <v>1746</v>
      </c>
      <c r="E134" s="1" t="s">
        <v>149</v>
      </c>
      <c r="F134" s="1" t="s">
        <v>150</v>
      </c>
      <c r="G134" s="1" t="s">
        <v>151</v>
      </c>
      <c r="H134" s="1" t="s">
        <v>18</v>
      </c>
    </row>
    <row r="135" spans="1:8">
      <c r="A135" s="1">
        <v>134</v>
      </c>
      <c r="B135" s="1" t="s">
        <v>5276</v>
      </c>
      <c r="C135" s="1" t="s">
        <v>71</v>
      </c>
      <c r="D135" s="1" t="s">
        <v>1746</v>
      </c>
      <c r="E135" s="1" t="s">
        <v>146</v>
      </c>
      <c r="F135" s="1" t="s">
        <v>147</v>
      </c>
      <c r="G135" s="1" t="s">
        <v>148</v>
      </c>
      <c r="H135" s="1" t="s">
        <v>18</v>
      </c>
    </row>
    <row r="136" spans="1:8">
      <c r="A136" s="1">
        <v>135</v>
      </c>
      <c r="B136" s="1" t="s">
        <v>5277</v>
      </c>
      <c r="C136" s="1" t="s">
        <v>153</v>
      </c>
      <c r="D136" s="1" t="s">
        <v>1751</v>
      </c>
      <c r="E136" s="1" t="s">
        <v>159</v>
      </c>
      <c r="F136" s="1" t="s">
        <v>160</v>
      </c>
      <c r="G136" s="1" t="s">
        <v>161</v>
      </c>
      <c r="H136" s="1" t="s">
        <v>18</v>
      </c>
    </row>
    <row r="137" spans="1:8">
      <c r="A137" s="1">
        <v>136</v>
      </c>
      <c r="B137" s="1" t="s">
        <v>5277</v>
      </c>
      <c r="C137" s="1" t="s">
        <v>158</v>
      </c>
      <c r="D137" s="1" t="s">
        <v>1751</v>
      </c>
      <c r="E137" s="1" t="s">
        <v>155</v>
      </c>
      <c r="F137" s="1" t="s">
        <v>156</v>
      </c>
      <c r="G137" s="1" t="s">
        <v>157</v>
      </c>
      <c r="H137" s="1" t="s">
        <v>18</v>
      </c>
    </row>
    <row r="138" spans="1:8">
      <c r="A138" s="1">
        <v>137</v>
      </c>
      <c r="B138" s="1" t="s">
        <v>5277</v>
      </c>
      <c r="C138" s="1" t="s">
        <v>162</v>
      </c>
      <c r="D138" s="1" t="s">
        <v>1751</v>
      </c>
      <c r="E138" s="1" t="s">
        <v>163</v>
      </c>
      <c r="F138" s="1" t="s">
        <v>164</v>
      </c>
      <c r="G138" s="1" t="s">
        <v>165</v>
      </c>
      <c r="H138" s="1" t="s">
        <v>18</v>
      </c>
    </row>
    <row r="139" spans="1:8">
      <c r="A139" s="1">
        <v>138</v>
      </c>
      <c r="B139" s="1" t="s">
        <v>5277</v>
      </c>
      <c r="C139" s="1" t="s">
        <v>166</v>
      </c>
      <c r="D139" s="1" t="s">
        <v>1751</v>
      </c>
      <c r="E139" s="1" t="s">
        <v>167</v>
      </c>
      <c r="F139" s="1" t="s">
        <v>168</v>
      </c>
      <c r="G139" s="1" t="s">
        <v>169</v>
      </c>
      <c r="H139" s="1" t="s">
        <v>18</v>
      </c>
    </row>
    <row r="140" spans="1:8">
      <c r="A140" s="1">
        <v>139</v>
      </c>
      <c r="B140" s="1" t="s">
        <v>5277</v>
      </c>
      <c r="C140" s="1" t="s">
        <v>170</v>
      </c>
      <c r="D140" s="1" t="s">
        <v>1751</v>
      </c>
      <c r="E140" s="1" t="s">
        <v>171</v>
      </c>
      <c r="F140" s="1" t="s">
        <v>172</v>
      </c>
      <c r="G140" s="1" t="s">
        <v>173</v>
      </c>
      <c r="H140" s="1" t="s">
        <v>18</v>
      </c>
    </row>
    <row r="141" spans="1:8">
      <c r="A141" s="1">
        <v>140</v>
      </c>
      <c r="B141" s="1" t="s">
        <v>5278</v>
      </c>
      <c r="C141" s="1" t="s">
        <v>9</v>
      </c>
      <c r="D141" s="1" t="s">
        <v>1757</v>
      </c>
      <c r="E141" s="1" t="s">
        <v>1716</v>
      </c>
      <c r="F141" s="1" t="s">
        <v>1759</v>
      </c>
      <c r="G141" s="1" t="s">
        <v>1760</v>
      </c>
      <c r="H141" s="1" t="s">
        <v>18</v>
      </c>
    </row>
    <row r="142" spans="1:8">
      <c r="A142" s="1">
        <v>141</v>
      </c>
      <c r="B142" s="1" t="s">
        <v>5278</v>
      </c>
      <c r="C142" s="1" t="s">
        <v>14</v>
      </c>
      <c r="D142" s="1" t="s">
        <v>1757</v>
      </c>
      <c r="E142" s="1" t="s">
        <v>1720</v>
      </c>
      <c r="F142" s="1" t="s">
        <v>1763</v>
      </c>
      <c r="G142" s="1" t="s">
        <v>1764</v>
      </c>
      <c r="H142" s="1" t="s">
        <v>18</v>
      </c>
    </row>
    <row r="143" spans="1:8">
      <c r="A143" s="1">
        <v>142</v>
      </c>
      <c r="B143" s="1" t="s">
        <v>5278</v>
      </c>
      <c r="C143" s="1" t="s">
        <v>19</v>
      </c>
      <c r="D143" s="1" t="s">
        <v>1757</v>
      </c>
      <c r="E143" s="1" t="s">
        <v>1724</v>
      </c>
      <c r="F143" s="1" t="s">
        <v>1767</v>
      </c>
      <c r="G143" s="1" t="s">
        <v>1768</v>
      </c>
      <c r="H143" s="1" t="s">
        <v>18</v>
      </c>
    </row>
    <row r="144" spans="1:8">
      <c r="A144" s="1">
        <v>143</v>
      </c>
      <c r="B144" s="1" t="s">
        <v>5279</v>
      </c>
      <c r="C144" s="1" t="s">
        <v>9</v>
      </c>
      <c r="D144" s="1" t="s">
        <v>1770</v>
      </c>
      <c r="E144" s="1" t="s">
        <v>791</v>
      </c>
      <c r="F144" s="1" t="s">
        <v>792</v>
      </c>
      <c r="G144" s="1" t="s">
        <v>793</v>
      </c>
      <c r="H144" s="1" t="s">
        <v>18</v>
      </c>
    </row>
    <row r="145" spans="1:8">
      <c r="A145" s="1">
        <v>144</v>
      </c>
      <c r="B145" s="1" t="s">
        <v>5279</v>
      </c>
      <c r="C145" s="1" t="s">
        <v>14</v>
      </c>
      <c r="D145" s="1" t="s">
        <v>1770</v>
      </c>
      <c r="E145" s="1" t="s">
        <v>794</v>
      </c>
      <c r="F145" s="1" t="s">
        <v>779</v>
      </c>
      <c r="G145" s="1" t="s">
        <v>780</v>
      </c>
      <c r="H145" s="1" t="s">
        <v>18</v>
      </c>
    </row>
    <row r="146" spans="1:8">
      <c r="A146" s="1">
        <v>145</v>
      </c>
      <c r="B146" s="1" t="s">
        <v>5279</v>
      </c>
      <c r="C146" s="1" t="s">
        <v>19</v>
      </c>
      <c r="D146" s="1" t="s">
        <v>1770</v>
      </c>
      <c r="E146" s="1" t="s">
        <v>1773</v>
      </c>
      <c r="F146" s="1" t="s">
        <v>21</v>
      </c>
      <c r="G146" s="1" t="s">
        <v>22</v>
      </c>
      <c r="H146" s="1" t="s">
        <v>18</v>
      </c>
    </row>
    <row r="147" spans="1:8">
      <c r="A147" s="1">
        <v>146</v>
      </c>
      <c r="B147" s="1" t="s">
        <v>5280</v>
      </c>
      <c r="C147" s="1" t="s">
        <v>540</v>
      </c>
      <c r="D147" s="1" t="s">
        <v>1775</v>
      </c>
      <c r="E147" s="1" t="s">
        <v>359</v>
      </c>
      <c r="F147" s="1" t="s">
        <v>551</v>
      </c>
      <c r="G147" s="1" t="s">
        <v>552</v>
      </c>
      <c r="H147" s="1" t="s">
        <v>18</v>
      </c>
    </row>
    <row r="148" spans="1:8">
      <c r="A148" s="1">
        <v>147</v>
      </c>
      <c r="B148" s="1" t="s">
        <v>5280</v>
      </c>
      <c r="C148" s="1" t="s">
        <v>545</v>
      </c>
      <c r="D148" s="1" t="s">
        <v>1775</v>
      </c>
      <c r="E148" s="1" t="s">
        <v>367</v>
      </c>
      <c r="F148" s="1" t="s">
        <v>559</v>
      </c>
      <c r="G148" s="1" t="s">
        <v>560</v>
      </c>
      <c r="H148" s="1" t="s">
        <v>18</v>
      </c>
    </row>
    <row r="149" spans="1:8">
      <c r="A149" s="1">
        <v>148</v>
      </c>
      <c r="B149" s="1" t="s">
        <v>5280</v>
      </c>
      <c r="C149" s="1" t="s">
        <v>549</v>
      </c>
      <c r="D149" s="1" t="s">
        <v>1775</v>
      </c>
      <c r="E149" s="1" t="s">
        <v>371</v>
      </c>
      <c r="F149" s="1" t="s">
        <v>563</v>
      </c>
      <c r="G149" s="1" t="s">
        <v>564</v>
      </c>
      <c r="H149" s="1" t="s">
        <v>18</v>
      </c>
    </row>
    <row r="150" spans="1:8">
      <c r="A150" s="1">
        <v>149</v>
      </c>
      <c r="B150" s="1" t="s">
        <v>5280</v>
      </c>
      <c r="C150" s="1" t="s">
        <v>553</v>
      </c>
      <c r="D150" s="1" t="s">
        <v>1775</v>
      </c>
      <c r="E150" s="1" t="s">
        <v>375</v>
      </c>
      <c r="F150" s="1" t="s">
        <v>567</v>
      </c>
      <c r="G150" s="1" t="s">
        <v>568</v>
      </c>
      <c r="H150" s="1" t="s">
        <v>18</v>
      </c>
    </row>
    <row r="151" spans="1:8">
      <c r="A151" s="1">
        <v>150</v>
      </c>
      <c r="B151" s="1" t="s">
        <v>5280</v>
      </c>
      <c r="C151" s="1" t="s">
        <v>557</v>
      </c>
      <c r="D151" s="1" t="s">
        <v>1775</v>
      </c>
      <c r="E151" s="1" t="s">
        <v>550</v>
      </c>
      <c r="F151" s="1" t="s">
        <v>583</v>
      </c>
      <c r="G151" s="1" t="s">
        <v>584</v>
      </c>
      <c r="H151" s="1" t="s">
        <v>18</v>
      </c>
    </row>
    <row r="152" spans="1:8">
      <c r="A152" s="1">
        <v>151</v>
      </c>
      <c r="B152" s="1" t="s">
        <v>5280</v>
      </c>
      <c r="C152" s="1" t="s">
        <v>561</v>
      </c>
      <c r="D152" s="1" t="s">
        <v>1775</v>
      </c>
      <c r="E152" s="1" t="s">
        <v>554</v>
      </c>
      <c r="F152" s="1" t="s">
        <v>587</v>
      </c>
      <c r="G152" s="1" t="s">
        <v>588</v>
      </c>
      <c r="H152" s="1" t="s">
        <v>18</v>
      </c>
    </row>
    <row r="153" spans="1:8">
      <c r="A153" s="1">
        <v>152</v>
      </c>
      <c r="B153" s="1" t="s">
        <v>5280</v>
      </c>
      <c r="C153" s="1" t="s">
        <v>565</v>
      </c>
      <c r="D153" s="1" t="s">
        <v>1775</v>
      </c>
      <c r="E153" s="1" t="s">
        <v>562</v>
      </c>
      <c r="F153" s="1" t="s">
        <v>595</v>
      </c>
      <c r="G153" s="1" t="s">
        <v>596</v>
      </c>
      <c r="H153" s="1" t="s">
        <v>18</v>
      </c>
    </row>
    <row r="154" spans="1:8">
      <c r="A154" s="1">
        <v>153</v>
      </c>
      <c r="B154" s="1" t="s">
        <v>5280</v>
      </c>
      <c r="C154" s="1" t="s">
        <v>569</v>
      </c>
      <c r="D154" s="1" t="s">
        <v>1775</v>
      </c>
      <c r="E154" s="1" t="s">
        <v>558</v>
      </c>
      <c r="F154" s="1" t="s">
        <v>591</v>
      </c>
      <c r="G154" s="1" t="s">
        <v>592</v>
      </c>
      <c r="H154" s="1" t="s">
        <v>18</v>
      </c>
    </row>
    <row r="155" spans="1:8">
      <c r="A155" s="1">
        <v>154</v>
      </c>
      <c r="B155" s="1" t="s">
        <v>5280</v>
      </c>
      <c r="C155" s="1" t="s">
        <v>573</v>
      </c>
      <c r="D155" s="1" t="s">
        <v>1775</v>
      </c>
      <c r="E155" s="1" t="s">
        <v>546</v>
      </c>
      <c r="F155" s="1" t="s">
        <v>579</v>
      </c>
      <c r="G155" s="1" t="s">
        <v>580</v>
      </c>
      <c r="H155" s="1" t="s">
        <v>18</v>
      </c>
    </row>
    <row r="156" spans="1:8">
      <c r="A156" s="1">
        <v>155</v>
      </c>
      <c r="B156" s="1" t="s">
        <v>5280</v>
      </c>
      <c r="C156" s="1" t="s">
        <v>577</v>
      </c>
      <c r="D156" s="1" t="s">
        <v>1775</v>
      </c>
      <c r="E156" s="1" t="s">
        <v>566</v>
      </c>
      <c r="F156" s="1" t="s">
        <v>599</v>
      </c>
      <c r="G156" s="1" t="s">
        <v>600</v>
      </c>
      <c r="H156" s="1" t="s">
        <v>18</v>
      </c>
    </row>
    <row r="157" spans="1:8">
      <c r="A157" s="1">
        <v>156</v>
      </c>
      <c r="B157" s="1" t="s">
        <v>5280</v>
      </c>
      <c r="C157" s="1" t="s">
        <v>581</v>
      </c>
      <c r="D157" s="1" t="s">
        <v>1775</v>
      </c>
      <c r="E157" s="1" t="s">
        <v>570</v>
      </c>
      <c r="F157" s="1" t="s">
        <v>603</v>
      </c>
      <c r="G157" s="1" t="s">
        <v>604</v>
      </c>
      <c r="H157" s="1" t="s">
        <v>18</v>
      </c>
    </row>
    <row r="158" spans="1:8">
      <c r="A158" s="1">
        <v>157</v>
      </c>
      <c r="B158" s="1" t="s">
        <v>5280</v>
      </c>
      <c r="C158" s="1" t="s">
        <v>585</v>
      </c>
      <c r="D158" s="1" t="s">
        <v>1775</v>
      </c>
      <c r="E158" s="1" t="s">
        <v>379</v>
      </c>
      <c r="F158" s="1" t="s">
        <v>571</v>
      </c>
      <c r="G158" s="1" t="s">
        <v>572</v>
      </c>
      <c r="H158" s="1" t="s">
        <v>18</v>
      </c>
    </row>
    <row r="159" spans="1:8">
      <c r="A159" s="1">
        <v>158</v>
      </c>
      <c r="B159" s="1" t="s">
        <v>5280</v>
      </c>
      <c r="C159" s="1" t="s">
        <v>589</v>
      </c>
      <c r="D159" s="1" t="s">
        <v>1775</v>
      </c>
      <c r="E159" s="1" t="s">
        <v>542</v>
      </c>
      <c r="F159" s="1" t="s">
        <v>575</v>
      </c>
      <c r="G159" s="1" t="s">
        <v>576</v>
      </c>
      <c r="H159" s="1" t="s">
        <v>18</v>
      </c>
    </row>
    <row r="160" spans="1:8">
      <c r="A160" s="1">
        <v>159</v>
      </c>
      <c r="B160" s="1" t="s">
        <v>5280</v>
      </c>
      <c r="C160" s="1" t="s">
        <v>593</v>
      </c>
      <c r="D160" s="1" t="s">
        <v>1775</v>
      </c>
      <c r="E160" s="1" t="s">
        <v>351</v>
      </c>
      <c r="F160" s="1" t="s">
        <v>543</v>
      </c>
      <c r="G160" s="1" t="s">
        <v>544</v>
      </c>
      <c r="H160" s="1" t="s">
        <v>18</v>
      </c>
    </row>
    <row r="161" spans="1:8">
      <c r="A161" s="1">
        <v>160</v>
      </c>
      <c r="B161" s="1" t="s">
        <v>5280</v>
      </c>
      <c r="C161" s="1" t="s">
        <v>597</v>
      </c>
      <c r="D161" s="1" t="s">
        <v>1775</v>
      </c>
      <c r="E161" s="1" t="s">
        <v>363</v>
      </c>
      <c r="F161" s="1" t="s">
        <v>555</v>
      </c>
      <c r="G161" s="1" t="s">
        <v>556</v>
      </c>
      <c r="H161" s="1" t="s">
        <v>18</v>
      </c>
    </row>
    <row r="162" spans="1:8">
      <c r="A162" s="1">
        <v>161</v>
      </c>
      <c r="B162" s="1" t="s">
        <v>5280</v>
      </c>
      <c r="C162" s="1" t="s">
        <v>601</v>
      </c>
      <c r="D162" s="1" t="s">
        <v>1775</v>
      </c>
      <c r="E162" s="1" t="s">
        <v>574</v>
      </c>
      <c r="F162" s="1" t="s">
        <v>607</v>
      </c>
      <c r="G162" s="1" t="s">
        <v>608</v>
      </c>
      <c r="H162" s="1" t="s">
        <v>18</v>
      </c>
    </row>
    <row r="163" spans="1:8">
      <c r="A163" s="1">
        <v>162</v>
      </c>
      <c r="B163" s="1" t="s">
        <v>5280</v>
      </c>
      <c r="C163" s="1" t="s">
        <v>605</v>
      </c>
      <c r="D163" s="1" t="s">
        <v>1775</v>
      </c>
      <c r="E163" s="1" t="s">
        <v>578</v>
      </c>
      <c r="F163" s="1" t="s">
        <v>611</v>
      </c>
      <c r="G163" s="1" t="s">
        <v>612</v>
      </c>
      <c r="H163" s="1" t="s">
        <v>18</v>
      </c>
    </row>
    <row r="164" spans="1:8">
      <c r="A164" s="1">
        <v>163</v>
      </c>
      <c r="B164" s="1" t="s">
        <v>5280</v>
      </c>
      <c r="C164" s="1" t="s">
        <v>609</v>
      </c>
      <c r="D164" s="1" t="s">
        <v>1775</v>
      </c>
      <c r="E164" s="1" t="s">
        <v>355</v>
      </c>
      <c r="F164" s="1" t="s">
        <v>547</v>
      </c>
      <c r="G164" s="1" t="s">
        <v>548</v>
      </c>
      <c r="H164" s="1" t="s">
        <v>18</v>
      </c>
    </row>
    <row r="165" spans="1:8">
      <c r="A165" s="1">
        <v>164</v>
      </c>
      <c r="B165" s="1" t="s">
        <v>5281</v>
      </c>
      <c r="C165" s="1" t="s">
        <v>498</v>
      </c>
      <c r="D165" s="1" t="s">
        <v>1794</v>
      </c>
      <c r="E165" s="1" t="s">
        <v>1823</v>
      </c>
      <c r="F165" s="1" t="s">
        <v>1796</v>
      </c>
      <c r="G165" s="1" t="s">
        <v>5282</v>
      </c>
      <c r="H165" s="1" t="s">
        <v>18</v>
      </c>
    </row>
    <row r="166" spans="1:8">
      <c r="A166" s="1">
        <v>165</v>
      </c>
      <c r="B166" s="1" t="s">
        <v>5281</v>
      </c>
      <c r="C166" s="1" t="s">
        <v>503</v>
      </c>
      <c r="D166" s="1" t="s">
        <v>1794</v>
      </c>
      <c r="E166" s="1" t="s">
        <v>4075</v>
      </c>
      <c r="F166" s="1" t="s">
        <v>1800</v>
      </c>
      <c r="G166" s="1" t="s">
        <v>5283</v>
      </c>
      <c r="H166" s="1" t="s">
        <v>18</v>
      </c>
    </row>
    <row r="167" spans="1:8">
      <c r="A167" s="1">
        <v>166</v>
      </c>
      <c r="B167" s="1" t="s">
        <v>5281</v>
      </c>
      <c r="C167" s="1" t="s">
        <v>507</v>
      </c>
      <c r="D167" s="1" t="s">
        <v>1794</v>
      </c>
      <c r="E167" s="1" t="s">
        <v>1819</v>
      </c>
      <c r="F167" s="1" t="s">
        <v>1804</v>
      </c>
      <c r="G167" s="1" t="s">
        <v>5284</v>
      </c>
      <c r="H167" s="1" t="s">
        <v>18</v>
      </c>
    </row>
    <row r="168" spans="1:8">
      <c r="A168" s="1">
        <v>167</v>
      </c>
      <c r="B168" s="1" t="s">
        <v>5281</v>
      </c>
      <c r="C168" s="1" t="s">
        <v>511</v>
      </c>
      <c r="D168" s="1" t="s">
        <v>1794</v>
      </c>
      <c r="E168" s="1" t="s">
        <v>4079</v>
      </c>
      <c r="F168" s="1" t="s">
        <v>1808</v>
      </c>
      <c r="G168" s="1" t="s">
        <v>5285</v>
      </c>
      <c r="H168" s="1" t="s">
        <v>18</v>
      </c>
    </row>
    <row r="169" spans="1:8">
      <c r="A169" s="1">
        <v>168</v>
      </c>
      <c r="B169" s="1" t="s">
        <v>5281</v>
      </c>
      <c r="C169" s="1" t="s">
        <v>513</v>
      </c>
      <c r="D169" s="1" t="s">
        <v>1794</v>
      </c>
      <c r="E169" s="1" t="s">
        <v>4081</v>
      </c>
      <c r="F169" s="1" t="s">
        <v>1812</v>
      </c>
      <c r="G169" s="1" t="s">
        <v>5286</v>
      </c>
      <c r="H169" s="1" t="s">
        <v>18</v>
      </c>
    </row>
    <row r="170" spans="1:8">
      <c r="A170" s="1">
        <v>169</v>
      </c>
      <c r="B170" s="1" t="s">
        <v>5281</v>
      </c>
      <c r="C170" s="1" t="s">
        <v>515</v>
      </c>
      <c r="D170" s="1" t="s">
        <v>1794</v>
      </c>
      <c r="E170" s="1" t="s">
        <v>4083</v>
      </c>
      <c r="F170" s="1" t="s">
        <v>1816</v>
      </c>
      <c r="G170" s="1" t="s">
        <v>5287</v>
      </c>
      <c r="H170" s="1" t="s">
        <v>18</v>
      </c>
    </row>
    <row r="171" spans="1:8">
      <c r="A171" s="1">
        <v>170</v>
      </c>
      <c r="B171" s="1" t="s">
        <v>5281</v>
      </c>
      <c r="C171" s="1" t="s">
        <v>517</v>
      </c>
      <c r="D171" s="1" t="s">
        <v>1794</v>
      </c>
      <c r="E171" s="1" t="s">
        <v>4086</v>
      </c>
      <c r="F171" s="1" t="s">
        <v>1820</v>
      </c>
      <c r="G171" s="1" t="s">
        <v>5288</v>
      </c>
      <c r="H171" s="1" t="s">
        <v>18</v>
      </c>
    </row>
    <row r="172" spans="1:8">
      <c r="A172" s="1">
        <v>171</v>
      </c>
      <c r="B172" s="1" t="s">
        <v>5281</v>
      </c>
      <c r="C172" s="1" t="s">
        <v>521</v>
      </c>
      <c r="D172" s="1" t="s">
        <v>1794</v>
      </c>
      <c r="E172" s="1" t="s">
        <v>1856</v>
      </c>
      <c r="F172" s="1" t="s">
        <v>1824</v>
      </c>
      <c r="G172" s="1" t="s">
        <v>5289</v>
      </c>
      <c r="H172" s="1" t="s">
        <v>18</v>
      </c>
    </row>
    <row r="173" spans="1:8">
      <c r="A173" s="1">
        <v>172</v>
      </c>
      <c r="B173" s="1" t="s">
        <v>5290</v>
      </c>
      <c r="C173" s="1" t="s">
        <v>5291</v>
      </c>
      <c r="D173" s="1" t="s">
        <v>1827</v>
      </c>
      <c r="E173" s="1" t="s">
        <v>1852</v>
      </c>
      <c r="F173" s="1" t="s">
        <v>1829</v>
      </c>
      <c r="G173" s="1" t="s">
        <v>5292</v>
      </c>
      <c r="H173" s="1" t="s">
        <v>18</v>
      </c>
    </row>
    <row r="174" spans="1:8">
      <c r="A174" s="1">
        <v>173</v>
      </c>
      <c r="B174" s="1" t="s">
        <v>5290</v>
      </c>
      <c r="C174" s="1" t="s">
        <v>5293</v>
      </c>
      <c r="D174" s="1" t="s">
        <v>1827</v>
      </c>
      <c r="E174" s="1" t="s">
        <v>1866</v>
      </c>
      <c r="F174" s="1" t="s">
        <v>1833</v>
      </c>
      <c r="G174" s="1" t="s">
        <v>5294</v>
      </c>
      <c r="H174" s="1" t="s">
        <v>18</v>
      </c>
    </row>
    <row r="175" spans="1:8">
      <c r="A175" s="1">
        <v>174</v>
      </c>
      <c r="B175" s="1" t="s">
        <v>5290</v>
      </c>
      <c r="C175" s="1" t="s">
        <v>5295</v>
      </c>
      <c r="D175" s="1" t="s">
        <v>1827</v>
      </c>
      <c r="E175" s="1" t="s">
        <v>1862</v>
      </c>
      <c r="F175" s="1" t="s">
        <v>1837</v>
      </c>
      <c r="G175" s="1" t="s">
        <v>5296</v>
      </c>
      <c r="H175" s="1" t="s">
        <v>18</v>
      </c>
    </row>
    <row r="176" spans="1:8">
      <c r="A176" s="1">
        <v>175</v>
      </c>
      <c r="B176" s="1" t="s">
        <v>5290</v>
      </c>
      <c r="C176" s="1" t="s">
        <v>5297</v>
      </c>
      <c r="D176" s="1" t="s">
        <v>1827</v>
      </c>
      <c r="E176" s="1" t="s">
        <v>1858</v>
      </c>
      <c r="F176" s="1" t="s">
        <v>1841</v>
      </c>
      <c r="G176" s="1" t="s">
        <v>5298</v>
      </c>
      <c r="H176" s="1" t="s">
        <v>18</v>
      </c>
    </row>
    <row r="177" spans="1:8">
      <c r="A177" s="1">
        <v>176</v>
      </c>
      <c r="B177" s="1" t="s">
        <v>5290</v>
      </c>
      <c r="C177" s="1" t="s">
        <v>5299</v>
      </c>
      <c r="D177" s="1" t="s">
        <v>1827</v>
      </c>
      <c r="E177" s="1" t="s">
        <v>1874</v>
      </c>
      <c r="F177" s="1" t="s">
        <v>1845</v>
      </c>
      <c r="G177" s="1" t="s">
        <v>5300</v>
      </c>
      <c r="H177" s="1" t="s">
        <v>18</v>
      </c>
    </row>
    <row r="178" spans="1:8">
      <c r="A178" s="1">
        <v>177</v>
      </c>
      <c r="B178" s="1" t="s">
        <v>5290</v>
      </c>
      <c r="C178" s="1" t="s">
        <v>5301</v>
      </c>
      <c r="D178" s="1" t="s">
        <v>1827</v>
      </c>
      <c r="E178" s="1" t="s">
        <v>1870</v>
      </c>
      <c r="F178" s="1" t="s">
        <v>1849</v>
      </c>
      <c r="G178" s="1" t="s">
        <v>5302</v>
      </c>
      <c r="H178" s="1" t="s">
        <v>18</v>
      </c>
    </row>
    <row r="179" spans="1:8">
      <c r="A179" s="1">
        <v>178</v>
      </c>
      <c r="B179" s="1" t="s">
        <v>5290</v>
      </c>
      <c r="C179" s="1" t="s">
        <v>5303</v>
      </c>
      <c r="D179" s="1" t="s">
        <v>1827</v>
      </c>
      <c r="E179" s="1" t="s">
        <v>1878</v>
      </c>
      <c r="F179" s="1" t="s">
        <v>1853</v>
      </c>
      <c r="G179" s="1" t="s">
        <v>5304</v>
      </c>
      <c r="H179" s="1" t="s">
        <v>18</v>
      </c>
    </row>
    <row r="180" spans="1:8">
      <c r="A180" s="1">
        <v>179</v>
      </c>
      <c r="B180" s="1" t="s">
        <v>5290</v>
      </c>
      <c r="C180" s="1" t="s">
        <v>5305</v>
      </c>
      <c r="D180" s="1" t="s">
        <v>1827</v>
      </c>
      <c r="E180" s="1" t="s">
        <v>2179</v>
      </c>
      <c r="F180" s="1" t="s">
        <v>21</v>
      </c>
      <c r="G180" s="1" t="s">
        <v>22</v>
      </c>
      <c r="H180" s="1" t="s">
        <v>18</v>
      </c>
    </row>
    <row r="181" spans="1:8">
      <c r="A181" s="1">
        <v>180</v>
      </c>
      <c r="B181" s="1" t="s">
        <v>5290</v>
      </c>
      <c r="C181" s="1" t="s">
        <v>5306</v>
      </c>
      <c r="D181" s="1" t="s">
        <v>1827</v>
      </c>
      <c r="E181" s="1" t="s">
        <v>1428</v>
      </c>
      <c r="F181" s="1" t="s">
        <v>1859</v>
      </c>
      <c r="G181" s="1" t="s">
        <v>5307</v>
      </c>
      <c r="H181" s="1" t="s">
        <v>18</v>
      </c>
    </row>
    <row r="182" spans="1:8">
      <c r="A182" s="1">
        <v>181</v>
      </c>
      <c r="B182" s="1" t="s">
        <v>5290</v>
      </c>
      <c r="C182" s="1" t="s">
        <v>5308</v>
      </c>
      <c r="D182" s="1" t="s">
        <v>1827</v>
      </c>
      <c r="E182" s="1" t="s">
        <v>4096</v>
      </c>
      <c r="F182" s="1" t="s">
        <v>1863</v>
      </c>
      <c r="G182" s="1" t="s">
        <v>5309</v>
      </c>
      <c r="H182" s="1" t="s">
        <v>18</v>
      </c>
    </row>
    <row r="183" spans="1:8">
      <c r="A183" s="1">
        <v>182</v>
      </c>
      <c r="B183" s="1" t="s">
        <v>5290</v>
      </c>
      <c r="C183" s="1" t="s">
        <v>5310</v>
      </c>
      <c r="D183" s="1" t="s">
        <v>1827</v>
      </c>
      <c r="E183" s="1" t="s">
        <v>1432</v>
      </c>
      <c r="F183" s="1" t="s">
        <v>1867</v>
      </c>
      <c r="G183" s="1" t="s">
        <v>5311</v>
      </c>
      <c r="H183" s="1" t="s">
        <v>18</v>
      </c>
    </row>
    <row r="184" spans="1:8">
      <c r="A184" s="1">
        <v>183</v>
      </c>
      <c r="B184" s="1" t="s">
        <v>5290</v>
      </c>
      <c r="C184" s="1" t="s">
        <v>5312</v>
      </c>
      <c r="D184" s="1" t="s">
        <v>1827</v>
      </c>
      <c r="E184" s="1" t="s">
        <v>4104</v>
      </c>
      <c r="F184" s="1" t="s">
        <v>1871</v>
      </c>
      <c r="G184" s="1" t="s">
        <v>5313</v>
      </c>
      <c r="H184" s="1" t="s">
        <v>18</v>
      </c>
    </row>
    <row r="185" spans="1:8">
      <c r="A185" s="1">
        <v>184</v>
      </c>
      <c r="B185" s="1" t="s">
        <v>5290</v>
      </c>
      <c r="C185" s="1" t="s">
        <v>5314</v>
      </c>
      <c r="D185" s="1" t="s">
        <v>1827</v>
      </c>
      <c r="E185" s="1" t="s">
        <v>4100</v>
      </c>
      <c r="F185" s="1" t="s">
        <v>1875</v>
      </c>
      <c r="G185" s="1" t="s">
        <v>5315</v>
      </c>
      <c r="H185" s="1" t="s">
        <v>18</v>
      </c>
    </row>
    <row r="186" spans="1:8">
      <c r="A186" s="1">
        <v>185</v>
      </c>
      <c r="B186" s="1" t="s">
        <v>5290</v>
      </c>
      <c r="C186" s="1" t="s">
        <v>5316</v>
      </c>
      <c r="D186" s="1" t="s">
        <v>1827</v>
      </c>
      <c r="E186" s="1" t="s">
        <v>4102</v>
      </c>
      <c r="F186" s="1" t="s">
        <v>1879</v>
      </c>
      <c r="G186" s="1" t="s">
        <v>5317</v>
      </c>
      <c r="H186" s="1" t="s">
        <v>18</v>
      </c>
    </row>
    <row r="187" spans="1:8">
      <c r="A187" s="1">
        <v>186</v>
      </c>
      <c r="B187" s="1" t="s">
        <v>5318</v>
      </c>
      <c r="C187" s="1" t="s">
        <v>44</v>
      </c>
      <c r="D187" s="1" t="s">
        <v>1882</v>
      </c>
      <c r="E187" s="1" t="s">
        <v>1230</v>
      </c>
      <c r="F187" s="1" t="s">
        <v>688</v>
      </c>
      <c r="G187" s="1" t="s">
        <v>689</v>
      </c>
      <c r="H187" s="1" t="s">
        <v>18</v>
      </c>
    </row>
    <row r="188" spans="1:8">
      <c r="A188" s="1">
        <v>187</v>
      </c>
      <c r="B188" s="1" t="s">
        <v>5318</v>
      </c>
      <c r="C188" s="1" t="s">
        <v>49</v>
      </c>
      <c r="D188" s="1" t="s">
        <v>1882</v>
      </c>
      <c r="E188" s="1" t="s">
        <v>1231</v>
      </c>
      <c r="F188" s="1" t="s">
        <v>630</v>
      </c>
      <c r="G188" s="1" t="s">
        <v>631</v>
      </c>
      <c r="H188" s="1" t="s">
        <v>18</v>
      </c>
    </row>
    <row r="189" spans="1:8">
      <c r="A189" s="1">
        <v>188</v>
      </c>
      <c r="B189" s="1" t="s">
        <v>5319</v>
      </c>
      <c r="C189" s="1" t="s">
        <v>237</v>
      </c>
      <c r="D189" s="1" t="s">
        <v>1885</v>
      </c>
      <c r="E189" s="1" t="s">
        <v>4111</v>
      </c>
      <c r="F189" s="1" t="s">
        <v>1887</v>
      </c>
      <c r="G189" s="1" t="s">
        <v>1888</v>
      </c>
      <c r="H189" s="1" t="s">
        <v>18</v>
      </c>
    </row>
    <row r="190" spans="1:8">
      <c r="A190" s="1">
        <v>189</v>
      </c>
      <c r="B190" s="1" t="s">
        <v>5320</v>
      </c>
      <c r="C190" s="1" t="s">
        <v>44</v>
      </c>
      <c r="D190" s="1" t="s">
        <v>1890</v>
      </c>
      <c r="E190" s="1" t="s">
        <v>4113</v>
      </c>
      <c r="F190" s="1" t="s">
        <v>1892</v>
      </c>
      <c r="G190" s="1" t="s">
        <v>1893</v>
      </c>
      <c r="H190" s="1" t="s">
        <v>18</v>
      </c>
    </row>
    <row r="191" spans="1:8">
      <c r="A191" s="1">
        <v>190</v>
      </c>
      <c r="B191" s="1" t="s">
        <v>5320</v>
      </c>
      <c r="C191" s="1" t="s">
        <v>49</v>
      </c>
      <c r="D191" s="1" t="s">
        <v>1890</v>
      </c>
      <c r="E191" s="1" t="s">
        <v>4115</v>
      </c>
      <c r="F191" s="1" t="s">
        <v>1896</v>
      </c>
      <c r="G191" s="1" t="s">
        <v>1897</v>
      </c>
      <c r="H191" s="1" t="s">
        <v>18</v>
      </c>
    </row>
    <row r="192" spans="1:8">
      <c r="A192" s="1">
        <v>191</v>
      </c>
      <c r="B192" s="1" t="s">
        <v>5321</v>
      </c>
      <c r="C192" s="1" t="s">
        <v>237</v>
      </c>
      <c r="D192" s="1" t="s">
        <v>1899</v>
      </c>
      <c r="E192" s="1" t="s">
        <v>4117</v>
      </c>
      <c r="F192" s="1" t="s">
        <v>1901</v>
      </c>
      <c r="G192" s="1" t="s">
        <v>1902</v>
      </c>
      <c r="H192" s="1" t="s">
        <v>18</v>
      </c>
    </row>
    <row r="193" spans="1:8">
      <c r="A193" s="1">
        <v>192</v>
      </c>
      <c r="B193" s="1" t="s">
        <v>5322</v>
      </c>
      <c r="C193" s="1" t="s">
        <v>44</v>
      </c>
      <c r="D193" s="1" t="s">
        <v>1904</v>
      </c>
      <c r="E193" s="1" t="s">
        <v>1905</v>
      </c>
      <c r="F193" s="1" t="s">
        <v>1906</v>
      </c>
      <c r="G193" s="1" t="s">
        <v>1907</v>
      </c>
      <c r="H193" s="1" t="s">
        <v>18</v>
      </c>
    </row>
    <row r="194" spans="1:8">
      <c r="A194" s="1">
        <v>193</v>
      </c>
      <c r="B194" s="1" t="s">
        <v>5322</v>
      </c>
      <c r="C194" s="1" t="s">
        <v>49</v>
      </c>
      <c r="D194" s="1" t="s">
        <v>1904</v>
      </c>
      <c r="E194" s="1" t="s">
        <v>1909</v>
      </c>
      <c r="F194" s="1" t="s">
        <v>1910</v>
      </c>
      <c r="G194" s="1" t="s">
        <v>1911</v>
      </c>
      <c r="H194" s="1" t="s">
        <v>18</v>
      </c>
    </row>
    <row r="195" spans="1:8">
      <c r="A195" s="1">
        <v>194</v>
      </c>
      <c r="B195" s="1" t="s">
        <v>5323</v>
      </c>
      <c r="C195" s="1" t="s">
        <v>333</v>
      </c>
      <c r="D195" s="1" t="s">
        <v>1922</v>
      </c>
      <c r="E195" s="1" t="s">
        <v>1923</v>
      </c>
      <c r="F195" s="1" t="s">
        <v>376</v>
      </c>
      <c r="G195" s="1" t="s">
        <v>377</v>
      </c>
      <c r="H195" s="1" t="s">
        <v>18</v>
      </c>
    </row>
    <row r="196" spans="1:8">
      <c r="A196" s="1">
        <v>195</v>
      </c>
      <c r="B196" s="1" t="s">
        <v>5323</v>
      </c>
      <c r="C196" s="1" t="s">
        <v>338</v>
      </c>
      <c r="D196" s="1" t="s">
        <v>1922</v>
      </c>
      <c r="E196" s="1" t="s">
        <v>1925</v>
      </c>
      <c r="F196" s="1" t="s">
        <v>372</v>
      </c>
      <c r="G196" s="1" t="s">
        <v>373</v>
      </c>
      <c r="H196" s="1" t="s">
        <v>18</v>
      </c>
    </row>
    <row r="197" spans="1:8">
      <c r="A197" s="1">
        <v>196</v>
      </c>
      <c r="B197" s="1" t="s">
        <v>5323</v>
      </c>
      <c r="C197" s="1" t="s">
        <v>342</v>
      </c>
      <c r="D197" s="1" t="s">
        <v>1922</v>
      </c>
      <c r="E197" s="1" t="s">
        <v>1927</v>
      </c>
      <c r="F197" s="1" t="s">
        <v>380</v>
      </c>
      <c r="G197" s="1" t="s">
        <v>381</v>
      </c>
      <c r="H197" s="1" t="s">
        <v>18</v>
      </c>
    </row>
    <row r="198" spans="1:8">
      <c r="A198" s="1">
        <v>197</v>
      </c>
      <c r="B198" s="1" t="s">
        <v>5323</v>
      </c>
      <c r="C198" s="1" t="s">
        <v>346</v>
      </c>
      <c r="D198" s="1" t="s">
        <v>1922</v>
      </c>
      <c r="E198" s="1" t="s">
        <v>283</v>
      </c>
      <c r="F198" s="1" t="s">
        <v>336</v>
      </c>
      <c r="G198" s="1" t="s">
        <v>337</v>
      </c>
      <c r="H198" s="1" t="s">
        <v>18</v>
      </c>
    </row>
    <row r="199" spans="1:8">
      <c r="A199" s="1">
        <v>198</v>
      </c>
      <c r="B199" s="1" t="s">
        <v>5323</v>
      </c>
      <c r="C199" s="1" t="s">
        <v>350</v>
      </c>
      <c r="D199" s="1" t="s">
        <v>1922</v>
      </c>
      <c r="E199" s="1" t="s">
        <v>259</v>
      </c>
      <c r="F199" s="1" t="s">
        <v>344</v>
      </c>
      <c r="G199" s="1" t="s">
        <v>345</v>
      </c>
      <c r="H199" s="1" t="s">
        <v>18</v>
      </c>
    </row>
    <row r="200" spans="1:8">
      <c r="A200" s="1">
        <v>199</v>
      </c>
      <c r="B200" s="1" t="s">
        <v>5323</v>
      </c>
      <c r="C200" s="1" t="s">
        <v>354</v>
      </c>
      <c r="D200" s="1" t="s">
        <v>1922</v>
      </c>
      <c r="E200" s="1" t="s">
        <v>262</v>
      </c>
      <c r="F200" s="1" t="s">
        <v>384</v>
      </c>
      <c r="G200" s="1" t="s">
        <v>385</v>
      </c>
      <c r="H200" s="1" t="s">
        <v>18</v>
      </c>
    </row>
    <row r="201" spans="1:8">
      <c r="A201" s="1">
        <v>200</v>
      </c>
      <c r="B201" s="1" t="s">
        <v>5323</v>
      </c>
      <c r="C201" s="1" t="s">
        <v>358</v>
      </c>
      <c r="D201" s="1" t="s">
        <v>1922</v>
      </c>
      <c r="E201" s="1" t="s">
        <v>271</v>
      </c>
      <c r="F201" s="1" t="s">
        <v>356</v>
      </c>
      <c r="G201" s="1" t="s">
        <v>357</v>
      </c>
      <c r="H201" s="1" t="s">
        <v>18</v>
      </c>
    </row>
    <row r="202" spans="1:8">
      <c r="A202" s="1">
        <v>201</v>
      </c>
      <c r="B202" s="1" t="s">
        <v>5323</v>
      </c>
      <c r="C202" s="1" t="s">
        <v>362</v>
      </c>
      <c r="D202" s="1" t="s">
        <v>1922</v>
      </c>
      <c r="E202" s="1" t="s">
        <v>274</v>
      </c>
      <c r="F202" s="1" t="s">
        <v>360</v>
      </c>
      <c r="G202" s="1" t="s">
        <v>361</v>
      </c>
      <c r="H202" s="1" t="s">
        <v>18</v>
      </c>
    </row>
    <row r="203" spans="1:8">
      <c r="A203" s="1">
        <v>202</v>
      </c>
      <c r="B203" s="1" t="s">
        <v>5323</v>
      </c>
      <c r="C203" s="1" t="s">
        <v>366</v>
      </c>
      <c r="D203" s="1" t="s">
        <v>1922</v>
      </c>
      <c r="E203" s="1" t="s">
        <v>265</v>
      </c>
      <c r="F203" s="1" t="s">
        <v>348</v>
      </c>
      <c r="G203" s="1" t="s">
        <v>349</v>
      </c>
      <c r="H203" s="1" t="s">
        <v>18</v>
      </c>
    </row>
    <row r="204" spans="1:8">
      <c r="A204" s="1">
        <v>203</v>
      </c>
      <c r="B204" s="1" t="s">
        <v>5323</v>
      </c>
      <c r="C204" s="1" t="s">
        <v>370</v>
      </c>
      <c r="D204" s="1" t="s">
        <v>1922</v>
      </c>
      <c r="E204" s="1" t="s">
        <v>268</v>
      </c>
      <c r="F204" s="1" t="s">
        <v>352</v>
      </c>
      <c r="G204" s="1" t="s">
        <v>353</v>
      </c>
      <c r="H204" s="1" t="s">
        <v>18</v>
      </c>
    </row>
    <row r="205" spans="1:8">
      <c r="A205" s="1">
        <v>204</v>
      </c>
      <c r="B205" s="1" t="s">
        <v>5323</v>
      </c>
      <c r="C205" s="1" t="s">
        <v>374</v>
      </c>
      <c r="D205" s="1" t="s">
        <v>1922</v>
      </c>
      <c r="E205" s="1" t="s">
        <v>280</v>
      </c>
      <c r="F205" s="1" t="s">
        <v>368</v>
      </c>
      <c r="G205" s="1" t="s">
        <v>369</v>
      </c>
      <c r="H205" s="1" t="s">
        <v>18</v>
      </c>
    </row>
    <row r="206" spans="1:8">
      <c r="A206" s="1">
        <v>205</v>
      </c>
      <c r="B206" s="1" t="s">
        <v>5323</v>
      </c>
      <c r="C206" s="1" t="s">
        <v>378</v>
      </c>
      <c r="D206" s="1" t="s">
        <v>1922</v>
      </c>
      <c r="E206" s="1" t="s">
        <v>277</v>
      </c>
      <c r="F206" s="1" t="s">
        <v>364</v>
      </c>
      <c r="G206" s="1" t="s">
        <v>365</v>
      </c>
      <c r="H206" s="1" t="s">
        <v>18</v>
      </c>
    </row>
    <row r="207" spans="1:8">
      <c r="A207" s="1">
        <v>206</v>
      </c>
      <c r="B207" s="1" t="s">
        <v>5323</v>
      </c>
      <c r="C207" s="1" t="s">
        <v>382</v>
      </c>
      <c r="D207" s="1" t="s">
        <v>1922</v>
      </c>
      <c r="E207" s="1" t="s">
        <v>1938</v>
      </c>
      <c r="F207" s="1" t="s">
        <v>340</v>
      </c>
      <c r="G207" s="1" t="s">
        <v>341</v>
      </c>
      <c r="H207" s="1" t="s">
        <v>18</v>
      </c>
    </row>
    <row r="208" spans="1:8">
      <c r="A208" s="1">
        <v>207</v>
      </c>
      <c r="B208" s="1" t="s">
        <v>5324</v>
      </c>
      <c r="C208" s="1" t="s">
        <v>183</v>
      </c>
      <c r="D208" s="1" t="s">
        <v>1940</v>
      </c>
      <c r="E208" s="1" t="s">
        <v>1941</v>
      </c>
      <c r="F208" s="1" t="s">
        <v>186</v>
      </c>
      <c r="G208" s="1" t="s">
        <v>187</v>
      </c>
      <c r="H208" s="1" t="s">
        <v>18</v>
      </c>
    </row>
    <row r="209" spans="1:8">
      <c r="A209" s="1">
        <v>208</v>
      </c>
      <c r="B209" s="1" t="s">
        <v>5324</v>
      </c>
      <c r="C209" s="1" t="s">
        <v>188</v>
      </c>
      <c r="D209" s="1" t="s">
        <v>1940</v>
      </c>
      <c r="E209" s="1" t="s">
        <v>1943</v>
      </c>
      <c r="F209" s="1" t="s">
        <v>194</v>
      </c>
      <c r="G209" s="1" t="s">
        <v>195</v>
      </c>
      <c r="H209" s="1" t="s">
        <v>18</v>
      </c>
    </row>
    <row r="210" spans="1:8">
      <c r="A210" s="1">
        <v>209</v>
      </c>
      <c r="B210" s="1" t="s">
        <v>5324</v>
      </c>
      <c r="C210" s="1" t="s">
        <v>192</v>
      </c>
      <c r="D210" s="1" t="s">
        <v>1940</v>
      </c>
      <c r="E210" s="1" t="s">
        <v>1945</v>
      </c>
      <c r="F210" s="1" t="s">
        <v>190</v>
      </c>
      <c r="G210" s="1" t="s">
        <v>191</v>
      </c>
      <c r="H210" s="1" t="s">
        <v>18</v>
      </c>
    </row>
    <row r="211" spans="1:8">
      <c r="A211" s="1">
        <v>210</v>
      </c>
      <c r="B211" s="1" t="s">
        <v>5324</v>
      </c>
      <c r="C211" s="1" t="s">
        <v>196</v>
      </c>
      <c r="D211" s="1" t="s">
        <v>1940</v>
      </c>
      <c r="E211" s="1" t="s">
        <v>1947</v>
      </c>
      <c r="F211" s="1" t="s">
        <v>198</v>
      </c>
      <c r="G211" s="1" t="s">
        <v>199</v>
      </c>
      <c r="H211" s="1" t="s">
        <v>18</v>
      </c>
    </row>
    <row r="212" spans="1:8">
      <c r="A212" s="1">
        <v>211</v>
      </c>
      <c r="B212" s="1" t="s">
        <v>5324</v>
      </c>
      <c r="C212" s="1" t="s">
        <v>200</v>
      </c>
      <c r="D212" s="1" t="s">
        <v>1940</v>
      </c>
      <c r="E212" s="1" t="s">
        <v>1949</v>
      </c>
      <c r="F212" s="1" t="s">
        <v>202</v>
      </c>
      <c r="G212" s="1" t="s">
        <v>203</v>
      </c>
      <c r="H212" s="1" t="s">
        <v>18</v>
      </c>
    </row>
    <row r="213" spans="1:8">
      <c r="A213" s="1">
        <v>212</v>
      </c>
      <c r="B213" s="1" t="s">
        <v>5324</v>
      </c>
      <c r="C213" s="1" t="s">
        <v>204</v>
      </c>
      <c r="D213" s="1" t="s">
        <v>1940</v>
      </c>
      <c r="E213" s="1" t="s">
        <v>1951</v>
      </c>
      <c r="F213" s="1" t="s">
        <v>210</v>
      </c>
      <c r="G213" s="1" t="s">
        <v>211</v>
      </c>
      <c r="H213" s="1" t="s">
        <v>18</v>
      </c>
    </row>
    <row r="214" spans="1:8">
      <c r="A214" s="1">
        <v>213</v>
      </c>
      <c r="B214" s="1" t="s">
        <v>5324</v>
      </c>
      <c r="C214" s="1" t="s">
        <v>208</v>
      </c>
      <c r="D214" s="1" t="s">
        <v>1940</v>
      </c>
      <c r="E214" s="1" t="s">
        <v>1953</v>
      </c>
      <c r="F214" s="1" t="s">
        <v>206</v>
      </c>
      <c r="G214" s="1" t="s">
        <v>207</v>
      </c>
      <c r="H214" s="1" t="s">
        <v>18</v>
      </c>
    </row>
    <row r="215" spans="1:8">
      <c r="A215" s="1">
        <v>214</v>
      </c>
      <c r="B215" s="1" t="s">
        <v>5324</v>
      </c>
      <c r="C215" s="1" t="s">
        <v>212</v>
      </c>
      <c r="D215" s="1" t="s">
        <v>1940</v>
      </c>
      <c r="E215" s="1" t="s">
        <v>1955</v>
      </c>
      <c r="F215" s="1" t="s">
        <v>214</v>
      </c>
      <c r="G215" s="1" t="s">
        <v>215</v>
      </c>
      <c r="H215" s="1" t="s">
        <v>18</v>
      </c>
    </row>
    <row r="216" spans="1:8">
      <c r="A216" s="1">
        <v>215</v>
      </c>
      <c r="B216" s="1" t="s">
        <v>5324</v>
      </c>
      <c r="C216" s="1" t="s">
        <v>216</v>
      </c>
      <c r="D216" s="1" t="s">
        <v>1940</v>
      </c>
      <c r="E216" s="1" t="s">
        <v>1957</v>
      </c>
      <c r="F216" s="1" t="s">
        <v>218</v>
      </c>
      <c r="G216" s="1" t="s">
        <v>219</v>
      </c>
      <c r="H216" s="1" t="s">
        <v>18</v>
      </c>
    </row>
    <row r="217" spans="1:8">
      <c r="A217" s="1">
        <v>216</v>
      </c>
      <c r="B217" s="1" t="s">
        <v>5324</v>
      </c>
      <c r="C217" s="1" t="s">
        <v>220</v>
      </c>
      <c r="D217" s="1" t="s">
        <v>1940</v>
      </c>
      <c r="E217" s="1" t="s">
        <v>1959</v>
      </c>
      <c r="F217" s="1" t="s">
        <v>222</v>
      </c>
      <c r="G217" s="1" t="s">
        <v>223</v>
      </c>
      <c r="H217" s="1" t="s">
        <v>18</v>
      </c>
    </row>
    <row r="218" spans="1:8">
      <c r="A218" s="1">
        <v>217</v>
      </c>
      <c r="B218" s="1" t="s">
        <v>5325</v>
      </c>
      <c r="C218" s="1" t="s">
        <v>183</v>
      </c>
      <c r="D218" s="1" t="s">
        <v>1961</v>
      </c>
      <c r="E218" s="1" t="s">
        <v>1962</v>
      </c>
      <c r="F218" s="1" t="s">
        <v>186</v>
      </c>
      <c r="G218" s="1" t="s">
        <v>187</v>
      </c>
      <c r="H218" s="1" t="s">
        <v>18</v>
      </c>
    </row>
    <row r="219" spans="1:8">
      <c r="A219" s="1">
        <v>218</v>
      </c>
      <c r="B219" s="1" t="s">
        <v>5325</v>
      </c>
      <c r="C219" s="1" t="s">
        <v>188</v>
      </c>
      <c r="D219" s="1" t="s">
        <v>1961</v>
      </c>
      <c r="E219" s="1" t="s">
        <v>1964</v>
      </c>
      <c r="F219" s="1" t="s">
        <v>194</v>
      </c>
      <c r="G219" s="1" t="s">
        <v>195</v>
      </c>
      <c r="H219" s="1" t="s">
        <v>18</v>
      </c>
    </row>
    <row r="220" spans="1:8">
      <c r="A220" s="1">
        <v>219</v>
      </c>
      <c r="B220" s="1" t="s">
        <v>5325</v>
      </c>
      <c r="C220" s="1" t="s">
        <v>192</v>
      </c>
      <c r="D220" s="1" t="s">
        <v>1961</v>
      </c>
      <c r="E220" s="1" t="s">
        <v>1966</v>
      </c>
      <c r="F220" s="1" t="s">
        <v>190</v>
      </c>
      <c r="G220" s="1" t="s">
        <v>191</v>
      </c>
      <c r="H220" s="1" t="s">
        <v>18</v>
      </c>
    </row>
    <row r="221" spans="1:8">
      <c r="A221" s="1">
        <v>220</v>
      </c>
      <c r="B221" s="1" t="s">
        <v>5325</v>
      </c>
      <c r="C221" s="1" t="s">
        <v>196</v>
      </c>
      <c r="D221" s="1" t="s">
        <v>1961</v>
      </c>
      <c r="E221" s="1" t="s">
        <v>1968</v>
      </c>
      <c r="F221" s="1" t="s">
        <v>198</v>
      </c>
      <c r="G221" s="1" t="s">
        <v>199</v>
      </c>
      <c r="H221" s="1" t="s">
        <v>18</v>
      </c>
    </row>
    <row r="222" spans="1:8">
      <c r="A222" s="1">
        <v>221</v>
      </c>
      <c r="B222" s="1" t="s">
        <v>5325</v>
      </c>
      <c r="C222" s="1" t="s">
        <v>200</v>
      </c>
      <c r="D222" s="1" t="s">
        <v>1961</v>
      </c>
      <c r="E222" s="1" t="s">
        <v>1970</v>
      </c>
      <c r="F222" s="1" t="s">
        <v>202</v>
      </c>
      <c r="G222" s="1" t="s">
        <v>203</v>
      </c>
      <c r="H222" s="1" t="s">
        <v>18</v>
      </c>
    </row>
    <row r="223" spans="1:8">
      <c r="A223" s="1">
        <v>222</v>
      </c>
      <c r="B223" s="1" t="s">
        <v>5325</v>
      </c>
      <c r="C223" s="1" t="s">
        <v>204</v>
      </c>
      <c r="D223" s="1" t="s">
        <v>1961</v>
      </c>
      <c r="E223" s="1" t="s">
        <v>1972</v>
      </c>
      <c r="F223" s="1" t="s">
        <v>210</v>
      </c>
      <c r="G223" s="1" t="s">
        <v>211</v>
      </c>
      <c r="H223" s="1" t="s">
        <v>18</v>
      </c>
    </row>
    <row r="224" spans="1:8">
      <c r="A224" s="1">
        <v>223</v>
      </c>
      <c r="B224" s="1" t="s">
        <v>5325</v>
      </c>
      <c r="C224" s="1" t="s">
        <v>208</v>
      </c>
      <c r="D224" s="1" t="s">
        <v>1961</v>
      </c>
      <c r="E224" s="1" t="s">
        <v>1974</v>
      </c>
      <c r="F224" s="1" t="s">
        <v>206</v>
      </c>
      <c r="G224" s="1" t="s">
        <v>207</v>
      </c>
      <c r="H224" s="1" t="s">
        <v>18</v>
      </c>
    </row>
    <row r="225" spans="1:8">
      <c r="A225" s="1">
        <v>224</v>
      </c>
      <c r="B225" s="1" t="s">
        <v>5325</v>
      </c>
      <c r="C225" s="1" t="s">
        <v>212</v>
      </c>
      <c r="D225" s="1" t="s">
        <v>1961</v>
      </c>
      <c r="E225" s="1" t="s">
        <v>1976</v>
      </c>
      <c r="F225" s="1" t="s">
        <v>214</v>
      </c>
      <c r="G225" s="1" t="s">
        <v>215</v>
      </c>
      <c r="H225" s="1" t="s">
        <v>18</v>
      </c>
    </row>
    <row r="226" spans="1:8">
      <c r="A226" s="1">
        <v>225</v>
      </c>
      <c r="B226" s="1" t="s">
        <v>5325</v>
      </c>
      <c r="C226" s="1" t="s">
        <v>216</v>
      </c>
      <c r="D226" s="1" t="s">
        <v>1961</v>
      </c>
      <c r="E226" s="1" t="s">
        <v>1978</v>
      </c>
      <c r="F226" s="1" t="s">
        <v>218</v>
      </c>
      <c r="G226" s="1" t="s">
        <v>219</v>
      </c>
      <c r="H226" s="1" t="s">
        <v>18</v>
      </c>
    </row>
    <row r="227" spans="1:8">
      <c r="A227" s="1">
        <v>226</v>
      </c>
      <c r="B227" s="1" t="s">
        <v>5325</v>
      </c>
      <c r="C227" s="1" t="s">
        <v>220</v>
      </c>
      <c r="D227" s="1" t="s">
        <v>1961</v>
      </c>
      <c r="E227" s="1" t="s">
        <v>1980</v>
      </c>
      <c r="F227" s="1" t="s">
        <v>222</v>
      </c>
      <c r="G227" s="1" t="s">
        <v>223</v>
      </c>
      <c r="H227" s="1" t="s">
        <v>18</v>
      </c>
    </row>
    <row r="228" spans="1:8">
      <c r="A228" s="1">
        <v>227</v>
      </c>
      <c r="B228" s="1" t="s">
        <v>5326</v>
      </c>
      <c r="C228" s="1" t="s">
        <v>9</v>
      </c>
      <c r="D228" s="1" t="s">
        <v>1991</v>
      </c>
      <c r="E228" s="1" t="s">
        <v>1992</v>
      </c>
      <c r="F228" s="1" t="s">
        <v>21</v>
      </c>
      <c r="G228" s="1" t="s">
        <v>22</v>
      </c>
      <c r="H228" s="1" t="s">
        <v>18</v>
      </c>
    </row>
    <row r="229" spans="1:8">
      <c r="A229" s="1">
        <v>228</v>
      </c>
      <c r="B229" s="1" t="s">
        <v>5326</v>
      </c>
      <c r="C229" s="1" t="s">
        <v>14</v>
      </c>
      <c r="D229" s="1" t="s">
        <v>1991</v>
      </c>
      <c r="E229" s="1" t="s">
        <v>798</v>
      </c>
      <c r="F229" s="1" t="s">
        <v>799</v>
      </c>
      <c r="G229" s="1" t="s">
        <v>800</v>
      </c>
      <c r="H229" s="1" t="s">
        <v>18</v>
      </c>
    </row>
    <row r="230" spans="1:8">
      <c r="A230" s="1">
        <v>229</v>
      </c>
      <c r="B230" s="1" t="s">
        <v>5326</v>
      </c>
      <c r="C230" s="1" t="s">
        <v>19</v>
      </c>
      <c r="D230" s="1" t="s">
        <v>1991</v>
      </c>
      <c r="E230" s="1" t="s">
        <v>801</v>
      </c>
      <c r="F230" s="1" t="s">
        <v>802</v>
      </c>
      <c r="G230" s="1" t="s">
        <v>803</v>
      </c>
      <c r="H230" s="1" t="s">
        <v>18</v>
      </c>
    </row>
    <row r="231" spans="1:8">
      <c r="A231" s="1">
        <v>230</v>
      </c>
      <c r="B231" s="1" t="s">
        <v>5327</v>
      </c>
      <c r="C231" s="1" t="s">
        <v>9</v>
      </c>
      <c r="D231" s="1" t="s">
        <v>1996</v>
      </c>
      <c r="E231" s="1" t="s">
        <v>807</v>
      </c>
      <c r="F231" s="1" t="s">
        <v>792</v>
      </c>
      <c r="G231" s="1" t="s">
        <v>793</v>
      </c>
      <c r="H231" s="1" t="s">
        <v>18</v>
      </c>
    </row>
    <row r="232" spans="1:8">
      <c r="A232" s="1">
        <v>231</v>
      </c>
      <c r="B232" s="1" t="s">
        <v>5327</v>
      </c>
      <c r="C232" s="1" t="s">
        <v>14</v>
      </c>
      <c r="D232" s="1" t="s">
        <v>1996</v>
      </c>
      <c r="E232" s="1" t="s">
        <v>808</v>
      </c>
      <c r="F232" s="1" t="s">
        <v>779</v>
      </c>
      <c r="G232" s="1" t="s">
        <v>780</v>
      </c>
      <c r="H232" s="1" t="s">
        <v>18</v>
      </c>
    </row>
    <row r="233" spans="1:8">
      <c r="A233" s="1">
        <v>232</v>
      </c>
      <c r="B233" s="1" t="s">
        <v>5327</v>
      </c>
      <c r="C233" s="1" t="s">
        <v>19</v>
      </c>
      <c r="D233" s="1" t="s">
        <v>1996</v>
      </c>
      <c r="E233" s="1" t="s">
        <v>1999</v>
      </c>
      <c r="F233" s="1" t="s">
        <v>21</v>
      </c>
      <c r="G233" s="1" t="s">
        <v>22</v>
      </c>
      <c r="H233" s="1" t="s">
        <v>18</v>
      </c>
    </row>
    <row r="234" spans="1:8">
      <c r="A234" s="1">
        <v>233</v>
      </c>
      <c r="B234" s="1" t="s">
        <v>5328</v>
      </c>
      <c r="C234" s="1" t="s">
        <v>44</v>
      </c>
      <c r="D234" s="1" t="s">
        <v>2001</v>
      </c>
      <c r="E234" s="1" t="s">
        <v>1234</v>
      </c>
      <c r="F234" s="1" t="s">
        <v>688</v>
      </c>
      <c r="G234" s="1" t="s">
        <v>689</v>
      </c>
      <c r="H234" s="1" t="s">
        <v>18</v>
      </c>
    </row>
    <row r="235" spans="1:8">
      <c r="A235" s="1">
        <v>234</v>
      </c>
      <c r="B235" s="1" t="s">
        <v>5328</v>
      </c>
      <c r="C235" s="1" t="s">
        <v>49</v>
      </c>
      <c r="D235" s="1" t="s">
        <v>2001</v>
      </c>
      <c r="E235" s="1" t="s">
        <v>1235</v>
      </c>
      <c r="F235" s="1" t="s">
        <v>630</v>
      </c>
      <c r="G235" s="1" t="s">
        <v>631</v>
      </c>
      <c r="H235" s="1" t="s">
        <v>18</v>
      </c>
    </row>
    <row r="236" spans="1:8">
      <c r="A236" s="1">
        <v>235</v>
      </c>
      <c r="B236" s="1" t="s">
        <v>5329</v>
      </c>
      <c r="C236" s="1" t="s">
        <v>5330</v>
      </c>
      <c r="D236" s="1" t="s">
        <v>2004</v>
      </c>
      <c r="E236" s="1" t="s">
        <v>2013</v>
      </c>
      <c r="F236" s="1" t="s">
        <v>2006</v>
      </c>
      <c r="G236" s="1" t="s">
        <v>2007</v>
      </c>
      <c r="H236" s="1" t="s">
        <v>18</v>
      </c>
    </row>
    <row r="237" spans="1:8">
      <c r="A237" s="1">
        <v>236</v>
      </c>
      <c r="B237" s="1" t="s">
        <v>5329</v>
      </c>
      <c r="C237" s="1" t="s">
        <v>5331</v>
      </c>
      <c r="D237" s="1" t="s">
        <v>2004</v>
      </c>
      <c r="E237" s="1" t="s">
        <v>2005</v>
      </c>
      <c r="F237" s="1" t="s">
        <v>2010</v>
      </c>
      <c r="G237" s="1" t="s">
        <v>2011</v>
      </c>
      <c r="H237" s="1" t="s">
        <v>18</v>
      </c>
    </row>
    <row r="238" spans="1:8">
      <c r="A238" s="1">
        <v>237</v>
      </c>
      <c r="B238" s="1" t="s">
        <v>5329</v>
      </c>
      <c r="C238" s="1" t="s">
        <v>5332</v>
      </c>
      <c r="D238" s="1" t="s">
        <v>2004</v>
      </c>
      <c r="E238" s="1" t="s">
        <v>2017</v>
      </c>
      <c r="F238" s="1" t="s">
        <v>2014</v>
      </c>
      <c r="G238" s="1" t="s">
        <v>2015</v>
      </c>
      <c r="H238" s="1" t="s">
        <v>18</v>
      </c>
    </row>
    <row r="239" spans="1:8">
      <c r="A239" s="1">
        <v>238</v>
      </c>
      <c r="B239" s="1" t="s">
        <v>5329</v>
      </c>
      <c r="C239" s="1" t="s">
        <v>5333</v>
      </c>
      <c r="D239" s="1" t="s">
        <v>2004</v>
      </c>
      <c r="E239" s="1" t="s">
        <v>2021</v>
      </c>
      <c r="F239" s="1" t="s">
        <v>2018</v>
      </c>
      <c r="G239" s="1" t="s">
        <v>2019</v>
      </c>
      <c r="H239" s="1" t="s">
        <v>18</v>
      </c>
    </row>
    <row r="240" spans="1:8">
      <c r="A240" s="1">
        <v>239</v>
      </c>
      <c r="B240" s="1" t="s">
        <v>5329</v>
      </c>
      <c r="C240" s="1" t="s">
        <v>5334</v>
      </c>
      <c r="D240" s="1" t="s">
        <v>2004</v>
      </c>
      <c r="E240" s="1" t="s">
        <v>2025</v>
      </c>
      <c r="F240" s="1" t="s">
        <v>2022</v>
      </c>
      <c r="G240" s="1" t="s">
        <v>2023</v>
      </c>
      <c r="H240" s="1" t="s">
        <v>18</v>
      </c>
    </row>
    <row r="241" spans="1:8">
      <c r="A241" s="1">
        <v>240</v>
      </c>
      <c r="B241" s="1" t="s">
        <v>5329</v>
      </c>
      <c r="C241" s="1" t="s">
        <v>5335</v>
      </c>
      <c r="D241" s="1" t="s">
        <v>2004</v>
      </c>
      <c r="E241" s="1" t="s">
        <v>2029</v>
      </c>
      <c r="F241" s="1" t="s">
        <v>2026</v>
      </c>
      <c r="G241" s="1" t="s">
        <v>2027</v>
      </c>
      <c r="H241" s="1" t="s">
        <v>18</v>
      </c>
    </row>
    <row r="242" spans="1:8">
      <c r="A242" s="1">
        <v>241</v>
      </c>
      <c r="B242" s="1" t="s">
        <v>5329</v>
      </c>
      <c r="C242" s="1" t="s">
        <v>5336</v>
      </c>
      <c r="D242" s="1" t="s">
        <v>2004</v>
      </c>
      <c r="E242" s="1" t="s">
        <v>2033</v>
      </c>
      <c r="F242" s="1" t="s">
        <v>2030</v>
      </c>
      <c r="G242" s="1" t="s">
        <v>2031</v>
      </c>
      <c r="H242" s="1" t="s">
        <v>18</v>
      </c>
    </row>
    <row r="243" spans="1:8">
      <c r="A243" s="1">
        <v>242</v>
      </c>
      <c r="B243" s="1" t="s">
        <v>5329</v>
      </c>
      <c r="C243" s="1" t="s">
        <v>5337</v>
      </c>
      <c r="D243" s="1" t="s">
        <v>2004</v>
      </c>
      <c r="E243" s="1" t="s">
        <v>2037</v>
      </c>
      <c r="F243" s="1" t="s">
        <v>2034</v>
      </c>
      <c r="G243" s="1" t="s">
        <v>2035</v>
      </c>
      <c r="H243" s="1" t="s">
        <v>18</v>
      </c>
    </row>
    <row r="244" spans="1:8">
      <c r="A244" s="1">
        <v>243</v>
      </c>
      <c r="B244" s="1" t="s">
        <v>5329</v>
      </c>
      <c r="C244" s="1" t="s">
        <v>5338</v>
      </c>
      <c r="D244" s="1" t="s">
        <v>2004</v>
      </c>
      <c r="E244" s="1" t="s">
        <v>2041</v>
      </c>
      <c r="F244" s="1" t="s">
        <v>2038</v>
      </c>
      <c r="G244" s="1" t="s">
        <v>2039</v>
      </c>
      <c r="H244" s="1" t="s">
        <v>18</v>
      </c>
    </row>
    <row r="245" spans="1:8">
      <c r="A245" s="1">
        <v>244</v>
      </c>
      <c r="B245" s="1" t="s">
        <v>5329</v>
      </c>
      <c r="C245" s="1" t="s">
        <v>5339</v>
      </c>
      <c r="D245" s="1" t="s">
        <v>2004</v>
      </c>
      <c r="E245" s="1" t="s">
        <v>2045</v>
      </c>
      <c r="F245" s="1" t="s">
        <v>2042</v>
      </c>
      <c r="G245" s="1" t="s">
        <v>2043</v>
      </c>
      <c r="H245" s="1" t="s">
        <v>18</v>
      </c>
    </row>
    <row r="246" spans="1:8">
      <c r="A246" s="1">
        <v>245</v>
      </c>
      <c r="B246" s="1" t="s">
        <v>5329</v>
      </c>
      <c r="C246" s="1" t="s">
        <v>5340</v>
      </c>
      <c r="D246" s="1" t="s">
        <v>2004</v>
      </c>
      <c r="E246" s="1" t="s">
        <v>2049</v>
      </c>
      <c r="F246" s="1" t="s">
        <v>2046</v>
      </c>
      <c r="G246" s="1" t="s">
        <v>2047</v>
      </c>
      <c r="H246" s="1" t="s">
        <v>18</v>
      </c>
    </row>
    <row r="247" spans="1:8">
      <c r="A247" s="1">
        <v>246</v>
      </c>
      <c r="B247" s="1" t="s">
        <v>5329</v>
      </c>
      <c r="C247" s="1" t="s">
        <v>5341</v>
      </c>
      <c r="D247" s="1" t="s">
        <v>2004</v>
      </c>
      <c r="E247" s="1" t="s">
        <v>2053</v>
      </c>
      <c r="F247" s="1" t="s">
        <v>2050</v>
      </c>
      <c r="G247" s="1" t="s">
        <v>2051</v>
      </c>
      <c r="H247" s="1" t="s">
        <v>18</v>
      </c>
    </row>
    <row r="248" spans="1:8">
      <c r="A248" s="1">
        <v>247</v>
      </c>
      <c r="B248" s="1" t="s">
        <v>5329</v>
      </c>
      <c r="C248" s="1" t="s">
        <v>5342</v>
      </c>
      <c r="D248" s="1" t="s">
        <v>2004</v>
      </c>
      <c r="E248" s="1" t="s">
        <v>2057</v>
      </c>
      <c r="F248" s="1" t="s">
        <v>2054</v>
      </c>
      <c r="G248" s="1" t="s">
        <v>2055</v>
      </c>
      <c r="H248" s="1" t="s">
        <v>18</v>
      </c>
    </row>
    <row r="249" spans="1:8">
      <c r="A249" s="1">
        <v>248</v>
      </c>
      <c r="B249" s="1" t="s">
        <v>5329</v>
      </c>
      <c r="C249" s="1" t="s">
        <v>5343</v>
      </c>
      <c r="D249" s="1" t="s">
        <v>2004</v>
      </c>
      <c r="E249" s="1" t="s">
        <v>2061</v>
      </c>
      <c r="F249" s="1" t="s">
        <v>2058</v>
      </c>
      <c r="G249" s="1" t="s">
        <v>2059</v>
      </c>
      <c r="H249" s="1" t="s">
        <v>18</v>
      </c>
    </row>
    <row r="250" spans="1:8">
      <c r="A250" s="1">
        <v>249</v>
      </c>
      <c r="B250" s="1" t="s">
        <v>5329</v>
      </c>
      <c r="C250" s="1" t="s">
        <v>5344</v>
      </c>
      <c r="D250" s="1" t="s">
        <v>2004</v>
      </c>
      <c r="E250" s="1" t="s">
        <v>2065</v>
      </c>
      <c r="F250" s="1" t="s">
        <v>2062</v>
      </c>
      <c r="G250" s="1" t="s">
        <v>2063</v>
      </c>
      <c r="H250" s="1" t="s">
        <v>18</v>
      </c>
    </row>
    <row r="251" spans="1:8">
      <c r="A251" s="1">
        <v>250</v>
      </c>
      <c r="B251" s="1" t="s">
        <v>5329</v>
      </c>
      <c r="C251" s="1" t="s">
        <v>5345</v>
      </c>
      <c r="D251" s="1" t="s">
        <v>2004</v>
      </c>
      <c r="E251" s="1" t="s">
        <v>2072</v>
      </c>
      <c r="F251" s="1" t="s">
        <v>2066</v>
      </c>
      <c r="G251" s="1" t="s">
        <v>2067</v>
      </c>
      <c r="H251" s="1" t="s">
        <v>18</v>
      </c>
    </row>
    <row r="252" spans="1:8">
      <c r="A252" s="1">
        <v>251</v>
      </c>
      <c r="B252" s="1" t="s">
        <v>5346</v>
      </c>
      <c r="C252" s="1" t="s">
        <v>5347</v>
      </c>
      <c r="D252" s="1" t="s">
        <v>2069</v>
      </c>
      <c r="E252" s="1" t="s">
        <v>2074</v>
      </c>
      <c r="F252" s="1" t="s">
        <v>2006</v>
      </c>
      <c r="G252" s="1" t="s">
        <v>2007</v>
      </c>
      <c r="H252" s="1" t="s">
        <v>18</v>
      </c>
    </row>
    <row r="253" spans="1:8">
      <c r="A253" s="1">
        <v>252</v>
      </c>
      <c r="B253" s="1" t="s">
        <v>5346</v>
      </c>
      <c r="C253" s="1" t="s">
        <v>5348</v>
      </c>
      <c r="D253" s="1" t="s">
        <v>2069</v>
      </c>
      <c r="E253" s="1" t="s">
        <v>2070</v>
      </c>
      <c r="F253" s="1" t="s">
        <v>2010</v>
      </c>
      <c r="G253" s="1" t="s">
        <v>2011</v>
      </c>
      <c r="H253" s="1" t="s">
        <v>18</v>
      </c>
    </row>
    <row r="254" spans="1:8">
      <c r="A254" s="1">
        <v>253</v>
      </c>
      <c r="B254" s="1" t="s">
        <v>5346</v>
      </c>
      <c r="C254" s="1" t="s">
        <v>5349</v>
      </c>
      <c r="D254" s="1" t="s">
        <v>2069</v>
      </c>
      <c r="E254" s="1" t="s">
        <v>2076</v>
      </c>
      <c r="F254" s="1" t="s">
        <v>2014</v>
      </c>
      <c r="G254" s="1" t="s">
        <v>2015</v>
      </c>
      <c r="H254" s="1" t="s">
        <v>18</v>
      </c>
    </row>
    <row r="255" spans="1:8">
      <c r="A255" s="1">
        <v>254</v>
      </c>
      <c r="B255" s="1" t="s">
        <v>5346</v>
      </c>
      <c r="C255" s="1" t="s">
        <v>5350</v>
      </c>
      <c r="D255" s="1" t="s">
        <v>2069</v>
      </c>
      <c r="E255" s="1" t="s">
        <v>2078</v>
      </c>
      <c r="F255" s="1" t="s">
        <v>2018</v>
      </c>
      <c r="G255" s="1" t="s">
        <v>2019</v>
      </c>
      <c r="H255" s="1" t="s">
        <v>18</v>
      </c>
    </row>
    <row r="256" spans="1:8">
      <c r="A256" s="1">
        <v>255</v>
      </c>
      <c r="B256" s="1" t="s">
        <v>5346</v>
      </c>
      <c r="C256" s="1" t="s">
        <v>5351</v>
      </c>
      <c r="D256" s="1" t="s">
        <v>2069</v>
      </c>
      <c r="E256" s="1" t="s">
        <v>2080</v>
      </c>
      <c r="F256" s="1" t="s">
        <v>2022</v>
      </c>
      <c r="G256" s="1" t="s">
        <v>2023</v>
      </c>
      <c r="H256" s="1" t="s">
        <v>18</v>
      </c>
    </row>
    <row r="257" spans="1:8">
      <c r="A257" s="1">
        <v>256</v>
      </c>
      <c r="B257" s="1" t="s">
        <v>5346</v>
      </c>
      <c r="C257" s="1" t="s">
        <v>5352</v>
      </c>
      <c r="D257" s="1" t="s">
        <v>2069</v>
      </c>
      <c r="E257" s="1" t="s">
        <v>2082</v>
      </c>
      <c r="F257" s="1" t="s">
        <v>2026</v>
      </c>
      <c r="G257" s="1" t="s">
        <v>2027</v>
      </c>
      <c r="H257" s="1" t="s">
        <v>18</v>
      </c>
    </row>
    <row r="258" spans="1:8">
      <c r="A258" s="1">
        <v>257</v>
      </c>
      <c r="B258" s="1" t="s">
        <v>5346</v>
      </c>
      <c r="C258" s="1" t="s">
        <v>5353</v>
      </c>
      <c r="D258" s="1" t="s">
        <v>2069</v>
      </c>
      <c r="E258" s="1" t="s">
        <v>2084</v>
      </c>
      <c r="F258" s="1" t="s">
        <v>2030</v>
      </c>
      <c r="G258" s="1" t="s">
        <v>2031</v>
      </c>
      <c r="H258" s="1" t="s">
        <v>18</v>
      </c>
    </row>
    <row r="259" spans="1:8">
      <c r="A259" s="1">
        <v>258</v>
      </c>
      <c r="B259" s="1" t="s">
        <v>5346</v>
      </c>
      <c r="C259" s="1" t="s">
        <v>5354</v>
      </c>
      <c r="D259" s="1" t="s">
        <v>2069</v>
      </c>
      <c r="E259" s="1" t="s">
        <v>2086</v>
      </c>
      <c r="F259" s="1" t="s">
        <v>2034</v>
      </c>
      <c r="G259" s="1" t="s">
        <v>2035</v>
      </c>
      <c r="H259" s="1" t="s">
        <v>18</v>
      </c>
    </row>
    <row r="260" spans="1:8">
      <c r="A260" s="1">
        <v>259</v>
      </c>
      <c r="B260" s="1" t="s">
        <v>5346</v>
      </c>
      <c r="C260" s="1" t="s">
        <v>5355</v>
      </c>
      <c r="D260" s="1" t="s">
        <v>2069</v>
      </c>
      <c r="E260" s="1" t="s">
        <v>2088</v>
      </c>
      <c r="F260" s="1" t="s">
        <v>2038</v>
      </c>
      <c r="G260" s="1" t="s">
        <v>2039</v>
      </c>
      <c r="H260" s="1" t="s">
        <v>18</v>
      </c>
    </row>
    <row r="261" spans="1:8">
      <c r="A261" s="1">
        <v>260</v>
      </c>
      <c r="B261" s="1" t="s">
        <v>5346</v>
      </c>
      <c r="C261" s="1" t="s">
        <v>5356</v>
      </c>
      <c r="D261" s="1" t="s">
        <v>2069</v>
      </c>
      <c r="E261" s="1" t="s">
        <v>2090</v>
      </c>
      <c r="F261" s="1" t="s">
        <v>2042</v>
      </c>
      <c r="G261" s="1" t="s">
        <v>2043</v>
      </c>
      <c r="H261" s="1" t="s">
        <v>18</v>
      </c>
    </row>
    <row r="262" spans="1:8">
      <c r="A262" s="1">
        <v>261</v>
      </c>
      <c r="B262" s="1" t="s">
        <v>5346</v>
      </c>
      <c r="C262" s="1" t="s">
        <v>5357</v>
      </c>
      <c r="D262" s="1" t="s">
        <v>2069</v>
      </c>
      <c r="E262" s="1" t="s">
        <v>2092</v>
      </c>
      <c r="F262" s="1" t="s">
        <v>2046</v>
      </c>
      <c r="G262" s="1" t="s">
        <v>2047</v>
      </c>
      <c r="H262" s="1" t="s">
        <v>18</v>
      </c>
    </row>
    <row r="263" spans="1:8">
      <c r="A263" s="1">
        <v>262</v>
      </c>
      <c r="B263" s="1" t="s">
        <v>5346</v>
      </c>
      <c r="C263" s="1" t="s">
        <v>5358</v>
      </c>
      <c r="D263" s="1" t="s">
        <v>2069</v>
      </c>
      <c r="E263" s="1" t="s">
        <v>2094</v>
      </c>
      <c r="F263" s="1" t="s">
        <v>2054</v>
      </c>
      <c r="G263" s="1" t="s">
        <v>2055</v>
      </c>
      <c r="H263" s="1" t="s">
        <v>18</v>
      </c>
    </row>
    <row r="264" spans="1:8">
      <c r="A264" s="1">
        <v>263</v>
      </c>
      <c r="B264" s="1" t="s">
        <v>5346</v>
      </c>
      <c r="C264" s="1" t="s">
        <v>5359</v>
      </c>
      <c r="D264" s="1" t="s">
        <v>2069</v>
      </c>
      <c r="E264" s="1" t="s">
        <v>2096</v>
      </c>
      <c r="F264" s="1" t="s">
        <v>2058</v>
      </c>
      <c r="G264" s="1" t="s">
        <v>2059</v>
      </c>
      <c r="H264" s="1" t="s">
        <v>18</v>
      </c>
    </row>
    <row r="265" spans="1:8">
      <c r="A265" s="1">
        <v>264</v>
      </c>
      <c r="B265" s="1" t="s">
        <v>5346</v>
      </c>
      <c r="C265" s="1" t="s">
        <v>5360</v>
      </c>
      <c r="D265" s="1" t="s">
        <v>2069</v>
      </c>
      <c r="E265" s="1" t="s">
        <v>2098</v>
      </c>
      <c r="F265" s="1" t="s">
        <v>2062</v>
      </c>
      <c r="G265" s="1" t="s">
        <v>2063</v>
      </c>
      <c r="H265" s="1" t="s">
        <v>18</v>
      </c>
    </row>
    <row r="266" spans="1:8">
      <c r="A266" s="1">
        <v>265</v>
      </c>
      <c r="B266" s="1" t="s">
        <v>5346</v>
      </c>
      <c r="C266" s="1" t="s">
        <v>5361</v>
      </c>
      <c r="D266" s="1" t="s">
        <v>2069</v>
      </c>
      <c r="E266" s="1" t="s">
        <v>2101</v>
      </c>
      <c r="F266" s="1" t="s">
        <v>2066</v>
      </c>
      <c r="G266" s="1" t="s">
        <v>2067</v>
      </c>
      <c r="H266" s="1" t="s">
        <v>18</v>
      </c>
    </row>
    <row r="267" spans="1:8">
      <c r="A267" s="1">
        <v>266</v>
      </c>
      <c r="B267" s="1" t="s">
        <v>5362</v>
      </c>
      <c r="C267" s="1" t="s">
        <v>954</v>
      </c>
      <c r="D267" s="1" t="s">
        <v>2100</v>
      </c>
      <c r="E267" s="1" t="s">
        <v>2117</v>
      </c>
      <c r="F267" s="1" t="s">
        <v>2102</v>
      </c>
      <c r="G267" s="1" t="s">
        <v>2103</v>
      </c>
      <c r="H267" s="1" t="s">
        <v>18</v>
      </c>
    </row>
    <row r="268" spans="1:8">
      <c r="A268" s="1">
        <v>267</v>
      </c>
      <c r="B268" s="1" t="s">
        <v>5362</v>
      </c>
      <c r="C268" s="1" t="s">
        <v>959</v>
      </c>
      <c r="D268" s="1" t="s">
        <v>2100</v>
      </c>
      <c r="E268" s="1" t="s">
        <v>2109</v>
      </c>
      <c r="F268" s="1" t="s">
        <v>2106</v>
      </c>
      <c r="G268" s="1" t="s">
        <v>2107</v>
      </c>
      <c r="H268" s="1" t="s">
        <v>18</v>
      </c>
    </row>
    <row r="269" spans="1:8">
      <c r="A269" s="1">
        <v>268</v>
      </c>
      <c r="B269" s="1" t="s">
        <v>5362</v>
      </c>
      <c r="C269" s="1" t="s">
        <v>963</v>
      </c>
      <c r="D269" s="1" t="s">
        <v>2100</v>
      </c>
      <c r="E269" s="1" t="s">
        <v>2113</v>
      </c>
      <c r="F269" s="1" t="s">
        <v>2110</v>
      </c>
      <c r="G269" s="1" t="s">
        <v>2111</v>
      </c>
      <c r="H269" s="1" t="s">
        <v>18</v>
      </c>
    </row>
    <row r="270" spans="1:8">
      <c r="A270" s="1">
        <v>269</v>
      </c>
      <c r="B270" s="1" t="s">
        <v>5362</v>
      </c>
      <c r="C270" s="1" t="s">
        <v>967</v>
      </c>
      <c r="D270" s="1" t="s">
        <v>2100</v>
      </c>
      <c r="E270" s="1" t="s">
        <v>2125</v>
      </c>
      <c r="F270" s="1" t="s">
        <v>2114</v>
      </c>
      <c r="G270" s="1" t="s">
        <v>2115</v>
      </c>
      <c r="H270" s="1" t="s">
        <v>18</v>
      </c>
    </row>
    <row r="271" spans="1:8">
      <c r="A271" s="1">
        <v>270</v>
      </c>
      <c r="B271" s="1" t="s">
        <v>5362</v>
      </c>
      <c r="C271" s="1" t="s">
        <v>971</v>
      </c>
      <c r="D271" s="1" t="s">
        <v>2100</v>
      </c>
      <c r="E271" s="1" t="s">
        <v>2121</v>
      </c>
      <c r="F271" s="1" t="s">
        <v>2118</v>
      </c>
      <c r="G271" s="1" t="s">
        <v>2119</v>
      </c>
      <c r="H271" s="1" t="s">
        <v>18</v>
      </c>
    </row>
    <row r="272" spans="1:8">
      <c r="A272" s="1">
        <v>271</v>
      </c>
      <c r="B272" s="1" t="s">
        <v>5362</v>
      </c>
      <c r="C272" s="1" t="s">
        <v>975</v>
      </c>
      <c r="D272" s="1" t="s">
        <v>2100</v>
      </c>
      <c r="E272" s="1" t="s">
        <v>2105</v>
      </c>
      <c r="F272" s="1" t="s">
        <v>2122</v>
      </c>
      <c r="G272" s="1" t="s">
        <v>2123</v>
      </c>
      <c r="H272" s="1" t="s">
        <v>18</v>
      </c>
    </row>
    <row r="273" spans="1:8">
      <c r="A273" s="1">
        <v>272</v>
      </c>
      <c r="B273" s="1" t="s">
        <v>5362</v>
      </c>
      <c r="C273" s="1" t="s">
        <v>979</v>
      </c>
      <c r="D273" s="1" t="s">
        <v>2100</v>
      </c>
      <c r="E273" s="1" t="s">
        <v>2129</v>
      </c>
      <c r="F273" s="1" t="s">
        <v>2126</v>
      </c>
      <c r="G273" s="1" t="s">
        <v>2127</v>
      </c>
      <c r="H273" s="1" t="s">
        <v>18</v>
      </c>
    </row>
    <row r="274" spans="1:8">
      <c r="A274" s="1">
        <v>273</v>
      </c>
      <c r="B274" s="1" t="s">
        <v>5362</v>
      </c>
      <c r="C274" s="1" t="s">
        <v>983</v>
      </c>
      <c r="D274" s="1" t="s">
        <v>2100</v>
      </c>
      <c r="E274" s="1" t="s">
        <v>2137</v>
      </c>
      <c r="F274" s="1" t="s">
        <v>2130</v>
      </c>
      <c r="G274" s="1" t="s">
        <v>2131</v>
      </c>
      <c r="H274" s="1" t="s">
        <v>18</v>
      </c>
    </row>
    <row r="275" spans="1:8">
      <c r="A275" s="1">
        <v>274</v>
      </c>
      <c r="B275" s="1" t="s">
        <v>5362</v>
      </c>
      <c r="C275" s="1" t="s">
        <v>987</v>
      </c>
      <c r="D275" s="1" t="s">
        <v>2100</v>
      </c>
      <c r="E275" s="1" t="s">
        <v>2141</v>
      </c>
      <c r="F275" s="1" t="s">
        <v>2134</v>
      </c>
      <c r="G275" s="1" t="s">
        <v>2135</v>
      </c>
      <c r="H275" s="1" t="s">
        <v>18</v>
      </c>
    </row>
    <row r="276" spans="1:8">
      <c r="A276" s="1">
        <v>275</v>
      </c>
      <c r="B276" s="1" t="s">
        <v>5362</v>
      </c>
      <c r="C276" s="1" t="s">
        <v>991</v>
      </c>
      <c r="D276" s="1" t="s">
        <v>2100</v>
      </c>
      <c r="E276" s="1" t="s">
        <v>2133</v>
      </c>
      <c r="F276" s="1" t="s">
        <v>2138</v>
      </c>
      <c r="G276" s="1" t="s">
        <v>2139</v>
      </c>
      <c r="H276" s="1" t="s">
        <v>18</v>
      </c>
    </row>
    <row r="277" spans="1:8">
      <c r="A277" s="1">
        <v>276</v>
      </c>
      <c r="B277" s="1" t="s">
        <v>5362</v>
      </c>
      <c r="C277" s="1" t="s">
        <v>995</v>
      </c>
      <c r="D277" s="1" t="s">
        <v>2100</v>
      </c>
      <c r="E277" s="1" t="s">
        <v>4214</v>
      </c>
      <c r="F277" s="1" t="s">
        <v>2142</v>
      </c>
      <c r="G277" s="1" t="s">
        <v>2143</v>
      </c>
      <c r="H277" s="1" t="s">
        <v>18</v>
      </c>
    </row>
    <row r="278" spans="1:8">
      <c r="A278" s="1">
        <v>277</v>
      </c>
      <c r="B278" s="1" t="s">
        <v>5363</v>
      </c>
      <c r="C278" s="1" t="s">
        <v>58</v>
      </c>
      <c r="D278" s="1" t="s">
        <v>2145</v>
      </c>
      <c r="E278" s="1" t="s">
        <v>4216</v>
      </c>
      <c r="F278" s="1" t="s">
        <v>2147</v>
      </c>
      <c r="G278" s="1" t="s">
        <v>2148</v>
      </c>
      <c r="H278" s="1" t="s">
        <v>18</v>
      </c>
    </row>
    <row r="279" spans="1:8">
      <c r="A279" s="1">
        <v>278</v>
      </c>
      <c r="B279" s="1" t="s">
        <v>5363</v>
      </c>
      <c r="C279" s="1" t="s">
        <v>63</v>
      </c>
      <c r="D279" s="1" t="s">
        <v>2145</v>
      </c>
      <c r="E279" s="1" t="s">
        <v>4218</v>
      </c>
      <c r="F279" s="1" t="s">
        <v>2151</v>
      </c>
      <c r="G279" s="1" t="s">
        <v>2152</v>
      </c>
      <c r="H279" s="1" t="s">
        <v>18</v>
      </c>
    </row>
    <row r="280" spans="1:8">
      <c r="A280" s="1">
        <v>279</v>
      </c>
      <c r="B280" s="1" t="s">
        <v>5363</v>
      </c>
      <c r="C280" s="1" t="s">
        <v>67</v>
      </c>
      <c r="D280" s="1" t="s">
        <v>2145</v>
      </c>
      <c r="E280" s="1" t="s">
        <v>4220</v>
      </c>
      <c r="F280" s="1" t="s">
        <v>2155</v>
      </c>
      <c r="G280" s="1" t="s">
        <v>2156</v>
      </c>
      <c r="H280" s="1" t="s">
        <v>18</v>
      </c>
    </row>
    <row r="281" spans="1:8">
      <c r="A281" s="1">
        <v>280</v>
      </c>
      <c r="B281" s="1" t="s">
        <v>5363</v>
      </c>
      <c r="C281" s="1" t="s">
        <v>71</v>
      </c>
      <c r="D281" s="1" t="s">
        <v>2145</v>
      </c>
      <c r="E281" s="1" t="s">
        <v>4222</v>
      </c>
      <c r="F281" s="1" t="s">
        <v>2159</v>
      </c>
      <c r="G281" s="1" t="s">
        <v>2160</v>
      </c>
      <c r="H281" s="1" t="s">
        <v>18</v>
      </c>
    </row>
    <row r="282" spans="1:8">
      <c r="A282" s="1">
        <v>281</v>
      </c>
      <c r="B282" s="1" t="s">
        <v>5364</v>
      </c>
      <c r="C282" s="1" t="s">
        <v>153</v>
      </c>
      <c r="D282" s="1" t="s">
        <v>2162</v>
      </c>
      <c r="E282" s="1" t="s">
        <v>1502</v>
      </c>
      <c r="F282" s="1" t="s">
        <v>2164</v>
      </c>
      <c r="G282" s="1" t="s">
        <v>5365</v>
      </c>
      <c r="H282" s="1" t="s">
        <v>18</v>
      </c>
    </row>
    <row r="283" spans="1:8">
      <c r="A283" s="1">
        <v>282</v>
      </c>
      <c r="B283" s="1" t="s">
        <v>5364</v>
      </c>
      <c r="C283" s="1" t="s">
        <v>158</v>
      </c>
      <c r="D283" s="1" t="s">
        <v>2162</v>
      </c>
      <c r="E283" s="1" t="s">
        <v>1506</v>
      </c>
      <c r="F283" s="1" t="s">
        <v>2168</v>
      </c>
      <c r="G283" s="1" t="s">
        <v>5366</v>
      </c>
      <c r="H283" s="1" t="s">
        <v>18</v>
      </c>
    </row>
    <row r="284" spans="1:8">
      <c r="A284" s="1">
        <v>283</v>
      </c>
      <c r="B284" s="1" t="s">
        <v>5364</v>
      </c>
      <c r="C284" s="1" t="s">
        <v>162</v>
      </c>
      <c r="D284" s="1" t="s">
        <v>2162</v>
      </c>
      <c r="E284" s="1" t="s">
        <v>1510</v>
      </c>
      <c r="F284" s="1" t="s">
        <v>2172</v>
      </c>
      <c r="G284" s="1" t="s">
        <v>5367</v>
      </c>
      <c r="H284" s="1" t="s">
        <v>18</v>
      </c>
    </row>
    <row r="285" spans="1:8">
      <c r="A285" s="1">
        <v>284</v>
      </c>
      <c r="B285" s="1" t="s">
        <v>5364</v>
      </c>
      <c r="C285" s="1" t="s">
        <v>166</v>
      </c>
      <c r="D285" s="1" t="s">
        <v>2162</v>
      </c>
      <c r="E285" s="1" t="s">
        <v>1514</v>
      </c>
      <c r="F285" s="1" t="s">
        <v>2176</v>
      </c>
      <c r="G285" s="1" t="s">
        <v>5368</v>
      </c>
      <c r="H285" s="1" t="s">
        <v>18</v>
      </c>
    </row>
    <row r="286" spans="1:8">
      <c r="A286" s="1">
        <v>285</v>
      </c>
      <c r="B286" s="1" t="s">
        <v>5364</v>
      </c>
      <c r="C286" s="1" t="s">
        <v>170</v>
      </c>
      <c r="D286" s="1" t="s">
        <v>2162</v>
      </c>
      <c r="E286" s="1" t="s">
        <v>1531</v>
      </c>
      <c r="F286" s="1" t="s">
        <v>2180</v>
      </c>
      <c r="G286" s="1" t="s">
        <v>5369</v>
      </c>
      <c r="H286" s="1" t="s">
        <v>18</v>
      </c>
    </row>
    <row r="287" spans="1:8">
      <c r="A287" s="1">
        <v>286</v>
      </c>
      <c r="B287" s="1" t="s">
        <v>5370</v>
      </c>
      <c r="C287" s="1" t="s">
        <v>237</v>
      </c>
      <c r="D287" s="1" t="s">
        <v>2183</v>
      </c>
      <c r="E287" s="1" t="s">
        <v>2184</v>
      </c>
      <c r="F287" s="1" t="s">
        <v>240</v>
      </c>
      <c r="G287" s="1" t="s">
        <v>241</v>
      </c>
      <c r="H287" s="1" t="s">
        <v>18</v>
      </c>
    </row>
    <row r="288" spans="1:8">
      <c r="A288" s="1">
        <v>287</v>
      </c>
      <c r="B288" s="1" t="s">
        <v>5371</v>
      </c>
      <c r="C288" s="1" t="s">
        <v>153</v>
      </c>
      <c r="D288" s="1" t="s">
        <v>2186</v>
      </c>
      <c r="E288" s="1" t="s">
        <v>5372</v>
      </c>
      <c r="F288" s="1" t="s">
        <v>2188</v>
      </c>
      <c r="G288" s="1" t="s">
        <v>2189</v>
      </c>
      <c r="H288" s="1" t="s">
        <v>18</v>
      </c>
    </row>
    <row r="289" spans="1:8">
      <c r="A289" s="1">
        <v>288</v>
      </c>
      <c r="B289" s="1" t="s">
        <v>5371</v>
      </c>
      <c r="C289" s="1" t="s">
        <v>158</v>
      </c>
      <c r="D289" s="1" t="s">
        <v>2186</v>
      </c>
      <c r="E289" s="1" t="s">
        <v>5373</v>
      </c>
      <c r="F289" s="1" t="s">
        <v>2192</v>
      </c>
      <c r="G289" s="1" t="s">
        <v>2193</v>
      </c>
      <c r="H289" s="1" t="s">
        <v>18</v>
      </c>
    </row>
    <row r="290" spans="1:8">
      <c r="A290" s="1">
        <v>289</v>
      </c>
      <c r="B290" s="1" t="s">
        <v>5371</v>
      </c>
      <c r="C290" s="1" t="s">
        <v>162</v>
      </c>
      <c r="D290" s="1" t="s">
        <v>2186</v>
      </c>
      <c r="E290" s="1" t="s">
        <v>4237</v>
      </c>
      <c r="F290" s="1" t="s">
        <v>2196</v>
      </c>
      <c r="G290" s="1" t="s">
        <v>2197</v>
      </c>
      <c r="H290" s="1" t="s">
        <v>18</v>
      </c>
    </row>
    <row r="291" spans="1:8">
      <c r="A291" s="1">
        <v>290</v>
      </c>
      <c r="B291" s="1" t="s">
        <v>5371</v>
      </c>
      <c r="C291" s="1" t="s">
        <v>166</v>
      </c>
      <c r="D291" s="1" t="s">
        <v>2186</v>
      </c>
      <c r="E291" s="1" t="s">
        <v>4235</v>
      </c>
      <c r="F291" s="1" t="s">
        <v>2200</v>
      </c>
      <c r="G291" s="1" t="s">
        <v>2201</v>
      </c>
      <c r="H291" s="1" t="s">
        <v>18</v>
      </c>
    </row>
    <row r="292" spans="1:8">
      <c r="A292" s="1">
        <v>291</v>
      </c>
      <c r="B292" s="1" t="s">
        <v>5371</v>
      </c>
      <c r="C292" s="1" t="s">
        <v>170</v>
      </c>
      <c r="D292" s="1" t="s">
        <v>2186</v>
      </c>
      <c r="E292" s="1" t="s">
        <v>4230</v>
      </c>
      <c r="F292" s="1" t="s">
        <v>2204</v>
      </c>
      <c r="G292" s="1" t="s">
        <v>2205</v>
      </c>
      <c r="H292" s="1" t="s">
        <v>18</v>
      </c>
    </row>
    <row r="293" spans="1:8">
      <c r="A293" s="1">
        <v>292</v>
      </c>
      <c r="B293" s="1" t="s">
        <v>5374</v>
      </c>
      <c r="C293" s="1" t="s">
        <v>498</v>
      </c>
      <c r="D293" s="1" t="s">
        <v>2207</v>
      </c>
      <c r="E293" s="1" t="s">
        <v>2208</v>
      </c>
      <c r="F293" s="1" t="s">
        <v>1299</v>
      </c>
      <c r="G293" s="1" t="s">
        <v>1300</v>
      </c>
      <c r="H293" s="1" t="s">
        <v>18</v>
      </c>
    </row>
    <row r="294" spans="1:8">
      <c r="A294" s="1">
        <v>293</v>
      </c>
      <c r="B294" s="1" t="s">
        <v>5374</v>
      </c>
      <c r="C294" s="1" t="s">
        <v>503</v>
      </c>
      <c r="D294" s="1" t="s">
        <v>2207</v>
      </c>
      <c r="E294" s="1" t="s">
        <v>60</v>
      </c>
      <c r="F294" s="1" t="s">
        <v>1305</v>
      </c>
      <c r="G294" s="1" t="s">
        <v>1306</v>
      </c>
      <c r="H294" s="1" t="s">
        <v>18</v>
      </c>
    </row>
    <row r="295" spans="1:8">
      <c r="A295" s="1">
        <v>294</v>
      </c>
      <c r="B295" s="1" t="s">
        <v>5374</v>
      </c>
      <c r="C295" s="1" t="s">
        <v>507</v>
      </c>
      <c r="D295" s="1" t="s">
        <v>2207</v>
      </c>
      <c r="E295" s="1" t="s">
        <v>2211</v>
      </c>
      <c r="F295" s="1" t="s">
        <v>1302</v>
      </c>
      <c r="G295" s="1" t="s">
        <v>1303</v>
      </c>
      <c r="H295" s="1" t="s">
        <v>18</v>
      </c>
    </row>
    <row r="296" spans="1:8">
      <c r="A296" s="1">
        <v>295</v>
      </c>
      <c r="B296" s="1" t="s">
        <v>5374</v>
      </c>
      <c r="C296" s="1" t="s">
        <v>511</v>
      </c>
      <c r="D296" s="1" t="s">
        <v>2207</v>
      </c>
      <c r="E296" s="1" t="s">
        <v>64</v>
      </c>
      <c r="F296" s="1" t="s">
        <v>1308</v>
      </c>
      <c r="G296" s="1" t="s">
        <v>1309</v>
      </c>
      <c r="H296" s="1" t="s">
        <v>18</v>
      </c>
    </row>
    <row r="297" spans="1:8">
      <c r="A297" s="1">
        <v>296</v>
      </c>
      <c r="B297" s="1" t="s">
        <v>5374</v>
      </c>
      <c r="C297" s="1" t="s">
        <v>513</v>
      </c>
      <c r="D297" s="1" t="s">
        <v>2207</v>
      </c>
      <c r="E297" s="1" t="s">
        <v>68</v>
      </c>
      <c r="F297" s="1" t="s">
        <v>1311</v>
      </c>
      <c r="G297" s="1" t="s">
        <v>1312</v>
      </c>
      <c r="H297" s="1" t="s">
        <v>18</v>
      </c>
    </row>
    <row r="298" spans="1:8">
      <c r="A298" s="1">
        <v>297</v>
      </c>
      <c r="B298" s="1" t="s">
        <v>5374</v>
      </c>
      <c r="C298" s="1" t="s">
        <v>515</v>
      </c>
      <c r="D298" s="1" t="s">
        <v>2207</v>
      </c>
      <c r="E298" s="1" t="s">
        <v>72</v>
      </c>
      <c r="F298" s="1" t="s">
        <v>1314</v>
      </c>
      <c r="G298" s="1" t="s">
        <v>1315</v>
      </c>
      <c r="H298" s="1" t="s">
        <v>18</v>
      </c>
    </row>
    <row r="299" spans="1:8">
      <c r="A299" s="1">
        <v>298</v>
      </c>
      <c r="B299" s="1" t="s">
        <v>5374</v>
      </c>
      <c r="C299" s="1" t="s">
        <v>517</v>
      </c>
      <c r="D299" s="1" t="s">
        <v>2207</v>
      </c>
      <c r="E299" s="1" t="s">
        <v>2216</v>
      </c>
      <c r="F299" s="1" t="s">
        <v>1317</v>
      </c>
      <c r="G299" s="1" t="s">
        <v>1318</v>
      </c>
      <c r="H299" s="1" t="s">
        <v>18</v>
      </c>
    </row>
    <row r="300" spans="1:8">
      <c r="A300" s="1">
        <v>299</v>
      </c>
      <c r="B300" s="1" t="s">
        <v>5374</v>
      </c>
      <c r="C300" s="1" t="s">
        <v>521</v>
      </c>
      <c r="D300" s="1" t="s">
        <v>2207</v>
      </c>
      <c r="E300" s="1" t="s">
        <v>2218</v>
      </c>
      <c r="F300" s="1" t="s">
        <v>1320</v>
      </c>
      <c r="G300" s="1" t="s">
        <v>1321</v>
      </c>
      <c r="H300" s="1" t="s">
        <v>18</v>
      </c>
    </row>
    <row r="301" spans="1:8">
      <c r="A301" s="1">
        <v>300</v>
      </c>
      <c r="B301" s="1" t="s">
        <v>5375</v>
      </c>
      <c r="C301" s="1" t="s">
        <v>9</v>
      </c>
      <c r="D301" s="1" t="s">
        <v>2253</v>
      </c>
      <c r="E301" s="1" t="s">
        <v>2254</v>
      </c>
      <c r="F301" s="1" t="s">
        <v>21</v>
      </c>
      <c r="G301" s="1" t="s">
        <v>22</v>
      </c>
      <c r="H301" s="1" t="s">
        <v>18</v>
      </c>
    </row>
    <row r="302" spans="1:8">
      <c r="A302" s="1">
        <v>301</v>
      </c>
      <c r="B302" s="1" t="s">
        <v>5375</v>
      </c>
      <c r="C302" s="1" t="s">
        <v>14</v>
      </c>
      <c r="D302" s="1" t="s">
        <v>2253</v>
      </c>
      <c r="E302" s="1" t="s">
        <v>812</v>
      </c>
      <c r="F302" s="1" t="s">
        <v>813</v>
      </c>
      <c r="G302" s="1" t="s">
        <v>814</v>
      </c>
      <c r="H302" s="1" t="s">
        <v>18</v>
      </c>
    </row>
    <row r="303" spans="1:8">
      <c r="A303" s="1">
        <v>302</v>
      </c>
      <c r="B303" s="1" t="s">
        <v>5375</v>
      </c>
      <c r="C303" s="1" t="s">
        <v>19</v>
      </c>
      <c r="D303" s="1" t="s">
        <v>2253</v>
      </c>
      <c r="E303" s="1" t="s">
        <v>815</v>
      </c>
      <c r="F303" s="1" t="s">
        <v>816</v>
      </c>
      <c r="G303" s="1" t="s">
        <v>817</v>
      </c>
      <c r="H303" s="1" t="s">
        <v>18</v>
      </c>
    </row>
    <row r="304" spans="1:8">
      <c r="A304" s="1">
        <v>303</v>
      </c>
      <c r="B304" s="1" t="s">
        <v>5376</v>
      </c>
      <c r="C304" s="1" t="s">
        <v>333</v>
      </c>
      <c r="D304" s="1" t="s">
        <v>2258</v>
      </c>
      <c r="E304" s="1" t="s">
        <v>2259</v>
      </c>
      <c r="F304" s="1" t="s">
        <v>376</v>
      </c>
      <c r="G304" s="1" t="s">
        <v>377</v>
      </c>
      <c r="H304" s="1" t="s">
        <v>18</v>
      </c>
    </row>
    <row r="305" spans="1:8">
      <c r="A305" s="1">
        <v>304</v>
      </c>
      <c r="B305" s="1" t="s">
        <v>5376</v>
      </c>
      <c r="C305" s="1" t="s">
        <v>338</v>
      </c>
      <c r="D305" s="1" t="s">
        <v>2258</v>
      </c>
      <c r="E305" s="1" t="s">
        <v>2261</v>
      </c>
      <c r="F305" s="1" t="s">
        <v>372</v>
      </c>
      <c r="G305" s="1" t="s">
        <v>373</v>
      </c>
      <c r="H305" s="1" t="s">
        <v>18</v>
      </c>
    </row>
    <row r="306" spans="1:8">
      <c r="A306" s="1">
        <v>305</v>
      </c>
      <c r="B306" s="1" t="s">
        <v>5376</v>
      </c>
      <c r="C306" s="1" t="s">
        <v>342</v>
      </c>
      <c r="D306" s="1" t="s">
        <v>2258</v>
      </c>
      <c r="E306" s="1" t="s">
        <v>2263</v>
      </c>
      <c r="F306" s="1" t="s">
        <v>380</v>
      </c>
      <c r="G306" s="1" t="s">
        <v>381</v>
      </c>
      <c r="H306" s="1" t="s">
        <v>18</v>
      </c>
    </row>
    <row r="307" spans="1:8">
      <c r="A307" s="1">
        <v>306</v>
      </c>
      <c r="B307" s="1" t="s">
        <v>5376</v>
      </c>
      <c r="C307" s="1" t="s">
        <v>346</v>
      </c>
      <c r="D307" s="1" t="s">
        <v>2258</v>
      </c>
      <c r="E307" s="1" t="s">
        <v>2265</v>
      </c>
      <c r="F307" s="1" t="s">
        <v>336</v>
      </c>
      <c r="G307" s="1" t="s">
        <v>337</v>
      </c>
      <c r="H307" s="1" t="s">
        <v>18</v>
      </c>
    </row>
    <row r="308" spans="1:8">
      <c r="A308" s="1">
        <v>307</v>
      </c>
      <c r="B308" s="1" t="s">
        <v>5376</v>
      </c>
      <c r="C308" s="1" t="s">
        <v>350</v>
      </c>
      <c r="D308" s="1" t="s">
        <v>2258</v>
      </c>
      <c r="E308" s="1" t="s">
        <v>2267</v>
      </c>
      <c r="F308" s="1" t="s">
        <v>344</v>
      </c>
      <c r="G308" s="1" t="s">
        <v>345</v>
      </c>
      <c r="H308" s="1" t="s">
        <v>18</v>
      </c>
    </row>
    <row r="309" spans="1:8">
      <c r="A309" s="1">
        <v>308</v>
      </c>
      <c r="B309" s="1" t="s">
        <v>5376</v>
      </c>
      <c r="C309" s="1" t="s">
        <v>354</v>
      </c>
      <c r="D309" s="1" t="s">
        <v>2258</v>
      </c>
      <c r="E309" s="1" t="s">
        <v>2269</v>
      </c>
      <c r="F309" s="1" t="s">
        <v>384</v>
      </c>
      <c r="G309" s="1" t="s">
        <v>385</v>
      </c>
      <c r="H309" s="1" t="s">
        <v>18</v>
      </c>
    </row>
    <row r="310" spans="1:8">
      <c r="A310" s="1">
        <v>309</v>
      </c>
      <c r="B310" s="1" t="s">
        <v>5376</v>
      </c>
      <c r="C310" s="1" t="s">
        <v>358</v>
      </c>
      <c r="D310" s="1" t="s">
        <v>2258</v>
      </c>
      <c r="E310" s="1" t="s">
        <v>2271</v>
      </c>
      <c r="F310" s="1" t="s">
        <v>398</v>
      </c>
      <c r="G310" s="1" t="s">
        <v>399</v>
      </c>
      <c r="H310" s="1" t="s">
        <v>18</v>
      </c>
    </row>
    <row r="311" spans="1:8">
      <c r="A311" s="1">
        <v>310</v>
      </c>
      <c r="B311" s="1" t="s">
        <v>5376</v>
      </c>
      <c r="C311" s="1" t="s">
        <v>362</v>
      </c>
      <c r="D311" s="1" t="s">
        <v>2258</v>
      </c>
      <c r="E311" s="1" t="s">
        <v>2273</v>
      </c>
      <c r="F311" s="1" t="s">
        <v>401</v>
      </c>
      <c r="G311" s="1" t="s">
        <v>402</v>
      </c>
      <c r="H311" s="1" t="s">
        <v>18</v>
      </c>
    </row>
    <row r="312" spans="1:8">
      <c r="A312" s="1">
        <v>311</v>
      </c>
      <c r="B312" s="1" t="s">
        <v>5376</v>
      </c>
      <c r="C312" s="1" t="s">
        <v>366</v>
      </c>
      <c r="D312" s="1" t="s">
        <v>2258</v>
      </c>
      <c r="E312" s="1" t="s">
        <v>2275</v>
      </c>
      <c r="F312" s="1" t="s">
        <v>392</v>
      </c>
      <c r="G312" s="1" t="s">
        <v>393</v>
      </c>
      <c r="H312" s="1" t="s">
        <v>18</v>
      </c>
    </row>
    <row r="313" spans="1:8">
      <c r="A313" s="1">
        <v>312</v>
      </c>
      <c r="B313" s="1" t="s">
        <v>5376</v>
      </c>
      <c r="C313" s="1" t="s">
        <v>370</v>
      </c>
      <c r="D313" s="1" t="s">
        <v>2258</v>
      </c>
      <c r="E313" s="1" t="s">
        <v>2277</v>
      </c>
      <c r="F313" s="1" t="s">
        <v>395</v>
      </c>
      <c r="G313" s="1" t="s">
        <v>396</v>
      </c>
      <c r="H313" s="1" t="s">
        <v>18</v>
      </c>
    </row>
    <row r="314" spans="1:8">
      <c r="A314" s="1">
        <v>313</v>
      </c>
      <c r="B314" s="1" t="s">
        <v>5376</v>
      </c>
      <c r="C314" s="1" t="s">
        <v>374</v>
      </c>
      <c r="D314" s="1" t="s">
        <v>2258</v>
      </c>
      <c r="E314" s="1" t="s">
        <v>2279</v>
      </c>
      <c r="F314" s="1" t="s">
        <v>407</v>
      </c>
      <c r="G314" s="1" t="s">
        <v>408</v>
      </c>
      <c r="H314" s="1" t="s">
        <v>18</v>
      </c>
    </row>
    <row r="315" spans="1:8">
      <c r="A315" s="1">
        <v>314</v>
      </c>
      <c r="B315" s="1" t="s">
        <v>5376</v>
      </c>
      <c r="C315" s="1" t="s">
        <v>378</v>
      </c>
      <c r="D315" s="1" t="s">
        <v>2258</v>
      </c>
      <c r="E315" s="1" t="s">
        <v>2281</v>
      </c>
      <c r="F315" s="1" t="s">
        <v>404</v>
      </c>
      <c r="G315" s="1" t="s">
        <v>405</v>
      </c>
      <c r="H315" s="1" t="s">
        <v>18</v>
      </c>
    </row>
    <row r="316" spans="1:8">
      <c r="A316" s="1">
        <v>315</v>
      </c>
      <c r="B316" s="1" t="s">
        <v>5376</v>
      </c>
      <c r="C316" s="1" t="s">
        <v>382</v>
      </c>
      <c r="D316" s="1" t="s">
        <v>2258</v>
      </c>
      <c r="E316" s="1" t="s">
        <v>2283</v>
      </c>
      <c r="F316" s="1" t="s">
        <v>340</v>
      </c>
      <c r="G316" s="1" t="s">
        <v>341</v>
      </c>
      <c r="H316" s="1" t="s">
        <v>18</v>
      </c>
    </row>
    <row r="317" spans="1:8">
      <c r="A317" s="1">
        <v>316</v>
      </c>
      <c r="B317" s="1" t="s">
        <v>5377</v>
      </c>
      <c r="C317" s="1" t="s">
        <v>44</v>
      </c>
      <c r="D317" s="1" t="s">
        <v>2285</v>
      </c>
      <c r="E317" s="1" t="s">
        <v>1156</v>
      </c>
      <c r="F317" s="1" t="s">
        <v>2286</v>
      </c>
      <c r="G317" s="1" t="s">
        <v>2287</v>
      </c>
      <c r="H317" s="1" t="s">
        <v>18</v>
      </c>
    </row>
    <row r="318" spans="1:8">
      <c r="A318" s="1">
        <v>317</v>
      </c>
      <c r="B318" s="1" t="s">
        <v>5377</v>
      </c>
      <c r="C318" s="1" t="s">
        <v>49</v>
      </c>
      <c r="D318" s="1" t="s">
        <v>2285</v>
      </c>
      <c r="E318" s="1" t="s">
        <v>1153</v>
      </c>
      <c r="F318" s="1" t="s">
        <v>2289</v>
      </c>
      <c r="G318" s="1" t="s">
        <v>2290</v>
      </c>
      <c r="H318" s="1" t="s">
        <v>18</v>
      </c>
    </row>
    <row r="319" spans="1:8">
      <c r="A319" s="1">
        <v>318</v>
      </c>
      <c r="B319" s="1" t="s">
        <v>5378</v>
      </c>
      <c r="C319" s="1" t="s">
        <v>237</v>
      </c>
      <c r="D319" s="1" t="s">
        <v>2292</v>
      </c>
      <c r="E319" s="1" t="s">
        <v>2293</v>
      </c>
      <c r="F319" s="1" t="s">
        <v>21</v>
      </c>
      <c r="G319" s="1" t="s">
        <v>22</v>
      </c>
      <c r="H319" s="1" t="s">
        <v>18</v>
      </c>
    </row>
    <row r="320" spans="1:8">
      <c r="A320" s="1">
        <v>319</v>
      </c>
      <c r="B320" s="1" t="s">
        <v>5379</v>
      </c>
      <c r="C320" s="1" t="s">
        <v>44</v>
      </c>
      <c r="D320" s="1" t="s">
        <v>2301</v>
      </c>
      <c r="E320" s="1" t="s">
        <v>2302</v>
      </c>
      <c r="F320" s="1" t="s">
        <v>2303</v>
      </c>
      <c r="G320" s="1" t="s">
        <v>2304</v>
      </c>
      <c r="H320" s="1" t="s">
        <v>18</v>
      </c>
    </row>
    <row r="321" spans="1:8">
      <c r="A321" s="1">
        <v>320</v>
      </c>
      <c r="B321" s="1" t="s">
        <v>5379</v>
      </c>
      <c r="C321" s="1" t="s">
        <v>49</v>
      </c>
      <c r="D321" s="1" t="s">
        <v>2301</v>
      </c>
      <c r="E321" s="1" t="s">
        <v>2306</v>
      </c>
      <c r="F321" s="1" t="s">
        <v>2307</v>
      </c>
      <c r="G321" s="1" t="s">
        <v>2308</v>
      </c>
      <c r="H321" s="1" t="s">
        <v>18</v>
      </c>
    </row>
    <row r="322" spans="1:8">
      <c r="A322" s="1">
        <v>321</v>
      </c>
      <c r="B322" s="1" t="s">
        <v>5380</v>
      </c>
      <c r="C322" s="1" t="s">
        <v>9</v>
      </c>
      <c r="D322" s="1" t="s">
        <v>2331</v>
      </c>
      <c r="E322" s="1" t="s">
        <v>2332</v>
      </c>
      <c r="F322" s="1" t="s">
        <v>21</v>
      </c>
      <c r="G322" s="1" t="s">
        <v>22</v>
      </c>
      <c r="H322" s="1" t="s">
        <v>18</v>
      </c>
    </row>
    <row r="323" spans="1:8">
      <c r="A323" s="1">
        <v>322</v>
      </c>
      <c r="B323" s="1" t="s">
        <v>5380</v>
      </c>
      <c r="C323" s="1" t="s">
        <v>14</v>
      </c>
      <c r="D323" s="1" t="s">
        <v>2331</v>
      </c>
      <c r="E323" s="1" t="s">
        <v>824</v>
      </c>
      <c r="F323" s="1" t="s">
        <v>619</v>
      </c>
      <c r="G323" s="1" t="s">
        <v>620</v>
      </c>
      <c r="H323" s="1" t="s">
        <v>18</v>
      </c>
    </row>
    <row r="324" spans="1:8">
      <c r="A324" s="1">
        <v>323</v>
      </c>
      <c r="B324" s="1" t="s">
        <v>5380</v>
      </c>
      <c r="C324" s="1" t="s">
        <v>19</v>
      </c>
      <c r="D324" s="1" t="s">
        <v>2331</v>
      </c>
      <c r="E324" s="1" t="s">
        <v>825</v>
      </c>
      <c r="F324" s="1" t="s">
        <v>16</v>
      </c>
      <c r="G324" s="1" t="s">
        <v>17</v>
      </c>
      <c r="H324" s="1" t="s">
        <v>18</v>
      </c>
    </row>
    <row r="325" spans="1:8">
      <c r="A325" s="1">
        <v>324</v>
      </c>
      <c r="B325" s="1" t="s">
        <v>5381</v>
      </c>
      <c r="C325" s="1" t="s">
        <v>237</v>
      </c>
      <c r="D325" s="1" t="s">
        <v>2336</v>
      </c>
      <c r="E325" s="1" t="s">
        <v>2337</v>
      </c>
      <c r="F325" s="1" t="s">
        <v>2338</v>
      </c>
      <c r="G325" s="1" t="s">
        <v>2339</v>
      </c>
      <c r="H325" s="1" t="s">
        <v>18</v>
      </c>
    </row>
    <row r="326" spans="1:8">
      <c r="A326" s="1">
        <v>325</v>
      </c>
      <c r="B326" s="1" t="s">
        <v>5382</v>
      </c>
      <c r="C326" s="1" t="s">
        <v>9</v>
      </c>
      <c r="D326" s="1" t="s">
        <v>2341</v>
      </c>
      <c r="E326" s="1" t="s">
        <v>2342</v>
      </c>
      <c r="F326" s="1" t="s">
        <v>2343</v>
      </c>
      <c r="G326" s="1" t="s">
        <v>2344</v>
      </c>
      <c r="H326" s="1" t="s">
        <v>18</v>
      </c>
    </row>
    <row r="327" spans="1:8">
      <c r="A327" s="1">
        <v>326</v>
      </c>
      <c r="B327" s="1" t="s">
        <v>5382</v>
      </c>
      <c r="C327" s="1" t="s">
        <v>14</v>
      </c>
      <c r="D327" s="1" t="s">
        <v>2341</v>
      </c>
      <c r="E327" s="1" t="s">
        <v>2346</v>
      </c>
      <c r="F327" s="1" t="s">
        <v>2347</v>
      </c>
      <c r="G327" s="1" t="s">
        <v>2348</v>
      </c>
      <c r="H327" s="1" t="s">
        <v>18</v>
      </c>
    </row>
    <row r="328" spans="1:8">
      <c r="A328" s="1">
        <v>327</v>
      </c>
      <c r="B328" s="1" t="s">
        <v>5382</v>
      </c>
      <c r="C328" s="1" t="s">
        <v>19</v>
      </c>
      <c r="D328" s="1" t="s">
        <v>2341</v>
      </c>
      <c r="E328" s="1" t="s">
        <v>2350</v>
      </c>
      <c r="F328" s="1" t="s">
        <v>2351</v>
      </c>
      <c r="G328" s="1" t="s">
        <v>2352</v>
      </c>
      <c r="H328" s="1" t="s">
        <v>18</v>
      </c>
    </row>
    <row r="329" spans="1:8">
      <c r="A329" s="1">
        <v>328</v>
      </c>
      <c r="B329" s="1" t="s">
        <v>5383</v>
      </c>
      <c r="C329" s="1" t="s">
        <v>237</v>
      </c>
      <c r="D329" s="1" t="s">
        <v>2354</v>
      </c>
      <c r="E329" s="1" t="s">
        <v>2355</v>
      </c>
      <c r="F329" s="1" t="s">
        <v>2356</v>
      </c>
      <c r="G329" s="1" t="s">
        <v>2357</v>
      </c>
      <c r="H329" s="1" t="s">
        <v>18</v>
      </c>
    </row>
    <row r="330" spans="1:8">
      <c r="A330" s="1">
        <v>329</v>
      </c>
      <c r="B330" s="1" t="s">
        <v>5384</v>
      </c>
      <c r="C330" s="1" t="s">
        <v>9</v>
      </c>
      <c r="D330" s="1" t="s">
        <v>2359</v>
      </c>
      <c r="E330" s="1" t="s">
        <v>2360</v>
      </c>
      <c r="F330" s="1" t="s">
        <v>2361</v>
      </c>
      <c r="G330" s="1" t="s">
        <v>2362</v>
      </c>
      <c r="H330" s="1" t="s">
        <v>18</v>
      </c>
    </row>
    <row r="331" spans="1:8">
      <c r="A331" s="1">
        <v>330</v>
      </c>
      <c r="B331" s="1" t="s">
        <v>5384</v>
      </c>
      <c r="C331" s="1" t="s">
        <v>14</v>
      </c>
      <c r="D331" s="1" t="s">
        <v>2359</v>
      </c>
      <c r="E331" s="1" t="s">
        <v>2364</v>
      </c>
      <c r="F331" s="1" t="s">
        <v>2365</v>
      </c>
      <c r="G331" s="1" t="s">
        <v>2366</v>
      </c>
      <c r="H331" s="1" t="s">
        <v>18</v>
      </c>
    </row>
    <row r="332" spans="1:8">
      <c r="A332" s="1">
        <v>331</v>
      </c>
      <c r="B332" s="1" t="s">
        <v>5384</v>
      </c>
      <c r="C332" s="1" t="s">
        <v>19</v>
      </c>
      <c r="D332" s="1" t="s">
        <v>2359</v>
      </c>
      <c r="E332" s="1" t="s">
        <v>2368</v>
      </c>
      <c r="F332" s="1" t="s">
        <v>2369</v>
      </c>
      <c r="G332" s="1" t="s">
        <v>2370</v>
      </c>
      <c r="H332" s="1" t="s">
        <v>18</v>
      </c>
    </row>
    <row r="333" spans="1:8">
      <c r="A333" s="1">
        <v>332</v>
      </c>
      <c r="B333" s="1" t="s">
        <v>5385</v>
      </c>
      <c r="C333" s="1" t="s">
        <v>237</v>
      </c>
      <c r="D333" s="1" t="s">
        <v>2372</v>
      </c>
      <c r="E333" s="1" t="s">
        <v>1886</v>
      </c>
      <c r="F333" s="1" t="s">
        <v>2374</v>
      </c>
      <c r="G333" s="1" t="s">
        <v>2375</v>
      </c>
      <c r="H333" s="1" t="s">
        <v>18</v>
      </c>
    </row>
    <row r="334" spans="1:8">
      <c r="A334" s="1">
        <v>333</v>
      </c>
      <c r="B334" s="1" t="s">
        <v>5386</v>
      </c>
      <c r="C334" s="1" t="s">
        <v>153</v>
      </c>
      <c r="D334" s="1" t="s">
        <v>2397</v>
      </c>
      <c r="E334" s="1" t="s">
        <v>1245</v>
      </c>
      <c r="F334" s="1" t="s">
        <v>21</v>
      </c>
      <c r="G334" s="1" t="s">
        <v>22</v>
      </c>
      <c r="H334" s="1" t="s">
        <v>18</v>
      </c>
    </row>
    <row r="335" spans="1:8">
      <c r="A335" s="1">
        <v>334</v>
      </c>
      <c r="B335" s="1" t="s">
        <v>5386</v>
      </c>
      <c r="C335" s="1" t="s">
        <v>158</v>
      </c>
      <c r="D335" s="1" t="s">
        <v>2397</v>
      </c>
      <c r="E335" s="1" t="s">
        <v>1248</v>
      </c>
      <c r="F335" s="1" t="s">
        <v>669</v>
      </c>
      <c r="G335" s="1" t="s">
        <v>670</v>
      </c>
      <c r="H335" s="1" t="s">
        <v>18</v>
      </c>
    </row>
    <row r="336" spans="1:8">
      <c r="A336" s="1">
        <v>335</v>
      </c>
      <c r="B336" s="1" t="s">
        <v>5386</v>
      </c>
      <c r="C336" s="1" t="s">
        <v>162</v>
      </c>
      <c r="D336" s="1" t="s">
        <v>2397</v>
      </c>
      <c r="E336" s="1" t="s">
        <v>1247</v>
      </c>
      <c r="F336" s="1" t="s">
        <v>660</v>
      </c>
      <c r="G336" s="1" t="s">
        <v>661</v>
      </c>
      <c r="H336" s="1" t="s">
        <v>18</v>
      </c>
    </row>
    <row r="337" spans="1:8">
      <c r="A337" s="1">
        <v>336</v>
      </c>
      <c r="B337" s="1" t="s">
        <v>5386</v>
      </c>
      <c r="C337" s="1" t="s">
        <v>166</v>
      </c>
      <c r="D337" s="1" t="s">
        <v>2397</v>
      </c>
      <c r="E337" s="1" t="s">
        <v>1246</v>
      </c>
      <c r="F337" s="1" t="s">
        <v>665</v>
      </c>
      <c r="G337" s="1" t="s">
        <v>666</v>
      </c>
      <c r="H337" s="1" t="s">
        <v>18</v>
      </c>
    </row>
    <row r="338" spans="1:8">
      <c r="A338" s="1">
        <v>337</v>
      </c>
      <c r="B338" s="1" t="s">
        <v>5386</v>
      </c>
      <c r="C338" s="1" t="s">
        <v>170</v>
      </c>
      <c r="D338" s="1" t="s">
        <v>2397</v>
      </c>
      <c r="E338" s="1" t="s">
        <v>1249</v>
      </c>
      <c r="F338" s="1" t="s">
        <v>630</v>
      </c>
      <c r="G338" s="1" t="s">
        <v>631</v>
      </c>
      <c r="H338" s="1" t="s">
        <v>18</v>
      </c>
    </row>
    <row r="339" spans="1:8">
      <c r="A339" s="1">
        <v>338</v>
      </c>
      <c r="B339" s="1" t="s">
        <v>5387</v>
      </c>
      <c r="C339" s="1" t="s">
        <v>153</v>
      </c>
      <c r="D339" s="1" t="s">
        <v>2403</v>
      </c>
      <c r="E339" s="1" t="s">
        <v>2404</v>
      </c>
      <c r="F339" s="1" t="s">
        <v>21</v>
      </c>
      <c r="G339" s="1" t="s">
        <v>22</v>
      </c>
      <c r="H339" s="1" t="s">
        <v>18</v>
      </c>
    </row>
    <row r="340" spans="1:8">
      <c r="A340" s="1">
        <v>339</v>
      </c>
      <c r="B340" s="1" t="s">
        <v>5387</v>
      </c>
      <c r="C340" s="1" t="s">
        <v>158</v>
      </c>
      <c r="D340" s="1" t="s">
        <v>2403</v>
      </c>
      <c r="E340" s="1" t="s">
        <v>2406</v>
      </c>
      <c r="F340" s="1" t="s">
        <v>2378</v>
      </c>
      <c r="G340" s="1" t="s">
        <v>2379</v>
      </c>
      <c r="H340" s="1" t="s">
        <v>18</v>
      </c>
    </row>
    <row r="341" spans="1:8">
      <c r="A341" s="1">
        <v>340</v>
      </c>
      <c r="B341" s="1" t="s">
        <v>5387</v>
      </c>
      <c r="C341" s="1" t="s">
        <v>162</v>
      </c>
      <c r="D341" s="1" t="s">
        <v>2403</v>
      </c>
      <c r="E341" s="1" t="s">
        <v>2408</v>
      </c>
      <c r="F341" s="1" t="s">
        <v>2381</v>
      </c>
      <c r="G341" s="1" t="s">
        <v>2382</v>
      </c>
      <c r="H341" s="1" t="s">
        <v>18</v>
      </c>
    </row>
    <row r="342" spans="1:8">
      <c r="A342" s="1">
        <v>341</v>
      </c>
      <c r="B342" s="1" t="s">
        <v>5387</v>
      </c>
      <c r="C342" s="1" t="s">
        <v>166</v>
      </c>
      <c r="D342" s="1" t="s">
        <v>2403</v>
      </c>
      <c r="E342" s="1" t="s">
        <v>2410</v>
      </c>
      <c r="F342" s="1" t="s">
        <v>660</v>
      </c>
      <c r="G342" s="1" t="s">
        <v>661</v>
      </c>
      <c r="H342" s="1" t="s">
        <v>18</v>
      </c>
    </row>
    <row r="343" spans="1:8">
      <c r="A343" s="1">
        <v>342</v>
      </c>
      <c r="B343" s="1" t="s">
        <v>5387</v>
      </c>
      <c r="C343" s="1" t="s">
        <v>170</v>
      </c>
      <c r="D343" s="1" t="s">
        <v>2403</v>
      </c>
      <c r="E343" s="1" t="s">
        <v>2412</v>
      </c>
      <c r="F343" s="1" t="s">
        <v>630</v>
      </c>
      <c r="G343" s="1" t="s">
        <v>631</v>
      </c>
      <c r="H343" s="1" t="s">
        <v>18</v>
      </c>
    </row>
    <row r="344" spans="1:8">
      <c r="A344" s="1">
        <v>343</v>
      </c>
      <c r="B344" s="1" t="s">
        <v>5388</v>
      </c>
      <c r="C344" s="1" t="s">
        <v>153</v>
      </c>
      <c r="D344" s="1" t="s">
        <v>2414</v>
      </c>
      <c r="E344" s="1" t="s">
        <v>2415</v>
      </c>
      <c r="F344" s="1" t="s">
        <v>688</v>
      </c>
      <c r="G344" s="1" t="s">
        <v>689</v>
      </c>
      <c r="H344" s="1" t="s">
        <v>18</v>
      </c>
    </row>
    <row r="345" spans="1:8">
      <c r="A345" s="1">
        <v>344</v>
      </c>
      <c r="B345" s="1" t="s">
        <v>5388</v>
      </c>
      <c r="C345" s="1" t="s">
        <v>158</v>
      </c>
      <c r="D345" s="1" t="s">
        <v>2414</v>
      </c>
      <c r="E345" s="1" t="s">
        <v>2417</v>
      </c>
      <c r="F345" s="1" t="s">
        <v>669</v>
      </c>
      <c r="G345" s="1" t="s">
        <v>670</v>
      </c>
      <c r="H345" s="1" t="s">
        <v>18</v>
      </c>
    </row>
    <row r="346" spans="1:8">
      <c r="A346" s="1">
        <v>345</v>
      </c>
      <c r="B346" s="1" t="s">
        <v>5388</v>
      </c>
      <c r="C346" s="1" t="s">
        <v>162</v>
      </c>
      <c r="D346" s="1" t="s">
        <v>2414</v>
      </c>
      <c r="E346" s="1" t="s">
        <v>2419</v>
      </c>
      <c r="F346" s="1" t="s">
        <v>660</v>
      </c>
      <c r="G346" s="1" t="s">
        <v>661</v>
      </c>
      <c r="H346" s="1" t="s">
        <v>18</v>
      </c>
    </row>
    <row r="347" spans="1:8">
      <c r="A347" s="1">
        <v>346</v>
      </c>
      <c r="B347" s="1" t="s">
        <v>5388</v>
      </c>
      <c r="C347" s="1" t="s">
        <v>166</v>
      </c>
      <c r="D347" s="1" t="s">
        <v>2414</v>
      </c>
      <c r="E347" s="1" t="s">
        <v>2421</v>
      </c>
      <c r="F347" s="1" t="s">
        <v>665</v>
      </c>
      <c r="G347" s="1" t="s">
        <v>666</v>
      </c>
      <c r="H347" s="1" t="s">
        <v>18</v>
      </c>
    </row>
    <row r="348" spans="1:8">
      <c r="A348" s="1">
        <v>347</v>
      </c>
      <c r="B348" s="1" t="s">
        <v>5388</v>
      </c>
      <c r="C348" s="1" t="s">
        <v>170</v>
      </c>
      <c r="D348" s="1" t="s">
        <v>2414</v>
      </c>
      <c r="E348" s="1" t="s">
        <v>2423</v>
      </c>
      <c r="F348" s="1" t="s">
        <v>630</v>
      </c>
      <c r="G348" s="1" t="s">
        <v>631</v>
      </c>
      <c r="H348" s="1" t="s">
        <v>18</v>
      </c>
    </row>
    <row r="349" spans="1:8">
      <c r="A349" s="1">
        <v>348</v>
      </c>
      <c r="B349" s="1" t="s">
        <v>5389</v>
      </c>
      <c r="C349" s="1" t="s">
        <v>153</v>
      </c>
      <c r="D349" s="1" t="s">
        <v>2425</v>
      </c>
      <c r="E349" s="1" t="s">
        <v>2426</v>
      </c>
      <c r="F349" s="1" t="s">
        <v>688</v>
      </c>
      <c r="G349" s="1" t="s">
        <v>689</v>
      </c>
      <c r="H349" s="1" t="s">
        <v>18</v>
      </c>
    </row>
    <row r="350" spans="1:8">
      <c r="A350" s="1">
        <v>349</v>
      </c>
      <c r="B350" s="1" t="s">
        <v>5389</v>
      </c>
      <c r="C350" s="1" t="s">
        <v>158</v>
      </c>
      <c r="D350" s="1" t="s">
        <v>2425</v>
      </c>
      <c r="E350" s="1" t="s">
        <v>2428</v>
      </c>
      <c r="F350" s="1" t="s">
        <v>669</v>
      </c>
      <c r="G350" s="1" t="s">
        <v>670</v>
      </c>
      <c r="H350" s="1" t="s">
        <v>18</v>
      </c>
    </row>
    <row r="351" spans="1:8">
      <c r="A351" s="1">
        <v>350</v>
      </c>
      <c r="B351" s="1" t="s">
        <v>5389</v>
      </c>
      <c r="C351" s="1" t="s">
        <v>162</v>
      </c>
      <c r="D351" s="1" t="s">
        <v>2425</v>
      </c>
      <c r="E351" s="1" t="s">
        <v>2430</v>
      </c>
      <c r="F351" s="1" t="s">
        <v>660</v>
      </c>
      <c r="G351" s="1" t="s">
        <v>661</v>
      </c>
      <c r="H351" s="1" t="s">
        <v>18</v>
      </c>
    </row>
    <row r="352" spans="1:8">
      <c r="A352" s="1">
        <v>351</v>
      </c>
      <c r="B352" s="1" t="s">
        <v>5389</v>
      </c>
      <c r="C352" s="1" t="s">
        <v>166</v>
      </c>
      <c r="D352" s="1" t="s">
        <v>2425</v>
      </c>
      <c r="E352" s="1" t="s">
        <v>2432</v>
      </c>
      <c r="F352" s="1" t="s">
        <v>665</v>
      </c>
      <c r="G352" s="1" t="s">
        <v>666</v>
      </c>
      <c r="H352" s="1" t="s">
        <v>18</v>
      </c>
    </row>
    <row r="353" spans="1:8">
      <c r="A353" s="1">
        <v>352</v>
      </c>
      <c r="B353" s="1" t="s">
        <v>5389</v>
      </c>
      <c r="C353" s="1" t="s">
        <v>170</v>
      </c>
      <c r="D353" s="1" t="s">
        <v>2425</v>
      </c>
      <c r="E353" s="1" t="s">
        <v>2434</v>
      </c>
      <c r="F353" s="1" t="s">
        <v>630</v>
      </c>
      <c r="G353" s="1" t="s">
        <v>631</v>
      </c>
      <c r="H353" s="1" t="s">
        <v>18</v>
      </c>
    </row>
    <row r="354" spans="1:8">
      <c r="A354" s="1">
        <v>353</v>
      </c>
      <c r="B354" s="1" t="s">
        <v>5390</v>
      </c>
      <c r="C354" s="1" t="s">
        <v>58</v>
      </c>
      <c r="D354" s="1" t="s">
        <v>2448</v>
      </c>
      <c r="E354" s="1" t="s">
        <v>421</v>
      </c>
      <c r="F354" s="1" t="s">
        <v>422</v>
      </c>
      <c r="G354" s="1" t="s">
        <v>423</v>
      </c>
      <c r="H354" s="1" t="s">
        <v>18</v>
      </c>
    </row>
    <row r="355" spans="1:8">
      <c r="A355" s="1">
        <v>354</v>
      </c>
      <c r="B355" s="1" t="s">
        <v>5390</v>
      </c>
      <c r="C355" s="1" t="s">
        <v>63</v>
      </c>
      <c r="D355" s="1" t="s">
        <v>2448</v>
      </c>
      <c r="E355" s="1" t="s">
        <v>415</v>
      </c>
      <c r="F355" s="1" t="s">
        <v>416</v>
      </c>
      <c r="G355" s="1" t="s">
        <v>417</v>
      </c>
      <c r="H355" s="1" t="s">
        <v>18</v>
      </c>
    </row>
    <row r="356" spans="1:8">
      <c r="A356" s="1">
        <v>355</v>
      </c>
      <c r="B356" s="1" t="s">
        <v>5390</v>
      </c>
      <c r="C356" s="1" t="s">
        <v>67</v>
      </c>
      <c r="D356" s="1" t="s">
        <v>2448</v>
      </c>
      <c r="E356" s="1" t="s">
        <v>418</v>
      </c>
      <c r="F356" s="1" t="s">
        <v>419</v>
      </c>
      <c r="G356" s="1" t="s">
        <v>420</v>
      </c>
      <c r="H356" s="1" t="s">
        <v>18</v>
      </c>
    </row>
    <row r="357" spans="1:8">
      <c r="A357" s="1">
        <v>356</v>
      </c>
      <c r="B357" s="1" t="s">
        <v>5390</v>
      </c>
      <c r="C357" s="1" t="s">
        <v>71</v>
      </c>
      <c r="D357" s="1" t="s">
        <v>2448</v>
      </c>
      <c r="E357" s="1" t="s">
        <v>4391</v>
      </c>
      <c r="F357" s="1" t="s">
        <v>425</v>
      </c>
      <c r="G357" s="1" t="s">
        <v>426</v>
      </c>
      <c r="H357" s="1" t="s">
        <v>18</v>
      </c>
    </row>
    <row r="358" spans="1:8">
      <c r="A358" s="1">
        <v>357</v>
      </c>
      <c r="B358" s="1" t="s">
        <v>5391</v>
      </c>
      <c r="C358" s="1" t="s">
        <v>58</v>
      </c>
      <c r="D358" s="1" t="s">
        <v>2454</v>
      </c>
      <c r="E358" s="1" t="s">
        <v>5014</v>
      </c>
      <c r="F358" s="1" t="s">
        <v>422</v>
      </c>
      <c r="G358" s="1" t="s">
        <v>423</v>
      </c>
      <c r="H358" s="1" t="s">
        <v>18</v>
      </c>
    </row>
    <row r="359" spans="1:8">
      <c r="A359" s="1">
        <v>358</v>
      </c>
      <c r="B359" s="1" t="s">
        <v>5391</v>
      </c>
      <c r="C359" s="1" t="s">
        <v>63</v>
      </c>
      <c r="D359" s="1" t="s">
        <v>2454</v>
      </c>
      <c r="E359" s="1" t="s">
        <v>5392</v>
      </c>
      <c r="F359" s="1" t="s">
        <v>416</v>
      </c>
      <c r="G359" s="1" t="s">
        <v>417</v>
      </c>
      <c r="H359" s="1" t="s">
        <v>18</v>
      </c>
    </row>
    <row r="360" spans="1:8">
      <c r="A360" s="1">
        <v>359</v>
      </c>
      <c r="B360" s="1" t="s">
        <v>5391</v>
      </c>
      <c r="C360" s="1" t="s">
        <v>67</v>
      </c>
      <c r="D360" s="1" t="s">
        <v>2454</v>
      </c>
      <c r="E360" s="1" t="s">
        <v>5393</v>
      </c>
      <c r="F360" s="1" t="s">
        <v>419</v>
      </c>
      <c r="G360" s="1" t="s">
        <v>420</v>
      </c>
      <c r="H360" s="1" t="s">
        <v>18</v>
      </c>
    </row>
    <row r="361" spans="1:8">
      <c r="A361" s="1">
        <v>360</v>
      </c>
      <c r="B361" s="1" t="s">
        <v>5391</v>
      </c>
      <c r="C361" s="1" t="s">
        <v>71</v>
      </c>
      <c r="D361" s="1" t="s">
        <v>2454</v>
      </c>
      <c r="E361" s="1" t="s">
        <v>5016</v>
      </c>
      <c r="F361" s="1" t="s">
        <v>425</v>
      </c>
      <c r="G361" s="1" t="s">
        <v>426</v>
      </c>
      <c r="H361" s="1" t="s">
        <v>18</v>
      </c>
    </row>
    <row r="362" spans="1:8">
      <c r="A362" s="1">
        <v>361</v>
      </c>
      <c r="B362" s="1" t="s">
        <v>5394</v>
      </c>
      <c r="C362" s="1" t="s">
        <v>153</v>
      </c>
      <c r="D362" s="1" t="s">
        <v>2463</v>
      </c>
      <c r="E362" s="1" t="s">
        <v>2187</v>
      </c>
      <c r="F362" s="1" t="s">
        <v>2465</v>
      </c>
      <c r="G362" s="1" t="s">
        <v>2466</v>
      </c>
      <c r="H362" s="1" t="s">
        <v>18</v>
      </c>
    </row>
    <row r="363" spans="1:8">
      <c r="A363" s="1">
        <v>362</v>
      </c>
      <c r="B363" s="1" t="s">
        <v>5394</v>
      </c>
      <c r="C363" s="1" t="s">
        <v>158</v>
      </c>
      <c r="D363" s="1" t="s">
        <v>2463</v>
      </c>
      <c r="E363" s="1" t="s">
        <v>2191</v>
      </c>
      <c r="F363" s="1" t="s">
        <v>2469</v>
      </c>
      <c r="G363" s="1" t="s">
        <v>2470</v>
      </c>
      <c r="H363" s="1" t="s">
        <v>18</v>
      </c>
    </row>
    <row r="364" spans="1:8">
      <c r="A364" s="1">
        <v>363</v>
      </c>
      <c r="B364" s="1" t="s">
        <v>5394</v>
      </c>
      <c r="C364" s="1" t="s">
        <v>162</v>
      </c>
      <c r="D364" s="1" t="s">
        <v>2463</v>
      </c>
      <c r="E364" s="1" t="s">
        <v>2195</v>
      </c>
      <c r="F364" s="1" t="s">
        <v>2473</v>
      </c>
      <c r="G364" s="1" t="s">
        <v>2474</v>
      </c>
      <c r="H364" s="1" t="s">
        <v>18</v>
      </c>
    </row>
    <row r="365" spans="1:8">
      <c r="A365" s="1">
        <v>364</v>
      </c>
      <c r="B365" s="1" t="s">
        <v>5394</v>
      </c>
      <c r="C365" s="1" t="s">
        <v>166</v>
      </c>
      <c r="D365" s="1" t="s">
        <v>2463</v>
      </c>
      <c r="E365" s="1" t="s">
        <v>2199</v>
      </c>
      <c r="F365" s="1" t="s">
        <v>2477</v>
      </c>
      <c r="G365" s="1" t="s">
        <v>2478</v>
      </c>
      <c r="H365" s="1" t="s">
        <v>18</v>
      </c>
    </row>
    <row r="366" spans="1:8">
      <c r="A366" s="1">
        <v>365</v>
      </c>
      <c r="B366" s="1" t="s">
        <v>5394</v>
      </c>
      <c r="C366" s="1" t="s">
        <v>170</v>
      </c>
      <c r="D366" s="1" t="s">
        <v>2463</v>
      </c>
      <c r="E366" s="1" t="s">
        <v>4232</v>
      </c>
      <c r="F366" s="1" t="s">
        <v>2481</v>
      </c>
      <c r="G366" s="1" t="s">
        <v>2482</v>
      </c>
      <c r="H366" s="1" t="s">
        <v>18</v>
      </c>
    </row>
    <row r="367" spans="1:8">
      <c r="A367" s="1">
        <v>366</v>
      </c>
      <c r="B367" s="1" t="s">
        <v>5395</v>
      </c>
      <c r="C367" s="1" t="s">
        <v>9</v>
      </c>
      <c r="D367" s="1" t="s">
        <v>2484</v>
      </c>
      <c r="E367" s="1" t="s">
        <v>2485</v>
      </c>
      <c r="F367" s="1" t="s">
        <v>21</v>
      </c>
      <c r="G367" s="1" t="s">
        <v>22</v>
      </c>
      <c r="H367" s="1" t="s">
        <v>18</v>
      </c>
    </row>
    <row r="368" spans="1:8">
      <c r="A368" s="1">
        <v>367</v>
      </c>
      <c r="B368" s="1" t="s">
        <v>5395</v>
      </c>
      <c r="C368" s="1" t="s">
        <v>14</v>
      </c>
      <c r="D368" s="1" t="s">
        <v>2484</v>
      </c>
      <c r="E368" s="1" t="s">
        <v>2487</v>
      </c>
      <c r="F368" s="1" t="s">
        <v>630</v>
      </c>
      <c r="G368" s="1" t="s">
        <v>631</v>
      </c>
      <c r="H368" s="1" t="s">
        <v>18</v>
      </c>
    </row>
    <row r="369" spans="1:8">
      <c r="A369" s="1">
        <v>368</v>
      </c>
      <c r="B369" s="1" t="s">
        <v>5395</v>
      </c>
      <c r="C369" s="1" t="s">
        <v>19</v>
      </c>
      <c r="D369" s="1" t="s">
        <v>2484</v>
      </c>
      <c r="E369" s="1" t="s">
        <v>2489</v>
      </c>
      <c r="F369" s="1" t="s">
        <v>627</v>
      </c>
      <c r="G369" s="1" t="s">
        <v>628</v>
      </c>
      <c r="H369" s="1" t="s">
        <v>18</v>
      </c>
    </row>
    <row r="370" spans="1:8">
      <c r="A370" s="1">
        <v>369</v>
      </c>
      <c r="B370" s="1" t="s">
        <v>5396</v>
      </c>
      <c r="C370" s="1" t="s">
        <v>44</v>
      </c>
      <c r="D370" s="1" t="s">
        <v>2491</v>
      </c>
      <c r="E370" s="1" t="s">
        <v>1307</v>
      </c>
      <c r="F370" s="1" t="s">
        <v>248</v>
      </c>
      <c r="G370" s="1" t="s">
        <v>249</v>
      </c>
      <c r="H370" s="1" t="s">
        <v>18</v>
      </c>
    </row>
    <row r="371" spans="1:8">
      <c r="A371" s="1">
        <v>370</v>
      </c>
      <c r="B371" s="1" t="s">
        <v>5396</v>
      </c>
      <c r="C371" s="1" t="s">
        <v>49</v>
      </c>
      <c r="D371" s="1" t="s">
        <v>2491</v>
      </c>
      <c r="E371" s="1" t="s">
        <v>1310</v>
      </c>
      <c r="F371" s="1" t="s">
        <v>245</v>
      </c>
      <c r="G371" s="1" t="s">
        <v>246</v>
      </c>
      <c r="H371" s="1" t="s">
        <v>18</v>
      </c>
    </row>
    <row r="372" spans="1:8">
      <c r="A372" s="1">
        <v>371</v>
      </c>
      <c r="B372" s="1" t="s">
        <v>5397</v>
      </c>
      <c r="C372" s="1" t="s">
        <v>44</v>
      </c>
      <c r="D372" s="1" t="s">
        <v>2494</v>
      </c>
      <c r="E372" s="1" t="s">
        <v>1316</v>
      </c>
      <c r="F372" s="1" t="s">
        <v>248</v>
      </c>
      <c r="G372" s="1" t="s">
        <v>249</v>
      </c>
      <c r="H372" s="1" t="s">
        <v>18</v>
      </c>
    </row>
    <row r="373" spans="1:8">
      <c r="A373" s="1">
        <v>372</v>
      </c>
      <c r="B373" s="1" t="s">
        <v>5397</v>
      </c>
      <c r="C373" s="1" t="s">
        <v>49</v>
      </c>
      <c r="D373" s="1" t="s">
        <v>2494</v>
      </c>
      <c r="E373" s="1" t="s">
        <v>1319</v>
      </c>
      <c r="F373" s="1" t="s">
        <v>245</v>
      </c>
      <c r="G373" s="1" t="s">
        <v>246</v>
      </c>
      <c r="H373" s="1" t="s">
        <v>18</v>
      </c>
    </row>
    <row r="374" spans="1:8">
      <c r="A374" s="1">
        <v>373</v>
      </c>
      <c r="B374" s="1" t="s">
        <v>5398</v>
      </c>
      <c r="C374" s="1" t="s">
        <v>58</v>
      </c>
      <c r="D374" s="1" t="s">
        <v>2497</v>
      </c>
      <c r="E374" s="1" t="s">
        <v>1110</v>
      </c>
      <c r="F374" s="1" t="s">
        <v>12</v>
      </c>
      <c r="G374" s="1" t="s">
        <v>13</v>
      </c>
      <c r="H374" s="1" t="s">
        <v>18</v>
      </c>
    </row>
    <row r="375" spans="1:8">
      <c r="A375" s="1">
        <v>374</v>
      </c>
      <c r="B375" s="1" t="s">
        <v>5398</v>
      </c>
      <c r="C375" s="1" t="s">
        <v>63</v>
      </c>
      <c r="D375" s="1" t="s">
        <v>2497</v>
      </c>
      <c r="E375" s="1" t="s">
        <v>1116</v>
      </c>
      <c r="F375" s="1" t="s">
        <v>839</v>
      </c>
      <c r="G375" s="1" t="s">
        <v>840</v>
      </c>
      <c r="H375" s="1" t="s">
        <v>18</v>
      </c>
    </row>
    <row r="376" spans="1:8">
      <c r="A376" s="1">
        <v>375</v>
      </c>
      <c r="B376" s="1" t="s">
        <v>5398</v>
      </c>
      <c r="C376" s="1" t="s">
        <v>67</v>
      </c>
      <c r="D376" s="1" t="s">
        <v>2497</v>
      </c>
      <c r="E376" s="1" t="s">
        <v>2500</v>
      </c>
      <c r="F376" s="1" t="s">
        <v>21</v>
      </c>
      <c r="G376" s="1" t="s">
        <v>22</v>
      </c>
      <c r="H376" s="1" t="s">
        <v>18</v>
      </c>
    </row>
    <row r="377" spans="1:8">
      <c r="A377" s="1">
        <v>376</v>
      </c>
      <c r="B377" s="1" t="s">
        <v>5398</v>
      </c>
      <c r="C377" s="1" t="s">
        <v>71</v>
      </c>
      <c r="D377" s="1" t="s">
        <v>2497</v>
      </c>
      <c r="E377" s="1" t="s">
        <v>1113</v>
      </c>
      <c r="F377" s="1" t="s">
        <v>836</v>
      </c>
      <c r="G377" s="1" t="s">
        <v>837</v>
      </c>
      <c r="H377" s="1" t="s">
        <v>18</v>
      </c>
    </row>
    <row r="378" spans="1:8">
      <c r="A378" s="1">
        <v>377</v>
      </c>
      <c r="B378" s="1" t="s">
        <v>5399</v>
      </c>
      <c r="C378" s="1" t="s">
        <v>58</v>
      </c>
      <c r="D378" s="1" t="s">
        <v>2503</v>
      </c>
      <c r="E378" s="1" t="s">
        <v>1165</v>
      </c>
      <c r="F378" s="1" t="s">
        <v>12</v>
      </c>
      <c r="G378" s="1" t="s">
        <v>13</v>
      </c>
      <c r="H378" s="1" t="s">
        <v>18</v>
      </c>
    </row>
    <row r="379" spans="1:8">
      <c r="A379" s="1">
        <v>378</v>
      </c>
      <c r="B379" s="1" t="s">
        <v>5399</v>
      </c>
      <c r="C379" s="1" t="s">
        <v>63</v>
      </c>
      <c r="D379" s="1" t="s">
        <v>2503</v>
      </c>
      <c r="E379" s="1" t="s">
        <v>1171</v>
      </c>
      <c r="F379" s="1" t="s">
        <v>839</v>
      </c>
      <c r="G379" s="1" t="s">
        <v>840</v>
      </c>
      <c r="H379" s="1" t="s">
        <v>18</v>
      </c>
    </row>
    <row r="380" spans="1:8">
      <c r="A380" s="1">
        <v>379</v>
      </c>
      <c r="B380" s="1" t="s">
        <v>5399</v>
      </c>
      <c r="C380" s="1" t="s">
        <v>67</v>
      </c>
      <c r="D380" s="1" t="s">
        <v>2503</v>
      </c>
      <c r="E380" s="1" t="s">
        <v>2506</v>
      </c>
      <c r="F380" s="1" t="s">
        <v>21</v>
      </c>
      <c r="G380" s="1" t="s">
        <v>22</v>
      </c>
      <c r="H380" s="1" t="s">
        <v>18</v>
      </c>
    </row>
    <row r="381" spans="1:8">
      <c r="A381" s="1">
        <v>380</v>
      </c>
      <c r="B381" s="1" t="s">
        <v>5399</v>
      </c>
      <c r="C381" s="1" t="s">
        <v>71</v>
      </c>
      <c r="D381" s="1" t="s">
        <v>2503</v>
      </c>
      <c r="E381" s="1" t="s">
        <v>1168</v>
      </c>
      <c r="F381" s="1" t="s">
        <v>836</v>
      </c>
      <c r="G381" s="1" t="s">
        <v>837</v>
      </c>
      <c r="H381" s="1" t="s">
        <v>18</v>
      </c>
    </row>
    <row r="382" spans="1:8">
      <c r="A382" s="1">
        <v>381</v>
      </c>
      <c r="B382" s="1" t="s">
        <v>5400</v>
      </c>
      <c r="C382" s="1" t="s">
        <v>58</v>
      </c>
      <c r="D382" s="1" t="s">
        <v>2509</v>
      </c>
      <c r="E382" s="1" t="s">
        <v>1125</v>
      </c>
      <c r="F382" s="1" t="s">
        <v>12</v>
      </c>
      <c r="G382" s="1" t="s">
        <v>13</v>
      </c>
      <c r="H382" s="1" t="s">
        <v>18</v>
      </c>
    </row>
    <row r="383" spans="1:8">
      <c r="A383" s="1">
        <v>382</v>
      </c>
      <c r="B383" s="1" t="s">
        <v>5400</v>
      </c>
      <c r="C383" s="1" t="s">
        <v>63</v>
      </c>
      <c r="D383" s="1" t="s">
        <v>2509</v>
      </c>
      <c r="E383" s="1" t="s">
        <v>1176</v>
      </c>
      <c r="F383" s="1" t="s">
        <v>839</v>
      </c>
      <c r="G383" s="1" t="s">
        <v>840</v>
      </c>
      <c r="H383" s="1" t="s">
        <v>18</v>
      </c>
    </row>
    <row r="384" spans="1:8">
      <c r="A384" s="1">
        <v>383</v>
      </c>
      <c r="B384" s="1" t="s">
        <v>5400</v>
      </c>
      <c r="C384" s="1" t="s">
        <v>67</v>
      </c>
      <c r="D384" s="1" t="s">
        <v>2509</v>
      </c>
      <c r="E384" s="1" t="s">
        <v>2512</v>
      </c>
      <c r="F384" s="1" t="s">
        <v>21</v>
      </c>
      <c r="G384" s="1" t="s">
        <v>22</v>
      </c>
      <c r="H384" s="1" t="s">
        <v>18</v>
      </c>
    </row>
    <row r="385" spans="1:8">
      <c r="A385" s="1">
        <v>384</v>
      </c>
      <c r="B385" s="1" t="s">
        <v>5400</v>
      </c>
      <c r="C385" s="1" t="s">
        <v>71</v>
      </c>
      <c r="D385" s="1" t="s">
        <v>2509</v>
      </c>
      <c r="E385" s="1" t="s">
        <v>2514</v>
      </c>
      <c r="F385" s="1" t="s">
        <v>836</v>
      </c>
      <c r="G385" s="1" t="s">
        <v>837</v>
      </c>
      <c r="H385" s="1" t="s">
        <v>18</v>
      </c>
    </row>
    <row r="386" spans="1:8">
      <c r="A386" s="1">
        <v>385</v>
      </c>
      <c r="B386" s="1" t="s">
        <v>5401</v>
      </c>
      <c r="C386" s="1" t="s">
        <v>58</v>
      </c>
      <c r="D386" s="1" t="s">
        <v>2516</v>
      </c>
      <c r="E386" s="1" t="s">
        <v>1185</v>
      </c>
      <c r="F386" s="1" t="s">
        <v>12</v>
      </c>
      <c r="G386" s="1" t="s">
        <v>13</v>
      </c>
      <c r="H386" s="1" t="s">
        <v>18</v>
      </c>
    </row>
    <row r="387" spans="1:8">
      <c r="A387" s="1">
        <v>386</v>
      </c>
      <c r="B387" s="1" t="s">
        <v>5401</v>
      </c>
      <c r="C387" s="1" t="s">
        <v>63</v>
      </c>
      <c r="D387" s="1" t="s">
        <v>2516</v>
      </c>
      <c r="E387" s="1" t="s">
        <v>1191</v>
      </c>
      <c r="F387" s="1" t="s">
        <v>839</v>
      </c>
      <c r="G387" s="1" t="s">
        <v>840</v>
      </c>
      <c r="H387" s="1" t="s">
        <v>18</v>
      </c>
    </row>
    <row r="388" spans="1:8">
      <c r="A388" s="1">
        <v>387</v>
      </c>
      <c r="B388" s="1" t="s">
        <v>5401</v>
      </c>
      <c r="C388" s="1" t="s">
        <v>67</v>
      </c>
      <c r="D388" s="1" t="s">
        <v>2516</v>
      </c>
      <c r="E388" s="1" t="s">
        <v>2519</v>
      </c>
      <c r="F388" s="1" t="s">
        <v>21</v>
      </c>
      <c r="G388" s="1" t="s">
        <v>22</v>
      </c>
      <c r="H388" s="1" t="s">
        <v>18</v>
      </c>
    </row>
    <row r="389" spans="1:8">
      <c r="A389" s="1">
        <v>388</v>
      </c>
      <c r="B389" s="1" t="s">
        <v>5401</v>
      </c>
      <c r="C389" s="1" t="s">
        <v>71</v>
      </c>
      <c r="D389" s="1" t="s">
        <v>2516</v>
      </c>
      <c r="E389" s="1" t="s">
        <v>1188</v>
      </c>
      <c r="F389" s="1" t="s">
        <v>836</v>
      </c>
      <c r="G389" s="1" t="s">
        <v>837</v>
      </c>
      <c r="H389" s="1" t="s">
        <v>18</v>
      </c>
    </row>
    <row r="390" spans="1:8">
      <c r="A390" s="1">
        <v>389</v>
      </c>
      <c r="B390" s="1" t="s">
        <v>5402</v>
      </c>
      <c r="C390" s="1" t="s">
        <v>58</v>
      </c>
      <c r="D390" s="1" t="s">
        <v>2522</v>
      </c>
      <c r="E390" s="1" t="s">
        <v>1199</v>
      </c>
      <c r="F390" s="1" t="s">
        <v>12</v>
      </c>
      <c r="G390" s="1" t="s">
        <v>13</v>
      </c>
      <c r="H390" s="1" t="s">
        <v>18</v>
      </c>
    </row>
    <row r="391" spans="1:8">
      <c r="A391" s="1">
        <v>390</v>
      </c>
      <c r="B391" s="1" t="s">
        <v>5402</v>
      </c>
      <c r="C391" s="1" t="s">
        <v>63</v>
      </c>
      <c r="D391" s="1" t="s">
        <v>2522</v>
      </c>
      <c r="E391" s="1" t="s">
        <v>1205</v>
      </c>
      <c r="F391" s="1" t="s">
        <v>839</v>
      </c>
      <c r="G391" s="1" t="s">
        <v>840</v>
      </c>
      <c r="H391" s="1" t="s">
        <v>18</v>
      </c>
    </row>
    <row r="392" spans="1:8">
      <c r="A392" s="1">
        <v>391</v>
      </c>
      <c r="B392" s="1" t="s">
        <v>5402</v>
      </c>
      <c r="C392" s="1" t="s">
        <v>67</v>
      </c>
      <c r="D392" s="1" t="s">
        <v>2522</v>
      </c>
      <c r="E392" s="1" t="s">
        <v>2525</v>
      </c>
      <c r="F392" s="1" t="s">
        <v>21</v>
      </c>
      <c r="G392" s="1" t="s">
        <v>22</v>
      </c>
      <c r="H392" s="1" t="s">
        <v>18</v>
      </c>
    </row>
    <row r="393" spans="1:8">
      <c r="A393" s="1">
        <v>392</v>
      </c>
      <c r="B393" s="1" t="s">
        <v>5402</v>
      </c>
      <c r="C393" s="1" t="s">
        <v>71</v>
      </c>
      <c r="D393" s="1" t="s">
        <v>2522</v>
      </c>
      <c r="E393" s="1" t="s">
        <v>1202</v>
      </c>
      <c r="F393" s="1" t="s">
        <v>836</v>
      </c>
      <c r="G393" s="1" t="s">
        <v>837</v>
      </c>
      <c r="H393" s="1" t="s">
        <v>18</v>
      </c>
    </row>
    <row r="394" spans="1:8">
      <c r="A394" s="1">
        <v>393</v>
      </c>
      <c r="B394" s="1" t="s">
        <v>5403</v>
      </c>
      <c r="C394" s="1" t="s">
        <v>58</v>
      </c>
      <c r="D394" s="1" t="s">
        <v>2528</v>
      </c>
      <c r="E394" s="1" t="s">
        <v>704</v>
      </c>
      <c r="F394" s="1" t="s">
        <v>12</v>
      </c>
      <c r="G394" s="1" t="s">
        <v>13</v>
      </c>
      <c r="H394" s="1" t="s">
        <v>18</v>
      </c>
    </row>
    <row r="395" spans="1:8">
      <c r="A395" s="1">
        <v>394</v>
      </c>
      <c r="B395" s="1" t="s">
        <v>5403</v>
      </c>
      <c r="C395" s="1" t="s">
        <v>63</v>
      </c>
      <c r="D395" s="1" t="s">
        <v>2528</v>
      </c>
      <c r="E395" s="1" t="s">
        <v>606</v>
      </c>
      <c r="F395" s="1" t="s">
        <v>839</v>
      </c>
      <c r="G395" s="1" t="s">
        <v>840</v>
      </c>
      <c r="H395" s="1" t="s">
        <v>18</v>
      </c>
    </row>
    <row r="396" spans="1:8">
      <c r="A396" s="1">
        <v>395</v>
      </c>
      <c r="B396" s="1" t="s">
        <v>5403</v>
      </c>
      <c r="C396" s="1" t="s">
        <v>67</v>
      </c>
      <c r="D396" s="1" t="s">
        <v>2528</v>
      </c>
      <c r="E396" s="1" t="s">
        <v>2531</v>
      </c>
      <c r="F396" s="1" t="s">
        <v>21</v>
      </c>
      <c r="G396" s="1" t="s">
        <v>22</v>
      </c>
      <c r="H396" s="1" t="s">
        <v>18</v>
      </c>
    </row>
    <row r="397" spans="1:8">
      <c r="A397" s="1">
        <v>396</v>
      </c>
      <c r="B397" s="1" t="s">
        <v>5403</v>
      </c>
      <c r="C397" s="1" t="s">
        <v>71</v>
      </c>
      <c r="D397" s="1" t="s">
        <v>2528</v>
      </c>
      <c r="E397" s="1" t="s">
        <v>1295</v>
      </c>
      <c r="F397" s="1" t="s">
        <v>836</v>
      </c>
      <c r="G397" s="1" t="s">
        <v>837</v>
      </c>
      <c r="H397" s="1" t="s">
        <v>18</v>
      </c>
    </row>
    <row r="398" spans="1:8">
      <c r="A398" s="1">
        <v>397</v>
      </c>
      <c r="B398" s="1" t="s">
        <v>5404</v>
      </c>
      <c r="C398" s="1" t="s">
        <v>58</v>
      </c>
      <c r="D398" s="1" t="s">
        <v>2534</v>
      </c>
      <c r="E398" s="1" t="s">
        <v>1214</v>
      </c>
      <c r="F398" s="1" t="s">
        <v>12</v>
      </c>
      <c r="G398" s="1" t="s">
        <v>13</v>
      </c>
      <c r="H398" s="1" t="s">
        <v>18</v>
      </c>
    </row>
    <row r="399" spans="1:8">
      <c r="A399" s="1">
        <v>398</v>
      </c>
      <c r="B399" s="1" t="s">
        <v>5404</v>
      </c>
      <c r="C399" s="1" t="s">
        <v>63</v>
      </c>
      <c r="D399" s="1" t="s">
        <v>2534</v>
      </c>
      <c r="E399" s="1" t="s">
        <v>2536</v>
      </c>
      <c r="F399" s="1" t="s">
        <v>839</v>
      </c>
      <c r="G399" s="1" t="s">
        <v>840</v>
      </c>
      <c r="H399" s="1" t="s">
        <v>18</v>
      </c>
    </row>
    <row r="400" spans="1:8">
      <c r="A400" s="1">
        <v>399</v>
      </c>
      <c r="B400" s="1" t="s">
        <v>5404</v>
      </c>
      <c r="C400" s="1" t="s">
        <v>67</v>
      </c>
      <c r="D400" s="1" t="s">
        <v>2534</v>
      </c>
      <c r="E400" s="1" t="s">
        <v>2538</v>
      </c>
      <c r="F400" s="1" t="s">
        <v>21</v>
      </c>
      <c r="G400" s="1" t="s">
        <v>22</v>
      </c>
      <c r="H400" s="1" t="s">
        <v>18</v>
      </c>
    </row>
    <row r="401" spans="1:8">
      <c r="A401" s="1">
        <v>400</v>
      </c>
      <c r="B401" s="1" t="s">
        <v>5404</v>
      </c>
      <c r="C401" s="1" t="s">
        <v>71</v>
      </c>
      <c r="D401" s="1" t="s">
        <v>2534</v>
      </c>
      <c r="E401" s="1" t="s">
        <v>1217</v>
      </c>
      <c r="F401" s="1" t="s">
        <v>836</v>
      </c>
      <c r="G401" s="1" t="s">
        <v>837</v>
      </c>
      <c r="H401" s="1" t="s">
        <v>18</v>
      </c>
    </row>
    <row r="402" spans="1:8">
      <c r="A402" s="1">
        <v>401</v>
      </c>
      <c r="B402" s="1" t="s">
        <v>5405</v>
      </c>
      <c r="C402" s="1" t="s">
        <v>58</v>
      </c>
      <c r="D402" s="1" t="s">
        <v>2541</v>
      </c>
      <c r="E402" s="1" t="s">
        <v>2542</v>
      </c>
      <c r="F402" s="1" t="s">
        <v>12</v>
      </c>
      <c r="G402" s="1" t="s">
        <v>13</v>
      </c>
      <c r="H402" s="1" t="s">
        <v>18</v>
      </c>
    </row>
    <row r="403" spans="1:8">
      <c r="A403" s="1">
        <v>402</v>
      </c>
      <c r="B403" s="1" t="s">
        <v>5405</v>
      </c>
      <c r="C403" s="1" t="s">
        <v>63</v>
      </c>
      <c r="D403" s="1" t="s">
        <v>2541</v>
      </c>
      <c r="E403" s="1" t="s">
        <v>2544</v>
      </c>
      <c r="F403" s="1" t="s">
        <v>839</v>
      </c>
      <c r="G403" s="1" t="s">
        <v>840</v>
      </c>
      <c r="H403" s="1" t="s">
        <v>18</v>
      </c>
    </row>
    <row r="404" spans="1:8">
      <c r="A404" s="1">
        <v>403</v>
      </c>
      <c r="B404" s="1" t="s">
        <v>5405</v>
      </c>
      <c r="C404" s="1" t="s">
        <v>67</v>
      </c>
      <c r="D404" s="1" t="s">
        <v>2541</v>
      </c>
      <c r="E404" s="1" t="s">
        <v>2546</v>
      </c>
      <c r="F404" s="1" t="s">
        <v>21</v>
      </c>
      <c r="G404" s="1" t="s">
        <v>22</v>
      </c>
      <c r="H404" s="1" t="s">
        <v>18</v>
      </c>
    </row>
    <row r="405" spans="1:8">
      <c r="A405" s="1">
        <v>404</v>
      </c>
      <c r="B405" s="1" t="s">
        <v>5405</v>
      </c>
      <c r="C405" s="1" t="s">
        <v>71</v>
      </c>
      <c r="D405" s="1" t="s">
        <v>2541</v>
      </c>
      <c r="E405" s="1" t="s">
        <v>2548</v>
      </c>
      <c r="F405" s="1" t="s">
        <v>836</v>
      </c>
      <c r="G405" s="1" t="s">
        <v>837</v>
      </c>
      <c r="H405" s="1" t="s">
        <v>18</v>
      </c>
    </row>
    <row r="406" spans="1:8">
      <c r="A406" s="1">
        <v>405</v>
      </c>
      <c r="B406" s="1" t="s">
        <v>5406</v>
      </c>
      <c r="C406" s="1" t="s">
        <v>58</v>
      </c>
      <c r="D406" s="1" t="s">
        <v>2550</v>
      </c>
      <c r="E406" s="1" t="s">
        <v>2551</v>
      </c>
      <c r="F406" s="1" t="s">
        <v>12</v>
      </c>
      <c r="G406" s="1" t="s">
        <v>13</v>
      </c>
      <c r="H406" s="1" t="s">
        <v>18</v>
      </c>
    </row>
    <row r="407" spans="1:8">
      <c r="A407" s="1">
        <v>406</v>
      </c>
      <c r="B407" s="1" t="s">
        <v>5406</v>
      </c>
      <c r="C407" s="1" t="s">
        <v>63</v>
      </c>
      <c r="D407" s="1" t="s">
        <v>2550</v>
      </c>
      <c r="E407" s="1" t="s">
        <v>2553</v>
      </c>
      <c r="F407" s="1" t="s">
        <v>839</v>
      </c>
      <c r="G407" s="1" t="s">
        <v>840</v>
      </c>
      <c r="H407" s="1" t="s">
        <v>18</v>
      </c>
    </row>
    <row r="408" spans="1:8">
      <c r="A408" s="1">
        <v>407</v>
      </c>
      <c r="B408" s="1" t="s">
        <v>5406</v>
      </c>
      <c r="C408" s="1" t="s">
        <v>67</v>
      </c>
      <c r="D408" s="1" t="s">
        <v>2550</v>
      </c>
      <c r="E408" s="1" t="s">
        <v>2555</v>
      </c>
      <c r="F408" s="1" t="s">
        <v>21</v>
      </c>
      <c r="G408" s="1" t="s">
        <v>22</v>
      </c>
      <c r="H408" s="1" t="s">
        <v>18</v>
      </c>
    </row>
    <row r="409" spans="1:8">
      <c r="A409" s="1">
        <v>408</v>
      </c>
      <c r="B409" s="1" t="s">
        <v>5406</v>
      </c>
      <c r="C409" s="1" t="s">
        <v>71</v>
      </c>
      <c r="D409" s="1" t="s">
        <v>2550</v>
      </c>
      <c r="E409" s="1" t="s">
        <v>2557</v>
      </c>
      <c r="F409" s="1" t="s">
        <v>836</v>
      </c>
      <c r="G409" s="1" t="s">
        <v>837</v>
      </c>
      <c r="H409" s="1" t="s">
        <v>18</v>
      </c>
    </row>
    <row r="410" spans="1:8">
      <c r="A410" s="1">
        <v>409</v>
      </c>
      <c r="B410" s="1" t="s">
        <v>5407</v>
      </c>
      <c r="C410" s="1" t="s">
        <v>58</v>
      </c>
      <c r="D410" s="1" t="s">
        <v>2559</v>
      </c>
      <c r="E410" s="1" t="s">
        <v>2560</v>
      </c>
      <c r="F410" s="1" t="s">
        <v>12</v>
      </c>
      <c r="G410" s="1" t="s">
        <v>13</v>
      </c>
      <c r="H410" s="1" t="s">
        <v>18</v>
      </c>
    </row>
    <row r="411" spans="1:8">
      <c r="A411" s="1">
        <v>410</v>
      </c>
      <c r="B411" s="1" t="s">
        <v>5407</v>
      </c>
      <c r="C411" s="1" t="s">
        <v>63</v>
      </c>
      <c r="D411" s="1" t="s">
        <v>2559</v>
      </c>
      <c r="E411" s="1" t="s">
        <v>2562</v>
      </c>
      <c r="F411" s="1" t="s">
        <v>839</v>
      </c>
      <c r="G411" s="1" t="s">
        <v>840</v>
      </c>
      <c r="H411" s="1" t="s">
        <v>18</v>
      </c>
    </row>
    <row r="412" spans="1:8">
      <c r="A412" s="1">
        <v>411</v>
      </c>
      <c r="B412" s="1" t="s">
        <v>5407</v>
      </c>
      <c r="C412" s="1" t="s">
        <v>67</v>
      </c>
      <c r="D412" s="1" t="s">
        <v>2559</v>
      </c>
      <c r="E412" s="1" t="s">
        <v>2564</v>
      </c>
      <c r="F412" s="1" t="s">
        <v>21</v>
      </c>
      <c r="G412" s="1" t="s">
        <v>22</v>
      </c>
      <c r="H412" s="1" t="s">
        <v>18</v>
      </c>
    </row>
    <row r="413" spans="1:8">
      <c r="A413" s="1">
        <v>412</v>
      </c>
      <c r="B413" s="1" t="s">
        <v>5407</v>
      </c>
      <c r="C413" s="1" t="s">
        <v>71</v>
      </c>
      <c r="D413" s="1" t="s">
        <v>2559</v>
      </c>
      <c r="E413" s="1" t="s">
        <v>2566</v>
      </c>
      <c r="F413" s="1" t="s">
        <v>836</v>
      </c>
      <c r="G413" s="1" t="s">
        <v>837</v>
      </c>
      <c r="H413" s="1" t="s">
        <v>18</v>
      </c>
    </row>
    <row r="414" spans="1:8">
      <c r="A414" s="1">
        <v>413</v>
      </c>
      <c r="B414" s="1" t="s">
        <v>5408</v>
      </c>
      <c r="C414" s="1" t="s">
        <v>58</v>
      </c>
      <c r="D414" s="1" t="s">
        <v>2568</v>
      </c>
      <c r="E414" s="1" t="s">
        <v>476</v>
      </c>
      <c r="F414" s="1" t="s">
        <v>12</v>
      </c>
      <c r="G414" s="1" t="s">
        <v>13</v>
      </c>
      <c r="H414" s="1" t="s">
        <v>18</v>
      </c>
    </row>
    <row r="415" spans="1:8">
      <c r="A415" s="1">
        <v>414</v>
      </c>
      <c r="B415" s="1" t="s">
        <v>5408</v>
      </c>
      <c r="C415" s="1" t="s">
        <v>63</v>
      </c>
      <c r="D415" s="1" t="s">
        <v>2568</v>
      </c>
      <c r="E415" s="1" t="s">
        <v>482</v>
      </c>
      <c r="F415" s="1" t="s">
        <v>839</v>
      </c>
      <c r="G415" s="1" t="s">
        <v>840</v>
      </c>
      <c r="H415" s="1" t="s">
        <v>18</v>
      </c>
    </row>
    <row r="416" spans="1:8">
      <c r="A416" s="1">
        <v>415</v>
      </c>
      <c r="B416" s="1" t="s">
        <v>5408</v>
      </c>
      <c r="C416" s="1" t="s">
        <v>67</v>
      </c>
      <c r="D416" s="1" t="s">
        <v>2568</v>
      </c>
      <c r="E416" s="1" t="s">
        <v>2571</v>
      </c>
      <c r="F416" s="1" t="s">
        <v>21</v>
      </c>
      <c r="G416" s="1" t="s">
        <v>22</v>
      </c>
      <c r="H416" s="1" t="s">
        <v>18</v>
      </c>
    </row>
    <row r="417" spans="1:8">
      <c r="A417" s="1">
        <v>416</v>
      </c>
      <c r="B417" s="1" t="s">
        <v>5408</v>
      </c>
      <c r="C417" s="1" t="s">
        <v>71</v>
      </c>
      <c r="D417" s="1" t="s">
        <v>2568</v>
      </c>
      <c r="E417" s="1" t="s">
        <v>479</v>
      </c>
      <c r="F417" s="1" t="s">
        <v>836</v>
      </c>
      <c r="G417" s="1" t="s">
        <v>837</v>
      </c>
      <c r="H417" s="1" t="s">
        <v>18</v>
      </c>
    </row>
    <row r="418" spans="1:8">
      <c r="A418" s="1">
        <v>417</v>
      </c>
      <c r="B418" s="1" t="s">
        <v>5409</v>
      </c>
      <c r="C418" s="1" t="s">
        <v>58</v>
      </c>
      <c r="D418" s="1" t="s">
        <v>2574</v>
      </c>
      <c r="E418" s="1" t="s">
        <v>2575</v>
      </c>
      <c r="F418" s="1" t="s">
        <v>12</v>
      </c>
      <c r="G418" s="1" t="s">
        <v>13</v>
      </c>
      <c r="H418" s="1" t="s">
        <v>18</v>
      </c>
    </row>
    <row r="419" spans="1:8">
      <c r="A419" s="1">
        <v>418</v>
      </c>
      <c r="B419" s="1" t="s">
        <v>5409</v>
      </c>
      <c r="C419" s="1" t="s">
        <v>63</v>
      </c>
      <c r="D419" s="1" t="s">
        <v>2574</v>
      </c>
      <c r="E419" s="1" t="s">
        <v>2577</v>
      </c>
      <c r="F419" s="1" t="s">
        <v>839</v>
      </c>
      <c r="G419" s="1" t="s">
        <v>840</v>
      </c>
      <c r="H419" s="1" t="s">
        <v>18</v>
      </c>
    </row>
    <row r="420" spans="1:8">
      <c r="A420" s="1">
        <v>419</v>
      </c>
      <c r="B420" s="1" t="s">
        <v>5409</v>
      </c>
      <c r="C420" s="1" t="s">
        <v>67</v>
      </c>
      <c r="D420" s="1" t="s">
        <v>2574</v>
      </c>
      <c r="E420" s="1" t="s">
        <v>2579</v>
      </c>
      <c r="F420" s="1" t="s">
        <v>21</v>
      </c>
      <c r="G420" s="1" t="s">
        <v>22</v>
      </c>
      <c r="H420" s="1" t="s">
        <v>18</v>
      </c>
    </row>
    <row r="421" spans="1:8">
      <c r="A421" s="1">
        <v>420</v>
      </c>
      <c r="B421" s="1" t="s">
        <v>5409</v>
      </c>
      <c r="C421" s="1" t="s">
        <v>71</v>
      </c>
      <c r="D421" s="1" t="s">
        <v>2574</v>
      </c>
      <c r="E421" s="1" t="s">
        <v>2581</v>
      </c>
      <c r="F421" s="1" t="s">
        <v>836</v>
      </c>
      <c r="G421" s="1" t="s">
        <v>837</v>
      </c>
      <c r="H421" s="1" t="s">
        <v>18</v>
      </c>
    </row>
    <row r="422" spans="1:8">
      <c r="A422" s="1">
        <v>421</v>
      </c>
      <c r="B422" s="1" t="s">
        <v>5410</v>
      </c>
      <c r="C422" s="1" t="s">
        <v>58</v>
      </c>
      <c r="D422" s="1" t="s">
        <v>2583</v>
      </c>
      <c r="E422" s="1" t="s">
        <v>2584</v>
      </c>
      <c r="F422" s="1" t="s">
        <v>12</v>
      </c>
      <c r="G422" s="1" t="s">
        <v>13</v>
      </c>
      <c r="H422" s="1" t="s">
        <v>18</v>
      </c>
    </row>
    <row r="423" spans="1:8">
      <c r="A423" s="1">
        <v>422</v>
      </c>
      <c r="B423" s="1" t="s">
        <v>5410</v>
      </c>
      <c r="C423" s="1" t="s">
        <v>63</v>
      </c>
      <c r="D423" s="1" t="s">
        <v>2583</v>
      </c>
      <c r="E423" s="1" t="s">
        <v>2586</v>
      </c>
      <c r="F423" s="1" t="s">
        <v>839</v>
      </c>
      <c r="G423" s="1" t="s">
        <v>840</v>
      </c>
      <c r="H423" s="1" t="s">
        <v>18</v>
      </c>
    </row>
    <row r="424" spans="1:8">
      <c r="A424" s="1">
        <v>423</v>
      </c>
      <c r="B424" s="1" t="s">
        <v>5410</v>
      </c>
      <c r="C424" s="1" t="s">
        <v>67</v>
      </c>
      <c r="D424" s="1" t="s">
        <v>2583</v>
      </c>
      <c r="E424" s="1" t="s">
        <v>2588</v>
      </c>
      <c r="F424" s="1" t="s">
        <v>21</v>
      </c>
      <c r="G424" s="1" t="s">
        <v>22</v>
      </c>
      <c r="H424" s="1" t="s">
        <v>18</v>
      </c>
    </row>
    <row r="425" spans="1:8">
      <c r="A425" s="1">
        <v>424</v>
      </c>
      <c r="B425" s="1" t="s">
        <v>5410</v>
      </c>
      <c r="C425" s="1" t="s">
        <v>71</v>
      </c>
      <c r="D425" s="1" t="s">
        <v>2583</v>
      </c>
      <c r="E425" s="1" t="s">
        <v>2590</v>
      </c>
      <c r="F425" s="1" t="s">
        <v>836</v>
      </c>
      <c r="G425" s="1" t="s">
        <v>837</v>
      </c>
      <c r="H425" s="1" t="s">
        <v>18</v>
      </c>
    </row>
    <row r="426" spans="1:8">
      <c r="A426" s="1">
        <v>425</v>
      </c>
      <c r="B426" s="1" t="s">
        <v>5411</v>
      </c>
      <c r="C426" s="1" t="s">
        <v>58</v>
      </c>
      <c r="D426" s="1" t="s">
        <v>2592</v>
      </c>
      <c r="E426" s="1" t="s">
        <v>2593</v>
      </c>
      <c r="F426" s="1" t="s">
        <v>12</v>
      </c>
      <c r="G426" s="1" t="s">
        <v>13</v>
      </c>
      <c r="H426" s="1" t="s">
        <v>18</v>
      </c>
    </row>
    <row r="427" spans="1:8">
      <c r="A427" s="1">
        <v>426</v>
      </c>
      <c r="B427" s="1" t="s">
        <v>5411</v>
      </c>
      <c r="C427" s="1" t="s">
        <v>63</v>
      </c>
      <c r="D427" s="1" t="s">
        <v>2592</v>
      </c>
      <c r="E427" s="1" t="s">
        <v>2595</v>
      </c>
      <c r="F427" s="1" t="s">
        <v>839</v>
      </c>
      <c r="G427" s="1" t="s">
        <v>840</v>
      </c>
      <c r="H427" s="1" t="s">
        <v>18</v>
      </c>
    </row>
    <row r="428" spans="1:8">
      <c r="A428" s="1">
        <v>427</v>
      </c>
      <c r="B428" s="1" t="s">
        <v>5411</v>
      </c>
      <c r="C428" s="1" t="s">
        <v>67</v>
      </c>
      <c r="D428" s="1" t="s">
        <v>2592</v>
      </c>
      <c r="E428" s="1" t="s">
        <v>2597</v>
      </c>
      <c r="F428" s="1" t="s">
        <v>21</v>
      </c>
      <c r="G428" s="1" t="s">
        <v>22</v>
      </c>
      <c r="H428" s="1" t="s">
        <v>18</v>
      </c>
    </row>
    <row r="429" spans="1:8">
      <c r="A429" s="1">
        <v>428</v>
      </c>
      <c r="B429" s="1" t="s">
        <v>5411</v>
      </c>
      <c r="C429" s="1" t="s">
        <v>71</v>
      </c>
      <c r="D429" s="1" t="s">
        <v>2592</v>
      </c>
      <c r="E429" s="1" t="s">
        <v>2599</v>
      </c>
      <c r="F429" s="1" t="s">
        <v>836</v>
      </c>
      <c r="G429" s="1" t="s">
        <v>837</v>
      </c>
      <c r="H429" s="1" t="s">
        <v>18</v>
      </c>
    </row>
    <row r="430" spans="1:8">
      <c r="A430" s="1">
        <v>429</v>
      </c>
      <c r="B430" s="1" t="s">
        <v>5412</v>
      </c>
      <c r="C430" s="1" t="s">
        <v>58</v>
      </c>
      <c r="D430" s="1" t="s">
        <v>2601</v>
      </c>
      <c r="E430" s="1" t="s">
        <v>2602</v>
      </c>
      <c r="F430" s="1" t="s">
        <v>12</v>
      </c>
      <c r="G430" s="1" t="s">
        <v>13</v>
      </c>
      <c r="H430" s="1" t="s">
        <v>18</v>
      </c>
    </row>
    <row r="431" spans="1:8">
      <c r="A431" s="1">
        <v>430</v>
      </c>
      <c r="B431" s="1" t="s">
        <v>5412</v>
      </c>
      <c r="C431" s="1" t="s">
        <v>63</v>
      </c>
      <c r="D431" s="1" t="s">
        <v>2601</v>
      </c>
      <c r="E431" s="1" t="s">
        <v>2604</v>
      </c>
      <c r="F431" s="1" t="s">
        <v>839</v>
      </c>
      <c r="G431" s="1" t="s">
        <v>840</v>
      </c>
      <c r="H431" s="1" t="s">
        <v>18</v>
      </c>
    </row>
    <row r="432" spans="1:8">
      <c r="A432" s="1">
        <v>431</v>
      </c>
      <c r="B432" s="1" t="s">
        <v>5412</v>
      </c>
      <c r="C432" s="1" t="s">
        <v>67</v>
      </c>
      <c r="D432" s="1" t="s">
        <v>2601</v>
      </c>
      <c r="E432" s="1" t="s">
        <v>2606</v>
      </c>
      <c r="F432" s="1" t="s">
        <v>21</v>
      </c>
      <c r="G432" s="1" t="s">
        <v>22</v>
      </c>
      <c r="H432" s="1" t="s">
        <v>18</v>
      </c>
    </row>
    <row r="433" spans="1:8">
      <c r="A433" s="1">
        <v>432</v>
      </c>
      <c r="B433" s="1" t="s">
        <v>5412</v>
      </c>
      <c r="C433" s="1" t="s">
        <v>71</v>
      </c>
      <c r="D433" s="1" t="s">
        <v>2601</v>
      </c>
      <c r="E433" s="1" t="s">
        <v>2608</v>
      </c>
      <c r="F433" s="1" t="s">
        <v>836</v>
      </c>
      <c r="G433" s="1" t="s">
        <v>837</v>
      </c>
      <c r="H433" s="1" t="s">
        <v>18</v>
      </c>
    </row>
    <row r="434" spans="1:8">
      <c r="A434" s="1">
        <v>433</v>
      </c>
      <c r="B434" s="1" t="s">
        <v>5413</v>
      </c>
      <c r="C434" s="1" t="s">
        <v>58</v>
      </c>
      <c r="D434" s="1" t="s">
        <v>2610</v>
      </c>
      <c r="E434" s="1" t="s">
        <v>2611</v>
      </c>
      <c r="F434" s="1" t="s">
        <v>12</v>
      </c>
      <c r="G434" s="1" t="s">
        <v>13</v>
      </c>
      <c r="H434" s="1" t="s">
        <v>18</v>
      </c>
    </row>
    <row r="435" spans="1:8">
      <c r="A435" s="1">
        <v>434</v>
      </c>
      <c r="B435" s="1" t="s">
        <v>5413</v>
      </c>
      <c r="C435" s="1" t="s">
        <v>63</v>
      </c>
      <c r="D435" s="1" t="s">
        <v>2610</v>
      </c>
      <c r="E435" s="1" t="s">
        <v>2613</v>
      </c>
      <c r="F435" s="1" t="s">
        <v>839</v>
      </c>
      <c r="G435" s="1" t="s">
        <v>840</v>
      </c>
      <c r="H435" s="1" t="s">
        <v>18</v>
      </c>
    </row>
    <row r="436" spans="1:8">
      <c r="A436" s="1">
        <v>435</v>
      </c>
      <c r="B436" s="1" t="s">
        <v>5413</v>
      </c>
      <c r="C436" s="1" t="s">
        <v>67</v>
      </c>
      <c r="D436" s="1" t="s">
        <v>2610</v>
      </c>
      <c r="E436" s="1" t="s">
        <v>2615</v>
      </c>
      <c r="F436" s="1" t="s">
        <v>21</v>
      </c>
      <c r="G436" s="1" t="s">
        <v>22</v>
      </c>
      <c r="H436" s="1" t="s">
        <v>18</v>
      </c>
    </row>
    <row r="437" spans="1:8">
      <c r="A437" s="1">
        <v>436</v>
      </c>
      <c r="B437" s="1" t="s">
        <v>5413</v>
      </c>
      <c r="C437" s="1" t="s">
        <v>71</v>
      </c>
      <c r="D437" s="1" t="s">
        <v>2610</v>
      </c>
      <c r="E437" s="1" t="s">
        <v>2617</v>
      </c>
      <c r="F437" s="1" t="s">
        <v>836</v>
      </c>
      <c r="G437" s="1" t="s">
        <v>837</v>
      </c>
      <c r="H437" s="1" t="s">
        <v>18</v>
      </c>
    </row>
    <row r="438" spans="1:8">
      <c r="A438" s="1">
        <v>437</v>
      </c>
      <c r="B438" s="1" t="s">
        <v>5414</v>
      </c>
      <c r="C438" s="1" t="s">
        <v>58</v>
      </c>
      <c r="D438" s="1" t="s">
        <v>2619</v>
      </c>
      <c r="E438" s="1" t="s">
        <v>383</v>
      </c>
      <c r="F438" s="1" t="s">
        <v>12</v>
      </c>
      <c r="G438" s="1" t="s">
        <v>13</v>
      </c>
      <c r="H438" s="1" t="s">
        <v>18</v>
      </c>
    </row>
    <row r="439" spans="1:8">
      <c r="A439" s="1">
        <v>438</v>
      </c>
      <c r="B439" s="1" t="s">
        <v>5414</v>
      </c>
      <c r="C439" s="1" t="s">
        <v>63</v>
      </c>
      <c r="D439" s="1" t="s">
        <v>2619</v>
      </c>
      <c r="E439" s="1" t="s">
        <v>500</v>
      </c>
      <c r="F439" s="1" t="s">
        <v>839</v>
      </c>
      <c r="G439" s="1" t="s">
        <v>840</v>
      </c>
      <c r="H439" s="1" t="s">
        <v>18</v>
      </c>
    </row>
    <row r="440" spans="1:8">
      <c r="A440" s="1">
        <v>439</v>
      </c>
      <c r="B440" s="1" t="s">
        <v>5414</v>
      </c>
      <c r="C440" s="1" t="s">
        <v>67</v>
      </c>
      <c r="D440" s="1" t="s">
        <v>2619</v>
      </c>
      <c r="E440" s="1" t="s">
        <v>2622</v>
      </c>
      <c r="F440" s="1" t="s">
        <v>21</v>
      </c>
      <c r="G440" s="1" t="s">
        <v>22</v>
      </c>
      <c r="H440" s="1" t="s">
        <v>18</v>
      </c>
    </row>
    <row r="441" spans="1:8">
      <c r="A441" s="1">
        <v>440</v>
      </c>
      <c r="B441" s="1" t="s">
        <v>5414</v>
      </c>
      <c r="C441" s="1" t="s">
        <v>71</v>
      </c>
      <c r="D441" s="1" t="s">
        <v>2619</v>
      </c>
      <c r="E441" s="1" t="s">
        <v>412</v>
      </c>
      <c r="F441" s="1" t="s">
        <v>836</v>
      </c>
      <c r="G441" s="1" t="s">
        <v>837</v>
      </c>
      <c r="H441" s="1" t="s">
        <v>18</v>
      </c>
    </row>
    <row r="442" spans="1:8">
      <c r="A442" s="1">
        <v>441</v>
      </c>
      <c r="B442" s="1" t="s">
        <v>5415</v>
      </c>
      <c r="C442" s="1" t="s">
        <v>58</v>
      </c>
      <c r="D442" s="1" t="s">
        <v>2625</v>
      </c>
      <c r="E442" s="1" t="s">
        <v>512</v>
      </c>
      <c r="F442" s="1" t="s">
        <v>12</v>
      </c>
      <c r="G442" s="1" t="s">
        <v>13</v>
      </c>
      <c r="H442" s="1" t="s">
        <v>18</v>
      </c>
    </row>
    <row r="443" spans="1:8">
      <c r="A443" s="1">
        <v>442</v>
      </c>
      <c r="B443" s="1" t="s">
        <v>5415</v>
      </c>
      <c r="C443" s="1" t="s">
        <v>63</v>
      </c>
      <c r="D443" s="1" t="s">
        <v>2625</v>
      </c>
      <c r="E443" s="1" t="s">
        <v>516</v>
      </c>
      <c r="F443" s="1" t="s">
        <v>839</v>
      </c>
      <c r="G443" s="1" t="s">
        <v>840</v>
      </c>
      <c r="H443" s="1" t="s">
        <v>18</v>
      </c>
    </row>
    <row r="444" spans="1:8">
      <c r="A444" s="1">
        <v>443</v>
      </c>
      <c r="B444" s="1" t="s">
        <v>5415</v>
      </c>
      <c r="C444" s="1" t="s">
        <v>67</v>
      </c>
      <c r="D444" s="1" t="s">
        <v>2625</v>
      </c>
      <c r="E444" s="1" t="s">
        <v>2628</v>
      </c>
      <c r="F444" s="1" t="s">
        <v>21</v>
      </c>
      <c r="G444" s="1" t="s">
        <v>22</v>
      </c>
      <c r="H444" s="1" t="s">
        <v>18</v>
      </c>
    </row>
    <row r="445" spans="1:8">
      <c r="A445" s="1">
        <v>444</v>
      </c>
      <c r="B445" s="1" t="s">
        <v>5415</v>
      </c>
      <c r="C445" s="1" t="s">
        <v>71</v>
      </c>
      <c r="D445" s="1" t="s">
        <v>2625</v>
      </c>
      <c r="E445" s="1" t="s">
        <v>514</v>
      </c>
      <c r="F445" s="1" t="s">
        <v>836</v>
      </c>
      <c r="G445" s="1" t="s">
        <v>837</v>
      </c>
      <c r="H445" s="1" t="s">
        <v>18</v>
      </c>
    </row>
    <row r="446" spans="1:8">
      <c r="A446" s="1">
        <v>445</v>
      </c>
      <c r="B446" s="1" t="s">
        <v>5416</v>
      </c>
      <c r="C446" s="1" t="s">
        <v>58</v>
      </c>
      <c r="D446" s="1" t="s">
        <v>2631</v>
      </c>
      <c r="E446" s="1" t="s">
        <v>2632</v>
      </c>
      <c r="F446" s="1" t="s">
        <v>12</v>
      </c>
      <c r="G446" s="1" t="s">
        <v>13</v>
      </c>
      <c r="H446" s="1" t="s">
        <v>18</v>
      </c>
    </row>
    <row r="447" spans="1:8">
      <c r="A447" s="1">
        <v>446</v>
      </c>
      <c r="B447" s="1" t="s">
        <v>5416</v>
      </c>
      <c r="C447" s="1" t="s">
        <v>63</v>
      </c>
      <c r="D447" s="1" t="s">
        <v>2631</v>
      </c>
      <c r="E447" s="1" t="s">
        <v>2634</v>
      </c>
      <c r="F447" s="1" t="s">
        <v>839</v>
      </c>
      <c r="G447" s="1" t="s">
        <v>840</v>
      </c>
      <c r="H447" s="1" t="s">
        <v>18</v>
      </c>
    </row>
    <row r="448" spans="1:8">
      <c r="A448" s="1">
        <v>447</v>
      </c>
      <c r="B448" s="1" t="s">
        <v>5416</v>
      </c>
      <c r="C448" s="1" t="s">
        <v>67</v>
      </c>
      <c r="D448" s="1" t="s">
        <v>2631</v>
      </c>
      <c r="E448" s="1" t="s">
        <v>2636</v>
      </c>
      <c r="F448" s="1" t="s">
        <v>21</v>
      </c>
      <c r="G448" s="1" t="s">
        <v>22</v>
      </c>
      <c r="H448" s="1" t="s">
        <v>18</v>
      </c>
    </row>
    <row r="449" spans="1:8">
      <c r="A449" s="1">
        <v>448</v>
      </c>
      <c r="B449" s="1" t="s">
        <v>5416</v>
      </c>
      <c r="C449" s="1" t="s">
        <v>71</v>
      </c>
      <c r="D449" s="1" t="s">
        <v>2631</v>
      </c>
      <c r="E449" s="1" t="s">
        <v>2638</v>
      </c>
      <c r="F449" s="1" t="s">
        <v>836</v>
      </c>
      <c r="G449" s="1" t="s">
        <v>837</v>
      </c>
      <c r="H449" s="1" t="s">
        <v>18</v>
      </c>
    </row>
    <row r="450" spans="1:8">
      <c r="A450" s="1">
        <v>449</v>
      </c>
      <c r="B450" s="1" t="s">
        <v>5417</v>
      </c>
      <c r="C450" s="1" t="s">
        <v>58</v>
      </c>
      <c r="D450" s="1" t="s">
        <v>2640</v>
      </c>
      <c r="E450" s="1" t="s">
        <v>2641</v>
      </c>
      <c r="F450" s="1" t="s">
        <v>12</v>
      </c>
      <c r="G450" s="1" t="s">
        <v>13</v>
      </c>
      <c r="H450" s="1" t="s">
        <v>18</v>
      </c>
    </row>
    <row r="451" spans="1:8">
      <c r="A451" s="1">
        <v>450</v>
      </c>
      <c r="B451" s="1" t="s">
        <v>5417</v>
      </c>
      <c r="C451" s="1" t="s">
        <v>63</v>
      </c>
      <c r="D451" s="1" t="s">
        <v>2640</v>
      </c>
      <c r="E451" s="1" t="s">
        <v>2643</v>
      </c>
      <c r="F451" s="1" t="s">
        <v>839</v>
      </c>
      <c r="G451" s="1" t="s">
        <v>840</v>
      </c>
      <c r="H451" s="1" t="s">
        <v>18</v>
      </c>
    </row>
    <row r="452" spans="1:8">
      <c r="A452" s="1">
        <v>451</v>
      </c>
      <c r="B452" s="1" t="s">
        <v>5417</v>
      </c>
      <c r="C452" s="1" t="s">
        <v>67</v>
      </c>
      <c r="D452" s="1" t="s">
        <v>2640</v>
      </c>
      <c r="E452" s="1" t="s">
        <v>2645</v>
      </c>
      <c r="F452" s="1" t="s">
        <v>21</v>
      </c>
      <c r="G452" s="1" t="s">
        <v>22</v>
      </c>
      <c r="H452" s="1" t="s">
        <v>18</v>
      </c>
    </row>
    <row r="453" spans="1:8">
      <c r="A453" s="1">
        <v>452</v>
      </c>
      <c r="B453" s="1" t="s">
        <v>5417</v>
      </c>
      <c r="C453" s="1" t="s">
        <v>71</v>
      </c>
      <c r="D453" s="1" t="s">
        <v>2640</v>
      </c>
      <c r="E453" s="1" t="s">
        <v>2647</v>
      </c>
      <c r="F453" s="1" t="s">
        <v>836</v>
      </c>
      <c r="G453" s="1" t="s">
        <v>837</v>
      </c>
      <c r="H453" s="1" t="s">
        <v>18</v>
      </c>
    </row>
    <row r="454" spans="1:8">
      <c r="A454" s="1">
        <v>453</v>
      </c>
      <c r="B454" s="1" t="s">
        <v>5418</v>
      </c>
      <c r="C454" s="1" t="s">
        <v>58</v>
      </c>
      <c r="D454" s="1" t="s">
        <v>2649</v>
      </c>
      <c r="E454" s="1" t="s">
        <v>2650</v>
      </c>
      <c r="F454" s="1" t="s">
        <v>12</v>
      </c>
      <c r="G454" s="1" t="s">
        <v>13</v>
      </c>
      <c r="H454" s="1" t="s">
        <v>18</v>
      </c>
    </row>
    <row r="455" spans="1:8">
      <c r="A455" s="1">
        <v>454</v>
      </c>
      <c r="B455" s="1" t="s">
        <v>5418</v>
      </c>
      <c r="C455" s="1" t="s">
        <v>63</v>
      </c>
      <c r="D455" s="1" t="s">
        <v>2649</v>
      </c>
      <c r="E455" s="1" t="s">
        <v>2652</v>
      </c>
      <c r="F455" s="1" t="s">
        <v>839</v>
      </c>
      <c r="G455" s="1" t="s">
        <v>840</v>
      </c>
      <c r="H455" s="1" t="s">
        <v>18</v>
      </c>
    </row>
    <row r="456" spans="1:8">
      <c r="A456" s="1">
        <v>455</v>
      </c>
      <c r="B456" s="1" t="s">
        <v>5418</v>
      </c>
      <c r="C456" s="1" t="s">
        <v>67</v>
      </c>
      <c r="D456" s="1" t="s">
        <v>2649</v>
      </c>
      <c r="E456" s="1" t="s">
        <v>2654</v>
      </c>
      <c r="F456" s="1" t="s">
        <v>21</v>
      </c>
      <c r="G456" s="1" t="s">
        <v>22</v>
      </c>
      <c r="H456" s="1" t="s">
        <v>18</v>
      </c>
    </row>
    <row r="457" spans="1:8">
      <c r="A457" s="1">
        <v>456</v>
      </c>
      <c r="B457" s="1" t="s">
        <v>5418</v>
      </c>
      <c r="C457" s="1" t="s">
        <v>71</v>
      </c>
      <c r="D457" s="1" t="s">
        <v>2649</v>
      </c>
      <c r="E457" s="1" t="s">
        <v>2656</v>
      </c>
      <c r="F457" s="1" t="s">
        <v>836</v>
      </c>
      <c r="G457" s="1" t="s">
        <v>837</v>
      </c>
      <c r="H457" s="1" t="s">
        <v>18</v>
      </c>
    </row>
    <row r="458" spans="1:8">
      <c r="A458" s="1">
        <v>457</v>
      </c>
      <c r="B458" s="1" t="s">
        <v>5419</v>
      </c>
      <c r="C458" s="1" t="s">
        <v>58</v>
      </c>
      <c r="D458" s="1" t="s">
        <v>2658</v>
      </c>
      <c r="E458" s="1" t="s">
        <v>2659</v>
      </c>
      <c r="F458" s="1" t="s">
        <v>12</v>
      </c>
      <c r="G458" s="1" t="s">
        <v>13</v>
      </c>
      <c r="H458" s="1" t="s">
        <v>18</v>
      </c>
    </row>
    <row r="459" spans="1:8">
      <c r="A459" s="1">
        <v>458</v>
      </c>
      <c r="B459" s="1" t="s">
        <v>5419</v>
      </c>
      <c r="C459" s="1" t="s">
        <v>63</v>
      </c>
      <c r="D459" s="1" t="s">
        <v>2658</v>
      </c>
      <c r="E459" s="1" t="s">
        <v>2661</v>
      </c>
      <c r="F459" s="1" t="s">
        <v>839</v>
      </c>
      <c r="G459" s="1" t="s">
        <v>840</v>
      </c>
      <c r="H459" s="1" t="s">
        <v>18</v>
      </c>
    </row>
    <row r="460" spans="1:8">
      <c r="A460" s="1">
        <v>459</v>
      </c>
      <c r="B460" s="1" t="s">
        <v>5419</v>
      </c>
      <c r="C460" s="1" t="s">
        <v>67</v>
      </c>
      <c r="D460" s="1" t="s">
        <v>2658</v>
      </c>
      <c r="E460" s="1" t="s">
        <v>2663</v>
      </c>
      <c r="F460" s="1" t="s">
        <v>21</v>
      </c>
      <c r="G460" s="1" t="s">
        <v>22</v>
      </c>
      <c r="H460" s="1" t="s">
        <v>18</v>
      </c>
    </row>
    <row r="461" spans="1:8">
      <c r="A461" s="1">
        <v>460</v>
      </c>
      <c r="B461" s="1" t="s">
        <v>5419</v>
      </c>
      <c r="C461" s="1" t="s">
        <v>71</v>
      </c>
      <c r="D461" s="1" t="s">
        <v>2658</v>
      </c>
      <c r="E461" s="1" t="s">
        <v>2665</v>
      </c>
      <c r="F461" s="1" t="s">
        <v>836</v>
      </c>
      <c r="G461" s="1" t="s">
        <v>837</v>
      </c>
      <c r="H461" s="1" t="s">
        <v>18</v>
      </c>
    </row>
    <row r="462" spans="1:8">
      <c r="A462" s="1">
        <v>461</v>
      </c>
      <c r="B462" s="1" t="s">
        <v>5420</v>
      </c>
      <c r="C462" s="1" t="s">
        <v>58</v>
      </c>
      <c r="D462" s="1" t="s">
        <v>2667</v>
      </c>
      <c r="E462" s="1" t="s">
        <v>2668</v>
      </c>
      <c r="F462" s="1" t="s">
        <v>12</v>
      </c>
      <c r="G462" s="1" t="s">
        <v>13</v>
      </c>
      <c r="H462" s="1" t="s">
        <v>18</v>
      </c>
    </row>
    <row r="463" spans="1:8">
      <c r="A463" s="1">
        <v>462</v>
      </c>
      <c r="B463" s="1" t="s">
        <v>5420</v>
      </c>
      <c r="C463" s="1" t="s">
        <v>63</v>
      </c>
      <c r="D463" s="1" t="s">
        <v>2667</v>
      </c>
      <c r="E463" s="1" t="s">
        <v>50</v>
      </c>
      <c r="F463" s="1" t="s">
        <v>839</v>
      </c>
      <c r="G463" s="1" t="s">
        <v>840</v>
      </c>
      <c r="H463" s="1" t="s">
        <v>18</v>
      </c>
    </row>
    <row r="464" spans="1:8">
      <c r="A464" s="1">
        <v>463</v>
      </c>
      <c r="B464" s="1" t="s">
        <v>5420</v>
      </c>
      <c r="C464" s="1" t="s">
        <v>67</v>
      </c>
      <c r="D464" s="1" t="s">
        <v>2667</v>
      </c>
      <c r="E464" s="1" t="s">
        <v>2671</v>
      </c>
      <c r="F464" s="1" t="s">
        <v>21</v>
      </c>
      <c r="G464" s="1" t="s">
        <v>22</v>
      </c>
      <c r="H464" s="1" t="s">
        <v>18</v>
      </c>
    </row>
    <row r="465" spans="1:8">
      <c r="A465" s="1">
        <v>464</v>
      </c>
      <c r="B465" s="1" t="s">
        <v>5420</v>
      </c>
      <c r="C465" s="1" t="s">
        <v>71</v>
      </c>
      <c r="D465" s="1" t="s">
        <v>2667</v>
      </c>
      <c r="E465" s="1" t="s">
        <v>46</v>
      </c>
      <c r="F465" s="1" t="s">
        <v>836</v>
      </c>
      <c r="G465" s="1" t="s">
        <v>837</v>
      </c>
      <c r="H465" s="1" t="s">
        <v>18</v>
      </c>
    </row>
    <row r="466" spans="1:8">
      <c r="A466" s="1">
        <v>465</v>
      </c>
      <c r="B466" s="1" t="s">
        <v>5421</v>
      </c>
      <c r="C466" s="1" t="s">
        <v>58</v>
      </c>
      <c r="D466" s="1" t="s">
        <v>2674</v>
      </c>
      <c r="E466" s="1" t="s">
        <v>485</v>
      </c>
      <c r="F466" s="1" t="s">
        <v>12</v>
      </c>
      <c r="G466" s="1" t="s">
        <v>13</v>
      </c>
      <c r="H466" s="1" t="s">
        <v>18</v>
      </c>
    </row>
    <row r="467" spans="1:8">
      <c r="A467" s="1">
        <v>466</v>
      </c>
      <c r="B467" s="1" t="s">
        <v>5421</v>
      </c>
      <c r="C467" s="1" t="s">
        <v>63</v>
      </c>
      <c r="D467" s="1" t="s">
        <v>2674</v>
      </c>
      <c r="E467" s="1" t="s">
        <v>299</v>
      </c>
      <c r="F467" s="1" t="s">
        <v>839</v>
      </c>
      <c r="G467" s="1" t="s">
        <v>840</v>
      </c>
      <c r="H467" s="1" t="s">
        <v>18</v>
      </c>
    </row>
    <row r="468" spans="1:8">
      <c r="A468" s="1">
        <v>467</v>
      </c>
      <c r="B468" s="1" t="s">
        <v>5421</v>
      </c>
      <c r="C468" s="1" t="s">
        <v>67</v>
      </c>
      <c r="D468" s="1" t="s">
        <v>2674</v>
      </c>
      <c r="E468" s="1" t="s">
        <v>2677</v>
      </c>
      <c r="F468" s="1" t="s">
        <v>21</v>
      </c>
      <c r="G468" s="1" t="s">
        <v>22</v>
      </c>
      <c r="H468" s="1" t="s">
        <v>18</v>
      </c>
    </row>
    <row r="469" spans="1:8">
      <c r="A469" s="1">
        <v>468</v>
      </c>
      <c r="B469" s="1" t="s">
        <v>5421</v>
      </c>
      <c r="C469" s="1" t="s">
        <v>71</v>
      </c>
      <c r="D469" s="1" t="s">
        <v>2674</v>
      </c>
      <c r="E469" s="1" t="s">
        <v>491</v>
      </c>
      <c r="F469" s="1" t="s">
        <v>836</v>
      </c>
      <c r="G469" s="1" t="s">
        <v>837</v>
      </c>
      <c r="H469" s="1" t="s">
        <v>18</v>
      </c>
    </row>
    <row r="470" spans="1:8">
      <c r="A470" s="1">
        <v>469</v>
      </c>
      <c r="B470" s="1" t="s">
        <v>5422</v>
      </c>
      <c r="C470" s="1" t="s">
        <v>58</v>
      </c>
      <c r="D470" s="1" t="s">
        <v>2680</v>
      </c>
      <c r="E470" s="1" t="s">
        <v>288</v>
      </c>
      <c r="F470" s="1" t="s">
        <v>12</v>
      </c>
      <c r="G470" s="1" t="s">
        <v>13</v>
      </c>
      <c r="H470" s="1" t="s">
        <v>18</v>
      </c>
    </row>
    <row r="471" spans="1:8">
      <c r="A471" s="1">
        <v>470</v>
      </c>
      <c r="B471" s="1" t="s">
        <v>5422</v>
      </c>
      <c r="C471" s="1" t="s">
        <v>63</v>
      </c>
      <c r="D471" s="1" t="s">
        <v>2680</v>
      </c>
      <c r="E471" s="1" t="s">
        <v>294</v>
      </c>
      <c r="F471" s="1" t="s">
        <v>839</v>
      </c>
      <c r="G471" s="1" t="s">
        <v>840</v>
      </c>
      <c r="H471" s="1" t="s">
        <v>18</v>
      </c>
    </row>
    <row r="472" spans="1:8">
      <c r="A472" s="1">
        <v>471</v>
      </c>
      <c r="B472" s="1" t="s">
        <v>5422</v>
      </c>
      <c r="C472" s="1" t="s">
        <v>67</v>
      </c>
      <c r="D472" s="1" t="s">
        <v>2680</v>
      </c>
      <c r="E472" s="1" t="s">
        <v>2683</v>
      </c>
      <c r="F472" s="1" t="s">
        <v>21</v>
      </c>
      <c r="G472" s="1" t="s">
        <v>22</v>
      </c>
      <c r="H472" s="1" t="s">
        <v>18</v>
      </c>
    </row>
    <row r="473" spans="1:8">
      <c r="A473" s="1">
        <v>472</v>
      </c>
      <c r="B473" s="1" t="s">
        <v>5422</v>
      </c>
      <c r="C473" s="1" t="s">
        <v>71</v>
      </c>
      <c r="D473" s="1" t="s">
        <v>2680</v>
      </c>
      <c r="E473" s="1" t="s">
        <v>291</v>
      </c>
      <c r="F473" s="1" t="s">
        <v>836</v>
      </c>
      <c r="G473" s="1" t="s">
        <v>837</v>
      </c>
      <c r="H473" s="1" t="s">
        <v>18</v>
      </c>
    </row>
    <row r="474" spans="1:8">
      <c r="A474" s="1">
        <v>473</v>
      </c>
      <c r="B474" s="1" t="s">
        <v>5423</v>
      </c>
      <c r="C474" s="1" t="s">
        <v>58</v>
      </c>
      <c r="D474" s="1" t="s">
        <v>2686</v>
      </c>
      <c r="E474" s="1" t="s">
        <v>470</v>
      </c>
      <c r="F474" s="1" t="s">
        <v>12</v>
      </c>
      <c r="G474" s="1" t="s">
        <v>13</v>
      </c>
      <c r="H474" s="1" t="s">
        <v>18</v>
      </c>
    </row>
    <row r="475" spans="1:8">
      <c r="A475" s="1">
        <v>474</v>
      </c>
      <c r="B475" s="1" t="s">
        <v>5423</v>
      </c>
      <c r="C475" s="1" t="s">
        <v>63</v>
      </c>
      <c r="D475" s="1" t="s">
        <v>2686</v>
      </c>
      <c r="E475" s="1" t="s">
        <v>2688</v>
      </c>
      <c r="F475" s="1" t="s">
        <v>839</v>
      </c>
      <c r="G475" s="1" t="s">
        <v>840</v>
      </c>
      <c r="H475" s="1" t="s">
        <v>18</v>
      </c>
    </row>
    <row r="476" spans="1:8">
      <c r="A476" s="1">
        <v>475</v>
      </c>
      <c r="B476" s="1" t="s">
        <v>5423</v>
      </c>
      <c r="C476" s="1" t="s">
        <v>67</v>
      </c>
      <c r="D476" s="1" t="s">
        <v>2686</v>
      </c>
      <c r="E476" s="1" t="s">
        <v>2690</v>
      </c>
      <c r="F476" s="1" t="s">
        <v>21</v>
      </c>
      <c r="G476" s="1" t="s">
        <v>22</v>
      </c>
      <c r="H476" s="1" t="s">
        <v>18</v>
      </c>
    </row>
    <row r="477" spans="1:8">
      <c r="A477" s="1">
        <v>476</v>
      </c>
      <c r="B477" s="1" t="s">
        <v>5423</v>
      </c>
      <c r="C477" s="1" t="s">
        <v>71</v>
      </c>
      <c r="D477" s="1" t="s">
        <v>2686</v>
      </c>
      <c r="E477" s="1" t="s">
        <v>473</v>
      </c>
      <c r="F477" s="1" t="s">
        <v>836</v>
      </c>
      <c r="G477" s="1" t="s">
        <v>837</v>
      </c>
      <c r="H477" s="1" t="s">
        <v>18</v>
      </c>
    </row>
    <row r="478" spans="1:8">
      <c r="A478" s="1">
        <v>477</v>
      </c>
      <c r="B478" s="1" t="s">
        <v>5424</v>
      </c>
      <c r="C478" s="1" t="s">
        <v>58</v>
      </c>
      <c r="D478" s="1" t="s">
        <v>2693</v>
      </c>
      <c r="E478" s="1" t="s">
        <v>2694</v>
      </c>
      <c r="F478" s="1" t="s">
        <v>12</v>
      </c>
      <c r="G478" s="1" t="s">
        <v>13</v>
      </c>
      <c r="H478" s="1" t="s">
        <v>18</v>
      </c>
    </row>
    <row r="479" spans="1:8">
      <c r="A479" s="1">
        <v>478</v>
      </c>
      <c r="B479" s="1" t="s">
        <v>5424</v>
      </c>
      <c r="C479" s="1" t="s">
        <v>63</v>
      </c>
      <c r="D479" s="1" t="s">
        <v>2693</v>
      </c>
      <c r="E479" s="1" t="s">
        <v>2696</v>
      </c>
      <c r="F479" s="1" t="s">
        <v>839</v>
      </c>
      <c r="G479" s="1" t="s">
        <v>840</v>
      </c>
      <c r="H479" s="1" t="s">
        <v>18</v>
      </c>
    </row>
    <row r="480" spans="1:8">
      <c r="A480" s="1">
        <v>479</v>
      </c>
      <c r="B480" s="1" t="s">
        <v>5424</v>
      </c>
      <c r="C480" s="1" t="s">
        <v>67</v>
      </c>
      <c r="D480" s="1" t="s">
        <v>2693</v>
      </c>
      <c r="E480" s="1" t="s">
        <v>2698</v>
      </c>
      <c r="F480" s="1" t="s">
        <v>21</v>
      </c>
      <c r="G480" s="1" t="s">
        <v>22</v>
      </c>
      <c r="H480" s="1" t="s">
        <v>18</v>
      </c>
    </row>
    <row r="481" spans="1:8">
      <c r="A481" s="1">
        <v>480</v>
      </c>
      <c r="B481" s="1" t="s">
        <v>5424</v>
      </c>
      <c r="C481" s="1" t="s">
        <v>71</v>
      </c>
      <c r="D481" s="1" t="s">
        <v>2693</v>
      </c>
      <c r="E481" s="1" t="s">
        <v>2700</v>
      </c>
      <c r="F481" s="1" t="s">
        <v>836</v>
      </c>
      <c r="G481" s="1" t="s">
        <v>837</v>
      </c>
      <c r="H481" s="1" t="s">
        <v>18</v>
      </c>
    </row>
    <row r="482" spans="1:8">
      <c r="A482" s="1">
        <v>481</v>
      </c>
      <c r="B482" s="1" t="s">
        <v>5425</v>
      </c>
      <c r="C482" s="1" t="s">
        <v>58</v>
      </c>
      <c r="D482" s="1" t="s">
        <v>2702</v>
      </c>
      <c r="E482" s="1" t="s">
        <v>2703</v>
      </c>
      <c r="F482" s="1" t="s">
        <v>12</v>
      </c>
      <c r="G482" s="1" t="s">
        <v>13</v>
      </c>
      <c r="H482" s="1" t="s">
        <v>18</v>
      </c>
    </row>
    <row r="483" spans="1:8">
      <c r="A483" s="1">
        <v>482</v>
      </c>
      <c r="B483" s="1" t="s">
        <v>5425</v>
      </c>
      <c r="C483" s="1" t="s">
        <v>63</v>
      </c>
      <c r="D483" s="1" t="s">
        <v>2702</v>
      </c>
      <c r="E483" s="1" t="s">
        <v>2705</v>
      </c>
      <c r="F483" s="1" t="s">
        <v>839</v>
      </c>
      <c r="G483" s="1" t="s">
        <v>840</v>
      </c>
      <c r="H483" s="1" t="s">
        <v>18</v>
      </c>
    </row>
    <row r="484" spans="1:8">
      <c r="A484" s="1">
        <v>483</v>
      </c>
      <c r="B484" s="1" t="s">
        <v>5425</v>
      </c>
      <c r="C484" s="1" t="s">
        <v>67</v>
      </c>
      <c r="D484" s="1" t="s">
        <v>2702</v>
      </c>
      <c r="E484" s="1" t="s">
        <v>2707</v>
      </c>
      <c r="F484" s="1" t="s">
        <v>21</v>
      </c>
      <c r="G484" s="1" t="s">
        <v>22</v>
      </c>
      <c r="H484" s="1" t="s">
        <v>18</v>
      </c>
    </row>
    <row r="485" spans="1:8">
      <c r="A485" s="1">
        <v>484</v>
      </c>
      <c r="B485" s="1" t="s">
        <v>5425</v>
      </c>
      <c r="C485" s="1" t="s">
        <v>71</v>
      </c>
      <c r="D485" s="1" t="s">
        <v>2702</v>
      </c>
      <c r="E485" s="1" t="s">
        <v>2709</v>
      </c>
      <c r="F485" s="1" t="s">
        <v>836</v>
      </c>
      <c r="G485" s="1" t="s">
        <v>837</v>
      </c>
      <c r="H485" s="1" t="s">
        <v>18</v>
      </c>
    </row>
    <row r="486" spans="1:8">
      <c r="A486" s="1">
        <v>485</v>
      </c>
      <c r="B486" s="1" t="s">
        <v>5426</v>
      </c>
      <c r="C486" s="1" t="s">
        <v>58</v>
      </c>
      <c r="D486" s="1" t="s">
        <v>2711</v>
      </c>
      <c r="E486" s="1" t="s">
        <v>2712</v>
      </c>
      <c r="F486" s="1" t="s">
        <v>12</v>
      </c>
      <c r="G486" s="1" t="s">
        <v>13</v>
      </c>
      <c r="H486" s="1" t="s">
        <v>18</v>
      </c>
    </row>
    <row r="487" spans="1:8">
      <c r="A487" s="1">
        <v>486</v>
      </c>
      <c r="B487" s="1" t="s">
        <v>5426</v>
      </c>
      <c r="C487" s="1" t="s">
        <v>63</v>
      </c>
      <c r="D487" s="1" t="s">
        <v>2711</v>
      </c>
      <c r="E487" s="1" t="s">
        <v>2714</v>
      </c>
      <c r="F487" s="1" t="s">
        <v>839</v>
      </c>
      <c r="G487" s="1" t="s">
        <v>840</v>
      </c>
      <c r="H487" s="1" t="s">
        <v>18</v>
      </c>
    </row>
    <row r="488" spans="1:8">
      <c r="A488" s="1">
        <v>487</v>
      </c>
      <c r="B488" s="1" t="s">
        <v>5426</v>
      </c>
      <c r="C488" s="1" t="s">
        <v>67</v>
      </c>
      <c r="D488" s="1" t="s">
        <v>2711</v>
      </c>
      <c r="E488" s="1" t="s">
        <v>2716</v>
      </c>
      <c r="F488" s="1" t="s">
        <v>21</v>
      </c>
      <c r="G488" s="1" t="s">
        <v>22</v>
      </c>
      <c r="H488" s="1" t="s">
        <v>18</v>
      </c>
    </row>
    <row r="489" spans="1:8">
      <c r="A489" s="1">
        <v>488</v>
      </c>
      <c r="B489" s="1" t="s">
        <v>5426</v>
      </c>
      <c r="C489" s="1" t="s">
        <v>71</v>
      </c>
      <c r="D489" s="1" t="s">
        <v>2711</v>
      </c>
      <c r="E489" s="1" t="s">
        <v>2718</v>
      </c>
      <c r="F489" s="1" t="s">
        <v>836</v>
      </c>
      <c r="G489" s="1" t="s">
        <v>837</v>
      </c>
      <c r="H489" s="1" t="s">
        <v>18</v>
      </c>
    </row>
    <row r="490" spans="1:8">
      <c r="A490" s="1">
        <v>489</v>
      </c>
      <c r="B490" s="1" t="s">
        <v>5427</v>
      </c>
      <c r="C490" s="1" t="s">
        <v>58</v>
      </c>
      <c r="D490" s="1" t="s">
        <v>2720</v>
      </c>
      <c r="E490" s="1" t="s">
        <v>2721</v>
      </c>
      <c r="F490" s="1" t="s">
        <v>12</v>
      </c>
      <c r="G490" s="1" t="s">
        <v>13</v>
      </c>
      <c r="H490" s="1" t="s">
        <v>18</v>
      </c>
    </row>
    <row r="491" spans="1:8">
      <c r="A491" s="1">
        <v>490</v>
      </c>
      <c r="B491" s="1" t="s">
        <v>5427</v>
      </c>
      <c r="C491" s="1" t="s">
        <v>63</v>
      </c>
      <c r="D491" s="1" t="s">
        <v>2720</v>
      </c>
      <c r="E491" s="1" t="s">
        <v>2723</v>
      </c>
      <c r="F491" s="1" t="s">
        <v>839</v>
      </c>
      <c r="G491" s="1" t="s">
        <v>840</v>
      </c>
      <c r="H491" s="1" t="s">
        <v>18</v>
      </c>
    </row>
    <row r="492" spans="1:8">
      <c r="A492" s="1">
        <v>491</v>
      </c>
      <c r="B492" s="1" t="s">
        <v>5427</v>
      </c>
      <c r="C492" s="1" t="s">
        <v>67</v>
      </c>
      <c r="D492" s="1" t="s">
        <v>2720</v>
      </c>
      <c r="E492" s="1" t="s">
        <v>2725</v>
      </c>
      <c r="F492" s="1" t="s">
        <v>21</v>
      </c>
      <c r="G492" s="1" t="s">
        <v>22</v>
      </c>
      <c r="H492" s="1" t="s">
        <v>18</v>
      </c>
    </row>
    <row r="493" spans="1:8">
      <c r="A493" s="1">
        <v>492</v>
      </c>
      <c r="B493" s="1" t="s">
        <v>5427</v>
      </c>
      <c r="C493" s="1" t="s">
        <v>71</v>
      </c>
      <c r="D493" s="1" t="s">
        <v>2720</v>
      </c>
      <c r="E493" s="1" t="s">
        <v>2727</v>
      </c>
      <c r="F493" s="1" t="s">
        <v>836</v>
      </c>
      <c r="G493" s="1" t="s">
        <v>837</v>
      </c>
      <c r="H493" s="1" t="s">
        <v>18</v>
      </c>
    </row>
    <row r="494" spans="1:8">
      <c r="A494" s="1">
        <v>493</v>
      </c>
      <c r="B494" s="1" t="s">
        <v>5428</v>
      </c>
      <c r="C494" s="1" t="s">
        <v>58</v>
      </c>
      <c r="D494" s="1" t="s">
        <v>2729</v>
      </c>
      <c r="E494" s="1" t="s">
        <v>2730</v>
      </c>
      <c r="F494" s="1" t="s">
        <v>12</v>
      </c>
      <c r="G494" s="1" t="s">
        <v>13</v>
      </c>
      <c r="H494" s="1" t="s">
        <v>18</v>
      </c>
    </row>
    <row r="495" spans="1:8">
      <c r="A495" s="1">
        <v>494</v>
      </c>
      <c r="B495" s="1" t="s">
        <v>5428</v>
      </c>
      <c r="C495" s="1" t="s">
        <v>63</v>
      </c>
      <c r="D495" s="1" t="s">
        <v>2729</v>
      </c>
      <c r="E495" s="1" t="s">
        <v>2732</v>
      </c>
      <c r="F495" s="1" t="s">
        <v>839</v>
      </c>
      <c r="G495" s="1" t="s">
        <v>840</v>
      </c>
      <c r="H495" s="1" t="s">
        <v>18</v>
      </c>
    </row>
    <row r="496" spans="1:8">
      <c r="A496" s="1">
        <v>495</v>
      </c>
      <c r="B496" s="1" t="s">
        <v>5428</v>
      </c>
      <c r="C496" s="1" t="s">
        <v>67</v>
      </c>
      <c r="D496" s="1" t="s">
        <v>2729</v>
      </c>
      <c r="E496" s="1" t="s">
        <v>2734</v>
      </c>
      <c r="F496" s="1" t="s">
        <v>21</v>
      </c>
      <c r="G496" s="1" t="s">
        <v>22</v>
      </c>
      <c r="H496" s="1" t="s">
        <v>18</v>
      </c>
    </row>
    <row r="497" spans="1:8">
      <c r="A497" s="1">
        <v>496</v>
      </c>
      <c r="B497" s="1" t="s">
        <v>5428</v>
      </c>
      <c r="C497" s="1" t="s">
        <v>71</v>
      </c>
      <c r="D497" s="1" t="s">
        <v>2729</v>
      </c>
      <c r="E497" s="1" t="s">
        <v>2736</v>
      </c>
      <c r="F497" s="1" t="s">
        <v>836</v>
      </c>
      <c r="G497" s="1" t="s">
        <v>837</v>
      </c>
      <c r="H497" s="1" t="s">
        <v>18</v>
      </c>
    </row>
    <row r="498" spans="1:8">
      <c r="A498" s="1">
        <v>497</v>
      </c>
      <c r="B498" s="1" t="s">
        <v>5429</v>
      </c>
      <c r="C498" s="1" t="s">
        <v>58</v>
      </c>
      <c r="D498" s="1" t="s">
        <v>2738</v>
      </c>
      <c r="E498" s="1" t="s">
        <v>2739</v>
      </c>
      <c r="F498" s="1" t="s">
        <v>12</v>
      </c>
      <c r="G498" s="1" t="s">
        <v>13</v>
      </c>
      <c r="H498" s="1" t="s">
        <v>18</v>
      </c>
    </row>
    <row r="499" spans="1:8">
      <c r="A499" s="1">
        <v>498</v>
      </c>
      <c r="B499" s="1" t="s">
        <v>5429</v>
      </c>
      <c r="C499" s="1" t="s">
        <v>63</v>
      </c>
      <c r="D499" s="1" t="s">
        <v>2738</v>
      </c>
      <c r="E499" s="1" t="s">
        <v>2741</v>
      </c>
      <c r="F499" s="1" t="s">
        <v>839</v>
      </c>
      <c r="G499" s="1" t="s">
        <v>840</v>
      </c>
      <c r="H499" s="1" t="s">
        <v>18</v>
      </c>
    </row>
    <row r="500" spans="1:8">
      <c r="A500" s="1">
        <v>499</v>
      </c>
      <c r="B500" s="1" t="s">
        <v>5429</v>
      </c>
      <c r="C500" s="1" t="s">
        <v>67</v>
      </c>
      <c r="D500" s="1" t="s">
        <v>2738</v>
      </c>
      <c r="E500" s="1" t="s">
        <v>2743</v>
      </c>
      <c r="F500" s="1" t="s">
        <v>21</v>
      </c>
      <c r="G500" s="1" t="s">
        <v>22</v>
      </c>
      <c r="H500" s="1" t="s">
        <v>18</v>
      </c>
    </row>
    <row r="501" spans="1:8">
      <c r="A501" s="1">
        <v>500</v>
      </c>
      <c r="B501" s="1" t="s">
        <v>5429</v>
      </c>
      <c r="C501" s="1" t="s">
        <v>71</v>
      </c>
      <c r="D501" s="1" t="s">
        <v>2738</v>
      </c>
      <c r="E501" s="1" t="s">
        <v>2745</v>
      </c>
      <c r="F501" s="1" t="s">
        <v>836</v>
      </c>
      <c r="G501" s="1" t="s">
        <v>837</v>
      </c>
      <c r="H501" s="1" t="s">
        <v>18</v>
      </c>
    </row>
    <row r="502" spans="1:8">
      <c r="A502" s="1">
        <v>501</v>
      </c>
      <c r="B502" s="1" t="s">
        <v>5430</v>
      </c>
      <c r="C502" s="1" t="s">
        <v>58</v>
      </c>
      <c r="D502" s="1" t="s">
        <v>2747</v>
      </c>
      <c r="E502" s="1" t="s">
        <v>2748</v>
      </c>
      <c r="F502" s="1" t="s">
        <v>12</v>
      </c>
      <c r="G502" s="1" t="s">
        <v>13</v>
      </c>
      <c r="H502" s="1" t="s">
        <v>18</v>
      </c>
    </row>
    <row r="503" spans="1:8">
      <c r="A503" s="1">
        <v>502</v>
      </c>
      <c r="B503" s="1" t="s">
        <v>5430</v>
      </c>
      <c r="C503" s="1" t="s">
        <v>63</v>
      </c>
      <c r="D503" s="1" t="s">
        <v>2747</v>
      </c>
      <c r="E503" s="1" t="s">
        <v>2750</v>
      </c>
      <c r="F503" s="1" t="s">
        <v>839</v>
      </c>
      <c r="G503" s="1" t="s">
        <v>840</v>
      </c>
      <c r="H503" s="1" t="s">
        <v>18</v>
      </c>
    </row>
    <row r="504" spans="1:8">
      <c r="A504" s="1">
        <v>503</v>
      </c>
      <c r="B504" s="1" t="s">
        <v>5430</v>
      </c>
      <c r="C504" s="1" t="s">
        <v>67</v>
      </c>
      <c r="D504" s="1" t="s">
        <v>2747</v>
      </c>
      <c r="E504" s="1" t="s">
        <v>2752</v>
      </c>
      <c r="F504" s="1" t="s">
        <v>21</v>
      </c>
      <c r="G504" s="1" t="s">
        <v>22</v>
      </c>
      <c r="H504" s="1" t="s">
        <v>18</v>
      </c>
    </row>
    <row r="505" spans="1:8">
      <c r="A505" s="1">
        <v>504</v>
      </c>
      <c r="B505" s="1" t="s">
        <v>5430</v>
      </c>
      <c r="C505" s="1" t="s">
        <v>71</v>
      </c>
      <c r="D505" s="1" t="s">
        <v>2747</v>
      </c>
      <c r="E505" s="1" t="s">
        <v>2754</v>
      </c>
      <c r="F505" s="1" t="s">
        <v>836</v>
      </c>
      <c r="G505" s="1" t="s">
        <v>837</v>
      </c>
      <c r="H505" s="1" t="s">
        <v>18</v>
      </c>
    </row>
    <row r="506" spans="1:8">
      <c r="A506" s="1">
        <v>505</v>
      </c>
      <c r="B506" s="1" t="s">
        <v>5431</v>
      </c>
      <c r="C506" s="1" t="s">
        <v>58</v>
      </c>
      <c r="D506" s="1" t="s">
        <v>2756</v>
      </c>
      <c r="E506" s="1" t="s">
        <v>2757</v>
      </c>
      <c r="F506" s="1" t="s">
        <v>12</v>
      </c>
      <c r="G506" s="1" t="s">
        <v>13</v>
      </c>
      <c r="H506" s="1" t="s">
        <v>18</v>
      </c>
    </row>
    <row r="507" spans="1:8">
      <c r="A507" s="1">
        <v>506</v>
      </c>
      <c r="B507" s="1" t="s">
        <v>5431</v>
      </c>
      <c r="C507" s="1" t="s">
        <v>63</v>
      </c>
      <c r="D507" s="1" t="s">
        <v>2756</v>
      </c>
      <c r="E507" s="1" t="s">
        <v>2759</v>
      </c>
      <c r="F507" s="1" t="s">
        <v>839</v>
      </c>
      <c r="G507" s="1" t="s">
        <v>840</v>
      </c>
      <c r="H507" s="1" t="s">
        <v>18</v>
      </c>
    </row>
    <row r="508" spans="1:8">
      <c r="A508" s="1">
        <v>507</v>
      </c>
      <c r="B508" s="1" t="s">
        <v>5431</v>
      </c>
      <c r="C508" s="1" t="s">
        <v>67</v>
      </c>
      <c r="D508" s="1" t="s">
        <v>2756</v>
      </c>
      <c r="E508" s="1" t="s">
        <v>2761</v>
      </c>
      <c r="F508" s="1" t="s">
        <v>21</v>
      </c>
      <c r="G508" s="1" t="s">
        <v>22</v>
      </c>
      <c r="H508" s="1" t="s">
        <v>18</v>
      </c>
    </row>
    <row r="509" spans="1:8">
      <c r="A509" s="1">
        <v>508</v>
      </c>
      <c r="B509" s="1" t="s">
        <v>5431</v>
      </c>
      <c r="C509" s="1" t="s">
        <v>71</v>
      </c>
      <c r="D509" s="1" t="s">
        <v>2756</v>
      </c>
      <c r="E509" s="1" t="s">
        <v>2763</v>
      </c>
      <c r="F509" s="1" t="s">
        <v>836</v>
      </c>
      <c r="G509" s="1" t="s">
        <v>837</v>
      </c>
      <c r="H509" s="1" t="s">
        <v>18</v>
      </c>
    </row>
    <row r="510" spans="1:8">
      <c r="A510" s="1">
        <v>509</v>
      </c>
      <c r="B510" s="1" t="s">
        <v>5432</v>
      </c>
      <c r="C510" s="1" t="s">
        <v>58</v>
      </c>
      <c r="D510" s="1" t="s">
        <v>2765</v>
      </c>
      <c r="E510" s="1" t="s">
        <v>2766</v>
      </c>
      <c r="F510" s="1" t="s">
        <v>12</v>
      </c>
      <c r="G510" s="1" t="s">
        <v>13</v>
      </c>
      <c r="H510" s="1" t="s">
        <v>18</v>
      </c>
    </row>
    <row r="511" spans="1:8">
      <c r="A511" s="1">
        <v>510</v>
      </c>
      <c r="B511" s="1" t="s">
        <v>5432</v>
      </c>
      <c r="C511" s="1" t="s">
        <v>63</v>
      </c>
      <c r="D511" s="1" t="s">
        <v>2765</v>
      </c>
      <c r="E511" s="1" t="s">
        <v>2768</v>
      </c>
      <c r="F511" s="1" t="s">
        <v>839</v>
      </c>
      <c r="G511" s="1" t="s">
        <v>840</v>
      </c>
      <c r="H511" s="1" t="s">
        <v>18</v>
      </c>
    </row>
    <row r="512" spans="1:8">
      <c r="A512" s="1">
        <v>511</v>
      </c>
      <c r="B512" s="1" t="s">
        <v>5432</v>
      </c>
      <c r="C512" s="1" t="s">
        <v>67</v>
      </c>
      <c r="D512" s="1" t="s">
        <v>2765</v>
      </c>
      <c r="E512" s="1" t="s">
        <v>2770</v>
      </c>
      <c r="F512" s="1" t="s">
        <v>21</v>
      </c>
      <c r="G512" s="1" t="s">
        <v>22</v>
      </c>
      <c r="H512" s="1" t="s">
        <v>18</v>
      </c>
    </row>
    <row r="513" spans="1:8">
      <c r="A513" s="1">
        <v>512</v>
      </c>
      <c r="B513" s="1" t="s">
        <v>5432</v>
      </c>
      <c r="C513" s="1" t="s">
        <v>71</v>
      </c>
      <c r="D513" s="1" t="s">
        <v>2765</v>
      </c>
      <c r="E513" s="1" t="s">
        <v>2772</v>
      </c>
      <c r="F513" s="1" t="s">
        <v>836</v>
      </c>
      <c r="G513" s="1" t="s">
        <v>837</v>
      </c>
      <c r="H513" s="1" t="s">
        <v>18</v>
      </c>
    </row>
    <row r="514" spans="1:8">
      <c r="A514" s="1">
        <v>513</v>
      </c>
      <c r="B514" s="1" t="s">
        <v>5433</v>
      </c>
      <c r="C514" s="1" t="s">
        <v>58</v>
      </c>
      <c r="D514" s="1" t="s">
        <v>2774</v>
      </c>
      <c r="E514" s="1" t="s">
        <v>2775</v>
      </c>
      <c r="F514" s="1" t="s">
        <v>12</v>
      </c>
      <c r="G514" s="1" t="s">
        <v>13</v>
      </c>
      <c r="H514" s="1" t="s">
        <v>18</v>
      </c>
    </row>
    <row r="515" spans="1:8">
      <c r="A515" s="1">
        <v>514</v>
      </c>
      <c r="B515" s="1" t="s">
        <v>5433</v>
      </c>
      <c r="C515" s="1" t="s">
        <v>63</v>
      </c>
      <c r="D515" s="1" t="s">
        <v>2774</v>
      </c>
      <c r="E515" s="1" t="s">
        <v>2777</v>
      </c>
      <c r="F515" s="1" t="s">
        <v>839</v>
      </c>
      <c r="G515" s="1" t="s">
        <v>840</v>
      </c>
      <c r="H515" s="1" t="s">
        <v>18</v>
      </c>
    </row>
    <row r="516" spans="1:8">
      <c r="A516" s="1">
        <v>515</v>
      </c>
      <c r="B516" s="1" t="s">
        <v>5433</v>
      </c>
      <c r="C516" s="1" t="s">
        <v>67</v>
      </c>
      <c r="D516" s="1" t="s">
        <v>2774</v>
      </c>
      <c r="E516" s="1" t="s">
        <v>2779</v>
      </c>
      <c r="F516" s="1" t="s">
        <v>21</v>
      </c>
      <c r="G516" s="1" t="s">
        <v>22</v>
      </c>
      <c r="H516" s="1" t="s">
        <v>18</v>
      </c>
    </row>
    <row r="517" spans="1:8">
      <c r="A517" s="1">
        <v>516</v>
      </c>
      <c r="B517" s="1" t="s">
        <v>5433</v>
      </c>
      <c r="C517" s="1" t="s">
        <v>71</v>
      </c>
      <c r="D517" s="1" t="s">
        <v>2774</v>
      </c>
      <c r="E517" s="1" t="s">
        <v>2781</v>
      </c>
      <c r="F517" s="1" t="s">
        <v>836</v>
      </c>
      <c r="G517" s="1" t="s">
        <v>837</v>
      </c>
      <c r="H517" s="1" t="s">
        <v>18</v>
      </c>
    </row>
    <row r="518" spans="1:8">
      <c r="A518" s="1">
        <v>517</v>
      </c>
      <c r="B518" s="1" t="s">
        <v>5434</v>
      </c>
      <c r="C518" s="1" t="s">
        <v>58</v>
      </c>
      <c r="D518" s="1" t="s">
        <v>2783</v>
      </c>
      <c r="E518" s="1" t="s">
        <v>2784</v>
      </c>
      <c r="F518" s="1" t="s">
        <v>12</v>
      </c>
      <c r="G518" s="1" t="s">
        <v>13</v>
      </c>
      <c r="H518" s="1" t="s">
        <v>18</v>
      </c>
    </row>
    <row r="519" spans="1:8">
      <c r="A519" s="1">
        <v>518</v>
      </c>
      <c r="B519" s="1" t="s">
        <v>5434</v>
      </c>
      <c r="C519" s="1" t="s">
        <v>63</v>
      </c>
      <c r="D519" s="1" t="s">
        <v>2783</v>
      </c>
      <c r="E519" s="1" t="s">
        <v>2786</v>
      </c>
      <c r="F519" s="1" t="s">
        <v>839</v>
      </c>
      <c r="G519" s="1" t="s">
        <v>840</v>
      </c>
      <c r="H519" s="1" t="s">
        <v>18</v>
      </c>
    </row>
    <row r="520" spans="1:8">
      <c r="A520" s="1">
        <v>519</v>
      </c>
      <c r="B520" s="1" t="s">
        <v>5434</v>
      </c>
      <c r="C520" s="1" t="s">
        <v>67</v>
      </c>
      <c r="D520" s="1" t="s">
        <v>2783</v>
      </c>
      <c r="E520" s="1" t="s">
        <v>2788</v>
      </c>
      <c r="F520" s="1" t="s">
        <v>21</v>
      </c>
      <c r="G520" s="1" t="s">
        <v>22</v>
      </c>
      <c r="H520" s="1" t="s">
        <v>18</v>
      </c>
    </row>
    <row r="521" spans="1:8">
      <c r="A521" s="1">
        <v>520</v>
      </c>
      <c r="B521" s="1" t="s">
        <v>5434</v>
      </c>
      <c r="C521" s="1" t="s">
        <v>71</v>
      </c>
      <c r="D521" s="1" t="s">
        <v>2783</v>
      </c>
      <c r="E521" s="1" t="s">
        <v>2790</v>
      </c>
      <c r="F521" s="1" t="s">
        <v>836</v>
      </c>
      <c r="G521" s="1" t="s">
        <v>837</v>
      </c>
      <c r="H521" s="1" t="s">
        <v>18</v>
      </c>
    </row>
    <row r="522" spans="1:8">
      <c r="A522" s="1">
        <v>521</v>
      </c>
      <c r="B522" s="1" t="s">
        <v>5435</v>
      </c>
      <c r="C522" s="1" t="s">
        <v>58</v>
      </c>
      <c r="D522" s="1" t="s">
        <v>2792</v>
      </c>
      <c r="E522" s="1" t="s">
        <v>2793</v>
      </c>
      <c r="F522" s="1" t="s">
        <v>12</v>
      </c>
      <c r="G522" s="1" t="s">
        <v>13</v>
      </c>
      <c r="H522" s="1" t="s">
        <v>18</v>
      </c>
    </row>
    <row r="523" spans="1:8">
      <c r="A523" s="1">
        <v>522</v>
      </c>
      <c r="B523" s="1" t="s">
        <v>5435</v>
      </c>
      <c r="C523" s="1" t="s">
        <v>63</v>
      </c>
      <c r="D523" s="1" t="s">
        <v>2792</v>
      </c>
      <c r="E523" s="1" t="s">
        <v>2795</v>
      </c>
      <c r="F523" s="1" t="s">
        <v>839</v>
      </c>
      <c r="G523" s="1" t="s">
        <v>840</v>
      </c>
      <c r="H523" s="1" t="s">
        <v>18</v>
      </c>
    </row>
    <row r="524" spans="1:8">
      <c r="A524" s="1">
        <v>523</v>
      </c>
      <c r="B524" s="1" t="s">
        <v>5435</v>
      </c>
      <c r="C524" s="1" t="s">
        <v>67</v>
      </c>
      <c r="D524" s="1" t="s">
        <v>2792</v>
      </c>
      <c r="E524" s="1" t="s">
        <v>2797</v>
      </c>
      <c r="F524" s="1" t="s">
        <v>21</v>
      </c>
      <c r="G524" s="1" t="s">
        <v>22</v>
      </c>
      <c r="H524" s="1" t="s">
        <v>18</v>
      </c>
    </row>
    <row r="525" spans="1:8">
      <c r="A525" s="1">
        <v>524</v>
      </c>
      <c r="B525" s="1" t="s">
        <v>5435</v>
      </c>
      <c r="C525" s="1" t="s">
        <v>71</v>
      </c>
      <c r="D525" s="1" t="s">
        <v>2792</v>
      </c>
      <c r="E525" s="1" t="s">
        <v>2799</v>
      </c>
      <c r="F525" s="1" t="s">
        <v>836</v>
      </c>
      <c r="G525" s="1" t="s">
        <v>837</v>
      </c>
      <c r="H525" s="1" t="s">
        <v>18</v>
      </c>
    </row>
    <row r="526" spans="1:8">
      <c r="A526" s="1">
        <v>525</v>
      </c>
      <c r="B526" s="1" t="s">
        <v>5436</v>
      </c>
      <c r="C526" s="1" t="s">
        <v>58</v>
      </c>
      <c r="D526" s="1" t="s">
        <v>2801</v>
      </c>
      <c r="E526" s="1" t="s">
        <v>2802</v>
      </c>
      <c r="F526" s="1" t="s">
        <v>12</v>
      </c>
      <c r="G526" s="1" t="s">
        <v>13</v>
      </c>
      <c r="H526" s="1" t="s">
        <v>18</v>
      </c>
    </row>
    <row r="527" spans="1:8">
      <c r="A527" s="1">
        <v>526</v>
      </c>
      <c r="B527" s="1" t="s">
        <v>5436</v>
      </c>
      <c r="C527" s="1" t="s">
        <v>63</v>
      </c>
      <c r="D527" s="1" t="s">
        <v>2801</v>
      </c>
      <c r="E527" s="1" t="s">
        <v>2804</v>
      </c>
      <c r="F527" s="1" t="s">
        <v>839</v>
      </c>
      <c r="G527" s="1" t="s">
        <v>840</v>
      </c>
      <c r="H527" s="1" t="s">
        <v>18</v>
      </c>
    </row>
    <row r="528" spans="1:8">
      <c r="A528" s="1">
        <v>527</v>
      </c>
      <c r="B528" s="1" t="s">
        <v>5436</v>
      </c>
      <c r="C528" s="1" t="s">
        <v>67</v>
      </c>
      <c r="D528" s="1" t="s">
        <v>2801</v>
      </c>
      <c r="E528" s="1" t="s">
        <v>2806</v>
      </c>
      <c r="F528" s="1" t="s">
        <v>21</v>
      </c>
      <c r="G528" s="1" t="s">
        <v>22</v>
      </c>
      <c r="H528" s="1" t="s">
        <v>18</v>
      </c>
    </row>
    <row r="529" spans="1:8">
      <c r="A529" s="1">
        <v>528</v>
      </c>
      <c r="B529" s="1" t="s">
        <v>5436</v>
      </c>
      <c r="C529" s="1" t="s">
        <v>71</v>
      </c>
      <c r="D529" s="1" t="s">
        <v>2801</v>
      </c>
      <c r="E529" s="1" t="s">
        <v>2808</v>
      </c>
      <c r="F529" s="1" t="s">
        <v>836</v>
      </c>
      <c r="G529" s="1" t="s">
        <v>837</v>
      </c>
      <c r="H529" s="1" t="s">
        <v>18</v>
      </c>
    </row>
    <row r="530" spans="1:8">
      <c r="A530" s="1">
        <v>529</v>
      </c>
      <c r="B530" s="1" t="s">
        <v>5437</v>
      </c>
      <c r="C530" s="1" t="s">
        <v>58</v>
      </c>
      <c r="D530" s="1" t="s">
        <v>2810</v>
      </c>
      <c r="E530" s="1" t="s">
        <v>2811</v>
      </c>
      <c r="F530" s="1" t="s">
        <v>12</v>
      </c>
      <c r="G530" s="1" t="s">
        <v>13</v>
      </c>
      <c r="H530" s="1" t="s">
        <v>18</v>
      </c>
    </row>
    <row r="531" spans="1:8">
      <c r="A531" s="1">
        <v>530</v>
      </c>
      <c r="B531" s="1" t="s">
        <v>5437</v>
      </c>
      <c r="C531" s="1" t="s">
        <v>63</v>
      </c>
      <c r="D531" s="1" t="s">
        <v>2810</v>
      </c>
      <c r="E531" s="1" t="s">
        <v>2813</v>
      </c>
      <c r="F531" s="1" t="s">
        <v>839</v>
      </c>
      <c r="G531" s="1" t="s">
        <v>840</v>
      </c>
      <c r="H531" s="1" t="s">
        <v>18</v>
      </c>
    </row>
    <row r="532" spans="1:8">
      <c r="A532" s="1">
        <v>531</v>
      </c>
      <c r="B532" s="1" t="s">
        <v>5437</v>
      </c>
      <c r="C532" s="1" t="s">
        <v>67</v>
      </c>
      <c r="D532" s="1" t="s">
        <v>2810</v>
      </c>
      <c r="E532" s="1" t="s">
        <v>2815</v>
      </c>
      <c r="F532" s="1" t="s">
        <v>21</v>
      </c>
      <c r="G532" s="1" t="s">
        <v>22</v>
      </c>
      <c r="H532" s="1" t="s">
        <v>18</v>
      </c>
    </row>
    <row r="533" spans="1:8">
      <c r="A533" s="1">
        <v>532</v>
      </c>
      <c r="B533" s="1" t="s">
        <v>5437</v>
      </c>
      <c r="C533" s="1" t="s">
        <v>71</v>
      </c>
      <c r="D533" s="1" t="s">
        <v>2810</v>
      </c>
      <c r="E533" s="1" t="s">
        <v>2817</v>
      </c>
      <c r="F533" s="1" t="s">
        <v>836</v>
      </c>
      <c r="G533" s="1" t="s">
        <v>837</v>
      </c>
      <c r="H533" s="1" t="s">
        <v>18</v>
      </c>
    </row>
    <row r="534" spans="1:8">
      <c r="A534" s="1">
        <v>533</v>
      </c>
      <c r="B534" s="1" t="s">
        <v>5438</v>
      </c>
      <c r="C534" s="1" t="s">
        <v>58</v>
      </c>
      <c r="D534" s="1" t="s">
        <v>2819</v>
      </c>
      <c r="E534" s="1" t="s">
        <v>2820</v>
      </c>
      <c r="F534" s="1" t="s">
        <v>12</v>
      </c>
      <c r="G534" s="1" t="s">
        <v>13</v>
      </c>
      <c r="H534" s="1" t="s">
        <v>18</v>
      </c>
    </row>
    <row r="535" spans="1:8">
      <c r="A535" s="1">
        <v>534</v>
      </c>
      <c r="B535" s="1" t="s">
        <v>5438</v>
      </c>
      <c r="C535" s="1" t="s">
        <v>63</v>
      </c>
      <c r="D535" s="1" t="s">
        <v>2819</v>
      </c>
      <c r="E535" s="1" t="s">
        <v>2822</v>
      </c>
      <c r="F535" s="1" t="s">
        <v>839</v>
      </c>
      <c r="G535" s="1" t="s">
        <v>840</v>
      </c>
      <c r="H535" s="1" t="s">
        <v>18</v>
      </c>
    </row>
    <row r="536" spans="1:8">
      <c r="A536" s="1">
        <v>535</v>
      </c>
      <c r="B536" s="1" t="s">
        <v>5438</v>
      </c>
      <c r="C536" s="1" t="s">
        <v>67</v>
      </c>
      <c r="D536" s="1" t="s">
        <v>2819</v>
      </c>
      <c r="E536" s="1" t="s">
        <v>2824</v>
      </c>
      <c r="F536" s="1" t="s">
        <v>21</v>
      </c>
      <c r="G536" s="1" t="s">
        <v>22</v>
      </c>
      <c r="H536" s="1" t="s">
        <v>18</v>
      </c>
    </row>
    <row r="537" spans="1:8">
      <c r="A537" s="1">
        <v>536</v>
      </c>
      <c r="B537" s="1" t="s">
        <v>5438</v>
      </c>
      <c r="C537" s="1" t="s">
        <v>71</v>
      </c>
      <c r="D537" s="1" t="s">
        <v>2819</v>
      </c>
      <c r="E537" s="1" t="s">
        <v>2826</v>
      </c>
      <c r="F537" s="1" t="s">
        <v>836</v>
      </c>
      <c r="G537" s="1" t="s">
        <v>837</v>
      </c>
      <c r="H537" s="1" t="s">
        <v>18</v>
      </c>
    </row>
    <row r="538" spans="1:8">
      <c r="A538" s="1">
        <v>537</v>
      </c>
      <c r="B538" s="1" t="s">
        <v>5439</v>
      </c>
      <c r="C538" s="1" t="s">
        <v>58</v>
      </c>
      <c r="D538" s="1" t="s">
        <v>2828</v>
      </c>
      <c r="E538" s="1" t="s">
        <v>2829</v>
      </c>
      <c r="F538" s="1" t="s">
        <v>12</v>
      </c>
      <c r="G538" s="1" t="s">
        <v>13</v>
      </c>
      <c r="H538" s="1" t="s">
        <v>18</v>
      </c>
    </row>
    <row r="539" spans="1:8">
      <c r="A539" s="1">
        <v>538</v>
      </c>
      <c r="B539" s="1" t="s">
        <v>5439</v>
      </c>
      <c r="C539" s="1" t="s">
        <v>63</v>
      </c>
      <c r="D539" s="1" t="s">
        <v>2828</v>
      </c>
      <c r="E539" s="1" t="s">
        <v>2831</v>
      </c>
      <c r="F539" s="1" t="s">
        <v>839</v>
      </c>
      <c r="G539" s="1" t="s">
        <v>840</v>
      </c>
      <c r="H539" s="1" t="s">
        <v>18</v>
      </c>
    </row>
    <row r="540" spans="1:8">
      <c r="A540" s="1">
        <v>539</v>
      </c>
      <c r="B540" s="1" t="s">
        <v>5439</v>
      </c>
      <c r="C540" s="1" t="s">
        <v>67</v>
      </c>
      <c r="D540" s="1" t="s">
        <v>2828</v>
      </c>
      <c r="E540" s="1" t="s">
        <v>2833</v>
      </c>
      <c r="F540" s="1" t="s">
        <v>21</v>
      </c>
      <c r="G540" s="1" t="s">
        <v>22</v>
      </c>
      <c r="H540" s="1" t="s">
        <v>18</v>
      </c>
    </row>
    <row r="541" spans="1:8">
      <c r="A541" s="1">
        <v>540</v>
      </c>
      <c r="B541" s="1" t="s">
        <v>5439</v>
      </c>
      <c r="C541" s="1" t="s">
        <v>71</v>
      </c>
      <c r="D541" s="1" t="s">
        <v>2828</v>
      </c>
      <c r="E541" s="1" t="s">
        <v>2835</v>
      </c>
      <c r="F541" s="1" t="s">
        <v>836</v>
      </c>
      <c r="G541" s="1" t="s">
        <v>837</v>
      </c>
      <c r="H541" s="1" t="s">
        <v>18</v>
      </c>
    </row>
    <row r="542" spans="1:8">
      <c r="A542" s="1">
        <v>541</v>
      </c>
      <c r="B542" s="1" t="s">
        <v>5440</v>
      </c>
      <c r="C542" s="1" t="s">
        <v>58</v>
      </c>
      <c r="D542" s="1" t="s">
        <v>2837</v>
      </c>
      <c r="E542" s="1" t="s">
        <v>2838</v>
      </c>
      <c r="F542" s="1" t="s">
        <v>12</v>
      </c>
      <c r="G542" s="1" t="s">
        <v>13</v>
      </c>
      <c r="H542" s="1" t="s">
        <v>18</v>
      </c>
    </row>
    <row r="543" spans="1:8">
      <c r="A543" s="1">
        <v>542</v>
      </c>
      <c r="B543" s="1" t="s">
        <v>5440</v>
      </c>
      <c r="C543" s="1" t="s">
        <v>63</v>
      </c>
      <c r="D543" s="1" t="s">
        <v>2837</v>
      </c>
      <c r="E543" s="1" t="s">
        <v>2840</v>
      </c>
      <c r="F543" s="1" t="s">
        <v>839</v>
      </c>
      <c r="G543" s="1" t="s">
        <v>840</v>
      </c>
      <c r="H543" s="1" t="s">
        <v>18</v>
      </c>
    </row>
    <row r="544" spans="1:8">
      <c r="A544" s="1">
        <v>543</v>
      </c>
      <c r="B544" s="1" t="s">
        <v>5440</v>
      </c>
      <c r="C544" s="1" t="s">
        <v>67</v>
      </c>
      <c r="D544" s="1" t="s">
        <v>2837</v>
      </c>
      <c r="E544" s="1" t="s">
        <v>2842</v>
      </c>
      <c r="F544" s="1" t="s">
        <v>21</v>
      </c>
      <c r="G544" s="1" t="s">
        <v>22</v>
      </c>
      <c r="H544" s="1" t="s">
        <v>18</v>
      </c>
    </row>
    <row r="545" spans="1:8">
      <c r="A545" s="1">
        <v>544</v>
      </c>
      <c r="B545" s="1" t="s">
        <v>5440</v>
      </c>
      <c r="C545" s="1" t="s">
        <v>71</v>
      </c>
      <c r="D545" s="1" t="s">
        <v>2837</v>
      </c>
      <c r="E545" s="1" t="s">
        <v>2844</v>
      </c>
      <c r="F545" s="1" t="s">
        <v>836</v>
      </c>
      <c r="G545" s="1" t="s">
        <v>837</v>
      </c>
      <c r="H545" s="1" t="s">
        <v>18</v>
      </c>
    </row>
    <row r="546" spans="1:8">
      <c r="A546" s="1">
        <v>545</v>
      </c>
      <c r="B546" s="1" t="s">
        <v>5441</v>
      </c>
      <c r="C546" s="1" t="s">
        <v>58</v>
      </c>
      <c r="D546" s="1" t="s">
        <v>2846</v>
      </c>
      <c r="E546" s="1" t="s">
        <v>2847</v>
      </c>
      <c r="F546" s="1" t="s">
        <v>12</v>
      </c>
      <c r="G546" s="1" t="s">
        <v>13</v>
      </c>
      <c r="H546" s="1" t="s">
        <v>18</v>
      </c>
    </row>
    <row r="547" spans="1:8">
      <c r="A547" s="1">
        <v>546</v>
      </c>
      <c r="B547" s="1" t="s">
        <v>5441</v>
      </c>
      <c r="C547" s="1" t="s">
        <v>63</v>
      </c>
      <c r="D547" s="1" t="s">
        <v>2846</v>
      </c>
      <c r="E547" s="1" t="s">
        <v>2849</v>
      </c>
      <c r="F547" s="1" t="s">
        <v>839</v>
      </c>
      <c r="G547" s="1" t="s">
        <v>840</v>
      </c>
      <c r="H547" s="1" t="s">
        <v>18</v>
      </c>
    </row>
    <row r="548" spans="1:8">
      <c r="A548" s="1">
        <v>547</v>
      </c>
      <c r="B548" s="1" t="s">
        <v>5441</v>
      </c>
      <c r="C548" s="1" t="s">
        <v>67</v>
      </c>
      <c r="D548" s="1" t="s">
        <v>2846</v>
      </c>
      <c r="E548" s="1" t="s">
        <v>2851</v>
      </c>
      <c r="F548" s="1" t="s">
        <v>21</v>
      </c>
      <c r="G548" s="1" t="s">
        <v>22</v>
      </c>
      <c r="H548" s="1" t="s">
        <v>18</v>
      </c>
    </row>
    <row r="549" spans="1:8">
      <c r="A549" s="1">
        <v>548</v>
      </c>
      <c r="B549" s="1" t="s">
        <v>5441</v>
      </c>
      <c r="C549" s="1" t="s">
        <v>71</v>
      </c>
      <c r="D549" s="1" t="s">
        <v>2846</v>
      </c>
      <c r="E549" s="1" t="s">
        <v>2853</v>
      </c>
      <c r="F549" s="1" t="s">
        <v>836</v>
      </c>
      <c r="G549" s="1" t="s">
        <v>837</v>
      </c>
      <c r="H549" s="1" t="s">
        <v>18</v>
      </c>
    </row>
    <row r="550" spans="1:8">
      <c r="A550" s="1">
        <v>549</v>
      </c>
      <c r="B550" s="1" t="s">
        <v>5442</v>
      </c>
      <c r="C550" s="1" t="s">
        <v>58</v>
      </c>
      <c r="D550" s="1" t="s">
        <v>2855</v>
      </c>
      <c r="E550" s="1" t="s">
        <v>2856</v>
      </c>
      <c r="F550" s="1" t="s">
        <v>12</v>
      </c>
      <c r="G550" s="1" t="s">
        <v>13</v>
      </c>
      <c r="H550" s="1" t="s">
        <v>18</v>
      </c>
    </row>
    <row r="551" spans="1:8">
      <c r="A551" s="1">
        <v>550</v>
      </c>
      <c r="B551" s="1" t="s">
        <v>5442</v>
      </c>
      <c r="C551" s="1" t="s">
        <v>63</v>
      </c>
      <c r="D551" s="1" t="s">
        <v>2855</v>
      </c>
      <c r="E551" s="1" t="s">
        <v>2858</v>
      </c>
      <c r="F551" s="1" t="s">
        <v>839</v>
      </c>
      <c r="G551" s="1" t="s">
        <v>840</v>
      </c>
      <c r="H551" s="1" t="s">
        <v>18</v>
      </c>
    </row>
    <row r="552" spans="1:8">
      <c r="A552" s="1">
        <v>551</v>
      </c>
      <c r="B552" s="1" t="s">
        <v>5442</v>
      </c>
      <c r="C552" s="1" t="s">
        <v>67</v>
      </c>
      <c r="D552" s="1" t="s">
        <v>2855</v>
      </c>
      <c r="E552" s="1" t="s">
        <v>2860</v>
      </c>
      <c r="F552" s="1" t="s">
        <v>21</v>
      </c>
      <c r="G552" s="1" t="s">
        <v>22</v>
      </c>
      <c r="H552" s="1" t="s">
        <v>18</v>
      </c>
    </row>
    <row r="553" spans="1:8">
      <c r="A553" s="1">
        <v>552</v>
      </c>
      <c r="B553" s="1" t="s">
        <v>5442</v>
      </c>
      <c r="C553" s="1" t="s">
        <v>71</v>
      </c>
      <c r="D553" s="1" t="s">
        <v>2855</v>
      </c>
      <c r="E553" s="1" t="s">
        <v>2862</v>
      </c>
      <c r="F553" s="1" t="s">
        <v>836</v>
      </c>
      <c r="G553" s="1" t="s">
        <v>837</v>
      </c>
      <c r="H553" s="1" t="s">
        <v>18</v>
      </c>
    </row>
    <row r="554" spans="1:8">
      <c r="A554" s="1">
        <v>553</v>
      </c>
      <c r="B554" s="1" t="s">
        <v>5443</v>
      </c>
      <c r="C554" s="1" t="s">
        <v>58</v>
      </c>
      <c r="D554" s="1" t="s">
        <v>2864</v>
      </c>
      <c r="E554" s="1" t="s">
        <v>2865</v>
      </c>
      <c r="F554" s="1" t="s">
        <v>12</v>
      </c>
      <c r="G554" s="1" t="s">
        <v>13</v>
      </c>
      <c r="H554" s="1" t="s">
        <v>18</v>
      </c>
    </row>
    <row r="555" spans="1:8">
      <c r="A555" s="1">
        <v>554</v>
      </c>
      <c r="B555" s="1" t="s">
        <v>5443</v>
      </c>
      <c r="C555" s="1" t="s">
        <v>63</v>
      </c>
      <c r="D555" s="1" t="s">
        <v>2864</v>
      </c>
      <c r="E555" s="1" t="s">
        <v>2867</v>
      </c>
      <c r="F555" s="1" t="s">
        <v>839</v>
      </c>
      <c r="G555" s="1" t="s">
        <v>840</v>
      </c>
      <c r="H555" s="1" t="s">
        <v>18</v>
      </c>
    </row>
    <row r="556" spans="1:8">
      <c r="A556" s="1">
        <v>555</v>
      </c>
      <c r="B556" s="1" t="s">
        <v>5443</v>
      </c>
      <c r="C556" s="1" t="s">
        <v>67</v>
      </c>
      <c r="D556" s="1" t="s">
        <v>2864</v>
      </c>
      <c r="E556" s="1" t="s">
        <v>2869</v>
      </c>
      <c r="F556" s="1" t="s">
        <v>21</v>
      </c>
      <c r="G556" s="1" t="s">
        <v>22</v>
      </c>
      <c r="H556" s="1" t="s">
        <v>18</v>
      </c>
    </row>
    <row r="557" spans="1:8">
      <c r="A557" s="1">
        <v>556</v>
      </c>
      <c r="B557" s="1" t="s">
        <v>5443</v>
      </c>
      <c r="C557" s="1" t="s">
        <v>71</v>
      </c>
      <c r="D557" s="1" t="s">
        <v>2864</v>
      </c>
      <c r="E557" s="1" t="s">
        <v>2871</v>
      </c>
      <c r="F557" s="1" t="s">
        <v>836</v>
      </c>
      <c r="G557" s="1" t="s">
        <v>837</v>
      </c>
      <c r="H557" s="1" t="s">
        <v>18</v>
      </c>
    </row>
    <row r="558" spans="1:8">
      <c r="A558" s="1">
        <v>557</v>
      </c>
      <c r="B558" s="1" t="s">
        <v>5444</v>
      </c>
      <c r="C558" s="1" t="s">
        <v>58</v>
      </c>
      <c r="D558" s="1" t="s">
        <v>2873</v>
      </c>
      <c r="E558" s="1" t="s">
        <v>2874</v>
      </c>
      <c r="F558" s="1" t="s">
        <v>12</v>
      </c>
      <c r="G558" s="1" t="s">
        <v>13</v>
      </c>
      <c r="H558" s="1" t="s">
        <v>18</v>
      </c>
    </row>
    <row r="559" spans="1:8">
      <c r="A559" s="1">
        <v>558</v>
      </c>
      <c r="B559" s="1" t="s">
        <v>5444</v>
      </c>
      <c r="C559" s="1" t="s">
        <v>63</v>
      </c>
      <c r="D559" s="1" t="s">
        <v>2873</v>
      </c>
      <c r="E559" s="1" t="s">
        <v>2876</v>
      </c>
      <c r="F559" s="1" t="s">
        <v>839</v>
      </c>
      <c r="G559" s="1" t="s">
        <v>840</v>
      </c>
      <c r="H559" s="1" t="s">
        <v>18</v>
      </c>
    </row>
    <row r="560" spans="1:8">
      <c r="A560" s="1">
        <v>559</v>
      </c>
      <c r="B560" s="1" t="s">
        <v>5444</v>
      </c>
      <c r="C560" s="1" t="s">
        <v>67</v>
      </c>
      <c r="D560" s="1" t="s">
        <v>2873</v>
      </c>
      <c r="E560" s="1" t="s">
        <v>2878</v>
      </c>
      <c r="F560" s="1" t="s">
        <v>21</v>
      </c>
      <c r="G560" s="1" t="s">
        <v>22</v>
      </c>
      <c r="H560" s="1" t="s">
        <v>18</v>
      </c>
    </row>
    <row r="561" spans="1:8">
      <c r="A561" s="1">
        <v>560</v>
      </c>
      <c r="B561" s="1" t="s">
        <v>5444</v>
      </c>
      <c r="C561" s="1" t="s">
        <v>71</v>
      </c>
      <c r="D561" s="1" t="s">
        <v>2873</v>
      </c>
      <c r="E561" s="1" t="s">
        <v>2880</v>
      </c>
      <c r="F561" s="1" t="s">
        <v>836</v>
      </c>
      <c r="G561" s="1" t="s">
        <v>837</v>
      </c>
      <c r="H561" s="1" t="s">
        <v>18</v>
      </c>
    </row>
    <row r="562" spans="1:8">
      <c r="A562" s="1">
        <v>561</v>
      </c>
      <c r="B562" s="1" t="s">
        <v>5445</v>
      </c>
      <c r="C562" s="1" t="s">
        <v>58</v>
      </c>
      <c r="D562" s="1" t="s">
        <v>2882</v>
      </c>
      <c r="E562" s="1" t="s">
        <v>2883</v>
      </c>
      <c r="F562" s="1" t="s">
        <v>12</v>
      </c>
      <c r="G562" s="1" t="s">
        <v>13</v>
      </c>
      <c r="H562" s="1" t="s">
        <v>18</v>
      </c>
    </row>
    <row r="563" spans="1:8">
      <c r="A563" s="1">
        <v>562</v>
      </c>
      <c r="B563" s="1" t="s">
        <v>5445</v>
      </c>
      <c r="C563" s="1" t="s">
        <v>63</v>
      </c>
      <c r="D563" s="1" t="s">
        <v>2882</v>
      </c>
      <c r="E563" s="1" t="s">
        <v>2885</v>
      </c>
      <c r="F563" s="1" t="s">
        <v>839</v>
      </c>
      <c r="G563" s="1" t="s">
        <v>840</v>
      </c>
      <c r="H563" s="1" t="s">
        <v>18</v>
      </c>
    </row>
    <row r="564" spans="1:8">
      <c r="A564" s="1">
        <v>563</v>
      </c>
      <c r="B564" s="1" t="s">
        <v>5445</v>
      </c>
      <c r="C564" s="1" t="s">
        <v>67</v>
      </c>
      <c r="D564" s="1" t="s">
        <v>2882</v>
      </c>
      <c r="E564" s="1" t="s">
        <v>2887</v>
      </c>
      <c r="F564" s="1" t="s">
        <v>21</v>
      </c>
      <c r="G564" s="1" t="s">
        <v>22</v>
      </c>
      <c r="H564" s="1" t="s">
        <v>18</v>
      </c>
    </row>
    <row r="565" spans="1:8">
      <c r="A565" s="1">
        <v>564</v>
      </c>
      <c r="B565" s="1" t="s">
        <v>5445</v>
      </c>
      <c r="C565" s="1" t="s">
        <v>71</v>
      </c>
      <c r="D565" s="1" t="s">
        <v>2882</v>
      </c>
      <c r="E565" s="1" t="s">
        <v>2889</v>
      </c>
      <c r="F565" s="1" t="s">
        <v>836</v>
      </c>
      <c r="G565" s="1" t="s">
        <v>837</v>
      </c>
      <c r="H565" s="1" t="s">
        <v>18</v>
      </c>
    </row>
    <row r="566" spans="1:8">
      <c r="A566" s="1">
        <v>565</v>
      </c>
      <c r="B566" s="1" t="s">
        <v>5446</v>
      </c>
      <c r="C566" s="1" t="s">
        <v>58</v>
      </c>
      <c r="D566" s="1" t="s">
        <v>2891</v>
      </c>
      <c r="E566" s="1" t="s">
        <v>2892</v>
      </c>
      <c r="F566" s="1" t="s">
        <v>12</v>
      </c>
      <c r="G566" s="1" t="s">
        <v>13</v>
      </c>
      <c r="H566" s="1" t="s">
        <v>18</v>
      </c>
    </row>
    <row r="567" spans="1:8">
      <c r="A567" s="1">
        <v>566</v>
      </c>
      <c r="B567" s="1" t="s">
        <v>5446</v>
      </c>
      <c r="C567" s="1" t="s">
        <v>63</v>
      </c>
      <c r="D567" s="1" t="s">
        <v>2891</v>
      </c>
      <c r="E567" s="1" t="s">
        <v>2894</v>
      </c>
      <c r="F567" s="1" t="s">
        <v>839</v>
      </c>
      <c r="G567" s="1" t="s">
        <v>840</v>
      </c>
      <c r="H567" s="1" t="s">
        <v>18</v>
      </c>
    </row>
    <row r="568" spans="1:8">
      <c r="A568" s="1">
        <v>567</v>
      </c>
      <c r="B568" s="1" t="s">
        <v>5446</v>
      </c>
      <c r="C568" s="1" t="s">
        <v>67</v>
      </c>
      <c r="D568" s="1" t="s">
        <v>2891</v>
      </c>
      <c r="E568" s="1" t="s">
        <v>2896</v>
      </c>
      <c r="F568" s="1" t="s">
        <v>21</v>
      </c>
      <c r="G568" s="1" t="s">
        <v>22</v>
      </c>
      <c r="H568" s="1" t="s">
        <v>18</v>
      </c>
    </row>
    <row r="569" spans="1:8">
      <c r="A569" s="1">
        <v>568</v>
      </c>
      <c r="B569" s="1" t="s">
        <v>5446</v>
      </c>
      <c r="C569" s="1" t="s">
        <v>71</v>
      </c>
      <c r="D569" s="1" t="s">
        <v>2891</v>
      </c>
      <c r="E569" s="1" t="s">
        <v>2898</v>
      </c>
      <c r="F569" s="1" t="s">
        <v>836</v>
      </c>
      <c r="G569" s="1" t="s">
        <v>837</v>
      </c>
      <c r="H569" s="1" t="s">
        <v>18</v>
      </c>
    </row>
    <row r="570" spans="1:8">
      <c r="A570" s="1">
        <v>569</v>
      </c>
      <c r="B570" s="1" t="s">
        <v>5447</v>
      </c>
      <c r="C570" s="1" t="s">
        <v>58</v>
      </c>
      <c r="D570" s="1" t="s">
        <v>2900</v>
      </c>
      <c r="E570" s="1" t="s">
        <v>2901</v>
      </c>
      <c r="F570" s="1" t="s">
        <v>12</v>
      </c>
      <c r="G570" s="1" t="s">
        <v>13</v>
      </c>
      <c r="H570" s="1" t="s">
        <v>18</v>
      </c>
    </row>
    <row r="571" spans="1:8">
      <c r="A571" s="1">
        <v>570</v>
      </c>
      <c r="B571" s="1" t="s">
        <v>5447</v>
      </c>
      <c r="C571" s="1" t="s">
        <v>63</v>
      </c>
      <c r="D571" s="1" t="s">
        <v>2900</v>
      </c>
      <c r="E571" s="1" t="s">
        <v>2903</v>
      </c>
      <c r="F571" s="1" t="s">
        <v>839</v>
      </c>
      <c r="G571" s="1" t="s">
        <v>840</v>
      </c>
      <c r="H571" s="1" t="s">
        <v>18</v>
      </c>
    </row>
    <row r="572" spans="1:8">
      <c r="A572" s="1">
        <v>571</v>
      </c>
      <c r="B572" s="1" t="s">
        <v>5447</v>
      </c>
      <c r="C572" s="1" t="s">
        <v>67</v>
      </c>
      <c r="D572" s="1" t="s">
        <v>2900</v>
      </c>
      <c r="E572" s="1" t="s">
        <v>2905</v>
      </c>
      <c r="F572" s="1" t="s">
        <v>21</v>
      </c>
      <c r="G572" s="1" t="s">
        <v>22</v>
      </c>
      <c r="H572" s="1" t="s">
        <v>18</v>
      </c>
    </row>
    <row r="573" spans="1:8">
      <c r="A573" s="1">
        <v>572</v>
      </c>
      <c r="B573" s="1" t="s">
        <v>5447</v>
      </c>
      <c r="C573" s="1" t="s">
        <v>71</v>
      </c>
      <c r="D573" s="1" t="s">
        <v>2900</v>
      </c>
      <c r="E573" s="1" t="s">
        <v>2907</v>
      </c>
      <c r="F573" s="1" t="s">
        <v>836</v>
      </c>
      <c r="G573" s="1" t="s">
        <v>837</v>
      </c>
      <c r="H573" s="1" t="s">
        <v>18</v>
      </c>
    </row>
    <row r="574" spans="1:8">
      <c r="A574" s="1">
        <v>573</v>
      </c>
      <c r="B574" s="1" t="s">
        <v>5448</v>
      </c>
      <c r="C574" s="1" t="s">
        <v>58</v>
      </c>
      <c r="D574" s="1" t="s">
        <v>2909</v>
      </c>
      <c r="E574" s="1" t="s">
        <v>2910</v>
      </c>
      <c r="F574" s="1" t="s">
        <v>12</v>
      </c>
      <c r="G574" s="1" t="s">
        <v>13</v>
      </c>
      <c r="H574" s="1" t="s">
        <v>18</v>
      </c>
    </row>
    <row r="575" spans="1:8">
      <c r="A575" s="1">
        <v>574</v>
      </c>
      <c r="B575" s="1" t="s">
        <v>5448</v>
      </c>
      <c r="C575" s="1" t="s">
        <v>63</v>
      </c>
      <c r="D575" s="1" t="s">
        <v>2909</v>
      </c>
      <c r="E575" s="1" t="s">
        <v>2912</v>
      </c>
      <c r="F575" s="1" t="s">
        <v>839</v>
      </c>
      <c r="G575" s="1" t="s">
        <v>840</v>
      </c>
      <c r="H575" s="1" t="s">
        <v>18</v>
      </c>
    </row>
    <row r="576" spans="1:8">
      <c r="A576" s="1">
        <v>575</v>
      </c>
      <c r="B576" s="1" t="s">
        <v>5448</v>
      </c>
      <c r="C576" s="1" t="s">
        <v>67</v>
      </c>
      <c r="D576" s="1" t="s">
        <v>2909</v>
      </c>
      <c r="E576" s="1" t="s">
        <v>2914</v>
      </c>
      <c r="F576" s="1" t="s">
        <v>21</v>
      </c>
      <c r="G576" s="1" t="s">
        <v>22</v>
      </c>
      <c r="H576" s="1" t="s">
        <v>18</v>
      </c>
    </row>
    <row r="577" spans="1:8">
      <c r="A577" s="1">
        <v>576</v>
      </c>
      <c r="B577" s="1" t="s">
        <v>5448</v>
      </c>
      <c r="C577" s="1" t="s">
        <v>71</v>
      </c>
      <c r="D577" s="1" t="s">
        <v>2909</v>
      </c>
      <c r="E577" s="1" t="s">
        <v>2916</v>
      </c>
      <c r="F577" s="1" t="s">
        <v>836</v>
      </c>
      <c r="G577" s="1" t="s">
        <v>837</v>
      </c>
      <c r="H577" s="1" t="s">
        <v>18</v>
      </c>
    </row>
    <row r="578" spans="1:8">
      <c r="A578" s="1">
        <v>577</v>
      </c>
      <c r="B578" s="1" t="s">
        <v>5449</v>
      </c>
      <c r="C578" s="1" t="s">
        <v>58</v>
      </c>
      <c r="D578" s="1" t="s">
        <v>2918</v>
      </c>
      <c r="E578" s="1" t="s">
        <v>2919</v>
      </c>
      <c r="F578" s="1" t="s">
        <v>12</v>
      </c>
      <c r="G578" s="1" t="s">
        <v>13</v>
      </c>
      <c r="H578" s="1" t="s">
        <v>18</v>
      </c>
    </row>
    <row r="579" spans="1:8">
      <c r="A579" s="1">
        <v>578</v>
      </c>
      <c r="B579" s="1" t="s">
        <v>5449</v>
      </c>
      <c r="C579" s="1" t="s">
        <v>63</v>
      </c>
      <c r="D579" s="1" t="s">
        <v>2918</v>
      </c>
      <c r="E579" s="1" t="s">
        <v>2921</v>
      </c>
      <c r="F579" s="1" t="s">
        <v>839</v>
      </c>
      <c r="G579" s="1" t="s">
        <v>840</v>
      </c>
      <c r="H579" s="1" t="s">
        <v>18</v>
      </c>
    </row>
    <row r="580" spans="1:8">
      <c r="A580" s="1">
        <v>579</v>
      </c>
      <c r="B580" s="1" t="s">
        <v>5449</v>
      </c>
      <c r="C580" s="1" t="s">
        <v>67</v>
      </c>
      <c r="D580" s="1" t="s">
        <v>2918</v>
      </c>
      <c r="E580" s="1" t="s">
        <v>2923</v>
      </c>
      <c r="F580" s="1" t="s">
        <v>21</v>
      </c>
      <c r="G580" s="1" t="s">
        <v>22</v>
      </c>
      <c r="H580" s="1" t="s">
        <v>18</v>
      </c>
    </row>
    <row r="581" spans="1:8">
      <c r="A581" s="1">
        <v>580</v>
      </c>
      <c r="B581" s="1" t="s">
        <v>5449</v>
      </c>
      <c r="C581" s="1" t="s">
        <v>71</v>
      </c>
      <c r="D581" s="1" t="s">
        <v>2918</v>
      </c>
      <c r="E581" s="1" t="s">
        <v>2925</v>
      </c>
      <c r="F581" s="1" t="s">
        <v>836</v>
      </c>
      <c r="G581" s="1" t="s">
        <v>837</v>
      </c>
      <c r="H581" s="1" t="s">
        <v>18</v>
      </c>
    </row>
    <row r="582" spans="1:8">
      <c r="A582" s="1">
        <v>581</v>
      </c>
      <c r="B582" s="1" t="s">
        <v>5450</v>
      </c>
      <c r="C582" s="1" t="s">
        <v>58</v>
      </c>
      <c r="D582" s="1" t="s">
        <v>2927</v>
      </c>
      <c r="E582" s="1" t="s">
        <v>2928</v>
      </c>
      <c r="F582" s="1" t="s">
        <v>12</v>
      </c>
      <c r="G582" s="1" t="s">
        <v>13</v>
      </c>
      <c r="H582" s="1" t="s">
        <v>18</v>
      </c>
    </row>
    <row r="583" spans="1:8">
      <c r="A583" s="1">
        <v>582</v>
      </c>
      <c r="B583" s="1" t="s">
        <v>5450</v>
      </c>
      <c r="C583" s="1" t="s">
        <v>63</v>
      </c>
      <c r="D583" s="1" t="s">
        <v>2927</v>
      </c>
      <c r="E583" s="1" t="s">
        <v>2930</v>
      </c>
      <c r="F583" s="1" t="s">
        <v>839</v>
      </c>
      <c r="G583" s="1" t="s">
        <v>840</v>
      </c>
      <c r="H583" s="1" t="s">
        <v>18</v>
      </c>
    </row>
    <row r="584" spans="1:8">
      <c r="A584" s="1">
        <v>583</v>
      </c>
      <c r="B584" s="1" t="s">
        <v>5450</v>
      </c>
      <c r="C584" s="1" t="s">
        <v>67</v>
      </c>
      <c r="D584" s="1" t="s">
        <v>2927</v>
      </c>
      <c r="E584" s="1" t="s">
        <v>2932</v>
      </c>
      <c r="F584" s="1" t="s">
        <v>21</v>
      </c>
      <c r="G584" s="1" t="s">
        <v>22</v>
      </c>
      <c r="H584" s="1" t="s">
        <v>18</v>
      </c>
    </row>
    <row r="585" spans="1:8">
      <c r="A585" s="1">
        <v>584</v>
      </c>
      <c r="B585" s="1" t="s">
        <v>5450</v>
      </c>
      <c r="C585" s="1" t="s">
        <v>71</v>
      </c>
      <c r="D585" s="1" t="s">
        <v>2927</v>
      </c>
      <c r="E585" s="1" t="s">
        <v>2934</v>
      </c>
      <c r="F585" s="1" t="s">
        <v>836</v>
      </c>
      <c r="G585" s="1" t="s">
        <v>837</v>
      </c>
      <c r="H585" s="1" t="s">
        <v>18</v>
      </c>
    </row>
    <row r="586" spans="1:8">
      <c r="A586" s="1">
        <v>585</v>
      </c>
      <c r="B586" s="1" t="s">
        <v>5451</v>
      </c>
      <c r="C586" s="1" t="s">
        <v>58</v>
      </c>
      <c r="D586" s="1" t="s">
        <v>2936</v>
      </c>
      <c r="E586" s="1" t="s">
        <v>2937</v>
      </c>
      <c r="F586" s="1" t="s">
        <v>12</v>
      </c>
      <c r="G586" s="1" t="s">
        <v>13</v>
      </c>
      <c r="H586" s="1" t="s">
        <v>18</v>
      </c>
    </row>
    <row r="587" spans="1:8">
      <c r="A587" s="1">
        <v>586</v>
      </c>
      <c r="B587" s="1" t="s">
        <v>5451</v>
      </c>
      <c r="C587" s="1" t="s">
        <v>63</v>
      </c>
      <c r="D587" s="1" t="s">
        <v>2936</v>
      </c>
      <c r="E587" s="1" t="s">
        <v>2939</v>
      </c>
      <c r="F587" s="1" t="s">
        <v>839</v>
      </c>
      <c r="G587" s="1" t="s">
        <v>840</v>
      </c>
      <c r="H587" s="1" t="s">
        <v>18</v>
      </c>
    </row>
    <row r="588" spans="1:8">
      <c r="A588" s="1">
        <v>587</v>
      </c>
      <c r="B588" s="1" t="s">
        <v>5451</v>
      </c>
      <c r="C588" s="1" t="s">
        <v>67</v>
      </c>
      <c r="D588" s="1" t="s">
        <v>2936</v>
      </c>
      <c r="E588" s="1" t="s">
        <v>2941</v>
      </c>
      <c r="F588" s="1" t="s">
        <v>21</v>
      </c>
      <c r="G588" s="1" t="s">
        <v>22</v>
      </c>
      <c r="H588" s="1" t="s">
        <v>18</v>
      </c>
    </row>
    <row r="589" spans="1:8">
      <c r="A589" s="1">
        <v>588</v>
      </c>
      <c r="B589" s="1" t="s">
        <v>5451</v>
      </c>
      <c r="C589" s="1" t="s">
        <v>71</v>
      </c>
      <c r="D589" s="1" t="s">
        <v>2936</v>
      </c>
      <c r="E589" s="1" t="s">
        <v>2943</v>
      </c>
      <c r="F589" s="1" t="s">
        <v>836</v>
      </c>
      <c r="G589" s="1" t="s">
        <v>837</v>
      </c>
      <c r="H589" s="1" t="s">
        <v>18</v>
      </c>
    </row>
    <row r="590" spans="1:8">
      <c r="A590" s="1">
        <v>589</v>
      </c>
      <c r="B590" s="1" t="s">
        <v>5452</v>
      </c>
      <c r="C590" s="1" t="s">
        <v>58</v>
      </c>
      <c r="D590" s="1" t="s">
        <v>2945</v>
      </c>
      <c r="E590" s="1" t="s">
        <v>834</v>
      </c>
      <c r="F590" s="1" t="s">
        <v>12</v>
      </c>
      <c r="G590" s="1" t="s">
        <v>13</v>
      </c>
      <c r="H590" s="1" t="s">
        <v>18</v>
      </c>
    </row>
    <row r="591" spans="1:8">
      <c r="A591" s="1">
        <v>590</v>
      </c>
      <c r="B591" s="1" t="s">
        <v>5452</v>
      </c>
      <c r="C591" s="1" t="s">
        <v>63</v>
      </c>
      <c r="D591" s="1" t="s">
        <v>2945</v>
      </c>
      <c r="E591" s="1" t="s">
        <v>838</v>
      </c>
      <c r="F591" s="1" t="s">
        <v>839</v>
      </c>
      <c r="G591" s="1" t="s">
        <v>840</v>
      </c>
      <c r="H591" s="1" t="s">
        <v>18</v>
      </c>
    </row>
    <row r="592" spans="1:8">
      <c r="A592" s="1">
        <v>591</v>
      </c>
      <c r="B592" s="1" t="s">
        <v>5452</v>
      </c>
      <c r="C592" s="1" t="s">
        <v>67</v>
      </c>
      <c r="D592" s="1" t="s">
        <v>2945</v>
      </c>
      <c r="E592" s="1" t="s">
        <v>2948</v>
      </c>
      <c r="F592" s="1" t="s">
        <v>21</v>
      </c>
      <c r="G592" s="1" t="s">
        <v>22</v>
      </c>
      <c r="H592" s="1" t="s">
        <v>18</v>
      </c>
    </row>
    <row r="593" spans="1:8">
      <c r="A593" s="1">
        <v>592</v>
      </c>
      <c r="B593" s="1" t="s">
        <v>5452</v>
      </c>
      <c r="C593" s="1" t="s">
        <v>71</v>
      </c>
      <c r="D593" s="1" t="s">
        <v>2945</v>
      </c>
      <c r="E593" s="1" t="s">
        <v>397</v>
      </c>
      <c r="F593" s="1" t="s">
        <v>836</v>
      </c>
      <c r="G593" s="1" t="s">
        <v>837</v>
      </c>
      <c r="H593" s="1" t="s">
        <v>18</v>
      </c>
    </row>
    <row r="594" spans="1:8">
      <c r="A594" s="1">
        <v>593</v>
      </c>
      <c r="B594" s="1" t="s">
        <v>5453</v>
      </c>
      <c r="C594" s="1" t="s">
        <v>237</v>
      </c>
      <c r="D594" s="1" t="s">
        <v>2951</v>
      </c>
      <c r="E594" s="1" t="s">
        <v>2952</v>
      </c>
      <c r="F594" s="1" t="s">
        <v>430</v>
      </c>
      <c r="G594" s="1" t="s">
        <v>431</v>
      </c>
      <c r="H594" s="1" t="s">
        <v>18</v>
      </c>
    </row>
    <row r="595" spans="1:8">
      <c r="A595" s="1">
        <v>594</v>
      </c>
      <c r="B595" s="1" t="s">
        <v>5454</v>
      </c>
      <c r="C595" s="1" t="s">
        <v>433</v>
      </c>
      <c r="D595" s="1" t="s">
        <v>2954</v>
      </c>
      <c r="E595" s="1" t="s">
        <v>2955</v>
      </c>
      <c r="F595" s="1" t="s">
        <v>448</v>
      </c>
      <c r="G595" s="1" t="s">
        <v>449</v>
      </c>
      <c r="H595" s="1" t="s">
        <v>18</v>
      </c>
    </row>
    <row r="596" spans="1:8">
      <c r="A596" s="1">
        <v>595</v>
      </c>
      <c r="B596" s="1" t="s">
        <v>5454</v>
      </c>
      <c r="C596" s="1" t="s">
        <v>438</v>
      </c>
      <c r="D596" s="1" t="s">
        <v>2954</v>
      </c>
      <c r="E596" s="1" t="s">
        <v>2957</v>
      </c>
      <c r="F596" s="1" t="s">
        <v>444</v>
      </c>
      <c r="G596" s="1" t="s">
        <v>445</v>
      </c>
      <c r="H596" s="1" t="s">
        <v>18</v>
      </c>
    </row>
    <row r="597" spans="1:8">
      <c r="A597" s="1">
        <v>596</v>
      </c>
      <c r="B597" s="1" t="s">
        <v>5454</v>
      </c>
      <c r="C597" s="1" t="s">
        <v>442</v>
      </c>
      <c r="D597" s="1" t="s">
        <v>2954</v>
      </c>
      <c r="E597" s="1" t="s">
        <v>2959</v>
      </c>
      <c r="F597" s="1" t="s">
        <v>440</v>
      </c>
      <c r="G597" s="1" t="s">
        <v>441</v>
      </c>
      <c r="H597" s="1" t="s">
        <v>18</v>
      </c>
    </row>
    <row r="598" spans="1:8">
      <c r="A598" s="1">
        <v>597</v>
      </c>
      <c r="B598" s="1" t="s">
        <v>5454</v>
      </c>
      <c r="C598" s="1" t="s">
        <v>446</v>
      </c>
      <c r="D598" s="1" t="s">
        <v>2954</v>
      </c>
      <c r="E598" s="1" t="s">
        <v>2961</v>
      </c>
      <c r="F598" s="1" t="s">
        <v>436</v>
      </c>
      <c r="G598" s="1" t="s">
        <v>437</v>
      </c>
      <c r="H598" s="1" t="s">
        <v>18</v>
      </c>
    </row>
    <row r="599" spans="1:8">
      <c r="A599" s="1">
        <v>598</v>
      </c>
      <c r="B599" s="1" t="s">
        <v>5454</v>
      </c>
      <c r="C599" s="1" t="s">
        <v>450</v>
      </c>
      <c r="D599" s="1" t="s">
        <v>2954</v>
      </c>
      <c r="E599" s="1" t="s">
        <v>2963</v>
      </c>
      <c r="F599" s="1" t="s">
        <v>452</v>
      </c>
      <c r="G599" s="1" t="s">
        <v>453</v>
      </c>
      <c r="H599" s="1" t="s">
        <v>18</v>
      </c>
    </row>
    <row r="600" spans="1:8">
      <c r="A600" s="1">
        <v>599</v>
      </c>
      <c r="B600" s="1" t="s">
        <v>5454</v>
      </c>
      <c r="C600" s="1" t="s">
        <v>454</v>
      </c>
      <c r="D600" s="1" t="s">
        <v>2954</v>
      </c>
      <c r="E600" s="1" t="s">
        <v>2965</v>
      </c>
      <c r="F600" s="1" t="s">
        <v>430</v>
      </c>
      <c r="G600" s="1" t="s">
        <v>431</v>
      </c>
      <c r="H600" s="1" t="s">
        <v>18</v>
      </c>
    </row>
    <row r="601" spans="1:8">
      <c r="A601" s="1">
        <v>600</v>
      </c>
      <c r="B601" s="1" t="s">
        <v>5454</v>
      </c>
      <c r="C601" s="1" t="s">
        <v>456</v>
      </c>
      <c r="D601" s="1" t="s">
        <v>2954</v>
      </c>
      <c r="E601" s="1" t="s">
        <v>2967</v>
      </c>
      <c r="F601" s="1" t="s">
        <v>458</v>
      </c>
      <c r="G601" s="1" t="s">
        <v>459</v>
      </c>
      <c r="H601" s="1" t="s">
        <v>18</v>
      </c>
    </row>
    <row r="602" spans="1:8">
      <c r="A602" s="1">
        <v>601</v>
      </c>
      <c r="B602" s="1" t="s">
        <v>5455</v>
      </c>
      <c r="C602" s="1" t="s">
        <v>237</v>
      </c>
      <c r="D602" s="1" t="s">
        <v>2969</v>
      </c>
      <c r="E602" s="1" t="s">
        <v>2970</v>
      </c>
      <c r="F602" s="1" t="s">
        <v>844</v>
      </c>
      <c r="G602" s="1" t="s">
        <v>845</v>
      </c>
      <c r="H602" s="1" t="s">
        <v>18</v>
      </c>
    </row>
    <row r="603" spans="1:8">
      <c r="A603" s="1">
        <v>602</v>
      </c>
      <c r="B603" s="1" t="s">
        <v>5456</v>
      </c>
      <c r="C603" s="1" t="s">
        <v>237</v>
      </c>
      <c r="D603" s="1" t="s">
        <v>2972</v>
      </c>
      <c r="E603" s="1" t="s">
        <v>11</v>
      </c>
      <c r="F603" s="1" t="s">
        <v>844</v>
      </c>
      <c r="G603" s="1" t="s">
        <v>845</v>
      </c>
      <c r="H603" s="1" t="s">
        <v>18</v>
      </c>
    </row>
    <row r="604" spans="1:8">
      <c r="A604" s="1">
        <v>603</v>
      </c>
      <c r="B604" s="1" t="s">
        <v>5457</v>
      </c>
      <c r="C604" s="1" t="s">
        <v>237</v>
      </c>
      <c r="D604" s="1" t="s">
        <v>2974</v>
      </c>
      <c r="E604" s="1" t="s">
        <v>26</v>
      </c>
      <c r="F604" s="1" t="s">
        <v>844</v>
      </c>
      <c r="G604" s="1" t="s">
        <v>845</v>
      </c>
      <c r="H604" s="1" t="s">
        <v>18</v>
      </c>
    </row>
    <row r="605" spans="1:8">
      <c r="A605" s="1">
        <v>604</v>
      </c>
      <c r="B605" s="1" t="s">
        <v>5458</v>
      </c>
      <c r="C605" s="1" t="s">
        <v>237</v>
      </c>
      <c r="D605" s="1" t="s">
        <v>2976</v>
      </c>
      <c r="E605" s="1" t="s">
        <v>32</v>
      </c>
      <c r="F605" s="1" t="s">
        <v>855</v>
      </c>
      <c r="G605" s="1" t="s">
        <v>856</v>
      </c>
      <c r="H605" s="1" t="s">
        <v>18</v>
      </c>
    </row>
    <row r="606" spans="1:8">
      <c r="A606" s="1">
        <v>605</v>
      </c>
      <c r="B606" s="1" t="s">
        <v>5459</v>
      </c>
      <c r="C606" s="1" t="s">
        <v>237</v>
      </c>
      <c r="D606" s="1" t="s">
        <v>2978</v>
      </c>
      <c r="E606" s="1" t="s">
        <v>37</v>
      </c>
      <c r="F606" s="1" t="s">
        <v>860</v>
      </c>
      <c r="G606" s="1" t="s">
        <v>861</v>
      </c>
      <c r="H606" s="1" t="s">
        <v>18</v>
      </c>
    </row>
    <row r="607" spans="1:8">
      <c r="A607" s="1">
        <v>606</v>
      </c>
      <c r="B607" s="1" t="s">
        <v>5460</v>
      </c>
      <c r="C607" s="1" t="s">
        <v>237</v>
      </c>
      <c r="D607" s="1" t="s">
        <v>2980</v>
      </c>
      <c r="E607" s="1" t="s">
        <v>829</v>
      </c>
      <c r="F607" s="1" t="s">
        <v>860</v>
      </c>
      <c r="G607" s="1" t="s">
        <v>861</v>
      </c>
      <c r="H607" s="1" t="s">
        <v>18</v>
      </c>
    </row>
    <row r="608" spans="1:8">
      <c r="A608" s="1">
        <v>607</v>
      </c>
      <c r="B608" s="1" t="s">
        <v>5461</v>
      </c>
      <c r="C608" s="1" t="s">
        <v>153</v>
      </c>
      <c r="D608" s="1" t="s">
        <v>2982</v>
      </c>
      <c r="E608" s="1" t="s">
        <v>1324</v>
      </c>
      <c r="F608" s="1" t="s">
        <v>869</v>
      </c>
      <c r="G608" s="1" t="s">
        <v>870</v>
      </c>
      <c r="H608" s="1" t="s">
        <v>18</v>
      </c>
    </row>
    <row r="609" spans="1:8">
      <c r="A609" s="1">
        <v>608</v>
      </c>
      <c r="B609" s="1" t="s">
        <v>5461</v>
      </c>
      <c r="C609" s="1" t="s">
        <v>158</v>
      </c>
      <c r="D609" s="1" t="s">
        <v>2982</v>
      </c>
      <c r="E609" s="1" t="s">
        <v>1327</v>
      </c>
      <c r="F609" s="1" t="s">
        <v>872</v>
      </c>
      <c r="G609" s="1" t="s">
        <v>873</v>
      </c>
      <c r="H609" s="1" t="s">
        <v>18</v>
      </c>
    </row>
    <row r="610" spans="1:8">
      <c r="A610" s="1">
        <v>609</v>
      </c>
      <c r="B610" s="1" t="s">
        <v>5461</v>
      </c>
      <c r="C610" s="1" t="s">
        <v>162</v>
      </c>
      <c r="D610" s="1" t="s">
        <v>2982</v>
      </c>
      <c r="E610" s="1" t="s">
        <v>2985</v>
      </c>
      <c r="F610" s="1" t="s">
        <v>860</v>
      </c>
      <c r="G610" s="1" t="s">
        <v>861</v>
      </c>
      <c r="H610" s="1" t="s">
        <v>18</v>
      </c>
    </row>
    <row r="611" spans="1:8">
      <c r="A611" s="1">
        <v>610</v>
      </c>
      <c r="B611" s="1" t="s">
        <v>5461</v>
      </c>
      <c r="C611" s="1" t="s">
        <v>166</v>
      </c>
      <c r="D611" s="1" t="s">
        <v>2982</v>
      </c>
      <c r="E611" s="1" t="s">
        <v>2987</v>
      </c>
      <c r="F611" s="1" t="s">
        <v>875</v>
      </c>
      <c r="G611" s="1" t="s">
        <v>876</v>
      </c>
      <c r="H611" s="1" t="s">
        <v>18</v>
      </c>
    </row>
    <row r="612" spans="1:8">
      <c r="A612" s="1">
        <v>611</v>
      </c>
      <c r="B612" s="1" t="s">
        <v>5461</v>
      </c>
      <c r="C612" s="1" t="s">
        <v>170</v>
      </c>
      <c r="D612" s="1" t="s">
        <v>2982</v>
      </c>
      <c r="E612" s="1" t="s">
        <v>2989</v>
      </c>
      <c r="F612" s="1" t="s">
        <v>878</v>
      </c>
      <c r="G612" s="1" t="s">
        <v>879</v>
      </c>
      <c r="H612" s="1" t="s">
        <v>18</v>
      </c>
    </row>
    <row r="613" spans="1:8">
      <c r="A613" s="1">
        <v>612</v>
      </c>
      <c r="B613" s="1" t="s">
        <v>5462</v>
      </c>
      <c r="C613" s="1" t="s">
        <v>183</v>
      </c>
      <c r="D613" s="1" t="s">
        <v>2991</v>
      </c>
      <c r="E613" s="1" t="s">
        <v>2992</v>
      </c>
      <c r="F613" s="1" t="s">
        <v>257</v>
      </c>
      <c r="G613" s="1" t="s">
        <v>258</v>
      </c>
      <c r="H613" s="1" t="s">
        <v>18</v>
      </c>
    </row>
    <row r="614" spans="1:8">
      <c r="A614" s="1">
        <v>613</v>
      </c>
      <c r="B614" s="1" t="s">
        <v>5462</v>
      </c>
      <c r="C614" s="1" t="s">
        <v>188</v>
      </c>
      <c r="D614" s="1" t="s">
        <v>2991</v>
      </c>
      <c r="E614" s="1" t="s">
        <v>2994</v>
      </c>
      <c r="F614" s="1" t="s">
        <v>260</v>
      </c>
      <c r="G614" s="1" t="s">
        <v>261</v>
      </c>
      <c r="H614" s="1" t="s">
        <v>18</v>
      </c>
    </row>
    <row r="615" spans="1:8">
      <c r="A615" s="1">
        <v>614</v>
      </c>
      <c r="B615" s="1" t="s">
        <v>5462</v>
      </c>
      <c r="C615" s="1" t="s">
        <v>192</v>
      </c>
      <c r="D615" s="1" t="s">
        <v>2991</v>
      </c>
      <c r="E615" s="1" t="s">
        <v>2996</v>
      </c>
      <c r="F615" s="1" t="s">
        <v>263</v>
      </c>
      <c r="G615" s="1" t="s">
        <v>264</v>
      </c>
      <c r="H615" s="1" t="s">
        <v>18</v>
      </c>
    </row>
    <row r="616" spans="1:8">
      <c r="A616" s="1">
        <v>615</v>
      </c>
      <c r="B616" s="1" t="s">
        <v>5462</v>
      </c>
      <c r="C616" s="1" t="s">
        <v>196</v>
      </c>
      <c r="D616" s="1" t="s">
        <v>2991</v>
      </c>
      <c r="E616" s="1" t="s">
        <v>2998</v>
      </c>
      <c r="F616" s="1" t="s">
        <v>266</v>
      </c>
      <c r="G616" s="1" t="s">
        <v>267</v>
      </c>
      <c r="H616" s="1" t="s">
        <v>18</v>
      </c>
    </row>
    <row r="617" spans="1:8">
      <c r="A617" s="1">
        <v>616</v>
      </c>
      <c r="B617" s="1" t="s">
        <v>5462</v>
      </c>
      <c r="C617" s="1" t="s">
        <v>200</v>
      </c>
      <c r="D617" s="1" t="s">
        <v>2991</v>
      </c>
      <c r="E617" s="1" t="s">
        <v>3000</v>
      </c>
      <c r="F617" s="1" t="s">
        <v>269</v>
      </c>
      <c r="G617" s="1" t="s">
        <v>270</v>
      </c>
      <c r="H617" s="1" t="s">
        <v>18</v>
      </c>
    </row>
    <row r="618" spans="1:8">
      <c r="A618" s="1">
        <v>617</v>
      </c>
      <c r="B618" s="1" t="s">
        <v>5462</v>
      </c>
      <c r="C618" s="1" t="s">
        <v>204</v>
      </c>
      <c r="D618" s="1" t="s">
        <v>2991</v>
      </c>
      <c r="E618" s="1" t="s">
        <v>3002</v>
      </c>
      <c r="F618" s="1" t="s">
        <v>272</v>
      </c>
      <c r="G618" s="1" t="s">
        <v>273</v>
      </c>
      <c r="H618" s="1" t="s">
        <v>18</v>
      </c>
    </row>
    <row r="619" spans="1:8">
      <c r="A619" s="1">
        <v>618</v>
      </c>
      <c r="B619" s="1" t="s">
        <v>5462</v>
      </c>
      <c r="C619" s="1" t="s">
        <v>208</v>
      </c>
      <c r="D619" s="1" t="s">
        <v>2991</v>
      </c>
      <c r="E619" s="1" t="s">
        <v>3004</v>
      </c>
      <c r="F619" s="1" t="s">
        <v>275</v>
      </c>
      <c r="G619" s="1" t="s">
        <v>276</v>
      </c>
      <c r="H619" s="1" t="s">
        <v>18</v>
      </c>
    </row>
    <row r="620" spans="1:8">
      <c r="A620" s="1">
        <v>619</v>
      </c>
      <c r="B620" s="1" t="s">
        <v>5462</v>
      </c>
      <c r="C620" s="1" t="s">
        <v>212</v>
      </c>
      <c r="D620" s="1" t="s">
        <v>2991</v>
      </c>
      <c r="E620" s="1" t="s">
        <v>3006</v>
      </c>
      <c r="F620" s="1" t="s">
        <v>278</v>
      </c>
      <c r="G620" s="1" t="s">
        <v>279</v>
      </c>
      <c r="H620" s="1" t="s">
        <v>18</v>
      </c>
    </row>
    <row r="621" spans="1:8">
      <c r="A621" s="1">
        <v>620</v>
      </c>
      <c r="B621" s="1" t="s">
        <v>5462</v>
      </c>
      <c r="C621" s="1" t="s">
        <v>216</v>
      </c>
      <c r="D621" s="1" t="s">
        <v>2991</v>
      </c>
      <c r="E621" s="1" t="s">
        <v>3008</v>
      </c>
      <c r="F621" s="1" t="s">
        <v>281</v>
      </c>
      <c r="G621" s="1" t="s">
        <v>282</v>
      </c>
      <c r="H621" s="1" t="s">
        <v>18</v>
      </c>
    </row>
    <row r="622" spans="1:8">
      <c r="A622" s="1">
        <v>621</v>
      </c>
      <c r="B622" s="1" t="s">
        <v>5462</v>
      </c>
      <c r="C622" s="1" t="s">
        <v>220</v>
      </c>
      <c r="D622" s="1" t="s">
        <v>2991</v>
      </c>
      <c r="E622" s="1" t="s">
        <v>3010</v>
      </c>
      <c r="F622" s="1" t="s">
        <v>284</v>
      </c>
      <c r="G622" s="1" t="s">
        <v>285</v>
      </c>
      <c r="H622" s="1" t="s">
        <v>18</v>
      </c>
    </row>
    <row r="623" spans="1:8">
      <c r="A623" s="1">
        <v>622</v>
      </c>
      <c r="B623" s="1" t="s">
        <v>5463</v>
      </c>
      <c r="C623" s="1" t="s">
        <v>44</v>
      </c>
      <c r="D623" s="1" t="s">
        <v>3012</v>
      </c>
      <c r="E623" s="1" t="s">
        <v>3013</v>
      </c>
      <c r="F623" s="1" t="s">
        <v>1328</v>
      </c>
      <c r="G623" s="1" t="s">
        <v>1329</v>
      </c>
      <c r="H623" s="1" t="s">
        <v>18</v>
      </c>
    </row>
    <row r="624" spans="1:8">
      <c r="A624" s="1">
        <v>623</v>
      </c>
      <c r="B624" s="1" t="s">
        <v>5463</v>
      </c>
      <c r="C624" s="1" t="s">
        <v>49</v>
      </c>
      <c r="D624" s="1" t="s">
        <v>3012</v>
      </c>
      <c r="E624" s="1" t="s">
        <v>3015</v>
      </c>
      <c r="F624" s="1" t="s">
        <v>1325</v>
      </c>
      <c r="G624" s="1" t="s">
        <v>1326</v>
      </c>
      <c r="H624" s="1" t="s">
        <v>18</v>
      </c>
    </row>
    <row r="625" spans="1:8">
      <c r="A625" s="1">
        <v>624</v>
      </c>
      <c r="B625" s="1" t="s">
        <v>5464</v>
      </c>
      <c r="C625" s="1" t="s">
        <v>9</v>
      </c>
      <c r="D625" s="1" t="s">
        <v>3017</v>
      </c>
      <c r="E625" s="1" t="s">
        <v>3018</v>
      </c>
      <c r="F625" s="1" t="s">
        <v>1333</v>
      </c>
      <c r="G625" s="1" t="s">
        <v>1334</v>
      </c>
      <c r="H625" s="1" t="s">
        <v>18</v>
      </c>
    </row>
    <row r="626" spans="1:8">
      <c r="A626" s="1">
        <v>625</v>
      </c>
      <c r="B626" s="1" t="s">
        <v>5464</v>
      </c>
      <c r="C626" s="1" t="s">
        <v>14</v>
      </c>
      <c r="D626" s="1" t="s">
        <v>3017</v>
      </c>
      <c r="E626" s="1" t="s">
        <v>3020</v>
      </c>
      <c r="F626" s="1" t="s">
        <v>1339</v>
      </c>
      <c r="G626" s="1" t="s">
        <v>1340</v>
      </c>
      <c r="H626" s="1" t="s">
        <v>18</v>
      </c>
    </row>
    <row r="627" spans="1:8">
      <c r="A627" s="1">
        <v>626</v>
      </c>
      <c r="B627" s="1" t="s">
        <v>5464</v>
      </c>
      <c r="C627" s="1" t="s">
        <v>19</v>
      </c>
      <c r="D627" s="1" t="s">
        <v>3017</v>
      </c>
      <c r="E627" s="1" t="s">
        <v>3022</v>
      </c>
      <c r="F627" s="1" t="s">
        <v>1336</v>
      </c>
      <c r="G627" s="1" t="s">
        <v>1337</v>
      </c>
      <c r="H627" s="1" t="s">
        <v>18</v>
      </c>
    </row>
    <row r="628" spans="1:8">
      <c r="A628" s="1">
        <v>627</v>
      </c>
      <c r="B628" s="1" t="s">
        <v>5465</v>
      </c>
      <c r="C628" s="1" t="s">
        <v>237</v>
      </c>
      <c r="D628" s="1" t="s">
        <v>3024</v>
      </c>
      <c r="E628" s="1" t="s">
        <v>3025</v>
      </c>
      <c r="F628" s="1" t="s">
        <v>21</v>
      </c>
      <c r="G628" s="1" t="s">
        <v>22</v>
      </c>
      <c r="H628" s="1" t="s">
        <v>18</v>
      </c>
    </row>
    <row r="629" spans="1:8">
      <c r="A629" s="1">
        <v>628</v>
      </c>
      <c r="B629" s="1" t="s">
        <v>5466</v>
      </c>
      <c r="C629" s="1" t="s">
        <v>237</v>
      </c>
      <c r="D629" s="1" t="s">
        <v>3027</v>
      </c>
      <c r="E629" s="1" t="s">
        <v>3028</v>
      </c>
      <c r="F629" s="1" t="s">
        <v>644</v>
      </c>
      <c r="G629" s="1" t="s">
        <v>645</v>
      </c>
      <c r="H629" s="1" t="s">
        <v>18</v>
      </c>
    </row>
    <row r="630" spans="1:8">
      <c r="A630" s="1">
        <v>629</v>
      </c>
      <c r="B630" s="1" t="s">
        <v>5467</v>
      </c>
      <c r="C630" s="1" t="s">
        <v>44</v>
      </c>
      <c r="D630" s="1" t="s">
        <v>3030</v>
      </c>
      <c r="E630" s="1" t="s">
        <v>1795</v>
      </c>
      <c r="F630" s="1" t="s">
        <v>3032</v>
      </c>
      <c r="G630" s="1" t="s">
        <v>5468</v>
      </c>
      <c r="H630" s="1" t="s">
        <v>18</v>
      </c>
    </row>
    <row r="631" spans="1:8">
      <c r="A631" s="1">
        <v>630</v>
      </c>
      <c r="B631" s="1" t="s">
        <v>5467</v>
      </c>
      <c r="C631" s="1" t="s">
        <v>49</v>
      </c>
      <c r="D631" s="1" t="s">
        <v>3030</v>
      </c>
      <c r="E631" s="1" t="s">
        <v>1803</v>
      </c>
      <c r="F631" s="1" t="s">
        <v>3036</v>
      </c>
      <c r="G631" s="1" t="s">
        <v>5469</v>
      </c>
      <c r="H631" s="1" t="s">
        <v>18</v>
      </c>
    </row>
    <row r="632" spans="1:8">
      <c r="A632" s="1">
        <v>631</v>
      </c>
      <c r="B632" s="1" t="s">
        <v>5470</v>
      </c>
      <c r="C632" s="1" t="s">
        <v>237</v>
      </c>
      <c r="D632" s="1" t="s">
        <v>4671</v>
      </c>
      <c r="E632" s="1" t="s">
        <v>4672</v>
      </c>
      <c r="F632" s="1" t="s">
        <v>4673</v>
      </c>
      <c r="G632" s="1" t="s">
        <v>5471</v>
      </c>
      <c r="H632" s="1" t="s">
        <v>18</v>
      </c>
    </row>
    <row r="633" spans="1:8">
      <c r="A633" s="1">
        <v>632</v>
      </c>
      <c r="B633" s="1" t="s">
        <v>5472</v>
      </c>
      <c r="C633" s="1" t="s">
        <v>9</v>
      </c>
      <c r="D633" s="1" t="s">
        <v>3039</v>
      </c>
      <c r="E633" s="1" t="s">
        <v>1657</v>
      </c>
      <c r="F633" s="1" t="s">
        <v>292</v>
      </c>
      <c r="G633" s="1" t="s">
        <v>293</v>
      </c>
      <c r="H633" s="1" t="s">
        <v>18</v>
      </c>
    </row>
    <row r="634" spans="1:8">
      <c r="A634" s="1">
        <v>633</v>
      </c>
      <c r="B634" s="1" t="s">
        <v>5472</v>
      </c>
      <c r="C634" s="1" t="s">
        <v>14</v>
      </c>
      <c r="D634" s="1" t="s">
        <v>3039</v>
      </c>
      <c r="E634" s="1" t="s">
        <v>1653</v>
      </c>
      <c r="F634" s="1" t="s">
        <v>289</v>
      </c>
      <c r="G634" s="1" t="s">
        <v>290</v>
      </c>
      <c r="H634" s="1" t="s">
        <v>18</v>
      </c>
    </row>
    <row r="635" spans="1:8">
      <c r="A635" s="1">
        <v>634</v>
      </c>
      <c r="B635" s="1" t="s">
        <v>5472</v>
      </c>
      <c r="C635" s="1" t="s">
        <v>19</v>
      </c>
      <c r="D635" s="1" t="s">
        <v>3039</v>
      </c>
      <c r="E635" s="1" t="s">
        <v>1666</v>
      </c>
      <c r="F635" s="1" t="s">
        <v>295</v>
      </c>
      <c r="G635" s="1" t="s">
        <v>296</v>
      </c>
      <c r="H635" s="1" t="s">
        <v>18</v>
      </c>
    </row>
    <row r="636" spans="1:8">
      <c r="A636" s="1">
        <v>635</v>
      </c>
      <c r="B636" s="1" t="s">
        <v>5473</v>
      </c>
      <c r="C636" s="1" t="s">
        <v>237</v>
      </c>
      <c r="D636" s="1" t="s">
        <v>4698</v>
      </c>
      <c r="E636" s="1" t="s">
        <v>2373</v>
      </c>
      <c r="F636" s="1" t="s">
        <v>4699</v>
      </c>
      <c r="G636" s="1" t="s">
        <v>5474</v>
      </c>
      <c r="H636" s="1" t="s">
        <v>18</v>
      </c>
    </row>
    <row r="637" spans="1:8">
      <c r="A637" s="1">
        <v>636</v>
      </c>
      <c r="B637" s="1" t="s">
        <v>5475</v>
      </c>
      <c r="C637" s="1" t="s">
        <v>44</v>
      </c>
      <c r="D637" s="1" t="s">
        <v>3046</v>
      </c>
      <c r="E637" s="1" t="s">
        <v>1269</v>
      </c>
      <c r="F637" s="1" t="s">
        <v>688</v>
      </c>
      <c r="G637" s="1" t="s">
        <v>689</v>
      </c>
      <c r="H637" s="1" t="s">
        <v>18</v>
      </c>
    </row>
    <row r="638" spans="1:8">
      <c r="A638" s="1">
        <v>637</v>
      </c>
      <c r="B638" s="1" t="s">
        <v>5475</v>
      </c>
      <c r="C638" s="1" t="s">
        <v>49</v>
      </c>
      <c r="D638" s="1" t="s">
        <v>3046</v>
      </c>
      <c r="E638" s="1" t="s">
        <v>1270</v>
      </c>
      <c r="F638" s="1" t="s">
        <v>630</v>
      </c>
      <c r="G638" s="1" t="s">
        <v>631</v>
      </c>
      <c r="H638" s="1" t="s">
        <v>18</v>
      </c>
    </row>
    <row r="639" spans="1:8">
      <c r="A639" s="1">
        <v>638</v>
      </c>
      <c r="B639" s="1" t="s">
        <v>5476</v>
      </c>
      <c r="C639" s="1" t="s">
        <v>58</v>
      </c>
      <c r="D639" s="1" t="s">
        <v>3049</v>
      </c>
      <c r="E639" s="1" t="s">
        <v>4707</v>
      </c>
      <c r="F639" s="1" t="s">
        <v>3051</v>
      </c>
      <c r="G639" s="1" t="s">
        <v>3052</v>
      </c>
      <c r="H639" s="1" t="s">
        <v>18</v>
      </c>
    </row>
    <row r="640" spans="1:8">
      <c r="A640" s="1">
        <v>639</v>
      </c>
      <c r="B640" s="1" t="s">
        <v>5476</v>
      </c>
      <c r="C640" s="1" t="s">
        <v>63</v>
      </c>
      <c r="D640" s="1" t="s">
        <v>3049</v>
      </c>
      <c r="E640" s="1" t="s">
        <v>3148</v>
      </c>
      <c r="F640" s="1" t="s">
        <v>3055</v>
      </c>
      <c r="G640" s="1" t="s">
        <v>3056</v>
      </c>
      <c r="H640" s="1" t="s">
        <v>18</v>
      </c>
    </row>
    <row r="641" spans="1:8">
      <c r="A641" s="1">
        <v>640</v>
      </c>
      <c r="B641" s="1" t="s">
        <v>5476</v>
      </c>
      <c r="C641" s="1" t="s">
        <v>67</v>
      </c>
      <c r="D641" s="1" t="s">
        <v>3049</v>
      </c>
      <c r="E641" s="1" t="s">
        <v>3136</v>
      </c>
      <c r="F641" s="1" t="s">
        <v>3059</v>
      </c>
      <c r="G641" s="1" t="s">
        <v>3060</v>
      </c>
      <c r="H641" s="1" t="s">
        <v>18</v>
      </c>
    </row>
    <row r="642" spans="1:8">
      <c r="A642" s="1">
        <v>641</v>
      </c>
      <c r="B642" s="1" t="s">
        <v>5476</v>
      </c>
      <c r="C642" s="1" t="s">
        <v>71</v>
      </c>
      <c r="D642" s="1" t="s">
        <v>3049</v>
      </c>
      <c r="E642" s="1" t="s">
        <v>3140</v>
      </c>
      <c r="F642" s="1" t="s">
        <v>3063</v>
      </c>
      <c r="G642" s="1" t="s">
        <v>3064</v>
      </c>
      <c r="H642" s="1" t="s">
        <v>18</v>
      </c>
    </row>
    <row r="643" spans="1:8">
      <c r="A643" s="1">
        <v>642</v>
      </c>
      <c r="B643" s="1" t="s">
        <v>5477</v>
      </c>
      <c r="C643" s="1" t="s">
        <v>58</v>
      </c>
      <c r="D643" s="1" t="s">
        <v>3066</v>
      </c>
      <c r="E643" s="1" t="s">
        <v>3067</v>
      </c>
      <c r="F643" s="1" t="s">
        <v>3068</v>
      </c>
      <c r="G643" s="1" t="s">
        <v>3069</v>
      </c>
      <c r="H643" s="1" t="s">
        <v>18</v>
      </c>
    </row>
    <row r="644" spans="1:8">
      <c r="A644" s="1">
        <v>643</v>
      </c>
      <c r="B644" s="1" t="s">
        <v>5477</v>
      </c>
      <c r="C644" s="1" t="s">
        <v>63</v>
      </c>
      <c r="D644" s="1" t="s">
        <v>3066</v>
      </c>
      <c r="E644" s="1" t="s">
        <v>3071</v>
      </c>
      <c r="F644" s="1" t="s">
        <v>3072</v>
      </c>
      <c r="G644" s="1" t="s">
        <v>3073</v>
      </c>
      <c r="H644" s="1" t="s">
        <v>18</v>
      </c>
    </row>
    <row r="645" spans="1:8">
      <c r="A645" s="1">
        <v>644</v>
      </c>
      <c r="B645" s="1" t="s">
        <v>5477</v>
      </c>
      <c r="C645" s="1" t="s">
        <v>67</v>
      </c>
      <c r="D645" s="1" t="s">
        <v>3066</v>
      </c>
      <c r="E645" s="1" t="s">
        <v>3075</v>
      </c>
      <c r="F645" s="1" t="s">
        <v>3076</v>
      </c>
      <c r="G645" s="1" t="s">
        <v>3077</v>
      </c>
      <c r="H645" s="1" t="s">
        <v>18</v>
      </c>
    </row>
    <row r="646" spans="1:8">
      <c r="A646" s="1">
        <v>645</v>
      </c>
      <c r="B646" s="1" t="s">
        <v>5477</v>
      </c>
      <c r="C646" s="1" t="s">
        <v>71</v>
      </c>
      <c r="D646" s="1" t="s">
        <v>3066</v>
      </c>
      <c r="E646" s="1" t="s">
        <v>3079</v>
      </c>
      <c r="F646" s="1" t="s">
        <v>3080</v>
      </c>
      <c r="G646" s="1" t="s">
        <v>3081</v>
      </c>
      <c r="H646" s="1" t="s">
        <v>18</v>
      </c>
    </row>
    <row r="647" spans="1:8">
      <c r="A647" s="1">
        <v>646</v>
      </c>
      <c r="B647" s="1" t="s">
        <v>5478</v>
      </c>
      <c r="C647" s="1" t="s">
        <v>433</v>
      </c>
      <c r="D647" s="1" t="s">
        <v>3083</v>
      </c>
      <c r="E647" s="1" t="s">
        <v>3108</v>
      </c>
      <c r="F647" s="1" t="s">
        <v>3085</v>
      </c>
      <c r="G647" s="1" t="s">
        <v>5479</v>
      </c>
      <c r="H647" s="1" t="s">
        <v>18</v>
      </c>
    </row>
    <row r="648" spans="1:8">
      <c r="A648" s="1">
        <v>647</v>
      </c>
      <c r="B648" s="1" t="s">
        <v>5478</v>
      </c>
      <c r="C648" s="1" t="s">
        <v>438</v>
      </c>
      <c r="D648" s="1" t="s">
        <v>3083</v>
      </c>
      <c r="E648" s="1" t="s">
        <v>4718</v>
      </c>
      <c r="F648" s="1" t="s">
        <v>3089</v>
      </c>
      <c r="G648" s="1" t="s">
        <v>5480</v>
      </c>
      <c r="H648" s="1" t="s">
        <v>18</v>
      </c>
    </row>
    <row r="649" spans="1:8">
      <c r="A649" s="1">
        <v>648</v>
      </c>
      <c r="B649" s="1" t="s">
        <v>5478</v>
      </c>
      <c r="C649" s="1" t="s">
        <v>442</v>
      </c>
      <c r="D649" s="1" t="s">
        <v>3083</v>
      </c>
      <c r="E649" s="1" t="s">
        <v>4721</v>
      </c>
      <c r="F649" s="1" t="s">
        <v>3093</v>
      </c>
      <c r="G649" s="1" t="s">
        <v>5481</v>
      </c>
      <c r="H649" s="1" t="s">
        <v>18</v>
      </c>
    </row>
    <row r="650" spans="1:8">
      <c r="A650" s="1">
        <v>649</v>
      </c>
      <c r="B650" s="1" t="s">
        <v>5478</v>
      </c>
      <c r="C650" s="1" t="s">
        <v>446</v>
      </c>
      <c r="D650" s="1" t="s">
        <v>3083</v>
      </c>
      <c r="E650" s="1" t="s">
        <v>4723</v>
      </c>
      <c r="F650" s="1" t="s">
        <v>3097</v>
      </c>
      <c r="G650" s="1" t="s">
        <v>5482</v>
      </c>
      <c r="H650" s="1" t="s">
        <v>18</v>
      </c>
    </row>
    <row r="651" spans="1:8">
      <c r="A651" s="1">
        <v>650</v>
      </c>
      <c r="B651" s="1" t="s">
        <v>5478</v>
      </c>
      <c r="C651" s="1" t="s">
        <v>450</v>
      </c>
      <c r="D651" s="1" t="s">
        <v>3083</v>
      </c>
      <c r="E651" s="1" t="s">
        <v>4727</v>
      </c>
      <c r="F651" s="1" t="s">
        <v>3101</v>
      </c>
      <c r="G651" s="1" t="s">
        <v>5483</v>
      </c>
      <c r="H651" s="1" t="s">
        <v>18</v>
      </c>
    </row>
    <row r="652" spans="1:8">
      <c r="A652" s="1">
        <v>651</v>
      </c>
      <c r="B652" s="1" t="s">
        <v>5478</v>
      </c>
      <c r="C652" s="1" t="s">
        <v>454</v>
      </c>
      <c r="D652" s="1" t="s">
        <v>3083</v>
      </c>
      <c r="E652" s="1" t="s">
        <v>4725</v>
      </c>
      <c r="F652" s="1" t="s">
        <v>3105</v>
      </c>
      <c r="G652" s="1" t="s">
        <v>5484</v>
      </c>
      <c r="H652" s="1" t="s">
        <v>18</v>
      </c>
    </row>
    <row r="653" spans="1:8">
      <c r="A653" s="1">
        <v>652</v>
      </c>
      <c r="B653" s="1" t="s">
        <v>5478</v>
      </c>
      <c r="C653" s="1" t="s">
        <v>456</v>
      </c>
      <c r="D653" s="1" t="s">
        <v>3083</v>
      </c>
      <c r="E653" s="1" t="s">
        <v>4716</v>
      </c>
      <c r="F653" s="1" t="s">
        <v>3109</v>
      </c>
      <c r="G653" s="1" t="s">
        <v>5485</v>
      </c>
      <c r="H653" s="1" t="s">
        <v>18</v>
      </c>
    </row>
    <row r="654" spans="1:8">
      <c r="A654" s="1">
        <v>653</v>
      </c>
      <c r="B654" s="1" t="s">
        <v>5486</v>
      </c>
      <c r="C654" s="1" t="s">
        <v>44</v>
      </c>
      <c r="D654" s="1" t="s">
        <v>3112</v>
      </c>
      <c r="E654" s="1" t="s">
        <v>3240</v>
      </c>
      <c r="F654" s="1" t="s">
        <v>471</v>
      </c>
      <c r="G654" s="1" t="s">
        <v>472</v>
      </c>
      <c r="H654" s="1" t="s">
        <v>18</v>
      </c>
    </row>
    <row r="655" spans="1:8">
      <c r="A655" s="1">
        <v>654</v>
      </c>
      <c r="B655" s="1" t="s">
        <v>5486</v>
      </c>
      <c r="C655" s="1" t="s">
        <v>49</v>
      </c>
      <c r="D655" s="1" t="s">
        <v>3112</v>
      </c>
      <c r="E655" s="1" t="s">
        <v>4730</v>
      </c>
      <c r="F655" s="1" t="s">
        <v>3116</v>
      </c>
      <c r="G655" s="1" t="s">
        <v>3117</v>
      </c>
      <c r="H655" s="1" t="s">
        <v>18</v>
      </c>
    </row>
    <row r="656" spans="1:8">
      <c r="A656" s="1">
        <v>655</v>
      </c>
      <c r="B656" s="1" t="s">
        <v>5487</v>
      </c>
      <c r="C656" s="1" t="s">
        <v>44</v>
      </c>
      <c r="D656" s="1" t="s">
        <v>3119</v>
      </c>
      <c r="E656" s="1" t="s">
        <v>4734</v>
      </c>
      <c r="F656" s="1" t="s">
        <v>471</v>
      </c>
      <c r="G656" s="1" t="s">
        <v>472</v>
      </c>
      <c r="H656" s="1" t="s">
        <v>18</v>
      </c>
    </row>
    <row r="657" spans="1:8">
      <c r="A657" s="1">
        <v>656</v>
      </c>
      <c r="B657" s="1" t="s">
        <v>5487</v>
      </c>
      <c r="C657" s="1" t="s">
        <v>49</v>
      </c>
      <c r="D657" s="1" t="s">
        <v>3119</v>
      </c>
      <c r="E657" s="1" t="s">
        <v>4736</v>
      </c>
      <c r="F657" s="1" t="s">
        <v>466</v>
      </c>
      <c r="G657" s="1" t="s">
        <v>467</v>
      </c>
      <c r="H657" s="1" t="s">
        <v>18</v>
      </c>
    </row>
    <row r="658" spans="1:8">
      <c r="A658" s="1">
        <v>657</v>
      </c>
      <c r="B658" s="1" t="s">
        <v>5488</v>
      </c>
      <c r="C658" s="1" t="s">
        <v>9</v>
      </c>
      <c r="D658" s="1" t="s">
        <v>3124</v>
      </c>
      <c r="E658" s="1" t="s">
        <v>3125</v>
      </c>
      <c r="F658" s="1" t="s">
        <v>303</v>
      </c>
      <c r="G658" s="1" t="s">
        <v>304</v>
      </c>
      <c r="H658" s="1" t="s">
        <v>18</v>
      </c>
    </row>
    <row r="659" spans="1:8">
      <c r="A659" s="1">
        <v>658</v>
      </c>
      <c r="B659" s="1" t="s">
        <v>5488</v>
      </c>
      <c r="C659" s="1" t="s">
        <v>14</v>
      </c>
      <c r="D659" s="1" t="s">
        <v>3124</v>
      </c>
      <c r="E659" s="1" t="s">
        <v>3127</v>
      </c>
      <c r="F659" s="1" t="s">
        <v>300</v>
      </c>
      <c r="G659" s="1" t="s">
        <v>301</v>
      </c>
      <c r="H659" s="1" t="s">
        <v>18</v>
      </c>
    </row>
    <row r="660" spans="1:8">
      <c r="A660" s="1">
        <v>659</v>
      </c>
      <c r="B660" s="1" t="s">
        <v>5488</v>
      </c>
      <c r="C660" s="1" t="s">
        <v>19</v>
      </c>
      <c r="D660" s="1" t="s">
        <v>3124</v>
      </c>
      <c r="E660" s="1" t="s">
        <v>3129</v>
      </c>
      <c r="F660" s="1" t="s">
        <v>306</v>
      </c>
      <c r="G660" s="1" t="s">
        <v>307</v>
      </c>
      <c r="H660" s="1" t="s">
        <v>18</v>
      </c>
    </row>
    <row r="661" spans="1:8">
      <c r="A661" s="1">
        <v>660</v>
      </c>
      <c r="B661" s="1" t="s">
        <v>5489</v>
      </c>
      <c r="C661" s="1" t="s">
        <v>237</v>
      </c>
      <c r="D661" s="1" t="s">
        <v>4741</v>
      </c>
      <c r="E661" s="1" t="s">
        <v>4742</v>
      </c>
      <c r="F661" s="1" t="s">
        <v>4743</v>
      </c>
      <c r="G661" s="1" t="s">
        <v>5490</v>
      </c>
      <c r="H661" s="1" t="s">
        <v>18</v>
      </c>
    </row>
    <row r="662" spans="1:8">
      <c r="A662" s="1">
        <v>661</v>
      </c>
      <c r="B662" s="1" t="s">
        <v>5491</v>
      </c>
      <c r="C662" s="1" t="s">
        <v>433</v>
      </c>
      <c r="D662" s="1" t="s">
        <v>3131</v>
      </c>
      <c r="E662" s="1" t="s">
        <v>4774</v>
      </c>
      <c r="F662" s="1" t="s">
        <v>3133</v>
      </c>
      <c r="G662" s="1" t="s">
        <v>3134</v>
      </c>
      <c r="H662" s="1" t="s">
        <v>18</v>
      </c>
    </row>
    <row r="663" spans="1:8">
      <c r="A663" s="1">
        <v>662</v>
      </c>
      <c r="B663" s="1" t="s">
        <v>5491</v>
      </c>
      <c r="C663" s="1" t="s">
        <v>438</v>
      </c>
      <c r="D663" s="1" t="s">
        <v>3131</v>
      </c>
      <c r="E663" s="1" t="s">
        <v>1698</v>
      </c>
      <c r="F663" s="1" t="s">
        <v>3137</v>
      </c>
      <c r="G663" s="1" t="s">
        <v>3138</v>
      </c>
      <c r="H663" s="1" t="s">
        <v>18</v>
      </c>
    </row>
    <row r="664" spans="1:8">
      <c r="A664" s="1">
        <v>663</v>
      </c>
      <c r="B664" s="1" t="s">
        <v>5491</v>
      </c>
      <c r="C664" s="1" t="s">
        <v>442</v>
      </c>
      <c r="D664" s="1" t="s">
        <v>3131</v>
      </c>
      <c r="E664" s="1" t="s">
        <v>1690</v>
      </c>
      <c r="F664" s="1" t="s">
        <v>3141</v>
      </c>
      <c r="G664" s="1" t="s">
        <v>3142</v>
      </c>
      <c r="H664" s="1" t="s">
        <v>18</v>
      </c>
    </row>
    <row r="665" spans="1:8">
      <c r="A665" s="1">
        <v>664</v>
      </c>
      <c r="B665" s="1" t="s">
        <v>5491</v>
      </c>
      <c r="C665" s="1" t="s">
        <v>446</v>
      </c>
      <c r="D665" s="1" t="s">
        <v>3131</v>
      </c>
      <c r="E665" s="1" t="s">
        <v>4767</v>
      </c>
      <c r="F665" s="1" t="s">
        <v>3145</v>
      </c>
      <c r="G665" s="1" t="s">
        <v>3146</v>
      </c>
      <c r="H665" s="1" t="s">
        <v>18</v>
      </c>
    </row>
    <row r="666" spans="1:8">
      <c r="A666" s="1">
        <v>665</v>
      </c>
      <c r="B666" s="1" t="s">
        <v>5491</v>
      </c>
      <c r="C666" s="1" t="s">
        <v>450</v>
      </c>
      <c r="D666" s="1" t="s">
        <v>3131</v>
      </c>
      <c r="E666" s="1" t="s">
        <v>3132</v>
      </c>
      <c r="F666" s="1" t="s">
        <v>3149</v>
      </c>
      <c r="G666" s="1" t="s">
        <v>3150</v>
      </c>
      <c r="H666" s="1" t="s">
        <v>18</v>
      </c>
    </row>
    <row r="667" spans="1:8">
      <c r="A667" s="1">
        <v>666</v>
      </c>
      <c r="B667" s="1" t="s">
        <v>5491</v>
      </c>
      <c r="C667" s="1" t="s">
        <v>454</v>
      </c>
      <c r="D667" s="1" t="s">
        <v>3131</v>
      </c>
      <c r="E667" s="1" t="s">
        <v>1694</v>
      </c>
      <c r="F667" s="1" t="s">
        <v>3153</v>
      </c>
      <c r="G667" s="1" t="s">
        <v>3154</v>
      </c>
      <c r="H667" s="1" t="s">
        <v>18</v>
      </c>
    </row>
    <row r="668" spans="1:8">
      <c r="A668" s="1">
        <v>667</v>
      </c>
      <c r="B668" s="1" t="s">
        <v>5491</v>
      </c>
      <c r="C668" s="1" t="s">
        <v>456</v>
      </c>
      <c r="D668" s="1" t="s">
        <v>3131</v>
      </c>
      <c r="E668" s="1" t="s">
        <v>4771</v>
      </c>
      <c r="F668" s="1" t="s">
        <v>3157</v>
      </c>
      <c r="G668" s="1" t="s">
        <v>3158</v>
      </c>
      <c r="H668" s="1" t="s">
        <v>18</v>
      </c>
    </row>
    <row r="669" spans="1:8">
      <c r="A669" s="1">
        <v>668</v>
      </c>
      <c r="B669" s="1" t="s">
        <v>5492</v>
      </c>
      <c r="C669" s="1" t="s">
        <v>498</v>
      </c>
      <c r="D669" s="1" t="s">
        <v>3160</v>
      </c>
      <c r="E669" s="1" t="s">
        <v>244</v>
      </c>
      <c r="F669" s="1" t="s">
        <v>3161</v>
      </c>
      <c r="G669" s="1" t="s">
        <v>3162</v>
      </c>
      <c r="H669" s="1" t="s">
        <v>18</v>
      </c>
    </row>
    <row r="670" spans="1:8">
      <c r="A670" s="1">
        <v>669</v>
      </c>
      <c r="B670" s="1" t="s">
        <v>5492</v>
      </c>
      <c r="C670" s="1" t="s">
        <v>503</v>
      </c>
      <c r="D670" s="1" t="s">
        <v>3160</v>
      </c>
      <c r="E670" s="1" t="s">
        <v>3164</v>
      </c>
      <c r="F670" s="1" t="s">
        <v>3165</v>
      </c>
      <c r="G670" s="1" t="s">
        <v>3166</v>
      </c>
      <c r="H670" s="1" t="s">
        <v>18</v>
      </c>
    </row>
    <row r="671" spans="1:8">
      <c r="A671" s="1">
        <v>670</v>
      </c>
      <c r="B671" s="1" t="s">
        <v>5492</v>
      </c>
      <c r="C671" s="1" t="s">
        <v>507</v>
      </c>
      <c r="D671" s="1" t="s">
        <v>3160</v>
      </c>
      <c r="E671" s="1" t="s">
        <v>247</v>
      </c>
      <c r="F671" s="1" t="s">
        <v>3168</v>
      </c>
      <c r="G671" s="1" t="s">
        <v>3169</v>
      </c>
      <c r="H671" s="1" t="s">
        <v>18</v>
      </c>
    </row>
    <row r="672" spans="1:8">
      <c r="A672" s="1">
        <v>671</v>
      </c>
      <c r="B672" s="1" t="s">
        <v>5492</v>
      </c>
      <c r="C672" s="1" t="s">
        <v>511</v>
      </c>
      <c r="D672" s="1" t="s">
        <v>3160</v>
      </c>
      <c r="E672" s="1" t="s">
        <v>252</v>
      </c>
      <c r="F672" s="1" t="s">
        <v>3149</v>
      </c>
      <c r="G672" s="1" t="s">
        <v>3150</v>
      </c>
      <c r="H672" s="1" t="s">
        <v>18</v>
      </c>
    </row>
    <row r="673" spans="1:8">
      <c r="A673" s="1">
        <v>672</v>
      </c>
      <c r="B673" s="1" t="s">
        <v>5492</v>
      </c>
      <c r="C673" s="1" t="s">
        <v>513</v>
      </c>
      <c r="D673" s="1" t="s">
        <v>3160</v>
      </c>
      <c r="E673" s="1" t="s">
        <v>253</v>
      </c>
      <c r="F673" s="1" t="s">
        <v>3153</v>
      </c>
      <c r="G673" s="1" t="s">
        <v>3154</v>
      </c>
      <c r="H673" s="1" t="s">
        <v>18</v>
      </c>
    </row>
    <row r="674" spans="1:8">
      <c r="A674" s="1">
        <v>673</v>
      </c>
      <c r="B674" s="1" t="s">
        <v>5492</v>
      </c>
      <c r="C674" s="1" t="s">
        <v>515</v>
      </c>
      <c r="D674" s="1" t="s">
        <v>3160</v>
      </c>
      <c r="E674" s="1" t="s">
        <v>3173</v>
      </c>
      <c r="F674" s="1" t="s">
        <v>3157</v>
      </c>
      <c r="G674" s="1" t="s">
        <v>3158</v>
      </c>
      <c r="H674" s="1" t="s">
        <v>18</v>
      </c>
    </row>
    <row r="675" spans="1:8">
      <c r="A675" s="1">
        <v>674</v>
      </c>
      <c r="B675" s="1" t="s">
        <v>5492</v>
      </c>
      <c r="C675" s="1" t="s">
        <v>517</v>
      </c>
      <c r="D675" s="1" t="s">
        <v>3160</v>
      </c>
      <c r="E675" s="1" t="s">
        <v>3175</v>
      </c>
      <c r="F675" s="1" t="s">
        <v>3176</v>
      </c>
      <c r="G675" s="1" t="s">
        <v>3177</v>
      </c>
      <c r="H675" s="1" t="s">
        <v>18</v>
      </c>
    </row>
    <row r="676" spans="1:8">
      <c r="A676" s="1">
        <v>675</v>
      </c>
      <c r="B676" s="1" t="s">
        <v>5492</v>
      </c>
      <c r="C676" s="1" t="s">
        <v>521</v>
      </c>
      <c r="D676" s="1" t="s">
        <v>3160</v>
      </c>
      <c r="E676" s="1" t="s">
        <v>1332</v>
      </c>
      <c r="F676" s="1" t="s">
        <v>3179</v>
      </c>
      <c r="G676" s="1" t="s">
        <v>3180</v>
      </c>
      <c r="H676" s="1" t="s">
        <v>18</v>
      </c>
    </row>
    <row r="677" spans="1:8">
      <c r="A677" s="1">
        <v>676</v>
      </c>
      <c r="B677" s="1" t="s">
        <v>5493</v>
      </c>
      <c r="C677" s="1" t="s">
        <v>433</v>
      </c>
      <c r="D677" s="1" t="s">
        <v>3182</v>
      </c>
      <c r="E677" s="1" t="s">
        <v>3183</v>
      </c>
      <c r="F677" s="1" t="s">
        <v>3133</v>
      </c>
      <c r="G677" s="1" t="s">
        <v>3134</v>
      </c>
      <c r="H677" s="1" t="s">
        <v>18</v>
      </c>
    </row>
    <row r="678" spans="1:8">
      <c r="A678" s="1">
        <v>677</v>
      </c>
      <c r="B678" s="1" t="s">
        <v>5493</v>
      </c>
      <c r="C678" s="1" t="s">
        <v>438</v>
      </c>
      <c r="D678" s="1" t="s">
        <v>3182</v>
      </c>
      <c r="E678" s="1" t="s">
        <v>668</v>
      </c>
      <c r="F678" s="1" t="s">
        <v>3137</v>
      </c>
      <c r="G678" s="1" t="s">
        <v>3138</v>
      </c>
      <c r="H678" s="1" t="s">
        <v>18</v>
      </c>
    </row>
    <row r="679" spans="1:8">
      <c r="A679" s="1">
        <v>678</v>
      </c>
      <c r="B679" s="1" t="s">
        <v>5493</v>
      </c>
      <c r="C679" s="1" t="s">
        <v>442</v>
      </c>
      <c r="D679" s="1" t="s">
        <v>3182</v>
      </c>
      <c r="E679" s="1" t="s">
        <v>1256</v>
      </c>
      <c r="F679" s="1" t="s">
        <v>3141</v>
      </c>
      <c r="G679" s="1" t="s">
        <v>3142</v>
      </c>
      <c r="H679" s="1" t="s">
        <v>18</v>
      </c>
    </row>
    <row r="680" spans="1:8">
      <c r="A680" s="1">
        <v>679</v>
      </c>
      <c r="B680" s="1" t="s">
        <v>5493</v>
      </c>
      <c r="C680" s="1" t="s">
        <v>446</v>
      </c>
      <c r="D680" s="1" t="s">
        <v>3182</v>
      </c>
      <c r="E680" s="1" t="s">
        <v>3187</v>
      </c>
      <c r="F680" s="1" t="s">
        <v>3145</v>
      </c>
      <c r="G680" s="1" t="s">
        <v>3146</v>
      </c>
      <c r="H680" s="1" t="s">
        <v>18</v>
      </c>
    </row>
    <row r="681" spans="1:8">
      <c r="A681" s="1">
        <v>680</v>
      </c>
      <c r="B681" s="1" t="s">
        <v>5493</v>
      </c>
      <c r="C681" s="1" t="s">
        <v>450</v>
      </c>
      <c r="D681" s="1" t="s">
        <v>3182</v>
      </c>
      <c r="E681" s="1" t="s">
        <v>3189</v>
      </c>
      <c r="F681" s="1" t="s">
        <v>3149</v>
      </c>
      <c r="G681" s="1" t="s">
        <v>3150</v>
      </c>
      <c r="H681" s="1" t="s">
        <v>18</v>
      </c>
    </row>
    <row r="682" spans="1:8">
      <c r="A682" s="1">
        <v>681</v>
      </c>
      <c r="B682" s="1" t="s">
        <v>5493</v>
      </c>
      <c r="C682" s="1" t="s">
        <v>454</v>
      </c>
      <c r="D682" s="1" t="s">
        <v>3182</v>
      </c>
      <c r="E682" s="1" t="s">
        <v>4790</v>
      </c>
      <c r="F682" s="1" t="s">
        <v>3153</v>
      </c>
      <c r="G682" s="1" t="s">
        <v>3154</v>
      </c>
      <c r="H682" s="1" t="s">
        <v>18</v>
      </c>
    </row>
    <row r="683" spans="1:8">
      <c r="A683" s="1">
        <v>682</v>
      </c>
      <c r="B683" s="1" t="s">
        <v>5493</v>
      </c>
      <c r="C683" s="1" t="s">
        <v>456</v>
      </c>
      <c r="D683" s="1" t="s">
        <v>3182</v>
      </c>
      <c r="E683" s="1" t="s">
        <v>4788</v>
      </c>
      <c r="F683" s="1" t="s">
        <v>3157</v>
      </c>
      <c r="G683" s="1" t="s">
        <v>3158</v>
      </c>
      <c r="H683" s="1" t="s">
        <v>18</v>
      </c>
    </row>
    <row r="684" spans="1:8">
      <c r="A684" s="1">
        <v>683</v>
      </c>
      <c r="B684" s="1" t="s">
        <v>5494</v>
      </c>
      <c r="C684" s="1" t="s">
        <v>5291</v>
      </c>
      <c r="D684" s="1" t="s">
        <v>3195</v>
      </c>
      <c r="E684" s="1" t="s">
        <v>3191</v>
      </c>
      <c r="F684" s="1" t="s">
        <v>3197</v>
      </c>
      <c r="G684" s="1" t="s">
        <v>3198</v>
      </c>
      <c r="H684" s="1" t="s">
        <v>18</v>
      </c>
    </row>
    <row r="685" spans="1:8">
      <c r="A685" s="1">
        <v>684</v>
      </c>
      <c r="B685" s="1" t="s">
        <v>5494</v>
      </c>
      <c r="C685" s="1" t="s">
        <v>5293</v>
      </c>
      <c r="D685" s="1" t="s">
        <v>3195</v>
      </c>
      <c r="E685" s="1" t="s">
        <v>3193</v>
      </c>
      <c r="F685" s="1" t="s">
        <v>3201</v>
      </c>
      <c r="G685" s="1" t="s">
        <v>3202</v>
      </c>
      <c r="H685" s="1" t="s">
        <v>18</v>
      </c>
    </row>
    <row r="686" spans="1:8">
      <c r="A686" s="1">
        <v>685</v>
      </c>
      <c r="B686" s="1" t="s">
        <v>5494</v>
      </c>
      <c r="C686" s="1" t="s">
        <v>5295</v>
      </c>
      <c r="D686" s="1" t="s">
        <v>3195</v>
      </c>
      <c r="E686" s="1" t="s">
        <v>3200</v>
      </c>
      <c r="F686" s="1" t="s">
        <v>3205</v>
      </c>
      <c r="G686" s="1" t="s">
        <v>3206</v>
      </c>
      <c r="H686" s="1" t="s">
        <v>18</v>
      </c>
    </row>
    <row r="687" spans="1:8">
      <c r="A687" s="1">
        <v>686</v>
      </c>
      <c r="B687" s="1" t="s">
        <v>5494</v>
      </c>
      <c r="C687" s="1" t="s">
        <v>5297</v>
      </c>
      <c r="D687" s="1" t="s">
        <v>3195</v>
      </c>
      <c r="E687" s="1" t="s">
        <v>3196</v>
      </c>
      <c r="F687" s="1" t="s">
        <v>3209</v>
      </c>
      <c r="G687" s="1" t="s">
        <v>3210</v>
      </c>
      <c r="H687" s="1" t="s">
        <v>18</v>
      </c>
    </row>
    <row r="688" spans="1:8">
      <c r="A688" s="1">
        <v>687</v>
      </c>
      <c r="B688" s="1" t="s">
        <v>5494</v>
      </c>
      <c r="C688" s="1" t="s">
        <v>5299</v>
      </c>
      <c r="D688" s="1" t="s">
        <v>3195</v>
      </c>
      <c r="E688" s="1" t="s">
        <v>3208</v>
      </c>
      <c r="F688" s="1" t="s">
        <v>3213</v>
      </c>
      <c r="G688" s="1" t="s">
        <v>3214</v>
      </c>
      <c r="H688" s="1" t="s">
        <v>18</v>
      </c>
    </row>
    <row r="689" spans="1:8">
      <c r="A689" s="1">
        <v>688</v>
      </c>
      <c r="B689" s="1" t="s">
        <v>5494</v>
      </c>
      <c r="C689" s="1" t="s">
        <v>5301</v>
      </c>
      <c r="D689" s="1" t="s">
        <v>3195</v>
      </c>
      <c r="E689" s="1" t="s">
        <v>3212</v>
      </c>
      <c r="F689" s="1" t="s">
        <v>3217</v>
      </c>
      <c r="G689" s="1" t="s">
        <v>3218</v>
      </c>
      <c r="H689" s="1" t="s">
        <v>18</v>
      </c>
    </row>
    <row r="690" spans="1:8">
      <c r="A690" s="1">
        <v>689</v>
      </c>
      <c r="B690" s="1" t="s">
        <v>5494</v>
      </c>
      <c r="C690" s="1" t="s">
        <v>5303</v>
      </c>
      <c r="D690" s="1" t="s">
        <v>3195</v>
      </c>
      <c r="E690" s="1" t="s">
        <v>3204</v>
      </c>
      <c r="F690" s="1" t="s">
        <v>3221</v>
      </c>
      <c r="G690" s="1" t="s">
        <v>3222</v>
      </c>
      <c r="H690" s="1" t="s">
        <v>18</v>
      </c>
    </row>
    <row r="691" spans="1:8">
      <c r="A691" s="1">
        <v>690</v>
      </c>
      <c r="B691" s="1" t="s">
        <v>5494</v>
      </c>
      <c r="C691" s="1" t="s">
        <v>5305</v>
      </c>
      <c r="D691" s="1" t="s">
        <v>3195</v>
      </c>
      <c r="E691" s="1" t="s">
        <v>3220</v>
      </c>
      <c r="F691" s="1" t="s">
        <v>3225</v>
      </c>
      <c r="G691" s="1" t="s">
        <v>3226</v>
      </c>
      <c r="H691" s="1" t="s">
        <v>18</v>
      </c>
    </row>
    <row r="692" spans="1:8">
      <c r="A692" s="1">
        <v>691</v>
      </c>
      <c r="B692" s="1" t="s">
        <v>5494</v>
      </c>
      <c r="C692" s="1" t="s">
        <v>5306</v>
      </c>
      <c r="D692" s="1" t="s">
        <v>3195</v>
      </c>
      <c r="E692" s="1" t="s">
        <v>3216</v>
      </c>
      <c r="F692" s="1" t="s">
        <v>3229</v>
      </c>
      <c r="G692" s="1" t="s">
        <v>3230</v>
      </c>
      <c r="H692" s="1" t="s">
        <v>18</v>
      </c>
    </row>
    <row r="693" spans="1:8">
      <c r="A693" s="1">
        <v>692</v>
      </c>
      <c r="B693" s="1" t="s">
        <v>5494</v>
      </c>
      <c r="C693" s="1" t="s">
        <v>5308</v>
      </c>
      <c r="D693" s="1" t="s">
        <v>3195</v>
      </c>
      <c r="E693" s="1" t="s">
        <v>3248</v>
      </c>
      <c r="F693" s="1" t="s">
        <v>3233</v>
      </c>
      <c r="G693" s="1" t="s">
        <v>3234</v>
      </c>
      <c r="H693" s="1" t="s">
        <v>18</v>
      </c>
    </row>
    <row r="694" spans="1:8">
      <c r="A694" s="1">
        <v>693</v>
      </c>
      <c r="B694" s="1" t="s">
        <v>5494</v>
      </c>
      <c r="C694" s="1" t="s">
        <v>5310</v>
      </c>
      <c r="D694" s="1" t="s">
        <v>3195</v>
      </c>
      <c r="E694" s="1" t="s">
        <v>3224</v>
      </c>
      <c r="F694" s="1" t="s">
        <v>3237</v>
      </c>
      <c r="G694" s="1" t="s">
        <v>3238</v>
      </c>
      <c r="H694" s="1" t="s">
        <v>18</v>
      </c>
    </row>
    <row r="695" spans="1:8">
      <c r="A695" s="1">
        <v>694</v>
      </c>
      <c r="B695" s="1" t="s">
        <v>5494</v>
      </c>
      <c r="C695" s="1" t="s">
        <v>5312</v>
      </c>
      <c r="D695" s="1" t="s">
        <v>3195</v>
      </c>
      <c r="E695" s="1" t="s">
        <v>3228</v>
      </c>
      <c r="F695" s="1" t="s">
        <v>3241</v>
      </c>
      <c r="G695" s="1" t="s">
        <v>3242</v>
      </c>
      <c r="H695" s="1" t="s">
        <v>18</v>
      </c>
    </row>
    <row r="696" spans="1:8">
      <c r="A696" s="1">
        <v>695</v>
      </c>
      <c r="B696" s="1" t="s">
        <v>5494</v>
      </c>
      <c r="C696" s="1" t="s">
        <v>5314</v>
      </c>
      <c r="D696" s="1" t="s">
        <v>3195</v>
      </c>
      <c r="E696" s="1" t="s">
        <v>2009</v>
      </c>
      <c r="F696" s="1" t="s">
        <v>3245</v>
      </c>
      <c r="G696" s="1" t="s">
        <v>3246</v>
      </c>
      <c r="H696" s="1" t="s">
        <v>18</v>
      </c>
    </row>
    <row r="697" spans="1:8">
      <c r="A697" s="1">
        <v>696</v>
      </c>
      <c r="B697" s="1" t="s">
        <v>5494</v>
      </c>
      <c r="C697" s="1" t="s">
        <v>5316</v>
      </c>
      <c r="D697" s="1" t="s">
        <v>3195</v>
      </c>
      <c r="E697" s="1" t="s">
        <v>3236</v>
      </c>
      <c r="F697" s="1" t="s">
        <v>3249</v>
      </c>
      <c r="G697" s="1" t="s">
        <v>3250</v>
      </c>
      <c r="H697" s="1" t="s">
        <v>18</v>
      </c>
    </row>
    <row r="698" spans="1:8">
      <c r="A698" s="1">
        <v>697</v>
      </c>
      <c r="B698" s="1" t="s">
        <v>5495</v>
      </c>
      <c r="C698" s="1" t="s">
        <v>237</v>
      </c>
      <c r="D698" s="1" t="s">
        <v>3252</v>
      </c>
      <c r="E698" s="1" t="s">
        <v>3253</v>
      </c>
      <c r="F698" s="1" t="s">
        <v>21</v>
      </c>
      <c r="G698" s="1" t="s">
        <v>22</v>
      </c>
      <c r="H698" s="1" t="s">
        <v>18</v>
      </c>
    </row>
    <row r="699" spans="1:8">
      <c r="A699" s="1">
        <v>698</v>
      </c>
      <c r="B699" s="1" t="s">
        <v>5496</v>
      </c>
      <c r="C699" s="1" t="s">
        <v>44</v>
      </c>
      <c r="D699" s="1" t="s">
        <v>3255</v>
      </c>
      <c r="E699" s="1" t="s">
        <v>3256</v>
      </c>
      <c r="F699" s="1" t="s">
        <v>51</v>
      </c>
      <c r="G699" s="1" t="s">
        <v>52</v>
      </c>
      <c r="H699" s="1" t="s">
        <v>18</v>
      </c>
    </row>
    <row r="700" spans="1:8">
      <c r="A700" s="1">
        <v>699</v>
      </c>
      <c r="B700" s="1" t="s">
        <v>5496</v>
      </c>
      <c r="C700" s="1" t="s">
        <v>49</v>
      </c>
      <c r="D700" s="1" t="s">
        <v>3255</v>
      </c>
      <c r="E700" s="1" t="s">
        <v>3258</v>
      </c>
      <c r="F700" s="1" t="s">
        <v>47</v>
      </c>
      <c r="G700" s="1" t="s">
        <v>48</v>
      </c>
      <c r="H700" s="1" t="s">
        <v>18</v>
      </c>
    </row>
    <row r="701" spans="1:8">
      <c r="A701" s="1">
        <v>700</v>
      </c>
      <c r="B701" s="1" t="s">
        <v>5497</v>
      </c>
      <c r="C701" s="1" t="s">
        <v>9</v>
      </c>
      <c r="D701" s="1" t="s">
        <v>3260</v>
      </c>
      <c r="E701" s="1" t="s">
        <v>4925</v>
      </c>
      <c r="F701" s="1" t="s">
        <v>4926</v>
      </c>
      <c r="G701" s="1" t="s">
        <v>5498</v>
      </c>
      <c r="H701" s="1" t="s">
        <v>18</v>
      </c>
    </row>
    <row r="702" spans="1:8">
      <c r="A702" s="1">
        <v>701</v>
      </c>
      <c r="B702" s="1" t="s">
        <v>5497</v>
      </c>
      <c r="C702" s="1" t="s">
        <v>14</v>
      </c>
      <c r="D702" s="1" t="s">
        <v>3260</v>
      </c>
      <c r="E702" s="1" t="s">
        <v>3261</v>
      </c>
      <c r="F702" s="1" t="s">
        <v>51</v>
      </c>
      <c r="G702" s="1" t="s">
        <v>52</v>
      </c>
      <c r="H702" s="1" t="s">
        <v>18</v>
      </c>
    </row>
    <row r="703" spans="1:8">
      <c r="A703" s="1">
        <v>702</v>
      </c>
      <c r="B703" s="1" t="s">
        <v>5497</v>
      </c>
      <c r="C703" s="1" t="s">
        <v>19</v>
      </c>
      <c r="D703" s="1" t="s">
        <v>3260</v>
      </c>
      <c r="E703" s="1" t="s">
        <v>3263</v>
      </c>
      <c r="F703" s="1" t="s">
        <v>47</v>
      </c>
      <c r="G703" s="1" t="s">
        <v>48</v>
      </c>
      <c r="H703" s="1" t="s">
        <v>18</v>
      </c>
    </row>
    <row r="704" spans="1:8">
      <c r="A704" s="1">
        <v>703</v>
      </c>
      <c r="B704" s="1" t="s">
        <v>5499</v>
      </c>
      <c r="C704" s="1" t="s">
        <v>58</v>
      </c>
      <c r="D704" s="1" t="s">
        <v>3265</v>
      </c>
      <c r="E704" s="1" t="s">
        <v>530</v>
      </c>
      <c r="F704" s="1" t="s">
        <v>531</v>
      </c>
      <c r="G704" s="1" t="s">
        <v>532</v>
      </c>
      <c r="H704" s="1" t="s">
        <v>18</v>
      </c>
    </row>
    <row r="705" spans="1:8">
      <c r="A705" s="1">
        <v>704</v>
      </c>
      <c r="B705" s="1" t="s">
        <v>5499</v>
      </c>
      <c r="C705" s="1" t="s">
        <v>63</v>
      </c>
      <c r="D705" s="1" t="s">
        <v>3265</v>
      </c>
      <c r="E705" s="1" t="s">
        <v>533</v>
      </c>
      <c r="F705" s="1" t="s">
        <v>534</v>
      </c>
      <c r="G705" s="1" t="s">
        <v>535</v>
      </c>
      <c r="H705" s="1" t="s">
        <v>18</v>
      </c>
    </row>
    <row r="706" spans="1:8">
      <c r="A706" s="1">
        <v>705</v>
      </c>
      <c r="B706" s="1" t="s">
        <v>5499</v>
      </c>
      <c r="C706" s="1" t="s">
        <v>67</v>
      </c>
      <c r="D706" s="1" t="s">
        <v>3265</v>
      </c>
      <c r="E706" s="1" t="s">
        <v>536</v>
      </c>
      <c r="F706" s="1" t="s">
        <v>537</v>
      </c>
      <c r="G706" s="1" t="s">
        <v>538</v>
      </c>
      <c r="H706" s="1" t="s">
        <v>18</v>
      </c>
    </row>
    <row r="707" spans="1:8">
      <c r="A707" s="1">
        <v>706</v>
      </c>
      <c r="B707" s="1" t="s">
        <v>5499</v>
      </c>
      <c r="C707" s="1" t="s">
        <v>71</v>
      </c>
      <c r="D707" s="1" t="s">
        <v>3265</v>
      </c>
      <c r="E707" s="1" t="s">
        <v>527</v>
      </c>
      <c r="F707" s="1" t="s">
        <v>528</v>
      </c>
      <c r="G707" s="1" t="s">
        <v>529</v>
      </c>
      <c r="H707" s="1" t="s">
        <v>18</v>
      </c>
    </row>
    <row r="708" spans="1:8">
      <c r="A708" s="1">
        <v>707</v>
      </c>
      <c r="B708" s="1" t="s">
        <v>5500</v>
      </c>
      <c r="C708" s="1" t="s">
        <v>44</v>
      </c>
      <c r="D708" s="1" t="s">
        <v>3270</v>
      </c>
      <c r="E708" s="1" t="s">
        <v>1273</v>
      </c>
      <c r="F708" s="1" t="s">
        <v>688</v>
      </c>
      <c r="G708" s="1" t="s">
        <v>689</v>
      </c>
      <c r="H708" s="1" t="s">
        <v>18</v>
      </c>
    </row>
    <row r="709" spans="1:8">
      <c r="A709" s="1">
        <v>708</v>
      </c>
      <c r="B709" s="1" t="s">
        <v>5500</v>
      </c>
      <c r="C709" s="1" t="s">
        <v>49</v>
      </c>
      <c r="D709" s="1" t="s">
        <v>3270</v>
      </c>
      <c r="E709" s="1" t="s">
        <v>1274</v>
      </c>
      <c r="F709" s="1" t="s">
        <v>630</v>
      </c>
      <c r="G709" s="1" t="s">
        <v>631</v>
      </c>
      <c r="H709" s="1" t="s">
        <v>18</v>
      </c>
    </row>
    <row r="710" spans="1:8">
      <c r="A710" s="1">
        <v>709</v>
      </c>
      <c r="B710" s="1" t="s">
        <v>5501</v>
      </c>
      <c r="C710" s="1" t="s">
        <v>9</v>
      </c>
      <c r="D710" s="1" t="s">
        <v>3273</v>
      </c>
      <c r="E710" s="1" t="s">
        <v>892</v>
      </c>
      <c r="F710" s="1" t="s">
        <v>893</v>
      </c>
      <c r="G710" s="1" t="s">
        <v>894</v>
      </c>
      <c r="H710" s="1" t="s">
        <v>18</v>
      </c>
    </row>
    <row r="711" spans="1:8">
      <c r="A711" s="1">
        <v>710</v>
      </c>
      <c r="B711" s="1" t="s">
        <v>5501</v>
      </c>
      <c r="C711" s="1" t="s">
        <v>14</v>
      </c>
      <c r="D711" s="1" t="s">
        <v>3273</v>
      </c>
      <c r="E711" s="1" t="s">
        <v>895</v>
      </c>
      <c r="F711" s="1" t="s">
        <v>779</v>
      </c>
      <c r="G711" s="1" t="s">
        <v>780</v>
      </c>
      <c r="H711" s="1" t="s">
        <v>18</v>
      </c>
    </row>
    <row r="712" spans="1:8">
      <c r="A712" s="1">
        <v>711</v>
      </c>
      <c r="B712" s="1" t="s">
        <v>5501</v>
      </c>
      <c r="C712" s="1" t="s">
        <v>19</v>
      </c>
      <c r="D712" s="1" t="s">
        <v>3273</v>
      </c>
      <c r="E712" s="1" t="s">
        <v>3276</v>
      </c>
      <c r="F712" s="1" t="s">
        <v>644</v>
      </c>
      <c r="G712" s="1" t="s">
        <v>645</v>
      </c>
      <c r="H712" s="1" t="s">
        <v>18</v>
      </c>
    </row>
    <row r="713" spans="1:8">
      <c r="A713" s="1">
        <v>712</v>
      </c>
      <c r="B713" s="1" t="s">
        <v>5502</v>
      </c>
      <c r="C713" s="1" t="s">
        <v>44</v>
      </c>
      <c r="D713" s="1" t="s">
        <v>3278</v>
      </c>
      <c r="E713" s="1" t="s">
        <v>1387</v>
      </c>
      <c r="F713" s="1" t="s">
        <v>3280</v>
      </c>
      <c r="G713" s="1" t="s">
        <v>3281</v>
      </c>
      <c r="H713" s="1" t="s">
        <v>18</v>
      </c>
    </row>
    <row r="714" spans="1:8">
      <c r="A714" s="1">
        <v>713</v>
      </c>
      <c r="B714" s="1" t="s">
        <v>5502</v>
      </c>
      <c r="C714" s="1" t="s">
        <v>49</v>
      </c>
      <c r="D714" s="1" t="s">
        <v>3278</v>
      </c>
      <c r="E714" s="1" t="s">
        <v>3283</v>
      </c>
      <c r="F714" s="1" t="s">
        <v>3284</v>
      </c>
      <c r="G714" s="1" t="s">
        <v>3285</v>
      </c>
      <c r="H714" s="1" t="s">
        <v>18</v>
      </c>
    </row>
    <row r="715" spans="1:8">
      <c r="A715" s="1">
        <v>714</v>
      </c>
      <c r="B715" s="1" t="s">
        <v>5503</v>
      </c>
      <c r="C715" s="1" t="s">
        <v>237</v>
      </c>
      <c r="D715" s="1" t="s">
        <v>3287</v>
      </c>
      <c r="E715" s="1" t="s">
        <v>3288</v>
      </c>
      <c r="F715" s="1" t="s">
        <v>3289</v>
      </c>
      <c r="G715" s="1" t="s">
        <v>5504</v>
      </c>
      <c r="H715" s="1" t="s">
        <v>18</v>
      </c>
    </row>
    <row r="716" spans="1:8">
      <c r="A716" s="1">
        <v>715</v>
      </c>
      <c r="B716" s="1" t="s">
        <v>5505</v>
      </c>
      <c r="C716" s="1" t="s">
        <v>5506</v>
      </c>
      <c r="D716" s="1" t="s">
        <v>3292</v>
      </c>
      <c r="E716" s="1" t="s">
        <v>4950</v>
      </c>
      <c r="F716" s="1" t="s">
        <v>3294</v>
      </c>
      <c r="G716" s="1" t="s">
        <v>5507</v>
      </c>
      <c r="H716" s="1" t="s">
        <v>18</v>
      </c>
    </row>
    <row r="717" spans="1:8">
      <c r="A717" s="1">
        <v>716</v>
      </c>
      <c r="B717" s="1" t="s">
        <v>5505</v>
      </c>
      <c r="C717" s="1" t="s">
        <v>5508</v>
      </c>
      <c r="D717" s="1" t="s">
        <v>3292</v>
      </c>
      <c r="E717" s="1" t="s">
        <v>3232</v>
      </c>
      <c r="F717" s="1" t="s">
        <v>3298</v>
      </c>
      <c r="G717" s="1" t="s">
        <v>5509</v>
      </c>
      <c r="H717" s="1" t="s">
        <v>18</v>
      </c>
    </row>
    <row r="718" spans="1:8">
      <c r="A718" s="1">
        <v>717</v>
      </c>
      <c r="B718" s="1" t="s">
        <v>5505</v>
      </c>
      <c r="C718" s="1" t="s">
        <v>5510</v>
      </c>
      <c r="D718" s="1" t="s">
        <v>3292</v>
      </c>
      <c r="E718" s="1" t="s">
        <v>3297</v>
      </c>
      <c r="F718" s="1" t="s">
        <v>3302</v>
      </c>
      <c r="G718" s="1" t="s">
        <v>5511</v>
      </c>
      <c r="H718" s="1" t="s">
        <v>18</v>
      </c>
    </row>
    <row r="719" spans="1:8">
      <c r="A719" s="1">
        <v>718</v>
      </c>
      <c r="B719" s="1" t="s">
        <v>5505</v>
      </c>
      <c r="C719" s="1" t="s">
        <v>5512</v>
      </c>
      <c r="D719" s="1" t="s">
        <v>3292</v>
      </c>
      <c r="E719" s="1" t="s">
        <v>1891</v>
      </c>
      <c r="F719" s="1" t="s">
        <v>3306</v>
      </c>
      <c r="G719" s="1" t="s">
        <v>5513</v>
      </c>
      <c r="H719" s="1" t="s">
        <v>18</v>
      </c>
    </row>
    <row r="720" spans="1:8">
      <c r="A720" s="1">
        <v>719</v>
      </c>
      <c r="B720" s="1" t="s">
        <v>5505</v>
      </c>
      <c r="C720" s="1" t="s">
        <v>5514</v>
      </c>
      <c r="D720" s="1" t="s">
        <v>3292</v>
      </c>
      <c r="E720" s="1" t="s">
        <v>3293</v>
      </c>
      <c r="F720" s="1" t="s">
        <v>3310</v>
      </c>
      <c r="G720" s="1" t="s">
        <v>5515</v>
      </c>
      <c r="H720" s="1" t="s">
        <v>18</v>
      </c>
    </row>
    <row r="721" spans="1:8">
      <c r="A721" s="1">
        <v>720</v>
      </c>
      <c r="B721" s="1" t="s">
        <v>5505</v>
      </c>
      <c r="C721" s="1" t="s">
        <v>5516</v>
      </c>
      <c r="D721" s="1" t="s">
        <v>3292</v>
      </c>
      <c r="E721" s="1" t="s">
        <v>3309</v>
      </c>
      <c r="F721" s="1" t="s">
        <v>3314</v>
      </c>
      <c r="G721" s="1" t="s">
        <v>5517</v>
      </c>
      <c r="H721" s="1" t="s">
        <v>18</v>
      </c>
    </row>
    <row r="722" spans="1:8">
      <c r="A722" s="1">
        <v>721</v>
      </c>
      <c r="B722" s="1" t="s">
        <v>5505</v>
      </c>
      <c r="C722" s="1" t="s">
        <v>5518</v>
      </c>
      <c r="D722" s="1" t="s">
        <v>3292</v>
      </c>
      <c r="E722" s="1" t="s">
        <v>3301</v>
      </c>
      <c r="F722" s="1" t="s">
        <v>3318</v>
      </c>
      <c r="G722" s="1" t="s">
        <v>5519</v>
      </c>
      <c r="H722" s="1" t="s">
        <v>18</v>
      </c>
    </row>
    <row r="723" spans="1:8">
      <c r="A723" s="1">
        <v>722</v>
      </c>
      <c r="B723" s="1" t="s">
        <v>5505</v>
      </c>
      <c r="C723" s="1" t="s">
        <v>5520</v>
      </c>
      <c r="D723" s="1" t="s">
        <v>3292</v>
      </c>
      <c r="E723" s="1" t="s">
        <v>3313</v>
      </c>
      <c r="F723" s="1" t="s">
        <v>3322</v>
      </c>
      <c r="G723" s="1" t="s">
        <v>5521</v>
      </c>
      <c r="H723" s="1" t="s">
        <v>18</v>
      </c>
    </row>
    <row r="724" spans="1:8">
      <c r="A724" s="1">
        <v>723</v>
      </c>
      <c r="B724" s="1" t="s">
        <v>5505</v>
      </c>
      <c r="C724" s="1" t="s">
        <v>5522</v>
      </c>
      <c r="D724" s="1" t="s">
        <v>3292</v>
      </c>
      <c r="E724" s="1" t="s">
        <v>3317</v>
      </c>
      <c r="F724" s="1" t="s">
        <v>3326</v>
      </c>
      <c r="G724" s="1" t="s">
        <v>5523</v>
      </c>
      <c r="H724" s="1" t="s">
        <v>18</v>
      </c>
    </row>
    <row r="725" spans="1:8">
      <c r="A725" s="1">
        <v>724</v>
      </c>
      <c r="B725" s="1" t="s">
        <v>5524</v>
      </c>
      <c r="C725" s="1" t="s">
        <v>237</v>
      </c>
      <c r="D725" s="1" t="s">
        <v>3329</v>
      </c>
      <c r="E725" s="1" t="s">
        <v>3330</v>
      </c>
      <c r="F725" s="1" t="s">
        <v>644</v>
      </c>
      <c r="G725" s="1" t="s">
        <v>645</v>
      </c>
      <c r="H725" s="1" t="s">
        <v>18</v>
      </c>
    </row>
    <row r="726" spans="1:8">
      <c r="A726" s="1">
        <v>725</v>
      </c>
      <c r="B726" s="1" t="s">
        <v>5525</v>
      </c>
      <c r="C726" s="1" t="s">
        <v>153</v>
      </c>
      <c r="D726" s="1" t="s">
        <v>3332</v>
      </c>
      <c r="E726" s="1" t="s">
        <v>3333</v>
      </c>
      <c r="F726" s="1" t="s">
        <v>3334</v>
      </c>
      <c r="G726" s="1" t="s">
        <v>3335</v>
      </c>
      <c r="H726" s="1" t="s">
        <v>18</v>
      </c>
    </row>
    <row r="727" spans="1:8">
      <c r="A727" s="1">
        <v>726</v>
      </c>
      <c r="B727" s="1" t="s">
        <v>5525</v>
      </c>
      <c r="C727" s="1" t="s">
        <v>158</v>
      </c>
      <c r="D727" s="1" t="s">
        <v>3332</v>
      </c>
      <c r="E727" s="1" t="s">
        <v>3337</v>
      </c>
      <c r="F727" s="1" t="s">
        <v>3338</v>
      </c>
      <c r="G727" s="1" t="s">
        <v>5526</v>
      </c>
      <c r="H727" s="1" t="s">
        <v>18</v>
      </c>
    </row>
    <row r="728" spans="1:8">
      <c r="A728" s="1">
        <v>727</v>
      </c>
      <c r="B728" s="1" t="s">
        <v>5525</v>
      </c>
      <c r="C728" s="1" t="s">
        <v>162</v>
      </c>
      <c r="D728" s="1" t="s">
        <v>3332</v>
      </c>
      <c r="E728" s="1" t="s">
        <v>3341</v>
      </c>
      <c r="F728" s="1" t="s">
        <v>3342</v>
      </c>
      <c r="G728" s="1" t="s">
        <v>5527</v>
      </c>
      <c r="H728" s="1" t="s">
        <v>18</v>
      </c>
    </row>
    <row r="729" spans="1:8">
      <c r="A729" s="1">
        <v>728</v>
      </c>
      <c r="B729" s="1" t="s">
        <v>5525</v>
      </c>
      <c r="C729" s="1" t="s">
        <v>166</v>
      </c>
      <c r="D729" s="1" t="s">
        <v>3332</v>
      </c>
      <c r="E729" s="1" t="s">
        <v>3345</v>
      </c>
      <c r="F729" s="1" t="s">
        <v>3346</v>
      </c>
      <c r="G729" s="1" t="s">
        <v>3347</v>
      </c>
      <c r="H729" s="1" t="s">
        <v>18</v>
      </c>
    </row>
    <row r="730" spans="1:8">
      <c r="A730" s="1">
        <v>729</v>
      </c>
      <c r="B730" s="1" t="s">
        <v>5525</v>
      </c>
      <c r="C730" s="1" t="s">
        <v>170</v>
      </c>
      <c r="D730" s="1" t="s">
        <v>3332</v>
      </c>
      <c r="E730" s="1" t="s">
        <v>3349</v>
      </c>
      <c r="F730" s="1" t="s">
        <v>3350</v>
      </c>
      <c r="G730" s="1" t="s">
        <v>3351</v>
      </c>
      <c r="H730" s="1" t="s">
        <v>18</v>
      </c>
    </row>
    <row r="731" spans="1:8">
      <c r="A731" s="1">
        <v>730</v>
      </c>
      <c r="B731" s="1" t="s">
        <v>5528</v>
      </c>
      <c r="C731" s="1" t="s">
        <v>58</v>
      </c>
      <c r="D731" s="1" t="s">
        <v>3353</v>
      </c>
      <c r="E731" s="1" t="s">
        <v>3354</v>
      </c>
      <c r="F731" s="1" t="s">
        <v>73</v>
      </c>
      <c r="G731" s="1" t="s">
        <v>74</v>
      </c>
      <c r="H731" s="1" t="s">
        <v>18</v>
      </c>
    </row>
    <row r="732" spans="1:8">
      <c r="A732" s="1">
        <v>731</v>
      </c>
      <c r="B732" s="1" t="s">
        <v>5528</v>
      </c>
      <c r="C732" s="1" t="s">
        <v>63</v>
      </c>
      <c r="D732" s="1" t="s">
        <v>3353</v>
      </c>
      <c r="E732" s="1" t="s">
        <v>3356</v>
      </c>
      <c r="F732" s="1" t="s">
        <v>69</v>
      </c>
      <c r="G732" s="1" t="s">
        <v>70</v>
      </c>
      <c r="H732" s="1" t="s">
        <v>18</v>
      </c>
    </row>
    <row r="733" spans="1:8">
      <c r="A733" s="1">
        <v>732</v>
      </c>
      <c r="B733" s="1" t="s">
        <v>5528</v>
      </c>
      <c r="C733" s="1" t="s">
        <v>67</v>
      </c>
      <c r="D733" s="1" t="s">
        <v>3353</v>
      </c>
      <c r="E733" s="1" t="s">
        <v>3358</v>
      </c>
      <c r="F733" s="1" t="s">
        <v>61</v>
      </c>
      <c r="G733" s="1" t="s">
        <v>62</v>
      </c>
      <c r="H733" s="1" t="s">
        <v>18</v>
      </c>
    </row>
    <row r="734" spans="1:8">
      <c r="A734" s="1">
        <v>733</v>
      </c>
      <c r="B734" s="1" t="s">
        <v>5528</v>
      </c>
      <c r="C734" s="1" t="s">
        <v>71</v>
      </c>
      <c r="D734" s="1" t="s">
        <v>3353</v>
      </c>
      <c r="E734" s="1" t="s">
        <v>3360</v>
      </c>
      <c r="F734" s="1" t="s">
        <v>65</v>
      </c>
      <c r="G734" s="1" t="s">
        <v>66</v>
      </c>
      <c r="H734" s="1" t="s">
        <v>18</v>
      </c>
    </row>
    <row r="735" spans="1:8">
      <c r="A735" s="1">
        <v>734</v>
      </c>
      <c r="B735" s="1" t="s">
        <v>5529</v>
      </c>
      <c r="C735" s="1" t="s">
        <v>9</v>
      </c>
      <c r="D735" s="1" t="s">
        <v>3362</v>
      </c>
      <c r="E735" s="1" t="s">
        <v>3363</v>
      </c>
      <c r="F735" s="1" t="s">
        <v>21</v>
      </c>
      <c r="G735" s="1" t="s">
        <v>22</v>
      </c>
      <c r="H735" s="1" t="s">
        <v>18</v>
      </c>
    </row>
    <row r="736" spans="1:8">
      <c r="A736" s="1">
        <v>735</v>
      </c>
      <c r="B736" s="1" t="s">
        <v>5529</v>
      </c>
      <c r="C736" s="1" t="s">
        <v>14</v>
      </c>
      <c r="D736" s="1" t="s">
        <v>3362</v>
      </c>
      <c r="E736" s="1" t="s">
        <v>3365</v>
      </c>
      <c r="F736" s="1" t="s">
        <v>630</v>
      </c>
      <c r="G736" s="1" t="s">
        <v>631</v>
      </c>
      <c r="H736" s="1" t="s">
        <v>18</v>
      </c>
    </row>
    <row r="737" spans="1:8">
      <c r="A737" s="1">
        <v>736</v>
      </c>
      <c r="B737" s="1" t="s">
        <v>5529</v>
      </c>
      <c r="C737" s="1" t="s">
        <v>19</v>
      </c>
      <c r="D737" s="1" t="s">
        <v>3362</v>
      </c>
      <c r="E737" s="1" t="s">
        <v>3367</v>
      </c>
      <c r="F737" s="1" t="s">
        <v>627</v>
      </c>
      <c r="G737" s="1" t="s">
        <v>628</v>
      </c>
      <c r="H737" s="1" t="s">
        <v>18</v>
      </c>
    </row>
    <row r="738" spans="1:8">
      <c r="A738" s="1">
        <v>737</v>
      </c>
      <c r="B738" s="1" t="s">
        <v>5530</v>
      </c>
      <c r="C738" s="1" t="s">
        <v>76</v>
      </c>
      <c r="D738" s="1" t="s">
        <v>3369</v>
      </c>
      <c r="E738" s="1" t="s">
        <v>3370</v>
      </c>
      <c r="F738" s="1" t="s">
        <v>21</v>
      </c>
      <c r="G738" s="1" t="s">
        <v>22</v>
      </c>
      <c r="H738" s="1" t="s">
        <v>18</v>
      </c>
    </row>
    <row r="739" spans="1:8">
      <c r="A739" s="1">
        <v>738</v>
      </c>
      <c r="B739" s="1" t="s">
        <v>5530</v>
      </c>
      <c r="C739" s="1" t="s">
        <v>81</v>
      </c>
      <c r="D739" s="1" t="s">
        <v>3369</v>
      </c>
      <c r="E739" s="1" t="s">
        <v>3372</v>
      </c>
      <c r="F739" s="1" t="s">
        <v>710</v>
      </c>
      <c r="G739" s="1" t="s">
        <v>711</v>
      </c>
      <c r="H739" s="1" t="s">
        <v>18</v>
      </c>
    </row>
    <row r="740" spans="1:8">
      <c r="A740" s="1">
        <v>739</v>
      </c>
      <c r="B740" s="1" t="s">
        <v>5530</v>
      </c>
      <c r="C740" s="1" t="s">
        <v>85</v>
      </c>
      <c r="D740" s="1" t="s">
        <v>3369</v>
      </c>
      <c r="E740" s="1" t="s">
        <v>3374</v>
      </c>
      <c r="F740" s="1" t="s">
        <v>669</v>
      </c>
      <c r="G740" s="1" t="s">
        <v>670</v>
      </c>
      <c r="H740" s="1" t="s">
        <v>18</v>
      </c>
    </row>
    <row r="741" spans="1:8">
      <c r="A741" s="1">
        <v>740</v>
      </c>
      <c r="B741" s="1" t="s">
        <v>5530</v>
      </c>
      <c r="C741" s="1" t="s">
        <v>89</v>
      </c>
      <c r="D741" s="1" t="s">
        <v>3369</v>
      </c>
      <c r="E741" s="1" t="s">
        <v>3376</v>
      </c>
      <c r="F741" s="1" t="s">
        <v>660</v>
      </c>
      <c r="G741" s="1" t="s">
        <v>661</v>
      </c>
      <c r="H741" s="1" t="s">
        <v>18</v>
      </c>
    </row>
    <row r="742" spans="1:8">
      <c r="A742" s="1">
        <v>741</v>
      </c>
      <c r="B742" s="1" t="s">
        <v>5530</v>
      </c>
      <c r="C742" s="1" t="s">
        <v>93</v>
      </c>
      <c r="D742" s="1" t="s">
        <v>3369</v>
      </c>
      <c r="E742" s="1" t="s">
        <v>3378</v>
      </c>
      <c r="F742" s="1" t="s">
        <v>665</v>
      </c>
      <c r="G742" s="1" t="s">
        <v>666</v>
      </c>
      <c r="H742" s="1" t="s">
        <v>18</v>
      </c>
    </row>
    <row r="743" spans="1:8">
      <c r="A743" s="1">
        <v>742</v>
      </c>
      <c r="B743" s="1" t="s">
        <v>5530</v>
      </c>
      <c r="C743" s="1" t="s">
        <v>97</v>
      </c>
      <c r="D743" s="1" t="s">
        <v>3369</v>
      </c>
      <c r="E743" s="1" t="s">
        <v>3380</v>
      </c>
      <c r="F743" s="1" t="s">
        <v>3381</v>
      </c>
      <c r="G743" s="1" t="s">
        <v>3382</v>
      </c>
      <c r="H743" s="1" t="s">
        <v>18</v>
      </c>
    </row>
    <row r="744" spans="1:8">
      <c r="A744" s="1">
        <v>743</v>
      </c>
      <c r="B744" s="1" t="s">
        <v>5531</v>
      </c>
      <c r="C744" s="1" t="s">
        <v>76</v>
      </c>
      <c r="D744" s="1" t="s">
        <v>3384</v>
      </c>
      <c r="E744" s="1" t="s">
        <v>3385</v>
      </c>
      <c r="F744" s="1" t="s">
        <v>21</v>
      </c>
      <c r="G744" s="1" t="s">
        <v>22</v>
      </c>
      <c r="H744" s="1" t="s">
        <v>18</v>
      </c>
    </row>
    <row r="745" spans="1:8">
      <c r="A745" s="1">
        <v>744</v>
      </c>
      <c r="B745" s="1" t="s">
        <v>5531</v>
      </c>
      <c r="C745" s="1" t="s">
        <v>81</v>
      </c>
      <c r="D745" s="1" t="s">
        <v>3384</v>
      </c>
      <c r="E745" s="1" t="s">
        <v>3387</v>
      </c>
      <c r="F745" s="1" t="s">
        <v>710</v>
      </c>
      <c r="G745" s="1" t="s">
        <v>711</v>
      </c>
      <c r="H745" s="1" t="s">
        <v>18</v>
      </c>
    </row>
    <row r="746" spans="1:8">
      <c r="A746" s="1">
        <v>745</v>
      </c>
      <c r="B746" s="1" t="s">
        <v>5531</v>
      </c>
      <c r="C746" s="1" t="s">
        <v>85</v>
      </c>
      <c r="D746" s="1" t="s">
        <v>3384</v>
      </c>
      <c r="E746" s="1" t="s">
        <v>3389</v>
      </c>
      <c r="F746" s="1" t="s">
        <v>669</v>
      </c>
      <c r="G746" s="1" t="s">
        <v>670</v>
      </c>
      <c r="H746" s="1" t="s">
        <v>18</v>
      </c>
    </row>
    <row r="747" spans="1:8">
      <c r="A747" s="1">
        <v>746</v>
      </c>
      <c r="B747" s="1" t="s">
        <v>5531</v>
      </c>
      <c r="C747" s="1" t="s">
        <v>89</v>
      </c>
      <c r="D747" s="1" t="s">
        <v>3384</v>
      </c>
      <c r="E747" s="1" t="s">
        <v>3391</v>
      </c>
      <c r="F747" s="1" t="s">
        <v>660</v>
      </c>
      <c r="G747" s="1" t="s">
        <v>661</v>
      </c>
      <c r="H747" s="1" t="s">
        <v>18</v>
      </c>
    </row>
    <row r="748" spans="1:8">
      <c r="A748" s="1">
        <v>747</v>
      </c>
      <c r="B748" s="1" t="s">
        <v>5531</v>
      </c>
      <c r="C748" s="1" t="s">
        <v>93</v>
      </c>
      <c r="D748" s="1" t="s">
        <v>3384</v>
      </c>
      <c r="E748" s="1" t="s">
        <v>3393</v>
      </c>
      <c r="F748" s="1" t="s">
        <v>665</v>
      </c>
      <c r="G748" s="1" t="s">
        <v>666</v>
      </c>
      <c r="H748" s="1" t="s">
        <v>18</v>
      </c>
    </row>
    <row r="749" spans="1:8">
      <c r="A749" s="1">
        <v>748</v>
      </c>
      <c r="B749" s="1" t="s">
        <v>5531</v>
      </c>
      <c r="C749" s="1" t="s">
        <v>97</v>
      </c>
      <c r="D749" s="1" t="s">
        <v>3384</v>
      </c>
      <c r="E749" s="1" t="s">
        <v>3395</v>
      </c>
      <c r="F749" s="1" t="s">
        <v>3381</v>
      </c>
      <c r="G749" s="1" t="s">
        <v>3382</v>
      </c>
      <c r="H749" s="1" t="s">
        <v>18</v>
      </c>
    </row>
    <row r="750" spans="1:8">
      <c r="A750" s="1">
        <v>749</v>
      </c>
      <c r="B750" s="1" t="s">
        <v>5532</v>
      </c>
      <c r="C750" s="1" t="s">
        <v>9</v>
      </c>
      <c r="D750" s="1" t="s">
        <v>3424</v>
      </c>
      <c r="E750" s="1" t="s">
        <v>3584</v>
      </c>
      <c r="F750" s="1" t="s">
        <v>3426</v>
      </c>
      <c r="G750" s="1" t="s">
        <v>5533</v>
      </c>
      <c r="H750" s="1" t="s">
        <v>18</v>
      </c>
    </row>
    <row r="751" spans="1:8">
      <c r="A751" s="1">
        <v>750</v>
      </c>
      <c r="B751" s="1" t="s">
        <v>5532</v>
      </c>
      <c r="C751" s="1" t="s">
        <v>14</v>
      </c>
      <c r="D751" s="1" t="s">
        <v>3424</v>
      </c>
      <c r="E751" s="1" t="s">
        <v>3586</v>
      </c>
      <c r="F751" s="1" t="s">
        <v>3430</v>
      </c>
      <c r="G751" s="1" t="s">
        <v>5534</v>
      </c>
      <c r="H751" s="1" t="s">
        <v>18</v>
      </c>
    </row>
    <row r="752" spans="1:8">
      <c r="A752" s="1">
        <v>751</v>
      </c>
      <c r="B752" s="1" t="s">
        <v>5532</v>
      </c>
      <c r="C752" s="1" t="s">
        <v>19</v>
      </c>
      <c r="D752" s="1" t="s">
        <v>3424</v>
      </c>
      <c r="E752" s="1" t="s">
        <v>3588</v>
      </c>
      <c r="F752" s="1" t="s">
        <v>3434</v>
      </c>
      <c r="G752" s="1" t="s">
        <v>5535</v>
      </c>
      <c r="H752" s="1" t="s">
        <v>18</v>
      </c>
    </row>
    <row r="753" spans="1:8">
      <c r="A753" s="1">
        <v>752</v>
      </c>
      <c r="B753" s="1" t="s">
        <v>5536</v>
      </c>
      <c r="C753" s="1" t="s">
        <v>58</v>
      </c>
      <c r="D753" s="1" t="s">
        <v>3437</v>
      </c>
      <c r="E753" s="1" t="s">
        <v>598</v>
      </c>
      <c r="F753" s="1" t="s">
        <v>911</v>
      </c>
      <c r="G753" s="1" t="s">
        <v>912</v>
      </c>
      <c r="H753" s="1" t="s">
        <v>18</v>
      </c>
    </row>
    <row r="754" spans="1:8">
      <c r="A754" s="1">
        <v>753</v>
      </c>
      <c r="B754" s="1" t="s">
        <v>5536</v>
      </c>
      <c r="C754" s="1" t="s">
        <v>63</v>
      </c>
      <c r="D754" s="1" t="s">
        <v>3437</v>
      </c>
      <c r="E754" s="1" t="s">
        <v>586</v>
      </c>
      <c r="F754" s="1" t="s">
        <v>902</v>
      </c>
      <c r="G754" s="1" t="s">
        <v>903</v>
      </c>
      <c r="H754" s="1" t="s">
        <v>18</v>
      </c>
    </row>
    <row r="755" spans="1:8">
      <c r="A755" s="1">
        <v>754</v>
      </c>
      <c r="B755" s="1" t="s">
        <v>5536</v>
      </c>
      <c r="C755" s="1" t="s">
        <v>67</v>
      </c>
      <c r="D755" s="1" t="s">
        <v>3437</v>
      </c>
      <c r="E755" s="1" t="s">
        <v>590</v>
      </c>
      <c r="F755" s="1" t="s">
        <v>905</v>
      </c>
      <c r="G755" s="1" t="s">
        <v>906</v>
      </c>
      <c r="H755" s="1" t="s">
        <v>18</v>
      </c>
    </row>
    <row r="756" spans="1:8">
      <c r="A756" s="1">
        <v>755</v>
      </c>
      <c r="B756" s="1" t="s">
        <v>5536</v>
      </c>
      <c r="C756" s="1" t="s">
        <v>71</v>
      </c>
      <c r="D756" s="1" t="s">
        <v>3437</v>
      </c>
      <c r="E756" s="1" t="s">
        <v>594</v>
      </c>
      <c r="F756" s="1" t="s">
        <v>908</v>
      </c>
      <c r="G756" s="1" t="s">
        <v>909</v>
      </c>
      <c r="H756" s="1" t="s">
        <v>18</v>
      </c>
    </row>
    <row r="757" spans="1:8">
      <c r="A757" s="1">
        <v>756</v>
      </c>
      <c r="B757" s="1" t="s">
        <v>5537</v>
      </c>
      <c r="C757" s="1" t="s">
        <v>76</v>
      </c>
      <c r="D757" s="1" t="s">
        <v>3442</v>
      </c>
      <c r="E757" s="1" t="s">
        <v>227</v>
      </c>
      <c r="F757" s="1" t="s">
        <v>931</v>
      </c>
      <c r="G757" s="1" t="s">
        <v>932</v>
      </c>
      <c r="H757" s="1" t="s">
        <v>18</v>
      </c>
    </row>
    <row r="758" spans="1:8">
      <c r="A758" s="1">
        <v>757</v>
      </c>
      <c r="B758" s="1" t="s">
        <v>5537</v>
      </c>
      <c r="C758" s="1" t="s">
        <v>81</v>
      </c>
      <c r="D758" s="1" t="s">
        <v>3442</v>
      </c>
      <c r="E758" s="1" t="s">
        <v>602</v>
      </c>
      <c r="F758" s="1" t="s">
        <v>916</v>
      </c>
      <c r="G758" s="1" t="s">
        <v>917</v>
      </c>
      <c r="H758" s="1" t="s">
        <v>18</v>
      </c>
    </row>
    <row r="759" spans="1:8">
      <c r="A759" s="1">
        <v>758</v>
      </c>
      <c r="B759" s="1" t="s">
        <v>5537</v>
      </c>
      <c r="C759" s="1" t="s">
        <v>85</v>
      </c>
      <c r="D759" s="1" t="s">
        <v>3442</v>
      </c>
      <c r="E759" s="1" t="s">
        <v>3445</v>
      </c>
      <c r="F759" s="1" t="s">
        <v>919</v>
      </c>
      <c r="G759" s="1" t="s">
        <v>920</v>
      </c>
      <c r="H759" s="1" t="s">
        <v>18</v>
      </c>
    </row>
    <row r="760" spans="1:8">
      <c r="A760" s="1">
        <v>759</v>
      </c>
      <c r="B760" s="1" t="s">
        <v>5537</v>
      </c>
      <c r="C760" s="1" t="s">
        <v>89</v>
      </c>
      <c r="D760" s="1" t="s">
        <v>3442</v>
      </c>
      <c r="E760" s="1" t="s">
        <v>3447</v>
      </c>
      <c r="F760" s="1" t="s">
        <v>922</v>
      </c>
      <c r="G760" s="1" t="s">
        <v>923</v>
      </c>
      <c r="H760" s="1" t="s">
        <v>18</v>
      </c>
    </row>
    <row r="761" spans="1:8">
      <c r="A761" s="1">
        <v>760</v>
      </c>
      <c r="B761" s="1" t="s">
        <v>5537</v>
      </c>
      <c r="C761" s="1" t="s">
        <v>93</v>
      </c>
      <c r="D761" s="1" t="s">
        <v>3442</v>
      </c>
      <c r="E761" s="1" t="s">
        <v>3449</v>
      </c>
      <c r="F761" s="1" t="s">
        <v>925</v>
      </c>
      <c r="G761" s="1" t="s">
        <v>926</v>
      </c>
      <c r="H761" s="1" t="s">
        <v>18</v>
      </c>
    </row>
    <row r="762" spans="1:8">
      <c r="A762" s="1">
        <v>761</v>
      </c>
      <c r="B762" s="1" t="s">
        <v>5537</v>
      </c>
      <c r="C762" s="1" t="s">
        <v>97</v>
      </c>
      <c r="D762" s="1" t="s">
        <v>3442</v>
      </c>
      <c r="E762" s="1" t="s">
        <v>226</v>
      </c>
      <c r="F762" s="1" t="s">
        <v>928</v>
      </c>
      <c r="G762" s="1" t="s">
        <v>929</v>
      </c>
      <c r="H762" s="1" t="s">
        <v>18</v>
      </c>
    </row>
    <row r="763" spans="1:8">
      <c r="A763" s="1">
        <v>762</v>
      </c>
      <c r="B763" s="1" t="s">
        <v>5538</v>
      </c>
      <c r="C763" s="1" t="s">
        <v>76</v>
      </c>
      <c r="D763" s="1" t="s">
        <v>3452</v>
      </c>
      <c r="E763" s="1" t="s">
        <v>229</v>
      </c>
      <c r="F763" s="1" t="s">
        <v>936</v>
      </c>
      <c r="G763" s="1" t="s">
        <v>937</v>
      </c>
      <c r="H763" s="1" t="s">
        <v>18</v>
      </c>
    </row>
    <row r="764" spans="1:8">
      <c r="A764" s="1">
        <v>763</v>
      </c>
      <c r="B764" s="1" t="s">
        <v>5538</v>
      </c>
      <c r="C764" s="1" t="s">
        <v>81</v>
      </c>
      <c r="D764" s="1" t="s">
        <v>3452</v>
      </c>
      <c r="E764" s="1" t="s">
        <v>234</v>
      </c>
      <c r="F764" s="1" t="s">
        <v>951</v>
      </c>
      <c r="G764" s="1" t="s">
        <v>952</v>
      </c>
      <c r="H764" s="1" t="s">
        <v>18</v>
      </c>
    </row>
    <row r="765" spans="1:8">
      <c r="A765" s="1">
        <v>764</v>
      </c>
      <c r="B765" s="1" t="s">
        <v>5538</v>
      </c>
      <c r="C765" s="1" t="s">
        <v>85</v>
      </c>
      <c r="D765" s="1" t="s">
        <v>3452</v>
      </c>
      <c r="E765" s="1" t="s">
        <v>230</v>
      </c>
      <c r="F765" s="1" t="s">
        <v>939</v>
      </c>
      <c r="G765" s="1" t="s">
        <v>940</v>
      </c>
      <c r="H765" s="1" t="s">
        <v>18</v>
      </c>
    </row>
    <row r="766" spans="1:8">
      <c r="A766" s="1">
        <v>765</v>
      </c>
      <c r="B766" s="1" t="s">
        <v>5538</v>
      </c>
      <c r="C766" s="1" t="s">
        <v>89</v>
      </c>
      <c r="D766" s="1" t="s">
        <v>3452</v>
      </c>
      <c r="E766" s="1" t="s">
        <v>231</v>
      </c>
      <c r="F766" s="1" t="s">
        <v>942</v>
      </c>
      <c r="G766" s="1" t="s">
        <v>943</v>
      </c>
      <c r="H766" s="1" t="s">
        <v>18</v>
      </c>
    </row>
    <row r="767" spans="1:8">
      <c r="A767" s="1">
        <v>766</v>
      </c>
      <c r="B767" s="1" t="s">
        <v>5538</v>
      </c>
      <c r="C767" s="1" t="s">
        <v>93</v>
      </c>
      <c r="D767" s="1" t="s">
        <v>3452</v>
      </c>
      <c r="E767" s="1" t="s">
        <v>232</v>
      </c>
      <c r="F767" s="1" t="s">
        <v>945</v>
      </c>
      <c r="G767" s="1" t="s">
        <v>946</v>
      </c>
      <c r="H767" s="1" t="s">
        <v>18</v>
      </c>
    </row>
    <row r="768" spans="1:8">
      <c r="A768" s="1">
        <v>767</v>
      </c>
      <c r="B768" s="1" t="s">
        <v>5538</v>
      </c>
      <c r="C768" s="1" t="s">
        <v>97</v>
      </c>
      <c r="D768" s="1" t="s">
        <v>3452</v>
      </c>
      <c r="E768" s="1" t="s">
        <v>233</v>
      </c>
      <c r="F768" s="1" t="s">
        <v>948</v>
      </c>
      <c r="G768" s="1" t="s">
        <v>949</v>
      </c>
      <c r="H768" s="1" t="s">
        <v>18</v>
      </c>
    </row>
    <row r="769" spans="1:8">
      <c r="A769" s="1">
        <v>768</v>
      </c>
      <c r="B769" s="1" t="s">
        <v>5539</v>
      </c>
      <c r="C769" s="1" t="s">
        <v>954</v>
      </c>
      <c r="D769" s="1" t="s">
        <v>3459</v>
      </c>
      <c r="E769" s="1" t="s">
        <v>193</v>
      </c>
      <c r="F769" s="1" t="s">
        <v>965</v>
      </c>
      <c r="G769" s="1" t="s">
        <v>966</v>
      </c>
      <c r="H769" s="1" t="s">
        <v>18</v>
      </c>
    </row>
    <row r="770" spans="1:8">
      <c r="A770" s="1">
        <v>769</v>
      </c>
      <c r="B770" s="1" t="s">
        <v>5539</v>
      </c>
      <c r="C770" s="1" t="s">
        <v>959</v>
      </c>
      <c r="D770" s="1" t="s">
        <v>3459</v>
      </c>
      <c r="E770" s="1" t="s">
        <v>209</v>
      </c>
      <c r="F770" s="1" t="s">
        <v>981</v>
      </c>
      <c r="G770" s="1" t="s">
        <v>982</v>
      </c>
      <c r="H770" s="1" t="s">
        <v>18</v>
      </c>
    </row>
    <row r="771" spans="1:8">
      <c r="A771" s="1">
        <v>770</v>
      </c>
      <c r="B771" s="1" t="s">
        <v>5539</v>
      </c>
      <c r="C771" s="1" t="s">
        <v>963</v>
      </c>
      <c r="D771" s="1" t="s">
        <v>3459</v>
      </c>
      <c r="E771" s="1" t="s">
        <v>213</v>
      </c>
      <c r="F771" s="1" t="s">
        <v>985</v>
      </c>
      <c r="G771" s="1" t="s">
        <v>986</v>
      </c>
      <c r="H771" s="1" t="s">
        <v>18</v>
      </c>
    </row>
    <row r="772" spans="1:8">
      <c r="A772" s="1">
        <v>771</v>
      </c>
      <c r="B772" s="1" t="s">
        <v>5539</v>
      </c>
      <c r="C772" s="1" t="s">
        <v>967</v>
      </c>
      <c r="D772" s="1" t="s">
        <v>3459</v>
      </c>
      <c r="E772" s="1" t="s">
        <v>217</v>
      </c>
      <c r="F772" s="1" t="s">
        <v>989</v>
      </c>
      <c r="G772" s="1" t="s">
        <v>990</v>
      </c>
      <c r="H772" s="1" t="s">
        <v>18</v>
      </c>
    </row>
    <row r="773" spans="1:8">
      <c r="A773" s="1">
        <v>772</v>
      </c>
      <c r="B773" s="1" t="s">
        <v>5539</v>
      </c>
      <c r="C773" s="1" t="s">
        <v>971</v>
      </c>
      <c r="D773" s="1" t="s">
        <v>3459</v>
      </c>
      <c r="E773" s="1" t="s">
        <v>201</v>
      </c>
      <c r="F773" s="1" t="s">
        <v>973</v>
      </c>
      <c r="G773" s="1" t="s">
        <v>974</v>
      </c>
      <c r="H773" s="1" t="s">
        <v>18</v>
      </c>
    </row>
    <row r="774" spans="1:8">
      <c r="A774" s="1">
        <v>773</v>
      </c>
      <c r="B774" s="1" t="s">
        <v>5539</v>
      </c>
      <c r="C774" s="1" t="s">
        <v>975</v>
      </c>
      <c r="D774" s="1" t="s">
        <v>3459</v>
      </c>
      <c r="E774" s="1" t="s">
        <v>205</v>
      </c>
      <c r="F774" s="1" t="s">
        <v>977</v>
      </c>
      <c r="G774" s="1" t="s">
        <v>978</v>
      </c>
      <c r="H774" s="1" t="s">
        <v>18</v>
      </c>
    </row>
    <row r="775" spans="1:8">
      <c r="A775" s="1">
        <v>774</v>
      </c>
      <c r="B775" s="1" t="s">
        <v>5539</v>
      </c>
      <c r="C775" s="1" t="s">
        <v>979</v>
      </c>
      <c r="D775" s="1" t="s">
        <v>3459</v>
      </c>
      <c r="E775" s="1" t="s">
        <v>189</v>
      </c>
      <c r="F775" s="1" t="s">
        <v>961</v>
      </c>
      <c r="G775" s="1" t="s">
        <v>962</v>
      </c>
      <c r="H775" s="1" t="s">
        <v>18</v>
      </c>
    </row>
    <row r="776" spans="1:8">
      <c r="A776" s="1">
        <v>775</v>
      </c>
      <c r="B776" s="1" t="s">
        <v>5539</v>
      </c>
      <c r="C776" s="1" t="s">
        <v>983</v>
      </c>
      <c r="D776" s="1" t="s">
        <v>3459</v>
      </c>
      <c r="E776" s="1" t="s">
        <v>197</v>
      </c>
      <c r="F776" s="1" t="s">
        <v>969</v>
      </c>
      <c r="G776" s="1" t="s">
        <v>970</v>
      </c>
      <c r="H776" s="1" t="s">
        <v>18</v>
      </c>
    </row>
    <row r="777" spans="1:8">
      <c r="A777" s="1">
        <v>776</v>
      </c>
      <c r="B777" s="1" t="s">
        <v>5539</v>
      </c>
      <c r="C777" s="1" t="s">
        <v>987</v>
      </c>
      <c r="D777" s="1" t="s">
        <v>3459</v>
      </c>
      <c r="E777" s="1" t="s">
        <v>738</v>
      </c>
      <c r="F777" s="1" t="s">
        <v>997</v>
      </c>
      <c r="G777" s="1" t="s">
        <v>998</v>
      </c>
      <c r="H777" s="1" t="s">
        <v>18</v>
      </c>
    </row>
    <row r="778" spans="1:8">
      <c r="A778" s="1">
        <v>777</v>
      </c>
      <c r="B778" s="1" t="s">
        <v>5539</v>
      </c>
      <c r="C778" s="1" t="s">
        <v>991</v>
      </c>
      <c r="D778" s="1" t="s">
        <v>3459</v>
      </c>
      <c r="E778" s="1" t="s">
        <v>185</v>
      </c>
      <c r="F778" s="1" t="s">
        <v>957</v>
      </c>
      <c r="G778" s="1" t="s">
        <v>958</v>
      </c>
      <c r="H778" s="1" t="s">
        <v>18</v>
      </c>
    </row>
    <row r="779" spans="1:8">
      <c r="A779" s="1">
        <v>778</v>
      </c>
      <c r="B779" s="1" t="s">
        <v>5539</v>
      </c>
      <c r="C779" s="1" t="s">
        <v>995</v>
      </c>
      <c r="D779" s="1" t="s">
        <v>3459</v>
      </c>
      <c r="E779" s="1" t="s">
        <v>221</v>
      </c>
      <c r="F779" s="1" t="s">
        <v>993</v>
      </c>
      <c r="G779" s="1" t="s">
        <v>994</v>
      </c>
      <c r="H779" s="1" t="s">
        <v>18</v>
      </c>
    </row>
    <row r="780" spans="1:8">
      <c r="A780" s="1">
        <v>779</v>
      </c>
      <c r="B780" s="1" t="s">
        <v>5540</v>
      </c>
      <c r="C780" s="1" t="s">
        <v>954</v>
      </c>
      <c r="D780" s="1" t="s">
        <v>3471</v>
      </c>
      <c r="E780" s="1" t="s">
        <v>747</v>
      </c>
      <c r="F780" s="1" t="s">
        <v>1008</v>
      </c>
      <c r="G780" s="1" t="s">
        <v>1009</v>
      </c>
      <c r="H780" s="1" t="s">
        <v>18</v>
      </c>
    </row>
    <row r="781" spans="1:8">
      <c r="A781" s="1">
        <v>780</v>
      </c>
      <c r="B781" s="1" t="s">
        <v>5540</v>
      </c>
      <c r="C781" s="1" t="s">
        <v>959</v>
      </c>
      <c r="D781" s="1" t="s">
        <v>3471</v>
      </c>
      <c r="E781" s="1" t="s">
        <v>904</v>
      </c>
      <c r="F781" s="1" t="s">
        <v>1020</v>
      </c>
      <c r="G781" s="1" t="s">
        <v>1021</v>
      </c>
      <c r="H781" s="1" t="s">
        <v>18</v>
      </c>
    </row>
    <row r="782" spans="1:8">
      <c r="A782" s="1">
        <v>781</v>
      </c>
      <c r="B782" s="1" t="s">
        <v>5540</v>
      </c>
      <c r="C782" s="1" t="s">
        <v>963</v>
      </c>
      <c r="D782" s="1" t="s">
        <v>3471</v>
      </c>
      <c r="E782" s="1" t="s">
        <v>907</v>
      </c>
      <c r="F782" s="1" t="s">
        <v>1023</v>
      </c>
      <c r="G782" s="1" t="s">
        <v>1024</v>
      </c>
      <c r="H782" s="1" t="s">
        <v>18</v>
      </c>
    </row>
    <row r="783" spans="1:8">
      <c r="A783" s="1">
        <v>782</v>
      </c>
      <c r="B783" s="1" t="s">
        <v>5540</v>
      </c>
      <c r="C783" s="1" t="s">
        <v>967</v>
      </c>
      <c r="D783" s="1" t="s">
        <v>3471</v>
      </c>
      <c r="E783" s="1" t="s">
        <v>910</v>
      </c>
      <c r="F783" s="1" t="s">
        <v>1026</v>
      </c>
      <c r="G783" s="1" t="s">
        <v>1027</v>
      </c>
      <c r="H783" s="1" t="s">
        <v>18</v>
      </c>
    </row>
    <row r="784" spans="1:8">
      <c r="A784" s="1">
        <v>783</v>
      </c>
      <c r="B784" s="1" t="s">
        <v>5540</v>
      </c>
      <c r="C784" s="1" t="s">
        <v>971</v>
      </c>
      <c r="D784" s="1" t="s">
        <v>3471</v>
      </c>
      <c r="E784" s="1" t="s">
        <v>753</v>
      </c>
      <c r="F784" s="1" t="s">
        <v>1014</v>
      </c>
      <c r="G784" s="1" t="s">
        <v>1015</v>
      </c>
      <c r="H784" s="1" t="s">
        <v>18</v>
      </c>
    </row>
    <row r="785" spans="1:8">
      <c r="A785" s="1">
        <v>784</v>
      </c>
      <c r="B785" s="1" t="s">
        <v>5540</v>
      </c>
      <c r="C785" s="1" t="s">
        <v>975</v>
      </c>
      <c r="D785" s="1" t="s">
        <v>3471</v>
      </c>
      <c r="E785" s="1" t="s">
        <v>901</v>
      </c>
      <c r="F785" s="1" t="s">
        <v>1017</v>
      </c>
      <c r="G785" s="1" t="s">
        <v>1018</v>
      </c>
      <c r="H785" s="1" t="s">
        <v>18</v>
      </c>
    </row>
    <row r="786" spans="1:8">
      <c r="A786" s="1">
        <v>785</v>
      </c>
      <c r="B786" s="1" t="s">
        <v>5540</v>
      </c>
      <c r="C786" s="1" t="s">
        <v>979</v>
      </c>
      <c r="D786" s="1" t="s">
        <v>3471</v>
      </c>
      <c r="E786" s="1" t="s">
        <v>744</v>
      </c>
      <c r="F786" s="1" t="s">
        <v>1005</v>
      </c>
      <c r="G786" s="1" t="s">
        <v>1006</v>
      </c>
      <c r="H786" s="1" t="s">
        <v>18</v>
      </c>
    </row>
    <row r="787" spans="1:8">
      <c r="A787" s="1">
        <v>786</v>
      </c>
      <c r="B787" s="1" t="s">
        <v>5540</v>
      </c>
      <c r="C787" s="1" t="s">
        <v>983</v>
      </c>
      <c r="D787" s="1" t="s">
        <v>3471</v>
      </c>
      <c r="E787" s="1" t="s">
        <v>750</v>
      </c>
      <c r="F787" s="1" t="s">
        <v>1011</v>
      </c>
      <c r="G787" s="1" t="s">
        <v>1012</v>
      </c>
      <c r="H787" s="1" t="s">
        <v>18</v>
      </c>
    </row>
    <row r="788" spans="1:8">
      <c r="A788" s="1">
        <v>787</v>
      </c>
      <c r="B788" s="1" t="s">
        <v>5540</v>
      </c>
      <c r="C788" s="1" t="s">
        <v>987</v>
      </c>
      <c r="D788" s="1" t="s">
        <v>3471</v>
      </c>
      <c r="E788" s="1" t="s">
        <v>918</v>
      </c>
      <c r="F788" s="1" t="s">
        <v>1032</v>
      </c>
      <c r="G788" s="1" t="s">
        <v>1033</v>
      </c>
      <c r="H788" s="1" t="s">
        <v>18</v>
      </c>
    </row>
    <row r="789" spans="1:8">
      <c r="A789" s="1">
        <v>788</v>
      </c>
      <c r="B789" s="1" t="s">
        <v>5540</v>
      </c>
      <c r="C789" s="1" t="s">
        <v>991</v>
      </c>
      <c r="D789" s="1" t="s">
        <v>3471</v>
      </c>
      <c r="E789" s="1" t="s">
        <v>741</v>
      </c>
      <c r="F789" s="1" t="s">
        <v>1002</v>
      </c>
      <c r="G789" s="1" t="s">
        <v>1003</v>
      </c>
      <c r="H789" s="1" t="s">
        <v>18</v>
      </c>
    </row>
    <row r="790" spans="1:8">
      <c r="A790" s="1">
        <v>789</v>
      </c>
      <c r="B790" s="1" t="s">
        <v>5540</v>
      </c>
      <c r="C790" s="1" t="s">
        <v>995</v>
      </c>
      <c r="D790" s="1" t="s">
        <v>3471</v>
      </c>
      <c r="E790" s="1" t="s">
        <v>915</v>
      </c>
      <c r="F790" s="1" t="s">
        <v>1029</v>
      </c>
      <c r="G790" s="1" t="s">
        <v>1030</v>
      </c>
      <c r="H790" s="1" t="s">
        <v>18</v>
      </c>
    </row>
    <row r="791" spans="1:8">
      <c r="A791" s="1">
        <v>790</v>
      </c>
      <c r="B791" s="1" t="s">
        <v>5541</v>
      </c>
      <c r="C791" s="1" t="s">
        <v>153</v>
      </c>
      <c r="D791" s="1" t="s">
        <v>3483</v>
      </c>
      <c r="E791" s="1" t="s">
        <v>921</v>
      </c>
      <c r="F791" s="1" t="s">
        <v>1037</v>
      </c>
      <c r="G791" s="1" t="s">
        <v>1038</v>
      </c>
      <c r="H791" s="1" t="s">
        <v>18</v>
      </c>
    </row>
    <row r="792" spans="1:8">
      <c r="A792" s="1">
        <v>791</v>
      </c>
      <c r="B792" s="1" t="s">
        <v>5541</v>
      </c>
      <c r="C792" s="1" t="s">
        <v>158</v>
      </c>
      <c r="D792" s="1" t="s">
        <v>3483</v>
      </c>
      <c r="E792" s="1" t="s">
        <v>3485</v>
      </c>
      <c r="F792" s="1" t="s">
        <v>1049</v>
      </c>
      <c r="G792" s="1" t="s">
        <v>1050</v>
      </c>
      <c r="H792" s="1" t="s">
        <v>18</v>
      </c>
    </row>
    <row r="793" spans="1:8">
      <c r="A793" s="1">
        <v>792</v>
      </c>
      <c r="B793" s="1" t="s">
        <v>5541</v>
      </c>
      <c r="C793" s="1" t="s">
        <v>162</v>
      </c>
      <c r="D793" s="1" t="s">
        <v>3483</v>
      </c>
      <c r="E793" s="1" t="s">
        <v>924</v>
      </c>
      <c r="F793" s="1" t="s">
        <v>1040</v>
      </c>
      <c r="G793" s="1" t="s">
        <v>1041</v>
      </c>
      <c r="H793" s="1" t="s">
        <v>18</v>
      </c>
    </row>
    <row r="794" spans="1:8">
      <c r="A794" s="1">
        <v>793</v>
      </c>
      <c r="B794" s="1" t="s">
        <v>5541</v>
      </c>
      <c r="C794" s="1" t="s">
        <v>166</v>
      </c>
      <c r="D794" s="1" t="s">
        <v>3483</v>
      </c>
      <c r="E794" s="1" t="s">
        <v>927</v>
      </c>
      <c r="F794" s="1" t="s">
        <v>1043</v>
      </c>
      <c r="G794" s="1" t="s">
        <v>1044</v>
      </c>
      <c r="H794" s="1" t="s">
        <v>18</v>
      </c>
    </row>
    <row r="795" spans="1:8">
      <c r="A795" s="1">
        <v>794</v>
      </c>
      <c r="B795" s="1" t="s">
        <v>5541</v>
      </c>
      <c r="C795" s="1" t="s">
        <v>170</v>
      </c>
      <c r="D795" s="1" t="s">
        <v>3483</v>
      </c>
      <c r="E795" s="1" t="s">
        <v>930</v>
      </c>
      <c r="F795" s="1" t="s">
        <v>1046</v>
      </c>
      <c r="G795" s="1" t="s">
        <v>1047</v>
      </c>
      <c r="H795" s="1" t="s">
        <v>18</v>
      </c>
    </row>
    <row r="796" spans="1:8">
      <c r="A796" s="1">
        <v>795</v>
      </c>
      <c r="B796" s="1" t="s">
        <v>5542</v>
      </c>
      <c r="C796" s="1" t="s">
        <v>58</v>
      </c>
      <c r="D796" s="1" t="s">
        <v>3490</v>
      </c>
      <c r="E796" s="1" t="s">
        <v>935</v>
      </c>
      <c r="F796" s="1" t="s">
        <v>1054</v>
      </c>
      <c r="G796" s="1" t="s">
        <v>1055</v>
      </c>
      <c r="H796" s="1" t="s">
        <v>18</v>
      </c>
    </row>
    <row r="797" spans="1:8">
      <c r="A797" s="1">
        <v>796</v>
      </c>
      <c r="B797" s="1" t="s">
        <v>5542</v>
      </c>
      <c r="C797" s="1" t="s">
        <v>63</v>
      </c>
      <c r="D797" s="1" t="s">
        <v>3490</v>
      </c>
      <c r="E797" s="1" t="s">
        <v>938</v>
      </c>
      <c r="F797" s="1" t="s">
        <v>1057</v>
      </c>
      <c r="G797" s="1" t="s">
        <v>1058</v>
      </c>
      <c r="H797" s="1" t="s">
        <v>18</v>
      </c>
    </row>
    <row r="798" spans="1:8">
      <c r="A798" s="1">
        <v>797</v>
      </c>
      <c r="B798" s="1" t="s">
        <v>5542</v>
      </c>
      <c r="C798" s="1" t="s">
        <v>67</v>
      </c>
      <c r="D798" s="1" t="s">
        <v>3490</v>
      </c>
      <c r="E798" s="1" t="s">
        <v>941</v>
      </c>
      <c r="F798" s="1" t="s">
        <v>1060</v>
      </c>
      <c r="G798" s="1" t="s">
        <v>1061</v>
      </c>
      <c r="H798" s="1" t="s">
        <v>18</v>
      </c>
    </row>
    <row r="799" spans="1:8">
      <c r="A799" s="1">
        <v>798</v>
      </c>
      <c r="B799" s="1" t="s">
        <v>5542</v>
      </c>
      <c r="C799" s="1" t="s">
        <v>71</v>
      </c>
      <c r="D799" s="1" t="s">
        <v>3490</v>
      </c>
      <c r="E799" s="1" t="s">
        <v>944</v>
      </c>
      <c r="F799" s="1" t="s">
        <v>1063</v>
      </c>
      <c r="G799" s="1" t="s">
        <v>1064</v>
      </c>
      <c r="H799" s="1" t="s">
        <v>18</v>
      </c>
    </row>
    <row r="800" spans="1:8">
      <c r="A800" s="1">
        <v>799</v>
      </c>
      <c r="B800" s="1" t="s">
        <v>5543</v>
      </c>
      <c r="C800" s="1" t="s">
        <v>76</v>
      </c>
      <c r="D800" s="1" t="s">
        <v>3495</v>
      </c>
      <c r="E800" s="1" t="s">
        <v>968</v>
      </c>
      <c r="F800" s="1" t="s">
        <v>1083</v>
      </c>
      <c r="G800" s="1" t="s">
        <v>1084</v>
      </c>
      <c r="H800" s="1" t="s">
        <v>18</v>
      </c>
    </row>
    <row r="801" spans="1:8">
      <c r="A801" s="1">
        <v>800</v>
      </c>
      <c r="B801" s="1" t="s">
        <v>5543</v>
      </c>
      <c r="C801" s="1" t="s">
        <v>81</v>
      </c>
      <c r="D801" s="1" t="s">
        <v>3495</v>
      </c>
      <c r="E801" s="1" t="s">
        <v>950</v>
      </c>
      <c r="F801" s="1" t="s">
        <v>1068</v>
      </c>
      <c r="G801" s="1" t="s">
        <v>1069</v>
      </c>
      <c r="H801" s="1" t="s">
        <v>18</v>
      </c>
    </row>
    <row r="802" spans="1:8">
      <c r="A802" s="1">
        <v>801</v>
      </c>
      <c r="B802" s="1" t="s">
        <v>5543</v>
      </c>
      <c r="C802" s="1" t="s">
        <v>85</v>
      </c>
      <c r="D802" s="1" t="s">
        <v>3495</v>
      </c>
      <c r="E802" s="1" t="s">
        <v>3498</v>
      </c>
      <c r="F802" s="1" t="s">
        <v>1071</v>
      </c>
      <c r="G802" s="1" t="s">
        <v>1072</v>
      </c>
      <c r="H802" s="1" t="s">
        <v>18</v>
      </c>
    </row>
    <row r="803" spans="1:8">
      <c r="A803" s="1">
        <v>802</v>
      </c>
      <c r="B803" s="1" t="s">
        <v>5543</v>
      </c>
      <c r="C803" s="1" t="s">
        <v>89</v>
      </c>
      <c r="D803" s="1" t="s">
        <v>3495</v>
      </c>
      <c r="E803" s="1" t="s">
        <v>956</v>
      </c>
      <c r="F803" s="1" t="s">
        <v>1074</v>
      </c>
      <c r="G803" s="1" t="s">
        <v>1075</v>
      </c>
      <c r="H803" s="1" t="s">
        <v>18</v>
      </c>
    </row>
    <row r="804" spans="1:8">
      <c r="A804" s="1">
        <v>803</v>
      </c>
      <c r="B804" s="1" t="s">
        <v>5543</v>
      </c>
      <c r="C804" s="1" t="s">
        <v>93</v>
      </c>
      <c r="D804" s="1" t="s">
        <v>3495</v>
      </c>
      <c r="E804" s="1" t="s">
        <v>960</v>
      </c>
      <c r="F804" s="1" t="s">
        <v>1077</v>
      </c>
      <c r="G804" s="1" t="s">
        <v>1078</v>
      </c>
      <c r="H804" s="1" t="s">
        <v>18</v>
      </c>
    </row>
    <row r="805" spans="1:8">
      <c r="A805" s="1">
        <v>804</v>
      </c>
      <c r="B805" s="1" t="s">
        <v>5543</v>
      </c>
      <c r="C805" s="1" t="s">
        <v>97</v>
      </c>
      <c r="D805" s="1" t="s">
        <v>3495</v>
      </c>
      <c r="E805" s="1" t="s">
        <v>964</v>
      </c>
      <c r="F805" s="1" t="s">
        <v>1080</v>
      </c>
      <c r="G805" s="1" t="s">
        <v>1081</v>
      </c>
      <c r="H805" s="1" t="s">
        <v>18</v>
      </c>
    </row>
    <row r="806" spans="1:8">
      <c r="A806" s="1">
        <v>805</v>
      </c>
      <c r="B806" s="1" t="s">
        <v>5544</v>
      </c>
      <c r="C806" s="1" t="s">
        <v>76</v>
      </c>
      <c r="D806" s="1" t="s">
        <v>3503</v>
      </c>
      <c r="E806" s="1" t="s">
        <v>996</v>
      </c>
      <c r="F806" s="1" t="s">
        <v>1103</v>
      </c>
      <c r="G806" s="1" t="s">
        <v>1104</v>
      </c>
      <c r="H806" s="1" t="s">
        <v>18</v>
      </c>
    </row>
    <row r="807" spans="1:8">
      <c r="A807" s="1">
        <v>806</v>
      </c>
      <c r="B807" s="1" t="s">
        <v>5544</v>
      </c>
      <c r="C807" s="1" t="s">
        <v>81</v>
      </c>
      <c r="D807" s="1" t="s">
        <v>3503</v>
      </c>
      <c r="E807" s="1" t="s">
        <v>976</v>
      </c>
      <c r="F807" s="1" t="s">
        <v>1088</v>
      </c>
      <c r="G807" s="1" t="s">
        <v>1089</v>
      </c>
      <c r="H807" s="1" t="s">
        <v>18</v>
      </c>
    </row>
    <row r="808" spans="1:8">
      <c r="A808" s="1">
        <v>807</v>
      </c>
      <c r="B808" s="1" t="s">
        <v>5544</v>
      </c>
      <c r="C808" s="1" t="s">
        <v>85</v>
      </c>
      <c r="D808" s="1" t="s">
        <v>3503</v>
      </c>
      <c r="E808" s="1" t="s">
        <v>980</v>
      </c>
      <c r="F808" s="1" t="s">
        <v>1091</v>
      </c>
      <c r="G808" s="1" t="s">
        <v>1092</v>
      </c>
      <c r="H808" s="1" t="s">
        <v>18</v>
      </c>
    </row>
    <row r="809" spans="1:8">
      <c r="A809" s="1">
        <v>808</v>
      </c>
      <c r="B809" s="1" t="s">
        <v>5544</v>
      </c>
      <c r="C809" s="1" t="s">
        <v>89</v>
      </c>
      <c r="D809" s="1" t="s">
        <v>3503</v>
      </c>
      <c r="E809" s="1" t="s">
        <v>984</v>
      </c>
      <c r="F809" s="1" t="s">
        <v>1094</v>
      </c>
      <c r="G809" s="1" t="s">
        <v>1095</v>
      </c>
      <c r="H809" s="1" t="s">
        <v>18</v>
      </c>
    </row>
    <row r="810" spans="1:8">
      <c r="A810" s="1">
        <v>809</v>
      </c>
      <c r="B810" s="1" t="s">
        <v>5544</v>
      </c>
      <c r="C810" s="1" t="s">
        <v>93</v>
      </c>
      <c r="D810" s="1" t="s">
        <v>3503</v>
      </c>
      <c r="E810" s="1" t="s">
        <v>988</v>
      </c>
      <c r="F810" s="1" t="s">
        <v>1097</v>
      </c>
      <c r="G810" s="1" t="s">
        <v>1098</v>
      </c>
      <c r="H810" s="1" t="s">
        <v>18</v>
      </c>
    </row>
    <row r="811" spans="1:8">
      <c r="A811" s="1">
        <v>810</v>
      </c>
      <c r="B811" s="1" t="s">
        <v>5544</v>
      </c>
      <c r="C811" s="1" t="s">
        <v>97</v>
      </c>
      <c r="D811" s="1" t="s">
        <v>3503</v>
      </c>
      <c r="E811" s="1" t="s">
        <v>992</v>
      </c>
      <c r="F811" s="1" t="s">
        <v>1100</v>
      </c>
      <c r="G811" s="1" t="s">
        <v>1101</v>
      </c>
      <c r="H811" s="1" t="s">
        <v>18</v>
      </c>
    </row>
    <row r="812" spans="1:8">
      <c r="A812" s="1">
        <v>811</v>
      </c>
      <c r="B812" s="1" t="s">
        <v>5545</v>
      </c>
      <c r="C812" s="1" t="s">
        <v>433</v>
      </c>
      <c r="D812" s="1" t="s">
        <v>3510</v>
      </c>
      <c r="E812" s="1" t="s">
        <v>1073</v>
      </c>
      <c r="F812" s="1" t="s">
        <v>1126</v>
      </c>
      <c r="G812" s="1" t="s">
        <v>1127</v>
      </c>
      <c r="H812" s="1" t="s">
        <v>18</v>
      </c>
    </row>
    <row r="813" spans="1:8">
      <c r="A813" s="1">
        <v>812</v>
      </c>
      <c r="B813" s="1" t="s">
        <v>5545</v>
      </c>
      <c r="C813" s="1" t="s">
        <v>438</v>
      </c>
      <c r="D813" s="1" t="s">
        <v>3510</v>
      </c>
      <c r="E813" s="1" t="s">
        <v>1059</v>
      </c>
      <c r="F813" s="1" t="s">
        <v>1111</v>
      </c>
      <c r="G813" s="1" t="s">
        <v>1112</v>
      </c>
      <c r="H813" s="1" t="s">
        <v>18</v>
      </c>
    </row>
    <row r="814" spans="1:8">
      <c r="A814" s="1">
        <v>813</v>
      </c>
      <c r="B814" s="1" t="s">
        <v>5545</v>
      </c>
      <c r="C814" s="1" t="s">
        <v>442</v>
      </c>
      <c r="D814" s="1" t="s">
        <v>3510</v>
      </c>
      <c r="E814" s="1" t="s">
        <v>1062</v>
      </c>
      <c r="F814" s="1" t="s">
        <v>1114</v>
      </c>
      <c r="G814" s="1" t="s">
        <v>1115</v>
      </c>
      <c r="H814" s="1" t="s">
        <v>18</v>
      </c>
    </row>
    <row r="815" spans="1:8">
      <c r="A815" s="1">
        <v>814</v>
      </c>
      <c r="B815" s="1" t="s">
        <v>5545</v>
      </c>
      <c r="C815" s="1" t="s">
        <v>446</v>
      </c>
      <c r="D815" s="1" t="s">
        <v>3510</v>
      </c>
      <c r="E815" s="1" t="s">
        <v>3514</v>
      </c>
      <c r="F815" s="1" t="s">
        <v>1117</v>
      </c>
      <c r="G815" s="1" t="s">
        <v>1118</v>
      </c>
      <c r="H815" s="1" t="s">
        <v>18</v>
      </c>
    </row>
    <row r="816" spans="1:8">
      <c r="A816" s="1">
        <v>815</v>
      </c>
      <c r="B816" s="1" t="s">
        <v>5545</v>
      </c>
      <c r="C816" s="1" t="s">
        <v>450</v>
      </c>
      <c r="D816" s="1" t="s">
        <v>3510</v>
      </c>
      <c r="E816" s="1" t="s">
        <v>1067</v>
      </c>
      <c r="F816" s="1" t="s">
        <v>1120</v>
      </c>
      <c r="G816" s="1" t="s">
        <v>1121</v>
      </c>
      <c r="H816" s="1" t="s">
        <v>18</v>
      </c>
    </row>
    <row r="817" spans="1:8">
      <c r="A817" s="1">
        <v>816</v>
      </c>
      <c r="B817" s="1" t="s">
        <v>5545</v>
      </c>
      <c r="C817" s="1" t="s">
        <v>454</v>
      </c>
      <c r="D817" s="1" t="s">
        <v>3510</v>
      </c>
      <c r="E817" s="1" t="s">
        <v>1070</v>
      </c>
      <c r="F817" s="1" t="s">
        <v>1123</v>
      </c>
      <c r="G817" s="1" t="s">
        <v>1124</v>
      </c>
      <c r="H817" s="1" t="s">
        <v>18</v>
      </c>
    </row>
    <row r="818" spans="1:8">
      <c r="A818" s="1">
        <v>817</v>
      </c>
      <c r="B818" s="1" t="s">
        <v>5545</v>
      </c>
      <c r="C818" s="1" t="s">
        <v>456</v>
      </c>
      <c r="D818" s="1" t="s">
        <v>3510</v>
      </c>
      <c r="E818" s="1" t="s">
        <v>1056</v>
      </c>
      <c r="F818" s="1" t="s">
        <v>1108</v>
      </c>
      <c r="G818" s="1" t="s">
        <v>1109</v>
      </c>
      <c r="H818" s="1" t="s">
        <v>18</v>
      </c>
    </row>
    <row r="819" spans="1:8">
      <c r="A819" s="1">
        <v>818</v>
      </c>
      <c r="B819" s="1" t="s">
        <v>5546</v>
      </c>
      <c r="C819" s="1" t="s">
        <v>433</v>
      </c>
      <c r="D819" s="1" t="s">
        <v>3519</v>
      </c>
      <c r="E819" s="1" t="s">
        <v>1004</v>
      </c>
      <c r="F819" s="1" t="s">
        <v>1131</v>
      </c>
      <c r="G819" s="1" t="s">
        <v>1132</v>
      </c>
      <c r="H819" s="1" t="s">
        <v>18</v>
      </c>
    </row>
    <row r="820" spans="1:8">
      <c r="A820" s="1">
        <v>819</v>
      </c>
      <c r="B820" s="1" t="s">
        <v>5546</v>
      </c>
      <c r="C820" s="1" t="s">
        <v>438</v>
      </c>
      <c r="D820" s="1" t="s">
        <v>3519</v>
      </c>
      <c r="E820" s="1" t="s">
        <v>1022</v>
      </c>
      <c r="F820" s="1" t="s">
        <v>1149</v>
      </c>
      <c r="G820" s="1" t="s">
        <v>1150</v>
      </c>
      <c r="H820" s="1" t="s">
        <v>18</v>
      </c>
    </row>
    <row r="821" spans="1:8">
      <c r="A821" s="1">
        <v>820</v>
      </c>
      <c r="B821" s="1" t="s">
        <v>5546</v>
      </c>
      <c r="C821" s="1" t="s">
        <v>442</v>
      </c>
      <c r="D821" s="1" t="s">
        <v>3519</v>
      </c>
      <c r="E821" s="1" t="s">
        <v>1007</v>
      </c>
      <c r="F821" s="1" t="s">
        <v>1134</v>
      </c>
      <c r="G821" s="1" t="s">
        <v>1135</v>
      </c>
      <c r="H821" s="1" t="s">
        <v>18</v>
      </c>
    </row>
    <row r="822" spans="1:8">
      <c r="A822" s="1">
        <v>821</v>
      </c>
      <c r="B822" s="1" t="s">
        <v>5546</v>
      </c>
      <c r="C822" s="1" t="s">
        <v>446</v>
      </c>
      <c r="D822" s="1" t="s">
        <v>3519</v>
      </c>
      <c r="E822" s="1" t="s">
        <v>1010</v>
      </c>
      <c r="F822" s="1" t="s">
        <v>1137</v>
      </c>
      <c r="G822" s="1" t="s">
        <v>1138</v>
      </c>
      <c r="H822" s="1" t="s">
        <v>18</v>
      </c>
    </row>
    <row r="823" spans="1:8">
      <c r="A823" s="1">
        <v>822</v>
      </c>
      <c r="B823" s="1" t="s">
        <v>5546</v>
      </c>
      <c r="C823" s="1" t="s">
        <v>450</v>
      </c>
      <c r="D823" s="1" t="s">
        <v>3519</v>
      </c>
      <c r="E823" s="1" t="s">
        <v>1013</v>
      </c>
      <c r="F823" s="1" t="s">
        <v>1140</v>
      </c>
      <c r="G823" s="1" t="s">
        <v>1141</v>
      </c>
      <c r="H823" s="1" t="s">
        <v>18</v>
      </c>
    </row>
    <row r="824" spans="1:8">
      <c r="A824" s="1">
        <v>823</v>
      </c>
      <c r="B824" s="1" t="s">
        <v>5546</v>
      </c>
      <c r="C824" s="1" t="s">
        <v>454</v>
      </c>
      <c r="D824" s="1" t="s">
        <v>3519</v>
      </c>
      <c r="E824" s="1" t="s">
        <v>1016</v>
      </c>
      <c r="F824" s="1" t="s">
        <v>1143</v>
      </c>
      <c r="G824" s="1" t="s">
        <v>1144</v>
      </c>
      <c r="H824" s="1" t="s">
        <v>18</v>
      </c>
    </row>
    <row r="825" spans="1:8">
      <c r="A825" s="1">
        <v>824</v>
      </c>
      <c r="B825" s="1" t="s">
        <v>5546</v>
      </c>
      <c r="C825" s="1" t="s">
        <v>456</v>
      </c>
      <c r="D825" s="1" t="s">
        <v>3519</v>
      </c>
      <c r="E825" s="1" t="s">
        <v>1019</v>
      </c>
      <c r="F825" s="1" t="s">
        <v>1146</v>
      </c>
      <c r="G825" s="1" t="s">
        <v>1147</v>
      </c>
      <c r="H825" s="1" t="s">
        <v>18</v>
      </c>
    </row>
    <row r="826" spans="1:8">
      <c r="A826" s="1">
        <v>825</v>
      </c>
      <c r="B826" s="1" t="s">
        <v>5547</v>
      </c>
      <c r="C826" s="1" t="s">
        <v>433</v>
      </c>
      <c r="D826" s="1" t="s">
        <v>3527</v>
      </c>
      <c r="E826" s="1" t="s">
        <v>1028</v>
      </c>
      <c r="F826" s="1" t="s">
        <v>1154</v>
      </c>
      <c r="G826" s="1" t="s">
        <v>1155</v>
      </c>
      <c r="H826" s="1" t="s">
        <v>18</v>
      </c>
    </row>
    <row r="827" spans="1:8">
      <c r="A827" s="1">
        <v>826</v>
      </c>
      <c r="B827" s="1" t="s">
        <v>5547</v>
      </c>
      <c r="C827" s="1" t="s">
        <v>438</v>
      </c>
      <c r="D827" s="1" t="s">
        <v>3527</v>
      </c>
      <c r="E827" s="1" t="s">
        <v>1048</v>
      </c>
      <c r="F827" s="1" t="s">
        <v>1172</v>
      </c>
      <c r="G827" s="1" t="s">
        <v>1173</v>
      </c>
      <c r="H827" s="1" t="s">
        <v>18</v>
      </c>
    </row>
    <row r="828" spans="1:8">
      <c r="A828" s="1">
        <v>827</v>
      </c>
      <c r="B828" s="1" t="s">
        <v>5547</v>
      </c>
      <c r="C828" s="1" t="s">
        <v>442</v>
      </c>
      <c r="D828" s="1" t="s">
        <v>3527</v>
      </c>
      <c r="E828" s="1" t="s">
        <v>1031</v>
      </c>
      <c r="F828" s="1" t="s">
        <v>1157</v>
      </c>
      <c r="G828" s="1" t="s">
        <v>1158</v>
      </c>
      <c r="H828" s="1" t="s">
        <v>18</v>
      </c>
    </row>
    <row r="829" spans="1:8">
      <c r="A829" s="1">
        <v>828</v>
      </c>
      <c r="B829" s="1" t="s">
        <v>5547</v>
      </c>
      <c r="C829" s="1" t="s">
        <v>446</v>
      </c>
      <c r="D829" s="1" t="s">
        <v>3527</v>
      </c>
      <c r="E829" s="1" t="s">
        <v>1036</v>
      </c>
      <c r="F829" s="1" t="s">
        <v>1160</v>
      </c>
      <c r="G829" s="1" t="s">
        <v>1161</v>
      </c>
      <c r="H829" s="1" t="s">
        <v>18</v>
      </c>
    </row>
    <row r="830" spans="1:8">
      <c r="A830" s="1">
        <v>829</v>
      </c>
      <c r="B830" s="1" t="s">
        <v>5547</v>
      </c>
      <c r="C830" s="1" t="s">
        <v>450</v>
      </c>
      <c r="D830" s="1" t="s">
        <v>3527</v>
      </c>
      <c r="E830" s="1" t="s">
        <v>1039</v>
      </c>
      <c r="F830" s="1" t="s">
        <v>1163</v>
      </c>
      <c r="G830" s="1" t="s">
        <v>1164</v>
      </c>
      <c r="H830" s="1" t="s">
        <v>18</v>
      </c>
    </row>
    <row r="831" spans="1:8">
      <c r="A831" s="1">
        <v>830</v>
      </c>
      <c r="B831" s="1" t="s">
        <v>5547</v>
      </c>
      <c r="C831" s="1" t="s">
        <v>454</v>
      </c>
      <c r="D831" s="1" t="s">
        <v>3527</v>
      </c>
      <c r="E831" s="1" t="s">
        <v>1042</v>
      </c>
      <c r="F831" s="1" t="s">
        <v>1166</v>
      </c>
      <c r="G831" s="1" t="s">
        <v>1167</v>
      </c>
      <c r="H831" s="1" t="s">
        <v>18</v>
      </c>
    </row>
    <row r="832" spans="1:8">
      <c r="A832" s="1">
        <v>831</v>
      </c>
      <c r="B832" s="1" t="s">
        <v>5547</v>
      </c>
      <c r="C832" s="1" t="s">
        <v>456</v>
      </c>
      <c r="D832" s="1" t="s">
        <v>3527</v>
      </c>
      <c r="E832" s="1" t="s">
        <v>1045</v>
      </c>
      <c r="F832" s="1" t="s">
        <v>1169</v>
      </c>
      <c r="G832" s="1" t="s">
        <v>1170</v>
      </c>
      <c r="H832" s="1" t="s">
        <v>18</v>
      </c>
    </row>
    <row r="833" spans="1:8">
      <c r="A833" s="1">
        <v>832</v>
      </c>
      <c r="B833" s="1" t="s">
        <v>5548</v>
      </c>
      <c r="C833" s="1" t="s">
        <v>433</v>
      </c>
      <c r="D833" s="1" t="s">
        <v>3535</v>
      </c>
      <c r="E833" s="1" t="s">
        <v>1096</v>
      </c>
      <c r="F833" s="1" t="s">
        <v>1195</v>
      </c>
      <c r="G833" s="1" t="s">
        <v>1196</v>
      </c>
      <c r="H833" s="1" t="s">
        <v>18</v>
      </c>
    </row>
    <row r="834" spans="1:8">
      <c r="A834" s="1">
        <v>833</v>
      </c>
      <c r="B834" s="1" t="s">
        <v>5548</v>
      </c>
      <c r="C834" s="1" t="s">
        <v>438</v>
      </c>
      <c r="D834" s="1" t="s">
        <v>3535</v>
      </c>
      <c r="E834" s="1" t="s">
        <v>1082</v>
      </c>
      <c r="F834" s="1" t="s">
        <v>1180</v>
      </c>
      <c r="G834" s="1" t="s">
        <v>1181</v>
      </c>
      <c r="H834" s="1" t="s">
        <v>18</v>
      </c>
    </row>
    <row r="835" spans="1:8">
      <c r="A835" s="1">
        <v>834</v>
      </c>
      <c r="B835" s="1" t="s">
        <v>5548</v>
      </c>
      <c r="C835" s="1" t="s">
        <v>442</v>
      </c>
      <c r="D835" s="1" t="s">
        <v>3535</v>
      </c>
      <c r="E835" s="1" t="s">
        <v>3538</v>
      </c>
      <c r="F835" s="1" t="s">
        <v>1183</v>
      </c>
      <c r="G835" s="1" t="s">
        <v>1184</v>
      </c>
      <c r="H835" s="1" t="s">
        <v>18</v>
      </c>
    </row>
    <row r="836" spans="1:8">
      <c r="A836" s="1">
        <v>835</v>
      </c>
      <c r="B836" s="1" t="s">
        <v>5548</v>
      </c>
      <c r="C836" s="1" t="s">
        <v>446</v>
      </c>
      <c r="D836" s="1" t="s">
        <v>3535</v>
      </c>
      <c r="E836" s="1" t="s">
        <v>1087</v>
      </c>
      <c r="F836" s="1" t="s">
        <v>1186</v>
      </c>
      <c r="G836" s="1" t="s">
        <v>1187</v>
      </c>
      <c r="H836" s="1" t="s">
        <v>18</v>
      </c>
    </row>
    <row r="837" spans="1:8">
      <c r="A837" s="1">
        <v>836</v>
      </c>
      <c r="B837" s="1" t="s">
        <v>5548</v>
      </c>
      <c r="C837" s="1" t="s">
        <v>450</v>
      </c>
      <c r="D837" s="1" t="s">
        <v>3535</v>
      </c>
      <c r="E837" s="1" t="s">
        <v>1090</v>
      </c>
      <c r="F837" s="1" t="s">
        <v>1189</v>
      </c>
      <c r="G837" s="1" t="s">
        <v>1190</v>
      </c>
      <c r="H837" s="1" t="s">
        <v>18</v>
      </c>
    </row>
    <row r="838" spans="1:8">
      <c r="A838" s="1">
        <v>837</v>
      </c>
      <c r="B838" s="1" t="s">
        <v>5548</v>
      </c>
      <c r="C838" s="1" t="s">
        <v>454</v>
      </c>
      <c r="D838" s="1" t="s">
        <v>3535</v>
      </c>
      <c r="E838" s="1" t="s">
        <v>1093</v>
      </c>
      <c r="F838" s="1" t="s">
        <v>1192</v>
      </c>
      <c r="G838" s="1" t="s">
        <v>1193</v>
      </c>
      <c r="H838" s="1" t="s">
        <v>18</v>
      </c>
    </row>
    <row r="839" spans="1:8">
      <c r="A839" s="1">
        <v>838</v>
      </c>
      <c r="B839" s="1" t="s">
        <v>5548</v>
      </c>
      <c r="C839" s="1" t="s">
        <v>456</v>
      </c>
      <c r="D839" s="1" t="s">
        <v>3535</v>
      </c>
      <c r="E839" s="1" t="s">
        <v>1079</v>
      </c>
      <c r="F839" s="1" t="s">
        <v>1177</v>
      </c>
      <c r="G839" s="1" t="s">
        <v>1178</v>
      </c>
      <c r="H839" s="1" t="s">
        <v>18</v>
      </c>
    </row>
    <row r="840" spans="1:8">
      <c r="A840" s="1">
        <v>839</v>
      </c>
      <c r="B840" s="1" t="s">
        <v>5549</v>
      </c>
      <c r="C840" s="1" t="s">
        <v>433</v>
      </c>
      <c r="D840" s="1" t="s">
        <v>3544</v>
      </c>
      <c r="E840" s="1" t="s">
        <v>1102</v>
      </c>
      <c r="F840" s="1" t="s">
        <v>1200</v>
      </c>
      <c r="G840" s="1" t="s">
        <v>1201</v>
      </c>
      <c r="H840" s="1" t="s">
        <v>18</v>
      </c>
    </row>
    <row r="841" spans="1:8">
      <c r="A841" s="1">
        <v>840</v>
      </c>
      <c r="B841" s="1" t="s">
        <v>5549</v>
      </c>
      <c r="C841" s="1" t="s">
        <v>438</v>
      </c>
      <c r="D841" s="1" t="s">
        <v>3544</v>
      </c>
      <c r="E841" s="1" t="s">
        <v>1142</v>
      </c>
      <c r="F841" s="1" t="s">
        <v>1218</v>
      </c>
      <c r="G841" s="1" t="s">
        <v>1219</v>
      </c>
      <c r="H841" s="1" t="s">
        <v>18</v>
      </c>
    </row>
    <row r="842" spans="1:8">
      <c r="A842" s="1">
        <v>841</v>
      </c>
      <c r="B842" s="1" t="s">
        <v>5549</v>
      </c>
      <c r="C842" s="1" t="s">
        <v>442</v>
      </c>
      <c r="D842" s="1" t="s">
        <v>3544</v>
      </c>
      <c r="E842" s="1" t="s">
        <v>3547</v>
      </c>
      <c r="F842" s="1" t="s">
        <v>1203</v>
      </c>
      <c r="G842" s="1" t="s">
        <v>1204</v>
      </c>
      <c r="H842" s="1" t="s">
        <v>18</v>
      </c>
    </row>
    <row r="843" spans="1:8">
      <c r="A843" s="1">
        <v>842</v>
      </c>
      <c r="B843" s="1" t="s">
        <v>5549</v>
      </c>
      <c r="C843" s="1" t="s">
        <v>446</v>
      </c>
      <c r="D843" s="1" t="s">
        <v>3544</v>
      </c>
      <c r="E843" s="1" t="s">
        <v>1130</v>
      </c>
      <c r="F843" s="1" t="s">
        <v>1206</v>
      </c>
      <c r="G843" s="1" t="s">
        <v>1207</v>
      </c>
      <c r="H843" s="1" t="s">
        <v>18</v>
      </c>
    </row>
    <row r="844" spans="1:8">
      <c r="A844" s="1">
        <v>843</v>
      </c>
      <c r="B844" s="1" t="s">
        <v>5549</v>
      </c>
      <c r="C844" s="1" t="s">
        <v>450</v>
      </c>
      <c r="D844" s="1" t="s">
        <v>3544</v>
      </c>
      <c r="E844" s="1" t="s">
        <v>1133</v>
      </c>
      <c r="F844" s="1" t="s">
        <v>1209</v>
      </c>
      <c r="G844" s="1" t="s">
        <v>1210</v>
      </c>
      <c r="H844" s="1" t="s">
        <v>18</v>
      </c>
    </row>
    <row r="845" spans="1:8">
      <c r="A845" s="1">
        <v>844</v>
      </c>
      <c r="B845" s="1" t="s">
        <v>5549</v>
      </c>
      <c r="C845" s="1" t="s">
        <v>454</v>
      </c>
      <c r="D845" s="1" t="s">
        <v>3544</v>
      </c>
      <c r="E845" s="1" t="s">
        <v>1136</v>
      </c>
      <c r="F845" s="1" t="s">
        <v>1212</v>
      </c>
      <c r="G845" s="1" t="s">
        <v>1213</v>
      </c>
      <c r="H845" s="1" t="s">
        <v>18</v>
      </c>
    </row>
    <row r="846" spans="1:8">
      <c r="A846" s="1">
        <v>845</v>
      </c>
      <c r="B846" s="1" t="s">
        <v>5549</v>
      </c>
      <c r="C846" s="1" t="s">
        <v>456</v>
      </c>
      <c r="D846" s="1" t="s">
        <v>3544</v>
      </c>
      <c r="E846" s="1" t="s">
        <v>1139</v>
      </c>
      <c r="F846" s="1" t="s">
        <v>1215</v>
      </c>
      <c r="G846" s="1" t="s">
        <v>1216</v>
      </c>
      <c r="H846" s="1" t="s">
        <v>18</v>
      </c>
    </row>
    <row r="847" spans="1:8">
      <c r="A847" s="1">
        <v>846</v>
      </c>
      <c r="B847" s="1" t="s">
        <v>5550</v>
      </c>
      <c r="C847" s="1" t="s">
        <v>44</v>
      </c>
      <c r="D847" s="1" t="s">
        <v>3553</v>
      </c>
      <c r="E847" s="1" t="s">
        <v>3554</v>
      </c>
      <c r="F847" s="1" t="s">
        <v>311</v>
      </c>
      <c r="G847" s="1" t="s">
        <v>312</v>
      </c>
      <c r="H847" s="1" t="s">
        <v>18</v>
      </c>
    </row>
    <row r="848" spans="1:8">
      <c r="A848" s="1">
        <v>847</v>
      </c>
      <c r="B848" s="1" t="s">
        <v>5550</v>
      </c>
      <c r="C848" s="1" t="s">
        <v>49</v>
      </c>
      <c r="D848" s="1" t="s">
        <v>3553</v>
      </c>
      <c r="E848" s="1" t="s">
        <v>435</v>
      </c>
      <c r="F848" s="1" t="s">
        <v>314</v>
      </c>
      <c r="G848" s="1" t="s">
        <v>315</v>
      </c>
      <c r="H848" s="1" t="s">
        <v>18</v>
      </c>
    </row>
    <row r="849" spans="1:8">
      <c r="A849" s="1">
        <v>848</v>
      </c>
      <c r="B849" s="1" t="s">
        <v>5551</v>
      </c>
      <c r="C849" s="1" t="s">
        <v>237</v>
      </c>
      <c r="D849" s="1" t="s">
        <v>3557</v>
      </c>
      <c r="E849" s="1" t="s">
        <v>1266</v>
      </c>
      <c r="F849" s="1" t="s">
        <v>630</v>
      </c>
      <c r="G849" s="1" t="s">
        <v>631</v>
      </c>
      <c r="H849" s="1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5.0.42</vt:lpstr>
      <vt:lpstr>6.0.35</vt:lpstr>
      <vt:lpstr>7.0.17</vt:lpstr>
      <vt:lpstr>整理</vt:lpstr>
      <vt:lpstr>000</vt:lpstr>
      <vt:lpstr>6.4.14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houjianming</cp:lastModifiedBy>
  <dcterms:created xsi:type="dcterms:W3CDTF">2022-11-06T08:53:00Z</dcterms:created>
  <dcterms:modified xsi:type="dcterms:W3CDTF">2025-08-11T12:37:22Z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