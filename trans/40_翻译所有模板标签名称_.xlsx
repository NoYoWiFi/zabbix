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workbookProtection/>
  <bookViews>
    <workbookView windowWidth="20490" windowHeight="7605" activeTab="3"/>
  </bookViews>
  <sheets>
    <sheet name="6.0.35" sheetId="26" r:id="rId1"/>
    <sheet name="6.4.14" sheetId="23" r:id="rId2"/>
    <sheet name="7.0.17" sheetId="25" r:id="rId3"/>
    <sheet name="整理" sheetId="2" r:id="rId4"/>
    <sheet name="000" sheetId="3" r:id="rId5"/>
  </sheets>
  <definedNames>
    <definedName name="_xlnm._FilterDatabase" localSheetId="0" hidden="1">'6.0.35'!$A$1:$K$315</definedName>
    <definedName name="_xlnm._FilterDatabase" localSheetId="2" hidden="1">'7.0.17'!$A$1:$K$337</definedName>
    <definedName name="_xlnm._FilterDatabase" localSheetId="3" hidden="1">整理!$A$1:$EV$2</definedName>
    <definedName name="_xlnm._FilterDatabase" localSheetId="1" hidden="1">'6.4.14'!$A$1:$H$1</definedName>
  </definedNames>
  <calcPr calcId="144525" calcMode="manual"/>
</workbook>
</file>

<file path=xl/sharedStrings.xml><?xml version="1.0" encoding="utf-8"?>
<sst xmlns="http://schemas.openxmlformats.org/spreadsheetml/2006/main" count="5493" uniqueCount="2247">
  <si>
    <t>序号</t>
  </si>
  <si>
    <t>模板序号</t>
  </si>
  <si>
    <t>触发器序号</t>
  </si>
  <si>
    <t>模板名称</t>
  </si>
  <si>
    <t>触发器ID</t>
  </si>
  <si>
    <t>英文名称</t>
  </si>
  <si>
    <t>中文名称</t>
  </si>
  <si>
    <t>原因</t>
  </si>
  <si>
    <t>(372/1)</t>
  </si>
  <si>
    <t>AIX by Zabbix agent</t>
  </si>
  <si>
    <t>10076</t>
  </si>
  <si>
    <t>[{'tag': 'class', 'value': 'os'}, {'tag': 'target', 'value': 'aix'}]</t>
  </si>
  <si>
    <t>[{'tag': '类别', 'value': '操作系统'}, {'tag': '指标', 'value': 'aix'}]</t>
  </si>
  <si>
    <t>(372/2)</t>
  </si>
  <si>
    <t>APC Smart-UPS 2200 RM by SNMP</t>
  </si>
  <si>
    <t>10401</t>
  </si>
  <si>
    <t>[{'tag': 'class', 'value': 'power'}, {'tag': 'target', 'value': 'apc'}, {'tag': 'target', 'value': 'apc-smart-ups-2200-rm'}]</t>
  </si>
  <si>
    <t>[{'tag': '类别', 'value': '电源'}, {'tag': '指标', 'value': 'apc'}, {'tag': '指标', 'value': 'apc-smart-ups-2200-rm'}]</t>
  </si>
  <si>
    <t>(372/3)</t>
  </si>
  <si>
    <t>APC Smart-UPS 3000 XLM by SNMP</t>
  </si>
  <si>
    <t>10402</t>
  </si>
  <si>
    <t>[{'tag': 'class', 'value': 'power'}, {'tag': 'target', 'value': 'apc'}, {'tag': 'target', 'value': 'apc-smart-ups-3000-xlm'}]</t>
  </si>
  <si>
    <t>[{'tag': '类别', 'value': '电源'}, {'tag': '指标', 'value': 'apc'}, {'tag': '指标', 'value': 'apc-smart-ups-3000-xlm'}]</t>
  </si>
  <si>
    <t>(372/4)</t>
  </si>
  <si>
    <t>APC Smart-UPS RT 1000 RM XL by SNMP</t>
  </si>
  <si>
    <t>10403</t>
  </si>
  <si>
    <t>[{'tag': 'class', 'value': 'power'}, {'tag': 'target', 'value': 'apc'}, {'tag': 'target', 'value': 'apc-smart-ups-rt-1000-rm-xl'}]</t>
  </si>
  <si>
    <t>[{'tag': '类别', 'value': '电源'}, {'tag': '指标', 'value': 'apc'}, {'tag': '指标', 'value': 'apc-smart-ups-rt-1000-rm-xl'}]</t>
  </si>
  <si>
    <t>(372/5)</t>
  </si>
  <si>
    <t>APC Smart-UPS RT 1000 XL by SNMP</t>
  </si>
  <si>
    <t>10404</t>
  </si>
  <si>
    <t>[{'tag': 'class', 'value': 'power'}, {'tag': 'target', 'value': 'apc'}, {'tag': 'target', 'value': 'apc-smart-ups-rt-1000-xl'}]</t>
  </si>
  <si>
    <t>[{'tag': '类别', 'value': '电源'}, {'tag': '指标', 'value': 'apc'}, {'tag': '指标', 'value': 'apc-smart-ups-rt-1000-xl'}]</t>
  </si>
  <si>
    <t>(372/6)</t>
  </si>
  <si>
    <t>APC Smart-UPS SRT 5000 by SNMP</t>
  </si>
  <si>
    <t>10412</t>
  </si>
  <si>
    <t>[{'tag': 'class', 'value': 'power'}, {'tag': 'target', 'value': 'apc'}, {'tag': 'target', 'value': 'apc-smart-ups-srt-5000'}]</t>
  </si>
  <si>
    <t>[{'tag': '类别', 'value': '电源'}, {'tag': '指标', 'value': 'apc'}, {'tag': '指标', 'value': 'apc-smart-ups-srt-5000'}]</t>
  </si>
  <si>
    <t>(372/7)</t>
  </si>
  <si>
    <t>APC Smart-UPS SRT 8000 by SNMP</t>
  </si>
  <si>
    <t>10406</t>
  </si>
  <si>
    <t>[{'tag': 'class', 'value': 'power'}, {'tag': 'target', 'value': 'apc'}, {'tag': 'target', 'value': 'apc-smart-ups-srt-8000'}]</t>
  </si>
  <si>
    <t>[{'tag': '类别', 'value': '电源'}, {'tag': '指标', 'value': 'apc'}, {'tag': '指标', 'value': 'apc-smart-ups-srt-8000'}]</t>
  </si>
  <si>
    <t>(372/8)</t>
  </si>
  <si>
    <t>APC UPS Galaxy 3500 by SNMP</t>
  </si>
  <si>
    <t>10400</t>
  </si>
  <si>
    <t>[{'tag': 'class', 'value': 'power'}, {'tag': 'target', 'value': 'apc'}, {'tag': 'target', 'value': 'apc-ups-galaxy-3500'}]</t>
  </si>
  <si>
    <t>[{'tag': '类别', 'value': '电源'}, {'tag': '指标', 'value': 'apc'}, {'tag': '指标', 'value': 'apc-ups-galaxy-3500'}]</t>
  </si>
  <si>
    <t>(372/9)</t>
  </si>
  <si>
    <t>APC UPS Symmetra LX by SNMP</t>
  </si>
  <si>
    <t>10407</t>
  </si>
  <si>
    <t>[{'tag': 'class', 'value': 'power'}, {'tag': 'target', 'value': 'apc'}, {'tag': 'target', 'value': 'apc-ups-symmetra-lx'}]</t>
  </si>
  <si>
    <t>[{'tag': '类别', 'value': '电源'}, {'tag': '指标', 'value': 'apc'}, {'tag': '指标', 'value': 'apc-ups-symmetra-lx'}]</t>
  </si>
  <si>
    <t>(372/10)</t>
  </si>
  <si>
    <t>APC UPS Symmetra RM by SNMP</t>
  </si>
  <si>
    <t>10408</t>
  </si>
  <si>
    <t>[{'tag': 'class', 'value': 'power'}, {'tag': 'target', 'value': 'apc'}, {'tag': 'target', 'value': 'apc-ups-symmetra-rm'}]</t>
  </si>
  <si>
    <t>[{'tag': '类别', 'value': '电源'}, {'tag': '指标', 'value': 'apc'}, {'tag': '指标', 'value': 'apc-ups-symmetra-rm'}]</t>
  </si>
  <si>
    <t>(372/11)</t>
  </si>
  <si>
    <t>APC UPS Symmetra RX by SNMP</t>
  </si>
  <si>
    <t>10409</t>
  </si>
  <si>
    <t>[{'tag': 'class', 'value': 'power'}, {'tag': 'target', 'value': 'apc'}, {'tag': 'target', 'value': 'apc-ups-symmetra-rx'}]</t>
  </si>
  <si>
    <t>[{'tag': '类别', 'value': '电源'}, {'tag': '指标', 'value': 'apc'}, {'tag': '指标', 'value': 'apc-ups-symmetra-rx'}]</t>
  </si>
  <si>
    <t>(372/12)</t>
  </si>
  <si>
    <t>APC UPS by SNMP</t>
  </si>
  <si>
    <t>10395</t>
  </si>
  <si>
    <t>[{'tag': 'class', 'value': 'power'}, {'tag': 'target', 'value': 'apc'}]</t>
  </si>
  <si>
    <t>[{'tag': '类别', 'value': '电源'}, {'tag': '指标', 'value': 'apc'}]</t>
  </si>
  <si>
    <t>(372/13)</t>
  </si>
  <si>
    <t>AWS Cost Explorer by HTTP</t>
  </si>
  <si>
    <t>10574</t>
  </si>
  <si>
    <t>[{'tag': 'class', 'value': 'software'}, {'tag': 'target', 'value': 'aws'}, {'tag': 'target', 'value': 'cost'}]</t>
  </si>
  <si>
    <t>[{'tag': '类别', 'value': '软件'}, {'tag': '指标', 'value': 'aws'}, {'tag': '指标', 'value': 'cost'}]</t>
  </si>
  <si>
    <t>(372/14)</t>
  </si>
  <si>
    <t>AWS EC2 by HTTP</t>
  </si>
  <si>
    <t>10534</t>
  </si>
  <si>
    <t>[{'tag': 'class', 'value': 'software'}, {'tag': 'target', 'value': 'aws'}, {'tag': 'target', 'value': 'ec2'}]</t>
  </si>
  <si>
    <t>[{'tag': '类别', 'value': '软件'}, {'tag': '指标', 'value': 'aws'}, {'tag': '指标', 'value': 'ec2'}]</t>
  </si>
  <si>
    <t>(372/15)</t>
  </si>
  <si>
    <t>AWS ECS Cluster by HTTP</t>
  </si>
  <si>
    <t>10575</t>
  </si>
  <si>
    <t>[{'tag': 'class', 'value': 'software'}, {'tag': 'target', 'value': 'aws'}, {'tag': 'target', 'value': 'ecs'}]</t>
  </si>
  <si>
    <t>[{'tag': '类别', 'value': '软件'}, {'tag': '指标', 'value': 'aws'}, {'tag': '指标', 'value': 'ecs'}]</t>
  </si>
  <si>
    <t>(372/16)</t>
  </si>
  <si>
    <t>AWS ECS Serverless Cluster by HTTP</t>
  </si>
  <si>
    <t>10576</t>
  </si>
  <si>
    <t>(372/17)</t>
  </si>
  <si>
    <t>AWS ELB Application Load Balancer by HTTP</t>
  </si>
  <si>
    <t>10602</t>
  </si>
  <si>
    <t>[{'tag': 'class', 'value': 'software'}, {'tag': 'target', 'value': 'alb'}, {'tag': 'target', 'value': 'aws'}, {'tag': 'target', 'value': 'elb'}]</t>
  </si>
  <si>
    <t>[{'tag': '类别', 'value': '软件'}, {'tag': '指标', 'value': 'alb'}, {'tag': '指标', 'value': 'aws'}, {'tag': '指标', 'value': 'elb'}]</t>
  </si>
  <si>
    <t>(372/18)</t>
  </si>
  <si>
    <t>AWS ELB Network Load Balancer by HTTP</t>
  </si>
  <si>
    <t>10619</t>
  </si>
  <si>
    <t>[{'tag': 'class', 'value': 'software'}, {'tag': 'target', 'value': 'aws'}, {'tag': 'target', 'value': 'elb'}, {'tag': 'target', 'value': 'nlb'}]</t>
  </si>
  <si>
    <t>[{'tag': '类别', 'value': '软件'}, {'tag': '指标', 'value': 'aws'}, {'tag': '指标', 'value': 'elb'}, {'tag': '指标', 'value': 'nlb'}]</t>
  </si>
  <si>
    <t>(372/19)</t>
  </si>
  <si>
    <t>AWS Lambda by HTTP</t>
  </si>
  <si>
    <t>10623</t>
  </si>
  <si>
    <t>[{'tag': 'class', 'value': 'software'}, {'tag': 'target', 'value': 'aws'}, {'tag': 'target', 'value': 'lambda'}]</t>
  </si>
  <si>
    <t>[{'tag': '类别', 'value': '软件'}, {'tag': '指标', 'value': 'aws'}, {'tag': '指标', 'value': 'lambda'}]</t>
  </si>
  <si>
    <t>(372/20)</t>
  </si>
  <si>
    <t>AWS RDS instance by HTTP</t>
  </si>
  <si>
    <t>10535</t>
  </si>
  <si>
    <t>[{'tag': 'class', 'value': 'software'}, {'tag': 'target', 'value': 'aws'}, {'tag': 'target', 'value': 'rds'}]</t>
  </si>
  <si>
    <t>[{'tag': '类别', 'value': '软件'}, {'tag': '指标', 'value': 'aws'}, {'tag': '指标', 'value': 'rds'}]</t>
  </si>
  <si>
    <t>(372/21)</t>
  </si>
  <si>
    <t>AWS S3 bucket by HTTP</t>
  </si>
  <si>
    <t>10536</t>
  </si>
  <si>
    <t>[{'tag': 'class', 'value': 'software'}, {'tag': 'target', 'value': 'aws'}, {'tag': 'target', 'value': 's3'}]</t>
  </si>
  <si>
    <t>[{'tag': '类别', 'value': '软件'}, {'tag': '指标', 'value': 'aws'}, {'tag': '指标', 'value': 's3'}]</t>
  </si>
  <si>
    <t>(372/22)</t>
  </si>
  <si>
    <t>AWS by HTTP</t>
  </si>
  <si>
    <t>10537</t>
  </si>
  <si>
    <t>[{'tag': 'class', 'value': 'software'}, {'tag': 'target', 'value': 'aws'}]</t>
  </si>
  <si>
    <t>[{'tag': '类别', 'value': '软件'}, {'tag': '指标', 'value': 'aws'}]</t>
  </si>
  <si>
    <t>(372/23)</t>
  </si>
  <si>
    <t>Acronis Cyber Protect Cloud MSP by HTTP</t>
  </si>
  <si>
    <t>10586</t>
  </si>
  <si>
    <t>[{'tag': 'class', 'value': 'application'}, {'tag': 'target', 'value': 'acronis'}, {'tag': 'target', 'value': 'cyber-protect-cloud'}]</t>
  </si>
  <si>
    <t>[{'tag': '类别', 'value': '应用'}, {'tag': '指标', 'value': 'acronis'}, {'tag': '指标', 'value': 'cyber-protect-cloud'}]</t>
  </si>
  <si>
    <t>(372/24)</t>
  </si>
  <si>
    <t>Acronis Cyber Protect Cloud by HTTP</t>
  </si>
  <si>
    <t>10585</t>
  </si>
  <si>
    <t>(372/25)</t>
  </si>
  <si>
    <t>Alcatel Timetra TiMOS by SNMP</t>
  </si>
  <si>
    <t>10207</t>
  </si>
  <si>
    <t>[{'tag': 'class', 'value': 'network'}, {'tag': 'target', 'value': 'alcatel'}, {'tag': 'target', 'value': 'alcatel-timetra'}]</t>
  </si>
  <si>
    <t>[{'tag': '类别', 'value': '网络'}, {'tag': '指标', 'value': 'alcatel'}, {'tag': '指标', 'value': 'alcatel-timetra'}]</t>
  </si>
  <si>
    <t>(372/26)</t>
  </si>
  <si>
    <t>Apache ActiveMQ by JMX</t>
  </si>
  <si>
    <t>10358</t>
  </si>
  <si>
    <t>[{'tag': 'class', 'value': 'application'}, {'tag': 'target', 'value': 'apache-activemq'}]</t>
  </si>
  <si>
    <t>[{'tag': '类别', 'value': '应用'}, {'tag': '指标', 'value': 'apache-activemq'}]</t>
  </si>
  <si>
    <t>(372/27)</t>
  </si>
  <si>
    <t>Apache Cassandra by JMX</t>
  </si>
  <si>
    <t>10370</t>
  </si>
  <si>
    <t>[{'tag': 'class', 'value': 'database'}, {'tag': 'target', 'value': 'apache-cassandra'}]</t>
  </si>
  <si>
    <t>[{'tag': '类别', 'value': '数据库'}, {'tag': '指标', 'value': 'apache-cassandra'}]</t>
  </si>
  <si>
    <t>(372/28)</t>
  </si>
  <si>
    <t>Apache Kafka by JMX</t>
  </si>
  <si>
    <t>10364</t>
  </si>
  <si>
    <t>[{'tag': 'class', 'value': 'application'}, {'tag': 'target', 'value': 'apache-kafka'}]</t>
  </si>
  <si>
    <t>[{'tag': '类别', 'value': '应用'}, {'tag': '指标', 'value': 'apache-kafka'}]</t>
  </si>
  <si>
    <t>(372/29)</t>
  </si>
  <si>
    <t>Apache Tomcat by JMX</t>
  </si>
  <si>
    <t>10260</t>
  </si>
  <si>
    <t>[{'tag': 'class', 'value': 'software'}, {'tag': 'target', 'value': 'tomcat'}]</t>
  </si>
  <si>
    <t>[{'tag': '类别', 'value': '软件'}, {'tag': '指标', 'value': 'tomcat'}]</t>
  </si>
  <si>
    <t>(372/30)</t>
  </si>
  <si>
    <t>Apache by HTTP</t>
  </si>
  <si>
    <t>10265</t>
  </si>
  <si>
    <t>[{'tag': 'class', 'value': 'software'}, {'tag': 'target', 'value': 'apache'}]</t>
  </si>
  <si>
    <t>[{'tag': '类别', 'value': '软件'}, {'tag': '指标', 'value': 'apache'}]</t>
  </si>
  <si>
    <t>(372/31)</t>
  </si>
  <si>
    <t>Apache by Zabbix agent</t>
  </si>
  <si>
    <t>10264</t>
  </si>
  <si>
    <t>(372/32)</t>
  </si>
  <si>
    <t>Aranet Cloud</t>
  </si>
  <si>
    <t>10359</t>
  </si>
  <si>
    <t>[{'tag': 'class', 'value': 'service'}, {'tag': 'target', 'value': 'aranet'}]</t>
  </si>
  <si>
    <t>[{'tag': '类别', 'value': '服务'}, {'tag': '指标', 'value': 'aranet'}]</t>
  </si>
  <si>
    <t>(372/33)</t>
  </si>
  <si>
    <t>Arista by SNMP</t>
  </si>
  <si>
    <t>10254</t>
  </si>
  <si>
    <t>[{'tag': 'class', 'value': 'network'}, {'tag': 'target', 'value': 'arista'}]</t>
  </si>
  <si>
    <t>[{'tag': '类别', 'value': '网络'}, {'tag': '指标', 'value': 'arista'}]</t>
  </si>
  <si>
    <t>(372/34)</t>
  </si>
  <si>
    <t>Asterisk by HTTP</t>
  </si>
  <si>
    <t>10336</t>
  </si>
  <si>
    <t>[{'tag': 'class', 'value': 'voip'}, {'tag': 'target', 'value': 'asterisk'}]</t>
  </si>
  <si>
    <t>[{'tag': '类别', 'value': '语音通信'}, {'tag': '指标', 'value': 'asterisk'}]</t>
  </si>
  <si>
    <t>(372/35)</t>
  </si>
  <si>
    <t>Azure Cosmos DB for MongoDB by HTTP</t>
  </si>
  <si>
    <t>10560</t>
  </si>
  <si>
    <t>[{'tag': 'class', 'value': 'software'}, {'tag': 'target', 'value': 'azure'}, {'tag': 'target', 'value': 'cosmosdb'}, {'tag': 'target', 'value': 'mongodb'}]</t>
  </si>
  <si>
    <t>[{'tag': '类别', 'value': '软件'}, {'tag': '指标', 'value': 'azure'}, {'tag': '指标', 'value': 'cosmosdb'}, {'tag': '指标', 'value': 'mongodb'}]</t>
  </si>
  <si>
    <t>(372/36)</t>
  </si>
  <si>
    <t>Azure Cost Management by HTTP</t>
  </si>
  <si>
    <t>10598</t>
  </si>
  <si>
    <t>[{'tag': 'class', 'value': 'software'}, {'tag': 'target', 'value': 'azure'}, {'tag': 'target', 'value': 'cost'}]</t>
  </si>
  <si>
    <t>[{'tag': '类别', 'value': '软件'}, {'tag': '指标', 'value': 'azure'}, {'tag': '指标', 'value': '成本'}]</t>
  </si>
  <si>
    <t>(372/37)</t>
  </si>
  <si>
    <t>Azure Microsoft SQL Database by HTTP</t>
  </si>
  <si>
    <t>10542</t>
  </si>
  <si>
    <t>[{'tag': 'class', 'value': 'software'}, {'tag': 'target', 'value': 'azure'}, {'tag': 'target', 'value': 'mssql'}]</t>
  </si>
  <si>
    <t>[{'tag': '类别', 'value': '软件'}, {'tag': '指标', 'value': 'azure'}, {'tag': '指标', 'value': 'mssql'}]</t>
  </si>
  <si>
    <t>(372/38)</t>
  </si>
  <si>
    <t>Azure Microsoft SQL Serverless Database by HTTP</t>
  </si>
  <si>
    <t>10543</t>
  </si>
  <si>
    <t>(372/39)</t>
  </si>
  <si>
    <t>Azure MySQL Flexible Server by HTTP</t>
  </si>
  <si>
    <t>10544</t>
  </si>
  <si>
    <t>[{'tag': 'class', 'value': 'software'}, {'tag': 'target', 'value': 'azure'}, {'tag': 'target', 'value': 'mysql'}]</t>
  </si>
  <si>
    <t>[{'tag': '类别', 'value': '软件'}, {'tag': '指标', 'value': 'azure'}, {'tag': '指标', 'value': 'mysql数据库'}]</t>
  </si>
  <si>
    <t>(372/40)</t>
  </si>
  <si>
    <t>Azure MySQL Single Server by HTTP</t>
  </si>
  <si>
    <t>10545</t>
  </si>
  <si>
    <t>(372/41)</t>
  </si>
  <si>
    <t>Azure PostgreSQL Flexible Server by HTTP</t>
  </si>
  <si>
    <t>10546</t>
  </si>
  <si>
    <t>[{'tag': 'class', 'value': 'software'}, {'tag': 'target', 'value': 'azure'}, {'tag': 'target', 'value': 'postgresql'}]</t>
  </si>
  <si>
    <t>[{'tag': '类别', 'value': '软件'}, {'tag': '指标', 'value': 'azure'}, {'tag': '指标', 'value': 'postgresql'}]</t>
  </si>
  <si>
    <t>(372/42)</t>
  </si>
  <si>
    <t>Azure PostgreSQL Single Server by HTTP</t>
  </si>
  <si>
    <t>10547</t>
  </si>
  <si>
    <t>(372/43)</t>
  </si>
  <si>
    <t>Azure VM Scale Set by HTTP</t>
  </si>
  <si>
    <t>10621</t>
  </si>
  <si>
    <t>[{'tag': 'class', 'value': 'software'}, {'tag': 'target', 'value': 'azure'}]</t>
  </si>
  <si>
    <t>[{'tag': '类别', 'value': '软件'}, {'tag': '指标', 'value': 'azure'}]</t>
  </si>
  <si>
    <t>(372/44)</t>
  </si>
  <si>
    <t>Azure Virtual Machine by HTTP</t>
  </si>
  <si>
    <t>10548</t>
  </si>
  <si>
    <t>(372/45)</t>
  </si>
  <si>
    <t>Azure by HTTP</t>
  </si>
  <si>
    <t>10541</t>
  </si>
  <si>
    <t>(372/46)</t>
  </si>
  <si>
    <t>Brocade FC by SNMP</t>
  </si>
  <si>
    <t>10208</t>
  </si>
  <si>
    <t>[{'tag': 'class', 'value': 'network'}, {'tag': 'target', 'value': 'brocade'}, {'tag': 'target', 'value': 'brocade-fc'}]</t>
  </si>
  <si>
    <t>[{'tag': '类别', 'value': '网络'}, {'tag': '指标', 'value': 'brocade'}, {'tag': '指标', 'value': 'brocade-fc'}]</t>
  </si>
  <si>
    <t>(372/47)</t>
  </si>
  <si>
    <t>Brocade_Foundry Nonstackable by SNMP</t>
  </si>
  <si>
    <t>10210</t>
  </si>
  <si>
    <t>[{'tag': 'class', 'value': 'network'}, {'tag': 'target', 'value': 'brocade'}, {'tag': 'target', 'value': 'brocade-foundry'}]</t>
  </si>
  <si>
    <t>[{'tag': '类别', 'value': '网络'}, {'tag': '指标', 'value': 'brocade'}, {'tag': '指标', 'value': 'brocade-foundry'}]</t>
  </si>
  <si>
    <t>(372/49)</t>
  </si>
  <si>
    <t>Brocade_Foundry Stackable by SNMP</t>
  </si>
  <si>
    <t>10211</t>
  </si>
  <si>
    <t>(372/50)</t>
  </si>
  <si>
    <t>Ceph by Zabbix agent 2</t>
  </si>
  <si>
    <t>10353</t>
  </si>
  <si>
    <t>[{'tag': 'class', 'value': 'application'}, {'tag': 'target', 'value': 'ceph'}]</t>
  </si>
  <si>
    <t>[{'tag': '类别', 'value': '应用'}, {'tag': '指标', 'value': 'ceph'}]</t>
  </si>
  <si>
    <t>(372/51)</t>
  </si>
  <si>
    <t>Chassis by IPMI</t>
  </si>
  <si>
    <t>10321</t>
  </si>
  <si>
    <t>[{'tag': 'class', 'value': 'hardware'}, {'tag': 'target', 'value': 'server'}]</t>
  </si>
  <si>
    <t>[{'tag': '类别', 'value': '硬件'}, {'tag': '指标', 'value': '服务器'}]</t>
  </si>
  <si>
    <t>(372/52)</t>
  </si>
  <si>
    <t>Check Point Next Generation Firewall by SNMP</t>
  </si>
  <si>
    <t>10605</t>
  </si>
  <si>
    <t>[{'tag': 'class', 'value': 'network'}, {'tag': 'target', 'value': 'checkpoint'}, {'tag': 'target', 'value': 'firewall'}, {'tag': 'target', 'value': 'ngfw'}]</t>
  </si>
  <si>
    <t>[{'tag': '类别', 'value': '网络'}, {'tag': '指标', 'value': '检查点'}, {'tag': '指标', 'value': '防火墙'}, {'tag': '指标', 'value': 'ngfw'}]</t>
  </si>
  <si>
    <t>(372/53)</t>
  </si>
  <si>
    <t>Cisco ASAv by SNMP</t>
  </si>
  <si>
    <t>10418</t>
  </si>
  <si>
    <t>[{'tag': 'class', 'value': 'application'}, {'tag': 'target', 'value': 'cisco'}, {'tag': 'target', 'value': 'cisco-asav'}]</t>
  </si>
  <si>
    <t>[{'tag': '类别', 'value': '应用'}, {'tag': '指标', 'value': 'cisco'}, {'tag': '指标', 'value': 'cisco-asav'}]</t>
  </si>
  <si>
    <t>(372/58)</t>
  </si>
  <si>
    <t>Cisco Catalyst 3750V2-24FS by SNMP</t>
  </si>
  <si>
    <t>10390</t>
  </si>
  <si>
    <t>[{'tag': 'class', 'value': 'network'}, {'tag': 'target', 'value': 'cisco'}, {'tag': 'target', 'value': 'cisco-catalyst'}, {'tag': 'target', 'value': 'cisco-catalyst-3750v2-24fs'}]</t>
  </si>
  <si>
    <t>[{'tag': '类别', 'value': '网络'}, {'tag': '指标', 'value': 'cisco'}, {'tag': '指标', 'value': 'cisco-catalyst'}, {'tag': '指标', 'value': 'cisco-catalyst-3750v2-24fs'}]</t>
  </si>
  <si>
    <t>(372/59)</t>
  </si>
  <si>
    <t>Cisco Catalyst 3750V2-24PS by SNMP</t>
  </si>
  <si>
    <t>10391</t>
  </si>
  <si>
    <t>[{'tag': 'class', 'value': 'network'}, {'tag': 'target', 'value': 'cisco'}, {'tag': 'target', 'value': 'cisco-catalyst'}, {'tag': 'target', 'value': 'cisco-catalyst-3750v2-24ps'}]</t>
  </si>
  <si>
    <t>[{'tag': '类别', 'value': '网络'}, {'tag': '指标', 'value': 'cisco'}, {'tag': '指标', 'value': 'cisco-catalyst'}, {'tag': '指标', 'value': 'cisco-catalyst-3750v2-24ps'}]</t>
  </si>
  <si>
    <t>(372/60)</t>
  </si>
  <si>
    <t>Cisco Catalyst 3750V2-24TS by SNMP</t>
  </si>
  <si>
    <t>10392</t>
  </si>
  <si>
    <t>[{'tag': 'class', 'value': 'network'}, {'tag': 'target', 'value': 'cisco'}, {'tag': 'target', 'value': 'cisco-catalyst'}, {'tag': 'target', 'value': 'cisco-catalyst-3750v2-24ts'}]</t>
  </si>
  <si>
    <t>[{'tag': '类别', 'value': '网络'}, {'tag': '指标', 'value': 'cisco'}, {'tag': '指标', 'value': 'cisco-catalyst'}, {'tag': '指标', 'value': 'cisco-catalyst-3750v2-24ts'}]</t>
  </si>
  <si>
    <t>(372/61)</t>
  </si>
  <si>
    <t>Cisco Catalyst 3750V2-48PS by SNMP</t>
  </si>
  <si>
    <t>10393</t>
  </si>
  <si>
    <t>[{'tag': 'class', 'value': 'network'}, {'tag': 'target', 'value': 'cisco'}, {'tag': 'target', 'value': 'cisco-catalyst'}, {'tag': 'target', 'value': 'cisco-catalyst-3750v2-48ps'}]</t>
  </si>
  <si>
    <t>[{'tag': '类别', 'value': '网络'}, {'tag': '指标', 'value': 'cisco'}, {'tag': '指标', 'value': 'cisco-catalyst'}, {'tag': '指标', 'value': 'cisco-catalyst-3750v2-48ps'}]</t>
  </si>
  <si>
    <t>(372/62)</t>
  </si>
  <si>
    <t>Cisco Catalyst 3750V2-48TS by SNMP</t>
  </si>
  <si>
    <t>10394</t>
  </si>
  <si>
    <t>[{'tag': 'class', 'value': 'network'}, {'tag': 'target', 'value': 'cisco'}, {'tag': 'target', 'value': 'cisco-catalyst'}, {'tag': 'target', 'value': 'cisco-catalyst-3750v2-48ts'}]</t>
  </si>
  <si>
    <t>[{'tag': '类别', 'value': '网络'}, {'tag': '指标', 'value': 'cisco'}, {'tag': '指标', 'value': 'cisco-catalyst'}, {'tag': '指标', 'value': 'cisco-catalyst-3750v2-48ts'}]</t>
  </si>
  <si>
    <t>(372/63)</t>
  </si>
  <si>
    <t>Cisco IOS by SNMP</t>
  </si>
  <si>
    <t>10218</t>
  </si>
  <si>
    <t>[{'tag': 'class', 'value': 'network'}, {'tag': 'target', 'value': 'cisco'}, {'tag': 'target', 'value': 'cisco-ios'}]</t>
  </si>
  <si>
    <t>[{'tag': '类别', 'value': '网络'}, {'tag': '指标', 'value': 'cisco'}, {'tag': '指标', 'value': 'cisco-ios'}]</t>
  </si>
  <si>
    <t>(372/64)</t>
  </si>
  <si>
    <t>Cisco IOS prior to 12.0_3_T by SNMP</t>
  </si>
  <si>
    <t>10220</t>
  </si>
  <si>
    <t>[{'tag': 'class', 'value': 'network'}, {'tag': 'target', 'value': 'cisco'}, {'tag': 'target', 'value': 'cisco-prior'}, {'tag': 'target', 'value': 'cisco-prior-12.0-3-t'}]</t>
  </si>
  <si>
    <t>[{'tag': '类别', 'value': '网络'}, {'tag': '指标', 'value': 'cisco'}, {'tag': '指标', 'value': 'cisco-prior'}, {'tag': '指标', 'value': 'cisco-prior-12.0-3-t'}]</t>
  </si>
  <si>
    <t>(372/65)</t>
  </si>
  <si>
    <t>Cisco IOS versions 12.0_3_T-12.2_3.5 by SNMP</t>
  </si>
  <si>
    <t>10253</t>
  </si>
  <si>
    <t>[{'tag': 'class', 'value': 'network'}, {'tag': 'target', 'value': 'cisco'}, {'tag': 'target', 'value': 'cisco-ios'}, {'tag': 'target', 'value': 'cisco-ios-12.0-12.2'}]</t>
  </si>
  <si>
    <t>[{'tag': '类别', 'value': '网络'}, {'tag': '指标', 'value': 'cisco'}, {'tag': '指标', 'value': 'cisco-ios'}, {'tag': '指标', 'value': 'cisco-ios-12.0-12.2'}]</t>
  </si>
  <si>
    <t>(372/67)</t>
  </si>
  <si>
    <t>Cisco Meraki dashboard by HTTP</t>
  </si>
  <si>
    <t>10529</t>
  </si>
  <si>
    <t>[{'tag': 'class', 'value': 'network'}, {'tag': 'target', 'value': 'cisco-meraki-dashboard'}]</t>
  </si>
  <si>
    <t>[{'tag': '类别', 'value': '网络'}, {'tag': '指标', 'value': 'cisco-meraki-dashboard'}]</t>
  </si>
  <si>
    <t>(372/68)</t>
  </si>
  <si>
    <t>Cisco Meraki device by HTTP</t>
  </si>
  <si>
    <t>10530</t>
  </si>
  <si>
    <t>(372/69)</t>
  </si>
  <si>
    <t>Cisco Meraki organization by HTTP</t>
  </si>
  <si>
    <t>10531</t>
  </si>
  <si>
    <t>(372/70)</t>
  </si>
  <si>
    <t>Cisco Nexus 9000 Series by SNMP</t>
  </si>
  <si>
    <t>10558</t>
  </si>
  <si>
    <t>[{'tag': 'class', 'value': 'network'}, {'tag': 'target', 'value': 'cisco'}, {'tag': 'target', 'value': 'cisco-nexus'}, {'tag': 'target', 'value': 'n9000'}]</t>
  </si>
  <si>
    <t>[{'tag': '类别', 'value': '网络'}, {'tag': '指标', 'value': 'cisco'}, {'tag': '指标', 'value': 'cisco-nexus'}, {'tag': '指标', 'value': 'n9000'}]</t>
  </si>
  <si>
    <t>(372/72)</t>
  </si>
  <si>
    <t>Cisco SD-WAN by HTTP</t>
  </si>
  <si>
    <t>10582</t>
  </si>
  <si>
    <t>[{'tag': 'class', 'value': 'network'}, {'tag': 'target', 'value': 'cisco-sdwan-monitor'}]</t>
  </si>
  <si>
    <t>[{'tag': '类别', 'value': '网络'}, {'tag': '指标', 'value': 'cisco-sdwan-monitor'}]</t>
  </si>
  <si>
    <t>(372/73)</t>
  </si>
  <si>
    <t>Cisco SD-WAN device by HTTP</t>
  </si>
  <si>
    <t>10583</t>
  </si>
  <si>
    <t>[{'tag': 'class', 'value': 'network'}, {'tag': 'target', 'value': 'cisco-sdwan-device'}]</t>
  </si>
  <si>
    <t>[{'tag': '类别', 'value': '网络'}, {'tag': '指标', 'value': 'cisco-sdwan-device'}]</t>
  </si>
  <si>
    <t>(372/74)</t>
  </si>
  <si>
    <t>Cisco UCS Manager by SNMP</t>
  </si>
  <si>
    <t>10434</t>
  </si>
  <si>
    <t>[{'tag': 'class', 'value': 'hardware'}, {'tag': 'target', 'value': 'cisco'}, {'tag': 'target', 'value': 'cisco-ucs-manager'}]</t>
  </si>
  <si>
    <t>[{'tag': '类别', 'value': '硬件'}, {'tag': '指标', 'value': 'cisco'}, {'tag': '指标', 'value': 'cisco-ucs-manager'}]</t>
  </si>
  <si>
    <t>(372/75)</t>
  </si>
  <si>
    <t>Cisco UCS by SNMP</t>
  </si>
  <si>
    <t>10304</t>
  </si>
  <si>
    <t>[{'tag': 'class', 'value': 'hardware'}, {'tag': 'target', 'value': 'cisco'}, {'tag': 'target', 'value': 'cisco-ucs'}]</t>
  </si>
  <si>
    <t>[{'tag': '类别', 'value': '硬件'}, {'tag': '指标', 'value': 'cisco'}, {'tag': '指标', 'value': 'cisco-ucs'}]</t>
  </si>
  <si>
    <t>(372/76)</t>
  </si>
  <si>
    <t>ClickHouse by HTTP</t>
  </si>
  <si>
    <t>10323</t>
  </si>
  <si>
    <t>[{'tag': 'class', 'value': 'database'}, {'tag': 'target', 'value': 'clickhouse'}]</t>
  </si>
  <si>
    <t>[{'tag': '类别', 'value': '数据库'}, {'tag': '指标', 'value': 'clickhouse'}]</t>
  </si>
  <si>
    <t>(372/77)</t>
  </si>
  <si>
    <t>Cloudflare by HTTP</t>
  </si>
  <si>
    <t>10414</t>
  </si>
  <si>
    <t>[{'tag': 'class', 'value': 'service'}, {'tag': 'target', 'value': 'cloudflare'}]</t>
  </si>
  <si>
    <t>[{'tag': '类别', 'value': '服务'}, {'tag': '指标', 'value': 'cloudflare'}]</t>
  </si>
  <si>
    <t>(372/78)</t>
  </si>
  <si>
    <t>CockroachDB by HTTP</t>
  </si>
  <si>
    <t>10523</t>
  </si>
  <si>
    <t>[{'tag': 'class', 'value': 'database'}, {'tag': 'target', 'value': 'cockroachdb'}]</t>
  </si>
  <si>
    <t>[{'tag': '类别', 'value': '数据库'}, {'tag': '指标', 'value': 'cockroachdb'}]</t>
  </si>
  <si>
    <t>(372/79)</t>
  </si>
  <si>
    <t>Control-M enterprise manager by HTTP</t>
  </si>
  <si>
    <t>10553</t>
  </si>
  <si>
    <t>[{'tag': 'class', 'value': 'software'}, {'tag': 'target', 'value': 'controlm'}]</t>
  </si>
  <si>
    <t>[{'tag': '类别', 'value': '软件'}, {'tag': '指标', 'value': 'controlm'}]</t>
  </si>
  <si>
    <t>(372/80)</t>
  </si>
  <si>
    <t>Control-M server by HTTP</t>
  </si>
  <si>
    <t>10554</t>
  </si>
  <si>
    <t>(372/81)</t>
  </si>
  <si>
    <t>D-Link DES 7200 by SNMP</t>
  </si>
  <si>
    <t>10222</t>
  </si>
  <si>
    <t>[{'tag': 'class', 'value': 'network'}, {'tag': 'target', 'value': 'des7200'}, {'tag': 'target', 'value': 'dlink'}]</t>
  </si>
  <si>
    <t>[{'tag': '类别', 'value': '网络'}, {'tag': '指标', 'value': 'des7200'}, {'tag': '指标', 'value': 'dlink'}]</t>
  </si>
  <si>
    <t>(372/82)</t>
  </si>
  <si>
    <t>D-Link DES_DGS Switch by SNMP</t>
  </si>
  <si>
    <t>10223</t>
  </si>
  <si>
    <t>[{'tag': 'class', 'value': 'network'}, {'tag': 'target', 'value': 'des-dgs'}, {'tag': 'target', 'value': 'dlink'}]</t>
  </si>
  <si>
    <t>[{'tag': '类别', 'value': '网络'}, {'tag': '指标', 'value': 'des-dgs'}, {'tag': '指标', 'value': 'dlink'}]</t>
  </si>
  <si>
    <t>(372/83)</t>
  </si>
  <si>
    <t>DELL PowerEdge R720 by HTTP</t>
  </si>
  <si>
    <t>10435</t>
  </si>
  <si>
    <t>[{'tag': 'class', 'value': 'hardware'}, {'tag': 'target', 'value': 'dell'}, {'tag': 'target', 'value': 'dell poweredge'}]</t>
  </si>
  <si>
    <t>[{'tag': '类别', 'value': '硬件'}, {'tag': '指标', 'value': 'dell'}, {'tag': '指标', 'value': 'dell poweredge'}]</t>
  </si>
  <si>
    <t>(372/84)</t>
  </si>
  <si>
    <t>DELL PowerEdge R720 by SNMP</t>
  </si>
  <si>
    <t>10436</t>
  </si>
  <si>
    <t>(372/85)</t>
  </si>
  <si>
    <t>DELL PowerEdge R740 by HTTP</t>
  </si>
  <si>
    <t>10437</t>
  </si>
  <si>
    <t>(372/86)</t>
  </si>
  <si>
    <t>DELL PowerEdge R740 by SNMP</t>
  </si>
  <si>
    <t>10438</t>
  </si>
  <si>
    <t>(372/87)</t>
  </si>
  <si>
    <t>DELL PowerEdge R820 by HTTP</t>
  </si>
  <si>
    <t>10439</t>
  </si>
  <si>
    <t>(372/88)</t>
  </si>
  <si>
    <t>DELL PowerEdge R820 by SNMP</t>
  </si>
  <si>
    <t>10440</t>
  </si>
  <si>
    <t>(372/89)</t>
  </si>
  <si>
    <t>DELL PowerEdge R840 by HTTP</t>
  </si>
  <si>
    <t>10441</t>
  </si>
  <si>
    <t>(372/90)</t>
  </si>
  <si>
    <t>DELL PowerEdge R840 by SNMP</t>
  </si>
  <si>
    <t>10442</t>
  </si>
  <si>
    <t>(372/91)</t>
  </si>
  <si>
    <t>Dell Force S-Series by SNMP</t>
  </si>
  <si>
    <t>10221</t>
  </si>
  <si>
    <t>[{'tag': 'class', 'value': 'network'}, {'tag': 'target', 'value': 'dell'}, {'tag': 'target', 'value': 'force-s-series'}]</t>
  </si>
  <si>
    <t>[{'tag': '类别', 'value': '网络'}, {'tag': '指标', 'value': 'dell'}, {'tag': '指标', 'value': 'force-s-series'}]</t>
  </si>
  <si>
    <t>(372/92)</t>
  </si>
  <si>
    <t>Dell iDRAC by SNMP</t>
  </si>
  <si>
    <t>10255</t>
  </si>
  <si>
    <t>[{'tag': 'class', 'value': 'hardware'}, {'tag': 'target', 'value': 'dell'}, {'tag': 'target', 'value': 'idrac'}]</t>
  </si>
  <si>
    <t>[{'tag': '类别', 'value': '硬件'}, {'tag': '指标', 'value': 'dell'}, {'tag': '指标', 'value': 'idrac'}]</t>
  </si>
  <si>
    <t>(372/93)</t>
  </si>
  <si>
    <t>Docker by Zabbix agent 2</t>
  </si>
  <si>
    <t>10318</t>
  </si>
  <si>
    <t>[{'tag': 'class', 'value': 'software'}, {'tag': 'target', 'value': 'docker'}]</t>
  </si>
  <si>
    <t>[{'tag': '类别', 'value': '软件'}, {'tag': '指标', 'value': 'docker'}]</t>
  </si>
  <si>
    <t>(372/94)</t>
  </si>
  <si>
    <t>Elasticsearch Cluster by HTTP</t>
  </si>
  <si>
    <t>10322</t>
  </si>
  <si>
    <t>[{'tag': 'class', 'value': 'software'}, {'tag': 'target', 'value': 'elasticsearch'}]</t>
  </si>
  <si>
    <t>[{'tag': '类别', 'value': '软件'}, {'tag': '指标', 'value': 'elasticsearch'}]</t>
  </si>
  <si>
    <t>(372/95)</t>
  </si>
  <si>
    <t>Envoy Proxy by HTTP</t>
  </si>
  <si>
    <t>10522</t>
  </si>
  <si>
    <t>[{'tag': 'class', 'value': 'software'}, {'tag': 'target', 'value': 'envoy-proxy'}]</t>
  </si>
  <si>
    <t>[{'tag': '类别', 'value': '软件'}, {'tag': '指标', 'value': 'envoy-proxy'}]</t>
  </si>
  <si>
    <t>(372/96)</t>
  </si>
  <si>
    <t>Etcd by HTTP</t>
  </si>
  <si>
    <t>10324</t>
  </si>
  <si>
    <t>[{'tag': 'class', 'value': 'application'}, {'tag': 'target', 'value': 'etcd'}]</t>
  </si>
  <si>
    <t>[{'tag': '类别', 'value': '应用'}, {'tag': '指标', 'value': 'etcd'}]</t>
  </si>
  <si>
    <t>(372/98)</t>
  </si>
  <si>
    <t>Extreme EXOS by SNMP</t>
  </si>
  <si>
    <t>10224</t>
  </si>
  <si>
    <t>[{'tag': 'class', 'value': 'network'}, {'tag': 'target', 'value': 'exos'}, {'tag': 'target', 'value': 'extreme'}]</t>
  </si>
  <si>
    <t>[{'tag': '类别', 'value': '网络'}, {'tag': '指标', 'value': 'exos'}, {'tag': '指标', 'value': 'extreme'}]</t>
  </si>
  <si>
    <t>(372/99)</t>
  </si>
  <si>
    <t>F5 Big-IP by SNMP</t>
  </si>
  <si>
    <t>10419</t>
  </si>
  <si>
    <t>[{'tag': 'class', 'value': 'network'}, {'tag': 'target', 'value': 'big-ip'}, {'tag': 'target', 'value': 'f5'}]</t>
  </si>
  <si>
    <t>[{'tag': '类别', 'value': '网络'}, {'tag': '指标', 'value': 'big-ip'}, {'tag': '指标', 'value': 'f5'}]</t>
  </si>
  <si>
    <t>(372/101)</t>
  </si>
  <si>
    <t>FortiGate by HTTP</t>
  </si>
  <si>
    <t>10595</t>
  </si>
  <si>
    <t>[{'tag': 'class', 'value': 'network'}, {'tag': 'target', 'value': 'fortigate'}, {'tag': 'target', 'value': 'fortinet'}]</t>
  </si>
  <si>
    <t>[{'tag': '类别', 'value': '网络'}, {'tag': '指标', 'value': 'fortigate'}, {'tag': '指标', 'value': 'fortinet'}]</t>
  </si>
  <si>
    <t>(372/102)</t>
  </si>
  <si>
    <t>FortiGate by SNMP</t>
  </si>
  <si>
    <t>10596</t>
  </si>
  <si>
    <t>(372/103)</t>
  </si>
  <si>
    <t>FreeBSD by Zabbix agent</t>
  </si>
  <si>
    <t>10075</t>
  </si>
  <si>
    <t>[{'tag': 'class', 'value': 'os'}, {'tag': 'target', 'value': 'freebsd'}]</t>
  </si>
  <si>
    <t>[{'tag': '类别', 'value': '操作系统'}, {'tag': '指标', 'value': 'freebsd'}]</t>
  </si>
  <si>
    <t>(372/104)</t>
  </si>
  <si>
    <t>GCP Cloud SQL MSSQL Replica by HTTP</t>
  </si>
  <si>
    <t>10564</t>
  </si>
  <si>
    <t>[{'tag': 'class', 'value': 'cloud'}, {'tag': 'target', 'value': 'cloudsql'}, {'tag': 'target', 'value': 'gcp'}, {'tag': 'target', 'value': 'google-cloud-platform'}, {'tag': 'target', 'value': 'mssql'}, {'tag': 'target', 'value': 'replica'}]</t>
  </si>
  <si>
    <t>[{'tag': '类别', 'value': '云'}, {'tag': '指标', 'value': 'cloudsql'}, {'tag': '指标', 'value': 'gcp'}, {'tag': '指标', 'value': 'google-cloud-platform'}, {'tag': '指标', 'value': 'mssql'}, {'tag': '指标', 'value': 'replica'}]</t>
  </si>
  <si>
    <t>(372/105)</t>
  </si>
  <si>
    <t>GCP Cloud SQL MSSQL by HTTP</t>
  </si>
  <si>
    <t>10563</t>
  </si>
  <si>
    <t>[{'tag': 'class', 'value': 'cloud'}, {'tag': 'target', 'value': 'cloudsql'}, {'tag': 'target', 'value': 'gcp'}, {'tag': 'target', 'value': 'google-cloud-platform'}, {'tag': 'target', 'value': 'mssql'}]</t>
  </si>
  <si>
    <t>[{'tag': '类别', 'value': '云'}, {'tag': '指标', 'value': 'cloudsql'}, {'tag': '指标', 'value': 'gcp'}, {'tag': '指标', 'value': 'google-cloud-platform'}, {'tag': '指标', 'value': 'mssql'}]</t>
  </si>
  <si>
    <t>(372/106)</t>
  </si>
  <si>
    <t>GCP Cloud SQL MySQL Replica by HTTP</t>
  </si>
  <si>
    <t>10566</t>
  </si>
  <si>
    <t>[{'tag': 'class', 'value': 'cloud'}, {'tag': 'target', 'value': 'cloudsql'}, {'tag': 'target', 'value': 'gcp'}, {'tag': 'target', 'value': 'google-cloud-platform'}, {'tag': 'target', 'value': 'mysql'}, {'tag': 'target', 'value': 'replica'}]</t>
  </si>
  <si>
    <t>[{'tag': '类别', 'value': '云'}, {'tag': '指标', 'value': 'cloudsql'}, {'tag': '指标', 'value': 'gcp'}, {'tag': '指标', 'value': 'google-cloud-platform'}, {'tag': '指标', 'value': 'mysql'}, {'tag': '指标', 'value': 'replica'}]</t>
  </si>
  <si>
    <t>(372/107)</t>
  </si>
  <si>
    <t>GCP Cloud SQL MySQL by HTTP</t>
  </si>
  <si>
    <t>10565</t>
  </si>
  <si>
    <t>[{'tag': 'class', 'value': 'cloud'}, {'tag': 'target', 'value': 'cloudsql'}, {'tag': 'target', 'value': 'gcp'}, {'tag': 'target', 'value': 'google-cloud-platform'}, {'tag': 'target', 'value': 'mysql'}]</t>
  </si>
  <si>
    <t>[{'tag': '类别', 'value': '云'}, {'tag': '指标', 'value': 'cloudsql'}, {'tag': '指标', 'value': 'gcp'}, {'tag': '指标', 'value': 'google-cloud-platform'}, {'tag': '指标', 'value': 'mysql'}]</t>
  </si>
  <si>
    <t>(372/108)</t>
  </si>
  <si>
    <t>GCP Cloud SQL PostgreSQL Replica by HTTP</t>
  </si>
  <si>
    <t>10568</t>
  </si>
  <si>
    <t>[{'tag': 'class', 'value': 'cloud'}, {'tag': 'target', 'value': 'cloudsql'}, {'tag': 'target', 'value': 'gcp'}, {'tag': 'target', 'value': 'google-cloud-platform'}, {'tag': 'target', 'value': 'postgresql'}, {'tag': 'target', 'value': 'replica'}]</t>
  </si>
  <si>
    <t>[{'tag': '类别', 'value': '云'}, {'tag': '指标', 'value': 'cloudsql'}, {'tag': '指标', 'value': 'gcp'}, {'tag': '指标', 'value': 'google-cloud-platform'}, {'tag': '指标', 'value': 'postgresql'}, {'tag': '指标', 'value': 'replica'}]</t>
  </si>
  <si>
    <t>(372/109)</t>
  </si>
  <si>
    <t>GCP Cloud SQL PostgreSQL by HTTP</t>
  </si>
  <si>
    <t>10567</t>
  </si>
  <si>
    <t>[{'tag': 'class', 'value': 'cloud'}, {'tag': 'target', 'value': 'cloudsql'}, {'tag': 'target', 'value': 'gcp'}, {'tag': 'target', 'value': 'google-cloud-platform'}, {'tag': 'target', 'value': 'postgresql'}]</t>
  </si>
  <si>
    <t>[{'tag': '类别', 'value': '云'}, {'tag': '指标', 'value': 'cloudsql'}, {'tag': '指标', 'value': 'gcp'}, {'tag': '指标', 'value': 'google-cloud-platform'}, {'tag': '指标', 'value': 'postgresql'}]</t>
  </si>
  <si>
    <t>(372/110)</t>
  </si>
  <si>
    <t>GCP Compute Engine Instance by HTTP</t>
  </si>
  <si>
    <t>10569</t>
  </si>
  <si>
    <t>[{'tag': 'class', 'value': 'cloud'}, {'tag': 'target', 'value': 'compute-engine'}, {'tag': 'target', 'value': 'gce'}, {'tag': 'target', 'value': 'gcp'}, {'tag': 'target', 'value': 'google-cloud-platform'}]</t>
  </si>
  <si>
    <t>[{'tag': '类别', 'value': '云'}, {'tag': '指标', 'value': 'compute-engine'}, {'tag': '指标', 'value': 'gce'}, {'tag': '指标', 'value': 'gcp'}, {'tag': '指标', 'value': 'google-cloud-platform'}]</t>
  </si>
  <si>
    <t>(372/111)</t>
  </si>
  <si>
    <t>GCP by HTTP</t>
  </si>
  <si>
    <t>10562</t>
  </si>
  <si>
    <t>[{'tag': 'class', 'value': 'cloud'}, {'tag': 'target', 'value': 'gcp'}, {'tag': 'target', 'value': 'google-cloud-platform'}]</t>
  </si>
  <si>
    <t>[{'tag': '类别', 'value': '云'}, {'tag': '指标', 'value': 'gcp'}, {'tag': '指标', 'value': 'google-cloud-platform'}]</t>
  </si>
  <si>
    <t>(372/112)</t>
  </si>
  <si>
    <t>Generic Java JMX</t>
  </si>
  <si>
    <t>10169</t>
  </si>
  <si>
    <t>[{'tag': 'class', 'value': 'software'}, {'tag': 'target', 'value': 'java'}]</t>
  </si>
  <si>
    <t>[{'tag': '类别', 'value': '软件'}, {'tag': '指标', 'value': 'java'}]</t>
  </si>
  <si>
    <t>(372/114)</t>
  </si>
  <si>
    <t>GitHub repository by HTTP</t>
  </si>
  <si>
    <t>10625</t>
  </si>
  <si>
    <t>[{'tag': 'class', 'value': 'application'}, {'tag': 'target', 'value': 'github'}, {'tag': 'target', 'value': 'repository'}]</t>
  </si>
  <si>
    <t>[{'tag': '类别', 'value': '应用'}, {'tag': '指标', 'value': 'github'}, {'tag': '指标', 'value': '仓库'}]</t>
  </si>
  <si>
    <t>(372/115)</t>
  </si>
  <si>
    <t>GitLab by HTTP</t>
  </si>
  <si>
    <t>10362</t>
  </si>
  <si>
    <t>[{'tag': 'class', 'value': 'application'}, {'tag': 'target', 'value': 'gitlab'}]</t>
  </si>
  <si>
    <t>[{'tag': '类别', 'value': '应用'}, {'tag': '指标', 'value': 'gitlab'}]</t>
  </si>
  <si>
    <t>(372/116)</t>
  </si>
  <si>
    <t>GridGain by JMX</t>
  </si>
  <si>
    <t>10417</t>
  </si>
  <si>
    <t>[{'tag': 'class', 'value': 'software'}, {'tag': 'target', 'value': 'gridgain'}]</t>
  </si>
  <si>
    <t>[{'tag': '类别', 'value': '软件'}, {'tag': '指标', 'value': 'gridgain'}]</t>
  </si>
  <si>
    <t>(372/117)</t>
  </si>
  <si>
    <t>HAProxy by HTTP</t>
  </si>
  <si>
    <t>10309</t>
  </si>
  <si>
    <t>[{'tag': 'class', 'value': 'software'}, {'tag': 'target', 'value': 'haproxy'}]</t>
  </si>
  <si>
    <t>[{'tag': '类别', 'value': '软件'}, {'tag': '指标', 'value': 'haproxy'}]</t>
  </si>
  <si>
    <t>(372/118)</t>
  </si>
  <si>
    <t>HAProxy by Zabbix agent</t>
  </si>
  <si>
    <t>10308</t>
  </si>
  <si>
    <t>(372/123)</t>
  </si>
  <si>
    <t>HP Comware HH3C by SNMP</t>
  </si>
  <si>
    <t>10227</t>
  </si>
  <si>
    <t>[{'tag': 'class', 'value': 'network'}, {'tag': 'target', 'value': 'hp'}, {'tag': 'target', 'value': 'hp-comware'}]</t>
  </si>
  <si>
    <t>[{'tag': '类别', 'value': '网络'}, {'tag': '指标', 'value': 'hp'}, {'tag': '指标', 'value': 'hp-comware'}]</t>
  </si>
  <si>
    <t>(372/124)</t>
  </si>
  <si>
    <t>HP Enterprise Switch by SNMP</t>
  </si>
  <si>
    <t>10250</t>
  </si>
  <si>
    <t>[{'tag': 'class', 'value': 'network'}, {'tag': 'target', 'value': 'hp'}, {'tag': 'target', 'value': 'hp-enterprise'}]</t>
  </si>
  <si>
    <t>[{'tag': '类别', 'value': '网络'}, {'tag': '指标', 'value': 'hp'}, {'tag': '指标', 'value': 'hp-enterprise'}]</t>
  </si>
  <si>
    <t>(372/125)</t>
  </si>
  <si>
    <t>HP iLO by SNMP</t>
  </si>
  <si>
    <t>10256</t>
  </si>
  <si>
    <t>[{'tag': 'class', 'value': 'hardware'}, {'tag': 'target', 'value': 'hp'}, {'tag': 'target', 'value': 'ilo'}]</t>
  </si>
  <si>
    <t>[{'tag': '类别', 'value': '硬件'}, {'tag': '指标', 'value': 'hp'}, {'tag': '指标', 'value': 'ilo'}]</t>
  </si>
  <si>
    <t>(372/126)</t>
  </si>
  <si>
    <t>HP-UX by Zabbix agent</t>
  </si>
  <si>
    <t>10077</t>
  </si>
  <si>
    <t>[{'tag': 'class', 'value': 'os'}, {'tag': 'target', 'value': 'hp-ux'}]</t>
  </si>
  <si>
    <t>[{'tag': '类别', 'value': '操作系统'}, {'tag': '指标', 'value': 'hp-ux'}]</t>
  </si>
  <si>
    <t>(372/127)</t>
  </si>
  <si>
    <t>HPE MSA 2040 Storage by HTTP</t>
  </si>
  <si>
    <t>10524</t>
  </si>
  <si>
    <t>[{'tag': 'class', 'value': 'storage'}, {'tag': 'target', 'value': 'hpe'}, {'tag': 'target', 'value': 'msa-2040'}]</t>
  </si>
  <si>
    <t>[{'tag': '类别', 'value': '存储'}, {'tag': '指标', 'value': 'hpe'}, {'tag': '指标', 'value': 'msa-2040'}]</t>
  </si>
  <si>
    <t>(372/128)</t>
  </si>
  <si>
    <t>HPE MSA 2060 Storage by HTTP</t>
  </si>
  <si>
    <t>10525</t>
  </si>
  <si>
    <t>[{'tag': 'class', 'value': 'storage'}, {'tag': 'target', 'value': 'hpe'}, {'tag': 'target', 'value': 'msa-2060'}]</t>
  </si>
  <si>
    <t>[{'tag': '类别', 'value': '存储'}, {'tag': '指标', 'value': 'hpe'}, {'tag': '指标', 'value': 'msa-2060'}]</t>
  </si>
  <si>
    <t>(372/129)</t>
  </si>
  <si>
    <t>HPE Primera by HTTP</t>
  </si>
  <si>
    <t>10526</t>
  </si>
  <si>
    <t>[{'tag': 'class', 'value': 'storage'}, {'tag': 'target', 'value': 'hpe'}, {'tag': 'target', 'value': 'primera'}]</t>
  </si>
  <si>
    <t>[{'tag': '类别', 'value': '存储'}, {'tag': '指标', 'value': 'hpe'}, {'tag': '指标', 'value': 'primera'}]</t>
  </si>
  <si>
    <t>(372/130)</t>
  </si>
  <si>
    <t>HPE ProLiant BL460 by SNMP</t>
  </si>
  <si>
    <t>10443</t>
  </si>
  <si>
    <t>[{'tag': 'class', 'value': 'hardware'}, {'tag': 'target', 'value': 'hp'}, {'tag': 'target', 'value': 'hp-bl460'}]</t>
  </si>
  <si>
    <t>[{'tag': '类别', 'value': '硬件'}, {'tag': '指标', 'value': 'hp'}, {'tag': '指标', 'value': 'hp-bl460'}]</t>
  </si>
  <si>
    <t>(372/131)</t>
  </si>
  <si>
    <t>HPE ProLiant BL920 by SNMP</t>
  </si>
  <si>
    <t>10444</t>
  </si>
  <si>
    <t>[{'tag': 'class', 'value': 'hardware'}, {'tag': 'target', 'value': 'hp'}, {'tag': 'target', 'value': 'hp-bl920'}]</t>
  </si>
  <si>
    <t>[{'tag': '类别', 'value': '硬件'}, {'tag': '指标', 'value': 'hp'}, {'tag': '指标', 'value': 'hp-bl920'}]</t>
  </si>
  <si>
    <t>(372/132)</t>
  </si>
  <si>
    <t>HPE ProLiant DL360 by SNMP</t>
  </si>
  <si>
    <t>10445</t>
  </si>
  <si>
    <t>[{'tag': 'class', 'value': 'hardware'}, {'tag': 'target', 'value': 'hp'}, {'tag': 'target', 'value': 'hp-dl360'}]</t>
  </si>
  <si>
    <t>[{'tag': '类别', 'value': '硬件'}, {'tag': '指标', 'value': 'hp'}, {'tag': '指标', 'value': 'hp-dl360'}]</t>
  </si>
  <si>
    <t>(372/133)</t>
  </si>
  <si>
    <t>HPE ProLiant DL380 by SNMP</t>
  </si>
  <si>
    <t>10446</t>
  </si>
  <si>
    <t>[{'tag': 'class', 'value': 'hardware'}, {'tag': 'target', 'value': 'hp'}, {'tag': 'target', 'value': 'hp-dl380'}]</t>
  </si>
  <si>
    <t>[{'tag': '类别', 'value': '硬件'}, {'tag': '指标', 'value': 'hp'}, {'tag': '指标', 'value': 'hp-dl380'}]</t>
  </si>
  <si>
    <t>(372/134)</t>
  </si>
  <si>
    <t>HPE Synergy by HTTP</t>
  </si>
  <si>
    <t>10527</t>
  </si>
  <si>
    <t>[{'tag': 'class', 'value': 'hardware'}, {'tag': 'target', 'value': 'hpe'}, {'tag': 'target', 'value': 'synergy'}]</t>
  </si>
  <si>
    <t>[{'tag': '类别', 'value': '硬件'}, {'tag': '指标', 'value': 'hpe'}, {'tag': '指标', 'value': 'synergy'}]</t>
  </si>
  <si>
    <t>(372/135)</t>
  </si>
  <si>
    <t>HPE iLO by HTTP</t>
  </si>
  <si>
    <t>10597</t>
  </si>
  <si>
    <t>[{'tag': 'class', 'value': 'hardware'}, {'tag': 'target', 'value': 'hpe'}, {'tag': 'target', 'value': 'ilo'}]</t>
  </si>
  <si>
    <t>[{'tag': '类别', 'value': '硬件'}, {'tag': '指标', 'value': 'hpe'}, {'tag': '指标', 'value': 'ilo'}]</t>
  </si>
  <si>
    <t>(372/138)</t>
  </si>
  <si>
    <t>Hadoop by HTTP</t>
  </si>
  <si>
    <t>10363</t>
  </si>
  <si>
    <t>[{'tag': 'class', 'value': 'application'}, {'tag': 'target', 'value': 'hadoop'}]</t>
  </si>
  <si>
    <t>[{'tag': '类别', 'value': '应用'}, {'tag': '指标', 'value': 'hadoop'}]</t>
  </si>
  <si>
    <t>(372/139)</t>
  </si>
  <si>
    <t>HashiCorp Consul Cluster by HTTP</t>
  </si>
  <si>
    <t>10520</t>
  </si>
  <si>
    <t>[{'tag': 'class', 'value': 'software'}, {'tag': 'target', 'value': 'consul'}]</t>
  </si>
  <si>
    <t>[{'tag': '类别', 'value': '软件'}, {'tag': '指标', 'value': 'consul'}]</t>
  </si>
  <si>
    <t>(372/140)</t>
  </si>
  <si>
    <t>HashiCorp Consul Node by HTTP</t>
  </si>
  <si>
    <t>10519</t>
  </si>
  <si>
    <t>(372/141)</t>
  </si>
  <si>
    <t>HashiCorp Nomad Client by HTTP</t>
  </si>
  <si>
    <t>10590</t>
  </si>
  <si>
    <t>[{'tag': 'class', 'value': 'software'}, {'tag': 'target', 'value': 'nomad-client'}]</t>
  </si>
  <si>
    <t>[{'tag': '类别', 'value': '软件'}, {'tag': '指标', 'value': 'nomad-client'}]</t>
  </si>
  <si>
    <t>(372/142)</t>
  </si>
  <si>
    <t>HashiCorp Nomad Server by HTTP</t>
  </si>
  <si>
    <t>10591</t>
  </si>
  <si>
    <t>[{'tag': 'class', 'value': 'software'}, {'tag': 'target', 'value': 'nomad-server'}]</t>
  </si>
  <si>
    <t>[{'tag': '类别', 'value': '软件'}, {'tag': '指标', 'value': 'nomad-server'}]</t>
  </si>
  <si>
    <t>(372/143)</t>
  </si>
  <si>
    <t>HashiCorp Nomad by HTTP</t>
  </si>
  <si>
    <t>10589</t>
  </si>
  <si>
    <t>[{'tag': 'class', 'value': 'software'}, {'tag': 'target', 'value': 'nomad'}]</t>
  </si>
  <si>
    <t>[{'tag': '类别', 'value': '软件'}, {'tag': '指标', 'value': 'nomad'}]</t>
  </si>
  <si>
    <t>(372/144)</t>
  </si>
  <si>
    <t>HashiCorp Vault by HTTP</t>
  </si>
  <si>
    <t>10365</t>
  </si>
  <si>
    <t>[{'tag': 'class', 'value': 'software'}, {'tag': 'target', 'value': 'vault'}]</t>
  </si>
  <si>
    <t>[{'tag': '类别', 'value': '软件'}, {'tag': '指标', 'value': 'vault'}]</t>
  </si>
  <si>
    <t>(372/145)</t>
  </si>
  <si>
    <t>Hikvision camera by HTTP</t>
  </si>
  <si>
    <t>10380</t>
  </si>
  <si>
    <t>[{'tag': 'class', 'value': 'device'}, {'tag': 'target', 'value': 'cctv'}, {'tag': 'target', 'value': 'hikvision'}]</t>
  </si>
  <si>
    <t>[{'tag': '类别', 'value': '设备'}, {'tag': '指标', 'value': 'cctv'}, {'tag': '指标', 'value': 'hikvision'}]</t>
  </si>
  <si>
    <t>(372/146)</t>
  </si>
  <si>
    <t>Huawei OceanStor 5300 V5 by SNMP</t>
  </si>
  <si>
    <t>10385</t>
  </si>
  <si>
    <t>[{'tag': 'class', 'value': 'hardware'}, {'tag': 'class', 'value': 'storage'}, {'tag': 'target', 'value': 'huawei'}, {'tag': 'target', 'value': 'huawei-oceanstor-5300-v5'}]</t>
  </si>
  <si>
    <t>[{'tag': '类别', 'value': '硬件'}, {'tag': '类别', 'value': '存储'}, {'tag': '指标', 'value': 'huawei'}, {'tag': '指标', 'value': 'huawei-oceanstor-5300-v5'}]</t>
  </si>
  <si>
    <t>(372/147)</t>
  </si>
  <si>
    <t>Huawei OceanStor V6 by SNMP</t>
  </si>
  <si>
    <t>10627</t>
  </si>
  <si>
    <t>[{'tag': 'class', 'value': 'hardware'}, {'tag': 'class', 'value': 'storage'}, {'tag': 'target', 'value': 'huawei'}, {'tag': 'target', 'value': 'huawei-oceanstor-v6'}]</t>
  </si>
  <si>
    <t>[{'tag': '类别', 'value': '硬件'}, {'tag': '类别', 'value': '存储'}, {'tag': '指标', 'value': '华为'}, {'tag': '指标', 'value': '华为-oceanstor-v6'}]</t>
  </si>
  <si>
    <t>(372/148)</t>
  </si>
  <si>
    <t>Huawei VRP by SNMP</t>
  </si>
  <si>
    <t>10229</t>
  </si>
  <si>
    <t>[{'tag': 'class', 'value': 'network'}, {'tag': 'target', 'value': 'huawei'}, {'tag': 'target', 'value': 'huawei-vrp'}]</t>
  </si>
  <si>
    <t>[{'tag': '类别', 'value': '网络'}, {'tag': '指标', 'value': 'huawei'}, {'tag': '指标', 'value': 'huawei-vrp'}]</t>
  </si>
  <si>
    <t>(372/149)</t>
  </si>
  <si>
    <t>IBM IMM by SNMP</t>
  </si>
  <si>
    <t>10258</t>
  </si>
  <si>
    <t>[{'tag': 'class', 'value': 'hardware'}, {'tag': 'target', 'value': 'ibm'}, {'tag': 'target', 'value': 'imm'}]</t>
  </si>
  <si>
    <t>[{'tag': '类别', 'value': '硬件'}, {'tag': '指标', 'value': 'ibm'}, {'tag': '指标', 'value': 'imm'}]</t>
  </si>
  <si>
    <t>(372/151)</t>
  </si>
  <si>
    <t>IIS by Zabbix agent</t>
  </si>
  <si>
    <t>10325</t>
  </si>
  <si>
    <t>[{'tag': 'class', 'value': 'application'}, {'tag': 'target', 'value': 'iis'}]</t>
  </si>
  <si>
    <t>[{'tag': '类别', 'value': '应用'}, {'tag': '指标', 'value': 'iis'}]</t>
  </si>
  <si>
    <t>(372/152)</t>
  </si>
  <si>
    <t>IIS by Zabbix agent active</t>
  </si>
  <si>
    <t>10326</t>
  </si>
  <si>
    <t>(372/154)</t>
  </si>
  <si>
    <t>Ignite by JMX</t>
  </si>
  <si>
    <t>10381</t>
  </si>
  <si>
    <t>[{'tag': 'class', 'value': 'database'}, {'tag': 'target', 'value': 'ignite'}]</t>
  </si>
  <si>
    <t>[{'tag': '类别', 'value': '数据库'}, {'tag': '指标', 'value': 'ignite'}]</t>
  </si>
  <si>
    <t>(372/155)</t>
  </si>
  <si>
    <t>InfluxDB by HTTP</t>
  </si>
  <si>
    <t>10448</t>
  </si>
  <si>
    <t>[{'tag': 'class', 'value': 'database'}, {'tag': 'target', 'value': 'influxdb'}]</t>
  </si>
  <si>
    <t>[{'tag': '类别', 'value': '数据库'}, {'tag': '指标', 'value': 'influxdb'}]</t>
  </si>
  <si>
    <t>(372/156)</t>
  </si>
  <si>
    <t>Intel SR1530 IPMI</t>
  </si>
  <si>
    <t>10171</t>
  </si>
  <si>
    <t>[{'tag': 'class', 'value': 'hardware'}, {'tag': 'target', 'value': 'intel'}, {'tag': 'target', 'value': 'intel-sr1530'}]</t>
  </si>
  <si>
    <t>[{'tag': '类别', 'value': '硬件'}, {'tag': '指标', 'value': 'intel'}, {'tag': '指标', 'value': 'intel-sr1530'}]</t>
  </si>
  <si>
    <t>(372/157)</t>
  </si>
  <si>
    <t>Intel SR1630 IPMI</t>
  </si>
  <si>
    <t>10172</t>
  </si>
  <si>
    <t>[{'tag': 'class', 'value': 'hardware'}, {'tag': 'target', 'value': 'intel'}, {'tag': 'target', 'value': 'intel-sr1630'}]</t>
  </si>
  <si>
    <t>[{'tag': '类别', 'value': '硬件'}, {'tag': '指标', 'value': 'intel'}, {'tag': '指标', 'value': 'intel-sr1630'}]</t>
  </si>
  <si>
    <t>(372/158)</t>
  </si>
  <si>
    <t>Intel_Qlogic Infiniband by SNMP</t>
  </si>
  <si>
    <t>10230</t>
  </si>
  <si>
    <t>[{'tag': 'class', 'value': 'network'}, {'tag': 'target', 'value': 'intel'}, {'tag': 'target', 'value': 'qlogic-infiniband'}]</t>
  </si>
  <si>
    <t>[{'tag': '类别', 'value': '网络'}, {'tag': '指标', 'value': 'intel'}, {'tag': '指标', 'value': 'qlogic-infiniband'}]</t>
  </si>
  <si>
    <t>(372/162)</t>
  </si>
  <si>
    <t>Jenkins by HTTP</t>
  </si>
  <si>
    <t>10379</t>
  </si>
  <si>
    <t>[{'tag': 'class', 'value': 'application'}, {'tag': 'target', 'value': 'jenkins'}]</t>
  </si>
  <si>
    <t>[{'tag': '类别', 'value': '应用'}, {'tag': '指标', 'value': 'jenkins'}]</t>
  </si>
  <si>
    <t>(372/163)</t>
  </si>
  <si>
    <t>Jira Data Center by JMX</t>
  </si>
  <si>
    <t>10620</t>
  </si>
  <si>
    <t>[{'tag': 'class', 'value': 'software'}, {'tag': 'target', 'value': 'jira-datacenter'}]</t>
  </si>
  <si>
    <t>[{'tag': '类别', 'value': '软件'}, {'tag': '指标', 'value': 'jira数据中心'}]</t>
  </si>
  <si>
    <t>(372/164)</t>
  </si>
  <si>
    <t>Juniper by SNMP</t>
  </si>
  <si>
    <t>10231</t>
  </si>
  <si>
    <t>[{'tag': 'class', 'value': 'network'}, {'tag': 'target', 'value': 'juniper'}]</t>
  </si>
  <si>
    <t>[{'tag': '类别', 'value': '网络'}, {'tag': '指标', 'value': 'juniper'}]</t>
  </si>
  <si>
    <t>(372/165)</t>
  </si>
  <si>
    <t>Kubernetes API server by HTTP</t>
  </si>
  <si>
    <t>10504</t>
  </si>
  <si>
    <t>[{'tag': 'class', 'value': 'software'}, {'tag': 'target', 'value': 'api-server'}, {'tag': 'target', 'value': 'kubernetes'}]</t>
  </si>
  <si>
    <t>[{'tag': '类别', 'value': '软件'}, {'tag': '指标', 'value': 'api-server'}, {'tag': '指标', 'value': 'kubernetes'}]</t>
  </si>
  <si>
    <t>(372/166)</t>
  </si>
  <si>
    <t>Kubernetes Controller manager by HTTP</t>
  </si>
  <si>
    <t>10505</t>
  </si>
  <si>
    <t>[{'tag': 'class', 'value': 'software'}, {'tag': 'target', 'value': 'controller-manager'}, {'tag': 'target', 'value': 'kubernetes'}]</t>
  </si>
  <si>
    <t>[{'tag': '类别', 'value': '软件'}, {'tag': '指标', 'value': 'controller-manager'}, {'tag': '指标', 'value': 'kubernetes'}]</t>
  </si>
  <si>
    <t>(372/167)</t>
  </si>
  <si>
    <t>Kubernetes Kubelet by HTTP</t>
  </si>
  <si>
    <t>10506</t>
  </si>
  <si>
    <t>[{'tag': 'class', 'value': 'software'}, {'tag': 'target', 'value': 'kubelet'}, {'tag': 'target', 'value': 'kubernetes'}]</t>
  </si>
  <si>
    <t>[{'tag': '类别', 'value': '软件'}, {'tag': '指标', 'value': 'kubelet'}, {'tag': '指标', 'value': 'kubernetes'}]</t>
  </si>
  <si>
    <t>(372/168)</t>
  </si>
  <si>
    <t>Kubernetes Scheduler by HTTP</t>
  </si>
  <si>
    <t>10509</t>
  </si>
  <si>
    <t>[{'tag': 'class', 'value': 'software'}, {'tag': 'target', 'value': 'kubernetes'}, {'tag': 'target', 'value': 'scheduler'}]</t>
  </si>
  <si>
    <t>[{'tag': '类别', 'value': '软件'}, {'tag': '指标', 'value': 'kubernetes'}, {'tag': '指标', 'value': 'scheduler'}]</t>
  </si>
  <si>
    <t>(372/169)</t>
  </si>
  <si>
    <t>Kubernetes cluster state by HTTP</t>
  </si>
  <si>
    <t>10510</t>
  </si>
  <si>
    <t>[{'tag': 'class', 'value': 'software'}, {'tag': 'target', 'value': 'cluster-state'}, {'tag': 'target', 'value': 'kubernetes'}]</t>
  </si>
  <si>
    <t>[{'tag': '类别', 'value': '软件'}, {'tag': '指标', 'value': 'cluster-state'}, {'tag': '指标', 'value': 'kubernetes'}]</t>
  </si>
  <si>
    <t>(372/170)</t>
  </si>
  <si>
    <t>Kubernetes nodes by HTTP</t>
  </si>
  <si>
    <t>10507</t>
  </si>
  <si>
    <t>[{'tag': 'class', 'value': 'software'}, {'tag': 'target', 'value': 'kubernetes'}, {'tag': 'target', 'value': 'nodes'}]</t>
  </si>
  <si>
    <t>[{'tag': '类别', 'value': '软件'}, {'tag': '指标', 'value': 'kubernetes'}, {'tag': '指标', 'value': 'nodes'}]</t>
  </si>
  <si>
    <t>(372/178)</t>
  </si>
  <si>
    <t>Linux by Prom</t>
  </si>
  <si>
    <t>10285</t>
  </si>
  <si>
    <t>[{'tag': 'class', 'value': 'os'}, {'tag': 'target', 'value': 'linux'}]</t>
  </si>
  <si>
    <t>[{'tag': '类别', 'value': '操作系统'}, {'tag': '指标', 'value': 'linux'}]</t>
  </si>
  <si>
    <t>(372/179)</t>
  </si>
  <si>
    <t>Linux by SNMP</t>
  </si>
  <si>
    <t>10248</t>
  </si>
  <si>
    <t>(372/180)</t>
  </si>
  <si>
    <t>Linux by Zabbix agent</t>
  </si>
  <si>
    <t>10001</t>
  </si>
  <si>
    <t>(372/181)</t>
  </si>
  <si>
    <t>Linux by Zabbix agent active</t>
  </si>
  <si>
    <t>10343</t>
  </si>
  <si>
    <t>(372/192)</t>
  </si>
  <si>
    <t>MSSQL by ODBC</t>
  </si>
  <si>
    <t>10327</t>
  </si>
  <si>
    <t>[{'tag': 'class', 'value': 'database'}, {'tag': 'target', 'value': 'mssql'}]</t>
  </si>
  <si>
    <t>[{'tag': '类别', 'value': '数据库'}, {'tag': '指标', 'value': 'mssql'}]</t>
  </si>
  <si>
    <t>(372/193)</t>
  </si>
  <si>
    <t>MSSQL by Zabbix agent 2</t>
  </si>
  <si>
    <t>10604</t>
  </si>
  <si>
    <t>(372/194)</t>
  </si>
  <si>
    <t>Mantis BT by HTTP</t>
  </si>
  <si>
    <t>10588</t>
  </si>
  <si>
    <t>[{'tag': 'class', 'value': 'application'}, {'tag': 'target', 'value': 'mantis-bt'}]</t>
  </si>
  <si>
    <t>[{'tag': '类别', 'value': '应用'}, {'tag': '指标', 'value': 'mantis-bt'}]</t>
  </si>
  <si>
    <t>(372/195)</t>
  </si>
  <si>
    <t>Mellanox by SNMP</t>
  </si>
  <si>
    <t>10251</t>
  </si>
  <si>
    <t>[{'tag': 'class', 'value': 'network'}, {'tag': 'target', 'value': 'mellanox'}]</t>
  </si>
  <si>
    <t>[{'tag': '类别', 'value': '网络'}, {'tag': '指标', 'value': 'mellanox'}]</t>
  </si>
  <si>
    <t>(372/196)</t>
  </si>
  <si>
    <t>Memcached by Zabbix agent 2</t>
  </si>
  <si>
    <t>10319</t>
  </si>
  <si>
    <t>[{'tag': 'class', 'value': 'application'}, {'tag': 'target', 'value': 'memcached'}]</t>
  </si>
  <si>
    <t>[{'tag': '类别', 'value': '应用'}, {'tag': '指标', 'value': 'memcached'}]</t>
  </si>
  <si>
    <t>(372/197)</t>
  </si>
  <si>
    <t>Microsoft 365 reports by HTTP</t>
  </si>
  <si>
    <t>10626</t>
  </si>
  <si>
    <t>[{'tag': 'class', 'value': 'application'}, {'tag': 'target', 'value': 'ms365'}]</t>
  </si>
  <si>
    <t>[{'tag': '类别', 'value': '应用'}, {'tag': '指标', 'value': 'ms365'}]</t>
  </si>
  <si>
    <t>(372/198)</t>
  </si>
  <si>
    <t>Microsoft Exchange Server 2016 by Zabbix agent</t>
  </si>
  <si>
    <t>10360</t>
  </si>
  <si>
    <t>[{'tag': 'class', 'value': 'application'}, {'tag': 'target', 'value': 'ms-exchange'}]</t>
  </si>
  <si>
    <t>[{'tag': '类别', 'value': '应用'}, {'tag': '指标', 'value': 'ms-exchange'}]</t>
  </si>
  <si>
    <t>(372/199)</t>
  </si>
  <si>
    <t>Microsoft Exchange Server 2016 by Zabbix agent active</t>
  </si>
  <si>
    <t>10361</t>
  </si>
  <si>
    <t>(372/200)</t>
  </si>
  <si>
    <t>Microsoft SharePoint by HTTP</t>
  </si>
  <si>
    <t>10382</t>
  </si>
  <si>
    <t>[{'tag': 'class', 'value': 'software'}, {'tag': 'target', 'value': 'microsoft'}, {'tag': 'target', 'value': 'sharepoint'}]</t>
  </si>
  <si>
    <t>[{'tag': '类别', 'value': '软件'}, {'tag': '指标', 'value': 'microsoft'}, {'tag': '指标', 'value': 'sharepoint'}]</t>
  </si>
  <si>
    <t>(372/201)</t>
  </si>
  <si>
    <t>MikroTik CCR1009-7G-1C-1S by SNMP</t>
  </si>
  <si>
    <t>10450</t>
  </si>
  <si>
    <t>[{'tag': 'class', 'value': 'network'}, {'tag': 'target', 'value': 'ccr1009-7g-1c-1splus'}, {'tag': 'target', 'value': 'mikrotik'}]</t>
  </si>
  <si>
    <t>[{'tag': '类别', 'value': '网络'}, {'tag': '指标', 'value': 'ccr1009-7g-1c-1splus'}, {'tag': '指标', 'value': 'mikrotik'}]</t>
  </si>
  <si>
    <t>(372/202)</t>
  </si>
  <si>
    <t>MikroTik CCR1009-7G-1C-1SPC by SNMP</t>
  </si>
  <si>
    <t>10449</t>
  </si>
  <si>
    <t>[{'tag': 'class', 'value': 'network'}, {'tag': 'target', 'value': 'ccr1009-7g-1c-1spluspc'}, {'tag': 'target', 'value': 'mikrotik'}]</t>
  </si>
  <si>
    <t>[{'tag': '类别', 'value': '网络'}, {'tag': '指标', 'value': 'ccr1009-7g-1c-1spluspc'}, {'tag': '指标', 'value': 'mikrotik'}]</t>
  </si>
  <si>
    <t>(372/203)</t>
  </si>
  <si>
    <t>MikroTik CCR1009-7G-1C-PC by SNMP</t>
  </si>
  <si>
    <t>10451</t>
  </si>
  <si>
    <t>[{'tag': 'class', 'value': 'network'}, {'tag': 'target', 'value': 'ccr1009-7g-1c-pc'}, {'tag': 'target', 'value': 'mikrotik'}]</t>
  </si>
  <si>
    <t>[{'tag': '类别', 'value': '网络'}, {'tag': '指标', 'value': 'ccr1009-7g-1c-pc'}, {'tag': '指标', 'value': 'mikrotik'}]</t>
  </si>
  <si>
    <t>(372/204)</t>
  </si>
  <si>
    <t>MikroTik CCR1016-12G by SNMP</t>
  </si>
  <si>
    <t>10452</t>
  </si>
  <si>
    <t>[{'tag': 'class', 'value': 'network'}, {'tag': 'target', 'value': 'ccr1016-12g'}, {'tag': 'target', 'value': 'mikrotik'}]</t>
  </si>
  <si>
    <t>[{'tag': '类别', 'value': '网络'}, {'tag': '指标', 'value': 'ccr1016-12g'}, {'tag': '指标', 'value': 'mikrotik'}]</t>
  </si>
  <si>
    <t>(372/205)</t>
  </si>
  <si>
    <t>MikroTik CCR1016-12S-1S by SNMP</t>
  </si>
  <si>
    <t>10453</t>
  </si>
  <si>
    <t>[{'tag': 'class', 'value': 'network'}, {'tag': 'target', 'value': 'ccr1016-12s-1splus'}, {'tag': 'target', 'value': 'mikrotik'}]</t>
  </si>
  <si>
    <t>[{'tag': '类别', 'value': '网络'}, {'tag': '指标', 'value': 'ccr1016-12s-1splus'}, {'tag': '指标', 'value': 'mikrotik'}]</t>
  </si>
  <si>
    <t>(372/206)</t>
  </si>
  <si>
    <t>MikroTik CCR1036-12G-4S by SNMP</t>
  </si>
  <si>
    <t>10455</t>
  </si>
  <si>
    <t>[{'tag': 'class', 'value': 'network'}, {'tag': 'target', 'value': 'ccr1036-12g-4s'}, {'tag': 'target', 'value': 'mikrotik'}]</t>
  </si>
  <si>
    <t>[{'tag': '类别', 'value': '网络'}, {'tag': '指标', 'value': 'ccr1036-12g-4s'}, {'tag': '指标', 'value': 'mikrotik'}]</t>
  </si>
  <si>
    <t>(372/207)</t>
  </si>
  <si>
    <t>MikroTik CCR1036-12G-4S-EM by SNMP</t>
  </si>
  <si>
    <t>10454</t>
  </si>
  <si>
    <t>[{'tag': 'class', 'value': 'network'}, {'tag': 'target', 'value': 'ccr1036-12g-4s-em'}, {'tag': 'target', 'value': 'mikrotik'}]</t>
  </si>
  <si>
    <t>[{'tag': '类别', 'value': '网络'}, {'tag': '指标', 'value': 'ccr1036-12g-4s-em'}, {'tag': '指标', 'value': 'mikrotik'}]</t>
  </si>
  <si>
    <t>(372/208)</t>
  </si>
  <si>
    <t>MikroTik CCR1036-8G-2S by SNMP</t>
  </si>
  <si>
    <t>10457</t>
  </si>
  <si>
    <t>[{'tag': 'class', 'value': 'network'}, {'tag': 'target', 'value': 'ccr1036-8g-2splus'}, {'tag': 'target', 'value': 'mikrotik'}]</t>
  </si>
  <si>
    <t>[{'tag': '类别', 'value': '网络'}, {'tag': '指标', 'value': 'ccr1036-8g-2splus'}, {'tag': '指标', 'value': 'mikrotik'}]</t>
  </si>
  <si>
    <t>(372/209)</t>
  </si>
  <si>
    <t>MikroTik CCR1036-8G-2SEM by SNMP</t>
  </si>
  <si>
    <t>10456</t>
  </si>
  <si>
    <t>[{'tag': 'class', 'value': 'network'}, {'tag': 'target', 'value': 'ccr1036-8g-2splusem'}, {'tag': 'target', 'value': 'mikrotik'}]</t>
  </si>
  <si>
    <t>[{'tag': '类别', 'value': '网络'}, {'tag': '指标', 'value': 'ccr1036-8g-2splusem'}, {'tag': '指标', 'value': 'mikrotik'}]</t>
  </si>
  <si>
    <t>(372/210)</t>
  </si>
  <si>
    <t>MikroTik CCR1072-1G-8S by SNMP</t>
  </si>
  <si>
    <t>10458</t>
  </si>
  <si>
    <t>[{'tag': 'class', 'value': 'network'}, {'tag': 'target', 'value': 'ccr1072-1g-8splus'}, {'tag': 'target', 'value': 'mikrotik'}]</t>
  </si>
  <si>
    <t>[{'tag': '类别', 'value': '网络'}, {'tag': '指标', 'value': 'ccr1072-1g-8splus'}, {'tag': '指标', 'value': 'mikrotik'}]</t>
  </si>
  <si>
    <t>(372/211)</t>
  </si>
  <si>
    <t>MikroTik CCR2004-16G-2S by SNMP</t>
  </si>
  <si>
    <t>10459</t>
  </si>
  <si>
    <t>[{'tag': 'class', 'value': 'network'}, {'tag': 'target', 'value': 'ccr2004-16g-2splus'}, {'tag': 'target', 'value': 'mikrotik'}]</t>
  </si>
  <si>
    <t>[{'tag': '类别', 'value': '网络'}, {'tag': '指标', 'value': 'ccr2004-16g-2splus'}, {'tag': '指标', 'value': 'mikrotik'}]</t>
  </si>
  <si>
    <t>(372/212)</t>
  </si>
  <si>
    <t>MikroTik CCR2004-1G-12S2XS by SNMP</t>
  </si>
  <si>
    <t>10460</t>
  </si>
  <si>
    <t>[{'tag': 'class', 'value': 'network'}, {'tag': 'target', 'value': 'ccr2004-1g-12splus2xs'}, {'tag': 'target', 'value': 'mikrotik'}]</t>
  </si>
  <si>
    <t>[{'tag': '类别', 'value': '网络'}, {'tag': '指标', 'value': 'ccr2004-1g-12splus2xs'}, {'tag': '指标', 'value': 'mikrotik'}]</t>
  </si>
  <si>
    <t>(372/213)</t>
  </si>
  <si>
    <t>MikroTik CRS106-1C-5S by SNMP</t>
  </si>
  <si>
    <t>10461</t>
  </si>
  <si>
    <t>[{'tag': 'class', 'value': 'network'}, {'tag': 'target', 'value': 'crs106-1c-5s'}, {'tag': 'target', 'value': 'mikrotik'}]</t>
  </si>
  <si>
    <t>[{'tag': '类别', 'value': '网络'}, {'tag': '指标', 'value': 'crs106-1c-5s'}, {'tag': '指标', 'value': 'mikrotik'}]</t>
  </si>
  <si>
    <t>(372/214)</t>
  </si>
  <si>
    <t>MikroTik CRS109-8G-1S-2HnD-IN by SNMP</t>
  </si>
  <si>
    <t>10462</t>
  </si>
  <si>
    <t>[{'tag': 'class', 'value': 'network'}, {'tag': 'target', 'value': 'crs109-8g-1s-2hnd-in'}, {'tag': 'target', 'value': 'mikrotik'}]</t>
  </si>
  <si>
    <t>[{'tag': '类别', 'value': '网络'}, {'tag': '指标', 'value': 'crs109-8g-1s-2hnd-in'}, {'tag': '指标', 'value': 'mikrotik'}]</t>
  </si>
  <si>
    <t>(372/215)</t>
  </si>
  <si>
    <t>MikroTik CRS112-8G-4S-IN by SNMP</t>
  </si>
  <si>
    <t>10463</t>
  </si>
  <si>
    <t>[{'tag': 'class', 'value': 'network'}, {'tag': 'target', 'value': 'crs112-8g-4s-in'}, {'tag': 'target', 'value': 'mikrotik'}]</t>
  </si>
  <si>
    <t>[{'tag': '类别', 'value': '网络'}, {'tag': '指标', 'value': 'crs112-8g-4s-in'}, {'tag': '指标', 'value': 'mikrotik'}]</t>
  </si>
  <si>
    <t>(372/216)</t>
  </si>
  <si>
    <t>MikroTik CRS112-8P-4S-IN by SNMP</t>
  </si>
  <si>
    <t>10464</t>
  </si>
  <si>
    <t>[{'tag': 'class', 'value': 'network'}, {'tag': 'target', 'value': 'crs112-8p-4s-in'}, {'tag': 'target', 'value': 'mikrotik'}]</t>
  </si>
  <si>
    <t>[{'tag': '类别', 'value': '网络'}, {'tag': '指标', 'value': 'crs112-8p-4s-in'}, {'tag': '指标', 'value': 'mikrotik'}]</t>
  </si>
  <si>
    <t>(372/217)</t>
  </si>
  <si>
    <t>MikroTik CRS125-24G-1S-2HnD-IN by SNMP</t>
  </si>
  <si>
    <t>10465</t>
  </si>
  <si>
    <t>[{'tag': 'class', 'value': 'network'}, {'tag': 'target', 'value': 'crs125-24g-1s-2hnd-in'}, {'tag': 'target', 'value': 'mikrotik'}]</t>
  </si>
  <si>
    <t>[{'tag': '类别', 'value': '网络'}, {'tag': '指标', 'value': 'crs125-24g-1s-2hnd-in'}, {'tag': '指标', 'value': 'mikrotik'}]</t>
  </si>
  <si>
    <t>(372/218)</t>
  </si>
  <si>
    <t>MikroTik CRS212-1G-10S-1SIN by SNMP</t>
  </si>
  <si>
    <t>10466</t>
  </si>
  <si>
    <t>[{'tag': 'class', 'value': 'network'}, {'tag': 'target', 'value': 'crs212-1g-10s-1splusin'}, {'tag': 'target', 'value': 'mikrotik'}]</t>
  </si>
  <si>
    <t>[{'tag': '类别', 'value': '网络'}, {'tag': '指标', 'value': 'crs212-1g-10s-1splusin'}, {'tag': '指标', 'value': 'mikrotik'}]</t>
  </si>
  <si>
    <t>(372/219)</t>
  </si>
  <si>
    <t>MikroTik CRS305-1G-4SIN by SNMP</t>
  </si>
  <si>
    <t>10467</t>
  </si>
  <si>
    <t>[{'tag': 'class', 'value': 'network'}, {'tag': 'target', 'value': 'crs305-1g-4splusin'}, {'tag': 'target', 'value': 'mikrotik'}]</t>
  </si>
  <si>
    <t>[{'tag': '类别', 'value': '网络'}, {'tag': '指标', 'value': 'crs305-1g-4splusin'}, {'tag': '指标', 'value': 'mikrotik'}]</t>
  </si>
  <si>
    <t>(372/220)</t>
  </si>
  <si>
    <t>MikroTik CRS309-1G-8SIN by SNMP</t>
  </si>
  <si>
    <t>10468</t>
  </si>
  <si>
    <t>[{'tag': 'class', 'value': 'network'}, {'tag': 'target', 'value': 'crs309-1g-8splusin'}, {'tag': 'target', 'value': 'mikrotik'}]</t>
  </si>
  <si>
    <t>[{'tag': '类别', 'value': '网络'}, {'tag': '指标', 'value': 'crs309-1g-8splusin'}, {'tag': '指标', 'value': 'mikrotik'}]</t>
  </si>
  <si>
    <t>(372/221)</t>
  </si>
  <si>
    <t>MikroTik CRS312-4C8XG-RM by SNMP</t>
  </si>
  <si>
    <t>10469</t>
  </si>
  <si>
    <t>[{'tag': 'class', 'value': 'network'}, {'tag': 'target', 'value': 'crs312-4cplus8xg-rm'}, {'tag': 'target', 'value': 'mikrotik'}]</t>
  </si>
  <si>
    <t>[{'tag': '类别', 'value': '网络'}, {'tag': '指标', 'value': 'crs312-4cplus8xg-rm'}, {'tag': '指标', 'value': 'mikrotik'}]</t>
  </si>
  <si>
    <t>(372/222)</t>
  </si>
  <si>
    <t>MikroTik CRS317-1G-16SRM by SNMP</t>
  </si>
  <si>
    <t>10470</t>
  </si>
  <si>
    <t>[{'tag': 'class', 'value': 'network'}, {'tag': 'target', 'value': 'crs317-1g-16splusrm'}, {'tag': 'target', 'value': 'mikrotik'}]</t>
  </si>
  <si>
    <t>[{'tag': '类别', 'value': '网络'}, {'tag': '指标', 'value': 'crs317-1g-16splusrm'}, {'tag': '指标', 'value': 'mikrotik'}]</t>
  </si>
  <si>
    <t>(372/223)</t>
  </si>
  <si>
    <t>MikroTik CRS326-24G-2SIN by SNMP</t>
  </si>
  <si>
    <t>10471</t>
  </si>
  <si>
    <t>[{'tag': 'class', 'value': 'network'}, {'tag': 'target', 'value': 'crs326-24g-2splusin'}, {'tag': 'target', 'value': 'mikrotik'}]</t>
  </si>
  <si>
    <t>[{'tag': '类别', 'value': '网络'}, {'tag': '指标', 'value': 'crs326-24g-2splusin'}, {'tag': '指标', 'value': 'mikrotik'}]</t>
  </si>
  <si>
    <t>(372/224)</t>
  </si>
  <si>
    <t>MikroTik CRS326-24G-2SRM by SNMP</t>
  </si>
  <si>
    <t>10472</t>
  </si>
  <si>
    <t>[{'tag': 'class', 'value': 'network'}, {'tag': 'target', 'value': 'crs326-24g-2splusrm'}, {'tag': 'target', 'value': 'mikrotik'}]</t>
  </si>
  <si>
    <t>[{'tag': '类别', 'value': '网络'}, {'tag': '指标', 'value': 'crs326-24g-2splusrm'}, {'tag': '指标', 'value': 'mikrotik'}]</t>
  </si>
  <si>
    <t>(372/225)</t>
  </si>
  <si>
    <t>MikroTik CRS326-24S2QRM by SNMP</t>
  </si>
  <si>
    <t>10473</t>
  </si>
  <si>
    <t>[{'tag': 'class', 'value': 'network'}, {'tag': 'target', 'value': 'crs326-24splus2qplusrm'}, {'tag': 'target', 'value': 'mikrotik'}]</t>
  </si>
  <si>
    <t>[{'tag': '类别', 'value': '网络'}, {'tag': '指标', 'value': 'crs326-24splus2qplusrm'}, {'tag': '指标', 'value': 'mikrotik'}]</t>
  </si>
  <si>
    <t>(372/226)</t>
  </si>
  <si>
    <t>MikroTik CRS328-24P-4SRM by SNMP</t>
  </si>
  <si>
    <t>10474</t>
  </si>
  <si>
    <t>[{'tag': 'class', 'value': 'network'}, {'tag': 'target', 'value': 'crs328-24p-4splusrm'}, {'tag': 'target', 'value': 'mikrotik'}]</t>
  </si>
  <si>
    <t>[{'tag': '类别', 'value': '网络'}, {'tag': '指标', 'value': 'crs328-24p-4splusrm'}, {'tag': '指标', 'value': 'mikrotik'}]</t>
  </si>
  <si>
    <t>(372/227)</t>
  </si>
  <si>
    <t>MikroTik CRS328-4C-20S-4SRM by SNMP</t>
  </si>
  <si>
    <t>10475</t>
  </si>
  <si>
    <t>[{'tag': 'class', 'value': 'network'}, {'tag': 'target', 'value': 'crs328-4c-20s-4splusrm'}, {'tag': 'target', 'value': 'mikrotik'}]</t>
  </si>
  <si>
    <t>[{'tag': '类别', 'value': '网络'}, {'tag': '指标', 'value': 'crs328-4c-20s-4splusrm'}, {'tag': '指标', 'value': 'mikrotik'}]</t>
  </si>
  <si>
    <t>(372/228)</t>
  </si>
  <si>
    <t>MikroTik CRS354-48G-4S2QRM by SNMP</t>
  </si>
  <si>
    <t>10476</t>
  </si>
  <si>
    <t>[{'tag': 'class', 'value': 'network'}, {'tag': 'target', 'value': 'crs354-48g-4splus2qplusrm'}, {'tag': 'target', 'value': 'mikrotik'}]</t>
  </si>
  <si>
    <t>[{'tag': '类别', 'value': '网络'}, {'tag': '指标', 'value': 'crs354-48g-4splus2qplusrm'}, {'tag': '指标', 'value': 'mikrotik'}]</t>
  </si>
  <si>
    <t>(372/229)</t>
  </si>
  <si>
    <t>MikroTik CRS354-48P-4S2QRM by SNMP</t>
  </si>
  <si>
    <t>10477</t>
  </si>
  <si>
    <t>[{'tag': 'class', 'value': 'network'}, {'tag': 'target', 'value': 'crs354-48p-4splus2qplusrm'}, {'tag': 'target', 'value': 'mikrotik'}]</t>
  </si>
  <si>
    <t>[{'tag': '类别', 'value': '网络'}, {'tag': '指标', 'value': 'crs354-48p-4splus2qplusrm'}, {'tag': '指标', 'value': 'mikrotik'}]</t>
  </si>
  <si>
    <t>(372/230)</t>
  </si>
  <si>
    <t>MikroTik CSS326-24G-2SRM by SNMP</t>
  </si>
  <si>
    <t>10478</t>
  </si>
  <si>
    <t>[{'tag': 'class', 'value': 'network'}, {'tag': 'target', 'value': 'css326-24g-2splusrm'}, {'tag': 'target', 'value': 'mikrotik'}]</t>
  </si>
  <si>
    <t>[{'tag': '类别', 'value': '网络'}, {'tag': '指标', 'value': 'css326-24g-2splusrm'}, {'tag': '指标', 'value': 'mikrotik'}]</t>
  </si>
  <si>
    <t>(372/231)</t>
  </si>
  <si>
    <t>MikroTik CSS610-8G-2SIN by SNMP</t>
  </si>
  <si>
    <t>10479</t>
  </si>
  <si>
    <t>[{'tag': 'class', 'value': 'network'}, {'tag': 'target', 'value': 'css610-8g-2splusin'}, {'tag': 'target', 'value': 'mikrotik'}]</t>
  </si>
  <si>
    <t>[{'tag': '类别', 'value': '网络'}, {'tag': '指标', 'value': 'css610-8g-2splusin'}, {'tag': '指标', 'value': 'mikrotik'}]</t>
  </si>
  <si>
    <t>(372/232)</t>
  </si>
  <si>
    <t>MikroTik FiberBox by SNMP</t>
  </si>
  <si>
    <t>10480</t>
  </si>
  <si>
    <t>[{'tag': 'class', 'value': 'network'}, {'tag': 'target', 'value': 'fiberbox'}, {'tag': 'target', 'value': 'mikrotik'}]</t>
  </si>
  <si>
    <t>[{'tag': '类别', 'value': '网络'}, {'tag': '指标', 'value': 'fiberbox'}, {'tag': '指标', 'value': 'mikrotik'}]</t>
  </si>
  <si>
    <t>(372/233)</t>
  </si>
  <si>
    <t>MikroTik PowerBox Pro by SNMP</t>
  </si>
  <si>
    <t>10481</t>
  </si>
  <si>
    <t>[{'tag': 'class', 'value': 'network'}, {'tag': 'target', 'value': 'mikrotik'}, {'tag': 'target', 'value': 'powerbox-pro'}]</t>
  </si>
  <si>
    <t>[{'tag': '类别', 'value': '网络'}, {'tag': '指标', 'value': 'mikrotik'}, {'tag': '指标', 'value': 'powerbox-pro'}]</t>
  </si>
  <si>
    <t>(372/234)</t>
  </si>
  <si>
    <t>MikroTik PowerBox by SNMP</t>
  </si>
  <si>
    <t>10482</t>
  </si>
  <si>
    <t>[{'tag': 'class', 'value': 'network'}, {'tag': 'target', 'value': 'mikrotik'}, {'tag': 'target', 'value': 'powerbox'}]</t>
  </si>
  <si>
    <t>[{'tag': '类别', 'value': '网络'}, {'tag': '指标', 'value': 'mikrotik'}, {'tag': '指标', 'value': 'powerbox'}]</t>
  </si>
  <si>
    <t>(372/235)</t>
  </si>
  <si>
    <t>MikroTik RB1100AHx4 Dude Edition by SNMP</t>
  </si>
  <si>
    <t>10483</t>
  </si>
  <si>
    <t>[{'tag': 'class', 'value': 'network'}, {'tag': 'target', 'value': 'mikrotik'}, {'tag': 'target', 'value': 'rb1100ahx4-dude-edition'}]</t>
  </si>
  <si>
    <t>[{'tag': '类别', 'value': '网络'}, {'tag': '指标', 'value': 'mikrotik'}, {'tag': '指标', 'value': 'rb1100ahx4-dude-edition'}]</t>
  </si>
  <si>
    <t>(372/236)</t>
  </si>
  <si>
    <t>MikroTik RB1100AHx4 by SNMP</t>
  </si>
  <si>
    <t>10484</t>
  </si>
  <si>
    <t>[{'tag': 'class', 'value': 'network'}, {'tag': 'target', 'value': 'mikrotik'}, {'tag': 'target', 'value': 'rb1100ahx4'}]</t>
  </si>
  <si>
    <t>[{'tag': '类别', 'value': '网络'}, {'tag': '指标', 'value': 'mikrotik'}, {'tag': '指标', 'value': 'rb1100ahx4'}]</t>
  </si>
  <si>
    <t>(372/237)</t>
  </si>
  <si>
    <t>MikroTik RB2011UiAS-IN by SNMP</t>
  </si>
  <si>
    <t>10485</t>
  </si>
  <si>
    <t>[{'tag': 'class', 'value': 'network'}, {'tag': 'target', 'value': 'mikrotik'}, {'tag': 'target', 'value': 'rb2011uias-in'}]</t>
  </si>
  <si>
    <t>[{'tag': '类别', 'value': '网络'}, {'tag': '指标', 'value': 'mikrotik'}, {'tag': '指标', 'value': 'rb2011uias-in'}]</t>
  </si>
  <si>
    <t>(372/238)</t>
  </si>
  <si>
    <t>MikroTik RB2011UiAS-RM by SNMP</t>
  </si>
  <si>
    <t>10486</t>
  </si>
  <si>
    <t>[{'tag': 'class', 'value': 'network'}, {'tag': 'target', 'value': 'mikrotik'}, {'tag': 'target', 'value': 'rb2011uias-rm'}]</t>
  </si>
  <si>
    <t>[{'tag': '类别', 'value': '网络'}, {'tag': '指标', 'value': 'mikrotik'}, {'tag': '指标', 'value': 'rb2011uias-rm'}]</t>
  </si>
  <si>
    <t>(372/239)</t>
  </si>
  <si>
    <t>MikroTik RB2011iL-IN by SNMP</t>
  </si>
  <si>
    <t>10487</t>
  </si>
  <si>
    <t>[{'tag': 'class', 'value': 'network'}, {'tag': 'target', 'value': 'mikrotik'}, {'tag': 'target', 'value': 'rb2011il-in'}]</t>
  </si>
  <si>
    <t>[{'tag': '类别', 'value': '网络'}, {'tag': '指标', 'value': 'mikrotik'}, {'tag': '指标', 'value': 'rb2011il-in'}]</t>
  </si>
  <si>
    <t>(372/240)</t>
  </si>
  <si>
    <t>MikroTik RB2011iL-RM by SNMP</t>
  </si>
  <si>
    <t>10488</t>
  </si>
  <si>
    <t>[{'tag': 'class', 'value': 'network'}, {'tag': 'target', 'value': 'mikrotik'}, {'tag': 'target', 'value': 'rb2011il-rm'}]</t>
  </si>
  <si>
    <t>[{'tag': '类别', 'value': '网络'}, {'tag': '指标', 'value': 'mikrotik'}, {'tag': '指标', 'value': 'rb2011il-rm'}]</t>
  </si>
  <si>
    <t>(372/241)</t>
  </si>
  <si>
    <t>MikroTik RB2011iLS-IN by SNMP</t>
  </si>
  <si>
    <t>10489</t>
  </si>
  <si>
    <t>[{'tag': 'class', 'value': 'network'}, {'tag': 'target', 'value': 'mikrotik'}, {'tag': 'target', 'value': 'rb2011ils-in'}]</t>
  </si>
  <si>
    <t>[{'tag': '类别', 'value': '网络'}, {'tag': '指标', 'value': 'mikrotik'}, {'tag': '指标', 'value': 'rb2011ils-in'}]</t>
  </si>
  <si>
    <t>(372/242)</t>
  </si>
  <si>
    <t>MikroTik RB260GS by SNMP</t>
  </si>
  <si>
    <t>10491</t>
  </si>
  <si>
    <t>[{'tag': 'class', 'value': 'network'}, {'tag': 'target', 'value': 'mikrotik'}, {'tag': 'target', 'value': 'rb260gs'}]</t>
  </si>
  <si>
    <t>[{'tag': '类别', 'value': '网络'}, {'tag': '指标', 'value': 'mikrotik'}, {'tag': '指标', 'value': 'rb260gs'}]</t>
  </si>
  <si>
    <t>(372/243)</t>
  </si>
  <si>
    <t>MikroTik RB260GSP by SNMP</t>
  </si>
  <si>
    <t>10490</t>
  </si>
  <si>
    <t>[{'tag': 'class', 'value': 'network'}, {'tag': 'target', 'value': 'mikrotik'}, {'tag': 'target', 'value': 'rb260gsp'}]</t>
  </si>
  <si>
    <t>[{'tag': '类别', 'value': '网络'}, {'tag': '指标', 'value': 'mikrotik'}, {'tag': '指标', 'value': 'rb260gsp'}]</t>
  </si>
  <si>
    <t>(372/244)</t>
  </si>
  <si>
    <t>MikroTik RB3011UiAS-RM by SNMP</t>
  </si>
  <si>
    <t>10492</t>
  </si>
  <si>
    <t>[{'tag': 'class', 'value': 'network'}, {'tag': 'target', 'value': 'mikrotik'}, {'tag': 'target', 'value': 'rb3011uias-rm'}]</t>
  </si>
  <si>
    <t>[{'tag': '类别', 'value': '网络'}, {'tag': '指标', 'value': 'mikrotik'}, {'tag': '指标', 'value': 'rb3011uias-rm'}]</t>
  </si>
  <si>
    <t>(372/245)</t>
  </si>
  <si>
    <t>MikroTik RB4011iGSRM by SNMP</t>
  </si>
  <si>
    <t>10493</t>
  </si>
  <si>
    <t>[{'tag': 'class', 'value': 'network'}, {'tag': 'target', 'value': 'mikrotik'}, {'tag': 'target', 'value': 'rb4011igsplusrm'}]</t>
  </si>
  <si>
    <t>[{'tag': '类别', 'value': '网络'}, {'tag': '指标', 'value': 'mikrotik'}, {'tag': '指标', 'value': 'rb4011igsplusrm'}]</t>
  </si>
  <si>
    <t>(372/246)</t>
  </si>
  <si>
    <t>MikroTik RB5009UGSIN by SNMP</t>
  </si>
  <si>
    <t>10494</t>
  </si>
  <si>
    <t>[{'tag': 'class', 'value': 'network'}, {'tag': 'target', 'value': 'mikrotik'}, {'tag': 'target', 'value': 'rb5009ugplussplusin'}]</t>
  </si>
  <si>
    <t>[{'tag': '类别', 'value': '网络'}, {'tag': '指标', 'value': 'mikrotik'}, {'tag': '指标', 'value': 'rb5009ugplussplusin'}]</t>
  </si>
  <si>
    <t>(372/247)</t>
  </si>
  <si>
    <t>MikroTik hEX PoE by SNMP</t>
  </si>
  <si>
    <t>10496</t>
  </si>
  <si>
    <t>[{'tag': 'class', 'value': 'network'}, {'tag': 'target', 'value': 'hex-poe'}, {'tag': 'target', 'value': 'mikrotik'}]</t>
  </si>
  <si>
    <t>[{'tag': '类别', 'value': '网络'}, {'tag': '指标', 'value': 'hex-poe'}, {'tag': '指标', 'value': 'mikrotik'}]</t>
  </si>
  <si>
    <t>(372/248)</t>
  </si>
  <si>
    <t>MikroTik hEX PoE lite by SNMP</t>
  </si>
  <si>
    <t>10495</t>
  </si>
  <si>
    <t>[{'tag': 'class', 'value': 'network'}, {'tag': 'target', 'value': 'hex-poe-lite'}, {'tag': 'target', 'value': 'mikrotik'}]</t>
  </si>
  <si>
    <t>[{'tag': '类别', 'value': '网络'}, {'tag': '指标', 'value': 'hex-poe-lite'}, {'tag': '指标', 'value': 'mikrotik'}]</t>
  </si>
  <si>
    <t>(372/249)</t>
  </si>
  <si>
    <t>MikroTik hEX S by SNMP</t>
  </si>
  <si>
    <t>10497</t>
  </si>
  <si>
    <t>[{'tag': 'class', 'value': 'network'}, {'tag': 'target', 'value': 'hex-s'}, {'tag': 'target', 'value': 'mikrotik'}]</t>
  </si>
  <si>
    <t>[{'tag': '类别', 'value': '网络'}, {'tag': '指标', 'value': 'hex-s'}, {'tag': '指标', 'value': 'mikrotik'}]</t>
  </si>
  <si>
    <t>(372/250)</t>
  </si>
  <si>
    <t>MikroTik hEX by SNMP</t>
  </si>
  <si>
    <t>10499</t>
  </si>
  <si>
    <t>[{'tag': 'class', 'value': 'network'}, {'tag': 'target', 'value': 'hex'}, {'tag': 'target', 'value': 'mikrotik'}]</t>
  </si>
  <si>
    <t>[{'tag': '类别', 'value': '网络'}, {'tag': '指标', 'value': 'hex'}, {'tag': '指标', 'value': 'mikrotik'}]</t>
  </si>
  <si>
    <t>(372/251)</t>
  </si>
  <si>
    <t>MikroTik hEX lite by SNMP</t>
  </si>
  <si>
    <t>10498</t>
  </si>
  <si>
    <t>[{'tag': 'class', 'value': 'network'}, {'tag': 'target', 'value': 'hex-lite'}, {'tag': 'target', 'value': 'mikrotik'}]</t>
  </si>
  <si>
    <t>[{'tag': '类别', 'value': '网络'}, {'tag': '指标', 'value': 'hex-lite'}, {'tag': '指标', 'value': 'mikrotik'}]</t>
  </si>
  <si>
    <t>(372/252)</t>
  </si>
  <si>
    <t>MikroTik netPower 15FR by SNMP</t>
  </si>
  <si>
    <t>10500</t>
  </si>
  <si>
    <t>[{'tag': 'class', 'value': 'network'}, {'tag': 'target', 'value': 'mikrotik'}, {'tag': 'target', 'value': 'netpower-15fr'}]</t>
  </si>
  <si>
    <t>[{'tag': '类别', 'value': '网络'}, {'tag': '指标', 'value': 'mikrotik'}, {'tag': '指标', 'value': 'netpower-15fr'}]</t>
  </si>
  <si>
    <t>(372/253)</t>
  </si>
  <si>
    <t>MikroTik netPower 16P by SNMP</t>
  </si>
  <si>
    <t>10501</t>
  </si>
  <si>
    <t>[{'tag': 'class', 'value': 'network'}, {'tag': 'target', 'value': 'mikrotik'}, {'tag': 'target', 'value': 'netpower-16p'}]</t>
  </si>
  <si>
    <t>[{'tag': '类别', 'value': '网络'}, {'tag': '指标', 'value': 'mikrotik'}, {'tag': '指标', 'value': 'netpower-16p'}]</t>
  </si>
  <si>
    <t>(372/254)</t>
  </si>
  <si>
    <t>MikroTik netPower Lite 7R by SNMP</t>
  </si>
  <si>
    <t>10502</t>
  </si>
  <si>
    <t>[{'tag': 'class', 'value': 'network'}, {'tag': 'target', 'value': 'mikrotik'}, {'tag': 'target', 'value': 'netpower-lite-7r'}]</t>
  </si>
  <si>
    <t>[{'tag': '类别', 'value': '网络'}, {'tag': '指标', 'value': 'mikrotik'}, {'tag': '指标', 'value': 'netpower-lite-7r'}]</t>
  </si>
  <si>
    <t>(372/255)</t>
  </si>
  <si>
    <t>Mikrotik by SNMP</t>
  </si>
  <si>
    <t>10233</t>
  </si>
  <si>
    <t>[{'tag': 'class', 'value': 'network'}, {'tag': 'target', 'value': 'mikrotik'}]</t>
  </si>
  <si>
    <t>[{'tag': '类别', 'value': '网络'}, {'tag': '指标', 'value': 'mikrotik'}]</t>
  </si>
  <si>
    <t>(372/256)</t>
  </si>
  <si>
    <t>MongoDB cluster by Zabbix agent 2</t>
  </si>
  <si>
    <t>10387</t>
  </si>
  <si>
    <t>[{'tag': 'class', 'value': 'database'}, {'tag': 'target', 'value': 'mongodb-cluster'}]</t>
  </si>
  <si>
    <t>[{'tag': '类别', 'value': '数据库'}, {'tag': '指标', 'value': 'mongodb-cluster'}]</t>
  </si>
  <si>
    <t>(372/257)</t>
  </si>
  <si>
    <t>MongoDB node by Zabbix agent 2</t>
  </si>
  <si>
    <t>10386</t>
  </si>
  <si>
    <t>[{'tag': 'class', 'value': 'database'}, {'tag': 'target', 'value': 'mongodb-node'}]</t>
  </si>
  <si>
    <t>[{'tag': '类别', 'value': '数据库'}, {'tag': '指标', 'value': 'mongodb-node'}]</t>
  </si>
  <si>
    <t>(372/258)</t>
  </si>
  <si>
    <t>Morningstar ProStar MPPT by SNMP</t>
  </si>
  <si>
    <t>10371</t>
  </si>
  <si>
    <t>[{'tag': 'class', 'value': 'power'}, {'tag': 'target', 'value': 'morningstar'}]</t>
  </si>
  <si>
    <t>[{'tag': '类别', 'value': '电源'}, {'tag': '指标', 'value': 'morningstar'}]</t>
  </si>
  <si>
    <t>(372/259)</t>
  </si>
  <si>
    <t>Morningstar ProStar PWM by SNMP</t>
  </si>
  <si>
    <t>10372</t>
  </si>
  <si>
    <t>(372/260)</t>
  </si>
  <si>
    <t>Morningstar SunSaver MPPT by SNMP</t>
  </si>
  <si>
    <t>10373</t>
  </si>
  <si>
    <t>(372/261)</t>
  </si>
  <si>
    <t>Morningstar SureSine by SNMP</t>
  </si>
  <si>
    <t>10374</t>
  </si>
  <si>
    <t>(372/262)</t>
  </si>
  <si>
    <t>Morningstar TriStar MPPT 600V by SNMP</t>
  </si>
  <si>
    <t>10375</t>
  </si>
  <si>
    <t>(372/263)</t>
  </si>
  <si>
    <t>Morningstar TriStar MPPT by SNMP</t>
  </si>
  <si>
    <t>10376</t>
  </si>
  <si>
    <t>(372/264)</t>
  </si>
  <si>
    <t>Morningstar TriStar PWM by SNMP</t>
  </si>
  <si>
    <t>10377</t>
  </si>
  <si>
    <t>(372/265)</t>
  </si>
  <si>
    <t>MySQL by ODBC</t>
  </si>
  <si>
    <t>10317</t>
  </si>
  <si>
    <t>[{'tag': 'class', 'value': 'database'}, {'tag': 'target', 'value': 'mysql'}]</t>
  </si>
  <si>
    <t>[{'tag': '类别', 'value': '数据库'}, {'tag': '指标', 'value': 'mysql'}]</t>
  </si>
  <si>
    <t>(372/266)</t>
  </si>
  <si>
    <t>MySQL by Zabbix agent</t>
  </si>
  <si>
    <t>10316</t>
  </si>
  <si>
    <t>(372/267)</t>
  </si>
  <si>
    <t>MySQL by Zabbix agent 2</t>
  </si>
  <si>
    <t>10320</t>
  </si>
  <si>
    <t>(372/268)</t>
  </si>
  <si>
    <t>NGINX Plus by HTTP</t>
  </si>
  <si>
    <t>10415</t>
  </si>
  <si>
    <t>[{'tag': 'class', 'value': 'software'}, {'tag': 'target', 'value': 'nginx'}]</t>
  </si>
  <si>
    <t>[{'tag': '类别', 'value': '软件'}, {'tag': '指标', 'value': 'nginx'}]</t>
  </si>
  <si>
    <t>(372/271)</t>
  </si>
  <si>
    <t>NetApp AFF A700 by HTTP</t>
  </si>
  <si>
    <t>10396</t>
  </si>
  <si>
    <t>[{'tag': 'class', 'value': 'network'}, {'tag': 'target', 'value': 'netapp'}, {'tag': 'target', 'value': 'netapp-aff-a700'}]</t>
  </si>
  <si>
    <t>[{'tag': '类别', 'value': '网络'}, {'tag': '指标', 'value': 'netapp'}, {'tag': '指标', 'value': 'netapp-aff-a700'}]</t>
  </si>
  <si>
    <t>(372/272)</t>
  </si>
  <si>
    <t>NetApp FAS3220 by SNMP</t>
  </si>
  <si>
    <t>10378</t>
  </si>
  <si>
    <t>[{'tag': 'class', 'value': 'hardware'}, {'tag': 'target', 'value': 'netapp'}, {'tag': 'target', 'value': 'netapp-fas3220'}]</t>
  </si>
  <si>
    <t>[{'tag': '类别', 'value': '硬件'}, {'tag': '指标', 'value': 'netapp'}, {'tag': '指标', 'value': 'netapp-fas3220'}]</t>
  </si>
  <si>
    <t>(372/273)</t>
  </si>
  <si>
    <t>Netgear Fastpath by SNMP</t>
  </si>
  <si>
    <t>10234</t>
  </si>
  <si>
    <t>[{'tag': 'class', 'value': 'network'}, {'tag': 'target', 'value': 'fastpath'}, {'tag': 'target', 'value': 'netgear'}]</t>
  </si>
  <si>
    <t>[{'tag': '类别', 'value': '网络'}, {'tag': '指标', 'value': 'fastpath'}, {'tag': '指标', 'value': 'netgear'}]</t>
  </si>
  <si>
    <t>(372/274)</t>
  </si>
  <si>
    <t>Network Generic Device by SNMP</t>
  </si>
  <si>
    <t>10226</t>
  </si>
  <si>
    <t>[{'tag': 'class', 'value': 'network'}, {'tag': 'target', 'value': 'generic'}]</t>
  </si>
  <si>
    <t>[{'tag': '类别', 'value': '网络'}, {'tag': '指标', 'value': 'generic'}]</t>
  </si>
  <si>
    <t>(372/275)</t>
  </si>
  <si>
    <t>Nextcloud by HTTP</t>
  </si>
  <si>
    <t>10594</t>
  </si>
  <si>
    <t>[{'tag': 'class', 'value': 'application'}, {'tag': 'target', 'value': 'nextcloud'}]</t>
  </si>
  <si>
    <t>[{'tag': '类别', 'value': '应用'}, {'tag': '指标', 'value': 'nextcloud'}]</t>
  </si>
  <si>
    <t>(372/276)</t>
  </si>
  <si>
    <t>Nginx by HTTP</t>
  </si>
  <si>
    <t>10267</t>
  </si>
  <si>
    <t>(372/277)</t>
  </si>
  <si>
    <t>Nginx by Zabbix agent</t>
  </si>
  <si>
    <t>10266</t>
  </si>
  <si>
    <t>(372/278)</t>
  </si>
  <si>
    <t>OPNsense by SNMP</t>
  </si>
  <si>
    <t>10528</t>
  </si>
  <si>
    <t>[{'tag': 'class', 'value': 'software'}, {'tag': 'target', 'value': 'opnsense'}]</t>
  </si>
  <si>
    <t>[{'tag': '类别', 'value': '软件'}, {'tag': '指标', 'value': 'opnsense'}]</t>
  </si>
  <si>
    <t>(372/279)</t>
  </si>
  <si>
    <t>OpenBSD by Zabbix agent</t>
  </si>
  <si>
    <t>10074</t>
  </si>
  <si>
    <t>[{'tag': 'class', 'value': 'os'}, {'tag': 'target', 'value': 'openbsd'}]</t>
  </si>
  <si>
    <t>[{'tag': '类别', 'value': '操作系统'}, {'tag': '指标', 'value': 'openbsd'}]</t>
  </si>
  <si>
    <t>(372/280)</t>
  </si>
  <si>
    <t>OpenStack Nova by HTTP</t>
  </si>
  <si>
    <t>10579</t>
  </si>
  <si>
    <t>[{'tag': 'class', 'value': 'cloud'}, {'tag': 'target', 'value': 'nova'}, {'tag': 'target', 'value': 'openstack'}]</t>
  </si>
  <si>
    <t>[{'tag': '类别', 'value': '云'}, {'tag': '指标', 'value': 'nova'}, {'tag': '指标', 'value': 'openstack'}]</t>
  </si>
  <si>
    <t>(372/281)</t>
  </si>
  <si>
    <t>OpenStack by HTTP</t>
  </si>
  <si>
    <t>10578</t>
  </si>
  <si>
    <t>[{'tag': 'class', 'value': 'cloud'}, {'tag': 'target', 'value': 'openstack'}]</t>
  </si>
  <si>
    <t>[{'tag': '类别', 'value': '云'}, {'tag': '指标', 'value': 'openstack'}]</t>
  </si>
  <si>
    <t>(372/282)</t>
  </si>
  <si>
    <t>OpenWeatherMap by HTTP</t>
  </si>
  <si>
    <t>10516</t>
  </si>
  <si>
    <t>[{'tag': 'class', 'value': 'service'}, {'tag': 'target', 'value': 'openweathermap'}]</t>
  </si>
  <si>
    <t>[{'tag': '类别', 'value': '服务'}, {'tag': '指标', 'value': 'openweathermap'}]</t>
  </si>
  <si>
    <t>(372/283)</t>
  </si>
  <si>
    <t>Oracle Cloud Autonomous Database by HTTP</t>
  </si>
  <si>
    <t>10606</t>
  </si>
  <si>
    <t>[{'tag': 'class', 'value': 'cloud'}, {'tag': 'target', 'value': 'oci'}, {'tag': 'target', 'value': 'oracle-cloud-infrastructure'}]</t>
  </si>
  <si>
    <t>[{'tag': '类别', 'value': '云'}, {'tag': '指标', 'value': 'oci'}, {'tag': '指标', 'value': 'oracle云基础设施建设'}]</t>
  </si>
  <si>
    <t>(372/284)</t>
  </si>
  <si>
    <t>Oracle Cloud Block Volume by HTTP</t>
  </si>
  <si>
    <t>10607</t>
  </si>
  <si>
    <t>(372/285)</t>
  </si>
  <si>
    <t>Oracle Cloud Boot Volume by HTTP</t>
  </si>
  <si>
    <t>10608</t>
  </si>
  <si>
    <t>(372/286)</t>
  </si>
  <si>
    <t>Oracle Cloud Compute by HTTP</t>
  </si>
  <si>
    <t>10610</t>
  </si>
  <si>
    <t>(372/287)</t>
  </si>
  <si>
    <t>Oracle Cloud Networking by HTTP</t>
  </si>
  <si>
    <t>10611</t>
  </si>
  <si>
    <t>(372/288)</t>
  </si>
  <si>
    <t>Oracle Cloud Object Storage by HTTP</t>
  </si>
  <si>
    <t>10612</t>
  </si>
  <si>
    <t>(372/289)</t>
  </si>
  <si>
    <t>Oracle Cloud by HTTP</t>
  </si>
  <si>
    <t>10609</t>
  </si>
  <si>
    <t>(372/290)</t>
  </si>
  <si>
    <t>Oracle by ODBC</t>
  </si>
  <si>
    <t>10328</t>
  </si>
  <si>
    <t>[{'tag': 'class', 'value': 'database'}, {'tag': 'target', 'value': 'oracle'}]</t>
  </si>
  <si>
    <t>[{'tag': '类别', 'value': '数据库'}, {'tag': '指标', 'value': 'oracle'}]</t>
  </si>
  <si>
    <t>(372/291)</t>
  </si>
  <si>
    <t>Oracle by Zabbix agent 2</t>
  </si>
  <si>
    <t>10335</t>
  </si>
  <si>
    <t>(372/292)</t>
  </si>
  <si>
    <t>PFSense by SNMP</t>
  </si>
  <si>
    <t>10515</t>
  </si>
  <si>
    <t>[{'tag': 'class', 'value': 'software'}, {'tag': 'target', 'value': 'pfsense'}]</t>
  </si>
  <si>
    <t>[{'tag': '类别', 'value': '软件'}, {'tag': '指标', 'value': 'pfsense'}]</t>
  </si>
  <si>
    <t>(372/293)</t>
  </si>
  <si>
    <t>PHP-FPM by HTTP</t>
  </si>
  <si>
    <t>10331</t>
  </si>
  <si>
    <t>[{'tag': 'class', 'value': 'application'}, {'tag': 'target', 'value': 'php-fpm'}]</t>
  </si>
  <si>
    <t>[{'tag': '类别', 'value': '应用'}, {'tag': '指标', 'value': 'php-fpm'}]</t>
  </si>
  <si>
    <t>(372/294)</t>
  </si>
  <si>
    <t>PHP-FPM by Zabbix agent</t>
  </si>
  <si>
    <t>10330</t>
  </si>
  <si>
    <t>(372/296)</t>
  </si>
  <si>
    <t>PostgreSQL by ODBC</t>
  </si>
  <si>
    <t>10581</t>
  </si>
  <si>
    <t>[{'tag': 'class', 'value': 'database'}, {'tag': 'target', 'value': 'postgresql'}]</t>
  </si>
  <si>
    <t>[{'tag': '类别', 'value': '数据库'}, {'tag': '指标', 'value': 'postgresql'}]</t>
  </si>
  <si>
    <t>(372/297)</t>
  </si>
  <si>
    <t>PostgreSQL by Zabbix agent</t>
  </si>
  <si>
    <t>10357</t>
  </si>
  <si>
    <t>(372/298)</t>
  </si>
  <si>
    <t>PostgreSQL by Zabbix agent 2</t>
  </si>
  <si>
    <t>10329</t>
  </si>
  <si>
    <t>(372/299)</t>
  </si>
  <si>
    <t>Proxmox VE by HTTP</t>
  </si>
  <si>
    <t>10517</t>
  </si>
  <si>
    <t>[{'tag': 'class', 'value': 'software'}, {'tag': 'target', 'value': 'proxmox'}]</t>
  </si>
  <si>
    <t>[{'tag': '类别', 'value': '软件'}, {'tag': '指标', 'value': 'proxmox'}]</t>
  </si>
  <si>
    <t>(372/300)</t>
  </si>
  <si>
    <t>QTech QSW by SNMP</t>
  </si>
  <si>
    <t>10235</t>
  </si>
  <si>
    <t>[{'tag': 'class', 'value': 'network'}, {'tag': 'target', 'value': 'qsw'}, {'tag': 'target', 'value': 'qtech'}]</t>
  </si>
  <si>
    <t>[{'tag': '类别', 'value': '网络'}, {'tag': '指标', 'value': 'qsw'}, {'tag': '指标', 'value': 'qtech'}]</t>
  </si>
  <si>
    <t>(372/301)</t>
  </si>
  <si>
    <t>RabbitMQ cluster by HTTP</t>
  </si>
  <si>
    <t>10302</t>
  </si>
  <si>
    <t>[{'tag': 'class', 'value': 'software'}, {'tag': 'target', 'value': 'rabbitmq'}]</t>
  </si>
  <si>
    <t>[{'tag': '类别', 'value': '软件'}, {'tag': '指标', 'value': 'rabbitmq'}]</t>
  </si>
  <si>
    <t>(372/302)</t>
  </si>
  <si>
    <t>RabbitMQ cluster by Zabbix agent</t>
  </si>
  <si>
    <t>10300</t>
  </si>
  <si>
    <t>(372/303)</t>
  </si>
  <si>
    <t>RabbitMQ node by HTTP</t>
  </si>
  <si>
    <t>10303</t>
  </si>
  <si>
    <t>(372/304)</t>
  </si>
  <si>
    <t>RabbitMQ node by Zabbix agent</t>
  </si>
  <si>
    <t>10301</t>
  </si>
  <si>
    <t>(372/305)</t>
  </si>
  <si>
    <t>Redis by Zabbix agent 2</t>
  </si>
  <si>
    <t>10310</t>
  </si>
  <si>
    <t>[{'tag': 'class', 'value': 'database'}, {'tag': 'target', 'value': 'redis'}]</t>
  </si>
  <si>
    <t>[{'tag': '类别', 'value': '数据库'}, {'tag': '指标', 'value': 'redis'}]</t>
  </si>
  <si>
    <t>(372/306)</t>
  </si>
  <si>
    <t>Remote Zabbix proxy health</t>
  </si>
  <si>
    <t>10262</t>
  </si>
  <si>
    <t>[{'tag': 'class', 'value': 'software'}, {'tag': 'target', 'value': 'proxy'}, {'tag': 'target', 'value': 'zabbix'}]</t>
  </si>
  <si>
    <t>[{'tag': '类别', 'value': '软件'}, {'tag': '指标', 'value': 'proxy'}, {'tag': '指标', 'value': 'zabbix'}]</t>
  </si>
  <si>
    <t>(372/307)</t>
  </si>
  <si>
    <t>Remote Zabbix server health</t>
  </si>
  <si>
    <t>10261</t>
  </si>
  <si>
    <t>[{'tag': 'class', 'value': 'software'}, {'tag': 'target', 'value': 'server'}, {'tag': 'target', 'value': 'zabbix'}]</t>
  </si>
  <si>
    <t>[{'tag': '类别', 'value': '软件'}, {'tag': '指标', 'value': 'server'}, {'tag': '指标', 'value': 'zabbix'}]</t>
  </si>
  <si>
    <t>(372/308)</t>
  </si>
  <si>
    <t>SMART by Zabbix agent 2</t>
  </si>
  <si>
    <t>10383</t>
  </si>
  <si>
    <t>[{'tag': 'class', 'value': 'storage'}, {'tag': 'target', 'value': 'hdd'}, {'tag': 'target', 'value': 'ssd'}]</t>
  </si>
  <si>
    <t>[{'tag': '类别', 'value': '存储'}, {'tag': '指标', 'value': 'hdd'}, {'tag': '指标', 'value': 'ssd'}]</t>
  </si>
  <si>
    <t>(372/309)</t>
  </si>
  <si>
    <t>SMART by Zabbix agent 2 active</t>
  </si>
  <si>
    <t>10384</t>
  </si>
  <si>
    <t>(372/312)</t>
  </si>
  <si>
    <t>Solaris by Zabbix agent</t>
  </si>
  <si>
    <t>10078</t>
  </si>
  <si>
    <t>[{'tag': 'class', 'value': 'os'}, {'tag': 'target', 'value': 'solaris'}]</t>
  </si>
  <si>
    <t>[{'tag': '类别', 'value': '操作系统'}, {'tag': '指标', 'value': 'solaris'}]</t>
  </si>
  <si>
    <t>(372/313)</t>
  </si>
  <si>
    <t>Squid by SNMP</t>
  </si>
  <si>
    <t>10355</t>
  </si>
  <si>
    <t>[{'tag': 'class', 'value': 'application'}, {'tag': 'target', 'value': 'squid'}]</t>
  </si>
  <si>
    <t>[{'tag': '类别', 'value': '应用'}, {'tag': '指标', 'value': 'squid'}]</t>
  </si>
  <si>
    <t>(372/314)</t>
  </si>
  <si>
    <t>Supermicro Aten by SNMP</t>
  </si>
  <si>
    <t>10259</t>
  </si>
  <si>
    <t>[{'tag': 'class', 'value': 'hardware'}, {'tag': 'target', 'value': 'aten'}, {'tag': 'target', 'value': 'supermicro'}]</t>
  </si>
  <si>
    <t>[{'tag': '类别', 'value': '硬件'}, {'tag': '指标', 'value': 'aten'}, {'tag': '指标', 'value': 'supermicro'}]</t>
  </si>
  <si>
    <t>(372/315)</t>
  </si>
  <si>
    <t>Systemd by Zabbix agent 2</t>
  </si>
  <si>
    <t>10416</t>
  </si>
  <si>
    <t>[{'tag': 'class', 'value': 'software'}, {'tag': 'target', 'value': 'systemd'}]</t>
  </si>
  <si>
    <t>[{'tag': '类别', 'value': '软件'}, {'tag': '指标', 'value': 'systemd'}]</t>
  </si>
  <si>
    <t>(372/316)</t>
  </si>
  <si>
    <t>TP-LINK by SNMP</t>
  </si>
  <si>
    <t>10236</t>
  </si>
  <si>
    <t>[{'tag': 'class', 'value': 'network'}, {'tag': 'target', 'value': 'tp-link'}]</t>
  </si>
  <si>
    <t>[{'tag': '类别', 'value': '网络'}, {'tag': '指标', 'value': 'tp-link'}]</t>
  </si>
  <si>
    <t>(372/318)</t>
  </si>
  <si>
    <t>TiDB PD by HTTP</t>
  </si>
  <si>
    <t>10397</t>
  </si>
  <si>
    <t>[{'tag': 'class', 'value': 'database'}, {'tag': 'target', 'value': 'pd'}, {'tag': 'target', 'value': 'tidb'}]</t>
  </si>
  <si>
    <t>[{'tag': '类别', 'value': '数据库'}, {'tag': '指标', 'value': 'pd'}, {'tag': '指标', 'value': 'tidb'}]</t>
  </si>
  <si>
    <t>(372/319)</t>
  </si>
  <si>
    <t>TiDB TiKV by HTTP</t>
  </si>
  <si>
    <t>10399</t>
  </si>
  <si>
    <t>[{'tag': 'class', 'value': 'database'}, {'tag': 'target', 'value': 'tidb'}, {'tag': 'target', 'value': 'tikv'}]</t>
  </si>
  <si>
    <t>[{'tag': '类别', 'value': '数据库'}, {'tag': '指标', 'value': 'tidb'}, {'tag': '指标', 'value': 'tikv'}]</t>
  </si>
  <si>
    <t>(372/320)</t>
  </si>
  <si>
    <t>TiDB by HTTP</t>
  </si>
  <si>
    <t>10398</t>
  </si>
  <si>
    <t>[{'tag': 'class', 'value': 'database'}, {'tag': 'target', 'value': 'tidb'}]</t>
  </si>
  <si>
    <t>[{'tag': '类别', 'value': '数据库'}, {'tag': '指标', 'value': 'tidb'}]</t>
  </si>
  <si>
    <t>(372/321)</t>
  </si>
  <si>
    <t>Travis CI by HTTP</t>
  </si>
  <si>
    <t>10447</t>
  </si>
  <si>
    <t>[{'tag': 'class', 'value': 'service'}, {'tag': 'target', 'value': 'travis'}]</t>
  </si>
  <si>
    <t>[{'tag': '类别', 'value': '服务'}, {'tag': '指标', 'value': 'travis'}]</t>
  </si>
  <si>
    <t>(372/322)</t>
  </si>
  <si>
    <t>TrueNAS CORE by SNMP</t>
  </si>
  <si>
    <t>10518</t>
  </si>
  <si>
    <t>[{'tag': 'class', 'value': 'hardware'}, {'tag': 'target', 'value': 'truenas-core'}]</t>
  </si>
  <si>
    <t>[{'tag': '类别', 'value': '硬件'}, {'tag': '指标', 'value': 'truenas-core'}]</t>
  </si>
  <si>
    <t>(372/323)</t>
  </si>
  <si>
    <t>Ubiquiti AirOS by SNMP</t>
  </si>
  <si>
    <t>10237</t>
  </si>
  <si>
    <t>[{'tag': 'class', 'value': 'network'}, {'tag': 'target', 'value': 'airos'}, {'tag': 'target', 'value': 'ubiquiti'}]</t>
  </si>
  <si>
    <t>[{'tag': '类别', 'value': '网络'}, {'tag': '指标', 'value': 'airos'}, {'tag': '指标', 'value': 'ubiquiti'}]</t>
  </si>
  <si>
    <t>(372/324)</t>
  </si>
  <si>
    <t>VMWare SD-WAN VeloCloud by HTTP</t>
  </si>
  <si>
    <t>10503</t>
  </si>
  <si>
    <t>[{'tag': 'class', 'value': 'network'}, {'tag': 'target', 'value': 'vmware-sd-wan-velocloud'}]</t>
  </si>
  <si>
    <t>[{'tag': '类别', 'value': '网络'}, {'tag': '指标', 'value': 'vmware-sd-wan-velocloud'}]</t>
  </si>
  <si>
    <t>(372/325)</t>
  </si>
  <si>
    <t>VMware</t>
  </si>
  <si>
    <t>10173</t>
  </si>
  <si>
    <t>[{'tag': 'class', 'value': 'software'}, {'tag': 'target', 'value': 'vmware'}]</t>
  </si>
  <si>
    <t>[{'tag': '类别', 'value': '软件'}, {'tag': '指标', 'value': 'vmware'}]</t>
  </si>
  <si>
    <t>(372/326)</t>
  </si>
  <si>
    <t>VMware FQDN</t>
  </si>
  <si>
    <t>10366</t>
  </si>
  <si>
    <t>[{'tag': 'class', 'value': 'software'}, {'tag': 'target', 'value': 'vmware'}, {'tag': 'target', 'value': 'vmware-fqdn'}]</t>
  </si>
  <si>
    <t>[{'tag': '类别', 'value': '软件'}, {'tag': '指标', 'value': 'vmware'}, {'tag': '指标', 'value': 'vmware-fqdn'}]</t>
  </si>
  <si>
    <t>(372/327)</t>
  </si>
  <si>
    <t>VMware Guest</t>
  </si>
  <si>
    <t>10174</t>
  </si>
  <si>
    <t>[{'tag': 'class', 'value': 'software'}, {'tag': 'target', 'value': 'vmware'}, {'tag': 'target', 'value': 'vmware-guest'}]</t>
  </si>
  <si>
    <t>[{'tag': '类别', 'value': '软件'}, {'tag': '指标', 'value': 'vmware'}, {'tag': '指标', 'value': 'vmware-guest'}]</t>
  </si>
  <si>
    <t>(372/328)</t>
  </si>
  <si>
    <t>VMware Hypervisor</t>
  </si>
  <si>
    <t>10175</t>
  </si>
  <si>
    <t>[{'tag': 'class', 'value': 'software'}, {'tag': 'target', 'value': 'vmware'}, {'tag': 'target', 'value': 'vmware-hypervisor'}]</t>
  </si>
  <si>
    <t>[{'tag': '类别', 'value': '软件'}, {'tag': '指标', 'value': 'vmware'}, {'tag': '指标', 'value': 'vmware-hypervisor'}]</t>
  </si>
  <si>
    <t>(372/329)</t>
  </si>
  <si>
    <t>Veeam Backup Enterprise Manager by HTTP</t>
  </si>
  <si>
    <t>10557</t>
  </si>
  <si>
    <t>[{'tag': 'class', 'value': 'software'}, {'tag': 'target', 'value': 'veeam'}]</t>
  </si>
  <si>
    <t>[{'tag': '类别', 'value': '软件'}, {'tag': '指标', 'value': 'veeam'}]</t>
  </si>
  <si>
    <t>(372/330)</t>
  </si>
  <si>
    <t>Veeam Backup and Replication by HTTP</t>
  </si>
  <si>
    <t>10556</t>
  </si>
  <si>
    <t>(372/331)</t>
  </si>
  <si>
    <t>Website certificate by Zabbix agent 2</t>
  </si>
  <si>
    <t>10413</t>
  </si>
  <si>
    <t>[{'tag': 'class', 'value': 'software'}, {'tag': 'target', 'value': 'certificate'}]</t>
  </si>
  <si>
    <t>[{'tag': '类别', 'value': '软件'}, {'tag': '指标', 'value': '认证'}]</t>
  </si>
  <si>
    <t>(372/332)</t>
  </si>
  <si>
    <t>WildFly Domain by JMX</t>
  </si>
  <si>
    <t>10410</t>
  </si>
  <si>
    <t>[{'tag': 'class', 'value': 'application'}, {'tag': 'target', 'value': 'wildfly-domain'}]</t>
  </si>
  <si>
    <t>[{'tag': '类别', 'value': '应用'}, {'tag': '指标', 'value': 'wildfly-domain'}]</t>
  </si>
  <si>
    <t>(372/333)</t>
  </si>
  <si>
    <t>WildFly Server by JMX</t>
  </si>
  <si>
    <t>10411</t>
  </si>
  <si>
    <t>[{'tag': 'class', 'value': 'application'}, {'tag': 'target', 'value': 'wildfly-server'}]</t>
  </si>
  <si>
    <t>[{'tag': '类别', 'value': '应用'}, {'tag': '指标', 'value': 'wildfly-server'}]</t>
  </si>
  <si>
    <t>(372/336)</t>
  </si>
  <si>
    <t>Windows by SNMP</t>
  </si>
  <si>
    <t>10249</t>
  </si>
  <si>
    <t>[{'tag': 'class', 'value': 'os'}, {'tag': 'target', 'value': 'windows'}]</t>
  </si>
  <si>
    <t>[{'tag': '类别', 'value': '操作系统'}, {'tag': '指标', 'value': 'windows'}]</t>
  </si>
  <si>
    <t>(372/337)</t>
  </si>
  <si>
    <t>Windows by Zabbix agent</t>
  </si>
  <si>
    <t>10081</t>
  </si>
  <si>
    <t>(372/338)</t>
  </si>
  <si>
    <t>Windows by Zabbix agent active</t>
  </si>
  <si>
    <t>10351</t>
  </si>
  <si>
    <t>(372/351)</t>
  </si>
  <si>
    <t>YugabyteDB Cluster by HTTP</t>
  </si>
  <si>
    <t>10600</t>
  </si>
  <si>
    <t>[{'tag': 'class', 'value': 'database'}, {'tag': 'target', 'value': 'yugabytedb'}]</t>
  </si>
  <si>
    <t>[{'tag': '类别', 'value': '数据库'}, {'tag': '指标', 'value': 'yugabytedb'}]</t>
  </si>
  <si>
    <t>(372/352)</t>
  </si>
  <si>
    <t>YugabyteDB by HTTP</t>
  </si>
  <si>
    <t>10599</t>
  </si>
  <si>
    <t>(372/353)</t>
  </si>
  <si>
    <t>ZYXEL AAM1212-51 IES-612 by SNMP</t>
  </si>
  <si>
    <t>10420</t>
  </si>
  <si>
    <t>[{'tag': 'class', 'value': 'network'}, {'tag': 'target', 'value': 'aam1212-51'}, {'tag': 'target', 'value': 'dslam'}, {'tag': 'target', 'value': 'zyxel'}]</t>
  </si>
  <si>
    <t>[{'tag': '类别', 'value': '网络'}, {'tag': '指标', 'value': 'aam1212-51'}, {'tag': '指标', 'value': 'dslam'}, {'tag': '指标', 'value': 'zyxel'}]</t>
  </si>
  <si>
    <t>(372/354)</t>
  </si>
  <si>
    <t>ZYXEL ES3500-8PD by SNMP</t>
  </si>
  <si>
    <t>10421</t>
  </si>
  <si>
    <t>[{'tag': 'class', 'value': 'network'}, {'tag': 'target', 'value': 'es3500-8pd'}, {'tag': 'target', 'value': 'switch'}, {'tag': 'target', 'value': 'zyxel'}]</t>
  </si>
  <si>
    <t>[{'tag': '类别', 'value': '网络'}, {'tag': '指标', 'value': 'es3500-8pd'}, {'tag': '指标', 'value': 'switch'}, {'tag': '指标', 'value': 'zyxel'}]</t>
  </si>
  <si>
    <t>(372/355)</t>
  </si>
  <si>
    <t>ZYXEL GS-4012F by SNMP</t>
  </si>
  <si>
    <t>10422</t>
  </si>
  <si>
    <t>[{'tag': 'class', 'value': 'network'}, {'tag': 'target', 'value': 'gs-4012f'}, {'tag': 'target', 'value': 'switch'}, {'tag': 'target', 'value': 'zyxel'}]</t>
  </si>
  <si>
    <t>[{'tag': '类别', 'value': '网络'}, {'tag': '指标', 'value': 'gs-4012f'}, {'tag': '指标', 'value': 'switch'}, {'tag': '指标', 'value': 'zyxel'}]</t>
  </si>
  <si>
    <t>(372/356)</t>
  </si>
  <si>
    <t>ZYXEL IES-500x by SNMP</t>
  </si>
  <si>
    <t>10423</t>
  </si>
  <si>
    <t>[{'tag': 'class', 'value': 'network'}, {'tag': 'target', 'value': 'dslam'}, {'tag': 'target', 'value': 'ies-5000'}, {'tag': 'target', 'value': 'ies-5005'}, {'tag': 'target', 'value': 'zyxel'}]</t>
  </si>
  <si>
    <t>[{'tag': '类别', 'value': '网络'}, {'tag': '指标', 'value': 'dslam'}, {'tag': '指标', 'value': 'ies-5000'}, {'tag': '指标', 'value': 'ies-5005'}, {'tag': '指标', 'value': 'zyxel'}]</t>
  </si>
  <si>
    <t>(372/357)</t>
  </si>
  <si>
    <t>ZYXEL IES-6000 by SNMP</t>
  </si>
  <si>
    <t>10424</t>
  </si>
  <si>
    <t>[{'tag': 'class', 'value': 'network'}, {'tag': 'target', 'value': 'dslam'}, {'tag': 'target', 'value': 'ies-6000'}, {'tag': 'target', 'value': 'zyxel'}]</t>
  </si>
  <si>
    <t>[{'tag': '类别', 'value': '网络'}, {'tag': '指标', 'value': 'dslam'}, {'tag': '指标', 'value': 'ies-6000'}, {'tag': '指标', 'value': 'zyxel'}]</t>
  </si>
  <si>
    <t>(372/358)</t>
  </si>
  <si>
    <t>ZYXEL IES1248-51 by SNMP</t>
  </si>
  <si>
    <t>10425</t>
  </si>
  <si>
    <t>[{'tag': 'class', 'value': 'network'}, {'tag': 'target', 'value': 'aam1248-51'}, {'tag': 'target', 'value': 'dslam'}, {'tag': 'target', 'value': 'zyxel'}]</t>
  </si>
  <si>
    <t>[{'tag': '类别', 'value': '网络'}, {'tag': '指标', 'value': 'aam1248-51'}, {'tag': '指标', 'value': 'dslam'}, {'tag': '指标', 'value': 'zyxel'}]</t>
  </si>
  <si>
    <t>(372/359)</t>
  </si>
  <si>
    <t>ZYXEL MES-3528 by SNMP</t>
  </si>
  <si>
    <t>10426</t>
  </si>
  <si>
    <t>[{'tag': 'class', 'value': 'network'}, {'tag': 'target', 'value': 'mes-3528'}, {'tag': 'target', 'value': 'switch'}, {'tag': 'target', 'value': 'zyxel'}]</t>
  </si>
  <si>
    <t>[{'tag': '类别', 'value': '网络'}, {'tag': '指标', 'value': 'mes-3528'}, {'tag': '指标', 'value': 'switch'}, {'tag': '指标', 'value': 'zyxel'}]</t>
  </si>
  <si>
    <t>(372/360)</t>
  </si>
  <si>
    <t>ZYXEL MES3500-10 by SNMP</t>
  </si>
  <si>
    <t>10427</t>
  </si>
  <si>
    <t>[{'tag': 'class', 'value': 'network'}, {'tag': 'target', 'value': 'mes3500-10'}, {'tag': 'target', 'value': 'switch'}, {'tag': 'target', 'value': 'zyxel'}]</t>
  </si>
  <si>
    <t>[{'tag': '类别', 'value': '网络'}, {'tag': '指标', 'value': 'mes3500-10'}, {'tag': '指标', 'value': 'switch'}, {'tag': '指标', 'value': 'zyxel'}]</t>
  </si>
  <si>
    <t>(372/361)</t>
  </si>
  <si>
    <t>ZYXEL MES3500-24 by SNMP</t>
  </si>
  <si>
    <t>10428</t>
  </si>
  <si>
    <t>[{'tag': 'class', 'value': 'network'}, {'tag': 'target', 'value': 'mes3500-24'}, {'tag': 'target', 'value': 'switch'}, {'tag': 'target', 'value': 'zyxel'}]</t>
  </si>
  <si>
    <t>[{'tag': '类别', 'value': '网络'}, {'tag': '指标', 'value': 'mes3500-24'}, {'tag': '指标', 'value': 'switch'}, {'tag': '指标', 'value': 'zyxel'}]</t>
  </si>
  <si>
    <t>(372/362)</t>
  </si>
  <si>
    <t>ZYXEL MES3500-24S by SNMP</t>
  </si>
  <si>
    <t>10431</t>
  </si>
  <si>
    <t>[{'tag': 'class', 'value': 'network'}, {'tag': 'target', 'value': 'mes3500-24s'}, {'tag': 'target', 'value': 'switch'}, {'tag': 'target', 'value': 'zyxel'}]</t>
  </si>
  <si>
    <t>[{'tag': '类别', 'value': '网络'}, {'tag': '指标', 'value': 'mes3500-24s'}, {'tag': '指标', 'value': 'switch'}, {'tag': '指标', 'value': 'zyxel'}]</t>
  </si>
  <si>
    <t>(372/363)</t>
  </si>
  <si>
    <t>ZYXEL MGS-3712 by SNMP</t>
  </si>
  <si>
    <t>10429</t>
  </si>
  <si>
    <t>[{'tag': 'class', 'value': 'network'}, {'tag': 'target', 'value': 'mgs-3712'}, {'tag': 'target', 'value': 'switch'}, {'tag': 'target', 'value': 'zyxel'}]</t>
  </si>
  <si>
    <t>[{'tag': '类别', 'value': '网络'}, {'tag': '指标', 'value': 'mgs-3712'}, {'tag': '指标', 'value': 'switch'}, {'tag': '指标', 'value': 'zyxel'}]</t>
  </si>
  <si>
    <t>(372/364)</t>
  </si>
  <si>
    <t>ZYXEL MGS-3712F by SNMP</t>
  </si>
  <si>
    <t>10430</t>
  </si>
  <si>
    <t>[{'tag': 'class', 'value': 'network'}, {'tag': 'target', 'value': 'mgs-3712f'}, {'tag': 'target', 'value': 'switch'}, {'tag': 'target', 'value': 'zyxel'}]</t>
  </si>
  <si>
    <t>[{'tag': '类别', 'value': '网络'}, {'tag': '指标', 'value': 'mgs-3712f'}, {'tag': '指标', 'value': 'switch'}, {'tag': '指标', 'value': 'zyxel'}]</t>
  </si>
  <si>
    <t>(372/365)</t>
  </si>
  <si>
    <t>ZYXEL MGS3520-28x by SNMP</t>
  </si>
  <si>
    <t>10432</t>
  </si>
  <si>
    <t>[{'tag': 'class', 'value': 'network'}, {'tag': 'target', 'value': 'mgs3520-28'}, {'tag': 'target', 'value': 'mgs3520-28f'}, {'tag': 'target', 'value': 'switch'}, {'tag': 'target', 'value': 'zyxel'}]</t>
  </si>
  <si>
    <t>[{'tag': '类别', 'value': '网络'}, {'tag': '指标', 'value': 'mgs3520-28'}, {'tag': '指标', 'value': 'mgs3520-28f'}, {'tag': '指标', 'value': 'switch'}, {'tag': '指标', 'value': 'zyxel'}]</t>
  </si>
  <si>
    <t>(372/366)</t>
  </si>
  <si>
    <t>ZYXEL XGS-4728F by SNMP</t>
  </si>
  <si>
    <t>10433</t>
  </si>
  <si>
    <t>[{'tag': 'class', 'value': 'network'}, {'tag': 'target', 'value': 'switch'}, {'tag': 'target', 'value': 'xgs-4728f'}, {'tag': 'target', 'value': 'zyxel'}]</t>
  </si>
  <si>
    <t>[{'tag': '类别', 'value': '网络'}, {'tag': '指标', 'value': 'switch'}, {'tag': '指标', 'value': 'xgs-4728f'}, {'tag': '指标', 'value': 'zyxel'}]</t>
  </si>
  <si>
    <t>(372/367)</t>
  </si>
  <si>
    <t>Zabbix agent</t>
  </si>
  <si>
    <t>10050</t>
  </si>
  <si>
    <t>[{'tag': 'class', 'value': 'software'}, {'tag': 'target', 'value': 'zabbix-agent'}]</t>
  </si>
  <si>
    <t>[{'tag': '类别', 'value': '软件'}, {'tag': '指标', 'value': 'zabbix-agent'}]</t>
  </si>
  <si>
    <t>(372/368)</t>
  </si>
  <si>
    <t>Zabbix agent active</t>
  </si>
  <si>
    <t>10292</t>
  </si>
  <si>
    <t>(372/369)</t>
  </si>
  <si>
    <t>Zabbix proxy health</t>
  </si>
  <si>
    <t>10048</t>
  </si>
  <si>
    <t>(372/370)</t>
  </si>
  <si>
    <t>Zabbix server health</t>
  </si>
  <si>
    <t>10047</t>
  </si>
  <si>
    <t>(372/371)</t>
  </si>
  <si>
    <t>Zookeeper by HTTP</t>
  </si>
  <si>
    <t>10369</t>
  </si>
  <si>
    <t>[{'tag': 'class', 'value': 'application'}, {'tag': 'target', 'value': 'zookeeper'}]</t>
  </si>
  <si>
    <t>[{'tag': '类别', 'value': '应用'}, {'tag': '指标', 'value': 'zookeeper'}]</t>
  </si>
  <si>
    <t>(372/372)</t>
  </si>
  <si>
    <t>macOS by Zabbix agent</t>
  </si>
  <si>
    <t>10079</t>
  </si>
  <si>
    <t>[{'tag': 'class', 'value': 'os'}, {'tag': 'target', 'value': 'macos'}]</t>
  </si>
  <si>
    <t>[{'tag': '类别', 'value': '操作系统'}, {'tag': '指标', 'value': 'macos'}]</t>
  </si>
  <si>
    <t>(310/1)</t>
  </si>
  <si>
    <t>(1/1)</t>
  </si>
  <si>
    <t>(310/2)</t>
  </si>
  <si>
    <t/>
  </si>
  <si>
    <t>(310/3)</t>
  </si>
  <si>
    <t>(310/4)</t>
  </si>
  <si>
    <t>(310/5)</t>
  </si>
  <si>
    <t>(310/6)</t>
  </si>
  <si>
    <t>(310/7)</t>
  </si>
  <si>
    <t>(310/8)</t>
  </si>
  <si>
    <t>(310/9)</t>
  </si>
  <si>
    <t>(310/10)</t>
  </si>
  <si>
    <t>(310/11)</t>
  </si>
  <si>
    <t>(310/12)</t>
  </si>
  <si>
    <t>(310/13)</t>
  </si>
  <si>
    <t>(310/14)</t>
  </si>
  <si>
    <t>(310/15)</t>
  </si>
  <si>
    <t>(310/16)</t>
  </si>
  <si>
    <t>10584</t>
  </si>
  <si>
    <t>(310/17)</t>
  </si>
  <si>
    <t>(310/18)</t>
  </si>
  <si>
    <t>(310/19)</t>
  </si>
  <si>
    <t>(310/20)</t>
  </si>
  <si>
    <t>(310/21)</t>
  </si>
  <si>
    <t>(310/22)</t>
  </si>
  <si>
    <t>10593</t>
  </si>
  <si>
    <t>(310/23)</t>
  </si>
  <si>
    <t>(310/24)</t>
  </si>
  <si>
    <t>(310/25)</t>
  </si>
  <si>
    <t>(310/26)</t>
  </si>
  <si>
    <t>(310/27)</t>
  </si>
  <si>
    <t>(310/28)</t>
  </si>
  <si>
    <t>(310/29)</t>
  </si>
  <si>
    <t>(310/30)</t>
  </si>
  <si>
    <t>(310/31)</t>
  </si>
  <si>
    <t>(310/32)</t>
  </si>
  <si>
    <t>(310/33)</t>
  </si>
  <si>
    <t>(310/34)</t>
  </si>
  <si>
    <t>(310/35)</t>
  </si>
  <si>
    <t>(310/36)</t>
  </si>
  <si>
    <t>(310/37)</t>
  </si>
  <si>
    <t>10539</t>
  </si>
  <si>
    <t>(310/38)</t>
  </si>
  <si>
    <t>10540</t>
  </si>
  <si>
    <t>(310/39)</t>
  </si>
  <si>
    <t>(310/40)</t>
  </si>
  <si>
    <t>(310/41)</t>
  </si>
  <si>
    <t>10532</t>
  </si>
  <si>
    <t>(310/42)</t>
  </si>
  <si>
    <t>(310/43)</t>
  </si>
  <si>
    <t>(310/44)</t>
  </si>
  <si>
    <t>(310/45)</t>
  </si>
  <si>
    <t>(310/46)</t>
  </si>
  <si>
    <t>(310/47)</t>
  </si>
  <si>
    <t>(310/48)</t>
  </si>
  <si>
    <t>10613</t>
  </si>
  <si>
    <t>(310/49)</t>
  </si>
  <si>
    <t>(310/50)</t>
  </si>
  <si>
    <t>(310/51)</t>
  </si>
  <si>
    <t>(310/52)</t>
  </si>
  <si>
    <t>(310/53)</t>
  </si>
  <si>
    <t>(310/54)</t>
  </si>
  <si>
    <t>(310/55)</t>
  </si>
  <si>
    <t>(310/56)</t>
  </si>
  <si>
    <t>(310/57)</t>
  </si>
  <si>
    <t>(310/58)</t>
  </si>
  <si>
    <t>(310/59)</t>
  </si>
  <si>
    <t>(310/60)</t>
  </si>
  <si>
    <t>(310/61)</t>
  </si>
  <si>
    <t>10551</t>
  </si>
  <si>
    <t>(310/62)</t>
  </si>
  <si>
    <t>(310/63)</t>
  </si>
  <si>
    <t>(310/64)</t>
  </si>
  <si>
    <t>(310/65)</t>
  </si>
  <si>
    <t>(310/66)</t>
  </si>
  <si>
    <t>(310/67)</t>
  </si>
  <si>
    <t>(310/68)</t>
  </si>
  <si>
    <t>(310/69)</t>
  </si>
  <si>
    <t>10552</t>
  </si>
  <si>
    <t>(310/70)</t>
  </si>
  <si>
    <t>(310/71)</t>
  </si>
  <si>
    <t>(310/72)</t>
  </si>
  <si>
    <t>(310/73)</t>
  </si>
  <si>
    <t>(310/74)</t>
  </si>
  <si>
    <t>(310/75)</t>
  </si>
  <si>
    <t>(310/76)</t>
  </si>
  <si>
    <t>(310/77)</t>
  </si>
  <si>
    <t>(310/78)</t>
  </si>
  <si>
    <t>(310/79)</t>
  </si>
  <si>
    <t>(310/80)</t>
  </si>
  <si>
    <t>(310/81)</t>
  </si>
  <si>
    <t>(310/82)</t>
  </si>
  <si>
    <t>(310/83)</t>
  </si>
  <si>
    <t>(310/84)</t>
  </si>
  <si>
    <t>(310/85)</t>
  </si>
  <si>
    <t>(310/86)</t>
  </si>
  <si>
    <t>(310/87)</t>
  </si>
  <si>
    <t>(310/88)</t>
  </si>
  <si>
    <t>(310/89)</t>
  </si>
  <si>
    <t>10603</t>
  </si>
  <si>
    <t>(310/90)</t>
  </si>
  <si>
    <t>(310/91)</t>
  </si>
  <si>
    <t>(310/92)</t>
  </si>
  <si>
    <t>10572</t>
  </si>
  <si>
    <t>(310/93)</t>
  </si>
  <si>
    <t>10571</t>
  </si>
  <si>
    <t>(310/94)</t>
  </si>
  <si>
    <t>(310/95)</t>
  </si>
  <si>
    <t>10573</t>
  </si>
  <si>
    <t>(310/96)</t>
  </si>
  <si>
    <t>(310/97)</t>
  </si>
  <si>
    <t>(310/98)</t>
  </si>
  <si>
    <t>10577</t>
  </si>
  <si>
    <t>(310/99)</t>
  </si>
  <si>
    <t>10570</t>
  </si>
  <si>
    <t>(310/100)</t>
  </si>
  <si>
    <t>(310/101)</t>
  </si>
  <si>
    <t>Generic by SNMP</t>
  </si>
  <si>
    <t>[{'tag': 'class', 'value': 'network'}, {'tag': 'target', 'value': 'snmp'}]</t>
  </si>
  <si>
    <t>[{'tag': '类别', 'value': '网络'}, {'tag': '指标', 'value': 'snmp'}]</t>
  </si>
  <si>
    <t>(310/102)</t>
  </si>
  <si>
    <t>(310/103)</t>
  </si>
  <si>
    <t>(310/104)</t>
  </si>
  <si>
    <t>(310/105)</t>
  </si>
  <si>
    <t>(310/106)</t>
  </si>
  <si>
    <t>(310/107)</t>
  </si>
  <si>
    <t>(310/108)</t>
  </si>
  <si>
    <t>(310/109)</t>
  </si>
  <si>
    <t>(310/110)</t>
  </si>
  <si>
    <t>(310/111)</t>
  </si>
  <si>
    <t>(310/112)</t>
  </si>
  <si>
    <t>(310/113)</t>
  </si>
  <si>
    <t>(310/114)</t>
  </si>
  <si>
    <t>(310/115)</t>
  </si>
  <si>
    <t>(310/116)</t>
  </si>
  <si>
    <t>(310/117)</t>
  </si>
  <si>
    <t>(310/118)</t>
  </si>
  <si>
    <t>(310/119)</t>
  </si>
  <si>
    <t>(310/120)</t>
  </si>
  <si>
    <t>(310/121)</t>
  </si>
  <si>
    <t>10521</t>
  </si>
  <si>
    <t>(310/122)</t>
  </si>
  <si>
    <t>(310/123)</t>
  </si>
  <si>
    <t>(310/124)</t>
  </si>
  <si>
    <t>(310/125)</t>
  </si>
  <si>
    <t>(310/126)</t>
  </si>
  <si>
    <t>(310/127)</t>
  </si>
  <si>
    <t>(310/128)</t>
  </si>
  <si>
    <t>(310/129)</t>
  </si>
  <si>
    <t>(310/130)</t>
  </si>
  <si>
    <t>ICMP Ping</t>
  </si>
  <si>
    <t>[{'tag': 'class', 'value': 'network'}, {'tag': 'target', 'value': 'icmp'}]</t>
  </si>
  <si>
    <t>[{'tag': '类别', 'value': '网络'}, {'tag': '指标', 'value': 'icmp'}]</t>
  </si>
  <si>
    <t>(310/131)</t>
  </si>
  <si>
    <t>(310/132)</t>
  </si>
  <si>
    <t>(310/133)</t>
  </si>
  <si>
    <t>(310/134)</t>
  </si>
  <si>
    <t>(310/135)</t>
  </si>
  <si>
    <t>(310/136)</t>
  </si>
  <si>
    <t>(310/137)</t>
  </si>
  <si>
    <t>(310/138)</t>
  </si>
  <si>
    <t>(310/139)</t>
  </si>
  <si>
    <t>(310/140)</t>
  </si>
  <si>
    <t>(310/141)</t>
  </si>
  <si>
    <t>(310/142)</t>
  </si>
  <si>
    <t>(310/143)</t>
  </si>
  <si>
    <t>(310/144)</t>
  </si>
  <si>
    <t>(310/145)</t>
  </si>
  <si>
    <t>(310/146)</t>
  </si>
  <si>
    <t>(310/147)</t>
  </si>
  <si>
    <t>(310/148)</t>
  </si>
  <si>
    <t>(310/149)</t>
  </si>
  <si>
    <t>(310/150)</t>
  </si>
  <si>
    <t>(310/151)</t>
  </si>
  <si>
    <t>(310/152)</t>
  </si>
  <si>
    <t>(310/153)</t>
  </si>
  <si>
    <t>(310/154)</t>
  </si>
  <si>
    <t>(310/155)</t>
  </si>
  <si>
    <t>(310/156)</t>
  </si>
  <si>
    <t>(310/157)</t>
  </si>
  <si>
    <t>(310/158)</t>
  </si>
  <si>
    <t>(310/159)</t>
  </si>
  <si>
    <t>(310/160)</t>
  </si>
  <si>
    <t>(310/161)</t>
  </si>
  <si>
    <t>(310/162)</t>
  </si>
  <si>
    <t>(310/163)</t>
  </si>
  <si>
    <t>(310/164)</t>
  </si>
  <si>
    <t>(310/165)</t>
  </si>
  <si>
    <t>(310/166)</t>
  </si>
  <si>
    <t>(310/167)</t>
  </si>
  <si>
    <t>(310/168)</t>
  </si>
  <si>
    <t>(310/169)</t>
  </si>
  <si>
    <t>(310/170)</t>
  </si>
  <si>
    <t>(310/171)</t>
  </si>
  <si>
    <t>(310/172)</t>
  </si>
  <si>
    <t>(310/173)</t>
  </si>
  <si>
    <t>(310/174)</t>
  </si>
  <si>
    <t>(310/175)</t>
  </si>
  <si>
    <t>(310/176)</t>
  </si>
  <si>
    <t>(310/177)</t>
  </si>
  <si>
    <t>(310/178)</t>
  </si>
  <si>
    <t>(310/179)</t>
  </si>
  <si>
    <t>(310/180)</t>
  </si>
  <si>
    <t>(310/181)</t>
  </si>
  <si>
    <t>(310/182)</t>
  </si>
  <si>
    <t>(310/183)</t>
  </si>
  <si>
    <t>(310/184)</t>
  </si>
  <si>
    <t>(310/185)</t>
  </si>
  <si>
    <t>(310/186)</t>
  </si>
  <si>
    <t>(310/187)</t>
  </si>
  <si>
    <t>(310/188)</t>
  </si>
  <si>
    <t>(310/189)</t>
  </si>
  <si>
    <t>(310/190)</t>
  </si>
  <si>
    <t>(310/191)</t>
  </si>
  <si>
    <t>(310/192)</t>
  </si>
  <si>
    <t>(310/193)</t>
  </si>
  <si>
    <t>(310/194)</t>
  </si>
  <si>
    <t>(310/195)</t>
  </si>
  <si>
    <t>(310/196)</t>
  </si>
  <si>
    <t>(310/197)</t>
  </si>
  <si>
    <t>(310/198)</t>
  </si>
  <si>
    <t>(310/199)</t>
  </si>
  <si>
    <t>(310/200)</t>
  </si>
  <si>
    <t>(310/201)</t>
  </si>
  <si>
    <t>(310/202)</t>
  </si>
  <si>
    <t>(310/203)</t>
  </si>
  <si>
    <t>(310/204)</t>
  </si>
  <si>
    <t>(310/205)</t>
  </si>
  <si>
    <t>(310/206)</t>
  </si>
  <si>
    <t>(310/207)</t>
  </si>
  <si>
    <t>(310/208)</t>
  </si>
  <si>
    <t>(310/209)</t>
  </si>
  <si>
    <t>(310/210)</t>
  </si>
  <si>
    <t>(310/211)</t>
  </si>
  <si>
    <t>(310/212)</t>
  </si>
  <si>
    <t>(310/213)</t>
  </si>
  <si>
    <t>(310/214)</t>
  </si>
  <si>
    <t>(310/215)</t>
  </si>
  <si>
    <t>(310/216)</t>
  </si>
  <si>
    <t>(310/217)</t>
  </si>
  <si>
    <t>(310/218)</t>
  </si>
  <si>
    <t>(310/219)</t>
  </si>
  <si>
    <t>(310/220)</t>
  </si>
  <si>
    <t>(310/221)</t>
  </si>
  <si>
    <t>(310/222)</t>
  </si>
  <si>
    <t>(310/223)</t>
  </si>
  <si>
    <t>(310/224)</t>
  </si>
  <si>
    <t>(310/225)</t>
  </si>
  <si>
    <t>(310/226)</t>
  </si>
  <si>
    <t>(310/227)</t>
  </si>
  <si>
    <t>(310/228)</t>
  </si>
  <si>
    <t>(310/229)</t>
  </si>
  <si>
    <t>(310/230)</t>
  </si>
  <si>
    <t>(310/231)</t>
  </si>
  <si>
    <t>(310/232)</t>
  </si>
  <si>
    <t>(310/233)</t>
  </si>
  <si>
    <t>(310/234)</t>
  </si>
  <si>
    <t>OS processes by Zabbix agent</t>
  </si>
  <si>
    <t>[{'tag': 'class', 'value': 'software'}, {'tag': 'target', 'value': 'process'}]</t>
  </si>
  <si>
    <t>[{'tag': '类别', 'value': '软件'}, {'tag': '指标', 'value': '进程'}]</t>
  </si>
  <si>
    <t>(310/235)</t>
  </si>
  <si>
    <t>(310/236)</t>
  </si>
  <si>
    <t>10587</t>
  </si>
  <si>
    <t>(310/237)</t>
  </si>
  <si>
    <t>(310/238)</t>
  </si>
  <si>
    <t>(310/239)</t>
  </si>
  <si>
    <t>10614</t>
  </si>
  <si>
    <t>(310/240)</t>
  </si>
  <si>
    <t>10615</t>
  </si>
  <si>
    <t>(310/241)</t>
  </si>
  <si>
    <t>10616</t>
  </si>
  <si>
    <t>(310/242)</t>
  </si>
  <si>
    <t>10618</t>
  </si>
  <si>
    <t>(310/243)</t>
  </si>
  <si>
    <t>(310/244)</t>
  </si>
  <si>
    <t>(310/245)</t>
  </si>
  <si>
    <t>10617</t>
  </si>
  <si>
    <t>(310/246)</t>
  </si>
  <si>
    <t>(310/247)</t>
  </si>
  <si>
    <t>(310/248)</t>
  </si>
  <si>
    <t>(310/249)</t>
  </si>
  <si>
    <t>(310/250)</t>
  </si>
  <si>
    <t>(310/251)</t>
  </si>
  <si>
    <t>(310/252)</t>
  </si>
  <si>
    <t>(310/253)</t>
  </si>
  <si>
    <t>(310/254)</t>
  </si>
  <si>
    <t>(310/255)</t>
  </si>
  <si>
    <t>(310/256)</t>
  </si>
  <si>
    <t>(310/257)</t>
  </si>
  <si>
    <t>(310/258)</t>
  </si>
  <si>
    <t>(310/259)</t>
  </si>
  <si>
    <t>(310/260)</t>
  </si>
  <si>
    <t>(310/261)</t>
  </si>
  <si>
    <t>(310/262)</t>
  </si>
  <si>
    <t>(310/263)</t>
  </si>
  <si>
    <t>(310/264)</t>
  </si>
  <si>
    <t>(310/265)</t>
  </si>
  <si>
    <t>(310/266)</t>
  </si>
  <si>
    <t>(310/267)</t>
  </si>
  <si>
    <t>(310/268)</t>
  </si>
  <si>
    <t>(310/269)</t>
  </si>
  <si>
    <t>(310/270)</t>
  </si>
  <si>
    <t>(310/271)</t>
  </si>
  <si>
    <t>(310/272)</t>
  </si>
  <si>
    <t>(310/273)</t>
  </si>
  <si>
    <t>(310/274)</t>
  </si>
  <si>
    <t>(310/275)</t>
  </si>
  <si>
    <t>(310/276)</t>
  </si>
  <si>
    <t>(310/277)</t>
  </si>
  <si>
    <t>(310/278)</t>
  </si>
  <si>
    <t>(310/279)</t>
  </si>
  <si>
    <t>(310/280)</t>
  </si>
  <si>
    <t>(310/281)</t>
  </si>
  <si>
    <t>(310/282)</t>
  </si>
  <si>
    <t>10555</t>
  </si>
  <si>
    <t>(310/283)</t>
  </si>
  <si>
    <t>(310/284)</t>
  </si>
  <si>
    <t>(310/285)</t>
  </si>
  <si>
    <t>(310/286)</t>
  </si>
  <si>
    <t>(310/287)</t>
  </si>
  <si>
    <t>(310/288)</t>
  </si>
  <si>
    <t>(310/289)</t>
  </si>
  <si>
    <t>(310/290)</t>
  </si>
  <si>
    <t>(310/291)</t>
  </si>
  <si>
    <t>(310/292)</t>
  </si>
  <si>
    <t>(310/293)</t>
  </si>
  <si>
    <t>(310/294)</t>
  </si>
  <si>
    <t>(310/295)</t>
  </si>
  <si>
    <t>(310/296)</t>
  </si>
  <si>
    <t>(310/297)</t>
  </si>
  <si>
    <t>(310/298)</t>
  </si>
  <si>
    <t>(310/299)</t>
  </si>
  <si>
    <t>(310/300)</t>
  </si>
  <si>
    <t>(310/301)</t>
  </si>
  <si>
    <t>(310/302)</t>
  </si>
  <si>
    <t>(310/303)</t>
  </si>
  <si>
    <t>(310/304)</t>
  </si>
  <si>
    <t>(310/305)</t>
  </si>
  <si>
    <t>10561</t>
  </si>
  <si>
    <t>(310/306)</t>
  </si>
  <si>
    <t>(310/307)</t>
  </si>
  <si>
    <t>(310/308)</t>
  </si>
  <si>
    <t>(310/309)</t>
  </si>
  <si>
    <t>(310/310)</t>
  </si>
  <si>
    <t>(345/1)</t>
  </si>
  <si>
    <t>(345/2)</t>
  </si>
  <si>
    <t>(345/3)</t>
  </si>
  <si>
    <t>(345/4)</t>
  </si>
  <si>
    <t>(345/5)</t>
  </si>
  <si>
    <t>(345/6)</t>
  </si>
  <si>
    <t>(345/7)</t>
  </si>
  <si>
    <t>(345/8)</t>
  </si>
  <si>
    <t>(345/9)</t>
  </si>
  <si>
    <t>(345/10)</t>
  </si>
  <si>
    <t>(345/11)</t>
  </si>
  <si>
    <t>(345/12)</t>
  </si>
  <si>
    <t>(345/13)</t>
  </si>
  <si>
    <t>[{'tag': 'target', 'value': 'aws'}, {'tag': 'target', 'value': 'cost'}, {'tag': 'class', 'value': 'cloud'}]</t>
  </si>
  <si>
    <t>[{'tag': '目标', 'value': 'aws'}, {'tag': '目标', 'value': '成本'}, {'tag': '类', 'value': '云'}]</t>
  </si>
  <si>
    <t>(345/14)</t>
  </si>
  <si>
    <t>[{'tag': 'target', 'value': 'aws'}, {'tag': 'target', 'value': 'ec2'}, {'tag': 'class', 'value': 'cloud'}]</t>
  </si>
  <si>
    <t>[{'tag': '目标', 'value': 'aws'}, {'tag': '目标', 'value': 'ec2'}, {'tag': '类', 'value': '云'}]</t>
  </si>
  <si>
    <t>(345/15)</t>
  </si>
  <si>
    <t>[{'tag': 'target', 'value': 'aws'}, {'tag': 'target', 'value': 'ecs'}, {'tag': 'class', 'value': 'cloud'}]</t>
  </si>
  <si>
    <t>[{'tag': '目标', 'value': 'aws'}, {'tag': '目标', 'value': 'ecs'}, {'tag': '类', 'value': '云'}]</t>
  </si>
  <si>
    <t>(345/16)</t>
  </si>
  <si>
    <t>(345/17)</t>
  </si>
  <si>
    <t>[{'tag': 'target', 'value': 'alb'}, {'tag': 'target', 'value': 'aws'}, {'tag': 'target', 'value': 'elb'}, {'tag': 'class', 'value': 'cloud'}]</t>
  </si>
  <si>
    <t>[{'tag': '目标', 'value': 'alb'}, {'tag': '目标', 'value': 'aws'}, {'tag': '目标', 'value': 'elb'}, {'tag': '类', 'value': '云'}]</t>
  </si>
  <si>
    <t>(345/18)</t>
  </si>
  <si>
    <t>[{'tag': 'target', 'value': 'aws'}, {'tag': 'target', 'value': 'elb'}, {'tag': 'target', 'value': 'nlb'}, {'tag': 'class', 'value': 'cloud'}]</t>
  </si>
  <si>
    <t>[{'tag': '目标', 'value': 'aws'}, {'tag': '目标', 'value': 'elb'}, {'tag': '目标', 'value': 'nlb'}, {'tag': '类', 'value': '云'}]</t>
  </si>
  <si>
    <t>(345/19)</t>
  </si>
  <si>
    <t>10632</t>
  </si>
  <si>
    <t>[{'tag': 'target', 'value': 'aws'}, {'tag': 'target', 'value': 'lambda'}, {'tag': 'class', 'value': 'cloud'}]</t>
  </si>
  <si>
    <t>[{'tag': '目标', 'value': 'aws'}, {'tag': '目标', 'value': 'lambda'}, {'tag': '类', 'value': '云'}]</t>
  </si>
  <si>
    <t>(345/20)</t>
  </si>
  <si>
    <t>[{'tag': 'target', 'value': 'aws'}, {'tag': 'target', 'value': 'rds'}, {'tag': 'class', 'value': 'cloud'}]</t>
  </si>
  <si>
    <t>[{'tag': '目标', 'value': 'aws'}, {'tag': '目标', 'value': 'rds'}, {'tag': '类', 'value': '云'}]</t>
  </si>
  <si>
    <t>(345/21)</t>
  </si>
  <si>
    <t>[{'tag': 'target', 'value': 'aws'}, {'tag': 'target', 'value': 's3'}, {'tag': 'class', 'value': 'cloud'}]</t>
  </si>
  <si>
    <t>[{'tag': '目标', 'value': 'aws'}, {'tag': '目标', 'value': 's3'}, {'tag': '类', 'value': '云'}]</t>
  </si>
  <si>
    <t>(345/22)</t>
  </si>
  <si>
    <t>[{'tag': 'target', 'value': 'aws'}, {'tag': 'class', 'value': 'cloud'}]</t>
  </si>
  <si>
    <t>[{'tag': '目标', 'value': 'aws'}, {'tag': '类', 'value': '云'}]</t>
  </si>
  <si>
    <t>(345/23)</t>
  </si>
  <si>
    <t>(345/24)</t>
  </si>
  <si>
    <t>(345/25)</t>
  </si>
  <si>
    <t>(345/26)</t>
  </si>
  <si>
    <t>(345/27)</t>
  </si>
  <si>
    <t>(345/28)</t>
  </si>
  <si>
    <t>(345/29)</t>
  </si>
  <si>
    <t>(345/30)</t>
  </si>
  <si>
    <t>(345/31)</t>
  </si>
  <si>
    <t>(345/32)</t>
  </si>
  <si>
    <t>Apache by Zabbix agent active</t>
  </si>
  <si>
    <t>10637</t>
  </si>
  <si>
    <t>(345/33)</t>
  </si>
  <si>
    <t>(345/34)</t>
  </si>
  <si>
    <t>(345/35)</t>
  </si>
  <si>
    <t>(345/36)</t>
  </si>
  <si>
    <t>Azure Backup Jobs by HTTP</t>
  </si>
  <si>
    <t>10665</t>
  </si>
  <si>
    <t>[{'tag': 'class', 'value': 'cloud'}, {'tag': 'subclass', 'value': 'backup'}, {'tag': 'target', 'value': 'azure'}]</t>
  </si>
  <si>
    <t>[{'tag': '类', 'value': '云'}, {'tag': '子类', 'value': '备份'}, {'tag': '目标', 'value': 'azure'}]</t>
  </si>
  <si>
    <t>(345/37)</t>
  </si>
  <si>
    <t>(345/38)</t>
  </si>
  <si>
    <t>(345/39)</t>
  </si>
  <si>
    <t>Azure Microsoft SQL DTU Database by HTTP</t>
  </si>
  <si>
    <t>10662</t>
  </si>
  <si>
    <t>(345/40)</t>
  </si>
  <si>
    <t>(345/41)</t>
  </si>
  <si>
    <t>(345/42)</t>
  </si>
  <si>
    <t>(345/43)</t>
  </si>
  <si>
    <t>(345/44)</t>
  </si>
  <si>
    <t>(345/45)</t>
  </si>
  <si>
    <t>(345/46)</t>
  </si>
  <si>
    <t>Azure SQL Managed Instance by HTTP</t>
  </si>
  <si>
    <t>10651</t>
  </si>
  <si>
    <t>(345/47)</t>
  </si>
  <si>
    <t>10630</t>
  </si>
  <si>
    <t>(345/48)</t>
  </si>
  <si>
    <t>(345/49)</t>
  </si>
  <si>
    <t>(345/50)</t>
  </si>
  <si>
    <t>(345/51)</t>
  </si>
  <si>
    <t>(345/52)</t>
  </si>
  <si>
    <t>(345/53)</t>
  </si>
  <si>
    <t>(345/54)</t>
  </si>
  <si>
    <t>(345/55)</t>
  </si>
  <si>
    <t>(345/56)</t>
  </si>
  <si>
    <t>(345/57)</t>
  </si>
  <si>
    <t>(345/58)</t>
  </si>
  <si>
    <t>(345/59)</t>
  </si>
  <si>
    <t>(345/60)</t>
  </si>
  <si>
    <t>(345/61)</t>
  </si>
  <si>
    <t>(345/62)</t>
  </si>
  <si>
    <t>(345/63)</t>
  </si>
  <si>
    <t>(345/64)</t>
  </si>
  <si>
    <t>(345/65)</t>
  </si>
  <si>
    <t>(345/66)</t>
  </si>
  <si>
    <t>(345/67)</t>
  </si>
  <si>
    <t>(345/68)</t>
  </si>
  <si>
    <t>(345/69)</t>
  </si>
  <si>
    <t>(345/70)</t>
  </si>
  <si>
    <t>(345/71)</t>
  </si>
  <si>
    <t>Cisco Secure Firewall Threat Defense by HTTP</t>
  </si>
  <si>
    <t>10667</t>
  </si>
  <si>
    <t>[{'tag': 'class', 'value': 'network'}, {'tag': 'target', 'value': 'cisco'}, {'tag': 'target', 'value': 'cisco-ftd'}]</t>
  </si>
  <si>
    <t>[{'tag': '类', 'value': '网络'}, {'tag': '目标', 'value': '思科'}, {'tag': '目标', 'value': '思科防火墙'}]</t>
  </si>
  <si>
    <t>(345/72)</t>
  </si>
  <si>
    <t>(345/73)</t>
  </si>
  <si>
    <t>(345/74)</t>
  </si>
  <si>
    <t>(345/75)</t>
  </si>
  <si>
    <t>(345/76)</t>
  </si>
  <si>
    <t>(345/77)</t>
  </si>
  <si>
    <t>(345/78)</t>
  </si>
  <si>
    <t>(345/79)</t>
  </si>
  <si>
    <t>(345/80)</t>
  </si>
  <si>
    <t>(345/81)</t>
  </si>
  <si>
    <t>DELL PowerEdge R660 by HTTP</t>
  </si>
  <si>
    <t>10654</t>
  </si>
  <si>
    <t>(345/82)</t>
  </si>
  <si>
    <t>DELL PowerEdge R660 by SNMP</t>
  </si>
  <si>
    <t>10655</t>
  </si>
  <si>
    <t>(345/83)</t>
  </si>
  <si>
    <t>(345/84)</t>
  </si>
  <si>
    <t>(345/85)</t>
  </si>
  <si>
    <t>(345/86)</t>
  </si>
  <si>
    <t>(345/87)</t>
  </si>
  <si>
    <t>DELL PowerEdge R750 by HTTP</t>
  </si>
  <si>
    <t>10656</t>
  </si>
  <si>
    <t>(345/88)</t>
  </si>
  <si>
    <t>DELL PowerEdge R750 by SNMP</t>
  </si>
  <si>
    <t>10657</t>
  </si>
  <si>
    <t>(345/89)</t>
  </si>
  <si>
    <t>(345/90)</t>
  </si>
  <si>
    <t>(345/91)</t>
  </si>
  <si>
    <t>(345/92)</t>
  </si>
  <si>
    <t>(345/93)</t>
  </si>
  <si>
    <t>(345/94)</t>
  </si>
  <si>
    <t>(345/95)</t>
  </si>
  <si>
    <t>(345/96)</t>
  </si>
  <si>
    <t>(345/97)</t>
  </si>
  <si>
    <t>(345/98)</t>
  </si>
  <si>
    <t>(345/99)</t>
  </si>
  <si>
    <t>(345/100)</t>
  </si>
  <si>
    <t>(345/101)</t>
  </si>
  <si>
    <t>(345/102)</t>
  </si>
  <si>
    <t>(345/103)</t>
  </si>
  <si>
    <t>(345/104)</t>
  </si>
  <si>
    <t>(345/105)</t>
  </si>
  <si>
    <t>(345/106)</t>
  </si>
  <si>
    <t>(345/107)</t>
  </si>
  <si>
    <t>(345/108)</t>
  </si>
  <si>
    <t>(345/109)</t>
  </si>
  <si>
    <t>(345/110)</t>
  </si>
  <si>
    <t>(345/111)</t>
  </si>
  <si>
    <t>(345/112)</t>
  </si>
  <si>
    <t>(345/113)</t>
  </si>
  <si>
    <t>(345/114)</t>
  </si>
  <si>
    <t>10634</t>
  </si>
  <si>
    <t>(345/115)</t>
  </si>
  <si>
    <t>(345/116)</t>
  </si>
  <si>
    <t>(345/117)</t>
  </si>
  <si>
    <t>(345/118)</t>
  </si>
  <si>
    <t>(345/119)</t>
  </si>
  <si>
    <t>(345/120)</t>
  </si>
  <si>
    <t>(345/121)</t>
  </si>
  <si>
    <t>(345/122)</t>
  </si>
  <si>
    <t>(345/123)</t>
  </si>
  <si>
    <t>(345/124)</t>
  </si>
  <si>
    <t>(345/125)</t>
  </si>
  <si>
    <t>(345/126)</t>
  </si>
  <si>
    <t>(345/127)</t>
  </si>
  <si>
    <t>(345/128)</t>
  </si>
  <si>
    <t>(345/129)</t>
  </si>
  <si>
    <t>(345/130)</t>
  </si>
  <si>
    <t>(345/131)</t>
  </si>
  <si>
    <t>(345/132)</t>
  </si>
  <si>
    <t>(345/133)</t>
  </si>
  <si>
    <t>(345/134)</t>
  </si>
  <si>
    <t>(345/135)</t>
  </si>
  <si>
    <t>(345/136)</t>
  </si>
  <si>
    <t>(345/137)</t>
  </si>
  <si>
    <t>(345/138)</t>
  </si>
  <si>
    <t>(345/139)</t>
  </si>
  <si>
    <t>(345/140)</t>
  </si>
  <si>
    <t>(345/141)</t>
  </si>
  <si>
    <t>10636</t>
  </si>
  <si>
    <t>(345/142)</t>
  </si>
  <si>
    <t>(345/143)</t>
  </si>
  <si>
    <t>(345/144)</t>
  </si>
  <si>
    <t>(345/145)</t>
  </si>
  <si>
    <t>(345/146)</t>
  </si>
  <si>
    <t>(345/147)</t>
  </si>
  <si>
    <t>(345/148)</t>
  </si>
  <si>
    <t>(345/149)</t>
  </si>
  <si>
    <t>(345/150)</t>
  </si>
  <si>
    <t>(345/151)</t>
  </si>
  <si>
    <t>(345/152)</t>
  </si>
  <si>
    <t>(345/153)</t>
  </si>
  <si>
    <t>10629</t>
  </si>
  <si>
    <t>(345/154)</t>
  </si>
  <si>
    <t>Juniper MX by SNMP</t>
  </si>
  <si>
    <t>10650</t>
  </si>
  <si>
    <t>[{'tag': 'class', 'value': 'network'}, {'tag': 'target', 'value': 'juniper'}, {'tag': 'target', 'value': 'mx'}]</t>
  </si>
  <si>
    <t>[{'tag': '类别', 'value': '网络'}, {'tag': '指标', 'value': '瞻博网络'}, {'tag': '指标', 'value': 'mx'}]</t>
  </si>
  <si>
    <t>(345/155)</t>
  </si>
  <si>
    <t>(345/156)</t>
  </si>
  <si>
    <t>(345/157)</t>
  </si>
  <si>
    <t>(345/158)</t>
  </si>
  <si>
    <t>(345/159)</t>
  </si>
  <si>
    <t>(345/160)</t>
  </si>
  <si>
    <t>(345/161)</t>
  </si>
  <si>
    <t>(345/162)</t>
  </si>
  <si>
    <t>(345/163)</t>
  </si>
  <si>
    <t>(345/164)</t>
  </si>
  <si>
    <t>(345/165)</t>
  </si>
  <si>
    <t>(345/166)</t>
  </si>
  <si>
    <t>(345/167)</t>
  </si>
  <si>
    <t>(345/168)</t>
  </si>
  <si>
    <t>(345/169)</t>
  </si>
  <si>
    <t>(345/170)</t>
  </si>
  <si>
    <t>(345/171)</t>
  </si>
  <si>
    <t>10635</t>
  </si>
  <si>
    <t>(345/172)</t>
  </si>
  <si>
    <t>(345/173)</t>
  </si>
  <si>
    <t>(345/174)</t>
  </si>
  <si>
    <t>(345/175)</t>
  </si>
  <si>
    <t>(345/176)</t>
  </si>
  <si>
    <t>(345/177)</t>
  </si>
  <si>
    <t>(345/178)</t>
  </si>
  <si>
    <t>(345/179)</t>
  </si>
  <si>
    <t>(345/180)</t>
  </si>
  <si>
    <t>(345/181)</t>
  </si>
  <si>
    <t>(345/182)</t>
  </si>
  <si>
    <t>(345/183)</t>
  </si>
  <si>
    <t>(345/184)</t>
  </si>
  <si>
    <t>(345/185)</t>
  </si>
  <si>
    <t>(345/186)</t>
  </si>
  <si>
    <t>(345/187)</t>
  </si>
  <si>
    <t>(345/188)</t>
  </si>
  <si>
    <t>(345/189)</t>
  </si>
  <si>
    <t>(345/190)</t>
  </si>
  <si>
    <t>(345/191)</t>
  </si>
  <si>
    <t>(345/192)</t>
  </si>
  <si>
    <t>(345/193)</t>
  </si>
  <si>
    <t>(345/194)</t>
  </si>
  <si>
    <t>(345/195)</t>
  </si>
  <si>
    <t>(345/196)</t>
  </si>
  <si>
    <t>(345/197)</t>
  </si>
  <si>
    <t>(345/198)</t>
  </si>
  <si>
    <t>(345/199)</t>
  </si>
  <si>
    <t>(345/200)</t>
  </si>
  <si>
    <t>(345/201)</t>
  </si>
  <si>
    <t>(345/202)</t>
  </si>
  <si>
    <t>(345/203)</t>
  </si>
  <si>
    <t>(345/204)</t>
  </si>
  <si>
    <t>(345/205)</t>
  </si>
  <si>
    <t>(345/206)</t>
  </si>
  <si>
    <t>(345/207)</t>
  </si>
  <si>
    <t>(345/208)</t>
  </si>
  <si>
    <t>(345/209)</t>
  </si>
  <si>
    <t>(345/210)</t>
  </si>
  <si>
    <t>(345/211)</t>
  </si>
  <si>
    <t>(345/212)</t>
  </si>
  <si>
    <t>(345/213)</t>
  </si>
  <si>
    <t>(345/214)</t>
  </si>
  <si>
    <t>(345/215)</t>
  </si>
  <si>
    <t>(345/216)</t>
  </si>
  <si>
    <t>(345/217)</t>
  </si>
  <si>
    <t>(345/218)</t>
  </si>
  <si>
    <t>(345/219)</t>
  </si>
  <si>
    <t>(345/220)</t>
  </si>
  <si>
    <t>(345/221)</t>
  </si>
  <si>
    <t>(345/222)</t>
  </si>
  <si>
    <t>(345/223)</t>
  </si>
  <si>
    <t>(345/224)</t>
  </si>
  <si>
    <t>(345/225)</t>
  </si>
  <si>
    <t>(345/226)</t>
  </si>
  <si>
    <t>(345/227)</t>
  </si>
  <si>
    <t>(345/228)</t>
  </si>
  <si>
    <t>(345/229)</t>
  </si>
  <si>
    <t>(345/230)</t>
  </si>
  <si>
    <t>(345/231)</t>
  </si>
  <si>
    <t>(345/232)</t>
  </si>
  <si>
    <t>(345/233)</t>
  </si>
  <si>
    <t>(345/234)</t>
  </si>
  <si>
    <t>(345/235)</t>
  </si>
  <si>
    <t>(345/236)</t>
  </si>
  <si>
    <t>(345/237)</t>
  </si>
  <si>
    <t>(345/238)</t>
  </si>
  <si>
    <t>(345/239)</t>
  </si>
  <si>
    <t>(345/240)</t>
  </si>
  <si>
    <t>(345/241)</t>
  </si>
  <si>
    <t>(345/242)</t>
  </si>
  <si>
    <t>MySQL by Zabbix agent 2 active</t>
  </si>
  <si>
    <t>10646</t>
  </si>
  <si>
    <t>(345/243)</t>
  </si>
  <si>
    <t>MySQL by Zabbix agent active</t>
  </si>
  <si>
    <t>10647</t>
  </si>
  <si>
    <t>(345/244)</t>
  </si>
  <si>
    <t>(345/245)</t>
  </si>
  <si>
    <t>(345/246)</t>
  </si>
  <si>
    <t>(345/247)</t>
  </si>
  <si>
    <t>(345/248)</t>
  </si>
  <si>
    <t>(345/249)</t>
  </si>
  <si>
    <t>(345/250)</t>
  </si>
  <si>
    <t>(345/251)</t>
  </si>
  <si>
    <t>(345/252)</t>
  </si>
  <si>
    <t>Nginx by Zabbix agent active</t>
  </si>
  <si>
    <t>10639</t>
  </si>
  <si>
    <t>(345/253)</t>
  </si>
  <si>
    <t>Nutanix Cluster Prism Element by HTTP</t>
  </si>
  <si>
    <t>10640</t>
  </si>
  <si>
    <t>[{'tag': 'class', 'value': 'software'}, {'tag': 'target', 'value': 'cluster'}, {'tag': 'target', 'value': 'nutanix'}, {'tag': 'target', 'value': 'prism-element'}]</t>
  </si>
  <si>
    <t>[{'tag': '类别', 'value': '软件'}, {'tag': '指标', 'value': '集群'}, {'tag': '指标', 'value': 'nutanix'}, {'tag': '指标', 'value': 'prism-element'}]</t>
  </si>
  <si>
    <t>(345/254)</t>
  </si>
  <si>
    <t>Nutanix Host Prism Element by HTTP</t>
  </si>
  <si>
    <t>10641</t>
  </si>
  <si>
    <t>[{'tag': 'class', 'value': 'software'}, {'tag': 'target', 'value': 'host'}, {'tag': 'target', 'value': 'nutanix'}, {'tag': 'target', 'value': 'prism-element'}]</t>
  </si>
  <si>
    <t>[{'tag': '类别', 'value': '软件'}, {'tag': '指标', 'value': '主机'}, {'tag': '指标', 'value': 'nutanix'}, {'tag': '指标', 'value': 'prism-element'}]</t>
  </si>
  <si>
    <t>(345/255)</t>
  </si>
  <si>
    <t>Nutanix Prism Element by HTTP</t>
  </si>
  <si>
    <t>10642</t>
  </si>
  <si>
    <t>[{'tag': 'class', 'value': 'software'}, {'tag': 'target', 'value': 'nutanix'}, {'tag': 'target', 'value': 'prism-element'}]</t>
  </si>
  <si>
    <t>[{'tag': '类别', 'value': '软件'}, {'tag': '指标', 'value': 'nutanix'}, {'tag': '指标', 'value': 'prism-element'}]</t>
  </si>
  <si>
    <t>(345/256)</t>
  </si>
  <si>
    <t>(345/257)</t>
  </si>
  <si>
    <t>(345/258)</t>
  </si>
  <si>
    <t>(345/259)</t>
  </si>
  <si>
    <t>(345/260)</t>
  </si>
  <si>
    <t>(345/261)</t>
  </si>
  <si>
    <t>(345/262)</t>
  </si>
  <si>
    <t>(345/263)</t>
  </si>
  <si>
    <t>(345/264)</t>
  </si>
  <si>
    <t>(345/265)</t>
  </si>
  <si>
    <t>(345/266)</t>
  </si>
  <si>
    <t>(345/267)</t>
  </si>
  <si>
    <t>(345/268)</t>
  </si>
  <si>
    <t>(345/269)</t>
  </si>
  <si>
    <t>(345/270)</t>
  </si>
  <si>
    <t>(345/271)</t>
  </si>
  <si>
    <t>(345/272)</t>
  </si>
  <si>
    <t>(345/273)</t>
  </si>
  <si>
    <t>(345/274)</t>
  </si>
  <si>
    <t>PHP-FPM by Zabbix agent active</t>
  </si>
  <si>
    <t>10645</t>
  </si>
  <si>
    <t>(345/275)</t>
  </si>
  <si>
    <t>Palo Alto PA-440 by HTTP</t>
  </si>
  <si>
    <t>10653</t>
  </si>
  <si>
    <t>[{'tag': 'class', 'value': 'network'}, {'tag': 'target', 'value': 'pa-440'}, {'tag': 'target', 'value': 'paloalto'}]</t>
  </si>
  <si>
    <t>[{'tag': '类别', 'value': '网络'}, {'tag': '指标', 'value': 'pa-440'}, {'tag': '指标', 'value': 'paloalto'}]</t>
  </si>
  <si>
    <t>(345/276)</t>
  </si>
  <si>
    <t>(345/277)</t>
  </si>
  <si>
    <t>(345/278)</t>
  </si>
  <si>
    <t>(345/279)</t>
  </si>
  <si>
    <t>PostgreSQL by Zabbix agent 2 active</t>
  </si>
  <si>
    <t>10648</t>
  </si>
  <si>
    <t>(345/280)</t>
  </si>
  <si>
    <t>PostgreSQL by Zabbix agent active</t>
  </si>
  <si>
    <t>10649</t>
  </si>
  <si>
    <t>(345/281)</t>
  </si>
  <si>
    <t>(345/282)</t>
  </si>
  <si>
    <t>Pure Storage FlashArray v1 by HTTP</t>
  </si>
  <si>
    <t>10663</t>
  </si>
  <si>
    <t>[{'tag': 'class', 'value': 'hardware'}, {'tag': 'class', 'value': 'storage'}, {'tag': 'target', 'value': 'flash-array'}, {'tag': 'target', 'value': 'pure-storage'}]</t>
  </si>
  <si>
    <t>[{'tag': '类', 'value': '硬件'}, {'tag': '类', 'value': '存储'}, {'tag': '目标', 'value': '闪存-array'}, {'tag': '目标', 'value': '纯存储'}]</t>
  </si>
  <si>
    <t>(345/283)</t>
  </si>
  <si>
    <t>Pure Storage FlashArray v2 by HTTP</t>
  </si>
  <si>
    <t>10664</t>
  </si>
  <si>
    <t>(345/284)</t>
  </si>
  <si>
    <t>(345/285)</t>
  </si>
  <si>
    <t>(345/286)</t>
  </si>
  <si>
    <t>(345/287)</t>
  </si>
  <si>
    <t>(345/288)</t>
  </si>
  <si>
    <t>(345/289)</t>
  </si>
  <si>
    <t>(345/290)</t>
  </si>
  <si>
    <t>(345/291)</t>
  </si>
  <si>
    <t>(345/292)</t>
  </si>
  <si>
    <t>(345/293)</t>
  </si>
  <si>
    <t>(345/294)</t>
  </si>
  <si>
    <t>(345/295)</t>
  </si>
  <si>
    <t>(345/296)</t>
  </si>
  <si>
    <t>(345/297)</t>
  </si>
  <si>
    <t>(345/298)</t>
  </si>
  <si>
    <t>(345/299)</t>
  </si>
  <si>
    <t>(345/300)</t>
  </si>
  <si>
    <t>(345/301)</t>
  </si>
  <si>
    <t>(345/302)</t>
  </si>
  <si>
    <t>(345/303)</t>
  </si>
  <si>
    <t>(345/304)</t>
  </si>
  <si>
    <t>(345/305)</t>
  </si>
  <si>
    <t>(345/306)</t>
  </si>
  <si>
    <t>(345/307)</t>
  </si>
  <si>
    <t>(345/308)</t>
  </si>
  <si>
    <t>(345/309)</t>
  </si>
  <si>
    <t>(345/310)</t>
  </si>
  <si>
    <t>(345/311)</t>
  </si>
  <si>
    <t>(345/312)</t>
  </si>
  <si>
    <t>Website by Browser</t>
  </si>
  <si>
    <t>10628</t>
  </si>
  <si>
    <t>[{'tag': 'class', 'value': 'application'}, {'tag': 'target', 'value': 'browser'}]</t>
  </si>
  <si>
    <t>[{'tag': '类别', 'value': '应用'}, {'tag': '指标', 'value': '浏览器'}]</t>
  </si>
  <si>
    <t>(345/313)</t>
  </si>
  <si>
    <t>(345/314)</t>
  </si>
  <si>
    <t>Website certificate by Zabbix agent 2 active</t>
  </si>
  <si>
    <t>10638</t>
  </si>
  <si>
    <t>(345/315)</t>
  </si>
  <si>
    <t>(345/316)</t>
  </si>
  <si>
    <t>(345/317)</t>
  </si>
  <si>
    <t>(345/318)</t>
  </si>
  <si>
    <t>(345/319)</t>
  </si>
  <si>
    <t>(345/320)</t>
  </si>
  <si>
    <t>(345/321)</t>
  </si>
  <si>
    <t>(345/322)</t>
  </si>
  <si>
    <t>(345/323)</t>
  </si>
  <si>
    <t>(345/324)</t>
  </si>
  <si>
    <t>(345/325)</t>
  </si>
  <si>
    <t>(345/326)</t>
  </si>
  <si>
    <t>(345/327)</t>
  </si>
  <si>
    <t>(345/328)</t>
  </si>
  <si>
    <t>(345/329)</t>
  </si>
  <si>
    <t>(345/330)</t>
  </si>
  <si>
    <t>(345/331)</t>
  </si>
  <si>
    <t>(345/332)</t>
  </si>
  <si>
    <t>(345/333)</t>
  </si>
  <si>
    <t>(345/334)</t>
  </si>
  <si>
    <t>(345/335)</t>
  </si>
  <si>
    <t>(345/336)</t>
  </si>
  <si>
    <t>(345/337)</t>
  </si>
  <si>
    <t>(345/338)</t>
  </si>
  <si>
    <t>(345/339)</t>
  </si>
  <si>
    <t>Zabbix proxy health by Zabbix agent</t>
  </si>
  <si>
    <t>10658</t>
  </si>
  <si>
    <t>(345/340)</t>
  </si>
  <si>
    <t>Zabbix proxy health by Zabbix agent active</t>
  </si>
  <si>
    <t>10659</t>
  </si>
  <si>
    <t>(345/341)</t>
  </si>
  <si>
    <t>(345/342)</t>
  </si>
  <si>
    <t>Zabbix server health by Zabbix agent</t>
  </si>
  <si>
    <t>10660</t>
  </si>
  <si>
    <t>(345/343)</t>
  </si>
  <si>
    <t>Zabbix server health by Zabbix agent active</t>
  </si>
  <si>
    <t>10661</t>
  </si>
  <si>
    <t>(345/344)</t>
  </si>
  <si>
    <t>(345/345)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</si>
</sst>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7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0" fillId="3" borderId="8" applyNumberForma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16" fillId="18" borderId="7" applyNumberForma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ont="1" applyFill="1" applyAlignment="1"/>
    <xf numFmtId="0" fontId="0" fillId="2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K315"/>
  <sheetViews>
    <sheetView workbookViewId="0">
      <selection activeCell="E23" sqref="E23"/>
    </sheetView>
  </sheetViews>
  <sheetFormatPr defaultColWidth="9" defaultRowHeight="13.5"/>
  <cols>
    <col min="1" max="16384" width="9" style="2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1">
      <c r="A2" s="2">
        <v>1</v>
      </c>
      <c r="B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I2" s="2" t="str">
        <f>IFERROR(IF(OR(MID(G2,FIND(":",G2)-1,1)="""",MID(G2,FIND(":",G2)-1,1)="}",MID(G2,FIND(":",G2)-1,1)=")",MID(G2,FIND(":",G2)-1,1)="]"),"",RIGHT(G2,LEN(G2)-FIND(":",G2)-1)),"")</f>
        <v>'类别', 'value': '操作系统'}, {'tag': '指标', 'value': 'aix'}]</v>
      </c>
      <c r="J2" s="2" t="str">
        <f>IF(AND(I2="",H2=""),G2,H2&amp;": "&amp;I2)</f>
        <v>: '类别', 'value': '操作系统'}, {'tag': '指标', 'value': 'aix'}]</v>
      </c>
      <c r="K2" s="2" t="str">
        <f>IFERROR(IF(OR(MID(F2,FIND(":",F2)-1,1)="""",MID(F2,FIND(":",F2)-1,1)="}",MID(F2,FIND(":",F2)-1,1)=")",MID(F2,FIND(":",F2)-1,1)="]"),"",RIGHT(F2,LEN(F2)-FIND(":",F2)-1)),"")</f>
        <v>'class', 'value': 'os'}, {'tag': 'target', 'value': 'aix'}]</v>
      </c>
    </row>
    <row r="3" spans="1:7">
      <c r="A3" s="2">
        <v>2</v>
      </c>
      <c r="B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</row>
    <row r="4" spans="1:7">
      <c r="A4" s="2">
        <v>3</v>
      </c>
      <c r="B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</row>
    <row r="5" spans="1:7">
      <c r="A5" s="2">
        <v>4</v>
      </c>
      <c r="B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</row>
    <row r="6" spans="1:7">
      <c r="A6" s="2">
        <v>5</v>
      </c>
      <c r="B6" s="2" t="s">
        <v>28</v>
      </c>
      <c r="D6" s="2" t="s">
        <v>29</v>
      </c>
      <c r="E6" s="2" t="s">
        <v>30</v>
      </c>
      <c r="F6" s="2" t="s">
        <v>31</v>
      </c>
      <c r="G6" s="2" t="s">
        <v>32</v>
      </c>
    </row>
    <row r="7" spans="1:7">
      <c r="A7" s="2">
        <v>6</v>
      </c>
      <c r="B7" s="2" t="s">
        <v>33</v>
      </c>
      <c r="D7" s="2" t="s">
        <v>34</v>
      </c>
      <c r="E7" s="2" t="s">
        <v>35</v>
      </c>
      <c r="F7" s="2" t="s">
        <v>36</v>
      </c>
      <c r="G7" s="2" t="s">
        <v>37</v>
      </c>
    </row>
    <row r="8" spans="1:7">
      <c r="A8" s="2">
        <v>7</v>
      </c>
      <c r="B8" s="2" t="s">
        <v>38</v>
      </c>
      <c r="D8" s="2" t="s">
        <v>39</v>
      </c>
      <c r="E8" s="2" t="s">
        <v>40</v>
      </c>
      <c r="F8" s="2" t="s">
        <v>41</v>
      </c>
      <c r="G8" s="2" t="s">
        <v>42</v>
      </c>
    </row>
    <row r="9" spans="1:7">
      <c r="A9" s="2">
        <v>8</v>
      </c>
      <c r="B9" s="2" t="s">
        <v>43</v>
      </c>
      <c r="D9" s="2" t="s">
        <v>44</v>
      </c>
      <c r="E9" s="2" t="s">
        <v>45</v>
      </c>
      <c r="F9" s="2" t="s">
        <v>46</v>
      </c>
      <c r="G9" s="2" t="s">
        <v>47</v>
      </c>
    </row>
    <row r="10" spans="1:7">
      <c r="A10" s="2">
        <v>9</v>
      </c>
      <c r="B10" s="2" t="s">
        <v>48</v>
      </c>
      <c r="D10" s="2" t="s">
        <v>49</v>
      </c>
      <c r="E10" s="2" t="s">
        <v>50</v>
      </c>
      <c r="F10" s="2" t="s">
        <v>51</v>
      </c>
      <c r="G10" s="2" t="s">
        <v>52</v>
      </c>
    </row>
    <row r="11" spans="1:7">
      <c r="A11" s="2">
        <v>10</v>
      </c>
      <c r="B11" s="2" t="s">
        <v>53</v>
      </c>
      <c r="D11" s="2" t="s">
        <v>54</v>
      </c>
      <c r="E11" s="2" t="s">
        <v>55</v>
      </c>
      <c r="F11" s="2" t="s">
        <v>56</v>
      </c>
      <c r="G11" s="2" t="s">
        <v>57</v>
      </c>
    </row>
    <row r="12" spans="1:7">
      <c r="A12" s="2">
        <v>11</v>
      </c>
      <c r="B12" s="2" t="s">
        <v>58</v>
      </c>
      <c r="D12" s="2" t="s">
        <v>59</v>
      </c>
      <c r="E12" s="2" t="s">
        <v>60</v>
      </c>
      <c r="F12" s="2" t="s">
        <v>61</v>
      </c>
      <c r="G12" s="2" t="s">
        <v>62</v>
      </c>
    </row>
    <row r="13" spans="1:7">
      <c r="A13" s="2">
        <v>12</v>
      </c>
      <c r="B13" s="2" t="s">
        <v>63</v>
      </c>
      <c r="D13" s="2" t="s">
        <v>64</v>
      </c>
      <c r="E13" s="2" t="s">
        <v>65</v>
      </c>
      <c r="F13" s="2" t="s">
        <v>66</v>
      </c>
      <c r="G13" s="2" t="s">
        <v>67</v>
      </c>
    </row>
    <row r="14" spans="1:7">
      <c r="A14" s="2">
        <v>13</v>
      </c>
      <c r="B14" s="2" t="s">
        <v>68</v>
      </c>
      <c r="D14" s="2" t="s">
        <v>69</v>
      </c>
      <c r="E14" s="2" t="s">
        <v>70</v>
      </c>
      <c r="F14" s="2" t="s">
        <v>71</v>
      </c>
      <c r="G14" s="2" t="s">
        <v>72</v>
      </c>
    </row>
    <row r="15" spans="1:7">
      <c r="A15" s="2">
        <v>14</v>
      </c>
      <c r="B15" s="2" t="s">
        <v>73</v>
      </c>
      <c r="D15" s="2" t="s">
        <v>74</v>
      </c>
      <c r="E15" s="2" t="s">
        <v>75</v>
      </c>
      <c r="F15" s="2" t="s">
        <v>76</v>
      </c>
      <c r="G15" s="2" t="s">
        <v>77</v>
      </c>
    </row>
    <row r="16" spans="1:7">
      <c r="A16" s="2">
        <v>15</v>
      </c>
      <c r="B16" s="2" t="s">
        <v>78</v>
      </c>
      <c r="D16" s="2" t="s">
        <v>79</v>
      </c>
      <c r="E16" s="2" t="s">
        <v>80</v>
      </c>
      <c r="F16" s="2" t="s">
        <v>81</v>
      </c>
      <c r="G16" s="2" t="s">
        <v>82</v>
      </c>
    </row>
    <row r="17" spans="1:7">
      <c r="A17" s="2">
        <v>16</v>
      </c>
      <c r="B17" s="2" t="s">
        <v>83</v>
      </c>
      <c r="D17" s="2" t="s">
        <v>84</v>
      </c>
      <c r="E17" s="2" t="s">
        <v>85</v>
      </c>
      <c r="F17" s="2" t="s">
        <v>81</v>
      </c>
      <c r="G17" s="2" t="s">
        <v>82</v>
      </c>
    </row>
    <row r="18" spans="1:7">
      <c r="A18" s="2">
        <v>17</v>
      </c>
      <c r="B18" s="2" t="s">
        <v>86</v>
      </c>
      <c r="D18" s="2" t="s">
        <v>87</v>
      </c>
      <c r="E18" s="2" t="s">
        <v>88</v>
      </c>
      <c r="F18" s="2" t="s">
        <v>89</v>
      </c>
      <c r="G18" s="2" t="s">
        <v>90</v>
      </c>
    </row>
    <row r="19" spans="1:7">
      <c r="A19" s="2">
        <v>18</v>
      </c>
      <c r="B19" s="2" t="s">
        <v>91</v>
      </c>
      <c r="D19" s="2" t="s">
        <v>92</v>
      </c>
      <c r="E19" s="2" t="s">
        <v>93</v>
      </c>
      <c r="F19" s="2" t="s">
        <v>94</v>
      </c>
      <c r="G19" s="2" t="s">
        <v>95</v>
      </c>
    </row>
    <row r="20" spans="1:7">
      <c r="A20" s="2">
        <v>19</v>
      </c>
      <c r="B20" s="2" t="s">
        <v>96</v>
      </c>
      <c r="D20" s="2" t="s">
        <v>97</v>
      </c>
      <c r="E20" s="2" t="s">
        <v>98</v>
      </c>
      <c r="F20" s="2" t="s">
        <v>99</v>
      </c>
      <c r="G20" s="2" t="s">
        <v>100</v>
      </c>
    </row>
    <row r="21" spans="1:7">
      <c r="A21" s="2">
        <v>20</v>
      </c>
      <c r="B21" s="2" t="s">
        <v>101</v>
      </c>
      <c r="D21" s="2" t="s">
        <v>102</v>
      </c>
      <c r="E21" s="2" t="s">
        <v>103</v>
      </c>
      <c r="F21" s="2" t="s">
        <v>104</v>
      </c>
      <c r="G21" s="2" t="s">
        <v>105</v>
      </c>
    </row>
    <row r="22" spans="1:7">
      <c r="A22" s="2">
        <v>21</v>
      </c>
      <c r="B22" s="2" t="s">
        <v>106</v>
      </c>
      <c r="D22" s="2" t="s">
        <v>107</v>
      </c>
      <c r="E22" s="2" t="s">
        <v>108</v>
      </c>
      <c r="F22" s="2" t="s">
        <v>109</v>
      </c>
      <c r="G22" s="2" t="s">
        <v>110</v>
      </c>
    </row>
    <row r="23" spans="1:7">
      <c r="A23" s="2">
        <v>22</v>
      </c>
      <c r="B23" s="2" t="s">
        <v>111</v>
      </c>
      <c r="D23" s="2" t="s">
        <v>112</v>
      </c>
      <c r="E23" s="2" t="s">
        <v>113</v>
      </c>
      <c r="F23" s="2" t="s">
        <v>114</v>
      </c>
      <c r="G23" s="2" t="s">
        <v>115</v>
      </c>
    </row>
    <row r="24" spans="1:7">
      <c r="A24" s="2">
        <v>23</v>
      </c>
      <c r="B24" s="2" t="s">
        <v>116</v>
      </c>
      <c r="D24" s="2" t="s">
        <v>117</v>
      </c>
      <c r="E24" s="2" t="s">
        <v>118</v>
      </c>
      <c r="F24" s="2" t="s">
        <v>119</v>
      </c>
      <c r="G24" s="2" t="s">
        <v>120</v>
      </c>
    </row>
    <row r="25" spans="1:7">
      <c r="A25" s="2">
        <v>24</v>
      </c>
      <c r="B25" s="2" t="s">
        <v>121</v>
      </c>
      <c r="D25" s="2" t="s">
        <v>122</v>
      </c>
      <c r="E25" s="2" t="s">
        <v>123</v>
      </c>
      <c r="F25" s="2" t="s">
        <v>119</v>
      </c>
      <c r="G25" s="2" t="s">
        <v>120</v>
      </c>
    </row>
    <row r="26" spans="1:7">
      <c r="A26" s="2">
        <v>25</v>
      </c>
      <c r="B26" s="2" t="s">
        <v>124</v>
      </c>
      <c r="D26" s="2" t="s">
        <v>125</v>
      </c>
      <c r="E26" s="2" t="s">
        <v>126</v>
      </c>
      <c r="F26" s="2" t="s">
        <v>127</v>
      </c>
      <c r="G26" s="2" t="s">
        <v>128</v>
      </c>
    </row>
    <row r="27" spans="1:7">
      <c r="A27" s="2">
        <v>26</v>
      </c>
      <c r="B27" s="2" t="s">
        <v>129</v>
      </c>
      <c r="D27" s="2" t="s">
        <v>130</v>
      </c>
      <c r="E27" s="2" t="s">
        <v>131</v>
      </c>
      <c r="F27" s="2" t="s">
        <v>132</v>
      </c>
      <c r="G27" s="2" t="s">
        <v>133</v>
      </c>
    </row>
    <row r="28" spans="1:7">
      <c r="A28" s="2">
        <v>27</v>
      </c>
      <c r="B28" s="2" t="s">
        <v>134</v>
      </c>
      <c r="D28" s="2" t="s">
        <v>135</v>
      </c>
      <c r="E28" s="2" t="s">
        <v>136</v>
      </c>
      <c r="F28" s="2" t="s">
        <v>137</v>
      </c>
      <c r="G28" s="2" t="s">
        <v>138</v>
      </c>
    </row>
    <row r="29" spans="1:7">
      <c r="A29" s="2">
        <v>28</v>
      </c>
      <c r="B29" s="2" t="s">
        <v>139</v>
      </c>
      <c r="D29" s="2" t="s">
        <v>140</v>
      </c>
      <c r="E29" s="2" t="s">
        <v>141</v>
      </c>
      <c r="F29" s="2" t="s">
        <v>142</v>
      </c>
      <c r="G29" s="2" t="s">
        <v>143</v>
      </c>
    </row>
    <row r="30" spans="1:7">
      <c r="A30" s="2">
        <v>29</v>
      </c>
      <c r="B30" s="2" t="s">
        <v>144</v>
      </c>
      <c r="D30" s="2" t="s">
        <v>145</v>
      </c>
      <c r="E30" s="2" t="s">
        <v>146</v>
      </c>
      <c r="F30" s="2" t="s">
        <v>147</v>
      </c>
      <c r="G30" s="2" t="s">
        <v>148</v>
      </c>
    </row>
    <row r="31" spans="1:7">
      <c r="A31" s="2">
        <v>30</v>
      </c>
      <c r="B31" s="2" t="s">
        <v>149</v>
      </c>
      <c r="D31" s="2" t="s">
        <v>150</v>
      </c>
      <c r="E31" s="2" t="s">
        <v>151</v>
      </c>
      <c r="F31" s="2" t="s">
        <v>152</v>
      </c>
      <c r="G31" s="2" t="s">
        <v>153</v>
      </c>
    </row>
    <row r="32" spans="1:7">
      <c r="A32" s="2">
        <v>31</v>
      </c>
      <c r="B32" s="2" t="s">
        <v>154</v>
      </c>
      <c r="D32" s="2" t="s">
        <v>155</v>
      </c>
      <c r="E32" s="2" t="s">
        <v>156</v>
      </c>
      <c r="F32" s="2" t="s">
        <v>152</v>
      </c>
      <c r="G32" s="2" t="s">
        <v>153</v>
      </c>
    </row>
    <row r="33" spans="1:7">
      <c r="A33" s="2">
        <v>32</v>
      </c>
      <c r="B33" s="2" t="s">
        <v>157</v>
      </c>
      <c r="D33" s="2" t="s">
        <v>158</v>
      </c>
      <c r="E33" s="2" t="s">
        <v>159</v>
      </c>
      <c r="F33" s="2" t="s">
        <v>160</v>
      </c>
      <c r="G33" s="2" t="s">
        <v>161</v>
      </c>
    </row>
    <row r="34" spans="1:7">
      <c r="A34" s="2">
        <v>33</v>
      </c>
      <c r="B34" s="2" t="s">
        <v>162</v>
      </c>
      <c r="D34" s="2" t="s">
        <v>163</v>
      </c>
      <c r="E34" s="2" t="s">
        <v>164</v>
      </c>
      <c r="F34" s="2" t="s">
        <v>165</v>
      </c>
      <c r="G34" s="2" t="s">
        <v>166</v>
      </c>
    </row>
    <row r="35" spans="1:7">
      <c r="A35" s="2">
        <v>34</v>
      </c>
      <c r="B35" s="2" t="s">
        <v>167</v>
      </c>
      <c r="D35" s="2" t="s">
        <v>168</v>
      </c>
      <c r="E35" s="2" t="s">
        <v>169</v>
      </c>
      <c r="F35" s="2" t="s">
        <v>170</v>
      </c>
      <c r="G35" s="2" t="s">
        <v>171</v>
      </c>
    </row>
    <row r="36" spans="1:7">
      <c r="A36" s="2">
        <v>35</v>
      </c>
      <c r="B36" s="2" t="s">
        <v>172</v>
      </c>
      <c r="D36" s="2" t="s">
        <v>173</v>
      </c>
      <c r="E36" s="2" t="s">
        <v>174</v>
      </c>
      <c r="F36" s="2" t="s">
        <v>175</v>
      </c>
      <c r="G36" s="2" t="s">
        <v>176</v>
      </c>
    </row>
    <row r="37" spans="1:7">
      <c r="A37" s="2">
        <v>36</v>
      </c>
      <c r="B37" s="2" t="s">
        <v>177</v>
      </c>
      <c r="D37" s="2" t="s">
        <v>178</v>
      </c>
      <c r="E37" s="2" t="s">
        <v>179</v>
      </c>
      <c r="F37" s="2" t="s">
        <v>180</v>
      </c>
      <c r="G37" s="2" t="s">
        <v>181</v>
      </c>
    </row>
    <row r="38" spans="1:7">
      <c r="A38" s="2">
        <v>37</v>
      </c>
      <c r="B38" s="2" t="s">
        <v>182</v>
      </c>
      <c r="D38" s="2" t="s">
        <v>183</v>
      </c>
      <c r="E38" s="2" t="s">
        <v>184</v>
      </c>
      <c r="F38" s="2" t="s">
        <v>185</v>
      </c>
      <c r="G38" s="2" t="s">
        <v>186</v>
      </c>
    </row>
    <row r="39" spans="1:7">
      <c r="A39" s="2">
        <v>38</v>
      </c>
      <c r="B39" s="2" t="s">
        <v>187</v>
      </c>
      <c r="D39" s="2" t="s">
        <v>188</v>
      </c>
      <c r="E39" s="2" t="s">
        <v>189</v>
      </c>
      <c r="F39" s="2" t="s">
        <v>185</v>
      </c>
      <c r="G39" s="2" t="s">
        <v>186</v>
      </c>
    </row>
    <row r="40" spans="1:7">
      <c r="A40" s="2">
        <v>39</v>
      </c>
      <c r="B40" s="2" t="s">
        <v>190</v>
      </c>
      <c r="D40" s="2" t="s">
        <v>191</v>
      </c>
      <c r="E40" s="2" t="s">
        <v>192</v>
      </c>
      <c r="F40" s="2" t="s">
        <v>193</v>
      </c>
      <c r="G40" s="2" t="s">
        <v>194</v>
      </c>
    </row>
    <row r="41" spans="1:7">
      <c r="A41" s="2">
        <v>40</v>
      </c>
      <c r="B41" s="2" t="s">
        <v>195</v>
      </c>
      <c r="D41" s="2" t="s">
        <v>196</v>
      </c>
      <c r="E41" s="2" t="s">
        <v>197</v>
      </c>
      <c r="F41" s="2" t="s">
        <v>193</v>
      </c>
      <c r="G41" s="2" t="s">
        <v>194</v>
      </c>
    </row>
    <row r="42" spans="1:7">
      <c r="A42" s="2">
        <v>41</v>
      </c>
      <c r="B42" s="2" t="s">
        <v>198</v>
      </c>
      <c r="D42" s="2" t="s">
        <v>199</v>
      </c>
      <c r="E42" s="2" t="s">
        <v>200</v>
      </c>
      <c r="F42" s="2" t="s">
        <v>201</v>
      </c>
      <c r="G42" s="2" t="s">
        <v>202</v>
      </c>
    </row>
    <row r="43" spans="1:7">
      <c r="A43" s="2">
        <v>42</v>
      </c>
      <c r="B43" s="2" t="s">
        <v>203</v>
      </c>
      <c r="D43" s="2" t="s">
        <v>204</v>
      </c>
      <c r="E43" s="2" t="s">
        <v>205</v>
      </c>
      <c r="F43" s="2" t="s">
        <v>201</v>
      </c>
      <c r="G43" s="2" t="s">
        <v>202</v>
      </c>
    </row>
    <row r="44" spans="1:7">
      <c r="A44" s="2">
        <v>43</v>
      </c>
      <c r="B44" s="2" t="s">
        <v>206</v>
      </c>
      <c r="D44" s="2" t="s">
        <v>207</v>
      </c>
      <c r="E44" s="2" t="s">
        <v>208</v>
      </c>
      <c r="F44" s="2" t="s">
        <v>209</v>
      </c>
      <c r="G44" s="2" t="s">
        <v>210</v>
      </c>
    </row>
    <row r="45" spans="1:7">
      <c r="A45" s="2">
        <v>44</v>
      </c>
      <c r="B45" s="2" t="s">
        <v>211</v>
      </c>
      <c r="D45" s="2" t="s">
        <v>212</v>
      </c>
      <c r="E45" s="2" t="s">
        <v>213</v>
      </c>
      <c r="F45" s="2" t="s">
        <v>209</v>
      </c>
      <c r="G45" s="2" t="s">
        <v>210</v>
      </c>
    </row>
    <row r="46" spans="1:7">
      <c r="A46" s="2">
        <v>45</v>
      </c>
      <c r="B46" s="2" t="s">
        <v>214</v>
      </c>
      <c r="D46" s="2" t="s">
        <v>215</v>
      </c>
      <c r="E46" s="2" t="s">
        <v>216</v>
      </c>
      <c r="F46" s="2" t="s">
        <v>209</v>
      </c>
      <c r="G46" s="2" t="s">
        <v>210</v>
      </c>
    </row>
    <row r="47" spans="1:7">
      <c r="A47" s="2">
        <v>46</v>
      </c>
      <c r="B47" s="2" t="s">
        <v>217</v>
      </c>
      <c r="D47" s="2" t="s">
        <v>218</v>
      </c>
      <c r="E47" s="2" t="s">
        <v>219</v>
      </c>
      <c r="F47" s="2" t="s">
        <v>220</v>
      </c>
      <c r="G47" s="2" t="s">
        <v>221</v>
      </c>
    </row>
    <row r="48" spans="1:7">
      <c r="A48" s="2">
        <v>47</v>
      </c>
      <c r="B48" s="2" t="s">
        <v>222</v>
      </c>
      <c r="D48" s="2" t="s">
        <v>223</v>
      </c>
      <c r="E48" s="2" t="s">
        <v>224</v>
      </c>
      <c r="F48" s="2" t="s">
        <v>225</v>
      </c>
      <c r="G48" s="2" t="s">
        <v>226</v>
      </c>
    </row>
    <row r="49" spans="1:7">
      <c r="A49" s="2">
        <v>49</v>
      </c>
      <c r="B49" s="2" t="s">
        <v>227</v>
      </c>
      <c r="D49" s="2" t="s">
        <v>228</v>
      </c>
      <c r="E49" s="2" t="s">
        <v>229</v>
      </c>
      <c r="F49" s="2" t="s">
        <v>225</v>
      </c>
      <c r="G49" s="2" t="s">
        <v>226</v>
      </c>
    </row>
    <row r="50" spans="1:7">
      <c r="A50" s="2">
        <v>50</v>
      </c>
      <c r="B50" s="2" t="s">
        <v>230</v>
      </c>
      <c r="D50" s="2" t="s">
        <v>231</v>
      </c>
      <c r="E50" s="2" t="s">
        <v>232</v>
      </c>
      <c r="F50" s="2" t="s">
        <v>233</v>
      </c>
      <c r="G50" s="2" t="s">
        <v>234</v>
      </c>
    </row>
    <row r="51" spans="1:7">
      <c r="A51" s="2">
        <v>51</v>
      </c>
      <c r="B51" s="2" t="s">
        <v>235</v>
      </c>
      <c r="D51" s="2" t="s">
        <v>236</v>
      </c>
      <c r="E51" s="2" t="s">
        <v>237</v>
      </c>
      <c r="F51" s="2" t="s">
        <v>238</v>
      </c>
      <c r="G51" s="2" t="s">
        <v>239</v>
      </c>
    </row>
    <row r="52" spans="1:7">
      <c r="A52" s="2">
        <v>52</v>
      </c>
      <c r="B52" s="2" t="s">
        <v>240</v>
      </c>
      <c r="D52" s="2" t="s">
        <v>241</v>
      </c>
      <c r="E52" s="2" t="s">
        <v>242</v>
      </c>
      <c r="F52" s="2" t="s">
        <v>243</v>
      </c>
      <c r="G52" s="2" t="s">
        <v>244</v>
      </c>
    </row>
    <row r="53" spans="1:7">
      <c r="A53" s="2">
        <v>53</v>
      </c>
      <c r="B53" s="2" t="s">
        <v>245</v>
      </c>
      <c r="D53" s="2" t="s">
        <v>246</v>
      </c>
      <c r="E53" s="2" t="s">
        <v>247</v>
      </c>
      <c r="F53" s="2" t="s">
        <v>248</v>
      </c>
      <c r="G53" s="2" t="s">
        <v>249</v>
      </c>
    </row>
    <row r="54" spans="1:7">
      <c r="A54" s="2">
        <v>58</v>
      </c>
      <c r="B54" s="2" t="s">
        <v>250</v>
      </c>
      <c r="D54" s="2" t="s">
        <v>251</v>
      </c>
      <c r="E54" s="2" t="s">
        <v>252</v>
      </c>
      <c r="F54" s="2" t="s">
        <v>253</v>
      </c>
      <c r="G54" s="2" t="s">
        <v>254</v>
      </c>
    </row>
    <row r="55" spans="1:7">
      <c r="A55" s="2">
        <v>59</v>
      </c>
      <c r="B55" s="2" t="s">
        <v>255</v>
      </c>
      <c r="D55" s="2" t="s">
        <v>256</v>
      </c>
      <c r="E55" s="2" t="s">
        <v>257</v>
      </c>
      <c r="F55" s="2" t="s">
        <v>258</v>
      </c>
      <c r="G55" s="2" t="s">
        <v>259</v>
      </c>
    </row>
    <row r="56" spans="1:7">
      <c r="A56" s="2">
        <v>60</v>
      </c>
      <c r="B56" s="2" t="s">
        <v>260</v>
      </c>
      <c r="D56" s="2" t="s">
        <v>261</v>
      </c>
      <c r="E56" s="2" t="s">
        <v>262</v>
      </c>
      <c r="F56" s="2" t="s">
        <v>263</v>
      </c>
      <c r="G56" s="2" t="s">
        <v>264</v>
      </c>
    </row>
    <row r="57" spans="1:7">
      <c r="A57" s="2">
        <v>61</v>
      </c>
      <c r="B57" s="2" t="s">
        <v>265</v>
      </c>
      <c r="D57" s="2" t="s">
        <v>266</v>
      </c>
      <c r="E57" s="2" t="s">
        <v>267</v>
      </c>
      <c r="F57" s="2" t="s">
        <v>268</v>
      </c>
      <c r="G57" s="2" t="s">
        <v>269</v>
      </c>
    </row>
    <row r="58" spans="1:7">
      <c r="A58" s="2">
        <v>62</v>
      </c>
      <c r="B58" s="2" t="s">
        <v>270</v>
      </c>
      <c r="D58" s="2" t="s">
        <v>271</v>
      </c>
      <c r="E58" s="2" t="s">
        <v>272</v>
      </c>
      <c r="F58" s="2" t="s">
        <v>273</v>
      </c>
      <c r="G58" s="2" t="s">
        <v>274</v>
      </c>
    </row>
    <row r="59" spans="1:7">
      <c r="A59" s="2">
        <v>63</v>
      </c>
      <c r="B59" s="2" t="s">
        <v>275</v>
      </c>
      <c r="D59" s="2" t="s">
        <v>276</v>
      </c>
      <c r="E59" s="2" t="s">
        <v>277</v>
      </c>
      <c r="F59" s="2" t="s">
        <v>278</v>
      </c>
      <c r="G59" s="2" t="s">
        <v>279</v>
      </c>
    </row>
    <row r="60" spans="1:7">
      <c r="A60" s="2">
        <v>64</v>
      </c>
      <c r="B60" s="2" t="s">
        <v>280</v>
      </c>
      <c r="D60" s="2" t="s">
        <v>281</v>
      </c>
      <c r="E60" s="2" t="s">
        <v>282</v>
      </c>
      <c r="F60" s="2" t="s">
        <v>283</v>
      </c>
      <c r="G60" s="2" t="s">
        <v>284</v>
      </c>
    </row>
    <row r="61" spans="1:7">
      <c r="A61" s="2">
        <v>65</v>
      </c>
      <c r="B61" s="2" t="s">
        <v>285</v>
      </c>
      <c r="D61" s="2" t="s">
        <v>286</v>
      </c>
      <c r="E61" s="2" t="s">
        <v>287</v>
      </c>
      <c r="F61" s="2" t="s">
        <v>288</v>
      </c>
      <c r="G61" s="2" t="s">
        <v>289</v>
      </c>
    </row>
    <row r="62" spans="1:7">
      <c r="A62" s="2">
        <v>67</v>
      </c>
      <c r="B62" s="2" t="s">
        <v>290</v>
      </c>
      <c r="D62" s="2" t="s">
        <v>291</v>
      </c>
      <c r="E62" s="2" t="s">
        <v>292</v>
      </c>
      <c r="F62" s="2" t="s">
        <v>293</v>
      </c>
      <c r="G62" s="2" t="s">
        <v>294</v>
      </c>
    </row>
    <row r="63" spans="1:7">
      <c r="A63" s="2">
        <v>68</v>
      </c>
      <c r="B63" s="2" t="s">
        <v>295</v>
      </c>
      <c r="D63" s="2" t="s">
        <v>296</v>
      </c>
      <c r="E63" s="2" t="s">
        <v>297</v>
      </c>
      <c r="F63" s="2" t="s">
        <v>293</v>
      </c>
      <c r="G63" s="2" t="s">
        <v>294</v>
      </c>
    </row>
    <row r="64" spans="1:7">
      <c r="A64" s="2">
        <v>69</v>
      </c>
      <c r="B64" s="2" t="s">
        <v>298</v>
      </c>
      <c r="D64" s="2" t="s">
        <v>299</v>
      </c>
      <c r="E64" s="2" t="s">
        <v>300</v>
      </c>
      <c r="F64" s="2" t="s">
        <v>293</v>
      </c>
      <c r="G64" s="2" t="s">
        <v>294</v>
      </c>
    </row>
    <row r="65" spans="1:7">
      <c r="A65" s="2">
        <v>70</v>
      </c>
      <c r="B65" s="2" t="s">
        <v>301</v>
      </c>
      <c r="D65" s="2" t="s">
        <v>302</v>
      </c>
      <c r="E65" s="2" t="s">
        <v>303</v>
      </c>
      <c r="F65" s="2" t="s">
        <v>304</v>
      </c>
      <c r="G65" s="2" t="s">
        <v>305</v>
      </c>
    </row>
    <row r="66" spans="1:7">
      <c r="A66" s="2">
        <v>72</v>
      </c>
      <c r="B66" s="2" t="s">
        <v>306</v>
      </c>
      <c r="D66" s="2" t="s">
        <v>307</v>
      </c>
      <c r="E66" s="2" t="s">
        <v>308</v>
      </c>
      <c r="F66" s="2" t="s">
        <v>309</v>
      </c>
      <c r="G66" s="2" t="s">
        <v>310</v>
      </c>
    </row>
    <row r="67" spans="1:7">
      <c r="A67" s="2">
        <v>73</v>
      </c>
      <c r="B67" s="2" t="s">
        <v>311</v>
      </c>
      <c r="D67" s="2" t="s">
        <v>312</v>
      </c>
      <c r="E67" s="2" t="s">
        <v>313</v>
      </c>
      <c r="F67" s="2" t="s">
        <v>314</v>
      </c>
      <c r="G67" s="2" t="s">
        <v>315</v>
      </c>
    </row>
    <row r="68" spans="1:7">
      <c r="A68" s="2">
        <v>74</v>
      </c>
      <c r="B68" s="2" t="s">
        <v>316</v>
      </c>
      <c r="D68" s="2" t="s">
        <v>317</v>
      </c>
      <c r="E68" s="2" t="s">
        <v>318</v>
      </c>
      <c r="F68" s="2" t="s">
        <v>319</v>
      </c>
      <c r="G68" s="2" t="s">
        <v>320</v>
      </c>
    </row>
    <row r="69" spans="1:7">
      <c r="A69" s="2">
        <v>75</v>
      </c>
      <c r="B69" s="2" t="s">
        <v>321</v>
      </c>
      <c r="D69" s="2" t="s">
        <v>322</v>
      </c>
      <c r="E69" s="2" t="s">
        <v>323</v>
      </c>
      <c r="F69" s="2" t="s">
        <v>324</v>
      </c>
      <c r="G69" s="2" t="s">
        <v>325</v>
      </c>
    </row>
    <row r="70" spans="1:7">
      <c r="A70" s="2">
        <v>76</v>
      </c>
      <c r="B70" s="2" t="s">
        <v>326</v>
      </c>
      <c r="D70" s="2" t="s">
        <v>327</v>
      </c>
      <c r="E70" s="2" t="s">
        <v>328</v>
      </c>
      <c r="F70" s="2" t="s">
        <v>329</v>
      </c>
      <c r="G70" s="2" t="s">
        <v>330</v>
      </c>
    </row>
    <row r="71" spans="1:7">
      <c r="A71" s="2">
        <v>77</v>
      </c>
      <c r="B71" s="2" t="s">
        <v>331</v>
      </c>
      <c r="D71" s="2" t="s">
        <v>332</v>
      </c>
      <c r="E71" s="2" t="s">
        <v>333</v>
      </c>
      <c r="F71" s="2" t="s">
        <v>334</v>
      </c>
      <c r="G71" s="2" t="s">
        <v>335</v>
      </c>
    </row>
    <row r="72" spans="1:7">
      <c r="A72" s="2">
        <v>78</v>
      </c>
      <c r="B72" s="2" t="s">
        <v>336</v>
      </c>
      <c r="D72" s="2" t="s">
        <v>337</v>
      </c>
      <c r="E72" s="2" t="s">
        <v>338</v>
      </c>
      <c r="F72" s="2" t="s">
        <v>339</v>
      </c>
      <c r="G72" s="2" t="s">
        <v>340</v>
      </c>
    </row>
    <row r="73" spans="1:7">
      <c r="A73" s="2">
        <v>79</v>
      </c>
      <c r="B73" s="2" t="s">
        <v>341</v>
      </c>
      <c r="D73" s="2" t="s">
        <v>342</v>
      </c>
      <c r="E73" s="2" t="s">
        <v>343</v>
      </c>
      <c r="F73" s="2" t="s">
        <v>344</v>
      </c>
      <c r="G73" s="2" t="s">
        <v>345</v>
      </c>
    </row>
    <row r="74" spans="1:7">
      <c r="A74" s="2">
        <v>80</v>
      </c>
      <c r="B74" s="2" t="s">
        <v>346</v>
      </c>
      <c r="D74" s="2" t="s">
        <v>347</v>
      </c>
      <c r="E74" s="2" t="s">
        <v>348</v>
      </c>
      <c r="F74" s="2" t="s">
        <v>344</v>
      </c>
      <c r="G74" s="2" t="s">
        <v>345</v>
      </c>
    </row>
    <row r="75" spans="1:7">
      <c r="A75" s="2">
        <v>81</v>
      </c>
      <c r="B75" s="2" t="s">
        <v>349</v>
      </c>
      <c r="D75" s="2" t="s">
        <v>350</v>
      </c>
      <c r="E75" s="2" t="s">
        <v>351</v>
      </c>
      <c r="F75" s="2" t="s">
        <v>352</v>
      </c>
      <c r="G75" s="2" t="s">
        <v>353</v>
      </c>
    </row>
    <row r="76" spans="1:7">
      <c r="A76" s="2">
        <v>82</v>
      </c>
      <c r="B76" s="2" t="s">
        <v>354</v>
      </c>
      <c r="D76" s="2" t="s">
        <v>355</v>
      </c>
      <c r="E76" s="2" t="s">
        <v>356</v>
      </c>
      <c r="F76" s="2" t="s">
        <v>357</v>
      </c>
      <c r="G76" s="2" t="s">
        <v>358</v>
      </c>
    </row>
    <row r="77" spans="1:7">
      <c r="A77" s="2">
        <v>83</v>
      </c>
      <c r="B77" s="2" t="s">
        <v>359</v>
      </c>
      <c r="D77" s="2" t="s">
        <v>360</v>
      </c>
      <c r="E77" s="2" t="s">
        <v>361</v>
      </c>
      <c r="F77" s="2" t="s">
        <v>362</v>
      </c>
      <c r="G77" s="2" t="s">
        <v>363</v>
      </c>
    </row>
    <row r="78" spans="1:7">
      <c r="A78" s="2">
        <v>84</v>
      </c>
      <c r="B78" s="2" t="s">
        <v>364</v>
      </c>
      <c r="D78" s="2" t="s">
        <v>365</v>
      </c>
      <c r="E78" s="2" t="s">
        <v>366</v>
      </c>
      <c r="F78" s="2" t="s">
        <v>362</v>
      </c>
      <c r="G78" s="2" t="s">
        <v>363</v>
      </c>
    </row>
    <row r="79" spans="1:7">
      <c r="A79" s="2">
        <v>85</v>
      </c>
      <c r="B79" s="2" t="s">
        <v>367</v>
      </c>
      <c r="D79" s="2" t="s">
        <v>368</v>
      </c>
      <c r="E79" s="2" t="s">
        <v>369</v>
      </c>
      <c r="F79" s="2" t="s">
        <v>362</v>
      </c>
      <c r="G79" s="2" t="s">
        <v>363</v>
      </c>
    </row>
    <row r="80" spans="1:7">
      <c r="A80" s="2">
        <v>86</v>
      </c>
      <c r="B80" s="2" t="s">
        <v>370</v>
      </c>
      <c r="D80" s="2" t="s">
        <v>371</v>
      </c>
      <c r="E80" s="2" t="s">
        <v>372</v>
      </c>
      <c r="F80" s="2" t="s">
        <v>362</v>
      </c>
      <c r="G80" s="2" t="s">
        <v>363</v>
      </c>
    </row>
    <row r="81" spans="1:7">
      <c r="A81" s="2">
        <v>87</v>
      </c>
      <c r="B81" s="2" t="s">
        <v>373</v>
      </c>
      <c r="D81" s="2" t="s">
        <v>374</v>
      </c>
      <c r="E81" s="2" t="s">
        <v>375</v>
      </c>
      <c r="F81" s="2" t="s">
        <v>362</v>
      </c>
      <c r="G81" s="2" t="s">
        <v>363</v>
      </c>
    </row>
    <row r="82" spans="1:7">
      <c r="A82" s="2">
        <v>88</v>
      </c>
      <c r="B82" s="2" t="s">
        <v>376</v>
      </c>
      <c r="D82" s="2" t="s">
        <v>377</v>
      </c>
      <c r="E82" s="2" t="s">
        <v>378</v>
      </c>
      <c r="F82" s="2" t="s">
        <v>362</v>
      </c>
      <c r="G82" s="2" t="s">
        <v>363</v>
      </c>
    </row>
    <row r="83" spans="1:7">
      <c r="A83" s="2">
        <v>89</v>
      </c>
      <c r="B83" s="2" t="s">
        <v>379</v>
      </c>
      <c r="D83" s="2" t="s">
        <v>380</v>
      </c>
      <c r="E83" s="2" t="s">
        <v>381</v>
      </c>
      <c r="F83" s="2" t="s">
        <v>362</v>
      </c>
      <c r="G83" s="2" t="s">
        <v>363</v>
      </c>
    </row>
    <row r="84" spans="1:7">
      <c r="A84" s="2">
        <v>90</v>
      </c>
      <c r="B84" s="2" t="s">
        <v>382</v>
      </c>
      <c r="D84" s="2" t="s">
        <v>383</v>
      </c>
      <c r="E84" s="2" t="s">
        <v>384</v>
      </c>
      <c r="F84" s="2" t="s">
        <v>362</v>
      </c>
      <c r="G84" s="2" t="s">
        <v>363</v>
      </c>
    </row>
    <row r="85" spans="1:7">
      <c r="A85" s="2">
        <v>91</v>
      </c>
      <c r="B85" s="2" t="s">
        <v>385</v>
      </c>
      <c r="D85" s="2" t="s">
        <v>386</v>
      </c>
      <c r="E85" s="2" t="s">
        <v>387</v>
      </c>
      <c r="F85" s="2" t="s">
        <v>388</v>
      </c>
      <c r="G85" s="2" t="s">
        <v>389</v>
      </c>
    </row>
    <row r="86" spans="1:7">
      <c r="A86" s="2">
        <v>92</v>
      </c>
      <c r="B86" s="2" t="s">
        <v>390</v>
      </c>
      <c r="D86" s="2" t="s">
        <v>391</v>
      </c>
      <c r="E86" s="2" t="s">
        <v>392</v>
      </c>
      <c r="F86" s="2" t="s">
        <v>393</v>
      </c>
      <c r="G86" s="2" t="s">
        <v>394</v>
      </c>
    </row>
    <row r="87" spans="1:7">
      <c r="A87" s="2">
        <v>93</v>
      </c>
      <c r="B87" s="2" t="s">
        <v>395</v>
      </c>
      <c r="D87" s="2" t="s">
        <v>396</v>
      </c>
      <c r="E87" s="2" t="s">
        <v>397</v>
      </c>
      <c r="F87" s="2" t="s">
        <v>398</v>
      </c>
      <c r="G87" s="2" t="s">
        <v>399</v>
      </c>
    </row>
    <row r="88" spans="1:7">
      <c r="A88" s="2">
        <v>94</v>
      </c>
      <c r="B88" s="2" t="s">
        <v>400</v>
      </c>
      <c r="D88" s="2" t="s">
        <v>401</v>
      </c>
      <c r="E88" s="2" t="s">
        <v>402</v>
      </c>
      <c r="F88" s="2" t="s">
        <v>403</v>
      </c>
      <c r="G88" s="2" t="s">
        <v>404</v>
      </c>
    </row>
    <row r="89" spans="1:7">
      <c r="A89" s="2">
        <v>95</v>
      </c>
      <c r="B89" s="2" t="s">
        <v>405</v>
      </c>
      <c r="D89" s="2" t="s">
        <v>406</v>
      </c>
      <c r="E89" s="2" t="s">
        <v>407</v>
      </c>
      <c r="F89" s="2" t="s">
        <v>408</v>
      </c>
      <c r="G89" s="2" t="s">
        <v>409</v>
      </c>
    </row>
    <row r="90" spans="1:7">
      <c r="A90" s="2">
        <v>96</v>
      </c>
      <c r="B90" s="2" t="s">
        <v>410</v>
      </c>
      <c r="D90" s="2" t="s">
        <v>411</v>
      </c>
      <c r="E90" s="2" t="s">
        <v>412</v>
      </c>
      <c r="F90" s="2" t="s">
        <v>413</v>
      </c>
      <c r="G90" s="2" t="s">
        <v>414</v>
      </c>
    </row>
    <row r="91" spans="1:7">
      <c r="A91" s="2">
        <v>98</v>
      </c>
      <c r="B91" s="2" t="s">
        <v>415</v>
      </c>
      <c r="D91" s="2" t="s">
        <v>416</v>
      </c>
      <c r="E91" s="2" t="s">
        <v>417</v>
      </c>
      <c r="F91" s="2" t="s">
        <v>418</v>
      </c>
      <c r="G91" s="2" t="s">
        <v>419</v>
      </c>
    </row>
    <row r="92" spans="1:7">
      <c r="A92" s="2">
        <v>99</v>
      </c>
      <c r="B92" s="2" t="s">
        <v>420</v>
      </c>
      <c r="D92" s="2" t="s">
        <v>421</v>
      </c>
      <c r="E92" s="2" t="s">
        <v>422</v>
      </c>
      <c r="F92" s="2" t="s">
        <v>423</v>
      </c>
      <c r="G92" s="2" t="s">
        <v>424</v>
      </c>
    </row>
    <row r="93" spans="1:7">
      <c r="A93" s="2">
        <v>101</v>
      </c>
      <c r="B93" s="2" t="s">
        <v>425</v>
      </c>
      <c r="D93" s="2" t="s">
        <v>426</v>
      </c>
      <c r="E93" s="2" t="s">
        <v>427</v>
      </c>
      <c r="F93" s="2" t="s">
        <v>428</v>
      </c>
      <c r="G93" s="2" t="s">
        <v>429</v>
      </c>
    </row>
    <row r="94" spans="1:7">
      <c r="A94" s="2">
        <v>102</v>
      </c>
      <c r="B94" s="2" t="s">
        <v>430</v>
      </c>
      <c r="D94" s="2" t="s">
        <v>431</v>
      </c>
      <c r="E94" s="2" t="s">
        <v>432</v>
      </c>
      <c r="F94" s="2" t="s">
        <v>428</v>
      </c>
      <c r="G94" s="2" t="s">
        <v>429</v>
      </c>
    </row>
    <row r="95" spans="1:7">
      <c r="A95" s="2">
        <v>103</v>
      </c>
      <c r="B95" s="2" t="s">
        <v>433</v>
      </c>
      <c r="D95" s="2" t="s">
        <v>434</v>
      </c>
      <c r="E95" s="2" t="s">
        <v>435</v>
      </c>
      <c r="F95" s="2" t="s">
        <v>436</v>
      </c>
      <c r="G95" s="2" t="s">
        <v>437</v>
      </c>
    </row>
    <row r="96" spans="1:7">
      <c r="A96" s="2">
        <v>104</v>
      </c>
      <c r="B96" s="2" t="s">
        <v>438</v>
      </c>
      <c r="D96" s="2" t="s">
        <v>439</v>
      </c>
      <c r="E96" s="2" t="s">
        <v>440</v>
      </c>
      <c r="F96" s="2" t="s">
        <v>441</v>
      </c>
      <c r="G96" s="2" t="s">
        <v>442</v>
      </c>
    </row>
    <row r="97" spans="1:7">
      <c r="A97" s="2">
        <v>105</v>
      </c>
      <c r="B97" s="2" t="s">
        <v>443</v>
      </c>
      <c r="D97" s="2" t="s">
        <v>444</v>
      </c>
      <c r="E97" s="2" t="s">
        <v>445</v>
      </c>
      <c r="F97" s="2" t="s">
        <v>446</v>
      </c>
      <c r="G97" s="2" t="s">
        <v>447</v>
      </c>
    </row>
    <row r="98" spans="1:7">
      <c r="A98" s="2">
        <v>106</v>
      </c>
      <c r="B98" s="2" t="s">
        <v>448</v>
      </c>
      <c r="D98" s="2" t="s">
        <v>449</v>
      </c>
      <c r="E98" s="2" t="s">
        <v>450</v>
      </c>
      <c r="F98" s="2" t="s">
        <v>451</v>
      </c>
      <c r="G98" s="2" t="s">
        <v>452</v>
      </c>
    </row>
    <row r="99" spans="1:7">
      <c r="A99" s="2">
        <v>107</v>
      </c>
      <c r="B99" s="2" t="s">
        <v>453</v>
      </c>
      <c r="D99" s="2" t="s">
        <v>454</v>
      </c>
      <c r="E99" s="2" t="s">
        <v>455</v>
      </c>
      <c r="F99" s="2" t="s">
        <v>456</v>
      </c>
      <c r="G99" s="2" t="s">
        <v>457</v>
      </c>
    </row>
    <row r="100" spans="1:7">
      <c r="A100" s="2">
        <v>108</v>
      </c>
      <c r="B100" s="2" t="s">
        <v>458</v>
      </c>
      <c r="D100" s="2" t="s">
        <v>459</v>
      </c>
      <c r="E100" s="2" t="s">
        <v>460</v>
      </c>
      <c r="F100" s="2" t="s">
        <v>461</v>
      </c>
      <c r="G100" s="2" t="s">
        <v>462</v>
      </c>
    </row>
    <row r="101" spans="1:7">
      <c r="A101" s="2">
        <v>109</v>
      </c>
      <c r="B101" s="2" t="s">
        <v>463</v>
      </c>
      <c r="D101" s="2" t="s">
        <v>464</v>
      </c>
      <c r="E101" s="2" t="s">
        <v>465</v>
      </c>
      <c r="F101" s="2" t="s">
        <v>466</v>
      </c>
      <c r="G101" s="2" t="s">
        <v>467</v>
      </c>
    </row>
    <row r="102" spans="1:7">
      <c r="A102" s="2">
        <v>110</v>
      </c>
      <c r="B102" s="2" t="s">
        <v>468</v>
      </c>
      <c r="D102" s="2" t="s">
        <v>469</v>
      </c>
      <c r="E102" s="2" t="s">
        <v>470</v>
      </c>
      <c r="F102" s="2" t="s">
        <v>471</v>
      </c>
      <c r="G102" s="2" t="s">
        <v>472</v>
      </c>
    </row>
    <row r="103" spans="1:7">
      <c r="A103" s="2">
        <v>111</v>
      </c>
      <c r="B103" s="2" t="s">
        <v>473</v>
      </c>
      <c r="D103" s="2" t="s">
        <v>474</v>
      </c>
      <c r="E103" s="2" t="s">
        <v>475</v>
      </c>
      <c r="F103" s="2" t="s">
        <v>476</v>
      </c>
      <c r="G103" s="2" t="s">
        <v>477</v>
      </c>
    </row>
    <row r="104" spans="1:7">
      <c r="A104" s="2">
        <v>112</v>
      </c>
      <c r="B104" s="2" t="s">
        <v>478</v>
      </c>
      <c r="D104" s="2" t="s">
        <v>479</v>
      </c>
      <c r="E104" s="2" t="s">
        <v>480</v>
      </c>
      <c r="F104" s="2" t="s">
        <v>481</v>
      </c>
      <c r="G104" s="2" t="s">
        <v>482</v>
      </c>
    </row>
    <row r="105" spans="1:7">
      <c r="A105" s="2">
        <v>114</v>
      </c>
      <c r="B105" s="2" t="s">
        <v>483</v>
      </c>
      <c r="D105" s="2" t="s">
        <v>484</v>
      </c>
      <c r="E105" s="2" t="s">
        <v>485</v>
      </c>
      <c r="F105" s="2" t="s">
        <v>486</v>
      </c>
      <c r="G105" s="2" t="s">
        <v>487</v>
      </c>
    </row>
    <row r="106" spans="1:7">
      <c r="A106" s="2">
        <v>115</v>
      </c>
      <c r="B106" s="2" t="s">
        <v>488</v>
      </c>
      <c r="D106" s="2" t="s">
        <v>489</v>
      </c>
      <c r="E106" s="2" t="s">
        <v>490</v>
      </c>
      <c r="F106" s="2" t="s">
        <v>491</v>
      </c>
      <c r="G106" s="2" t="s">
        <v>492</v>
      </c>
    </row>
    <row r="107" spans="1:7">
      <c r="A107" s="2">
        <v>116</v>
      </c>
      <c r="B107" s="2" t="s">
        <v>493</v>
      </c>
      <c r="D107" s="2" t="s">
        <v>494</v>
      </c>
      <c r="E107" s="2" t="s">
        <v>495</v>
      </c>
      <c r="F107" s="2" t="s">
        <v>496</v>
      </c>
      <c r="G107" s="2" t="s">
        <v>497</v>
      </c>
    </row>
    <row r="108" spans="1:7">
      <c r="A108" s="2">
        <v>117</v>
      </c>
      <c r="B108" s="2" t="s">
        <v>498</v>
      </c>
      <c r="D108" s="2" t="s">
        <v>499</v>
      </c>
      <c r="E108" s="2" t="s">
        <v>500</v>
      </c>
      <c r="F108" s="2" t="s">
        <v>501</v>
      </c>
      <c r="G108" s="2" t="s">
        <v>502</v>
      </c>
    </row>
    <row r="109" spans="1:7">
      <c r="A109" s="2">
        <v>118</v>
      </c>
      <c r="B109" s="2" t="s">
        <v>503</v>
      </c>
      <c r="D109" s="2" t="s">
        <v>504</v>
      </c>
      <c r="E109" s="2" t="s">
        <v>505</v>
      </c>
      <c r="F109" s="2" t="s">
        <v>501</v>
      </c>
      <c r="G109" s="2" t="s">
        <v>502</v>
      </c>
    </row>
    <row r="110" spans="1:7">
      <c r="A110" s="2">
        <v>123</v>
      </c>
      <c r="B110" s="2" t="s">
        <v>506</v>
      </c>
      <c r="D110" s="2" t="s">
        <v>507</v>
      </c>
      <c r="E110" s="2" t="s">
        <v>508</v>
      </c>
      <c r="F110" s="2" t="s">
        <v>509</v>
      </c>
      <c r="G110" s="2" t="s">
        <v>510</v>
      </c>
    </row>
    <row r="111" spans="1:7">
      <c r="A111" s="2">
        <v>124</v>
      </c>
      <c r="B111" s="2" t="s">
        <v>511</v>
      </c>
      <c r="D111" s="2" t="s">
        <v>512</v>
      </c>
      <c r="E111" s="2" t="s">
        <v>513</v>
      </c>
      <c r="F111" s="2" t="s">
        <v>514</v>
      </c>
      <c r="G111" s="2" t="s">
        <v>515</v>
      </c>
    </row>
    <row r="112" spans="1:7">
      <c r="A112" s="2">
        <v>125</v>
      </c>
      <c r="B112" s="2" t="s">
        <v>516</v>
      </c>
      <c r="D112" s="2" t="s">
        <v>517</v>
      </c>
      <c r="E112" s="2" t="s">
        <v>518</v>
      </c>
      <c r="F112" s="2" t="s">
        <v>519</v>
      </c>
      <c r="G112" s="2" t="s">
        <v>520</v>
      </c>
    </row>
    <row r="113" spans="1:7">
      <c r="A113" s="2">
        <v>126</v>
      </c>
      <c r="B113" s="2" t="s">
        <v>521</v>
      </c>
      <c r="D113" s="2" t="s">
        <v>522</v>
      </c>
      <c r="E113" s="2" t="s">
        <v>523</v>
      </c>
      <c r="F113" s="2" t="s">
        <v>524</v>
      </c>
      <c r="G113" s="2" t="s">
        <v>525</v>
      </c>
    </row>
    <row r="114" spans="1:7">
      <c r="A114" s="2">
        <v>127</v>
      </c>
      <c r="B114" s="2" t="s">
        <v>526</v>
      </c>
      <c r="D114" s="2" t="s">
        <v>527</v>
      </c>
      <c r="E114" s="2" t="s">
        <v>528</v>
      </c>
      <c r="F114" s="2" t="s">
        <v>529</v>
      </c>
      <c r="G114" s="2" t="s">
        <v>530</v>
      </c>
    </row>
    <row r="115" spans="1:7">
      <c r="A115" s="2">
        <v>128</v>
      </c>
      <c r="B115" s="2" t="s">
        <v>531</v>
      </c>
      <c r="D115" s="2" t="s">
        <v>532</v>
      </c>
      <c r="E115" s="2" t="s">
        <v>533</v>
      </c>
      <c r="F115" s="2" t="s">
        <v>534</v>
      </c>
      <c r="G115" s="2" t="s">
        <v>535</v>
      </c>
    </row>
    <row r="116" spans="1:7">
      <c r="A116" s="2">
        <v>129</v>
      </c>
      <c r="B116" s="2" t="s">
        <v>536</v>
      </c>
      <c r="D116" s="2" t="s">
        <v>537</v>
      </c>
      <c r="E116" s="2" t="s">
        <v>538</v>
      </c>
      <c r="F116" s="2" t="s">
        <v>539</v>
      </c>
      <c r="G116" s="2" t="s">
        <v>540</v>
      </c>
    </row>
    <row r="117" spans="1:7">
      <c r="A117" s="2">
        <v>130</v>
      </c>
      <c r="B117" s="2" t="s">
        <v>541</v>
      </c>
      <c r="D117" s="2" t="s">
        <v>542</v>
      </c>
      <c r="E117" s="2" t="s">
        <v>543</v>
      </c>
      <c r="F117" s="2" t="s">
        <v>544</v>
      </c>
      <c r="G117" s="2" t="s">
        <v>545</v>
      </c>
    </row>
    <row r="118" spans="1:7">
      <c r="A118" s="2">
        <v>131</v>
      </c>
      <c r="B118" s="2" t="s">
        <v>546</v>
      </c>
      <c r="D118" s="2" t="s">
        <v>547</v>
      </c>
      <c r="E118" s="2" t="s">
        <v>548</v>
      </c>
      <c r="F118" s="2" t="s">
        <v>549</v>
      </c>
      <c r="G118" s="2" t="s">
        <v>550</v>
      </c>
    </row>
    <row r="119" spans="1:7">
      <c r="A119" s="2">
        <v>132</v>
      </c>
      <c r="B119" s="2" t="s">
        <v>551</v>
      </c>
      <c r="D119" s="2" t="s">
        <v>552</v>
      </c>
      <c r="E119" s="2" t="s">
        <v>553</v>
      </c>
      <c r="F119" s="2" t="s">
        <v>554</v>
      </c>
      <c r="G119" s="2" t="s">
        <v>555</v>
      </c>
    </row>
    <row r="120" spans="1:7">
      <c r="A120" s="2">
        <v>133</v>
      </c>
      <c r="B120" s="2" t="s">
        <v>556</v>
      </c>
      <c r="D120" s="2" t="s">
        <v>557</v>
      </c>
      <c r="E120" s="2" t="s">
        <v>558</v>
      </c>
      <c r="F120" s="2" t="s">
        <v>559</v>
      </c>
      <c r="G120" s="2" t="s">
        <v>560</v>
      </c>
    </row>
    <row r="121" spans="1:7">
      <c r="A121" s="2">
        <v>134</v>
      </c>
      <c r="B121" s="2" t="s">
        <v>561</v>
      </c>
      <c r="D121" s="2" t="s">
        <v>562</v>
      </c>
      <c r="E121" s="2" t="s">
        <v>563</v>
      </c>
      <c r="F121" s="2" t="s">
        <v>564</v>
      </c>
      <c r="G121" s="2" t="s">
        <v>565</v>
      </c>
    </row>
    <row r="122" spans="1:7">
      <c r="A122" s="2">
        <v>135</v>
      </c>
      <c r="B122" s="2" t="s">
        <v>566</v>
      </c>
      <c r="D122" s="2" t="s">
        <v>567</v>
      </c>
      <c r="E122" s="2" t="s">
        <v>568</v>
      </c>
      <c r="F122" s="2" t="s">
        <v>569</v>
      </c>
      <c r="G122" s="2" t="s">
        <v>570</v>
      </c>
    </row>
    <row r="123" spans="1:7">
      <c r="A123" s="2">
        <v>138</v>
      </c>
      <c r="B123" s="2" t="s">
        <v>571</v>
      </c>
      <c r="D123" s="2" t="s">
        <v>572</v>
      </c>
      <c r="E123" s="2" t="s">
        <v>573</v>
      </c>
      <c r="F123" s="2" t="s">
        <v>574</v>
      </c>
      <c r="G123" s="2" t="s">
        <v>575</v>
      </c>
    </row>
    <row r="124" spans="1:7">
      <c r="A124" s="2">
        <v>139</v>
      </c>
      <c r="B124" s="2" t="s">
        <v>576</v>
      </c>
      <c r="D124" s="2" t="s">
        <v>577</v>
      </c>
      <c r="E124" s="2" t="s">
        <v>578</v>
      </c>
      <c r="F124" s="2" t="s">
        <v>579</v>
      </c>
      <c r="G124" s="2" t="s">
        <v>580</v>
      </c>
    </row>
    <row r="125" spans="1:7">
      <c r="A125" s="2">
        <v>140</v>
      </c>
      <c r="B125" s="2" t="s">
        <v>581</v>
      </c>
      <c r="D125" s="2" t="s">
        <v>582</v>
      </c>
      <c r="E125" s="2" t="s">
        <v>583</v>
      </c>
      <c r="F125" s="2" t="s">
        <v>579</v>
      </c>
      <c r="G125" s="2" t="s">
        <v>580</v>
      </c>
    </row>
    <row r="126" spans="1:7">
      <c r="A126" s="2">
        <v>141</v>
      </c>
      <c r="B126" s="2" t="s">
        <v>584</v>
      </c>
      <c r="D126" s="2" t="s">
        <v>585</v>
      </c>
      <c r="E126" s="2" t="s">
        <v>586</v>
      </c>
      <c r="F126" s="2" t="s">
        <v>587</v>
      </c>
      <c r="G126" s="2" t="s">
        <v>588</v>
      </c>
    </row>
    <row r="127" spans="1:7">
      <c r="A127" s="2">
        <v>142</v>
      </c>
      <c r="B127" s="2" t="s">
        <v>589</v>
      </c>
      <c r="D127" s="2" t="s">
        <v>590</v>
      </c>
      <c r="E127" s="2" t="s">
        <v>591</v>
      </c>
      <c r="F127" s="2" t="s">
        <v>592</v>
      </c>
      <c r="G127" s="2" t="s">
        <v>593</v>
      </c>
    </row>
    <row r="128" spans="1:7">
      <c r="A128" s="2">
        <v>143</v>
      </c>
      <c r="B128" s="2" t="s">
        <v>594</v>
      </c>
      <c r="D128" s="2" t="s">
        <v>595</v>
      </c>
      <c r="E128" s="2" t="s">
        <v>596</v>
      </c>
      <c r="F128" s="2" t="s">
        <v>597</v>
      </c>
      <c r="G128" s="2" t="s">
        <v>598</v>
      </c>
    </row>
    <row r="129" spans="1:7">
      <c r="A129" s="2">
        <v>144</v>
      </c>
      <c r="B129" s="2" t="s">
        <v>599</v>
      </c>
      <c r="D129" s="2" t="s">
        <v>600</v>
      </c>
      <c r="E129" s="2" t="s">
        <v>601</v>
      </c>
      <c r="F129" s="2" t="s">
        <v>602</v>
      </c>
      <c r="G129" s="2" t="s">
        <v>603</v>
      </c>
    </row>
    <row r="130" spans="1:7">
      <c r="A130" s="2">
        <v>145</v>
      </c>
      <c r="B130" s="2" t="s">
        <v>604</v>
      </c>
      <c r="D130" s="2" t="s">
        <v>605</v>
      </c>
      <c r="E130" s="2" t="s">
        <v>606</v>
      </c>
      <c r="F130" s="2" t="s">
        <v>607</v>
      </c>
      <c r="G130" s="2" t="s">
        <v>608</v>
      </c>
    </row>
    <row r="131" spans="1:7">
      <c r="A131" s="2">
        <v>146</v>
      </c>
      <c r="B131" s="2" t="s">
        <v>609</v>
      </c>
      <c r="D131" s="2" t="s">
        <v>610</v>
      </c>
      <c r="E131" s="2" t="s">
        <v>611</v>
      </c>
      <c r="F131" s="2" t="s">
        <v>612</v>
      </c>
      <c r="G131" s="2" t="s">
        <v>613</v>
      </c>
    </row>
    <row r="132" spans="1:7">
      <c r="A132" s="2">
        <v>147</v>
      </c>
      <c r="B132" s="2" t="s">
        <v>614</v>
      </c>
      <c r="D132" s="2" t="s">
        <v>615</v>
      </c>
      <c r="E132" s="2" t="s">
        <v>616</v>
      </c>
      <c r="F132" s="2" t="s">
        <v>617</v>
      </c>
      <c r="G132" s="2" t="s">
        <v>618</v>
      </c>
    </row>
    <row r="133" spans="1:7">
      <c r="A133" s="2">
        <v>148</v>
      </c>
      <c r="B133" s="2" t="s">
        <v>619</v>
      </c>
      <c r="D133" s="2" t="s">
        <v>620</v>
      </c>
      <c r="E133" s="2" t="s">
        <v>621</v>
      </c>
      <c r="F133" s="2" t="s">
        <v>622</v>
      </c>
      <c r="G133" s="2" t="s">
        <v>623</v>
      </c>
    </row>
    <row r="134" spans="1:7">
      <c r="A134" s="2">
        <v>149</v>
      </c>
      <c r="B134" s="2" t="s">
        <v>624</v>
      </c>
      <c r="D134" s="2" t="s">
        <v>625</v>
      </c>
      <c r="E134" s="2" t="s">
        <v>626</v>
      </c>
      <c r="F134" s="2" t="s">
        <v>627</v>
      </c>
      <c r="G134" s="2" t="s">
        <v>628</v>
      </c>
    </row>
    <row r="135" spans="1:7">
      <c r="A135" s="2">
        <v>151</v>
      </c>
      <c r="B135" s="2" t="s">
        <v>629</v>
      </c>
      <c r="D135" s="2" t="s">
        <v>630</v>
      </c>
      <c r="E135" s="2" t="s">
        <v>631</v>
      </c>
      <c r="F135" s="2" t="s">
        <v>632</v>
      </c>
      <c r="G135" s="2" t="s">
        <v>633</v>
      </c>
    </row>
    <row r="136" spans="1:7">
      <c r="A136" s="2">
        <v>152</v>
      </c>
      <c r="B136" s="2" t="s">
        <v>634</v>
      </c>
      <c r="D136" s="2" t="s">
        <v>635</v>
      </c>
      <c r="E136" s="2" t="s">
        <v>636</v>
      </c>
      <c r="F136" s="2" t="s">
        <v>632</v>
      </c>
      <c r="G136" s="2" t="s">
        <v>633</v>
      </c>
    </row>
    <row r="137" spans="1:7">
      <c r="A137" s="2">
        <v>154</v>
      </c>
      <c r="B137" s="2" t="s">
        <v>637</v>
      </c>
      <c r="D137" s="2" t="s">
        <v>638</v>
      </c>
      <c r="E137" s="2" t="s">
        <v>639</v>
      </c>
      <c r="F137" s="2" t="s">
        <v>640</v>
      </c>
      <c r="G137" s="2" t="s">
        <v>641</v>
      </c>
    </row>
    <row r="138" spans="1:7">
      <c r="A138" s="2">
        <v>155</v>
      </c>
      <c r="B138" s="2" t="s">
        <v>642</v>
      </c>
      <c r="D138" s="2" t="s">
        <v>643</v>
      </c>
      <c r="E138" s="2" t="s">
        <v>644</v>
      </c>
      <c r="F138" s="2" t="s">
        <v>645</v>
      </c>
      <c r="G138" s="2" t="s">
        <v>646</v>
      </c>
    </row>
    <row r="139" spans="1:7">
      <c r="A139" s="2">
        <v>156</v>
      </c>
      <c r="B139" s="2" t="s">
        <v>647</v>
      </c>
      <c r="D139" s="2" t="s">
        <v>648</v>
      </c>
      <c r="E139" s="2" t="s">
        <v>649</v>
      </c>
      <c r="F139" s="2" t="s">
        <v>650</v>
      </c>
      <c r="G139" s="2" t="s">
        <v>651</v>
      </c>
    </row>
    <row r="140" spans="1:7">
      <c r="A140" s="2">
        <v>157</v>
      </c>
      <c r="B140" s="2" t="s">
        <v>652</v>
      </c>
      <c r="D140" s="2" t="s">
        <v>653</v>
      </c>
      <c r="E140" s="2" t="s">
        <v>654</v>
      </c>
      <c r="F140" s="2" t="s">
        <v>655</v>
      </c>
      <c r="G140" s="2" t="s">
        <v>656</v>
      </c>
    </row>
    <row r="141" spans="1:7">
      <c r="A141" s="2">
        <v>158</v>
      </c>
      <c r="B141" s="2" t="s">
        <v>657</v>
      </c>
      <c r="D141" s="2" t="s">
        <v>658</v>
      </c>
      <c r="E141" s="2" t="s">
        <v>659</v>
      </c>
      <c r="F141" s="2" t="s">
        <v>660</v>
      </c>
      <c r="G141" s="2" t="s">
        <v>661</v>
      </c>
    </row>
    <row r="142" spans="1:7">
      <c r="A142" s="2">
        <v>162</v>
      </c>
      <c r="B142" s="2" t="s">
        <v>662</v>
      </c>
      <c r="D142" s="2" t="s">
        <v>663</v>
      </c>
      <c r="E142" s="2" t="s">
        <v>664</v>
      </c>
      <c r="F142" s="2" t="s">
        <v>665</v>
      </c>
      <c r="G142" s="2" t="s">
        <v>666</v>
      </c>
    </row>
    <row r="143" spans="1:7">
      <c r="A143" s="2">
        <v>163</v>
      </c>
      <c r="B143" s="2" t="s">
        <v>667</v>
      </c>
      <c r="D143" s="2" t="s">
        <v>668</v>
      </c>
      <c r="E143" s="2" t="s">
        <v>669</v>
      </c>
      <c r="F143" s="2" t="s">
        <v>670</v>
      </c>
      <c r="G143" s="2" t="s">
        <v>671</v>
      </c>
    </row>
    <row r="144" spans="1:7">
      <c r="A144" s="2">
        <v>164</v>
      </c>
      <c r="B144" s="2" t="s">
        <v>672</v>
      </c>
      <c r="D144" s="2" t="s">
        <v>673</v>
      </c>
      <c r="E144" s="2" t="s">
        <v>674</v>
      </c>
      <c r="F144" s="2" t="s">
        <v>675</v>
      </c>
      <c r="G144" s="2" t="s">
        <v>676</v>
      </c>
    </row>
    <row r="145" spans="1:7">
      <c r="A145" s="2">
        <v>165</v>
      </c>
      <c r="B145" s="2" t="s">
        <v>677</v>
      </c>
      <c r="D145" s="2" t="s">
        <v>678</v>
      </c>
      <c r="E145" s="2" t="s">
        <v>679</v>
      </c>
      <c r="F145" s="2" t="s">
        <v>680</v>
      </c>
      <c r="G145" s="2" t="s">
        <v>681</v>
      </c>
    </row>
    <row r="146" spans="1:7">
      <c r="A146" s="2">
        <v>166</v>
      </c>
      <c r="B146" s="2" t="s">
        <v>682</v>
      </c>
      <c r="D146" s="2" t="s">
        <v>683</v>
      </c>
      <c r="E146" s="2" t="s">
        <v>684</v>
      </c>
      <c r="F146" s="2" t="s">
        <v>685</v>
      </c>
      <c r="G146" s="2" t="s">
        <v>686</v>
      </c>
    </row>
    <row r="147" spans="1:7">
      <c r="A147" s="2">
        <v>167</v>
      </c>
      <c r="B147" s="2" t="s">
        <v>687</v>
      </c>
      <c r="D147" s="2" t="s">
        <v>688</v>
      </c>
      <c r="E147" s="2" t="s">
        <v>689</v>
      </c>
      <c r="F147" s="2" t="s">
        <v>690</v>
      </c>
      <c r="G147" s="2" t="s">
        <v>691</v>
      </c>
    </row>
    <row r="148" spans="1:7">
      <c r="A148" s="2">
        <v>168</v>
      </c>
      <c r="B148" s="2" t="s">
        <v>692</v>
      </c>
      <c r="D148" s="2" t="s">
        <v>693</v>
      </c>
      <c r="E148" s="2" t="s">
        <v>694</v>
      </c>
      <c r="F148" s="2" t="s">
        <v>695</v>
      </c>
      <c r="G148" s="2" t="s">
        <v>696</v>
      </c>
    </row>
    <row r="149" spans="1:7">
      <c r="A149" s="2">
        <v>169</v>
      </c>
      <c r="B149" s="2" t="s">
        <v>697</v>
      </c>
      <c r="D149" s="2" t="s">
        <v>698</v>
      </c>
      <c r="E149" s="2" t="s">
        <v>699</v>
      </c>
      <c r="F149" s="2" t="s">
        <v>700</v>
      </c>
      <c r="G149" s="2" t="s">
        <v>701</v>
      </c>
    </row>
    <row r="150" spans="1:7">
      <c r="A150" s="2">
        <v>170</v>
      </c>
      <c r="B150" s="2" t="s">
        <v>702</v>
      </c>
      <c r="D150" s="2" t="s">
        <v>703</v>
      </c>
      <c r="E150" s="2" t="s">
        <v>704</v>
      </c>
      <c r="F150" s="2" t="s">
        <v>705</v>
      </c>
      <c r="G150" s="2" t="s">
        <v>706</v>
      </c>
    </row>
    <row r="151" spans="1:7">
      <c r="A151" s="2">
        <v>178</v>
      </c>
      <c r="B151" s="2" t="s">
        <v>707</v>
      </c>
      <c r="D151" s="2" t="s">
        <v>708</v>
      </c>
      <c r="E151" s="2" t="s">
        <v>709</v>
      </c>
      <c r="F151" s="2" t="s">
        <v>710</v>
      </c>
      <c r="G151" s="2" t="s">
        <v>711</v>
      </c>
    </row>
    <row r="152" spans="1:7">
      <c r="A152" s="2">
        <v>179</v>
      </c>
      <c r="B152" s="2" t="s">
        <v>712</v>
      </c>
      <c r="D152" s="2" t="s">
        <v>713</v>
      </c>
      <c r="E152" s="2" t="s">
        <v>714</v>
      </c>
      <c r="F152" s="2" t="s">
        <v>710</v>
      </c>
      <c r="G152" s="2" t="s">
        <v>711</v>
      </c>
    </row>
    <row r="153" spans="1:7">
      <c r="A153" s="2">
        <v>180</v>
      </c>
      <c r="B153" s="2" t="s">
        <v>715</v>
      </c>
      <c r="D153" s="2" t="s">
        <v>716</v>
      </c>
      <c r="E153" s="2" t="s">
        <v>717</v>
      </c>
      <c r="F153" s="2" t="s">
        <v>710</v>
      </c>
      <c r="G153" s="2" t="s">
        <v>711</v>
      </c>
    </row>
    <row r="154" spans="1:7">
      <c r="A154" s="2">
        <v>181</v>
      </c>
      <c r="B154" s="2" t="s">
        <v>718</v>
      </c>
      <c r="D154" s="2" t="s">
        <v>719</v>
      </c>
      <c r="E154" s="2" t="s">
        <v>720</v>
      </c>
      <c r="F154" s="2" t="s">
        <v>710</v>
      </c>
      <c r="G154" s="2" t="s">
        <v>711</v>
      </c>
    </row>
    <row r="155" spans="1:7">
      <c r="A155" s="2">
        <v>192</v>
      </c>
      <c r="B155" s="2" t="s">
        <v>721</v>
      </c>
      <c r="D155" s="2" t="s">
        <v>722</v>
      </c>
      <c r="E155" s="2" t="s">
        <v>723</v>
      </c>
      <c r="F155" s="2" t="s">
        <v>724</v>
      </c>
      <c r="G155" s="2" t="s">
        <v>725</v>
      </c>
    </row>
    <row r="156" spans="1:7">
      <c r="A156" s="2">
        <v>193</v>
      </c>
      <c r="B156" s="2" t="s">
        <v>726</v>
      </c>
      <c r="D156" s="2" t="s">
        <v>727</v>
      </c>
      <c r="E156" s="2" t="s">
        <v>728</v>
      </c>
      <c r="F156" s="2" t="s">
        <v>724</v>
      </c>
      <c r="G156" s="2" t="s">
        <v>725</v>
      </c>
    </row>
    <row r="157" spans="1:7">
      <c r="A157" s="2">
        <v>194</v>
      </c>
      <c r="B157" s="2" t="s">
        <v>729</v>
      </c>
      <c r="D157" s="2" t="s">
        <v>730</v>
      </c>
      <c r="E157" s="2" t="s">
        <v>731</v>
      </c>
      <c r="F157" s="2" t="s">
        <v>732</v>
      </c>
      <c r="G157" s="2" t="s">
        <v>733</v>
      </c>
    </row>
    <row r="158" spans="1:7">
      <c r="A158" s="2">
        <v>195</v>
      </c>
      <c r="B158" s="2" t="s">
        <v>734</v>
      </c>
      <c r="D158" s="2" t="s">
        <v>735</v>
      </c>
      <c r="E158" s="2" t="s">
        <v>736</v>
      </c>
      <c r="F158" s="2" t="s">
        <v>737</v>
      </c>
      <c r="G158" s="2" t="s">
        <v>738</v>
      </c>
    </row>
    <row r="159" spans="1:7">
      <c r="A159" s="2">
        <v>196</v>
      </c>
      <c r="B159" s="2" t="s">
        <v>739</v>
      </c>
      <c r="D159" s="2" t="s">
        <v>740</v>
      </c>
      <c r="E159" s="2" t="s">
        <v>741</v>
      </c>
      <c r="F159" s="2" t="s">
        <v>742</v>
      </c>
      <c r="G159" s="2" t="s">
        <v>743</v>
      </c>
    </row>
    <row r="160" spans="1:7">
      <c r="A160" s="2">
        <v>197</v>
      </c>
      <c r="B160" s="2" t="s">
        <v>744</v>
      </c>
      <c r="D160" s="2" t="s">
        <v>745</v>
      </c>
      <c r="E160" s="2" t="s">
        <v>746</v>
      </c>
      <c r="F160" s="2" t="s">
        <v>747</v>
      </c>
      <c r="G160" s="2" t="s">
        <v>748</v>
      </c>
    </row>
    <row r="161" spans="1:7">
      <c r="A161" s="2">
        <v>198</v>
      </c>
      <c r="B161" s="2" t="s">
        <v>749</v>
      </c>
      <c r="D161" s="2" t="s">
        <v>750</v>
      </c>
      <c r="E161" s="2" t="s">
        <v>751</v>
      </c>
      <c r="F161" s="2" t="s">
        <v>752</v>
      </c>
      <c r="G161" s="2" t="s">
        <v>753</v>
      </c>
    </row>
    <row r="162" spans="1:7">
      <c r="A162" s="2">
        <v>199</v>
      </c>
      <c r="B162" s="2" t="s">
        <v>754</v>
      </c>
      <c r="D162" s="2" t="s">
        <v>755</v>
      </c>
      <c r="E162" s="2" t="s">
        <v>756</v>
      </c>
      <c r="F162" s="2" t="s">
        <v>752</v>
      </c>
      <c r="G162" s="2" t="s">
        <v>753</v>
      </c>
    </row>
    <row r="163" spans="1:7">
      <c r="A163" s="2">
        <v>200</v>
      </c>
      <c r="B163" s="2" t="s">
        <v>757</v>
      </c>
      <c r="D163" s="2" t="s">
        <v>758</v>
      </c>
      <c r="E163" s="2" t="s">
        <v>759</v>
      </c>
      <c r="F163" s="2" t="s">
        <v>760</v>
      </c>
      <c r="G163" s="2" t="s">
        <v>761</v>
      </c>
    </row>
    <row r="164" spans="1:7">
      <c r="A164" s="2">
        <v>201</v>
      </c>
      <c r="B164" s="2" t="s">
        <v>762</v>
      </c>
      <c r="D164" s="2" t="s">
        <v>763</v>
      </c>
      <c r="E164" s="2" t="s">
        <v>764</v>
      </c>
      <c r="F164" s="2" t="s">
        <v>765</v>
      </c>
      <c r="G164" s="2" t="s">
        <v>766</v>
      </c>
    </row>
    <row r="165" spans="1:7">
      <c r="A165" s="2">
        <v>202</v>
      </c>
      <c r="B165" s="2" t="s">
        <v>767</v>
      </c>
      <c r="D165" s="2" t="s">
        <v>768</v>
      </c>
      <c r="E165" s="2" t="s">
        <v>769</v>
      </c>
      <c r="F165" s="2" t="s">
        <v>770</v>
      </c>
      <c r="G165" s="2" t="s">
        <v>771</v>
      </c>
    </row>
    <row r="166" spans="1:7">
      <c r="A166" s="2">
        <v>203</v>
      </c>
      <c r="B166" s="2" t="s">
        <v>772</v>
      </c>
      <c r="D166" s="2" t="s">
        <v>773</v>
      </c>
      <c r="E166" s="2" t="s">
        <v>774</v>
      </c>
      <c r="F166" s="2" t="s">
        <v>775</v>
      </c>
      <c r="G166" s="2" t="s">
        <v>776</v>
      </c>
    </row>
    <row r="167" spans="1:7">
      <c r="A167" s="2">
        <v>204</v>
      </c>
      <c r="B167" s="2" t="s">
        <v>777</v>
      </c>
      <c r="D167" s="2" t="s">
        <v>778</v>
      </c>
      <c r="E167" s="2" t="s">
        <v>779</v>
      </c>
      <c r="F167" s="2" t="s">
        <v>780</v>
      </c>
      <c r="G167" s="2" t="s">
        <v>781</v>
      </c>
    </row>
    <row r="168" spans="1:7">
      <c r="A168" s="2">
        <v>205</v>
      </c>
      <c r="B168" s="2" t="s">
        <v>782</v>
      </c>
      <c r="D168" s="2" t="s">
        <v>783</v>
      </c>
      <c r="E168" s="2" t="s">
        <v>784</v>
      </c>
      <c r="F168" s="2" t="s">
        <v>785</v>
      </c>
      <c r="G168" s="2" t="s">
        <v>786</v>
      </c>
    </row>
    <row r="169" spans="1:7">
      <c r="A169" s="2">
        <v>206</v>
      </c>
      <c r="B169" s="2" t="s">
        <v>787</v>
      </c>
      <c r="D169" s="2" t="s">
        <v>788</v>
      </c>
      <c r="E169" s="2" t="s">
        <v>789</v>
      </c>
      <c r="F169" s="2" t="s">
        <v>790</v>
      </c>
      <c r="G169" s="2" t="s">
        <v>791</v>
      </c>
    </row>
    <row r="170" spans="1:7">
      <c r="A170" s="2">
        <v>207</v>
      </c>
      <c r="B170" s="2" t="s">
        <v>792</v>
      </c>
      <c r="D170" s="2" t="s">
        <v>793</v>
      </c>
      <c r="E170" s="2" t="s">
        <v>794</v>
      </c>
      <c r="F170" s="2" t="s">
        <v>795</v>
      </c>
      <c r="G170" s="2" t="s">
        <v>796</v>
      </c>
    </row>
    <row r="171" spans="1:7">
      <c r="A171" s="2">
        <v>208</v>
      </c>
      <c r="B171" s="2" t="s">
        <v>797</v>
      </c>
      <c r="D171" s="2" t="s">
        <v>798</v>
      </c>
      <c r="E171" s="2" t="s">
        <v>799</v>
      </c>
      <c r="F171" s="2" t="s">
        <v>800</v>
      </c>
      <c r="G171" s="2" t="s">
        <v>801</v>
      </c>
    </row>
    <row r="172" spans="1:7">
      <c r="A172" s="2">
        <v>209</v>
      </c>
      <c r="B172" s="2" t="s">
        <v>802</v>
      </c>
      <c r="D172" s="2" t="s">
        <v>803</v>
      </c>
      <c r="E172" s="2" t="s">
        <v>804</v>
      </c>
      <c r="F172" s="2" t="s">
        <v>805</v>
      </c>
      <c r="G172" s="2" t="s">
        <v>806</v>
      </c>
    </row>
    <row r="173" spans="1:7">
      <c r="A173" s="2">
        <v>210</v>
      </c>
      <c r="B173" s="2" t="s">
        <v>807</v>
      </c>
      <c r="D173" s="2" t="s">
        <v>808</v>
      </c>
      <c r="E173" s="2" t="s">
        <v>809</v>
      </c>
      <c r="F173" s="2" t="s">
        <v>810</v>
      </c>
      <c r="G173" s="2" t="s">
        <v>811</v>
      </c>
    </row>
    <row r="174" spans="1:7">
      <c r="A174" s="2">
        <v>211</v>
      </c>
      <c r="B174" s="2" t="s">
        <v>812</v>
      </c>
      <c r="D174" s="2" t="s">
        <v>813</v>
      </c>
      <c r="E174" s="2" t="s">
        <v>814</v>
      </c>
      <c r="F174" s="2" t="s">
        <v>815</v>
      </c>
      <c r="G174" s="2" t="s">
        <v>816</v>
      </c>
    </row>
    <row r="175" spans="1:7">
      <c r="A175" s="2">
        <v>212</v>
      </c>
      <c r="B175" s="2" t="s">
        <v>817</v>
      </c>
      <c r="D175" s="2" t="s">
        <v>818</v>
      </c>
      <c r="E175" s="2" t="s">
        <v>819</v>
      </c>
      <c r="F175" s="2" t="s">
        <v>820</v>
      </c>
      <c r="G175" s="2" t="s">
        <v>821</v>
      </c>
    </row>
    <row r="176" spans="1:7">
      <c r="A176" s="2">
        <v>213</v>
      </c>
      <c r="B176" s="2" t="s">
        <v>822</v>
      </c>
      <c r="D176" s="2" t="s">
        <v>823</v>
      </c>
      <c r="E176" s="2" t="s">
        <v>824</v>
      </c>
      <c r="F176" s="2" t="s">
        <v>825</v>
      </c>
      <c r="G176" s="2" t="s">
        <v>826</v>
      </c>
    </row>
    <row r="177" spans="1:7">
      <c r="A177" s="2">
        <v>214</v>
      </c>
      <c r="B177" s="2" t="s">
        <v>827</v>
      </c>
      <c r="D177" s="2" t="s">
        <v>828</v>
      </c>
      <c r="E177" s="2" t="s">
        <v>829</v>
      </c>
      <c r="F177" s="2" t="s">
        <v>830</v>
      </c>
      <c r="G177" s="2" t="s">
        <v>831</v>
      </c>
    </row>
    <row r="178" spans="1:7">
      <c r="A178" s="2">
        <v>215</v>
      </c>
      <c r="B178" s="2" t="s">
        <v>832</v>
      </c>
      <c r="D178" s="2" t="s">
        <v>833</v>
      </c>
      <c r="E178" s="2" t="s">
        <v>834</v>
      </c>
      <c r="F178" s="2" t="s">
        <v>835</v>
      </c>
      <c r="G178" s="2" t="s">
        <v>836</v>
      </c>
    </row>
    <row r="179" spans="1:7">
      <c r="A179" s="2">
        <v>216</v>
      </c>
      <c r="B179" s="2" t="s">
        <v>837</v>
      </c>
      <c r="D179" s="2" t="s">
        <v>838</v>
      </c>
      <c r="E179" s="2" t="s">
        <v>839</v>
      </c>
      <c r="F179" s="2" t="s">
        <v>840</v>
      </c>
      <c r="G179" s="2" t="s">
        <v>841</v>
      </c>
    </row>
    <row r="180" spans="1:7">
      <c r="A180" s="2">
        <v>217</v>
      </c>
      <c r="B180" s="2" t="s">
        <v>842</v>
      </c>
      <c r="D180" s="2" t="s">
        <v>843</v>
      </c>
      <c r="E180" s="2" t="s">
        <v>844</v>
      </c>
      <c r="F180" s="2" t="s">
        <v>845</v>
      </c>
      <c r="G180" s="2" t="s">
        <v>846</v>
      </c>
    </row>
    <row r="181" spans="1:7">
      <c r="A181" s="2">
        <v>218</v>
      </c>
      <c r="B181" s="2" t="s">
        <v>847</v>
      </c>
      <c r="D181" s="2" t="s">
        <v>848</v>
      </c>
      <c r="E181" s="2" t="s">
        <v>849</v>
      </c>
      <c r="F181" s="2" t="s">
        <v>850</v>
      </c>
      <c r="G181" s="2" t="s">
        <v>851</v>
      </c>
    </row>
    <row r="182" spans="1:7">
      <c r="A182" s="2">
        <v>219</v>
      </c>
      <c r="B182" s="2" t="s">
        <v>852</v>
      </c>
      <c r="D182" s="2" t="s">
        <v>853</v>
      </c>
      <c r="E182" s="2" t="s">
        <v>854</v>
      </c>
      <c r="F182" s="2" t="s">
        <v>855</v>
      </c>
      <c r="G182" s="2" t="s">
        <v>856</v>
      </c>
    </row>
    <row r="183" spans="1:7">
      <c r="A183" s="2">
        <v>220</v>
      </c>
      <c r="B183" s="2" t="s">
        <v>857</v>
      </c>
      <c r="D183" s="2" t="s">
        <v>858</v>
      </c>
      <c r="E183" s="2" t="s">
        <v>859</v>
      </c>
      <c r="F183" s="2" t="s">
        <v>860</v>
      </c>
      <c r="G183" s="2" t="s">
        <v>861</v>
      </c>
    </row>
    <row r="184" spans="1:7">
      <c r="A184" s="2">
        <v>221</v>
      </c>
      <c r="B184" s="2" t="s">
        <v>862</v>
      </c>
      <c r="D184" s="2" t="s">
        <v>863</v>
      </c>
      <c r="E184" s="2" t="s">
        <v>864</v>
      </c>
      <c r="F184" s="2" t="s">
        <v>865</v>
      </c>
      <c r="G184" s="2" t="s">
        <v>866</v>
      </c>
    </row>
    <row r="185" spans="1:7">
      <c r="A185" s="2">
        <v>222</v>
      </c>
      <c r="B185" s="2" t="s">
        <v>867</v>
      </c>
      <c r="D185" s="2" t="s">
        <v>868</v>
      </c>
      <c r="E185" s="2" t="s">
        <v>869</v>
      </c>
      <c r="F185" s="2" t="s">
        <v>870</v>
      </c>
      <c r="G185" s="2" t="s">
        <v>871</v>
      </c>
    </row>
    <row r="186" spans="1:7">
      <c r="A186" s="2">
        <v>223</v>
      </c>
      <c r="B186" s="2" t="s">
        <v>872</v>
      </c>
      <c r="D186" s="2" t="s">
        <v>873</v>
      </c>
      <c r="E186" s="2" t="s">
        <v>874</v>
      </c>
      <c r="F186" s="2" t="s">
        <v>875</v>
      </c>
      <c r="G186" s="2" t="s">
        <v>876</v>
      </c>
    </row>
    <row r="187" spans="1:7">
      <c r="A187" s="2">
        <v>224</v>
      </c>
      <c r="B187" s="2" t="s">
        <v>877</v>
      </c>
      <c r="D187" s="2" t="s">
        <v>878</v>
      </c>
      <c r="E187" s="2" t="s">
        <v>879</v>
      </c>
      <c r="F187" s="2" t="s">
        <v>880</v>
      </c>
      <c r="G187" s="2" t="s">
        <v>881</v>
      </c>
    </row>
    <row r="188" spans="1:7">
      <c r="A188" s="2">
        <v>225</v>
      </c>
      <c r="B188" s="2" t="s">
        <v>882</v>
      </c>
      <c r="D188" s="2" t="s">
        <v>883</v>
      </c>
      <c r="E188" s="2" t="s">
        <v>884</v>
      </c>
      <c r="F188" s="2" t="s">
        <v>885</v>
      </c>
      <c r="G188" s="2" t="s">
        <v>886</v>
      </c>
    </row>
    <row r="189" spans="1:7">
      <c r="A189" s="2">
        <v>226</v>
      </c>
      <c r="B189" s="2" t="s">
        <v>887</v>
      </c>
      <c r="D189" s="2" t="s">
        <v>888</v>
      </c>
      <c r="E189" s="2" t="s">
        <v>889</v>
      </c>
      <c r="F189" s="2" t="s">
        <v>890</v>
      </c>
      <c r="G189" s="2" t="s">
        <v>891</v>
      </c>
    </row>
    <row r="190" spans="1:7">
      <c r="A190" s="2">
        <v>227</v>
      </c>
      <c r="B190" s="2" t="s">
        <v>892</v>
      </c>
      <c r="D190" s="2" t="s">
        <v>893</v>
      </c>
      <c r="E190" s="2" t="s">
        <v>894</v>
      </c>
      <c r="F190" s="2" t="s">
        <v>895</v>
      </c>
      <c r="G190" s="2" t="s">
        <v>896</v>
      </c>
    </row>
    <row r="191" spans="1:7">
      <c r="A191" s="2">
        <v>228</v>
      </c>
      <c r="B191" s="2" t="s">
        <v>897</v>
      </c>
      <c r="D191" s="2" t="s">
        <v>898</v>
      </c>
      <c r="E191" s="2" t="s">
        <v>899</v>
      </c>
      <c r="F191" s="2" t="s">
        <v>900</v>
      </c>
      <c r="G191" s="2" t="s">
        <v>901</v>
      </c>
    </row>
    <row r="192" spans="1:7">
      <c r="A192" s="2">
        <v>229</v>
      </c>
      <c r="B192" s="2" t="s">
        <v>902</v>
      </c>
      <c r="D192" s="2" t="s">
        <v>903</v>
      </c>
      <c r="E192" s="2" t="s">
        <v>904</v>
      </c>
      <c r="F192" s="2" t="s">
        <v>905</v>
      </c>
      <c r="G192" s="2" t="s">
        <v>906</v>
      </c>
    </row>
    <row r="193" spans="1:7">
      <c r="A193" s="2">
        <v>230</v>
      </c>
      <c r="B193" s="2" t="s">
        <v>907</v>
      </c>
      <c r="D193" s="2" t="s">
        <v>908</v>
      </c>
      <c r="E193" s="2" t="s">
        <v>909</v>
      </c>
      <c r="F193" s="2" t="s">
        <v>910</v>
      </c>
      <c r="G193" s="2" t="s">
        <v>911</v>
      </c>
    </row>
    <row r="194" spans="1:7">
      <c r="A194" s="2">
        <v>231</v>
      </c>
      <c r="B194" s="2" t="s">
        <v>912</v>
      </c>
      <c r="D194" s="2" t="s">
        <v>913</v>
      </c>
      <c r="E194" s="2" t="s">
        <v>914</v>
      </c>
      <c r="F194" s="2" t="s">
        <v>915</v>
      </c>
      <c r="G194" s="2" t="s">
        <v>916</v>
      </c>
    </row>
    <row r="195" spans="1:7">
      <c r="A195" s="2">
        <v>232</v>
      </c>
      <c r="B195" s="2" t="s">
        <v>917</v>
      </c>
      <c r="D195" s="2" t="s">
        <v>918</v>
      </c>
      <c r="E195" s="2" t="s">
        <v>919</v>
      </c>
      <c r="F195" s="2" t="s">
        <v>920</v>
      </c>
      <c r="G195" s="2" t="s">
        <v>921</v>
      </c>
    </row>
    <row r="196" spans="1:7">
      <c r="A196" s="2">
        <v>233</v>
      </c>
      <c r="B196" s="2" t="s">
        <v>922</v>
      </c>
      <c r="D196" s="2" t="s">
        <v>923</v>
      </c>
      <c r="E196" s="2" t="s">
        <v>924</v>
      </c>
      <c r="F196" s="2" t="s">
        <v>925</v>
      </c>
      <c r="G196" s="2" t="s">
        <v>926</v>
      </c>
    </row>
    <row r="197" spans="1:7">
      <c r="A197" s="2">
        <v>234</v>
      </c>
      <c r="B197" s="2" t="s">
        <v>927</v>
      </c>
      <c r="D197" s="2" t="s">
        <v>928</v>
      </c>
      <c r="E197" s="2" t="s">
        <v>929</v>
      </c>
      <c r="F197" s="2" t="s">
        <v>930</v>
      </c>
      <c r="G197" s="2" t="s">
        <v>931</v>
      </c>
    </row>
    <row r="198" spans="1:7">
      <c r="A198" s="2">
        <v>235</v>
      </c>
      <c r="B198" s="2" t="s">
        <v>932</v>
      </c>
      <c r="D198" s="2" t="s">
        <v>933</v>
      </c>
      <c r="E198" s="2" t="s">
        <v>934</v>
      </c>
      <c r="F198" s="2" t="s">
        <v>935</v>
      </c>
      <c r="G198" s="2" t="s">
        <v>936</v>
      </c>
    </row>
    <row r="199" spans="1:7">
      <c r="A199" s="2">
        <v>236</v>
      </c>
      <c r="B199" s="2" t="s">
        <v>937</v>
      </c>
      <c r="D199" s="2" t="s">
        <v>938</v>
      </c>
      <c r="E199" s="2" t="s">
        <v>939</v>
      </c>
      <c r="F199" s="2" t="s">
        <v>940</v>
      </c>
      <c r="G199" s="2" t="s">
        <v>941</v>
      </c>
    </row>
    <row r="200" spans="1:7">
      <c r="A200" s="2">
        <v>237</v>
      </c>
      <c r="B200" s="2" t="s">
        <v>942</v>
      </c>
      <c r="D200" s="2" t="s">
        <v>943</v>
      </c>
      <c r="E200" s="2" t="s">
        <v>944</v>
      </c>
      <c r="F200" s="2" t="s">
        <v>945</v>
      </c>
      <c r="G200" s="2" t="s">
        <v>946</v>
      </c>
    </row>
    <row r="201" spans="1:7">
      <c r="A201" s="2">
        <v>238</v>
      </c>
      <c r="B201" s="2" t="s">
        <v>947</v>
      </c>
      <c r="D201" s="2" t="s">
        <v>948</v>
      </c>
      <c r="E201" s="2" t="s">
        <v>949</v>
      </c>
      <c r="F201" s="2" t="s">
        <v>950</v>
      </c>
      <c r="G201" s="2" t="s">
        <v>951</v>
      </c>
    </row>
    <row r="202" spans="1:7">
      <c r="A202" s="2">
        <v>239</v>
      </c>
      <c r="B202" s="2" t="s">
        <v>952</v>
      </c>
      <c r="D202" s="2" t="s">
        <v>953</v>
      </c>
      <c r="E202" s="2" t="s">
        <v>954</v>
      </c>
      <c r="F202" s="2" t="s">
        <v>955</v>
      </c>
      <c r="G202" s="2" t="s">
        <v>956</v>
      </c>
    </row>
    <row r="203" spans="1:7">
      <c r="A203" s="2">
        <v>240</v>
      </c>
      <c r="B203" s="2" t="s">
        <v>957</v>
      </c>
      <c r="D203" s="2" t="s">
        <v>958</v>
      </c>
      <c r="E203" s="2" t="s">
        <v>959</v>
      </c>
      <c r="F203" s="2" t="s">
        <v>960</v>
      </c>
      <c r="G203" s="2" t="s">
        <v>961</v>
      </c>
    </row>
    <row r="204" spans="1:7">
      <c r="A204" s="2">
        <v>241</v>
      </c>
      <c r="B204" s="2" t="s">
        <v>962</v>
      </c>
      <c r="D204" s="2" t="s">
        <v>963</v>
      </c>
      <c r="E204" s="2" t="s">
        <v>964</v>
      </c>
      <c r="F204" s="2" t="s">
        <v>965</v>
      </c>
      <c r="G204" s="2" t="s">
        <v>966</v>
      </c>
    </row>
    <row r="205" spans="1:7">
      <c r="A205" s="2">
        <v>242</v>
      </c>
      <c r="B205" s="2" t="s">
        <v>967</v>
      </c>
      <c r="D205" s="2" t="s">
        <v>968</v>
      </c>
      <c r="E205" s="2" t="s">
        <v>969</v>
      </c>
      <c r="F205" s="2" t="s">
        <v>970</v>
      </c>
      <c r="G205" s="2" t="s">
        <v>971</v>
      </c>
    </row>
    <row r="206" spans="1:7">
      <c r="A206" s="2">
        <v>243</v>
      </c>
      <c r="B206" s="2" t="s">
        <v>972</v>
      </c>
      <c r="D206" s="2" t="s">
        <v>973</v>
      </c>
      <c r="E206" s="2" t="s">
        <v>974</v>
      </c>
      <c r="F206" s="2" t="s">
        <v>975</v>
      </c>
      <c r="G206" s="2" t="s">
        <v>976</v>
      </c>
    </row>
    <row r="207" spans="1:7">
      <c r="A207" s="2">
        <v>244</v>
      </c>
      <c r="B207" s="2" t="s">
        <v>977</v>
      </c>
      <c r="D207" s="2" t="s">
        <v>978</v>
      </c>
      <c r="E207" s="2" t="s">
        <v>979</v>
      </c>
      <c r="F207" s="2" t="s">
        <v>980</v>
      </c>
      <c r="G207" s="2" t="s">
        <v>981</v>
      </c>
    </row>
    <row r="208" spans="1:7">
      <c r="A208" s="2">
        <v>245</v>
      </c>
      <c r="B208" s="2" t="s">
        <v>982</v>
      </c>
      <c r="D208" s="2" t="s">
        <v>983</v>
      </c>
      <c r="E208" s="2" t="s">
        <v>984</v>
      </c>
      <c r="F208" s="2" t="s">
        <v>985</v>
      </c>
      <c r="G208" s="2" t="s">
        <v>986</v>
      </c>
    </row>
    <row r="209" spans="1:7">
      <c r="A209" s="2">
        <v>246</v>
      </c>
      <c r="B209" s="2" t="s">
        <v>987</v>
      </c>
      <c r="D209" s="2" t="s">
        <v>988</v>
      </c>
      <c r="E209" s="2" t="s">
        <v>989</v>
      </c>
      <c r="F209" s="2" t="s">
        <v>990</v>
      </c>
      <c r="G209" s="2" t="s">
        <v>991</v>
      </c>
    </row>
    <row r="210" spans="1:7">
      <c r="A210" s="2">
        <v>247</v>
      </c>
      <c r="B210" s="2" t="s">
        <v>992</v>
      </c>
      <c r="D210" s="2" t="s">
        <v>993</v>
      </c>
      <c r="E210" s="2" t="s">
        <v>994</v>
      </c>
      <c r="F210" s="2" t="s">
        <v>995</v>
      </c>
      <c r="G210" s="2" t="s">
        <v>996</v>
      </c>
    </row>
    <row r="211" spans="1:7">
      <c r="A211" s="2">
        <v>248</v>
      </c>
      <c r="B211" s="2" t="s">
        <v>997</v>
      </c>
      <c r="D211" s="2" t="s">
        <v>998</v>
      </c>
      <c r="E211" s="2" t="s">
        <v>999</v>
      </c>
      <c r="F211" s="2" t="s">
        <v>1000</v>
      </c>
      <c r="G211" s="2" t="s">
        <v>1001</v>
      </c>
    </row>
    <row r="212" spans="1:7">
      <c r="A212" s="2">
        <v>249</v>
      </c>
      <c r="B212" s="2" t="s">
        <v>1002</v>
      </c>
      <c r="D212" s="2" t="s">
        <v>1003</v>
      </c>
      <c r="E212" s="2" t="s">
        <v>1004</v>
      </c>
      <c r="F212" s="2" t="s">
        <v>1005</v>
      </c>
      <c r="G212" s="2" t="s">
        <v>1006</v>
      </c>
    </row>
    <row r="213" spans="1:7">
      <c r="A213" s="2">
        <v>250</v>
      </c>
      <c r="B213" s="2" t="s">
        <v>1007</v>
      </c>
      <c r="D213" s="2" t="s">
        <v>1008</v>
      </c>
      <c r="E213" s="2" t="s">
        <v>1009</v>
      </c>
      <c r="F213" s="2" t="s">
        <v>1010</v>
      </c>
      <c r="G213" s="2" t="s">
        <v>1011</v>
      </c>
    </row>
    <row r="214" spans="1:7">
      <c r="A214" s="2">
        <v>251</v>
      </c>
      <c r="B214" s="2" t="s">
        <v>1012</v>
      </c>
      <c r="D214" s="2" t="s">
        <v>1013</v>
      </c>
      <c r="E214" s="2" t="s">
        <v>1014</v>
      </c>
      <c r="F214" s="2" t="s">
        <v>1015</v>
      </c>
      <c r="G214" s="2" t="s">
        <v>1016</v>
      </c>
    </row>
    <row r="215" spans="1:7">
      <c r="A215" s="2">
        <v>252</v>
      </c>
      <c r="B215" s="2" t="s">
        <v>1017</v>
      </c>
      <c r="D215" s="2" t="s">
        <v>1018</v>
      </c>
      <c r="E215" s="2" t="s">
        <v>1019</v>
      </c>
      <c r="F215" s="2" t="s">
        <v>1020</v>
      </c>
      <c r="G215" s="2" t="s">
        <v>1021</v>
      </c>
    </row>
    <row r="216" spans="1:7">
      <c r="A216" s="2">
        <v>253</v>
      </c>
      <c r="B216" s="2" t="s">
        <v>1022</v>
      </c>
      <c r="D216" s="2" t="s">
        <v>1023</v>
      </c>
      <c r="E216" s="2" t="s">
        <v>1024</v>
      </c>
      <c r="F216" s="2" t="s">
        <v>1025</v>
      </c>
      <c r="G216" s="2" t="s">
        <v>1026</v>
      </c>
    </row>
    <row r="217" spans="1:7">
      <c r="A217" s="2">
        <v>254</v>
      </c>
      <c r="B217" s="2" t="s">
        <v>1027</v>
      </c>
      <c r="D217" s="2" t="s">
        <v>1028</v>
      </c>
      <c r="E217" s="2" t="s">
        <v>1029</v>
      </c>
      <c r="F217" s="2" t="s">
        <v>1030</v>
      </c>
      <c r="G217" s="2" t="s">
        <v>1031</v>
      </c>
    </row>
    <row r="218" spans="1:7">
      <c r="A218" s="2">
        <v>255</v>
      </c>
      <c r="B218" s="2" t="s">
        <v>1032</v>
      </c>
      <c r="D218" s="2" t="s">
        <v>1033</v>
      </c>
      <c r="E218" s="2" t="s">
        <v>1034</v>
      </c>
      <c r="F218" s="2" t="s">
        <v>1035</v>
      </c>
      <c r="G218" s="2" t="s">
        <v>1036</v>
      </c>
    </row>
    <row r="219" spans="1:7">
      <c r="A219" s="2">
        <v>256</v>
      </c>
      <c r="B219" s="2" t="s">
        <v>1037</v>
      </c>
      <c r="D219" s="2" t="s">
        <v>1038</v>
      </c>
      <c r="E219" s="2" t="s">
        <v>1039</v>
      </c>
      <c r="F219" s="2" t="s">
        <v>1040</v>
      </c>
      <c r="G219" s="2" t="s">
        <v>1041</v>
      </c>
    </row>
    <row r="220" spans="1:7">
      <c r="A220" s="2">
        <v>257</v>
      </c>
      <c r="B220" s="2" t="s">
        <v>1042</v>
      </c>
      <c r="D220" s="2" t="s">
        <v>1043</v>
      </c>
      <c r="E220" s="2" t="s">
        <v>1044</v>
      </c>
      <c r="F220" s="2" t="s">
        <v>1045</v>
      </c>
      <c r="G220" s="2" t="s">
        <v>1046</v>
      </c>
    </row>
    <row r="221" spans="1:7">
      <c r="A221" s="2">
        <v>258</v>
      </c>
      <c r="B221" s="2" t="s">
        <v>1047</v>
      </c>
      <c r="D221" s="2" t="s">
        <v>1048</v>
      </c>
      <c r="E221" s="2" t="s">
        <v>1049</v>
      </c>
      <c r="F221" s="2" t="s">
        <v>1050</v>
      </c>
      <c r="G221" s="2" t="s">
        <v>1051</v>
      </c>
    </row>
    <row r="222" spans="1:7">
      <c r="A222" s="2">
        <v>259</v>
      </c>
      <c r="B222" s="2" t="s">
        <v>1052</v>
      </c>
      <c r="D222" s="2" t="s">
        <v>1053</v>
      </c>
      <c r="E222" s="2" t="s">
        <v>1054</v>
      </c>
      <c r="F222" s="2" t="s">
        <v>1050</v>
      </c>
      <c r="G222" s="2" t="s">
        <v>1051</v>
      </c>
    </row>
    <row r="223" spans="1:7">
      <c r="A223" s="2">
        <v>260</v>
      </c>
      <c r="B223" s="2" t="s">
        <v>1055</v>
      </c>
      <c r="D223" s="2" t="s">
        <v>1056</v>
      </c>
      <c r="E223" s="2" t="s">
        <v>1057</v>
      </c>
      <c r="F223" s="2" t="s">
        <v>1050</v>
      </c>
      <c r="G223" s="2" t="s">
        <v>1051</v>
      </c>
    </row>
    <row r="224" spans="1:7">
      <c r="A224" s="2">
        <v>261</v>
      </c>
      <c r="B224" s="2" t="s">
        <v>1058</v>
      </c>
      <c r="D224" s="2" t="s">
        <v>1059</v>
      </c>
      <c r="E224" s="2" t="s">
        <v>1060</v>
      </c>
      <c r="F224" s="2" t="s">
        <v>1050</v>
      </c>
      <c r="G224" s="2" t="s">
        <v>1051</v>
      </c>
    </row>
    <row r="225" spans="1:7">
      <c r="A225" s="2">
        <v>262</v>
      </c>
      <c r="B225" s="2" t="s">
        <v>1061</v>
      </c>
      <c r="D225" s="2" t="s">
        <v>1062</v>
      </c>
      <c r="E225" s="2" t="s">
        <v>1063</v>
      </c>
      <c r="F225" s="2" t="s">
        <v>1050</v>
      </c>
      <c r="G225" s="2" t="s">
        <v>1051</v>
      </c>
    </row>
    <row r="226" spans="1:7">
      <c r="A226" s="2">
        <v>263</v>
      </c>
      <c r="B226" s="2" t="s">
        <v>1064</v>
      </c>
      <c r="D226" s="2" t="s">
        <v>1065</v>
      </c>
      <c r="E226" s="2" t="s">
        <v>1066</v>
      </c>
      <c r="F226" s="2" t="s">
        <v>1050</v>
      </c>
      <c r="G226" s="2" t="s">
        <v>1051</v>
      </c>
    </row>
    <row r="227" spans="1:7">
      <c r="A227" s="2">
        <v>264</v>
      </c>
      <c r="B227" s="2" t="s">
        <v>1067</v>
      </c>
      <c r="D227" s="2" t="s">
        <v>1068</v>
      </c>
      <c r="E227" s="2" t="s">
        <v>1069</v>
      </c>
      <c r="F227" s="2" t="s">
        <v>1050</v>
      </c>
      <c r="G227" s="2" t="s">
        <v>1051</v>
      </c>
    </row>
    <row r="228" spans="1:7">
      <c r="A228" s="2">
        <v>265</v>
      </c>
      <c r="B228" s="2" t="s">
        <v>1070</v>
      </c>
      <c r="D228" s="2" t="s">
        <v>1071</v>
      </c>
      <c r="E228" s="2" t="s">
        <v>1072</v>
      </c>
      <c r="F228" s="2" t="s">
        <v>1073</v>
      </c>
      <c r="G228" s="2" t="s">
        <v>1074</v>
      </c>
    </row>
    <row r="229" spans="1:7">
      <c r="A229" s="2">
        <v>266</v>
      </c>
      <c r="B229" s="2" t="s">
        <v>1075</v>
      </c>
      <c r="D229" s="2" t="s">
        <v>1076</v>
      </c>
      <c r="E229" s="2" t="s">
        <v>1077</v>
      </c>
      <c r="F229" s="2" t="s">
        <v>1073</v>
      </c>
      <c r="G229" s="2" t="s">
        <v>1074</v>
      </c>
    </row>
    <row r="230" spans="1:7">
      <c r="A230" s="2">
        <v>267</v>
      </c>
      <c r="B230" s="2" t="s">
        <v>1078</v>
      </c>
      <c r="D230" s="2" t="s">
        <v>1079</v>
      </c>
      <c r="E230" s="2" t="s">
        <v>1080</v>
      </c>
      <c r="F230" s="2" t="s">
        <v>1073</v>
      </c>
      <c r="G230" s="2" t="s">
        <v>1074</v>
      </c>
    </row>
    <row r="231" spans="1:7">
      <c r="A231" s="2">
        <v>268</v>
      </c>
      <c r="B231" s="2" t="s">
        <v>1081</v>
      </c>
      <c r="D231" s="2" t="s">
        <v>1082</v>
      </c>
      <c r="E231" s="2" t="s">
        <v>1083</v>
      </c>
      <c r="F231" s="2" t="s">
        <v>1084</v>
      </c>
      <c r="G231" s="2" t="s">
        <v>1085</v>
      </c>
    </row>
    <row r="232" spans="1:7">
      <c r="A232" s="2">
        <v>271</v>
      </c>
      <c r="B232" s="2" t="s">
        <v>1086</v>
      </c>
      <c r="D232" s="2" t="s">
        <v>1087</v>
      </c>
      <c r="E232" s="2" t="s">
        <v>1088</v>
      </c>
      <c r="F232" s="2" t="s">
        <v>1089</v>
      </c>
      <c r="G232" s="2" t="s">
        <v>1090</v>
      </c>
    </row>
    <row r="233" spans="1:7">
      <c r="A233" s="2">
        <v>272</v>
      </c>
      <c r="B233" s="2" t="s">
        <v>1091</v>
      </c>
      <c r="D233" s="2" t="s">
        <v>1092</v>
      </c>
      <c r="E233" s="2" t="s">
        <v>1093</v>
      </c>
      <c r="F233" s="2" t="s">
        <v>1094</v>
      </c>
      <c r="G233" s="2" t="s">
        <v>1095</v>
      </c>
    </row>
    <row r="234" spans="1:7">
      <c r="A234" s="2">
        <v>273</v>
      </c>
      <c r="B234" s="2" t="s">
        <v>1096</v>
      </c>
      <c r="D234" s="2" t="s">
        <v>1097</v>
      </c>
      <c r="E234" s="2" t="s">
        <v>1098</v>
      </c>
      <c r="F234" s="2" t="s">
        <v>1099</v>
      </c>
      <c r="G234" s="2" t="s">
        <v>1100</v>
      </c>
    </row>
    <row r="235" spans="1:7">
      <c r="A235" s="2">
        <v>274</v>
      </c>
      <c r="B235" s="2" t="s">
        <v>1101</v>
      </c>
      <c r="D235" s="2" t="s">
        <v>1102</v>
      </c>
      <c r="E235" s="2" t="s">
        <v>1103</v>
      </c>
      <c r="F235" s="2" t="s">
        <v>1104</v>
      </c>
      <c r="G235" s="2" t="s">
        <v>1105</v>
      </c>
    </row>
    <row r="236" spans="1:7">
      <c r="A236" s="2">
        <v>275</v>
      </c>
      <c r="B236" s="2" t="s">
        <v>1106</v>
      </c>
      <c r="D236" s="2" t="s">
        <v>1107</v>
      </c>
      <c r="E236" s="2" t="s">
        <v>1108</v>
      </c>
      <c r="F236" s="2" t="s">
        <v>1109</v>
      </c>
      <c r="G236" s="2" t="s">
        <v>1110</v>
      </c>
    </row>
    <row r="237" spans="1:7">
      <c r="A237" s="2">
        <v>276</v>
      </c>
      <c r="B237" s="2" t="s">
        <v>1111</v>
      </c>
      <c r="D237" s="2" t="s">
        <v>1112</v>
      </c>
      <c r="E237" s="2" t="s">
        <v>1113</v>
      </c>
      <c r="F237" s="2" t="s">
        <v>1084</v>
      </c>
      <c r="G237" s="2" t="s">
        <v>1085</v>
      </c>
    </row>
    <row r="238" spans="1:7">
      <c r="A238" s="2">
        <v>277</v>
      </c>
      <c r="B238" s="2" t="s">
        <v>1114</v>
      </c>
      <c r="D238" s="2" t="s">
        <v>1115</v>
      </c>
      <c r="E238" s="2" t="s">
        <v>1116</v>
      </c>
      <c r="F238" s="2" t="s">
        <v>1084</v>
      </c>
      <c r="G238" s="2" t="s">
        <v>1085</v>
      </c>
    </row>
    <row r="239" spans="1:7">
      <c r="A239" s="2">
        <v>278</v>
      </c>
      <c r="B239" s="2" t="s">
        <v>1117</v>
      </c>
      <c r="D239" s="2" t="s">
        <v>1118</v>
      </c>
      <c r="E239" s="2" t="s">
        <v>1119</v>
      </c>
      <c r="F239" s="2" t="s">
        <v>1120</v>
      </c>
      <c r="G239" s="2" t="s">
        <v>1121</v>
      </c>
    </row>
    <row r="240" spans="1:7">
      <c r="A240" s="2">
        <v>279</v>
      </c>
      <c r="B240" s="2" t="s">
        <v>1122</v>
      </c>
      <c r="D240" s="2" t="s">
        <v>1123</v>
      </c>
      <c r="E240" s="2" t="s">
        <v>1124</v>
      </c>
      <c r="F240" s="2" t="s">
        <v>1125</v>
      </c>
      <c r="G240" s="2" t="s">
        <v>1126</v>
      </c>
    </row>
    <row r="241" spans="1:7">
      <c r="A241" s="2">
        <v>280</v>
      </c>
      <c r="B241" s="2" t="s">
        <v>1127</v>
      </c>
      <c r="D241" s="2" t="s">
        <v>1128</v>
      </c>
      <c r="E241" s="2" t="s">
        <v>1129</v>
      </c>
      <c r="F241" s="2" t="s">
        <v>1130</v>
      </c>
      <c r="G241" s="2" t="s">
        <v>1131</v>
      </c>
    </row>
    <row r="242" spans="1:7">
      <c r="A242" s="2">
        <v>281</v>
      </c>
      <c r="B242" s="2" t="s">
        <v>1132</v>
      </c>
      <c r="D242" s="2" t="s">
        <v>1133</v>
      </c>
      <c r="E242" s="2" t="s">
        <v>1134</v>
      </c>
      <c r="F242" s="2" t="s">
        <v>1135</v>
      </c>
      <c r="G242" s="2" t="s">
        <v>1136</v>
      </c>
    </row>
    <row r="243" spans="1:7">
      <c r="A243" s="2">
        <v>282</v>
      </c>
      <c r="B243" s="2" t="s">
        <v>1137</v>
      </c>
      <c r="D243" s="2" t="s">
        <v>1138</v>
      </c>
      <c r="E243" s="2" t="s">
        <v>1139</v>
      </c>
      <c r="F243" s="2" t="s">
        <v>1140</v>
      </c>
      <c r="G243" s="2" t="s">
        <v>1141</v>
      </c>
    </row>
    <row r="244" spans="1:7">
      <c r="A244" s="2">
        <v>283</v>
      </c>
      <c r="B244" s="2" t="s">
        <v>1142</v>
      </c>
      <c r="D244" s="2" t="s">
        <v>1143</v>
      </c>
      <c r="E244" s="2" t="s">
        <v>1144</v>
      </c>
      <c r="F244" s="2" t="s">
        <v>1145</v>
      </c>
      <c r="G244" s="2" t="s">
        <v>1146</v>
      </c>
    </row>
    <row r="245" spans="1:7">
      <c r="A245" s="2">
        <v>284</v>
      </c>
      <c r="B245" s="2" t="s">
        <v>1147</v>
      </c>
      <c r="D245" s="2" t="s">
        <v>1148</v>
      </c>
      <c r="E245" s="2" t="s">
        <v>1149</v>
      </c>
      <c r="F245" s="2" t="s">
        <v>1145</v>
      </c>
      <c r="G245" s="2" t="s">
        <v>1146</v>
      </c>
    </row>
    <row r="246" spans="1:7">
      <c r="A246" s="2">
        <v>285</v>
      </c>
      <c r="B246" s="2" t="s">
        <v>1150</v>
      </c>
      <c r="D246" s="2" t="s">
        <v>1151</v>
      </c>
      <c r="E246" s="2" t="s">
        <v>1152</v>
      </c>
      <c r="F246" s="2" t="s">
        <v>1145</v>
      </c>
      <c r="G246" s="2" t="s">
        <v>1146</v>
      </c>
    </row>
    <row r="247" spans="1:7">
      <c r="A247" s="2">
        <v>286</v>
      </c>
      <c r="B247" s="2" t="s">
        <v>1153</v>
      </c>
      <c r="D247" s="2" t="s">
        <v>1154</v>
      </c>
      <c r="E247" s="2" t="s">
        <v>1155</v>
      </c>
      <c r="F247" s="2" t="s">
        <v>1145</v>
      </c>
      <c r="G247" s="2" t="s">
        <v>1146</v>
      </c>
    </row>
    <row r="248" spans="1:7">
      <c r="A248" s="2">
        <v>287</v>
      </c>
      <c r="B248" s="2" t="s">
        <v>1156</v>
      </c>
      <c r="D248" s="2" t="s">
        <v>1157</v>
      </c>
      <c r="E248" s="2" t="s">
        <v>1158</v>
      </c>
      <c r="F248" s="2" t="s">
        <v>1145</v>
      </c>
      <c r="G248" s="2" t="s">
        <v>1146</v>
      </c>
    </row>
    <row r="249" spans="1:7">
      <c r="A249" s="2">
        <v>288</v>
      </c>
      <c r="B249" s="2" t="s">
        <v>1159</v>
      </c>
      <c r="D249" s="2" t="s">
        <v>1160</v>
      </c>
      <c r="E249" s="2" t="s">
        <v>1161</v>
      </c>
      <c r="F249" s="2" t="s">
        <v>1145</v>
      </c>
      <c r="G249" s="2" t="s">
        <v>1146</v>
      </c>
    </row>
    <row r="250" spans="1:7">
      <c r="A250" s="2">
        <v>289</v>
      </c>
      <c r="B250" s="2" t="s">
        <v>1162</v>
      </c>
      <c r="D250" s="2" t="s">
        <v>1163</v>
      </c>
      <c r="E250" s="2" t="s">
        <v>1164</v>
      </c>
      <c r="F250" s="2" t="s">
        <v>1145</v>
      </c>
      <c r="G250" s="2" t="s">
        <v>1146</v>
      </c>
    </row>
    <row r="251" spans="1:7">
      <c r="A251" s="2">
        <v>290</v>
      </c>
      <c r="B251" s="2" t="s">
        <v>1165</v>
      </c>
      <c r="D251" s="2" t="s">
        <v>1166</v>
      </c>
      <c r="E251" s="2" t="s">
        <v>1167</v>
      </c>
      <c r="F251" s="2" t="s">
        <v>1168</v>
      </c>
      <c r="G251" s="2" t="s">
        <v>1169</v>
      </c>
    </row>
    <row r="252" spans="1:7">
      <c r="A252" s="2">
        <v>291</v>
      </c>
      <c r="B252" s="2" t="s">
        <v>1170</v>
      </c>
      <c r="D252" s="2" t="s">
        <v>1171</v>
      </c>
      <c r="E252" s="2" t="s">
        <v>1172</v>
      </c>
      <c r="F252" s="2" t="s">
        <v>1168</v>
      </c>
      <c r="G252" s="2" t="s">
        <v>1169</v>
      </c>
    </row>
    <row r="253" spans="1:7">
      <c r="A253" s="2">
        <v>292</v>
      </c>
      <c r="B253" s="2" t="s">
        <v>1173</v>
      </c>
      <c r="D253" s="2" t="s">
        <v>1174</v>
      </c>
      <c r="E253" s="2" t="s">
        <v>1175</v>
      </c>
      <c r="F253" s="2" t="s">
        <v>1176</v>
      </c>
      <c r="G253" s="2" t="s">
        <v>1177</v>
      </c>
    </row>
    <row r="254" spans="1:7">
      <c r="A254" s="2">
        <v>293</v>
      </c>
      <c r="B254" s="2" t="s">
        <v>1178</v>
      </c>
      <c r="D254" s="2" t="s">
        <v>1179</v>
      </c>
      <c r="E254" s="2" t="s">
        <v>1180</v>
      </c>
      <c r="F254" s="2" t="s">
        <v>1181</v>
      </c>
      <c r="G254" s="2" t="s">
        <v>1182</v>
      </c>
    </row>
    <row r="255" spans="1:7">
      <c r="A255" s="2">
        <v>294</v>
      </c>
      <c r="B255" s="2" t="s">
        <v>1183</v>
      </c>
      <c r="D255" s="2" t="s">
        <v>1184</v>
      </c>
      <c r="E255" s="2" t="s">
        <v>1185</v>
      </c>
      <c r="F255" s="2" t="s">
        <v>1181</v>
      </c>
      <c r="G255" s="2" t="s">
        <v>1182</v>
      </c>
    </row>
    <row r="256" spans="1:7">
      <c r="A256" s="2">
        <v>296</v>
      </c>
      <c r="B256" s="2" t="s">
        <v>1186</v>
      </c>
      <c r="D256" s="2" t="s">
        <v>1187</v>
      </c>
      <c r="E256" s="2" t="s">
        <v>1188</v>
      </c>
      <c r="F256" s="2" t="s">
        <v>1189</v>
      </c>
      <c r="G256" s="2" t="s">
        <v>1190</v>
      </c>
    </row>
    <row r="257" spans="1:7">
      <c r="A257" s="2">
        <v>297</v>
      </c>
      <c r="B257" s="2" t="s">
        <v>1191</v>
      </c>
      <c r="D257" s="2" t="s">
        <v>1192</v>
      </c>
      <c r="E257" s="2" t="s">
        <v>1193</v>
      </c>
      <c r="F257" s="2" t="s">
        <v>1189</v>
      </c>
      <c r="G257" s="2" t="s">
        <v>1190</v>
      </c>
    </row>
    <row r="258" spans="1:7">
      <c r="A258" s="2">
        <v>298</v>
      </c>
      <c r="B258" s="2" t="s">
        <v>1194</v>
      </c>
      <c r="D258" s="2" t="s">
        <v>1195</v>
      </c>
      <c r="E258" s="2" t="s">
        <v>1196</v>
      </c>
      <c r="F258" s="2" t="s">
        <v>1189</v>
      </c>
      <c r="G258" s="2" t="s">
        <v>1190</v>
      </c>
    </row>
    <row r="259" spans="1:7">
      <c r="A259" s="2">
        <v>299</v>
      </c>
      <c r="B259" s="2" t="s">
        <v>1197</v>
      </c>
      <c r="D259" s="2" t="s">
        <v>1198</v>
      </c>
      <c r="E259" s="2" t="s">
        <v>1199</v>
      </c>
      <c r="F259" s="2" t="s">
        <v>1200</v>
      </c>
      <c r="G259" s="2" t="s">
        <v>1201</v>
      </c>
    </row>
    <row r="260" spans="1:7">
      <c r="A260" s="2">
        <v>300</v>
      </c>
      <c r="B260" s="2" t="s">
        <v>1202</v>
      </c>
      <c r="D260" s="2" t="s">
        <v>1203</v>
      </c>
      <c r="E260" s="2" t="s">
        <v>1204</v>
      </c>
      <c r="F260" s="2" t="s">
        <v>1205</v>
      </c>
      <c r="G260" s="2" t="s">
        <v>1206</v>
      </c>
    </row>
    <row r="261" spans="1:7">
      <c r="A261" s="2">
        <v>301</v>
      </c>
      <c r="B261" s="2" t="s">
        <v>1207</v>
      </c>
      <c r="D261" s="2" t="s">
        <v>1208</v>
      </c>
      <c r="E261" s="2" t="s">
        <v>1209</v>
      </c>
      <c r="F261" s="2" t="s">
        <v>1210</v>
      </c>
      <c r="G261" s="2" t="s">
        <v>1211</v>
      </c>
    </row>
    <row r="262" spans="1:7">
      <c r="A262" s="2">
        <v>302</v>
      </c>
      <c r="B262" s="2" t="s">
        <v>1212</v>
      </c>
      <c r="D262" s="2" t="s">
        <v>1213</v>
      </c>
      <c r="E262" s="2" t="s">
        <v>1214</v>
      </c>
      <c r="F262" s="2" t="s">
        <v>1210</v>
      </c>
      <c r="G262" s="2" t="s">
        <v>1211</v>
      </c>
    </row>
    <row r="263" spans="1:7">
      <c r="A263" s="2">
        <v>303</v>
      </c>
      <c r="B263" s="2" t="s">
        <v>1215</v>
      </c>
      <c r="D263" s="2" t="s">
        <v>1216</v>
      </c>
      <c r="E263" s="2" t="s">
        <v>1217</v>
      </c>
      <c r="F263" s="2" t="s">
        <v>1210</v>
      </c>
      <c r="G263" s="2" t="s">
        <v>1211</v>
      </c>
    </row>
    <row r="264" spans="1:7">
      <c r="A264" s="2">
        <v>304</v>
      </c>
      <c r="B264" s="2" t="s">
        <v>1218</v>
      </c>
      <c r="D264" s="2" t="s">
        <v>1219</v>
      </c>
      <c r="E264" s="2" t="s">
        <v>1220</v>
      </c>
      <c r="F264" s="2" t="s">
        <v>1210</v>
      </c>
      <c r="G264" s="2" t="s">
        <v>1211</v>
      </c>
    </row>
    <row r="265" spans="1:7">
      <c r="A265" s="2">
        <v>305</v>
      </c>
      <c r="B265" s="2" t="s">
        <v>1221</v>
      </c>
      <c r="D265" s="2" t="s">
        <v>1222</v>
      </c>
      <c r="E265" s="2" t="s">
        <v>1223</v>
      </c>
      <c r="F265" s="2" t="s">
        <v>1224</v>
      </c>
      <c r="G265" s="2" t="s">
        <v>1225</v>
      </c>
    </row>
    <row r="266" spans="1:7">
      <c r="A266" s="2">
        <v>306</v>
      </c>
      <c r="B266" s="2" t="s">
        <v>1226</v>
      </c>
      <c r="D266" s="2" t="s">
        <v>1227</v>
      </c>
      <c r="E266" s="2" t="s">
        <v>1228</v>
      </c>
      <c r="F266" s="2" t="s">
        <v>1229</v>
      </c>
      <c r="G266" s="2" t="s">
        <v>1230</v>
      </c>
    </row>
    <row r="267" spans="1:7">
      <c r="A267" s="2">
        <v>307</v>
      </c>
      <c r="B267" s="2" t="s">
        <v>1231</v>
      </c>
      <c r="D267" s="2" t="s">
        <v>1232</v>
      </c>
      <c r="E267" s="2" t="s">
        <v>1233</v>
      </c>
      <c r="F267" s="2" t="s">
        <v>1234</v>
      </c>
      <c r="G267" s="2" t="s">
        <v>1235</v>
      </c>
    </row>
    <row r="268" spans="1:7">
      <c r="A268" s="2">
        <v>308</v>
      </c>
      <c r="B268" s="2" t="s">
        <v>1236</v>
      </c>
      <c r="D268" s="2" t="s">
        <v>1237</v>
      </c>
      <c r="E268" s="2" t="s">
        <v>1238</v>
      </c>
      <c r="F268" s="2" t="s">
        <v>1239</v>
      </c>
      <c r="G268" s="2" t="s">
        <v>1240</v>
      </c>
    </row>
    <row r="269" spans="1:7">
      <c r="A269" s="2">
        <v>309</v>
      </c>
      <c r="B269" s="2" t="s">
        <v>1241</v>
      </c>
      <c r="D269" s="2" t="s">
        <v>1242</v>
      </c>
      <c r="E269" s="2" t="s">
        <v>1243</v>
      </c>
      <c r="F269" s="2" t="s">
        <v>1239</v>
      </c>
      <c r="G269" s="2" t="s">
        <v>1240</v>
      </c>
    </row>
    <row r="270" spans="1:7">
      <c r="A270" s="2">
        <v>312</v>
      </c>
      <c r="B270" s="2" t="s">
        <v>1244</v>
      </c>
      <c r="D270" s="2" t="s">
        <v>1245</v>
      </c>
      <c r="E270" s="2" t="s">
        <v>1246</v>
      </c>
      <c r="F270" s="2" t="s">
        <v>1247</v>
      </c>
      <c r="G270" s="2" t="s">
        <v>1248</v>
      </c>
    </row>
    <row r="271" spans="1:7">
      <c r="A271" s="2">
        <v>313</v>
      </c>
      <c r="B271" s="2" t="s">
        <v>1249</v>
      </c>
      <c r="D271" s="2" t="s">
        <v>1250</v>
      </c>
      <c r="E271" s="2" t="s">
        <v>1251</v>
      </c>
      <c r="F271" s="2" t="s">
        <v>1252</v>
      </c>
      <c r="G271" s="2" t="s">
        <v>1253</v>
      </c>
    </row>
    <row r="272" spans="1:7">
      <c r="A272" s="2">
        <v>314</v>
      </c>
      <c r="B272" s="2" t="s">
        <v>1254</v>
      </c>
      <c r="D272" s="2" t="s">
        <v>1255</v>
      </c>
      <c r="E272" s="2" t="s">
        <v>1256</v>
      </c>
      <c r="F272" s="2" t="s">
        <v>1257</v>
      </c>
      <c r="G272" s="2" t="s">
        <v>1258</v>
      </c>
    </row>
    <row r="273" spans="1:7">
      <c r="A273" s="2">
        <v>315</v>
      </c>
      <c r="B273" s="2" t="s">
        <v>1259</v>
      </c>
      <c r="D273" s="2" t="s">
        <v>1260</v>
      </c>
      <c r="E273" s="2" t="s">
        <v>1261</v>
      </c>
      <c r="F273" s="2" t="s">
        <v>1262</v>
      </c>
      <c r="G273" s="2" t="s">
        <v>1263</v>
      </c>
    </row>
    <row r="274" spans="1:7">
      <c r="A274" s="2">
        <v>316</v>
      </c>
      <c r="B274" s="2" t="s">
        <v>1264</v>
      </c>
      <c r="D274" s="2" t="s">
        <v>1265</v>
      </c>
      <c r="E274" s="2" t="s">
        <v>1266</v>
      </c>
      <c r="F274" s="2" t="s">
        <v>1267</v>
      </c>
      <c r="G274" s="2" t="s">
        <v>1268</v>
      </c>
    </row>
    <row r="275" spans="1:7">
      <c r="A275" s="2">
        <v>318</v>
      </c>
      <c r="B275" s="2" t="s">
        <v>1269</v>
      </c>
      <c r="D275" s="2" t="s">
        <v>1270</v>
      </c>
      <c r="E275" s="2" t="s">
        <v>1271</v>
      </c>
      <c r="F275" s="2" t="s">
        <v>1272</v>
      </c>
      <c r="G275" s="2" t="s">
        <v>1273</v>
      </c>
    </row>
    <row r="276" spans="1:7">
      <c r="A276" s="2">
        <v>319</v>
      </c>
      <c r="B276" s="2" t="s">
        <v>1274</v>
      </c>
      <c r="D276" s="2" t="s">
        <v>1275</v>
      </c>
      <c r="E276" s="2" t="s">
        <v>1276</v>
      </c>
      <c r="F276" s="2" t="s">
        <v>1277</v>
      </c>
      <c r="G276" s="2" t="s">
        <v>1278</v>
      </c>
    </row>
    <row r="277" spans="1:7">
      <c r="A277" s="2">
        <v>320</v>
      </c>
      <c r="B277" s="2" t="s">
        <v>1279</v>
      </c>
      <c r="D277" s="2" t="s">
        <v>1280</v>
      </c>
      <c r="E277" s="2" t="s">
        <v>1281</v>
      </c>
      <c r="F277" s="2" t="s">
        <v>1282</v>
      </c>
      <c r="G277" s="2" t="s">
        <v>1283</v>
      </c>
    </row>
    <row r="278" spans="1:7">
      <c r="A278" s="2">
        <v>321</v>
      </c>
      <c r="B278" s="2" t="s">
        <v>1284</v>
      </c>
      <c r="D278" s="2" t="s">
        <v>1285</v>
      </c>
      <c r="E278" s="2" t="s">
        <v>1286</v>
      </c>
      <c r="F278" s="2" t="s">
        <v>1287</v>
      </c>
      <c r="G278" s="2" t="s">
        <v>1288</v>
      </c>
    </row>
    <row r="279" spans="1:7">
      <c r="A279" s="2">
        <v>322</v>
      </c>
      <c r="B279" s="2" t="s">
        <v>1289</v>
      </c>
      <c r="D279" s="2" t="s">
        <v>1290</v>
      </c>
      <c r="E279" s="2" t="s">
        <v>1291</v>
      </c>
      <c r="F279" s="2" t="s">
        <v>1292</v>
      </c>
      <c r="G279" s="2" t="s">
        <v>1293</v>
      </c>
    </row>
    <row r="280" spans="1:7">
      <c r="A280" s="2">
        <v>323</v>
      </c>
      <c r="B280" s="2" t="s">
        <v>1294</v>
      </c>
      <c r="D280" s="2" t="s">
        <v>1295</v>
      </c>
      <c r="E280" s="2" t="s">
        <v>1296</v>
      </c>
      <c r="F280" s="2" t="s">
        <v>1297</v>
      </c>
      <c r="G280" s="2" t="s">
        <v>1298</v>
      </c>
    </row>
    <row r="281" spans="1:7">
      <c r="A281" s="2">
        <v>324</v>
      </c>
      <c r="B281" s="2" t="s">
        <v>1299</v>
      </c>
      <c r="D281" s="2" t="s">
        <v>1300</v>
      </c>
      <c r="E281" s="2" t="s">
        <v>1301</v>
      </c>
      <c r="F281" s="2" t="s">
        <v>1302</v>
      </c>
      <c r="G281" s="2" t="s">
        <v>1303</v>
      </c>
    </row>
    <row r="282" spans="1:7">
      <c r="A282" s="2">
        <v>325</v>
      </c>
      <c r="B282" s="2" t="s">
        <v>1304</v>
      </c>
      <c r="D282" s="2" t="s">
        <v>1305</v>
      </c>
      <c r="E282" s="2" t="s">
        <v>1306</v>
      </c>
      <c r="F282" s="2" t="s">
        <v>1307</v>
      </c>
      <c r="G282" s="2" t="s">
        <v>1308</v>
      </c>
    </row>
    <row r="283" spans="1:7">
      <c r="A283" s="2">
        <v>326</v>
      </c>
      <c r="B283" s="2" t="s">
        <v>1309</v>
      </c>
      <c r="D283" s="2" t="s">
        <v>1310</v>
      </c>
      <c r="E283" s="2" t="s">
        <v>1311</v>
      </c>
      <c r="F283" s="2" t="s">
        <v>1312</v>
      </c>
      <c r="G283" s="2" t="s">
        <v>1313</v>
      </c>
    </row>
    <row r="284" spans="1:7">
      <c r="A284" s="2">
        <v>327</v>
      </c>
      <c r="B284" s="2" t="s">
        <v>1314</v>
      </c>
      <c r="D284" s="2" t="s">
        <v>1315</v>
      </c>
      <c r="E284" s="2" t="s">
        <v>1316</v>
      </c>
      <c r="F284" s="2" t="s">
        <v>1317</v>
      </c>
      <c r="G284" s="2" t="s">
        <v>1318</v>
      </c>
    </row>
    <row r="285" spans="1:7">
      <c r="A285" s="2">
        <v>328</v>
      </c>
      <c r="B285" s="2" t="s">
        <v>1319</v>
      </c>
      <c r="D285" s="2" t="s">
        <v>1320</v>
      </c>
      <c r="E285" s="2" t="s">
        <v>1321</v>
      </c>
      <c r="F285" s="2" t="s">
        <v>1322</v>
      </c>
      <c r="G285" s="2" t="s">
        <v>1323</v>
      </c>
    </row>
    <row r="286" spans="1:7">
      <c r="A286" s="2">
        <v>329</v>
      </c>
      <c r="B286" s="2" t="s">
        <v>1324</v>
      </c>
      <c r="D286" s="2" t="s">
        <v>1325</v>
      </c>
      <c r="E286" s="2" t="s">
        <v>1326</v>
      </c>
      <c r="F286" s="2" t="s">
        <v>1327</v>
      </c>
      <c r="G286" s="2" t="s">
        <v>1328</v>
      </c>
    </row>
    <row r="287" spans="1:7">
      <c r="A287" s="2">
        <v>330</v>
      </c>
      <c r="B287" s="2" t="s">
        <v>1329</v>
      </c>
      <c r="D287" s="2" t="s">
        <v>1330</v>
      </c>
      <c r="E287" s="2" t="s">
        <v>1331</v>
      </c>
      <c r="F287" s="2" t="s">
        <v>1327</v>
      </c>
      <c r="G287" s="2" t="s">
        <v>1328</v>
      </c>
    </row>
    <row r="288" spans="1:7">
      <c r="A288" s="2">
        <v>331</v>
      </c>
      <c r="B288" s="2" t="s">
        <v>1332</v>
      </c>
      <c r="D288" s="2" t="s">
        <v>1333</v>
      </c>
      <c r="E288" s="2" t="s">
        <v>1334</v>
      </c>
      <c r="F288" s="2" t="s">
        <v>1335</v>
      </c>
      <c r="G288" s="2" t="s">
        <v>1336</v>
      </c>
    </row>
    <row r="289" spans="1:7">
      <c r="A289" s="2">
        <v>332</v>
      </c>
      <c r="B289" s="2" t="s">
        <v>1337</v>
      </c>
      <c r="D289" s="2" t="s">
        <v>1338</v>
      </c>
      <c r="E289" s="2" t="s">
        <v>1339</v>
      </c>
      <c r="F289" s="2" t="s">
        <v>1340</v>
      </c>
      <c r="G289" s="2" t="s">
        <v>1341</v>
      </c>
    </row>
    <row r="290" spans="1:7">
      <c r="A290" s="2">
        <v>333</v>
      </c>
      <c r="B290" s="2" t="s">
        <v>1342</v>
      </c>
      <c r="D290" s="2" t="s">
        <v>1343</v>
      </c>
      <c r="E290" s="2" t="s">
        <v>1344</v>
      </c>
      <c r="F290" s="2" t="s">
        <v>1345</v>
      </c>
      <c r="G290" s="2" t="s">
        <v>1346</v>
      </c>
    </row>
    <row r="291" spans="1:7">
      <c r="A291" s="2">
        <v>336</v>
      </c>
      <c r="B291" s="2" t="s">
        <v>1347</v>
      </c>
      <c r="D291" s="2" t="s">
        <v>1348</v>
      </c>
      <c r="E291" s="2" t="s">
        <v>1349</v>
      </c>
      <c r="F291" s="2" t="s">
        <v>1350</v>
      </c>
      <c r="G291" s="2" t="s">
        <v>1351</v>
      </c>
    </row>
    <row r="292" spans="1:7">
      <c r="A292" s="2">
        <v>337</v>
      </c>
      <c r="B292" s="2" t="s">
        <v>1352</v>
      </c>
      <c r="D292" s="2" t="s">
        <v>1353</v>
      </c>
      <c r="E292" s="2" t="s">
        <v>1354</v>
      </c>
      <c r="F292" s="2" t="s">
        <v>1350</v>
      </c>
      <c r="G292" s="2" t="s">
        <v>1351</v>
      </c>
    </row>
    <row r="293" spans="1:7">
      <c r="A293" s="2">
        <v>338</v>
      </c>
      <c r="B293" s="2" t="s">
        <v>1355</v>
      </c>
      <c r="D293" s="2" t="s">
        <v>1356</v>
      </c>
      <c r="E293" s="2" t="s">
        <v>1357</v>
      </c>
      <c r="F293" s="2" t="s">
        <v>1350</v>
      </c>
      <c r="G293" s="2" t="s">
        <v>1351</v>
      </c>
    </row>
    <row r="294" spans="1:7">
      <c r="A294" s="2">
        <v>351</v>
      </c>
      <c r="B294" s="2" t="s">
        <v>1358</v>
      </c>
      <c r="D294" s="2" t="s">
        <v>1359</v>
      </c>
      <c r="E294" s="2" t="s">
        <v>1360</v>
      </c>
      <c r="F294" s="2" t="s">
        <v>1361</v>
      </c>
      <c r="G294" s="2" t="s">
        <v>1362</v>
      </c>
    </row>
    <row r="295" spans="1:7">
      <c r="A295" s="2">
        <v>352</v>
      </c>
      <c r="B295" s="2" t="s">
        <v>1363</v>
      </c>
      <c r="D295" s="2" t="s">
        <v>1364</v>
      </c>
      <c r="E295" s="2" t="s">
        <v>1365</v>
      </c>
      <c r="F295" s="2" t="s">
        <v>1361</v>
      </c>
      <c r="G295" s="2" t="s">
        <v>1362</v>
      </c>
    </row>
    <row r="296" spans="1:7">
      <c r="A296" s="2">
        <v>353</v>
      </c>
      <c r="B296" s="2" t="s">
        <v>1366</v>
      </c>
      <c r="D296" s="2" t="s">
        <v>1367</v>
      </c>
      <c r="E296" s="2" t="s">
        <v>1368</v>
      </c>
      <c r="F296" s="2" t="s">
        <v>1369</v>
      </c>
      <c r="G296" s="2" t="s">
        <v>1370</v>
      </c>
    </row>
    <row r="297" spans="1:7">
      <c r="A297" s="2">
        <v>354</v>
      </c>
      <c r="B297" s="2" t="s">
        <v>1371</v>
      </c>
      <c r="D297" s="2" t="s">
        <v>1372</v>
      </c>
      <c r="E297" s="2" t="s">
        <v>1373</v>
      </c>
      <c r="F297" s="2" t="s">
        <v>1374</v>
      </c>
      <c r="G297" s="2" t="s">
        <v>1375</v>
      </c>
    </row>
    <row r="298" spans="1:7">
      <c r="A298" s="2">
        <v>355</v>
      </c>
      <c r="B298" s="2" t="s">
        <v>1376</v>
      </c>
      <c r="D298" s="2" t="s">
        <v>1377</v>
      </c>
      <c r="E298" s="2" t="s">
        <v>1378</v>
      </c>
      <c r="F298" s="2" t="s">
        <v>1379</v>
      </c>
      <c r="G298" s="2" t="s">
        <v>1380</v>
      </c>
    </row>
    <row r="299" spans="1:7">
      <c r="A299" s="2">
        <v>356</v>
      </c>
      <c r="B299" s="2" t="s">
        <v>1381</v>
      </c>
      <c r="D299" s="2" t="s">
        <v>1382</v>
      </c>
      <c r="E299" s="2" t="s">
        <v>1383</v>
      </c>
      <c r="F299" s="2" t="s">
        <v>1384</v>
      </c>
      <c r="G299" s="2" t="s">
        <v>1385</v>
      </c>
    </row>
    <row r="300" spans="1:7">
      <c r="A300" s="2">
        <v>357</v>
      </c>
      <c r="B300" s="2" t="s">
        <v>1386</v>
      </c>
      <c r="D300" s="2" t="s">
        <v>1387</v>
      </c>
      <c r="E300" s="2" t="s">
        <v>1388</v>
      </c>
      <c r="F300" s="2" t="s">
        <v>1389</v>
      </c>
      <c r="G300" s="2" t="s">
        <v>1390</v>
      </c>
    </row>
    <row r="301" spans="1:7">
      <c r="A301" s="2">
        <v>358</v>
      </c>
      <c r="B301" s="2" t="s">
        <v>1391</v>
      </c>
      <c r="D301" s="2" t="s">
        <v>1392</v>
      </c>
      <c r="E301" s="2" t="s">
        <v>1393</v>
      </c>
      <c r="F301" s="2" t="s">
        <v>1394</v>
      </c>
      <c r="G301" s="2" t="s">
        <v>1395</v>
      </c>
    </row>
    <row r="302" spans="1:7">
      <c r="A302" s="2">
        <v>359</v>
      </c>
      <c r="B302" s="2" t="s">
        <v>1396</v>
      </c>
      <c r="D302" s="2" t="s">
        <v>1397</v>
      </c>
      <c r="E302" s="2" t="s">
        <v>1398</v>
      </c>
      <c r="F302" s="2" t="s">
        <v>1399</v>
      </c>
      <c r="G302" s="2" t="s">
        <v>1400</v>
      </c>
    </row>
    <row r="303" spans="1:7">
      <c r="A303" s="2">
        <v>360</v>
      </c>
      <c r="B303" s="2" t="s">
        <v>1401</v>
      </c>
      <c r="D303" s="2" t="s">
        <v>1402</v>
      </c>
      <c r="E303" s="2" t="s">
        <v>1403</v>
      </c>
      <c r="F303" s="2" t="s">
        <v>1404</v>
      </c>
      <c r="G303" s="2" t="s">
        <v>1405</v>
      </c>
    </row>
    <row r="304" spans="1:7">
      <c r="A304" s="2">
        <v>361</v>
      </c>
      <c r="B304" s="2" t="s">
        <v>1406</v>
      </c>
      <c r="D304" s="2" t="s">
        <v>1407</v>
      </c>
      <c r="E304" s="2" t="s">
        <v>1408</v>
      </c>
      <c r="F304" s="2" t="s">
        <v>1409</v>
      </c>
      <c r="G304" s="2" t="s">
        <v>1410</v>
      </c>
    </row>
    <row r="305" spans="1:7">
      <c r="A305" s="2">
        <v>362</v>
      </c>
      <c r="B305" s="2" t="s">
        <v>1411</v>
      </c>
      <c r="D305" s="2" t="s">
        <v>1412</v>
      </c>
      <c r="E305" s="2" t="s">
        <v>1413</v>
      </c>
      <c r="F305" s="2" t="s">
        <v>1414</v>
      </c>
      <c r="G305" s="2" t="s">
        <v>1415</v>
      </c>
    </row>
    <row r="306" spans="1:7">
      <c r="A306" s="2">
        <v>363</v>
      </c>
      <c r="B306" s="2" t="s">
        <v>1416</v>
      </c>
      <c r="D306" s="2" t="s">
        <v>1417</v>
      </c>
      <c r="E306" s="2" t="s">
        <v>1418</v>
      </c>
      <c r="F306" s="2" t="s">
        <v>1419</v>
      </c>
      <c r="G306" s="2" t="s">
        <v>1420</v>
      </c>
    </row>
    <row r="307" spans="1:7">
      <c r="A307" s="2">
        <v>364</v>
      </c>
      <c r="B307" s="2" t="s">
        <v>1421</v>
      </c>
      <c r="D307" s="2" t="s">
        <v>1422</v>
      </c>
      <c r="E307" s="2" t="s">
        <v>1423</v>
      </c>
      <c r="F307" s="2" t="s">
        <v>1424</v>
      </c>
      <c r="G307" s="2" t="s">
        <v>1425</v>
      </c>
    </row>
    <row r="308" spans="1:7">
      <c r="A308" s="2">
        <v>365</v>
      </c>
      <c r="B308" s="2" t="s">
        <v>1426</v>
      </c>
      <c r="D308" s="2" t="s">
        <v>1427</v>
      </c>
      <c r="E308" s="2" t="s">
        <v>1428</v>
      </c>
      <c r="F308" s="2" t="s">
        <v>1429</v>
      </c>
      <c r="G308" s="2" t="s">
        <v>1430</v>
      </c>
    </row>
    <row r="309" spans="1:7">
      <c r="A309" s="2">
        <v>366</v>
      </c>
      <c r="B309" s="2" t="s">
        <v>1431</v>
      </c>
      <c r="D309" s="2" t="s">
        <v>1432</v>
      </c>
      <c r="E309" s="2" t="s">
        <v>1433</v>
      </c>
      <c r="F309" s="2" t="s">
        <v>1434</v>
      </c>
      <c r="G309" s="2" t="s">
        <v>1435</v>
      </c>
    </row>
    <row r="310" spans="1:7">
      <c r="A310" s="2">
        <v>367</v>
      </c>
      <c r="B310" s="2" t="s">
        <v>1436</v>
      </c>
      <c r="D310" s="2" t="s">
        <v>1437</v>
      </c>
      <c r="E310" s="2" t="s">
        <v>1438</v>
      </c>
      <c r="F310" s="2" t="s">
        <v>1439</v>
      </c>
      <c r="G310" s="2" t="s">
        <v>1440</v>
      </c>
    </row>
    <row r="311" spans="1:7">
      <c r="A311" s="2">
        <v>368</v>
      </c>
      <c r="B311" s="2" t="s">
        <v>1441</v>
      </c>
      <c r="D311" s="2" t="s">
        <v>1442</v>
      </c>
      <c r="E311" s="2" t="s">
        <v>1443</v>
      </c>
      <c r="F311" s="2" t="s">
        <v>1439</v>
      </c>
      <c r="G311" s="2" t="s">
        <v>1440</v>
      </c>
    </row>
    <row r="312" spans="1:7">
      <c r="A312" s="2">
        <v>369</v>
      </c>
      <c r="B312" s="2" t="s">
        <v>1444</v>
      </c>
      <c r="D312" s="2" t="s">
        <v>1445</v>
      </c>
      <c r="E312" s="2" t="s">
        <v>1446</v>
      </c>
      <c r="F312" s="2" t="s">
        <v>1229</v>
      </c>
      <c r="G312" s="2" t="s">
        <v>1230</v>
      </c>
    </row>
    <row r="313" spans="1:7">
      <c r="A313" s="2">
        <v>370</v>
      </c>
      <c r="B313" s="2" t="s">
        <v>1447</v>
      </c>
      <c r="D313" s="2" t="s">
        <v>1448</v>
      </c>
      <c r="E313" s="2" t="s">
        <v>1449</v>
      </c>
      <c r="F313" s="2" t="s">
        <v>1234</v>
      </c>
      <c r="G313" s="2" t="s">
        <v>1235</v>
      </c>
    </row>
    <row r="314" spans="1:7">
      <c r="A314" s="2">
        <v>371</v>
      </c>
      <c r="B314" s="2" t="s">
        <v>1450</v>
      </c>
      <c r="D314" s="2" t="s">
        <v>1451</v>
      </c>
      <c r="E314" s="2" t="s">
        <v>1452</v>
      </c>
      <c r="F314" s="2" t="s">
        <v>1453</v>
      </c>
      <c r="G314" s="2" t="s">
        <v>1454</v>
      </c>
    </row>
    <row r="315" spans="1:7">
      <c r="A315" s="2">
        <v>372</v>
      </c>
      <c r="B315" s="2" t="s">
        <v>1455</v>
      </c>
      <c r="D315" s="2" t="s">
        <v>1456</v>
      </c>
      <c r="E315" s="2" t="s">
        <v>1457</v>
      </c>
      <c r="F315" s="2" t="s">
        <v>1458</v>
      </c>
      <c r="G315" s="2" t="s">
        <v>1459</v>
      </c>
    </row>
  </sheetData>
  <autoFilter ref="A1:K315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J311"/>
  <sheetViews>
    <sheetView topLeftCell="A2" workbookViewId="0">
      <selection activeCell="D2" sqref="D2:D311"/>
    </sheetView>
  </sheetViews>
  <sheetFormatPr defaultColWidth="9" defaultRowHeight="13.5"/>
  <cols>
    <col min="1" max="16384" width="9" style="2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0">
      <c r="A2" s="2">
        <v>1</v>
      </c>
      <c r="B2" s="2" t="s">
        <v>1460</v>
      </c>
      <c r="C2" s="2" t="s">
        <v>1461</v>
      </c>
      <c r="D2" s="2" t="s">
        <v>9</v>
      </c>
      <c r="E2" s="2" t="s">
        <v>10</v>
      </c>
      <c r="F2" s="2" t="s">
        <v>11</v>
      </c>
      <c r="G2" s="2" t="s">
        <v>12</v>
      </c>
      <c r="H2" s="2" t="str">
        <f>IFERROR(IF(OR(MID(G2,FIND(":",G2)-1,1)="""",MID(G2,FIND(":",G2)-1,1)="}",MID(G2,FIND(":",G2)-1,1)=")",MID(G2,FIND(":",G2)-1,1)="]"),"",LEFT(F2,FIND(":",F2)-1)),"")</f>
        <v>[{'tag'</v>
      </c>
      <c r="I2" s="2" t="str">
        <f>IFERROR(IF(OR(MID(G2,FIND(":",G2)-1,1)="""",MID(G2,FIND(":",G2)-1,1)="}",MID(G2,FIND(":",G2)-1,1)=")",MID(G2,FIND(":",G2)-1,1)="]"),"",RIGHT(G2,LEN(G2)-FIND(":",G2)-1)),"")</f>
        <v>'类别', 'value': '操作系统'}, {'tag': '指标', 'value': 'aix'}]</v>
      </c>
      <c r="J2" s="2" t="str">
        <f>IF(AND(I2="",H2=""),G2,H2&amp;": "&amp;I2)</f>
        <v>[{'tag': '类别', 'value': '操作系统'}, {'tag': '指标', 'value': 'aix'}]</v>
      </c>
    </row>
    <row r="3" spans="1:8">
      <c r="A3" s="2">
        <v>2</v>
      </c>
      <c r="B3" s="2" t="s">
        <v>1462</v>
      </c>
      <c r="C3" s="2" t="s">
        <v>1461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1463</v>
      </c>
    </row>
    <row r="4" spans="1:8">
      <c r="A4" s="2">
        <v>3</v>
      </c>
      <c r="B4" s="2" t="s">
        <v>1464</v>
      </c>
      <c r="C4" s="2" t="s">
        <v>1461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1463</v>
      </c>
    </row>
    <row r="5" spans="1:8">
      <c r="A5" s="2">
        <v>4</v>
      </c>
      <c r="B5" s="2" t="s">
        <v>1465</v>
      </c>
      <c r="C5" s="2" t="s">
        <v>1461</v>
      </c>
      <c r="D5" s="2" t="s">
        <v>24</v>
      </c>
      <c r="E5" s="2" t="s">
        <v>25</v>
      </c>
      <c r="F5" s="2" t="s">
        <v>26</v>
      </c>
      <c r="G5" s="2" t="s">
        <v>27</v>
      </c>
      <c r="H5" s="2" t="s">
        <v>1463</v>
      </c>
    </row>
    <row r="6" spans="1:8">
      <c r="A6" s="2">
        <v>5</v>
      </c>
      <c r="B6" s="2" t="s">
        <v>1466</v>
      </c>
      <c r="C6" s="2" t="s">
        <v>1461</v>
      </c>
      <c r="D6" s="2" t="s">
        <v>29</v>
      </c>
      <c r="E6" s="2" t="s">
        <v>30</v>
      </c>
      <c r="F6" s="2" t="s">
        <v>31</v>
      </c>
      <c r="G6" s="2" t="s">
        <v>32</v>
      </c>
      <c r="H6" s="2" t="s">
        <v>1463</v>
      </c>
    </row>
    <row r="7" spans="1:8">
      <c r="A7" s="2">
        <v>6</v>
      </c>
      <c r="B7" s="2" t="s">
        <v>1467</v>
      </c>
      <c r="C7" s="2" t="s">
        <v>1461</v>
      </c>
      <c r="D7" s="2" t="s">
        <v>34</v>
      </c>
      <c r="E7" s="2" t="s">
        <v>35</v>
      </c>
      <c r="F7" s="2" t="s">
        <v>36</v>
      </c>
      <c r="G7" s="2" t="s">
        <v>37</v>
      </c>
      <c r="H7" s="2" t="s">
        <v>1463</v>
      </c>
    </row>
    <row r="8" spans="1:8">
      <c r="A8" s="2">
        <v>7</v>
      </c>
      <c r="B8" s="2" t="s">
        <v>1468</v>
      </c>
      <c r="C8" s="2" t="s">
        <v>1461</v>
      </c>
      <c r="D8" s="2" t="s">
        <v>39</v>
      </c>
      <c r="E8" s="2" t="s">
        <v>40</v>
      </c>
      <c r="F8" s="2" t="s">
        <v>41</v>
      </c>
      <c r="G8" s="2" t="s">
        <v>42</v>
      </c>
      <c r="H8" s="2" t="s">
        <v>1463</v>
      </c>
    </row>
    <row r="9" spans="1:8">
      <c r="A9" s="2">
        <v>8</v>
      </c>
      <c r="B9" s="2" t="s">
        <v>1469</v>
      </c>
      <c r="C9" s="2" t="s">
        <v>1461</v>
      </c>
      <c r="D9" s="2" t="s">
        <v>44</v>
      </c>
      <c r="E9" s="2" t="s">
        <v>45</v>
      </c>
      <c r="F9" s="2" t="s">
        <v>46</v>
      </c>
      <c r="G9" s="2" t="s">
        <v>47</v>
      </c>
      <c r="H9" s="2" t="s">
        <v>1463</v>
      </c>
    </row>
    <row r="10" spans="1:8">
      <c r="A10" s="2">
        <v>9</v>
      </c>
      <c r="B10" s="2" t="s">
        <v>1470</v>
      </c>
      <c r="C10" s="2" t="s">
        <v>1461</v>
      </c>
      <c r="D10" s="2" t="s">
        <v>49</v>
      </c>
      <c r="E10" s="2" t="s">
        <v>50</v>
      </c>
      <c r="F10" s="2" t="s">
        <v>51</v>
      </c>
      <c r="G10" s="2" t="s">
        <v>52</v>
      </c>
      <c r="H10" s="2" t="s">
        <v>1463</v>
      </c>
    </row>
    <row r="11" spans="1:8">
      <c r="A11" s="2">
        <v>10</v>
      </c>
      <c r="B11" s="2" t="s">
        <v>1471</v>
      </c>
      <c r="C11" s="2" t="s">
        <v>1461</v>
      </c>
      <c r="D11" s="2" t="s">
        <v>54</v>
      </c>
      <c r="E11" s="2" t="s">
        <v>55</v>
      </c>
      <c r="F11" s="2" t="s">
        <v>56</v>
      </c>
      <c r="G11" s="2" t="s">
        <v>57</v>
      </c>
      <c r="H11" s="2" t="s">
        <v>1463</v>
      </c>
    </row>
    <row r="12" spans="1:8">
      <c r="A12" s="2">
        <v>11</v>
      </c>
      <c r="B12" s="2" t="s">
        <v>1472</v>
      </c>
      <c r="C12" s="2" t="s">
        <v>1461</v>
      </c>
      <c r="D12" s="2" t="s">
        <v>59</v>
      </c>
      <c r="E12" s="2" t="s">
        <v>60</v>
      </c>
      <c r="F12" s="2" t="s">
        <v>61</v>
      </c>
      <c r="G12" s="2" t="s">
        <v>62</v>
      </c>
      <c r="H12" s="2" t="s">
        <v>1463</v>
      </c>
    </row>
    <row r="13" spans="1:8">
      <c r="A13" s="2">
        <v>12</v>
      </c>
      <c r="B13" s="2" t="s">
        <v>1473</v>
      </c>
      <c r="C13" s="2" t="s">
        <v>1461</v>
      </c>
      <c r="D13" s="2" t="s">
        <v>64</v>
      </c>
      <c r="E13" s="2" t="s">
        <v>65</v>
      </c>
      <c r="F13" s="2" t="s">
        <v>66</v>
      </c>
      <c r="G13" s="2" t="s">
        <v>67</v>
      </c>
      <c r="H13" s="2" t="s">
        <v>1463</v>
      </c>
    </row>
    <row r="14" spans="1:8">
      <c r="A14" s="2">
        <v>13</v>
      </c>
      <c r="B14" s="2" t="s">
        <v>1474</v>
      </c>
      <c r="C14" s="2" t="s">
        <v>1461</v>
      </c>
      <c r="D14" s="2" t="s">
        <v>69</v>
      </c>
      <c r="E14" s="2" t="s">
        <v>308</v>
      </c>
      <c r="F14" s="2" t="s">
        <v>71</v>
      </c>
      <c r="G14" s="2" t="s">
        <v>72</v>
      </c>
      <c r="H14" s="2" t="s">
        <v>1463</v>
      </c>
    </row>
    <row r="15" spans="1:8">
      <c r="A15" s="2">
        <v>14</v>
      </c>
      <c r="B15" s="2" t="s">
        <v>1475</v>
      </c>
      <c r="C15" s="2" t="s">
        <v>1461</v>
      </c>
      <c r="D15" s="2" t="s">
        <v>74</v>
      </c>
      <c r="E15" s="2" t="s">
        <v>563</v>
      </c>
      <c r="F15" s="2" t="s">
        <v>76</v>
      </c>
      <c r="G15" s="2" t="s">
        <v>77</v>
      </c>
      <c r="H15" s="2" t="s">
        <v>1463</v>
      </c>
    </row>
    <row r="16" spans="1:8">
      <c r="A16" s="2">
        <v>15</v>
      </c>
      <c r="B16" s="2" t="s">
        <v>1476</v>
      </c>
      <c r="C16" s="2" t="s">
        <v>1461</v>
      </c>
      <c r="D16" s="2" t="s">
        <v>79</v>
      </c>
      <c r="E16" s="2" t="s">
        <v>313</v>
      </c>
      <c r="F16" s="2" t="s">
        <v>81</v>
      </c>
      <c r="G16" s="2" t="s">
        <v>82</v>
      </c>
      <c r="H16" s="2" t="s">
        <v>1463</v>
      </c>
    </row>
    <row r="17" spans="1:8">
      <c r="A17" s="2">
        <v>16</v>
      </c>
      <c r="B17" s="2" t="s">
        <v>1477</v>
      </c>
      <c r="C17" s="2" t="s">
        <v>1461</v>
      </c>
      <c r="D17" s="2" t="s">
        <v>84</v>
      </c>
      <c r="E17" s="2" t="s">
        <v>1478</v>
      </c>
      <c r="F17" s="2" t="s">
        <v>81</v>
      </c>
      <c r="G17" s="2" t="s">
        <v>82</v>
      </c>
      <c r="H17" s="2" t="s">
        <v>1463</v>
      </c>
    </row>
    <row r="18" spans="1:8">
      <c r="A18" s="2">
        <v>17</v>
      </c>
      <c r="B18" s="2" t="s">
        <v>1479</v>
      </c>
      <c r="C18" s="2" t="s">
        <v>1461</v>
      </c>
      <c r="D18" s="2" t="s">
        <v>87</v>
      </c>
      <c r="E18" s="2" t="s">
        <v>1155</v>
      </c>
      <c r="F18" s="2" t="s">
        <v>89</v>
      </c>
      <c r="G18" s="2" t="s">
        <v>90</v>
      </c>
      <c r="H18" s="2" t="s">
        <v>1463</v>
      </c>
    </row>
    <row r="19" spans="1:8">
      <c r="A19" s="2">
        <v>18</v>
      </c>
      <c r="B19" s="2" t="s">
        <v>1480</v>
      </c>
      <c r="C19" s="2" t="s">
        <v>1461</v>
      </c>
      <c r="D19" s="2" t="s">
        <v>102</v>
      </c>
      <c r="E19" s="2" t="s">
        <v>292</v>
      </c>
      <c r="F19" s="2" t="s">
        <v>104</v>
      </c>
      <c r="G19" s="2" t="s">
        <v>105</v>
      </c>
      <c r="H19" s="2" t="s">
        <v>1463</v>
      </c>
    </row>
    <row r="20" spans="1:8">
      <c r="A20" s="2">
        <v>19</v>
      </c>
      <c r="B20" s="2" t="s">
        <v>1481</v>
      </c>
      <c r="C20" s="2" t="s">
        <v>1461</v>
      </c>
      <c r="D20" s="2" t="s">
        <v>107</v>
      </c>
      <c r="E20" s="2" t="s">
        <v>297</v>
      </c>
      <c r="F20" s="2" t="s">
        <v>109</v>
      </c>
      <c r="G20" s="2" t="s">
        <v>110</v>
      </c>
      <c r="H20" s="2" t="s">
        <v>1463</v>
      </c>
    </row>
    <row r="21" spans="1:8">
      <c r="A21" s="2">
        <v>20</v>
      </c>
      <c r="B21" s="2" t="s">
        <v>1482</v>
      </c>
      <c r="C21" s="2" t="s">
        <v>1461</v>
      </c>
      <c r="D21" s="2" t="s">
        <v>112</v>
      </c>
      <c r="E21" s="2" t="s">
        <v>103</v>
      </c>
      <c r="F21" s="2" t="s">
        <v>114</v>
      </c>
      <c r="G21" s="2" t="s">
        <v>115</v>
      </c>
      <c r="H21" s="2" t="s">
        <v>1463</v>
      </c>
    </row>
    <row r="22" spans="1:8">
      <c r="A22" s="2">
        <v>21</v>
      </c>
      <c r="B22" s="2" t="s">
        <v>1483</v>
      </c>
      <c r="C22" s="2" t="s">
        <v>1461</v>
      </c>
      <c r="D22" s="2" t="s">
        <v>117</v>
      </c>
      <c r="E22" s="2" t="s">
        <v>1108</v>
      </c>
      <c r="F22" s="2" t="s">
        <v>119</v>
      </c>
      <c r="G22" s="2" t="s">
        <v>120</v>
      </c>
      <c r="H22" s="2" t="s">
        <v>1463</v>
      </c>
    </row>
    <row r="23" spans="1:8">
      <c r="A23" s="2">
        <v>22</v>
      </c>
      <c r="B23" s="2" t="s">
        <v>1484</v>
      </c>
      <c r="C23" s="2" t="s">
        <v>1461</v>
      </c>
      <c r="D23" s="2" t="s">
        <v>122</v>
      </c>
      <c r="E23" s="2" t="s">
        <v>1485</v>
      </c>
      <c r="F23" s="2" t="s">
        <v>119</v>
      </c>
      <c r="G23" s="2" t="s">
        <v>120</v>
      </c>
      <c r="H23" s="2" t="s">
        <v>1463</v>
      </c>
    </row>
    <row r="24" spans="1:8">
      <c r="A24" s="2">
        <v>23</v>
      </c>
      <c r="B24" s="2" t="s">
        <v>1486</v>
      </c>
      <c r="C24" s="2" t="s">
        <v>1461</v>
      </c>
      <c r="D24" s="2" t="s">
        <v>125</v>
      </c>
      <c r="E24" s="2" t="s">
        <v>126</v>
      </c>
      <c r="F24" s="2" t="s">
        <v>127</v>
      </c>
      <c r="G24" s="2" t="s">
        <v>128</v>
      </c>
      <c r="H24" s="2" t="s">
        <v>1463</v>
      </c>
    </row>
    <row r="25" spans="1:8">
      <c r="A25" s="2">
        <v>24</v>
      </c>
      <c r="B25" s="2" t="s">
        <v>1487</v>
      </c>
      <c r="C25" s="2" t="s">
        <v>1461</v>
      </c>
      <c r="D25" s="2" t="s">
        <v>130</v>
      </c>
      <c r="E25" s="2" t="s">
        <v>131</v>
      </c>
      <c r="F25" s="2" t="s">
        <v>132</v>
      </c>
      <c r="G25" s="2" t="s">
        <v>133</v>
      </c>
      <c r="H25" s="2" t="s">
        <v>1463</v>
      </c>
    </row>
    <row r="26" spans="1:8">
      <c r="A26" s="2">
        <v>25</v>
      </c>
      <c r="B26" s="2" t="s">
        <v>1488</v>
      </c>
      <c r="C26" s="2" t="s">
        <v>1461</v>
      </c>
      <c r="D26" s="2" t="s">
        <v>135</v>
      </c>
      <c r="E26" s="2" t="s">
        <v>136</v>
      </c>
      <c r="F26" s="2" t="s">
        <v>137</v>
      </c>
      <c r="G26" s="2" t="s">
        <v>138</v>
      </c>
      <c r="H26" s="2" t="s">
        <v>1463</v>
      </c>
    </row>
    <row r="27" spans="1:8">
      <c r="A27" s="2">
        <v>26</v>
      </c>
      <c r="B27" s="2" t="s">
        <v>1489</v>
      </c>
      <c r="C27" s="2" t="s">
        <v>1461</v>
      </c>
      <c r="D27" s="2" t="s">
        <v>140</v>
      </c>
      <c r="E27" s="2" t="s">
        <v>141</v>
      </c>
      <c r="F27" s="2" t="s">
        <v>142</v>
      </c>
      <c r="G27" s="2" t="s">
        <v>143</v>
      </c>
      <c r="H27" s="2" t="s">
        <v>1463</v>
      </c>
    </row>
    <row r="28" spans="1:8">
      <c r="A28" s="2">
        <v>27</v>
      </c>
      <c r="B28" s="2" t="s">
        <v>1490</v>
      </c>
      <c r="C28" s="2" t="s">
        <v>1461</v>
      </c>
      <c r="D28" s="2" t="s">
        <v>145</v>
      </c>
      <c r="E28" s="2" t="s">
        <v>146</v>
      </c>
      <c r="F28" s="2" t="s">
        <v>147</v>
      </c>
      <c r="G28" s="2" t="s">
        <v>148</v>
      </c>
      <c r="H28" s="2" t="s">
        <v>1463</v>
      </c>
    </row>
    <row r="29" spans="1:8">
      <c r="A29" s="2">
        <v>28</v>
      </c>
      <c r="B29" s="2" t="s">
        <v>1491</v>
      </c>
      <c r="C29" s="2" t="s">
        <v>1461</v>
      </c>
      <c r="D29" s="2" t="s">
        <v>150</v>
      </c>
      <c r="E29" s="2" t="s">
        <v>151</v>
      </c>
      <c r="F29" s="2" t="s">
        <v>152</v>
      </c>
      <c r="G29" s="2" t="s">
        <v>153</v>
      </c>
      <c r="H29" s="2" t="s">
        <v>1463</v>
      </c>
    </row>
    <row r="30" spans="1:8">
      <c r="A30" s="2">
        <v>29</v>
      </c>
      <c r="B30" s="2" t="s">
        <v>1492</v>
      </c>
      <c r="C30" s="2" t="s">
        <v>1461</v>
      </c>
      <c r="D30" s="2" t="s">
        <v>155</v>
      </c>
      <c r="E30" s="2" t="s">
        <v>156</v>
      </c>
      <c r="F30" s="2" t="s">
        <v>152</v>
      </c>
      <c r="G30" s="2" t="s">
        <v>153</v>
      </c>
      <c r="H30" s="2" t="s">
        <v>1463</v>
      </c>
    </row>
    <row r="31" spans="1:8">
      <c r="A31" s="2">
        <v>30</v>
      </c>
      <c r="B31" s="2" t="s">
        <v>1493</v>
      </c>
      <c r="C31" s="2" t="s">
        <v>1461</v>
      </c>
      <c r="D31" s="2" t="s">
        <v>158</v>
      </c>
      <c r="E31" s="2" t="s">
        <v>159</v>
      </c>
      <c r="F31" s="2" t="s">
        <v>160</v>
      </c>
      <c r="G31" s="2" t="s">
        <v>161</v>
      </c>
      <c r="H31" s="2" t="s">
        <v>1463</v>
      </c>
    </row>
    <row r="32" spans="1:8">
      <c r="A32" s="2">
        <v>31</v>
      </c>
      <c r="B32" s="2" t="s">
        <v>1494</v>
      </c>
      <c r="C32" s="2" t="s">
        <v>1461</v>
      </c>
      <c r="D32" s="2" t="s">
        <v>163</v>
      </c>
      <c r="E32" s="2" t="s">
        <v>164</v>
      </c>
      <c r="F32" s="2" t="s">
        <v>165</v>
      </c>
      <c r="G32" s="2" t="s">
        <v>166</v>
      </c>
      <c r="H32" s="2" t="s">
        <v>1463</v>
      </c>
    </row>
    <row r="33" spans="1:8">
      <c r="A33" s="2">
        <v>32</v>
      </c>
      <c r="B33" s="2" t="s">
        <v>1495</v>
      </c>
      <c r="C33" s="2" t="s">
        <v>1461</v>
      </c>
      <c r="D33" s="2" t="s">
        <v>168</v>
      </c>
      <c r="E33" s="2" t="s">
        <v>169</v>
      </c>
      <c r="F33" s="2" t="s">
        <v>170</v>
      </c>
      <c r="G33" s="2" t="s">
        <v>171</v>
      </c>
      <c r="H33" s="2" t="s">
        <v>1463</v>
      </c>
    </row>
    <row r="34" spans="1:8">
      <c r="A34" s="2">
        <v>33</v>
      </c>
      <c r="B34" s="2" t="s">
        <v>1496</v>
      </c>
      <c r="C34" s="2" t="s">
        <v>1461</v>
      </c>
      <c r="D34" s="2" t="s">
        <v>173</v>
      </c>
      <c r="E34" s="2" t="s">
        <v>460</v>
      </c>
      <c r="F34" s="2" t="s">
        <v>175</v>
      </c>
      <c r="G34" s="2" t="s">
        <v>176</v>
      </c>
      <c r="H34" s="2" t="s">
        <v>1463</v>
      </c>
    </row>
    <row r="35" spans="1:8">
      <c r="A35" s="2">
        <v>34</v>
      </c>
      <c r="B35" s="2" t="s">
        <v>1497</v>
      </c>
      <c r="C35" s="2" t="s">
        <v>1461</v>
      </c>
      <c r="D35" s="2" t="s">
        <v>178</v>
      </c>
      <c r="E35" s="2" t="s">
        <v>1144</v>
      </c>
      <c r="F35" s="2" t="s">
        <v>180</v>
      </c>
      <c r="G35" s="2" t="s">
        <v>181</v>
      </c>
      <c r="H35" s="2" t="s">
        <v>1463</v>
      </c>
    </row>
    <row r="36" spans="1:8">
      <c r="A36" s="2">
        <v>35</v>
      </c>
      <c r="B36" s="2" t="s">
        <v>1498</v>
      </c>
      <c r="C36" s="2" t="s">
        <v>1461</v>
      </c>
      <c r="D36" s="2" t="s">
        <v>183</v>
      </c>
      <c r="E36" s="2" t="s">
        <v>1326</v>
      </c>
      <c r="F36" s="2" t="s">
        <v>185</v>
      </c>
      <c r="G36" s="2" t="s">
        <v>186</v>
      </c>
      <c r="H36" s="2" t="s">
        <v>1463</v>
      </c>
    </row>
    <row r="37" spans="1:8">
      <c r="A37" s="2">
        <v>36</v>
      </c>
      <c r="B37" s="2" t="s">
        <v>1499</v>
      </c>
      <c r="C37" s="2" t="s">
        <v>1461</v>
      </c>
      <c r="D37" s="2" t="s">
        <v>188</v>
      </c>
      <c r="E37" s="2" t="s">
        <v>303</v>
      </c>
      <c r="F37" s="2" t="s">
        <v>185</v>
      </c>
      <c r="G37" s="2" t="s">
        <v>186</v>
      </c>
      <c r="H37" s="2" t="s">
        <v>1463</v>
      </c>
    </row>
    <row r="38" spans="1:8">
      <c r="A38" s="2">
        <v>37</v>
      </c>
      <c r="B38" s="2" t="s">
        <v>1500</v>
      </c>
      <c r="C38" s="2" t="s">
        <v>1461</v>
      </c>
      <c r="D38" s="2" t="s">
        <v>191</v>
      </c>
      <c r="E38" s="2" t="s">
        <v>1501</v>
      </c>
      <c r="F38" s="2" t="s">
        <v>193</v>
      </c>
      <c r="G38" s="2" t="s">
        <v>194</v>
      </c>
      <c r="H38" s="2" t="s">
        <v>1463</v>
      </c>
    </row>
    <row r="39" spans="1:8">
      <c r="A39" s="2">
        <v>38</v>
      </c>
      <c r="B39" s="2" t="s">
        <v>1502</v>
      </c>
      <c r="C39" s="2" t="s">
        <v>1461</v>
      </c>
      <c r="D39" s="2" t="s">
        <v>196</v>
      </c>
      <c r="E39" s="2" t="s">
        <v>1503</v>
      </c>
      <c r="F39" s="2" t="s">
        <v>193</v>
      </c>
      <c r="G39" s="2" t="s">
        <v>194</v>
      </c>
      <c r="H39" s="2" t="s">
        <v>1463</v>
      </c>
    </row>
    <row r="40" spans="1:8">
      <c r="A40" s="2">
        <v>39</v>
      </c>
      <c r="B40" s="2" t="s">
        <v>1504</v>
      </c>
      <c r="C40" s="2" t="s">
        <v>1461</v>
      </c>
      <c r="D40" s="2" t="s">
        <v>199</v>
      </c>
      <c r="E40" s="2" t="s">
        <v>189</v>
      </c>
      <c r="F40" s="2" t="s">
        <v>201</v>
      </c>
      <c r="G40" s="2" t="s">
        <v>202</v>
      </c>
      <c r="H40" s="2" t="s">
        <v>1463</v>
      </c>
    </row>
    <row r="41" spans="1:8">
      <c r="A41" s="2">
        <v>40</v>
      </c>
      <c r="B41" s="2" t="s">
        <v>1505</v>
      </c>
      <c r="C41" s="2" t="s">
        <v>1461</v>
      </c>
      <c r="D41" s="2" t="s">
        <v>204</v>
      </c>
      <c r="E41" s="2" t="s">
        <v>192</v>
      </c>
      <c r="F41" s="2" t="s">
        <v>201</v>
      </c>
      <c r="G41" s="2" t="s">
        <v>202</v>
      </c>
      <c r="H41" s="2" t="s">
        <v>1463</v>
      </c>
    </row>
    <row r="42" spans="1:8">
      <c r="A42" s="2">
        <v>41</v>
      </c>
      <c r="B42" s="2" t="s">
        <v>1506</v>
      </c>
      <c r="C42" s="2" t="s">
        <v>1461</v>
      </c>
      <c r="D42" s="2" t="s">
        <v>212</v>
      </c>
      <c r="E42" s="2" t="s">
        <v>1507</v>
      </c>
      <c r="F42" s="2" t="s">
        <v>209</v>
      </c>
      <c r="G42" s="2" t="s">
        <v>210</v>
      </c>
      <c r="H42" s="2" t="s">
        <v>1463</v>
      </c>
    </row>
    <row r="43" spans="1:8">
      <c r="A43" s="2">
        <v>42</v>
      </c>
      <c r="B43" s="2" t="s">
        <v>1508</v>
      </c>
      <c r="C43" s="2" t="s">
        <v>1461</v>
      </c>
      <c r="D43" s="2" t="s">
        <v>215</v>
      </c>
      <c r="E43" s="2" t="s">
        <v>300</v>
      </c>
      <c r="F43" s="2" t="s">
        <v>209</v>
      </c>
      <c r="G43" s="2" t="s">
        <v>210</v>
      </c>
      <c r="H43" s="2" t="s">
        <v>1463</v>
      </c>
    </row>
    <row r="44" spans="1:8">
      <c r="A44" s="2">
        <v>43</v>
      </c>
      <c r="B44" s="2" t="s">
        <v>1509</v>
      </c>
      <c r="C44" s="2" t="s">
        <v>1461</v>
      </c>
      <c r="D44" s="2" t="s">
        <v>218</v>
      </c>
      <c r="E44" s="2" t="s">
        <v>219</v>
      </c>
      <c r="F44" s="2" t="s">
        <v>220</v>
      </c>
      <c r="G44" s="2" t="s">
        <v>221</v>
      </c>
      <c r="H44" s="2" t="s">
        <v>1463</v>
      </c>
    </row>
    <row r="45" spans="1:8">
      <c r="A45" s="2">
        <v>44</v>
      </c>
      <c r="B45" s="2" t="s">
        <v>1510</v>
      </c>
      <c r="C45" s="2" t="s">
        <v>1461</v>
      </c>
      <c r="D45" s="2" t="s">
        <v>223</v>
      </c>
      <c r="E45" s="2" t="s">
        <v>224</v>
      </c>
      <c r="F45" s="2" t="s">
        <v>225</v>
      </c>
      <c r="G45" s="2" t="s">
        <v>226</v>
      </c>
      <c r="H45" s="2" t="s">
        <v>1463</v>
      </c>
    </row>
    <row r="46" spans="1:8">
      <c r="A46" s="2">
        <v>45</v>
      </c>
      <c r="B46" s="2" t="s">
        <v>1511</v>
      </c>
      <c r="C46" s="2" t="s">
        <v>1461</v>
      </c>
      <c r="D46" s="2" t="s">
        <v>228</v>
      </c>
      <c r="E46" s="2" t="s">
        <v>229</v>
      </c>
      <c r="F46" s="2" t="s">
        <v>225</v>
      </c>
      <c r="G46" s="2" t="s">
        <v>226</v>
      </c>
      <c r="H46" s="2" t="s">
        <v>1463</v>
      </c>
    </row>
    <row r="47" spans="1:8">
      <c r="A47" s="2">
        <v>46</v>
      </c>
      <c r="B47" s="2" t="s">
        <v>1512</v>
      </c>
      <c r="C47" s="2" t="s">
        <v>1461</v>
      </c>
      <c r="D47" s="2" t="s">
        <v>231</v>
      </c>
      <c r="E47" s="2" t="s">
        <v>232</v>
      </c>
      <c r="F47" s="2" t="s">
        <v>233</v>
      </c>
      <c r="G47" s="2" t="s">
        <v>234</v>
      </c>
      <c r="H47" s="2" t="s">
        <v>1463</v>
      </c>
    </row>
    <row r="48" spans="1:8">
      <c r="A48" s="2">
        <v>47</v>
      </c>
      <c r="B48" s="2" t="s">
        <v>1513</v>
      </c>
      <c r="C48" s="2" t="s">
        <v>1461</v>
      </c>
      <c r="D48" s="2" t="s">
        <v>236</v>
      </c>
      <c r="E48" s="2" t="s">
        <v>237</v>
      </c>
      <c r="F48" s="2" t="s">
        <v>238</v>
      </c>
      <c r="G48" s="2" t="s">
        <v>239</v>
      </c>
      <c r="H48" s="2" t="s">
        <v>1463</v>
      </c>
    </row>
    <row r="49" spans="1:8">
      <c r="A49" s="2">
        <v>48</v>
      </c>
      <c r="B49" s="2" t="s">
        <v>1514</v>
      </c>
      <c r="C49" s="2" t="s">
        <v>1461</v>
      </c>
      <c r="D49" s="2" t="s">
        <v>241</v>
      </c>
      <c r="E49" s="2" t="s">
        <v>1515</v>
      </c>
      <c r="F49" s="2" t="s">
        <v>243</v>
      </c>
      <c r="G49" s="2" t="s">
        <v>244</v>
      </c>
      <c r="H49" s="2" t="s">
        <v>1463</v>
      </c>
    </row>
    <row r="50" spans="1:8">
      <c r="A50" s="2">
        <v>49</v>
      </c>
      <c r="B50" s="2" t="s">
        <v>1516</v>
      </c>
      <c r="C50" s="2" t="s">
        <v>1461</v>
      </c>
      <c r="D50" s="2" t="s">
        <v>246</v>
      </c>
      <c r="E50" s="2" t="s">
        <v>247</v>
      </c>
      <c r="F50" s="2" t="s">
        <v>248</v>
      </c>
      <c r="G50" s="2" t="s">
        <v>249</v>
      </c>
      <c r="H50" s="2" t="s">
        <v>1463</v>
      </c>
    </row>
    <row r="51" spans="1:8">
      <c r="A51" s="2">
        <v>50</v>
      </c>
      <c r="B51" s="2" t="s">
        <v>1517</v>
      </c>
      <c r="C51" s="2" t="s">
        <v>1461</v>
      </c>
      <c r="D51" s="2" t="s">
        <v>251</v>
      </c>
      <c r="E51" s="2" t="s">
        <v>252</v>
      </c>
      <c r="F51" s="2" t="s">
        <v>253</v>
      </c>
      <c r="G51" s="2" t="s">
        <v>254</v>
      </c>
      <c r="H51" s="2" t="s">
        <v>1463</v>
      </c>
    </row>
    <row r="52" spans="1:8">
      <c r="A52" s="2">
        <v>51</v>
      </c>
      <c r="B52" s="2" t="s">
        <v>1518</v>
      </c>
      <c r="C52" s="2" t="s">
        <v>1461</v>
      </c>
      <c r="D52" s="2" t="s">
        <v>256</v>
      </c>
      <c r="E52" s="2" t="s">
        <v>257</v>
      </c>
      <c r="F52" s="2" t="s">
        <v>258</v>
      </c>
      <c r="G52" s="2" t="s">
        <v>259</v>
      </c>
      <c r="H52" s="2" t="s">
        <v>1463</v>
      </c>
    </row>
    <row r="53" spans="1:8">
      <c r="A53" s="2">
        <v>52</v>
      </c>
      <c r="B53" s="2" t="s">
        <v>1519</v>
      </c>
      <c r="C53" s="2" t="s">
        <v>1461</v>
      </c>
      <c r="D53" s="2" t="s">
        <v>261</v>
      </c>
      <c r="E53" s="2" t="s">
        <v>262</v>
      </c>
      <c r="F53" s="2" t="s">
        <v>263</v>
      </c>
      <c r="G53" s="2" t="s">
        <v>264</v>
      </c>
      <c r="H53" s="2" t="s">
        <v>1463</v>
      </c>
    </row>
    <row r="54" spans="1:8">
      <c r="A54" s="2">
        <v>53</v>
      </c>
      <c r="B54" s="2" t="s">
        <v>1520</v>
      </c>
      <c r="C54" s="2" t="s">
        <v>1461</v>
      </c>
      <c r="D54" s="2" t="s">
        <v>266</v>
      </c>
      <c r="E54" s="2" t="s">
        <v>267</v>
      </c>
      <c r="F54" s="2" t="s">
        <v>268</v>
      </c>
      <c r="G54" s="2" t="s">
        <v>269</v>
      </c>
      <c r="H54" s="2" t="s">
        <v>1463</v>
      </c>
    </row>
    <row r="55" spans="1:8">
      <c r="A55" s="2">
        <v>54</v>
      </c>
      <c r="B55" s="2" t="s">
        <v>1521</v>
      </c>
      <c r="C55" s="2" t="s">
        <v>1461</v>
      </c>
      <c r="D55" s="2" t="s">
        <v>271</v>
      </c>
      <c r="E55" s="2" t="s">
        <v>272</v>
      </c>
      <c r="F55" s="2" t="s">
        <v>273</v>
      </c>
      <c r="G55" s="2" t="s">
        <v>274</v>
      </c>
      <c r="H55" s="2" t="s">
        <v>1463</v>
      </c>
    </row>
    <row r="56" spans="1:8">
      <c r="A56" s="2">
        <v>55</v>
      </c>
      <c r="B56" s="2" t="s">
        <v>1522</v>
      </c>
      <c r="C56" s="2" t="s">
        <v>1461</v>
      </c>
      <c r="D56" s="2" t="s">
        <v>276</v>
      </c>
      <c r="E56" s="2" t="s">
        <v>277</v>
      </c>
      <c r="F56" s="2" t="s">
        <v>278</v>
      </c>
      <c r="G56" s="2" t="s">
        <v>279</v>
      </c>
      <c r="H56" s="2" t="s">
        <v>1463</v>
      </c>
    </row>
    <row r="57" spans="1:8">
      <c r="A57" s="2">
        <v>56</v>
      </c>
      <c r="B57" s="2" t="s">
        <v>1523</v>
      </c>
      <c r="C57" s="2" t="s">
        <v>1461</v>
      </c>
      <c r="D57" s="2" t="s">
        <v>281</v>
      </c>
      <c r="E57" s="2" t="s">
        <v>282</v>
      </c>
      <c r="F57" s="2" t="s">
        <v>283</v>
      </c>
      <c r="G57" s="2" t="s">
        <v>284</v>
      </c>
      <c r="H57" s="2" t="s">
        <v>1463</v>
      </c>
    </row>
    <row r="58" spans="1:8">
      <c r="A58" s="2">
        <v>57</v>
      </c>
      <c r="B58" s="2" t="s">
        <v>1524</v>
      </c>
      <c r="C58" s="2" t="s">
        <v>1461</v>
      </c>
      <c r="D58" s="2" t="s">
        <v>286</v>
      </c>
      <c r="E58" s="2" t="s">
        <v>287</v>
      </c>
      <c r="F58" s="2" t="s">
        <v>288</v>
      </c>
      <c r="G58" s="2" t="s">
        <v>289</v>
      </c>
      <c r="H58" s="2" t="s">
        <v>1463</v>
      </c>
    </row>
    <row r="59" spans="1:8">
      <c r="A59" s="2">
        <v>58</v>
      </c>
      <c r="B59" s="2" t="s">
        <v>1525</v>
      </c>
      <c r="C59" s="2" t="s">
        <v>1461</v>
      </c>
      <c r="D59" s="2" t="s">
        <v>291</v>
      </c>
      <c r="E59" s="2" t="s">
        <v>200</v>
      </c>
      <c r="F59" s="2" t="s">
        <v>293</v>
      </c>
      <c r="G59" s="2" t="s">
        <v>294</v>
      </c>
      <c r="H59" s="2" t="s">
        <v>1463</v>
      </c>
    </row>
    <row r="60" spans="1:8">
      <c r="A60" s="2">
        <v>59</v>
      </c>
      <c r="B60" s="2" t="s">
        <v>1526</v>
      </c>
      <c r="C60" s="2" t="s">
        <v>1461</v>
      </c>
      <c r="D60" s="2" t="s">
        <v>296</v>
      </c>
      <c r="E60" s="2" t="s">
        <v>205</v>
      </c>
      <c r="F60" s="2" t="s">
        <v>293</v>
      </c>
      <c r="G60" s="2" t="s">
        <v>294</v>
      </c>
      <c r="H60" s="2" t="s">
        <v>1463</v>
      </c>
    </row>
    <row r="61" spans="1:8">
      <c r="A61" s="2">
        <v>60</v>
      </c>
      <c r="B61" s="2" t="s">
        <v>1527</v>
      </c>
      <c r="C61" s="2" t="s">
        <v>1461</v>
      </c>
      <c r="D61" s="2" t="s">
        <v>299</v>
      </c>
      <c r="E61" s="2" t="s">
        <v>213</v>
      </c>
      <c r="F61" s="2" t="s">
        <v>293</v>
      </c>
      <c r="G61" s="2" t="s">
        <v>294</v>
      </c>
      <c r="H61" s="2" t="s">
        <v>1463</v>
      </c>
    </row>
    <row r="62" spans="1:8">
      <c r="A62" s="2">
        <v>61</v>
      </c>
      <c r="B62" s="2" t="s">
        <v>1528</v>
      </c>
      <c r="C62" s="2" t="s">
        <v>1461</v>
      </c>
      <c r="D62" s="2" t="s">
        <v>302</v>
      </c>
      <c r="E62" s="2" t="s">
        <v>1529</v>
      </c>
      <c r="F62" s="2" t="s">
        <v>304</v>
      </c>
      <c r="G62" s="2" t="s">
        <v>305</v>
      </c>
      <c r="H62" s="2" t="s">
        <v>1463</v>
      </c>
    </row>
    <row r="63" spans="1:8">
      <c r="A63" s="2">
        <v>62</v>
      </c>
      <c r="B63" s="2" t="s">
        <v>1530</v>
      </c>
      <c r="C63" s="2" t="s">
        <v>1461</v>
      </c>
      <c r="D63" s="2" t="s">
        <v>307</v>
      </c>
      <c r="E63" s="2" t="s">
        <v>586</v>
      </c>
      <c r="F63" s="2" t="s">
        <v>309</v>
      </c>
      <c r="G63" s="2" t="s">
        <v>310</v>
      </c>
      <c r="H63" s="2" t="s">
        <v>1463</v>
      </c>
    </row>
    <row r="64" spans="1:8">
      <c r="A64" s="2">
        <v>63</v>
      </c>
      <c r="B64" s="2" t="s">
        <v>1531</v>
      </c>
      <c r="C64" s="2" t="s">
        <v>1461</v>
      </c>
      <c r="D64" s="2" t="s">
        <v>312</v>
      </c>
      <c r="E64" s="2" t="s">
        <v>591</v>
      </c>
      <c r="F64" s="2" t="s">
        <v>314</v>
      </c>
      <c r="G64" s="2" t="s">
        <v>315</v>
      </c>
      <c r="H64" s="2" t="s">
        <v>1463</v>
      </c>
    </row>
    <row r="65" spans="1:8">
      <c r="A65" s="2">
        <v>64</v>
      </c>
      <c r="B65" s="2" t="s">
        <v>1532</v>
      </c>
      <c r="C65" s="2" t="s">
        <v>1461</v>
      </c>
      <c r="D65" s="2" t="s">
        <v>317</v>
      </c>
      <c r="E65" s="2" t="s">
        <v>318</v>
      </c>
      <c r="F65" s="2" t="s">
        <v>319</v>
      </c>
      <c r="G65" s="2" t="s">
        <v>320</v>
      </c>
      <c r="H65" s="2" t="s">
        <v>1463</v>
      </c>
    </row>
    <row r="66" spans="1:8">
      <c r="A66" s="2">
        <v>65</v>
      </c>
      <c r="B66" s="2" t="s">
        <v>1533</v>
      </c>
      <c r="C66" s="2" t="s">
        <v>1461</v>
      </c>
      <c r="D66" s="2" t="s">
        <v>322</v>
      </c>
      <c r="E66" s="2" t="s">
        <v>323</v>
      </c>
      <c r="F66" s="2" t="s">
        <v>324</v>
      </c>
      <c r="G66" s="2" t="s">
        <v>325</v>
      </c>
      <c r="H66" s="2" t="s">
        <v>1463</v>
      </c>
    </row>
    <row r="67" spans="1:8">
      <c r="A67" s="2">
        <v>66</v>
      </c>
      <c r="B67" s="2" t="s">
        <v>1534</v>
      </c>
      <c r="C67" s="2" t="s">
        <v>1461</v>
      </c>
      <c r="D67" s="2" t="s">
        <v>327</v>
      </c>
      <c r="E67" s="2" t="s">
        <v>328</v>
      </c>
      <c r="F67" s="2" t="s">
        <v>329</v>
      </c>
      <c r="G67" s="2" t="s">
        <v>330</v>
      </c>
      <c r="H67" s="2" t="s">
        <v>1463</v>
      </c>
    </row>
    <row r="68" spans="1:8">
      <c r="A68" s="2">
        <v>67</v>
      </c>
      <c r="B68" s="2" t="s">
        <v>1535</v>
      </c>
      <c r="C68" s="2" t="s">
        <v>1461</v>
      </c>
      <c r="D68" s="2" t="s">
        <v>332</v>
      </c>
      <c r="E68" s="2" t="s">
        <v>333</v>
      </c>
      <c r="F68" s="2" t="s">
        <v>334</v>
      </c>
      <c r="G68" s="2" t="s">
        <v>335</v>
      </c>
      <c r="H68" s="2" t="s">
        <v>1463</v>
      </c>
    </row>
    <row r="69" spans="1:8">
      <c r="A69" s="2">
        <v>68</v>
      </c>
      <c r="B69" s="2" t="s">
        <v>1536</v>
      </c>
      <c r="C69" s="2" t="s">
        <v>1461</v>
      </c>
      <c r="D69" s="2" t="s">
        <v>337</v>
      </c>
      <c r="E69" s="2" t="s">
        <v>583</v>
      </c>
      <c r="F69" s="2" t="s">
        <v>339</v>
      </c>
      <c r="G69" s="2" t="s">
        <v>340</v>
      </c>
      <c r="H69" s="2" t="s">
        <v>1463</v>
      </c>
    </row>
    <row r="70" spans="1:8">
      <c r="A70" s="2">
        <v>69</v>
      </c>
      <c r="B70" s="2" t="s">
        <v>1537</v>
      </c>
      <c r="C70" s="2" t="s">
        <v>1461</v>
      </c>
      <c r="D70" s="2" t="s">
        <v>342</v>
      </c>
      <c r="E70" s="2" t="s">
        <v>1538</v>
      </c>
      <c r="F70" s="2" t="s">
        <v>344</v>
      </c>
      <c r="G70" s="2" t="s">
        <v>345</v>
      </c>
      <c r="H70" s="2" t="s">
        <v>1463</v>
      </c>
    </row>
    <row r="71" spans="1:8">
      <c r="A71" s="2">
        <v>70</v>
      </c>
      <c r="B71" s="2" t="s">
        <v>1539</v>
      </c>
      <c r="C71" s="2" t="s">
        <v>1461</v>
      </c>
      <c r="D71" s="2" t="s">
        <v>347</v>
      </c>
      <c r="E71" s="2" t="s">
        <v>343</v>
      </c>
      <c r="F71" s="2" t="s">
        <v>344</v>
      </c>
      <c r="G71" s="2" t="s">
        <v>345</v>
      </c>
      <c r="H71" s="2" t="s">
        <v>1463</v>
      </c>
    </row>
    <row r="72" spans="1:8">
      <c r="A72" s="2">
        <v>71</v>
      </c>
      <c r="B72" s="2" t="s">
        <v>1540</v>
      </c>
      <c r="C72" s="2" t="s">
        <v>1461</v>
      </c>
      <c r="D72" s="2" t="s">
        <v>350</v>
      </c>
      <c r="E72" s="2" t="s">
        <v>351</v>
      </c>
      <c r="F72" s="2" t="s">
        <v>352</v>
      </c>
      <c r="G72" s="2" t="s">
        <v>353</v>
      </c>
      <c r="H72" s="2" t="s">
        <v>1463</v>
      </c>
    </row>
    <row r="73" spans="1:8">
      <c r="A73" s="2">
        <v>72</v>
      </c>
      <c r="B73" s="2" t="s">
        <v>1541</v>
      </c>
      <c r="C73" s="2" t="s">
        <v>1461</v>
      </c>
      <c r="D73" s="2" t="s">
        <v>355</v>
      </c>
      <c r="E73" s="2" t="s">
        <v>356</v>
      </c>
      <c r="F73" s="2" t="s">
        <v>357</v>
      </c>
      <c r="G73" s="2" t="s">
        <v>358</v>
      </c>
      <c r="H73" s="2" t="s">
        <v>1463</v>
      </c>
    </row>
    <row r="74" spans="1:8">
      <c r="A74" s="2">
        <v>73</v>
      </c>
      <c r="B74" s="2" t="s">
        <v>1542</v>
      </c>
      <c r="C74" s="2" t="s">
        <v>1461</v>
      </c>
      <c r="D74" s="2" t="s">
        <v>360</v>
      </c>
      <c r="E74" s="2" t="s">
        <v>361</v>
      </c>
      <c r="F74" s="2" t="s">
        <v>362</v>
      </c>
      <c r="G74" s="2" t="s">
        <v>363</v>
      </c>
      <c r="H74" s="2" t="s">
        <v>1463</v>
      </c>
    </row>
    <row r="75" spans="1:8">
      <c r="A75" s="2">
        <v>74</v>
      </c>
      <c r="B75" s="2" t="s">
        <v>1543</v>
      </c>
      <c r="C75" s="2" t="s">
        <v>1461</v>
      </c>
      <c r="D75" s="2" t="s">
        <v>365</v>
      </c>
      <c r="E75" s="2" t="s">
        <v>366</v>
      </c>
      <c r="F75" s="2" t="s">
        <v>362</v>
      </c>
      <c r="G75" s="2" t="s">
        <v>363</v>
      </c>
      <c r="H75" s="2" t="s">
        <v>1463</v>
      </c>
    </row>
    <row r="76" spans="1:8">
      <c r="A76" s="2">
        <v>75</v>
      </c>
      <c r="B76" s="2" t="s">
        <v>1544</v>
      </c>
      <c r="C76" s="2" t="s">
        <v>1461</v>
      </c>
      <c r="D76" s="2" t="s">
        <v>368</v>
      </c>
      <c r="E76" s="2" t="s">
        <v>369</v>
      </c>
      <c r="F76" s="2" t="s">
        <v>362</v>
      </c>
      <c r="G76" s="2" t="s">
        <v>363</v>
      </c>
      <c r="H76" s="2" t="s">
        <v>1463</v>
      </c>
    </row>
    <row r="77" spans="1:8">
      <c r="A77" s="2">
        <v>76</v>
      </c>
      <c r="B77" s="2" t="s">
        <v>1545</v>
      </c>
      <c r="C77" s="2" t="s">
        <v>1461</v>
      </c>
      <c r="D77" s="2" t="s">
        <v>371</v>
      </c>
      <c r="E77" s="2" t="s">
        <v>372</v>
      </c>
      <c r="F77" s="2" t="s">
        <v>362</v>
      </c>
      <c r="G77" s="2" t="s">
        <v>363</v>
      </c>
      <c r="H77" s="2" t="s">
        <v>1463</v>
      </c>
    </row>
    <row r="78" spans="1:8">
      <c r="A78" s="2">
        <v>77</v>
      </c>
      <c r="B78" s="2" t="s">
        <v>1546</v>
      </c>
      <c r="C78" s="2" t="s">
        <v>1461</v>
      </c>
      <c r="D78" s="2" t="s">
        <v>374</v>
      </c>
      <c r="E78" s="2" t="s">
        <v>375</v>
      </c>
      <c r="F78" s="2" t="s">
        <v>362</v>
      </c>
      <c r="G78" s="2" t="s">
        <v>363</v>
      </c>
      <c r="H78" s="2" t="s">
        <v>1463</v>
      </c>
    </row>
    <row r="79" spans="1:8">
      <c r="A79" s="2">
        <v>78</v>
      </c>
      <c r="B79" s="2" t="s">
        <v>1547</v>
      </c>
      <c r="C79" s="2" t="s">
        <v>1461</v>
      </c>
      <c r="D79" s="2" t="s">
        <v>377</v>
      </c>
      <c r="E79" s="2" t="s">
        <v>378</v>
      </c>
      <c r="F79" s="2" t="s">
        <v>362</v>
      </c>
      <c r="G79" s="2" t="s">
        <v>363</v>
      </c>
      <c r="H79" s="2" t="s">
        <v>1463</v>
      </c>
    </row>
    <row r="80" spans="1:8">
      <c r="A80" s="2">
        <v>79</v>
      </c>
      <c r="B80" s="2" t="s">
        <v>1548</v>
      </c>
      <c r="C80" s="2" t="s">
        <v>1461</v>
      </c>
      <c r="D80" s="2" t="s">
        <v>380</v>
      </c>
      <c r="E80" s="2" t="s">
        <v>381</v>
      </c>
      <c r="F80" s="2" t="s">
        <v>362</v>
      </c>
      <c r="G80" s="2" t="s">
        <v>363</v>
      </c>
      <c r="H80" s="2" t="s">
        <v>1463</v>
      </c>
    </row>
    <row r="81" spans="1:8">
      <c r="A81" s="2">
        <v>80</v>
      </c>
      <c r="B81" s="2" t="s">
        <v>1549</v>
      </c>
      <c r="C81" s="2" t="s">
        <v>1461</v>
      </c>
      <c r="D81" s="2" t="s">
        <v>383</v>
      </c>
      <c r="E81" s="2" t="s">
        <v>384</v>
      </c>
      <c r="F81" s="2" t="s">
        <v>362</v>
      </c>
      <c r="G81" s="2" t="s">
        <v>363</v>
      </c>
      <c r="H81" s="2" t="s">
        <v>1463</v>
      </c>
    </row>
    <row r="82" spans="1:8">
      <c r="A82" s="2">
        <v>81</v>
      </c>
      <c r="B82" s="2" t="s">
        <v>1550</v>
      </c>
      <c r="C82" s="2" t="s">
        <v>1461</v>
      </c>
      <c r="D82" s="2" t="s">
        <v>386</v>
      </c>
      <c r="E82" s="2" t="s">
        <v>387</v>
      </c>
      <c r="F82" s="2" t="s">
        <v>388</v>
      </c>
      <c r="G82" s="2" t="s">
        <v>389</v>
      </c>
      <c r="H82" s="2" t="s">
        <v>1463</v>
      </c>
    </row>
    <row r="83" spans="1:8">
      <c r="A83" s="2">
        <v>82</v>
      </c>
      <c r="B83" s="2" t="s">
        <v>1551</v>
      </c>
      <c r="C83" s="2" t="s">
        <v>1461</v>
      </c>
      <c r="D83" s="2" t="s">
        <v>391</v>
      </c>
      <c r="E83" s="2" t="s">
        <v>392</v>
      </c>
      <c r="F83" s="2" t="s">
        <v>393</v>
      </c>
      <c r="G83" s="2" t="s">
        <v>394</v>
      </c>
      <c r="H83" s="2" t="s">
        <v>1463</v>
      </c>
    </row>
    <row r="84" spans="1:8">
      <c r="A84" s="2">
        <v>83</v>
      </c>
      <c r="B84" s="2" t="s">
        <v>1552</v>
      </c>
      <c r="C84" s="2" t="s">
        <v>1461</v>
      </c>
      <c r="D84" s="2" t="s">
        <v>396</v>
      </c>
      <c r="E84" s="2" t="s">
        <v>397</v>
      </c>
      <c r="F84" s="2" t="s">
        <v>398</v>
      </c>
      <c r="G84" s="2" t="s">
        <v>399</v>
      </c>
      <c r="H84" s="2" t="s">
        <v>1463</v>
      </c>
    </row>
    <row r="85" spans="1:8">
      <c r="A85" s="2">
        <v>84</v>
      </c>
      <c r="B85" s="2" t="s">
        <v>1553</v>
      </c>
      <c r="C85" s="2" t="s">
        <v>1461</v>
      </c>
      <c r="D85" s="2" t="s">
        <v>401</v>
      </c>
      <c r="E85" s="2" t="s">
        <v>402</v>
      </c>
      <c r="F85" s="2" t="s">
        <v>403</v>
      </c>
      <c r="G85" s="2" t="s">
        <v>404</v>
      </c>
      <c r="H85" s="2" t="s">
        <v>1463</v>
      </c>
    </row>
    <row r="86" spans="1:8">
      <c r="A86" s="2">
        <v>85</v>
      </c>
      <c r="B86" s="2" t="s">
        <v>1554</v>
      </c>
      <c r="C86" s="2" t="s">
        <v>1461</v>
      </c>
      <c r="D86" s="2" t="s">
        <v>406</v>
      </c>
      <c r="E86" s="2" t="s">
        <v>578</v>
      </c>
      <c r="F86" s="2" t="s">
        <v>408</v>
      </c>
      <c r="G86" s="2" t="s">
        <v>409</v>
      </c>
      <c r="H86" s="2" t="s">
        <v>1463</v>
      </c>
    </row>
    <row r="87" spans="1:8">
      <c r="A87" s="2">
        <v>86</v>
      </c>
      <c r="B87" s="2" t="s">
        <v>1555</v>
      </c>
      <c r="C87" s="2" t="s">
        <v>1461</v>
      </c>
      <c r="D87" s="2" t="s">
        <v>411</v>
      </c>
      <c r="E87" s="2" t="s">
        <v>412</v>
      </c>
      <c r="F87" s="2" t="s">
        <v>413</v>
      </c>
      <c r="G87" s="2" t="s">
        <v>414</v>
      </c>
      <c r="H87" s="2" t="s">
        <v>1463</v>
      </c>
    </row>
    <row r="88" spans="1:8">
      <c r="A88" s="2">
        <v>87</v>
      </c>
      <c r="B88" s="2" t="s">
        <v>1556</v>
      </c>
      <c r="C88" s="2" t="s">
        <v>1461</v>
      </c>
      <c r="D88" s="2" t="s">
        <v>416</v>
      </c>
      <c r="E88" s="2" t="s">
        <v>417</v>
      </c>
      <c r="F88" s="2" t="s">
        <v>418</v>
      </c>
      <c r="G88" s="2" t="s">
        <v>419</v>
      </c>
      <c r="H88" s="2" t="s">
        <v>1463</v>
      </c>
    </row>
    <row r="89" spans="1:8">
      <c r="A89" s="2">
        <v>88</v>
      </c>
      <c r="B89" s="2" t="s">
        <v>1557</v>
      </c>
      <c r="C89" s="2" t="s">
        <v>1461</v>
      </c>
      <c r="D89" s="2" t="s">
        <v>421</v>
      </c>
      <c r="E89" s="2" t="s">
        <v>422</v>
      </c>
      <c r="F89" s="2" t="s">
        <v>423</v>
      </c>
      <c r="G89" s="2" t="s">
        <v>424</v>
      </c>
      <c r="H89" s="2" t="s">
        <v>1463</v>
      </c>
    </row>
    <row r="90" spans="1:8">
      <c r="A90" s="2">
        <v>89</v>
      </c>
      <c r="B90" s="2" t="s">
        <v>1558</v>
      </c>
      <c r="C90" s="2" t="s">
        <v>1461</v>
      </c>
      <c r="D90" s="2" t="s">
        <v>426</v>
      </c>
      <c r="E90" s="2" t="s">
        <v>1559</v>
      </c>
      <c r="F90" s="2" t="s">
        <v>428</v>
      </c>
      <c r="G90" s="2" t="s">
        <v>429</v>
      </c>
      <c r="H90" s="2" t="s">
        <v>1463</v>
      </c>
    </row>
    <row r="91" spans="1:8">
      <c r="A91" s="2">
        <v>90</v>
      </c>
      <c r="B91" s="2" t="s">
        <v>1560</v>
      </c>
      <c r="C91" s="2" t="s">
        <v>1461</v>
      </c>
      <c r="D91" s="2" t="s">
        <v>431</v>
      </c>
      <c r="E91" s="2" t="s">
        <v>728</v>
      </c>
      <c r="F91" s="2" t="s">
        <v>428</v>
      </c>
      <c r="G91" s="2" t="s">
        <v>429</v>
      </c>
      <c r="H91" s="2" t="s">
        <v>1463</v>
      </c>
    </row>
    <row r="92" spans="1:8">
      <c r="A92" s="2">
        <v>91</v>
      </c>
      <c r="B92" s="2" t="s">
        <v>1561</v>
      </c>
      <c r="C92" s="2" t="s">
        <v>1461</v>
      </c>
      <c r="D92" s="2" t="s">
        <v>434</v>
      </c>
      <c r="E92" s="2" t="s">
        <v>435</v>
      </c>
      <c r="F92" s="2" t="s">
        <v>436</v>
      </c>
      <c r="G92" s="2" t="s">
        <v>437</v>
      </c>
      <c r="H92" s="2" t="s">
        <v>1463</v>
      </c>
    </row>
    <row r="93" spans="1:8">
      <c r="A93" s="2">
        <v>92</v>
      </c>
      <c r="B93" s="2" t="s">
        <v>1562</v>
      </c>
      <c r="C93" s="2" t="s">
        <v>1461</v>
      </c>
      <c r="D93" s="2" t="s">
        <v>439</v>
      </c>
      <c r="E93" s="2" t="s">
        <v>1563</v>
      </c>
      <c r="F93" s="2" t="s">
        <v>441</v>
      </c>
      <c r="G93" s="2" t="s">
        <v>442</v>
      </c>
      <c r="H93" s="2" t="s">
        <v>1463</v>
      </c>
    </row>
    <row r="94" spans="1:8">
      <c r="A94" s="2">
        <v>93</v>
      </c>
      <c r="B94" s="2" t="s">
        <v>1564</v>
      </c>
      <c r="C94" s="2" t="s">
        <v>1461</v>
      </c>
      <c r="D94" s="2" t="s">
        <v>444</v>
      </c>
      <c r="E94" s="2" t="s">
        <v>1565</v>
      </c>
      <c r="F94" s="2" t="s">
        <v>446</v>
      </c>
      <c r="G94" s="2" t="s">
        <v>447</v>
      </c>
      <c r="H94" s="2" t="s">
        <v>1463</v>
      </c>
    </row>
    <row r="95" spans="1:8">
      <c r="A95" s="2">
        <v>94</v>
      </c>
      <c r="B95" s="2" t="s">
        <v>1566</v>
      </c>
      <c r="C95" s="2" t="s">
        <v>1461</v>
      </c>
      <c r="D95" s="2" t="s">
        <v>449</v>
      </c>
      <c r="E95" s="2" t="s">
        <v>70</v>
      </c>
      <c r="F95" s="2" t="s">
        <v>451</v>
      </c>
      <c r="G95" s="2" t="s">
        <v>452</v>
      </c>
      <c r="H95" s="2" t="s">
        <v>1463</v>
      </c>
    </row>
    <row r="96" spans="1:8">
      <c r="A96" s="2">
        <v>95</v>
      </c>
      <c r="B96" s="2" t="s">
        <v>1567</v>
      </c>
      <c r="C96" s="2" t="s">
        <v>1461</v>
      </c>
      <c r="D96" s="2" t="s">
        <v>454</v>
      </c>
      <c r="E96" s="2" t="s">
        <v>1568</v>
      </c>
      <c r="F96" s="2" t="s">
        <v>456</v>
      </c>
      <c r="G96" s="2" t="s">
        <v>457</v>
      </c>
      <c r="H96" s="2" t="s">
        <v>1463</v>
      </c>
    </row>
    <row r="97" spans="1:8">
      <c r="A97" s="2">
        <v>96</v>
      </c>
      <c r="B97" s="2" t="s">
        <v>1569</v>
      </c>
      <c r="C97" s="2" t="s">
        <v>1461</v>
      </c>
      <c r="D97" s="2" t="s">
        <v>459</v>
      </c>
      <c r="E97" s="2" t="s">
        <v>85</v>
      </c>
      <c r="F97" s="2" t="s">
        <v>461</v>
      </c>
      <c r="G97" s="2" t="s">
        <v>462</v>
      </c>
      <c r="H97" s="2" t="s">
        <v>1463</v>
      </c>
    </row>
    <row r="98" spans="1:8">
      <c r="A98" s="2">
        <v>97</v>
      </c>
      <c r="B98" s="2" t="s">
        <v>1570</v>
      </c>
      <c r="C98" s="2" t="s">
        <v>1461</v>
      </c>
      <c r="D98" s="2" t="s">
        <v>464</v>
      </c>
      <c r="E98" s="2" t="s">
        <v>80</v>
      </c>
      <c r="F98" s="2" t="s">
        <v>466</v>
      </c>
      <c r="G98" s="2" t="s">
        <v>467</v>
      </c>
      <c r="H98" s="2" t="s">
        <v>1463</v>
      </c>
    </row>
    <row r="99" spans="1:8">
      <c r="A99" s="2">
        <v>98</v>
      </c>
      <c r="B99" s="2" t="s">
        <v>1571</v>
      </c>
      <c r="C99" s="2" t="s">
        <v>1461</v>
      </c>
      <c r="D99" s="2" t="s">
        <v>469</v>
      </c>
      <c r="E99" s="2" t="s">
        <v>1572</v>
      </c>
      <c r="F99" s="2" t="s">
        <v>471</v>
      </c>
      <c r="G99" s="2" t="s">
        <v>472</v>
      </c>
      <c r="H99" s="2" t="s">
        <v>1463</v>
      </c>
    </row>
    <row r="100" spans="1:8">
      <c r="A100" s="2">
        <v>99</v>
      </c>
      <c r="B100" s="2" t="s">
        <v>1573</v>
      </c>
      <c r="C100" s="2" t="s">
        <v>1461</v>
      </c>
      <c r="D100" s="2" t="s">
        <v>474</v>
      </c>
      <c r="E100" s="2" t="s">
        <v>1574</v>
      </c>
      <c r="F100" s="2" t="s">
        <v>476</v>
      </c>
      <c r="G100" s="2" t="s">
        <v>477</v>
      </c>
      <c r="H100" s="2" t="s">
        <v>1463</v>
      </c>
    </row>
    <row r="101" spans="1:8">
      <c r="A101" s="2">
        <v>100</v>
      </c>
      <c r="B101" s="2" t="s">
        <v>1575</v>
      </c>
      <c r="C101" s="2" t="s">
        <v>1461</v>
      </c>
      <c r="D101" s="2" t="s">
        <v>479</v>
      </c>
      <c r="E101" s="2" t="s">
        <v>480</v>
      </c>
      <c r="F101" s="2" t="s">
        <v>481</v>
      </c>
      <c r="G101" s="2" t="s">
        <v>482</v>
      </c>
      <c r="H101" s="2" t="s">
        <v>1463</v>
      </c>
    </row>
    <row r="102" spans="1:8">
      <c r="A102" s="2">
        <v>101</v>
      </c>
      <c r="B102" s="2" t="s">
        <v>1576</v>
      </c>
      <c r="C102" s="2" t="s">
        <v>1461</v>
      </c>
      <c r="D102" s="2" t="s">
        <v>1577</v>
      </c>
      <c r="E102" s="2" t="s">
        <v>445</v>
      </c>
      <c r="F102" s="2" t="s">
        <v>1578</v>
      </c>
      <c r="G102" s="2" t="s">
        <v>1579</v>
      </c>
      <c r="H102" s="2" t="s">
        <v>1463</v>
      </c>
    </row>
    <row r="103" spans="1:8">
      <c r="A103" s="2">
        <v>102</v>
      </c>
      <c r="B103" s="2" t="s">
        <v>1580</v>
      </c>
      <c r="C103" s="2" t="s">
        <v>1461</v>
      </c>
      <c r="D103" s="2" t="s">
        <v>489</v>
      </c>
      <c r="E103" s="2" t="s">
        <v>490</v>
      </c>
      <c r="F103" s="2" t="s">
        <v>491</v>
      </c>
      <c r="G103" s="2" t="s">
        <v>492</v>
      </c>
      <c r="H103" s="2" t="s">
        <v>1463</v>
      </c>
    </row>
    <row r="104" spans="1:8">
      <c r="A104" s="2">
        <v>103</v>
      </c>
      <c r="B104" s="2" t="s">
        <v>1581</v>
      </c>
      <c r="C104" s="2" t="s">
        <v>1461</v>
      </c>
      <c r="D104" s="2" t="s">
        <v>494</v>
      </c>
      <c r="E104" s="2" t="s">
        <v>495</v>
      </c>
      <c r="F104" s="2" t="s">
        <v>496</v>
      </c>
      <c r="G104" s="2" t="s">
        <v>497</v>
      </c>
      <c r="H104" s="2" t="s">
        <v>1463</v>
      </c>
    </row>
    <row r="105" spans="1:8">
      <c r="A105" s="2">
        <v>104</v>
      </c>
      <c r="B105" s="2" t="s">
        <v>1582</v>
      </c>
      <c r="C105" s="2" t="s">
        <v>1461</v>
      </c>
      <c r="D105" s="2" t="s">
        <v>499</v>
      </c>
      <c r="E105" s="2" t="s">
        <v>500</v>
      </c>
      <c r="F105" s="2" t="s">
        <v>501</v>
      </c>
      <c r="G105" s="2" t="s">
        <v>502</v>
      </c>
      <c r="H105" s="2" t="s">
        <v>1463</v>
      </c>
    </row>
    <row r="106" spans="1:8">
      <c r="A106" s="2">
        <v>105</v>
      </c>
      <c r="B106" s="2" t="s">
        <v>1583</v>
      </c>
      <c r="C106" s="2" t="s">
        <v>1461</v>
      </c>
      <c r="D106" s="2" t="s">
        <v>504</v>
      </c>
      <c r="E106" s="2" t="s">
        <v>505</v>
      </c>
      <c r="F106" s="2" t="s">
        <v>501</v>
      </c>
      <c r="G106" s="2" t="s">
        <v>502</v>
      </c>
      <c r="H106" s="2" t="s">
        <v>1463</v>
      </c>
    </row>
    <row r="107" spans="1:8">
      <c r="A107" s="2">
        <v>106</v>
      </c>
      <c r="B107" s="2" t="s">
        <v>1584</v>
      </c>
      <c r="C107" s="2" t="s">
        <v>1461</v>
      </c>
      <c r="D107" s="2" t="s">
        <v>507</v>
      </c>
      <c r="E107" s="2" t="s">
        <v>508</v>
      </c>
      <c r="F107" s="2" t="s">
        <v>509</v>
      </c>
      <c r="G107" s="2" t="s">
        <v>510</v>
      </c>
      <c r="H107" s="2" t="s">
        <v>1463</v>
      </c>
    </row>
    <row r="108" spans="1:8">
      <c r="A108" s="2">
        <v>107</v>
      </c>
      <c r="B108" s="2" t="s">
        <v>1585</v>
      </c>
      <c r="C108" s="2" t="s">
        <v>1461</v>
      </c>
      <c r="D108" s="2" t="s">
        <v>512</v>
      </c>
      <c r="E108" s="2" t="s">
        <v>513</v>
      </c>
      <c r="F108" s="2" t="s">
        <v>514</v>
      </c>
      <c r="G108" s="2" t="s">
        <v>515</v>
      </c>
      <c r="H108" s="2" t="s">
        <v>1463</v>
      </c>
    </row>
    <row r="109" spans="1:8">
      <c r="A109" s="2">
        <v>108</v>
      </c>
      <c r="B109" s="2" t="s">
        <v>1586</v>
      </c>
      <c r="C109" s="2" t="s">
        <v>1461</v>
      </c>
      <c r="D109" s="2" t="s">
        <v>517</v>
      </c>
      <c r="E109" s="2" t="s">
        <v>518</v>
      </c>
      <c r="F109" s="2" t="s">
        <v>519</v>
      </c>
      <c r="G109" s="2" t="s">
        <v>520</v>
      </c>
      <c r="H109" s="2" t="s">
        <v>1463</v>
      </c>
    </row>
    <row r="110" spans="1:8">
      <c r="A110" s="2">
        <v>109</v>
      </c>
      <c r="B110" s="2" t="s">
        <v>1587</v>
      </c>
      <c r="C110" s="2" t="s">
        <v>1461</v>
      </c>
      <c r="D110" s="2" t="s">
        <v>522</v>
      </c>
      <c r="E110" s="2" t="s">
        <v>523</v>
      </c>
      <c r="F110" s="2" t="s">
        <v>524</v>
      </c>
      <c r="G110" s="2" t="s">
        <v>525</v>
      </c>
      <c r="H110" s="2" t="s">
        <v>1463</v>
      </c>
    </row>
    <row r="111" spans="1:8">
      <c r="A111" s="2">
        <v>110</v>
      </c>
      <c r="B111" s="2" t="s">
        <v>1588</v>
      </c>
      <c r="C111" s="2" t="s">
        <v>1461</v>
      </c>
      <c r="D111" s="2" t="s">
        <v>527</v>
      </c>
      <c r="E111" s="2" t="s">
        <v>528</v>
      </c>
      <c r="F111" s="2" t="s">
        <v>529</v>
      </c>
      <c r="G111" s="2" t="s">
        <v>530</v>
      </c>
      <c r="H111" s="2" t="s">
        <v>1463</v>
      </c>
    </row>
    <row r="112" spans="1:8">
      <c r="A112" s="2">
        <v>111</v>
      </c>
      <c r="B112" s="2" t="s">
        <v>1589</v>
      </c>
      <c r="C112" s="2" t="s">
        <v>1461</v>
      </c>
      <c r="D112" s="2" t="s">
        <v>532</v>
      </c>
      <c r="E112" s="2" t="s">
        <v>533</v>
      </c>
      <c r="F112" s="2" t="s">
        <v>534</v>
      </c>
      <c r="G112" s="2" t="s">
        <v>535</v>
      </c>
      <c r="H112" s="2" t="s">
        <v>1463</v>
      </c>
    </row>
    <row r="113" spans="1:8">
      <c r="A113" s="2">
        <v>112</v>
      </c>
      <c r="B113" s="2" t="s">
        <v>1590</v>
      </c>
      <c r="C113" s="2" t="s">
        <v>1461</v>
      </c>
      <c r="D113" s="2" t="s">
        <v>537</v>
      </c>
      <c r="E113" s="2" t="s">
        <v>538</v>
      </c>
      <c r="F113" s="2" t="s">
        <v>539</v>
      </c>
      <c r="G113" s="2" t="s">
        <v>540</v>
      </c>
      <c r="H113" s="2" t="s">
        <v>1463</v>
      </c>
    </row>
    <row r="114" spans="1:8">
      <c r="A114" s="2">
        <v>113</v>
      </c>
      <c r="B114" s="2" t="s">
        <v>1591</v>
      </c>
      <c r="C114" s="2" t="s">
        <v>1461</v>
      </c>
      <c r="D114" s="2" t="s">
        <v>542</v>
      </c>
      <c r="E114" s="2" t="s">
        <v>543</v>
      </c>
      <c r="F114" s="2" t="s">
        <v>544</v>
      </c>
      <c r="G114" s="2" t="s">
        <v>545</v>
      </c>
      <c r="H114" s="2" t="s">
        <v>1463</v>
      </c>
    </row>
    <row r="115" spans="1:8">
      <c r="A115" s="2">
        <v>114</v>
      </c>
      <c r="B115" s="2" t="s">
        <v>1592</v>
      </c>
      <c r="C115" s="2" t="s">
        <v>1461</v>
      </c>
      <c r="D115" s="2" t="s">
        <v>547</v>
      </c>
      <c r="E115" s="2" t="s">
        <v>548</v>
      </c>
      <c r="F115" s="2" t="s">
        <v>549</v>
      </c>
      <c r="G115" s="2" t="s">
        <v>550</v>
      </c>
      <c r="H115" s="2" t="s">
        <v>1463</v>
      </c>
    </row>
    <row r="116" spans="1:8">
      <c r="A116" s="2">
        <v>115</v>
      </c>
      <c r="B116" s="2" t="s">
        <v>1593</v>
      </c>
      <c r="C116" s="2" t="s">
        <v>1461</v>
      </c>
      <c r="D116" s="2" t="s">
        <v>552</v>
      </c>
      <c r="E116" s="2" t="s">
        <v>553</v>
      </c>
      <c r="F116" s="2" t="s">
        <v>554</v>
      </c>
      <c r="G116" s="2" t="s">
        <v>555</v>
      </c>
      <c r="H116" s="2" t="s">
        <v>1463</v>
      </c>
    </row>
    <row r="117" spans="1:8">
      <c r="A117" s="2">
        <v>116</v>
      </c>
      <c r="B117" s="2" t="s">
        <v>1594</v>
      </c>
      <c r="C117" s="2" t="s">
        <v>1461</v>
      </c>
      <c r="D117" s="2" t="s">
        <v>557</v>
      </c>
      <c r="E117" s="2" t="s">
        <v>558</v>
      </c>
      <c r="F117" s="2" t="s">
        <v>559</v>
      </c>
      <c r="G117" s="2" t="s">
        <v>560</v>
      </c>
      <c r="H117" s="2" t="s">
        <v>1463</v>
      </c>
    </row>
    <row r="118" spans="1:8">
      <c r="A118" s="2">
        <v>117</v>
      </c>
      <c r="B118" s="2" t="s">
        <v>1595</v>
      </c>
      <c r="C118" s="2" t="s">
        <v>1461</v>
      </c>
      <c r="D118" s="2" t="s">
        <v>562</v>
      </c>
      <c r="E118" s="2" t="s">
        <v>75</v>
      </c>
      <c r="F118" s="2" t="s">
        <v>564</v>
      </c>
      <c r="G118" s="2" t="s">
        <v>565</v>
      </c>
      <c r="H118" s="2" t="s">
        <v>1463</v>
      </c>
    </row>
    <row r="119" spans="1:8">
      <c r="A119" s="2">
        <v>118</v>
      </c>
      <c r="B119" s="2" t="s">
        <v>1596</v>
      </c>
      <c r="C119" s="2" t="s">
        <v>1461</v>
      </c>
      <c r="D119" s="2" t="s">
        <v>567</v>
      </c>
      <c r="E119" s="2" t="s">
        <v>242</v>
      </c>
      <c r="F119" s="2" t="s">
        <v>569</v>
      </c>
      <c r="G119" s="2" t="s">
        <v>570</v>
      </c>
      <c r="H119" s="2" t="s">
        <v>1463</v>
      </c>
    </row>
    <row r="120" spans="1:8">
      <c r="A120" s="2">
        <v>119</v>
      </c>
      <c r="B120" s="2" t="s">
        <v>1597</v>
      </c>
      <c r="C120" s="2" t="s">
        <v>1461</v>
      </c>
      <c r="D120" s="2" t="s">
        <v>572</v>
      </c>
      <c r="E120" s="2" t="s">
        <v>573</v>
      </c>
      <c r="F120" s="2" t="s">
        <v>574</v>
      </c>
      <c r="G120" s="2" t="s">
        <v>575</v>
      </c>
      <c r="H120" s="2" t="s">
        <v>1463</v>
      </c>
    </row>
    <row r="121" spans="1:8">
      <c r="A121" s="2">
        <v>120</v>
      </c>
      <c r="B121" s="2" t="s">
        <v>1598</v>
      </c>
      <c r="C121" s="2" t="s">
        <v>1461</v>
      </c>
      <c r="D121" s="2" t="s">
        <v>577</v>
      </c>
      <c r="E121" s="2" t="s">
        <v>407</v>
      </c>
      <c r="F121" s="2" t="s">
        <v>579</v>
      </c>
      <c r="G121" s="2" t="s">
        <v>580</v>
      </c>
      <c r="H121" s="2" t="s">
        <v>1463</v>
      </c>
    </row>
    <row r="122" spans="1:8">
      <c r="A122" s="2">
        <v>121</v>
      </c>
      <c r="B122" s="2" t="s">
        <v>1599</v>
      </c>
      <c r="C122" s="2" t="s">
        <v>1461</v>
      </c>
      <c r="D122" s="2" t="s">
        <v>582</v>
      </c>
      <c r="E122" s="2" t="s">
        <v>1600</v>
      </c>
      <c r="F122" s="2" t="s">
        <v>579</v>
      </c>
      <c r="G122" s="2" t="s">
        <v>580</v>
      </c>
      <c r="H122" s="2" t="s">
        <v>1463</v>
      </c>
    </row>
    <row r="123" spans="1:8">
      <c r="A123" s="2">
        <v>122</v>
      </c>
      <c r="B123" s="2" t="s">
        <v>1601</v>
      </c>
      <c r="C123" s="2" t="s">
        <v>1461</v>
      </c>
      <c r="D123" s="2" t="s">
        <v>585</v>
      </c>
      <c r="E123" s="2" t="s">
        <v>179</v>
      </c>
      <c r="F123" s="2" t="s">
        <v>587</v>
      </c>
      <c r="G123" s="2" t="s">
        <v>588</v>
      </c>
      <c r="H123" s="2" t="s">
        <v>1463</v>
      </c>
    </row>
    <row r="124" spans="1:8">
      <c r="A124" s="2">
        <v>123</v>
      </c>
      <c r="B124" s="2" t="s">
        <v>1602</v>
      </c>
      <c r="C124" s="2" t="s">
        <v>1461</v>
      </c>
      <c r="D124" s="2" t="s">
        <v>590</v>
      </c>
      <c r="E124" s="2" t="s">
        <v>1365</v>
      </c>
      <c r="F124" s="2" t="s">
        <v>592</v>
      </c>
      <c r="G124" s="2" t="s">
        <v>593</v>
      </c>
      <c r="H124" s="2" t="s">
        <v>1463</v>
      </c>
    </row>
    <row r="125" spans="1:8">
      <c r="A125" s="2">
        <v>124</v>
      </c>
      <c r="B125" s="2" t="s">
        <v>1603</v>
      </c>
      <c r="C125" s="2" t="s">
        <v>1461</v>
      </c>
      <c r="D125" s="2" t="s">
        <v>595</v>
      </c>
      <c r="E125" s="2" t="s">
        <v>568</v>
      </c>
      <c r="F125" s="2" t="s">
        <v>597</v>
      </c>
      <c r="G125" s="2" t="s">
        <v>598</v>
      </c>
      <c r="H125" s="2" t="s">
        <v>1463</v>
      </c>
    </row>
    <row r="126" spans="1:8">
      <c r="A126" s="2">
        <v>125</v>
      </c>
      <c r="B126" s="2" t="s">
        <v>1604</v>
      </c>
      <c r="C126" s="2" t="s">
        <v>1461</v>
      </c>
      <c r="D126" s="2" t="s">
        <v>600</v>
      </c>
      <c r="E126" s="2" t="s">
        <v>601</v>
      </c>
      <c r="F126" s="2" t="s">
        <v>602</v>
      </c>
      <c r="G126" s="2" t="s">
        <v>603</v>
      </c>
      <c r="H126" s="2" t="s">
        <v>1463</v>
      </c>
    </row>
    <row r="127" spans="1:8">
      <c r="A127" s="2">
        <v>126</v>
      </c>
      <c r="B127" s="2" t="s">
        <v>1605</v>
      </c>
      <c r="C127" s="2" t="s">
        <v>1461</v>
      </c>
      <c r="D127" s="2" t="s">
        <v>605</v>
      </c>
      <c r="E127" s="2" t="s">
        <v>606</v>
      </c>
      <c r="F127" s="2" t="s">
        <v>607</v>
      </c>
      <c r="G127" s="2" t="s">
        <v>608</v>
      </c>
      <c r="H127" s="2" t="s">
        <v>1463</v>
      </c>
    </row>
    <row r="128" spans="1:8">
      <c r="A128" s="2">
        <v>127</v>
      </c>
      <c r="B128" s="2" t="s">
        <v>1606</v>
      </c>
      <c r="C128" s="2" t="s">
        <v>1461</v>
      </c>
      <c r="D128" s="2" t="s">
        <v>610</v>
      </c>
      <c r="E128" s="2" t="s">
        <v>611</v>
      </c>
      <c r="F128" s="2" t="s">
        <v>612</v>
      </c>
      <c r="G128" s="2" t="s">
        <v>613</v>
      </c>
      <c r="H128" s="2" t="s">
        <v>1463</v>
      </c>
    </row>
    <row r="129" spans="1:8">
      <c r="A129" s="2">
        <v>128</v>
      </c>
      <c r="B129" s="2" t="s">
        <v>1607</v>
      </c>
      <c r="C129" s="2" t="s">
        <v>1461</v>
      </c>
      <c r="D129" s="2" t="s">
        <v>620</v>
      </c>
      <c r="E129" s="2" t="s">
        <v>621</v>
      </c>
      <c r="F129" s="2" t="s">
        <v>622</v>
      </c>
      <c r="G129" s="2" t="s">
        <v>623</v>
      </c>
      <c r="H129" s="2" t="s">
        <v>1463</v>
      </c>
    </row>
    <row r="130" spans="1:8">
      <c r="A130" s="2">
        <v>129</v>
      </c>
      <c r="B130" s="2" t="s">
        <v>1608</v>
      </c>
      <c r="C130" s="2" t="s">
        <v>1461</v>
      </c>
      <c r="D130" s="2" t="s">
        <v>625</v>
      </c>
      <c r="E130" s="2" t="s">
        <v>626</v>
      </c>
      <c r="F130" s="2" t="s">
        <v>627</v>
      </c>
      <c r="G130" s="2" t="s">
        <v>628</v>
      </c>
      <c r="H130" s="2" t="s">
        <v>1463</v>
      </c>
    </row>
    <row r="131" spans="1:8">
      <c r="A131" s="2">
        <v>130</v>
      </c>
      <c r="B131" s="2" t="s">
        <v>1609</v>
      </c>
      <c r="C131" s="2" t="s">
        <v>1461</v>
      </c>
      <c r="D131" s="2" t="s">
        <v>1610</v>
      </c>
      <c r="E131" s="2" t="s">
        <v>440</v>
      </c>
      <c r="F131" s="2" t="s">
        <v>1611</v>
      </c>
      <c r="G131" s="2" t="s">
        <v>1612</v>
      </c>
      <c r="H131" s="2" t="s">
        <v>1463</v>
      </c>
    </row>
    <row r="132" spans="1:8">
      <c r="A132" s="2">
        <v>131</v>
      </c>
      <c r="B132" s="2" t="s">
        <v>1613</v>
      </c>
      <c r="C132" s="2" t="s">
        <v>1461</v>
      </c>
      <c r="D132" s="2" t="s">
        <v>630</v>
      </c>
      <c r="E132" s="2" t="s">
        <v>631</v>
      </c>
      <c r="F132" s="2" t="s">
        <v>632</v>
      </c>
      <c r="G132" s="2" t="s">
        <v>633</v>
      </c>
      <c r="H132" s="2" t="s">
        <v>1463</v>
      </c>
    </row>
    <row r="133" spans="1:8">
      <c r="A133" s="2">
        <v>132</v>
      </c>
      <c r="B133" s="2" t="s">
        <v>1614</v>
      </c>
      <c r="C133" s="2" t="s">
        <v>1461</v>
      </c>
      <c r="D133" s="2" t="s">
        <v>635</v>
      </c>
      <c r="E133" s="2" t="s">
        <v>636</v>
      </c>
      <c r="F133" s="2" t="s">
        <v>632</v>
      </c>
      <c r="G133" s="2" t="s">
        <v>633</v>
      </c>
      <c r="H133" s="2" t="s">
        <v>1463</v>
      </c>
    </row>
    <row r="134" spans="1:8">
      <c r="A134" s="2">
        <v>133</v>
      </c>
      <c r="B134" s="2" t="s">
        <v>1615</v>
      </c>
      <c r="C134" s="2" t="s">
        <v>1461</v>
      </c>
      <c r="D134" s="2" t="s">
        <v>638</v>
      </c>
      <c r="E134" s="2" t="s">
        <v>639</v>
      </c>
      <c r="F134" s="2" t="s">
        <v>640</v>
      </c>
      <c r="G134" s="2" t="s">
        <v>641</v>
      </c>
      <c r="H134" s="2" t="s">
        <v>1463</v>
      </c>
    </row>
    <row r="135" spans="1:8">
      <c r="A135" s="2">
        <v>134</v>
      </c>
      <c r="B135" s="2" t="s">
        <v>1616</v>
      </c>
      <c r="C135" s="2" t="s">
        <v>1461</v>
      </c>
      <c r="D135" s="2" t="s">
        <v>643</v>
      </c>
      <c r="E135" s="2" t="s">
        <v>644</v>
      </c>
      <c r="F135" s="2" t="s">
        <v>645</v>
      </c>
      <c r="G135" s="2" t="s">
        <v>646</v>
      </c>
      <c r="H135" s="2" t="s">
        <v>1463</v>
      </c>
    </row>
    <row r="136" spans="1:8">
      <c r="A136" s="2">
        <v>135</v>
      </c>
      <c r="B136" s="2" t="s">
        <v>1617</v>
      </c>
      <c r="C136" s="2" t="s">
        <v>1461</v>
      </c>
      <c r="D136" s="2" t="s">
        <v>648</v>
      </c>
      <c r="E136" s="2" t="s">
        <v>649</v>
      </c>
      <c r="F136" s="2" t="s">
        <v>650</v>
      </c>
      <c r="G136" s="2" t="s">
        <v>651</v>
      </c>
      <c r="H136" s="2" t="s">
        <v>1463</v>
      </c>
    </row>
    <row r="137" spans="1:8">
      <c r="A137" s="2">
        <v>136</v>
      </c>
      <c r="B137" s="2" t="s">
        <v>1618</v>
      </c>
      <c r="C137" s="2" t="s">
        <v>1461</v>
      </c>
      <c r="D137" s="2" t="s">
        <v>653</v>
      </c>
      <c r="E137" s="2" t="s">
        <v>654</v>
      </c>
      <c r="F137" s="2" t="s">
        <v>655</v>
      </c>
      <c r="G137" s="2" t="s">
        <v>656</v>
      </c>
      <c r="H137" s="2" t="s">
        <v>1463</v>
      </c>
    </row>
    <row r="138" spans="1:8">
      <c r="A138" s="2">
        <v>137</v>
      </c>
      <c r="B138" s="2" t="s">
        <v>1619</v>
      </c>
      <c r="C138" s="2" t="s">
        <v>1461</v>
      </c>
      <c r="D138" s="2" t="s">
        <v>658</v>
      </c>
      <c r="E138" s="2" t="s">
        <v>659</v>
      </c>
      <c r="F138" s="2" t="s">
        <v>660</v>
      </c>
      <c r="G138" s="2" t="s">
        <v>661</v>
      </c>
      <c r="H138" s="2" t="s">
        <v>1463</v>
      </c>
    </row>
    <row r="139" spans="1:8">
      <c r="A139" s="2">
        <v>138</v>
      </c>
      <c r="B139" s="2" t="s">
        <v>1620</v>
      </c>
      <c r="C139" s="2" t="s">
        <v>1461</v>
      </c>
      <c r="D139" s="2" t="s">
        <v>663</v>
      </c>
      <c r="E139" s="2" t="s">
        <v>664</v>
      </c>
      <c r="F139" s="2" t="s">
        <v>665</v>
      </c>
      <c r="G139" s="2" t="s">
        <v>666</v>
      </c>
      <c r="H139" s="2" t="s">
        <v>1463</v>
      </c>
    </row>
    <row r="140" spans="1:8">
      <c r="A140" s="2">
        <v>139</v>
      </c>
      <c r="B140" s="2" t="s">
        <v>1621</v>
      </c>
      <c r="C140" s="2" t="s">
        <v>1461</v>
      </c>
      <c r="D140" s="2" t="s">
        <v>673</v>
      </c>
      <c r="E140" s="2" t="s">
        <v>674</v>
      </c>
      <c r="F140" s="2" t="s">
        <v>675</v>
      </c>
      <c r="G140" s="2" t="s">
        <v>676</v>
      </c>
      <c r="H140" s="2" t="s">
        <v>1463</v>
      </c>
    </row>
    <row r="141" spans="1:8">
      <c r="A141" s="2">
        <v>140</v>
      </c>
      <c r="B141" s="2" t="s">
        <v>1622</v>
      </c>
      <c r="C141" s="2" t="s">
        <v>1461</v>
      </c>
      <c r="D141" s="2" t="s">
        <v>678</v>
      </c>
      <c r="E141" s="2" t="s">
        <v>679</v>
      </c>
      <c r="F141" s="2" t="s">
        <v>680</v>
      </c>
      <c r="G141" s="2" t="s">
        <v>681</v>
      </c>
      <c r="H141" s="2" t="s">
        <v>1463</v>
      </c>
    </row>
    <row r="142" spans="1:8">
      <c r="A142" s="2">
        <v>141</v>
      </c>
      <c r="B142" s="2" t="s">
        <v>1623</v>
      </c>
      <c r="C142" s="2" t="s">
        <v>1461</v>
      </c>
      <c r="D142" s="2" t="s">
        <v>683</v>
      </c>
      <c r="E142" s="2" t="s">
        <v>684</v>
      </c>
      <c r="F142" s="2" t="s">
        <v>685</v>
      </c>
      <c r="G142" s="2" t="s">
        <v>686</v>
      </c>
      <c r="H142" s="2" t="s">
        <v>1463</v>
      </c>
    </row>
    <row r="143" spans="1:8">
      <c r="A143" s="2">
        <v>142</v>
      </c>
      <c r="B143" s="2" t="s">
        <v>1624</v>
      </c>
      <c r="C143" s="2" t="s">
        <v>1461</v>
      </c>
      <c r="D143" s="2" t="s">
        <v>688</v>
      </c>
      <c r="E143" s="2" t="s">
        <v>689</v>
      </c>
      <c r="F143" s="2" t="s">
        <v>690</v>
      </c>
      <c r="G143" s="2" t="s">
        <v>691</v>
      </c>
      <c r="H143" s="2" t="s">
        <v>1463</v>
      </c>
    </row>
    <row r="144" spans="1:8">
      <c r="A144" s="2">
        <v>143</v>
      </c>
      <c r="B144" s="2" t="s">
        <v>1625</v>
      </c>
      <c r="C144" s="2" t="s">
        <v>1461</v>
      </c>
      <c r="D144" s="2" t="s">
        <v>693</v>
      </c>
      <c r="E144" s="2" t="s">
        <v>694</v>
      </c>
      <c r="F144" s="2" t="s">
        <v>695</v>
      </c>
      <c r="G144" s="2" t="s">
        <v>696</v>
      </c>
      <c r="H144" s="2" t="s">
        <v>1463</v>
      </c>
    </row>
    <row r="145" spans="1:8">
      <c r="A145" s="2">
        <v>144</v>
      </c>
      <c r="B145" s="2" t="s">
        <v>1626</v>
      </c>
      <c r="C145" s="2" t="s">
        <v>1461</v>
      </c>
      <c r="D145" s="2" t="s">
        <v>698</v>
      </c>
      <c r="E145" s="2" t="s">
        <v>699</v>
      </c>
      <c r="F145" s="2" t="s">
        <v>700</v>
      </c>
      <c r="G145" s="2" t="s">
        <v>701</v>
      </c>
      <c r="H145" s="2" t="s">
        <v>1463</v>
      </c>
    </row>
    <row r="146" spans="1:8">
      <c r="A146" s="2">
        <v>145</v>
      </c>
      <c r="B146" s="2" t="s">
        <v>1627</v>
      </c>
      <c r="C146" s="2" t="s">
        <v>1461</v>
      </c>
      <c r="D146" s="2" t="s">
        <v>703</v>
      </c>
      <c r="E146" s="2" t="s">
        <v>704</v>
      </c>
      <c r="F146" s="2" t="s">
        <v>705</v>
      </c>
      <c r="G146" s="2" t="s">
        <v>706</v>
      </c>
      <c r="H146" s="2" t="s">
        <v>1463</v>
      </c>
    </row>
    <row r="147" spans="1:8">
      <c r="A147" s="2">
        <v>146</v>
      </c>
      <c r="B147" s="2" t="s">
        <v>1628</v>
      </c>
      <c r="C147" s="2" t="s">
        <v>1461</v>
      </c>
      <c r="D147" s="2" t="s">
        <v>708</v>
      </c>
      <c r="E147" s="2" t="s">
        <v>709</v>
      </c>
      <c r="F147" s="2" t="s">
        <v>710</v>
      </c>
      <c r="G147" s="2" t="s">
        <v>711</v>
      </c>
      <c r="H147" s="2" t="s">
        <v>1463</v>
      </c>
    </row>
    <row r="148" spans="1:8">
      <c r="A148" s="2">
        <v>147</v>
      </c>
      <c r="B148" s="2" t="s">
        <v>1629</v>
      </c>
      <c r="C148" s="2" t="s">
        <v>1461</v>
      </c>
      <c r="D148" s="2" t="s">
        <v>713</v>
      </c>
      <c r="E148" s="2" t="s">
        <v>714</v>
      </c>
      <c r="F148" s="2" t="s">
        <v>710</v>
      </c>
      <c r="G148" s="2" t="s">
        <v>711</v>
      </c>
      <c r="H148" s="2" t="s">
        <v>1463</v>
      </c>
    </row>
    <row r="149" spans="1:8">
      <c r="A149" s="2">
        <v>148</v>
      </c>
      <c r="B149" s="2" t="s">
        <v>1630</v>
      </c>
      <c r="C149" s="2" t="s">
        <v>1461</v>
      </c>
      <c r="D149" s="2" t="s">
        <v>716</v>
      </c>
      <c r="E149" s="2" t="s">
        <v>717</v>
      </c>
      <c r="F149" s="2" t="s">
        <v>710</v>
      </c>
      <c r="G149" s="2" t="s">
        <v>711</v>
      </c>
      <c r="H149" s="2" t="s">
        <v>1463</v>
      </c>
    </row>
    <row r="150" spans="1:8">
      <c r="A150" s="2">
        <v>149</v>
      </c>
      <c r="B150" s="2" t="s">
        <v>1631</v>
      </c>
      <c r="C150" s="2" t="s">
        <v>1461</v>
      </c>
      <c r="D150" s="2" t="s">
        <v>719</v>
      </c>
      <c r="E150" s="2" t="s">
        <v>720</v>
      </c>
      <c r="F150" s="2" t="s">
        <v>710</v>
      </c>
      <c r="G150" s="2" t="s">
        <v>711</v>
      </c>
      <c r="H150" s="2" t="s">
        <v>1463</v>
      </c>
    </row>
    <row r="151" spans="1:8">
      <c r="A151" s="2">
        <v>150</v>
      </c>
      <c r="B151" s="2" t="s">
        <v>1632</v>
      </c>
      <c r="C151" s="2" t="s">
        <v>1461</v>
      </c>
      <c r="D151" s="2" t="s">
        <v>722</v>
      </c>
      <c r="E151" s="2" t="s">
        <v>723</v>
      </c>
      <c r="F151" s="2" t="s">
        <v>724</v>
      </c>
      <c r="G151" s="2" t="s">
        <v>725</v>
      </c>
      <c r="H151" s="2" t="s">
        <v>1463</v>
      </c>
    </row>
    <row r="152" spans="1:8">
      <c r="A152" s="2">
        <v>151</v>
      </c>
      <c r="B152" s="2" t="s">
        <v>1633</v>
      </c>
      <c r="C152" s="2" t="s">
        <v>1461</v>
      </c>
      <c r="D152" s="2" t="s">
        <v>727</v>
      </c>
      <c r="E152" s="2" t="s">
        <v>1161</v>
      </c>
      <c r="F152" s="2" t="s">
        <v>724</v>
      </c>
      <c r="G152" s="2" t="s">
        <v>725</v>
      </c>
      <c r="H152" s="2" t="s">
        <v>1463</v>
      </c>
    </row>
    <row r="153" spans="1:8">
      <c r="A153" s="2">
        <v>152</v>
      </c>
      <c r="B153" s="2" t="s">
        <v>1634</v>
      </c>
      <c r="C153" s="2" t="s">
        <v>1461</v>
      </c>
      <c r="D153" s="2" t="s">
        <v>730</v>
      </c>
      <c r="E153" s="2" t="s">
        <v>432</v>
      </c>
      <c r="F153" s="2" t="s">
        <v>732</v>
      </c>
      <c r="G153" s="2" t="s">
        <v>733</v>
      </c>
      <c r="H153" s="2" t="s">
        <v>1463</v>
      </c>
    </row>
    <row r="154" spans="1:8">
      <c r="A154" s="2">
        <v>153</v>
      </c>
      <c r="B154" s="2" t="s">
        <v>1635</v>
      </c>
      <c r="C154" s="2" t="s">
        <v>1461</v>
      </c>
      <c r="D154" s="2" t="s">
        <v>735</v>
      </c>
      <c r="E154" s="2" t="s">
        <v>736</v>
      </c>
      <c r="F154" s="2" t="s">
        <v>737</v>
      </c>
      <c r="G154" s="2" t="s">
        <v>738</v>
      </c>
      <c r="H154" s="2" t="s">
        <v>1463</v>
      </c>
    </row>
    <row r="155" spans="1:8">
      <c r="A155" s="2">
        <v>154</v>
      </c>
      <c r="B155" s="2" t="s">
        <v>1636</v>
      </c>
      <c r="C155" s="2" t="s">
        <v>1461</v>
      </c>
      <c r="D155" s="2" t="s">
        <v>740</v>
      </c>
      <c r="E155" s="2" t="s">
        <v>741</v>
      </c>
      <c r="F155" s="2" t="s">
        <v>742</v>
      </c>
      <c r="G155" s="2" t="s">
        <v>743</v>
      </c>
      <c r="H155" s="2" t="s">
        <v>1463</v>
      </c>
    </row>
    <row r="156" spans="1:8">
      <c r="A156" s="2">
        <v>155</v>
      </c>
      <c r="B156" s="2" t="s">
        <v>1637</v>
      </c>
      <c r="C156" s="2" t="s">
        <v>1461</v>
      </c>
      <c r="D156" s="2" t="s">
        <v>750</v>
      </c>
      <c r="E156" s="2" t="s">
        <v>751</v>
      </c>
      <c r="F156" s="2" t="s">
        <v>752</v>
      </c>
      <c r="G156" s="2" t="s">
        <v>753</v>
      </c>
      <c r="H156" s="2" t="s">
        <v>1463</v>
      </c>
    </row>
    <row r="157" spans="1:8">
      <c r="A157" s="2">
        <v>156</v>
      </c>
      <c r="B157" s="2" t="s">
        <v>1638</v>
      </c>
      <c r="C157" s="2" t="s">
        <v>1461</v>
      </c>
      <c r="D157" s="2" t="s">
        <v>755</v>
      </c>
      <c r="E157" s="2" t="s">
        <v>756</v>
      </c>
      <c r="F157" s="2" t="s">
        <v>752</v>
      </c>
      <c r="G157" s="2" t="s">
        <v>753</v>
      </c>
      <c r="H157" s="2" t="s">
        <v>1463</v>
      </c>
    </row>
    <row r="158" spans="1:8">
      <c r="A158" s="2">
        <v>157</v>
      </c>
      <c r="B158" s="2" t="s">
        <v>1639</v>
      </c>
      <c r="C158" s="2" t="s">
        <v>1461</v>
      </c>
      <c r="D158" s="2" t="s">
        <v>758</v>
      </c>
      <c r="E158" s="2" t="s">
        <v>759</v>
      </c>
      <c r="F158" s="2" t="s">
        <v>760</v>
      </c>
      <c r="G158" s="2" t="s">
        <v>761</v>
      </c>
      <c r="H158" s="2" t="s">
        <v>1463</v>
      </c>
    </row>
    <row r="159" spans="1:8">
      <c r="A159" s="2">
        <v>158</v>
      </c>
      <c r="B159" s="2" t="s">
        <v>1640</v>
      </c>
      <c r="C159" s="2" t="s">
        <v>1461</v>
      </c>
      <c r="D159" s="2" t="s">
        <v>763</v>
      </c>
      <c r="E159" s="2" t="s">
        <v>764</v>
      </c>
      <c r="F159" s="2" t="s">
        <v>765</v>
      </c>
      <c r="G159" s="2" t="s">
        <v>766</v>
      </c>
      <c r="H159" s="2" t="s">
        <v>1463</v>
      </c>
    </row>
    <row r="160" spans="1:8">
      <c r="A160" s="2">
        <v>159</v>
      </c>
      <c r="B160" s="2" t="s">
        <v>1641</v>
      </c>
      <c r="C160" s="2" t="s">
        <v>1461</v>
      </c>
      <c r="D160" s="2" t="s">
        <v>768</v>
      </c>
      <c r="E160" s="2" t="s">
        <v>769</v>
      </c>
      <c r="F160" s="2" t="s">
        <v>770</v>
      </c>
      <c r="G160" s="2" t="s">
        <v>771</v>
      </c>
      <c r="H160" s="2" t="s">
        <v>1463</v>
      </c>
    </row>
    <row r="161" spans="1:8">
      <c r="A161" s="2">
        <v>160</v>
      </c>
      <c r="B161" s="2" t="s">
        <v>1642</v>
      </c>
      <c r="C161" s="2" t="s">
        <v>1461</v>
      </c>
      <c r="D161" s="2" t="s">
        <v>773</v>
      </c>
      <c r="E161" s="2" t="s">
        <v>774</v>
      </c>
      <c r="F161" s="2" t="s">
        <v>775</v>
      </c>
      <c r="G161" s="2" t="s">
        <v>776</v>
      </c>
      <c r="H161" s="2" t="s">
        <v>1463</v>
      </c>
    </row>
    <row r="162" spans="1:8">
      <c r="A162" s="2">
        <v>161</v>
      </c>
      <c r="B162" s="2" t="s">
        <v>1643</v>
      </c>
      <c r="C162" s="2" t="s">
        <v>1461</v>
      </c>
      <c r="D162" s="2" t="s">
        <v>778</v>
      </c>
      <c r="E162" s="2" t="s">
        <v>779</v>
      </c>
      <c r="F162" s="2" t="s">
        <v>780</v>
      </c>
      <c r="G162" s="2" t="s">
        <v>781</v>
      </c>
      <c r="H162" s="2" t="s">
        <v>1463</v>
      </c>
    </row>
    <row r="163" spans="1:8">
      <c r="A163" s="2">
        <v>162</v>
      </c>
      <c r="B163" s="2" t="s">
        <v>1644</v>
      </c>
      <c r="C163" s="2" t="s">
        <v>1461</v>
      </c>
      <c r="D163" s="2" t="s">
        <v>783</v>
      </c>
      <c r="E163" s="2" t="s">
        <v>784</v>
      </c>
      <c r="F163" s="2" t="s">
        <v>785</v>
      </c>
      <c r="G163" s="2" t="s">
        <v>786</v>
      </c>
      <c r="H163" s="2" t="s">
        <v>1463</v>
      </c>
    </row>
    <row r="164" spans="1:8">
      <c r="A164" s="2">
        <v>163</v>
      </c>
      <c r="B164" s="2" t="s">
        <v>1645</v>
      </c>
      <c r="C164" s="2" t="s">
        <v>1461</v>
      </c>
      <c r="D164" s="2" t="s">
        <v>788</v>
      </c>
      <c r="E164" s="2" t="s">
        <v>789</v>
      </c>
      <c r="F164" s="2" t="s">
        <v>790</v>
      </c>
      <c r="G164" s="2" t="s">
        <v>791</v>
      </c>
      <c r="H164" s="2" t="s">
        <v>1463</v>
      </c>
    </row>
    <row r="165" spans="1:8">
      <c r="A165" s="2">
        <v>164</v>
      </c>
      <c r="B165" s="2" t="s">
        <v>1646</v>
      </c>
      <c r="C165" s="2" t="s">
        <v>1461</v>
      </c>
      <c r="D165" s="2" t="s">
        <v>793</v>
      </c>
      <c r="E165" s="2" t="s">
        <v>794</v>
      </c>
      <c r="F165" s="2" t="s">
        <v>795</v>
      </c>
      <c r="G165" s="2" t="s">
        <v>796</v>
      </c>
      <c r="H165" s="2" t="s">
        <v>1463</v>
      </c>
    </row>
    <row r="166" spans="1:8">
      <c r="A166" s="2">
        <v>165</v>
      </c>
      <c r="B166" s="2" t="s">
        <v>1647</v>
      </c>
      <c r="C166" s="2" t="s">
        <v>1461</v>
      </c>
      <c r="D166" s="2" t="s">
        <v>798</v>
      </c>
      <c r="E166" s="2" t="s">
        <v>799</v>
      </c>
      <c r="F166" s="2" t="s">
        <v>800</v>
      </c>
      <c r="G166" s="2" t="s">
        <v>801</v>
      </c>
      <c r="H166" s="2" t="s">
        <v>1463</v>
      </c>
    </row>
    <row r="167" spans="1:8">
      <c r="A167" s="2">
        <v>166</v>
      </c>
      <c r="B167" s="2" t="s">
        <v>1648</v>
      </c>
      <c r="C167" s="2" t="s">
        <v>1461</v>
      </c>
      <c r="D167" s="2" t="s">
        <v>803</v>
      </c>
      <c r="E167" s="2" t="s">
        <v>804</v>
      </c>
      <c r="F167" s="2" t="s">
        <v>805</v>
      </c>
      <c r="G167" s="2" t="s">
        <v>806</v>
      </c>
      <c r="H167" s="2" t="s">
        <v>1463</v>
      </c>
    </row>
    <row r="168" spans="1:8">
      <c r="A168" s="2">
        <v>167</v>
      </c>
      <c r="B168" s="2" t="s">
        <v>1649</v>
      </c>
      <c r="C168" s="2" t="s">
        <v>1461</v>
      </c>
      <c r="D168" s="2" t="s">
        <v>808</v>
      </c>
      <c r="E168" s="2" t="s">
        <v>809</v>
      </c>
      <c r="F168" s="2" t="s">
        <v>810</v>
      </c>
      <c r="G168" s="2" t="s">
        <v>811</v>
      </c>
      <c r="H168" s="2" t="s">
        <v>1463</v>
      </c>
    </row>
    <row r="169" spans="1:8">
      <c r="A169" s="2">
        <v>168</v>
      </c>
      <c r="B169" s="2" t="s">
        <v>1650</v>
      </c>
      <c r="C169" s="2" t="s">
        <v>1461</v>
      </c>
      <c r="D169" s="2" t="s">
        <v>813</v>
      </c>
      <c r="E169" s="2" t="s">
        <v>814</v>
      </c>
      <c r="F169" s="2" t="s">
        <v>815</v>
      </c>
      <c r="G169" s="2" t="s">
        <v>816</v>
      </c>
      <c r="H169" s="2" t="s">
        <v>1463</v>
      </c>
    </row>
    <row r="170" spans="1:8">
      <c r="A170" s="2">
        <v>169</v>
      </c>
      <c r="B170" s="2" t="s">
        <v>1651</v>
      </c>
      <c r="C170" s="2" t="s">
        <v>1461</v>
      </c>
      <c r="D170" s="2" t="s">
        <v>818</v>
      </c>
      <c r="E170" s="2" t="s">
        <v>819</v>
      </c>
      <c r="F170" s="2" t="s">
        <v>820</v>
      </c>
      <c r="G170" s="2" t="s">
        <v>821</v>
      </c>
      <c r="H170" s="2" t="s">
        <v>1463</v>
      </c>
    </row>
    <row r="171" spans="1:8">
      <c r="A171" s="2">
        <v>170</v>
      </c>
      <c r="B171" s="2" t="s">
        <v>1652</v>
      </c>
      <c r="C171" s="2" t="s">
        <v>1461</v>
      </c>
      <c r="D171" s="2" t="s">
        <v>823</v>
      </c>
      <c r="E171" s="2" t="s">
        <v>824</v>
      </c>
      <c r="F171" s="2" t="s">
        <v>825</v>
      </c>
      <c r="G171" s="2" t="s">
        <v>826</v>
      </c>
      <c r="H171" s="2" t="s">
        <v>1463</v>
      </c>
    </row>
    <row r="172" spans="1:8">
      <c r="A172" s="2">
        <v>171</v>
      </c>
      <c r="B172" s="2" t="s">
        <v>1653</v>
      </c>
      <c r="C172" s="2" t="s">
        <v>1461</v>
      </c>
      <c r="D172" s="2" t="s">
        <v>828</v>
      </c>
      <c r="E172" s="2" t="s">
        <v>829</v>
      </c>
      <c r="F172" s="2" t="s">
        <v>830</v>
      </c>
      <c r="G172" s="2" t="s">
        <v>831</v>
      </c>
      <c r="H172" s="2" t="s">
        <v>1463</v>
      </c>
    </row>
    <row r="173" spans="1:8">
      <c r="A173" s="2">
        <v>172</v>
      </c>
      <c r="B173" s="2" t="s">
        <v>1654</v>
      </c>
      <c r="C173" s="2" t="s">
        <v>1461</v>
      </c>
      <c r="D173" s="2" t="s">
        <v>833</v>
      </c>
      <c r="E173" s="2" t="s">
        <v>834</v>
      </c>
      <c r="F173" s="2" t="s">
        <v>835</v>
      </c>
      <c r="G173" s="2" t="s">
        <v>836</v>
      </c>
      <c r="H173" s="2" t="s">
        <v>1463</v>
      </c>
    </row>
    <row r="174" spans="1:8">
      <c r="A174" s="2">
        <v>173</v>
      </c>
      <c r="B174" s="2" t="s">
        <v>1655</v>
      </c>
      <c r="C174" s="2" t="s">
        <v>1461</v>
      </c>
      <c r="D174" s="2" t="s">
        <v>838</v>
      </c>
      <c r="E174" s="2" t="s">
        <v>839</v>
      </c>
      <c r="F174" s="2" t="s">
        <v>840</v>
      </c>
      <c r="G174" s="2" t="s">
        <v>841</v>
      </c>
      <c r="H174" s="2" t="s">
        <v>1463</v>
      </c>
    </row>
    <row r="175" spans="1:8">
      <c r="A175" s="2">
        <v>174</v>
      </c>
      <c r="B175" s="2" t="s">
        <v>1656</v>
      </c>
      <c r="C175" s="2" t="s">
        <v>1461</v>
      </c>
      <c r="D175" s="2" t="s">
        <v>843</v>
      </c>
      <c r="E175" s="2" t="s">
        <v>844</v>
      </c>
      <c r="F175" s="2" t="s">
        <v>845</v>
      </c>
      <c r="G175" s="2" t="s">
        <v>846</v>
      </c>
      <c r="H175" s="2" t="s">
        <v>1463</v>
      </c>
    </row>
    <row r="176" spans="1:8">
      <c r="A176" s="2">
        <v>175</v>
      </c>
      <c r="B176" s="2" t="s">
        <v>1657</v>
      </c>
      <c r="C176" s="2" t="s">
        <v>1461</v>
      </c>
      <c r="D176" s="2" t="s">
        <v>848</v>
      </c>
      <c r="E176" s="2" t="s">
        <v>849</v>
      </c>
      <c r="F176" s="2" t="s">
        <v>850</v>
      </c>
      <c r="G176" s="2" t="s">
        <v>851</v>
      </c>
      <c r="H176" s="2" t="s">
        <v>1463</v>
      </c>
    </row>
    <row r="177" spans="1:8">
      <c r="A177" s="2">
        <v>176</v>
      </c>
      <c r="B177" s="2" t="s">
        <v>1658</v>
      </c>
      <c r="C177" s="2" t="s">
        <v>1461</v>
      </c>
      <c r="D177" s="2" t="s">
        <v>853</v>
      </c>
      <c r="E177" s="2" t="s">
        <v>854</v>
      </c>
      <c r="F177" s="2" t="s">
        <v>855</v>
      </c>
      <c r="G177" s="2" t="s">
        <v>856</v>
      </c>
      <c r="H177" s="2" t="s">
        <v>1463</v>
      </c>
    </row>
    <row r="178" spans="1:8">
      <c r="A178" s="2">
        <v>177</v>
      </c>
      <c r="B178" s="2" t="s">
        <v>1659</v>
      </c>
      <c r="C178" s="2" t="s">
        <v>1461</v>
      </c>
      <c r="D178" s="2" t="s">
        <v>858</v>
      </c>
      <c r="E178" s="2" t="s">
        <v>859</v>
      </c>
      <c r="F178" s="2" t="s">
        <v>860</v>
      </c>
      <c r="G178" s="2" t="s">
        <v>861</v>
      </c>
      <c r="H178" s="2" t="s">
        <v>1463</v>
      </c>
    </row>
    <row r="179" spans="1:8">
      <c r="A179" s="2">
        <v>178</v>
      </c>
      <c r="B179" s="2" t="s">
        <v>1660</v>
      </c>
      <c r="C179" s="2" t="s">
        <v>1461</v>
      </c>
      <c r="D179" s="2" t="s">
        <v>863</v>
      </c>
      <c r="E179" s="2" t="s">
        <v>864</v>
      </c>
      <c r="F179" s="2" t="s">
        <v>865</v>
      </c>
      <c r="G179" s="2" t="s">
        <v>866</v>
      </c>
      <c r="H179" s="2" t="s">
        <v>1463</v>
      </c>
    </row>
    <row r="180" spans="1:8">
      <c r="A180" s="2">
        <v>179</v>
      </c>
      <c r="B180" s="2" t="s">
        <v>1661</v>
      </c>
      <c r="C180" s="2" t="s">
        <v>1461</v>
      </c>
      <c r="D180" s="2" t="s">
        <v>868</v>
      </c>
      <c r="E180" s="2" t="s">
        <v>869</v>
      </c>
      <c r="F180" s="2" t="s">
        <v>870</v>
      </c>
      <c r="G180" s="2" t="s">
        <v>871</v>
      </c>
      <c r="H180" s="2" t="s">
        <v>1463</v>
      </c>
    </row>
    <row r="181" spans="1:8">
      <c r="A181" s="2">
        <v>180</v>
      </c>
      <c r="B181" s="2" t="s">
        <v>1662</v>
      </c>
      <c r="C181" s="2" t="s">
        <v>1461</v>
      </c>
      <c r="D181" s="2" t="s">
        <v>873</v>
      </c>
      <c r="E181" s="2" t="s">
        <v>874</v>
      </c>
      <c r="F181" s="2" t="s">
        <v>875</v>
      </c>
      <c r="G181" s="2" t="s">
        <v>876</v>
      </c>
      <c r="H181" s="2" t="s">
        <v>1463</v>
      </c>
    </row>
    <row r="182" spans="1:8">
      <c r="A182" s="2">
        <v>181</v>
      </c>
      <c r="B182" s="2" t="s">
        <v>1663</v>
      </c>
      <c r="C182" s="2" t="s">
        <v>1461</v>
      </c>
      <c r="D182" s="2" t="s">
        <v>878</v>
      </c>
      <c r="E182" s="2" t="s">
        <v>879</v>
      </c>
      <c r="F182" s="2" t="s">
        <v>880</v>
      </c>
      <c r="G182" s="2" t="s">
        <v>881</v>
      </c>
      <c r="H182" s="2" t="s">
        <v>1463</v>
      </c>
    </row>
    <row r="183" spans="1:8">
      <c r="A183" s="2">
        <v>182</v>
      </c>
      <c r="B183" s="2" t="s">
        <v>1664</v>
      </c>
      <c r="C183" s="2" t="s">
        <v>1461</v>
      </c>
      <c r="D183" s="2" t="s">
        <v>883</v>
      </c>
      <c r="E183" s="2" t="s">
        <v>884</v>
      </c>
      <c r="F183" s="2" t="s">
        <v>885</v>
      </c>
      <c r="G183" s="2" t="s">
        <v>886</v>
      </c>
      <c r="H183" s="2" t="s">
        <v>1463</v>
      </c>
    </row>
    <row r="184" spans="1:8">
      <c r="A184" s="2">
        <v>183</v>
      </c>
      <c r="B184" s="2" t="s">
        <v>1665</v>
      </c>
      <c r="C184" s="2" t="s">
        <v>1461</v>
      </c>
      <c r="D184" s="2" t="s">
        <v>888</v>
      </c>
      <c r="E184" s="2" t="s">
        <v>889</v>
      </c>
      <c r="F184" s="2" t="s">
        <v>890</v>
      </c>
      <c r="G184" s="2" t="s">
        <v>891</v>
      </c>
      <c r="H184" s="2" t="s">
        <v>1463</v>
      </c>
    </row>
    <row r="185" spans="1:8">
      <c r="A185" s="2">
        <v>184</v>
      </c>
      <c r="B185" s="2" t="s">
        <v>1666</v>
      </c>
      <c r="C185" s="2" t="s">
        <v>1461</v>
      </c>
      <c r="D185" s="2" t="s">
        <v>893</v>
      </c>
      <c r="E185" s="2" t="s">
        <v>894</v>
      </c>
      <c r="F185" s="2" t="s">
        <v>895</v>
      </c>
      <c r="G185" s="2" t="s">
        <v>896</v>
      </c>
      <c r="H185" s="2" t="s">
        <v>1463</v>
      </c>
    </row>
    <row r="186" spans="1:8">
      <c r="A186" s="2">
        <v>185</v>
      </c>
      <c r="B186" s="2" t="s">
        <v>1667</v>
      </c>
      <c r="C186" s="2" t="s">
        <v>1461</v>
      </c>
      <c r="D186" s="2" t="s">
        <v>898</v>
      </c>
      <c r="E186" s="2" t="s">
        <v>899</v>
      </c>
      <c r="F186" s="2" t="s">
        <v>900</v>
      </c>
      <c r="G186" s="2" t="s">
        <v>901</v>
      </c>
      <c r="H186" s="2" t="s">
        <v>1463</v>
      </c>
    </row>
    <row r="187" spans="1:8">
      <c r="A187" s="2">
        <v>186</v>
      </c>
      <c r="B187" s="2" t="s">
        <v>1668</v>
      </c>
      <c r="C187" s="2" t="s">
        <v>1461</v>
      </c>
      <c r="D187" s="2" t="s">
        <v>903</v>
      </c>
      <c r="E187" s="2" t="s">
        <v>904</v>
      </c>
      <c r="F187" s="2" t="s">
        <v>905</v>
      </c>
      <c r="G187" s="2" t="s">
        <v>906</v>
      </c>
      <c r="H187" s="2" t="s">
        <v>1463</v>
      </c>
    </row>
    <row r="188" spans="1:8">
      <c r="A188" s="2">
        <v>187</v>
      </c>
      <c r="B188" s="2" t="s">
        <v>1669</v>
      </c>
      <c r="C188" s="2" t="s">
        <v>1461</v>
      </c>
      <c r="D188" s="2" t="s">
        <v>908</v>
      </c>
      <c r="E188" s="2" t="s">
        <v>909</v>
      </c>
      <c r="F188" s="2" t="s">
        <v>910</v>
      </c>
      <c r="G188" s="2" t="s">
        <v>911</v>
      </c>
      <c r="H188" s="2" t="s">
        <v>1463</v>
      </c>
    </row>
    <row r="189" spans="1:8">
      <c r="A189" s="2">
        <v>188</v>
      </c>
      <c r="B189" s="2" t="s">
        <v>1670</v>
      </c>
      <c r="C189" s="2" t="s">
        <v>1461</v>
      </c>
      <c r="D189" s="2" t="s">
        <v>913</v>
      </c>
      <c r="E189" s="2" t="s">
        <v>914</v>
      </c>
      <c r="F189" s="2" t="s">
        <v>915</v>
      </c>
      <c r="G189" s="2" t="s">
        <v>916</v>
      </c>
      <c r="H189" s="2" t="s">
        <v>1463</v>
      </c>
    </row>
    <row r="190" spans="1:8">
      <c r="A190" s="2">
        <v>189</v>
      </c>
      <c r="B190" s="2" t="s">
        <v>1671</v>
      </c>
      <c r="C190" s="2" t="s">
        <v>1461</v>
      </c>
      <c r="D190" s="2" t="s">
        <v>918</v>
      </c>
      <c r="E190" s="2" t="s">
        <v>919</v>
      </c>
      <c r="F190" s="2" t="s">
        <v>920</v>
      </c>
      <c r="G190" s="2" t="s">
        <v>921</v>
      </c>
      <c r="H190" s="2" t="s">
        <v>1463</v>
      </c>
    </row>
    <row r="191" spans="1:8">
      <c r="A191" s="2">
        <v>190</v>
      </c>
      <c r="B191" s="2" t="s">
        <v>1672</v>
      </c>
      <c r="C191" s="2" t="s">
        <v>1461</v>
      </c>
      <c r="D191" s="2" t="s">
        <v>923</v>
      </c>
      <c r="E191" s="2" t="s">
        <v>924</v>
      </c>
      <c r="F191" s="2" t="s">
        <v>925</v>
      </c>
      <c r="G191" s="2" t="s">
        <v>926</v>
      </c>
      <c r="H191" s="2" t="s">
        <v>1463</v>
      </c>
    </row>
    <row r="192" spans="1:8">
      <c r="A192" s="2">
        <v>191</v>
      </c>
      <c r="B192" s="2" t="s">
        <v>1673</v>
      </c>
      <c r="C192" s="2" t="s">
        <v>1461</v>
      </c>
      <c r="D192" s="2" t="s">
        <v>928</v>
      </c>
      <c r="E192" s="2" t="s">
        <v>929</v>
      </c>
      <c r="F192" s="2" t="s">
        <v>930</v>
      </c>
      <c r="G192" s="2" t="s">
        <v>931</v>
      </c>
      <c r="H192" s="2" t="s">
        <v>1463</v>
      </c>
    </row>
    <row r="193" spans="1:8">
      <c r="A193" s="2">
        <v>192</v>
      </c>
      <c r="B193" s="2" t="s">
        <v>1674</v>
      </c>
      <c r="C193" s="2" t="s">
        <v>1461</v>
      </c>
      <c r="D193" s="2" t="s">
        <v>933</v>
      </c>
      <c r="E193" s="2" t="s">
        <v>934</v>
      </c>
      <c r="F193" s="2" t="s">
        <v>935</v>
      </c>
      <c r="G193" s="2" t="s">
        <v>936</v>
      </c>
      <c r="H193" s="2" t="s">
        <v>1463</v>
      </c>
    </row>
    <row r="194" spans="1:8">
      <c r="A194" s="2">
        <v>193</v>
      </c>
      <c r="B194" s="2" t="s">
        <v>1675</v>
      </c>
      <c r="C194" s="2" t="s">
        <v>1461</v>
      </c>
      <c r="D194" s="2" t="s">
        <v>938</v>
      </c>
      <c r="E194" s="2" t="s">
        <v>939</v>
      </c>
      <c r="F194" s="2" t="s">
        <v>940</v>
      </c>
      <c r="G194" s="2" t="s">
        <v>941</v>
      </c>
      <c r="H194" s="2" t="s">
        <v>1463</v>
      </c>
    </row>
    <row r="195" spans="1:8">
      <c r="A195" s="2">
        <v>194</v>
      </c>
      <c r="B195" s="2" t="s">
        <v>1676</v>
      </c>
      <c r="C195" s="2" t="s">
        <v>1461</v>
      </c>
      <c r="D195" s="2" t="s">
        <v>943</v>
      </c>
      <c r="E195" s="2" t="s">
        <v>944</v>
      </c>
      <c r="F195" s="2" t="s">
        <v>945</v>
      </c>
      <c r="G195" s="2" t="s">
        <v>946</v>
      </c>
      <c r="H195" s="2" t="s">
        <v>1463</v>
      </c>
    </row>
    <row r="196" spans="1:8">
      <c r="A196" s="2">
        <v>195</v>
      </c>
      <c r="B196" s="2" t="s">
        <v>1677</v>
      </c>
      <c r="C196" s="2" t="s">
        <v>1461</v>
      </c>
      <c r="D196" s="2" t="s">
        <v>948</v>
      </c>
      <c r="E196" s="2" t="s">
        <v>949</v>
      </c>
      <c r="F196" s="2" t="s">
        <v>950</v>
      </c>
      <c r="G196" s="2" t="s">
        <v>951</v>
      </c>
      <c r="H196" s="2" t="s">
        <v>1463</v>
      </c>
    </row>
    <row r="197" spans="1:8">
      <c r="A197" s="2">
        <v>196</v>
      </c>
      <c r="B197" s="2" t="s">
        <v>1678</v>
      </c>
      <c r="C197" s="2" t="s">
        <v>1461</v>
      </c>
      <c r="D197" s="2" t="s">
        <v>953</v>
      </c>
      <c r="E197" s="2" t="s">
        <v>954</v>
      </c>
      <c r="F197" s="2" t="s">
        <v>955</v>
      </c>
      <c r="G197" s="2" t="s">
        <v>956</v>
      </c>
      <c r="H197" s="2" t="s">
        <v>1463</v>
      </c>
    </row>
    <row r="198" spans="1:8">
      <c r="A198" s="2">
        <v>197</v>
      </c>
      <c r="B198" s="2" t="s">
        <v>1679</v>
      </c>
      <c r="C198" s="2" t="s">
        <v>1461</v>
      </c>
      <c r="D198" s="2" t="s">
        <v>958</v>
      </c>
      <c r="E198" s="2" t="s">
        <v>959</v>
      </c>
      <c r="F198" s="2" t="s">
        <v>960</v>
      </c>
      <c r="G198" s="2" t="s">
        <v>961</v>
      </c>
      <c r="H198" s="2" t="s">
        <v>1463</v>
      </c>
    </row>
    <row r="199" spans="1:8">
      <c r="A199" s="2">
        <v>198</v>
      </c>
      <c r="B199" s="2" t="s">
        <v>1680</v>
      </c>
      <c r="C199" s="2" t="s">
        <v>1461</v>
      </c>
      <c r="D199" s="2" t="s">
        <v>963</v>
      </c>
      <c r="E199" s="2" t="s">
        <v>964</v>
      </c>
      <c r="F199" s="2" t="s">
        <v>965</v>
      </c>
      <c r="G199" s="2" t="s">
        <v>966</v>
      </c>
      <c r="H199" s="2" t="s">
        <v>1463</v>
      </c>
    </row>
    <row r="200" spans="1:8">
      <c r="A200" s="2">
        <v>199</v>
      </c>
      <c r="B200" s="2" t="s">
        <v>1681</v>
      </c>
      <c r="C200" s="2" t="s">
        <v>1461</v>
      </c>
      <c r="D200" s="2" t="s">
        <v>968</v>
      </c>
      <c r="E200" s="2" t="s">
        <v>969</v>
      </c>
      <c r="F200" s="2" t="s">
        <v>970</v>
      </c>
      <c r="G200" s="2" t="s">
        <v>971</v>
      </c>
      <c r="H200" s="2" t="s">
        <v>1463</v>
      </c>
    </row>
    <row r="201" spans="1:8">
      <c r="A201" s="2">
        <v>200</v>
      </c>
      <c r="B201" s="2" t="s">
        <v>1682</v>
      </c>
      <c r="C201" s="2" t="s">
        <v>1461</v>
      </c>
      <c r="D201" s="2" t="s">
        <v>973</v>
      </c>
      <c r="E201" s="2" t="s">
        <v>974</v>
      </c>
      <c r="F201" s="2" t="s">
        <v>975</v>
      </c>
      <c r="G201" s="2" t="s">
        <v>976</v>
      </c>
      <c r="H201" s="2" t="s">
        <v>1463</v>
      </c>
    </row>
    <row r="202" spans="1:8">
      <c r="A202" s="2">
        <v>201</v>
      </c>
      <c r="B202" s="2" t="s">
        <v>1683</v>
      </c>
      <c r="C202" s="2" t="s">
        <v>1461</v>
      </c>
      <c r="D202" s="2" t="s">
        <v>978</v>
      </c>
      <c r="E202" s="2" t="s">
        <v>979</v>
      </c>
      <c r="F202" s="2" t="s">
        <v>980</v>
      </c>
      <c r="G202" s="2" t="s">
        <v>981</v>
      </c>
      <c r="H202" s="2" t="s">
        <v>1463</v>
      </c>
    </row>
    <row r="203" spans="1:8">
      <c r="A203" s="2">
        <v>202</v>
      </c>
      <c r="B203" s="2" t="s">
        <v>1684</v>
      </c>
      <c r="C203" s="2" t="s">
        <v>1461</v>
      </c>
      <c r="D203" s="2" t="s">
        <v>983</v>
      </c>
      <c r="E203" s="2" t="s">
        <v>984</v>
      </c>
      <c r="F203" s="2" t="s">
        <v>985</v>
      </c>
      <c r="G203" s="2" t="s">
        <v>986</v>
      </c>
      <c r="H203" s="2" t="s">
        <v>1463</v>
      </c>
    </row>
    <row r="204" spans="1:8">
      <c r="A204" s="2">
        <v>203</v>
      </c>
      <c r="B204" s="2" t="s">
        <v>1685</v>
      </c>
      <c r="C204" s="2" t="s">
        <v>1461</v>
      </c>
      <c r="D204" s="2" t="s">
        <v>988</v>
      </c>
      <c r="E204" s="2" t="s">
        <v>989</v>
      </c>
      <c r="F204" s="2" t="s">
        <v>990</v>
      </c>
      <c r="G204" s="2" t="s">
        <v>991</v>
      </c>
      <c r="H204" s="2" t="s">
        <v>1463</v>
      </c>
    </row>
    <row r="205" spans="1:8">
      <c r="A205" s="2">
        <v>204</v>
      </c>
      <c r="B205" s="2" t="s">
        <v>1686</v>
      </c>
      <c r="C205" s="2" t="s">
        <v>1461</v>
      </c>
      <c r="D205" s="2" t="s">
        <v>993</v>
      </c>
      <c r="E205" s="2" t="s">
        <v>994</v>
      </c>
      <c r="F205" s="2" t="s">
        <v>995</v>
      </c>
      <c r="G205" s="2" t="s">
        <v>996</v>
      </c>
      <c r="H205" s="2" t="s">
        <v>1463</v>
      </c>
    </row>
    <row r="206" spans="1:8">
      <c r="A206" s="2">
        <v>205</v>
      </c>
      <c r="B206" s="2" t="s">
        <v>1687</v>
      </c>
      <c r="C206" s="2" t="s">
        <v>1461</v>
      </c>
      <c r="D206" s="2" t="s">
        <v>998</v>
      </c>
      <c r="E206" s="2" t="s">
        <v>999</v>
      </c>
      <c r="F206" s="2" t="s">
        <v>1000</v>
      </c>
      <c r="G206" s="2" t="s">
        <v>1001</v>
      </c>
      <c r="H206" s="2" t="s">
        <v>1463</v>
      </c>
    </row>
    <row r="207" spans="1:8">
      <c r="A207" s="2">
        <v>206</v>
      </c>
      <c r="B207" s="2" t="s">
        <v>1688</v>
      </c>
      <c r="C207" s="2" t="s">
        <v>1461</v>
      </c>
      <c r="D207" s="2" t="s">
        <v>1003</v>
      </c>
      <c r="E207" s="2" t="s">
        <v>1004</v>
      </c>
      <c r="F207" s="2" t="s">
        <v>1005</v>
      </c>
      <c r="G207" s="2" t="s">
        <v>1006</v>
      </c>
      <c r="H207" s="2" t="s">
        <v>1463</v>
      </c>
    </row>
    <row r="208" spans="1:8">
      <c r="A208" s="2">
        <v>207</v>
      </c>
      <c r="B208" s="2" t="s">
        <v>1689</v>
      </c>
      <c r="C208" s="2" t="s">
        <v>1461</v>
      </c>
      <c r="D208" s="2" t="s">
        <v>1008</v>
      </c>
      <c r="E208" s="2" t="s">
        <v>1009</v>
      </c>
      <c r="F208" s="2" t="s">
        <v>1010</v>
      </c>
      <c r="G208" s="2" t="s">
        <v>1011</v>
      </c>
      <c r="H208" s="2" t="s">
        <v>1463</v>
      </c>
    </row>
    <row r="209" spans="1:8">
      <c r="A209" s="2">
        <v>208</v>
      </c>
      <c r="B209" s="2" t="s">
        <v>1690</v>
      </c>
      <c r="C209" s="2" t="s">
        <v>1461</v>
      </c>
      <c r="D209" s="2" t="s">
        <v>1013</v>
      </c>
      <c r="E209" s="2" t="s">
        <v>1014</v>
      </c>
      <c r="F209" s="2" t="s">
        <v>1015</v>
      </c>
      <c r="G209" s="2" t="s">
        <v>1016</v>
      </c>
      <c r="H209" s="2" t="s">
        <v>1463</v>
      </c>
    </row>
    <row r="210" spans="1:8">
      <c r="A210" s="2">
        <v>209</v>
      </c>
      <c r="B210" s="2" t="s">
        <v>1691</v>
      </c>
      <c r="C210" s="2" t="s">
        <v>1461</v>
      </c>
      <c r="D210" s="2" t="s">
        <v>1018</v>
      </c>
      <c r="E210" s="2" t="s">
        <v>1019</v>
      </c>
      <c r="F210" s="2" t="s">
        <v>1020</v>
      </c>
      <c r="G210" s="2" t="s">
        <v>1021</v>
      </c>
      <c r="H210" s="2" t="s">
        <v>1463</v>
      </c>
    </row>
    <row r="211" spans="1:8">
      <c r="A211" s="2">
        <v>210</v>
      </c>
      <c r="B211" s="2" t="s">
        <v>1692</v>
      </c>
      <c r="C211" s="2" t="s">
        <v>1461</v>
      </c>
      <c r="D211" s="2" t="s">
        <v>1023</v>
      </c>
      <c r="E211" s="2" t="s">
        <v>1024</v>
      </c>
      <c r="F211" s="2" t="s">
        <v>1025</v>
      </c>
      <c r="G211" s="2" t="s">
        <v>1026</v>
      </c>
      <c r="H211" s="2" t="s">
        <v>1463</v>
      </c>
    </row>
    <row r="212" spans="1:8">
      <c r="A212" s="2">
        <v>211</v>
      </c>
      <c r="B212" s="2" t="s">
        <v>1693</v>
      </c>
      <c r="C212" s="2" t="s">
        <v>1461</v>
      </c>
      <c r="D212" s="2" t="s">
        <v>1028</v>
      </c>
      <c r="E212" s="2" t="s">
        <v>1029</v>
      </c>
      <c r="F212" s="2" t="s">
        <v>1030</v>
      </c>
      <c r="G212" s="2" t="s">
        <v>1031</v>
      </c>
      <c r="H212" s="2" t="s">
        <v>1463</v>
      </c>
    </row>
    <row r="213" spans="1:8">
      <c r="A213" s="2">
        <v>212</v>
      </c>
      <c r="B213" s="2" t="s">
        <v>1694</v>
      </c>
      <c r="C213" s="2" t="s">
        <v>1461</v>
      </c>
      <c r="D213" s="2" t="s">
        <v>1033</v>
      </c>
      <c r="E213" s="2" t="s">
        <v>1034</v>
      </c>
      <c r="F213" s="2" t="s">
        <v>1035</v>
      </c>
      <c r="G213" s="2" t="s">
        <v>1036</v>
      </c>
      <c r="H213" s="2" t="s">
        <v>1463</v>
      </c>
    </row>
    <row r="214" spans="1:8">
      <c r="A214" s="2">
        <v>213</v>
      </c>
      <c r="B214" s="2" t="s">
        <v>1695</v>
      </c>
      <c r="C214" s="2" t="s">
        <v>1461</v>
      </c>
      <c r="D214" s="2" t="s">
        <v>1038</v>
      </c>
      <c r="E214" s="2" t="s">
        <v>1039</v>
      </c>
      <c r="F214" s="2" t="s">
        <v>1040</v>
      </c>
      <c r="G214" s="2" t="s">
        <v>1041</v>
      </c>
      <c r="H214" s="2" t="s">
        <v>1463</v>
      </c>
    </row>
    <row r="215" spans="1:8">
      <c r="A215" s="2">
        <v>214</v>
      </c>
      <c r="B215" s="2" t="s">
        <v>1696</v>
      </c>
      <c r="C215" s="2" t="s">
        <v>1461</v>
      </c>
      <c r="D215" s="2" t="s">
        <v>1043</v>
      </c>
      <c r="E215" s="2" t="s">
        <v>1044</v>
      </c>
      <c r="F215" s="2" t="s">
        <v>1045</v>
      </c>
      <c r="G215" s="2" t="s">
        <v>1046</v>
      </c>
      <c r="H215" s="2" t="s">
        <v>1463</v>
      </c>
    </row>
    <row r="216" spans="1:8">
      <c r="A216" s="2">
        <v>215</v>
      </c>
      <c r="B216" s="2" t="s">
        <v>1697</v>
      </c>
      <c r="C216" s="2" t="s">
        <v>1461</v>
      </c>
      <c r="D216" s="2" t="s">
        <v>1048</v>
      </c>
      <c r="E216" s="2" t="s">
        <v>1049</v>
      </c>
      <c r="F216" s="2" t="s">
        <v>1050</v>
      </c>
      <c r="G216" s="2" t="s">
        <v>1051</v>
      </c>
      <c r="H216" s="2" t="s">
        <v>1463</v>
      </c>
    </row>
    <row r="217" spans="1:8">
      <c r="A217" s="2">
        <v>216</v>
      </c>
      <c r="B217" s="2" t="s">
        <v>1698</v>
      </c>
      <c r="C217" s="2" t="s">
        <v>1461</v>
      </c>
      <c r="D217" s="2" t="s">
        <v>1053</v>
      </c>
      <c r="E217" s="2" t="s">
        <v>1054</v>
      </c>
      <c r="F217" s="2" t="s">
        <v>1050</v>
      </c>
      <c r="G217" s="2" t="s">
        <v>1051</v>
      </c>
      <c r="H217" s="2" t="s">
        <v>1463</v>
      </c>
    </row>
    <row r="218" spans="1:8">
      <c r="A218" s="2">
        <v>217</v>
      </c>
      <c r="B218" s="2" t="s">
        <v>1699</v>
      </c>
      <c r="C218" s="2" t="s">
        <v>1461</v>
      </c>
      <c r="D218" s="2" t="s">
        <v>1056</v>
      </c>
      <c r="E218" s="2" t="s">
        <v>1057</v>
      </c>
      <c r="F218" s="2" t="s">
        <v>1050</v>
      </c>
      <c r="G218" s="2" t="s">
        <v>1051</v>
      </c>
      <c r="H218" s="2" t="s">
        <v>1463</v>
      </c>
    </row>
    <row r="219" spans="1:8">
      <c r="A219" s="2">
        <v>218</v>
      </c>
      <c r="B219" s="2" t="s">
        <v>1700</v>
      </c>
      <c r="C219" s="2" t="s">
        <v>1461</v>
      </c>
      <c r="D219" s="2" t="s">
        <v>1059</v>
      </c>
      <c r="E219" s="2" t="s">
        <v>1060</v>
      </c>
      <c r="F219" s="2" t="s">
        <v>1050</v>
      </c>
      <c r="G219" s="2" t="s">
        <v>1051</v>
      </c>
      <c r="H219" s="2" t="s">
        <v>1463</v>
      </c>
    </row>
    <row r="220" spans="1:8">
      <c r="A220" s="2">
        <v>219</v>
      </c>
      <c r="B220" s="2" t="s">
        <v>1701</v>
      </c>
      <c r="C220" s="2" t="s">
        <v>1461</v>
      </c>
      <c r="D220" s="2" t="s">
        <v>1062</v>
      </c>
      <c r="E220" s="2" t="s">
        <v>1063</v>
      </c>
      <c r="F220" s="2" t="s">
        <v>1050</v>
      </c>
      <c r="G220" s="2" t="s">
        <v>1051</v>
      </c>
      <c r="H220" s="2" t="s">
        <v>1463</v>
      </c>
    </row>
    <row r="221" spans="1:8">
      <c r="A221" s="2">
        <v>220</v>
      </c>
      <c r="B221" s="2" t="s">
        <v>1702</v>
      </c>
      <c r="C221" s="2" t="s">
        <v>1461</v>
      </c>
      <c r="D221" s="2" t="s">
        <v>1065</v>
      </c>
      <c r="E221" s="2" t="s">
        <v>1066</v>
      </c>
      <c r="F221" s="2" t="s">
        <v>1050</v>
      </c>
      <c r="G221" s="2" t="s">
        <v>1051</v>
      </c>
      <c r="H221" s="2" t="s">
        <v>1463</v>
      </c>
    </row>
    <row r="222" spans="1:8">
      <c r="A222" s="2">
        <v>221</v>
      </c>
      <c r="B222" s="2" t="s">
        <v>1703</v>
      </c>
      <c r="C222" s="2" t="s">
        <v>1461</v>
      </c>
      <c r="D222" s="2" t="s">
        <v>1068</v>
      </c>
      <c r="E222" s="2" t="s">
        <v>1069</v>
      </c>
      <c r="F222" s="2" t="s">
        <v>1050</v>
      </c>
      <c r="G222" s="2" t="s">
        <v>1051</v>
      </c>
      <c r="H222" s="2" t="s">
        <v>1463</v>
      </c>
    </row>
    <row r="223" spans="1:8">
      <c r="A223" s="2">
        <v>222</v>
      </c>
      <c r="B223" s="2" t="s">
        <v>1704</v>
      </c>
      <c r="C223" s="2" t="s">
        <v>1461</v>
      </c>
      <c r="D223" s="2" t="s">
        <v>1071</v>
      </c>
      <c r="E223" s="2" t="s">
        <v>1072</v>
      </c>
      <c r="F223" s="2" t="s">
        <v>1073</v>
      </c>
      <c r="G223" s="2" t="s">
        <v>1074</v>
      </c>
      <c r="H223" s="2" t="s">
        <v>1463</v>
      </c>
    </row>
    <row r="224" spans="1:8">
      <c r="A224" s="2">
        <v>223</v>
      </c>
      <c r="B224" s="2" t="s">
        <v>1705</v>
      </c>
      <c r="C224" s="2" t="s">
        <v>1461</v>
      </c>
      <c r="D224" s="2" t="s">
        <v>1076</v>
      </c>
      <c r="E224" s="2" t="s">
        <v>1077</v>
      </c>
      <c r="F224" s="2" t="s">
        <v>1073</v>
      </c>
      <c r="G224" s="2" t="s">
        <v>1074</v>
      </c>
      <c r="H224" s="2" t="s">
        <v>1463</v>
      </c>
    </row>
    <row r="225" spans="1:8">
      <c r="A225" s="2">
        <v>224</v>
      </c>
      <c r="B225" s="2" t="s">
        <v>1706</v>
      </c>
      <c r="C225" s="2" t="s">
        <v>1461</v>
      </c>
      <c r="D225" s="2" t="s">
        <v>1079</v>
      </c>
      <c r="E225" s="2" t="s">
        <v>1080</v>
      </c>
      <c r="F225" s="2" t="s">
        <v>1073</v>
      </c>
      <c r="G225" s="2" t="s">
        <v>1074</v>
      </c>
      <c r="H225" s="2" t="s">
        <v>1463</v>
      </c>
    </row>
    <row r="226" spans="1:8">
      <c r="A226" s="2">
        <v>225</v>
      </c>
      <c r="B226" s="2" t="s">
        <v>1707</v>
      </c>
      <c r="C226" s="2" t="s">
        <v>1461</v>
      </c>
      <c r="D226" s="2" t="s">
        <v>1082</v>
      </c>
      <c r="E226" s="2" t="s">
        <v>1083</v>
      </c>
      <c r="F226" s="2" t="s">
        <v>1084</v>
      </c>
      <c r="G226" s="2" t="s">
        <v>1085</v>
      </c>
      <c r="H226" s="2" t="s">
        <v>1463</v>
      </c>
    </row>
    <row r="227" spans="1:8">
      <c r="A227" s="2">
        <v>226</v>
      </c>
      <c r="B227" s="2" t="s">
        <v>1708</v>
      </c>
      <c r="C227" s="2" t="s">
        <v>1461</v>
      </c>
      <c r="D227" s="2" t="s">
        <v>1087</v>
      </c>
      <c r="E227" s="2" t="s">
        <v>1088</v>
      </c>
      <c r="F227" s="2" t="s">
        <v>1089</v>
      </c>
      <c r="G227" s="2" t="s">
        <v>1090</v>
      </c>
      <c r="H227" s="2" t="s">
        <v>1463</v>
      </c>
    </row>
    <row r="228" spans="1:8">
      <c r="A228" s="2">
        <v>227</v>
      </c>
      <c r="B228" s="2" t="s">
        <v>1709</v>
      </c>
      <c r="C228" s="2" t="s">
        <v>1461</v>
      </c>
      <c r="D228" s="2" t="s">
        <v>1092</v>
      </c>
      <c r="E228" s="2" t="s">
        <v>1093</v>
      </c>
      <c r="F228" s="2" t="s">
        <v>1094</v>
      </c>
      <c r="G228" s="2" t="s">
        <v>1095</v>
      </c>
      <c r="H228" s="2" t="s">
        <v>1463</v>
      </c>
    </row>
    <row r="229" spans="1:8">
      <c r="A229" s="2">
        <v>228</v>
      </c>
      <c r="B229" s="2" t="s">
        <v>1710</v>
      </c>
      <c r="C229" s="2" t="s">
        <v>1461</v>
      </c>
      <c r="D229" s="2" t="s">
        <v>1097</v>
      </c>
      <c r="E229" s="2" t="s">
        <v>1098</v>
      </c>
      <c r="F229" s="2" t="s">
        <v>1099</v>
      </c>
      <c r="G229" s="2" t="s">
        <v>1100</v>
      </c>
      <c r="H229" s="2" t="s">
        <v>1463</v>
      </c>
    </row>
    <row r="230" spans="1:8">
      <c r="A230" s="2">
        <v>229</v>
      </c>
      <c r="B230" s="2" t="s">
        <v>1711</v>
      </c>
      <c r="C230" s="2" t="s">
        <v>1461</v>
      </c>
      <c r="D230" s="2" t="s">
        <v>1102</v>
      </c>
      <c r="E230" s="2" t="s">
        <v>1103</v>
      </c>
      <c r="F230" s="2" t="s">
        <v>1104</v>
      </c>
      <c r="G230" s="2" t="s">
        <v>1105</v>
      </c>
      <c r="H230" s="2" t="s">
        <v>1463</v>
      </c>
    </row>
    <row r="231" spans="1:8">
      <c r="A231" s="2">
        <v>230</v>
      </c>
      <c r="B231" s="2" t="s">
        <v>1712</v>
      </c>
      <c r="C231" s="2" t="s">
        <v>1461</v>
      </c>
      <c r="D231" s="2" t="s">
        <v>1107</v>
      </c>
      <c r="E231" s="2" t="s">
        <v>88</v>
      </c>
      <c r="F231" s="2" t="s">
        <v>1109</v>
      </c>
      <c r="G231" s="2" t="s">
        <v>1110</v>
      </c>
      <c r="H231" s="2" t="s">
        <v>1463</v>
      </c>
    </row>
    <row r="232" spans="1:8">
      <c r="A232" s="2">
        <v>231</v>
      </c>
      <c r="B232" s="2" t="s">
        <v>1713</v>
      </c>
      <c r="C232" s="2" t="s">
        <v>1461</v>
      </c>
      <c r="D232" s="2" t="s">
        <v>1112</v>
      </c>
      <c r="E232" s="2" t="s">
        <v>1113</v>
      </c>
      <c r="F232" s="2" t="s">
        <v>1084</v>
      </c>
      <c r="G232" s="2" t="s">
        <v>1085</v>
      </c>
      <c r="H232" s="2" t="s">
        <v>1463</v>
      </c>
    </row>
    <row r="233" spans="1:8">
      <c r="A233" s="2">
        <v>232</v>
      </c>
      <c r="B233" s="2" t="s">
        <v>1714</v>
      </c>
      <c r="C233" s="2" t="s">
        <v>1461</v>
      </c>
      <c r="D233" s="2" t="s">
        <v>1115</v>
      </c>
      <c r="E233" s="2" t="s">
        <v>1116</v>
      </c>
      <c r="F233" s="2" t="s">
        <v>1084</v>
      </c>
      <c r="G233" s="2" t="s">
        <v>1085</v>
      </c>
      <c r="H233" s="2" t="s">
        <v>1463</v>
      </c>
    </row>
    <row r="234" spans="1:8">
      <c r="A234" s="2">
        <v>233</v>
      </c>
      <c r="B234" s="2" t="s">
        <v>1715</v>
      </c>
      <c r="C234" s="2" t="s">
        <v>1461</v>
      </c>
      <c r="D234" s="2" t="s">
        <v>1118</v>
      </c>
      <c r="E234" s="2" t="s">
        <v>1119</v>
      </c>
      <c r="F234" s="2" t="s">
        <v>1120</v>
      </c>
      <c r="G234" s="2" t="s">
        <v>1121</v>
      </c>
      <c r="H234" s="2" t="s">
        <v>1463</v>
      </c>
    </row>
    <row r="235" spans="1:8">
      <c r="A235" s="2">
        <v>234</v>
      </c>
      <c r="B235" s="2" t="s">
        <v>1716</v>
      </c>
      <c r="C235" s="2" t="s">
        <v>1461</v>
      </c>
      <c r="D235" s="2" t="s">
        <v>1717</v>
      </c>
      <c r="E235" s="2" t="s">
        <v>174</v>
      </c>
      <c r="F235" s="2" t="s">
        <v>1718</v>
      </c>
      <c r="G235" s="2" t="s">
        <v>1719</v>
      </c>
      <c r="H235" s="2" t="s">
        <v>1463</v>
      </c>
    </row>
    <row r="236" spans="1:8">
      <c r="A236" s="2">
        <v>235</v>
      </c>
      <c r="B236" s="2" t="s">
        <v>1720</v>
      </c>
      <c r="C236" s="2" t="s">
        <v>1461</v>
      </c>
      <c r="D236" s="2" t="s">
        <v>1123</v>
      </c>
      <c r="E236" s="2" t="s">
        <v>1124</v>
      </c>
      <c r="F236" s="2" t="s">
        <v>1125</v>
      </c>
      <c r="G236" s="2" t="s">
        <v>1126</v>
      </c>
      <c r="H236" s="2" t="s">
        <v>1463</v>
      </c>
    </row>
    <row r="237" spans="1:8">
      <c r="A237" s="2">
        <v>236</v>
      </c>
      <c r="B237" s="2" t="s">
        <v>1721</v>
      </c>
      <c r="C237" s="2" t="s">
        <v>1461</v>
      </c>
      <c r="D237" s="2" t="s">
        <v>1128</v>
      </c>
      <c r="E237" s="2" t="s">
        <v>1722</v>
      </c>
      <c r="F237" s="2" t="s">
        <v>1130</v>
      </c>
      <c r="G237" s="2" t="s">
        <v>1131</v>
      </c>
      <c r="H237" s="2" t="s">
        <v>1463</v>
      </c>
    </row>
    <row r="238" spans="1:8">
      <c r="A238" s="2">
        <v>237</v>
      </c>
      <c r="B238" s="2" t="s">
        <v>1723</v>
      </c>
      <c r="C238" s="2" t="s">
        <v>1461</v>
      </c>
      <c r="D238" s="2" t="s">
        <v>1133</v>
      </c>
      <c r="E238" s="2" t="s">
        <v>118</v>
      </c>
      <c r="F238" s="2" t="s">
        <v>1135</v>
      </c>
      <c r="G238" s="2" t="s">
        <v>1136</v>
      </c>
      <c r="H238" s="2" t="s">
        <v>1463</v>
      </c>
    </row>
    <row r="239" spans="1:8">
      <c r="A239" s="2">
        <v>238</v>
      </c>
      <c r="B239" s="2" t="s">
        <v>1724</v>
      </c>
      <c r="C239" s="2" t="s">
        <v>1461</v>
      </c>
      <c r="D239" s="2" t="s">
        <v>1138</v>
      </c>
      <c r="E239" s="2" t="s">
        <v>1139</v>
      </c>
      <c r="F239" s="2" t="s">
        <v>1140</v>
      </c>
      <c r="G239" s="2" t="s">
        <v>1141</v>
      </c>
      <c r="H239" s="2" t="s">
        <v>1463</v>
      </c>
    </row>
    <row r="240" spans="1:8">
      <c r="A240" s="2">
        <v>239</v>
      </c>
      <c r="B240" s="2" t="s">
        <v>1725</v>
      </c>
      <c r="C240" s="2" t="s">
        <v>1461</v>
      </c>
      <c r="D240" s="2" t="s">
        <v>1143</v>
      </c>
      <c r="E240" s="2" t="s">
        <v>1726</v>
      </c>
      <c r="F240" s="2" t="s">
        <v>1145</v>
      </c>
      <c r="G240" s="2" t="s">
        <v>1146</v>
      </c>
      <c r="H240" s="2" t="s">
        <v>1463</v>
      </c>
    </row>
    <row r="241" spans="1:8">
      <c r="A241" s="2">
        <v>240</v>
      </c>
      <c r="B241" s="2" t="s">
        <v>1727</v>
      </c>
      <c r="C241" s="2" t="s">
        <v>1461</v>
      </c>
      <c r="D241" s="2" t="s">
        <v>1148</v>
      </c>
      <c r="E241" s="2" t="s">
        <v>1728</v>
      </c>
      <c r="F241" s="2" t="s">
        <v>1145</v>
      </c>
      <c r="G241" s="2" t="s">
        <v>1146</v>
      </c>
      <c r="H241" s="2" t="s">
        <v>1463</v>
      </c>
    </row>
    <row r="242" spans="1:8">
      <c r="A242" s="2">
        <v>241</v>
      </c>
      <c r="B242" s="2" t="s">
        <v>1729</v>
      </c>
      <c r="C242" s="2" t="s">
        <v>1461</v>
      </c>
      <c r="D242" s="2" t="s">
        <v>1151</v>
      </c>
      <c r="E242" s="2" t="s">
        <v>1730</v>
      </c>
      <c r="F242" s="2" t="s">
        <v>1145</v>
      </c>
      <c r="G242" s="2" t="s">
        <v>1146</v>
      </c>
      <c r="H242" s="2" t="s">
        <v>1463</v>
      </c>
    </row>
    <row r="243" spans="1:8">
      <c r="A243" s="2">
        <v>242</v>
      </c>
      <c r="B243" s="2" t="s">
        <v>1731</v>
      </c>
      <c r="C243" s="2" t="s">
        <v>1461</v>
      </c>
      <c r="D243" s="2" t="s">
        <v>1154</v>
      </c>
      <c r="E243" s="2" t="s">
        <v>1732</v>
      </c>
      <c r="F243" s="2" t="s">
        <v>1145</v>
      </c>
      <c r="G243" s="2" t="s">
        <v>1146</v>
      </c>
      <c r="H243" s="2" t="s">
        <v>1463</v>
      </c>
    </row>
    <row r="244" spans="1:8">
      <c r="A244" s="2">
        <v>243</v>
      </c>
      <c r="B244" s="2" t="s">
        <v>1733</v>
      </c>
      <c r="C244" s="2" t="s">
        <v>1461</v>
      </c>
      <c r="D244" s="2" t="s">
        <v>1157</v>
      </c>
      <c r="E244" s="2" t="s">
        <v>93</v>
      </c>
      <c r="F244" s="2" t="s">
        <v>1145</v>
      </c>
      <c r="G244" s="2" t="s">
        <v>1146</v>
      </c>
      <c r="H244" s="2" t="s">
        <v>1463</v>
      </c>
    </row>
    <row r="245" spans="1:8">
      <c r="A245" s="2">
        <v>244</v>
      </c>
      <c r="B245" s="2" t="s">
        <v>1734</v>
      </c>
      <c r="C245" s="2" t="s">
        <v>1461</v>
      </c>
      <c r="D245" s="2" t="s">
        <v>1160</v>
      </c>
      <c r="E245" s="2" t="s">
        <v>669</v>
      </c>
      <c r="F245" s="2" t="s">
        <v>1145</v>
      </c>
      <c r="G245" s="2" t="s">
        <v>1146</v>
      </c>
      <c r="H245" s="2" t="s">
        <v>1463</v>
      </c>
    </row>
    <row r="246" spans="1:8">
      <c r="A246" s="2">
        <v>245</v>
      </c>
      <c r="B246" s="2" t="s">
        <v>1735</v>
      </c>
      <c r="C246" s="2" t="s">
        <v>1461</v>
      </c>
      <c r="D246" s="2" t="s">
        <v>1163</v>
      </c>
      <c r="E246" s="2" t="s">
        <v>1736</v>
      </c>
      <c r="F246" s="2" t="s">
        <v>1145</v>
      </c>
      <c r="G246" s="2" t="s">
        <v>1146</v>
      </c>
      <c r="H246" s="2" t="s">
        <v>1463</v>
      </c>
    </row>
    <row r="247" spans="1:8">
      <c r="A247" s="2">
        <v>246</v>
      </c>
      <c r="B247" s="2" t="s">
        <v>1737</v>
      </c>
      <c r="C247" s="2" t="s">
        <v>1461</v>
      </c>
      <c r="D247" s="2" t="s">
        <v>1166</v>
      </c>
      <c r="E247" s="2" t="s">
        <v>1167</v>
      </c>
      <c r="F247" s="2" t="s">
        <v>1168</v>
      </c>
      <c r="G247" s="2" t="s">
        <v>1169</v>
      </c>
      <c r="H247" s="2" t="s">
        <v>1463</v>
      </c>
    </row>
    <row r="248" spans="1:8">
      <c r="A248" s="2">
        <v>247</v>
      </c>
      <c r="B248" s="2" t="s">
        <v>1738</v>
      </c>
      <c r="C248" s="2" t="s">
        <v>1461</v>
      </c>
      <c r="D248" s="2" t="s">
        <v>1171</v>
      </c>
      <c r="E248" s="2" t="s">
        <v>1172</v>
      </c>
      <c r="F248" s="2" t="s">
        <v>1168</v>
      </c>
      <c r="G248" s="2" t="s">
        <v>1169</v>
      </c>
      <c r="H248" s="2" t="s">
        <v>1463</v>
      </c>
    </row>
    <row r="249" spans="1:8">
      <c r="A249" s="2">
        <v>248</v>
      </c>
      <c r="B249" s="2" t="s">
        <v>1739</v>
      </c>
      <c r="C249" s="2" t="s">
        <v>1461</v>
      </c>
      <c r="D249" s="2" t="s">
        <v>1174</v>
      </c>
      <c r="E249" s="2" t="s">
        <v>1175</v>
      </c>
      <c r="F249" s="2" t="s">
        <v>1176</v>
      </c>
      <c r="G249" s="2" t="s">
        <v>1177</v>
      </c>
      <c r="H249" s="2" t="s">
        <v>1463</v>
      </c>
    </row>
    <row r="250" spans="1:8">
      <c r="A250" s="2">
        <v>249</v>
      </c>
      <c r="B250" s="2" t="s">
        <v>1740</v>
      </c>
      <c r="C250" s="2" t="s">
        <v>1461</v>
      </c>
      <c r="D250" s="2" t="s">
        <v>1179</v>
      </c>
      <c r="E250" s="2" t="s">
        <v>1180</v>
      </c>
      <c r="F250" s="2" t="s">
        <v>1181</v>
      </c>
      <c r="G250" s="2" t="s">
        <v>1182</v>
      </c>
      <c r="H250" s="2" t="s">
        <v>1463</v>
      </c>
    </row>
    <row r="251" spans="1:8">
      <c r="A251" s="2">
        <v>250</v>
      </c>
      <c r="B251" s="2" t="s">
        <v>1741</v>
      </c>
      <c r="C251" s="2" t="s">
        <v>1461</v>
      </c>
      <c r="D251" s="2" t="s">
        <v>1184</v>
      </c>
      <c r="E251" s="2" t="s">
        <v>1185</v>
      </c>
      <c r="F251" s="2" t="s">
        <v>1181</v>
      </c>
      <c r="G251" s="2" t="s">
        <v>1182</v>
      </c>
      <c r="H251" s="2" t="s">
        <v>1463</v>
      </c>
    </row>
    <row r="252" spans="1:8">
      <c r="A252" s="2">
        <v>251</v>
      </c>
      <c r="B252" s="2" t="s">
        <v>1742</v>
      </c>
      <c r="C252" s="2" t="s">
        <v>1461</v>
      </c>
      <c r="D252" s="2" t="s">
        <v>1187</v>
      </c>
      <c r="E252" s="2" t="s">
        <v>596</v>
      </c>
      <c r="F252" s="2" t="s">
        <v>1189</v>
      </c>
      <c r="G252" s="2" t="s">
        <v>1190</v>
      </c>
      <c r="H252" s="2" t="s">
        <v>1463</v>
      </c>
    </row>
    <row r="253" spans="1:8">
      <c r="A253" s="2">
        <v>252</v>
      </c>
      <c r="B253" s="2" t="s">
        <v>1743</v>
      </c>
      <c r="C253" s="2" t="s">
        <v>1461</v>
      </c>
      <c r="D253" s="2" t="s">
        <v>1192</v>
      </c>
      <c r="E253" s="2" t="s">
        <v>1193</v>
      </c>
      <c r="F253" s="2" t="s">
        <v>1189</v>
      </c>
      <c r="G253" s="2" t="s">
        <v>1190</v>
      </c>
      <c r="H253" s="2" t="s">
        <v>1463</v>
      </c>
    </row>
    <row r="254" spans="1:8">
      <c r="A254" s="2">
        <v>253</v>
      </c>
      <c r="B254" s="2" t="s">
        <v>1744</v>
      </c>
      <c r="C254" s="2" t="s">
        <v>1461</v>
      </c>
      <c r="D254" s="2" t="s">
        <v>1195</v>
      </c>
      <c r="E254" s="2" t="s">
        <v>1196</v>
      </c>
      <c r="F254" s="2" t="s">
        <v>1189</v>
      </c>
      <c r="G254" s="2" t="s">
        <v>1190</v>
      </c>
      <c r="H254" s="2" t="s">
        <v>1463</v>
      </c>
    </row>
    <row r="255" spans="1:8">
      <c r="A255" s="2">
        <v>254</v>
      </c>
      <c r="B255" s="2" t="s">
        <v>1745</v>
      </c>
      <c r="C255" s="2" t="s">
        <v>1461</v>
      </c>
      <c r="D255" s="2" t="s">
        <v>1198</v>
      </c>
      <c r="E255" s="2" t="s">
        <v>1199</v>
      </c>
      <c r="F255" s="2" t="s">
        <v>1200</v>
      </c>
      <c r="G255" s="2" t="s">
        <v>1201</v>
      </c>
      <c r="H255" s="2" t="s">
        <v>1463</v>
      </c>
    </row>
    <row r="256" spans="1:8">
      <c r="A256" s="2">
        <v>255</v>
      </c>
      <c r="B256" s="2" t="s">
        <v>1746</v>
      </c>
      <c r="C256" s="2" t="s">
        <v>1461</v>
      </c>
      <c r="D256" s="2" t="s">
        <v>1203</v>
      </c>
      <c r="E256" s="2" t="s">
        <v>1204</v>
      </c>
      <c r="F256" s="2" t="s">
        <v>1205</v>
      </c>
      <c r="G256" s="2" t="s">
        <v>1206</v>
      </c>
      <c r="H256" s="2" t="s">
        <v>1463</v>
      </c>
    </row>
    <row r="257" spans="1:8">
      <c r="A257" s="2">
        <v>256</v>
      </c>
      <c r="B257" s="2" t="s">
        <v>1747</v>
      </c>
      <c r="C257" s="2" t="s">
        <v>1461</v>
      </c>
      <c r="D257" s="2" t="s">
        <v>1208</v>
      </c>
      <c r="E257" s="2" t="s">
        <v>1209</v>
      </c>
      <c r="F257" s="2" t="s">
        <v>1210</v>
      </c>
      <c r="G257" s="2" t="s">
        <v>1211</v>
      </c>
      <c r="H257" s="2" t="s">
        <v>1463</v>
      </c>
    </row>
    <row r="258" spans="1:8">
      <c r="A258" s="2">
        <v>257</v>
      </c>
      <c r="B258" s="2" t="s">
        <v>1748</v>
      </c>
      <c r="C258" s="2" t="s">
        <v>1461</v>
      </c>
      <c r="D258" s="2" t="s">
        <v>1213</v>
      </c>
      <c r="E258" s="2" t="s">
        <v>1214</v>
      </c>
      <c r="F258" s="2" t="s">
        <v>1210</v>
      </c>
      <c r="G258" s="2" t="s">
        <v>1211</v>
      </c>
      <c r="H258" s="2" t="s">
        <v>1463</v>
      </c>
    </row>
    <row r="259" spans="1:8">
      <c r="A259" s="2">
        <v>258</v>
      </c>
      <c r="B259" s="2" t="s">
        <v>1749</v>
      </c>
      <c r="C259" s="2" t="s">
        <v>1461</v>
      </c>
      <c r="D259" s="2" t="s">
        <v>1216</v>
      </c>
      <c r="E259" s="2" t="s">
        <v>1217</v>
      </c>
      <c r="F259" s="2" t="s">
        <v>1210</v>
      </c>
      <c r="G259" s="2" t="s">
        <v>1211</v>
      </c>
      <c r="H259" s="2" t="s">
        <v>1463</v>
      </c>
    </row>
    <row r="260" spans="1:8">
      <c r="A260" s="2">
        <v>259</v>
      </c>
      <c r="B260" s="2" t="s">
        <v>1750</v>
      </c>
      <c r="C260" s="2" t="s">
        <v>1461</v>
      </c>
      <c r="D260" s="2" t="s">
        <v>1219</v>
      </c>
      <c r="E260" s="2" t="s">
        <v>1220</v>
      </c>
      <c r="F260" s="2" t="s">
        <v>1210</v>
      </c>
      <c r="G260" s="2" t="s">
        <v>1211</v>
      </c>
      <c r="H260" s="2" t="s">
        <v>1463</v>
      </c>
    </row>
    <row r="261" spans="1:8">
      <c r="A261" s="2">
        <v>260</v>
      </c>
      <c r="B261" s="2" t="s">
        <v>1751</v>
      </c>
      <c r="C261" s="2" t="s">
        <v>1461</v>
      </c>
      <c r="D261" s="2" t="s">
        <v>1222</v>
      </c>
      <c r="E261" s="2" t="s">
        <v>1223</v>
      </c>
      <c r="F261" s="2" t="s">
        <v>1224</v>
      </c>
      <c r="G261" s="2" t="s">
        <v>1225</v>
      </c>
      <c r="H261" s="2" t="s">
        <v>1463</v>
      </c>
    </row>
    <row r="262" spans="1:8">
      <c r="A262" s="2">
        <v>261</v>
      </c>
      <c r="B262" s="2" t="s">
        <v>1752</v>
      </c>
      <c r="C262" s="2" t="s">
        <v>1461</v>
      </c>
      <c r="D262" s="2" t="s">
        <v>1227</v>
      </c>
      <c r="E262" s="2" t="s">
        <v>1228</v>
      </c>
      <c r="F262" s="2" t="s">
        <v>1229</v>
      </c>
      <c r="G262" s="2" t="s">
        <v>1230</v>
      </c>
      <c r="H262" s="2" t="s">
        <v>1463</v>
      </c>
    </row>
    <row r="263" spans="1:8">
      <c r="A263" s="2">
        <v>262</v>
      </c>
      <c r="B263" s="2" t="s">
        <v>1753</v>
      </c>
      <c r="C263" s="2" t="s">
        <v>1461</v>
      </c>
      <c r="D263" s="2" t="s">
        <v>1232</v>
      </c>
      <c r="E263" s="2" t="s">
        <v>1233</v>
      </c>
      <c r="F263" s="2" t="s">
        <v>1234</v>
      </c>
      <c r="G263" s="2" t="s">
        <v>1235</v>
      </c>
      <c r="H263" s="2" t="s">
        <v>1463</v>
      </c>
    </row>
    <row r="264" spans="1:8">
      <c r="A264" s="2">
        <v>263</v>
      </c>
      <c r="B264" s="2" t="s">
        <v>1754</v>
      </c>
      <c r="C264" s="2" t="s">
        <v>1461</v>
      </c>
      <c r="D264" s="2" t="s">
        <v>1237</v>
      </c>
      <c r="E264" s="2" t="s">
        <v>455</v>
      </c>
      <c r="F264" s="2" t="s">
        <v>1239</v>
      </c>
      <c r="G264" s="2" t="s">
        <v>1240</v>
      </c>
      <c r="H264" s="2" t="s">
        <v>1463</v>
      </c>
    </row>
    <row r="265" spans="1:8">
      <c r="A265" s="2">
        <v>264</v>
      </c>
      <c r="B265" s="2" t="s">
        <v>1755</v>
      </c>
      <c r="C265" s="2" t="s">
        <v>1461</v>
      </c>
      <c r="D265" s="2" t="s">
        <v>1242</v>
      </c>
      <c r="E265" s="2" t="s">
        <v>450</v>
      </c>
      <c r="F265" s="2" t="s">
        <v>1239</v>
      </c>
      <c r="G265" s="2" t="s">
        <v>1240</v>
      </c>
      <c r="H265" s="2" t="s">
        <v>1463</v>
      </c>
    </row>
    <row r="266" spans="1:8">
      <c r="A266" s="2">
        <v>265</v>
      </c>
      <c r="B266" s="2" t="s">
        <v>1756</v>
      </c>
      <c r="C266" s="2" t="s">
        <v>1461</v>
      </c>
      <c r="D266" s="2" t="s">
        <v>1245</v>
      </c>
      <c r="E266" s="2" t="s">
        <v>1246</v>
      </c>
      <c r="F266" s="2" t="s">
        <v>1247</v>
      </c>
      <c r="G266" s="2" t="s">
        <v>1248</v>
      </c>
      <c r="H266" s="2" t="s">
        <v>1463</v>
      </c>
    </row>
    <row r="267" spans="1:8">
      <c r="A267" s="2">
        <v>266</v>
      </c>
      <c r="B267" s="2" t="s">
        <v>1757</v>
      </c>
      <c r="C267" s="2" t="s">
        <v>1461</v>
      </c>
      <c r="D267" s="2" t="s">
        <v>1250</v>
      </c>
      <c r="E267" s="2" t="s">
        <v>1251</v>
      </c>
      <c r="F267" s="2" t="s">
        <v>1252</v>
      </c>
      <c r="G267" s="2" t="s">
        <v>1253</v>
      </c>
      <c r="H267" s="2" t="s">
        <v>1463</v>
      </c>
    </row>
    <row r="268" spans="1:8">
      <c r="A268" s="2">
        <v>267</v>
      </c>
      <c r="B268" s="2" t="s">
        <v>1758</v>
      </c>
      <c r="C268" s="2" t="s">
        <v>1461</v>
      </c>
      <c r="D268" s="2" t="s">
        <v>1255</v>
      </c>
      <c r="E268" s="2" t="s">
        <v>1256</v>
      </c>
      <c r="F268" s="2" t="s">
        <v>1257</v>
      </c>
      <c r="G268" s="2" t="s">
        <v>1258</v>
      </c>
      <c r="H268" s="2" t="s">
        <v>1463</v>
      </c>
    </row>
    <row r="269" spans="1:8">
      <c r="A269" s="2">
        <v>268</v>
      </c>
      <c r="B269" s="2" t="s">
        <v>1759</v>
      </c>
      <c r="C269" s="2" t="s">
        <v>1461</v>
      </c>
      <c r="D269" s="2" t="s">
        <v>1260</v>
      </c>
      <c r="E269" s="2" t="s">
        <v>1261</v>
      </c>
      <c r="F269" s="2" t="s">
        <v>1262</v>
      </c>
      <c r="G269" s="2" t="s">
        <v>1263</v>
      </c>
      <c r="H269" s="2" t="s">
        <v>1463</v>
      </c>
    </row>
    <row r="270" spans="1:8">
      <c r="A270" s="2">
        <v>269</v>
      </c>
      <c r="B270" s="2" t="s">
        <v>1760</v>
      </c>
      <c r="C270" s="2" t="s">
        <v>1461</v>
      </c>
      <c r="D270" s="2" t="s">
        <v>1265</v>
      </c>
      <c r="E270" s="2" t="s">
        <v>1266</v>
      </c>
      <c r="F270" s="2" t="s">
        <v>1267</v>
      </c>
      <c r="G270" s="2" t="s">
        <v>1268</v>
      </c>
      <c r="H270" s="2" t="s">
        <v>1463</v>
      </c>
    </row>
    <row r="271" spans="1:8">
      <c r="A271" s="2">
        <v>270</v>
      </c>
      <c r="B271" s="2" t="s">
        <v>1761</v>
      </c>
      <c r="C271" s="2" t="s">
        <v>1461</v>
      </c>
      <c r="D271" s="2" t="s">
        <v>1270</v>
      </c>
      <c r="E271" s="2" t="s">
        <v>1271</v>
      </c>
      <c r="F271" s="2" t="s">
        <v>1272</v>
      </c>
      <c r="G271" s="2" t="s">
        <v>1273</v>
      </c>
      <c r="H271" s="2" t="s">
        <v>1463</v>
      </c>
    </row>
    <row r="272" spans="1:8">
      <c r="A272" s="2">
        <v>271</v>
      </c>
      <c r="B272" s="2" t="s">
        <v>1762</v>
      </c>
      <c r="C272" s="2" t="s">
        <v>1461</v>
      </c>
      <c r="D272" s="2" t="s">
        <v>1275</v>
      </c>
      <c r="E272" s="2" t="s">
        <v>1276</v>
      </c>
      <c r="F272" s="2" t="s">
        <v>1277</v>
      </c>
      <c r="G272" s="2" t="s">
        <v>1278</v>
      </c>
      <c r="H272" s="2" t="s">
        <v>1463</v>
      </c>
    </row>
    <row r="273" spans="1:8">
      <c r="A273" s="2">
        <v>272</v>
      </c>
      <c r="B273" s="2" t="s">
        <v>1763</v>
      </c>
      <c r="C273" s="2" t="s">
        <v>1461</v>
      </c>
      <c r="D273" s="2" t="s">
        <v>1280</v>
      </c>
      <c r="E273" s="2" t="s">
        <v>1281</v>
      </c>
      <c r="F273" s="2" t="s">
        <v>1282</v>
      </c>
      <c r="G273" s="2" t="s">
        <v>1283</v>
      </c>
      <c r="H273" s="2" t="s">
        <v>1463</v>
      </c>
    </row>
    <row r="274" spans="1:8">
      <c r="A274" s="2">
        <v>273</v>
      </c>
      <c r="B274" s="2" t="s">
        <v>1764</v>
      </c>
      <c r="C274" s="2" t="s">
        <v>1461</v>
      </c>
      <c r="D274" s="2" t="s">
        <v>1285</v>
      </c>
      <c r="E274" s="2" t="s">
        <v>1286</v>
      </c>
      <c r="F274" s="2" t="s">
        <v>1287</v>
      </c>
      <c r="G274" s="2" t="s">
        <v>1288</v>
      </c>
      <c r="H274" s="2" t="s">
        <v>1463</v>
      </c>
    </row>
    <row r="275" spans="1:8">
      <c r="A275" s="2">
        <v>274</v>
      </c>
      <c r="B275" s="2" t="s">
        <v>1765</v>
      </c>
      <c r="C275" s="2" t="s">
        <v>1461</v>
      </c>
      <c r="D275" s="2" t="s">
        <v>1290</v>
      </c>
      <c r="E275" s="2" t="s">
        <v>1291</v>
      </c>
      <c r="F275" s="2" t="s">
        <v>1292</v>
      </c>
      <c r="G275" s="2" t="s">
        <v>1293</v>
      </c>
      <c r="H275" s="2" t="s">
        <v>1463</v>
      </c>
    </row>
    <row r="276" spans="1:8">
      <c r="A276" s="2">
        <v>275</v>
      </c>
      <c r="B276" s="2" t="s">
        <v>1766</v>
      </c>
      <c r="C276" s="2" t="s">
        <v>1461</v>
      </c>
      <c r="D276" s="2" t="s">
        <v>1295</v>
      </c>
      <c r="E276" s="2" t="s">
        <v>1296</v>
      </c>
      <c r="F276" s="2" t="s">
        <v>1297</v>
      </c>
      <c r="G276" s="2" t="s">
        <v>1298</v>
      </c>
      <c r="H276" s="2" t="s">
        <v>1463</v>
      </c>
    </row>
    <row r="277" spans="1:8">
      <c r="A277" s="2">
        <v>276</v>
      </c>
      <c r="B277" s="2" t="s">
        <v>1767</v>
      </c>
      <c r="C277" s="2" t="s">
        <v>1461</v>
      </c>
      <c r="D277" s="2" t="s">
        <v>1300</v>
      </c>
      <c r="E277" s="2" t="s">
        <v>1301</v>
      </c>
      <c r="F277" s="2" t="s">
        <v>1302</v>
      </c>
      <c r="G277" s="2" t="s">
        <v>1303</v>
      </c>
      <c r="H277" s="2" t="s">
        <v>1463</v>
      </c>
    </row>
    <row r="278" spans="1:8">
      <c r="A278" s="2">
        <v>277</v>
      </c>
      <c r="B278" s="2" t="s">
        <v>1768</v>
      </c>
      <c r="C278" s="2" t="s">
        <v>1461</v>
      </c>
      <c r="D278" s="2" t="s">
        <v>1305</v>
      </c>
      <c r="E278" s="2" t="s">
        <v>1306</v>
      </c>
      <c r="F278" s="2" t="s">
        <v>1307</v>
      </c>
      <c r="G278" s="2" t="s">
        <v>1308</v>
      </c>
      <c r="H278" s="2" t="s">
        <v>1463</v>
      </c>
    </row>
    <row r="279" spans="1:8">
      <c r="A279" s="2">
        <v>278</v>
      </c>
      <c r="B279" s="2" t="s">
        <v>1769</v>
      </c>
      <c r="C279" s="2" t="s">
        <v>1461</v>
      </c>
      <c r="D279" s="2" t="s">
        <v>1310</v>
      </c>
      <c r="E279" s="2" t="s">
        <v>1311</v>
      </c>
      <c r="F279" s="2" t="s">
        <v>1312</v>
      </c>
      <c r="G279" s="2" t="s">
        <v>1313</v>
      </c>
      <c r="H279" s="2" t="s">
        <v>1463</v>
      </c>
    </row>
    <row r="280" spans="1:8">
      <c r="A280" s="2">
        <v>279</v>
      </c>
      <c r="B280" s="2" t="s">
        <v>1770</v>
      </c>
      <c r="C280" s="2" t="s">
        <v>1461</v>
      </c>
      <c r="D280" s="2" t="s">
        <v>1315</v>
      </c>
      <c r="E280" s="2" t="s">
        <v>1316</v>
      </c>
      <c r="F280" s="2" t="s">
        <v>1317</v>
      </c>
      <c r="G280" s="2" t="s">
        <v>1318</v>
      </c>
      <c r="H280" s="2" t="s">
        <v>1463</v>
      </c>
    </row>
    <row r="281" spans="1:8">
      <c r="A281" s="2">
        <v>280</v>
      </c>
      <c r="B281" s="2" t="s">
        <v>1771</v>
      </c>
      <c r="C281" s="2" t="s">
        <v>1461</v>
      </c>
      <c r="D281" s="2" t="s">
        <v>1320</v>
      </c>
      <c r="E281" s="2" t="s">
        <v>1321</v>
      </c>
      <c r="F281" s="2" t="s">
        <v>1322</v>
      </c>
      <c r="G281" s="2" t="s">
        <v>1323</v>
      </c>
      <c r="H281" s="2" t="s">
        <v>1463</v>
      </c>
    </row>
    <row r="282" spans="1:8">
      <c r="A282" s="2">
        <v>281</v>
      </c>
      <c r="B282" s="2" t="s">
        <v>1772</v>
      </c>
      <c r="C282" s="2" t="s">
        <v>1461</v>
      </c>
      <c r="D282" s="2" t="s">
        <v>1325</v>
      </c>
      <c r="E282" s="2" t="s">
        <v>1331</v>
      </c>
      <c r="F282" s="2" t="s">
        <v>1327</v>
      </c>
      <c r="G282" s="2" t="s">
        <v>1328</v>
      </c>
      <c r="H282" s="2" t="s">
        <v>1463</v>
      </c>
    </row>
    <row r="283" spans="1:8">
      <c r="A283" s="2">
        <v>282</v>
      </c>
      <c r="B283" s="2" t="s">
        <v>1773</v>
      </c>
      <c r="C283" s="2" t="s">
        <v>1461</v>
      </c>
      <c r="D283" s="2" t="s">
        <v>1330</v>
      </c>
      <c r="E283" s="2" t="s">
        <v>1774</v>
      </c>
      <c r="F283" s="2" t="s">
        <v>1327</v>
      </c>
      <c r="G283" s="2" t="s">
        <v>1328</v>
      </c>
      <c r="H283" s="2" t="s">
        <v>1463</v>
      </c>
    </row>
    <row r="284" spans="1:8">
      <c r="A284" s="2">
        <v>283</v>
      </c>
      <c r="B284" s="2" t="s">
        <v>1775</v>
      </c>
      <c r="C284" s="2" t="s">
        <v>1461</v>
      </c>
      <c r="D284" s="2" t="s">
        <v>1333</v>
      </c>
      <c r="E284" s="2" t="s">
        <v>1334</v>
      </c>
      <c r="F284" s="2" t="s">
        <v>1335</v>
      </c>
      <c r="G284" s="2" t="s">
        <v>1336</v>
      </c>
      <c r="H284" s="2" t="s">
        <v>1463</v>
      </c>
    </row>
    <row r="285" spans="1:8">
      <c r="A285" s="2">
        <v>284</v>
      </c>
      <c r="B285" s="2" t="s">
        <v>1776</v>
      </c>
      <c r="C285" s="2" t="s">
        <v>1461</v>
      </c>
      <c r="D285" s="2" t="s">
        <v>1338</v>
      </c>
      <c r="E285" s="2" t="s">
        <v>1339</v>
      </c>
      <c r="F285" s="2" t="s">
        <v>1340</v>
      </c>
      <c r="G285" s="2" t="s">
        <v>1341</v>
      </c>
      <c r="H285" s="2" t="s">
        <v>1463</v>
      </c>
    </row>
    <row r="286" spans="1:8">
      <c r="A286" s="2">
        <v>285</v>
      </c>
      <c r="B286" s="2" t="s">
        <v>1777</v>
      </c>
      <c r="C286" s="2" t="s">
        <v>1461</v>
      </c>
      <c r="D286" s="2" t="s">
        <v>1343</v>
      </c>
      <c r="E286" s="2" t="s">
        <v>1344</v>
      </c>
      <c r="F286" s="2" t="s">
        <v>1345</v>
      </c>
      <c r="G286" s="2" t="s">
        <v>1346</v>
      </c>
      <c r="H286" s="2" t="s">
        <v>1463</v>
      </c>
    </row>
    <row r="287" spans="1:8">
      <c r="A287" s="2">
        <v>286</v>
      </c>
      <c r="B287" s="2" t="s">
        <v>1778</v>
      </c>
      <c r="C287" s="2" t="s">
        <v>1461</v>
      </c>
      <c r="D287" s="2" t="s">
        <v>1348</v>
      </c>
      <c r="E287" s="2" t="s">
        <v>1349</v>
      </c>
      <c r="F287" s="2" t="s">
        <v>1350</v>
      </c>
      <c r="G287" s="2" t="s">
        <v>1351</v>
      </c>
      <c r="H287" s="2" t="s">
        <v>1463</v>
      </c>
    </row>
    <row r="288" spans="1:8">
      <c r="A288" s="2">
        <v>287</v>
      </c>
      <c r="B288" s="2" t="s">
        <v>1779</v>
      </c>
      <c r="C288" s="2" t="s">
        <v>1461</v>
      </c>
      <c r="D288" s="2" t="s">
        <v>1353</v>
      </c>
      <c r="E288" s="2" t="s">
        <v>1354</v>
      </c>
      <c r="F288" s="2" t="s">
        <v>1350</v>
      </c>
      <c r="G288" s="2" t="s">
        <v>1351</v>
      </c>
      <c r="H288" s="2" t="s">
        <v>1463</v>
      </c>
    </row>
    <row r="289" spans="1:8">
      <c r="A289" s="2">
        <v>288</v>
      </c>
      <c r="B289" s="2" t="s">
        <v>1780</v>
      </c>
      <c r="C289" s="2" t="s">
        <v>1461</v>
      </c>
      <c r="D289" s="2" t="s">
        <v>1356</v>
      </c>
      <c r="E289" s="2" t="s">
        <v>1357</v>
      </c>
      <c r="F289" s="2" t="s">
        <v>1350</v>
      </c>
      <c r="G289" s="2" t="s">
        <v>1351</v>
      </c>
      <c r="H289" s="2" t="s">
        <v>1463</v>
      </c>
    </row>
    <row r="290" spans="1:8">
      <c r="A290" s="2">
        <v>289</v>
      </c>
      <c r="B290" s="2" t="s">
        <v>1781</v>
      </c>
      <c r="C290" s="2" t="s">
        <v>1461</v>
      </c>
      <c r="D290" s="2" t="s">
        <v>1359</v>
      </c>
      <c r="E290" s="2" t="s">
        <v>1152</v>
      </c>
      <c r="F290" s="2" t="s">
        <v>1361</v>
      </c>
      <c r="G290" s="2" t="s">
        <v>1362</v>
      </c>
      <c r="H290" s="2" t="s">
        <v>1463</v>
      </c>
    </row>
    <row r="291" spans="1:8">
      <c r="A291" s="2">
        <v>290</v>
      </c>
      <c r="B291" s="2" t="s">
        <v>1782</v>
      </c>
      <c r="C291" s="2" t="s">
        <v>1461</v>
      </c>
      <c r="D291" s="2" t="s">
        <v>1364</v>
      </c>
      <c r="E291" s="2" t="s">
        <v>1149</v>
      </c>
      <c r="F291" s="2" t="s">
        <v>1361</v>
      </c>
      <c r="G291" s="2" t="s">
        <v>1362</v>
      </c>
      <c r="H291" s="2" t="s">
        <v>1463</v>
      </c>
    </row>
    <row r="292" spans="1:8">
      <c r="A292" s="2">
        <v>291</v>
      </c>
      <c r="B292" s="2" t="s">
        <v>1783</v>
      </c>
      <c r="C292" s="2" t="s">
        <v>1461</v>
      </c>
      <c r="D292" s="2" t="s">
        <v>1367</v>
      </c>
      <c r="E292" s="2" t="s">
        <v>1368</v>
      </c>
      <c r="F292" s="2" t="s">
        <v>1369</v>
      </c>
      <c r="G292" s="2" t="s">
        <v>1370</v>
      </c>
      <c r="H292" s="2" t="s">
        <v>1463</v>
      </c>
    </row>
    <row r="293" spans="1:8">
      <c r="A293" s="2">
        <v>292</v>
      </c>
      <c r="B293" s="2" t="s">
        <v>1784</v>
      </c>
      <c r="C293" s="2" t="s">
        <v>1461</v>
      </c>
      <c r="D293" s="2" t="s">
        <v>1372</v>
      </c>
      <c r="E293" s="2" t="s">
        <v>1373</v>
      </c>
      <c r="F293" s="2" t="s">
        <v>1374</v>
      </c>
      <c r="G293" s="2" t="s">
        <v>1375</v>
      </c>
      <c r="H293" s="2" t="s">
        <v>1463</v>
      </c>
    </row>
    <row r="294" spans="1:8">
      <c r="A294" s="2">
        <v>293</v>
      </c>
      <c r="B294" s="2" t="s">
        <v>1785</v>
      </c>
      <c r="C294" s="2" t="s">
        <v>1461</v>
      </c>
      <c r="D294" s="2" t="s">
        <v>1377</v>
      </c>
      <c r="E294" s="2" t="s">
        <v>1378</v>
      </c>
      <c r="F294" s="2" t="s">
        <v>1379</v>
      </c>
      <c r="G294" s="2" t="s">
        <v>1380</v>
      </c>
      <c r="H294" s="2" t="s">
        <v>1463</v>
      </c>
    </row>
    <row r="295" spans="1:8">
      <c r="A295" s="2">
        <v>294</v>
      </c>
      <c r="B295" s="2" t="s">
        <v>1786</v>
      </c>
      <c r="C295" s="2" t="s">
        <v>1461</v>
      </c>
      <c r="D295" s="2" t="s">
        <v>1382</v>
      </c>
      <c r="E295" s="2" t="s">
        <v>1383</v>
      </c>
      <c r="F295" s="2" t="s">
        <v>1384</v>
      </c>
      <c r="G295" s="2" t="s">
        <v>1385</v>
      </c>
      <c r="H295" s="2" t="s">
        <v>1463</v>
      </c>
    </row>
    <row r="296" spans="1:8">
      <c r="A296" s="2">
        <v>295</v>
      </c>
      <c r="B296" s="2" t="s">
        <v>1787</v>
      </c>
      <c r="C296" s="2" t="s">
        <v>1461</v>
      </c>
      <c r="D296" s="2" t="s">
        <v>1387</v>
      </c>
      <c r="E296" s="2" t="s">
        <v>1388</v>
      </c>
      <c r="F296" s="2" t="s">
        <v>1389</v>
      </c>
      <c r="G296" s="2" t="s">
        <v>1390</v>
      </c>
      <c r="H296" s="2" t="s">
        <v>1463</v>
      </c>
    </row>
    <row r="297" spans="1:8">
      <c r="A297" s="2">
        <v>296</v>
      </c>
      <c r="B297" s="2" t="s">
        <v>1788</v>
      </c>
      <c r="C297" s="2" t="s">
        <v>1461</v>
      </c>
      <c r="D297" s="2" t="s">
        <v>1392</v>
      </c>
      <c r="E297" s="2" t="s">
        <v>1393</v>
      </c>
      <c r="F297" s="2" t="s">
        <v>1394</v>
      </c>
      <c r="G297" s="2" t="s">
        <v>1395</v>
      </c>
      <c r="H297" s="2" t="s">
        <v>1463</v>
      </c>
    </row>
    <row r="298" spans="1:8">
      <c r="A298" s="2">
        <v>297</v>
      </c>
      <c r="B298" s="2" t="s">
        <v>1789</v>
      </c>
      <c r="C298" s="2" t="s">
        <v>1461</v>
      </c>
      <c r="D298" s="2" t="s">
        <v>1397</v>
      </c>
      <c r="E298" s="2" t="s">
        <v>1398</v>
      </c>
      <c r="F298" s="2" t="s">
        <v>1399</v>
      </c>
      <c r="G298" s="2" t="s">
        <v>1400</v>
      </c>
      <c r="H298" s="2" t="s">
        <v>1463</v>
      </c>
    </row>
    <row r="299" spans="1:8">
      <c r="A299" s="2">
        <v>298</v>
      </c>
      <c r="B299" s="2" t="s">
        <v>1790</v>
      </c>
      <c r="C299" s="2" t="s">
        <v>1461</v>
      </c>
      <c r="D299" s="2" t="s">
        <v>1402</v>
      </c>
      <c r="E299" s="2" t="s">
        <v>1403</v>
      </c>
      <c r="F299" s="2" t="s">
        <v>1404</v>
      </c>
      <c r="G299" s="2" t="s">
        <v>1405</v>
      </c>
      <c r="H299" s="2" t="s">
        <v>1463</v>
      </c>
    </row>
    <row r="300" spans="1:8">
      <c r="A300" s="2">
        <v>299</v>
      </c>
      <c r="B300" s="2" t="s">
        <v>1791</v>
      </c>
      <c r="C300" s="2" t="s">
        <v>1461</v>
      </c>
      <c r="D300" s="2" t="s">
        <v>1407</v>
      </c>
      <c r="E300" s="2" t="s">
        <v>1408</v>
      </c>
      <c r="F300" s="2" t="s">
        <v>1409</v>
      </c>
      <c r="G300" s="2" t="s">
        <v>1410</v>
      </c>
      <c r="H300" s="2" t="s">
        <v>1463</v>
      </c>
    </row>
    <row r="301" spans="1:8">
      <c r="A301" s="2">
        <v>300</v>
      </c>
      <c r="B301" s="2" t="s">
        <v>1792</v>
      </c>
      <c r="C301" s="2" t="s">
        <v>1461</v>
      </c>
      <c r="D301" s="2" t="s">
        <v>1412</v>
      </c>
      <c r="E301" s="2" t="s">
        <v>1413</v>
      </c>
      <c r="F301" s="2" t="s">
        <v>1414</v>
      </c>
      <c r="G301" s="2" t="s">
        <v>1415</v>
      </c>
      <c r="H301" s="2" t="s">
        <v>1463</v>
      </c>
    </row>
    <row r="302" spans="1:8">
      <c r="A302" s="2">
        <v>301</v>
      </c>
      <c r="B302" s="2" t="s">
        <v>1793</v>
      </c>
      <c r="C302" s="2" t="s">
        <v>1461</v>
      </c>
      <c r="D302" s="2" t="s">
        <v>1417</v>
      </c>
      <c r="E302" s="2" t="s">
        <v>1418</v>
      </c>
      <c r="F302" s="2" t="s">
        <v>1419</v>
      </c>
      <c r="G302" s="2" t="s">
        <v>1420</v>
      </c>
      <c r="H302" s="2" t="s">
        <v>1463</v>
      </c>
    </row>
    <row r="303" spans="1:8">
      <c r="A303" s="2">
        <v>302</v>
      </c>
      <c r="B303" s="2" t="s">
        <v>1794</v>
      </c>
      <c r="C303" s="2" t="s">
        <v>1461</v>
      </c>
      <c r="D303" s="2" t="s">
        <v>1422</v>
      </c>
      <c r="E303" s="2" t="s">
        <v>1423</v>
      </c>
      <c r="F303" s="2" t="s">
        <v>1424</v>
      </c>
      <c r="G303" s="2" t="s">
        <v>1425</v>
      </c>
      <c r="H303" s="2" t="s">
        <v>1463</v>
      </c>
    </row>
    <row r="304" spans="1:8">
      <c r="A304" s="2">
        <v>303</v>
      </c>
      <c r="B304" s="2" t="s">
        <v>1795</v>
      </c>
      <c r="C304" s="2" t="s">
        <v>1461</v>
      </c>
      <c r="D304" s="2" t="s">
        <v>1427</v>
      </c>
      <c r="E304" s="2" t="s">
        <v>1428</v>
      </c>
      <c r="F304" s="2" t="s">
        <v>1429</v>
      </c>
      <c r="G304" s="2" t="s">
        <v>1430</v>
      </c>
      <c r="H304" s="2" t="s">
        <v>1463</v>
      </c>
    </row>
    <row r="305" spans="1:8">
      <c r="A305" s="2">
        <v>304</v>
      </c>
      <c r="B305" s="2" t="s">
        <v>1796</v>
      </c>
      <c r="C305" s="2" t="s">
        <v>1461</v>
      </c>
      <c r="D305" s="2" t="s">
        <v>1432</v>
      </c>
      <c r="E305" s="2" t="s">
        <v>1433</v>
      </c>
      <c r="F305" s="2" t="s">
        <v>1434</v>
      </c>
      <c r="G305" s="2" t="s">
        <v>1435</v>
      </c>
      <c r="H305" s="2" t="s">
        <v>1463</v>
      </c>
    </row>
    <row r="306" spans="1:8">
      <c r="A306" s="2">
        <v>305</v>
      </c>
      <c r="B306" s="2" t="s">
        <v>1797</v>
      </c>
      <c r="C306" s="2" t="s">
        <v>1461</v>
      </c>
      <c r="D306" s="2" t="s">
        <v>1437</v>
      </c>
      <c r="E306" s="2" t="s">
        <v>1798</v>
      </c>
      <c r="F306" s="2" t="s">
        <v>1439</v>
      </c>
      <c r="G306" s="2" t="s">
        <v>1440</v>
      </c>
      <c r="H306" s="2" t="s">
        <v>1463</v>
      </c>
    </row>
    <row r="307" spans="1:8">
      <c r="A307" s="2">
        <v>306</v>
      </c>
      <c r="B307" s="2" t="s">
        <v>1799</v>
      </c>
      <c r="C307" s="2" t="s">
        <v>1461</v>
      </c>
      <c r="D307" s="2" t="s">
        <v>1442</v>
      </c>
      <c r="E307" s="2" t="s">
        <v>475</v>
      </c>
      <c r="F307" s="2" t="s">
        <v>1439</v>
      </c>
      <c r="G307" s="2" t="s">
        <v>1440</v>
      </c>
      <c r="H307" s="2" t="s">
        <v>1463</v>
      </c>
    </row>
    <row r="308" spans="1:8">
      <c r="A308" s="2">
        <v>307</v>
      </c>
      <c r="B308" s="2" t="s">
        <v>1800</v>
      </c>
      <c r="C308" s="2" t="s">
        <v>1461</v>
      </c>
      <c r="D308" s="2" t="s">
        <v>1445</v>
      </c>
      <c r="E308" s="2" t="s">
        <v>1446</v>
      </c>
      <c r="F308" s="2" t="s">
        <v>1229</v>
      </c>
      <c r="G308" s="2" t="s">
        <v>1230</v>
      </c>
      <c r="H308" s="2" t="s">
        <v>1463</v>
      </c>
    </row>
    <row r="309" spans="1:8">
      <c r="A309" s="2">
        <v>308</v>
      </c>
      <c r="B309" s="2" t="s">
        <v>1801</v>
      </c>
      <c r="C309" s="2" t="s">
        <v>1461</v>
      </c>
      <c r="D309" s="2" t="s">
        <v>1448</v>
      </c>
      <c r="E309" s="2" t="s">
        <v>1449</v>
      </c>
      <c r="F309" s="2" t="s">
        <v>1234</v>
      </c>
      <c r="G309" s="2" t="s">
        <v>1235</v>
      </c>
      <c r="H309" s="2" t="s">
        <v>1463</v>
      </c>
    </row>
    <row r="310" spans="1:8">
      <c r="A310" s="2">
        <v>309</v>
      </c>
      <c r="B310" s="2" t="s">
        <v>1802</v>
      </c>
      <c r="C310" s="2" t="s">
        <v>1461</v>
      </c>
      <c r="D310" s="2" t="s">
        <v>1451</v>
      </c>
      <c r="E310" s="2" t="s">
        <v>1452</v>
      </c>
      <c r="F310" s="2" t="s">
        <v>1453</v>
      </c>
      <c r="G310" s="2" t="s">
        <v>1454</v>
      </c>
      <c r="H310" s="2" t="s">
        <v>1463</v>
      </c>
    </row>
    <row r="311" spans="1:8">
      <c r="A311" s="2">
        <v>310</v>
      </c>
      <c r="B311" s="2" t="s">
        <v>1803</v>
      </c>
      <c r="C311" s="2" t="s">
        <v>1461</v>
      </c>
      <c r="D311" s="2" t="s">
        <v>1456</v>
      </c>
      <c r="E311" s="2" t="s">
        <v>1457</v>
      </c>
      <c r="F311" s="2" t="s">
        <v>1458</v>
      </c>
      <c r="G311" s="2" t="s">
        <v>1459</v>
      </c>
      <c r="H311" s="2" t="s">
        <v>1463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K346"/>
  <sheetViews>
    <sheetView workbookViewId="0">
      <selection activeCell="F17" sqref="F17"/>
    </sheetView>
  </sheetViews>
  <sheetFormatPr defaultColWidth="9" defaultRowHeight="13.5"/>
  <cols>
    <col min="1" max="16384" width="9" style="2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1">
      <c r="A2" s="2">
        <v>1</v>
      </c>
      <c r="B2" s="2" t="s">
        <v>1804</v>
      </c>
      <c r="D2" s="2" t="s">
        <v>9</v>
      </c>
      <c r="E2" s="2" t="s">
        <v>10</v>
      </c>
      <c r="F2" s="2" t="s">
        <v>11</v>
      </c>
      <c r="G2" s="2" t="s">
        <v>12</v>
      </c>
      <c r="I2" s="2" t="str">
        <f>IFERROR(IF(OR(MID(G2,FIND(":",G2)-1,1)="""",MID(G2,FIND(":",G2)-1,1)="}",MID(G2,FIND(":",G2)-1,1)=")",MID(G2,FIND(":",G2)-1,1)="]"),"",RIGHT(G2,LEN(G2)-FIND(":",G2)-1)),"")</f>
        <v>'类别', 'value': '操作系统'}, {'tag': '指标', 'value': 'aix'}]</v>
      </c>
      <c r="J2" s="2" t="str">
        <f>IF(AND(I2="",H2=""),G2,H2&amp;": "&amp;I2)</f>
        <v>: '类别', 'value': '操作系统'}, {'tag': '指标', 'value': 'aix'}]</v>
      </c>
      <c r="K2" s="2" t="str">
        <f>IFERROR(IF(OR(MID(F2,FIND(":",F2)-1,1)="""",MID(F2,FIND(":",F2)-1,1)="}",MID(F2,FIND(":",F2)-1,1)=")",MID(F2,FIND(":",F2)-1,1)="]"),"",RIGHT(F2,LEN(F2)-FIND(":",F2)-1)),"")</f>
        <v>'class', 'value': 'os'}, {'tag': 'target', 'value': 'aix'}]</v>
      </c>
    </row>
    <row r="3" spans="1:7">
      <c r="A3" s="2">
        <v>2</v>
      </c>
      <c r="B3" s="2" t="s">
        <v>1805</v>
      </c>
      <c r="D3" s="2" t="s">
        <v>14</v>
      </c>
      <c r="E3" s="2" t="s">
        <v>15</v>
      </c>
      <c r="F3" s="2" t="s">
        <v>16</v>
      </c>
      <c r="G3" s="2" t="s">
        <v>17</v>
      </c>
    </row>
    <row r="4" spans="1:7">
      <c r="A4" s="2">
        <v>3</v>
      </c>
      <c r="B4" s="2" t="s">
        <v>1806</v>
      </c>
      <c r="D4" s="2" t="s">
        <v>19</v>
      </c>
      <c r="E4" s="2" t="s">
        <v>20</v>
      </c>
      <c r="F4" s="2" t="s">
        <v>21</v>
      </c>
      <c r="G4" s="2" t="s">
        <v>22</v>
      </c>
    </row>
    <row r="5" spans="1:7">
      <c r="A5" s="2">
        <v>4</v>
      </c>
      <c r="B5" s="2" t="s">
        <v>1807</v>
      </c>
      <c r="D5" s="2" t="s">
        <v>24</v>
      </c>
      <c r="E5" s="2" t="s">
        <v>25</v>
      </c>
      <c r="F5" s="2" t="s">
        <v>26</v>
      </c>
      <c r="G5" s="2" t="s">
        <v>27</v>
      </c>
    </row>
    <row r="6" spans="1:7">
      <c r="A6" s="2">
        <v>5</v>
      </c>
      <c r="B6" s="2" t="s">
        <v>1808</v>
      </c>
      <c r="D6" s="2" t="s">
        <v>29</v>
      </c>
      <c r="E6" s="2" t="s">
        <v>30</v>
      </c>
      <c r="F6" s="2" t="s">
        <v>31</v>
      </c>
      <c r="G6" s="2" t="s">
        <v>32</v>
      </c>
    </row>
    <row r="7" spans="1:7">
      <c r="A7" s="2">
        <v>6</v>
      </c>
      <c r="B7" s="2" t="s">
        <v>1809</v>
      </c>
      <c r="D7" s="2" t="s">
        <v>34</v>
      </c>
      <c r="E7" s="2" t="s">
        <v>35</v>
      </c>
      <c r="F7" s="2" t="s">
        <v>36</v>
      </c>
      <c r="G7" s="2" t="s">
        <v>37</v>
      </c>
    </row>
    <row r="8" spans="1:7">
      <c r="A8" s="2">
        <v>7</v>
      </c>
      <c r="B8" s="2" t="s">
        <v>1810</v>
      </c>
      <c r="D8" s="2" t="s">
        <v>39</v>
      </c>
      <c r="E8" s="2" t="s">
        <v>40</v>
      </c>
      <c r="F8" s="2" t="s">
        <v>41</v>
      </c>
      <c r="G8" s="2" t="s">
        <v>42</v>
      </c>
    </row>
    <row r="9" spans="1:7">
      <c r="A9" s="2">
        <v>8</v>
      </c>
      <c r="B9" s="2" t="s">
        <v>1811</v>
      </c>
      <c r="D9" s="2" t="s">
        <v>44</v>
      </c>
      <c r="E9" s="2" t="s">
        <v>45</v>
      </c>
      <c r="F9" s="2" t="s">
        <v>46</v>
      </c>
      <c r="G9" s="2" t="s">
        <v>47</v>
      </c>
    </row>
    <row r="10" spans="1:7">
      <c r="A10" s="2">
        <v>9</v>
      </c>
      <c r="B10" s="2" t="s">
        <v>1812</v>
      </c>
      <c r="D10" s="2" t="s">
        <v>49</v>
      </c>
      <c r="E10" s="2" t="s">
        <v>50</v>
      </c>
      <c r="F10" s="2" t="s">
        <v>51</v>
      </c>
      <c r="G10" s="2" t="s">
        <v>52</v>
      </c>
    </row>
    <row r="11" spans="1:7">
      <c r="A11" s="2">
        <v>10</v>
      </c>
      <c r="B11" s="2" t="s">
        <v>1813</v>
      </c>
      <c r="D11" s="2" t="s">
        <v>54</v>
      </c>
      <c r="E11" s="2" t="s">
        <v>55</v>
      </c>
      <c r="F11" s="2" t="s">
        <v>56</v>
      </c>
      <c r="G11" s="2" t="s">
        <v>57</v>
      </c>
    </row>
    <row r="12" spans="1:7">
      <c r="A12" s="2">
        <v>11</v>
      </c>
      <c r="B12" s="2" t="s">
        <v>1814</v>
      </c>
      <c r="D12" s="2" t="s">
        <v>59</v>
      </c>
      <c r="E12" s="2" t="s">
        <v>60</v>
      </c>
      <c r="F12" s="2" t="s">
        <v>61</v>
      </c>
      <c r="G12" s="2" t="s">
        <v>62</v>
      </c>
    </row>
    <row r="13" spans="1:7">
      <c r="A13" s="2">
        <v>12</v>
      </c>
      <c r="B13" s="2" t="s">
        <v>1815</v>
      </c>
      <c r="D13" s="2" t="s">
        <v>64</v>
      </c>
      <c r="E13" s="2" t="s">
        <v>65</v>
      </c>
      <c r="F13" s="2" t="s">
        <v>66</v>
      </c>
      <c r="G13" s="2" t="s">
        <v>67</v>
      </c>
    </row>
    <row r="14" spans="1:7">
      <c r="A14" s="2">
        <v>13</v>
      </c>
      <c r="B14" s="2" t="s">
        <v>1816</v>
      </c>
      <c r="D14" s="2" t="s">
        <v>69</v>
      </c>
      <c r="E14" s="2" t="s">
        <v>308</v>
      </c>
      <c r="F14" s="2" t="s">
        <v>1817</v>
      </c>
      <c r="G14" s="2" t="s">
        <v>1818</v>
      </c>
    </row>
    <row r="15" spans="1:7">
      <c r="A15" s="2">
        <v>14</v>
      </c>
      <c r="B15" s="2" t="s">
        <v>1819</v>
      </c>
      <c r="D15" s="2" t="s">
        <v>74</v>
      </c>
      <c r="E15" s="2" t="s">
        <v>563</v>
      </c>
      <c r="F15" s="2" t="s">
        <v>1820</v>
      </c>
      <c r="G15" s="2" t="s">
        <v>1821</v>
      </c>
    </row>
    <row r="16" spans="1:7">
      <c r="A16" s="2">
        <v>15</v>
      </c>
      <c r="B16" s="2" t="s">
        <v>1822</v>
      </c>
      <c r="D16" s="2" t="s">
        <v>79</v>
      </c>
      <c r="E16" s="2" t="s">
        <v>313</v>
      </c>
      <c r="F16" s="2" t="s">
        <v>1823</v>
      </c>
      <c r="G16" s="2" t="s">
        <v>1824</v>
      </c>
    </row>
    <row r="17" spans="1:7">
      <c r="A17" s="2">
        <v>16</v>
      </c>
      <c r="B17" s="2" t="s">
        <v>1825</v>
      </c>
      <c r="D17" s="2" t="s">
        <v>84</v>
      </c>
      <c r="E17" s="2" t="s">
        <v>1478</v>
      </c>
      <c r="F17" s="2" t="s">
        <v>1823</v>
      </c>
      <c r="G17" s="2" t="s">
        <v>1824</v>
      </c>
    </row>
    <row r="18" spans="1:7">
      <c r="A18" s="2">
        <v>17</v>
      </c>
      <c r="B18" s="2" t="s">
        <v>1826</v>
      </c>
      <c r="D18" s="2" t="s">
        <v>87</v>
      </c>
      <c r="E18" s="2" t="s">
        <v>1149</v>
      </c>
      <c r="F18" s="2" t="s">
        <v>1827</v>
      </c>
      <c r="G18" s="2" t="s">
        <v>1828</v>
      </c>
    </row>
    <row r="19" spans="1:7">
      <c r="A19" s="2">
        <v>18</v>
      </c>
      <c r="B19" s="2" t="s">
        <v>1829</v>
      </c>
      <c r="D19" s="2" t="s">
        <v>92</v>
      </c>
      <c r="E19" s="2" t="s">
        <v>616</v>
      </c>
      <c r="F19" s="2" t="s">
        <v>1830</v>
      </c>
      <c r="G19" s="2" t="s">
        <v>1831</v>
      </c>
    </row>
    <row r="20" spans="1:7">
      <c r="A20" s="2">
        <v>19</v>
      </c>
      <c r="B20" s="2" t="s">
        <v>1832</v>
      </c>
      <c r="D20" s="2" t="s">
        <v>97</v>
      </c>
      <c r="E20" s="2" t="s">
        <v>1833</v>
      </c>
      <c r="F20" s="2" t="s">
        <v>1834</v>
      </c>
      <c r="G20" s="2" t="s">
        <v>1835</v>
      </c>
    </row>
    <row r="21" spans="1:7">
      <c r="A21" s="2">
        <v>20</v>
      </c>
      <c r="B21" s="2" t="s">
        <v>1836</v>
      </c>
      <c r="D21" s="2" t="s">
        <v>102</v>
      </c>
      <c r="E21" s="2" t="s">
        <v>292</v>
      </c>
      <c r="F21" s="2" t="s">
        <v>1837</v>
      </c>
      <c r="G21" s="2" t="s">
        <v>1838</v>
      </c>
    </row>
    <row r="22" spans="1:7">
      <c r="A22" s="2">
        <v>21</v>
      </c>
      <c r="B22" s="2" t="s">
        <v>1839</v>
      </c>
      <c r="D22" s="2" t="s">
        <v>107</v>
      </c>
      <c r="E22" s="2" t="s">
        <v>297</v>
      </c>
      <c r="F22" s="2" t="s">
        <v>1840</v>
      </c>
      <c r="G22" s="2" t="s">
        <v>1841</v>
      </c>
    </row>
    <row r="23" spans="1:7">
      <c r="A23" s="2">
        <v>22</v>
      </c>
      <c r="B23" s="2" t="s">
        <v>1842</v>
      </c>
      <c r="D23" s="2" t="s">
        <v>112</v>
      </c>
      <c r="E23" s="2" t="s">
        <v>103</v>
      </c>
      <c r="F23" s="2" t="s">
        <v>1843</v>
      </c>
      <c r="G23" s="2" t="s">
        <v>1844</v>
      </c>
    </row>
    <row r="24" spans="1:7">
      <c r="A24" s="2">
        <v>23</v>
      </c>
      <c r="B24" s="2" t="s">
        <v>1845</v>
      </c>
      <c r="D24" s="2" t="s">
        <v>117</v>
      </c>
      <c r="E24" s="2" t="s">
        <v>1360</v>
      </c>
      <c r="F24" s="2" t="s">
        <v>119</v>
      </c>
      <c r="G24" s="2" t="s">
        <v>120</v>
      </c>
    </row>
    <row r="25" spans="1:7">
      <c r="A25" s="2">
        <v>24</v>
      </c>
      <c r="B25" s="2" t="s">
        <v>1846</v>
      </c>
      <c r="D25" s="2" t="s">
        <v>122</v>
      </c>
      <c r="E25" s="2" t="s">
        <v>1365</v>
      </c>
      <c r="F25" s="2" t="s">
        <v>119</v>
      </c>
      <c r="G25" s="2" t="s">
        <v>120</v>
      </c>
    </row>
    <row r="26" spans="1:7">
      <c r="A26" s="2">
        <v>25</v>
      </c>
      <c r="B26" s="2" t="s">
        <v>1847</v>
      </c>
      <c r="D26" s="2" t="s">
        <v>125</v>
      </c>
      <c r="E26" s="2" t="s">
        <v>126</v>
      </c>
      <c r="F26" s="2" t="s">
        <v>127</v>
      </c>
      <c r="G26" s="2" t="s">
        <v>128</v>
      </c>
    </row>
    <row r="27" spans="1:7">
      <c r="A27" s="2">
        <v>26</v>
      </c>
      <c r="B27" s="2" t="s">
        <v>1848</v>
      </c>
      <c r="D27" s="2" t="s">
        <v>130</v>
      </c>
      <c r="E27" s="2" t="s">
        <v>131</v>
      </c>
      <c r="F27" s="2" t="s">
        <v>132</v>
      </c>
      <c r="G27" s="2" t="s">
        <v>133</v>
      </c>
    </row>
    <row r="28" spans="1:7">
      <c r="A28" s="2">
        <v>27</v>
      </c>
      <c r="B28" s="2" t="s">
        <v>1849</v>
      </c>
      <c r="D28" s="2" t="s">
        <v>135</v>
      </c>
      <c r="E28" s="2" t="s">
        <v>136</v>
      </c>
      <c r="F28" s="2" t="s">
        <v>137</v>
      </c>
      <c r="G28" s="2" t="s">
        <v>138</v>
      </c>
    </row>
    <row r="29" spans="1:7">
      <c r="A29" s="2">
        <v>28</v>
      </c>
      <c r="B29" s="2" t="s">
        <v>1850</v>
      </c>
      <c r="D29" s="2" t="s">
        <v>140</v>
      </c>
      <c r="E29" s="2" t="s">
        <v>141</v>
      </c>
      <c r="F29" s="2" t="s">
        <v>142</v>
      </c>
      <c r="G29" s="2" t="s">
        <v>143</v>
      </c>
    </row>
    <row r="30" spans="1:7">
      <c r="A30" s="2">
        <v>29</v>
      </c>
      <c r="B30" s="2" t="s">
        <v>1851</v>
      </c>
      <c r="D30" s="2" t="s">
        <v>145</v>
      </c>
      <c r="E30" s="2" t="s">
        <v>146</v>
      </c>
      <c r="F30" s="2" t="s">
        <v>147</v>
      </c>
      <c r="G30" s="2" t="s">
        <v>148</v>
      </c>
    </row>
    <row r="31" spans="1:7">
      <c r="A31" s="2">
        <v>30</v>
      </c>
      <c r="B31" s="2" t="s">
        <v>1852</v>
      </c>
      <c r="D31" s="2" t="s">
        <v>150</v>
      </c>
      <c r="E31" s="2" t="s">
        <v>151</v>
      </c>
      <c r="F31" s="2" t="s">
        <v>152</v>
      </c>
      <c r="G31" s="2" t="s">
        <v>153</v>
      </c>
    </row>
    <row r="32" spans="1:7">
      <c r="A32" s="2">
        <v>31</v>
      </c>
      <c r="B32" s="2" t="s">
        <v>1853</v>
      </c>
      <c r="D32" s="2" t="s">
        <v>155</v>
      </c>
      <c r="E32" s="2" t="s">
        <v>156</v>
      </c>
      <c r="F32" s="2" t="s">
        <v>152</v>
      </c>
      <c r="G32" s="2" t="s">
        <v>153</v>
      </c>
    </row>
    <row r="33" spans="1:7">
      <c r="A33" s="2">
        <v>32</v>
      </c>
      <c r="B33" s="2" t="s">
        <v>1854</v>
      </c>
      <c r="D33" s="2" t="s">
        <v>1855</v>
      </c>
      <c r="E33" s="2" t="s">
        <v>1856</v>
      </c>
      <c r="F33" s="2" t="s">
        <v>152</v>
      </c>
      <c r="G33" s="2" t="s">
        <v>153</v>
      </c>
    </row>
    <row r="34" spans="1:7">
      <c r="A34" s="2">
        <v>33</v>
      </c>
      <c r="B34" s="2" t="s">
        <v>1857</v>
      </c>
      <c r="D34" s="2" t="s">
        <v>158</v>
      </c>
      <c r="E34" s="2" t="s">
        <v>159</v>
      </c>
      <c r="F34" s="2" t="s">
        <v>160</v>
      </c>
      <c r="G34" s="2" t="s">
        <v>161</v>
      </c>
    </row>
    <row r="35" spans="1:7">
      <c r="A35" s="2">
        <v>34</v>
      </c>
      <c r="B35" s="2" t="s">
        <v>1858</v>
      </c>
      <c r="D35" s="2" t="s">
        <v>163</v>
      </c>
      <c r="E35" s="2" t="s">
        <v>164</v>
      </c>
      <c r="F35" s="2" t="s">
        <v>165</v>
      </c>
      <c r="G35" s="2" t="s">
        <v>166</v>
      </c>
    </row>
    <row r="36" spans="1:7">
      <c r="A36" s="2">
        <v>35</v>
      </c>
      <c r="B36" s="2" t="s">
        <v>1859</v>
      </c>
      <c r="D36" s="2" t="s">
        <v>168</v>
      </c>
      <c r="E36" s="2" t="s">
        <v>169</v>
      </c>
      <c r="F36" s="2" t="s">
        <v>170</v>
      </c>
      <c r="G36" s="2" t="s">
        <v>171</v>
      </c>
    </row>
    <row r="37" spans="1:7">
      <c r="A37" s="2">
        <v>36</v>
      </c>
      <c r="B37" s="2" t="s">
        <v>1860</v>
      </c>
      <c r="D37" s="2" t="s">
        <v>1861</v>
      </c>
      <c r="E37" s="2" t="s">
        <v>1862</v>
      </c>
      <c r="F37" s="2" t="s">
        <v>1863</v>
      </c>
      <c r="G37" s="2" t="s">
        <v>1864</v>
      </c>
    </row>
    <row r="38" spans="1:7">
      <c r="A38" s="2">
        <v>37</v>
      </c>
      <c r="B38" s="2" t="s">
        <v>1865</v>
      </c>
      <c r="D38" s="2" t="s">
        <v>173</v>
      </c>
      <c r="E38" s="2" t="s">
        <v>460</v>
      </c>
      <c r="F38" s="2" t="s">
        <v>175</v>
      </c>
      <c r="G38" s="2" t="s">
        <v>176</v>
      </c>
    </row>
    <row r="39" spans="1:7">
      <c r="A39" s="2">
        <v>38</v>
      </c>
      <c r="B39" s="2" t="s">
        <v>1866</v>
      </c>
      <c r="D39" s="2" t="s">
        <v>178</v>
      </c>
      <c r="E39" s="2" t="s">
        <v>1144</v>
      </c>
      <c r="F39" s="2" t="s">
        <v>180</v>
      </c>
      <c r="G39" s="2" t="s">
        <v>181</v>
      </c>
    </row>
    <row r="40" spans="1:7">
      <c r="A40" s="2">
        <v>39</v>
      </c>
      <c r="B40" s="2" t="s">
        <v>1867</v>
      </c>
      <c r="D40" s="2" t="s">
        <v>1868</v>
      </c>
      <c r="E40" s="2" t="s">
        <v>1869</v>
      </c>
      <c r="F40" s="2" t="s">
        <v>185</v>
      </c>
      <c r="G40" s="2" t="s">
        <v>186</v>
      </c>
    </row>
    <row r="41" spans="1:7">
      <c r="A41" s="2">
        <v>40</v>
      </c>
      <c r="B41" s="2" t="s">
        <v>1870</v>
      </c>
      <c r="D41" s="2" t="s">
        <v>183</v>
      </c>
      <c r="E41" s="2" t="s">
        <v>1326</v>
      </c>
      <c r="F41" s="2" t="s">
        <v>185</v>
      </c>
      <c r="G41" s="2" t="s">
        <v>186</v>
      </c>
    </row>
    <row r="42" spans="1:7">
      <c r="A42" s="2">
        <v>41</v>
      </c>
      <c r="B42" s="2" t="s">
        <v>1871</v>
      </c>
      <c r="D42" s="2" t="s">
        <v>188</v>
      </c>
      <c r="E42" s="2" t="s">
        <v>303</v>
      </c>
      <c r="F42" s="2" t="s">
        <v>185</v>
      </c>
      <c r="G42" s="2" t="s">
        <v>186</v>
      </c>
    </row>
    <row r="43" spans="1:7">
      <c r="A43" s="2">
        <v>42</v>
      </c>
      <c r="B43" s="2" t="s">
        <v>1872</v>
      </c>
      <c r="D43" s="2" t="s">
        <v>191</v>
      </c>
      <c r="E43" s="2" t="s">
        <v>1501</v>
      </c>
      <c r="F43" s="2" t="s">
        <v>193</v>
      </c>
      <c r="G43" s="2" t="s">
        <v>194</v>
      </c>
    </row>
    <row r="44" spans="1:7">
      <c r="A44" s="2">
        <v>43</v>
      </c>
      <c r="B44" s="2" t="s">
        <v>1873</v>
      </c>
      <c r="D44" s="2" t="s">
        <v>196</v>
      </c>
      <c r="E44" s="2" t="s">
        <v>1503</v>
      </c>
      <c r="F44" s="2" t="s">
        <v>193</v>
      </c>
      <c r="G44" s="2" t="s">
        <v>194</v>
      </c>
    </row>
    <row r="45" spans="1:7">
      <c r="A45" s="2">
        <v>44</v>
      </c>
      <c r="B45" s="2" t="s">
        <v>1874</v>
      </c>
      <c r="D45" s="2" t="s">
        <v>199</v>
      </c>
      <c r="E45" s="2" t="s">
        <v>189</v>
      </c>
      <c r="F45" s="2" t="s">
        <v>201</v>
      </c>
      <c r="G45" s="2" t="s">
        <v>202</v>
      </c>
    </row>
    <row r="46" spans="1:7">
      <c r="A46" s="2">
        <v>45</v>
      </c>
      <c r="B46" s="2" t="s">
        <v>1875</v>
      </c>
      <c r="D46" s="2" t="s">
        <v>204</v>
      </c>
      <c r="E46" s="2" t="s">
        <v>192</v>
      </c>
      <c r="F46" s="2" t="s">
        <v>201</v>
      </c>
      <c r="G46" s="2" t="s">
        <v>202</v>
      </c>
    </row>
    <row r="47" spans="1:7">
      <c r="A47" s="2">
        <v>46</v>
      </c>
      <c r="B47" s="2" t="s">
        <v>1876</v>
      </c>
      <c r="D47" s="2" t="s">
        <v>1877</v>
      </c>
      <c r="E47" s="2" t="s">
        <v>1878</v>
      </c>
      <c r="F47" s="2" t="s">
        <v>209</v>
      </c>
      <c r="G47" s="2" t="s">
        <v>210</v>
      </c>
    </row>
    <row r="48" spans="1:7">
      <c r="A48" s="2">
        <v>47</v>
      </c>
      <c r="B48" s="2" t="s">
        <v>1879</v>
      </c>
      <c r="D48" s="2" t="s">
        <v>207</v>
      </c>
      <c r="E48" s="2" t="s">
        <v>1880</v>
      </c>
      <c r="F48" s="2" t="s">
        <v>209</v>
      </c>
      <c r="G48" s="2" t="s">
        <v>210</v>
      </c>
    </row>
    <row r="49" spans="1:7">
      <c r="A49" s="2">
        <v>48</v>
      </c>
      <c r="B49" s="2" t="s">
        <v>1881</v>
      </c>
      <c r="D49" s="2" t="s">
        <v>212</v>
      </c>
      <c r="E49" s="2" t="s">
        <v>1507</v>
      </c>
      <c r="F49" s="2" t="s">
        <v>209</v>
      </c>
      <c r="G49" s="2" t="s">
        <v>210</v>
      </c>
    </row>
    <row r="50" spans="1:7">
      <c r="A50" s="2">
        <v>49</v>
      </c>
      <c r="B50" s="2" t="s">
        <v>1882</v>
      </c>
      <c r="D50" s="2" t="s">
        <v>215</v>
      </c>
      <c r="E50" s="2" t="s">
        <v>300</v>
      </c>
      <c r="F50" s="2" t="s">
        <v>209</v>
      </c>
      <c r="G50" s="2" t="s">
        <v>210</v>
      </c>
    </row>
    <row r="51" spans="1:7">
      <c r="A51" s="2">
        <v>50</v>
      </c>
      <c r="B51" s="2" t="s">
        <v>1883</v>
      </c>
      <c r="D51" s="2" t="s">
        <v>218</v>
      </c>
      <c r="E51" s="2" t="s">
        <v>219</v>
      </c>
      <c r="F51" s="2" t="s">
        <v>220</v>
      </c>
      <c r="G51" s="2" t="s">
        <v>221</v>
      </c>
    </row>
    <row r="52" spans="1:7">
      <c r="A52" s="2">
        <v>51</v>
      </c>
      <c r="B52" s="2" t="s">
        <v>1884</v>
      </c>
      <c r="D52" s="2" t="s">
        <v>223</v>
      </c>
      <c r="E52" s="2" t="s">
        <v>224</v>
      </c>
      <c r="F52" s="2" t="s">
        <v>225</v>
      </c>
      <c r="G52" s="2" t="s">
        <v>226</v>
      </c>
    </row>
    <row r="53" spans="1:7">
      <c r="A53" s="2">
        <v>52</v>
      </c>
      <c r="B53" s="2" t="s">
        <v>1885</v>
      </c>
      <c r="D53" s="2" t="s">
        <v>228</v>
      </c>
      <c r="E53" s="2" t="s">
        <v>229</v>
      </c>
      <c r="F53" s="2" t="s">
        <v>225</v>
      </c>
      <c r="G53" s="2" t="s">
        <v>226</v>
      </c>
    </row>
    <row r="54" spans="1:7">
      <c r="A54" s="2">
        <v>53</v>
      </c>
      <c r="B54" s="2" t="s">
        <v>1886</v>
      </c>
      <c r="D54" s="2" t="s">
        <v>231</v>
      </c>
      <c r="E54" s="2" t="s">
        <v>232</v>
      </c>
      <c r="F54" s="2" t="s">
        <v>233</v>
      </c>
      <c r="G54" s="2" t="s">
        <v>234</v>
      </c>
    </row>
    <row r="55" spans="1:7">
      <c r="A55" s="2">
        <v>54</v>
      </c>
      <c r="B55" s="2" t="s">
        <v>1887</v>
      </c>
      <c r="D55" s="2" t="s">
        <v>236</v>
      </c>
      <c r="E55" s="2" t="s">
        <v>237</v>
      </c>
      <c r="F55" s="2" t="s">
        <v>238</v>
      </c>
      <c r="G55" s="2" t="s">
        <v>239</v>
      </c>
    </row>
    <row r="56" spans="1:7">
      <c r="A56" s="2">
        <v>55</v>
      </c>
      <c r="B56" s="2" t="s">
        <v>1888</v>
      </c>
      <c r="D56" s="2" t="s">
        <v>241</v>
      </c>
      <c r="E56" s="2" t="s">
        <v>1515</v>
      </c>
      <c r="F56" s="2" t="s">
        <v>243</v>
      </c>
      <c r="G56" s="2" t="s">
        <v>244</v>
      </c>
    </row>
    <row r="57" spans="1:7">
      <c r="A57" s="2">
        <v>56</v>
      </c>
      <c r="B57" s="2" t="s">
        <v>1889</v>
      </c>
      <c r="D57" s="2" t="s">
        <v>246</v>
      </c>
      <c r="E57" s="2" t="s">
        <v>247</v>
      </c>
      <c r="F57" s="2" t="s">
        <v>248</v>
      </c>
      <c r="G57" s="2" t="s">
        <v>249</v>
      </c>
    </row>
    <row r="58" spans="1:7">
      <c r="A58" s="2">
        <v>57</v>
      </c>
      <c r="B58" s="2" t="s">
        <v>1890</v>
      </c>
      <c r="D58" s="2" t="s">
        <v>251</v>
      </c>
      <c r="E58" s="2" t="s">
        <v>252</v>
      </c>
      <c r="F58" s="2" t="s">
        <v>253</v>
      </c>
      <c r="G58" s="2" t="s">
        <v>254</v>
      </c>
    </row>
    <row r="59" spans="1:7">
      <c r="A59" s="2">
        <v>58</v>
      </c>
      <c r="B59" s="2" t="s">
        <v>1891</v>
      </c>
      <c r="D59" s="2" t="s">
        <v>256</v>
      </c>
      <c r="E59" s="2" t="s">
        <v>257</v>
      </c>
      <c r="F59" s="2" t="s">
        <v>258</v>
      </c>
      <c r="G59" s="2" t="s">
        <v>259</v>
      </c>
    </row>
    <row r="60" spans="1:7">
      <c r="A60" s="2">
        <v>59</v>
      </c>
      <c r="B60" s="2" t="s">
        <v>1892</v>
      </c>
      <c r="D60" s="2" t="s">
        <v>261</v>
      </c>
      <c r="E60" s="2" t="s">
        <v>262</v>
      </c>
      <c r="F60" s="2" t="s">
        <v>263</v>
      </c>
      <c r="G60" s="2" t="s">
        <v>264</v>
      </c>
    </row>
    <row r="61" spans="1:7">
      <c r="A61" s="2">
        <v>60</v>
      </c>
      <c r="B61" s="2" t="s">
        <v>1893</v>
      </c>
      <c r="D61" s="2" t="s">
        <v>266</v>
      </c>
      <c r="E61" s="2" t="s">
        <v>267</v>
      </c>
      <c r="F61" s="2" t="s">
        <v>268</v>
      </c>
      <c r="G61" s="2" t="s">
        <v>269</v>
      </c>
    </row>
    <row r="62" spans="1:7">
      <c r="A62" s="2">
        <v>61</v>
      </c>
      <c r="B62" s="2" t="s">
        <v>1894</v>
      </c>
      <c r="D62" s="2" t="s">
        <v>271</v>
      </c>
      <c r="E62" s="2" t="s">
        <v>272</v>
      </c>
      <c r="F62" s="2" t="s">
        <v>273</v>
      </c>
      <c r="G62" s="2" t="s">
        <v>274</v>
      </c>
    </row>
    <row r="63" spans="1:7">
      <c r="A63" s="2">
        <v>62</v>
      </c>
      <c r="B63" s="2" t="s">
        <v>1895</v>
      </c>
      <c r="D63" s="2" t="s">
        <v>276</v>
      </c>
      <c r="E63" s="2" t="s">
        <v>277</v>
      </c>
      <c r="F63" s="2" t="s">
        <v>278</v>
      </c>
      <c r="G63" s="2" t="s">
        <v>279</v>
      </c>
    </row>
    <row r="64" spans="1:7">
      <c r="A64" s="2">
        <v>63</v>
      </c>
      <c r="B64" s="2" t="s">
        <v>1896</v>
      </c>
      <c r="D64" s="2" t="s">
        <v>281</v>
      </c>
      <c r="E64" s="2" t="s">
        <v>282</v>
      </c>
      <c r="F64" s="2" t="s">
        <v>283</v>
      </c>
      <c r="G64" s="2" t="s">
        <v>284</v>
      </c>
    </row>
    <row r="65" spans="1:7">
      <c r="A65" s="2">
        <v>64</v>
      </c>
      <c r="B65" s="2" t="s">
        <v>1897</v>
      </c>
      <c r="D65" s="2" t="s">
        <v>286</v>
      </c>
      <c r="E65" s="2" t="s">
        <v>287</v>
      </c>
      <c r="F65" s="2" t="s">
        <v>288</v>
      </c>
      <c r="G65" s="2" t="s">
        <v>289</v>
      </c>
    </row>
    <row r="66" spans="1:7">
      <c r="A66" s="2">
        <v>65</v>
      </c>
      <c r="B66" s="2" t="s">
        <v>1898</v>
      </c>
      <c r="D66" s="2" t="s">
        <v>291</v>
      </c>
      <c r="E66" s="2" t="s">
        <v>200</v>
      </c>
      <c r="F66" s="2" t="s">
        <v>293</v>
      </c>
      <c r="G66" s="2" t="s">
        <v>294</v>
      </c>
    </row>
    <row r="67" spans="1:7">
      <c r="A67" s="2">
        <v>66</v>
      </c>
      <c r="B67" s="2" t="s">
        <v>1899</v>
      </c>
      <c r="D67" s="2" t="s">
        <v>296</v>
      </c>
      <c r="E67" s="2" t="s">
        <v>205</v>
      </c>
      <c r="F67" s="2" t="s">
        <v>293</v>
      </c>
      <c r="G67" s="2" t="s">
        <v>294</v>
      </c>
    </row>
    <row r="68" spans="1:7">
      <c r="A68" s="2">
        <v>67</v>
      </c>
      <c r="B68" s="2" t="s">
        <v>1900</v>
      </c>
      <c r="D68" s="2" t="s">
        <v>299</v>
      </c>
      <c r="E68" s="2" t="s">
        <v>213</v>
      </c>
      <c r="F68" s="2" t="s">
        <v>293</v>
      </c>
      <c r="G68" s="2" t="s">
        <v>294</v>
      </c>
    </row>
    <row r="69" spans="1:7">
      <c r="A69" s="2">
        <v>68</v>
      </c>
      <c r="B69" s="2" t="s">
        <v>1901</v>
      </c>
      <c r="D69" s="2" t="s">
        <v>302</v>
      </c>
      <c r="E69" s="2" t="s">
        <v>1529</v>
      </c>
      <c r="F69" s="2" t="s">
        <v>304</v>
      </c>
      <c r="G69" s="2" t="s">
        <v>305</v>
      </c>
    </row>
    <row r="70" spans="1:7">
      <c r="A70" s="2">
        <v>69</v>
      </c>
      <c r="B70" s="2" t="s">
        <v>1902</v>
      </c>
      <c r="D70" s="2" t="s">
        <v>307</v>
      </c>
      <c r="E70" s="2" t="s">
        <v>586</v>
      </c>
      <c r="F70" s="2" t="s">
        <v>309</v>
      </c>
      <c r="G70" s="2" t="s">
        <v>310</v>
      </c>
    </row>
    <row r="71" spans="1:7">
      <c r="A71" s="2">
        <v>70</v>
      </c>
      <c r="B71" s="2" t="s">
        <v>1903</v>
      </c>
      <c r="D71" s="2" t="s">
        <v>312</v>
      </c>
      <c r="E71" s="2" t="s">
        <v>591</v>
      </c>
      <c r="F71" s="2" t="s">
        <v>314</v>
      </c>
      <c r="G71" s="2" t="s">
        <v>315</v>
      </c>
    </row>
    <row r="72" spans="1:7">
      <c r="A72" s="2">
        <v>71</v>
      </c>
      <c r="B72" s="2" t="s">
        <v>1904</v>
      </c>
      <c r="D72" s="2" t="s">
        <v>1905</v>
      </c>
      <c r="E72" s="2" t="s">
        <v>1906</v>
      </c>
      <c r="F72" s="2" t="s">
        <v>1907</v>
      </c>
      <c r="G72" s="2" t="s">
        <v>1908</v>
      </c>
    </row>
    <row r="73" spans="1:7">
      <c r="A73" s="2">
        <v>72</v>
      </c>
      <c r="B73" s="2" t="s">
        <v>1909</v>
      </c>
      <c r="D73" s="2" t="s">
        <v>317</v>
      </c>
      <c r="E73" s="2" t="s">
        <v>318</v>
      </c>
      <c r="F73" s="2" t="s">
        <v>319</v>
      </c>
      <c r="G73" s="2" t="s">
        <v>320</v>
      </c>
    </row>
    <row r="74" spans="1:7">
      <c r="A74" s="2">
        <v>73</v>
      </c>
      <c r="B74" s="2" t="s">
        <v>1910</v>
      </c>
      <c r="D74" s="2" t="s">
        <v>322</v>
      </c>
      <c r="E74" s="2" t="s">
        <v>323</v>
      </c>
      <c r="F74" s="2" t="s">
        <v>324</v>
      </c>
      <c r="G74" s="2" t="s">
        <v>325</v>
      </c>
    </row>
    <row r="75" spans="1:7">
      <c r="A75" s="2">
        <v>74</v>
      </c>
      <c r="B75" s="2" t="s">
        <v>1911</v>
      </c>
      <c r="D75" s="2" t="s">
        <v>327</v>
      </c>
      <c r="E75" s="2" t="s">
        <v>328</v>
      </c>
      <c r="F75" s="2" t="s">
        <v>329</v>
      </c>
      <c r="G75" s="2" t="s">
        <v>330</v>
      </c>
    </row>
    <row r="76" spans="1:7">
      <c r="A76" s="2">
        <v>75</v>
      </c>
      <c r="B76" s="2" t="s">
        <v>1912</v>
      </c>
      <c r="D76" s="2" t="s">
        <v>332</v>
      </c>
      <c r="E76" s="2" t="s">
        <v>333</v>
      </c>
      <c r="F76" s="2" t="s">
        <v>334</v>
      </c>
      <c r="G76" s="2" t="s">
        <v>335</v>
      </c>
    </row>
    <row r="77" spans="1:7">
      <c r="A77" s="2">
        <v>76</v>
      </c>
      <c r="B77" s="2" t="s">
        <v>1913</v>
      </c>
      <c r="D77" s="2" t="s">
        <v>337</v>
      </c>
      <c r="E77" s="2" t="s">
        <v>583</v>
      </c>
      <c r="F77" s="2" t="s">
        <v>339</v>
      </c>
      <c r="G77" s="2" t="s">
        <v>340</v>
      </c>
    </row>
    <row r="78" spans="1:7">
      <c r="A78" s="2">
        <v>77</v>
      </c>
      <c r="B78" s="2" t="s">
        <v>1914</v>
      </c>
      <c r="D78" s="2" t="s">
        <v>342</v>
      </c>
      <c r="E78" s="2" t="s">
        <v>1538</v>
      </c>
      <c r="F78" s="2" t="s">
        <v>344</v>
      </c>
      <c r="G78" s="2" t="s">
        <v>345</v>
      </c>
    </row>
    <row r="79" spans="1:7">
      <c r="A79" s="2">
        <v>78</v>
      </c>
      <c r="B79" s="2" t="s">
        <v>1915</v>
      </c>
      <c r="D79" s="2" t="s">
        <v>347</v>
      </c>
      <c r="E79" s="2" t="s">
        <v>343</v>
      </c>
      <c r="F79" s="2" t="s">
        <v>344</v>
      </c>
      <c r="G79" s="2" t="s">
        <v>345</v>
      </c>
    </row>
    <row r="80" spans="1:7">
      <c r="A80" s="2">
        <v>79</v>
      </c>
      <c r="B80" s="2" t="s">
        <v>1916</v>
      </c>
      <c r="D80" s="2" t="s">
        <v>350</v>
      </c>
      <c r="E80" s="2" t="s">
        <v>351</v>
      </c>
      <c r="F80" s="2" t="s">
        <v>352</v>
      </c>
      <c r="G80" s="2" t="s">
        <v>353</v>
      </c>
    </row>
    <row r="81" spans="1:7">
      <c r="A81" s="2">
        <v>80</v>
      </c>
      <c r="B81" s="2" t="s">
        <v>1917</v>
      </c>
      <c r="D81" s="2" t="s">
        <v>355</v>
      </c>
      <c r="E81" s="2" t="s">
        <v>356</v>
      </c>
      <c r="F81" s="2" t="s">
        <v>357</v>
      </c>
      <c r="G81" s="2" t="s">
        <v>358</v>
      </c>
    </row>
    <row r="82" spans="1:7">
      <c r="A82" s="2">
        <v>81</v>
      </c>
      <c r="B82" s="2" t="s">
        <v>1918</v>
      </c>
      <c r="D82" s="2" t="s">
        <v>1919</v>
      </c>
      <c r="E82" s="2" t="s">
        <v>1920</v>
      </c>
      <c r="F82" s="2" t="s">
        <v>362</v>
      </c>
      <c r="G82" s="2" t="s">
        <v>363</v>
      </c>
    </row>
    <row r="83" spans="1:7">
      <c r="A83" s="2">
        <v>82</v>
      </c>
      <c r="B83" s="2" t="s">
        <v>1921</v>
      </c>
      <c r="D83" s="2" t="s">
        <v>1922</v>
      </c>
      <c r="E83" s="2" t="s">
        <v>1923</v>
      </c>
      <c r="F83" s="2" t="s">
        <v>362</v>
      </c>
      <c r="G83" s="2" t="s">
        <v>363</v>
      </c>
    </row>
    <row r="84" spans="1:7">
      <c r="A84" s="2">
        <v>83</v>
      </c>
      <c r="B84" s="2" t="s">
        <v>1924</v>
      </c>
      <c r="D84" s="2" t="s">
        <v>360</v>
      </c>
      <c r="E84" s="2" t="s">
        <v>361</v>
      </c>
      <c r="F84" s="2" t="s">
        <v>362</v>
      </c>
      <c r="G84" s="2" t="s">
        <v>363</v>
      </c>
    </row>
    <row r="85" spans="1:7">
      <c r="A85" s="2">
        <v>84</v>
      </c>
      <c r="B85" s="2" t="s">
        <v>1925</v>
      </c>
      <c r="D85" s="2" t="s">
        <v>365</v>
      </c>
      <c r="E85" s="2" t="s">
        <v>366</v>
      </c>
      <c r="F85" s="2" t="s">
        <v>362</v>
      </c>
      <c r="G85" s="2" t="s">
        <v>363</v>
      </c>
    </row>
    <row r="86" spans="1:7">
      <c r="A86" s="2">
        <v>85</v>
      </c>
      <c r="B86" s="2" t="s">
        <v>1926</v>
      </c>
      <c r="D86" s="2" t="s">
        <v>368</v>
      </c>
      <c r="E86" s="2" t="s">
        <v>369</v>
      </c>
      <c r="F86" s="2" t="s">
        <v>362</v>
      </c>
      <c r="G86" s="2" t="s">
        <v>363</v>
      </c>
    </row>
    <row r="87" spans="1:7">
      <c r="A87" s="2">
        <v>86</v>
      </c>
      <c r="B87" s="2" t="s">
        <v>1927</v>
      </c>
      <c r="D87" s="2" t="s">
        <v>371</v>
      </c>
      <c r="E87" s="2" t="s">
        <v>372</v>
      </c>
      <c r="F87" s="2" t="s">
        <v>362</v>
      </c>
      <c r="G87" s="2" t="s">
        <v>363</v>
      </c>
    </row>
    <row r="88" spans="1:7">
      <c r="A88" s="2">
        <v>87</v>
      </c>
      <c r="B88" s="2" t="s">
        <v>1928</v>
      </c>
      <c r="D88" s="2" t="s">
        <v>1929</v>
      </c>
      <c r="E88" s="2" t="s">
        <v>1930</v>
      </c>
      <c r="F88" s="2" t="s">
        <v>362</v>
      </c>
      <c r="G88" s="2" t="s">
        <v>363</v>
      </c>
    </row>
    <row r="89" spans="1:7">
      <c r="A89" s="2">
        <v>88</v>
      </c>
      <c r="B89" s="2" t="s">
        <v>1931</v>
      </c>
      <c r="D89" s="2" t="s">
        <v>1932</v>
      </c>
      <c r="E89" s="2" t="s">
        <v>1933</v>
      </c>
      <c r="F89" s="2" t="s">
        <v>362</v>
      </c>
      <c r="G89" s="2" t="s">
        <v>363</v>
      </c>
    </row>
    <row r="90" spans="1:7">
      <c r="A90" s="2">
        <v>89</v>
      </c>
      <c r="B90" s="2" t="s">
        <v>1934</v>
      </c>
      <c r="D90" s="2" t="s">
        <v>374</v>
      </c>
      <c r="E90" s="2" t="s">
        <v>375</v>
      </c>
      <c r="F90" s="2" t="s">
        <v>362</v>
      </c>
      <c r="G90" s="2" t="s">
        <v>363</v>
      </c>
    </row>
    <row r="91" spans="1:7">
      <c r="A91" s="2">
        <v>90</v>
      </c>
      <c r="B91" s="2" t="s">
        <v>1935</v>
      </c>
      <c r="D91" s="2" t="s">
        <v>377</v>
      </c>
      <c r="E91" s="2" t="s">
        <v>378</v>
      </c>
      <c r="F91" s="2" t="s">
        <v>362</v>
      </c>
      <c r="G91" s="2" t="s">
        <v>363</v>
      </c>
    </row>
    <row r="92" spans="1:7">
      <c r="A92" s="2">
        <v>91</v>
      </c>
      <c r="B92" s="2" t="s">
        <v>1936</v>
      </c>
      <c r="D92" s="2" t="s">
        <v>380</v>
      </c>
      <c r="E92" s="2" t="s">
        <v>381</v>
      </c>
      <c r="F92" s="2" t="s">
        <v>362</v>
      </c>
      <c r="G92" s="2" t="s">
        <v>363</v>
      </c>
    </row>
    <row r="93" spans="1:7">
      <c r="A93" s="2">
        <v>92</v>
      </c>
      <c r="B93" s="2" t="s">
        <v>1937</v>
      </c>
      <c r="D93" s="2" t="s">
        <v>383</v>
      </c>
      <c r="E93" s="2" t="s">
        <v>384</v>
      </c>
      <c r="F93" s="2" t="s">
        <v>362</v>
      </c>
      <c r="G93" s="2" t="s">
        <v>363</v>
      </c>
    </row>
    <row r="94" spans="1:7">
      <c r="A94" s="2">
        <v>93</v>
      </c>
      <c r="B94" s="2" t="s">
        <v>1938</v>
      </c>
      <c r="D94" s="2" t="s">
        <v>386</v>
      </c>
      <c r="E94" s="2" t="s">
        <v>387</v>
      </c>
      <c r="F94" s="2" t="s">
        <v>388</v>
      </c>
      <c r="G94" s="2" t="s">
        <v>389</v>
      </c>
    </row>
    <row r="95" spans="1:7">
      <c r="A95" s="2">
        <v>94</v>
      </c>
      <c r="B95" s="2" t="s">
        <v>1939</v>
      </c>
      <c r="D95" s="2" t="s">
        <v>391</v>
      </c>
      <c r="E95" s="2" t="s">
        <v>392</v>
      </c>
      <c r="F95" s="2" t="s">
        <v>393</v>
      </c>
      <c r="G95" s="2" t="s">
        <v>394</v>
      </c>
    </row>
    <row r="96" spans="1:7">
      <c r="A96" s="2">
        <v>95</v>
      </c>
      <c r="B96" s="2" t="s">
        <v>1940</v>
      </c>
      <c r="D96" s="2" t="s">
        <v>396</v>
      </c>
      <c r="E96" s="2" t="s">
        <v>397</v>
      </c>
      <c r="F96" s="2" t="s">
        <v>398</v>
      </c>
      <c r="G96" s="2" t="s">
        <v>399</v>
      </c>
    </row>
    <row r="97" spans="1:7">
      <c r="A97" s="2">
        <v>96</v>
      </c>
      <c r="B97" s="2" t="s">
        <v>1941</v>
      </c>
      <c r="D97" s="2" t="s">
        <v>401</v>
      </c>
      <c r="E97" s="2" t="s">
        <v>402</v>
      </c>
      <c r="F97" s="2" t="s">
        <v>403</v>
      </c>
      <c r="G97" s="2" t="s">
        <v>404</v>
      </c>
    </row>
    <row r="98" spans="1:7">
      <c r="A98" s="2">
        <v>97</v>
      </c>
      <c r="B98" s="2" t="s">
        <v>1942</v>
      </c>
      <c r="D98" s="2" t="s">
        <v>406</v>
      </c>
      <c r="E98" s="2" t="s">
        <v>578</v>
      </c>
      <c r="F98" s="2" t="s">
        <v>408</v>
      </c>
      <c r="G98" s="2" t="s">
        <v>409</v>
      </c>
    </row>
    <row r="99" spans="1:7">
      <c r="A99" s="2">
        <v>98</v>
      </c>
      <c r="B99" s="2" t="s">
        <v>1943</v>
      </c>
      <c r="D99" s="2" t="s">
        <v>411</v>
      </c>
      <c r="E99" s="2" t="s">
        <v>412</v>
      </c>
      <c r="F99" s="2" t="s">
        <v>413</v>
      </c>
      <c r="G99" s="2" t="s">
        <v>414</v>
      </c>
    </row>
    <row r="100" spans="1:7">
      <c r="A100" s="2">
        <v>99</v>
      </c>
      <c r="B100" s="2" t="s">
        <v>1944</v>
      </c>
      <c r="D100" s="2" t="s">
        <v>416</v>
      </c>
      <c r="E100" s="2" t="s">
        <v>417</v>
      </c>
      <c r="F100" s="2" t="s">
        <v>418</v>
      </c>
      <c r="G100" s="2" t="s">
        <v>419</v>
      </c>
    </row>
    <row r="101" spans="1:7">
      <c r="A101" s="2">
        <v>100</v>
      </c>
      <c r="B101" s="2" t="s">
        <v>1945</v>
      </c>
      <c r="D101" s="2" t="s">
        <v>421</v>
      </c>
      <c r="E101" s="2" t="s">
        <v>422</v>
      </c>
      <c r="F101" s="2" t="s">
        <v>423</v>
      </c>
      <c r="G101" s="2" t="s">
        <v>424</v>
      </c>
    </row>
    <row r="102" spans="1:7">
      <c r="A102" s="2">
        <v>101</v>
      </c>
      <c r="B102" s="2" t="s">
        <v>1946</v>
      </c>
      <c r="D102" s="2" t="s">
        <v>426</v>
      </c>
      <c r="E102" s="2" t="s">
        <v>1559</v>
      </c>
      <c r="F102" s="2" t="s">
        <v>428</v>
      </c>
      <c r="G102" s="2" t="s">
        <v>429</v>
      </c>
    </row>
    <row r="103" spans="1:7">
      <c r="A103" s="2">
        <v>102</v>
      </c>
      <c r="B103" s="2" t="s">
        <v>1947</v>
      </c>
      <c r="D103" s="2" t="s">
        <v>431</v>
      </c>
      <c r="E103" s="2" t="s">
        <v>728</v>
      </c>
      <c r="F103" s="2" t="s">
        <v>428</v>
      </c>
      <c r="G103" s="2" t="s">
        <v>429</v>
      </c>
    </row>
    <row r="104" spans="1:7">
      <c r="A104" s="2">
        <v>103</v>
      </c>
      <c r="B104" s="2" t="s">
        <v>1948</v>
      </c>
      <c r="D104" s="2" t="s">
        <v>434</v>
      </c>
      <c r="E104" s="2" t="s">
        <v>435</v>
      </c>
      <c r="F104" s="2" t="s">
        <v>436</v>
      </c>
      <c r="G104" s="2" t="s">
        <v>437</v>
      </c>
    </row>
    <row r="105" spans="1:7">
      <c r="A105" s="2">
        <v>104</v>
      </c>
      <c r="B105" s="2" t="s">
        <v>1949</v>
      </c>
      <c r="D105" s="2" t="s">
        <v>439</v>
      </c>
      <c r="E105" s="2" t="s">
        <v>1563</v>
      </c>
      <c r="F105" s="2" t="s">
        <v>441</v>
      </c>
      <c r="G105" s="2" t="s">
        <v>442</v>
      </c>
    </row>
    <row r="106" spans="1:7">
      <c r="A106" s="2">
        <v>105</v>
      </c>
      <c r="B106" s="2" t="s">
        <v>1950</v>
      </c>
      <c r="D106" s="2" t="s">
        <v>444</v>
      </c>
      <c r="E106" s="2" t="s">
        <v>1565</v>
      </c>
      <c r="F106" s="2" t="s">
        <v>446</v>
      </c>
      <c r="G106" s="2" t="s">
        <v>447</v>
      </c>
    </row>
    <row r="107" spans="1:7">
      <c r="A107" s="2">
        <v>106</v>
      </c>
      <c r="B107" s="2" t="s">
        <v>1951</v>
      </c>
      <c r="D107" s="2" t="s">
        <v>449</v>
      </c>
      <c r="E107" s="2" t="s">
        <v>70</v>
      </c>
      <c r="F107" s="2" t="s">
        <v>451</v>
      </c>
      <c r="G107" s="2" t="s">
        <v>452</v>
      </c>
    </row>
    <row r="108" spans="1:7">
      <c r="A108" s="2">
        <v>107</v>
      </c>
      <c r="B108" s="2" t="s">
        <v>1952</v>
      </c>
      <c r="D108" s="2" t="s">
        <v>454</v>
      </c>
      <c r="E108" s="2" t="s">
        <v>1568</v>
      </c>
      <c r="F108" s="2" t="s">
        <v>456</v>
      </c>
      <c r="G108" s="2" t="s">
        <v>457</v>
      </c>
    </row>
    <row r="109" spans="1:7">
      <c r="A109" s="2">
        <v>108</v>
      </c>
      <c r="B109" s="2" t="s">
        <v>1953</v>
      </c>
      <c r="D109" s="2" t="s">
        <v>459</v>
      </c>
      <c r="E109" s="2" t="s">
        <v>85</v>
      </c>
      <c r="F109" s="2" t="s">
        <v>461</v>
      </c>
      <c r="G109" s="2" t="s">
        <v>462</v>
      </c>
    </row>
    <row r="110" spans="1:7">
      <c r="A110" s="2">
        <v>109</v>
      </c>
      <c r="B110" s="2" t="s">
        <v>1954</v>
      </c>
      <c r="D110" s="2" t="s">
        <v>464</v>
      </c>
      <c r="E110" s="2" t="s">
        <v>80</v>
      </c>
      <c r="F110" s="2" t="s">
        <v>466</v>
      </c>
      <c r="G110" s="2" t="s">
        <v>467</v>
      </c>
    </row>
    <row r="111" spans="1:7">
      <c r="A111" s="2">
        <v>110</v>
      </c>
      <c r="B111" s="2" t="s">
        <v>1955</v>
      </c>
      <c r="D111" s="2" t="s">
        <v>469</v>
      </c>
      <c r="E111" s="2" t="s">
        <v>1572</v>
      </c>
      <c r="F111" s="2" t="s">
        <v>471</v>
      </c>
      <c r="G111" s="2" t="s">
        <v>472</v>
      </c>
    </row>
    <row r="112" spans="1:7">
      <c r="A112" s="2">
        <v>111</v>
      </c>
      <c r="B112" s="2" t="s">
        <v>1956</v>
      </c>
      <c r="D112" s="2" t="s">
        <v>474</v>
      </c>
      <c r="E112" s="2" t="s">
        <v>1574</v>
      </c>
      <c r="F112" s="2" t="s">
        <v>476</v>
      </c>
      <c r="G112" s="2" t="s">
        <v>477</v>
      </c>
    </row>
    <row r="113" spans="1:7">
      <c r="A113" s="2">
        <v>112</v>
      </c>
      <c r="B113" s="2" t="s">
        <v>1957</v>
      </c>
      <c r="D113" s="2" t="s">
        <v>479</v>
      </c>
      <c r="E113" s="2" t="s">
        <v>480</v>
      </c>
      <c r="F113" s="2" t="s">
        <v>481</v>
      </c>
      <c r="G113" s="2" t="s">
        <v>482</v>
      </c>
    </row>
    <row r="114" spans="1:7">
      <c r="A114" s="2">
        <v>113</v>
      </c>
      <c r="B114" s="2" t="s">
        <v>1958</v>
      </c>
      <c r="D114" s="2" t="s">
        <v>1577</v>
      </c>
      <c r="E114" s="2" t="s">
        <v>445</v>
      </c>
      <c r="F114" s="2" t="s">
        <v>1578</v>
      </c>
      <c r="G114" s="2" t="s">
        <v>1579</v>
      </c>
    </row>
    <row r="115" spans="1:7">
      <c r="A115" s="2">
        <v>114</v>
      </c>
      <c r="B115" s="2" t="s">
        <v>1959</v>
      </c>
      <c r="D115" s="2" t="s">
        <v>484</v>
      </c>
      <c r="E115" s="2" t="s">
        <v>1960</v>
      </c>
      <c r="F115" s="2" t="s">
        <v>486</v>
      </c>
      <c r="G115" s="2" t="s">
        <v>487</v>
      </c>
    </row>
    <row r="116" spans="1:7">
      <c r="A116" s="2">
        <v>115</v>
      </c>
      <c r="B116" s="2" t="s">
        <v>1961</v>
      </c>
      <c r="D116" s="2" t="s">
        <v>489</v>
      </c>
      <c r="E116" s="2" t="s">
        <v>490</v>
      </c>
      <c r="F116" s="2" t="s">
        <v>491</v>
      </c>
      <c r="G116" s="2" t="s">
        <v>492</v>
      </c>
    </row>
    <row r="117" spans="1:7">
      <c r="A117" s="2">
        <v>116</v>
      </c>
      <c r="B117" s="2" t="s">
        <v>1962</v>
      </c>
      <c r="D117" s="2" t="s">
        <v>494</v>
      </c>
      <c r="E117" s="2" t="s">
        <v>495</v>
      </c>
      <c r="F117" s="2" t="s">
        <v>496</v>
      </c>
      <c r="G117" s="2" t="s">
        <v>497</v>
      </c>
    </row>
    <row r="118" spans="1:7">
      <c r="A118" s="2">
        <v>117</v>
      </c>
      <c r="B118" s="2" t="s">
        <v>1963</v>
      </c>
      <c r="D118" s="2" t="s">
        <v>499</v>
      </c>
      <c r="E118" s="2" t="s">
        <v>500</v>
      </c>
      <c r="F118" s="2" t="s">
        <v>501</v>
      </c>
      <c r="G118" s="2" t="s">
        <v>502</v>
      </c>
    </row>
    <row r="119" spans="1:7">
      <c r="A119" s="2">
        <v>118</v>
      </c>
      <c r="B119" s="2" t="s">
        <v>1964</v>
      </c>
      <c r="D119" s="2" t="s">
        <v>504</v>
      </c>
      <c r="E119" s="2" t="s">
        <v>505</v>
      </c>
      <c r="F119" s="2" t="s">
        <v>501</v>
      </c>
      <c r="G119" s="2" t="s">
        <v>502</v>
      </c>
    </row>
    <row r="120" spans="1:7">
      <c r="A120" s="2">
        <v>119</v>
      </c>
      <c r="B120" s="2" t="s">
        <v>1965</v>
      </c>
      <c r="D120" s="2" t="s">
        <v>507</v>
      </c>
      <c r="E120" s="2" t="s">
        <v>508</v>
      </c>
      <c r="F120" s="2" t="s">
        <v>509</v>
      </c>
      <c r="G120" s="2" t="s">
        <v>510</v>
      </c>
    </row>
    <row r="121" spans="1:7">
      <c r="A121" s="2">
        <v>120</v>
      </c>
      <c r="B121" s="2" t="s">
        <v>1966</v>
      </c>
      <c r="D121" s="2" t="s">
        <v>512</v>
      </c>
      <c r="E121" s="2" t="s">
        <v>513</v>
      </c>
      <c r="F121" s="2" t="s">
        <v>514</v>
      </c>
      <c r="G121" s="2" t="s">
        <v>515</v>
      </c>
    </row>
    <row r="122" spans="1:7">
      <c r="A122" s="2">
        <v>121</v>
      </c>
      <c r="B122" s="2" t="s">
        <v>1967</v>
      </c>
      <c r="D122" s="2" t="s">
        <v>517</v>
      </c>
      <c r="E122" s="2" t="s">
        <v>518</v>
      </c>
      <c r="F122" s="2" t="s">
        <v>519</v>
      </c>
      <c r="G122" s="2" t="s">
        <v>520</v>
      </c>
    </row>
    <row r="123" spans="1:7">
      <c r="A123" s="2">
        <v>122</v>
      </c>
      <c r="B123" s="2" t="s">
        <v>1968</v>
      </c>
      <c r="D123" s="2" t="s">
        <v>522</v>
      </c>
      <c r="E123" s="2" t="s">
        <v>523</v>
      </c>
      <c r="F123" s="2" t="s">
        <v>524</v>
      </c>
      <c r="G123" s="2" t="s">
        <v>525</v>
      </c>
    </row>
    <row r="124" spans="1:7">
      <c r="A124" s="2">
        <v>123</v>
      </c>
      <c r="B124" s="2" t="s">
        <v>1969</v>
      </c>
      <c r="D124" s="2" t="s">
        <v>527</v>
      </c>
      <c r="E124" s="2" t="s">
        <v>528</v>
      </c>
      <c r="F124" s="2" t="s">
        <v>529</v>
      </c>
      <c r="G124" s="2" t="s">
        <v>530</v>
      </c>
    </row>
    <row r="125" spans="1:7">
      <c r="A125" s="2">
        <v>124</v>
      </c>
      <c r="B125" s="2" t="s">
        <v>1970</v>
      </c>
      <c r="D125" s="2" t="s">
        <v>532</v>
      </c>
      <c r="E125" s="2" t="s">
        <v>533</v>
      </c>
      <c r="F125" s="2" t="s">
        <v>534</v>
      </c>
      <c r="G125" s="2" t="s">
        <v>535</v>
      </c>
    </row>
    <row r="126" spans="1:7">
      <c r="A126" s="2">
        <v>125</v>
      </c>
      <c r="B126" s="2" t="s">
        <v>1971</v>
      </c>
      <c r="D126" s="2" t="s">
        <v>537</v>
      </c>
      <c r="E126" s="2" t="s">
        <v>538</v>
      </c>
      <c r="F126" s="2" t="s">
        <v>539</v>
      </c>
      <c r="G126" s="2" t="s">
        <v>540</v>
      </c>
    </row>
    <row r="127" spans="1:7">
      <c r="A127" s="2">
        <v>126</v>
      </c>
      <c r="B127" s="2" t="s">
        <v>1972</v>
      </c>
      <c r="D127" s="2" t="s">
        <v>542</v>
      </c>
      <c r="E127" s="2" t="s">
        <v>543</v>
      </c>
      <c r="F127" s="2" t="s">
        <v>544</v>
      </c>
      <c r="G127" s="2" t="s">
        <v>545</v>
      </c>
    </row>
    <row r="128" spans="1:7">
      <c r="A128" s="2">
        <v>127</v>
      </c>
      <c r="B128" s="2" t="s">
        <v>1973</v>
      </c>
      <c r="D128" s="2" t="s">
        <v>547</v>
      </c>
      <c r="E128" s="2" t="s">
        <v>548</v>
      </c>
      <c r="F128" s="2" t="s">
        <v>549</v>
      </c>
      <c r="G128" s="2" t="s">
        <v>550</v>
      </c>
    </row>
    <row r="129" spans="1:7">
      <c r="A129" s="2">
        <v>128</v>
      </c>
      <c r="B129" s="2" t="s">
        <v>1974</v>
      </c>
      <c r="D129" s="2" t="s">
        <v>552</v>
      </c>
      <c r="E129" s="2" t="s">
        <v>553</v>
      </c>
      <c r="F129" s="2" t="s">
        <v>554</v>
      </c>
      <c r="G129" s="2" t="s">
        <v>555</v>
      </c>
    </row>
    <row r="130" spans="1:7">
      <c r="A130" s="2">
        <v>129</v>
      </c>
      <c r="B130" s="2" t="s">
        <v>1975</v>
      </c>
      <c r="D130" s="2" t="s">
        <v>557</v>
      </c>
      <c r="E130" s="2" t="s">
        <v>558</v>
      </c>
      <c r="F130" s="2" t="s">
        <v>559</v>
      </c>
      <c r="G130" s="2" t="s">
        <v>560</v>
      </c>
    </row>
    <row r="131" spans="1:7">
      <c r="A131" s="2">
        <v>130</v>
      </c>
      <c r="B131" s="2" t="s">
        <v>1976</v>
      </c>
      <c r="D131" s="2" t="s">
        <v>562</v>
      </c>
      <c r="E131" s="2" t="s">
        <v>75</v>
      </c>
      <c r="F131" s="2" t="s">
        <v>564</v>
      </c>
      <c r="G131" s="2" t="s">
        <v>565</v>
      </c>
    </row>
    <row r="132" spans="1:7">
      <c r="A132" s="2">
        <v>131</v>
      </c>
      <c r="B132" s="2" t="s">
        <v>1977</v>
      </c>
      <c r="D132" s="2" t="s">
        <v>567</v>
      </c>
      <c r="E132" s="2" t="s">
        <v>242</v>
      </c>
      <c r="F132" s="2" t="s">
        <v>569</v>
      </c>
      <c r="G132" s="2" t="s">
        <v>570</v>
      </c>
    </row>
    <row r="133" spans="1:7">
      <c r="A133" s="2">
        <v>132</v>
      </c>
      <c r="B133" s="2" t="s">
        <v>1978</v>
      </c>
      <c r="D133" s="2" t="s">
        <v>572</v>
      </c>
      <c r="E133" s="2" t="s">
        <v>573</v>
      </c>
      <c r="F133" s="2" t="s">
        <v>574</v>
      </c>
      <c r="G133" s="2" t="s">
        <v>575</v>
      </c>
    </row>
    <row r="134" spans="1:7">
      <c r="A134" s="2">
        <v>133</v>
      </c>
      <c r="B134" s="2" t="s">
        <v>1979</v>
      </c>
      <c r="D134" s="2" t="s">
        <v>577</v>
      </c>
      <c r="E134" s="2" t="s">
        <v>407</v>
      </c>
      <c r="F134" s="2" t="s">
        <v>579</v>
      </c>
      <c r="G134" s="2" t="s">
        <v>580</v>
      </c>
    </row>
    <row r="135" spans="1:7">
      <c r="A135" s="2">
        <v>134</v>
      </c>
      <c r="B135" s="2" t="s">
        <v>1980</v>
      </c>
      <c r="D135" s="2" t="s">
        <v>582</v>
      </c>
      <c r="E135" s="2" t="s">
        <v>1600</v>
      </c>
      <c r="F135" s="2" t="s">
        <v>579</v>
      </c>
      <c r="G135" s="2" t="s">
        <v>580</v>
      </c>
    </row>
    <row r="136" spans="1:7">
      <c r="A136" s="2">
        <v>135</v>
      </c>
      <c r="B136" s="2" t="s">
        <v>1981</v>
      </c>
      <c r="D136" s="2" t="s">
        <v>585</v>
      </c>
      <c r="E136" s="2" t="s">
        <v>427</v>
      </c>
      <c r="F136" s="2" t="s">
        <v>587</v>
      </c>
      <c r="G136" s="2" t="s">
        <v>588</v>
      </c>
    </row>
    <row r="137" spans="1:7">
      <c r="A137" s="2">
        <v>136</v>
      </c>
      <c r="B137" s="2" t="s">
        <v>1982</v>
      </c>
      <c r="D137" s="2" t="s">
        <v>590</v>
      </c>
      <c r="E137" s="2" t="s">
        <v>432</v>
      </c>
      <c r="F137" s="2" t="s">
        <v>592</v>
      </c>
      <c r="G137" s="2" t="s">
        <v>593</v>
      </c>
    </row>
    <row r="138" spans="1:7">
      <c r="A138" s="2">
        <v>137</v>
      </c>
      <c r="B138" s="2" t="s">
        <v>1983</v>
      </c>
      <c r="D138" s="2" t="s">
        <v>595</v>
      </c>
      <c r="E138" s="2" t="s">
        <v>1108</v>
      </c>
      <c r="F138" s="2" t="s">
        <v>597</v>
      </c>
      <c r="G138" s="2" t="s">
        <v>598</v>
      </c>
    </row>
    <row r="139" spans="1:7">
      <c r="A139" s="2">
        <v>138</v>
      </c>
      <c r="B139" s="2" t="s">
        <v>1984</v>
      </c>
      <c r="D139" s="2" t="s">
        <v>600</v>
      </c>
      <c r="E139" s="2" t="s">
        <v>601</v>
      </c>
      <c r="F139" s="2" t="s">
        <v>602</v>
      </c>
      <c r="G139" s="2" t="s">
        <v>603</v>
      </c>
    </row>
    <row r="140" spans="1:7">
      <c r="A140" s="2">
        <v>139</v>
      </c>
      <c r="B140" s="2" t="s">
        <v>1985</v>
      </c>
      <c r="D140" s="2" t="s">
        <v>605</v>
      </c>
      <c r="E140" s="2" t="s">
        <v>606</v>
      </c>
      <c r="F140" s="2" t="s">
        <v>607</v>
      </c>
      <c r="G140" s="2" t="s">
        <v>608</v>
      </c>
    </row>
    <row r="141" spans="1:7">
      <c r="A141" s="2">
        <v>140</v>
      </c>
      <c r="B141" s="2" t="s">
        <v>1986</v>
      </c>
      <c r="D141" s="2" t="s">
        <v>610</v>
      </c>
      <c r="E141" s="2" t="s">
        <v>611</v>
      </c>
      <c r="F141" s="2" t="s">
        <v>612</v>
      </c>
      <c r="G141" s="2" t="s">
        <v>613</v>
      </c>
    </row>
    <row r="142" spans="1:7">
      <c r="A142" s="2">
        <v>141</v>
      </c>
      <c r="B142" s="2" t="s">
        <v>1987</v>
      </c>
      <c r="D142" s="2" t="s">
        <v>615</v>
      </c>
      <c r="E142" s="2" t="s">
        <v>1988</v>
      </c>
      <c r="F142" s="2" t="s">
        <v>617</v>
      </c>
      <c r="G142" s="2" t="s">
        <v>618</v>
      </c>
    </row>
    <row r="143" spans="1:7">
      <c r="A143" s="2">
        <v>142</v>
      </c>
      <c r="B143" s="2" t="s">
        <v>1989</v>
      </c>
      <c r="D143" s="2" t="s">
        <v>620</v>
      </c>
      <c r="E143" s="2" t="s">
        <v>621</v>
      </c>
      <c r="F143" s="2" t="s">
        <v>622</v>
      </c>
      <c r="G143" s="2" t="s">
        <v>623</v>
      </c>
    </row>
    <row r="144" spans="1:7">
      <c r="A144" s="2">
        <v>143</v>
      </c>
      <c r="B144" s="2" t="s">
        <v>1990</v>
      </c>
      <c r="D144" s="2" t="s">
        <v>625</v>
      </c>
      <c r="E144" s="2" t="s">
        <v>626</v>
      </c>
      <c r="F144" s="2" t="s">
        <v>627</v>
      </c>
      <c r="G144" s="2" t="s">
        <v>628</v>
      </c>
    </row>
    <row r="145" spans="1:7">
      <c r="A145" s="2">
        <v>144</v>
      </c>
      <c r="B145" s="2" t="s">
        <v>1991</v>
      </c>
      <c r="D145" s="2" t="s">
        <v>1610</v>
      </c>
      <c r="E145" s="2" t="s">
        <v>440</v>
      </c>
      <c r="F145" s="2" t="s">
        <v>1611</v>
      </c>
      <c r="G145" s="2" t="s">
        <v>1612</v>
      </c>
    </row>
    <row r="146" spans="1:7">
      <c r="A146" s="2">
        <v>145</v>
      </c>
      <c r="B146" s="2" t="s">
        <v>1992</v>
      </c>
      <c r="D146" s="2" t="s">
        <v>630</v>
      </c>
      <c r="E146" s="2" t="s">
        <v>631</v>
      </c>
      <c r="F146" s="2" t="s">
        <v>632</v>
      </c>
      <c r="G146" s="2" t="s">
        <v>633</v>
      </c>
    </row>
    <row r="147" spans="1:7">
      <c r="A147" s="2">
        <v>146</v>
      </c>
      <c r="B147" s="2" t="s">
        <v>1993</v>
      </c>
      <c r="D147" s="2" t="s">
        <v>635</v>
      </c>
      <c r="E147" s="2" t="s">
        <v>636</v>
      </c>
      <c r="F147" s="2" t="s">
        <v>632</v>
      </c>
      <c r="G147" s="2" t="s">
        <v>633</v>
      </c>
    </row>
    <row r="148" spans="1:7">
      <c r="A148" s="2">
        <v>147</v>
      </c>
      <c r="B148" s="2" t="s">
        <v>1994</v>
      </c>
      <c r="D148" s="2" t="s">
        <v>638</v>
      </c>
      <c r="E148" s="2" t="s">
        <v>639</v>
      </c>
      <c r="F148" s="2" t="s">
        <v>640</v>
      </c>
      <c r="G148" s="2" t="s">
        <v>641</v>
      </c>
    </row>
    <row r="149" spans="1:7">
      <c r="A149" s="2">
        <v>148</v>
      </c>
      <c r="B149" s="2" t="s">
        <v>1995</v>
      </c>
      <c r="D149" s="2" t="s">
        <v>643</v>
      </c>
      <c r="E149" s="2" t="s">
        <v>644</v>
      </c>
      <c r="F149" s="2" t="s">
        <v>645</v>
      </c>
      <c r="G149" s="2" t="s">
        <v>646</v>
      </c>
    </row>
    <row r="150" spans="1:7">
      <c r="A150" s="2">
        <v>149</v>
      </c>
      <c r="B150" s="2" t="s">
        <v>1996</v>
      </c>
      <c r="D150" s="2" t="s">
        <v>648</v>
      </c>
      <c r="E150" s="2" t="s">
        <v>649</v>
      </c>
      <c r="F150" s="2" t="s">
        <v>650</v>
      </c>
      <c r="G150" s="2" t="s">
        <v>651</v>
      </c>
    </row>
    <row r="151" spans="1:7">
      <c r="A151" s="2">
        <v>150</v>
      </c>
      <c r="B151" s="2" t="s">
        <v>1997</v>
      </c>
      <c r="D151" s="2" t="s">
        <v>653</v>
      </c>
      <c r="E151" s="2" t="s">
        <v>654</v>
      </c>
      <c r="F151" s="2" t="s">
        <v>655</v>
      </c>
      <c r="G151" s="2" t="s">
        <v>656</v>
      </c>
    </row>
    <row r="152" spans="1:7">
      <c r="A152" s="2">
        <v>151</v>
      </c>
      <c r="B152" s="2" t="s">
        <v>1998</v>
      </c>
      <c r="D152" s="2" t="s">
        <v>658</v>
      </c>
      <c r="E152" s="2" t="s">
        <v>659</v>
      </c>
      <c r="F152" s="2" t="s">
        <v>660</v>
      </c>
      <c r="G152" s="2" t="s">
        <v>661</v>
      </c>
    </row>
    <row r="153" spans="1:7">
      <c r="A153" s="2">
        <v>152</v>
      </c>
      <c r="B153" s="2" t="s">
        <v>1999</v>
      </c>
      <c r="D153" s="2" t="s">
        <v>663</v>
      </c>
      <c r="E153" s="2" t="s">
        <v>664</v>
      </c>
      <c r="F153" s="2" t="s">
        <v>665</v>
      </c>
      <c r="G153" s="2" t="s">
        <v>666</v>
      </c>
    </row>
    <row r="154" spans="1:7">
      <c r="A154" s="2">
        <v>153</v>
      </c>
      <c r="B154" s="2" t="s">
        <v>2000</v>
      </c>
      <c r="D154" s="2" t="s">
        <v>668</v>
      </c>
      <c r="E154" s="2" t="s">
        <v>2001</v>
      </c>
      <c r="F154" s="2" t="s">
        <v>670</v>
      </c>
      <c r="G154" s="2" t="s">
        <v>671</v>
      </c>
    </row>
    <row r="155" spans="1:7">
      <c r="A155" s="2">
        <v>154</v>
      </c>
      <c r="B155" s="2" t="s">
        <v>2002</v>
      </c>
      <c r="D155" s="2" t="s">
        <v>2003</v>
      </c>
      <c r="E155" s="2" t="s">
        <v>2004</v>
      </c>
      <c r="F155" s="2" t="s">
        <v>2005</v>
      </c>
      <c r="G155" s="2" t="s">
        <v>2006</v>
      </c>
    </row>
    <row r="156" spans="1:7">
      <c r="A156" s="2">
        <v>155</v>
      </c>
      <c r="B156" s="2" t="s">
        <v>2007</v>
      </c>
      <c r="D156" s="2" t="s">
        <v>673</v>
      </c>
      <c r="E156" s="2" t="s">
        <v>674</v>
      </c>
      <c r="F156" s="2" t="s">
        <v>675</v>
      </c>
      <c r="G156" s="2" t="s">
        <v>676</v>
      </c>
    </row>
    <row r="157" spans="1:7">
      <c r="A157" s="2">
        <v>156</v>
      </c>
      <c r="B157" s="2" t="s">
        <v>2008</v>
      </c>
      <c r="D157" s="2" t="s">
        <v>678</v>
      </c>
      <c r="E157" s="2" t="s">
        <v>679</v>
      </c>
      <c r="F157" s="2" t="s">
        <v>680</v>
      </c>
      <c r="G157" s="2" t="s">
        <v>681</v>
      </c>
    </row>
    <row r="158" spans="1:7">
      <c r="A158" s="2">
        <v>157</v>
      </c>
      <c r="B158" s="2" t="s">
        <v>2009</v>
      </c>
      <c r="D158" s="2" t="s">
        <v>683</v>
      </c>
      <c r="E158" s="2" t="s">
        <v>684</v>
      </c>
      <c r="F158" s="2" t="s">
        <v>685</v>
      </c>
      <c r="G158" s="2" t="s">
        <v>686</v>
      </c>
    </row>
    <row r="159" spans="1:7">
      <c r="A159" s="2">
        <v>158</v>
      </c>
      <c r="B159" s="2" t="s">
        <v>2010</v>
      </c>
      <c r="D159" s="2" t="s">
        <v>688</v>
      </c>
      <c r="E159" s="2" t="s">
        <v>689</v>
      </c>
      <c r="F159" s="2" t="s">
        <v>690</v>
      </c>
      <c r="G159" s="2" t="s">
        <v>691</v>
      </c>
    </row>
    <row r="160" spans="1:7">
      <c r="A160" s="2">
        <v>159</v>
      </c>
      <c r="B160" s="2" t="s">
        <v>2011</v>
      </c>
      <c r="D160" s="2" t="s">
        <v>693</v>
      </c>
      <c r="E160" s="2" t="s">
        <v>694</v>
      </c>
      <c r="F160" s="2" t="s">
        <v>695</v>
      </c>
      <c r="G160" s="2" t="s">
        <v>696</v>
      </c>
    </row>
    <row r="161" spans="1:7">
      <c r="A161" s="2">
        <v>160</v>
      </c>
      <c r="B161" s="2" t="s">
        <v>2012</v>
      </c>
      <c r="D161" s="2" t="s">
        <v>698</v>
      </c>
      <c r="E161" s="2" t="s">
        <v>699</v>
      </c>
      <c r="F161" s="2" t="s">
        <v>700</v>
      </c>
      <c r="G161" s="2" t="s">
        <v>701</v>
      </c>
    </row>
    <row r="162" spans="1:7">
      <c r="A162" s="2">
        <v>161</v>
      </c>
      <c r="B162" s="2" t="s">
        <v>2013</v>
      </c>
      <c r="D162" s="2" t="s">
        <v>703</v>
      </c>
      <c r="E162" s="2" t="s">
        <v>704</v>
      </c>
      <c r="F162" s="2" t="s">
        <v>705</v>
      </c>
      <c r="G162" s="2" t="s">
        <v>706</v>
      </c>
    </row>
    <row r="163" spans="1:7">
      <c r="A163" s="2">
        <v>162</v>
      </c>
      <c r="B163" s="2" t="s">
        <v>2014</v>
      </c>
      <c r="D163" s="2" t="s">
        <v>708</v>
      </c>
      <c r="E163" s="2" t="s">
        <v>709</v>
      </c>
      <c r="F163" s="2" t="s">
        <v>710</v>
      </c>
      <c r="G163" s="2" t="s">
        <v>711</v>
      </c>
    </row>
    <row r="164" spans="1:7">
      <c r="A164" s="2">
        <v>163</v>
      </c>
      <c r="B164" s="2" t="s">
        <v>2015</v>
      </c>
      <c r="D164" s="2" t="s">
        <v>713</v>
      </c>
      <c r="E164" s="2" t="s">
        <v>714</v>
      </c>
      <c r="F164" s="2" t="s">
        <v>710</v>
      </c>
      <c r="G164" s="2" t="s">
        <v>711</v>
      </c>
    </row>
    <row r="165" spans="1:7">
      <c r="A165" s="2">
        <v>164</v>
      </c>
      <c r="B165" s="2" t="s">
        <v>2016</v>
      </c>
      <c r="D165" s="2" t="s">
        <v>716</v>
      </c>
      <c r="E165" s="2" t="s">
        <v>717</v>
      </c>
      <c r="F165" s="2" t="s">
        <v>710</v>
      </c>
      <c r="G165" s="2" t="s">
        <v>711</v>
      </c>
    </row>
    <row r="166" spans="1:7">
      <c r="A166" s="2">
        <v>165</v>
      </c>
      <c r="B166" s="2" t="s">
        <v>2017</v>
      </c>
      <c r="D166" s="2" t="s">
        <v>719</v>
      </c>
      <c r="E166" s="2" t="s">
        <v>720</v>
      </c>
      <c r="F166" s="2" t="s">
        <v>710</v>
      </c>
      <c r="G166" s="2" t="s">
        <v>711</v>
      </c>
    </row>
    <row r="167" spans="1:7">
      <c r="A167" s="2">
        <v>166</v>
      </c>
      <c r="B167" s="2" t="s">
        <v>2018</v>
      </c>
      <c r="D167" s="2" t="s">
        <v>722</v>
      </c>
      <c r="E167" s="2" t="s">
        <v>723</v>
      </c>
      <c r="F167" s="2" t="s">
        <v>724</v>
      </c>
      <c r="G167" s="2" t="s">
        <v>725</v>
      </c>
    </row>
    <row r="168" spans="1:7">
      <c r="A168" s="2">
        <v>167</v>
      </c>
      <c r="B168" s="2" t="s">
        <v>2019</v>
      </c>
      <c r="D168" s="2" t="s">
        <v>727</v>
      </c>
      <c r="E168" s="2" t="s">
        <v>1164</v>
      </c>
      <c r="F168" s="2" t="s">
        <v>724</v>
      </c>
      <c r="G168" s="2" t="s">
        <v>725</v>
      </c>
    </row>
    <row r="169" spans="1:7">
      <c r="A169" s="2">
        <v>168</v>
      </c>
      <c r="B169" s="2" t="s">
        <v>2020</v>
      </c>
      <c r="D169" s="2" t="s">
        <v>730</v>
      </c>
      <c r="E169" s="2" t="s">
        <v>1485</v>
      </c>
      <c r="F169" s="2" t="s">
        <v>732</v>
      </c>
      <c r="G169" s="2" t="s">
        <v>733</v>
      </c>
    </row>
    <row r="170" spans="1:7">
      <c r="A170" s="2">
        <v>169</v>
      </c>
      <c r="B170" s="2" t="s">
        <v>2021</v>
      </c>
      <c r="D170" s="2" t="s">
        <v>735</v>
      </c>
      <c r="E170" s="2" t="s">
        <v>736</v>
      </c>
      <c r="F170" s="2" t="s">
        <v>737</v>
      </c>
      <c r="G170" s="2" t="s">
        <v>738</v>
      </c>
    </row>
    <row r="171" spans="1:7">
      <c r="A171" s="2">
        <v>170</v>
      </c>
      <c r="B171" s="2" t="s">
        <v>2022</v>
      </c>
      <c r="D171" s="2" t="s">
        <v>740</v>
      </c>
      <c r="E171" s="2" t="s">
        <v>741</v>
      </c>
      <c r="F171" s="2" t="s">
        <v>742</v>
      </c>
      <c r="G171" s="2" t="s">
        <v>743</v>
      </c>
    </row>
    <row r="172" spans="1:7">
      <c r="A172" s="2">
        <v>171</v>
      </c>
      <c r="B172" s="2" t="s">
        <v>2023</v>
      </c>
      <c r="D172" s="2" t="s">
        <v>745</v>
      </c>
      <c r="E172" s="2" t="s">
        <v>2024</v>
      </c>
      <c r="F172" s="2" t="s">
        <v>747</v>
      </c>
      <c r="G172" s="2" t="s">
        <v>748</v>
      </c>
    </row>
    <row r="173" spans="1:7">
      <c r="A173" s="2">
        <v>172</v>
      </c>
      <c r="B173" s="2" t="s">
        <v>2025</v>
      </c>
      <c r="D173" s="2" t="s">
        <v>750</v>
      </c>
      <c r="E173" s="2" t="s">
        <v>751</v>
      </c>
      <c r="F173" s="2" t="s">
        <v>752</v>
      </c>
      <c r="G173" s="2" t="s">
        <v>753</v>
      </c>
    </row>
    <row r="174" spans="1:7">
      <c r="A174" s="2">
        <v>173</v>
      </c>
      <c r="B174" s="2" t="s">
        <v>2026</v>
      </c>
      <c r="D174" s="2" t="s">
        <v>755</v>
      </c>
      <c r="E174" s="2" t="s">
        <v>756</v>
      </c>
      <c r="F174" s="2" t="s">
        <v>752</v>
      </c>
      <c r="G174" s="2" t="s">
        <v>753</v>
      </c>
    </row>
    <row r="175" spans="1:7">
      <c r="A175" s="2">
        <v>174</v>
      </c>
      <c r="B175" s="2" t="s">
        <v>2027</v>
      </c>
      <c r="D175" s="2" t="s">
        <v>758</v>
      </c>
      <c r="E175" s="2" t="s">
        <v>759</v>
      </c>
      <c r="F175" s="2" t="s">
        <v>760</v>
      </c>
      <c r="G175" s="2" t="s">
        <v>761</v>
      </c>
    </row>
    <row r="176" spans="1:7">
      <c r="A176" s="2">
        <v>175</v>
      </c>
      <c r="B176" s="2" t="s">
        <v>2028</v>
      </c>
      <c r="D176" s="2" t="s">
        <v>763</v>
      </c>
      <c r="E176" s="2" t="s">
        <v>764</v>
      </c>
      <c r="F176" s="2" t="s">
        <v>765</v>
      </c>
      <c r="G176" s="2" t="s">
        <v>766</v>
      </c>
    </row>
    <row r="177" spans="1:7">
      <c r="A177" s="2">
        <v>176</v>
      </c>
      <c r="B177" s="2" t="s">
        <v>2029</v>
      </c>
      <c r="D177" s="2" t="s">
        <v>768</v>
      </c>
      <c r="E177" s="2" t="s">
        <v>769</v>
      </c>
      <c r="F177" s="2" t="s">
        <v>770</v>
      </c>
      <c r="G177" s="2" t="s">
        <v>771</v>
      </c>
    </row>
    <row r="178" spans="1:7">
      <c r="A178" s="2">
        <v>177</v>
      </c>
      <c r="B178" s="2" t="s">
        <v>2030</v>
      </c>
      <c r="D178" s="2" t="s">
        <v>773</v>
      </c>
      <c r="E178" s="2" t="s">
        <v>774</v>
      </c>
      <c r="F178" s="2" t="s">
        <v>775</v>
      </c>
      <c r="G178" s="2" t="s">
        <v>776</v>
      </c>
    </row>
    <row r="179" spans="1:7">
      <c r="A179" s="2">
        <v>178</v>
      </c>
      <c r="B179" s="2" t="s">
        <v>2031</v>
      </c>
      <c r="D179" s="2" t="s">
        <v>778</v>
      </c>
      <c r="E179" s="2" t="s">
        <v>779</v>
      </c>
      <c r="F179" s="2" t="s">
        <v>780</v>
      </c>
      <c r="G179" s="2" t="s">
        <v>781</v>
      </c>
    </row>
    <row r="180" spans="1:7">
      <c r="A180" s="2">
        <v>179</v>
      </c>
      <c r="B180" s="2" t="s">
        <v>2032</v>
      </c>
      <c r="D180" s="2" t="s">
        <v>783</v>
      </c>
      <c r="E180" s="2" t="s">
        <v>784</v>
      </c>
      <c r="F180" s="2" t="s">
        <v>785</v>
      </c>
      <c r="G180" s="2" t="s">
        <v>786</v>
      </c>
    </row>
    <row r="181" spans="1:7">
      <c r="A181" s="2">
        <v>180</v>
      </c>
      <c r="B181" s="2" t="s">
        <v>2033</v>
      </c>
      <c r="D181" s="2" t="s">
        <v>788</v>
      </c>
      <c r="E181" s="2" t="s">
        <v>789</v>
      </c>
      <c r="F181" s="2" t="s">
        <v>790</v>
      </c>
      <c r="G181" s="2" t="s">
        <v>791</v>
      </c>
    </row>
    <row r="182" spans="1:7">
      <c r="A182" s="2">
        <v>181</v>
      </c>
      <c r="B182" s="2" t="s">
        <v>2034</v>
      </c>
      <c r="D182" s="2" t="s">
        <v>793</v>
      </c>
      <c r="E182" s="2" t="s">
        <v>794</v>
      </c>
      <c r="F182" s="2" t="s">
        <v>795</v>
      </c>
      <c r="G182" s="2" t="s">
        <v>796</v>
      </c>
    </row>
    <row r="183" spans="1:7">
      <c r="A183" s="2">
        <v>182</v>
      </c>
      <c r="B183" s="2" t="s">
        <v>2035</v>
      </c>
      <c r="D183" s="2" t="s">
        <v>798</v>
      </c>
      <c r="E183" s="2" t="s">
        <v>799</v>
      </c>
      <c r="F183" s="2" t="s">
        <v>800</v>
      </c>
      <c r="G183" s="2" t="s">
        <v>801</v>
      </c>
    </row>
    <row r="184" spans="1:7">
      <c r="A184" s="2">
        <v>183</v>
      </c>
      <c r="B184" s="2" t="s">
        <v>2036</v>
      </c>
      <c r="D184" s="2" t="s">
        <v>803</v>
      </c>
      <c r="E184" s="2" t="s">
        <v>804</v>
      </c>
      <c r="F184" s="2" t="s">
        <v>805</v>
      </c>
      <c r="G184" s="2" t="s">
        <v>806</v>
      </c>
    </row>
    <row r="185" spans="1:7">
      <c r="A185" s="2">
        <v>184</v>
      </c>
      <c r="B185" s="2" t="s">
        <v>2037</v>
      </c>
      <c r="D185" s="2" t="s">
        <v>808</v>
      </c>
      <c r="E185" s="2" t="s">
        <v>809</v>
      </c>
      <c r="F185" s="2" t="s">
        <v>810</v>
      </c>
      <c r="G185" s="2" t="s">
        <v>811</v>
      </c>
    </row>
    <row r="186" spans="1:7">
      <c r="A186" s="2">
        <v>185</v>
      </c>
      <c r="B186" s="2" t="s">
        <v>2038</v>
      </c>
      <c r="D186" s="2" t="s">
        <v>813</v>
      </c>
      <c r="E186" s="2" t="s">
        <v>814</v>
      </c>
      <c r="F186" s="2" t="s">
        <v>815</v>
      </c>
      <c r="G186" s="2" t="s">
        <v>816</v>
      </c>
    </row>
    <row r="187" spans="1:7">
      <c r="A187" s="2">
        <v>186</v>
      </c>
      <c r="B187" s="2" t="s">
        <v>2039</v>
      </c>
      <c r="D187" s="2" t="s">
        <v>818</v>
      </c>
      <c r="E187" s="2" t="s">
        <v>819</v>
      </c>
      <c r="F187" s="2" t="s">
        <v>820</v>
      </c>
      <c r="G187" s="2" t="s">
        <v>821</v>
      </c>
    </row>
    <row r="188" spans="1:7">
      <c r="A188" s="2">
        <v>187</v>
      </c>
      <c r="B188" s="2" t="s">
        <v>2040</v>
      </c>
      <c r="D188" s="2" t="s">
        <v>823</v>
      </c>
      <c r="E188" s="2" t="s">
        <v>824</v>
      </c>
      <c r="F188" s="2" t="s">
        <v>825</v>
      </c>
      <c r="G188" s="2" t="s">
        <v>826</v>
      </c>
    </row>
    <row r="189" spans="1:7">
      <c r="A189" s="2">
        <v>188</v>
      </c>
      <c r="B189" s="2" t="s">
        <v>2041</v>
      </c>
      <c r="D189" s="2" t="s">
        <v>828</v>
      </c>
      <c r="E189" s="2" t="s">
        <v>829</v>
      </c>
      <c r="F189" s="2" t="s">
        <v>830</v>
      </c>
      <c r="G189" s="2" t="s">
        <v>831</v>
      </c>
    </row>
    <row r="190" spans="1:7">
      <c r="A190" s="2">
        <v>189</v>
      </c>
      <c r="B190" s="2" t="s">
        <v>2042</v>
      </c>
      <c r="D190" s="2" t="s">
        <v>833</v>
      </c>
      <c r="E190" s="2" t="s">
        <v>834</v>
      </c>
      <c r="F190" s="2" t="s">
        <v>835</v>
      </c>
      <c r="G190" s="2" t="s">
        <v>836</v>
      </c>
    </row>
    <row r="191" spans="1:7">
      <c r="A191" s="2">
        <v>190</v>
      </c>
      <c r="B191" s="2" t="s">
        <v>2043</v>
      </c>
      <c r="D191" s="2" t="s">
        <v>838</v>
      </c>
      <c r="E191" s="2" t="s">
        <v>839</v>
      </c>
      <c r="F191" s="2" t="s">
        <v>840</v>
      </c>
      <c r="G191" s="2" t="s">
        <v>841</v>
      </c>
    </row>
    <row r="192" spans="1:7">
      <c r="A192" s="2">
        <v>191</v>
      </c>
      <c r="B192" s="2" t="s">
        <v>2044</v>
      </c>
      <c r="D192" s="2" t="s">
        <v>843</v>
      </c>
      <c r="E192" s="2" t="s">
        <v>844</v>
      </c>
      <c r="F192" s="2" t="s">
        <v>845</v>
      </c>
      <c r="G192" s="2" t="s">
        <v>846</v>
      </c>
    </row>
    <row r="193" spans="1:7">
      <c r="A193" s="2">
        <v>192</v>
      </c>
      <c r="B193" s="2" t="s">
        <v>2045</v>
      </c>
      <c r="D193" s="2" t="s">
        <v>848</v>
      </c>
      <c r="E193" s="2" t="s">
        <v>849</v>
      </c>
      <c r="F193" s="2" t="s">
        <v>850</v>
      </c>
      <c r="G193" s="2" t="s">
        <v>851</v>
      </c>
    </row>
    <row r="194" spans="1:7">
      <c r="A194" s="2">
        <v>193</v>
      </c>
      <c r="B194" s="2" t="s">
        <v>2046</v>
      </c>
      <c r="D194" s="2" t="s">
        <v>853</v>
      </c>
      <c r="E194" s="2" t="s">
        <v>854</v>
      </c>
      <c r="F194" s="2" t="s">
        <v>855</v>
      </c>
      <c r="G194" s="2" t="s">
        <v>856</v>
      </c>
    </row>
    <row r="195" spans="1:7">
      <c r="A195" s="2">
        <v>194</v>
      </c>
      <c r="B195" s="2" t="s">
        <v>2047</v>
      </c>
      <c r="D195" s="2" t="s">
        <v>858</v>
      </c>
      <c r="E195" s="2" t="s">
        <v>859</v>
      </c>
      <c r="F195" s="2" t="s">
        <v>860</v>
      </c>
      <c r="G195" s="2" t="s">
        <v>861</v>
      </c>
    </row>
    <row r="196" spans="1:7">
      <c r="A196" s="2">
        <v>195</v>
      </c>
      <c r="B196" s="2" t="s">
        <v>2048</v>
      </c>
      <c r="D196" s="2" t="s">
        <v>863</v>
      </c>
      <c r="E196" s="2" t="s">
        <v>864</v>
      </c>
      <c r="F196" s="2" t="s">
        <v>865</v>
      </c>
      <c r="G196" s="2" t="s">
        <v>866</v>
      </c>
    </row>
    <row r="197" spans="1:7">
      <c r="A197" s="2">
        <v>196</v>
      </c>
      <c r="B197" s="2" t="s">
        <v>2049</v>
      </c>
      <c r="D197" s="2" t="s">
        <v>868</v>
      </c>
      <c r="E197" s="2" t="s">
        <v>869</v>
      </c>
      <c r="F197" s="2" t="s">
        <v>870</v>
      </c>
      <c r="G197" s="2" t="s">
        <v>871</v>
      </c>
    </row>
    <row r="198" spans="1:7">
      <c r="A198" s="2">
        <v>197</v>
      </c>
      <c r="B198" s="2" t="s">
        <v>2050</v>
      </c>
      <c r="D198" s="2" t="s">
        <v>873</v>
      </c>
      <c r="E198" s="2" t="s">
        <v>874</v>
      </c>
      <c r="F198" s="2" t="s">
        <v>875</v>
      </c>
      <c r="G198" s="2" t="s">
        <v>876</v>
      </c>
    </row>
    <row r="199" spans="1:7">
      <c r="A199" s="2">
        <v>198</v>
      </c>
      <c r="B199" s="2" t="s">
        <v>2051</v>
      </c>
      <c r="D199" s="2" t="s">
        <v>878</v>
      </c>
      <c r="E199" s="2" t="s">
        <v>879</v>
      </c>
      <c r="F199" s="2" t="s">
        <v>880</v>
      </c>
      <c r="G199" s="2" t="s">
        <v>881</v>
      </c>
    </row>
    <row r="200" spans="1:7">
      <c r="A200" s="2">
        <v>199</v>
      </c>
      <c r="B200" s="2" t="s">
        <v>2052</v>
      </c>
      <c r="D200" s="2" t="s">
        <v>883</v>
      </c>
      <c r="E200" s="2" t="s">
        <v>884</v>
      </c>
      <c r="F200" s="2" t="s">
        <v>885</v>
      </c>
      <c r="G200" s="2" t="s">
        <v>886</v>
      </c>
    </row>
    <row r="201" spans="1:7">
      <c r="A201" s="2">
        <v>200</v>
      </c>
      <c r="B201" s="2" t="s">
        <v>2053</v>
      </c>
      <c r="D201" s="2" t="s">
        <v>888</v>
      </c>
      <c r="E201" s="2" t="s">
        <v>889</v>
      </c>
      <c r="F201" s="2" t="s">
        <v>890</v>
      </c>
      <c r="G201" s="2" t="s">
        <v>891</v>
      </c>
    </row>
    <row r="202" spans="1:7">
      <c r="A202" s="2">
        <v>201</v>
      </c>
      <c r="B202" s="2" t="s">
        <v>2054</v>
      </c>
      <c r="D202" s="2" t="s">
        <v>893</v>
      </c>
      <c r="E202" s="2" t="s">
        <v>894</v>
      </c>
      <c r="F202" s="2" t="s">
        <v>895</v>
      </c>
      <c r="G202" s="2" t="s">
        <v>896</v>
      </c>
    </row>
    <row r="203" spans="1:7">
      <c r="A203" s="2">
        <v>202</v>
      </c>
      <c r="B203" s="2" t="s">
        <v>2055</v>
      </c>
      <c r="D203" s="2" t="s">
        <v>898</v>
      </c>
      <c r="E203" s="2" t="s">
        <v>899</v>
      </c>
      <c r="F203" s="2" t="s">
        <v>900</v>
      </c>
      <c r="G203" s="2" t="s">
        <v>901</v>
      </c>
    </row>
    <row r="204" spans="1:7">
      <c r="A204" s="2">
        <v>203</v>
      </c>
      <c r="B204" s="2" t="s">
        <v>2056</v>
      </c>
      <c r="D204" s="2" t="s">
        <v>903</v>
      </c>
      <c r="E204" s="2" t="s">
        <v>904</v>
      </c>
      <c r="F204" s="2" t="s">
        <v>905</v>
      </c>
      <c r="G204" s="2" t="s">
        <v>906</v>
      </c>
    </row>
    <row r="205" spans="1:7">
      <c r="A205" s="2">
        <v>204</v>
      </c>
      <c r="B205" s="2" t="s">
        <v>2057</v>
      </c>
      <c r="D205" s="2" t="s">
        <v>908</v>
      </c>
      <c r="E205" s="2" t="s">
        <v>909</v>
      </c>
      <c r="F205" s="2" t="s">
        <v>910</v>
      </c>
      <c r="G205" s="2" t="s">
        <v>911</v>
      </c>
    </row>
    <row r="206" spans="1:7">
      <c r="A206" s="2">
        <v>205</v>
      </c>
      <c r="B206" s="2" t="s">
        <v>2058</v>
      </c>
      <c r="D206" s="2" t="s">
        <v>913</v>
      </c>
      <c r="E206" s="2" t="s">
        <v>914</v>
      </c>
      <c r="F206" s="2" t="s">
        <v>915</v>
      </c>
      <c r="G206" s="2" t="s">
        <v>916</v>
      </c>
    </row>
    <row r="207" spans="1:7">
      <c r="A207" s="2">
        <v>206</v>
      </c>
      <c r="B207" s="2" t="s">
        <v>2059</v>
      </c>
      <c r="D207" s="2" t="s">
        <v>918</v>
      </c>
      <c r="E207" s="2" t="s">
        <v>919</v>
      </c>
      <c r="F207" s="2" t="s">
        <v>920</v>
      </c>
      <c r="G207" s="2" t="s">
        <v>921</v>
      </c>
    </row>
    <row r="208" spans="1:7">
      <c r="A208" s="2">
        <v>207</v>
      </c>
      <c r="B208" s="2" t="s">
        <v>2060</v>
      </c>
      <c r="D208" s="2" t="s">
        <v>923</v>
      </c>
      <c r="E208" s="2" t="s">
        <v>924</v>
      </c>
      <c r="F208" s="2" t="s">
        <v>925</v>
      </c>
      <c r="G208" s="2" t="s">
        <v>926</v>
      </c>
    </row>
    <row r="209" spans="1:7">
      <c r="A209" s="2">
        <v>208</v>
      </c>
      <c r="B209" s="2" t="s">
        <v>2061</v>
      </c>
      <c r="D209" s="2" t="s">
        <v>928</v>
      </c>
      <c r="E209" s="2" t="s">
        <v>929</v>
      </c>
      <c r="F209" s="2" t="s">
        <v>930</v>
      </c>
      <c r="G209" s="2" t="s">
        <v>931</v>
      </c>
    </row>
    <row r="210" spans="1:7">
      <c r="A210" s="2">
        <v>209</v>
      </c>
      <c r="B210" s="2" t="s">
        <v>2062</v>
      </c>
      <c r="D210" s="2" t="s">
        <v>933</v>
      </c>
      <c r="E210" s="2" t="s">
        <v>934</v>
      </c>
      <c r="F210" s="2" t="s">
        <v>935</v>
      </c>
      <c r="G210" s="2" t="s">
        <v>936</v>
      </c>
    </row>
    <row r="211" spans="1:7">
      <c r="A211" s="2">
        <v>210</v>
      </c>
      <c r="B211" s="2" t="s">
        <v>2063</v>
      </c>
      <c r="D211" s="2" t="s">
        <v>938</v>
      </c>
      <c r="E211" s="2" t="s">
        <v>939</v>
      </c>
      <c r="F211" s="2" t="s">
        <v>940</v>
      </c>
      <c r="G211" s="2" t="s">
        <v>941</v>
      </c>
    </row>
    <row r="212" spans="1:7">
      <c r="A212" s="2">
        <v>211</v>
      </c>
      <c r="B212" s="2" t="s">
        <v>2064</v>
      </c>
      <c r="D212" s="2" t="s">
        <v>943</v>
      </c>
      <c r="E212" s="2" t="s">
        <v>944</v>
      </c>
      <c r="F212" s="2" t="s">
        <v>945</v>
      </c>
      <c r="G212" s="2" t="s">
        <v>946</v>
      </c>
    </row>
    <row r="213" spans="1:7">
      <c r="A213" s="2">
        <v>212</v>
      </c>
      <c r="B213" s="2" t="s">
        <v>2065</v>
      </c>
      <c r="D213" s="2" t="s">
        <v>948</v>
      </c>
      <c r="E213" s="2" t="s">
        <v>949</v>
      </c>
      <c r="F213" s="2" t="s">
        <v>950</v>
      </c>
      <c r="G213" s="2" t="s">
        <v>951</v>
      </c>
    </row>
    <row r="214" spans="1:7">
      <c r="A214" s="2">
        <v>213</v>
      </c>
      <c r="B214" s="2" t="s">
        <v>2066</v>
      </c>
      <c r="D214" s="2" t="s">
        <v>953</v>
      </c>
      <c r="E214" s="2" t="s">
        <v>954</v>
      </c>
      <c r="F214" s="2" t="s">
        <v>955</v>
      </c>
      <c r="G214" s="2" t="s">
        <v>956</v>
      </c>
    </row>
    <row r="215" spans="1:7">
      <c r="A215" s="2">
        <v>214</v>
      </c>
      <c r="B215" s="2" t="s">
        <v>2067</v>
      </c>
      <c r="D215" s="2" t="s">
        <v>958</v>
      </c>
      <c r="E215" s="2" t="s">
        <v>959</v>
      </c>
      <c r="F215" s="2" t="s">
        <v>960</v>
      </c>
      <c r="G215" s="2" t="s">
        <v>961</v>
      </c>
    </row>
    <row r="216" spans="1:7">
      <c r="A216" s="2">
        <v>215</v>
      </c>
      <c r="B216" s="2" t="s">
        <v>2068</v>
      </c>
      <c r="D216" s="2" t="s">
        <v>963</v>
      </c>
      <c r="E216" s="2" t="s">
        <v>964</v>
      </c>
      <c r="F216" s="2" t="s">
        <v>965</v>
      </c>
      <c r="G216" s="2" t="s">
        <v>966</v>
      </c>
    </row>
    <row r="217" spans="1:7">
      <c r="A217" s="2">
        <v>216</v>
      </c>
      <c r="B217" s="2" t="s">
        <v>2069</v>
      </c>
      <c r="D217" s="2" t="s">
        <v>968</v>
      </c>
      <c r="E217" s="2" t="s">
        <v>969</v>
      </c>
      <c r="F217" s="2" t="s">
        <v>970</v>
      </c>
      <c r="G217" s="2" t="s">
        <v>971</v>
      </c>
    </row>
    <row r="218" spans="1:7">
      <c r="A218" s="2">
        <v>217</v>
      </c>
      <c r="B218" s="2" t="s">
        <v>2070</v>
      </c>
      <c r="D218" s="2" t="s">
        <v>973</v>
      </c>
      <c r="E218" s="2" t="s">
        <v>974</v>
      </c>
      <c r="F218" s="2" t="s">
        <v>975</v>
      </c>
      <c r="G218" s="2" t="s">
        <v>976</v>
      </c>
    </row>
    <row r="219" spans="1:7">
      <c r="A219" s="2">
        <v>218</v>
      </c>
      <c r="B219" s="2" t="s">
        <v>2071</v>
      </c>
      <c r="D219" s="2" t="s">
        <v>978</v>
      </c>
      <c r="E219" s="2" t="s">
        <v>979</v>
      </c>
      <c r="F219" s="2" t="s">
        <v>980</v>
      </c>
      <c r="G219" s="2" t="s">
        <v>981</v>
      </c>
    </row>
    <row r="220" spans="1:7">
      <c r="A220" s="2">
        <v>219</v>
      </c>
      <c r="B220" s="2" t="s">
        <v>2072</v>
      </c>
      <c r="D220" s="2" t="s">
        <v>983</v>
      </c>
      <c r="E220" s="2" t="s">
        <v>984</v>
      </c>
      <c r="F220" s="2" t="s">
        <v>985</v>
      </c>
      <c r="G220" s="2" t="s">
        <v>986</v>
      </c>
    </row>
    <row r="221" spans="1:7">
      <c r="A221" s="2">
        <v>220</v>
      </c>
      <c r="B221" s="2" t="s">
        <v>2073</v>
      </c>
      <c r="D221" s="2" t="s">
        <v>988</v>
      </c>
      <c r="E221" s="2" t="s">
        <v>989</v>
      </c>
      <c r="F221" s="2" t="s">
        <v>990</v>
      </c>
      <c r="G221" s="2" t="s">
        <v>991</v>
      </c>
    </row>
    <row r="222" spans="1:7">
      <c r="A222" s="2">
        <v>221</v>
      </c>
      <c r="B222" s="2" t="s">
        <v>2074</v>
      </c>
      <c r="D222" s="2" t="s">
        <v>993</v>
      </c>
      <c r="E222" s="2" t="s">
        <v>994</v>
      </c>
      <c r="F222" s="2" t="s">
        <v>995</v>
      </c>
      <c r="G222" s="2" t="s">
        <v>996</v>
      </c>
    </row>
    <row r="223" spans="1:7">
      <c r="A223" s="2">
        <v>222</v>
      </c>
      <c r="B223" s="2" t="s">
        <v>2075</v>
      </c>
      <c r="D223" s="2" t="s">
        <v>998</v>
      </c>
      <c r="E223" s="2" t="s">
        <v>999</v>
      </c>
      <c r="F223" s="2" t="s">
        <v>1000</v>
      </c>
      <c r="G223" s="2" t="s">
        <v>1001</v>
      </c>
    </row>
    <row r="224" spans="1:7">
      <c r="A224" s="2">
        <v>223</v>
      </c>
      <c r="B224" s="2" t="s">
        <v>2076</v>
      </c>
      <c r="D224" s="2" t="s">
        <v>1003</v>
      </c>
      <c r="E224" s="2" t="s">
        <v>1004</v>
      </c>
      <c r="F224" s="2" t="s">
        <v>1005</v>
      </c>
      <c r="G224" s="2" t="s">
        <v>1006</v>
      </c>
    </row>
    <row r="225" spans="1:7">
      <c r="A225" s="2">
        <v>224</v>
      </c>
      <c r="B225" s="2" t="s">
        <v>2077</v>
      </c>
      <c r="D225" s="2" t="s">
        <v>1008</v>
      </c>
      <c r="E225" s="2" t="s">
        <v>1009</v>
      </c>
      <c r="F225" s="2" t="s">
        <v>1010</v>
      </c>
      <c r="G225" s="2" t="s">
        <v>1011</v>
      </c>
    </row>
    <row r="226" spans="1:7">
      <c r="A226" s="2">
        <v>225</v>
      </c>
      <c r="B226" s="2" t="s">
        <v>2078</v>
      </c>
      <c r="D226" s="2" t="s">
        <v>1013</v>
      </c>
      <c r="E226" s="2" t="s">
        <v>1014</v>
      </c>
      <c r="F226" s="2" t="s">
        <v>1015</v>
      </c>
      <c r="G226" s="2" t="s">
        <v>1016</v>
      </c>
    </row>
    <row r="227" spans="1:7">
      <c r="A227" s="2">
        <v>226</v>
      </c>
      <c r="B227" s="2" t="s">
        <v>2079</v>
      </c>
      <c r="D227" s="2" t="s">
        <v>1018</v>
      </c>
      <c r="E227" s="2" t="s">
        <v>1019</v>
      </c>
      <c r="F227" s="2" t="s">
        <v>1020</v>
      </c>
      <c r="G227" s="2" t="s">
        <v>1021</v>
      </c>
    </row>
    <row r="228" spans="1:7">
      <c r="A228" s="2">
        <v>227</v>
      </c>
      <c r="B228" s="2" t="s">
        <v>2080</v>
      </c>
      <c r="D228" s="2" t="s">
        <v>1023</v>
      </c>
      <c r="E228" s="2" t="s">
        <v>1024</v>
      </c>
      <c r="F228" s="2" t="s">
        <v>1025</v>
      </c>
      <c r="G228" s="2" t="s">
        <v>1026</v>
      </c>
    </row>
    <row r="229" spans="1:7">
      <c r="A229" s="2">
        <v>228</v>
      </c>
      <c r="B229" s="2" t="s">
        <v>2081</v>
      </c>
      <c r="D229" s="2" t="s">
        <v>1028</v>
      </c>
      <c r="E229" s="2" t="s">
        <v>1029</v>
      </c>
      <c r="F229" s="2" t="s">
        <v>1030</v>
      </c>
      <c r="G229" s="2" t="s">
        <v>1031</v>
      </c>
    </row>
    <row r="230" spans="1:7">
      <c r="A230" s="2">
        <v>229</v>
      </c>
      <c r="B230" s="2" t="s">
        <v>2082</v>
      </c>
      <c r="D230" s="2" t="s">
        <v>1033</v>
      </c>
      <c r="E230" s="2" t="s">
        <v>1034</v>
      </c>
      <c r="F230" s="2" t="s">
        <v>1035</v>
      </c>
      <c r="G230" s="2" t="s">
        <v>1036</v>
      </c>
    </row>
    <row r="231" spans="1:7">
      <c r="A231" s="2">
        <v>230</v>
      </c>
      <c r="B231" s="2" t="s">
        <v>2083</v>
      </c>
      <c r="D231" s="2" t="s">
        <v>1038</v>
      </c>
      <c r="E231" s="2" t="s">
        <v>1039</v>
      </c>
      <c r="F231" s="2" t="s">
        <v>1040</v>
      </c>
      <c r="G231" s="2" t="s">
        <v>1041</v>
      </c>
    </row>
    <row r="232" spans="1:7">
      <c r="A232" s="2">
        <v>231</v>
      </c>
      <c r="B232" s="2" t="s">
        <v>2084</v>
      </c>
      <c r="D232" s="2" t="s">
        <v>1043</v>
      </c>
      <c r="E232" s="2" t="s">
        <v>1044</v>
      </c>
      <c r="F232" s="2" t="s">
        <v>1045</v>
      </c>
      <c r="G232" s="2" t="s">
        <v>1046</v>
      </c>
    </row>
    <row r="233" spans="1:7">
      <c r="A233" s="2">
        <v>232</v>
      </c>
      <c r="B233" s="2" t="s">
        <v>2085</v>
      </c>
      <c r="D233" s="2" t="s">
        <v>1048</v>
      </c>
      <c r="E233" s="2" t="s">
        <v>1049</v>
      </c>
      <c r="F233" s="2" t="s">
        <v>1050</v>
      </c>
      <c r="G233" s="2" t="s">
        <v>1051</v>
      </c>
    </row>
    <row r="234" spans="1:7">
      <c r="A234" s="2">
        <v>233</v>
      </c>
      <c r="B234" s="2" t="s">
        <v>2086</v>
      </c>
      <c r="D234" s="2" t="s">
        <v>1053</v>
      </c>
      <c r="E234" s="2" t="s">
        <v>1054</v>
      </c>
      <c r="F234" s="2" t="s">
        <v>1050</v>
      </c>
      <c r="G234" s="2" t="s">
        <v>1051</v>
      </c>
    </row>
    <row r="235" spans="1:7">
      <c r="A235" s="2">
        <v>234</v>
      </c>
      <c r="B235" s="2" t="s">
        <v>2087</v>
      </c>
      <c r="D235" s="2" t="s">
        <v>1056</v>
      </c>
      <c r="E235" s="2" t="s">
        <v>1057</v>
      </c>
      <c r="F235" s="2" t="s">
        <v>1050</v>
      </c>
      <c r="G235" s="2" t="s">
        <v>1051</v>
      </c>
    </row>
    <row r="236" spans="1:7">
      <c r="A236" s="2">
        <v>235</v>
      </c>
      <c r="B236" s="2" t="s">
        <v>2088</v>
      </c>
      <c r="D236" s="2" t="s">
        <v>1059</v>
      </c>
      <c r="E236" s="2" t="s">
        <v>1060</v>
      </c>
      <c r="F236" s="2" t="s">
        <v>1050</v>
      </c>
      <c r="G236" s="2" t="s">
        <v>1051</v>
      </c>
    </row>
    <row r="237" spans="1:7">
      <c r="A237" s="2">
        <v>236</v>
      </c>
      <c r="B237" s="2" t="s">
        <v>2089</v>
      </c>
      <c r="D237" s="2" t="s">
        <v>1062</v>
      </c>
      <c r="E237" s="2" t="s">
        <v>1063</v>
      </c>
      <c r="F237" s="2" t="s">
        <v>1050</v>
      </c>
      <c r="G237" s="2" t="s">
        <v>1051</v>
      </c>
    </row>
    <row r="238" spans="1:7">
      <c r="A238" s="2">
        <v>237</v>
      </c>
      <c r="B238" s="2" t="s">
        <v>2090</v>
      </c>
      <c r="D238" s="2" t="s">
        <v>1065</v>
      </c>
      <c r="E238" s="2" t="s">
        <v>1066</v>
      </c>
      <c r="F238" s="2" t="s">
        <v>1050</v>
      </c>
      <c r="G238" s="2" t="s">
        <v>1051</v>
      </c>
    </row>
    <row r="239" spans="1:7">
      <c r="A239" s="2">
        <v>238</v>
      </c>
      <c r="B239" s="2" t="s">
        <v>2091</v>
      </c>
      <c r="D239" s="2" t="s">
        <v>1068</v>
      </c>
      <c r="E239" s="2" t="s">
        <v>1069</v>
      </c>
      <c r="F239" s="2" t="s">
        <v>1050</v>
      </c>
      <c r="G239" s="2" t="s">
        <v>1051</v>
      </c>
    </row>
    <row r="240" spans="1:7">
      <c r="A240" s="2">
        <v>239</v>
      </c>
      <c r="B240" s="2" t="s">
        <v>2092</v>
      </c>
      <c r="D240" s="2" t="s">
        <v>1071</v>
      </c>
      <c r="E240" s="2" t="s">
        <v>1072</v>
      </c>
      <c r="F240" s="2" t="s">
        <v>1073</v>
      </c>
      <c r="G240" s="2" t="s">
        <v>1074</v>
      </c>
    </row>
    <row r="241" spans="1:7">
      <c r="A241" s="2">
        <v>240</v>
      </c>
      <c r="B241" s="2" t="s">
        <v>2093</v>
      </c>
      <c r="D241" s="2" t="s">
        <v>1076</v>
      </c>
      <c r="E241" s="2" t="s">
        <v>1077</v>
      </c>
      <c r="F241" s="2" t="s">
        <v>1073</v>
      </c>
      <c r="G241" s="2" t="s">
        <v>1074</v>
      </c>
    </row>
    <row r="242" spans="1:7">
      <c r="A242" s="2">
        <v>241</v>
      </c>
      <c r="B242" s="2" t="s">
        <v>2094</v>
      </c>
      <c r="D242" s="2" t="s">
        <v>1079</v>
      </c>
      <c r="E242" s="2" t="s">
        <v>1080</v>
      </c>
      <c r="F242" s="2" t="s">
        <v>1073</v>
      </c>
      <c r="G242" s="2" t="s">
        <v>1074</v>
      </c>
    </row>
    <row r="243" spans="1:7">
      <c r="A243" s="2">
        <v>242</v>
      </c>
      <c r="B243" s="2" t="s">
        <v>2095</v>
      </c>
      <c r="D243" s="2" t="s">
        <v>2096</v>
      </c>
      <c r="E243" s="2" t="s">
        <v>2097</v>
      </c>
      <c r="F243" s="2" t="s">
        <v>1073</v>
      </c>
      <c r="G243" s="2" t="s">
        <v>1074</v>
      </c>
    </row>
    <row r="244" spans="1:7">
      <c r="A244" s="2">
        <v>243</v>
      </c>
      <c r="B244" s="2" t="s">
        <v>2098</v>
      </c>
      <c r="D244" s="2" t="s">
        <v>2099</v>
      </c>
      <c r="E244" s="2" t="s">
        <v>2100</v>
      </c>
      <c r="F244" s="2" t="s">
        <v>1073</v>
      </c>
      <c r="G244" s="2" t="s">
        <v>1074</v>
      </c>
    </row>
    <row r="245" spans="1:7">
      <c r="A245" s="2">
        <v>244</v>
      </c>
      <c r="B245" s="2" t="s">
        <v>2101</v>
      </c>
      <c r="D245" s="2" t="s">
        <v>1082</v>
      </c>
      <c r="E245" s="2" t="s">
        <v>1083</v>
      </c>
      <c r="F245" s="2" t="s">
        <v>1084</v>
      </c>
      <c r="G245" s="2" t="s">
        <v>1085</v>
      </c>
    </row>
    <row r="246" spans="1:7">
      <c r="A246" s="2">
        <v>245</v>
      </c>
      <c r="B246" s="2" t="s">
        <v>2102</v>
      </c>
      <c r="D246" s="2" t="s">
        <v>1087</v>
      </c>
      <c r="E246" s="2" t="s">
        <v>1088</v>
      </c>
      <c r="F246" s="2" t="s">
        <v>1089</v>
      </c>
      <c r="G246" s="2" t="s">
        <v>1090</v>
      </c>
    </row>
    <row r="247" spans="1:7">
      <c r="A247" s="2">
        <v>246</v>
      </c>
      <c r="B247" s="2" t="s">
        <v>2103</v>
      </c>
      <c r="D247" s="2" t="s">
        <v>1092</v>
      </c>
      <c r="E247" s="2" t="s">
        <v>1093</v>
      </c>
      <c r="F247" s="2" t="s">
        <v>1094</v>
      </c>
      <c r="G247" s="2" t="s">
        <v>1095</v>
      </c>
    </row>
    <row r="248" spans="1:7">
      <c r="A248" s="2">
        <v>247</v>
      </c>
      <c r="B248" s="2" t="s">
        <v>2104</v>
      </c>
      <c r="D248" s="2" t="s">
        <v>1097</v>
      </c>
      <c r="E248" s="2" t="s">
        <v>1098</v>
      </c>
      <c r="F248" s="2" t="s">
        <v>1099</v>
      </c>
      <c r="G248" s="2" t="s">
        <v>1100</v>
      </c>
    </row>
    <row r="249" spans="1:7">
      <c r="A249" s="2">
        <v>248</v>
      </c>
      <c r="B249" s="2" t="s">
        <v>2105</v>
      </c>
      <c r="D249" s="2" t="s">
        <v>1102</v>
      </c>
      <c r="E249" s="2" t="s">
        <v>1103</v>
      </c>
      <c r="F249" s="2" t="s">
        <v>1104</v>
      </c>
      <c r="G249" s="2" t="s">
        <v>1105</v>
      </c>
    </row>
    <row r="250" spans="1:7">
      <c r="A250" s="2">
        <v>249</v>
      </c>
      <c r="B250" s="2" t="s">
        <v>2106</v>
      </c>
      <c r="D250" s="2" t="s">
        <v>1107</v>
      </c>
      <c r="E250" s="2" t="s">
        <v>88</v>
      </c>
      <c r="F250" s="2" t="s">
        <v>1109</v>
      </c>
      <c r="G250" s="2" t="s">
        <v>1110</v>
      </c>
    </row>
    <row r="251" spans="1:7">
      <c r="A251" s="2">
        <v>250</v>
      </c>
      <c r="B251" s="2" t="s">
        <v>2107</v>
      </c>
      <c r="D251" s="2" t="s">
        <v>1112</v>
      </c>
      <c r="E251" s="2" t="s">
        <v>1113</v>
      </c>
      <c r="F251" s="2" t="s">
        <v>1084</v>
      </c>
      <c r="G251" s="2" t="s">
        <v>1085</v>
      </c>
    </row>
    <row r="252" spans="1:7">
      <c r="A252" s="2">
        <v>251</v>
      </c>
      <c r="B252" s="2" t="s">
        <v>2108</v>
      </c>
      <c r="D252" s="2" t="s">
        <v>1115</v>
      </c>
      <c r="E252" s="2" t="s">
        <v>1116</v>
      </c>
      <c r="F252" s="2" t="s">
        <v>1084</v>
      </c>
      <c r="G252" s="2" t="s">
        <v>1085</v>
      </c>
    </row>
    <row r="253" spans="1:7">
      <c r="A253" s="2">
        <v>252</v>
      </c>
      <c r="B253" s="2" t="s">
        <v>2109</v>
      </c>
      <c r="D253" s="2" t="s">
        <v>2110</v>
      </c>
      <c r="E253" s="2" t="s">
        <v>2111</v>
      </c>
      <c r="F253" s="2" t="s">
        <v>1084</v>
      </c>
      <c r="G253" s="2" t="s">
        <v>1085</v>
      </c>
    </row>
    <row r="254" spans="1:7">
      <c r="A254" s="2">
        <v>253</v>
      </c>
      <c r="B254" s="2" t="s">
        <v>2112</v>
      </c>
      <c r="D254" s="2" t="s">
        <v>2113</v>
      </c>
      <c r="E254" s="2" t="s">
        <v>2114</v>
      </c>
      <c r="F254" s="2" t="s">
        <v>2115</v>
      </c>
      <c r="G254" s="2" t="s">
        <v>2116</v>
      </c>
    </row>
    <row r="255" spans="1:7">
      <c r="A255" s="2">
        <v>254</v>
      </c>
      <c r="B255" s="2" t="s">
        <v>2117</v>
      </c>
      <c r="D255" s="2" t="s">
        <v>2118</v>
      </c>
      <c r="E255" s="2" t="s">
        <v>2119</v>
      </c>
      <c r="F255" s="2" t="s">
        <v>2120</v>
      </c>
      <c r="G255" s="2" t="s">
        <v>2121</v>
      </c>
    </row>
    <row r="256" spans="1:7">
      <c r="A256" s="2">
        <v>255</v>
      </c>
      <c r="B256" s="2" t="s">
        <v>2122</v>
      </c>
      <c r="D256" s="2" t="s">
        <v>2123</v>
      </c>
      <c r="E256" s="2" t="s">
        <v>2124</v>
      </c>
      <c r="F256" s="2" t="s">
        <v>2125</v>
      </c>
      <c r="G256" s="2" t="s">
        <v>2126</v>
      </c>
    </row>
    <row r="257" spans="1:7">
      <c r="A257" s="2">
        <v>256</v>
      </c>
      <c r="B257" s="2" t="s">
        <v>2127</v>
      </c>
      <c r="D257" s="2" t="s">
        <v>1118</v>
      </c>
      <c r="E257" s="2" t="s">
        <v>1119</v>
      </c>
      <c r="F257" s="2" t="s">
        <v>1120</v>
      </c>
      <c r="G257" s="2" t="s">
        <v>1121</v>
      </c>
    </row>
    <row r="258" spans="1:7">
      <c r="A258" s="2">
        <v>257</v>
      </c>
      <c r="B258" s="2" t="s">
        <v>2128</v>
      </c>
      <c r="D258" s="2" t="s">
        <v>1717</v>
      </c>
      <c r="E258" s="2" t="s">
        <v>174</v>
      </c>
      <c r="F258" s="2" t="s">
        <v>1718</v>
      </c>
      <c r="G258" s="2" t="s">
        <v>1719</v>
      </c>
    </row>
    <row r="259" spans="1:7">
      <c r="A259" s="2">
        <v>258</v>
      </c>
      <c r="B259" s="2" t="s">
        <v>2129</v>
      </c>
      <c r="D259" s="2" t="s">
        <v>1123</v>
      </c>
      <c r="E259" s="2" t="s">
        <v>1124</v>
      </c>
      <c r="F259" s="2" t="s">
        <v>1125</v>
      </c>
      <c r="G259" s="2" t="s">
        <v>1126</v>
      </c>
    </row>
    <row r="260" spans="1:7">
      <c r="A260" s="2">
        <v>259</v>
      </c>
      <c r="B260" s="2" t="s">
        <v>2130</v>
      </c>
      <c r="D260" s="2" t="s">
        <v>1128</v>
      </c>
      <c r="E260" s="2" t="s">
        <v>1722</v>
      </c>
      <c r="F260" s="2" t="s">
        <v>1130</v>
      </c>
      <c r="G260" s="2" t="s">
        <v>1131</v>
      </c>
    </row>
    <row r="261" spans="1:7">
      <c r="A261" s="2">
        <v>260</v>
      </c>
      <c r="B261" s="2" t="s">
        <v>2131</v>
      </c>
      <c r="D261" s="2" t="s">
        <v>1133</v>
      </c>
      <c r="E261" s="2" t="s">
        <v>118</v>
      </c>
      <c r="F261" s="2" t="s">
        <v>1135</v>
      </c>
      <c r="G261" s="2" t="s">
        <v>1136</v>
      </c>
    </row>
    <row r="262" spans="1:7">
      <c r="A262" s="2">
        <v>261</v>
      </c>
      <c r="B262" s="2" t="s">
        <v>2132</v>
      </c>
      <c r="D262" s="2" t="s">
        <v>1138</v>
      </c>
      <c r="E262" s="2" t="s">
        <v>1139</v>
      </c>
      <c r="F262" s="2" t="s">
        <v>1140</v>
      </c>
      <c r="G262" s="2" t="s">
        <v>1141</v>
      </c>
    </row>
    <row r="263" spans="1:7">
      <c r="A263" s="2">
        <v>262</v>
      </c>
      <c r="B263" s="2" t="s">
        <v>2133</v>
      </c>
      <c r="D263" s="2" t="s">
        <v>1143</v>
      </c>
      <c r="E263" s="2" t="s">
        <v>1726</v>
      </c>
      <c r="F263" s="2" t="s">
        <v>1145</v>
      </c>
      <c r="G263" s="2" t="s">
        <v>1146</v>
      </c>
    </row>
    <row r="264" spans="1:7">
      <c r="A264" s="2">
        <v>263</v>
      </c>
      <c r="B264" s="2" t="s">
        <v>2134</v>
      </c>
      <c r="D264" s="2" t="s">
        <v>1148</v>
      </c>
      <c r="E264" s="2" t="s">
        <v>1728</v>
      </c>
      <c r="F264" s="2" t="s">
        <v>1145</v>
      </c>
      <c r="G264" s="2" t="s">
        <v>1146</v>
      </c>
    </row>
    <row r="265" spans="1:7">
      <c r="A265" s="2">
        <v>264</v>
      </c>
      <c r="B265" s="2" t="s">
        <v>2135</v>
      </c>
      <c r="D265" s="2" t="s">
        <v>1151</v>
      </c>
      <c r="E265" s="2" t="s">
        <v>1730</v>
      </c>
      <c r="F265" s="2" t="s">
        <v>1145</v>
      </c>
      <c r="G265" s="2" t="s">
        <v>1146</v>
      </c>
    </row>
    <row r="266" spans="1:7">
      <c r="A266" s="2">
        <v>265</v>
      </c>
      <c r="B266" s="2" t="s">
        <v>2136</v>
      </c>
      <c r="D266" s="2" t="s">
        <v>1154</v>
      </c>
      <c r="E266" s="2" t="s">
        <v>1732</v>
      </c>
      <c r="F266" s="2" t="s">
        <v>1145</v>
      </c>
      <c r="G266" s="2" t="s">
        <v>1146</v>
      </c>
    </row>
    <row r="267" spans="1:7">
      <c r="A267" s="2">
        <v>266</v>
      </c>
      <c r="B267" s="2" t="s">
        <v>2137</v>
      </c>
      <c r="D267" s="2" t="s">
        <v>1157</v>
      </c>
      <c r="E267" s="2" t="s">
        <v>93</v>
      </c>
      <c r="F267" s="2" t="s">
        <v>1145</v>
      </c>
      <c r="G267" s="2" t="s">
        <v>1146</v>
      </c>
    </row>
    <row r="268" spans="1:7">
      <c r="A268" s="2">
        <v>267</v>
      </c>
      <c r="B268" s="2" t="s">
        <v>2138</v>
      </c>
      <c r="D268" s="2" t="s">
        <v>1160</v>
      </c>
      <c r="E268" s="2" t="s">
        <v>669</v>
      </c>
      <c r="F268" s="2" t="s">
        <v>1145</v>
      </c>
      <c r="G268" s="2" t="s">
        <v>1146</v>
      </c>
    </row>
    <row r="269" spans="1:7">
      <c r="A269" s="2">
        <v>268</v>
      </c>
      <c r="B269" s="2" t="s">
        <v>2139</v>
      </c>
      <c r="D269" s="2" t="s">
        <v>1163</v>
      </c>
      <c r="E269" s="2" t="s">
        <v>1736</v>
      </c>
      <c r="F269" s="2" t="s">
        <v>1145</v>
      </c>
      <c r="G269" s="2" t="s">
        <v>1146</v>
      </c>
    </row>
    <row r="270" spans="1:7">
      <c r="A270" s="2">
        <v>269</v>
      </c>
      <c r="B270" s="2" t="s">
        <v>2140</v>
      </c>
      <c r="D270" s="2" t="s">
        <v>1166</v>
      </c>
      <c r="E270" s="2" t="s">
        <v>1167</v>
      </c>
      <c r="F270" s="2" t="s">
        <v>1168</v>
      </c>
      <c r="G270" s="2" t="s">
        <v>1169</v>
      </c>
    </row>
    <row r="271" spans="1:7">
      <c r="A271" s="2">
        <v>270</v>
      </c>
      <c r="B271" s="2" t="s">
        <v>2141</v>
      </c>
      <c r="D271" s="2" t="s">
        <v>1171</v>
      </c>
      <c r="E271" s="2" t="s">
        <v>1172</v>
      </c>
      <c r="F271" s="2" t="s">
        <v>1168</v>
      </c>
      <c r="G271" s="2" t="s">
        <v>1169</v>
      </c>
    </row>
    <row r="272" spans="1:7">
      <c r="A272" s="2">
        <v>271</v>
      </c>
      <c r="B272" s="2" t="s">
        <v>2142</v>
      </c>
      <c r="D272" s="2" t="s">
        <v>1174</v>
      </c>
      <c r="E272" s="2" t="s">
        <v>1175</v>
      </c>
      <c r="F272" s="2" t="s">
        <v>1176</v>
      </c>
      <c r="G272" s="2" t="s">
        <v>1177</v>
      </c>
    </row>
    <row r="273" spans="1:7">
      <c r="A273" s="2">
        <v>272</v>
      </c>
      <c r="B273" s="2" t="s">
        <v>2143</v>
      </c>
      <c r="D273" s="2" t="s">
        <v>1179</v>
      </c>
      <c r="E273" s="2" t="s">
        <v>1180</v>
      </c>
      <c r="F273" s="2" t="s">
        <v>1181</v>
      </c>
      <c r="G273" s="2" t="s">
        <v>1182</v>
      </c>
    </row>
    <row r="274" spans="1:7">
      <c r="A274" s="2">
        <v>273</v>
      </c>
      <c r="B274" s="2" t="s">
        <v>2144</v>
      </c>
      <c r="D274" s="2" t="s">
        <v>1184</v>
      </c>
      <c r="E274" s="2" t="s">
        <v>1185</v>
      </c>
      <c r="F274" s="2" t="s">
        <v>1181</v>
      </c>
      <c r="G274" s="2" t="s">
        <v>1182</v>
      </c>
    </row>
    <row r="275" spans="1:7">
      <c r="A275" s="2">
        <v>274</v>
      </c>
      <c r="B275" s="2" t="s">
        <v>2145</v>
      </c>
      <c r="D275" s="2" t="s">
        <v>2146</v>
      </c>
      <c r="E275" s="2" t="s">
        <v>2147</v>
      </c>
      <c r="F275" s="2" t="s">
        <v>1181</v>
      </c>
      <c r="G275" s="2" t="s">
        <v>1182</v>
      </c>
    </row>
    <row r="276" spans="1:7">
      <c r="A276" s="2">
        <v>275</v>
      </c>
      <c r="B276" s="2" t="s">
        <v>2148</v>
      </c>
      <c r="D276" s="2" t="s">
        <v>2149</v>
      </c>
      <c r="E276" s="2" t="s">
        <v>2150</v>
      </c>
      <c r="F276" s="2" t="s">
        <v>2151</v>
      </c>
      <c r="G276" s="2" t="s">
        <v>2152</v>
      </c>
    </row>
    <row r="277" spans="1:7">
      <c r="A277" s="2">
        <v>276</v>
      </c>
      <c r="B277" s="2" t="s">
        <v>2153</v>
      </c>
      <c r="D277" s="2" t="s">
        <v>1187</v>
      </c>
      <c r="E277" s="2" t="s">
        <v>596</v>
      </c>
      <c r="F277" s="2" t="s">
        <v>1189</v>
      </c>
      <c r="G277" s="2" t="s">
        <v>1190</v>
      </c>
    </row>
    <row r="278" spans="1:7">
      <c r="A278" s="2">
        <v>277</v>
      </c>
      <c r="B278" s="2" t="s">
        <v>2154</v>
      </c>
      <c r="D278" s="2" t="s">
        <v>1192</v>
      </c>
      <c r="E278" s="2" t="s">
        <v>1193</v>
      </c>
      <c r="F278" s="2" t="s">
        <v>1189</v>
      </c>
      <c r="G278" s="2" t="s">
        <v>1190</v>
      </c>
    </row>
    <row r="279" spans="1:7">
      <c r="A279" s="2">
        <v>278</v>
      </c>
      <c r="B279" s="2" t="s">
        <v>2155</v>
      </c>
      <c r="D279" s="2" t="s">
        <v>1195</v>
      </c>
      <c r="E279" s="2" t="s">
        <v>1196</v>
      </c>
      <c r="F279" s="2" t="s">
        <v>1189</v>
      </c>
      <c r="G279" s="2" t="s">
        <v>1190</v>
      </c>
    </row>
    <row r="280" spans="1:7">
      <c r="A280" s="2">
        <v>279</v>
      </c>
      <c r="B280" s="2" t="s">
        <v>2156</v>
      </c>
      <c r="D280" s="2" t="s">
        <v>2157</v>
      </c>
      <c r="E280" s="2" t="s">
        <v>2158</v>
      </c>
      <c r="F280" s="2" t="s">
        <v>1189</v>
      </c>
      <c r="G280" s="2" t="s">
        <v>1190</v>
      </c>
    </row>
    <row r="281" spans="1:7">
      <c r="A281" s="2">
        <v>280</v>
      </c>
      <c r="B281" s="2" t="s">
        <v>2159</v>
      </c>
      <c r="D281" s="2" t="s">
        <v>2160</v>
      </c>
      <c r="E281" s="2" t="s">
        <v>2161</v>
      </c>
      <c r="F281" s="2" t="s">
        <v>1189</v>
      </c>
      <c r="G281" s="2" t="s">
        <v>1190</v>
      </c>
    </row>
    <row r="282" spans="1:7">
      <c r="A282" s="2">
        <v>281</v>
      </c>
      <c r="B282" s="2" t="s">
        <v>2162</v>
      </c>
      <c r="D282" s="2" t="s">
        <v>1198</v>
      </c>
      <c r="E282" s="2" t="s">
        <v>1199</v>
      </c>
      <c r="F282" s="2" t="s">
        <v>1200</v>
      </c>
      <c r="G282" s="2" t="s">
        <v>1201</v>
      </c>
    </row>
    <row r="283" spans="1:7">
      <c r="A283" s="2">
        <v>282</v>
      </c>
      <c r="B283" s="2" t="s">
        <v>2163</v>
      </c>
      <c r="D283" s="2" t="s">
        <v>2164</v>
      </c>
      <c r="E283" s="2" t="s">
        <v>2165</v>
      </c>
      <c r="F283" s="2" t="s">
        <v>2166</v>
      </c>
      <c r="G283" s="2" t="s">
        <v>2167</v>
      </c>
    </row>
    <row r="284" spans="1:7">
      <c r="A284" s="2">
        <v>283</v>
      </c>
      <c r="B284" s="2" t="s">
        <v>2168</v>
      </c>
      <c r="D284" s="2" t="s">
        <v>2169</v>
      </c>
      <c r="E284" s="2" t="s">
        <v>2170</v>
      </c>
      <c r="F284" s="2" t="s">
        <v>2166</v>
      </c>
      <c r="G284" s="2" t="s">
        <v>2167</v>
      </c>
    </row>
    <row r="285" spans="1:7">
      <c r="A285" s="2">
        <v>284</v>
      </c>
      <c r="B285" s="2" t="s">
        <v>2171</v>
      </c>
      <c r="D285" s="2" t="s">
        <v>1203</v>
      </c>
      <c r="E285" s="2" t="s">
        <v>1204</v>
      </c>
      <c r="F285" s="2" t="s">
        <v>1205</v>
      </c>
      <c r="G285" s="2" t="s">
        <v>1206</v>
      </c>
    </row>
    <row r="286" spans="1:7">
      <c r="A286" s="2">
        <v>285</v>
      </c>
      <c r="B286" s="2" t="s">
        <v>2172</v>
      </c>
      <c r="D286" s="2" t="s">
        <v>1208</v>
      </c>
      <c r="E286" s="2" t="s">
        <v>1209</v>
      </c>
      <c r="F286" s="2" t="s">
        <v>1210</v>
      </c>
      <c r="G286" s="2" t="s">
        <v>1211</v>
      </c>
    </row>
    <row r="287" spans="1:7">
      <c r="A287" s="2">
        <v>286</v>
      </c>
      <c r="B287" s="2" t="s">
        <v>2173</v>
      </c>
      <c r="D287" s="2" t="s">
        <v>1213</v>
      </c>
      <c r="E287" s="2" t="s">
        <v>1214</v>
      </c>
      <c r="F287" s="2" t="s">
        <v>1210</v>
      </c>
      <c r="G287" s="2" t="s">
        <v>1211</v>
      </c>
    </row>
    <row r="288" spans="1:7">
      <c r="A288" s="2">
        <v>287</v>
      </c>
      <c r="B288" s="2" t="s">
        <v>2174</v>
      </c>
      <c r="D288" s="2" t="s">
        <v>1216</v>
      </c>
      <c r="E288" s="2" t="s">
        <v>1217</v>
      </c>
      <c r="F288" s="2" t="s">
        <v>1210</v>
      </c>
      <c r="G288" s="2" t="s">
        <v>1211</v>
      </c>
    </row>
    <row r="289" spans="1:7">
      <c r="A289" s="2">
        <v>288</v>
      </c>
      <c r="B289" s="2" t="s">
        <v>2175</v>
      </c>
      <c r="D289" s="2" t="s">
        <v>1219</v>
      </c>
      <c r="E289" s="2" t="s">
        <v>1220</v>
      </c>
      <c r="F289" s="2" t="s">
        <v>1210</v>
      </c>
      <c r="G289" s="2" t="s">
        <v>1211</v>
      </c>
    </row>
    <row r="290" spans="1:7">
      <c r="A290" s="2">
        <v>289</v>
      </c>
      <c r="B290" s="2" t="s">
        <v>2176</v>
      </c>
      <c r="D290" s="2" t="s">
        <v>1222</v>
      </c>
      <c r="E290" s="2" t="s">
        <v>1223</v>
      </c>
      <c r="F290" s="2" t="s">
        <v>1224</v>
      </c>
      <c r="G290" s="2" t="s">
        <v>1225</v>
      </c>
    </row>
    <row r="291" spans="1:7">
      <c r="A291" s="2">
        <v>290</v>
      </c>
      <c r="B291" s="2" t="s">
        <v>2177</v>
      </c>
      <c r="D291" s="2" t="s">
        <v>1227</v>
      </c>
      <c r="E291" s="2" t="s">
        <v>1228</v>
      </c>
      <c r="F291" s="2" t="s">
        <v>1229</v>
      </c>
      <c r="G291" s="2" t="s">
        <v>1230</v>
      </c>
    </row>
    <row r="292" spans="1:7">
      <c r="A292" s="2">
        <v>291</v>
      </c>
      <c r="B292" s="2" t="s">
        <v>2178</v>
      </c>
      <c r="D292" s="2" t="s">
        <v>1232</v>
      </c>
      <c r="E292" s="2" t="s">
        <v>1233</v>
      </c>
      <c r="F292" s="2" t="s">
        <v>1234</v>
      </c>
      <c r="G292" s="2" t="s">
        <v>1235</v>
      </c>
    </row>
    <row r="293" spans="1:7">
      <c r="A293" s="2">
        <v>292</v>
      </c>
      <c r="B293" s="2" t="s">
        <v>2179</v>
      </c>
      <c r="D293" s="2" t="s">
        <v>1237</v>
      </c>
      <c r="E293" s="2" t="s">
        <v>455</v>
      </c>
      <c r="F293" s="2" t="s">
        <v>1239</v>
      </c>
      <c r="G293" s="2" t="s">
        <v>1240</v>
      </c>
    </row>
    <row r="294" spans="1:7">
      <c r="A294" s="2">
        <v>293</v>
      </c>
      <c r="B294" s="2" t="s">
        <v>2180</v>
      </c>
      <c r="D294" s="2" t="s">
        <v>1242</v>
      </c>
      <c r="E294" s="2" t="s">
        <v>450</v>
      </c>
      <c r="F294" s="2" t="s">
        <v>1239</v>
      </c>
      <c r="G294" s="2" t="s">
        <v>1240</v>
      </c>
    </row>
    <row r="295" spans="1:7">
      <c r="A295" s="2">
        <v>294</v>
      </c>
      <c r="B295" s="2" t="s">
        <v>2181</v>
      </c>
      <c r="D295" s="2" t="s">
        <v>1245</v>
      </c>
      <c r="E295" s="2" t="s">
        <v>1246</v>
      </c>
      <c r="F295" s="2" t="s">
        <v>1247</v>
      </c>
      <c r="G295" s="2" t="s">
        <v>1248</v>
      </c>
    </row>
    <row r="296" spans="1:7">
      <c r="A296" s="2">
        <v>295</v>
      </c>
      <c r="B296" s="2" t="s">
        <v>2182</v>
      </c>
      <c r="D296" s="2" t="s">
        <v>1250</v>
      </c>
      <c r="E296" s="2" t="s">
        <v>1251</v>
      </c>
      <c r="F296" s="2" t="s">
        <v>1252</v>
      </c>
      <c r="G296" s="2" t="s">
        <v>1253</v>
      </c>
    </row>
    <row r="297" spans="1:7">
      <c r="A297" s="2">
        <v>296</v>
      </c>
      <c r="B297" s="2" t="s">
        <v>2183</v>
      </c>
      <c r="D297" s="2" t="s">
        <v>1255</v>
      </c>
      <c r="E297" s="2" t="s">
        <v>1256</v>
      </c>
      <c r="F297" s="2" t="s">
        <v>1257</v>
      </c>
      <c r="G297" s="2" t="s">
        <v>1258</v>
      </c>
    </row>
    <row r="298" spans="1:7">
      <c r="A298" s="2">
        <v>297</v>
      </c>
      <c r="B298" s="2" t="s">
        <v>2184</v>
      </c>
      <c r="D298" s="2" t="s">
        <v>1260</v>
      </c>
      <c r="E298" s="2" t="s">
        <v>1261</v>
      </c>
      <c r="F298" s="2" t="s">
        <v>1262</v>
      </c>
      <c r="G298" s="2" t="s">
        <v>1263</v>
      </c>
    </row>
    <row r="299" spans="1:7">
      <c r="A299" s="2">
        <v>298</v>
      </c>
      <c r="B299" s="2" t="s">
        <v>2185</v>
      </c>
      <c r="D299" s="2" t="s">
        <v>1265</v>
      </c>
      <c r="E299" s="2" t="s">
        <v>1266</v>
      </c>
      <c r="F299" s="2" t="s">
        <v>1267</v>
      </c>
      <c r="G299" s="2" t="s">
        <v>1268</v>
      </c>
    </row>
    <row r="300" spans="1:7">
      <c r="A300" s="2">
        <v>299</v>
      </c>
      <c r="B300" s="2" t="s">
        <v>2186</v>
      </c>
      <c r="D300" s="2" t="s">
        <v>1270</v>
      </c>
      <c r="E300" s="2" t="s">
        <v>1271</v>
      </c>
      <c r="F300" s="2" t="s">
        <v>1272</v>
      </c>
      <c r="G300" s="2" t="s">
        <v>1273</v>
      </c>
    </row>
    <row r="301" spans="1:7">
      <c r="A301" s="2">
        <v>300</v>
      </c>
      <c r="B301" s="2" t="s">
        <v>2187</v>
      </c>
      <c r="D301" s="2" t="s">
        <v>1275</v>
      </c>
      <c r="E301" s="2" t="s">
        <v>1276</v>
      </c>
      <c r="F301" s="2" t="s">
        <v>1277</v>
      </c>
      <c r="G301" s="2" t="s">
        <v>1278</v>
      </c>
    </row>
    <row r="302" spans="1:7">
      <c r="A302" s="2">
        <v>301</v>
      </c>
      <c r="B302" s="2" t="s">
        <v>2188</v>
      </c>
      <c r="D302" s="2" t="s">
        <v>1280</v>
      </c>
      <c r="E302" s="2" t="s">
        <v>1281</v>
      </c>
      <c r="F302" s="2" t="s">
        <v>1282</v>
      </c>
      <c r="G302" s="2" t="s">
        <v>1283</v>
      </c>
    </row>
    <row r="303" spans="1:7">
      <c r="A303" s="2">
        <v>302</v>
      </c>
      <c r="B303" s="2" t="s">
        <v>2189</v>
      </c>
      <c r="D303" s="2" t="s">
        <v>1285</v>
      </c>
      <c r="E303" s="2" t="s">
        <v>1286</v>
      </c>
      <c r="F303" s="2" t="s">
        <v>1287</v>
      </c>
      <c r="G303" s="2" t="s">
        <v>1288</v>
      </c>
    </row>
    <row r="304" spans="1:7">
      <c r="A304" s="2">
        <v>303</v>
      </c>
      <c r="B304" s="2" t="s">
        <v>2190</v>
      </c>
      <c r="D304" s="2" t="s">
        <v>1290</v>
      </c>
      <c r="E304" s="2" t="s">
        <v>1291</v>
      </c>
      <c r="F304" s="2" t="s">
        <v>1292</v>
      </c>
      <c r="G304" s="2" t="s">
        <v>1293</v>
      </c>
    </row>
    <row r="305" spans="1:7">
      <c r="A305" s="2">
        <v>304</v>
      </c>
      <c r="B305" s="2" t="s">
        <v>2191</v>
      </c>
      <c r="D305" s="2" t="s">
        <v>1295</v>
      </c>
      <c r="E305" s="2" t="s">
        <v>1296</v>
      </c>
      <c r="F305" s="2" t="s">
        <v>1297</v>
      </c>
      <c r="G305" s="2" t="s">
        <v>1298</v>
      </c>
    </row>
    <row r="306" spans="1:7">
      <c r="A306" s="2">
        <v>305</v>
      </c>
      <c r="B306" s="2" t="s">
        <v>2192</v>
      </c>
      <c r="D306" s="2" t="s">
        <v>1300</v>
      </c>
      <c r="E306" s="2" t="s">
        <v>1301</v>
      </c>
      <c r="F306" s="2" t="s">
        <v>1302</v>
      </c>
      <c r="G306" s="2" t="s">
        <v>1303</v>
      </c>
    </row>
    <row r="307" spans="1:7">
      <c r="A307" s="2">
        <v>306</v>
      </c>
      <c r="B307" s="2" t="s">
        <v>2193</v>
      </c>
      <c r="D307" s="2" t="s">
        <v>1305</v>
      </c>
      <c r="E307" s="2" t="s">
        <v>1306</v>
      </c>
      <c r="F307" s="2" t="s">
        <v>1307</v>
      </c>
      <c r="G307" s="2" t="s">
        <v>1308</v>
      </c>
    </row>
    <row r="308" spans="1:7">
      <c r="A308" s="2">
        <v>307</v>
      </c>
      <c r="B308" s="2" t="s">
        <v>2194</v>
      </c>
      <c r="D308" s="2" t="s">
        <v>1310</v>
      </c>
      <c r="E308" s="2" t="s">
        <v>1311</v>
      </c>
      <c r="F308" s="2" t="s">
        <v>1312</v>
      </c>
      <c r="G308" s="2" t="s">
        <v>1313</v>
      </c>
    </row>
    <row r="309" spans="1:7">
      <c r="A309" s="2">
        <v>308</v>
      </c>
      <c r="B309" s="2" t="s">
        <v>2195</v>
      </c>
      <c r="D309" s="2" t="s">
        <v>1315</v>
      </c>
      <c r="E309" s="2" t="s">
        <v>1316</v>
      </c>
      <c r="F309" s="2" t="s">
        <v>1317</v>
      </c>
      <c r="G309" s="2" t="s">
        <v>1318</v>
      </c>
    </row>
    <row r="310" spans="1:7">
      <c r="A310" s="2">
        <v>309</v>
      </c>
      <c r="B310" s="2" t="s">
        <v>2196</v>
      </c>
      <c r="D310" s="2" t="s">
        <v>1320</v>
      </c>
      <c r="E310" s="2" t="s">
        <v>1321</v>
      </c>
      <c r="F310" s="2" t="s">
        <v>1322</v>
      </c>
      <c r="G310" s="2" t="s">
        <v>1323</v>
      </c>
    </row>
    <row r="311" spans="1:7">
      <c r="A311" s="2">
        <v>310</v>
      </c>
      <c r="B311" s="2" t="s">
        <v>2197</v>
      </c>
      <c r="D311" s="2" t="s">
        <v>1325</v>
      </c>
      <c r="E311" s="2" t="s">
        <v>1331</v>
      </c>
      <c r="F311" s="2" t="s">
        <v>1327</v>
      </c>
      <c r="G311" s="2" t="s">
        <v>1328</v>
      </c>
    </row>
    <row r="312" spans="1:7">
      <c r="A312" s="2">
        <v>311</v>
      </c>
      <c r="B312" s="2" t="s">
        <v>2198</v>
      </c>
      <c r="D312" s="2" t="s">
        <v>1330</v>
      </c>
      <c r="E312" s="2" t="s">
        <v>1774</v>
      </c>
      <c r="F312" s="2" t="s">
        <v>1327</v>
      </c>
      <c r="G312" s="2" t="s">
        <v>1328</v>
      </c>
    </row>
    <row r="313" spans="1:7">
      <c r="A313" s="2">
        <v>312</v>
      </c>
      <c r="B313" s="2" t="s">
        <v>2199</v>
      </c>
      <c r="D313" s="2" t="s">
        <v>2200</v>
      </c>
      <c r="E313" s="2" t="s">
        <v>2201</v>
      </c>
      <c r="F313" s="2" t="s">
        <v>2202</v>
      </c>
      <c r="G313" s="2" t="s">
        <v>2203</v>
      </c>
    </row>
    <row r="314" spans="1:7">
      <c r="A314" s="2">
        <v>313</v>
      </c>
      <c r="B314" s="2" t="s">
        <v>2204</v>
      </c>
      <c r="D314" s="2" t="s">
        <v>1333</v>
      </c>
      <c r="E314" s="2" t="s">
        <v>1334</v>
      </c>
      <c r="F314" s="2" t="s">
        <v>1335</v>
      </c>
      <c r="G314" s="2" t="s">
        <v>1336</v>
      </c>
    </row>
    <row r="315" spans="1:7">
      <c r="A315" s="2">
        <v>314</v>
      </c>
      <c r="B315" s="2" t="s">
        <v>2205</v>
      </c>
      <c r="D315" s="2" t="s">
        <v>2206</v>
      </c>
      <c r="E315" s="2" t="s">
        <v>2207</v>
      </c>
      <c r="F315" s="2" t="s">
        <v>1335</v>
      </c>
      <c r="G315" s="2" t="s">
        <v>1336</v>
      </c>
    </row>
    <row r="316" spans="1:7">
      <c r="A316" s="2">
        <v>315</v>
      </c>
      <c r="B316" s="2" t="s">
        <v>2208</v>
      </c>
      <c r="D316" s="2" t="s">
        <v>1338</v>
      </c>
      <c r="E316" s="2" t="s">
        <v>1339</v>
      </c>
      <c r="F316" s="2" t="s">
        <v>1340</v>
      </c>
      <c r="G316" s="2" t="s">
        <v>1341</v>
      </c>
    </row>
    <row r="317" spans="1:7">
      <c r="A317" s="2">
        <v>316</v>
      </c>
      <c r="B317" s="2" t="s">
        <v>2209</v>
      </c>
      <c r="D317" s="2" t="s">
        <v>1343</v>
      </c>
      <c r="E317" s="2" t="s">
        <v>1344</v>
      </c>
      <c r="F317" s="2" t="s">
        <v>1345</v>
      </c>
      <c r="G317" s="2" t="s">
        <v>1346</v>
      </c>
    </row>
    <row r="318" spans="1:7">
      <c r="A318" s="2">
        <v>317</v>
      </c>
      <c r="B318" s="2" t="s">
        <v>2210</v>
      </c>
      <c r="D318" s="2" t="s">
        <v>1348</v>
      </c>
      <c r="E318" s="2" t="s">
        <v>1349</v>
      </c>
      <c r="F318" s="2" t="s">
        <v>1350</v>
      </c>
      <c r="G318" s="2" t="s">
        <v>1351</v>
      </c>
    </row>
    <row r="319" spans="1:7">
      <c r="A319" s="2">
        <v>318</v>
      </c>
      <c r="B319" s="2" t="s">
        <v>2211</v>
      </c>
      <c r="D319" s="2" t="s">
        <v>1353</v>
      </c>
      <c r="E319" s="2" t="s">
        <v>1354</v>
      </c>
      <c r="F319" s="2" t="s">
        <v>1350</v>
      </c>
      <c r="G319" s="2" t="s">
        <v>1351</v>
      </c>
    </row>
    <row r="320" spans="1:7">
      <c r="A320" s="2">
        <v>319</v>
      </c>
      <c r="B320" s="2" t="s">
        <v>2212</v>
      </c>
      <c r="D320" s="2" t="s">
        <v>1356</v>
      </c>
      <c r="E320" s="2" t="s">
        <v>1357</v>
      </c>
      <c r="F320" s="2" t="s">
        <v>1350</v>
      </c>
      <c r="G320" s="2" t="s">
        <v>1351</v>
      </c>
    </row>
    <row r="321" spans="1:7">
      <c r="A321" s="2">
        <v>320</v>
      </c>
      <c r="B321" s="2" t="s">
        <v>2213</v>
      </c>
      <c r="D321" s="2" t="s">
        <v>1359</v>
      </c>
      <c r="E321" s="2" t="s">
        <v>1158</v>
      </c>
      <c r="F321" s="2" t="s">
        <v>1361</v>
      </c>
      <c r="G321" s="2" t="s">
        <v>1362</v>
      </c>
    </row>
    <row r="322" spans="1:7">
      <c r="A322" s="2">
        <v>321</v>
      </c>
      <c r="B322" s="2" t="s">
        <v>2214</v>
      </c>
      <c r="D322" s="2" t="s">
        <v>1364</v>
      </c>
      <c r="E322" s="2" t="s">
        <v>1155</v>
      </c>
      <c r="F322" s="2" t="s">
        <v>1361</v>
      </c>
      <c r="G322" s="2" t="s">
        <v>1362</v>
      </c>
    </row>
    <row r="323" spans="1:7">
      <c r="A323" s="2">
        <v>322</v>
      </c>
      <c r="B323" s="2" t="s">
        <v>2215</v>
      </c>
      <c r="D323" s="2" t="s">
        <v>1367</v>
      </c>
      <c r="E323" s="2" t="s">
        <v>1368</v>
      </c>
      <c r="F323" s="2" t="s">
        <v>1369</v>
      </c>
      <c r="G323" s="2" t="s">
        <v>1370</v>
      </c>
    </row>
    <row r="324" spans="1:7">
      <c r="A324" s="2">
        <v>323</v>
      </c>
      <c r="B324" s="2" t="s">
        <v>2216</v>
      </c>
      <c r="D324" s="2" t="s">
        <v>1372</v>
      </c>
      <c r="E324" s="2" t="s">
        <v>1373</v>
      </c>
      <c r="F324" s="2" t="s">
        <v>1374</v>
      </c>
      <c r="G324" s="2" t="s">
        <v>1375</v>
      </c>
    </row>
    <row r="325" spans="1:7">
      <c r="A325" s="2">
        <v>324</v>
      </c>
      <c r="B325" s="2" t="s">
        <v>2217</v>
      </c>
      <c r="D325" s="2" t="s">
        <v>1377</v>
      </c>
      <c r="E325" s="2" t="s">
        <v>1378</v>
      </c>
      <c r="F325" s="2" t="s">
        <v>1379</v>
      </c>
      <c r="G325" s="2" t="s">
        <v>1380</v>
      </c>
    </row>
    <row r="326" spans="1:7">
      <c r="A326" s="2">
        <v>325</v>
      </c>
      <c r="B326" s="2" t="s">
        <v>2218</v>
      </c>
      <c r="D326" s="2" t="s">
        <v>1382</v>
      </c>
      <c r="E326" s="2" t="s">
        <v>1383</v>
      </c>
      <c r="F326" s="2" t="s">
        <v>1384</v>
      </c>
      <c r="G326" s="2" t="s">
        <v>1385</v>
      </c>
    </row>
    <row r="327" spans="1:7">
      <c r="A327" s="2">
        <v>326</v>
      </c>
      <c r="B327" s="2" t="s">
        <v>2219</v>
      </c>
      <c r="D327" s="2" t="s">
        <v>1387</v>
      </c>
      <c r="E327" s="2" t="s">
        <v>1388</v>
      </c>
      <c r="F327" s="2" t="s">
        <v>1389</v>
      </c>
      <c r="G327" s="2" t="s">
        <v>1390</v>
      </c>
    </row>
    <row r="328" spans="1:7">
      <c r="A328" s="2">
        <v>327</v>
      </c>
      <c r="B328" s="2" t="s">
        <v>2220</v>
      </c>
      <c r="D328" s="2" t="s">
        <v>1392</v>
      </c>
      <c r="E328" s="2" t="s">
        <v>1393</v>
      </c>
      <c r="F328" s="2" t="s">
        <v>1394</v>
      </c>
      <c r="G328" s="2" t="s">
        <v>1395</v>
      </c>
    </row>
    <row r="329" spans="1:7">
      <c r="A329" s="2">
        <v>328</v>
      </c>
      <c r="B329" s="2" t="s">
        <v>2221</v>
      </c>
      <c r="D329" s="2" t="s">
        <v>1397</v>
      </c>
      <c r="E329" s="2" t="s">
        <v>1398</v>
      </c>
      <c r="F329" s="2" t="s">
        <v>1399</v>
      </c>
      <c r="G329" s="2" t="s">
        <v>1400</v>
      </c>
    </row>
    <row r="330" spans="1:7">
      <c r="A330" s="2">
        <v>329</v>
      </c>
      <c r="B330" s="2" t="s">
        <v>2222</v>
      </c>
      <c r="D330" s="2" t="s">
        <v>1402</v>
      </c>
      <c r="E330" s="2" t="s">
        <v>1403</v>
      </c>
      <c r="F330" s="2" t="s">
        <v>1404</v>
      </c>
      <c r="G330" s="2" t="s">
        <v>1405</v>
      </c>
    </row>
    <row r="331" spans="1:7">
      <c r="A331" s="2">
        <v>330</v>
      </c>
      <c r="B331" s="2" t="s">
        <v>2223</v>
      </c>
      <c r="D331" s="2" t="s">
        <v>1407</v>
      </c>
      <c r="E331" s="2" t="s">
        <v>1408</v>
      </c>
      <c r="F331" s="2" t="s">
        <v>1409</v>
      </c>
      <c r="G331" s="2" t="s">
        <v>1410</v>
      </c>
    </row>
    <row r="332" spans="1:7">
      <c r="A332" s="2">
        <v>331</v>
      </c>
      <c r="B332" s="2" t="s">
        <v>2224</v>
      </c>
      <c r="D332" s="2" t="s">
        <v>1412</v>
      </c>
      <c r="E332" s="2" t="s">
        <v>1413</v>
      </c>
      <c r="F332" s="2" t="s">
        <v>1414</v>
      </c>
      <c r="G332" s="2" t="s">
        <v>1415</v>
      </c>
    </row>
    <row r="333" spans="1:7">
      <c r="A333" s="2">
        <v>332</v>
      </c>
      <c r="B333" s="2" t="s">
        <v>2225</v>
      </c>
      <c r="D333" s="2" t="s">
        <v>1417</v>
      </c>
      <c r="E333" s="2" t="s">
        <v>1418</v>
      </c>
      <c r="F333" s="2" t="s">
        <v>1419</v>
      </c>
      <c r="G333" s="2" t="s">
        <v>1420</v>
      </c>
    </row>
    <row r="334" spans="1:7">
      <c r="A334" s="2">
        <v>333</v>
      </c>
      <c r="B334" s="2" t="s">
        <v>2226</v>
      </c>
      <c r="D334" s="2" t="s">
        <v>1422</v>
      </c>
      <c r="E334" s="2" t="s">
        <v>1423</v>
      </c>
      <c r="F334" s="2" t="s">
        <v>1424</v>
      </c>
      <c r="G334" s="2" t="s">
        <v>1425</v>
      </c>
    </row>
    <row r="335" spans="1:7">
      <c r="A335" s="2">
        <v>334</v>
      </c>
      <c r="B335" s="2" t="s">
        <v>2227</v>
      </c>
      <c r="D335" s="2" t="s">
        <v>1427</v>
      </c>
      <c r="E335" s="2" t="s">
        <v>1428</v>
      </c>
      <c r="F335" s="2" t="s">
        <v>1429</v>
      </c>
      <c r="G335" s="2" t="s">
        <v>1430</v>
      </c>
    </row>
    <row r="336" spans="1:7">
      <c r="A336" s="2">
        <v>335</v>
      </c>
      <c r="B336" s="2" t="s">
        <v>2228</v>
      </c>
      <c r="D336" s="2" t="s">
        <v>1432</v>
      </c>
      <c r="E336" s="2" t="s">
        <v>1433</v>
      </c>
      <c r="F336" s="2" t="s">
        <v>1434</v>
      </c>
      <c r="G336" s="2" t="s">
        <v>1435</v>
      </c>
    </row>
    <row r="337" spans="1:7">
      <c r="A337" s="2">
        <v>336</v>
      </c>
      <c r="B337" s="2" t="s">
        <v>2229</v>
      </c>
      <c r="D337" s="2" t="s">
        <v>1437</v>
      </c>
      <c r="E337" s="2" t="s">
        <v>1798</v>
      </c>
      <c r="F337" s="2" t="s">
        <v>1439</v>
      </c>
      <c r="G337" s="2" t="s">
        <v>1440</v>
      </c>
    </row>
    <row r="338" spans="1:7">
      <c r="A338" s="2">
        <v>337</v>
      </c>
      <c r="B338" s="2" t="s">
        <v>2230</v>
      </c>
      <c r="D338" s="2" t="s">
        <v>1442</v>
      </c>
      <c r="E338" s="2" t="s">
        <v>475</v>
      </c>
      <c r="F338" s="2" t="s">
        <v>1439</v>
      </c>
      <c r="G338" s="2" t="s">
        <v>1440</v>
      </c>
    </row>
    <row r="339" spans="1:7">
      <c r="A339" s="2">
        <v>338</v>
      </c>
      <c r="B339" s="2" t="s">
        <v>2231</v>
      </c>
      <c r="D339" s="2" t="s">
        <v>1445</v>
      </c>
      <c r="E339" s="2" t="s">
        <v>1446</v>
      </c>
      <c r="F339" s="2" t="s">
        <v>1229</v>
      </c>
      <c r="G339" s="2" t="s">
        <v>1230</v>
      </c>
    </row>
    <row r="340" spans="1:7">
      <c r="A340" s="2">
        <v>339</v>
      </c>
      <c r="B340" s="2" t="s">
        <v>2232</v>
      </c>
      <c r="D340" s="2" t="s">
        <v>2233</v>
      </c>
      <c r="E340" s="2" t="s">
        <v>2234</v>
      </c>
      <c r="F340" s="2" t="s">
        <v>1229</v>
      </c>
      <c r="G340" s="2" t="s">
        <v>1230</v>
      </c>
    </row>
    <row r="341" spans="1:7">
      <c r="A341" s="2">
        <v>340</v>
      </c>
      <c r="B341" s="2" t="s">
        <v>2235</v>
      </c>
      <c r="D341" s="2" t="s">
        <v>2236</v>
      </c>
      <c r="E341" s="2" t="s">
        <v>2237</v>
      </c>
      <c r="F341" s="2" t="s">
        <v>1229</v>
      </c>
      <c r="G341" s="2" t="s">
        <v>1230</v>
      </c>
    </row>
    <row r="342" spans="1:7">
      <c r="A342" s="2">
        <v>341</v>
      </c>
      <c r="B342" s="2" t="s">
        <v>2238</v>
      </c>
      <c r="D342" s="2" t="s">
        <v>1448</v>
      </c>
      <c r="E342" s="2" t="s">
        <v>1449</v>
      </c>
      <c r="F342" s="2" t="s">
        <v>1234</v>
      </c>
      <c r="G342" s="2" t="s">
        <v>1235</v>
      </c>
    </row>
    <row r="343" spans="1:7">
      <c r="A343" s="2">
        <v>342</v>
      </c>
      <c r="B343" s="2" t="s">
        <v>2239</v>
      </c>
      <c r="D343" s="2" t="s">
        <v>2240</v>
      </c>
      <c r="E343" s="2" t="s">
        <v>2241</v>
      </c>
      <c r="F343" s="2" t="s">
        <v>1234</v>
      </c>
      <c r="G343" s="2" t="s">
        <v>1235</v>
      </c>
    </row>
    <row r="344" spans="1:7">
      <c r="A344" s="2">
        <v>343</v>
      </c>
      <c r="B344" s="2" t="s">
        <v>2242</v>
      </c>
      <c r="D344" s="2" t="s">
        <v>2243</v>
      </c>
      <c r="E344" s="2" t="s">
        <v>2244</v>
      </c>
      <c r="F344" s="2" t="s">
        <v>1234</v>
      </c>
      <c r="G344" s="2" t="s">
        <v>1235</v>
      </c>
    </row>
    <row r="345" spans="1:7">
      <c r="A345" s="2">
        <v>344</v>
      </c>
      <c r="B345" s="2" t="s">
        <v>2245</v>
      </c>
      <c r="D345" s="2" t="s">
        <v>1451</v>
      </c>
      <c r="E345" s="2" t="s">
        <v>1452</v>
      </c>
      <c r="F345" s="2" t="s">
        <v>1453</v>
      </c>
      <c r="G345" s="2" t="s">
        <v>1454</v>
      </c>
    </row>
    <row r="346" spans="1:7">
      <c r="A346" s="2">
        <v>345</v>
      </c>
      <c r="B346" s="2" t="s">
        <v>2246</v>
      </c>
      <c r="D346" s="2" t="s">
        <v>1456</v>
      </c>
      <c r="E346" s="2" t="s">
        <v>1457</v>
      </c>
      <c r="F346" s="2" t="s">
        <v>1458</v>
      </c>
      <c r="G346" s="2" t="s">
        <v>1459</v>
      </c>
    </row>
  </sheetData>
  <autoFilter ref="A1:K337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EV2"/>
  <sheetViews>
    <sheetView tabSelected="1" workbookViewId="0">
      <pane ySplit="1" topLeftCell="A2" activePane="bottomLeft" state="frozen"/>
      <selection/>
      <selection pane="bottomLeft" activeCell="B9" sqref="B9"/>
    </sheetView>
  </sheetViews>
  <sheetFormatPr defaultColWidth="9" defaultRowHeight="13.5" outlineLevelRow="1"/>
  <cols>
    <col min="1" max="1" width="38.25" style="2" customWidth="1"/>
    <col min="2" max="2" width="46.3833333333333" style="2" customWidth="1"/>
    <col min="3" max="3" width="20.8833333333333" style="2" customWidth="1"/>
    <col min="4" max="16384" width="9" style="2"/>
  </cols>
  <sheetData>
    <row r="1" spans="1:152">
      <c r="A1" s="2" t="s">
        <v>5</v>
      </c>
      <c r="F1" s="3">
        <v>1</v>
      </c>
      <c r="G1" s="4"/>
      <c r="H1" s="4"/>
      <c r="I1" s="4"/>
      <c r="J1" s="4"/>
      <c r="K1" s="4"/>
      <c r="L1" s="4"/>
      <c r="M1" s="4"/>
      <c r="N1" s="4"/>
      <c r="O1" s="4"/>
      <c r="P1" s="3">
        <v>2</v>
      </c>
      <c r="Q1" s="4"/>
      <c r="R1" s="4"/>
      <c r="S1" s="4"/>
      <c r="T1" s="4"/>
      <c r="U1" s="4"/>
      <c r="V1" s="4"/>
      <c r="W1" s="4"/>
      <c r="X1" s="4"/>
      <c r="Y1" s="4"/>
      <c r="Z1" s="3">
        <v>3</v>
      </c>
      <c r="AA1" s="4"/>
      <c r="AB1" s="4"/>
      <c r="AC1" s="4"/>
      <c r="AD1" s="4"/>
      <c r="AE1" s="4"/>
      <c r="AF1" s="4"/>
      <c r="AG1" s="4"/>
      <c r="AH1" s="4"/>
      <c r="AI1" s="4"/>
      <c r="AJ1" s="3">
        <v>4</v>
      </c>
      <c r="AK1" s="4"/>
      <c r="AL1" s="4"/>
      <c r="AM1" s="4"/>
      <c r="AN1" s="4"/>
      <c r="AO1" s="4"/>
      <c r="AP1" s="4"/>
      <c r="AQ1" s="4"/>
      <c r="AR1" s="4"/>
      <c r="AS1" s="3">
        <v>5</v>
      </c>
      <c r="AT1" s="4"/>
      <c r="AU1" s="4"/>
      <c r="AV1" s="4"/>
      <c r="AW1" s="4"/>
      <c r="AX1" s="4"/>
      <c r="AY1" s="4"/>
      <c r="AZ1" s="4"/>
      <c r="BA1" s="4"/>
      <c r="BB1" s="3">
        <v>6</v>
      </c>
      <c r="BC1" s="4"/>
      <c r="BD1" s="4"/>
      <c r="BE1" s="4"/>
      <c r="BF1" s="4"/>
      <c r="BG1" s="4"/>
      <c r="BH1" s="4"/>
      <c r="BI1" s="4"/>
      <c r="BJ1" s="4"/>
      <c r="BK1" s="3">
        <v>7</v>
      </c>
      <c r="BL1" s="4"/>
      <c r="BM1" s="4"/>
      <c r="BN1" s="4"/>
      <c r="BO1" s="4"/>
      <c r="BP1" s="4"/>
      <c r="BQ1" s="4"/>
      <c r="BR1" s="4"/>
      <c r="BS1" s="6"/>
      <c r="BT1" s="3">
        <v>8</v>
      </c>
      <c r="BU1" s="4"/>
      <c r="BV1" s="4"/>
      <c r="BW1" s="4"/>
      <c r="BX1" s="4"/>
      <c r="BY1" s="4"/>
      <c r="BZ1" s="4"/>
      <c r="CA1" s="4"/>
      <c r="CB1" s="6"/>
      <c r="CC1" s="3">
        <v>9</v>
      </c>
      <c r="CD1" s="4"/>
      <c r="CE1" s="4"/>
      <c r="CF1" s="4"/>
      <c r="CG1" s="4"/>
      <c r="CH1" s="4"/>
      <c r="CI1" s="4"/>
      <c r="CJ1" s="4"/>
      <c r="CK1" s="6"/>
      <c r="CL1" s="3">
        <v>10</v>
      </c>
      <c r="CM1" s="4"/>
      <c r="CN1" s="4"/>
      <c r="CO1" s="4"/>
      <c r="CP1" s="4"/>
      <c r="CQ1" s="4"/>
      <c r="CR1" s="4"/>
      <c r="CS1" s="4"/>
      <c r="CT1" s="6"/>
      <c r="CU1" s="3">
        <v>11</v>
      </c>
      <c r="CV1" s="4"/>
      <c r="CW1" s="4"/>
      <c r="CX1" s="4"/>
      <c r="CY1" s="4"/>
      <c r="CZ1" s="4"/>
      <c r="DA1" s="4"/>
      <c r="DB1" s="4"/>
      <c r="DC1" s="6"/>
      <c r="DD1" s="3">
        <v>12</v>
      </c>
      <c r="DE1" s="4"/>
      <c r="DF1" s="4"/>
      <c r="DG1" s="4"/>
      <c r="DH1" s="4"/>
      <c r="DI1" s="4"/>
      <c r="DJ1" s="4"/>
      <c r="DK1" s="4"/>
      <c r="DL1" s="6"/>
      <c r="DM1" s="3">
        <v>13</v>
      </c>
      <c r="DN1" s="4"/>
      <c r="DO1" s="4"/>
      <c r="DP1" s="4"/>
      <c r="DQ1" s="4"/>
      <c r="DR1" s="4"/>
      <c r="DS1" s="4"/>
      <c r="DT1" s="4"/>
      <c r="DU1" s="6"/>
      <c r="DV1" s="3">
        <v>14</v>
      </c>
      <c r="DW1" s="4"/>
      <c r="DX1" s="4"/>
      <c r="DY1" s="4"/>
      <c r="DZ1" s="4"/>
      <c r="EA1" s="4"/>
      <c r="EB1" s="4"/>
      <c r="EC1" s="4"/>
      <c r="ED1" s="6"/>
      <c r="EE1" s="3">
        <v>15</v>
      </c>
      <c r="EF1" s="4"/>
      <c r="EG1" s="4"/>
      <c r="EH1" s="4"/>
      <c r="EI1" s="4"/>
      <c r="EJ1" s="4"/>
      <c r="EK1" s="4"/>
      <c r="EL1" s="4"/>
      <c r="EM1" s="6"/>
      <c r="EN1" s="3">
        <v>16</v>
      </c>
      <c r="EO1" s="4"/>
      <c r="EP1" s="4"/>
      <c r="EQ1" s="4"/>
      <c r="ER1" s="4"/>
      <c r="ES1" s="4"/>
      <c r="ET1" s="4"/>
      <c r="EU1" s="4"/>
      <c r="EV1" s="6"/>
    </row>
    <row r="2" spans="1:152">
      <c r="A2" s="2" t="s">
        <v>11</v>
      </c>
      <c r="B2" s="2" t="s">
        <v>12</v>
      </c>
      <c r="C2" s="2" t="str">
        <f>IFERROR(INDEX('6.0.35'!G:G,MATCH(A2,'6.0.35'!F:F,0)),IFERROR(INDEX('7.0.17'!G:G,MATCH(A2,'7.0.17'!F:F,0)),""))</f>
        <v>[{'tag': '类别', 'value': '操作系统'}, {'tag': '指标', 'value': 'aix'}]</v>
      </c>
      <c r="D2" s="2">
        <f>IF(C2=B2,1,0)</f>
        <v>1</v>
      </c>
      <c r="E2" s="5">
        <f>(LEN(A2)-LEN(SUBSTITUTE(A2,":","")))/LEN(":")</f>
        <v>4</v>
      </c>
      <c r="F2" s="5" t="str">
        <f>J2&amp;","&amp;N2</f>
        <v>'class','类别'</v>
      </c>
      <c r="G2" s="5"/>
      <c r="H2" s="5">
        <f>FIND(": '",$A2,1)</f>
        <v>8</v>
      </c>
      <c r="I2" s="5">
        <f>FIND("',",$A2,H2+1)</f>
        <v>16</v>
      </c>
      <c r="J2" s="5" t="str">
        <f>MID($A2,H2+2,I2-H2-1)</f>
        <v>'class'</v>
      </c>
      <c r="K2" s="5"/>
      <c r="L2" s="5">
        <f>FIND(": '",$B2,1)</f>
        <v>8</v>
      </c>
      <c r="M2" s="5">
        <f>FIND("',",$B2,L2+1)</f>
        <v>13</v>
      </c>
      <c r="N2" s="5" t="str">
        <f>MID($B2,L2+2,M2-L2-1)</f>
        <v>'类别'</v>
      </c>
      <c r="O2" s="5"/>
      <c r="P2" s="5" t="str">
        <f>T2&amp;","&amp;X2</f>
        <v>'os','操作系统'</v>
      </c>
      <c r="Q2" s="5"/>
      <c r="R2" s="5">
        <f>FIND(": '",$A2,I2+1)</f>
        <v>26</v>
      </c>
      <c r="S2" s="5">
        <f>FIND("'}",$A2,R2+1)</f>
        <v>31</v>
      </c>
      <c r="T2" s="5" t="str">
        <f>MID($A2,R2+2,S2-R2-1)</f>
        <v>'os'</v>
      </c>
      <c r="U2" s="5"/>
      <c r="V2" s="5">
        <f>FIND(": '",$B2,M2+1)</f>
        <v>23</v>
      </c>
      <c r="W2" s="5">
        <f>IFERROR(FIND("'}",$B2,V2+1),FIND("',",$B2,V2+1))</f>
        <v>30</v>
      </c>
      <c r="X2" s="5" t="str">
        <f>MID($B2,V2+2,W2-V2-1)</f>
        <v>'操作系统'</v>
      </c>
      <c r="Y2" s="5"/>
      <c r="Z2" s="5" t="str">
        <f>AD2&amp;","&amp;AH2</f>
        <v>'target','指标'</v>
      </c>
      <c r="AA2" s="5"/>
      <c r="AB2" s="5">
        <f>FIND(": '",$A2,S2+1)</f>
        <v>41</v>
      </c>
      <c r="AC2" s="5">
        <f>IFERROR(FIND("',",$A2,AB2+1),FIND("'}",$A2,AB2+1))</f>
        <v>50</v>
      </c>
      <c r="AD2" s="5" t="str">
        <f>MID($A2,AB2+2,AC2-AB2-1)</f>
        <v>'target'</v>
      </c>
      <c r="AE2" s="5"/>
      <c r="AF2" s="5">
        <f>FIND(": '",$B2,W2+1)</f>
        <v>40</v>
      </c>
      <c r="AG2" s="5">
        <f>IFERROR(FIND("',",$B2,AF2+1),FIND("'}",$B2,AF2+1))</f>
        <v>45</v>
      </c>
      <c r="AH2" s="5" t="str">
        <f>MID($B2,AF2+2,AG2-AF2-1)</f>
        <v>'指标'</v>
      </c>
      <c r="AI2" s="5"/>
      <c r="AJ2" s="5" t="str">
        <f>AN2&amp;","&amp;AR2</f>
        <v>'aix','aix'</v>
      </c>
      <c r="AK2" s="5"/>
      <c r="AL2" s="5">
        <f>FIND(": '",$A2,AC2+1)</f>
        <v>60</v>
      </c>
      <c r="AM2" s="5">
        <f>IFERROR(FIND("'}",$A2,AL2+1),FIND("',",$A2,AL2+1))</f>
        <v>66</v>
      </c>
      <c r="AN2" s="5" t="str">
        <f>MID($A2,AL2+2,AM2-AL2-1)</f>
        <v>'aix'</v>
      </c>
      <c r="AO2" s="5"/>
      <c r="AP2" s="5">
        <f>FIND(": '",$B2,AG2+1)</f>
        <v>55</v>
      </c>
      <c r="AQ2" s="5">
        <f>IFERROR(FIND("'}",$B2,AP2+1),FIND("',",$B2,AP2+1))</f>
        <v>61</v>
      </c>
      <c r="AR2" s="5" t="str">
        <f>MID($B2,AP2+2,AQ2-AP2-1)</f>
        <v>'aix'</v>
      </c>
      <c r="AS2" s="5" t="e">
        <f>AW2&amp;","&amp;BA2</f>
        <v>#VALUE!</v>
      </c>
      <c r="AT2" s="5"/>
      <c r="AU2" s="5" t="e">
        <f>FIND(": '",$A2,AM2+1)</f>
        <v>#VALUE!</v>
      </c>
      <c r="AV2" s="5" t="e">
        <f>IFERROR(FIND("',",$A2,AU2+1),FIND("'}",$A2,AU2+1))</f>
        <v>#VALUE!</v>
      </c>
      <c r="AW2" s="5" t="e">
        <f>MID($A2,AU2+2,AV2-AU2-1)</f>
        <v>#VALUE!</v>
      </c>
      <c r="AX2" s="5"/>
      <c r="AY2" s="5" t="e">
        <f>FIND(": '",$B2,AQ2+1)</f>
        <v>#VALUE!</v>
      </c>
      <c r="AZ2" s="5" t="e">
        <f>IFERROR(FIND("',",$B2,AY2+1),FIND("'}",$B2,AY2+1))</f>
        <v>#VALUE!</v>
      </c>
      <c r="BA2" s="5" t="e">
        <f>MID($B2,AY2+2,AZ2-AY2-1)</f>
        <v>#VALUE!</v>
      </c>
      <c r="BB2" s="5" t="e">
        <f>BF2&amp;","&amp;BJ2</f>
        <v>#VALUE!</v>
      </c>
      <c r="BC2" s="5"/>
      <c r="BD2" s="5" t="e">
        <f>FIND(": '",$A2,AV2+1)</f>
        <v>#VALUE!</v>
      </c>
      <c r="BE2" s="5" t="e">
        <f>IFERROR(FIND("'}",$A2,BD2+1),FIND("',",$A2,BD2+1))</f>
        <v>#VALUE!</v>
      </c>
      <c r="BF2" s="5" t="e">
        <f>MID($A2,BD2+2,BE2-BD2-1)</f>
        <v>#VALUE!</v>
      </c>
      <c r="BG2" s="5"/>
      <c r="BH2" s="5" t="e">
        <f>FIND(": '",$B2,AZ2+1)</f>
        <v>#VALUE!</v>
      </c>
      <c r="BI2" s="5" t="e">
        <f>IFERROR(FIND("'}",$B2,BH2+1),FIND("',",$B2,BH2+1))</f>
        <v>#VALUE!</v>
      </c>
      <c r="BJ2" s="5" t="e">
        <f>MID($B2,BH2+2,BI2-BH2-1)</f>
        <v>#VALUE!</v>
      </c>
      <c r="BK2" s="5" t="e">
        <f>BO2&amp;","&amp;BS2</f>
        <v>#VALUE!</v>
      </c>
      <c r="BL2" s="5"/>
      <c r="BM2" s="5" t="e">
        <f>FIND(": '",$A2,BE2+1)</f>
        <v>#VALUE!</v>
      </c>
      <c r="BN2" s="5" t="e">
        <f>IFERROR(FIND("',",$A2,BM2+1),FIND("'}",$A2,BM2+1))</f>
        <v>#VALUE!</v>
      </c>
      <c r="BO2" s="5" t="e">
        <f>MID($A2,BM2+2,BN2-BM2-1)</f>
        <v>#VALUE!</v>
      </c>
      <c r="BP2" s="5"/>
      <c r="BQ2" s="5" t="e">
        <f>FIND(": '",$B2,BI2+1)</f>
        <v>#VALUE!</v>
      </c>
      <c r="BR2" s="5" t="e">
        <f>IFERROR(FIND("',",$B2,BQ2+1),FIND("'}",$B2,BQ2+1))</f>
        <v>#VALUE!</v>
      </c>
      <c r="BS2" s="5" t="e">
        <f>MID($B2,BQ2+2,BR2-BQ2-1)</f>
        <v>#VALUE!</v>
      </c>
      <c r="BT2" s="5" t="e">
        <f>BX2&amp;","&amp;CB2</f>
        <v>#VALUE!</v>
      </c>
      <c r="BU2" s="5"/>
      <c r="BV2" s="5" t="e">
        <f>FIND(": '",$A2,BN2+1)</f>
        <v>#VALUE!</v>
      </c>
      <c r="BW2" s="5" t="e">
        <f>IFERROR(FIND("'}",$A2,BV2+1),FIND("',",$A2,BV2+1))</f>
        <v>#VALUE!</v>
      </c>
      <c r="BX2" s="5" t="e">
        <f>MID($A2,BV2+2,BW2-BV2-1)</f>
        <v>#VALUE!</v>
      </c>
      <c r="BY2" s="5"/>
      <c r="BZ2" s="5" t="e">
        <f>FIND(": '",$B2,BR2+1)</f>
        <v>#VALUE!</v>
      </c>
      <c r="CA2" s="5" t="e">
        <f>IFERROR(FIND("'}",$B2,BZ2+1),FIND("',",$B2,BZ2+1))</f>
        <v>#VALUE!</v>
      </c>
      <c r="CB2" s="5" t="e">
        <f>MID($B2,BZ2+2,CA2-BZ2-1)</f>
        <v>#VALUE!</v>
      </c>
      <c r="CC2" s="5" t="e">
        <f>CG2&amp;","&amp;CK2</f>
        <v>#VALUE!</v>
      </c>
      <c r="CD2" s="5"/>
      <c r="CE2" s="5" t="e">
        <f>FIND(": '",$A2,BW2+1)</f>
        <v>#VALUE!</v>
      </c>
      <c r="CF2" s="5" t="e">
        <f>IFERROR(FIND("',",$A2,CE2+1),FIND("'}",$A2,CE2+1))</f>
        <v>#VALUE!</v>
      </c>
      <c r="CG2" s="5" t="e">
        <f>MID($A2,CE2+2,CF2-CE2-1)</f>
        <v>#VALUE!</v>
      </c>
      <c r="CH2" s="5"/>
      <c r="CI2" s="5" t="e">
        <f>FIND(": '",$B2,CA2+1)</f>
        <v>#VALUE!</v>
      </c>
      <c r="CJ2" s="5" t="e">
        <f>IFERROR(FIND("',",$B2,CI2+1),FIND("'}",$B2,CI2+1))</f>
        <v>#VALUE!</v>
      </c>
      <c r="CK2" s="5" t="e">
        <f>MID($B2,CI2+2,CJ2-CI2-1)</f>
        <v>#VALUE!</v>
      </c>
      <c r="CL2" s="5" t="e">
        <f>CP2&amp;","&amp;CT2</f>
        <v>#VALUE!</v>
      </c>
      <c r="CM2" s="5"/>
      <c r="CN2" s="5" t="e">
        <f>FIND(": '",$A2,CF2+1)</f>
        <v>#VALUE!</v>
      </c>
      <c r="CO2" s="5" t="e">
        <f>IFERROR(FIND("'}",$A2,CN2+1),FIND("',",$A2,CN2+1))</f>
        <v>#VALUE!</v>
      </c>
      <c r="CP2" s="5" t="e">
        <f>MID($A2,CN2+2,CO2-CN2-1)</f>
        <v>#VALUE!</v>
      </c>
      <c r="CQ2" s="5"/>
      <c r="CR2" s="5" t="e">
        <f>FIND(": '",$B2,CJ2+1)</f>
        <v>#VALUE!</v>
      </c>
      <c r="CS2" s="5" t="e">
        <f>IFERROR(FIND("'}",$B2,CR2+1),FIND("',",$B2,CR2+1))</f>
        <v>#VALUE!</v>
      </c>
      <c r="CT2" s="5" t="e">
        <f>MID($B2,CR2+2,CS2-CR2-1)</f>
        <v>#VALUE!</v>
      </c>
      <c r="CU2" s="5" t="e">
        <f>CY2&amp;","&amp;DC2</f>
        <v>#VALUE!</v>
      </c>
      <c r="CV2" s="5"/>
      <c r="CW2" s="5" t="e">
        <f>FIND(": '",$A2,CO2+1)</f>
        <v>#VALUE!</v>
      </c>
      <c r="CX2" s="5" t="e">
        <f>IFERROR(FIND("',",$A2,CW2+1),FIND("'}",$A2,CW2+1))</f>
        <v>#VALUE!</v>
      </c>
      <c r="CY2" s="5" t="e">
        <f>MID($A2,CW2+2,CX2-CW2-1)</f>
        <v>#VALUE!</v>
      </c>
      <c r="CZ2" s="5"/>
      <c r="DA2" s="5" t="e">
        <f>FIND(": '",$B2,CS2+1)</f>
        <v>#VALUE!</v>
      </c>
      <c r="DB2" s="5" t="e">
        <f>IFERROR(FIND("',",$B2,DA2+1),FIND("'}",$B2,DA2+1))</f>
        <v>#VALUE!</v>
      </c>
      <c r="DC2" s="5" t="e">
        <f>MID($B2,DA2+2,DB2-DA2-1)</f>
        <v>#VALUE!</v>
      </c>
      <c r="DD2" s="5" t="e">
        <f>DH2&amp;","&amp;DL2</f>
        <v>#VALUE!</v>
      </c>
      <c r="DE2" s="5"/>
      <c r="DF2" s="5" t="e">
        <f>FIND(": '",$A2,CX2+1)</f>
        <v>#VALUE!</v>
      </c>
      <c r="DG2" s="5" t="e">
        <f>IFERROR(FIND("'}",$A2,DF2+1),FIND("',",$A2,DF2+1))</f>
        <v>#VALUE!</v>
      </c>
      <c r="DH2" s="5" t="e">
        <f>MID($A2,DF2+2,DG2-DF2-1)</f>
        <v>#VALUE!</v>
      </c>
      <c r="DI2" s="5"/>
      <c r="DJ2" s="5" t="e">
        <f>FIND(": '",$B2,DB2+1)</f>
        <v>#VALUE!</v>
      </c>
      <c r="DK2" s="5" t="e">
        <f>IFERROR(FIND("'}",$B2,DJ2+1),FIND("',",$B2,DJ2+1))</f>
        <v>#VALUE!</v>
      </c>
      <c r="DL2" s="5" t="e">
        <f>MID($B2,DJ2+2,DK2-DJ2-1)</f>
        <v>#VALUE!</v>
      </c>
      <c r="DM2" s="5" t="e">
        <f>DQ2&amp;","&amp;DU2</f>
        <v>#VALUE!</v>
      </c>
      <c r="DN2" s="5"/>
      <c r="DO2" s="5" t="e">
        <f>FIND(": '",$A2,DG2+1)</f>
        <v>#VALUE!</v>
      </c>
      <c r="DP2" s="5" t="e">
        <f>IFERROR(FIND("',",$A2,DO2+1),FIND("'}",$A2,DO2+1))</f>
        <v>#VALUE!</v>
      </c>
      <c r="DQ2" s="5" t="e">
        <f>MID($A2,DO2+2,DP2-DO2-1)</f>
        <v>#VALUE!</v>
      </c>
      <c r="DR2" s="5"/>
      <c r="DS2" s="5" t="e">
        <f>FIND(": '",$B2,DK2+1)</f>
        <v>#VALUE!</v>
      </c>
      <c r="DT2" s="5" t="e">
        <f>IFERROR(FIND("',",$B2,DS2+1),FIND("'}",$B2,DS2+1))</f>
        <v>#VALUE!</v>
      </c>
      <c r="DU2" s="5" t="e">
        <f>MID($B2,DS2+2,DT2-DS2-1)</f>
        <v>#VALUE!</v>
      </c>
      <c r="DV2" s="5" t="e">
        <f>DZ2&amp;","&amp;ED2</f>
        <v>#VALUE!</v>
      </c>
      <c r="DW2" s="5"/>
      <c r="DX2" s="5" t="e">
        <f>FIND(": '",$A2,DP2+1)</f>
        <v>#VALUE!</v>
      </c>
      <c r="DY2" s="5" t="e">
        <f>IFERROR(FIND("'}",$A2,DX2+1),FIND("',",$A2,DX2+1))</f>
        <v>#VALUE!</v>
      </c>
      <c r="DZ2" s="5" t="e">
        <f>MID($A2,DX2+2,DY2-DX2-1)</f>
        <v>#VALUE!</v>
      </c>
      <c r="EA2" s="5"/>
      <c r="EB2" s="5" t="e">
        <f>FIND(": '",$B2,DT2+1)</f>
        <v>#VALUE!</v>
      </c>
      <c r="EC2" s="5" t="e">
        <f>IFERROR(FIND("'}",$B2,EB2+1),FIND("',",$B2,EB2+1))</f>
        <v>#VALUE!</v>
      </c>
      <c r="ED2" s="5" t="e">
        <f>MID($B2,EB2+2,EC2-EB2-1)</f>
        <v>#VALUE!</v>
      </c>
      <c r="EE2" s="5" t="e">
        <f>EI2&amp;","&amp;EM2</f>
        <v>#VALUE!</v>
      </c>
      <c r="EF2" s="5"/>
      <c r="EG2" s="5" t="e">
        <f>FIND(": '",$A2,DY2+1)</f>
        <v>#VALUE!</v>
      </c>
      <c r="EH2" s="5" t="e">
        <f>IFERROR(FIND("',",$A2,EG2+1),FIND("'}",$A2,EG2+1))</f>
        <v>#VALUE!</v>
      </c>
      <c r="EI2" s="5" t="e">
        <f>MID($A2,EG2+2,EH2-EG2-1)</f>
        <v>#VALUE!</v>
      </c>
      <c r="EJ2" s="5"/>
      <c r="EK2" s="5" t="e">
        <f>FIND(": '",$B2,EC2+1)</f>
        <v>#VALUE!</v>
      </c>
      <c r="EL2" s="5" t="e">
        <f>IFERROR(FIND("',",$B2,EK2+1),FIND("'}",$B2,EK2+1))</f>
        <v>#VALUE!</v>
      </c>
      <c r="EM2" s="5" t="e">
        <f>MID($B2,EK2+2,EL2-EK2-1)</f>
        <v>#VALUE!</v>
      </c>
      <c r="EN2" s="5" t="e">
        <f>ER2&amp;","&amp;EV2</f>
        <v>#VALUE!</v>
      </c>
      <c r="EO2" s="5"/>
      <c r="EP2" s="5" t="e">
        <f>FIND(": '",$A2,EH2+1)</f>
        <v>#VALUE!</v>
      </c>
      <c r="EQ2" s="5" t="e">
        <f>IFERROR(FIND("'}",$A2,EP2+1),FIND("',",$A2,EP2+1))</f>
        <v>#VALUE!</v>
      </c>
      <c r="ER2" s="5" t="e">
        <f>MID($A2,EP2+2,EQ2-EP2-1)</f>
        <v>#VALUE!</v>
      </c>
      <c r="ES2" s="5"/>
      <c r="ET2" s="5" t="e">
        <f>FIND(": '",$B2,EL2+1)</f>
        <v>#VALUE!</v>
      </c>
      <c r="EU2" s="5" t="e">
        <f>IFERROR(FIND("'}",$B2,ET2+1),FIND("',",$B2,ET2+1))</f>
        <v>#VALUE!</v>
      </c>
      <c r="EV2" s="5" t="e">
        <f>MID($B2,ET2+2,EU2-ET2-1)</f>
        <v>#VALUE!</v>
      </c>
    </row>
  </sheetData>
  <autoFilter ref="A1:EV2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10"/>
  <sheetViews>
    <sheetView workbookViewId="0">
      <selection activeCell="A1" sqref="A1"/>
    </sheetView>
  </sheetViews>
  <sheetFormatPr defaultColWidth="9" defaultRowHeight="13.5" outlineLevelCol="2"/>
  <cols>
    <col min="1" max="1" width="51.75" customWidth="1"/>
    <col min="2" max="2" width="46" customWidth="1"/>
  </cols>
  <sheetData>
    <row r="1" spans="1:3">
      <c r="A1" t="s">
        <v>618</v>
      </c>
      <c r="B1" t="s">
        <v>181</v>
      </c>
      <c r="C1" s="1" t="str">
        <f>INDEX(B:B,MATCH(A1,A:A,0))</f>
        <v>[{'tag': '类别', 'value': '软件'}, {'tag': '指标', 'value': 'azure'}, {'tag': '指标', 'value': '成本'}]</v>
      </c>
    </row>
    <row r="2" spans="3:3">
      <c r="C2" s="1" t="e">
        <f t="shared" ref="C2:C8" si="0">INDEX(B:B,MATCH(A2,A:A,0))</f>
        <v>#N/A</v>
      </c>
    </row>
    <row r="3" spans="3:3">
      <c r="C3" s="1" t="e">
        <f t="shared" si="0"/>
        <v>#N/A</v>
      </c>
    </row>
    <row r="4" spans="3:3">
      <c r="C4" s="1" t="e">
        <f t="shared" si="0"/>
        <v>#N/A</v>
      </c>
    </row>
    <row r="5" spans="3:3">
      <c r="C5" s="1" t="e">
        <f t="shared" si="0"/>
        <v>#N/A</v>
      </c>
    </row>
    <row r="6" spans="3:3">
      <c r="C6" s="1" t="e">
        <f t="shared" si="0"/>
        <v>#N/A</v>
      </c>
    </row>
    <row r="7" spans="3:3">
      <c r="C7" s="1" t="e">
        <f t="shared" si="0"/>
        <v>#N/A</v>
      </c>
    </row>
    <row r="8" spans="3:3">
      <c r="C8" s="1"/>
    </row>
    <row r="9" spans="3:3">
      <c r="C9" s="1"/>
    </row>
    <row r="10" spans="3:3">
      <c r="C10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6.0.35</vt:lpstr>
      <vt:lpstr>6.4.14</vt:lpstr>
      <vt:lpstr>7.0.17</vt:lpstr>
      <vt:lpstr>整理</vt:lpstr>
      <vt:lpstr>000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houjianming</cp:lastModifiedBy>
  <dcterms:created xsi:type="dcterms:W3CDTF">2023-04-25T10:06:00Z</dcterms:created>
  <dcterms:modified xsi:type="dcterms:W3CDTF">2025-08-13T07:00:19Z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  <property fmtid="{D5CDD505-2E9C-101B-9397-08002B2CF9AE}" pid="3" name="KSOReadingLayout">
    <vt:bool>true</vt:bool>
  </property>
</Properties>
</file>