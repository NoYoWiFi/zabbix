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765" activeTab="5"/>
  </bookViews>
  <sheets>
    <sheet name="PATH" sheetId="1" r:id="rId1"/>
    <sheet name="LDFLAGS" sheetId="2" r:id="rId2"/>
    <sheet name="CPPFLAGS" sheetId="4" r:id="rId3"/>
    <sheet name="LIBRARY_PATH" sheetId="5" r:id="rId4"/>
    <sheet name="PKG_CONFIG_PATH" sheetId="9" r:id="rId5"/>
    <sheet name="Sheet1" sheetId="10" r:id="rId6"/>
  </sheets>
  <calcPr calcId="144525"/>
</workbook>
</file>

<file path=xl/sharedStrings.xml><?xml version="1.0" encoding="utf-8"?>
<sst xmlns="http://schemas.openxmlformats.org/spreadsheetml/2006/main" count="335" uniqueCount="236">
  <si>
    <t>/usr/local/gettext-0.19.8/gettext/bin</t>
  </si>
  <si>
    <t>/usr/local/openssl-1.1.1w/openssl/bin</t>
  </si>
  <si>
    <t>/usr/local/expat-2.2.5/expat/bin</t>
  </si>
  <si>
    <t>/usr/local/perl5-5.26.3/perl5/bin</t>
  </si>
  <si>
    <t>/usr/local/bison-3.0.4/bison/bin</t>
  </si>
  <si>
    <t>/usr/local/pcre2-10.32/pcre2/bin</t>
  </si>
  <si>
    <t>/usr/local/gcc-8.5.0/gcc/bin</t>
  </si>
  <si>
    <t>/usr/local/curl-7.61.1/curl/bin</t>
  </si>
  <si>
    <t>/usr/local/make-4.2.1/make/bin</t>
  </si>
  <si>
    <t>/usr/local/Python-3.7.0/Python/bin</t>
  </si>
  <si>
    <t>/usr/local/openssh-8.0p1/openssh/bin</t>
  </si>
  <si>
    <t>/usr/local/icu/icu/sbin</t>
  </si>
  <si>
    <t>/usr/local/openssh-8.0p1/openssh/sbin</t>
  </si>
  <si>
    <t>/usr/local/icu/icu/bin</t>
  </si>
  <si>
    <t>mv</t>
  </si>
  <si>
    <t>/usr/bin/</t>
  </si>
  <si>
    <t>c++</t>
  </si>
  <si>
    <t>/usr/local/cmake-3.16.8/cmake/bin</t>
  </si>
  <si>
    <t>cpp</t>
  </si>
  <si>
    <t>/usr/local/openldap-2.4.46/openldap/bin</t>
  </si>
  <si>
    <t>/usr/local/go/bin</t>
  </si>
  <si>
    <t>g++</t>
  </si>
  <si>
    <t>/usr/local/openldap-2.4.46/openldap/sbin</t>
  </si>
  <si>
    <t>/usr/local/jdk1.8.0_202/bin</t>
  </si>
  <si>
    <t>gcc</t>
  </si>
  <si>
    <t>/usr/local/jdk1.8.0_202/jre/bin</t>
  </si>
  <si>
    <t>gcc-ar</t>
  </si>
  <si>
    <t>/usr/local/net-snmp-5.8/net-snmp/bin</t>
  </si>
  <si>
    <t>gcc-nm</t>
  </si>
  <si>
    <t>/usr/local/net-snmp-5.8/net-snmp/sbin</t>
  </si>
  <si>
    <t>gcc-ranlib</t>
  </si>
  <si>
    <t>/usr/local/libiconv-1.16/libiconv/bin</t>
  </si>
  <si>
    <t>/usr/local/libevent-2.1.8-stable/libevent/bin</t>
  </si>
  <si>
    <t>gcov</t>
  </si>
  <si>
    <t>/usr/local/git-2.43.0/Git/bin</t>
  </si>
  <si>
    <t>gcov-dump</t>
  </si>
  <si>
    <t>/usr/local/ncurses-6.1/ncurses/bin</t>
  </si>
  <si>
    <t>gcov-tool</t>
  </si>
  <si>
    <t>/usr/local/nettle-3.4.1/nettle/bin</t>
  </si>
  <si>
    <t>make</t>
  </si>
  <si>
    <t>/usr/local/libtasn1-4.13/libtasn1/bin</t>
  </si>
  <si>
    <t>/usr/local/libidn2-2.2.0/libidn2</t>
  </si>
  <si>
    <t>/usr/local/Linux-PAM-1.3.1/pam/sbin</t>
  </si>
  <si>
    <t>/usr/local/unbound-release-1.16.2/Unbound/sbin</t>
  </si>
  <si>
    <t>/usr/local/postgresql-16.2/postgresql/bin</t>
  </si>
  <si>
    <t>/usr/local/p11-kit-0.23.22/p11-kit/bin</t>
  </si>
  <si>
    <t>/usr/local/gnutls-3.6.16/gnutls/bin</t>
  </si>
  <si>
    <t>/usr/local/OpenIPMI-2.0.36/OpenIPMI/bin</t>
  </si>
  <si>
    <t>/usr/local/zstd-1.4.1/zstd/bin</t>
  </si>
  <si>
    <t>/opt/jdk-8u202-linux-x64/bin</t>
  </si>
  <si>
    <t>/usr/local/mongo-c-driver-1.29.1/mongo-c-driver/bin</t>
  </si>
  <si>
    <t>/root/bin</t>
  </si>
  <si>
    <t>/usr/local/libxml2-2.9.7/libxml2/bin</t>
  </si>
  <si>
    <t>/usr/local/sbin</t>
  </si>
  <si>
    <t>/usr/local/lz4-1.10.0/lz4/bin</t>
  </si>
  <si>
    <t>/usr/local/bin</t>
  </si>
  <si>
    <t>/usr/local/xz-5.2.4/xz/bin</t>
  </si>
  <si>
    <t>/usr/sbin</t>
  </si>
  <si>
    <t>/usr/local/krb5-1.18.2/krb5/bin</t>
  </si>
  <si>
    <t>/usr/bin</t>
  </si>
  <si>
    <t>/usr/local/krb5-1.18.2/krb5/sbin</t>
  </si>
  <si>
    <t>/bin</t>
  </si>
  <si>
    <t>/usr/local/unixODBC-2.3.7/unixODBC/bin</t>
  </si>
  <si>
    <t>/usr/local/swig-4.3.0/swig/bin</t>
  </si>
  <si>
    <t>/usr/local/autoconf-2.69/autoconf/bin</t>
  </si>
  <si>
    <t>/usr/local/automake-1.16.1/automake/bin</t>
  </si>
  <si>
    <t>/usr/local/m4-1.4.18/m4/bin</t>
  </si>
  <si>
    <t>/usr/local/libtool-2.4.6/libtool/bin</t>
  </si>
  <si>
    <t>/usr/local/kytea-master/kytea/bin</t>
  </si>
  <si>
    <t>unset LDFLAGS</t>
  </si>
  <si>
    <t>/usr/local/openssl-1.1.1w/openssl/lib</t>
  </si>
  <si>
    <t>ssl</t>
  </si>
  <si>
    <t>/usr/local/lib</t>
  </si>
  <si>
    <t>readline</t>
  </si>
  <si>
    <t>unset LIBS</t>
  </si>
  <si>
    <t>crypto</t>
  </si>
  <si>
    <t>/usr/local/libssh2-1.11.1/libssh2/lib64</t>
  </si>
  <si>
    <t>ssh2</t>
  </si>
  <si>
    <t>/usr/local/net-snmp-5.8/net-snmp/lib</t>
  </si>
  <si>
    <t>netsnmp</t>
  </si>
  <si>
    <t>/usr/local/OpenIPMI-2.0.36/OpenIPMI/lib</t>
  </si>
  <si>
    <t>OpenIPMI</t>
  </si>
  <si>
    <t>/usr/local/openldap-2.4.46/openldap/lib</t>
  </si>
  <si>
    <t>ldap</t>
  </si>
  <si>
    <t>/usr/local/libevent-2.1.8-stable/libevent/lib</t>
  </si>
  <si>
    <t>event</t>
  </si>
  <si>
    <t>/usr/local/libffi-3.4.4/libffi/lib64</t>
  </si>
  <si>
    <t>ffi</t>
  </si>
  <si>
    <t>/usr/local/curl-7.61.1/curl/lib</t>
  </si>
  <si>
    <t>curl</t>
  </si>
  <si>
    <t>/usr/local/libmd-1.1.0/libmd/lib</t>
  </si>
  <si>
    <t>md</t>
  </si>
  <si>
    <t>/usr/local/expat-2.2.5/expat/lib</t>
  </si>
  <si>
    <t>expat</t>
  </si>
  <si>
    <t>/usr/local/libiconv-1.16/libiconv/lib</t>
  </si>
  <si>
    <t>iconv</t>
  </si>
  <si>
    <t>/usr/local/Linux-PAM-1.3.1/pam/lib</t>
  </si>
  <si>
    <t>pam</t>
  </si>
  <si>
    <t>/usr/local/gcc-8.5.0/gcc/lib64</t>
  </si>
  <si>
    <t>/usr/local/zlib-1.2.11/zlib/lib</t>
  </si>
  <si>
    <t>z</t>
  </si>
  <si>
    <t>/usr/local/nettle-3.4/nettle/lib64</t>
  </si>
  <si>
    <t>nettle</t>
  </si>
  <si>
    <t>/usr/local/gmp-6.1.2/gmp/lib</t>
  </si>
  <si>
    <t>gmp</t>
  </si>
  <si>
    <t>/usr/local/libtasn1-4.13/libtasn1/lib</t>
  </si>
  <si>
    <t>tasn1</t>
  </si>
  <si>
    <t>/usr/local/libunistring-0.9.9/libunistring/lib</t>
  </si>
  <si>
    <t>unistring</t>
  </si>
  <si>
    <t>/usr/local/libidn2-2.2.0/libidn2/lib</t>
  </si>
  <si>
    <t>idn2</t>
  </si>
  <si>
    <t>/usr/local/unbound-release-1.16.2/Unbound/lib</t>
  </si>
  <si>
    <t>unbound</t>
  </si>
  <si>
    <t>unset CPPFLAGS</t>
  </si>
  <si>
    <t>/usr/local/fmt-11.0.2/fmt/include</t>
  </si>
  <si>
    <t>/usr/local/Linux-PAM-1.3.1/pam/include</t>
  </si>
  <si>
    <t>unset CFLAGS</t>
  </si>
  <si>
    <t>/usr/local/openssl-1.1.1w/openssl/include</t>
  </si>
  <si>
    <t>unset C_INCLUDE_PATH</t>
  </si>
  <si>
    <t>/usr/local/libssh2-1.11.1/libssh2/include</t>
  </si>
  <si>
    <t>unset CPLUS_INCLUDE_PATH</t>
  </si>
  <si>
    <t>/usr/local/net-snmp-5.8/net-snmp/include</t>
  </si>
  <si>
    <t>/usr/local/OpenIPMI-2.0.36/OpenIPMI/include</t>
  </si>
  <si>
    <t>/usr/local/openldap-2.4.46/openldap/include</t>
  </si>
  <si>
    <t>/usr/local/libevent-2.1.8-stable/libevent/include</t>
  </si>
  <si>
    <t>/usr/local/boost_1_81_0/boost/include</t>
  </si>
  <si>
    <t>/usr/local/zlib-1.2.11/zlib/include</t>
  </si>
  <si>
    <t>/usr/local/icu/icu/include</t>
  </si>
  <si>
    <t>/usr/local/libffi-3.4.4/include</t>
  </si>
  <si>
    <t>/usr/local/Python-3.7.0/Python/include</t>
  </si>
  <si>
    <t>/usr/local/curl-7.61.1/curl/include</t>
  </si>
  <si>
    <t>/usr/local/pcre2-10.32/pcre2/include</t>
  </si>
  <si>
    <t>/usr/local/libmd-1.1.0/libmd/include</t>
  </si>
  <si>
    <t>/usr/local/expat-2.2.5/expat/include</t>
  </si>
  <si>
    <t>/usr/local/gettext-0.19.8/gettext/include</t>
  </si>
  <si>
    <t>/usr/local/libiconv-1.16/libiconv/include</t>
  </si>
  <si>
    <t>/usr/local/isl-0.16.1/isl/include</t>
  </si>
  <si>
    <t>/usr/local/libtool-2.4.6/libtool/include</t>
  </si>
  <si>
    <t>/usr/local/nettle-3.4.1/nettle/include</t>
  </si>
  <si>
    <t>declare -x CPPFLAGS="-I/usr/local/zlib-1.2.11/zlib/include"</t>
  </si>
  <si>
    <t>/usr/local/gmp-6.1.2/gmp/include</t>
  </si>
  <si>
    <t>/usr/local/zstd-1.4.1/zstd/include</t>
  </si>
  <si>
    <t>/usr/local/libtasn1-4.13/libtasn1/include</t>
  </si>
  <si>
    <t>/usr/local/libunistring-0.9.9/libunistring/include</t>
  </si>
  <si>
    <t>/usr/local/libidn2-2.2.0/libidn2/include</t>
  </si>
  <si>
    <t>/usr/local/unbound-release-1.16.2/Unbound/include</t>
  </si>
  <si>
    <t>/usr/local/fmt-11.0.2/include</t>
  </si>
  <si>
    <t>/usr/local/ncurses-6.1/ncurses/include</t>
  </si>
  <si>
    <t>/usr/local/gnutls-3.6.16/gnutls/include</t>
  </si>
  <si>
    <t>/usr/local/bzip2-1.0.7</t>
  </si>
  <si>
    <t>/usr/local/jdk1.8.0_202/include</t>
  </si>
  <si>
    <t>/usr/local/libxml2-2.9.7/libxml2/include</t>
  </si>
  <si>
    <t>/usr/local/judy-1.0.5/judy/include</t>
  </si>
  <si>
    <t>/usr/local/lz4-1.10.0/lz4/include</t>
  </si>
  <si>
    <t>/usr/local/xz-5.2.4/xz/include</t>
  </si>
  <si>
    <t>/usr/local/lzo-2.08/lzo/include</t>
  </si>
  <si>
    <t>/usr/local/snappy-1.1.8/snappy/include</t>
  </si>
  <si>
    <t>/usr/local/unixODBC-2.3.7/unixODBC/include</t>
  </si>
  <si>
    <t>unset LIBRARY_PATH</t>
  </si>
  <si>
    <t>/usr/local/fmt-11.0.2/fmt/lib64</t>
  </si>
  <si>
    <t>/usr/local/isl-0.16.1/isl/lib</t>
  </si>
  <si>
    <t>unset LD_LIBRARY_PATH</t>
  </si>
  <si>
    <t>/usr/local/mpc-0.9/mpc/lib</t>
  </si>
  <si>
    <t>unset LD_RUN_PATH</t>
  </si>
  <si>
    <t>/usr/local/gcc-8.5.0/gcc/lib64/</t>
  </si>
  <si>
    <t>/usr/local/libtool-2.4.6/libtool/lib</t>
  </si>
  <si>
    <t>/usr/local/libevent-2.1.8-stable/libevent/lib/</t>
  </si>
  <si>
    <t>/usr/local/db-5.1.29/db/lib</t>
  </si>
  <si>
    <t>/usr/local/bison-3.0.4/bison/lib</t>
  </si>
  <si>
    <t>/usr/local/boost_1_81_0/boost/lib</t>
  </si>
  <si>
    <t>/usr/local/bzip2-1.0.7/bzip2/lib</t>
  </si>
  <si>
    <t>/usr/local/icu/icu/lib</t>
  </si>
  <si>
    <t>/usr/local/nettle-3.4.1/nettle/lib64</t>
  </si>
  <si>
    <t>/usr/local/pcre2-10.32/pcre2/lib</t>
  </si>
  <si>
    <t>/usr/local/gettext-0.19.8/gettext/lib</t>
  </si>
  <si>
    <t>/usr/local/p11-kit-0.23.22/p11-kit/lib</t>
  </si>
  <si>
    <t>/usr/local/gnutls-3.6.16/gnutls/lib</t>
  </si>
  <si>
    <t>/usr/local/zstd-1.4.1/zstd/lib64/</t>
  </si>
  <si>
    <t>echo -e "/usr/local/isl-0.16.1/isl/lib\n/usr/local/mpc-0.9/mpc/lib\n/usr/local/openssl-1.1.1w/openssl/lib\n/usr/local/zlib-1.2.11/zlib/lib" &gt; /etc/ld.so.conf.d/build.conf &amp;&amp; ldconfig</t>
  </si>
  <si>
    <t>declare -x LD_LIBRARY_PATH="/usr/local/fmt-11.0.2/fmt/lib64:/usr/local/openssl-1.1.1w/openssl/lib:/usr/local/libssh2-1.11.1/libssh2/lib64:/usr/local/mpc-0.9/mpc/lib:/usr/local/gcc-8.5.0/gcc/lib64/:/usr/local/Linux-PAM-1.3.1/pam/lib:/usr/local/OpenIPMI-2.0.36/OpenIPMI/lib:/usr/local/openldap-2.4.46/openldap/lib:/usr/local/libevent-2.1.8-stable/libevent/lib/:/usr/local/bison-3.0.4/bison/lib:/usr/local/boost_1_81_0/boost/lib:/usr/local/zlib-1.2.11/zlib/lib:/usr/local/icu/icu/lib:/usr/local/libffi-3.4.4/libffi/lib64:/usr/local/curl-7.61.1/curl/lib:/usr/local/pcre2-10.32/pcre2/lib:/usr/local/libmd-1.1.0/libmd/lib:/usr/local/expat-2.2.5/expat/lib:/usr/local/gettext-0.19.8/gettext/lib:/usr/local/libiconv-1.16/libiconv/lib:/usr/local/isl-0.16.1/isl/lib"</t>
  </si>
  <si>
    <t>/usr/local/mongo-c-driver-1.29.1/mongo-c-driver/lib64</t>
  </si>
  <si>
    <t>/usr/local/libxml2-2.9.7/libxml2/lib</t>
  </si>
  <si>
    <t>/usr/local/judy-1.0.5/judy/lib</t>
  </si>
  <si>
    <t>/usr/local/lz4-1.10.0/lz4/lib64</t>
  </si>
  <si>
    <t>/usr/local/xz-5.2.4/xz/lib</t>
  </si>
  <si>
    <t>/usr/local/lzo-2.08/lzo/lib</t>
  </si>
  <si>
    <t>/usr/local/krb5-1.18.2/krb5/lib</t>
  </si>
  <si>
    <t>/usr/local/unixODBC-2.3.7/unixODBC/lib</t>
  </si>
  <si>
    <t>/usr/local/pcre2-10.32/pcre2/lib/</t>
  </si>
  <si>
    <t>/usr/local/kytea-master/kytea/lib</t>
  </si>
  <si>
    <t>/usr/local/zeromq-4.3.5/zeromq/lib</t>
  </si>
  <si>
    <t>/usr/local/snappy-1.1.8/snappy/lib64</t>
  </si>
  <si>
    <t>/usr/local/ncurses-6.1/ncurses/lib</t>
  </si>
  <si>
    <t>unset PKG_CONFIG_PATH</t>
  </si>
  <si>
    <t>/usr/local/libffi-3.4.4/libffi/lib/pkgconfig</t>
  </si>
  <si>
    <t>/usr/local/pcre2-10.32/pcre2/lib/pkgconfig</t>
  </si>
  <si>
    <t>/usr/local/cmocka-1.1.5/cmocka/lib64/pkgconfig</t>
  </si>
  <si>
    <t>/usr/local/kytea-master/kytea/lib/pkgconfig</t>
  </si>
  <si>
    <t>/usr/local/libssh2-1.11.1/libssh2/lib64/pkgconfig</t>
  </si>
  <si>
    <t>/usr/local/zeromq-4.3.5/zeromq/lib/pkgconfig</t>
  </si>
  <si>
    <t>/usr/local/libevent-2.1.8-stable/libevent/lib/pkgconfig</t>
  </si>
  <si>
    <t>/usr/local/openssl-1.1.1w/openssl/lib/pkgconfig</t>
  </si>
  <si>
    <t>/usr/local/OpenIPMI-2.0.36/OpenIPMI/lib/pkgconfig</t>
  </si>
  <si>
    <t>/usr/local/fmt-11.0.2/fmt/lib64/pkgconfig</t>
  </si>
  <si>
    <t>/usr/local/zlib-1.2.11/zlib/lib/pkgconfig</t>
  </si>
  <si>
    <t>/usr/local/icu/icu/lib/pkgconfig</t>
  </si>
  <si>
    <t>/usr/local/Python-3.7.0/Python/lib/pkgconfig</t>
  </si>
  <si>
    <t>/usr/local/curl-7.61.1/curl/lib/pkgconfig</t>
  </si>
  <si>
    <t>/usr/local/libmd-1.1.0/libmd/lib/pkgconfig</t>
  </si>
  <si>
    <t>/usr/local/expat-2.2.5/expat/lib/pkgconfig</t>
  </si>
  <si>
    <t>/usr/local/isl-0.16.1/isl/lib/pkgconfig</t>
  </si>
  <si>
    <t>/usr/local/nettle-3.4.1/nettle/lib64/pkgconfig</t>
  </si>
  <si>
    <t>/usr/local/libtasn1-4.13/libtasn1/lib/pkgconfig</t>
  </si>
  <si>
    <t>AA</t>
  </si>
  <si>
    <t>计数</t>
  </si>
  <si>
    <t>430行</t>
  </si>
  <si>
    <t>_bindir</t>
  </si>
  <si>
    <t>+ echo 'The value of _bindir is: /usr/local/bin'</t>
  </si>
  <si>
    <t>_datadir</t>
  </si>
  <si>
    <t>+ echo 'The value of _datadir is: /usr/local/share'</t>
  </si>
  <si>
    <t>_docdir</t>
  </si>
  <si>
    <t>+ echo 'The value of _docdir is: /usr/local/share/doc'</t>
  </si>
  <si>
    <t>_localstatedir</t>
  </si>
  <si>
    <t>+ echo 'The value of _localstatedir is: /usr/local/var'</t>
  </si>
  <si>
    <t>_mandir</t>
  </si>
  <si>
    <t>+ echo 'The value of _mandir is: /usr/local/share/man'</t>
  </si>
  <si>
    <t>_sbindir</t>
  </si>
  <si>
    <t>+ echo 'The value of _sbindir is: /usr/local/sbin'</t>
  </si>
  <si>
    <t>_sysconfdir</t>
  </si>
  <si>
    <t>+ echo 'The value of _sysconfdir is: /etc'</t>
  </si>
  <si>
    <t>zabbix_script_dir</t>
  </si>
  <si>
    <t>+ echo 'The value of zabbix_script_dir is: /usr/lib/zabbix'</t>
  </si>
  <si>
    <t>_tmpfilesdir</t>
  </si>
  <si>
    <t>`</t>
  </si>
  <si>
    <t>_unitdir</t>
  </si>
  <si>
    <t>+ echo 'The value of _unitdir is: %{_unitdir}'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</si>
</sst>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39"/>
  <sheetViews>
    <sheetView workbookViewId="0">
      <pane ySplit="1" topLeftCell="A6" activePane="bottomLeft" state="frozen"/>
      <selection/>
      <selection pane="bottomLeft" activeCell="G1" sqref="G1"/>
    </sheetView>
  </sheetViews>
  <sheetFormatPr defaultColWidth="9" defaultRowHeight="14.25"/>
  <cols>
    <col min="20" max="20" width="9.225"/>
  </cols>
  <sheetData>
    <row r="1" spans="1:10">
      <c r="A1">
        <f ca="1">COUNTIF(INDIRECT("$A$2:$A$9999"),"&lt;&gt;")</f>
        <v>37</v>
      </c>
      <c r="B1">
        <f ca="1">COUNTIF(INDIRECT("$B$2:$B$9999"),"&lt;&gt;")</f>
        <v>37</v>
      </c>
      <c r="G1" t="str">
        <f ca="1">"declare -x PATH="""&amp;_xlfn.CONCAT(INDIRECT("$B$2:$B$9999"))&amp;":/root/bin:/usr/local/sbin:/usr/local/bin:/usr/sbin:/usr/bin:/bin"&amp;""""</f>
        <v>declare -x PATH="/usr/local/openssl-1.1.1w/openssl/bin:/usr/local/perl5-5.26.3/perl5/bin:/usr/local/bison-3.0.4/bison/bin:/usr/local/gcc-8.5.0/gcc/bin:/usr/local/make-4.2.1/make/bin:/usr/local/openssh-8.0p1/openssh/bin:/usr/local/openssh-8.0p1/openssh/sbin:/usr/local/cmake-3.16.8/cmake/bin:/usr/local/openldap-2.4.46/openldap/bin:/usr/local/openldap-2.4.46/openldap/sbin:/usr/local/curl-7.61.1/curl/bin:/usr/local/Python-3.7.0/Python/bin:/usr/local/expat-2.2.5/expat/bin:/usr/local/libiconv-1.16/libiconv/bin:/usr/local/git-2.43.0/Git/bin:/usr/local/ncurses-6.1/ncurses/bin:/usr/local/nettle-3.4.1/nettle/bin:/usr/local/libtasn1-4.13/libtasn1/bin:/usr/local/libidn2-2.2.0/libidn2:/usr/local/unbound-release-1.16.2/Unbound/sbin:/usr/local/p11-kit-0.23.22/p11-kit/bin:/usr/local/gnutls-3.6.16/gnutls/bin:/usr/local/zstd-1.4.1/zstd/bin:/opt/jdk-8u202-linux-x64/bin:/usr/local/mongo-c-driver-1.29.1/mongo-c-driver/bin:/usr/local/libxml2-2.9.7/libxml2/bin:/usr/local/lz4-1.10.0/lz4/bin:/usr/local/xz-5.2.4/xz/bin:/usr/local/krb5-1.18.2/krb5/bin:/usr/local/krb5-1.18.2/krb5/sbin:/usr/local/unixODBC-2.3.7/unixODBC/bin:/usr/local/swig-4.3.0/swig/bin:/usr/local/autoconf-2.69/autoconf/bin:/usr/local/automake-1.16.1/automake/bin:/usr/local/m4-1.4.18/m4/bin:/usr/local/libtool-2.4.6/libtool/bin:/usr/local/kytea-master/kytea/bin:/root/bin:/usr/local/sbin:/usr/local/bin:/usr/sbin:/usr/bin:/bin"</v>
      </c>
      <c r="J1" t="s">
        <v>0</v>
      </c>
    </row>
    <row r="2" spans="1:10">
      <c r="A2" t="s">
        <v>1</v>
      </c>
      <c r="B2" t="str">
        <f ca="1">IF(INDIRECT("A"&amp;ROW()+1)&lt;&gt;"",A2&amp;":",A2)</f>
        <v>/usr/local/openssl-1.1.1w/openssl/bin:</v>
      </c>
      <c r="J2" t="s">
        <v>2</v>
      </c>
    </row>
    <row r="3" spans="1:10">
      <c r="A3" t="s">
        <v>3</v>
      </c>
      <c r="B3" t="str">
        <f ca="1" t="shared" ref="B3:B23" si="0">IF(INDIRECT("A"&amp;ROW()+1)&lt;&gt;"",A3&amp;":",A3)</f>
        <v>/usr/local/perl5-5.26.3/perl5/bin:</v>
      </c>
      <c r="J3" t="s">
        <v>3</v>
      </c>
    </row>
    <row r="4" spans="1:10">
      <c r="A4" t="s">
        <v>4</v>
      </c>
      <c r="B4" t="str">
        <f ca="1" t="shared" si="0"/>
        <v>/usr/local/bison-3.0.4/bison/bin:</v>
      </c>
      <c r="J4" t="s">
        <v>5</v>
      </c>
    </row>
    <row r="5" spans="1:10">
      <c r="A5" t="s">
        <v>6</v>
      </c>
      <c r="B5" t="str">
        <f ca="1" t="shared" si="0"/>
        <v>/usr/local/gcc-8.5.0/gcc/bin:</v>
      </c>
      <c r="J5" t="s">
        <v>7</v>
      </c>
    </row>
    <row r="6" spans="1:10">
      <c r="A6" t="s">
        <v>8</v>
      </c>
      <c r="B6" t="str">
        <f ca="1" t="shared" si="0"/>
        <v>/usr/local/make-4.2.1/make/bin:</v>
      </c>
      <c r="J6" t="s">
        <v>9</v>
      </c>
    </row>
    <row r="7" spans="1:10">
      <c r="A7" t="s">
        <v>10</v>
      </c>
      <c r="B7" t="str">
        <f ca="1" t="shared" si="0"/>
        <v>/usr/local/openssh-8.0p1/openssh/bin:</v>
      </c>
      <c r="J7" t="s">
        <v>11</v>
      </c>
    </row>
    <row r="8" spans="1:21">
      <c r="A8" t="s">
        <v>12</v>
      </c>
      <c r="B8" t="str">
        <f ca="1" t="shared" si="0"/>
        <v>/usr/local/openssh-8.0p1/openssh/sbin:</v>
      </c>
      <c r="J8" t="s">
        <v>13</v>
      </c>
      <c r="O8" t="s">
        <v>14</v>
      </c>
      <c r="P8" t="s">
        <v>15</v>
      </c>
      <c r="Q8" t="s">
        <v>16</v>
      </c>
      <c r="R8" t="str">
        <f>Q8&amp;".bak"</f>
        <v>c++.bak</v>
      </c>
      <c r="S8" t="str">
        <f>O8&amp;" "&amp;P8&amp;R8&amp;" "&amp;P8&amp;Q8</f>
        <v>mv /usr/bin/c++.bak /usr/bin/c++</v>
      </c>
      <c r="T8" t="str">
        <f>"ln -sf /usr/local/gcc-8.5.0/gcc/bin/"&amp;Q8&amp;" "&amp;P8&amp;Q8</f>
        <v>ln -sf /usr/local/gcc-8.5.0/gcc/bin/c++ /usr/bin/c++</v>
      </c>
      <c r="U8" t="str">
        <f>"rm -f "&amp;P8&amp;Q8</f>
        <v>rm -f /usr/bin/c++</v>
      </c>
    </row>
    <row r="9" spans="1:21">
      <c r="A9" t="s">
        <v>17</v>
      </c>
      <c r="B9" t="str">
        <f ca="1" t="shared" si="0"/>
        <v>/usr/local/cmake-3.16.8/cmake/bin:</v>
      </c>
      <c r="J9" t="s">
        <v>4</v>
      </c>
      <c r="O9" t="s">
        <v>14</v>
      </c>
      <c r="P9" t="s">
        <v>15</v>
      </c>
      <c r="Q9" t="s">
        <v>18</v>
      </c>
      <c r="R9" t="str">
        <f t="shared" ref="R9:R18" si="1">Q9&amp;".bak"</f>
        <v>cpp.bak</v>
      </c>
      <c r="S9" t="str">
        <f t="shared" ref="S9:S18" si="2">O9&amp;" "&amp;P9&amp;R9&amp;" "&amp;P9&amp;Q9</f>
        <v>mv /usr/bin/cpp.bak /usr/bin/cpp</v>
      </c>
      <c r="T9" t="str">
        <f t="shared" ref="T9:T17" si="3">"ln -sf /usr/local/gcc-8.5.0/gcc/bin/"&amp;Q9&amp;" "&amp;P9&amp;Q9</f>
        <v>ln -sf /usr/local/gcc-8.5.0/gcc/bin/cpp /usr/bin/cpp</v>
      </c>
      <c r="U9" t="str">
        <f t="shared" ref="U9:U18" si="4">"rm -f "&amp;P9&amp;Q9</f>
        <v>rm -f /usr/bin/cpp</v>
      </c>
    </row>
    <row r="10" spans="1:21">
      <c r="A10" t="s">
        <v>19</v>
      </c>
      <c r="B10" t="str">
        <f ca="1" t="shared" si="0"/>
        <v>/usr/local/openldap-2.4.46/openldap/bin:</v>
      </c>
      <c r="J10" t="s">
        <v>20</v>
      </c>
      <c r="O10" t="s">
        <v>14</v>
      </c>
      <c r="P10" t="s">
        <v>15</v>
      </c>
      <c r="Q10" t="s">
        <v>21</v>
      </c>
      <c r="R10" t="str">
        <f t="shared" si="1"/>
        <v>g++.bak</v>
      </c>
      <c r="S10" t="str">
        <f t="shared" si="2"/>
        <v>mv /usr/bin/g++.bak /usr/bin/g++</v>
      </c>
      <c r="T10" t="str">
        <f t="shared" si="3"/>
        <v>ln -sf /usr/local/gcc-8.5.0/gcc/bin/g++ /usr/bin/g++</v>
      </c>
      <c r="U10" t="str">
        <f t="shared" si="4"/>
        <v>rm -f /usr/bin/g++</v>
      </c>
    </row>
    <row r="11" spans="1:21">
      <c r="A11" t="s">
        <v>22</v>
      </c>
      <c r="B11" t="str">
        <f ca="1" t="shared" si="0"/>
        <v>/usr/local/openldap-2.4.46/openldap/sbin:</v>
      </c>
      <c r="J11" t="s">
        <v>23</v>
      </c>
      <c r="O11" t="s">
        <v>14</v>
      </c>
      <c r="P11" t="s">
        <v>15</v>
      </c>
      <c r="Q11" t="s">
        <v>24</v>
      </c>
      <c r="R11" t="str">
        <f t="shared" si="1"/>
        <v>gcc.bak</v>
      </c>
      <c r="S11" t="str">
        <f t="shared" si="2"/>
        <v>mv /usr/bin/gcc.bak /usr/bin/gcc</v>
      </c>
      <c r="T11" t="str">
        <f t="shared" si="3"/>
        <v>ln -sf /usr/local/gcc-8.5.0/gcc/bin/gcc /usr/bin/gcc</v>
      </c>
      <c r="U11" t="str">
        <f t="shared" si="4"/>
        <v>rm -f /usr/bin/gcc</v>
      </c>
    </row>
    <row r="12" spans="1:21">
      <c r="A12" t="s">
        <v>7</v>
      </c>
      <c r="B12" t="str">
        <f ca="1" t="shared" si="0"/>
        <v>/usr/local/curl-7.61.1/curl/bin:</v>
      </c>
      <c r="J12" t="s">
        <v>25</v>
      </c>
      <c r="O12" t="s">
        <v>14</v>
      </c>
      <c r="P12" t="s">
        <v>15</v>
      </c>
      <c r="Q12" t="s">
        <v>26</v>
      </c>
      <c r="R12" t="str">
        <f t="shared" si="1"/>
        <v>gcc-ar.bak</v>
      </c>
      <c r="S12" t="str">
        <f t="shared" si="2"/>
        <v>mv /usr/bin/gcc-ar.bak /usr/bin/gcc-ar</v>
      </c>
      <c r="T12" t="str">
        <f t="shared" si="3"/>
        <v>ln -sf /usr/local/gcc-8.5.0/gcc/bin/gcc-ar /usr/bin/gcc-ar</v>
      </c>
      <c r="U12" t="str">
        <f t="shared" si="4"/>
        <v>rm -f /usr/bin/gcc-ar</v>
      </c>
    </row>
    <row r="13" spans="1:21">
      <c r="A13" t="s">
        <v>9</v>
      </c>
      <c r="B13" t="str">
        <f ca="1" t="shared" si="0"/>
        <v>/usr/local/Python-3.7.0/Python/bin:</v>
      </c>
      <c r="J13" t="s">
        <v>27</v>
      </c>
      <c r="O13" t="s">
        <v>14</v>
      </c>
      <c r="P13" t="s">
        <v>15</v>
      </c>
      <c r="Q13" t="s">
        <v>28</v>
      </c>
      <c r="R13" t="str">
        <f t="shared" si="1"/>
        <v>gcc-nm.bak</v>
      </c>
      <c r="S13" t="str">
        <f t="shared" si="2"/>
        <v>mv /usr/bin/gcc-nm.bak /usr/bin/gcc-nm</v>
      </c>
      <c r="T13" t="str">
        <f t="shared" si="3"/>
        <v>ln -sf /usr/local/gcc-8.5.0/gcc/bin/gcc-nm /usr/bin/gcc-nm</v>
      </c>
      <c r="U13" t="str">
        <f t="shared" si="4"/>
        <v>rm -f /usr/bin/gcc-nm</v>
      </c>
    </row>
    <row r="14" spans="1:21">
      <c r="A14" t="s">
        <v>2</v>
      </c>
      <c r="B14" t="str">
        <f ca="1" t="shared" si="0"/>
        <v>/usr/local/expat-2.2.5/expat/bin:</v>
      </c>
      <c r="J14" t="s">
        <v>29</v>
      </c>
      <c r="O14" t="s">
        <v>14</v>
      </c>
      <c r="P14" t="s">
        <v>15</v>
      </c>
      <c r="Q14" t="s">
        <v>30</v>
      </c>
      <c r="R14" t="str">
        <f t="shared" si="1"/>
        <v>gcc-ranlib.bak</v>
      </c>
      <c r="S14" t="str">
        <f t="shared" si="2"/>
        <v>mv /usr/bin/gcc-ranlib.bak /usr/bin/gcc-ranlib</v>
      </c>
      <c r="T14" t="str">
        <f t="shared" si="3"/>
        <v>ln -sf /usr/local/gcc-8.5.0/gcc/bin/gcc-ranlib /usr/bin/gcc-ranlib</v>
      </c>
      <c r="U14" t="str">
        <f t="shared" si="4"/>
        <v>rm -f /usr/bin/gcc-ranlib</v>
      </c>
    </row>
    <row r="15" spans="1:21">
      <c r="A15" t="s">
        <v>31</v>
      </c>
      <c r="B15" t="str">
        <f ca="1" t="shared" si="0"/>
        <v>/usr/local/libiconv-1.16/libiconv/bin:</v>
      </c>
      <c r="J15" t="s">
        <v>32</v>
      </c>
      <c r="O15" t="s">
        <v>14</v>
      </c>
      <c r="P15" t="s">
        <v>15</v>
      </c>
      <c r="Q15" t="s">
        <v>33</v>
      </c>
      <c r="R15" t="str">
        <f t="shared" si="1"/>
        <v>gcov.bak</v>
      </c>
      <c r="S15" t="str">
        <f t="shared" si="2"/>
        <v>mv /usr/bin/gcov.bak /usr/bin/gcov</v>
      </c>
      <c r="T15" t="str">
        <f t="shared" si="3"/>
        <v>ln -sf /usr/local/gcc-8.5.0/gcc/bin/gcov /usr/bin/gcov</v>
      </c>
      <c r="U15" t="str">
        <f t="shared" si="4"/>
        <v>rm -f /usr/bin/gcov</v>
      </c>
    </row>
    <row r="16" spans="1:21">
      <c r="A16" t="s">
        <v>34</v>
      </c>
      <c r="B16" t="str">
        <f ca="1" t="shared" si="0"/>
        <v>/usr/local/git-2.43.0/Git/bin:</v>
      </c>
      <c r="J16" t="s">
        <v>8</v>
      </c>
      <c r="O16" t="s">
        <v>14</v>
      </c>
      <c r="P16" t="s">
        <v>15</v>
      </c>
      <c r="Q16" t="s">
        <v>35</v>
      </c>
      <c r="R16" t="str">
        <f t="shared" si="1"/>
        <v>gcov-dump.bak</v>
      </c>
      <c r="S16" t="str">
        <f t="shared" si="2"/>
        <v>mv /usr/bin/gcov-dump.bak /usr/bin/gcov-dump</v>
      </c>
      <c r="T16" t="str">
        <f t="shared" si="3"/>
        <v>ln -sf /usr/local/gcc-8.5.0/gcc/bin/gcov-dump /usr/bin/gcov-dump</v>
      </c>
      <c r="U16" t="str">
        <f t="shared" si="4"/>
        <v>rm -f /usr/bin/gcov-dump</v>
      </c>
    </row>
    <row r="17" spans="1:21">
      <c r="A17" t="s">
        <v>36</v>
      </c>
      <c r="B17" t="str">
        <f ca="1" t="shared" si="0"/>
        <v>/usr/local/ncurses-6.1/ncurses/bin:</v>
      </c>
      <c r="J17" t="s">
        <v>10</v>
      </c>
      <c r="O17" t="s">
        <v>14</v>
      </c>
      <c r="P17" t="s">
        <v>15</v>
      </c>
      <c r="Q17" t="s">
        <v>37</v>
      </c>
      <c r="R17" t="str">
        <f t="shared" si="1"/>
        <v>gcov-tool.bak</v>
      </c>
      <c r="S17" t="str">
        <f t="shared" si="2"/>
        <v>mv /usr/bin/gcov-tool.bak /usr/bin/gcov-tool</v>
      </c>
      <c r="T17" t="str">
        <f t="shared" si="3"/>
        <v>ln -sf /usr/local/gcc-8.5.0/gcc/bin/gcov-tool /usr/bin/gcov-tool</v>
      </c>
      <c r="U17" t="str">
        <f t="shared" si="4"/>
        <v>rm -f /usr/bin/gcov-tool</v>
      </c>
    </row>
    <row r="18" spans="1:21">
      <c r="A18" t="s">
        <v>38</v>
      </c>
      <c r="B18" t="str">
        <f ca="1" t="shared" si="0"/>
        <v>/usr/local/nettle-3.4.1/nettle/bin:</v>
      </c>
      <c r="J18" t="s">
        <v>12</v>
      </c>
      <c r="O18" t="s">
        <v>14</v>
      </c>
      <c r="P18" t="s">
        <v>15</v>
      </c>
      <c r="Q18" t="s">
        <v>39</v>
      </c>
      <c r="R18" t="str">
        <f t="shared" si="1"/>
        <v>make.bak</v>
      </c>
      <c r="S18" t="str">
        <f t="shared" si="2"/>
        <v>mv /usr/bin/make.bak /usr/bin/make</v>
      </c>
      <c r="T18" t="str">
        <f>"ln -sf /usr/local/make-4.2.1/make/bin/"&amp;Q18&amp;" "&amp;P18&amp;Q18</f>
        <v>ln -sf /usr/local/make-4.2.1/make/bin/make /usr/bin/make</v>
      </c>
      <c r="U18" t="str">
        <f t="shared" si="4"/>
        <v>rm -f /usr/bin/make</v>
      </c>
    </row>
    <row r="19" spans="1:10">
      <c r="A19" t="s">
        <v>40</v>
      </c>
      <c r="B19" t="str">
        <f ca="1" t="shared" ref="B19:B38" si="5">IF(INDIRECT("A"&amp;ROW()+1)&lt;&gt;"",A19&amp;":",A19)</f>
        <v>/usr/local/libtasn1-4.13/libtasn1/bin:</v>
      </c>
      <c r="J19" t="s">
        <v>1</v>
      </c>
    </row>
    <row r="20" spans="1:10">
      <c r="A20" t="s">
        <v>41</v>
      </c>
      <c r="B20" t="str">
        <f ca="1" t="shared" si="5"/>
        <v>/usr/local/libidn2-2.2.0/libidn2:</v>
      </c>
      <c r="J20" t="s">
        <v>42</v>
      </c>
    </row>
    <row r="21" spans="1:10">
      <c r="A21" t="s">
        <v>43</v>
      </c>
      <c r="B21" t="str">
        <f ca="1" t="shared" si="5"/>
        <v>/usr/local/unbound-release-1.16.2/Unbound/sbin:</v>
      </c>
      <c r="J21" t="s">
        <v>44</v>
      </c>
    </row>
    <row r="22" spans="1:10">
      <c r="A22" t="s">
        <v>45</v>
      </c>
      <c r="B22" t="str">
        <f ca="1" t="shared" si="5"/>
        <v>/usr/local/p11-kit-0.23.22/p11-kit/bin:</v>
      </c>
      <c r="J22" t="s">
        <v>17</v>
      </c>
    </row>
    <row r="23" spans="1:10">
      <c r="A23" t="s">
        <v>46</v>
      </c>
      <c r="B23" t="str">
        <f ca="1" t="shared" si="5"/>
        <v>/usr/local/gnutls-3.6.16/gnutls/bin:</v>
      </c>
      <c r="J23" t="s">
        <v>47</v>
      </c>
    </row>
    <row r="24" spans="1:10">
      <c r="A24" t="s">
        <v>48</v>
      </c>
      <c r="B24" t="str">
        <f ca="1" t="shared" si="5"/>
        <v>/usr/local/zstd-1.4.1/zstd/bin:</v>
      </c>
      <c r="J24" t="s">
        <v>19</v>
      </c>
    </row>
    <row r="25" spans="1:10">
      <c r="A25" t="s">
        <v>49</v>
      </c>
      <c r="B25" t="str">
        <f ca="1" t="shared" si="5"/>
        <v>/opt/jdk-8u202-linux-x64/bin:</v>
      </c>
      <c r="F25" t="s">
        <v>1</v>
      </c>
      <c r="J25" t="s">
        <v>22</v>
      </c>
    </row>
    <row r="26" spans="1:10">
      <c r="A26" t="s">
        <v>50</v>
      </c>
      <c r="B26" t="str">
        <f ca="1" t="shared" si="5"/>
        <v>/usr/local/mongo-c-driver-1.29.1/mongo-c-driver/bin:</v>
      </c>
      <c r="F26" t="s">
        <v>3</v>
      </c>
      <c r="J26" t="s">
        <v>51</v>
      </c>
    </row>
    <row r="27" spans="1:10">
      <c r="A27" t="s">
        <v>52</v>
      </c>
      <c r="B27" t="str">
        <f ca="1" t="shared" si="5"/>
        <v>/usr/local/libxml2-2.9.7/libxml2/bin:</v>
      </c>
      <c r="F27" t="s">
        <v>6</v>
      </c>
      <c r="J27" t="s">
        <v>53</v>
      </c>
    </row>
    <row r="28" spans="1:10">
      <c r="A28" t="s">
        <v>54</v>
      </c>
      <c r="B28" t="str">
        <f ca="1" t="shared" si="5"/>
        <v>/usr/local/lz4-1.10.0/lz4/bin:</v>
      </c>
      <c r="F28" t="s">
        <v>8</v>
      </c>
      <c r="J28" t="s">
        <v>55</v>
      </c>
    </row>
    <row r="29" spans="1:10">
      <c r="A29" t="s">
        <v>56</v>
      </c>
      <c r="B29" t="str">
        <f ca="1" t="shared" si="5"/>
        <v>/usr/local/xz-5.2.4/xz/bin:</v>
      </c>
      <c r="F29" t="s">
        <v>10</v>
      </c>
      <c r="J29" t="s">
        <v>57</v>
      </c>
    </row>
    <row r="30" spans="1:10">
      <c r="A30" t="s">
        <v>58</v>
      </c>
      <c r="B30" t="str">
        <f ca="1" t="shared" si="5"/>
        <v>/usr/local/krb5-1.18.2/krb5/bin:</v>
      </c>
      <c r="F30" t="s">
        <v>12</v>
      </c>
      <c r="J30" t="s">
        <v>59</v>
      </c>
    </row>
    <row r="31" spans="1:10">
      <c r="A31" t="s">
        <v>60</v>
      </c>
      <c r="B31" t="str">
        <f ca="1" t="shared" si="5"/>
        <v>/usr/local/krb5-1.18.2/krb5/sbin:</v>
      </c>
      <c r="F31" t="s">
        <v>17</v>
      </c>
      <c r="J31" t="s">
        <v>61</v>
      </c>
    </row>
    <row r="32" spans="1:10">
      <c r="A32" t="s">
        <v>62</v>
      </c>
      <c r="B32" t="str">
        <f ca="1" t="shared" si="5"/>
        <v>/usr/local/unixODBC-2.3.7/unixODBC/bin:</v>
      </c>
      <c r="F32" t="s">
        <v>19</v>
      </c>
      <c r="J32" t="s">
        <v>6</v>
      </c>
    </row>
    <row r="33" spans="1:10">
      <c r="A33" t="s">
        <v>63</v>
      </c>
      <c r="B33" t="str">
        <f ca="1" t="shared" si="5"/>
        <v>/usr/local/swig-4.3.0/swig/bin:</v>
      </c>
      <c r="F33" t="s">
        <v>22</v>
      </c>
      <c r="J33" t="s">
        <v>31</v>
      </c>
    </row>
    <row r="34" spans="1:10">
      <c r="A34" t="s">
        <v>64</v>
      </c>
      <c r="B34" t="str">
        <f ca="1" t="shared" si="5"/>
        <v>/usr/local/autoconf-2.69/autoconf/bin:</v>
      </c>
      <c r="F34" t="s">
        <v>7</v>
      </c>
      <c r="J34" t="s">
        <v>34</v>
      </c>
    </row>
    <row r="35" spans="1:10">
      <c r="A35" t="s">
        <v>65</v>
      </c>
      <c r="B35" t="str">
        <f ca="1" t="shared" si="5"/>
        <v>/usr/local/automake-1.16.1/automake/bin:</v>
      </c>
      <c r="F35" t="s">
        <v>9</v>
      </c>
      <c r="J35" t="s">
        <v>40</v>
      </c>
    </row>
    <row r="36" spans="1:6">
      <c r="A36" t="s">
        <v>66</v>
      </c>
      <c r="B36" t="str">
        <f ca="1" t="shared" si="5"/>
        <v>/usr/local/m4-1.4.18/m4/bin:</v>
      </c>
      <c r="F36" t="s">
        <v>2</v>
      </c>
    </row>
    <row r="37" spans="1:6">
      <c r="A37" t="s">
        <v>67</v>
      </c>
      <c r="B37" t="str">
        <f ca="1" t="shared" si="5"/>
        <v>/usr/local/libtool-2.4.6/libtool/bin:</v>
      </c>
      <c r="F37" t="s">
        <v>31</v>
      </c>
    </row>
    <row r="38" spans="1:6">
      <c r="A38" t="s">
        <v>68</v>
      </c>
      <c r="B38" t="str">
        <f ca="1" t="shared" si="5"/>
        <v>/usr/local/kytea-master/kytea/bin</v>
      </c>
      <c r="F38" t="s">
        <v>34</v>
      </c>
    </row>
    <row r="39" spans="6:6">
      <c r="F39" t="s">
        <v>36</v>
      </c>
    </row>
  </sheetData>
  <dataValidations count="1">
    <dataValidation type="list" allowBlank="1" showInputMessage="1" sqref="A31 J35 A1:A4 A5:A20 A21:A30 A32:A1048576">
      <formula1>$J:$J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5"/>
  <sheetViews>
    <sheetView workbookViewId="0">
      <selection activeCell="G1" sqref="G1"/>
    </sheetView>
  </sheetViews>
  <sheetFormatPr defaultColWidth="9" defaultRowHeight="14.25"/>
  <sheetData>
    <row r="1" spans="1:11">
      <c r="A1">
        <f ca="1">COUNTIF(INDIRECT("$A$2:$A$9999"),"&lt;&gt;")</f>
        <v>1</v>
      </c>
      <c r="B1">
        <f ca="1">COUNTIF(INDIRECT("$B$2:$B$9999"),"&lt;&gt;")</f>
        <v>1</v>
      </c>
      <c r="C1">
        <f ca="1">COUNTIF(INDIRECT("$C$2:$C$9999"),"&lt;&gt;")</f>
        <v>1</v>
      </c>
      <c r="D1">
        <f ca="1">COUNTIF(INDIRECT("$D$2:$D$9999"),"&lt;&gt;")</f>
        <v>1</v>
      </c>
      <c r="G1" t="str">
        <f ca="1">"declare -x LDFLAGS="""&amp;_xlfn.CONCAT(INDIRECT("$C$2:$C$9999"))&amp;""""</f>
        <v>declare -x LDFLAGS="-L/usr/local/lib -lreadline -Wl,--as-needed -Wl,-rpath,/usr/local/lib -Wl,--build-id -Wl,--gc-sections"</v>
      </c>
      <c r="H1" s="2" t="s">
        <v>69</v>
      </c>
      <c r="J1" t="s">
        <v>70</v>
      </c>
      <c r="K1" t="s">
        <v>71</v>
      </c>
    </row>
    <row r="2" spans="1:11">
      <c r="A2" t="s">
        <v>72</v>
      </c>
      <c r="B2" t="s">
        <v>73</v>
      </c>
      <c r="C2" t="str">
        <f ca="1">IF(INDIRECT("A"&amp;ROW()+1)&lt;&gt;"","-L"&amp;A2&amp;" "&amp;"-l"&amp;B2&amp;" -Wl,--as-needed -Wl,-rpath,"&amp;A2&amp;" -Wl,--build-id -Wl,--gc-sections ","-L"&amp;A2&amp;" "&amp;"-l"&amp;B2&amp;" -Wl,--as-needed -Wl,-rpath,"&amp;A2&amp;" -Wl,--build-id -Wl,--gc-sections")</f>
        <v>-L/usr/local/lib -lreadline -Wl,--as-needed -Wl,-rpath,/usr/local/lib -Wl,--build-id -Wl,--gc-sections</v>
      </c>
      <c r="D2" t="str">
        <f ca="1">IF(INDIRECT("A"&amp;ROW()+1)&lt;&gt;"","-l"&amp;B2&amp;" ","-l"&amp;B2)</f>
        <v>-lreadline</v>
      </c>
      <c r="G2" t="str">
        <f ca="1">"declare -x LIBS="""&amp;_xlfn.CONCAT(INDIRECT("$D$2:$D$9999"))&amp;""""</f>
        <v>declare -x LIBS="-lreadline"</v>
      </c>
      <c r="H2" t="s">
        <v>74</v>
      </c>
      <c r="J2" t="s">
        <v>70</v>
      </c>
      <c r="K2" t="s">
        <v>75</v>
      </c>
    </row>
    <row r="3" spans="10:11">
      <c r="J3" t="s">
        <v>76</v>
      </c>
      <c r="K3" t="s">
        <v>77</v>
      </c>
    </row>
    <row r="4" spans="10:11">
      <c r="J4" t="s">
        <v>78</v>
      </c>
      <c r="K4" t="s">
        <v>79</v>
      </c>
    </row>
    <row r="5" spans="10:11">
      <c r="J5" t="s">
        <v>80</v>
      </c>
      <c r="K5" t="s">
        <v>81</v>
      </c>
    </row>
    <row r="6" spans="10:11">
      <c r="J6" t="s">
        <v>82</v>
      </c>
      <c r="K6" t="s">
        <v>83</v>
      </c>
    </row>
    <row r="7" spans="7:11">
      <c r="G7" t="str">
        <f ca="1">"set(LIBRARY_NAMES """&amp;_xlfn.TEXTJOIN(" ",TRUE,INDIRECT("$B$2:$B$9999"))&amp;" ${LIBRARY_NAMES}"")"</f>
        <v>set(LIBRARY_NAMES "readline ${LIBRARY_NAMES}")</v>
      </c>
      <c r="J7" t="s">
        <v>84</v>
      </c>
      <c r="K7" t="s">
        <v>85</v>
      </c>
    </row>
    <row r="8" spans="7:11">
      <c r="G8" t="str">
        <f ca="1">"set(CMAKE_C_FLAGS:STRING="""&amp;_xlfn.CONCAT(INDIRECT("$C$2:$C$9999"))&amp;""")"</f>
        <v>set(CMAKE_C_FLAGS:STRING="-L/usr/local/lib -lreadline -Wl,--as-needed -Wl,-rpath,/usr/local/lib -Wl,--build-id -Wl,--gc-sections")</v>
      </c>
      <c r="J8" t="s">
        <v>86</v>
      </c>
      <c r="K8" t="s">
        <v>87</v>
      </c>
    </row>
    <row r="9" spans="7:11">
      <c r="G9" t="str">
        <f ca="1">"set(CMAKE_CXX_FLAGS:STRING="""&amp;_xlfn.CONCAT(INDIRECT("$C$2:$C$9999"))&amp;""")"</f>
        <v>set(CMAKE_CXX_FLAGS:STRING="-L/usr/local/lib -lreadline -Wl,--as-needed -Wl,-rpath,/usr/local/lib -Wl,--build-id -Wl,--gc-sections")</v>
      </c>
      <c r="J9" t="s">
        <v>88</v>
      </c>
      <c r="K9" t="s">
        <v>89</v>
      </c>
    </row>
    <row r="10" spans="10:11">
      <c r="J10" t="s">
        <v>90</v>
      </c>
      <c r="K10" t="s">
        <v>91</v>
      </c>
    </row>
    <row r="11" spans="10:11">
      <c r="J11" t="s">
        <v>92</v>
      </c>
      <c r="K11" t="s">
        <v>93</v>
      </c>
    </row>
    <row r="12" spans="10:11">
      <c r="J12" t="s">
        <v>94</v>
      </c>
      <c r="K12" t="s">
        <v>95</v>
      </c>
    </row>
    <row r="13" spans="10:11">
      <c r="J13" t="s">
        <v>96</v>
      </c>
      <c r="K13" t="s">
        <v>97</v>
      </c>
    </row>
    <row r="14" spans="10:10">
      <c r="J14" t="s">
        <v>98</v>
      </c>
    </row>
    <row r="15" spans="10:11">
      <c r="J15" t="s">
        <v>99</v>
      </c>
      <c r="K15" t="s">
        <v>100</v>
      </c>
    </row>
    <row r="16" spans="10:11">
      <c r="J16" t="s">
        <v>101</v>
      </c>
      <c r="K16" t="s">
        <v>102</v>
      </c>
    </row>
    <row r="17" spans="10:11">
      <c r="J17" t="s">
        <v>103</v>
      </c>
      <c r="K17" t="s">
        <v>104</v>
      </c>
    </row>
    <row r="21" spans="10:11">
      <c r="J21" t="s">
        <v>103</v>
      </c>
      <c r="K21" t="s">
        <v>104</v>
      </c>
    </row>
    <row r="22" spans="10:11">
      <c r="J22" t="s">
        <v>105</v>
      </c>
      <c r="K22" t="s">
        <v>106</v>
      </c>
    </row>
    <row r="23" spans="10:11">
      <c r="J23" t="s">
        <v>107</v>
      </c>
      <c r="K23" t="s">
        <v>108</v>
      </c>
    </row>
    <row r="24" spans="10:11">
      <c r="J24" t="s">
        <v>109</v>
      </c>
      <c r="K24" t="s">
        <v>110</v>
      </c>
    </row>
    <row r="25" spans="10:11">
      <c r="J25" t="s">
        <v>111</v>
      </c>
      <c r="K25" t="s">
        <v>112</v>
      </c>
    </row>
  </sheetData>
  <dataValidations count="2">
    <dataValidation type="list" allowBlank="1" showInputMessage="1" showErrorMessage="1" sqref="J13">
      <formula1>$J:$J</formula1>
    </dataValidation>
    <dataValidation allowBlank="1" showInputMessage="1" showErrorMessage="1" sqref="A$1:A$1048576" errorStyle="information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55"/>
  <sheetViews>
    <sheetView workbookViewId="0">
      <selection activeCell="G1" sqref="G1"/>
    </sheetView>
  </sheetViews>
  <sheetFormatPr defaultColWidth="9" defaultRowHeight="14.25"/>
  <sheetData>
    <row r="1" spans="1:10">
      <c r="A1">
        <f ca="1">COUNTIF(INDIRECT("$A$2:$A$9999"),"&lt;&gt;")</f>
        <v>1</v>
      </c>
      <c r="B1">
        <f ca="1">COUNTIF(INDIRECT("$B$2:$B$9999"),"&lt;&gt;")</f>
        <v>1</v>
      </c>
      <c r="C1">
        <f ca="1">COUNTIF(INDIRECT("$C$2:$C$9999"),"&lt;&gt;")</f>
        <v>1</v>
      </c>
      <c r="G1" t="str">
        <f ca="1">"declare -x CPPFLAGS="""&amp;_xlfn.CONCAT(INDIRECT("$B$2:$B$9999"))&amp;""""</f>
        <v>declare -x CPPFLAGS="-I/usr/local/Linux-PAM-1.3.1/pam/include"</v>
      </c>
      <c r="H1" t="s">
        <v>113</v>
      </c>
      <c r="J1" t="s">
        <v>114</v>
      </c>
    </row>
    <row r="2" spans="1:10">
      <c r="A2" t="s">
        <v>115</v>
      </c>
      <c r="B2" t="str">
        <f ca="1">IF(INDIRECT("A"&amp;ROW()+1)&lt;&gt;"","-I"&amp;A2&amp;" ","-I"&amp;A2)</f>
        <v>-I/usr/local/Linux-PAM-1.3.1/pam/include</v>
      </c>
      <c r="C2" t="str">
        <f ca="1">IF(INDIRECT("A"&amp;ROW()+1)&lt;&gt;"",A2&amp;":",A2)</f>
        <v>/usr/local/Linux-PAM-1.3.1/pam/include</v>
      </c>
      <c r="G2" t="str">
        <f ca="1">"declare -x CFLAGS="""&amp;_xlfn.CONCAT(INDIRECT("$B$2:$B$9999"))&amp;""""</f>
        <v>declare -x CFLAGS="-I/usr/local/Linux-PAM-1.3.1/pam/include"</v>
      </c>
      <c r="H2" t="s">
        <v>116</v>
      </c>
      <c r="J2" t="s">
        <v>117</v>
      </c>
    </row>
    <row r="3" spans="7:10">
      <c r="G3" t="str">
        <f ca="1">"declare -x C_INCLUDE_PATH="""&amp;_xlfn.CONCAT(INDIRECT("$C$2:$C$9999"))&amp;""""</f>
        <v>declare -x C_INCLUDE_PATH="/usr/local/Linux-PAM-1.3.1/pam/include"</v>
      </c>
      <c r="H3" t="s">
        <v>118</v>
      </c>
      <c r="J3" t="s">
        <v>119</v>
      </c>
    </row>
    <row r="4" spans="7:10">
      <c r="G4" s="2" t="str">
        <f ca="1">"declare -x CPLUS_INCLUDE_PATH="""&amp;_xlfn.CONCAT(INDIRECT("$C$2:$C$9999"))&amp;""""</f>
        <v>declare -x CPLUS_INCLUDE_PATH="/usr/local/Linux-PAM-1.3.1/pam/include"</v>
      </c>
      <c r="H4" t="s">
        <v>120</v>
      </c>
      <c r="J4" t="s">
        <v>121</v>
      </c>
    </row>
    <row r="5" spans="10:10">
      <c r="J5" t="s">
        <v>122</v>
      </c>
    </row>
    <row r="6" spans="10:10">
      <c r="J6" t="s">
        <v>123</v>
      </c>
    </row>
    <row r="7" spans="7:10">
      <c r="G7" t="str">
        <f ca="1">"include_directories(BEFORE """&amp;_xlfn.TEXTJOIN(" ",TRUE,INDIRECT("$A$2:$A$9999"))&amp;""")"</f>
        <v>include_directories(BEFORE "/usr/local/Linux-PAM-1.3.1/pam/include")</v>
      </c>
      <c r="J7" t="s">
        <v>124</v>
      </c>
    </row>
    <row r="8" spans="7:10">
      <c r="G8" t="str">
        <f ca="1">"set(SEARCH_PATHS """&amp;_xlfn.TEXTJOIN(";",TRUE,INDIRECT("$A$2:$A$9999"))&amp;";${SEARCH_PATHS}"")"</f>
        <v>set(SEARCH_PATHS "/usr/local/Linux-PAM-1.3.1/pam/include;${SEARCH_PATHS}")</v>
      </c>
      <c r="J8" t="s">
        <v>125</v>
      </c>
    </row>
    <row r="9" spans="10:10">
      <c r="J9" t="s">
        <v>126</v>
      </c>
    </row>
    <row r="10" spans="10:10">
      <c r="J10" t="s">
        <v>127</v>
      </c>
    </row>
    <row r="11" spans="10:10">
      <c r="J11" t="s">
        <v>128</v>
      </c>
    </row>
    <row r="12" spans="10:10">
      <c r="J12" t="s">
        <v>129</v>
      </c>
    </row>
    <row r="13" spans="10:10">
      <c r="J13" t="s">
        <v>130</v>
      </c>
    </row>
    <row r="14" spans="10:10">
      <c r="J14" t="s">
        <v>131</v>
      </c>
    </row>
    <row r="15" spans="10:10">
      <c r="J15" t="s">
        <v>132</v>
      </c>
    </row>
    <row r="16" spans="10:10">
      <c r="J16" t="s">
        <v>133</v>
      </c>
    </row>
    <row r="17" spans="10:10">
      <c r="J17" t="s">
        <v>134</v>
      </c>
    </row>
    <row r="18" spans="10:10">
      <c r="J18" t="s">
        <v>135</v>
      </c>
    </row>
    <row r="19" spans="10:10">
      <c r="J19" t="s">
        <v>136</v>
      </c>
    </row>
    <row r="20" spans="10:10">
      <c r="J20" t="s">
        <v>115</v>
      </c>
    </row>
    <row r="21" spans="10:10">
      <c r="J21" t="s">
        <v>137</v>
      </c>
    </row>
    <row r="22" spans="10:10">
      <c r="J22" t="s">
        <v>138</v>
      </c>
    </row>
    <row r="23" spans="7:10">
      <c r="G23" t="s">
        <v>139</v>
      </c>
      <c r="J23" t="s">
        <v>140</v>
      </c>
    </row>
    <row r="24" spans="10:10">
      <c r="J24" t="s">
        <v>141</v>
      </c>
    </row>
    <row r="27" spans="10:10">
      <c r="J27" t="s">
        <v>140</v>
      </c>
    </row>
    <row r="28" spans="10:10">
      <c r="J28" t="s">
        <v>142</v>
      </c>
    </row>
    <row r="29" spans="10:10">
      <c r="J29" t="s">
        <v>143</v>
      </c>
    </row>
    <row r="30" spans="10:10">
      <c r="J30" t="s">
        <v>144</v>
      </c>
    </row>
    <row r="31" spans="10:10">
      <c r="J31" t="s">
        <v>145</v>
      </c>
    </row>
    <row r="35" spans="7:7">
      <c r="G35" t="s">
        <v>146</v>
      </c>
    </row>
    <row r="36" spans="7:7">
      <c r="G36" t="s">
        <v>125</v>
      </c>
    </row>
    <row r="37" spans="7:7">
      <c r="G37" t="s">
        <v>147</v>
      </c>
    </row>
    <row r="38" spans="7:7">
      <c r="G38" t="s">
        <v>130</v>
      </c>
    </row>
    <row r="39" spans="7:7">
      <c r="G39" t="s">
        <v>141</v>
      </c>
    </row>
    <row r="40" spans="7:7">
      <c r="G40" t="s">
        <v>148</v>
      </c>
    </row>
    <row r="41" spans="7:7">
      <c r="G41" t="s">
        <v>149</v>
      </c>
    </row>
    <row r="42" spans="7:7">
      <c r="G42" t="s">
        <v>138</v>
      </c>
    </row>
    <row r="43" spans="7:7">
      <c r="G43" t="s">
        <v>150</v>
      </c>
    </row>
    <row r="44" spans="7:7">
      <c r="G44" t="s">
        <v>150</v>
      </c>
    </row>
    <row r="45" spans="7:7">
      <c r="G45" t="s">
        <v>117</v>
      </c>
    </row>
    <row r="46" spans="7:7">
      <c r="G46" t="s">
        <v>126</v>
      </c>
    </row>
    <row r="47" spans="7:7">
      <c r="G47" t="s">
        <v>151</v>
      </c>
    </row>
    <row r="48" spans="7:7">
      <c r="G48" t="s">
        <v>152</v>
      </c>
    </row>
    <row r="49" spans="7:7">
      <c r="G49" t="s">
        <v>153</v>
      </c>
    </row>
    <row r="50" spans="7:7">
      <c r="G50" t="s">
        <v>154</v>
      </c>
    </row>
    <row r="51" spans="7:7">
      <c r="G51" t="s">
        <v>155</v>
      </c>
    </row>
    <row r="52" spans="7:7">
      <c r="G52" t="s">
        <v>156</v>
      </c>
    </row>
    <row r="53" spans="7:7">
      <c r="G53" t="s">
        <v>157</v>
      </c>
    </row>
    <row r="54" spans="7:7">
      <c r="G54" t="s">
        <v>157</v>
      </c>
    </row>
    <row r="55" spans="7:7">
      <c r="G55" t="s">
        <v>115</v>
      </c>
    </row>
  </sheetData>
  <dataValidations count="2">
    <dataValidation type="list" allowBlank="1" showInputMessage="1" showErrorMessage="1" sqref="J20">
      <formula1>$J:$J</formula1>
    </dataValidation>
    <dataValidation type="list" allowBlank="1" showInputMessage="1" sqref="A$1:A$1048576">
      <formula1>$J:$J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40"/>
  <sheetViews>
    <sheetView workbookViewId="0">
      <pane ySplit="1" topLeftCell="A2" activePane="bottomLeft" state="frozen"/>
      <selection/>
      <selection pane="bottomLeft" activeCell="G2" sqref="G2"/>
    </sheetView>
  </sheetViews>
  <sheetFormatPr defaultColWidth="9" defaultRowHeight="14.25"/>
  <sheetData>
    <row r="1" spans="1:10">
      <c r="A1">
        <f ca="1">COUNTIF(INDIRECT("$A$2:$A$9999"),"&lt;&gt;")</f>
        <v>39</v>
      </c>
      <c r="B1">
        <f ca="1">COUNTIF(INDIRECT("$B$2:$B$9999"),"&lt;&gt;")</f>
        <v>39</v>
      </c>
      <c r="C1">
        <f ca="1">COUNTIF(INDIRECT("$C$2:$C$9999"),"&lt;&gt;")</f>
        <v>39</v>
      </c>
      <c r="G1" t="str">
        <f ca="1">"declare -x LIBRARY_PATH="""&amp;_xlfn.CONCAT(INDIRECT("$B$2:$B$9999"))&amp;""""</f>
        <v>declare -x LIBRARY_PATH="/usr/local/isl-0.16.1/isl/lib:/usr/local/mpc-0.9/mpc/lib:/usr/local/gcc-8.5.0/gcc/lib64/:/usr/local/zlib-1.2.11/zlib/lib:/usr/local/openssl-1.1.1w/openssl/lib:/usr/local/libssh2-1.11.1/libssh2/lib64:/usr/local/libssh2-1.11.1/libssh2/lib64:/usr/local/libtool-2.4.6/libtool/lib:/usr/local/db-5.1.29/db/lib:/usr/local/openldap-2.4.46/openldap/lib:/usr/local/curl-7.61.1/curl/lib:/usr/local/bzip2-1.0.7/bzip2/lib:/usr/local/expat-2.2.5/expat/lib:/usr/local/libiconv-1.16/libiconv/lib:/usr/local/nettle-3.4.1/nettle/lib64:/usr/local/gmp-6.1.2/gmp/lib:/usr/local/libtasn1-4.13/libtasn1/lib:/usr/local/libunistring-0.9.9/libunistring/lib:/usr/local/libidn2-2.2.0/libidn2/lib:/usr/local/p11-kit-0.23.22/p11-kit/lib:/usr/local/gnutls-3.6.16/gnutls/lib:/usr/local/zstd-1.4.1/zstd/lib64/:/usr/local/libevent-2.1.8-stable/libevent/lib:/usr/local/mongo-c-driver-1.29.1/mongo-c-driver/lib64:/usr/local/libxml2-2.9.7/libxml2/lib:/usr/local/judy-1.0.5/judy/lib:/usr/local/lz4-1.10.0/lz4/lib64:/usr/local/xz-5.2.4/xz/lib:/usr/local/lzo-2.08/lzo/lib:/usr/local/krb5-1.18.2/krb5/lib:/usr/local/unixODBC-2.3.7/unixODBC/lib:/usr/local/fmt-11.0.2/fmt/lib64:/usr/local/pcre2-10.32/pcre2/lib/:/usr/local/libtool-2.4.6/libtool/lib:/usr/local/kytea-master/kytea/lib:/usr/local/zeromq-4.3.5/zeromq/lib:/usr/local/snappy-1.1.8/snappy/lib64:/usr/local/ncurses-6.1/ncurses/lib:/usr/local/Linux-PAM-1.3.1/pam/lib"</v>
      </c>
      <c r="H1" t="s">
        <v>158</v>
      </c>
      <c r="J1" t="s">
        <v>159</v>
      </c>
    </row>
    <row r="2" spans="1:10">
      <c r="A2" t="s">
        <v>160</v>
      </c>
      <c r="B2" t="str">
        <f ca="1">IF(INDIRECT("A"&amp;ROW()+1)&lt;&gt;"",A2&amp;":",A2)</f>
        <v>/usr/local/isl-0.16.1/isl/lib:</v>
      </c>
      <c r="C2" t="str">
        <f ca="1">IF(INDIRECT("A"&amp;ROW()+1)&lt;&gt;"",A2&amp;";",A2)</f>
        <v>/usr/local/isl-0.16.1/isl/lib;</v>
      </c>
      <c r="G2" t="str">
        <f ca="1">"declare -x LD_LIBRARY_PATH="""&amp;_xlfn.CONCAT(INDIRECT("$B$2:$B$9999"))&amp;""""</f>
        <v>declare -x LD_LIBRARY_PATH="/usr/local/isl-0.16.1/isl/lib:/usr/local/mpc-0.9/mpc/lib:/usr/local/gcc-8.5.0/gcc/lib64/:/usr/local/zlib-1.2.11/zlib/lib:/usr/local/openssl-1.1.1w/openssl/lib:/usr/local/libssh2-1.11.1/libssh2/lib64:/usr/local/libssh2-1.11.1/libssh2/lib64:/usr/local/libtool-2.4.6/libtool/lib:/usr/local/db-5.1.29/db/lib:/usr/local/openldap-2.4.46/openldap/lib:/usr/local/curl-7.61.1/curl/lib:/usr/local/bzip2-1.0.7/bzip2/lib:/usr/local/expat-2.2.5/expat/lib:/usr/local/libiconv-1.16/libiconv/lib:/usr/local/nettle-3.4.1/nettle/lib64:/usr/local/gmp-6.1.2/gmp/lib:/usr/local/libtasn1-4.13/libtasn1/lib:/usr/local/libunistring-0.9.9/libunistring/lib:/usr/local/libidn2-2.2.0/libidn2/lib:/usr/local/p11-kit-0.23.22/p11-kit/lib:/usr/local/gnutls-3.6.16/gnutls/lib:/usr/local/zstd-1.4.1/zstd/lib64/:/usr/local/libevent-2.1.8-stable/libevent/lib:/usr/local/mongo-c-driver-1.29.1/mongo-c-driver/lib64:/usr/local/libxml2-2.9.7/libxml2/lib:/usr/local/judy-1.0.5/judy/lib:/usr/local/lz4-1.10.0/lz4/lib64:/usr/local/xz-5.2.4/xz/lib:/usr/local/lzo-2.08/lzo/lib:/usr/local/krb5-1.18.2/krb5/lib:/usr/local/unixODBC-2.3.7/unixODBC/lib:/usr/local/fmt-11.0.2/fmt/lib64:/usr/local/pcre2-10.32/pcre2/lib/:/usr/local/libtool-2.4.6/libtool/lib:/usr/local/kytea-master/kytea/lib:/usr/local/zeromq-4.3.5/zeromq/lib:/usr/local/snappy-1.1.8/snappy/lib64:/usr/local/ncurses-6.1/ncurses/lib:/usr/local/Linux-PAM-1.3.1/pam/lib"</v>
      </c>
      <c r="H2" t="s">
        <v>161</v>
      </c>
      <c r="J2" t="s">
        <v>70</v>
      </c>
    </row>
    <row r="3" spans="1:10">
      <c r="A3" t="s">
        <v>162</v>
      </c>
      <c r="B3" t="str">
        <f ca="1" t="shared" ref="B3:B40" si="0">IF(INDIRECT("A"&amp;ROW()+1)&lt;&gt;"",A3&amp;":",A3)</f>
        <v>/usr/local/mpc-0.9/mpc/lib:</v>
      </c>
      <c r="C3" t="str">
        <f ca="1" t="shared" ref="C3:C40" si="1">IF(INDIRECT("A"&amp;ROW()+1)&lt;&gt;"",A3&amp;";",A3)</f>
        <v>/usr/local/mpc-0.9/mpc/lib;</v>
      </c>
      <c r="G3" t="str">
        <f ca="1">"declare -x LD_RUN_PATH="""&amp;_xlfn.CONCAT(INDIRECT("$B$2:$B$9999"))&amp;""""</f>
        <v>declare -x LD_RUN_PATH="/usr/local/isl-0.16.1/isl/lib:/usr/local/mpc-0.9/mpc/lib:/usr/local/gcc-8.5.0/gcc/lib64/:/usr/local/zlib-1.2.11/zlib/lib:/usr/local/openssl-1.1.1w/openssl/lib:/usr/local/libssh2-1.11.1/libssh2/lib64:/usr/local/libssh2-1.11.1/libssh2/lib64:/usr/local/libtool-2.4.6/libtool/lib:/usr/local/db-5.1.29/db/lib:/usr/local/openldap-2.4.46/openldap/lib:/usr/local/curl-7.61.1/curl/lib:/usr/local/bzip2-1.0.7/bzip2/lib:/usr/local/expat-2.2.5/expat/lib:/usr/local/libiconv-1.16/libiconv/lib:/usr/local/nettle-3.4.1/nettle/lib64:/usr/local/gmp-6.1.2/gmp/lib:/usr/local/libtasn1-4.13/libtasn1/lib:/usr/local/libunistring-0.9.9/libunistring/lib:/usr/local/libidn2-2.2.0/libidn2/lib:/usr/local/p11-kit-0.23.22/p11-kit/lib:/usr/local/gnutls-3.6.16/gnutls/lib:/usr/local/zstd-1.4.1/zstd/lib64/:/usr/local/libevent-2.1.8-stable/libevent/lib:/usr/local/mongo-c-driver-1.29.1/mongo-c-driver/lib64:/usr/local/libxml2-2.9.7/libxml2/lib:/usr/local/judy-1.0.5/judy/lib:/usr/local/lz4-1.10.0/lz4/lib64:/usr/local/xz-5.2.4/xz/lib:/usr/local/lzo-2.08/lzo/lib:/usr/local/krb5-1.18.2/krb5/lib:/usr/local/unixODBC-2.3.7/unixODBC/lib:/usr/local/fmt-11.0.2/fmt/lib64:/usr/local/pcre2-10.32/pcre2/lib/:/usr/local/libtool-2.4.6/libtool/lib:/usr/local/kytea-master/kytea/lib:/usr/local/zeromq-4.3.5/zeromq/lib:/usr/local/snappy-1.1.8/snappy/lib64:/usr/local/ncurses-6.1/ncurses/lib:/usr/local/Linux-PAM-1.3.1/pam/lib"</v>
      </c>
      <c r="H3" t="s">
        <v>163</v>
      </c>
      <c r="J3" t="s">
        <v>76</v>
      </c>
    </row>
    <row r="4" spans="1:10">
      <c r="A4" t="s">
        <v>164</v>
      </c>
      <c r="B4" t="str">
        <f ca="1" t="shared" si="0"/>
        <v>/usr/local/gcc-8.5.0/gcc/lib64/:</v>
      </c>
      <c r="C4" t="str">
        <f ca="1" t="shared" si="1"/>
        <v>/usr/local/gcc-8.5.0/gcc/lib64/;</v>
      </c>
      <c r="G4" t="str">
        <f ca="1">"echo -e """&amp;_xlfn.TEXTJOIN("\n",TRUE,INDIRECT("$A$2:$A$9999"))&amp;""" &gt; /etc/ld.so.conf.d/build.conf &amp;&amp; ldconfig"</f>
        <v>echo -e "/usr/local/isl-0.16.1/isl/lib\n/usr/local/mpc-0.9/mpc/lib\n/usr/local/gcc-8.5.0/gcc/lib64/\n/usr/local/zlib-1.2.11/zlib/lib\n/usr/local/openssl-1.1.1w/openssl/lib\n/usr/local/libssh2-1.11.1/libssh2/lib64\n/usr/local/libssh2-1.11.1/libssh2/lib64\n/usr/local/libtool-2.4.6/libtool/lib\n/usr/local/db-5.1.29/db/lib\n/usr/local/openldap-2.4.46/openldap/lib\n/usr/local/curl-7.61.1/curl/lib\n/usr/local/bzip2-1.0.7/bzip2/lib\n/usr/local/expat-2.2.5/expat/lib\n/usr/local/libiconv-1.16/libiconv/lib\n/usr/local/nettle-3.4.1/nettle/lib64\n/usr/local/gmp-6.1.2/gmp/lib\n/usr/local/libtasn1-4.13/libtasn1/lib\n/usr/local/libunistring-0.9.9/libunistring/lib\n/usr/local/libidn2-2.2.0/libidn2/lib\n/usr/local/p11-kit-0.23.22/p11-kit/lib\n/usr/local/gnutls-3.6.16/gnutls/lib\n/usr/local/zstd-1.4.1/zstd/lib64/\n/usr/local/libevent-2.1.8-stable/libevent/lib\n/usr/local/mongo-c-driver-1.29.1/mongo-c-driver/lib64\n/usr/local/libxml2-2.9.7/libxml2/lib\n/usr/local/judy-1.0.5/judy/lib\n/usr/local/lz4-1.10.0/lz4/lib64\n/usr/local/xz-5.2.4/xz/lib\n/usr/local/lzo-2.08/lzo/lib\n/usr/local/krb5-1.18.2/krb5/lib\n/usr/local/unixODBC-2.3.7/unixODBC/lib\n/usr/local/fmt-11.0.2/fmt/lib64\n/usr/local/pcre2-10.32/pcre2/lib/\n/usr/local/libtool-2.4.6/libtool/lib\n/usr/local/kytea-master/kytea/lib\n/usr/local/zeromq-4.3.5/zeromq/lib\n/usr/local/snappy-1.1.8/snappy/lib64\n/usr/local/ncurses-6.1/ncurses/lib\n/usr/local/Linux-PAM-1.3.1/pam/lib" &gt; /etc/ld.so.conf.d/build.conf &amp;&amp; ldconfig</v>
      </c>
      <c r="H4" t="str">
        <f>"echo -e """" &gt; /etc/ld.so.conf.d/build.conf &amp;&amp; ldconfig"</f>
        <v>echo -e "" &gt; /etc/ld.so.conf.d/build.conf &amp;&amp; ldconfig</v>
      </c>
      <c r="J4" t="s">
        <v>162</v>
      </c>
    </row>
    <row r="5" spans="1:10">
      <c r="A5" t="s">
        <v>99</v>
      </c>
      <c r="B5" t="str">
        <f ca="1" t="shared" si="0"/>
        <v>/usr/local/zlib-1.2.11/zlib/lib:</v>
      </c>
      <c r="C5" t="str">
        <f ca="1" t="shared" si="1"/>
        <v>/usr/local/zlib-1.2.11/zlib/lib;</v>
      </c>
      <c r="J5" t="s">
        <v>164</v>
      </c>
    </row>
    <row r="6" spans="1:10">
      <c r="A6" t="s">
        <v>70</v>
      </c>
      <c r="B6" t="str">
        <f ca="1" t="shared" si="0"/>
        <v>/usr/local/openssl-1.1.1w/openssl/lib:</v>
      </c>
      <c r="C6" t="str">
        <f ca="1" t="shared" si="1"/>
        <v>/usr/local/openssl-1.1.1w/openssl/lib;</v>
      </c>
      <c r="J6" t="s">
        <v>96</v>
      </c>
    </row>
    <row r="7" spans="1:10">
      <c r="A7" t="s">
        <v>76</v>
      </c>
      <c r="B7" t="str">
        <f ca="1" t="shared" si="0"/>
        <v>/usr/local/libssh2-1.11.1/libssh2/lib64:</v>
      </c>
      <c r="C7" t="str">
        <f ca="1" t="shared" si="1"/>
        <v>/usr/local/libssh2-1.11.1/libssh2/lib64;</v>
      </c>
      <c r="J7" t="s">
        <v>80</v>
      </c>
    </row>
    <row r="8" spans="1:10">
      <c r="A8" t="s">
        <v>76</v>
      </c>
      <c r="B8" t="str">
        <f ca="1" t="shared" si="0"/>
        <v>/usr/local/libssh2-1.11.1/libssh2/lib64:</v>
      </c>
      <c r="C8" t="str">
        <f ca="1" t="shared" si="1"/>
        <v>/usr/local/libssh2-1.11.1/libssh2/lib64;</v>
      </c>
      <c r="J8" t="s">
        <v>82</v>
      </c>
    </row>
    <row r="9" spans="1:10">
      <c r="A9" t="s">
        <v>165</v>
      </c>
      <c r="B9" t="str">
        <f ca="1" t="shared" si="0"/>
        <v>/usr/local/libtool-2.4.6/libtool/lib:</v>
      </c>
      <c r="C9" t="str">
        <f ca="1" t="shared" si="1"/>
        <v>/usr/local/libtool-2.4.6/libtool/lib;</v>
      </c>
      <c r="G9" t="str">
        <f ca="1">"link_directories("&amp;_xlfn.TEXTJOIN(" ",TRUE,INDIRECT("$A$2:$A$9999"))&amp;")"</f>
        <v>link_directories(/usr/local/isl-0.16.1/isl/lib /usr/local/mpc-0.9/mpc/lib /usr/local/gcc-8.5.0/gcc/lib64/ /usr/local/zlib-1.2.11/zlib/lib /usr/local/openssl-1.1.1w/openssl/lib /usr/local/libssh2-1.11.1/libssh2/lib64 /usr/local/libssh2-1.11.1/libssh2/lib64 /usr/local/libtool-2.4.6/libtool/lib /usr/local/db-5.1.29/db/lib /usr/local/openldap-2.4.46/openldap/lib /usr/local/curl-7.61.1/curl/lib /usr/local/bzip2-1.0.7/bzip2/lib /usr/local/expat-2.2.5/expat/lib /usr/local/libiconv-1.16/libiconv/lib /usr/local/nettle-3.4.1/nettle/lib64 /usr/local/gmp-6.1.2/gmp/lib /usr/local/libtasn1-4.13/libtasn1/lib /usr/local/libunistring-0.9.9/libunistring/lib /usr/local/libidn2-2.2.0/libidn2/lib /usr/local/p11-kit-0.23.22/p11-kit/lib /usr/local/gnutls-3.6.16/gnutls/lib /usr/local/zstd-1.4.1/zstd/lib64/ /usr/local/libevent-2.1.8-stable/libevent/lib /usr/local/mongo-c-driver-1.29.1/mongo-c-driver/lib64 /usr/local/libxml2-2.9.7/libxml2/lib /usr/local/judy-1.0.5/judy/lib /usr/local/lz4-1.10.0/lz4/lib64 /usr/local/xz-5.2.4/xz/lib /usr/local/lzo-2.08/lzo/lib /usr/local/krb5-1.18.2/krb5/lib /usr/local/unixODBC-2.3.7/unixODBC/lib /usr/local/fmt-11.0.2/fmt/lib64 /usr/local/pcre2-10.32/pcre2/lib/ /usr/local/libtool-2.4.6/libtool/lib /usr/local/kytea-master/kytea/lib /usr/local/zeromq-4.3.5/zeromq/lib /usr/local/snappy-1.1.8/snappy/lib64 /usr/local/ncurses-6.1/ncurses/lib /usr/local/Linux-PAM-1.3.1/pam/lib)</v>
      </c>
      <c r="J9" t="s">
        <v>166</v>
      </c>
    </row>
    <row r="10" spans="1:10">
      <c r="A10" t="s">
        <v>167</v>
      </c>
      <c r="B10" t="str">
        <f ca="1" t="shared" si="0"/>
        <v>/usr/local/db-5.1.29/db/lib:</v>
      </c>
      <c r="C10" t="str">
        <f ca="1" t="shared" si="1"/>
        <v>/usr/local/db-5.1.29/db/lib;</v>
      </c>
      <c r="J10" t="s">
        <v>168</v>
      </c>
    </row>
    <row r="11" spans="1:10">
      <c r="A11" t="s">
        <v>82</v>
      </c>
      <c r="B11" t="str">
        <f ca="1" t="shared" si="0"/>
        <v>/usr/local/openldap-2.4.46/openldap/lib:</v>
      </c>
      <c r="C11" t="str">
        <f ca="1" t="shared" si="1"/>
        <v>/usr/local/openldap-2.4.46/openldap/lib;</v>
      </c>
      <c r="J11" t="s">
        <v>169</v>
      </c>
    </row>
    <row r="12" spans="1:10">
      <c r="A12" t="s">
        <v>88</v>
      </c>
      <c r="B12" t="str">
        <f ca="1" t="shared" si="0"/>
        <v>/usr/local/curl-7.61.1/curl/lib:</v>
      </c>
      <c r="C12" t="str">
        <f ca="1" t="shared" si="1"/>
        <v>/usr/local/curl-7.61.1/curl/lib;</v>
      </c>
      <c r="J12" t="s">
        <v>99</v>
      </c>
    </row>
    <row r="13" spans="1:10">
      <c r="A13" t="s">
        <v>170</v>
      </c>
      <c r="B13" t="str">
        <f ca="1" t="shared" si="0"/>
        <v>/usr/local/bzip2-1.0.7/bzip2/lib:</v>
      </c>
      <c r="C13" t="str">
        <f ca="1" t="shared" si="1"/>
        <v>/usr/local/bzip2-1.0.7/bzip2/lib;</v>
      </c>
      <c r="G13" t="str">
        <f ca="1">"find "&amp;_xlfn.TEXTJOIN(" ",TRUE,INDIRECT("$A$2:$A$9999"))&amp;" -name *.so | xargs -I{} ldd {} | grep not"</f>
        <v>find /usr/local/isl-0.16.1/isl/lib /usr/local/mpc-0.9/mpc/lib /usr/local/gcc-8.5.0/gcc/lib64/ /usr/local/zlib-1.2.11/zlib/lib /usr/local/openssl-1.1.1w/openssl/lib /usr/local/libssh2-1.11.1/libssh2/lib64 /usr/local/libssh2-1.11.1/libssh2/lib64 /usr/local/libtool-2.4.6/libtool/lib /usr/local/db-5.1.29/db/lib /usr/local/openldap-2.4.46/openldap/lib /usr/local/curl-7.61.1/curl/lib /usr/local/bzip2-1.0.7/bzip2/lib /usr/local/expat-2.2.5/expat/lib /usr/local/libiconv-1.16/libiconv/lib /usr/local/nettle-3.4.1/nettle/lib64 /usr/local/gmp-6.1.2/gmp/lib /usr/local/libtasn1-4.13/libtasn1/lib /usr/local/libunistring-0.9.9/libunistring/lib /usr/local/libidn2-2.2.0/libidn2/lib /usr/local/p11-kit-0.23.22/p11-kit/lib /usr/local/gnutls-3.6.16/gnutls/lib /usr/local/zstd-1.4.1/zstd/lib64/ /usr/local/libevent-2.1.8-stable/libevent/lib /usr/local/mongo-c-driver-1.29.1/mongo-c-driver/lib64 /usr/local/libxml2-2.9.7/libxml2/lib /usr/local/judy-1.0.5/judy/lib /usr/local/lz4-1.10.0/lz4/lib64 /usr/local/xz-5.2.4/xz/lib /usr/local/lzo-2.08/lzo/lib /usr/local/krb5-1.18.2/krb5/lib /usr/local/unixODBC-2.3.7/unixODBC/lib /usr/local/fmt-11.0.2/fmt/lib64 /usr/local/pcre2-10.32/pcre2/lib/ /usr/local/libtool-2.4.6/libtool/lib /usr/local/kytea-master/kytea/lib /usr/local/zeromq-4.3.5/zeromq/lib /usr/local/snappy-1.1.8/snappy/lib64 /usr/local/ncurses-6.1/ncurses/lib /usr/local/Linux-PAM-1.3.1/pam/lib -name *.so | xargs -I{} ldd {} | grep not</v>
      </c>
      <c r="J13" t="s">
        <v>171</v>
      </c>
    </row>
    <row r="14" spans="1:10">
      <c r="A14" t="s">
        <v>92</v>
      </c>
      <c r="B14" t="str">
        <f ca="1" t="shared" si="0"/>
        <v>/usr/local/expat-2.2.5/expat/lib:</v>
      </c>
      <c r="C14" t="str">
        <f ca="1" t="shared" si="1"/>
        <v>/usr/local/expat-2.2.5/expat/lib;</v>
      </c>
      <c r="J14" t="s">
        <v>86</v>
      </c>
    </row>
    <row r="15" spans="1:10">
      <c r="A15" t="s">
        <v>94</v>
      </c>
      <c r="B15" t="str">
        <f ca="1" t="shared" si="0"/>
        <v>/usr/local/libiconv-1.16/libiconv/lib:</v>
      </c>
      <c r="C15" t="str">
        <f ca="1" t="shared" si="1"/>
        <v>/usr/local/libiconv-1.16/libiconv/lib;</v>
      </c>
      <c r="J15" t="s">
        <v>88</v>
      </c>
    </row>
    <row r="16" spans="1:10">
      <c r="A16" t="s">
        <v>172</v>
      </c>
      <c r="B16" t="str">
        <f ca="1" t="shared" si="0"/>
        <v>/usr/local/nettle-3.4.1/nettle/lib64:</v>
      </c>
      <c r="C16" t="str">
        <f ca="1" t="shared" si="1"/>
        <v>/usr/local/nettle-3.4.1/nettle/lib64;</v>
      </c>
      <c r="J16" t="s">
        <v>173</v>
      </c>
    </row>
    <row r="17" spans="1:10">
      <c r="A17" t="s">
        <v>103</v>
      </c>
      <c r="B17" t="str">
        <f ca="1" t="shared" si="0"/>
        <v>/usr/local/gmp-6.1.2/gmp/lib:</v>
      </c>
      <c r="C17" t="str">
        <f ca="1" t="shared" si="1"/>
        <v>/usr/local/gmp-6.1.2/gmp/lib;</v>
      </c>
      <c r="J17" t="s">
        <v>90</v>
      </c>
    </row>
    <row r="18" spans="1:10">
      <c r="A18" t="s">
        <v>105</v>
      </c>
      <c r="B18" t="str">
        <f ca="1" t="shared" si="0"/>
        <v>/usr/local/libtasn1-4.13/libtasn1/lib:</v>
      </c>
      <c r="C18" t="str">
        <f ca="1" t="shared" si="1"/>
        <v>/usr/local/libtasn1-4.13/libtasn1/lib;</v>
      </c>
      <c r="J18" t="s">
        <v>92</v>
      </c>
    </row>
    <row r="19" spans="1:10">
      <c r="A19" t="s">
        <v>107</v>
      </c>
      <c r="B19" t="str">
        <f ca="1" t="shared" si="0"/>
        <v>/usr/local/libunistring-0.9.9/libunistring/lib:</v>
      </c>
      <c r="C19" t="str">
        <f ca="1" t="shared" si="1"/>
        <v>/usr/local/libunistring-0.9.9/libunistring/lib;</v>
      </c>
      <c r="J19" t="s">
        <v>174</v>
      </c>
    </row>
    <row r="20" spans="1:10">
      <c r="A20" t="s">
        <v>109</v>
      </c>
      <c r="B20" t="str">
        <f ca="1" t="shared" si="0"/>
        <v>/usr/local/libidn2-2.2.0/libidn2/lib:</v>
      </c>
      <c r="C20" t="str">
        <f ca="1" t="shared" si="1"/>
        <v>/usr/local/libidn2-2.2.0/libidn2/lib;</v>
      </c>
      <c r="J20" t="s">
        <v>94</v>
      </c>
    </row>
    <row r="21" spans="1:10">
      <c r="A21" t="s">
        <v>175</v>
      </c>
      <c r="B21" t="str">
        <f ca="1" t="shared" si="0"/>
        <v>/usr/local/p11-kit-0.23.22/p11-kit/lib:</v>
      </c>
      <c r="C21" t="str">
        <f ca="1" t="shared" si="1"/>
        <v>/usr/local/p11-kit-0.23.22/p11-kit/lib;</v>
      </c>
      <c r="J21" t="s">
        <v>160</v>
      </c>
    </row>
    <row r="22" spans="1:10">
      <c r="A22" t="s">
        <v>176</v>
      </c>
      <c r="B22" t="str">
        <f ca="1" t="shared" si="0"/>
        <v>/usr/local/gnutls-3.6.16/gnutls/lib:</v>
      </c>
      <c r="C22" t="str">
        <f ca="1" t="shared" si="1"/>
        <v>/usr/local/gnutls-3.6.16/gnutls/lib;</v>
      </c>
      <c r="J22" t="s">
        <v>96</v>
      </c>
    </row>
    <row r="23" spans="1:10">
      <c r="A23" t="s">
        <v>177</v>
      </c>
      <c r="B23" t="str">
        <f ca="1" t="shared" si="0"/>
        <v>/usr/local/zstd-1.4.1/zstd/lib64/:</v>
      </c>
      <c r="C23" t="str">
        <f ca="1" t="shared" si="1"/>
        <v>/usr/local/zstd-1.4.1/zstd/lib64/;</v>
      </c>
      <c r="G23" t="s">
        <v>178</v>
      </c>
      <c r="J23" t="s">
        <v>170</v>
      </c>
    </row>
    <row r="24" spans="1:7">
      <c r="A24" t="s">
        <v>84</v>
      </c>
      <c r="B24" t="str">
        <f ca="1" t="shared" si="0"/>
        <v>/usr/local/libevent-2.1.8-stable/libevent/lib:</v>
      </c>
      <c r="C24" t="str">
        <f ca="1" t="shared" si="1"/>
        <v>/usr/local/libevent-2.1.8-stable/libevent/lib;</v>
      </c>
      <c r="G24" t="s">
        <v>179</v>
      </c>
    </row>
    <row r="25" spans="1:3">
      <c r="A25" t="s">
        <v>180</v>
      </c>
      <c r="B25" t="str">
        <f ca="1" t="shared" si="0"/>
        <v>/usr/local/mongo-c-driver-1.29.1/mongo-c-driver/lib64:</v>
      </c>
      <c r="C25" t="str">
        <f ca="1" t="shared" si="1"/>
        <v>/usr/local/mongo-c-driver-1.29.1/mongo-c-driver/lib64;</v>
      </c>
    </row>
    <row r="26" spans="1:3">
      <c r="A26" t="s">
        <v>181</v>
      </c>
      <c r="B26" t="str">
        <f ca="1" t="shared" si="0"/>
        <v>/usr/local/libxml2-2.9.7/libxml2/lib:</v>
      </c>
      <c r="C26" t="str">
        <f ca="1" t="shared" si="1"/>
        <v>/usr/local/libxml2-2.9.7/libxml2/lib;</v>
      </c>
    </row>
    <row r="27" spans="1:3">
      <c r="A27" t="s">
        <v>182</v>
      </c>
      <c r="B27" t="str">
        <f ca="1" t="shared" si="0"/>
        <v>/usr/local/judy-1.0.5/judy/lib:</v>
      </c>
      <c r="C27" t="str">
        <f ca="1" t="shared" si="1"/>
        <v>/usr/local/judy-1.0.5/judy/lib;</v>
      </c>
    </row>
    <row r="28" spans="1:3">
      <c r="A28" t="s">
        <v>183</v>
      </c>
      <c r="B28" t="str">
        <f ca="1" t="shared" si="0"/>
        <v>/usr/local/lz4-1.10.0/lz4/lib64:</v>
      </c>
      <c r="C28" t="str">
        <f ca="1" t="shared" si="1"/>
        <v>/usr/local/lz4-1.10.0/lz4/lib64;</v>
      </c>
    </row>
    <row r="29" spans="1:3">
      <c r="A29" t="s">
        <v>184</v>
      </c>
      <c r="B29" t="str">
        <f ca="1" t="shared" si="0"/>
        <v>/usr/local/xz-5.2.4/xz/lib:</v>
      </c>
      <c r="C29" t="str">
        <f ca="1" t="shared" si="1"/>
        <v>/usr/local/xz-5.2.4/xz/lib;</v>
      </c>
    </row>
    <row r="30" spans="1:3">
      <c r="A30" t="s">
        <v>185</v>
      </c>
      <c r="B30" t="str">
        <f ca="1" t="shared" si="0"/>
        <v>/usr/local/lzo-2.08/lzo/lib:</v>
      </c>
      <c r="C30" t="str">
        <f ca="1" t="shared" si="1"/>
        <v>/usr/local/lzo-2.08/lzo/lib;</v>
      </c>
    </row>
    <row r="31" spans="1:3">
      <c r="A31" t="s">
        <v>186</v>
      </c>
      <c r="B31" t="str">
        <f ca="1" t="shared" si="0"/>
        <v>/usr/local/krb5-1.18.2/krb5/lib:</v>
      </c>
      <c r="C31" t="str">
        <f ca="1" t="shared" si="1"/>
        <v>/usr/local/krb5-1.18.2/krb5/lib;</v>
      </c>
    </row>
    <row r="32" spans="1:3">
      <c r="A32" t="s">
        <v>187</v>
      </c>
      <c r="B32" t="str">
        <f ca="1" t="shared" si="0"/>
        <v>/usr/local/unixODBC-2.3.7/unixODBC/lib:</v>
      </c>
      <c r="C32" t="str">
        <f ca="1" t="shared" si="1"/>
        <v>/usr/local/unixODBC-2.3.7/unixODBC/lib;</v>
      </c>
    </row>
    <row r="33" spans="1:3">
      <c r="A33" t="s">
        <v>159</v>
      </c>
      <c r="B33" t="str">
        <f ca="1" t="shared" si="0"/>
        <v>/usr/local/fmt-11.0.2/fmt/lib64:</v>
      </c>
      <c r="C33" t="str">
        <f ca="1" t="shared" si="1"/>
        <v>/usr/local/fmt-11.0.2/fmt/lib64;</v>
      </c>
    </row>
    <row r="34" spans="1:3">
      <c r="A34" t="s">
        <v>188</v>
      </c>
      <c r="B34" t="str">
        <f ca="1" t="shared" si="0"/>
        <v>/usr/local/pcre2-10.32/pcre2/lib/:</v>
      </c>
      <c r="C34" t="str">
        <f ca="1" t="shared" si="1"/>
        <v>/usr/local/pcre2-10.32/pcre2/lib/;</v>
      </c>
    </row>
    <row r="35" spans="1:3">
      <c r="A35" t="s">
        <v>165</v>
      </c>
      <c r="B35" t="str">
        <f ca="1" t="shared" si="0"/>
        <v>/usr/local/libtool-2.4.6/libtool/lib:</v>
      </c>
      <c r="C35" t="str">
        <f ca="1" t="shared" si="1"/>
        <v>/usr/local/libtool-2.4.6/libtool/lib;</v>
      </c>
    </row>
    <row r="36" spans="1:3">
      <c r="A36" t="s">
        <v>189</v>
      </c>
      <c r="B36" t="str">
        <f ca="1" t="shared" si="0"/>
        <v>/usr/local/kytea-master/kytea/lib:</v>
      </c>
      <c r="C36" t="str">
        <f ca="1" t="shared" si="1"/>
        <v>/usr/local/kytea-master/kytea/lib;</v>
      </c>
    </row>
    <row r="37" spans="1:3">
      <c r="A37" t="s">
        <v>190</v>
      </c>
      <c r="B37" t="str">
        <f ca="1" t="shared" si="0"/>
        <v>/usr/local/zeromq-4.3.5/zeromq/lib:</v>
      </c>
      <c r="C37" t="str">
        <f ca="1" t="shared" si="1"/>
        <v>/usr/local/zeromq-4.3.5/zeromq/lib;</v>
      </c>
    </row>
    <row r="38" spans="1:3">
      <c r="A38" t="s">
        <v>191</v>
      </c>
      <c r="B38" t="str">
        <f ca="1" t="shared" si="0"/>
        <v>/usr/local/snappy-1.1.8/snappy/lib64:</v>
      </c>
      <c r="C38" t="str">
        <f ca="1" t="shared" si="1"/>
        <v>/usr/local/snappy-1.1.8/snappy/lib64;</v>
      </c>
    </row>
    <row r="39" spans="1:3">
      <c r="A39" t="s">
        <v>192</v>
      </c>
      <c r="B39" t="str">
        <f ca="1" t="shared" si="0"/>
        <v>/usr/local/ncurses-6.1/ncurses/lib:</v>
      </c>
      <c r="C39" t="str">
        <f ca="1" t="shared" si="1"/>
        <v>/usr/local/ncurses-6.1/ncurses/lib;</v>
      </c>
    </row>
    <row r="40" spans="1:3">
      <c r="A40" t="s">
        <v>96</v>
      </c>
      <c r="B40" t="str">
        <f ca="1" t="shared" si="0"/>
        <v>/usr/local/Linux-PAM-1.3.1/pam/lib</v>
      </c>
      <c r="C40" t="str">
        <f ca="1" t="shared" si="1"/>
        <v>/usr/local/Linux-PAM-1.3.1/pam/lib</v>
      </c>
    </row>
  </sheetData>
  <dataValidations count="2">
    <dataValidation type="list" allowBlank="1" showInputMessage="1" showErrorMessage="1" sqref="J22">
      <formula1>$J:$J</formula1>
    </dataValidation>
    <dataValidation type="list" allowBlank="1" showInputMessage="1" sqref="A$1:A$1048576">
      <formula1>$J:$J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G1" sqref="G1"/>
    </sheetView>
  </sheetViews>
  <sheetFormatPr defaultColWidth="9" defaultRowHeight="14.25"/>
  <sheetData>
    <row r="1" spans="1:10">
      <c r="A1">
        <f ca="1">COUNTIF(INDIRECT("$A$2:$A$9999"),"&lt;&gt;")</f>
        <v>3</v>
      </c>
      <c r="B1">
        <f ca="1">COUNTIF(INDIRECT("$B$2:$B$9999"),"&lt;&gt;")</f>
        <v>3</v>
      </c>
      <c r="G1" t="str">
        <f ca="1">"declare -x PKG_CONFIG_PATH="""&amp;_xlfn.CONCAT(INDIRECT("$B$2:$B$9999"))&amp;":$PKG_CONFIG_PATH"&amp;""""</f>
        <v>declare -x PKG_CONFIG_PATH="/usr/local/pcre2-10.32/pcre2/lib/pkgconfig:/usr/local/kytea-master/kytea/lib/pkgconfig:/usr/local/zeromq-4.3.5/zeromq/lib/pkgconfig:$PKG_CONFIG_PATH"</v>
      </c>
      <c r="H1" t="s">
        <v>193</v>
      </c>
      <c r="J1" t="s">
        <v>194</v>
      </c>
    </row>
    <row r="2" spans="1:10">
      <c r="A2" t="s">
        <v>195</v>
      </c>
      <c r="B2" t="str">
        <f ca="1">IF(INDIRECT("A"&amp;ROW()+1)&lt;&gt;"",A2&amp;":",A2)</f>
        <v>/usr/local/pcre2-10.32/pcre2/lib/pkgconfig:</v>
      </c>
      <c r="J2" t="s">
        <v>196</v>
      </c>
    </row>
    <row r="3" spans="1:10">
      <c r="A3" t="s">
        <v>197</v>
      </c>
      <c r="B3" t="str">
        <f ca="1">IF(INDIRECT("A"&amp;ROW()+1)&lt;&gt;"",A3&amp;":",A3)</f>
        <v>/usr/local/kytea-master/kytea/lib/pkgconfig:</v>
      </c>
      <c r="J3" t="s">
        <v>198</v>
      </c>
    </row>
    <row r="4" spans="1:10">
      <c r="A4" t="s">
        <v>199</v>
      </c>
      <c r="B4" t="str">
        <f ca="1">IF(INDIRECT("A"&amp;ROW()+1)&lt;&gt;"",A4&amp;":",A4)</f>
        <v>/usr/local/zeromq-4.3.5/zeromq/lib/pkgconfig</v>
      </c>
      <c r="J4" t="s">
        <v>200</v>
      </c>
    </row>
    <row r="5" spans="10:10">
      <c r="J5" t="s">
        <v>201</v>
      </c>
    </row>
    <row r="6" spans="10:10">
      <c r="J6" t="s">
        <v>202</v>
      </c>
    </row>
    <row r="7" spans="10:10">
      <c r="J7" t="s">
        <v>203</v>
      </c>
    </row>
    <row r="8" spans="10:10">
      <c r="J8" t="s">
        <v>204</v>
      </c>
    </row>
    <row r="9" spans="10:10">
      <c r="J9" t="s">
        <v>205</v>
      </c>
    </row>
    <row r="10" spans="10:10">
      <c r="J10" t="s">
        <v>206</v>
      </c>
    </row>
    <row r="11" spans="10:10">
      <c r="J11" t="s">
        <v>194</v>
      </c>
    </row>
    <row r="12" spans="10:10">
      <c r="J12" t="s">
        <v>207</v>
      </c>
    </row>
    <row r="13" spans="10:10">
      <c r="J13" t="s">
        <v>195</v>
      </c>
    </row>
    <row r="14" spans="10:10">
      <c r="J14" t="s">
        <v>208</v>
      </c>
    </row>
    <row r="15" spans="10:10">
      <c r="J15" t="s">
        <v>209</v>
      </c>
    </row>
    <row r="16" spans="10:10">
      <c r="J16" t="s">
        <v>210</v>
      </c>
    </row>
    <row r="17" spans="10:10">
      <c r="J17" t="s">
        <v>211</v>
      </c>
    </row>
    <row r="18" spans="10:10">
      <c r="J18" t="s">
        <v>212</v>
      </c>
    </row>
  </sheetData>
  <dataValidations count="1">
    <dataValidation type="list" allowBlank="1" showInputMessage="1" sqref="A$1:A$1048576">
      <formula1>$J:$J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9" sqref="C19"/>
    </sheetView>
  </sheetViews>
  <sheetFormatPr defaultColWidth="9" defaultRowHeight="14.25" outlineLevelCol="3"/>
  <cols>
    <col min="3" max="3" width="50.625" customWidth="1"/>
    <col min="4" max="4" width="38.375" customWidth="1"/>
  </cols>
  <sheetData>
    <row r="1" spans="1:3">
      <c r="A1" s="1" t="s">
        <v>213</v>
      </c>
      <c r="B1" s="1" t="s">
        <v>214</v>
      </c>
      <c r="C1" t="s">
        <v>215</v>
      </c>
    </row>
    <row r="2" spans="1:4">
      <c r="A2" s="1" t="s">
        <v>216</v>
      </c>
      <c r="B2" s="1" t="str">
        <f t="shared" ref="B2:B11" si="0">"echo ""The value of "&amp;A2&amp;" is: %{"&amp;A2&amp;"}"""</f>
        <v>echo "The value of _bindir is: %{_bindir}"</v>
      </c>
      <c r="C2" t="s">
        <v>217</v>
      </c>
      <c r="D2" t="str">
        <f>"--define """&amp;A2&amp;" /usr/bin"" \"</f>
        <v>--define "_bindir /usr/bin" \</v>
      </c>
    </row>
    <row r="3" spans="1:4">
      <c r="A3" s="1" t="s">
        <v>218</v>
      </c>
      <c r="B3" s="1" t="str">
        <f t="shared" si="0"/>
        <v>echo "The value of _datadir is: %{_datadir}"</v>
      </c>
      <c r="C3" t="s">
        <v>219</v>
      </c>
      <c r="D3" t="str">
        <f>"--define """&amp;A3&amp;" /usr/share"" \"</f>
        <v>--define "_datadir /usr/share" \</v>
      </c>
    </row>
    <row r="4" spans="1:4">
      <c r="A4" s="1" t="s">
        <v>220</v>
      </c>
      <c r="B4" s="1" t="str">
        <f t="shared" si="0"/>
        <v>echo "The value of _docdir is: %{_docdir}"</v>
      </c>
      <c r="C4" t="s">
        <v>221</v>
      </c>
      <c r="D4" t="str">
        <f>"--define """&amp;A4&amp;" /usr/share/doc"" \"</f>
        <v>--define "_docdir /usr/share/doc" \</v>
      </c>
    </row>
    <row r="5" spans="1:4">
      <c r="A5" s="1" t="s">
        <v>222</v>
      </c>
      <c r="B5" s="1" t="str">
        <f t="shared" si="0"/>
        <v>echo "The value of _localstatedir is: %{_localstatedir}"</v>
      </c>
      <c r="C5" t="s">
        <v>223</v>
      </c>
      <c r="D5" t="str">
        <f>"--define """&amp;A5&amp;" /var"" \"</f>
        <v>--define "_localstatedir /var" \</v>
      </c>
    </row>
    <row r="6" spans="1:4">
      <c r="A6" s="1" t="s">
        <v>224</v>
      </c>
      <c r="B6" s="1" t="str">
        <f t="shared" si="0"/>
        <v>echo "The value of _mandir is: %{_mandir}"</v>
      </c>
      <c r="C6" t="s">
        <v>225</v>
      </c>
      <c r="D6" t="str">
        <f>"--define """&amp;A6&amp;" /usr/share/man"" \"</f>
        <v>--define "_mandir /usr/share/man" \</v>
      </c>
    </row>
    <row r="7" spans="1:4">
      <c r="A7" s="1" t="s">
        <v>226</v>
      </c>
      <c r="B7" s="1" t="str">
        <f t="shared" si="0"/>
        <v>echo "The value of _sbindir is: %{_sbindir}"</v>
      </c>
      <c r="C7" t="s">
        <v>227</v>
      </c>
      <c r="D7" t="str">
        <f>"--define """&amp;A7&amp;" /usr/sbin"" \"</f>
        <v>--define "_sbindir /usr/sbin" \</v>
      </c>
    </row>
    <row r="8" spans="1:4">
      <c r="A8" s="1" t="s">
        <v>228</v>
      </c>
      <c r="B8" s="1" t="str">
        <f t="shared" si="0"/>
        <v>echo "The value of _sysconfdir is: %{_sysconfdir}"</v>
      </c>
      <c r="C8" t="s">
        <v>229</v>
      </c>
      <c r="D8" t="str">
        <f>"--define """&amp;A8&amp;" /etc"" \"</f>
        <v>--define "_sysconfdir /etc" \</v>
      </c>
    </row>
    <row r="9" spans="1:4">
      <c r="A9" s="1" t="s">
        <v>230</v>
      </c>
      <c r="B9" s="1" t="str">
        <f>"echo ""The value of "&amp;A9&amp;" is: %{"&amp;A9&amp;"}"""</f>
        <v>echo "The value of zabbix_script_dir is: %{zabbix_script_dir}"</v>
      </c>
      <c r="C9" t="s">
        <v>231</v>
      </c>
      <c r="D9" t="str">
        <f>"--define """&amp;A9&amp;" /usr/bin"" \"</f>
        <v>--define "zabbix_script_dir /usr/bin" \</v>
      </c>
    </row>
    <row r="10" spans="1:4">
      <c r="A10" s="1" t="s">
        <v>232</v>
      </c>
      <c r="B10" s="1" t="str">
        <f>"echo ""The value of "&amp;A10&amp;" is: %{"&amp;A10&amp;"}"""</f>
        <v>echo "The value of _tmpfilesdir is: %{_tmpfilesdir}"</v>
      </c>
      <c r="C10" t="s">
        <v>233</v>
      </c>
      <c r="D10" t="str">
        <f>"--define """&amp;A10&amp;" /usr/lib/tmpfiles.d"" \"</f>
        <v>--define "_tmpfilesdir /usr/lib/tmpfiles.d" \</v>
      </c>
    </row>
    <row r="11" spans="1:4">
      <c r="A11" s="1" t="s">
        <v>234</v>
      </c>
      <c r="B11" s="1" t="str">
        <f>"echo ""The value of "&amp;A11&amp;" is: %{"&amp;A11&amp;"}"""</f>
        <v>echo "The value of _unitdir is: %{_unitdir}"</v>
      </c>
      <c r="C11" t="s">
        <v>235</v>
      </c>
      <c r="D11" t="str">
        <f>"--define """&amp;A11&amp;" /usr/lib/systemd/system"" \"</f>
        <v>--define "_unitdir /usr/lib/systemd/system" \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PATH</vt:lpstr>
      <vt:lpstr>LDFLAGS</vt:lpstr>
      <vt:lpstr>CPPFLAGS</vt:lpstr>
      <vt:lpstr>LIBRARY_PATH</vt:lpstr>
      <vt:lpstr>PKG_CONFIG_PATH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2024-12-30T13:22:41Z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