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9347"/>
  </bookViews>
  <sheets>
    <sheet name="01_上传" sheetId="1" r:id="rId1"/>
    <sheet name="02_下载" sheetId="2" r:id="rId2"/>
  </sheets>
  <calcPr calcId="144525"/>
</workbook>
</file>

<file path=xl/sharedStrings.xml><?xml version="1.0" encoding="utf-8"?>
<sst xmlns="http://schemas.openxmlformats.org/spreadsheetml/2006/main" count="16" uniqueCount="10">
  <si>
    <t>172.169.10.3</t>
  </si>
  <si>
    <t>sftp</t>
  </si>
  <si>
    <t>root</t>
  </si>
  <si>
    <r>
      <rPr>
        <u/>
        <sz val="11"/>
        <color rgb="FF0000FF"/>
        <rFont val="宋体"/>
        <charset val="0"/>
        <scheme val="minor"/>
      </rPr>
      <t>123.</t>
    </r>
    <r>
      <rPr>
        <sz val="11"/>
        <color rgb="FF0000FF"/>
        <rFont val="宋体"/>
        <charset val="0"/>
        <scheme val="minor"/>
      </rPr>
      <t>com</t>
    </r>
  </si>
  <si>
    <t>/tmp/ttt2/</t>
  </si>
  <si>
    <t>否</t>
  </si>
  <si>
    <t>/tmp/ttt1_done/</t>
  </si>
  <si>
    <t>/tmp/ttt1/</t>
  </si>
  <si>
    <t>是</t>
  </si>
  <si>
    <t>/tmp/ttt2_done/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</si>
</sst>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17" fillId="8" borderId="2" applyNumberFormat="0" applyAlignment="0" applyProtection="0">
      <alignment vertical="center"/>
    </xf>
    <xf numFmtId="0" fontId="19" fillId="32" borderId="8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10" applyFont="1" applyFill="1" applyAlignment="1"/>
    <xf numFmtId="0" fontId="1" fillId="0" borderId="0" xfId="10" applyFill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Gass@123$%^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Gass@123$%^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6"/>
  <sheetViews>
    <sheetView tabSelected="1" workbookViewId="0">
      <selection activeCell="F2" sqref="F2"/>
    </sheetView>
  </sheetViews>
  <sheetFormatPr defaultColWidth="9" defaultRowHeight="14.4" outlineLevelRow="5"/>
  <cols>
    <col min="1" max="1" width="14.1111111111111" customWidth="1"/>
    <col min="2" max="2" width="8.66666666666667" customWidth="1"/>
    <col min="4" max="4" width="12.6296296296296" customWidth="1"/>
    <col min="6" max="6" width="22" customWidth="1"/>
    <col min="7" max="7" width="11.8888888888889" customWidth="1"/>
    <col min="8" max="8" width="14.1111111111111" customWidth="1"/>
    <col min="9" max="9" width="19.7777777777778" customWidth="1"/>
    <col min="10" max="10" width="32.8796296296296" customWidth="1"/>
    <col min="11" max="11" width="26.5555555555556" customWidth="1"/>
  </cols>
  <sheetData>
    <row r="1" spans="1:10">
      <c r="A1" s="1" t="str">
        <f>COLUMN()&amp;"_"&amp;"IP地址"</f>
        <v>1_IP地址</v>
      </c>
      <c r="B1" s="1" t="str">
        <f>COLUMN()&amp;"_"&amp;"协议"</f>
        <v>2_协议</v>
      </c>
      <c r="C1" s="1" t="str">
        <f>COLUMN()&amp;"_"&amp;"用户名"</f>
        <v>3_用户名</v>
      </c>
      <c r="D1" s="1" t="str">
        <f>COLUMN()&amp;"_"&amp;"密码"</f>
        <v>4_密码</v>
      </c>
      <c r="E1" s="1" t="str">
        <f>COLUMN()&amp;"_"&amp;"端口"</f>
        <v>5_端口</v>
      </c>
      <c r="F1" t="str">
        <f>COLUMN()&amp;"_"&amp;"本地文件或目录"</f>
        <v>6_本地文件或目录</v>
      </c>
      <c r="G1" t="str">
        <f>COLUMN()&amp;"_"&amp;"上传目录"</f>
        <v>7_上传目录</v>
      </c>
      <c r="H1" t="str">
        <f>COLUMN()&amp;"_"&amp;"上传文件数"</f>
        <v>8_上传文件数</v>
      </c>
      <c r="I1" t="str">
        <f>COLUMN()&amp;"_"&amp;"是否删除本地文件"</f>
        <v>9_是否删除本地文件</v>
      </c>
      <c r="J1" t="str">
        <f>COLUMN()&amp;"_"&amp;"上传完成后本地文件移动到目录"</f>
        <v>10_上传完成后本地文件移动到目录</v>
      </c>
    </row>
    <row r="2" spans="1:10">
      <c r="A2" s="1" t="s">
        <v>0</v>
      </c>
      <c r="B2" s="1" t="s">
        <v>1</v>
      </c>
      <c r="C2" s="1" t="s">
        <v>2</v>
      </c>
      <c r="D2" s="2" t="s">
        <v>3</v>
      </c>
      <c r="E2" s="1">
        <v>22</v>
      </c>
      <c r="F2" t="s">
        <v>4</v>
      </c>
      <c r="G2" t="s">
        <v>4</v>
      </c>
      <c r="H2">
        <v>10000</v>
      </c>
      <c r="I2" t="s">
        <v>5</v>
      </c>
      <c r="J2" t="s">
        <v>6</v>
      </c>
    </row>
    <row r="3" spans="1:5">
      <c r="A3" s="1"/>
      <c r="B3" s="1"/>
      <c r="C3" s="1"/>
      <c r="D3" s="2"/>
      <c r="E3" s="1"/>
    </row>
    <row r="4" spans="1:5">
      <c r="A4" s="1"/>
      <c r="B4" s="1"/>
      <c r="C4" s="1"/>
      <c r="D4" s="2"/>
      <c r="E4" s="1"/>
    </row>
    <row r="5" spans="1:5">
      <c r="A5" s="1"/>
      <c r="B5" s="1"/>
      <c r="C5" s="1"/>
      <c r="D5" s="3"/>
      <c r="E5" s="1"/>
    </row>
    <row r="6" spans="1:5">
      <c r="A6" s="1"/>
      <c r="B6" s="1"/>
      <c r="C6" s="1"/>
      <c r="D6" s="3"/>
      <c r="E6" s="1"/>
    </row>
  </sheetData>
  <hyperlinks>
    <hyperlink ref="D2" r:id="rId1" display="123.com" tooltip="mailto:Gass@123$%^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J2"/>
  <sheetViews>
    <sheetView workbookViewId="0">
      <selection activeCell="J14" sqref="J14"/>
    </sheetView>
  </sheetViews>
  <sheetFormatPr defaultColWidth="9" defaultRowHeight="14.4" outlineLevelRow="1"/>
  <cols>
    <col min="1" max="1" width="14.1111111111111" customWidth="1"/>
    <col min="2" max="2" width="8.66666666666667" customWidth="1"/>
    <col min="4" max="4" width="12.6296296296296" customWidth="1"/>
    <col min="6" max="6" width="22" customWidth="1"/>
    <col min="7" max="7" width="11.8888888888889" customWidth="1"/>
    <col min="8" max="8" width="14.1111111111111" customWidth="1"/>
    <col min="9" max="9" width="19.7777777777778" customWidth="1"/>
    <col min="10" max="10" width="32.8796296296296" customWidth="1"/>
  </cols>
  <sheetData>
    <row r="1" spans="1:10">
      <c r="A1" s="1" t="str">
        <f>COLUMN()&amp;"_"&amp;"IP地址"</f>
        <v>1_IP地址</v>
      </c>
      <c r="B1" s="1" t="str">
        <f>COLUMN()&amp;"_"&amp;"协议"</f>
        <v>2_协议</v>
      </c>
      <c r="C1" s="1" t="str">
        <f>COLUMN()&amp;"_"&amp;"用户名"</f>
        <v>3_用户名</v>
      </c>
      <c r="D1" s="1" t="str">
        <f>COLUMN()&amp;"_"&amp;"密码"</f>
        <v>4_密码</v>
      </c>
      <c r="E1" s="1" t="str">
        <f>COLUMN()&amp;"_"&amp;"端口"</f>
        <v>5_端口</v>
      </c>
      <c r="F1" t="str">
        <f>COLUMN()&amp;"_"&amp;"远端文件或目录"</f>
        <v>6_远端文件或目录</v>
      </c>
      <c r="G1" t="str">
        <f>COLUMN()&amp;"_"&amp;"下载目录"</f>
        <v>7_下载目录</v>
      </c>
      <c r="H1" t="str">
        <f>COLUMN()&amp;"_"&amp;"下载文件数"</f>
        <v>8_下载文件数</v>
      </c>
      <c r="I1" t="str">
        <f>COLUMN()&amp;"_"&amp;"是否删除远端文件"</f>
        <v>9_是否删除远端文件</v>
      </c>
      <c r="J1" t="str">
        <f>COLUMN()&amp;"_"&amp;"下载完成后远端文件移动到目录"</f>
        <v>10_下载完成后远端文件移动到目录</v>
      </c>
    </row>
    <row r="2" spans="1:10">
      <c r="A2" s="1" t="s">
        <v>0</v>
      </c>
      <c r="B2" s="1" t="s">
        <v>1</v>
      </c>
      <c r="C2" s="1" t="s">
        <v>2</v>
      </c>
      <c r="D2" s="2" t="s">
        <v>3</v>
      </c>
      <c r="E2" s="1">
        <v>22</v>
      </c>
      <c r="F2" t="s">
        <v>4</v>
      </c>
      <c r="G2" t="s">
        <v>7</v>
      </c>
      <c r="H2">
        <v>10</v>
      </c>
      <c r="I2" t="s">
        <v>8</v>
      </c>
      <c r="J2" t="s">
        <v>9</v>
      </c>
    </row>
  </sheetData>
  <hyperlinks>
    <hyperlink ref="D2" r:id="rId1" display="123.com" tooltip="mailto:Gass@123$%^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01_上传</vt:lpstr>
      <vt:lpstr>02_下载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2024-04-26T02:09:00Z</dcterms:created>
  <dcterms:modified xsi:type="dcterms:W3CDTF">2024-05-25T03:16:38Z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2052-11.8.2.8875</vt:lpwstr>
  </property>
</Properties>
</file>